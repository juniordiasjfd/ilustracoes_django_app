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ensinolivre.sharepoint.com/sites/G27_E002_EF1/Documentos Compartilhados/G27_E002_EF1/zCONTROLES/ilustracao/"/>
    </mc:Choice>
  </mc:AlternateContent>
  <xr:revisionPtr revIDLastSave="28782" documentId="13_ncr:1_{3CF6408E-FD78-49B9-B70E-7CE51640CEFA}" xr6:coauthVersionLast="47" xr6:coauthVersionMax="47" xr10:uidLastSave="{7DEF3077-2F04-4288-B423-A85A398A4D3C}"/>
  <bookViews>
    <workbookView xWindow="-120" yWindow="-120" windowWidth="29040" windowHeight="15840" xr2:uid="{6B0CC131-DCB1-4859-96F0-F61121EDAE88}"/>
  </bookViews>
  <sheets>
    <sheet name="ilustração" sheetId="1" r:id="rId1"/>
    <sheet name="créditos_base" sheetId="3" r:id="rId2"/>
    <sheet name="metadado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008" i="1" l="1"/>
  <c r="AA2008" i="1" s="1"/>
  <c r="Y2009" i="1"/>
  <c r="AA2009" i="1" s="1"/>
  <c r="Y2010" i="1"/>
  <c r="AA2010" i="1" s="1"/>
  <c r="Y2011" i="1"/>
  <c r="AA2011" i="1" s="1"/>
  <c r="Y2012" i="1"/>
  <c r="AA2012" i="1" s="1"/>
  <c r="Y2013" i="1"/>
  <c r="AA2013" i="1" s="1"/>
  <c r="Y2014" i="1"/>
  <c r="AA2014" i="1" s="1"/>
  <c r="Y2015" i="1"/>
  <c r="AA2015" i="1" s="1"/>
  <c r="Y2016" i="1"/>
  <c r="AA2016" i="1" s="1"/>
  <c r="Y2017" i="1"/>
  <c r="AA2017" i="1" s="1"/>
  <c r="Y2018" i="1"/>
  <c r="AA2018" i="1" s="1"/>
  <c r="Y2019" i="1"/>
  <c r="AA2019" i="1" s="1"/>
  <c r="Y2020" i="1"/>
  <c r="AA2020" i="1" s="1"/>
  <c r="Y2021" i="1"/>
  <c r="AA2021" i="1" s="1"/>
  <c r="Y2022" i="1"/>
  <c r="AA2022" i="1" s="1"/>
  <c r="Y2023" i="1"/>
  <c r="AA2023" i="1" s="1"/>
  <c r="Y2024" i="1"/>
  <c r="AA2024" i="1" s="1"/>
  <c r="Y2025" i="1"/>
  <c r="AA2025" i="1" s="1"/>
  <c r="Y2026" i="1"/>
  <c r="AA2026" i="1" s="1"/>
  <c r="Y2027" i="1"/>
  <c r="AA2027" i="1" s="1"/>
  <c r="Y2028" i="1"/>
  <c r="AA2028" i="1" s="1"/>
  <c r="Y2029" i="1"/>
  <c r="AA2029" i="1" s="1"/>
  <c r="Y2030" i="1"/>
  <c r="AA2030" i="1" s="1"/>
  <c r="Y2031" i="1"/>
  <c r="AA2031" i="1" s="1"/>
  <c r="Y2032" i="1"/>
  <c r="Y2033" i="1"/>
  <c r="Y2034" i="1"/>
  <c r="Y2035" i="1"/>
  <c r="AA2035" i="1" s="1"/>
  <c r="Y2036" i="1"/>
  <c r="AA2036" i="1" s="1"/>
  <c r="Y2037" i="1"/>
  <c r="AA2037" i="1" s="1"/>
  <c r="Y2038" i="1"/>
  <c r="AA2038" i="1" s="1"/>
  <c r="Y2039" i="1"/>
  <c r="AA2039" i="1" s="1"/>
  <c r="Y2040" i="1"/>
  <c r="AA2040" i="1" s="1"/>
  <c r="Y2041" i="1"/>
  <c r="AA2041" i="1" s="1"/>
  <c r="Y2042" i="1"/>
  <c r="AA2042" i="1" s="1"/>
  <c r="Y2043" i="1"/>
  <c r="AA2043" i="1" s="1"/>
  <c r="Y2044" i="1"/>
  <c r="AA2044" i="1" s="1"/>
  <c r="Y2045" i="1"/>
  <c r="AA2045" i="1" s="1"/>
  <c r="Y2046" i="1"/>
  <c r="AA2046" i="1" s="1"/>
  <c r="Y2047" i="1"/>
  <c r="AA2047" i="1" s="1"/>
  <c r="Y2048" i="1"/>
  <c r="AA2048" i="1" s="1"/>
  <c r="Y2049" i="1"/>
  <c r="AA2049" i="1" s="1"/>
  <c r="Y2050" i="1"/>
  <c r="AA2050" i="1" s="1"/>
  <c r="Y2051" i="1"/>
  <c r="AA2051" i="1" s="1"/>
  <c r="Y2052" i="1"/>
  <c r="AA2052" i="1" s="1"/>
  <c r="Y2053" i="1"/>
  <c r="AA2053" i="1" s="1"/>
  <c r="Y2054" i="1"/>
  <c r="AA2054" i="1" s="1"/>
  <c r="Y2055" i="1"/>
  <c r="AA2055" i="1" s="1"/>
  <c r="Y2056" i="1"/>
  <c r="AA2056" i="1" s="1"/>
  <c r="Y2057" i="1"/>
  <c r="AA2057" i="1" s="1"/>
  <c r="Y2058" i="1"/>
  <c r="AA2058" i="1" s="1"/>
  <c r="Y2059" i="1"/>
  <c r="AA2059" i="1" s="1"/>
  <c r="Y2060" i="1"/>
  <c r="Y2061" i="1"/>
  <c r="Y2062" i="1"/>
  <c r="Y2063" i="1"/>
  <c r="Y2064" i="1"/>
  <c r="Y2065" i="1"/>
  <c r="Y2066" i="1"/>
  <c r="Y2067" i="1"/>
  <c r="Y2068" i="1"/>
  <c r="AA2068" i="1" s="1"/>
  <c r="Y2069" i="1"/>
  <c r="AA2069" i="1" s="1"/>
  <c r="Y2070" i="1"/>
  <c r="AA2070" i="1" s="1"/>
  <c r="Y2071" i="1"/>
  <c r="AA2071" i="1" s="1"/>
  <c r="Y2072" i="1"/>
  <c r="AA2072" i="1" s="1"/>
  <c r="Y2073" i="1"/>
  <c r="AA2073" i="1" s="1"/>
  <c r="Y2074" i="1"/>
  <c r="AA2074" i="1" s="1"/>
  <c r="Y2075" i="1"/>
  <c r="AA2075" i="1" s="1"/>
  <c r="Y2076" i="1"/>
  <c r="AA2076" i="1" s="1"/>
  <c r="Y2077" i="1"/>
  <c r="AA2077" i="1" s="1"/>
  <c r="Y2078" i="1"/>
  <c r="AA2078" i="1" s="1"/>
  <c r="Y2079" i="1"/>
  <c r="AA2079" i="1" s="1"/>
  <c r="Y2080" i="1"/>
  <c r="AA2080" i="1" s="1"/>
  <c r="Y2081" i="1"/>
  <c r="AA2081" i="1" s="1"/>
  <c r="Y2082" i="1"/>
  <c r="AA2082" i="1" s="1"/>
  <c r="Y2083" i="1"/>
  <c r="AA2083" i="1" s="1"/>
  <c r="Y2084" i="1"/>
  <c r="AA2084" i="1" s="1"/>
  <c r="Y2085" i="1"/>
  <c r="AA2085" i="1" s="1"/>
  <c r="Y2086" i="1"/>
  <c r="AA2086" i="1" s="1"/>
  <c r="Y2087" i="1"/>
  <c r="AA2087" i="1" s="1"/>
  <c r="Y2088" i="1"/>
  <c r="AA2088" i="1" s="1"/>
  <c r="Y2089" i="1"/>
  <c r="AA2089" i="1" s="1"/>
  <c r="Y2090" i="1"/>
  <c r="AA2090" i="1" s="1"/>
  <c r="Y2091" i="1"/>
  <c r="AA2091" i="1" s="1"/>
  <c r="Y2092" i="1"/>
  <c r="AA2092" i="1" s="1"/>
  <c r="Y2093" i="1"/>
  <c r="AA2093" i="1" s="1"/>
  <c r="Y2094" i="1"/>
  <c r="AA2094" i="1" s="1"/>
  <c r="Y2095" i="1"/>
  <c r="AA2095" i="1" s="1"/>
  <c r="Y2096" i="1"/>
  <c r="AA2096" i="1" s="1"/>
  <c r="Y2097" i="1"/>
  <c r="AA2097" i="1" s="1"/>
  <c r="Y2098" i="1"/>
  <c r="AA2098" i="1" s="1"/>
  <c r="Y2099" i="1"/>
  <c r="AA2099" i="1" s="1"/>
  <c r="Y2100" i="1"/>
  <c r="AA2100" i="1" s="1"/>
  <c r="Y2101" i="1"/>
  <c r="AA2101" i="1" s="1"/>
  <c r="Y2102" i="1"/>
  <c r="AA2102" i="1" s="1"/>
  <c r="Y2103" i="1"/>
  <c r="AA2103" i="1" s="1"/>
  <c r="Y2104" i="1"/>
  <c r="Y2105" i="1"/>
  <c r="Y2106" i="1"/>
  <c r="Y2107" i="1"/>
  <c r="AA2107" i="1" s="1"/>
  <c r="Y2108" i="1"/>
  <c r="AA2108" i="1" s="1"/>
  <c r="Y2109" i="1"/>
  <c r="Y2110" i="1"/>
  <c r="Y2111" i="1"/>
  <c r="Y2112" i="1"/>
  <c r="Y2113" i="1"/>
  <c r="Y2114" i="1"/>
  <c r="AA2114" i="1" s="1"/>
  <c r="Y2115" i="1"/>
  <c r="AA2115" i="1" s="1"/>
  <c r="Y2116" i="1"/>
  <c r="AA2116" i="1" s="1"/>
  <c r="Y2117" i="1"/>
  <c r="AA2117" i="1" s="1"/>
  <c r="Y2118" i="1"/>
  <c r="AA2118" i="1" s="1"/>
  <c r="Y2119" i="1"/>
  <c r="AA2119" i="1" s="1"/>
  <c r="Y2120" i="1"/>
  <c r="AA2120" i="1" s="1"/>
  <c r="Y2121" i="1"/>
  <c r="AA2121" i="1" s="1"/>
  <c r="Y2122" i="1"/>
  <c r="AA2122" i="1" s="1"/>
  <c r="Y2123" i="1"/>
  <c r="AA2123" i="1" s="1"/>
  <c r="Y2124" i="1"/>
  <c r="AA2124" i="1" s="1"/>
  <c r="Y2125" i="1"/>
  <c r="AA2125" i="1" s="1"/>
  <c r="Y2126" i="1"/>
  <c r="AA2126" i="1" s="1"/>
  <c r="Y2127" i="1"/>
  <c r="Y2128" i="1"/>
  <c r="Y2129" i="1"/>
  <c r="AA2129" i="1" s="1"/>
  <c r="Y2130" i="1"/>
  <c r="Y2131" i="1"/>
  <c r="AA2131" i="1" s="1"/>
  <c r="Y2132" i="1"/>
  <c r="AA2132" i="1" s="1"/>
  <c r="Y2133" i="1"/>
  <c r="AA2133" i="1" s="1"/>
  <c r="Y2134" i="1"/>
  <c r="AA2134" i="1" s="1"/>
  <c r="Y2135" i="1"/>
  <c r="AA2135" i="1" s="1"/>
  <c r="Y2136" i="1"/>
  <c r="AA2136" i="1" s="1"/>
  <c r="Y2137" i="1"/>
  <c r="AA2137" i="1" s="1"/>
  <c r="Y2138" i="1"/>
  <c r="AA2138" i="1" s="1"/>
  <c r="Y2139" i="1"/>
  <c r="AA2139" i="1" s="1"/>
  <c r="Y2140" i="1"/>
  <c r="AA2140" i="1" s="1"/>
  <c r="Y2141" i="1"/>
  <c r="AA2141" i="1" s="1"/>
  <c r="Y2142" i="1"/>
  <c r="AA2142" i="1" s="1"/>
  <c r="Y2143" i="1"/>
  <c r="AA2143" i="1" s="1"/>
  <c r="Y2144" i="1"/>
  <c r="AA2144" i="1" s="1"/>
  <c r="Y2145" i="1"/>
  <c r="AA2145" i="1" s="1"/>
  <c r="Y2146" i="1"/>
  <c r="AA2146" i="1" s="1"/>
  <c r="Y2147" i="1"/>
  <c r="AA2147" i="1" s="1"/>
  <c r="Y2148" i="1"/>
  <c r="AA2148" i="1" s="1"/>
  <c r="Y2149" i="1"/>
  <c r="AA2149" i="1" s="1"/>
  <c r="Y2150" i="1"/>
  <c r="AA2150" i="1" s="1"/>
  <c r="Y2151" i="1"/>
  <c r="AA2151" i="1" s="1"/>
  <c r="Y2152" i="1"/>
  <c r="AA2152" i="1" s="1"/>
  <c r="Y2153" i="1"/>
  <c r="AA2153" i="1" s="1"/>
  <c r="Y2154" i="1"/>
  <c r="AA2154" i="1" s="1"/>
  <c r="Y2155" i="1"/>
  <c r="AA2155" i="1" s="1"/>
  <c r="Y2156" i="1"/>
  <c r="AA2156" i="1" s="1"/>
  <c r="Y2157" i="1"/>
  <c r="AA2157" i="1" s="1"/>
  <c r="Y2158" i="1"/>
  <c r="AA2158" i="1" s="1"/>
  <c r="Y2159" i="1"/>
  <c r="AA2159" i="1" s="1"/>
  <c r="Y2160" i="1"/>
  <c r="AA2160" i="1" s="1"/>
  <c r="Y2161" i="1"/>
  <c r="Y2162" i="1"/>
  <c r="AA2162" i="1" s="1"/>
  <c r="Y2163" i="1"/>
  <c r="Y2164" i="1"/>
  <c r="AA2164" i="1" s="1"/>
  <c r="Y2165" i="1"/>
  <c r="Y2166" i="1"/>
  <c r="Y2167" i="1"/>
  <c r="Y2168" i="1"/>
  <c r="AA2168" i="1" s="1"/>
  <c r="Y2169" i="1"/>
  <c r="Y2170" i="1"/>
  <c r="AA2170" i="1" s="1"/>
  <c r="Y2171" i="1"/>
  <c r="AA2171" i="1" s="1"/>
  <c r="Y2172" i="1"/>
  <c r="AA2172" i="1" s="1"/>
  <c r="Y2173" i="1"/>
  <c r="AA2173" i="1" s="1"/>
  <c r="Y2174" i="1"/>
  <c r="AA2174" i="1" s="1"/>
  <c r="Y2175" i="1"/>
  <c r="Y2176" i="1"/>
  <c r="AA2176" i="1" s="1"/>
  <c r="Y2177" i="1"/>
  <c r="AA2177" i="1" s="1"/>
  <c r="Y2178" i="1"/>
  <c r="AA2178" i="1" s="1"/>
  <c r="Y2179" i="1"/>
  <c r="AA2179" i="1" s="1"/>
  <c r="Y2180" i="1"/>
  <c r="AA2180" i="1" s="1"/>
  <c r="Y2181" i="1"/>
  <c r="AA2181" i="1" s="1"/>
  <c r="Y2182" i="1"/>
  <c r="AA2182" i="1" s="1"/>
  <c r="Y2183" i="1"/>
  <c r="AA2183" i="1" s="1"/>
  <c r="Y2184" i="1"/>
  <c r="AA2184" i="1" s="1"/>
  <c r="Y2185" i="1"/>
  <c r="AA2185" i="1" s="1"/>
  <c r="Y2186" i="1"/>
  <c r="AA2186" i="1" s="1"/>
  <c r="Y2187" i="1"/>
  <c r="AA2187" i="1" s="1"/>
  <c r="Y2188" i="1"/>
  <c r="AA2188" i="1" s="1"/>
  <c r="Y2189" i="1"/>
  <c r="AA2189" i="1" s="1"/>
  <c r="Y2190" i="1"/>
  <c r="AA2190" i="1" s="1"/>
  <c r="Y2191" i="1"/>
  <c r="AA2191" i="1" s="1"/>
  <c r="Y2192" i="1"/>
  <c r="AA2192" i="1" s="1"/>
  <c r="Y2193" i="1"/>
  <c r="Y2194" i="1"/>
  <c r="Y2195" i="1"/>
  <c r="AA2195" i="1" s="1"/>
  <c r="Y2196" i="1"/>
  <c r="AA2196" i="1" s="1"/>
  <c r="Y2197" i="1"/>
  <c r="AA2197" i="1" s="1"/>
  <c r="Y2198" i="1"/>
  <c r="AA2198" i="1" s="1"/>
  <c r="Y2199" i="1"/>
  <c r="AA2199" i="1" s="1"/>
  <c r="Y2200" i="1"/>
  <c r="AA2200" i="1" s="1"/>
  <c r="Y2201" i="1"/>
  <c r="AA2201" i="1" s="1"/>
  <c r="Y2202" i="1"/>
  <c r="AA2202" i="1" s="1"/>
  <c r="Y2203" i="1"/>
  <c r="AA2203" i="1" s="1"/>
  <c r="Y2204" i="1"/>
  <c r="AA2204" i="1" s="1"/>
  <c r="Y2205" i="1"/>
  <c r="AA2205" i="1" s="1"/>
  <c r="Y2206" i="1"/>
  <c r="AA2206" i="1" s="1"/>
  <c r="Y2207" i="1"/>
  <c r="AA2207" i="1" s="1"/>
  <c r="Y2208" i="1"/>
  <c r="AA2208" i="1" s="1"/>
  <c r="Y2209" i="1"/>
  <c r="AA2209" i="1" s="1"/>
  <c r="Y2210" i="1"/>
  <c r="AA2210" i="1" s="1"/>
  <c r="Y2211" i="1"/>
  <c r="AA2211" i="1" s="1"/>
  <c r="Y2212" i="1"/>
  <c r="AA2212" i="1" s="1"/>
  <c r="Y2213" i="1"/>
  <c r="AA2213" i="1" s="1"/>
  <c r="Y2214" i="1"/>
  <c r="AA2214" i="1" s="1"/>
  <c r="Y2215" i="1"/>
  <c r="AA2215" i="1" s="1"/>
  <c r="Y2216" i="1"/>
  <c r="AA2216" i="1" s="1"/>
  <c r="Y2217" i="1"/>
  <c r="AA2217" i="1" s="1"/>
  <c r="Y2218" i="1"/>
  <c r="AA2218" i="1" s="1"/>
  <c r="Y2219" i="1"/>
  <c r="AA2219" i="1" s="1"/>
  <c r="Y2220" i="1"/>
  <c r="AA2220" i="1" s="1"/>
  <c r="Y2221" i="1"/>
  <c r="AA2221" i="1" s="1"/>
  <c r="Y2222" i="1"/>
  <c r="AA2222" i="1" s="1"/>
  <c r="Y2223" i="1"/>
  <c r="AA2223" i="1" s="1"/>
  <c r="Y2224" i="1"/>
  <c r="AA2224" i="1" s="1"/>
  <c r="Y2225" i="1"/>
  <c r="AA2225" i="1" s="1"/>
  <c r="Y2226" i="1"/>
  <c r="AA2226" i="1" s="1"/>
  <c r="Y2227" i="1"/>
  <c r="Y2228" i="1"/>
  <c r="AA2228" i="1" s="1"/>
  <c r="Y2229" i="1"/>
  <c r="AA2229" i="1" s="1"/>
  <c r="Y2230" i="1"/>
  <c r="AA2230" i="1" s="1"/>
  <c r="Y2231" i="1"/>
  <c r="AA2231" i="1" s="1"/>
  <c r="Y2232" i="1"/>
  <c r="AA2232" i="1" s="1"/>
  <c r="Y2233" i="1"/>
  <c r="AA2233" i="1" s="1"/>
  <c r="Y2234" i="1"/>
  <c r="AA2234" i="1" s="1"/>
  <c r="Y2235" i="1"/>
  <c r="AA2235" i="1" s="1"/>
  <c r="Y2236" i="1"/>
  <c r="AA2236" i="1" s="1"/>
  <c r="Y2237" i="1"/>
  <c r="AA2237" i="1" s="1"/>
  <c r="Y2238" i="1"/>
  <c r="AA2238" i="1" s="1"/>
  <c r="Y2239" i="1"/>
  <c r="AA2239" i="1" s="1"/>
  <c r="Y2240" i="1"/>
  <c r="AA2240" i="1" s="1"/>
  <c r="Y2241" i="1"/>
  <c r="AA2241" i="1" s="1"/>
  <c r="Y2242" i="1"/>
  <c r="AA2242" i="1" s="1"/>
  <c r="Y2243" i="1"/>
  <c r="AA2243" i="1" s="1"/>
  <c r="Y2244" i="1"/>
  <c r="AA2244" i="1" s="1"/>
  <c r="Y2245" i="1"/>
  <c r="AA2245" i="1" s="1"/>
  <c r="Y2246" i="1"/>
  <c r="AA2246" i="1" s="1"/>
  <c r="Y2247" i="1"/>
  <c r="AA2247" i="1" s="1"/>
  <c r="Y2248" i="1"/>
  <c r="AA2248" i="1" s="1"/>
  <c r="Y2249" i="1"/>
  <c r="AA2249" i="1" s="1"/>
  <c r="Y2250" i="1"/>
  <c r="AA2250" i="1" s="1"/>
  <c r="Y2251" i="1"/>
  <c r="AA2251" i="1" s="1"/>
  <c r="Y2252" i="1"/>
  <c r="AA2252" i="1" s="1"/>
  <c r="Y2253" i="1"/>
  <c r="AA2253" i="1" s="1"/>
  <c r="Y2254" i="1"/>
  <c r="AA2254" i="1" s="1"/>
  <c r="Y2255" i="1"/>
  <c r="AA2255" i="1" s="1"/>
  <c r="Y2256" i="1"/>
  <c r="AA2256" i="1" s="1"/>
  <c r="Y2257" i="1"/>
  <c r="AA2257" i="1" s="1"/>
  <c r="Y2258" i="1"/>
  <c r="AA2258" i="1" s="1"/>
  <c r="Y2259" i="1"/>
  <c r="AA2259" i="1" s="1"/>
  <c r="Y2260" i="1"/>
  <c r="AA2260" i="1" s="1"/>
  <c r="Y2261" i="1"/>
  <c r="AA2261" i="1" s="1"/>
  <c r="Y2262" i="1"/>
  <c r="AA2262" i="1" s="1"/>
  <c r="Y2263" i="1"/>
  <c r="AA2263" i="1" s="1"/>
  <c r="Y2264" i="1"/>
  <c r="AA2264" i="1" s="1"/>
  <c r="Y2265" i="1"/>
  <c r="AA2265" i="1" s="1"/>
  <c r="Y2266" i="1"/>
  <c r="AA2266" i="1" s="1"/>
  <c r="Y2267" i="1"/>
  <c r="AA2267" i="1" s="1"/>
  <c r="Y2268" i="1"/>
  <c r="Y2269" i="1"/>
  <c r="AA2269" i="1" s="1"/>
  <c r="Y2270" i="1"/>
  <c r="AA2270" i="1" s="1"/>
  <c r="Y2271" i="1"/>
  <c r="AA2271" i="1" s="1"/>
  <c r="Y2272" i="1"/>
  <c r="AA2272" i="1" s="1"/>
  <c r="Y2273" i="1"/>
  <c r="Y2274" i="1"/>
  <c r="Y2275" i="1"/>
  <c r="Y2276" i="1"/>
  <c r="AA2276" i="1" s="1"/>
  <c r="Y2277" i="1"/>
  <c r="Y2278" i="1"/>
  <c r="AA2278" i="1" s="1"/>
  <c r="Y2279" i="1"/>
  <c r="AA2279" i="1" s="1"/>
  <c r="Y2280" i="1"/>
  <c r="AA2280" i="1" s="1"/>
  <c r="Y2281" i="1"/>
  <c r="AA2281" i="1" s="1"/>
  <c r="Y2282" i="1"/>
  <c r="AA2282" i="1" s="1"/>
  <c r="Y2283" i="1"/>
  <c r="AA2283" i="1" s="1"/>
  <c r="Y2284" i="1"/>
  <c r="AA2284" i="1" s="1"/>
  <c r="Y2285" i="1"/>
  <c r="AA2285" i="1" s="1"/>
  <c r="Y2286" i="1"/>
  <c r="Y2287" i="1"/>
  <c r="Y2288" i="1"/>
  <c r="AA2288" i="1" s="1"/>
  <c r="Y2289" i="1"/>
  <c r="AA2289" i="1" s="1"/>
  <c r="Y2290" i="1"/>
  <c r="AA2290" i="1" s="1"/>
  <c r="Y2291" i="1"/>
  <c r="AA2291" i="1" s="1"/>
  <c r="Y2292" i="1"/>
  <c r="AA2292" i="1" s="1"/>
  <c r="Y2293" i="1"/>
  <c r="Y2294" i="1"/>
  <c r="AA2294" i="1" s="1"/>
  <c r="Y2295" i="1"/>
  <c r="AA2295" i="1" s="1"/>
  <c r="Y2296" i="1"/>
  <c r="AA2296" i="1" s="1"/>
  <c r="Y2297" i="1"/>
  <c r="AA2297" i="1" s="1"/>
  <c r="Y2298" i="1"/>
  <c r="AA2298" i="1" s="1"/>
  <c r="Y2299" i="1"/>
  <c r="AA2299" i="1" s="1"/>
  <c r="Y2300" i="1"/>
  <c r="AA2300" i="1" s="1"/>
  <c r="Y2301" i="1"/>
  <c r="AA2301" i="1" s="1"/>
  <c r="Y2302" i="1"/>
  <c r="AA2302" i="1" s="1"/>
  <c r="Y2303" i="1"/>
  <c r="AA2303" i="1" s="1"/>
  <c r="Y2304" i="1"/>
  <c r="Y2305" i="1"/>
  <c r="Y2306" i="1"/>
  <c r="AA2306" i="1" s="1"/>
  <c r="Y2307" i="1"/>
  <c r="AA2307" i="1" s="1"/>
  <c r="Y2308" i="1"/>
  <c r="AA2308" i="1" s="1"/>
  <c r="Y2309" i="1"/>
  <c r="Y2310" i="1"/>
  <c r="AA2310" i="1" s="1"/>
  <c r="Y2311" i="1"/>
  <c r="AA2311" i="1" s="1"/>
  <c r="Y2312" i="1"/>
  <c r="AA2312" i="1" s="1"/>
  <c r="Y2313" i="1"/>
  <c r="AA2313" i="1" s="1"/>
  <c r="Y2314" i="1"/>
  <c r="AA2314" i="1" s="1"/>
  <c r="Y2315" i="1"/>
  <c r="Y2316" i="1"/>
  <c r="AA2316" i="1" s="1"/>
  <c r="Y2317" i="1"/>
  <c r="AA2317" i="1" s="1"/>
  <c r="Y2318" i="1"/>
  <c r="Y2319" i="1"/>
  <c r="AA2319" i="1" s="1"/>
  <c r="Y2320" i="1"/>
  <c r="AA2320" i="1" s="1"/>
  <c r="Y2321" i="1"/>
  <c r="AA2321" i="1" s="1"/>
  <c r="Y2322" i="1"/>
  <c r="AA2322" i="1" s="1"/>
  <c r="Y2323" i="1"/>
  <c r="AA2323" i="1" s="1"/>
  <c r="Y2324" i="1"/>
  <c r="AA2324" i="1" s="1"/>
  <c r="Y2325" i="1"/>
  <c r="AA2325" i="1" s="1"/>
  <c r="Y2326" i="1"/>
  <c r="AA2326" i="1" s="1"/>
  <c r="Y2327" i="1"/>
  <c r="AA2327" i="1" s="1"/>
  <c r="Y2328" i="1"/>
  <c r="AA2328" i="1" s="1"/>
  <c r="Y2329" i="1"/>
  <c r="AA2329" i="1" s="1"/>
  <c r="Y2330" i="1"/>
  <c r="Y2331" i="1"/>
  <c r="AA2331" i="1" s="1"/>
  <c r="Y2332" i="1"/>
  <c r="Y2333" i="1"/>
  <c r="Y2334" i="1"/>
  <c r="Y2335" i="1"/>
  <c r="Y2336" i="1"/>
  <c r="Y2337" i="1"/>
  <c r="AA2337" i="1" s="1"/>
  <c r="Y2338" i="1"/>
  <c r="Y2339" i="1"/>
  <c r="AA2339" i="1" s="1"/>
  <c r="Y2340" i="1"/>
  <c r="AA2340" i="1" s="1"/>
  <c r="Y2341" i="1"/>
  <c r="AA2341" i="1" s="1"/>
  <c r="Y2342" i="1"/>
  <c r="Y2343" i="1"/>
  <c r="AA2343" i="1" s="1"/>
  <c r="Y2344" i="1"/>
  <c r="AA2344" i="1" s="1"/>
  <c r="Y2345" i="1"/>
  <c r="AA2345" i="1" s="1"/>
  <c r="Y2346" i="1"/>
  <c r="AA2346" i="1" s="1"/>
  <c r="Y2347" i="1"/>
  <c r="AA2347" i="1" s="1"/>
  <c r="Y2348" i="1"/>
  <c r="AA2348" i="1" s="1"/>
  <c r="Y2349" i="1"/>
  <c r="AA2349" i="1" s="1"/>
  <c r="Y2350" i="1"/>
  <c r="AA2350" i="1" s="1"/>
  <c r="Y2351" i="1"/>
  <c r="AA2351" i="1" s="1"/>
  <c r="Y2352" i="1"/>
  <c r="AA2352" i="1" s="1"/>
  <c r="Y2353" i="1"/>
  <c r="AA2353" i="1" s="1"/>
  <c r="Y2354" i="1"/>
  <c r="AA2354" i="1" s="1"/>
  <c r="Y2355" i="1"/>
  <c r="AA2355" i="1" s="1"/>
  <c r="Y2356" i="1"/>
  <c r="AA2356" i="1" s="1"/>
  <c r="Y2357" i="1"/>
  <c r="AA2357" i="1" s="1"/>
  <c r="Y2358" i="1"/>
  <c r="AA2358" i="1" s="1"/>
  <c r="Y2359" i="1"/>
  <c r="AA2359" i="1" s="1"/>
  <c r="Y2360" i="1"/>
  <c r="AA2360" i="1" s="1"/>
  <c r="Y2361" i="1"/>
  <c r="AA2361" i="1" s="1"/>
  <c r="Y2362" i="1"/>
  <c r="AA2362" i="1" s="1"/>
  <c r="Y2363" i="1"/>
  <c r="Y2364" i="1"/>
  <c r="Y2365" i="1"/>
  <c r="Y2366" i="1"/>
  <c r="AA2366" i="1" s="1"/>
  <c r="Y2367" i="1"/>
  <c r="AA2367" i="1" s="1"/>
  <c r="Y2368" i="1"/>
  <c r="AA2368" i="1" s="1"/>
  <c r="Y2369" i="1"/>
  <c r="AA2369" i="1" s="1"/>
  <c r="Y2370" i="1"/>
  <c r="AA2370" i="1" s="1"/>
  <c r="Y2371" i="1"/>
  <c r="Y2372" i="1"/>
  <c r="Y2373" i="1"/>
  <c r="AA2373" i="1" s="1"/>
  <c r="Y2374" i="1"/>
  <c r="AA2374" i="1" s="1"/>
  <c r="Y2375" i="1"/>
  <c r="AA2375" i="1" s="1"/>
  <c r="Y2376" i="1"/>
  <c r="AA2376" i="1" s="1"/>
  <c r="Y2377" i="1"/>
  <c r="AA2377" i="1" s="1"/>
  <c r="Y2378" i="1"/>
  <c r="AA2378" i="1" s="1"/>
  <c r="Y2379" i="1"/>
  <c r="AA2379" i="1" s="1"/>
  <c r="Y2380" i="1"/>
  <c r="AA2380" i="1" s="1"/>
  <c r="Y2381" i="1"/>
  <c r="AA2381" i="1" s="1"/>
  <c r="Y2382" i="1"/>
  <c r="AA2382" i="1" s="1"/>
  <c r="Y2383" i="1"/>
  <c r="AA2383" i="1" s="1"/>
  <c r="Y2384" i="1"/>
  <c r="AA2384" i="1" s="1"/>
  <c r="Y2385" i="1"/>
  <c r="AA2385" i="1" s="1"/>
  <c r="Y2386" i="1"/>
  <c r="AA2386" i="1" s="1"/>
  <c r="Y2387" i="1"/>
  <c r="AA2387" i="1" s="1"/>
  <c r="Y2388" i="1"/>
  <c r="AA2388" i="1" s="1"/>
  <c r="Y2389" i="1"/>
  <c r="AA2389" i="1" s="1"/>
  <c r="Y2390" i="1"/>
  <c r="AA2390" i="1" s="1"/>
  <c r="Y2391" i="1"/>
  <c r="Y2392" i="1"/>
  <c r="AA2392" i="1" s="1"/>
  <c r="Y2393" i="1"/>
  <c r="AA2393" i="1" s="1"/>
  <c r="Y2394" i="1"/>
  <c r="AA2394" i="1" s="1"/>
  <c r="Y2395" i="1"/>
  <c r="AA2395" i="1" s="1"/>
  <c r="Y2396" i="1"/>
  <c r="AA2396" i="1" s="1"/>
  <c r="Y2397" i="1"/>
  <c r="AA2397" i="1" s="1"/>
  <c r="Y2398" i="1"/>
  <c r="AA2398" i="1" s="1"/>
  <c r="Y2399" i="1"/>
  <c r="AA2399" i="1" s="1"/>
  <c r="Y2400" i="1"/>
  <c r="AA2400" i="1" s="1"/>
  <c r="Y2401" i="1"/>
  <c r="AA2401" i="1" s="1"/>
  <c r="Y2402" i="1"/>
  <c r="Y2403" i="1"/>
  <c r="Y2404" i="1"/>
  <c r="Y2405" i="1"/>
  <c r="AA2405" i="1" s="1"/>
  <c r="Y2406" i="1"/>
  <c r="AA2406" i="1" s="1"/>
  <c r="Y2407" i="1"/>
  <c r="AA2407" i="1" s="1"/>
  <c r="Y2408" i="1"/>
  <c r="AA2408" i="1" s="1"/>
  <c r="Y2409" i="1"/>
  <c r="AA2409" i="1" s="1"/>
  <c r="Y2410" i="1"/>
  <c r="AA2410" i="1" s="1"/>
  <c r="Y2411" i="1"/>
  <c r="AA2411" i="1" s="1"/>
  <c r="Y2412" i="1"/>
  <c r="AA2412" i="1" s="1"/>
  <c r="Y2413" i="1"/>
  <c r="AA2413" i="1" s="1"/>
  <c r="Y2414" i="1"/>
  <c r="AA2414" i="1" s="1"/>
  <c r="Y2415" i="1"/>
  <c r="AA2415" i="1" s="1"/>
  <c r="Y2416" i="1"/>
  <c r="AA2416" i="1" s="1"/>
  <c r="Y2417" i="1"/>
  <c r="AA2417" i="1" s="1"/>
  <c r="Y2418" i="1"/>
  <c r="AA2418" i="1" s="1"/>
  <c r="Y2419" i="1"/>
  <c r="AA2419" i="1" s="1"/>
  <c r="Y2420" i="1"/>
  <c r="Y2421" i="1"/>
  <c r="Y2422" i="1"/>
  <c r="AA2422" i="1" s="1"/>
  <c r="Y2423" i="1"/>
  <c r="AA2423" i="1" s="1"/>
  <c r="Y2424" i="1"/>
  <c r="AA2424" i="1" s="1"/>
  <c r="Y2425" i="1"/>
  <c r="AA2425" i="1" s="1"/>
  <c r="Y2426" i="1"/>
  <c r="AA2426" i="1" s="1"/>
  <c r="Y2427" i="1"/>
  <c r="AA2427" i="1" s="1"/>
  <c r="Y2428" i="1"/>
  <c r="AA2428" i="1" s="1"/>
  <c r="Y2429" i="1"/>
  <c r="AA2429" i="1" s="1"/>
  <c r="Y2430" i="1"/>
  <c r="AA2430" i="1" s="1"/>
  <c r="Y2431" i="1"/>
  <c r="AA2431" i="1" s="1"/>
  <c r="Y2432" i="1"/>
  <c r="AA2432" i="1" s="1"/>
  <c r="Y2433" i="1"/>
  <c r="AA2433" i="1" s="1"/>
  <c r="Y2434" i="1"/>
  <c r="AA2434" i="1" s="1"/>
  <c r="Y2435" i="1"/>
  <c r="AA2435" i="1" s="1"/>
  <c r="Y2436" i="1"/>
  <c r="Y2437" i="1"/>
  <c r="Y2438" i="1"/>
  <c r="AA2438" i="1" s="1"/>
  <c r="Y2439" i="1"/>
  <c r="AA2439" i="1" s="1"/>
  <c r="Y2440" i="1"/>
  <c r="Y2441" i="1"/>
  <c r="Y2442" i="1"/>
  <c r="Y2443" i="1"/>
  <c r="Y2444" i="1"/>
  <c r="Y2445" i="1"/>
  <c r="Y2446" i="1"/>
  <c r="Y2447" i="1"/>
  <c r="Y2448" i="1"/>
  <c r="Y2449" i="1"/>
  <c r="Y2450" i="1"/>
  <c r="AA2450" i="1" s="1"/>
  <c r="Y2451" i="1"/>
  <c r="Y2452" i="1"/>
  <c r="Y2453" i="1"/>
  <c r="Y2454" i="1"/>
  <c r="Y2455" i="1"/>
  <c r="Y2456" i="1"/>
  <c r="Y2457" i="1"/>
  <c r="AA2457" i="1" s="1"/>
  <c r="Y2458" i="1"/>
  <c r="AA2458" i="1" s="1"/>
  <c r="Y2459" i="1"/>
  <c r="AA2459" i="1" s="1"/>
  <c r="Y2460" i="1"/>
  <c r="AA2460" i="1" s="1"/>
  <c r="Y2461" i="1"/>
  <c r="AA2461" i="1" s="1"/>
  <c r="Y2462" i="1"/>
  <c r="AA2462" i="1" s="1"/>
  <c r="Y2463" i="1"/>
  <c r="AA2463" i="1" s="1"/>
  <c r="Y2464" i="1"/>
  <c r="AA2464" i="1" s="1"/>
  <c r="Y2465" i="1"/>
  <c r="AA2465" i="1" s="1"/>
  <c r="Y2466" i="1"/>
  <c r="AA2466" i="1" s="1"/>
  <c r="Y2467" i="1"/>
  <c r="AA2467" i="1" s="1"/>
  <c r="Y2468" i="1"/>
  <c r="AA2468" i="1" s="1"/>
  <c r="Y2469" i="1"/>
  <c r="AA2469" i="1" s="1"/>
  <c r="Y2470" i="1"/>
  <c r="AA2470" i="1" s="1"/>
  <c r="Y2471" i="1"/>
  <c r="AA2471" i="1" s="1"/>
  <c r="Y2472" i="1"/>
  <c r="AA2472" i="1" s="1"/>
  <c r="Y2473" i="1"/>
  <c r="AA2473" i="1" s="1"/>
  <c r="Y2474" i="1"/>
  <c r="AA2474" i="1" s="1"/>
  <c r="Y2475" i="1"/>
  <c r="AA2475" i="1" s="1"/>
  <c r="Y2476" i="1"/>
  <c r="AA2476" i="1" s="1"/>
  <c r="Y2477" i="1"/>
  <c r="AA2477" i="1" s="1"/>
  <c r="Y2478" i="1"/>
  <c r="AA2478" i="1" s="1"/>
  <c r="Y2479" i="1"/>
  <c r="AA2479" i="1" s="1"/>
  <c r="Y2480" i="1"/>
  <c r="AA2480" i="1" s="1"/>
  <c r="Y2481" i="1"/>
  <c r="AA2481" i="1" s="1"/>
  <c r="Y2482" i="1"/>
  <c r="AA2482" i="1" s="1"/>
  <c r="Y2483" i="1"/>
  <c r="AA2483" i="1" s="1"/>
  <c r="Y2484" i="1"/>
  <c r="AA2484" i="1" s="1"/>
  <c r="Y2485" i="1"/>
  <c r="AA2485" i="1" s="1"/>
  <c r="Y2486" i="1"/>
  <c r="AA2486" i="1" s="1"/>
  <c r="Y2487" i="1"/>
  <c r="Y2488" i="1"/>
  <c r="AA2488" i="1" s="1"/>
  <c r="Y2489" i="1"/>
  <c r="AA2489" i="1" s="1"/>
  <c r="Y2490" i="1"/>
  <c r="AA2490" i="1" s="1"/>
  <c r="Y2491" i="1"/>
  <c r="AA2491" i="1" s="1"/>
  <c r="Y2492" i="1"/>
  <c r="AA2492" i="1" s="1"/>
  <c r="Y2493" i="1"/>
  <c r="AA2493" i="1" s="1"/>
  <c r="Y2494" i="1"/>
  <c r="AA2494" i="1" s="1"/>
  <c r="Y2495" i="1"/>
  <c r="AA2495" i="1" s="1"/>
  <c r="Y2496" i="1"/>
  <c r="AA2496" i="1" s="1"/>
  <c r="Y2497" i="1"/>
  <c r="AA2497" i="1" s="1"/>
  <c r="Y2498" i="1"/>
  <c r="AA2498" i="1" s="1"/>
  <c r="Y2499" i="1"/>
  <c r="AA2499" i="1" s="1"/>
  <c r="Y2500" i="1"/>
  <c r="AA2500" i="1" s="1"/>
  <c r="Y2501" i="1"/>
  <c r="AA2501" i="1" s="1"/>
  <c r="Y2502" i="1"/>
  <c r="AA2502" i="1" s="1"/>
  <c r="Y2503" i="1"/>
  <c r="AA2503" i="1" s="1"/>
  <c r="Y2504" i="1"/>
  <c r="AA2504" i="1" s="1"/>
  <c r="Y2505" i="1"/>
  <c r="Y2506" i="1"/>
  <c r="Y2507" i="1"/>
  <c r="AA2507" i="1" s="1"/>
  <c r="Y2508" i="1"/>
  <c r="AA2508" i="1" s="1"/>
  <c r="Y2509" i="1"/>
  <c r="AA2509" i="1" s="1"/>
  <c r="Y2510" i="1"/>
  <c r="AA2510" i="1" s="1"/>
  <c r="Y2511" i="1"/>
  <c r="AA2511" i="1" s="1"/>
  <c r="Y2512" i="1"/>
  <c r="AA2512" i="1" s="1"/>
  <c r="Y2513" i="1"/>
  <c r="AA2513" i="1" s="1"/>
  <c r="Y2514" i="1"/>
  <c r="Y2515" i="1"/>
  <c r="Y2516" i="1"/>
  <c r="AA2516" i="1" s="1"/>
  <c r="Y2517" i="1"/>
  <c r="AA2517" i="1" s="1"/>
  <c r="Y2518" i="1"/>
  <c r="AA2518" i="1" s="1"/>
  <c r="Y2519" i="1"/>
  <c r="AA2519" i="1" s="1"/>
  <c r="Y2520" i="1"/>
  <c r="AA2520" i="1" s="1"/>
  <c r="Y2521" i="1"/>
  <c r="AA2521" i="1" s="1"/>
  <c r="Y2522" i="1"/>
  <c r="Y2523" i="1"/>
  <c r="Y2524" i="1"/>
  <c r="AA2524" i="1" s="1"/>
  <c r="Y2525" i="1"/>
  <c r="AA2525" i="1" s="1"/>
  <c r="Y2526" i="1"/>
  <c r="AA2526" i="1" s="1"/>
  <c r="Y2527" i="1"/>
  <c r="AA2527" i="1" s="1"/>
  <c r="Y2528" i="1"/>
  <c r="Y2529" i="1"/>
  <c r="Y2530" i="1"/>
  <c r="Y2531" i="1"/>
  <c r="AA2531" i="1" s="1"/>
  <c r="Y2532" i="1"/>
  <c r="Y2533" i="1"/>
  <c r="Y2534" i="1"/>
  <c r="Y2535" i="1"/>
  <c r="AA2535" i="1" s="1"/>
  <c r="Y2536" i="1"/>
  <c r="AA2536" i="1" s="1"/>
  <c r="Y2537" i="1"/>
  <c r="Y2538" i="1"/>
  <c r="AA2538" i="1" s="1"/>
  <c r="Y2539" i="1"/>
  <c r="AA2539" i="1" s="1"/>
  <c r="Y2540" i="1"/>
  <c r="AA2540" i="1" s="1"/>
  <c r="Y2541" i="1"/>
  <c r="AA2541" i="1" s="1"/>
  <c r="Y2542" i="1"/>
  <c r="Y2543" i="1"/>
  <c r="Y2544" i="1"/>
  <c r="AA2544" i="1" s="1"/>
  <c r="Y2545" i="1"/>
  <c r="AA2545" i="1" s="1"/>
  <c r="Y2546" i="1"/>
  <c r="AA2546" i="1" s="1"/>
  <c r="Y2547" i="1"/>
  <c r="AA2547" i="1" s="1"/>
  <c r="Y2548" i="1"/>
  <c r="AA2548" i="1" s="1"/>
  <c r="Y2549" i="1"/>
  <c r="AA2549" i="1" s="1"/>
  <c r="Y2550" i="1"/>
  <c r="AA2550" i="1" s="1"/>
  <c r="Y2551" i="1"/>
  <c r="Y2552" i="1"/>
  <c r="AA2552" i="1" s="1"/>
  <c r="Y2553" i="1"/>
  <c r="AA2553" i="1" s="1"/>
  <c r="Y2554" i="1"/>
  <c r="AA2554" i="1" s="1"/>
  <c r="Y2555" i="1"/>
  <c r="AA2555" i="1" s="1"/>
  <c r="Y2556" i="1"/>
  <c r="AA2556" i="1" s="1"/>
  <c r="Y2557" i="1"/>
  <c r="AA2557" i="1" s="1"/>
  <c r="Y2558" i="1"/>
  <c r="AA2558" i="1" s="1"/>
  <c r="Y2559" i="1"/>
  <c r="AA2559" i="1" s="1"/>
  <c r="Y2560" i="1"/>
  <c r="AA2560" i="1" s="1"/>
  <c r="Y2561" i="1"/>
  <c r="AA2561" i="1" s="1"/>
  <c r="Y2562" i="1"/>
  <c r="AA2562" i="1" s="1"/>
  <c r="Y2563" i="1"/>
  <c r="Y2564" i="1"/>
  <c r="AA2564" i="1" s="1"/>
  <c r="Y2565" i="1"/>
  <c r="AA2565" i="1" s="1"/>
  <c r="Y2566" i="1"/>
  <c r="Y2567" i="1"/>
  <c r="AA2567" i="1" s="1"/>
  <c r="Y2568" i="1"/>
  <c r="AA2568" i="1" s="1"/>
  <c r="Y2569" i="1"/>
  <c r="AA2569" i="1" s="1"/>
  <c r="Y2570" i="1"/>
  <c r="AA2570" i="1" s="1"/>
  <c r="Y2571" i="1"/>
  <c r="AA2571" i="1" s="1"/>
  <c r="Y2572" i="1"/>
  <c r="AA2572" i="1" s="1"/>
  <c r="Y2573" i="1"/>
  <c r="AA2573" i="1" s="1"/>
  <c r="Y2574" i="1"/>
  <c r="AA2574" i="1" s="1"/>
  <c r="Y2575" i="1"/>
  <c r="AA2575" i="1" s="1"/>
  <c r="Y2576" i="1"/>
  <c r="AA2576" i="1" s="1"/>
  <c r="Y2577" i="1"/>
  <c r="AA2577" i="1" s="1"/>
  <c r="Y2578" i="1"/>
  <c r="AA2578" i="1" s="1"/>
  <c r="Y2579" i="1"/>
  <c r="AA2579" i="1" s="1"/>
  <c r="Y2580" i="1"/>
  <c r="AA2580" i="1" s="1"/>
  <c r="Y2581" i="1"/>
  <c r="AA2581" i="1" s="1"/>
  <c r="Y2582" i="1"/>
  <c r="AA2582" i="1" s="1"/>
  <c r="Y2583" i="1"/>
  <c r="Y2584" i="1"/>
  <c r="Y2585" i="1"/>
  <c r="Y2586" i="1"/>
  <c r="Y2587" i="1"/>
  <c r="Y2588" i="1"/>
  <c r="Y2589" i="1"/>
  <c r="AA2589" i="1" s="1"/>
  <c r="Y2590" i="1"/>
  <c r="AA2590" i="1" s="1"/>
  <c r="Y2591" i="1"/>
  <c r="Y2592" i="1"/>
  <c r="AA2592" i="1" s="1"/>
  <c r="Y2593" i="1"/>
  <c r="AA2593" i="1" s="1"/>
  <c r="Y2594" i="1"/>
  <c r="AA2594" i="1" s="1"/>
  <c r="Y2595" i="1"/>
  <c r="AA2595" i="1" s="1"/>
  <c r="Y2596" i="1"/>
  <c r="AA2596" i="1" s="1"/>
  <c r="Y2597" i="1"/>
  <c r="AA2597" i="1" s="1"/>
  <c r="Y2598" i="1"/>
  <c r="Y2599" i="1"/>
  <c r="AA2599" i="1" s="1"/>
  <c r="Y2600" i="1"/>
  <c r="Y2601" i="1"/>
  <c r="Y2602" i="1"/>
  <c r="Y2603" i="1"/>
  <c r="Y2604" i="1"/>
  <c r="AA2604" i="1" s="1"/>
  <c r="Y2605" i="1"/>
  <c r="AA2605" i="1" s="1"/>
  <c r="Y2606" i="1"/>
  <c r="AA2606" i="1" s="1"/>
  <c r="Y2607" i="1"/>
  <c r="AA2607" i="1" s="1"/>
  <c r="Y2608" i="1"/>
  <c r="AA2608" i="1" s="1"/>
  <c r="Y2609" i="1"/>
  <c r="AA2609" i="1" s="1"/>
  <c r="Y2610" i="1"/>
  <c r="AA2610" i="1" s="1"/>
  <c r="Y2611" i="1"/>
  <c r="AA2611" i="1" s="1"/>
  <c r="Y2612" i="1"/>
  <c r="AA2612" i="1" s="1"/>
  <c r="Y2613" i="1"/>
  <c r="AA2613" i="1" s="1"/>
  <c r="Y2614" i="1"/>
  <c r="AA2614" i="1" s="1"/>
  <c r="Y2615" i="1"/>
  <c r="AA2615" i="1" s="1"/>
  <c r="Y2616" i="1"/>
  <c r="AA2616" i="1" s="1"/>
  <c r="Y2617" i="1"/>
  <c r="AA2617" i="1" s="1"/>
  <c r="Y2618" i="1"/>
  <c r="AA2618" i="1" s="1"/>
  <c r="Y2619" i="1"/>
  <c r="AA2619" i="1" s="1"/>
  <c r="Y2620" i="1"/>
  <c r="AA2620" i="1" s="1"/>
  <c r="Y2621" i="1"/>
  <c r="Y2622" i="1"/>
  <c r="AA2622" i="1" s="1"/>
  <c r="Y2623" i="1"/>
  <c r="AA2623" i="1" s="1"/>
  <c r="Y2624" i="1"/>
  <c r="AA2624" i="1" s="1"/>
  <c r="Y2625" i="1"/>
  <c r="AA2625" i="1" s="1"/>
  <c r="Y2626" i="1"/>
  <c r="Y2627" i="1"/>
  <c r="AA2627" i="1" s="1"/>
  <c r="Y2628" i="1"/>
  <c r="Y2629" i="1"/>
  <c r="AA2629" i="1" s="1"/>
  <c r="Y2630" i="1"/>
  <c r="AA2630" i="1" s="1"/>
  <c r="Y2631" i="1"/>
  <c r="AA2631" i="1" s="1"/>
  <c r="Y2632" i="1"/>
  <c r="AA2632" i="1" s="1"/>
  <c r="Y2633" i="1"/>
  <c r="AA2633" i="1" s="1"/>
  <c r="Y2634" i="1"/>
  <c r="AA2634" i="1" s="1"/>
  <c r="Y2635" i="1"/>
  <c r="AA2635" i="1" s="1"/>
  <c r="Y2636" i="1"/>
  <c r="AA2636" i="1" s="1"/>
  <c r="Y2637" i="1"/>
  <c r="AA2637" i="1" s="1"/>
  <c r="Y2638" i="1"/>
  <c r="AA2638" i="1" s="1"/>
  <c r="Y2639" i="1"/>
  <c r="AA2639" i="1" s="1"/>
  <c r="Y2640" i="1"/>
  <c r="AA2640" i="1" s="1"/>
  <c r="Y2641" i="1"/>
  <c r="AA2641" i="1" s="1"/>
  <c r="Y2642" i="1"/>
  <c r="AA2642" i="1" s="1"/>
  <c r="Y2643" i="1"/>
  <c r="AA2643" i="1" s="1"/>
  <c r="Y2644" i="1"/>
  <c r="Y2645" i="1"/>
  <c r="AA2645" i="1" s="1"/>
  <c r="Y2646" i="1"/>
  <c r="AA2646" i="1" s="1"/>
  <c r="Y2647" i="1"/>
  <c r="AA2647" i="1" s="1"/>
  <c r="Y2648" i="1"/>
  <c r="AA2648" i="1" s="1"/>
  <c r="Y2649" i="1"/>
  <c r="AA2649" i="1" s="1"/>
  <c r="Y2650" i="1"/>
  <c r="AA2650" i="1" s="1"/>
  <c r="Y2651" i="1"/>
  <c r="AA2651" i="1" s="1"/>
  <c r="Y2652" i="1"/>
  <c r="AA2652" i="1" s="1"/>
  <c r="Y2653" i="1"/>
  <c r="AA2653" i="1" s="1"/>
  <c r="Y2654" i="1"/>
  <c r="AA2654" i="1" s="1"/>
  <c r="Y2655" i="1"/>
  <c r="AA2655" i="1" s="1"/>
  <c r="Y2656" i="1"/>
  <c r="AA2656" i="1" s="1"/>
  <c r="Y2657" i="1"/>
  <c r="AA2657" i="1" s="1"/>
  <c r="Y2658" i="1"/>
  <c r="AA2658" i="1" s="1"/>
  <c r="Y2659" i="1"/>
  <c r="AA2659" i="1" s="1"/>
  <c r="Y2660" i="1"/>
  <c r="AA2660" i="1" s="1"/>
  <c r="Y2661" i="1"/>
  <c r="AA2661" i="1" s="1"/>
  <c r="Y2662" i="1"/>
  <c r="AA2662" i="1" s="1"/>
  <c r="Y2663" i="1"/>
  <c r="AA2663" i="1" s="1"/>
  <c r="Y2664" i="1"/>
  <c r="AA2664" i="1" s="1"/>
  <c r="Y2665" i="1"/>
  <c r="AA2665" i="1" s="1"/>
  <c r="Y2666" i="1"/>
  <c r="AA2666" i="1" s="1"/>
  <c r="Y2667" i="1"/>
  <c r="AA2667" i="1" s="1"/>
  <c r="Y2668" i="1"/>
  <c r="AA2668" i="1" s="1"/>
  <c r="Y2669" i="1"/>
  <c r="AA2669" i="1" s="1"/>
  <c r="Y2670" i="1"/>
  <c r="AA2670" i="1" s="1"/>
  <c r="Y2671" i="1"/>
  <c r="AA2671" i="1" s="1"/>
  <c r="Y2672" i="1"/>
  <c r="AA2672" i="1" s="1"/>
  <c r="Y2673" i="1"/>
  <c r="AA2673" i="1" s="1"/>
  <c r="Y2674" i="1"/>
  <c r="AA2674" i="1" s="1"/>
  <c r="Y2675" i="1"/>
  <c r="AA2675" i="1" s="1"/>
  <c r="Y2676" i="1"/>
  <c r="AA2676" i="1" s="1"/>
  <c r="Y2677" i="1"/>
  <c r="Y2678" i="1"/>
  <c r="Y2679" i="1"/>
  <c r="Y2680" i="1"/>
  <c r="Y2681" i="1"/>
  <c r="AA2681" i="1" s="1"/>
  <c r="Y2682" i="1"/>
  <c r="AA2682" i="1" s="1"/>
  <c r="Y2683" i="1"/>
  <c r="Y2684" i="1"/>
  <c r="AA2684" i="1" s="1"/>
  <c r="Y2685" i="1"/>
  <c r="AA2685" i="1" s="1"/>
  <c r="Y2686" i="1"/>
  <c r="AA2686" i="1" s="1"/>
  <c r="Y2687" i="1"/>
  <c r="AA2687" i="1" s="1"/>
  <c r="Y2688" i="1"/>
  <c r="Y2689" i="1"/>
  <c r="AA2689" i="1" s="1"/>
  <c r="Y2690" i="1"/>
  <c r="AA2690" i="1" s="1"/>
  <c r="Y2691" i="1"/>
  <c r="Y2692" i="1"/>
  <c r="Y2693" i="1"/>
  <c r="Y2694" i="1"/>
  <c r="Y2695" i="1"/>
  <c r="AA2695" i="1" s="1"/>
  <c r="Y2696" i="1"/>
  <c r="AA2696" i="1" s="1"/>
  <c r="Y2697" i="1"/>
  <c r="AA2697" i="1" s="1"/>
  <c r="Y2698" i="1"/>
  <c r="AA2698" i="1" s="1"/>
  <c r="Y2699" i="1"/>
  <c r="AA2699" i="1" s="1"/>
  <c r="Y2700" i="1"/>
  <c r="AA2700" i="1" s="1"/>
  <c r="Y2701" i="1"/>
  <c r="AA2701" i="1" s="1"/>
  <c r="Y2702" i="1"/>
  <c r="AA2702" i="1" s="1"/>
  <c r="Y2703" i="1"/>
  <c r="AA2703" i="1" s="1"/>
  <c r="Y2704" i="1"/>
  <c r="AA2704" i="1" s="1"/>
  <c r="Y2705" i="1"/>
  <c r="AA2705" i="1" s="1"/>
  <c r="Y2706" i="1"/>
  <c r="AA2706" i="1" s="1"/>
  <c r="Y2707" i="1"/>
  <c r="AA2707" i="1" s="1"/>
  <c r="Y2708" i="1"/>
  <c r="AA2708" i="1" s="1"/>
  <c r="Y2709" i="1"/>
  <c r="AA2709" i="1" s="1"/>
  <c r="Y2710" i="1"/>
  <c r="AA2710" i="1" s="1"/>
  <c r="Y2711" i="1"/>
  <c r="Y2712" i="1"/>
  <c r="Y2713" i="1"/>
  <c r="AA2713" i="1" s="1"/>
  <c r="Y2714" i="1"/>
  <c r="AA2714" i="1" s="1"/>
  <c r="Y2715" i="1"/>
  <c r="AA2715" i="1" s="1"/>
  <c r="Y2716" i="1"/>
  <c r="Y2717" i="1"/>
  <c r="Y2718" i="1"/>
  <c r="AA2718" i="1" s="1"/>
  <c r="Y2719" i="1"/>
  <c r="AA2719" i="1" s="1"/>
  <c r="Y2720" i="1"/>
  <c r="AA2720" i="1" s="1"/>
  <c r="Y2721" i="1"/>
  <c r="AA2721" i="1" s="1"/>
  <c r="Y2722" i="1"/>
  <c r="AA2722" i="1" s="1"/>
  <c r="Y2723" i="1"/>
  <c r="AA2723" i="1" s="1"/>
  <c r="Y2724" i="1"/>
  <c r="AA2724" i="1" s="1"/>
  <c r="Y2725" i="1"/>
  <c r="AA2725" i="1" s="1"/>
  <c r="Y2726" i="1"/>
  <c r="AA2726" i="1" s="1"/>
  <c r="Y2727" i="1"/>
  <c r="AA2727" i="1" s="1"/>
  <c r="Y2728" i="1"/>
  <c r="AA2728" i="1" s="1"/>
  <c r="Y2729" i="1"/>
  <c r="AA2729" i="1" s="1"/>
  <c r="Y2730" i="1"/>
  <c r="AA2730" i="1" s="1"/>
  <c r="Y2731" i="1"/>
  <c r="AA2731" i="1" s="1"/>
  <c r="Y2732" i="1"/>
  <c r="AA2732" i="1" s="1"/>
  <c r="Y2733" i="1"/>
  <c r="AA2733" i="1" s="1"/>
  <c r="Y2734" i="1"/>
  <c r="AA2734" i="1" s="1"/>
  <c r="Y2735" i="1"/>
  <c r="AA2735" i="1" s="1"/>
  <c r="Y2736" i="1"/>
  <c r="AA2736" i="1" s="1"/>
  <c r="Y2737" i="1"/>
  <c r="AA2737" i="1" s="1"/>
  <c r="Y2738" i="1"/>
  <c r="AA2738" i="1" s="1"/>
  <c r="Y2739" i="1"/>
  <c r="AA2739" i="1" s="1"/>
  <c r="Y2740" i="1"/>
  <c r="AA2740" i="1" s="1"/>
  <c r="Y2741" i="1"/>
  <c r="AA2741" i="1" s="1"/>
  <c r="Y2742" i="1"/>
  <c r="AA2742" i="1" s="1"/>
  <c r="Y2743" i="1"/>
  <c r="Y2744" i="1"/>
  <c r="Y2745" i="1"/>
  <c r="Y2746" i="1"/>
  <c r="Y2747" i="1"/>
  <c r="Y2748" i="1"/>
  <c r="Y2749" i="1"/>
  <c r="Y2750" i="1"/>
  <c r="Y2751" i="1"/>
  <c r="Y2752" i="1"/>
  <c r="AA2752" i="1" s="1"/>
  <c r="Y2753" i="1"/>
  <c r="AA2753" i="1" s="1"/>
  <c r="Y2754" i="1"/>
  <c r="AA2754" i="1" s="1"/>
  <c r="Y2755" i="1"/>
  <c r="AA2755" i="1" s="1"/>
  <c r="Y2756" i="1"/>
  <c r="AA2756" i="1" s="1"/>
  <c r="Y2757" i="1"/>
  <c r="AA2757" i="1" s="1"/>
  <c r="Y2758" i="1"/>
  <c r="AA2758" i="1" s="1"/>
  <c r="Y2759" i="1"/>
  <c r="AA2759" i="1" s="1"/>
  <c r="Y2760" i="1"/>
  <c r="AA2760" i="1" s="1"/>
  <c r="Y2761" i="1"/>
  <c r="AA2761" i="1" s="1"/>
  <c r="Y2762" i="1"/>
  <c r="AA2762" i="1" s="1"/>
  <c r="Y2763" i="1"/>
  <c r="AA2763" i="1" s="1"/>
  <c r="Y2764" i="1"/>
  <c r="AA2764" i="1" s="1"/>
  <c r="Y2765" i="1"/>
  <c r="AA2765" i="1" s="1"/>
  <c r="Y2766" i="1"/>
  <c r="AA2766" i="1" s="1"/>
  <c r="Y2767" i="1"/>
  <c r="AA2767" i="1" s="1"/>
  <c r="Y2768" i="1"/>
  <c r="AA2768" i="1" s="1"/>
  <c r="Y2769" i="1"/>
  <c r="AA2769" i="1" s="1"/>
  <c r="Y2770" i="1"/>
  <c r="AA2770" i="1" s="1"/>
  <c r="Y2771" i="1"/>
  <c r="AA2771" i="1" s="1"/>
  <c r="Y2772" i="1"/>
  <c r="AA2772" i="1" s="1"/>
  <c r="Y2773" i="1"/>
  <c r="AA2773" i="1" s="1"/>
  <c r="Y2774" i="1"/>
  <c r="AA2774" i="1" s="1"/>
  <c r="Y2775" i="1"/>
  <c r="AA2775" i="1" s="1"/>
  <c r="Y2776" i="1"/>
  <c r="AA2776" i="1" s="1"/>
  <c r="Y2777" i="1"/>
  <c r="AA2777" i="1" s="1"/>
  <c r="Y2778" i="1"/>
  <c r="AA2778" i="1" s="1"/>
  <c r="Y2779" i="1"/>
  <c r="AA2779" i="1" s="1"/>
  <c r="Y2780" i="1"/>
  <c r="AA2780" i="1" s="1"/>
  <c r="Y2781" i="1"/>
  <c r="AA2781" i="1" s="1"/>
  <c r="Y2782" i="1"/>
  <c r="AA2782" i="1" s="1"/>
  <c r="Y2783" i="1"/>
  <c r="AA2783" i="1" s="1"/>
  <c r="Y2784" i="1"/>
  <c r="AA2784" i="1" s="1"/>
  <c r="Y2785" i="1"/>
  <c r="AA2785" i="1" s="1"/>
  <c r="Y2786" i="1"/>
  <c r="AA2786" i="1" s="1"/>
  <c r="Y2787" i="1"/>
  <c r="AA2787" i="1" s="1"/>
  <c r="Y2788" i="1"/>
  <c r="AA2788" i="1" s="1"/>
  <c r="Y2789" i="1"/>
  <c r="AA2789" i="1" s="1"/>
  <c r="Y2790" i="1"/>
  <c r="AA2790" i="1" s="1"/>
  <c r="Y2791" i="1"/>
  <c r="AA2791" i="1" s="1"/>
  <c r="Y2792" i="1"/>
  <c r="AA2792" i="1" s="1"/>
  <c r="Y2793" i="1"/>
  <c r="AA2793" i="1" s="1"/>
  <c r="Y2794" i="1"/>
  <c r="AA2794" i="1" s="1"/>
  <c r="Y2795" i="1"/>
  <c r="AA2795" i="1" s="1"/>
  <c r="Y2796" i="1"/>
  <c r="AA2796" i="1" s="1"/>
  <c r="Y2797" i="1"/>
  <c r="AA2797" i="1" s="1"/>
  <c r="Y2798" i="1"/>
  <c r="AA2798" i="1" s="1"/>
  <c r="Y2799" i="1"/>
  <c r="AA2799" i="1" s="1"/>
  <c r="Y2800" i="1"/>
  <c r="AA2800" i="1" s="1"/>
  <c r="Y2801" i="1"/>
  <c r="AA2801" i="1" s="1"/>
  <c r="Y2802" i="1"/>
  <c r="AA2802" i="1" s="1"/>
  <c r="Y2803" i="1"/>
  <c r="AA2803" i="1" s="1"/>
  <c r="Y2804" i="1"/>
  <c r="AA2804" i="1" s="1"/>
  <c r="Y2805" i="1"/>
  <c r="AA2805" i="1" s="1"/>
  <c r="Y2806" i="1"/>
  <c r="AA2806" i="1" s="1"/>
  <c r="Y2807" i="1"/>
  <c r="AA2807" i="1" s="1"/>
  <c r="Y2808" i="1"/>
  <c r="AA2808" i="1" s="1"/>
  <c r="Y2809" i="1"/>
  <c r="AA2809" i="1" s="1"/>
  <c r="Y2810" i="1"/>
  <c r="AA2810" i="1" s="1"/>
  <c r="Y2811" i="1"/>
  <c r="AA2811" i="1" s="1"/>
  <c r="Y2812" i="1"/>
  <c r="AA2812" i="1" s="1"/>
  <c r="Y2813" i="1"/>
  <c r="AA2813" i="1" s="1"/>
  <c r="Y2814" i="1"/>
  <c r="AA2814" i="1" s="1"/>
  <c r="Y2815" i="1"/>
  <c r="AA2815" i="1" s="1"/>
  <c r="Y2816" i="1"/>
  <c r="AA2816" i="1" s="1"/>
  <c r="Y2817" i="1"/>
  <c r="AA2817" i="1" s="1"/>
  <c r="Y2818" i="1"/>
  <c r="AA2818" i="1" s="1"/>
  <c r="Y2819" i="1"/>
  <c r="AA2819" i="1" s="1"/>
  <c r="Y2820" i="1"/>
  <c r="AA2820" i="1" s="1"/>
  <c r="Y2821" i="1"/>
  <c r="AA2821" i="1" s="1"/>
  <c r="Y2822" i="1"/>
  <c r="AA2822" i="1" s="1"/>
  <c r="Y2823" i="1"/>
  <c r="AA2823" i="1" s="1"/>
  <c r="Y2824" i="1"/>
  <c r="AA2824" i="1" s="1"/>
  <c r="Y2825" i="1"/>
  <c r="AA2825" i="1" s="1"/>
  <c r="Y2826" i="1"/>
  <c r="AA2826" i="1" s="1"/>
  <c r="Y2827" i="1"/>
  <c r="AA2827" i="1" s="1"/>
  <c r="Y2828" i="1"/>
  <c r="AA2828" i="1" s="1"/>
  <c r="Y2829" i="1"/>
  <c r="AA2829" i="1" s="1"/>
  <c r="Y2830" i="1"/>
  <c r="AA2830" i="1" s="1"/>
  <c r="Y2831" i="1"/>
  <c r="AA2831" i="1" s="1"/>
  <c r="Y2832" i="1"/>
  <c r="AA2832" i="1" s="1"/>
  <c r="Y2833" i="1"/>
  <c r="AA2833" i="1" s="1"/>
  <c r="Y2834" i="1"/>
  <c r="AA2834" i="1" s="1"/>
  <c r="Y2835" i="1"/>
  <c r="AA2835" i="1" s="1"/>
  <c r="Y2836" i="1"/>
  <c r="AA2836" i="1" s="1"/>
  <c r="Y2837" i="1"/>
  <c r="AA2837" i="1" s="1"/>
  <c r="Y2838" i="1"/>
  <c r="AA2838" i="1" s="1"/>
  <c r="Y2839" i="1"/>
  <c r="AA2839" i="1" s="1"/>
  <c r="Y2840" i="1"/>
  <c r="AA2840" i="1" s="1"/>
  <c r="Y2841" i="1"/>
  <c r="AA2841" i="1" s="1"/>
  <c r="Y2842" i="1"/>
  <c r="AA2842" i="1" s="1"/>
  <c r="Y2843" i="1"/>
  <c r="AA2843" i="1" s="1"/>
  <c r="Y2844" i="1"/>
  <c r="AA2844" i="1" s="1"/>
  <c r="Y2845" i="1"/>
  <c r="AA2845" i="1" s="1"/>
  <c r="Y2846" i="1"/>
  <c r="AA2846" i="1" s="1"/>
  <c r="Y2847" i="1"/>
  <c r="AA2847" i="1" s="1"/>
  <c r="Y2848" i="1"/>
  <c r="AA2848" i="1" s="1"/>
  <c r="Y2849" i="1"/>
  <c r="AA2849" i="1" s="1"/>
  <c r="Y2850" i="1"/>
  <c r="AA2850" i="1" s="1"/>
  <c r="Y2851" i="1"/>
  <c r="AA2851" i="1" s="1"/>
  <c r="Y2852" i="1"/>
  <c r="AA2852" i="1" s="1"/>
  <c r="Y2853" i="1"/>
  <c r="AA2853" i="1" s="1"/>
  <c r="Y2854" i="1"/>
  <c r="AA2854" i="1" s="1"/>
  <c r="Y2855" i="1"/>
  <c r="AA2855" i="1" s="1"/>
  <c r="Y2856" i="1"/>
  <c r="AA2856" i="1" s="1"/>
  <c r="Y2857" i="1"/>
  <c r="AA2857" i="1" s="1"/>
  <c r="Y2858" i="1"/>
  <c r="AA2858" i="1" s="1"/>
  <c r="Y2859" i="1"/>
  <c r="AA2859" i="1" s="1"/>
  <c r="Y2860" i="1"/>
  <c r="AA2860" i="1" s="1"/>
  <c r="Y2861" i="1"/>
  <c r="AA2861" i="1" s="1"/>
  <c r="Y2862" i="1"/>
  <c r="AA2862" i="1" s="1"/>
  <c r="Y2863" i="1"/>
  <c r="AA2863" i="1" s="1"/>
  <c r="Y2864" i="1"/>
  <c r="AA2864" i="1" s="1"/>
  <c r="Y2865" i="1"/>
  <c r="AA2865" i="1" s="1"/>
  <c r="Y2866" i="1"/>
  <c r="AA2866" i="1" s="1"/>
  <c r="Y2867" i="1"/>
  <c r="AA2867" i="1" s="1"/>
  <c r="Y2868" i="1"/>
  <c r="AA2868" i="1" s="1"/>
  <c r="Y2869" i="1"/>
  <c r="AA2869" i="1" s="1"/>
  <c r="Y2870" i="1"/>
  <c r="AA2870" i="1" s="1"/>
  <c r="Y2871" i="1"/>
  <c r="AA2871" i="1" s="1"/>
  <c r="Y2872" i="1"/>
  <c r="AA2872" i="1" s="1"/>
  <c r="Y2873" i="1"/>
  <c r="AA2873" i="1" s="1"/>
  <c r="Y2874" i="1"/>
  <c r="AA2874" i="1" s="1"/>
  <c r="Y2875" i="1"/>
  <c r="AA2875" i="1" s="1"/>
  <c r="Y2876" i="1"/>
  <c r="AA2876" i="1" s="1"/>
  <c r="Y2877" i="1"/>
  <c r="AA2877" i="1" s="1"/>
  <c r="Y2878" i="1"/>
  <c r="AA2878" i="1" s="1"/>
  <c r="Y2879" i="1"/>
  <c r="AA2879" i="1" s="1"/>
  <c r="Y2880" i="1"/>
  <c r="AA2880" i="1" s="1"/>
  <c r="Y2881" i="1"/>
  <c r="AA2881" i="1" s="1"/>
  <c r="Y2882" i="1"/>
  <c r="AA2882" i="1" s="1"/>
  <c r="Y2883" i="1"/>
  <c r="AA2883" i="1" s="1"/>
  <c r="Y2884" i="1"/>
  <c r="AA2884" i="1" s="1"/>
  <c r="Y2885" i="1"/>
  <c r="AA2885" i="1" s="1"/>
  <c r="Y2886" i="1"/>
  <c r="AA2886" i="1" s="1"/>
  <c r="Y2887" i="1"/>
  <c r="AA2887" i="1" s="1"/>
  <c r="Y2888" i="1"/>
  <c r="AA2888" i="1" s="1"/>
  <c r="Y2889" i="1"/>
  <c r="AA2889" i="1" s="1"/>
  <c r="Y2890" i="1"/>
  <c r="AA2890" i="1" s="1"/>
  <c r="Y2891" i="1"/>
  <c r="AA2891" i="1" s="1"/>
  <c r="Y2892" i="1"/>
  <c r="AA2892" i="1" s="1"/>
  <c r="Y2893" i="1"/>
  <c r="AA2893" i="1" s="1"/>
  <c r="Y2894" i="1"/>
  <c r="AA2894" i="1" s="1"/>
  <c r="Y2895" i="1"/>
  <c r="AA2895" i="1" s="1"/>
  <c r="Y2896" i="1"/>
  <c r="AA2896" i="1" s="1"/>
  <c r="Y2897" i="1"/>
  <c r="AA2897" i="1" s="1"/>
  <c r="Y2898" i="1"/>
  <c r="AA2898" i="1" s="1"/>
  <c r="Y2899" i="1"/>
  <c r="AA2899" i="1" s="1"/>
  <c r="Y2900" i="1"/>
  <c r="AA2900" i="1" s="1"/>
  <c r="Y2901" i="1"/>
  <c r="AA2901" i="1" s="1"/>
  <c r="Y2902" i="1"/>
  <c r="AA2902" i="1" s="1"/>
  <c r="Y2903" i="1"/>
  <c r="AA2903" i="1" s="1"/>
  <c r="Y2904" i="1"/>
  <c r="AA2904" i="1" s="1"/>
  <c r="Y2905" i="1"/>
  <c r="AA2905" i="1" s="1"/>
  <c r="Y2906" i="1"/>
  <c r="AA2906" i="1" s="1"/>
  <c r="Y2907" i="1"/>
  <c r="AA2907" i="1" s="1"/>
  <c r="Y2908" i="1"/>
  <c r="AA2908" i="1" s="1"/>
  <c r="Y2909" i="1"/>
  <c r="AA2909" i="1" s="1"/>
  <c r="Y2910" i="1"/>
  <c r="AA2910" i="1" s="1"/>
  <c r="Y2911" i="1"/>
  <c r="AA2911" i="1" s="1"/>
  <c r="Y2912" i="1"/>
  <c r="AA2912" i="1" s="1"/>
  <c r="Y2913" i="1"/>
  <c r="AA2913" i="1" s="1"/>
  <c r="Y2914" i="1"/>
  <c r="AA2914" i="1" s="1"/>
  <c r="Y2915" i="1"/>
  <c r="AA2915" i="1" s="1"/>
  <c r="Y2916" i="1"/>
  <c r="AA2916" i="1" s="1"/>
  <c r="Y2917" i="1"/>
  <c r="AA2917" i="1" s="1"/>
  <c r="Y2918" i="1"/>
  <c r="AA2918" i="1" s="1"/>
  <c r="Y2919" i="1"/>
  <c r="AA2919" i="1" s="1"/>
  <c r="Y2920" i="1"/>
  <c r="AA2920" i="1" s="1"/>
  <c r="Y2921" i="1"/>
  <c r="AA2921" i="1" s="1"/>
  <c r="Y2922" i="1"/>
  <c r="AA2922" i="1" s="1"/>
  <c r="Y2923" i="1"/>
  <c r="AA2923" i="1" s="1"/>
  <c r="Y2924" i="1"/>
  <c r="AA2924" i="1" s="1"/>
  <c r="Y2925" i="1"/>
  <c r="AA2925" i="1" s="1"/>
  <c r="Y2926" i="1"/>
  <c r="AA2926" i="1" s="1"/>
  <c r="Y2927" i="1"/>
  <c r="AA2927" i="1" s="1"/>
  <c r="Y2928" i="1"/>
  <c r="AA2928" i="1" s="1"/>
  <c r="Y2929" i="1"/>
  <c r="AA2929" i="1" s="1"/>
  <c r="Y2930" i="1"/>
  <c r="AA2930" i="1" s="1"/>
  <c r="Y2931" i="1"/>
  <c r="AA2931" i="1" s="1"/>
  <c r="Y2932" i="1"/>
  <c r="AA2932" i="1" s="1"/>
  <c r="Y2933" i="1"/>
  <c r="AA2933" i="1" s="1"/>
  <c r="Y2934" i="1"/>
  <c r="AA2934" i="1" s="1"/>
  <c r="Y2935" i="1"/>
  <c r="AA2935" i="1" s="1"/>
  <c r="Y2936" i="1"/>
  <c r="AA2936" i="1" s="1"/>
  <c r="Y2937" i="1"/>
  <c r="AA2937" i="1" s="1"/>
  <c r="Y2938" i="1"/>
  <c r="AA2938" i="1" s="1"/>
  <c r="Y2939" i="1"/>
  <c r="AA2939" i="1" s="1"/>
  <c r="Y2940" i="1"/>
  <c r="AA2940" i="1" s="1"/>
  <c r="Y2941" i="1"/>
  <c r="AA2941" i="1" s="1"/>
  <c r="Y2942" i="1"/>
  <c r="AA2942" i="1" s="1"/>
  <c r="Y2943" i="1"/>
  <c r="AA2943" i="1" s="1"/>
  <c r="Y2944" i="1"/>
  <c r="AA2944" i="1" s="1"/>
  <c r="Y2945" i="1"/>
  <c r="AA2945" i="1" s="1"/>
  <c r="Y2946" i="1"/>
  <c r="AA2946" i="1" s="1"/>
  <c r="Y2947" i="1"/>
  <c r="AA2947" i="1" s="1"/>
  <c r="Y2948" i="1"/>
  <c r="AA2948" i="1" s="1"/>
  <c r="Y2949" i="1"/>
  <c r="AA2949" i="1" s="1"/>
  <c r="Y2950" i="1"/>
  <c r="AA2950" i="1" s="1"/>
  <c r="Y2951" i="1"/>
  <c r="AA2951" i="1" s="1"/>
  <c r="Y2952" i="1"/>
  <c r="AA2952" i="1" s="1"/>
  <c r="Y2953" i="1"/>
  <c r="AA2953" i="1" s="1"/>
  <c r="Y2954" i="1"/>
  <c r="AA2954" i="1" s="1"/>
  <c r="Y2955" i="1"/>
  <c r="AA2955" i="1" s="1"/>
  <c r="Y2956" i="1"/>
  <c r="AA2956" i="1" s="1"/>
  <c r="Y2957" i="1"/>
  <c r="AA2957" i="1" s="1"/>
  <c r="Y2958" i="1"/>
  <c r="AA2958" i="1" s="1"/>
  <c r="Y2959" i="1"/>
  <c r="AA2959" i="1" s="1"/>
  <c r="Y2960" i="1"/>
  <c r="AA2960" i="1" s="1"/>
  <c r="Y2961" i="1"/>
  <c r="AA2961" i="1" s="1"/>
  <c r="Y2962" i="1"/>
  <c r="AA2962" i="1" s="1"/>
  <c r="Y2963" i="1"/>
  <c r="AA2963" i="1" s="1"/>
  <c r="Y2964" i="1"/>
  <c r="AA2964" i="1" s="1"/>
  <c r="Y2965" i="1"/>
  <c r="AA2965" i="1" s="1"/>
  <c r="Y2966" i="1"/>
  <c r="AA2966" i="1" s="1"/>
  <c r="Y2967" i="1"/>
  <c r="AA2967" i="1" s="1"/>
  <c r="Y2968" i="1"/>
  <c r="AA2968" i="1" s="1"/>
  <c r="Y2969" i="1"/>
  <c r="AA2969" i="1" s="1"/>
  <c r="Y2970" i="1"/>
  <c r="AA2970" i="1" s="1"/>
  <c r="Y2971" i="1"/>
  <c r="AA2971" i="1" s="1"/>
  <c r="Y2972" i="1"/>
  <c r="AA2972" i="1" s="1"/>
  <c r="Y2973" i="1"/>
  <c r="AA2973" i="1" s="1"/>
  <c r="Y2974" i="1"/>
  <c r="AA2974" i="1" s="1"/>
  <c r="Y2975" i="1"/>
  <c r="AA2975" i="1" s="1"/>
  <c r="Y2976" i="1"/>
  <c r="AA2976" i="1" s="1"/>
  <c r="Y2977" i="1"/>
  <c r="AA2977" i="1" s="1"/>
  <c r="Y2978" i="1"/>
  <c r="AA2978" i="1" s="1"/>
  <c r="Y2979" i="1"/>
  <c r="AA2979" i="1" s="1"/>
  <c r="Y2980" i="1"/>
  <c r="AA2980" i="1" s="1"/>
  <c r="Y2981" i="1"/>
  <c r="AA2981" i="1" s="1"/>
  <c r="Y2982" i="1"/>
  <c r="AA2982" i="1" s="1"/>
  <c r="Y2983" i="1"/>
  <c r="AA2983" i="1" s="1"/>
  <c r="Y2984" i="1"/>
  <c r="AA2984" i="1" s="1"/>
  <c r="Y2985" i="1"/>
  <c r="AA2985" i="1" s="1"/>
  <c r="Y2986" i="1"/>
  <c r="AA2986" i="1" s="1"/>
  <c r="Y2987" i="1"/>
  <c r="AA2987" i="1" s="1"/>
  <c r="Y2988" i="1"/>
  <c r="AA2988" i="1" s="1"/>
  <c r="Y2989" i="1"/>
  <c r="AA2989" i="1" s="1"/>
  <c r="Y2990" i="1"/>
  <c r="AA2990" i="1" s="1"/>
  <c r="Y2991" i="1"/>
  <c r="AA2991" i="1" s="1"/>
  <c r="Y2992" i="1"/>
  <c r="AA2992" i="1" s="1"/>
  <c r="Y2993" i="1"/>
  <c r="AA2993" i="1" s="1"/>
  <c r="Y2994" i="1"/>
  <c r="AA2994" i="1" s="1"/>
  <c r="Y2995" i="1"/>
  <c r="AA2995" i="1" s="1"/>
  <c r="Y2996" i="1"/>
  <c r="AA2996" i="1" s="1"/>
  <c r="Y2997" i="1"/>
  <c r="AA2997" i="1" s="1"/>
  <c r="Y2998" i="1"/>
  <c r="AA2998" i="1" s="1"/>
  <c r="Y2999" i="1"/>
  <c r="AA2999" i="1" s="1"/>
  <c r="Y3000" i="1"/>
  <c r="AA3000" i="1" s="1"/>
  <c r="Y3001" i="1"/>
  <c r="AA3001" i="1" s="1"/>
  <c r="Y3002" i="1"/>
  <c r="AA3002" i="1" s="1"/>
  <c r="Y3003" i="1"/>
  <c r="AA3003" i="1" s="1"/>
  <c r="Y3004" i="1"/>
  <c r="AA3004" i="1" s="1"/>
  <c r="Y3005" i="1"/>
  <c r="AA3005" i="1" s="1"/>
  <c r="Y3006" i="1"/>
  <c r="AA3006" i="1" s="1"/>
  <c r="Y3007" i="1"/>
  <c r="AA3007" i="1" s="1"/>
  <c r="Y3008" i="1"/>
  <c r="AA3008" i="1" s="1"/>
  <c r="Y3009" i="1"/>
  <c r="AA3009" i="1" s="1"/>
  <c r="Y3010" i="1"/>
  <c r="AA3010" i="1" s="1"/>
  <c r="Y3011" i="1"/>
  <c r="AA3011" i="1" s="1"/>
  <c r="Y3012" i="1"/>
  <c r="AA3012" i="1" s="1"/>
  <c r="Y3013" i="1"/>
  <c r="AA3013" i="1" s="1"/>
  <c r="Y3014" i="1"/>
  <c r="AA3014" i="1" s="1"/>
  <c r="Y3015" i="1"/>
  <c r="AA3015" i="1" s="1"/>
  <c r="Y3016" i="1"/>
  <c r="AA3016" i="1" s="1"/>
  <c r="Y3017" i="1"/>
  <c r="AA3017" i="1" s="1"/>
  <c r="Y3018" i="1"/>
  <c r="AA3018" i="1" s="1"/>
  <c r="Y3019" i="1"/>
  <c r="AA3019" i="1" s="1"/>
  <c r="Y3020" i="1"/>
  <c r="AA3020" i="1" s="1"/>
  <c r="Y3021" i="1"/>
  <c r="AA3021" i="1" s="1"/>
  <c r="Y3022" i="1"/>
  <c r="AA3022" i="1" s="1"/>
  <c r="Y3023" i="1"/>
  <c r="AA3023" i="1" s="1"/>
  <c r="Y3024" i="1"/>
  <c r="AA3024" i="1" s="1"/>
  <c r="Y3025" i="1"/>
  <c r="AA3025" i="1" s="1"/>
  <c r="Y3026" i="1"/>
  <c r="AA3026" i="1" s="1"/>
  <c r="Y3027" i="1"/>
  <c r="AA3027" i="1" s="1"/>
  <c r="Y3028" i="1"/>
  <c r="AA3028" i="1" s="1"/>
  <c r="Y3029" i="1"/>
  <c r="AA3029" i="1" s="1"/>
  <c r="Y3030" i="1"/>
  <c r="AA3030" i="1" s="1"/>
  <c r="Y3031" i="1"/>
  <c r="AA3031" i="1" s="1"/>
  <c r="Y3032" i="1"/>
  <c r="AA3032" i="1" s="1"/>
  <c r="Y3033" i="1"/>
  <c r="AA3033" i="1" s="1"/>
  <c r="Y3034" i="1"/>
  <c r="AA3034" i="1" s="1"/>
  <c r="Y3035" i="1"/>
  <c r="AA3035" i="1" s="1"/>
  <c r="Y3036" i="1"/>
  <c r="AA3036" i="1" s="1"/>
  <c r="Y3037" i="1"/>
  <c r="AA3037" i="1" s="1"/>
  <c r="Y3038" i="1"/>
  <c r="AA3038" i="1" s="1"/>
  <c r="Y3039" i="1"/>
  <c r="AA3039" i="1" s="1"/>
  <c r="Y3040" i="1"/>
  <c r="AA3040" i="1" s="1"/>
  <c r="Y3041" i="1"/>
  <c r="AA3041" i="1" s="1"/>
  <c r="Y3042" i="1"/>
  <c r="AA3042" i="1" s="1"/>
  <c r="Y3043" i="1"/>
  <c r="AA3043" i="1" s="1"/>
  <c r="Y3044" i="1"/>
  <c r="AA3044" i="1" s="1"/>
  <c r="Y3045" i="1"/>
  <c r="AA3045" i="1" s="1"/>
  <c r="Y3046" i="1"/>
  <c r="AA3046" i="1" s="1"/>
  <c r="Y3047" i="1"/>
  <c r="AA3047" i="1" s="1"/>
  <c r="Y3048" i="1"/>
  <c r="AA3048" i="1" s="1"/>
  <c r="Y3049" i="1"/>
  <c r="AA3049" i="1" s="1"/>
  <c r="Y3050" i="1"/>
  <c r="AA3050" i="1" s="1"/>
  <c r="Y3051" i="1"/>
  <c r="AA3051" i="1" s="1"/>
  <c r="Y3052" i="1"/>
  <c r="AA3052" i="1" s="1"/>
  <c r="Y3053" i="1"/>
  <c r="AA3053" i="1" s="1"/>
  <c r="Y3054" i="1"/>
  <c r="AA3054" i="1" s="1"/>
  <c r="Y3055" i="1"/>
  <c r="AA3055" i="1" s="1"/>
  <c r="Y3056" i="1"/>
  <c r="AA3056" i="1" s="1"/>
  <c r="Y3057" i="1"/>
  <c r="AA3057" i="1" s="1"/>
  <c r="Y3058" i="1"/>
  <c r="AA3058" i="1" s="1"/>
  <c r="Y3059" i="1"/>
  <c r="AA3059" i="1" s="1"/>
  <c r="Y3060" i="1"/>
  <c r="AA3060" i="1" s="1"/>
  <c r="Y3061" i="1"/>
  <c r="AA3061" i="1" s="1"/>
  <c r="Y3062" i="1"/>
  <c r="AA3062" i="1" s="1"/>
  <c r="Y3063" i="1"/>
  <c r="AA3063" i="1" s="1"/>
  <c r="Y3064" i="1"/>
  <c r="AA3064" i="1" s="1"/>
  <c r="Y3065" i="1"/>
  <c r="AA3065" i="1" s="1"/>
  <c r="Y3066" i="1"/>
  <c r="AA3066" i="1" s="1"/>
  <c r="Y3067" i="1"/>
  <c r="AA3067" i="1" s="1"/>
  <c r="Y3068" i="1"/>
  <c r="AA3068" i="1" s="1"/>
  <c r="Y3069" i="1"/>
  <c r="AA3069" i="1" s="1"/>
  <c r="Y3070" i="1"/>
  <c r="AA3070" i="1" s="1"/>
  <c r="Y3071" i="1"/>
  <c r="AA3071" i="1" s="1"/>
  <c r="Y3072" i="1"/>
  <c r="AA3072" i="1" s="1"/>
  <c r="Y3073" i="1"/>
  <c r="AA3073" i="1" s="1"/>
  <c r="Y3074" i="1"/>
  <c r="AA3074" i="1" s="1"/>
  <c r="Y3075" i="1"/>
  <c r="AA3075" i="1" s="1"/>
  <c r="Y3076" i="1"/>
  <c r="AA3076" i="1" s="1"/>
  <c r="Y3077" i="1"/>
  <c r="AA3077" i="1" s="1"/>
  <c r="Y3078" i="1"/>
  <c r="AA3078" i="1" s="1"/>
  <c r="Y3079" i="1"/>
  <c r="AA3079" i="1" s="1"/>
  <c r="Y3080" i="1"/>
  <c r="AA3080" i="1" s="1"/>
  <c r="Y3081" i="1"/>
  <c r="AA3081" i="1" s="1"/>
  <c r="Y3082" i="1"/>
  <c r="AA3082" i="1" s="1"/>
  <c r="Y3083" i="1"/>
  <c r="AA3083" i="1" s="1"/>
  <c r="Y3084" i="1"/>
  <c r="AA3084" i="1" s="1"/>
  <c r="Y3085" i="1"/>
  <c r="AA3085" i="1" s="1"/>
  <c r="Y3086" i="1"/>
  <c r="AA3086" i="1" s="1"/>
  <c r="Y3087" i="1"/>
  <c r="AA3087" i="1" s="1"/>
  <c r="Y3088" i="1"/>
  <c r="AA3088" i="1" s="1"/>
  <c r="Y3089" i="1"/>
  <c r="AA3089" i="1" s="1"/>
  <c r="Y3090" i="1"/>
  <c r="AA3090" i="1" s="1"/>
  <c r="Y3091" i="1"/>
  <c r="AA3091" i="1" s="1"/>
  <c r="Y3092" i="1"/>
  <c r="AA3092" i="1" s="1"/>
  <c r="Y3093" i="1"/>
  <c r="AA3093" i="1" s="1"/>
  <c r="Y3094" i="1"/>
  <c r="AA3094" i="1" s="1"/>
  <c r="Y3095" i="1"/>
  <c r="AA3095" i="1" s="1"/>
  <c r="Y3096" i="1"/>
  <c r="AA3096" i="1" s="1"/>
  <c r="Y3097" i="1"/>
  <c r="AA3097" i="1" s="1"/>
  <c r="Y3098" i="1"/>
  <c r="AA3098" i="1" s="1"/>
  <c r="Y3099" i="1"/>
  <c r="AA3099" i="1" s="1"/>
  <c r="Y3100" i="1"/>
  <c r="AA3100" i="1" s="1"/>
  <c r="Y3101" i="1"/>
  <c r="AA3101" i="1" s="1"/>
  <c r="Y3102" i="1"/>
  <c r="AA3102" i="1" s="1"/>
  <c r="Y3103" i="1"/>
  <c r="AA3103" i="1" s="1"/>
  <c r="Y3104" i="1"/>
  <c r="AA3104" i="1" s="1"/>
  <c r="Y3105" i="1"/>
  <c r="AA3105" i="1" s="1"/>
  <c r="Y3106" i="1"/>
  <c r="AA3106" i="1" s="1"/>
  <c r="Y3107" i="1"/>
  <c r="AA3107" i="1" s="1"/>
  <c r="Y3108" i="1"/>
  <c r="AA3108" i="1" s="1"/>
  <c r="Y3109" i="1"/>
  <c r="AA3109" i="1" s="1"/>
  <c r="Y3110" i="1"/>
  <c r="AA3110" i="1" s="1"/>
  <c r="Y3111" i="1"/>
  <c r="AA3111" i="1" s="1"/>
  <c r="Y3112" i="1"/>
  <c r="AA3112" i="1" s="1"/>
  <c r="Y3113" i="1"/>
  <c r="AA3113" i="1" s="1"/>
  <c r="Y3114" i="1"/>
  <c r="AA3114" i="1" s="1"/>
  <c r="Y3115" i="1"/>
  <c r="AA3115" i="1" s="1"/>
  <c r="Y3116" i="1"/>
  <c r="AA3116" i="1" s="1"/>
  <c r="Y3117" i="1"/>
  <c r="AA3117" i="1" s="1"/>
  <c r="Y3118" i="1"/>
  <c r="AA3118" i="1" s="1"/>
  <c r="Y3119" i="1"/>
  <c r="AA3119" i="1" s="1"/>
  <c r="Y3120" i="1"/>
  <c r="AA3120" i="1" s="1"/>
  <c r="Y3121" i="1"/>
  <c r="AA3121" i="1" s="1"/>
  <c r="Y3122" i="1"/>
  <c r="AA3122" i="1" s="1"/>
  <c r="Y3123" i="1"/>
  <c r="AA3123" i="1" s="1"/>
  <c r="Y3124" i="1"/>
  <c r="AA3124" i="1" s="1"/>
  <c r="Y3125" i="1"/>
  <c r="AA3125" i="1" s="1"/>
  <c r="Y3126" i="1"/>
  <c r="AA3126" i="1" s="1"/>
  <c r="Y3127" i="1"/>
  <c r="AA3127" i="1" s="1"/>
  <c r="Y3128" i="1"/>
  <c r="AA3128" i="1" s="1"/>
  <c r="Y3129" i="1"/>
  <c r="AA3129" i="1" s="1"/>
  <c r="Y3130" i="1"/>
  <c r="AA3130" i="1" s="1"/>
  <c r="Y3131" i="1"/>
  <c r="AA3131" i="1" s="1"/>
  <c r="Y3132" i="1"/>
  <c r="AA3132" i="1" s="1"/>
  <c r="Y3133" i="1"/>
  <c r="AA3133" i="1" s="1"/>
  <c r="Y3134" i="1"/>
  <c r="AA3134" i="1" s="1"/>
  <c r="Y3135" i="1"/>
  <c r="AA3135" i="1" s="1"/>
  <c r="Y3136" i="1"/>
  <c r="AA3136" i="1" s="1"/>
  <c r="Y3137" i="1"/>
  <c r="AA3137" i="1" s="1"/>
  <c r="Y3138" i="1"/>
  <c r="AA3138" i="1" s="1"/>
  <c r="Y3139" i="1"/>
  <c r="AA3139" i="1" s="1"/>
  <c r="Y3140" i="1"/>
  <c r="AA3140" i="1" s="1"/>
  <c r="Y3141" i="1"/>
  <c r="AA3141" i="1" s="1"/>
  <c r="Y3142" i="1"/>
  <c r="AA3142" i="1" s="1"/>
  <c r="Y3143" i="1"/>
  <c r="AA3143" i="1" s="1"/>
  <c r="Y3144" i="1"/>
  <c r="AA3144" i="1" s="1"/>
  <c r="Y3145" i="1"/>
  <c r="AA3145" i="1" s="1"/>
  <c r="Y3146" i="1"/>
  <c r="AA3146" i="1" s="1"/>
  <c r="Y3147" i="1"/>
  <c r="AA3147" i="1" s="1"/>
  <c r="Y3148" i="1"/>
  <c r="AA3148" i="1" s="1"/>
  <c r="Y3149" i="1"/>
  <c r="AA3149" i="1" s="1"/>
  <c r="Y3150" i="1"/>
  <c r="AA3150" i="1" s="1"/>
  <c r="Y3151" i="1"/>
  <c r="AA3151" i="1" s="1"/>
  <c r="Y3152" i="1"/>
  <c r="AA3152" i="1" s="1"/>
  <c r="Y3153" i="1"/>
  <c r="AA3153" i="1" s="1"/>
  <c r="Y3154" i="1"/>
  <c r="AA3154" i="1" s="1"/>
  <c r="Y3155" i="1"/>
  <c r="AA3155" i="1" s="1"/>
  <c r="Y3156" i="1"/>
  <c r="AA3156" i="1" s="1"/>
  <c r="Y3157" i="1"/>
  <c r="AA3157" i="1" s="1"/>
  <c r="Y3158" i="1"/>
  <c r="AA3158" i="1" s="1"/>
  <c r="Y3159" i="1"/>
  <c r="AA3159" i="1" s="1"/>
  <c r="Y3160" i="1"/>
  <c r="AA3160" i="1" s="1"/>
  <c r="Y3161" i="1"/>
  <c r="AA3161" i="1" s="1"/>
  <c r="Y3162" i="1"/>
  <c r="AA3162" i="1" s="1"/>
  <c r="Y3163" i="1"/>
  <c r="AA3163" i="1" s="1"/>
  <c r="Y3164" i="1"/>
  <c r="AA3164" i="1" s="1"/>
  <c r="Y3165" i="1"/>
  <c r="AA3165" i="1" s="1"/>
  <c r="Y3166" i="1"/>
  <c r="AA3166" i="1" s="1"/>
  <c r="Y3167" i="1"/>
  <c r="AA3167" i="1" s="1"/>
  <c r="Y3168" i="1"/>
  <c r="AA3168" i="1" s="1"/>
  <c r="Y3169" i="1"/>
  <c r="AA3169" i="1" s="1"/>
  <c r="Y3170" i="1"/>
  <c r="AA3170" i="1" s="1"/>
  <c r="Y3171" i="1"/>
  <c r="AA3171" i="1" s="1"/>
  <c r="Y3172" i="1"/>
  <c r="AA3172" i="1" s="1"/>
  <c r="Y3173" i="1"/>
  <c r="AA3173" i="1" s="1"/>
  <c r="Y3174" i="1"/>
  <c r="AA3174" i="1" s="1"/>
  <c r="Y3175" i="1"/>
  <c r="AA3175" i="1" s="1"/>
  <c r="Y3176" i="1"/>
  <c r="AA3176" i="1" s="1"/>
  <c r="Y3177" i="1"/>
  <c r="AA3177" i="1" s="1"/>
  <c r="Y3178" i="1"/>
  <c r="AA3178" i="1" s="1"/>
  <c r="Y3179" i="1"/>
  <c r="AA3179" i="1" s="1"/>
  <c r="Y3180" i="1"/>
  <c r="AA3180" i="1" s="1"/>
  <c r="Y3181" i="1"/>
  <c r="AA3181" i="1" s="1"/>
  <c r="Y3182" i="1"/>
  <c r="AA3182" i="1" s="1"/>
  <c r="Y3183" i="1"/>
  <c r="AA3183" i="1" s="1"/>
  <c r="Y3184" i="1"/>
  <c r="AA3184" i="1" s="1"/>
  <c r="Y3185" i="1"/>
  <c r="AA3185" i="1" s="1"/>
  <c r="Y3186" i="1"/>
  <c r="AA3186" i="1" s="1"/>
  <c r="Y3187" i="1"/>
  <c r="AA3187" i="1" s="1"/>
  <c r="Y3188" i="1"/>
  <c r="AA3188" i="1" s="1"/>
  <c r="Y3189" i="1"/>
  <c r="AA3189" i="1" s="1"/>
  <c r="Y3190" i="1"/>
  <c r="AA3190" i="1" s="1"/>
  <c r="Y3191" i="1"/>
  <c r="AA3191" i="1" s="1"/>
  <c r="Y3192" i="1"/>
  <c r="AA3192" i="1" s="1"/>
  <c r="Y3193" i="1"/>
  <c r="AA3193" i="1" s="1"/>
  <c r="Y3194" i="1"/>
  <c r="AA3194" i="1" s="1"/>
  <c r="Y3195" i="1"/>
  <c r="AA3195" i="1" s="1"/>
  <c r="Y3196" i="1"/>
  <c r="AA3196" i="1" s="1"/>
  <c r="Y3197" i="1"/>
  <c r="AA3197" i="1" s="1"/>
  <c r="Y3198" i="1"/>
  <c r="AA3198" i="1" s="1"/>
  <c r="Y3199" i="1"/>
  <c r="AA3199" i="1" s="1"/>
  <c r="Y3200" i="1"/>
  <c r="AA3200" i="1" s="1"/>
  <c r="Y3201" i="1"/>
  <c r="AA3201" i="1" s="1"/>
  <c r="Y3202" i="1"/>
  <c r="AA3202" i="1" s="1"/>
  <c r="Y3203" i="1"/>
  <c r="AA3203" i="1" s="1"/>
  <c r="Y3204" i="1"/>
  <c r="AA3204" i="1" s="1"/>
  <c r="Y3205" i="1"/>
  <c r="AA3205" i="1" s="1"/>
  <c r="Y3206" i="1"/>
  <c r="AA3206" i="1" s="1"/>
  <c r="Y3207" i="1"/>
  <c r="AA3207" i="1" s="1"/>
  <c r="Y3208" i="1"/>
  <c r="AA3208" i="1" s="1"/>
  <c r="Y3209" i="1"/>
  <c r="AA3209" i="1" s="1"/>
  <c r="Y3210" i="1"/>
  <c r="AA3210" i="1" s="1"/>
  <c r="Y3211" i="1"/>
  <c r="AA3211" i="1" s="1"/>
  <c r="Y3212" i="1"/>
  <c r="AA3212" i="1" s="1"/>
  <c r="Y3213" i="1"/>
  <c r="AA3213" i="1" s="1"/>
  <c r="Y3214" i="1"/>
  <c r="AA3214" i="1" s="1"/>
  <c r="Y3215" i="1"/>
  <c r="AA3215" i="1" s="1"/>
  <c r="Y3216" i="1"/>
  <c r="AA3216" i="1" s="1"/>
  <c r="Y3217" i="1"/>
  <c r="AA3217" i="1" s="1"/>
  <c r="Y3218" i="1"/>
  <c r="AA3218" i="1" s="1"/>
  <c r="Y3219" i="1"/>
  <c r="AA3219" i="1" s="1"/>
  <c r="Y3220" i="1"/>
  <c r="AA3220" i="1" s="1"/>
  <c r="Y3221" i="1"/>
  <c r="AA3221" i="1" s="1"/>
  <c r="Y3222" i="1"/>
  <c r="AA3222" i="1" s="1"/>
  <c r="Y3223" i="1"/>
  <c r="AA3223" i="1" s="1"/>
  <c r="Y3224" i="1"/>
  <c r="AA3224" i="1" s="1"/>
  <c r="Y3225" i="1"/>
  <c r="AA3225" i="1" s="1"/>
  <c r="Y3226" i="1"/>
  <c r="AA3226" i="1" s="1"/>
  <c r="Y3227" i="1"/>
  <c r="AA3227" i="1" s="1"/>
  <c r="Y3228" i="1"/>
  <c r="AA3228" i="1" s="1"/>
  <c r="Y3229" i="1"/>
  <c r="AA3229" i="1" s="1"/>
  <c r="Y3230" i="1"/>
  <c r="AA3230" i="1" s="1"/>
  <c r="Y3231" i="1"/>
  <c r="AA3231" i="1" s="1"/>
  <c r="Y3232" i="1"/>
  <c r="AA3232" i="1" s="1"/>
  <c r="Y3233" i="1"/>
  <c r="AA3233" i="1" s="1"/>
  <c r="Y3234" i="1"/>
  <c r="AA3234" i="1" s="1"/>
  <c r="Y3235" i="1"/>
  <c r="AA3235" i="1" s="1"/>
  <c r="Y3236" i="1"/>
  <c r="AA3236" i="1" s="1"/>
  <c r="Y3237" i="1"/>
  <c r="AA3237" i="1" s="1"/>
  <c r="Y3238" i="1"/>
  <c r="AA3238" i="1" s="1"/>
  <c r="Y3239" i="1"/>
  <c r="AA3239" i="1" s="1"/>
  <c r="Y3240" i="1"/>
  <c r="AA3240" i="1" s="1"/>
  <c r="Y3241" i="1"/>
  <c r="AA3241" i="1" s="1"/>
  <c r="Y3242" i="1"/>
  <c r="AA3242" i="1" s="1"/>
  <c r="Y3243" i="1"/>
  <c r="AA3243" i="1" s="1"/>
  <c r="Y3244" i="1"/>
  <c r="AA3244" i="1" s="1"/>
  <c r="Y3245" i="1"/>
  <c r="AA3245" i="1" s="1"/>
  <c r="Y3246" i="1"/>
  <c r="AA3246" i="1" s="1"/>
  <c r="Y3247" i="1"/>
  <c r="AA3247" i="1" s="1"/>
  <c r="Y3248" i="1"/>
  <c r="AA3248" i="1" s="1"/>
  <c r="Y3249" i="1"/>
  <c r="AA3249" i="1" s="1"/>
  <c r="Y3250" i="1"/>
  <c r="AA3250" i="1" s="1"/>
  <c r="Y3251" i="1"/>
  <c r="AA3251" i="1" s="1"/>
  <c r="Y3252" i="1"/>
  <c r="AA3252" i="1" s="1"/>
  <c r="Y3253" i="1"/>
  <c r="AA3253" i="1" s="1"/>
  <c r="Y3254" i="1"/>
  <c r="AA3254" i="1" s="1"/>
  <c r="Y3255" i="1"/>
  <c r="AA3255" i="1" s="1"/>
  <c r="Y3256" i="1"/>
  <c r="AA3256" i="1" s="1"/>
  <c r="Y3257" i="1"/>
  <c r="AA3257" i="1" s="1"/>
  <c r="Y3258" i="1"/>
  <c r="AA3258" i="1" s="1"/>
  <c r="Y3259" i="1"/>
  <c r="AA3259" i="1" s="1"/>
  <c r="Y3260" i="1"/>
  <c r="AA3260" i="1" s="1"/>
  <c r="Y3261" i="1"/>
  <c r="AA3261" i="1" s="1"/>
  <c r="Y3262" i="1"/>
  <c r="AA3262" i="1" s="1"/>
  <c r="Y3263" i="1"/>
  <c r="AA3263" i="1" s="1"/>
  <c r="Y3264" i="1"/>
  <c r="AA3264" i="1" s="1"/>
  <c r="Y3265" i="1"/>
  <c r="AA3265" i="1" s="1"/>
  <c r="Y3266" i="1"/>
  <c r="AA3266" i="1" s="1"/>
  <c r="Y3267" i="1"/>
  <c r="AA3267" i="1" s="1"/>
  <c r="Y3268" i="1"/>
  <c r="AA3268" i="1" s="1"/>
  <c r="Y3269" i="1"/>
  <c r="AA3269" i="1" s="1"/>
  <c r="Y3270" i="1"/>
  <c r="AA3270" i="1" s="1"/>
  <c r="Y3271" i="1"/>
  <c r="AA3271" i="1" s="1"/>
  <c r="Y3272" i="1"/>
  <c r="AA3272" i="1" s="1"/>
  <c r="Y3273" i="1"/>
  <c r="AA3273" i="1" s="1"/>
  <c r="Y3274" i="1"/>
  <c r="AA3274" i="1" s="1"/>
  <c r="Y3275" i="1"/>
  <c r="AA3275" i="1" s="1"/>
  <c r="Y3276" i="1"/>
  <c r="AA3276" i="1" s="1"/>
  <c r="Y3277" i="1"/>
  <c r="AA3277" i="1" s="1"/>
  <c r="Y3278" i="1"/>
  <c r="AA3278" i="1" s="1"/>
  <c r="Y3279" i="1"/>
  <c r="AA3279" i="1" s="1"/>
  <c r="Y3280" i="1"/>
  <c r="AA3280" i="1" s="1"/>
  <c r="Y3281" i="1"/>
  <c r="AA3281" i="1" s="1"/>
  <c r="Y3282" i="1"/>
  <c r="AA3282" i="1" s="1"/>
  <c r="Y3283" i="1"/>
  <c r="AA3283" i="1" s="1"/>
  <c r="Y3284" i="1"/>
  <c r="AA3284" i="1" s="1"/>
  <c r="Y3285" i="1"/>
  <c r="AA3285" i="1" s="1"/>
  <c r="Y3286" i="1"/>
  <c r="AA3286" i="1" s="1"/>
  <c r="Y3287" i="1"/>
  <c r="AA3287" i="1" s="1"/>
  <c r="Y3288" i="1"/>
  <c r="AA3288" i="1" s="1"/>
  <c r="Y3289" i="1"/>
  <c r="AA3289" i="1" s="1"/>
  <c r="Y3290" i="1"/>
  <c r="AA3290" i="1" s="1"/>
  <c r="Y3291" i="1"/>
  <c r="AA3291" i="1" s="1"/>
  <c r="Y3292" i="1"/>
  <c r="AA3292" i="1" s="1"/>
  <c r="Y3293" i="1"/>
  <c r="AA3293" i="1" s="1"/>
  <c r="Y3294" i="1"/>
  <c r="AA3294" i="1" s="1"/>
  <c r="Y3295" i="1"/>
  <c r="AA3295" i="1" s="1"/>
  <c r="Y3296" i="1"/>
  <c r="AA3296" i="1" s="1"/>
  <c r="Y3297" i="1"/>
  <c r="AA3297" i="1" s="1"/>
  <c r="Y3298" i="1"/>
  <c r="AA3298" i="1" s="1"/>
  <c r="Y3299" i="1"/>
  <c r="AA3299" i="1" s="1"/>
  <c r="Y3300" i="1"/>
  <c r="AA3300" i="1" s="1"/>
  <c r="Y3301" i="1"/>
  <c r="AA3301" i="1" s="1"/>
  <c r="Y3302" i="1"/>
  <c r="AA3302" i="1" s="1"/>
  <c r="Y3303" i="1"/>
  <c r="AA3303" i="1" s="1"/>
  <c r="Y3304" i="1"/>
  <c r="AA3304" i="1" s="1"/>
  <c r="Y3305" i="1"/>
  <c r="AA3305" i="1" s="1"/>
  <c r="Y3306" i="1"/>
  <c r="AA3306" i="1" s="1"/>
  <c r="Y3307" i="1"/>
  <c r="AA3307" i="1" s="1"/>
  <c r="Y3308" i="1"/>
  <c r="AA3308" i="1" s="1"/>
  <c r="Y3309" i="1"/>
  <c r="AA3309" i="1" s="1"/>
  <c r="Y3310" i="1"/>
  <c r="AA3310" i="1" s="1"/>
  <c r="Y3311" i="1"/>
  <c r="AA3311" i="1" s="1"/>
  <c r="Y3312" i="1"/>
  <c r="AA3312" i="1" s="1"/>
  <c r="Y3313" i="1"/>
  <c r="AA3313" i="1" s="1"/>
  <c r="Y3314" i="1"/>
  <c r="AA3314" i="1" s="1"/>
  <c r="Y3315" i="1"/>
  <c r="AA3315" i="1" s="1"/>
  <c r="Y3316" i="1"/>
  <c r="AA3316" i="1" s="1"/>
  <c r="Y3317" i="1"/>
  <c r="AA3317" i="1" s="1"/>
  <c r="Y3318" i="1"/>
  <c r="AA3318" i="1" s="1"/>
  <c r="Y3319" i="1"/>
  <c r="AA3319" i="1" s="1"/>
  <c r="Y3320" i="1"/>
  <c r="AA3320" i="1" s="1"/>
  <c r="Y3321" i="1"/>
  <c r="AA3321" i="1" s="1"/>
  <c r="Y3322" i="1"/>
  <c r="AA3322" i="1" s="1"/>
  <c r="Y3323" i="1"/>
  <c r="AA3323" i="1" s="1"/>
  <c r="Y3324" i="1"/>
  <c r="AA3324" i="1" s="1"/>
  <c r="Y3325" i="1"/>
  <c r="AA3325" i="1" s="1"/>
  <c r="Y3326" i="1"/>
  <c r="AA3326" i="1" s="1"/>
  <c r="Y3327" i="1"/>
  <c r="AA3327" i="1" s="1"/>
  <c r="Y3328" i="1"/>
  <c r="AA3328" i="1" s="1"/>
  <c r="Y3329" i="1"/>
  <c r="AA3329" i="1" s="1"/>
  <c r="Y3330" i="1"/>
  <c r="AA3330" i="1" s="1"/>
  <c r="Y3331" i="1"/>
  <c r="AA3331" i="1" s="1"/>
  <c r="Y3332" i="1"/>
  <c r="AA3332" i="1" s="1"/>
  <c r="Y3333" i="1"/>
  <c r="AA3333" i="1" s="1"/>
  <c r="Y3334" i="1"/>
  <c r="AA3334" i="1" s="1"/>
  <c r="Y3335" i="1"/>
  <c r="AA3335" i="1" s="1"/>
  <c r="Y3336" i="1"/>
  <c r="AA3336" i="1" s="1"/>
  <c r="Y3337" i="1"/>
  <c r="AA3337" i="1" s="1"/>
  <c r="Y3338" i="1"/>
  <c r="AA3338" i="1" s="1"/>
  <c r="Y3339" i="1"/>
  <c r="AA3339" i="1" s="1"/>
  <c r="Y3340" i="1"/>
  <c r="AA3340" i="1" s="1"/>
  <c r="Y3341" i="1"/>
  <c r="AA3341" i="1" s="1"/>
  <c r="Y3342" i="1"/>
  <c r="AA3342" i="1" s="1"/>
  <c r="Y3343" i="1"/>
  <c r="AA3343" i="1" s="1"/>
  <c r="Y3344" i="1"/>
  <c r="AA3344" i="1" s="1"/>
  <c r="Y3345" i="1"/>
  <c r="AA3345" i="1" s="1"/>
  <c r="Y3346" i="1"/>
  <c r="AA3346" i="1" s="1"/>
  <c r="Y3347" i="1"/>
  <c r="AA3347" i="1" s="1"/>
  <c r="Y3348" i="1"/>
  <c r="AA3348" i="1" s="1"/>
  <c r="Y3349" i="1"/>
  <c r="AA3349" i="1" s="1"/>
  <c r="Y3350" i="1"/>
  <c r="AA3350" i="1" s="1"/>
  <c r="Y3351" i="1"/>
  <c r="AA3351" i="1" s="1"/>
  <c r="Y3352" i="1"/>
  <c r="AA3352" i="1" s="1"/>
  <c r="Y3353" i="1"/>
  <c r="AA3353" i="1" s="1"/>
  <c r="Y3354" i="1"/>
  <c r="AA3354" i="1" s="1"/>
  <c r="Y3355" i="1"/>
  <c r="AA3355" i="1" s="1"/>
  <c r="Y3356" i="1"/>
  <c r="AA3356" i="1" s="1"/>
  <c r="Y3357" i="1"/>
  <c r="AA3357" i="1" s="1"/>
  <c r="Y3358" i="1"/>
  <c r="AA3358" i="1" s="1"/>
  <c r="Y3359" i="1"/>
  <c r="AA3359" i="1" s="1"/>
  <c r="Y3360" i="1"/>
  <c r="AA3360" i="1" s="1"/>
  <c r="Y3361" i="1"/>
  <c r="AA3361" i="1" s="1"/>
  <c r="Y3362" i="1"/>
  <c r="AA3362" i="1" s="1"/>
  <c r="Y3363" i="1"/>
  <c r="AA3363" i="1" s="1"/>
  <c r="Y3364" i="1"/>
  <c r="AA3364" i="1" s="1"/>
  <c r="Y3365" i="1"/>
  <c r="AA3365" i="1" s="1"/>
  <c r="Y3366" i="1"/>
  <c r="AA3366" i="1" s="1"/>
  <c r="Y3367" i="1"/>
  <c r="AA3367" i="1" s="1"/>
  <c r="Y3368" i="1"/>
  <c r="AA3368" i="1" s="1"/>
  <c r="Y3369" i="1"/>
  <c r="AA3369" i="1" s="1"/>
  <c r="Y3370" i="1"/>
  <c r="AA3370" i="1" s="1"/>
  <c r="Y3371" i="1"/>
  <c r="AA3371" i="1" s="1"/>
  <c r="Y3372" i="1"/>
  <c r="AA3372" i="1" s="1"/>
  <c r="Y3373" i="1"/>
  <c r="AA3373" i="1" s="1"/>
  <c r="Y3374" i="1"/>
  <c r="AA3374" i="1" s="1"/>
  <c r="Y3375" i="1"/>
  <c r="AA3375" i="1" s="1"/>
  <c r="Y3376" i="1"/>
  <c r="AA3376" i="1" s="1"/>
  <c r="Y3377" i="1"/>
  <c r="AA3377" i="1" s="1"/>
  <c r="Y3378" i="1"/>
  <c r="AA3378" i="1" s="1"/>
  <c r="Y3379" i="1"/>
  <c r="AA3379" i="1" s="1"/>
  <c r="Y3380" i="1"/>
  <c r="AA3380" i="1" s="1"/>
  <c r="Y3381" i="1"/>
  <c r="AA3381" i="1" s="1"/>
  <c r="Y3382" i="1"/>
  <c r="AA3382" i="1" s="1"/>
  <c r="Y3383" i="1"/>
  <c r="AA3383" i="1" s="1"/>
  <c r="Y3384" i="1"/>
  <c r="AA3384" i="1" s="1"/>
  <c r="Y3385" i="1"/>
  <c r="AA3385" i="1" s="1"/>
  <c r="Y3386" i="1"/>
  <c r="AA3386" i="1" s="1"/>
  <c r="Y3387" i="1"/>
  <c r="AA3387" i="1" s="1"/>
  <c r="Y3388" i="1"/>
  <c r="AA3388" i="1" s="1"/>
  <c r="Y3389" i="1"/>
  <c r="AA3389" i="1" s="1"/>
  <c r="Y3390" i="1"/>
  <c r="AA3390" i="1" s="1"/>
  <c r="Y3391" i="1"/>
  <c r="AA3391" i="1" s="1"/>
  <c r="Y3392" i="1"/>
  <c r="AA3392" i="1" s="1"/>
  <c r="Y3393" i="1"/>
  <c r="AA3393" i="1" s="1"/>
  <c r="Y3394" i="1"/>
  <c r="AA3394" i="1" s="1"/>
  <c r="Y3395" i="1"/>
  <c r="AA3395" i="1" s="1"/>
  <c r="Y3396" i="1"/>
  <c r="AA3396" i="1" s="1"/>
  <c r="Y3397" i="1"/>
  <c r="AA3397" i="1" s="1"/>
  <c r="Y3398" i="1"/>
  <c r="AA3398" i="1" s="1"/>
  <c r="Y3399" i="1"/>
  <c r="AA3399" i="1" s="1"/>
  <c r="Y3400" i="1"/>
  <c r="AA3400" i="1" s="1"/>
  <c r="Y3401" i="1"/>
  <c r="AA3401" i="1" s="1"/>
  <c r="Y3402" i="1"/>
  <c r="AA3402" i="1" s="1"/>
  <c r="Y3403" i="1"/>
  <c r="AA3403" i="1" s="1"/>
  <c r="Y3404" i="1"/>
  <c r="AA3404" i="1" s="1"/>
  <c r="Y3405" i="1"/>
  <c r="AA3405" i="1" s="1"/>
  <c r="Y3406" i="1"/>
  <c r="AA3406" i="1" s="1"/>
  <c r="Y3407" i="1"/>
  <c r="AA3407" i="1" s="1"/>
  <c r="Y3408" i="1"/>
  <c r="AA3408" i="1" s="1"/>
  <c r="Y3409" i="1"/>
  <c r="AA3409" i="1" s="1"/>
  <c r="Y3410" i="1"/>
  <c r="AA3410" i="1" s="1"/>
  <c r="Y3411" i="1"/>
  <c r="AA3411" i="1" s="1"/>
  <c r="Y3412" i="1"/>
  <c r="AA3412" i="1" s="1"/>
  <c r="Y3413" i="1"/>
  <c r="AA3413" i="1" s="1"/>
  <c r="Y3414" i="1"/>
  <c r="AA3414" i="1" s="1"/>
  <c r="Y3415" i="1"/>
  <c r="AA3415" i="1" s="1"/>
  <c r="Y3416" i="1"/>
  <c r="AA3416" i="1" s="1"/>
  <c r="Y3417" i="1"/>
  <c r="AA3417" i="1" s="1"/>
  <c r="Y3418" i="1"/>
  <c r="AA3418" i="1" s="1"/>
  <c r="Y3419" i="1"/>
  <c r="AA3419" i="1" s="1"/>
  <c r="Y3420" i="1"/>
  <c r="AA3420" i="1" s="1"/>
  <c r="Y3421" i="1"/>
  <c r="AA3421" i="1" s="1"/>
  <c r="Y3422" i="1"/>
  <c r="AA3422" i="1" s="1"/>
  <c r="Y3423" i="1"/>
  <c r="AA3423" i="1" s="1"/>
  <c r="Y3424" i="1"/>
  <c r="AA3424" i="1" s="1"/>
  <c r="Y3425" i="1"/>
  <c r="AA3425" i="1" s="1"/>
  <c r="Y3426" i="1"/>
  <c r="AA3426" i="1" s="1"/>
  <c r="Y3427" i="1"/>
  <c r="AA3427" i="1" s="1"/>
  <c r="Y3428" i="1"/>
  <c r="AA3428" i="1" s="1"/>
  <c r="Y3429" i="1"/>
  <c r="AA3429" i="1" s="1"/>
  <c r="Y3430" i="1"/>
  <c r="AA3430" i="1" s="1"/>
  <c r="Y3431" i="1"/>
  <c r="AA3431" i="1" s="1"/>
  <c r="Y3432" i="1"/>
  <c r="AA3432" i="1" s="1"/>
  <c r="Y3433" i="1"/>
  <c r="AA3433" i="1" s="1"/>
  <c r="Y3434" i="1"/>
  <c r="AA3434" i="1" s="1"/>
  <c r="Y3435" i="1"/>
  <c r="AA3435" i="1" s="1"/>
  <c r="Y3436" i="1"/>
  <c r="AA3436" i="1" s="1"/>
  <c r="Y3437" i="1"/>
  <c r="AA3437" i="1" s="1"/>
  <c r="Y3438" i="1"/>
  <c r="AA3438" i="1" s="1"/>
  <c r="Y3439" i="1"/>
  <c r="AA3439" i="1" s="1"/>
  <c r="Y3440" i="1"/>
  <c r="AA3440" i="1" s="1"/>
  <c r="Y3441" i="1"/>
  <c r="AA3441" i="1" s="1"/>
  <c r="Y3442" i="1"/>
  <c r="AA3442" i="1" s="1"/>
  <c r="Y3443" i="1"/>
  <c r="AA3443" i="1" s="1"/>
  <c r="Y3444" i="1"/>
  <c r="AA3444" i="1" s="1"/>
  <c r="Y3445" i="1"/>
  <c r="AA3445" i="1" s="1"/>
  <c r="Y3446" i="1"/>
  <c r="AA3446" i="1" s="1"/>
  <c r="Y3447" i="1"/>
  <c r="AA3447" i="1" s="1"/>
  <c r="Y3448" i="1"/>
  <c r="AA3448" i="1" s="1"/>
  <c r="Y3449" i="1"/>
  <c r="AA3449" i="1" s="1"/>
  <c r="Y3450" i="1"/>
  <c r="AA3450" i="1" s="1"/>
  <c r="Y3451" i="1"/>
  <c r="AA3451" i="1" s="1"/>
  <c r="Y3452" i="1"/>
  <c r="AA3452" i="1" s="1"/>
  <c r="Y3453" i="1"/>
  <c r="AA3453" i="1" s="1"/>
  <c r="Y3454" i="1"/>
  <c r="AA3454" i="1" s="1"/>
  <c r="Y3455" i="1"/>
  <c r="AA3455" i="1" s="1"/>
  <c r="Y3456" i="1"/>
  <c r="AA3456" i="1" s="1"/>
  <c r="Y3457" i="1"/>
  <c r="AA3457" i="1" s="1"/>
  <c r="Y3458" i="1"/>
  <c r="AA3458" i="1" s="1"/>
  <c r="Y3459" i="1"/>
  <c r="AA3459" i="1" s="1"/>
  <c r="Y3460" i="1"/>
  <c r="AA3460" i="1" s="1"/>
  <c r="Y3461" i="1"/>
  <c r="AA3461" i="1" s="1"/>
  <c r="Y3462" i="1"/>
  <c r="AA3462" i="1" s="1"/>
  <c r="Y3463" i="1"/>
  <c r="AA3463" i="1" s="1"/>
  <c r="Y3464" i="1"/>
  <c r="AA3464" i="1" s="1"/>
  <c r="Y3465" i="1"/>
  <c r="AA3465" i="1" s="1"/>
  <c r="Y3466" i="1"/>
  <c r="AA3466" i="1" s="1"/>
  <c r="Y3467" i="1"/>
  <c r="AA3467" i="1" s="1"/>
  <c r="Y3468" i="1"/>
  <c r="AA3468" i="1" s="1"/>
  <c r="Y3469" i="1"/>
  <c r="AA3469" i="1" s="1"/>
  <c r="Y3470" i="1"/>
  <c r="AA3470" i="1" s="1"/>
  <c r="Y3471" i="1"/>
  <c r="AA3471" i="1" s="1"/>
  <c r="Y3472" i="1"/>
  <c r="AA3472" i="1" s="1"/>
  <c r="Y3473" i="1"/>
  <c r="AA3473" i="1" s="1"/>
  <c r="Y3474" i="1"/>
  <c r="AA3474" i="1" s="1"/>
  <c r="Y3475" i="1"/>
  <c r="AA3475" i="1" s="1"/>
  <c r="Y3476" i="1"/>
  <c r="AA3476" i="1" s="1"/>
  <c r="Y3477" i="1"/>
  <c r="AA3477" i="1" s="1"/>
  <c r="Y3478" i="1"/>
  <c r="AA3478" i="1" s="1"/>
  <c r="Y3479" i="1"/>
  <c r="AA3479" i="1" s="1"/>
  <c r="Y3480" i="1"/>
  <c r="AA3480" i="1" s="1"/>
  <c r="Y3481" i="1"/>
  <c r="AA3481" i="1" s="1"/>
  <c r="Y3482" i="1"/>
  <c r="AA3482" i="1" s="1"/>
  <c r="Y3483" i="1"/>
  <c r="AA3483" i="1" s="1"/>
  <c r="Y3484" i="1"/>
  <c r="AA3484" i="1" s="1"/>
  <c r="Y3485" i="1"/>
  <c r="AA3485" i="1" s="1"/>
  <c r="Y3486" i="1"/>
  <c r="AA3486" i="1" s="1"/>
  <c r="Y3487" i="1"/>
  <c r="AA3487" i="1" s="1"/>
  <c r="Y3488" i="1"/>
  <c r="AA3488" i="1" s="1"/>
  <c r="Y3489" i="1"/>
  <c r="AA3489" i="1" s="1"/>
  <c r="Y3490" i="1"/>
  <c r="AA3490" i="1" s="1"/>
  <c r="Y3491" i="1"/>
  <c r="AA3491" i="1" s="1"/>
  <c r="Y3492" i="1"/>
  <c r="AA3492" i="1" s="1"/>
  <c r="Y3493" i="1"/>
  <c r="AA3493" i="1" s="1"/>
  <c r="Y3494" i="1"/>
  <c r="AA3494" i="1" s="1"/>
  <c r="Y3495" i="1"/>
  <c r="AA3495" i="1" s="1"/>
  <c r="Y3496" i="1"/>
  <c r="AA3496" i="1" s="1"/>
  <c r="Y3497" i="1"/>
  <c r="AA3497" i="1" s="1"/>
  <c r="Y3498" i="1"/>
  <c r="AA3498" i="1" s="1"/>
  <c r="Y3499" i="1"/>
  <c r="AA3499" i="1" s="1"/>
  <c r="Y3500" i="1"/>
  <c r="AA3500" i="1" s="1"/>
  <c r="Y3501" i="1"/>
  <c r="AA3501" i="1" s="1"/>
  <c r="Y3502" i="1"/>
  <c r="AA3502" i="1" s="1"/>
  <c r="Y3503" i="1"/>
  <c r="AA3503" i="1" s="1"/>
  <c r="Y3504" i="1"/>
  <c r="AA3504" i="1" s="1"/>
  <c r="Y3505" i="1"/>
  <c r="AA3505" i="1" s="1"/>
  <c r="Y3506" i="1"/>
  <c r="AA3506" i="1" s="1"/>
  <c r="Y3507" i="1"/>
  <c r="AA3507" i="1" s="1"/>
  <c r="Y3508" i="1"/>
  <c r="AA3508" i="1" s="1"/>
  <c r="Y3509" i="1"/>
  <c r="AA3509" i="1" s="1"/>
  <c r="Y3510" i="1"/>
  <c r="AA3510" i="1" s="1"/>
  <c r="Y3511" i="1"/>
  <c r="AA3511" i="1" s="1"/>
  <c r="Y3512" i="1"/>
  <c r="AA3512" i="1" s="1"/>
  <c r="Y3513" i="1"/>
  <c r="AA3513" i="1" s="1"/>
  <c r="Y3514" i="1"/>
  <c r="AA3514" i="1" s="1"/>
  <c r="Y3515" i="1"/>
  <c r="AA3515" i="1" s="1"/>
  <c r="Y3516" i="1"/>
  <c r="AA3516" i="1" s="1"/>
  <c r="Y3517" i="1"/>
  <c r="AA3517" i="1" s="1"/>
  <c r="Y3518" i="1"/>
  <c r="AA3518" i="1" s="1"/>
  <c r="Y3519" i="1"/>
  <c r="AA3519" i="1" s="1"/>
  <c r="Y3520" i="1"/>
  <c r="AA3520" i="1" s="1"/>
  <c r="Y3521" i="1"/>
  <c r="AA3521" i="1" s="1"/>
  <c r="Y3522" i="1"/>
  <c r="AA3522" i="1" s="1"/>
  <c r="Y3523" i="1"/>
  <c r="AA3523" i="1" s="1"/>
  <c r="Y3524" i="1"/>
  <c r="AA3524" i="1" s="1"/>
  <c r="Y3525" i="1"/>
  <c r="AA3525" i="1" s="1"/>
  <c r="Y3526" i="1"/>
  <c r="AA3526" i="1" s="1"/>
  <c r="Y3527" i="1"/>
  <c r="AA3527" i="1" s="1"/>
  <c r="Y3528" i="1"/>
  <c r="AA3528" i="1" s="1"/>
  <c r="Y3529" i="1"/>
  <c r="AA3529" i="1" s="1"/>
  <c r="Y3530" i="1"/>
  <c r="AA3530" i="1" s="1"/>
  <c r="Y3531" i="1"/>
  <c r="AA3531" i="1" s="1"/>
  <c r="Y3532" i="1"/>
  <c r="AA3532" i="1" s="1"/>
  <c r="Y3533" i="1"/>
  <c r="AA3533" i="1" s="1"/>
  <c r="Y3534" i="1"/>
  <c r="AA3534" i="1" s="1"/>
  <c r="Y3535" i="1"/>
  <c r="AA3535" i="1" s="1"/>
  <c r="Y3536" i="1"/>
  <c r="AA3536" i="1" s="1"/>
  <c r="Y3537" i="1"/>
  <c r="AA3537" i="1" s="1"/>
  <c r="Y3538" i="1"/>
  <c r="AA3538" i="1" s="1"/>
  <c r="Y3539" i="1"/>
  <c r="AA3539" i="1" s="1"/>
  <c r="Y3540" i="1"/>
  <c r="AA3540" i="1" s="1"/>
  <c r="Y3541" i="1"/>
  <c r="AA3541" i="1" s="1"/>
  <c r="Y3542" i="1"/>
  <c r="AA3542" i="1" s="1"/>
  <c r="Y3543" i="1"/>
  <c r="AA3543" i="1" s="1"/>
  <c r="Y3544" i="1"/>
  <c r="AA3544" i="1" s="1"/>
  <c r="Y3545" i="1"/>
  <c r="AA3545" i="1" s="1"/>
  <c r="Y3546" i="1"/>
  <c r="AA3546" i="1" s="1"/>
  <c r="Y3547" i="1"/>
  <c r="AA3547" i="1" s="1"/>
  <c r="Y3548" i="1"/>
  <c r="AA3548" i="1" s="1"/>
  <c r="Y3549" i="1"/>
  <c r="AA3549" i="1" s="1"/>
  <c r="Y3550" i="1"/>
  <c r="AA3550" i="1" s="1"/>
  <c r="Y3551" i="1"/>
  <c r="AA3551" i="1" s="1"/>
  <c r="Y3552" i="1"/>
  <c r="AA3552" i="1" s="1"/>
  <c r="Y3553" i="1"/>
  <c r="AA3553" i="1" s="1"/>
  <c r="Y3554" i="1"/>
  <c r="AA3554" i="1" s="1"/>
  <c r="Y3555" i="1"/>
  <c r="AA3555" i="1" s="1"/>
  <c r="Y3556" i="1"/>
  <c r="AA3556" i="1" s="1"/>
  <c r="Y3557" i="1"/>
  <c r="AA3557" i="1" s="1"/>
  <c r="Y3558" i="1"/>
  <c r="AA3558" i="1" s="1"/>
  <c r="Y3559" i="1"/>
  <c r="AA3559" i="1" s="1"/>
  <c r="Y3560" i="1"/>
  <c r="AA3560" i="1" s="1"/>
  <c r="Y3561" i="1"/>
  <c r="AA3561" i="1" s="1"/>
  <c r="Y3562" i="1"/>
  <c r="AA3562" i="1" s="1"/>
  <c r="Y3563" i="1"/>
  <c r="AA3563" i="1" s="1"/>
  <c r="Y3564" i="1"/>
  <c r="AA3564" i="1" s="1"/>
  <c r="Y3565" i="1"/>
  <c r="AA3565" i="1" s="1"/>
  <c r="Y3566" i="1"/>
  <c r="AA3566" i="1" s="1"/>
  <c r="Y3567" i="1"/>
  <c r="AA3567" i="1" s="1"/>
  <c r="Y3568" i="1"/>
  <c r="AA3568" i="1" s="1"/>
  <c r="Y3569" i="1"/>
  <c r="AA3569" i="1" s="1"/>
  <c r="Y3570" i="1"/>
  <c r="AA3570" i="1" s="1"/>
  <c r="Y3571" i="1"/>
  <c r="AA3571" i="1" s="1"/>
  <c r="Y3572" i="1"/>
  <c r="AA3572" i="1" s="1"/>
  <c r="Y3573" i="1"/>
  <c r="AA3573" i="1" s="1"/>
  <c r="Y3574" i="1"/>
  <c r="AA3574" i="1" s="1"/>
  <c r="Y3575" i="1"/>
  <c r="AA3575" i="1" s="1"/>
  <c r="Y3576" i="1"/>
  <c r="AA3576" i="1" s="1"/>
  <c r="Y3577" i="1"/>
  <c r="AA3577" i="1" s="1"/>
  <c r="Y3578" i="1"/>
  <c r="AA3578" i="1" s="1"/>
  <c r="Y3579" i="1"/>
  <c r="AA3579" i="1" s="1"/>
  <c r="Y3580" i="1"/>
  <c r="AA3580" i="1" s="1"/>
  <c r="Y3581" i="1"/>
  <c r="AA3581" i="1" s="1"/>
  <c r="Y3582" i="1"/>
  <c r="AA3582" i="1" s="1"/>
  <c r="Y3583" i="1"/>
  <c r="AA3583" i="1" s="1"/>
  <c r="Y3584" i="1"/>
  <c r="AA3584" i="1" s="1"/>
  <c r="Y3585" i="1"/>
  <c r="AA3585" i="1" s="1"/>
  <c r="Y3586" i="1"/>
  <c r="AA3586" i="1" s="1"/>
  <c r="Y3587" i="1"/>
  <c r="AA3587" i="1" s="1"/>
  <c r="Y3588" i="1"/>
  <c r="AA3588" i="1" s="1"/>
  <c r="Y3589" i="1"/>
  <c r="AA3589" i="1" s="1"/>
  <c r="Y3590" i="1"/>
  <c r="AA3590" i="1" s="1"/>
  <c r="Y3591" i="1"/>
  <c r="AA3591" i="1" s="1"/>
  <c r="Y3592" i="1"/>
  <c r="AA3592" i="1" s="1"/>
  <c r="Y3593" i="1"/>
  <c r="AA3593" i="1" s="1"/>
  <c r="Y3594" i="1"/>
  <c r="AA3594" i="1" s="1"/>
  <c r="Y3595" i="1"/>
  <c r="AA3595" i="1" s="1"/>
  <c r="Y3596" i="1"/>
  <c r="AA3596" i="1" s="1"/>
  <c r="Y3597" i="1"/>
  <c r="AA3597" i="1" s="1"/>
  <c r="Y3598" i="1"/>
  <c r="AA3598" i="1" s="1"/>
  <c r="Y3599" i="1"/>
  <c r="AA3599" i="1" s="1"/>
  <c r="Y3600" i="1"/>
  <c r="AA3600" i="1" s="1"/>
  <c r="Y3601" i="1"/>
  <c r="AA3601" i="1" s="1"/>
  <c r="Y3602" i="1"/>
  <c r="AA3602" i="1" s="1"/>
  <c r="Y3603" i="1"/>
  <c r="AA3603" i="1" s="1"/>
  <c r="Y3604" i="1"/>
  <c r="AA3604" i="1" s="1"/>
  <c r="Y3605" i="1"/>
  <c r="AA3605" i="1" s="1"/>
  <c r="Y3606" i="1"/>
  <c r="AA3606" i="1" s="1"/>
  <c r="Y3607" i="1"/>
  <c r="AA3607" i="1" s="1"/>
  <c r="Y3608" i="1"/>
  <c r="AA3608" i="1" s="1"/>
  <c r="Y3609" i="1"/>
  <c r="AA3609" i="1" s="1"/>
  <c r="Y3610" i="1"/>
  <c r="AA3610" i="1" s="1"/>
  <c r="Y3611" i="1"/>
  <c r="AA3611" i="1" s="1"/>
  <c r="Y3612" i="1"/>
  <c r="AA3612" i="1" s="1"/>
  <c r="Y3613" i="1"/>
  <c r="AA3613" i="1" s="1"/>
  <c r="Y3614" i="1"/>
  <c r="AA3614" i="1" s="1"/>
  <c r="Y3615" i="1"/>
  <c r="AA3615" i="1" s="1"/>
  <c r="Y3616" i="1"/>
  <c r="AA3616" i="1" s="1"/>
  <c r="Y3617" i="1"/>
  <c r="AA3617" i="1" s="1"/>
  <c r="Y3618" i="1"/>
  <c r="AA3618" i="1" s="1"/>
  <c r="Y3619" i="1"/>
  <c r="AA3619" i="1" s="1"/>
  <c r="Y3620" i="1"/>
  <c r="AA3620" i="1" s="1"/>
  <c r="Y3621" i="1"/>
  <c r="AA3621" i="1" s="1"/>
  <c r="Y3622" i="1"/>
  <c r="AA3622" i="1" s="1"/>
  <c r="Y3623" i="1"/>
  <c r="AA3623" i="1" s="1"/>
  <c r="Y3624" i="1"/>
  <c r="AA3624" i="1" s="1"/>
  <c r="Y3625" i="1"/>
  <c r="AA3625" i="1" s="1"/>
  <c r="Y3626" i="1"/>
  <c r="AA3626" i="1" s="1"/>
  <c r="Y3627" i="1"/>
  <c r="AA3627" i="1" s="1"/>
  <c r="Y3628" i="1"/>
  <c r="AA3628" i="1" s="1"/>
  <c r="Y3629" i="1"/>
  <c r="AA3629" i="1" s="1"/>
  <c r="Y3630" i="1"/>
  <c r="AA3630" i="1" s="1"/>
  <c r="Y3631" i="1"/>
  <c r="AA3631" i="1" s="1"/>
  <c r="Y3632" i="1"/>
  <c r="AA3632" i="1" s="1"/>
  <c r="Y3633" i="1"/>
  <c r="AA3633" i="1" s="1"/>
  <c r="Y3634" i="1"/>
  <c r="AA3634" i="1" s="1"/>
  <c r="Y3635" i="1"/>
  <c r="AA3635" i="1" s="1"/>
  <c r="Y3636" i="1"/>
  <c r="AA3636" i="1" s="1"/>
  <c r="Y3637" i="1"/>
  <c r="AA3637" i="1" s="1"/>
  <c r="Y3638" i="1"/>
  <c r="AA3638" i="1" s="1"/>
  <c r="Y3639" i="1"/>
  <c r="AA3639" i="1" s="1"/>
  <c r="Y3640" i="1"/>
  <c r="AA3640" i="1" s="1"/>
  <c r="Y3641" i="1"/>
  <c r="AA3641" i="1" s="1"/>
  <c r="Y3642" i="1"/>
  <c r="AA3642" i="1" s="1"/>
  <c r="Y3643" i="1"/>
  <c r="AA3643" i="1" s="1"/>
  <c r="Y3644" i="1"/>
  <c r="AA3644" i="1" s="1"/>
  <c r="Y3645" i="1"/>
  <c r="AA3645" i="1" s="1"/>
  <c r="Y3646" i="1"/>
  <c r="AA3646" i="1" s="1"/>
  <c r="Y3647" i="1"/>
  <c r="AA3647" i="1" s="1"/>
  <c r="Y3648" i="1"/>
  <c r="AA3648" i="1" s="1"/>
  <c r="Y3649" i="1"/>
  <c r="AA3649" i="1" s="1"/>
  <c r="Y3650" i="1"/>
  <c r="AA3650" i="1" s="1"/>
  <c r="Y3651" i="1"/>
  <c r="AA3651" i="1" s="1"/>
  <c r="Y3652" i="1"/>
  <c r="AA3652" i="1" s="1"/>
  <c r="Y3653" i="1"/>
  <c r="AA3653" i="1" s="1"/>
  <c r="Y3654" i="1"/>
  <c r="AA3654" i="1" s="1"/>
  <c r="Y3655" i="1"/>
  <c r="AA3655" i="1" s="1"/>
  <c r="Y3656" i="1"/>
  <c r="AA3656" i="1" s="1"/>
  <c r="Y3657" i="1"/>
  <c r="AA3657" i="1" s="1"/>
  <c r="Y3658" i="1"/>
  <c r="AA3658" i="1" s="1"/>
  <c r="Y3659" i="1"/>
  <c r="AA3659" i="1" s="1"/>
  <c r="Y3660" i="1"/>
  <c r="AA3660" i="1" s="1"/>
  <c r="Y3661" i="1"/>
  <c r="AA3661" i="1" s="1"/>
  <c r="Y3662" i="1"/>
  <c r="AA3662" i="1" s="1"/>
  <c r="Y3663" i="1"/>
  <c r="AA3663" i="1" s="1"/>
  <c r="Y3664" i="1"/>
  <c r="AA3664" i="1" s="1"/>
  <c r="Y3665" i="1"/>
  <c r="AA3665" i="1" s="1"/>
  <c r="Y3666" i="1"/>
  <c r="AA3666" i="1" s="1"/>
  <c r="Y3667" i="1"/>
  <c r="AA3667" i="1" s="1"/>
  <c r="Y3668" i="1"/>
  <c r="AA3668" i="1" s="1"/>
  <c r="Y3669" i="1"/>
  <c r="AA3669" i="1" s="1"/>
  <c r="Y3670" i="1"/>
  <c r="AA3670" i="1" s="1"/>
  <c r="Y3671" i="1"/>
  <c r="AA3671" i="1" s="1"/>
  <c r="Y3672" i="1"/>
  <c r="AA3672" i="1" s="1"/>
  <c r="Y3673" i="1"/>
  <c r="AA3673" i="1" s="1"/>
  <c r="Y3674" i="1"/>
  <c r="AA3674" i="1" s="1"/>
  <c r="Y3675" i="1"/>
  <c r="AA3675" i="1" s="1"/>
  <c r="Y3676" i="1"/>
  <c r="AA3676" i="1" s="1"/>
  <c r="Y3677" i="1"/>
  <c r="AA3677" i="1" s="1"/>
  <c r="Y3678" i="1"/>
  <c r="AA3678" i="1" s="1"/>
  <c r="Y3679" i="1"/>
  <c r="AA3679" i="1" s="1"/>
  <c r="Y3680" i="1"/>
  <c r="AA3680" i="1" s="1"/>
  <c r="Y3681" i="1"/>
  <c r="AA3681" i="1" s="1"/>
  <c r="Y3682" i="1"/>
  <c r="AA3682" i="1" s="1"/>
  <c r="Y3683" i="1"/>
  <c r="AA3683" i="1" s="1"/>
  <c r="Y3684" i="1"/>
  <c r="AA3684" i="1" s="1"/>
  <c r="Y3685" i="1"/>
  <c r="AA3685" i="1" s="1"/>
  <c r="Y3686" i="1"/>
  <c r="AA3686" i="1" s="1"/>
  <c r="Y3687" i="1"/>
  <c r="AA3687" i="1" s="1"/>
  <c r="Y3688" i="1"/>
  <c r="AA3688" i="1" s="1"/>
  <c r="Y3689" i="1"/>
  <c r="AA3689" i="1" s="1"/>
  <c r="Y3690" i="1"/>
  <c r="AA3690" i="1" s="1"/>
  <c r="Y3691" i="1"/>
  <c r="AA3691" i="1" s="1"/>
  <c r="Y3692" i="1"/>
  <c r="AA3692" i="1" s="1"/>
  <c r="Y3693" i="1"/>
  <c r="AA3693" i="1" s="1"/>
  <c r="Y3694" i="1"/>
  <c r="AA3694" i="1" s="1"/>
  <c r="Y3695" i="1"/>
  <c r="AA3695" i="1" s="1"/>
  <c r="Y3696" i="1"/>
  <c r="AA3696" i="1" s="1"/>
  <c r="Y3697" i="1"/>
  <c r="AA3697" i="1" s="1"/>
  <c r="Y3698" i="1"/>
  <c r="AA3698" i="1" s="1"/>
  <c r="Y3699" i="1"/>
  <c r="AA3699" i="1" s="1"/>
  <c r="Y3700" i="1"/>
  <c r="AA3700" i="1" s="1"/>
  <c r="Y3701" i="1"/>
  <c r="AA3701" i="1" s="1"/>
  <c r="Y3702" i="1"/>
  <c r="AA3702" i="1" s="1"/>
  <c r="Y3703" i="1"/>
  <c r="AA3703" i="1" s="1"/>
  <c r="Y3704" i="1"/>
  <c r="AA3704" i="1" s="1"/>
  <c r="Y3705" i="1"/>
  <c r="AA3705" i="1" s="1"/>
  <c r="Y3706" i="1"/>
  <c r="AA3706" i="1" s="1"/>
  <c r="Y3707" i="1"/>
  <c r="AA3707" i="1" s="1"/>
  <c r="Y3708" i="1"/>
  <c r="AA3708" i="1" s="1"/>
  <c r="Y3709" i="1"/>
  <c r="AA3709" i="1" s="1"/>
  <c r="Y3710" i="1"/>
  <c r="AA3710" i="1" s="1"/>
  <c r="Y3711" i="1"/>
  <c r="AA3711" i="1" s="1"/>
  <c r="Y3712" i="1"/>
  <c r="AA3712" i="1" s="1"/>
  <c r="Y3713" i="1"/>
  <c r="AA3713" i="1" s="1"/>
  <c r="Y3714" i="1"/>
  <c r="AA3714" i="1" s="1"/>
  <c r="Y3715" i="1"/>
  <c r="AA3715" i="1" s="1"/>
  <c r="Y3716" i="1"/>
  <c r="AA3716" i="1" s="1"/>
  <c r="Y3717" i="1"/>
  <c r="AA3717" i="1" s="1"/>
  <c r="Y3718" i="1"/>
  <c r="AA3718" i="1" s="1"/>
  <c r="Y3719" i="1"/>
  <c r="AA3719" i="1" s="1"/>
  <c r="Y3720" i="1"/>
  <c r="AA3720" i="1" s="1"/>
  <c r="Y3721" i="1"/>
  <c r="AA3721" i="1" s="1"/>
  <c r="Y3722" i="1"/>
  <c r="AA3722" i="1" s="1"/>
  <c r="Y3723" i="1"/>
  <c r="AA3723" i="1" s="1"/>
  <c r="Y3724" i="1"/>
  <c r="AA3724" i="1" s="1"/>
  <c r="Y3725" i="1"/>
  <c r="AA3725" i="1" s="1"/>
  <c r="Y3726" i="1"/>
  <c r="AA3726" i="1" s="1"/>
  <c r="Y3727" i="1"/>
  <c r="AA3727" i="1" s="1"/>
  <c r="Y3728" i="1"/>
  <c r="AA3728" i="1" s="1"/>
  <c r="Y3729" i="1"/>
  <c r="AA3729" i="1" s="1"/>
  <c r="Y3730" i="1"/>
  <c r="AA3730" i="1" s="1"/>
  <c r="Y3731" i="1"/>
  <c r="AA3731" i="1" s="1"/>
  <c r="Y3732" i="1"/>
  <c r="AA3732" i="1" s="1"/>
  <c r="Y3733" i="1"/>
  <c r="AA3733" i="1" s="1"/>
  <c r="Y3734" i="1"/>
  <c r="AA3734" i="1" s="1"/>
  <c r="Y3735" i="1"/>
  <c r="AA3735" i="1" s="1"/>
  <c r="Y3736" i="1"/>
  <c r="AA3736" i="1" s="1"/>
  <c r="Y3737" i="1"/>
  <c r="AA3737" i="1" s="1"/>
  <c r="Y3738" i="1"/>
  <c r="AA3738" i="1" s="1"/>
  <c r="Y3739" i="1"/>
  <c r="AA3739" i="1" s="1"/>
  <c r="Y3740" i="1"/>
  <c r="AA3740" i="1" s="1"/>
  <c r="Y3741" i="1"/>
  <c r="AA3741" i="1" s="1"/>
  <c r="Y3742" i="1"/>
  <c r="AA3742" i="1" s="1"/>
  <c r="Y3743" i="1"/>
  <c r="AA3743" i="1" s="1"/>
  <c r="Y3744" i="1"/>
  <c r="AA3744" i="1" s="1"/>
  <c r="Y3745" i="1"/>
  <c r="AA3745" i="1" s="1"/>
  <c r="Y3746" i="1"/>
  <c r="AA3746" i="1" s="1"/>
  <c r="Y3747" i="1"/>
  <c r="AA3747" i="1" s="1"/>
  <c r="Y3748" i="1"/>
  <c r="AA3748" i="1" s="1"/>
  <c r="Y3749" i="1"/>
  <c r="AA3749" i="1" s="1"/>
  <c r="Y3750" i="1"/>
  <c r="AA3750" i="1" s="1"/>
  <c r="Y3751" i="1"/>
  <c r="AA3751" i="1" s="1"/>
  <c r="Y3752" i="1"/>
  <c r="AA3752" i="1" s="1"/>
  <c r="Y3753" i="1"/>
  <c r="AA3753" i="1" s="1"/>
  <c r="Y3754" i="1"/>
  <c r="AA3754" i="1" s="1"/>
  <c r="Y3755" i="1"/>
  <c r="AA3755" i="1" s="1"/>
  <c r="Y3756" i="1"/>
  <c r="AA3756" i="1" s="1"/>
  <c r="Y3757" i="1"/>
  <c r="AA3757" i="1" s="1"/>
  <c r="Y3758" i="1"/>
  <c r="AA3758" i="1" s="1"/>
  <c r="Y3759" i="1"/>
  <c r="AA3759" i="1" s="1"/>
  <c r="Y3760" i="1"/>
  <c r="AA3760" i="1" s="1"/>
  <c r="Y3761" i="1"/>
  <c r="AA3761" i="1" s="1"/>
  <c r="Y3762" i="1"/>
  <c r="AA3762" i="1" s="1"/>
  <c r="Y3763" i="1"/>
  <c r="AA3763" i="1" s="1"/>
  <c r="Y3764" i="1"/>
  <c r="AA3764" i="1" s="1"/>
  <c r="Y3765" i="1"/>
  <c r="AA3765" i="1" s="1"/>
  <c r="Y3766" i="1"/>
  <c r="AA3766" i="1" s="1"/>
  <c r="Y3767" i="1"/>
  <c r="AA3767" i="1" s="1"/>
  <c r="Y3768" i="1"/>
  <c r="AA3768" i="1" s="1"/>
  <c r="Y3769" i="1"/>
  <c r="AA3769" i="1" s="1"/>
  <c r="Y3770" i="1"/>
  <c r="AA3770" i="1" s="1"/>
  <c r="Y3771" i="1"/>
  <c r="AA3771" i="1" s="1"/>
  <c r="Y3772" i="1"/>
  <c r="AA3772" i="1" s="1"/>
  <c r="Y3773" i="1"/>
  <c r="AA3773" i="1" s="1"/>
  <c r="Y3774" i="1"/>
  <c r="AA3774" i="1" s="1"/>
  <c r="Y3775" i="1"/>
  <c r="AA3775" i="1" s="1"/>
  <c r="Y3776" i="1"/>
  <c r="AA3776" i="1" s="1"/>
  <c r="Y3777" i="1"/>
  <c r="AA3777" i="1" s="1"/>
  <c r="Y3778" i="1"/>
  <c r="AA3778" i="1" s="1"/>
  <c r="Y3779" i="1"/>
  <c r="AA3779" i="1" s="1"/>
  <c r="Y3780" i="1"/>
  <c r="AA3780" i="1" s="1"/>
  <c r="Y3781" i="1"/>
  <c r="AA3781" i="1" s="1"/>
  <c r="Y3782" i="1"/>
  <c r="AA3782" i="1" s="1"/>
  <c r="Y3783" i="1"/>
  <c r="AA3783" i="1" s="1"/>
  <c r="Y3784" i="1"/>
  <c r="AA3784" i="1" s="1"/>
  <c r="Y3785" i="1"/>
  <c r="AA3785" i="1" s="1"/>
  <c r="Y3786" i="1"/>
  <c r="AA3786" i="1" s="1"/>
  <c r="Y3787" i="1"/>
  <c r="AA3787" i="1" s="1"/>
  <c r="Y3788" i="1"/>
  <c r="AA3788" i="1" s="1"/>
  <c r="Y3789" i="1"/>
  <c r="AA3789" i="1" s="1"/>
  <c r="Y3790" i="1"/>
  <c r="AA3790" i="1" s="1"/>
  <c r="Y3791" i="1"/>
  <c r="AA3791" i="1" s="1"/>
  <c r="Y3792" i="1"/>
  <c r="AA3792" i="1" s="1"/>
  <c r="Y3793" i="1"/>
  <c r="AA3793" i="1" s="1"/>
  <c r="Y3794" i="1"/>
  <c r="AA3794" i="1" s="1"/>
  <c r="Y3795" i="1"/>
  <c r="AA3795" i="1" s="1"/>
  <c r="Y3796" i="1"/>
  <c r="AA3796" i="1" s="1"/>
  <c r="Y3797" i="1"/>
  <c r="AA3797" i="1" s="1"/>
  <c r="Y3798" i="1"/>
  <c r="AA3798" i="1" s="1"/>
  <c r="Y3799" i="1"/>
  <c r="AA3799" i="1" s="1"/>
  <c r="Y3800" i="1"/>
  <c r="AA3800" i="1" s="1"/>
  <c r="Y3801" i="1"/>
  <c r="AA3801" i="1" s="1"/>
  <c r="Y3802" i="1"/>
  <c r="AA3802" i="1" s="1"/>
  <c r="Y3803" i="1"/>
  <c r="AA3803" i="1" s="1"/>
  <c r="Y3804" i="1"/>
  <c r="AA3804" i="1" s="1"/>
  <c r="Y3805" i="1"/>
  <c r="AA3805" i="1" s="1"/>
  <c r="Y3806" i="1"/>
  <c r="AA3806" i="1" s="1"/>
  <c r="Y3807" i="1"/>
  <c r="AA3807" i="1" s="1"/>
  <c r="Y3808" i="1"/>
  <c r="AA3808" i="1" s="1"/>
  <c r="Y3809" i="1"/>
  <c r="AA3809" i="1" s="1"/>
  <c r="Y3810" i="1"/>
  <c r="AA3810" i="1" s="1"/>
  <c r="Y3811" i="1"/>
  <c r="AA3811" i="1" s="1"/>
  <c r="Y3812" i="1"/>
  <c r="AA3812" i="1" s="1"/>
  <c r="Y3813" i="1"/>
  <c r="AA3813" i="1" s="1"/>
  <c r="Y3814" i="1"/>
  <c r="AA3814" i="1" s="1"/>
  <c r="Y3815" i="1"/>
  <c r="AA3815" i="1" s="1"/>
  <c r="Y3816" i="1"/>
  <c r="AA3816" i="1" s="1"/>
  <c r="Y3817" i="1"/>
  <c r="AA3817" i="1" s="1"/>
  <c r="Y3818" i="1"/>
  <c r="AA3818" i="1" s="1"/>
  <c r="Y3819" i="1"/>
  <c r="AA3819" i="1" s="1"/>
  <c r="Y3820" i="1"/>
  <c r="AA3820" i="1" s="1"/>
  <c r="Y3821" i="1"/>
  <c r="AA3821" i="1" s="1"/>
  <c r="Y3822" i="1"/>
  <c r="AA3822" i="1" s="1"/>
  <c r="Y3823" i="1"/>
  <c r="AA3823" i="1" s="1"/>
  <c r="Y3824" i="1"/>
  <c r="AA3824" i="1" s="1"/>
  <c r="Y3825" i="1"/>
  <c r="AA3825" i="1" s="1"/>
  <c r="Y3826" i="1"/>
  <c r="AA3826" i="1" s="1"/>
  <c r="Y3827" i="1"/>
  <c r="AA3827" i="1" s="1"/>
  <c r="Y3828" i="1"/>
  <c r="AA3828" i="1" s="1"/>
  <c r="Y3829" i="1"/>
  <c r="AA3829" i="1" s="1"/>
  <c r="Y3830" i="1"/>
  <c r="AA3830" i="1" s="1"/>
  <c r="Y3831" i="1"/>
  <c r="AA3831" i="1" s="1"/>
  <c r="Y3832" i="1"/>
  <c r="AA3832" i="1" s="1"/>
  <c r="Y3833" i="1"/>
  <c r="AA3833" i="1" s="1"/>
  <c r="Y3834" i="1"/>
  <c r="AA3834" i="1" s="1"/>
  <c r="Y3835" i="1"/>
  <c r="AA3835" i="1" s="1"/>
  <c r="Y3836" i="1"/>
  <c r="AA3836" i="1" s="1"/>
  <c r="Y3837" i="1"/>
  <c r="AA3837" i="1" s="1"/>
  <c r="Y3838" i="1"/>
  <c r="AA3838" i="1" s="1"/>
  <c r="Y3839" i="1"/>
  <c r="AA3839" i="1" s="1"/>
  <c r="Y3840" i="1"/>
  <c r="AA3840" i="1" s="1"/>
  <c r="Y3841" i="1"/>
  <c r="AA3841" i="1" s="1"/>
  <c r="Y3842" i="1"/>
  <c r="AA3842" i="1" s="1"/>
  <c r="Y3843" i="1"/>
  <c r="AA3843" i="1" s="1"/>
  <c r="Y3844" i="1"/>
  <c r="AA3844" i="1" s="1"/>
  <c r="Y3845" i="1"/>
  <c r="AA3845" i="1" s="1"/>
  <c r="Y3846" i="1"/>
  <c r="AA3846" i="1" s="1"/>
  <c r="Y3847" i="1"/>
  <c r="AA3847" i="1" s="1"/>
  <c r="Y3848" i="1"/>
  <c r="AA3848" i="1" s="1"/>
  <c r="Y3849" i="1"/>
  <c r="AA3849" i="1" s="1"/>
  <c r="Y3850" i="1"/>
  <c r="AA3850" i="1" s="1"/>
  <c r="Y3851" i="1"/>
  <c r="AA3851" i="1" s="1"/>
  <c r="Y3852" i="1"/>
  <c r="AA3852" i="1" s="1"/>
  <c r="Y3853" i="1"/>
  <c r="AA3853" i="1" s="1"/>
  <c r="Y3854" i="1"/>
  <c r="AA3854" i="1" s="1"/>
  <c r="Y3855" i="1"/>
  <c r="AA3855" i="1" s="1"/>
  <c r="Y3856" i="1"/>
  <c r="AA3856" i="1" s="1"/>
  <c r="Y3857" i="1"/>
  <c r="AA3857" i="1" s="1"/>
  <c r="Y3858" i="1"/>
  <c r="AA3858" i="1" s="1"/>
  <c r="Y3859" i="1"/>
  <c r="AA3859" i="1" s="1"/>
  <c r="Y3860" i="1"/>
  <c r="AA3860" i="1" s="1"/>
  <c r="Y3861" i="1"/>
  <c r="AA3861" i="1" s="1"/>
  <c r="Y3862" i="1"/>
  <c r="AA3862" i="1" s="1"/>
  <c r="Y3863" i="1"/>
  <c r="AA3863" i="1" s="1"/>
  <c r="Y3864" i="1"/>
  <c r="AA3864" i="1" s="1"/>
  <c r="Y3865" i="1"/>
  <c r="AA3865" i="1" s="1"/>
  <c r="Y3866" i="1"/>
  <c r="AA3866" i="1" s="1"/>
  <c r="Y3867" i="1"/>
  <c r="AA3867" i="1" s="1"/>
  <c r="Y3868" i="1"/>
  <c r="AA3868" i="1" s="1"/>
  <c r="Y3869" i="1"/>
  <c r="AA3869" i="1" s="1"/>
  <c r="Y3870" i="1"/>
  <c r="AA3870" i="1" s="1"/>
  <c r="Y3871" i="1"/>
  <c r="AA3871" i="1" s="1"/>
  <c r="Y3872" i="1"/>
  <c r="AA3872" i="1" s="1"/>
  <c r="Y3873" i="1"/>
  <c r="AA3873" i="1" s="1"/>
  <c r="Y3874" i="1"/>
  <c r="AA3874" i="1" s="1"/>
  <c r="Y3875" i="1"/>
  <c r="AA3875" i="1" s="1"/>
  <c r="Y3876" i="1"/>
  <c r="AA3876" i="1" s="1"/>
  <c r="Y3877" i="1"/>
  <c r="AA3877" i="1" s="1"/>
  <c r="Y3878" i="1"/>
  <c r="AA3878" i="1" s="1"/>
  <c r="Y3879" i="1"/>
  <c r="AA3879" i="1" s="1"/>
  <c r="Y3880" i="1"/>
  <c r="AA3880" i="1" s="1"/>
  <c r="Y3881" i="1"/>
  <c r="AA3881" i="1" s="1"/>
  <c r="Y3882" i="1"/>
  <c r="AA3882" i="1" s="1"/>
  <c r="Y3883" i="1"/>
  <c r="AA3883" i="1" s="1"/>
  <c r="Y3884" i="1"/>
  <c r="AA3884" i="1" s="1"/>
  <c r="Y3885" i="1"/>
  <c r="AA3885" i="1" s="1"/>
  <c r="Y3886" i="1"/>
  <c r="AA3886" i="1" s="1"/>
  <c r="Y3887" i="1"/>
  <c r="AA3887" i="1" s="1"/>
  <c r="Y3888" i="1"/>
  <c r="AA3888" i="1" s="1"/>
  <c r="Y3889" i="1"/>
  <c r="AA3889" i="1" s="1"/>
  <c r="Y3890" i="1"/>
  <c r="AA3890" i="1" s="1"/>
  <c r="Y3891" i="1"/>
  <c r="AA3891" i="1" s="1"/>
  <c r="Y3892" i="1"/>
  <c r="AA3892" i="1" s="1"/>
  <c r="Y3893" i="1"/>
  <c r="AA3893" i="1" s="1"/>
  <c r="Y3894" i="1"/>
  <c r="AA3894" i="1" s="1"/>
  <c r="Y3895" i="1"/>
  <c r="AA3895" i="1" s="1"/>
  <c r="Y3896" i="1"/>
  <c r="AA3896" i="1" s="1"/>
  <c r="Y3897" i="1"/>
  <c r="AA3897" i="1" s="1"/>
  <c r="Y3898" i="1"/>
  <c r="AA3898" i="1" s="1"/>
  <c r="Y3899" i="1"/>
  <c r="AA3899" i="1" s="1"/>
  <c r="Y3900" i="1"/>
  <c r="AA3900" i="1" s="1"/>
  <c r="Y3901" i="1"/>
  <c r="AA3901" i="1" s="1"/>
  <c r="Y3902" i="1"/>
  <c r="AA3902" i="1" s="1"/>
  <c r="Y3903" i="1"/>
  <c r="AA3903" i="1" s="1"/>
  <c r="Y3904" i="1"/>
  <c r="AA3904" i="1" s="1"/>
  <c r="Y3905" i="1"/>
  <c r="AA3905" i="1" s="1"/>
  <c r="Y3906" i="1"/>
  <c r="AA3906" i="1" s="1"/>
  <c r="Y3907" i="1"/>
  <c r="AA3907" i="1" s="1"/>
  <c r="Y3908" i="1"/>
  <c r="AA3908" i="1" s="1"/>
  <c r="Y3909" i="1"/>
  <c r="AA3909" i="1" s="1"/>
  <c r="Y3910" i="1"/>
  <c r="AA3910" i="1" s="1"/>
  <c r="Y3911" i="1"/>
  <c r="AA3911" i="1" s="1"/>
  <c r="Y3912" i="1"/>
  <c r="AA3912" i="1" s="1"/>
  <c r="Y3913" i="1"/>
  <c r="AA3913" i="1" s="1"/>
  <c r="Y3914" i="1"/>
  <c r="AA3914" i="1" s="1"/>
  <c r="Y3915" i="1"/>
  <c r="AA3915" i="1" s="1"/>
  <c r="Y3916" i="1"/>
  <c r="AA3916" i="1" s="1"/>
  <c r="Y3917" i="1"/>
  <c r="AA3917" i="1" s="1"/>
  <c r="Y3918" i="1"/>
  <c r="AA3918" i="1" s="1"/>
  <c r="Y3919" i="1"/>
  <c r="AA3919" i="1" s="1"/>
  <c r="Y3920" i="1"/>
  <c r="AA3920" i="1" s="1"/>
  <c r="Y3921" i="1"/>
  <c r="AA3921" i="1" s="1"/>
  <c r="Y3922" i="1"/>
  <c r="AA3922" i="1" s="1"/>
  <c r="Y3923" i="1"/>
  <c r="AA3923" i="1" s="1"/>
  <c r="Y3924" i="1"/>
  <c r="AA3924" i="1" s="1"/>
  <c r="Y3925" i="1"/>
  <c r="AA3925" i="1" s="1"/>
  <c r="Y3926" i="1"/>
  <c r="AA3926" i="1" s="1"/>
  <c r="Y3927" i="1"/>
  <c r="AA3927" i="1" s="1"/>
  <c r="Y3928" i="1"/>
  <c r="AA3928" i="1" s="1"/>
  <c r="Y3929" i="1"/>
  <c r="AA3929" i="1" s="1"/>
  <c r="Y3930" i="1"/>
  <c r="AA3930" i="1" s="1"/>
  <c r="Y3931" i="1"/>
  <c r="AA3931" i="1" s="1"/>
  <c r="Y3932" i="1"/>
  <c r="AA3932" i="1" s="1"/>
  <c r="Y3933" i="1"/>
  <c r="AA3933" i="1" s="1"/>
  <c r="Y3934" i="1"/>
  <c r="AA3934" i="1" s="1"/>
  <c r="Y3935" i="1"/>
  <c r="AA3935" i="1" s="1"/>
  <c r="Y3936" i="1"/>
  <c r="AA3936" i="1" s="1"/>
  <c r="Y3937" i="1"/>
  <c r="AA3937" i="1" s="1"/>
  <c r="Y3938" i="1"/>
  <c r="AA3938" i="1" s="1"/>
  <c r="Y3939" i="1"/>
  <c r="AA3939" i="1" s="1"/>
  <c r="Y3940" i="1"/>
  <c r="AA3940" i="1" s="1"/>
  <c r="Y3941" i="1"/>
  <c r="AA3941" i="1" s="1"/>
  <c r="Y3942" i="1"/>
  <c r="AA3942" i="1" s="1"/>
  <c r="Y3943" i="1"/>
  <c r="AA3943" i="1" s="1"/>
  <c r="Y3944" i="1"/>
  <c r="AA3944" i="1" s="1"/>
  <c r="Y3945" i="1"/>
  <c r="AA3945" i="1" s="1"/>
  <c r="Y3946" i="1"/>
  <c r="AA3946" i="1" s="1"/>
  <c r="Y3947" i="1"/>
  <c r="AA3947" i="1" s="1"/>
  <c r="Y3948" i="1"/>
  <c r="AA3948" i="1" s="1"/>
  <c r="Y3949" i="1"/>
  <c r="AA3949" i="1" s="1"/>
  <c r="Y3950" i="1"/>
  <c r="AA3950" i="1" s="1"/>
  <c r="Y3951" i="1"/>
  <c r="AA3951" i="1" s="1"/>
  <c r="Y3952" i="1"/>
  <c r="AA3952" i="1" s="1"/>
  <c r="Y3953" i="1"/>
  <c r="AA3953" i="1" s="1"/>
  <c r="Y3954" i="1"/>
  <c r="AA3954" i="1" s="1"/>
  <c r="Y3955" i="1"/>
  <c r="AA3955" i="1" s="1"/>
  <c r="Y3956" i="1"/>
  <c r="AA3956" i="1" s="1"/>
  <c r="Y3957" i="1"/>
  <c r="AA3957" i="1" s="1"/>
  <c r="Y3958" i="1"/>
  <c r="AA3958" i="1" s="1"/>
  <c r="Y3959" i="1"/>
  <c r="AA3959" i="1" s="1"/>
  <c r="Y3960" i="1"/>
  <c r="AA3960" i="1" s="1"/>
  <c r="Y3961" i="1"/>
  <c r="AA3961" i="1" s="1"/>
  <c r="Y3962" i="1"/>
  <c r="AA3962" i="1" s="1"/>
  <c r="Y3963" i="1"/>
  <c r="AA3963" i="1" s="1"/>
  <c r="Y3964" i="1"/>
  <c r="AA3964" i="1" s="1"/>
  <c r="Y3965" i="1"/>
  <c r="AA3965" i="1" s="1"/>
  <c r="Y3966" i="1"/>
  <c r="AA3966" i="1" s="1"/>
  <c r="Y3967" i="1"/>
  <c r="AA3967" i="1" s="1"/>
  <c r="Y3968" i="1"/>
  <c r="AA3968" i="1" s="1"/>
  <c r="Y3969" i="1"/>
  <c r="AA3969" i="1" s="1"/>
  <c r="Y3970" i="1"/>
  <c r="AA3970" i="1" s="1"/>
  <c r="Y3971" i="1"/>
  <c r="AA3971" i="1" s="1"/>
  <c r="Y3972" i="1"/>
  <c r="AA3972" i="1" s="1"/>
  <c r="Y3973" i="1"/>
  <c r="AA3973" i="1" s="1"/>
  <c r="Y3974" i="1"/>
  <c r="AA3974" i="1" s="1"/>
  <c r="Y3975" i="1"/>
  <c r="AA3975" i="1" s="1"/>
  <c r="Y3976" i="1"/>
  <c r="AA3976" i="1" s="1"/>
  <c r="Y3977" i="1"/>
  <c r="AA3977" i="1" s="1"/>
  <c r="Y3978" i="1"/>
  <c r="AA3978" i="1" s="1"/>
  <c r="Y3979" i="1"/>
  <c r="AA3979" i="1" s="1"/>
  <c r="Y3980" i="1"/>
  <c r="AA3980" i="1" s="1"/>
  <c r="Y3981" i="1"/>
  <c r="AA3981" i="1" s="1"/>
  <c r="Y3982" i="1"/>
  <c r="AA3982" i="1" s="1"/>
  <c r="Y3983" i="1"/>
  <c r="AA3983" i="1" s="1"/>
  <c r="Y3984" i="1"/>
  <c r="AA3984" i="1" s="1"/>
  <c r="Y3985" i="1"/>
  <c r="AA3985" i="1" s="1"/>
  <c r="Y3986" i="1"/>
  <c r="AA3986" i="1" s="1"/>
  <c r="Y3987" i="1"/>
  <c r="AA3987" i="1" s="1"/>
  <c r="Y3988" i="1"/>
  <c r="AA3988" i="1" s="1"/>
  <c r="Y3989" i="1"/>
  <c r="AA3989" i="1" s="1"/>
  <c r="Y3990" i="1"/>
  <c r="AA3990" i="1" s="1"/>
  <c r="Y3991" i="1"/>
  <c r="AA3991" i="1" s="1"/>
  <c r="Y3992" i="1"/>
  <c r="AA3992" i="1" s="1"/>
  <c r="Y3993" i="1"/>
  <c r="AA3993" i="1" s="1"/>
  <c r="Y3994" i="1"/>
  <c r="AA3994" i="1" s="1"/>
  <c r="Y3995" i="1"/>
  <c r="AA3995" i="1" s="1"/>
  <c r="Y3996" i="1"/>
  <c r="AA3996" i="1" s="1"/>
  <c r="Y3997" i="1"/>
  <c r="AA3997" i="1" s="1"/>
  <c r="Y3998" i="1"/>
  <c r="AA3998" i="1" s="1"/>
  <c r="Y3999" i="1"/>
  <c r="AA3999" i="1" s="1"/>
  <c r="Y4000" i="1"/>
  <c r="AA4000" i="1" s="1"/>
  <c r="Y4001" i="1"/>
  <c r="AA4001" i="1" s="1"/>
  <c r="Y4002" i="1"/>
  <c r="AA4002" i="1" s="1"/>
  <c r="Y4003" i="1"/>
  <c r="AA4003" i="1" s="1"/>
  <c r="Y4004" i="1"/>
  <c r="AA4004" i="1" s="1"/>
  <c r="Y4005" i="1"/>
  <c r="AA4005" i="1" s="1"/>
  <c r="Y4006" i="1"/>
  <c r="AA4006" i="1" s="1"/>
  <c r="Y4007" i="1"/>
  <c r="AA4007" i="1" s="1"/>
  <c r="Y4008" i="1"/>
  <c r="AA4008" i="1" s="1"/>
  <c r="Y4009" i="1"/>
  <c r="AA4009" i="1" s="1"/>
  <c r="Y4010" i="1"/>
  <c r="AA4010" i="1" s="1"/>
  <c r="Y4011" i="1"/>
  <c r="AA4011" i="1" s="1"/>
  <c r="Y4012" i="1"/>
  <c r="AA4012" i="1" s="1"/>
  <c r="Y4013" i="1"/>
  <c r="AA4013" i="1" s="1"/>
  <c r="Y4014" i="1"/>
  <c r="AA4014" i="1" s="1"/>
  <c r="Y4015" i="1"/>
  <c r="AA4015" i="1" s="1"/>
  <c r="Y4016" i="1"/>
  <c r="AA4016" i="1" s="1"/>
  <c r="Y4017" i="1"/>
  <c r="AA4017" i="1" s="1"/>
  <c r="Y4018" i="1"/>
  <c r="AA4018" i="1" s="1"/>
  <c r="Y4019" i="1"/>
  <c r="AA4019" i="1" s="1"/>
  <c r="Y4020" i="1"/>
  <c r="AA4020" i="1" s="1"/>
  <c r="Y4021" i="1"/>
  <c r="AA4021" i="1" s="1"/>
  <c r="Y4022" i="1"/>
  <c r="AA4022" i="1" s="1"/>
  <c r="Y4023" i="1"/>
  <c r="AA4023" i="1" s="1"/>
  <c r="Y4024" i="1"/>
  <c r="AA4024" i="1" s="1"/>
  <c r="Y4025" i="1"/>
  <c r="AA4025" i="1" s="1"/>
  <c r="Y4026" i="1"/>
  <c r="AA4026" i="1" s="1"/>
  <c r="Y4027" i="1"/>
  <c r="AA4027" i="1" s="1"/>
  <c r="Y4028" i="1"/>
  <c r="AA4028" i="1" s="1"/>
  <c r="Y4029" i="1"/>
  <c r="AA4029" i="1" s="1"/>
  <c r="Y4030" i="1"/>
  <c r="AA4030" i="1" s="1"/>
  <c r="Y4031" i="1"/>
  <c r="AA4031" i="1" s="1"/>
  <c r="Y4032" i="1"/>
  <c r="AA4032" i="1" s="1"/>
  <c r="Y4033" i="1"/>
  <c r="AA4033" i="1" s="1"/>
  <c r="Y4034" i="1"/>
  <c r="AA4034" i="1" s="1"/>
  <c r="Y4035" i="1"/>
  <c r="AA4035" i="1" s="1"/>
  <c r="Y4036" i="1"/>
  <c r="AA4036" i="1" s="1"/>
  <c r="Y4037" i="1"/>
  <c r="AA4037" i="1" s="1"/>
  <c r="Y4038" i="1"/>
  <c r="AA4038" i="1" s="1"/>
  <c r="Y4039" i="1"/>
  <c r="AA4039" i="1" s="1"/>
  <c r="Y4040" i="1"/>
  <c r="AA4040" i="1" s="1"/>
  <c r="Y4041" i="1"/>
  <c r="AA4041" i="1" s="1"/>
  <c r="Y4042" i="1"/>
  <c r="AA4042" i="1" s="1"/>
  <c r="Y4043" i="1"/>
  <c r="AA4043" i="1" s="1"/>
  <c r="Y4044" i="1"/>
  <c r="AA4044" i="1" s="1"/>
  <c r="Y4045" i="1"/>
  <c r="AA4045" i="1" s="1"/>
  <c r="Y4046" i="1"/>
  <c r="AA4046" i="1" s="1"/>
  <c r="Y4047" i="1"/>
  <c r="AA4047" i="1" s="1"/>
  <c r="Y4048" i="1"/>
  <c r="AA4048" i="1" s="1"/>
  <c r="Y4049" i="1"/>
  <c r="AA4049" i="1" s="1"/>
  <c r="Y4050" i="1"/>
  <c r="AA4050" i="1" s="1"/>
  <c r="Y4051" i="1"/>
  <c r="AA4051" i="1" s="1"/>
  <c r="Y4052" i="1"/>
  <c r="AA4052" i="1" s="1"/>
  <c r="Y4053" i="1"/>
  <c r="AA4053" i="1" s="1"/>
  <c r="Y4054" i="1"/>
  <c r="AA4054" i="1" s="1"/>
  <c r="Y4055" i="1"/>
  <c r="AA4055" i="1" s="1"/>
  <c r="Y4056" i="1"/>
  <c r="AA4056" i="1" s="1"/>
  <c r="Y4057" i="1"/>
  <c r="AA4057" i="1" s="1"/>
  <c r="Y4058" i="1"/>
  <c r="AA4058" i="1" s="1"/>
  <c r="Y4059" i="1"/>
  <c r="AA4059" i="1" s="1"/>
  <c r="Y4060" i="1"/>
  <c r="AA4060" i="1" s="1"/>
  <c r="Y4061" i="1"/>
  <c r="AA4061" i="1" s="1"/>
  <c r="Y4062" i="1"/>
  <c r="AA4062" i="1" s="1"/>
  <c r="Y4063" i="1"/>
  <c r="AA4063" i="1" s="1"/>
  <c r="Y4064" i="1"/>
  <c r="AA4064" i="1" s="1"/>
  <c r="Y4065" i="1"/>
  <c r="AA4065" i="1" s="1"/>
  <c r="Y4066" i="1"/>
  <c r="AA4066" i="1" s="1"/>
  <c r="Y4067" i="1"/>
  <c r="AA4067" i="1" s="1"/>
  <c r="Y4068" i="1"/>
  <c r="AA4068" i="1" s="1"/>
  <c r="Y4069" i="1"/>
  <c r="AA4069" i="1" s="1"/>
  <c r="Y4070" i="1"/>
  <c r="AA4070" i="1" s="1"/>
  <c r="Y4071" i="1"/>
  <c r="AA4071" i="1" s="1"/>
  <c r="Y4072" i="1"/>
  <c r="AA4072" i="1" s="1"/>
  <c r="Y4073" i="1"/>
  <c r="AA4073" i="1" s="1"/>
  <c r="Y4074" i="1"/>
  <c r="AA4074" i="1" s="1"/>
  <c r="Y4075" i="1"/>
  <c r="AA4075" i="1" s="1"/>
  <c r="Y4076" i="1"/>
  <c r="AA4076" i="1" s="1"/>
  <c r="Y4077" i="1"/>
  <c r="AA4077" i="1" s="1"/>
  <c r="Y4078" i="1"/>
  <c r="AA4078" i="1" s="1"/>
  <c r="Y2001" i="1"/>
  <c r="Y2002" i="1"/>
  <c r="AA2002" i="1" s="1"/>
  <c r="Y2003" i="1"/>
  <c r="Y2004" i="1"/>
  <c r="AA2004" i="1" s="1"/>
  <c r="Y2005" i="1"/>
  <c r="AA2005" i="1" s="1"/>
  <c r="Y2006" i="1"/>
  <c r="AA2006" i="1" s="1"/>
  <c r="Y2007" i="1"/>
  <c r="AE3127" i="1"/>
  <c r="AE3128" i="1"/>
  <c r="AE3129" i="1"/>
  <c r="AE3130" i="1"/>
  <c r="AE3131" i="1"/>
  <c r="AE3132" i="1"/>
  <c r="AE3133" i="1"/>
  <c r="AE3134" i="1"/>
  <c r="AE3135" i="1"/>
  <c r="AE3136" i="1"/>
  <c r="AE3137" i="1"/>
  <c r="AE3138" i="1"/>
  <c r="AE3139" i="1"/>
  <c r="AE3140" i="1"/>
  <c r="AE3141" i="1"/>
  <c r="AE3142" i="1"/>
  <c r="AE3143" i="1"/>
  <c r="AE3144" i="1"/>
  <c r="AE3145" i="1"/>
  <c r="AE3146" i="1"/>
  <c r="AE3147" i="1"/>
  <c r="AE3148" i="1"/>
  <c r="AE3149" i="1"/>
  <c r="AE3150" i="1"/>
  <c r="AE3151" i="1"/>
  <c r="AE3152" i="1"/>
  <c r="AE3153" i="1"/>
  <c r="AE3154" i="1"/>
  <c r="AE3155" i="1"/>
  <c r="AE3156" i="1"/>
  <c r="AE3157" i="1"/>
  <c r="AE3158" i="1"/>
  <c r="AE3159" i="1"/>
  <c r="AE3160" i="1"/>
  <c r="AE3161" i="1"/>
  <c r="AE3162" i="1"/>
  <c r="AE3163" i="1"/>
  <c r="AE3164" i="1"/>
  <c r="AE3165" i="1"/>
  <c r="AE3166" i="1"/>
  <c r="AE3167" i="1"/>
  <c r="AE3168" i="1"/>
  <c r="AE3169" i="1"/>
  <c r="AE3170" i="1"/>
  <c r="AE3171" i="1"/>
  <c r="AE3172" i="1"/>
  <c r="AE3173" i="1"/>
  <c r="AE3174" i="1"/>
  <c r="AE3175" i="1"/>
  <c r="AE3176" i="1"/>
  <c r="AE3177" i="1"/>
  <c r="AE3178" i="1"/>
  <c r="AE3179" i="1"/>
  <c r="AE3180" i="1"/>
  <c r="AE3181" i="1"/>
  <c r="AE3182" i="1"/>
  <c r="AE3183" i="1"/>
  <c r="AE3184" i="1"/>
  <c r="AE3185" i="1"/>
  <c r="AE3186" i="1"/>
  <c r="AE3187" i="1"/>
  <c r="AE3188" i="1"/>
  <c r="AE3189" i="1"/>
  <c r="AE3190" i="1"/>
  <c r="AE3191" i="1"/>
  <c r="AE3192" i="1"/>
  <c r="AE3193" i="1"/>
  <c r="AE3194" i="1"/>
  <c r="AE3195" i="1"/>
  <c r="AE3196" i="1"/>
  <c r="AE3197" i="1"/>
  <c r="AE3198" i="1"/>
  <c r="AE3199" i="1"/>
  <c r="AE3200" i="1"/>
  <c r="AE3201" i="1"/>
  <c r="AE3202" i="1"/>
  <c r="AE3203" i="1"/>
  <c r="AE3204" i="1"/>
  <c r="AE3205" i="1"/>
  <c r="AE3206" i="1"/>
  <c r="AE3207" i="1"/>
  <c r="AE3208" i="1"/>
  <c r="AE3209" i="1"/>
  <c r="AE3210" i="1"/>
  <c r="AE3211" i="1"/>
  <c r="AE3212" i="1"/>
  <c r="AE3213" i="1"/>
  <c r="AE3214" i="1"/>
  <c r="AE3215" i="1"/>
  <c r="AE3216" i="1"/>
  <c r="AE3217" i="1"/>
  <c r="AE3218" i="1"/>
  <c r="AE3219" i="1"/>
  <c r="AE3220" i="1"/>
  <c r="AE3221" i="1"/>
  <c r="AE3222" i="1"/>
  <c r="AE3223" i="1"/>
  <c r="AE3224" i="1"/>
  <c r="AE3225" i="1"/>
  <c r="AE3226" i="1"/>
  <c r="AE3227" i="1"/>
  <c r="AE3228" i="1"/>
  <c r="AE3229" i="1"/>
  <c r="AE3230" i="1"/>
  <c r="AE3231" i="1"/>
  <c r="AE3232" i="1"/>
  <c r="AE3233" i="1"/>
  <c r="AE3234" i="1"/>
  <c r="AE3235" i="1"/>
  <c r="AE3236" i="1"/>
  <c r="AE3237" i="1"/>
  <c r="AE3238" i="1"/>
  <c r="AE3239" i="1"/>
  <c r="AE3240" i="1"/>
  <c r="AE3241" i="1"/>
  <c r="AE3242" i="1"/>
  <c r="AE3243" i="1"/>
  <c r="AE3244" i="1"/>
  <c r="AE3245" i="1"/>
  <c r="AE3246" i="1"/>
  <c r="AE3247" i="1"/>
  <c r="AE3248" i="1"/>
  <c r="AE3249" i="1"/>
  <c r="AE3250" i="1"/>
  <c r="AE3251" i="1"/>
  <c r="AE3252" i="1"/>
  <c r="AE3253" i="1"/>
  <c r="AE3254" i="1"/>
  <c r="AE3255" i="1"/>
  <c r="AE3256" i="1"/>
  <c r="AE3257" i="1"/>
  <c r="AE3258" i="1"/>
  <c r="AE3259" i="1"/>
  <c r="AE3260" i="1"/>
  <c r="AE3261" i="1"/>
  <c r="AE3262" i="1"/>
  <c r="AE3263" i="1"/>
  <c r="AE3264" i="1"/>
  <c r="AE3265" i="1"/>
  <c r="AE3266" i="1"/>
  <c r="AE3267" i="1"/>
  <c r="AE3268" i="1"/>
  <c r="AE3269" i="1"/>
  <c r="AE3270" i="1"/>
  <c r="AE3271" i="1"/>
  <c r="AE3272" i="1"/>
  <c r="AE3273" i="1"/>
  <c r="AE3274" i="1"/>
  <c r="AE3275" i="1"/>
  <c r="AE3276" i="1"/>
  <c r="AE3277" i="1"/>
  <c r="AE3278" i="1"/>
  <c r="AE3279" i="1"/>
  <c r="AE3280" i="1"/>
  <c r="AE3281" i="1"/>
  <c r="AE3282" i="1"/>
  <c r="AE3283" i="1"/>
  <c r="AE3284" i="1"/>
  <c r="AE3285" i="1"/>
  <c r="AE3286" i="1"/>
  <c r="AE3287" i="1"/>
  <c r="AE3288" i="1"/>
  <c r="AE3289" i="1"/>
  <c r="AE3290" i="1"/>
  <c r="AE3291" i="1"/>
  <c r="AE3292" i="1"/>
  <c r="AE3293" i="1"/>
  <c r="AE3294" i="1"/>
  <c r="AE3295" i="1"/>
  <c r="AE3296" i="1"/>
  <c r="AE3297" i="1"/>
  <c r="AE3298" i="1"/>
  <c r="AE3299" i="1"/>
  <c r="AE3300" i="1"/>
  <c r="AE3301" i="1"/>
  <c r="AE3302" i="1"/>
  <c r="AE3303" i="1"/>
  <c r="AE3304" i="1"/>
  <c r="AE3305" i="1"/>
  <c r="AE3306" i="1"/>
  <c r="AE3307" i="1"/>
  <c r="AE3308" i="1"/>
  <c r="AE3309" i="1"/>
  <c r="AE3310" i="1"/>
  <c r="AE3311" i="1"/>
  <c r="AE3312" i="1"/>
  <c r="AE3313" i="1"/>
  <c r="AE3314" i="1"/>
  <c r="AE3315" i="1"/>
  <c r="AE3316" i="1"/>
  <c r="AE3317" i="1"/>
  <c r="AE3318" i="1"/>
  <c r="AE3319" i="1"/>
  <c r="AE3320" i="1"/>
  <c r="AE3321" i="1"/>
  <c r="AE3322" i="1"/>
  <c r="AE3323" i="1"/>
  <c r="AE3324" i="1"/>
  <c r="AE3325" i="1"/>
  <c r="AE3326" i="1"/>
  <c r="AE3327" i="1"/>
  <c r="AE3328" i="1"/>
  <c r="AE3329" i="1"/>
  <c r="AE3330" i="1"/>
  <c r="AE3331" i="1"/>
  <c r="AE3332" i="1"/>
  <c r="AE3333" i="1"/>
  <c r="AE3334" i="1"/>
  <c r="AE3335" i="1"/>
  <c r="AE3336" i="1"/>
  <c r="AE3337" i="1"/>
  <c r="AE3338" i="1"/>
  <c r="AE3339" i="1"/>
  <c r="AE3340" i="1"/>
  <c r="AE3341" i="1"/>
  <c r="AE3342" i="1"/>
  <c r="AE3343" i="1"/>
  <c r="AE3344" i="1"/>
  <c r="AE3345" i="1"/>
  <c r="AE3346" i="1"/>
  <c r="AE3347" i="1"/>
  <c r="AE3348" i="1"/>
  <c r="AE3349" i="1"/>
  <c r="AE3350" i="1"/>
  <c r="AE3351" i="1"/>
  <c r="AE3352" i="1"/>
  <c r="AE3353" i="1"/>
  <c r="AE3354" i="1"/>
  <c r="AE3355" i="1"/>
  <c r="AE3356" i="1"/>
  <c r="AE3357" i="1"/>
  <c r="AE3358" i="1"/>
  <c r="AE3359" i="1"/>
  <c r="AE3360" i="1"/>
  <c r="AE3361" i="1"/>
  <c r="AE3362" i="1"/>
  <c r="AE3363" i="1"/>
  <c r="AE3364" i="1"/>
  <c r="AE3365" i="1"/>
  <c r="AE3366" i="1"/>
  <c r="AE3367" i="1"/>
  <c r="AE3368" i="1"/>
  <c r="AE3369" i="1"/>
  <c r="AE3370" i="1"/>
  <c r="AE3371" i="1"/>
  <c r="AE3372" i="1"/>
  <c r="AE3373" i="1"/>
  <c r="AE3374" i="1"/>
  <c r="AE3375" i="1"/>
  <c r="AE3376" i="1"/>
  <c r="AE3377" i="1"/>
  <c r="AE3378" i="1"/>
  <c r="AE3379" i="1"/>
  <c r="AE3380" i="1"/>
  <c r="AE3381" i="1"/>
  <c r="AE3382" i="1"/>
  <c r="AE3383" i="1"/>
  <c r="AE3384" i="1"/>
  <c r="AE3385" i="1"/>
  <c r="AE3386" i="1"/>
  <c r="AE3387" i="1"/>
  <c r="AE3388" i="1"/>
  <c r="AE3389" i="1"/>
  <c r="AE3390" i="1"/>
  <c r="AE3391" i="1"/>
  <c r="AE3392" i="1"/>
  <c r="AE3393" i="1"/>
  <c r="AE3394" i="1"/>
  <c r="AE3395" i="1"/>
  <c r="AE3396" i="1"/>
  <c r="AE3397" i="1"/>
  <c r="AE3398" i="1"/>
  <c r="AE3399" i="1"/>
  <c r="AE3400" i="1"/>
  <c r="AE3401" i="1"/>
  <c r="AE3402" i="1"/>
  <c r="AE3403" i="1"/>
  <c r="AE3404" i="1"/>
  <c r="AE3405" i="1"/>
  <c r="AE3406" i="1"/>
  <c r="AE3407" i="1"/>
  <c r="AE3408" i="1"/>
  <c r="AE3409" i="1"/>
  <c r="AE3410" i="1"/>
  <c r="AE3411" i="1"/>
  <c r="AE3412" i="1"/>
  <c r="AE3413" i="1"/>
  <c r="AE3414" i="1"/>
  <c r="AE3415" i="1"/>
  <c r="AE3416" i="1"/>
  <c r="AE3417" i="1"/>
  <c r="AE3418" i="1"/>
  <c r="AE3419" i="1"/>
  <c r="AE3420" i="1"/>
  <c r="AE3421" i="1"/>
  <c r="AE3422" i="1"/>
  <c r="AE3423" i="1"/>
  <c r="AE3424" i="1"/>
  <c r="AE3425" i="1"/>
  <c r="AE3426" i="1"/>
  <c r="AE3427" i="1"/>
  <c r="AE3428" i="1"/>
  <c r="AE3429" i="1"/>
  <c r="AE3430" i="1"/>
  <c r="AE3431" i="1"/>
  <c r="AE3432" i="1"/>
  <c r="AE3433" i="1"/>
  <c r="AE3434" i="1"/>
  <c r="AE3435" i="1"/>
  <c r="AE3436" i="1"/>
  <c r="AE3437" i="1"/>
  <c r="AE3438" i="1"/>
  <c r="AE3439" i="1"/>
  <c r="AE3440" i="1"/>
  <c r="AE3441" i="1"/>
  <c r="AE3442" i="1"/>
  <c r="AE3443" i="1"/>
  <c r="AE3444" i="1"/>
  <c r="AE3445" i="1"/>
  <c r="AE3446" i="1"/>
  <c r="AE3447" i="1"/>
  <c r="AE3448" i="1"/>
  <c r="AE3449" i="1"/>
  <c r="AE3450" i="1"/>
  <c r="AE3451" i="1"/>
  <c r="AE3452" i="1"/>
  <c r="AE3453" i="1"/>
  <c r="AE3454" i="1"/>
  <c r="AE3455" i="1"/>
  <c r="AE3456" i="1"/>
  <c r="AE3457" i="1"/>
  <c r="AE3458" i="1"/>
  <c r="AE3459" i="1"/>
  <c r="AE3460" i="1"/>
  <c r="AE3461" i="1"/>
  <c r="AE3462" i="1"/>
  <c r="AE3463" i="1"/>
  <c r="AE3464" i="1"/>
  <c r="AE3465" i="1"/>
  <c r="AE3466" i="1"/>
  <c r="AE3467" i="1"/>
  <c r="AE3468" i="1"/>
  <c r="AE3469" i="1"/>
  <c r="AE3470" i="1"/>
  <c r="AE3471" i="1"/>
  <c r="AE3472" i="1"/>
  <c r="AE3473" i="1"/>
  <c r="AE3474" i="1"/>
  <c r="AE3475" i="1"/>
  <c r="AE3476" i="1"/>
  <c r="AE3477" i="1"/>
  <c r="AE3478" i="1"/>
  <c r="AE3479" i="1"/>
  <c r="AE3480" i="1"/>
  <c r="AE3481" i="1"/>
  <c r="AE3482" i="1"/>
  <c r="AE3483" i="1"/>
  <c r="AE3484" i="1"/>
  <c r="AE3485" i="1"/>
  <c r="AE3486" i="1"/>
  <c r="AE3487" i="1"/>
  <c r="AE3488" i="1"/>
  <c r="AE3489" i="1"/>
  <c r="AE3490" i="1"/>
  <c r="AE3491" i="1"/>
  <c r="AE3492" i="1"/>
  <c r="AE3493" i="1"/>
  <c r="AE3494" i="1"/>
  <c r="AE3495" i="1"/>
  <c r="AE3496" i="1"/>
  <c r="AE3497" i="1"/>
  <c r="AE3498" i="1"/>
  <c r="AE3499" i="1"/>
  <c r="AE3500" i="1"/>
  <c r="AE3501" i="1"/>
  <c r="AE3502" i="1"/>
  <c r="AE3503" i="1"/>
  <c r="AE3504" i="1"/>
  <c r="AE3505" i="1"/>
  <c r="AE3506" i="1"/>
  <c r="AE3507" i="1"/>
  <c r="AE3508" i="1"/>
  <c r="AE3509" i="1"/>
  <c r="AE3510" i="1"/>
  <c r="AE3511" i="1"/>
  <c r="AE3512" i="1"/>
  <c r="AE3513" i="1"/>
  <c r="AE3514" i="1"/>
  <c r="AE3515" i="1"/>
  <c r="AE3516" i="1"/>
  <c r="AE3517" i="1"/>
  <c r="AE3518" i="1"/>
  <c r="AE3519" i="1"/>
  <c r="AE3520" i="1"/>
  <c r="AE3521" i="1"/>
  <c r="AE3522" i="1"/>
  <c r="AE3523" i="1"/>
  <c r="AE3524" i="1"/>
  <c r="AE3525" i="1"/>
  <c r="AE3526" i="1"/>
  <c r="AE3527" i="1"/>
  <c r="AE3528" i="1"/>
  <c r="AE3529" i="1"/>
  <c r="AE3530" i="1"/>
  <c r="AE3531" i="1"/>
  <c r="AE3532" i="1"/>
  <c r="AE3533" i="1"/>
  <c r="AE3534" i="1"/>
  <c r="AE3535" i="1"/>
  <c r="AE3536" i="1"/>
  <c r="AE3537" i="1"/>
  <c r="AE3538" i="1"/>
  <c r="AE3539" i="1"/>
  <c r="AE3540" i="1"/>
  <c r="AE3541" i="1"/>
  <c r="AE3542" i="1"/>
  <c r="AE3543" i="1"/>
  <c r="AE3544" i="1"/>
  <c r="AE3545" i="1"/>
  <c r="AE3546" i="1"/>
  <c r="AE3547" i="1"/>
  <c r="AE3548" i="1"/>
  <c r="AE3549" i="1"/>
  <c r="AE3550" i="1"/>
  <c r="AE3551" i="1"/>
  <c r="AE3552" i="1"/>
  <c r="AE3553" i="1"/>
  <c r="AE3554" i="1"/>
  <c r="AE3555" i="1"/>
  <c r="AE3556" i="1"/>
  <c r="AE3557" i="1"/>
  <c r="AE3558" i="1"/>
  <c r="AE3559" i="1"/>
  <c r="AE3560" i="1"/>
  <c r="AE3561" i="1"/>
  <c r="AE3562" i="1"/>
  <c r="AE3563" i="1"/>
  <c r="AE3564" i="1"/>
  <c r="AE3565" i="1"/>
  <c r="AE3566" i="1"/>
  <c r="AE3567" i="1"/>
  <c r="AE3568" i="1"/>
  <c r="AE3569" i="1"/>
  <c r="AE3570" i="1"/>
  <c r="AE3571" i="1"/>
  <c r="AE3572" i="1"/>
  <c r="AE3573" i="1"/>
  <c r="AE3574" i="1"/>
  <c r="AE3575" i="1"/>
  <c r="AE3576" i="1"/>
  <c r="AE3577" i="1"/>
  <c r="AE3578" i="1"/>
  <c r="AE3579" i="1"/>
  <c r="AE3580" i="1"/>
  <c r="AE3581" i="1"/>
  <c r="AE3582" i="1"/>
  <c r="AE3583" i="1"/>
  <c r="AE3584" i="1"/>
  <c r="AE3585" i="1"/>
  <c r="AE3586" i="1"/>
  <c r="AE3587" i="1"/>
  <c r="AE3588" i="1"/>
  <c r="AE3589" i="1"/>
  <c r="AE3590" i="1"/>
  <c r="AE3591" i="1"/>
  <c r="AE3592" i="1"/>
  <c r="AE3593" i="1"/>
  <c r="AE3594" i="1"/>
  <c r="AE3595" i="1"/>
  <c r="AE3596" i="1"/>
  <c r="AE3597" i="1"/>
  <c r="AE3598" i="1"/>
  <c r="AE3599" i="1"/>
  <c r="AE3600" i="1"/>
  <c r="AE3601" i="1"/>
  <c r="AE3602" i="1"/>
  <c r="AE3603" i="1"/>
  <c r="AE3604" i="1"/>
  <c r="AE3605" i="1"/>
  <c r="AE3606" i="1"/>
  <c r="AE3607" i="1"/>
  <c r="AE3608" i="1"/>
  <c r="AE3609" i="1"/>
  <c r="AE3610" i="1"/>
  <c r="AE3611" i="1"/>
  <c r="AE3612" i="1"/>
  <c r="AE3613" i="1"/>
  <c r="AE3614" i="1"/>
  <c r="AE3615" i="1"/>
  <c r="AE3616" i="1"/>
  <c r="AE3617" i="1"/>
  <c r="AE3618" i="1"/>
  <c r="AE3619" i="1"/>
  <c r="AE3620" i="1"/>
  <c r="AE3621" i="1"/>
  <c r="AE3622" i="1"/>
  <c r="AE3623" i="1"/>
  <c r="AE3624" i="1"/>
  <c r="AE3625" i="1"/>
  <c r="AE3626" i="1"/>
  <c r="AE3627" i="1"/>
  <c r="AE3628" i="1"/>
  <c r="AE3629" i="1"/>
  <c r="AE3630" i="1"/>
  <c r="AE3631" i="1"/>
  <c r="AE3632" i="1"/>
  <c r="AE3633" i="1"/>
  <c r="AE3634" i="1"/>
  <c r="AE3635" i="1"/>
  <c r="AE3636" i="1"/>
  <c r="AE3637" i="1"/>
  <c r="AE3638" i="1"/>
  <c r="AE3639" i="1"/>
  <c r="AE3640" i="1"/>
  <c r="AE3641" i="1"/>
  <c r="AE3642" i="1"/>
  <c r="AE3643" i="1"/>
  <c r="AE3644" i="1"/>
  <c r="AE3645" i="1"/>
  <c r="AE3646" i="1"/>
  <c r="AE3647" i="1"/>
  <c r="AE3648" i="1"/>
  <c r="AE3649" i="1"/>
  <c r="AE3650" i="1"/>
  <c r="AE3651" i="1"/>
  <c r="AE3652" i="1"/>
  <c r="AE3653" i="1"/>
  <c r="AE3654" i="1"/>
  <c r="AE3655" i="1"/>
  <c r="AE3656" i="1"/>
  <c r="AE3657" i="1"/>
  <c r="AE3658" i="1"/>
  <c r="AE3659" i="1"/>
  <c r="AE3660" i="1"/>
  <c r="AE3661" i="1"/>
  <c r="AE3662" i="1"/>
  <c r="AE3663" i="1"/>
  <c r="AE3664" i="1"/>
  <c r="AE3665" i="1"/>
  <c r="AE3666" i="1"/>
  <c r="AE3667" i="1"/>
  <c r="AE3668" i="1"/>
  <c r="AE3669" i="1"/>
  <c r="AE3670" i="1"/>
  <c r="AE3671" i="1"/>
  <c r="AE3672" i="1"/>
  <c r="AE3673" i="1"/>
  <c r="AE3674" i="1"/>
  <c r="AE3675" i="1"/>
  <c r="AE3676" i="1"/>
  <c r="AE3677" i="1"/>
  <c r="AE3678" i="1"/>
  <c r="AE3679" i="1"/>
  <c r="AE3680" i="1"/>
  <c r="AE3681" i="1"/>
  <c r="AE3682" i="1"/>
  <c r="AE3683" i="1"/>
  <c r="AE3684" i="1"/>
  <c r="AE3685" i="1"/>
  <c r="AE3686" i="1"/>
  <c r="AE3687" i="1"/>
  <c r="AE3688" i="1"/>
  <c r="AE3689" i="1"/>
  <c r="AE3690" i="1"/>
  <c r="AE3691" i="1"/>
  <c r="AE3692" i="1"/>
  <c r="AE3693" i="1"/>
  <c r="AE3694" i="1"/>
  <c r="AE3695" i="1"/>
  <c r="AE3696" i="1"/>
  <c r="AE3697" i="1"/>
  <c r="AE3698" i="1"/>
  <c r="AE3699" i="1"/>
  <c r="AE3700" i="1"/>
  <c r="AE3701" i="1"/>
  <c r="AE3702" i="1"/>
  <c r="AE3703" i="1"/>
  <c r="AE3704" i="1"/>
  <c r="AE3705" i="1"/>
  <c r="AE3706" i="1"/>
  <c r="AE3707" i="1"/>
  <c r="AE3708" i="1"/>
  <c r="AE3709" i="1"/>
  <c r="AE3710" i="1"/>
  <c r="AE3711" i="1"/>
  <c r="AE3712" i="1"/>
  <c r="AE3713" i="1"/>
  <c r="AE3714" i="1"/>
  <c r="AE3715" i="1"/>
  <c r="AE3716" i="1"/>
  <c r="AE3717" i="1"/>
  <c r="AE3718" i="1"/>
  <c r="AE3719" i="1"/>
  <c r="AE3720" i="1"/>
  <c r="AE3721" i="1"/>
  <c r="AE3722" i="1"/>
  <c r="AE3723" i="1"/>
  <c r="AE3724" i="1"/>
  <c r="AE3725" i="1"/>
  <c r="AE3726" i="1"/>
  <c r="AE3727" i="1"/>
  <c r="AE3728" i="1"/>
  <c r="AE3729" i="1"/>
  <c r="AE3730" i="1"/>
  <c r="AE3731" i="1"/>
  <c r="AE3732" i="1"/>
  <c r="AE3733" i="1"/>
  <c r="AE3734" i="1"/>
  <c r="AE3735" i="1"/>
  <c r="AE3736" i="1"/>
  <c r="AE3737" i="1"/>
  <c r="AE3738" i="1"/>
  <c r="AE3739" i="1"/>
  <c r="AE3740" i="1"/>
  <c r="AE3741" i="1"/>
  <c r="AE3742" i="1"/>
  <c r="AE3743" i="1"/>
  <c r="AE3744" i="1"/>
  <c r="AE3745" i="1"/>
  <c r="AE3746" i="1"/>
  <c r="AE3747" i="1"/>
  <c r="AE3748" i="1"/>
  <c r="AE3749" i="1"/>
  <c r="AE3750" i="1"/>
  <c r="AE3751" i="1"/>
  <c r="AE3752" i="1"/>
  <c r="AE3753" i="1"/>
  <c r="AE3754" i="1"/>
  <c r="AE3755" i="1"/>
  <c r="AE3756" i="1"/>
  <c r="AE3757" i="1"/>
  <c r="AE3758" i="1"/>
  <c r="AE3759" i="1"/>
  <c r="AE3760" i="1"/>
  <c r="AE3761" i="1"/>
  <c r="AE3762" i="1"/>
  <c r="AE3763" i="1"/>
  <c r="AE3764" i="1"/>
  <c r="AE3765" i="1"/>
  <c r="AE3766" i="1"/>
  <c r="AE3767" i="1"/>
  <c r="AE3768" i="1"/>
  <c r="AE3769" i="1"/>
  <c r="AE3770" i="1"/>
  <c r="AE3771" i="1"/>
  <c r="AE3772" i="1"/>
  <c r="AE3773" i="1"/>
  <c r="AE3774" i="1"/>
  <c r="AE3775" i="1"/>
  <c r="AE3776" i="1"/>
  <c r="AE3777" i="1"/>
  <c r="AE3778" i="1"/>
  <c r="AE3779" i="1"/>
  <c r="AE3780" i="1"/>
  <c r="AE3781" i="1"/>
  <c r="AE3782" i="1"/>
  <c r="AE3783" i="1"/>
  <c r="AE3784" i="1"/>
  <c r="AE3785" i="1"/>
  <c r="AE3786" i="1"/>
  <c r="AE3787" i="1"/>
  <c r="AE3788" i="1"/>
  <c r="AE3789" i="1"/>
  <c r="AE3790" i="1"/>
  <c r="AE3791" i="1"/>
  <c r="AE3792" i="1"/>
  <c r="AE3793" i="1"/>
  <c r="AE3794" i="1"/>
  <c r="AE3795" i="1"/>
  <c r="AE3796" i="1"/>
  <c r="AE3797" i="1"/>
  <c r="AE3798" i="1"/>
  <c r="AE3799" i="1"/>
  <c r="AE3800" i="1"/>
  <c r="AE3801" i="1"/>
  <c r="AE3802" i="1"/>
  <c r="AE3803" i="1"/>
  <c r="AE3804" i="1"/>
  <c r="AE3805" i="1"/>
  <c r="AE3806" i="1"/>
  <c r="AE3807" i="1"/>
  <c r="AE3808" i="1"/>
  <c r="AE3809" i="1"/>
  <c r="AE3810" i="1"/>
  <c r="AE3811" i="1"/>
  <c r="AE3812" i="1"/>
  <c r="AE3813" i="1"/>
  <c r="AE3814" i="1"/>
  <c r="AE3815" i="1"/>
  <c r="AE3816" i="1"/>
  <c r="AE3817" i="1"/>
  <c r="AE3818" i="1"/>
  <c r="AE3819" i="1"/>
  <c r="AE3820" i="1"/>
  <c r="AE3821" i="1"/>
  <c r="AE3822" i="1"/>
  <c r="AE3823" i="1"/>
  <c r="AE3824" i="1"/>
  <c r="AE3825" i="1"/>
  <c r="AE3826" i="1"/>
  <c r="AE3827" i="1"/>
  <c r="AE3828" i="1"/>
  <c r="AE3829" i="1"/>
  <c r="AE3830" i="1"/>
  <c r="AE3831" i="1"/>
  <c r="AE3832" i="1"/>
  <c r="AE3833" i="1"/>
  <c r="AE3834" i="1"/>
  <c r="AE3835" i="1"/>
  <c r="AE3836" i="1"/>
  <c r="AE3837" i="1"/>
  <c r="AE3838" i="1"/>
  <c r="AE3839" i="1"/>
  <c r="AE3840" i="1"/>
  <c r="AE3841" i="1"/>
  <c r="AE3842" i="1"/>
  <c r="AE3843" i="1"/>
  <c r="AE3844" i="1"/>
  <c r="AE3845" i="1"/>
  <c r="AE3846" i="1"/>
  <c r="AE3847" i="1"/>
  <c r="AE3848" i="1"/>
  <c r="AE3849" i="1"/>
  <c r="AE3850" i="1"/>
  <c r="AE3851" i="1"/>
  <c r="AE3852" i="1"/>
  <c r="AE3853" i="1"/>
  <c r="AE3854" i="1"/>
  <c r="AE3855" i="1"/>
  <c r="AE3856" i="1"/>
  <c r="AE3857" i="1"/>
  <c r="AE3858" i="1"/>
  <c r="AE3859" i="1"/>
  <c r="AE3860" i="1"/>
  <c r="AE3861" i="1"/>
  <c r="AE3862" i="1"/>
  <c r="AE3863" i="1"/>
  <c r="AE3864" i="1"/>
  <c r="AE3865" i="1"/>
  <c r="AE3866" i="1"/>
  <c r="AE3867" i="1"/>
  <c r="AE3868" i="1"/>
  <c r="AE3869" i="1"/>
  <c r="AE3870" i="1"/>
  <c r="AE3871" i="1"/>
  <c r="AE3872" i="1"/>
  <c r="AE3873" i="1"/>
  <c r="AE3874" i="1"/>
  <c r="AE3875" i="1"/>
  <c r="AE3876" i="1"/>
  <c r="AE3877" i="1"/>
  <c r="AE3878" i="1"/>
  <c r="AE3879" i="1"/>
  <c r="AE3880" i="1"/>
  <c r="AE3881" i="1"/>
  <c r="AE3882" i="1"/>
  <c r="AE3883" i="1"/>
  <c r="AE3884" i="1"/>
  <c r="AE3885" i="1"/>
  <c r="AE3886" i="1"/>
  <c r="AE3887" i="1"/>
  <c r="AE3888" i="1"/>
  <c r="AE3889" i="1"/>
  <c r="AE3890" i="1"/>
  <c r="AE3891" i="1"/>
  <c r="AE3892" i="1"/>
  <c r="AE3893" i="1"/>
  <c r="AE3894" i="1"/>
  <c r="AE3895" i="1"/>
  <c r="AE3896" i="1"/>
  <c r="AE3897" i="1"/>
  <c r="AE3898" i="1"/>
  <c r="AE3899" i="1"/>
  <c r="AE3900" i="1"/>
  <c r="AE3901" i="1"/>
  <c r="AE3902" i="1"/>
  <c r="AE3903" i="1"/>
  <c r="AE3904" i="1"/>
  <c r="AE3905" i="1"/>
  <c r="AE3906" i="1"/>
  <c r="AE3907" i="1"/>
  <c r="AE3908" i="1"/>
  <c r="AE3909" i="1"/>
  <c r="AE3910" i="1"/>
  <c r="AE3911" i="1"/>
  <c r="AE3912" i="1"/>
  <c r="AE3913" i="1"/>
  <c r="AE3914" i="1"/>
  <c r="AE3915" i="1"/>
  <c r="AE3916" i="1"/>
  <c r="AE3917" i="1"/>
  <c r="AE3918" i="1"/>
  <c r="AE3919" i="1"/>
  <c r="AE3920" i="1"/>
  <c r="AE3921" i="1"/>
  <c r="AE3922" i="1"/>
  <c r="AE3923" i="1"/>
  <c r="AE3924" i="1"/>
  <c r="AE3925" i="1"/>
  <c r="AE3926" i="1"/>
  <c r="AE3927" i="1"/>
  <c r="AE3928" i="1"/>
  <c r="AE3929" i="1"/>
  <c r="AE3930" i="1"/>
  <c r="AE3931" i="1"/>
  <c r="AE3932" i="1"/>
  <c r="AE3933" i="1"/>
  <c r="AE3934" i="1"/>
  <c r="AE3935" i="1"/>
  <c r="AE3936" i="1"/>
  <c r="AE3937" i="1"/>
  <c r="AE3938" i="1"/>
  <c r="AE3939" i="1"/>
  <c r="AE3940" i="1"/>
  <c r="AE3941" i="1"/>
  <c r="AE3942" i="1"/>
  <c r="AE3943" i="1"/>
  <c r="AE3944" i="1"/>
  <c r="AE3945" i="1"/>
  <c r="AE3946" i="1"/>
  <c r="AE3947" i="1"/>
  <c r="AE3948" i="1"/>
  <c r="AE3949" i="1"/>
  <c r="AE3950" i="1"/>
  <c r="AE3951" i="1"/>
  <c r="AE3952" i="1"/>
  <c r="AE3953" i="1"/>
  <c r="AE3954" i="1"/>
  <c r="AE3955" i="1"/>
  <c r="AE3956" i="1"/>
  <c r="AE3957" i="1"/>
  <c r="AE3958" i="1"/>
  <c r="AE3959" i="1"/>
  <c r="AE3960" i="1"/>
  <c r="AE3961" i="1"/>
  <c r="AE3962" i="1"/>
  <c r="AE3963" i="1"/>
  <c r="AE3964" i="1"/>
  <c r="AE3965" i="1"/>
  <c r="AE3966" i="1"/>
  <c r="AE3967" i="1"/>
  <c r="AE3968" i="1"/>
  <c r="AE3969" i="1"/>
  <c r="AE3970" i="1"/>
  <c r="AE3971" i="1"/>
  <c r="AE3972" i="1"/>
  <c r="AE3973" i="1"/>
  <c r="AE3974" i="1"/>
  <c r="AE3975" i="1"/>
  <c r="AE3976" i="1"/>
  <c r="AE3977" i="1"/>
  <c r="AE3978" i="1"/>
  <c r="AE3979" i="1"/>
  <c r="AE3980" i="1"/>
  <c r="AE3981" i="1"/>
  <c r="AE3982" i="1"/>
  <c r="AE3983" i="1"/>
  <c r="AE3984" i="1"/>
  <c r="AE3985" i="1"/>
  <c r="AE3986" i="1"/>
  <c r="AE3987" i="1"/>
  <c r="AE3988" i="1"/>
  <c r="AE3989" i="1"/>
  <c r="AE3990" i="1"/>
  <c r="AE3991" i="1"/>
  <c r="AE3992" i="1"/>
  <c r="AE3993" i="1"/>
  <c r="AE3994" i="1"/>
  <c r="AE3995" i="1"/>
  <c r="AE3996" i="1"/>
  <c r="AE3997" i="1"/>
  <c r="AE3998" i="1"/>
  <c r="AE3999" i="1"/>
  <c r="AE4000" i="1"/>
  <c r="AE4001" i="1"/>
  <c r="AE4002" i="1"/>
  <c r="AE4003" i="1"/>
  <c r="AE4004" i="1"/>
  <c r="AE4005" i="1"/>
  <c r="AE4006" i="1"/>
  <c r="AE4007" i="1"/>
  <c r="AE4008" i="1"/>
  <c r="AE4009" i="1"/>
  <c r="AE4010" i="1"/>
  <c r="AE4011" i="1"/>
  <c r="AE4012" i="1"/>
  <c r="AE4013" i="1"/>
  <c r="AE4014" i="1"/>
  <c r="AE4015" i="1"/>
  <c r="AE4016" i="1"/>
  <c r="AE4017" i="1"/>
  <c r="AE4018" i="1"/>
  <c r="AE4019" i="1"/>
  <c r="AE4020" i="1"/>
  <c r="AE4021" i="1"/>
  <c r="AE4022" i="1"/>
  <c r="AE4023" i="1"/>
  <c r="AE4024" i="1"/>
  <c r="AE4025" i="1"/>
  <c r="AE4026" i="1"/>
  <c r="AE4027" i="1"/>
  <c r="AE4028" i="1"/>
  <c r="AE4029" i="1"/>
  <c r="AE4030" i="1"/>
  <c r="AE4031" i="1"/>
  <c r="AE4032" i="1"/>
  <c r="AE4033" i="1"/>
  <c r="AE4034" i="1"/>
  <c r="AE4035" i="1"/>
  <c r="AE4036" i="1"/>
  <c r="AE4037" i="1"/>
  <c r="AE4038" i="1"/>
  <c r="AE4039" i="1"/>
  <c r="AE4040" i="1"/>
  <c r="AE4041" i="1"/>
  <c r="AE4042" i="1"/>
  <c r="AE4043" i="1"/>
  <c r="AE4044" i="1"/>
  <c r="AE4045" i="1"/>
  <c r="AE4046" i="1"/>
  <c r="AE4047" i="1"/>
  <c r="AE4048" i="1"/>
  <c r="AE4049" i="1"/>
  <c r="AE4050" i="1"/>
  <c r="AE4051" i="1"/>
  <c r="AE4052" i="1"/>
  <c r="AE4053" i="1"/>
  <c r="AE4054" i="1"/>
  <c r="AE4055" i="1"/>
  <c r="AE4056" i="1"/>
  <c r="AE4057" i="1"/>
  <c r="AE4058" i="1"/>
  <c r="AE4059" i="1"/>
  <c r="AE4060" i="1"/>
  <c r="AE4061" i="1"/>
  <c r="AE4062" i="1"/>
  <c r="AE4063" i="1"/>
  <c r="AE4064" i="1"/>
  <c r="AE4065" i="1"/>
  <c r="AE4066" i="1"/>
  <c r="AE4067" i="1"/>
  <c r="AE4068" i="1"/>
  <c r="AE4069" i="1"/>
  <c r="AE4070" i="1"/>
  <c r="AE4071" i="1"/>
  <c r="AE4072" i="1"/>
  <c r="AE4073" i="1"/>
  <c r="AE4074" i="1"/>
  <c r="AE4075" i="1"/>
  <c r="AE4076" i="1"/>
  <c r="AE4077" i="1"/>
  <c r="AE4078" i="1"/>
  <c r="AE2007" i="1"/>
  <c r="AE2008" i="1"/>
  <c r="AE2009" i="1"/>
  <c r="AE2010" i="1"/>
  <c r="AE2011" i="1"/>
  <c r="AE2012" i="1"/>
  <c r="AE2013" i="1"/>
  <c r="AE2014" i="1"/>
  <c r="AE2015" i="1"/>
  <c r="AE2016" i="1"/>
  <c r="AE2017" i="1"/>
  <c r="AE2018" i="1"/>
  <c r="AE2019" i="1"/>
  <c r="AE2020" i="1"/>
  <c r="AE2021" i="1"/>
  <c r="AE2022" i="1"/>
  <c r="AE2023" i="1"/>
  <c r="AE2024" i="1"/>
  <c r="AE2025" i="1"/>
  <c r="AE2026" i="1"/>
  <c r="AE2027" i="1"/>
  <c r="AE2028" i="1"/>
  <c r="AE2029" i="1"/>
  <c r="AE2030" i="1"/>
  <c r="AE2031" i="1"/>
  <c r="AE2032" i="1"/>
  <c r="AE2033" i="1"/>
  <c r="AE2034" i="1"/>
  <c r="AE2035" i="1"/>
  <c r="AE2036" i="1"/>
  <c r="AE2037" i="1"/>
  <c r="AE2038" i="1"/>
  <c r="AE2039" i="1"/>
  <c r="AE2040" i="1"/>
  <c r="AE2041" i="1"/>
  <c r="AE2042" i="1"/>
  <c r="AE2043" i="1"/>
  <c r="AE2044" i="1"/>
  <c r="AE2045" i="1"/>
  <c r="AE2046" i="1"/>
  <c r="AE2047" i="1"/>
  <c r="AE2048" i="1"/>
  <c r="AE2049" i="1"/>
  <c r="AE2050" i="1"/>
  <c r="AE2051" i="1"/>
  <c r="AE2052" i="1"/>
  <c r="AE2053" i="1"/>
  <c r="AE2054" i="1"/>
  <c r="AE2055" i="1"/>
  <c r="AE2056" i="1"/>
  <c r="AE2057" i="1"/>
  <c r="AE2058" i="1"/>
  <c r="AE2059" i="1"/>
  <c r="AE2060" i="1"/>
  <c r="AE2061" i="1"/>
  <c r="AE2062" i="1"/>
  <c r="AE2063" i="1"/>
  <c r="AE2064" i="1"/>
  <c r="AE2065" i="1"/>
  <c r="AE2066" i="1"/>
  <c r="AE2067" i="1"/>
  <c r="AE2068" i="1"/>
  <c r="AE2069" i="1"/>
  <c r="AE2070" i="1"/>
  <c r="AE2071" i="1"/>
  <c r="AE2072" i="1"/>
  <c r="AE2073" i="1"/>
  <c r="AE2074" i="1"/>
  <c r="AE2075" i="1"/>
  <c r="AE2076" i="1"/>
  <c r="AE2077" i="1"/>
  <c r="AE2078" i="1"/>
  <c r="AE2079" i="1"/>
  <c r="AE2080" i="1"/>
  <c r="AE2081" i="1"/>
  <c r="AE2082" i="1"/>
  <c r="AE2083" i="1"/>
  <c r="AE2084" i="1"/>
  <c r="AE2085" i="1"/>
  <c r="AE2086" i="1"/>
  <c r="AE2087" i="1"/>
  <c r="AE2088" i="1"/>
  <c r="AE2089" i="1"/>
  <c r="AE2090" i="1"/>
  <c r="AE2091" i="1"/>
  <c r="AE2092" i="1"/>
  <c r="AE2093" i="1"/>
  <c r="AE2094" i="1"/>
  <c r="AE2095" i="1"/>
  <c r="AE2096" i="1"/>
  <c r="AE2097" i="1"/>
  <c r="AE2098" i="1"/>
  <c r="AE2099" i="1"/>
  <c r="AE2100" i="1"/>
  <c r="AE2101" i="1"/>
  <c r="AE2102" i="1"/>
  <c r="AE2103" i="1"/>
  <c r="AE2104" i="1"/>
  <c r="AE2105" i="1"/>
  <c r="AE2106" i="1"/>
  <c r="AE2107" i="1"/>
  <c r="AE2108" i="1"/>
  <c r="AE2109" i="1"/>
  <c r="AE2110" i="1"/>
  <c r="AE2111" i="1"/>
  <c r="AE2112" i="1"/>
  <c r="AE2113" i="1"/>
  <c r="AE2114" i="1"/>
  <c r="AE2115" i="1"/>
  <c r="AE2116" i="1"/>
  <c r="AE2117" i="1"/>
  <c r="AE2118" i="1"/>
  <c r="AE2119" i="1"/>
  <c r="AE2120" i="1"/>
  <c r="AE2121" i="1"/>
  <c r="AE2122" i="1"/>
  <c r="AE2123" i="1"/>
  <c r="AE2124" i="1"/>
  <c r="AE2125" i="1"/>
  <c r="AE2126" i="1"/>
  <c r="AE2127" i="1"/>
  <c r="AE2128" i="1"/>
  <c r="AE2129" i="1"/>
  <c r="AE2130" i="1"/>
  <c r="AE2131" i="1"/>
  <c r="AE2132" i="1"/>
  <c r="AE2133" i="1"/>
  <c r="AE2134" i="1"/>
  <c r="AE2135" i="1"/>
  <c r="AE2136" i="1"/>
  <c r="AE2137" i="1"/>
  <c r="AE2138" i="1"/>
  <c r="AE2139" i="1"/>
  <c r="AE2140" i="1"/>
  <c r="AE2141" i="1"/>
  <c r="AE2142" i="1"/>
  <c r="AE2143" i="1"/>
  <c r="AE2144" i="1"/>
  <c r="AE2145" i="1"/>
  <c r="AE2146" i="1"/>
  <c r="AE2147" i="1"/>
  <c r="AE2148" i="1"/>
  <c r="AE2149" i="1"/>
  <c r="AE2150" i="1"/>
  <c r="AE2151" i="1"/>
  <c r="AE2152" i="1"/>
  <c r="AE2153" i="1"/>
  <c r="AE2154" i="1"/>
  <c r="AE2155" i="1"/>
  <c r="AE2156" i="1"/>
  <c r="AE2157" i="1"/>
  <c r="AE2158" i="1"/>
  <c r="AE2159" i="1"/>
  <c r="AE2160" i="1"/>
  <c r="AE2161" i="1"/>
  <c r="AE2162" i="1"/>
  <c r="AE2163" i="1"/>
  <c r="AE2164" i="1"/>
  <c r="AE2165" i="1"/>
  <c r="AE2166" i="1"/>
  <c r="AE2167" i="1"/>
  <c r="AE2168" i="1"/>
  <c r="AE2169" i="1"/>
  <c r="AE2170" i="1"/>
  <c r="AE2171" i="1"/>
  <c r="AE2172" i="1"/>
  <c r="AE2173" i="1"/>
  <c r="AE2174" i="1"/>
  <c r="AE2175" i="1"/>
  <c r="AE2176" i="1"/>
  <c r="AE2177" i="1"/>
  <c r="AE2178" i="1"/>
  <c r="AE2179" i="1"/>
  <c r="AE2180" i="1"/>
  <c r="AE2181" i="1"/>
  <c r="AE2182" i="1"/>
  <c r="AE2183" i="1"/>
  <c r="AE2184" i="1"/>
  <c r="AE2185" i="1"/>
  <c r="AE2186" i="1"/>
  <c r="AE2187" i="1"/>
  <c r="AE2188" i="1"/>
  <c r="AE2189" i="1"/>
  <c r="AE2190" i="1"/>
  <c r="AE2191" i="1"/>
  <c r="AE2192" i="1"/>
  <c r="AE2193" i="1"/>
  <c r="AE2194" i="1"/>
  <c r="AE2195" i="1"/>
  <c r="AE2196" i="1"/>
  <c r="AE2197" i="1"/>
  <c r="AE2198" i="1"/>
  <c r="AE2199" i="1"/>
  <c r="AE2200" i="1"/>
  <c r="AE2201" i="1"/>
  <c r="AE2202" i="1"/>
  <c r="AE2203" i="1"/>
  <c r="AE2204" i="1"/>
  <c r="AE2205" i="1"/>
  <c r="AE2206" i="1"/>
  <c r="AE2207" i="1"/>
  <c r="AE2208" i="1"/>
  <c r="AE2209" i="1"/>
  <c r="AE2210" i="1"/>
  <c r="AE2211" i="1"/>
  <c r="AE2212" i="1"/>
  <c r="AE2213" i="1"/>
  <c r="AE2214" i="1"/>
  <c r="AE2215" i="1"/>
  <c r="AE2216" i="1"/>
  <c r="AE2217" i="1"/>
  <c r="AE2218" i="1"/>
  <c r="AE2219" i="1"/>
  <c r="AE2220" i="1"/>
  <c r="AE2221" i="1"/>
  <c r="AE2222" i="1"/>
  <c r="AE2223" i="1"/>
  <c r="AE2224" i="1"/>
  <c r="AE2225" i="1"/>
  <c r="AE2226" i="1"/>
  <c r="AE2227" i="1"/>
  <c r="AE2228" i="1"/>
  <c r="AE2229" i="1"/>
  <c r="AE2230" i="1"/>
  <c r="AE2231" i="1"/>
  <c r="AE2232" i="1"/>
  <c r="AE2233" i="1"/>
  <c r="AE2234" i="1"/>
  <c r="AE2235" i="1"/>
  <c r="AE2236" i="1"/>
  <c r="AE2237" i="1"/>
  <c r="AE2238" i="1"/>
  <c r="AE2239" i="1"/>
  <c r="AE2240" i="1"/>
  <c r="AE2241" i="1"/>
  <c r="AE2242" i="1"/>
  <c r="AE2243" i="1"/>
  <c r="AE2244" i="1"/>
  <c r="AE2245" i="1"/>
  <c r="AE2246" i="1"/>
  <c r="AE2247" i="1"/>
  <c r="AE2248" i="1"/>
  <c r="AE2249" i="1"/>
  <c r="AE2250" i="1"/>
  <c r="AE2251" i="1"/>
  <c r="AE2252" i="1"/>
  <c r="AE2253" i="1"/>
  <c r="AE2254" i="1"/>
  <c r="AE2255" i="1"/>
  <c r="AE2256" i="1"/>
  <c r="AE2257" i="1"/>
  <c r="AE2258" i="1"/>
  <c r="AE2259" i="1"/>
  <c r="AE2260" i="1"/>
  <c r="AE2261" i="1"/>
  <c r="AE2262" i="1"/>
  <c r="AE2263" i="1"/>
  <c r="AE2264" i="1"/>
  <c r="AE2265" i="1"/>
  <c r="AE2266" i="1"/>
  <c r="AE2267" i="1"/>
  <c r="AE2268" i="1"/>
  <c r="AE2269" i="1"/>
  <c r="AE2270" i="1"/>
  <c r="AE2271" i="1"/>
  <c r="AE2272" i="1"/>
  <c r="AE2273" i="1"/>
  <c r="AE2274" i="1"/>
  <c r="AE2275" i="1"/>
  <c r="AE2276" i="1"/>
  <c r="AE2277" i="1"/>
  <c r="AE2278" i="1"/>
  <c r="AE2279" i="1"/>
  <c r="AE2280" i="1"/>
  <c r="AE2281" i="1"/>
  <c r="AE2282" i="1"/>
  <c r="AE2283" i="1"/>
  <c r="AE2284" i="1"/>
  <c r="AE2285" i="1"/>
  <c r="AE2286" i="1"/>
  <c r="AE2287" i="1"/>
  <c r="AE2288" i="1"/>
  <c r="AE2289" i="1"/>
  <c r="AE2290" i="1"/>
  <c r="AE2291" i="1"/>
  <c r="AE2292" i="1"/>
  <c r="AE2293" i="1"/>
  <c r="AE2294" i="1"/>
  <c r="AE2295" i="1"/>
  <c r="AE2296" i="1"/>
  <c r="AE2297" i="1"/>
  <c r="AE2298" i="1"/>
  <c r="AE2299" i="1"/>
  <c r="AE2300" i="1"/>
  <c r="AE2301" i="1"/>
  <c r="AE2302" i="1"/>
  <c r="AE2303" i="1"/>
  <c r="AE2304" i="1"/>
  <c r="AE2305" i="1"/>
  <c r="AE2306" i="1"/>
  <c r="AE2307" i="1"/>
  <c r="AE2308" i="1"/>
  <c r="AE2309" i="1"/>
  <c r="AE2310" i="1"/>
  <c r="AE2311" i="1"/>
  <c r="AE2312" i="1"/>
  <c r="AE2313" i="1"/>
  <c r="AE2314" i="1"/>
  <c r="AE2315" i="1"/>
  <c r="AE2316" i="1"/>
  <c r="AE2317" i="1"/>
  <c r="AE2318" i="1"/>
  <c r="AE2319" i="1"/>
  <c r="AE2320" i="1"/>
  <c r="AE2321" i="1"/>
  <c r="AE2322" i="1"/>
  <c r="AE2323" i="1"/>
  <c r="AE2324" i="1"/>
  <c r="AE2325" i="1"/>
  <c r="AE2326" i="1"/>
  <c r="AE2327" i="1"/>
  <c r="AE2328" i="1"/>
  <c r="AE2329" i="1"/>
  <c r="AE2330" i="1"/>
  <c r="AE2331" i="1"/>
  <c r="AE2332" i="1"/>
  <c r="AE2333" i="1"/>
  <c r="AE2334" i="1"/>
  <c r="AE2335" i="1"/>
  <c r="AE2336" i="1"/>
  <c r="AE2337" i="1"/>
  <c r="AE2338" i="1"/>
  <c r="AE2339" i="1"/>
  <c r="AE2340" i="1"/>
  <c r="AE2341" i="1"/>
  <c r="AE2342" i="1"/>
  <c r="AE2343" i="1"/>
  <c r="AE2344" i="1"/>
  <c r="AE2345" i="1"/>
  <c r="AE2346" i="1"/>
  <c r="AE2347" i="1"/>
  <c r="AE2348" i="1"/>
  <c r="AE2349" i="1"/>
  <c r="AE2350" i="1"/>
  <c r="AE2351" i="1"/>
  <c r="AE2352" i="1"/>
  <c r="AE2353" i="1"/>
  <c r="AE2354" i="1"/>
  <c r="AE2355" i="1"/>
  <c r="AE2356" i="1"/>
  <c r="AE2357" i="1"/>
  <c r="AE2358" i="1"/>
  <c r="AE2359" i="1"/>
  <c r="AE2360" i="1"/>
  <c r="AE2361" i="1"/>
  <c r="AE2362" i="1"/>
  <c r="AE2363" i="1"/>
  <c r="AE2364" i="1"/>
  <c r="AE2365" i="1"/>
  <c r="AE2366" i="1"/>
  <c r="AE2367" i="1"/>
  <c r="AE2368" i="1"/>
  <c r="AE2369" i="1"/>
  <c r="AE2370" i="1"/>
  <c r="AE2371" i="1"/>
  <c r="AE2372" i="1"/>
  <c r="AE2373" i="1"/>
  <c r="AE2374" i="1"/>
  <c r="AE2375" i="1"/>
  <c r="AE2376" i="1"/>
  <c r="AE2377" i="1"/>
  <c r="AE2378" i="1"/>
  <c r="AE2379" i="1"/>
  <c r="AE2380" i="1"/>
  <c r="AE2381" i="1"/>
  <c r="AE2382" i="1"/>
  <c r="AE2383" i="1"/>
  <c r="AE2384" i="1"/>
  <c r="AE2385" i="1"/>
  <c r="AE2386" i="1"/>
  <c r="AE2387" i="1"/>
  <c r="AE2388" i="1"/>
  <c r="AE2389" i="1"/>
  <c r="AE2390" i="1"/>
  <c r="AE2391" i="1"/>
  <c r="AE2392" i="1"/>
  <c r="AE2393" i="1"/>
  <c r="AE2394" i="1"/>
  <c r="AE2395" i="1"/>
  <c r="AE2396" i="1"/>
  <c r="AE2397" i="1"/>
  <c r="AE2398" i="1"/>
  <c r="AE2399" i="1"/>
  <c r="AE2400" i="1"/>
  <c r="AE2401" i="1"/>
  <c r="AE2402" i="1"/>
  <c r="AE2403" i="1"/>
  <c r="AE2404" i="1"/>
  <c r="AE2405" i="1"/>
  <c r="AE2406" i="1"/>
  <c r="AE2407" i="1"/>
  <c r="AE2408" i="1"/>
  <c r="AE2409" i="1"/>
  <c r="AE2410" i="1"/>
  <c r="AE2411" i="1"/>
  <c r="AE2412" i="1"/>
  <c r="AE2413" i="1"/>
  <c r="AE2414" i="1"/>
  <c r="AE2415" i="1"/>
  <c r="AE2416" i="1"/>
  <c r="AE2417" i="1"/>
  <c r="AE2418" i="1"/>
  <c r="AE2419" i="1"/>
  <c r="AE2420" i="1"/>
  <c r="AE2421" i="1"/>
  <c r="AE2422" i="1"/>
  <c r="AE2423" i="1"/>
  <c r="AE2424" i="1"/>
  <c r="AE2425" i="1"/>
  <c r="AE2426" i="1"/>
  <c r="AE2427" i="1"/>
  <c r="AE2428" i="1"/>
  <c r="AE2429" i="1"/>
  <c r="AE2430" i="1"/>
  <c r="AE2431" i="1"/>
  <c r="AE2432" i="1"/>
  <c r="AE2433" i="1"/>
  <c r="AE2434" i="1"/>
  <c r="AE2435" i="1"/>
  <c r="AE2436" i="1"/>
  <c r="AE2437" i="1"/>
  <c r="AE2438" i="1"/>
  <c r="AE2439" i="1"/>
  <c r="AE2440" i="1"/>
  <c r="AE2441" i="1"/>
  <c r="AE2442" i="1"/>
  <c r="AE2443" i="1"/>
  <c r="AE2444" i="1"/>
  <c r="AE2445" i="1"/>
  <c r="AE2446" i="1"/>
  <c r="AE2447" i="1"/>
  <c r="AE2448" i="1"/>
  <c r="AE2449" i="1"/>
  <c r="AE2450" i="1"/>
  <c r="AE2451" i="1"/>
  <c r="AE2452" i="1"/>
  <c r="AE2453" i="1"/>
  <c r="AE2454" i="1"/>
  <c r="AE2455" i="1"/>
  <c r="AE2456" i="1"/>
  <c r="AE2457" i="1"/>
  <c r="AE2458" i="1"/>
  <c r="AE2459" i="1"/>
  <c r="AE2460" i="1"/>
  <c r="AE2461" i="1"/>
  <c r="AE2462" i="1"/>
  <c r="AE2463" i="1"/>
  <c r="AE2464" i="1"/>
  <c r="AE2465" i="1"/>
  <c r="AE2466" i="1"/>
  <c r="AE2467" i="1"/>
  <c r="AE2468" i="1"/>
  <c r="AE2469" i="1"/>
  <c r="AE2470" i="1"/>
  <c r="AE2471" i="1"/>
  <c r="AE2472" i="1"/>
  <c r="AE2473" i="1"/>
  <c r="AE2474" i="1"/>
  <c r="AE2475" i="1"/>
  <c r="AE2476" i="1"/>
  <c r="AE2477" i="1"/>
  <c r="AE2478" i="1"/>
  <c r="AE2479" i="1"/>
  <c r="AE2480" i="1"/>
  <c r="AE2481" i="1"/>
  <c r="AE2482" i="1"/>
  <c r="AE2483" i="1"/>
  <c r="AE2484" i="1"/>
  <c r="AE2485" i="1"/>
  <c r="AE2486" i="1"/>
  <c r="AE2487" i="1"/>
  <c r="AE2488" i="1"/>
  <c r="AE2489" i="1"/>
  <c r="AE2490" i="1"/>
  <c r="AE2491" i="1"/>
  <c r="AE2492" i="1"/>
  <c r="AE2493" i="1"/>
  <c r="AE2494" i="1"/>
  <c r="AE2495" i="1"/>
  <c r="AE2496" i="1"/>
  <c r="AE2497" i="1"/>
  <c r="AE2498" i="1"/>
  <c r="AE2499" i="1"/>
  <c r="AE2500" i="1"/>
  <c r="AE2501" i="1"/>
  <c r="AE2502" i="1"/>
  <c r="AE2503" i="1"/>
  <c r="AE2504" i="1"/>
  <c r="AE2505" i="1"/>
  <c r="AE2506" i="1"/>
  <c r="AE2507" i="1"/>
  <c r="AE2508" i="1"/>
  <c r="AE2509" i="1"/>
  <c r="AE2510" i="1"/>
  <c r="AE2511" i="1"/>
  <c r="AE2512" i="1"/>
  <c r="AE2513" i="1"/>
  <c r="AE2514" i="1"/>
  <c r="AE2515" i="1"/>
  <c r="AE2516" i="1"/>
  <c r="AE2517" i="1"/>
  <c r="AE2518" i="1"/>
  <c r="AE2519" i="1"/>
  <c r="AE2520" i="1"/>
  <c r="AE2521" i="1"/>
  <c r="AE2522" i="1"/>
  <c r="AE2523" i="1"/>
  <c r="AE2524" i="1"/>
  <c r="AE2525" i="1"/>
  <c r="AE2526" i="1"/>
  <c r="AE2527" i="1"/>
  <c r="AE2528" i="1"/>
  <c r="AE2529" i="1"/>
  <c r="AE2530" i="1"/>
  <c r="AE2531" i="1"/>
  <c r="AE2532" i="1"/>
  <c r="AE2533" i="1"/>
  <c r="AE2534" i="1"/>
  <c r="AE2535" i="1"/>
  <c r="AE2536" i="1"/>
  <c r="AE2537" i="1"/>
  <c r="AE2538" i="1"/>
  <c r="AE2539" i="1"/>
  <c r="AE2540" i="1"/>
  <c r="AE2541" i="1"/>
  <c r="AE2542" i="1"/>
  <c r="AE2543" i="1"/>
  <c r="AE2544" i="1"/>
  <c r="AE2545" i="1"/>
  <c r="AE2546" i="1"/>
  <c r="AE2547" i="1"/>
  <c r="AE2548" i="1"/>
  <c r="AE2549" i="1"/>
  <c r="AE2550" i="1"/>
  <c r="AE2551" i="1"/>
  <c r="AE2552" i="1"/>
  <c r="AE2553" i="1"/>
  <c r="AE2554" i="1"/>
  <c r="AE2555" i="1"/>
  <c r="AE2556" i="1"/>
  <c r="AE2557" i="1"/>
  <c r="AE2558" i="1"/>
  <c r="AE2559" i="1"/>
  <c r="AE2560" i="1"/>
  <c r="AE2561" i="1"/>
  <c r="AE2562" i="1"/>
  <c r="AE2563" i="1"/>
  <c r="AE2564" i="1"/>
  <c r="AE2565" i="1"/>
  <c r="AE2566" i="1"/>
  <c r="AE2567" i="1"/>
  <c r="AE2568" i="1"/>
  <c r="AE2569" i="1"/>
  <c r="AE2570" i="1"/>
  <c r="AE2571" i="1"/>
  <c r="AE2572" i="1"/>
  <c r="AE2573" i="1"/>
  <c r="AE2574" i="1"/>
  <c r="AE2575" i="1"/>
  <c r="AE2576" i="1"/>
  <c r="AE2577" i="1"/>
  <c r="AE2578" i="1"/>
  <c r="AE2579" i="1"/>
  <c r="AE2580" i="1"/>
  <c r="AE2581" i="1"/>
  <c r="AE2582" i="1"/>
  <c r="AE2583" i="1"/>
  <c r="AE2584" i="1"/>
  <c r="AE2585" i="1"/>
  <c r="AE2586" i="1"/>
  <c r="AE2587" i="1"/>
  <c r="AE2588" i="1"/>
  <c r="AE2589" i="1"/>
  <c r="AE2590" i="1"/>
  <c r="AE2591" i="1"/>
  <c r="AE2592" i="1"/>
  <c r="AE2593" i="1"/>
  <c r="AE2594" i="1"/>
  <c r="AE2595" i="1"/>
  <c r="AE2596" i="1"/>
  <c r="AE2597" i="1"/>
  <c r="AE2598" i="1"/>
  <c r="AE2599" i="1"/>
  <c r="AE2600" i="1"/>
  <c r="AE2601" i="1"/>
  <c r="AE2602" i="1"/>
  <c r="AE2603" i="1"/>
  <c r="AE2604" i="1"/>
  <c r="AE2605" i="1"/>
  <c r="AE2606" i="1"/>
  <c r="AE2607" i="1"/>
  <c r="AE2608" i="1"/>
  <c r="AE2609" i="1"/>
  <c r="AE2610" i="1"/>
  <c r="AE2611" i="1"/>
  <c r="AE2612" i="1"/>
  <c r="AE2613" i="1"/>
  <c r="AE2614" i="1"/>
  <c r="AE2615" i="1"/>
  <c r="AE2616" i="1"/>
  <c r="AE2617" i="1"/>
  <c r="AE2618" i="1"/>
  <c r="AE2619" i="1"/>
  <c r="AE2620" i="1"/>
  <c r="AE2621" i="1"/>
  <c r="AE2622" i="1"/>
  <c r="AE2623" i="1"/>
  <c r="AE2624" i="1"/>
  <c r="AE2625" i="1"/>
  <c r="AE2626" i="1"/>
  <c r="AE2627" i="1"/>
  <c r="AE2628" i="1"/>
  <c r="AE2629" i="1"/>
  <c r="AE2630" i="1"/>
  <c r="AE2631" i="1"/>
  <c r="AE2632" i="1"/>
  <c r="AE2633" i="1"/>
  <c r="AE2634" i="1"/>
  <c r="AE2635" i="1"/>
  <c r="AE2636" i="1"/>
  <c r="AE2637" i="1"/>
  <c r="AE2638" i="1"/>
  <c r="AE2639" i="1"/>
  <c r="AE2640" i="1"/>
  <c r="AE2641" i="1"/>
  <c r="AE2642" i="1"/>
  <c r="AE2643" i="1"/>
  <c r="AE2644" i="1"/>
  <c r="AE2645" i="1"/>
  <c r="AE2646" i="1"/>
  <c r="AE2647" i="1"/>
  <c r="AE2648" i="1"/>
  <c r="AE2649" i="1"/>
  <c r="AE2650" i="1"/>
  <c r="AE2651" i="1"/>
  <c r="AE2652" i="1"/>
  <c r="AE2653" i="1"/>
  <c r="AE2654" i="1"/>
  <c r="AE2655" i="1"/>
  <c r="AE2656" i="1"/>
  <c r="AE2657" i="1"/>
  <c r="AE2658" i="1"/>
  <c r="AE2659" i="1"/>
  <c r="AE2660" i="1"/>
  <c r="AE2661" i="1"/>
  <c r="AE2662" i="1"/>
  <c r="AE2663" i="1"/>
  <c r="AE2664" i="1"/>
  <c r="AE2665" i="1"/>
  <c r="AE2666" i="1"/>
  <c r="AE2667" i="1"/>
  <c r="AE2668" i="1"/>
  <c r="AE2669" i="1"/>
  <c r="AE2670" i="1"/>
  <c r="AE2671" i="1"/>
  <c r="AE2672" i="1"/>
  <c r="AE2673" i="1"/>
  <c r="AE2674" i="1"/>
  <c r="AE2675" i="1"/>
  <c r="AE2676" i="1"/>
  <c r="AE2677" i="1"/>
  <c r="AE2678" i="1"/>
  <c r="AE2679" i="1"/>
  <c r="AE2680" i="1"/>
  <c r="AE2681" i="1"/>
  <c r="AE2682" i="1"/>
  <c r="AE2683" i="1"/>
  <c r="AE2684" i="1"/>
  <c r="AE2685" i="1"/>
  <c r="AE2686" i="1"/>
  <c r="AE2687" i="1"/>
  <c r="AE2688" i="1"/>
  <c r="AE2689" i="1"/>
  <c r="AE2690" i="1"/>
  <c r="AE2691" i="1"/>
  <c r="AE2692" i="1"/>
  <c r="AE2693" i="1"/>
  <c r="AE2694" i="1"/>
  <c r="AE2695" i="1"/>
  <c r="AE2696" i="1"/>
  <c r="AE2697" i="1"/>
  <c r="AE2698" i="1"/>
  <c r="AE2699" i="1"/>
  <c r="AE2700" i="1"/>
  <c r="AE2701" i="1"/>
  <c r="AE2702" i="1"/>
  <c r="AE2703" i="1"/>
  <c r="AE2704" i="1"/>
  <c r="AE2705" i="1"/>
  <c r="AE2706" i="1"/>
  <c r="AE2707" i="1"/>
  <c r="AE2708" i="1"/>
  <c r="AE2709" i="1"/>
  <c r="AE2710" i="1"/>
  <c r="AE2711" i="1"/>
  <c r="AE2712" i="1"/>
  <c r="AE2713" i="1"/>
  <c r="AE2714" i="1"/>
  <c r="AE2715" i="1"/>
  <c r="AE2716" i="1"/>
  <c r="AE2717" i="1"/>
  <c r="AE2718" i="1"/>
  <c r="AE2719" i="1"/>
  <c r="AE2720" i="1"/>
  <c r="AE2721" i="1"/>
  <c r="AE2722" i="1"/>
  <c r="AE2723" i="1"/>
  <c r="AE2724" i="1"/>
  <c r="AE2725" i="1"/>
  <c r="AE2726" i="1"/>
  <c r="AE2727" i="1"/>
  <c r="AE2728" i="1"/>
  <c r="AE2729" i="1"/>
  <c r="AE2730" i="1"/>
  <c r="AE2731" i="1"/>
  <c r="AE2732" i="1"/>
  <c r="AE2733" i="1"/>
  <c r="AE2734" i="1"/>
  <c r="AE2735" i="1"/>
  <c r="AE2736" i="1"/>
  <c r="AE2737" i="1"/>
  <c r="AE2738" i="1"/>
  <c r="AE2739" i="1"/>
  <c r="AE2740" i="1"/>
  <c r="AE2741" i="1"/>
  <c r="AE2742" i="1"/>
  <c r="AE2743" i="1"/>
  <c r="AE2744" i="1"/>
  <c r="AE2745" i="1"/>
  <c r="AE2746" i="1"/>
  <c r="AE2747" i="1"/>
  <c r="AE2748" i="1"/>
  <c r="AE2749" i="1"/>
  <c r="AE2750" i="1"/>
  <c r="AE2751" i="1"/>
  <c r="AE2752" i="1"/>
  <c r="AE2753" i="1"/>
  <c r="AE2754" i="1"/>
  <c r="AE2755" i="1"/>
  <c r="AE2756" i="1"/>
  <c r="AE2757" i="1"/>
  <c r="AE2758" i="1"/>
  <c r="AE2759" i="1"/>
  <c r="AE2760" i="1"/>
  <c r="AE2761" i="1"/>
  <c r="AE2762" i="1"/>
  <c r="AE2763" i="1"/>
  <c r="AE2764" i="1"/>
  <c r="AE2765" i="1"/>
  <c r="AE2766" i="1"/>
  <c r="AE2767" i="1"/>
  <c r="AE2768" i="1"/>
  <c r="AE2769" i="1"/>
  <c r="AE2770" i="1"/>
  <c r="AE2771" i="1"/>
  <c r="AE2772" i="1"/>
  <c r="AE2773" i="1"/>
  <c r="AE2774" i="1"/>
  <c r="AE2775" i="1"/>
  <c r="AE2776" i="1"/>
  <c r="AE2777" i="1"/>
  <c r="AE2778" i="1"/>
  <c r="AE2779" i="1"/>
  <c r="AE2780" i="1"/>
  <c r="AE2781" i="1"/>
  <c r="AE2782" i="1"/>
  <c r="AE2783" i="1"/>
  <c r="AE2784" i="1"/>
  <c r="AE2785" i="1"/>
  <c r="AE2786" i="1"/>
  <c r="AE2787" i="1"/>
  <c r="AE2788" i="1"/>
  <c r="AE2789" i="1"/>
  <c r="AE2790" i="1"/>
  <c r="AE2791" i="1"/>
  <c r="AE2792" i="1"/>
  <c r="AE2793" i="1"/>
  <c r="AE2794" i="1"/>
  <c r="AE2795" i="1"/>
  <c r="AE2796" i="1"/>
  <c r="AE2797" i="1"/>
  <c r="AE2798" i="1"/>
  <c r="AE2799" i="1"/>
  <c r="AE2800" i="1"/>
  <c r="AE2801" i="1"/>
  <c r="AE2802" i="1"/>
  <c r="AE2803" i="1"/>
  <c r="AE2804" i="1"/>
  <c r="AE2805" i="1"/>
  <c r="AE2806" i="1"/>
  <c r="AE2807" i="1"/>
  <c r="AE2808" i="1"/>
  <c r="AE2809" i="1"/>
  <c r="AE2810" i="1"/>
  <c r="AE2811" i="1"/>
  <c r="AE2812" i="1"/>
  <c r="AE2813" i="1"/>
  <c r="AE2814" i="1"/>
  <c r="AE2815" i="1"/>
  <c r="AE2816" i="1"/>
  <c r="AE2817" i="1"/>
  <c r="AE2818" i="1"/>
  <c r="AE2819" i="1"/>
  <c r="AE2820" i="1"/>
  <c r="AE2821" i="1"/>
  <c r="AE2822" i="1"/>
  <c r="AE2823" i="1"/>
  <c r="AE2824" i="1"/>
  <c r="AE2825" i="1"/>
  <c r="AE2826" i="1"/>
  <c r="AE2827" i="1"/>
  <c r="AE2828" i="1"/>
  <c r="AE2829" i="1"/>
  <c r="AE2830" i="1"/>
  <c r="AE2831" i="1"/>
  <c r="AE2832" i="1"/>
  <c r="AE2833" i="1"/>
  <c r="AE2834" i="1"/>
  <c r="AE2835" i="1"/>
  <c r="AE2836" i="1"/>
  <c r="AE2837" i="1"/>
  <c r="AE2838" i="1"/>
  <c r="AE2839" i="1"/>
  <c r="AE2840" i="1"/>
  <c r="AE2841" i="1"/>
  <c r="AE2842" i="1"/>
  <c r="AE2843" i="1"/>
  <c r="AE2844" i="1"/>
  <c r="AE2845" i="1"/>
  <c r="AE2846" i="1"/>
  <c r="AE2847" i="1"/>
  <c r="AE2848" i="1"/>
  <c r="AE2849" i="1"/>
  <c r="AE2850" i="1"/>
  <c r="AE2851" i="1"/>
  <c r="AE2852" i="1"/>
  <c r="AE2853" i="1"/>
  <c r="AE2854" i="1"/>
  <c r="AE2855" i="1"/>
  <c r="AE2856" i="1"/>
  <c r="AE2857" i="1"/>
  <c r="AE2858" i="1"/>
  <c r="AE2859" i="1"/>
  <c r="AE2860" i="1"/>
  <c r="AE2861" i="1"/>
  <c r="AE2862" i="1"/>
  <c r="AE2863" i="1"/>
  <c r="AE2864" i="1"/>
  <c r="AE2865" i="1"/>
  <c r="AE2866" i="1"/>
  <c r="AE2867" i="1"/>
  <c r="AE2868" i="1"/>
  <c r="AE2869" i="1"/>
  <c r="AE2870" i="1"/>
  <c r="AE2871" i="1"/>
  <c r="AE2872" i="1"/>
  <c r="AE2873" i="1"/>
  <c r="AE2874" i="1"/>
  <c r="AE2875" i="1"/>
  <c r="AE2876" i="1"/>
  <c r="AE2877" i="1"/>
  <c r="AE2878" i="1"/>
  <c r="AE2879" i="1"/>
  <c r="AE2880" i="1"/>
  <c r="AE2881" i="1"/>
  <c r="AE2882" i="1"/>
  <c r="AE2883" i="1"/>
  <c r="AE2884" i="1"/>
  <c r="AE2885" i="1"/>
  <c r="AE2886" i="1"/>
  <c r="AE2887" i="1"/>
  <c r="AE2888" i="1"/>
  <c r="AE2889" i="1"/>
  <c r="AE2890" i="1"/>
  <c r="AE2891" i="1"/>
  <c r="AE2892" i="1"/>
  <c r="AE2893" i="1"/>
  <c r="AE2894" i="1"/>
  <c r="AE2895" i="1"/>
  <c r="AE2896" i="1"/>
  <c r="AE2897" i="1"/>
  <c r="AE2898" i="1"/>
  <c r="AE2899" i="1"/>
  <c r="AE2900" i="1"/>
  <c r="AE2901" i="1"/>
  <c r="AE2902" i="1"/>
  <c r="AE2903" i="1"/>
  <c r="AE2904" i="1"/>
  <c r="AE2905" i="1"/>
  <c r="AE2906" i="1"/>
  <c r="AE2907" i="1"/>
  <c r="AE2908" i="1"/>
  <c r="AE2909" i="1"/>
  <c r="AE2910" i="1"/>
  <c r="AE2911" i="1"/>
  <c r="AE2912" i="1"/>
  <c r="AE2913" i="1"/>
  <c r="AE2914" i="1"/>
  <c r="AE2915" i="1"/>
  <c r="AE2916" i="1"/>
  <c r="AE2917" i="1"/>
  <c r="AE2918" i="1"/>
  <c r="AE2919" i="1"/>
  <c r="AE2920" i="1"/>
  <c r="AE2921" i="1"/>
  <c r="AE2922" i="1"/>
  <c r="AE2923" i="1"/>
  <c r="AE2924" i="1"/>
  <c r="AE2925" i="1"/>
  <c r="AE2926" i="1"/>
  <c r="AE2927" i="1"/>
  <c r="AE2928" i="1"/>
  <c r="AE2929" i="1"/>
  <c r="AE2930" i="1"/>
  <c r="AE2931" i="1"/>
  <c r="AE2932" i="1"/>
  <c r="AE2933" i="1"/>
  <c r="AE2934" i="1"/>
  <c r="AE2935" i="1"/>
  <c r="AE2936" i="1"/>
  <c r="AE2937" i="1"/>
  <c r="AE2938" i="1"/>
  <c r="AE2939" i="1"/>
  <c r="AE2940" i="1"/>
  <c r="AE2941" i="1"/>
  <c r="AE2942" i="1"/>
  <c r="AE2943" i="1"/>
  <c r="AE2944" i="1"/>
  <c r="AE2945" i="1"/>
  <c r="AE2946" i="1"/>
  <c r="AE2947" i="1"/>
  <c r="AE2948" i="1"/>
  <c r="AE2949" i="1"/>
  <c r="AE2950" i="1"/>
  <c r="AE2951" i="1"/>
  <c r="AE2952" i="1"/>
  <c r="AE2953" i="1"/>
  <c r="AE2954" i="1"/>
  <c r="AE2955" i="1"/>
  <c r="AE2956" i="1"/>
  <c r="AE2957" i="1"/>
  <c r="AE2958" i="1"/>
  <c r="AE2959" i="1"/>
  <c r="AE2960" i="1"/>
  <c r="AE2961" i="1"/>
  <c r="AE2962" i="1"/>
  <c r="AE2963" i="1"/>
  <c r="AE2964" i="1"/>
  <c r="AE2965" i="1"/>
  <c r="AE2966" i="1"/>
  <c r="AE2967" i="1"/>
  <c r="AE2968" i="1"/>
  <c r="AE2969" i="1"/>
  <c r="AE2970" i="1"/>
  <c r="AE2971" i="1"/>
  <c r="AE2972" i="1"/>
  <c r="AE2973" i="1"/>
  <c r="AE2974" i="1"/>
  <c r="AE2975" i="1"/>
  <c r="AE2976" i="1"/>
  <c r="AE2977" i="1"/>
  <c r="AE2978" i="1"/>
  <c r="AE2979" i="1"/>
  <c r="AE2980" i="1"/>
  <c r="AE2981" i="1"/>
  <c r="AE2982" i="1"/>
  <c r="AE2983" i="1"/>
  <c r="AE2984" i="1"/>
  <c r="AE2985" i="1"/>
  <c r="AE2986" i="1"/>
  <c r="AE2987" i="1"/>
  <c r="AE2988" i="1"/>
  <c r="AE2989" i="1"/>
  <c r="AE2990" i="1"/>
  <c r="AE2991" i="1"/>
  <c r="AE2992" i="1"/>
  <c r="AE2993" i="1"/>
  <c r="AE2994" i="1"/>
  <c r="AE2995" i="1"/>
  <c r="AE2996" i="1"/>
  <c r="AE2997" i="1"/>
  <c r="AE2998" i="1"/>
  <c r="AE2999" i="1"/>
  <c r="AE3000" i="1"/>
  <c r="AE3001" i="1"/>
  <c r="AE3002" i="1"/>
  <c r="AE3003" i="1"/>
  <c r="AE3004" i="1"/>
  <c r="AE3005" i="1"/>
  <c r="AE3006" i="1"/>
  <c r="AE3007" i="1"/>
  <c r="AE3008" i="1"/>
  <c r="AE3009" i="1"/>
  <c r="AE3010" i="1"/>
  <c r="AE3011" i="1"/>
  <c r="AE3012" i="1"/>
  <c r="AE3013" i="1"/>
  <c r="AE3014" i="1"/>
  <c r="AE3015" i="1"/>
  <c r="AE3016" i="1"/>
  <c r="AE3017" i="1"/>
  <c r="AE3018" i="1"/>
  <c r="AE3019" i="1"/>
  <c r="AE3020" i="1"/>
  <c r="AE3021" i="1"/>
  <c r="AE3022" i="1"/>
  <c r="AE3023" i="1"/>
  <c r="AE3024" i="1"/>
  <c r="AE3025" i="1"/>
  <c r="AE3026" i="1"/>
  <c r="AE3027" i="1"/>
  <c r="AE3028" i="1"/>
  <c r="AE3029" i="1"/>
  <c r="AE3030" i="1"/>
  <c r="AE3031" i="1"/>
  <c r="AE3032" i="1"/>
  <c r="AE3033" i="1"/>
  <c r="AE3034" i="1"/>
  <c r="AE3035" i="1"/>
  <c r="AE3036" i="1"/>
  <c r="AE3037" i="1"/>
  <c r="AE3038" i="1"/>
  <c r="AE3039" i="1"/>
  <c r="AE3040" i="1"/>
  <c r="AE3041" i="1"/>
  <c r="AE3042" i="1"/>
  <c r="AE3043" i="1"/>
  <c r="AE3044" i="1"/>
  <c r="AE3045" i="1"/>
  <c r="AE3046" i="1"/>
  <c r="AE3047" i="1"/>
  <c r="AE3048" i="1"/>
  <c r="AE3049" i="1"/>
  <c r="AE3050" i="1"/>
  <c r="AE3051" i="1"/>
  <c r="AE3052" i="1"/>
  <c r="AE3053" i="1"/>
  <c r="AE3054" i="1"/>
  <c r="AE3055" i="1"/>
  <c r="AE3056" i="1"/>
  <c r="AE3057" i="1"/>
  <c r="AE3058" i="1"/>
  <c r="AE3059" i="1"/>
  <c r="AE3060" i="1"/>
  <c r="AE3061" i="1"/>
  <c r="AE3062" i="1"/>
  <c r="AE3063" i="1"/>
  <c r="AE3064" i="1"/>
  <c r="AE3065" i="1"/>
  <c r="AE3066" i="1"/>
  <c r="AE3067" i="1"/>
  <c r="AE3068" i="1"/>
  <c r="AE3069" i="1"/>
  <c r="AE3070" i="1"/>
  <c r="AE3071" i="1"/>
  <c r="AE3072" i="1"/>
  <c r="AE3073" i="1"/>
  <c r="AE3074" i="1"/>
  <c r="AE3075" i="1"/>
  <c r="AE3076" i="1"/>
  <c r="AE3077" i="1"/>
  <c r="AE3078" i="1"/>
  <c r="AE3079" i="1"/>
  <c r="AE3080" i="1"/>
  <c r="AE3081" i="1"/>
  <c r="AE3082" i="1"/>
  <c r="AE3083" i="1"/>
  <c r="AE3084" i="1"/>
  <c r="AE3085" i="1"/>
  <c r="AE3086" i="1"/>
  <c r="AE3087" i="1"/>
  <c r="AE3088" i="1"/>
  <c r="AE3089" i="1"/>
  <c r="AE3090" i="1"/>
  <c r="AE3091" i="1"/>
  <c r="AE3092" i="1"/>
  <c r="AE3093" i="1"/>
  <c r="AE3094" i="1"/>
  <c r="AE3095" i="1"/>
  <c r="AE3096" i="1"/>
  <c r="AE3097" i="1"/>
  <c r="AE3098" i="1"/>
  <c r="AE3099" i="1"/>
  <c r="AE3100" i="1"/>
  <c r="AE3101" i="1"/>
  <c r="AE3102" i="1"/>
  <c r="AE3103" i="1"/>
  <c r="AE3104" i="1"/>
  <c r="AE3105" i="1"/>
  <c r="AE3106" i="1"/>
  <c r="AE3107" i="1"/>
  <c r="AE3108" i="1"/>
  <c r="AE3109" i="1"/>
  <c r="AE3110" i="1"/>
  <c r="AE3111" i="1"/>
  <c r="AE3112" i="1"/>
  <c r="AE3113" i="1"/>
  <c r="AE3114" i="1"/>
  <c r="AE3115" i="1"/>
  <c r="AE3116" i="1"/>
  <c r="AE3117" i="1"/>
  <c r="AE3118" i="1"/>
  <c r="AE3119" i="1"/>
  <c r="AE3120" i="1"/>
  <c r="AE3121" i="1"/>
  <c r="AE3122" i="1"/>
  <c r="AE3123" i="1"/>
  <c r="AE3124" i="1"/>
  <c r="AE3125" i="1"/>
  <c r="AE3126" i="1"/>
  <c r="AE2002" i="1"/>
  <c r="AE2003" i="1"/>
  <c r="AE2004" i="1"/>
  <c r="AE2005" i="1"/>
  <c r="AE2006" i="1"/>
  <c r="AE2001" i="1"/>
  <c r="Y1874" i="1"/>
  <c r="AA1874" i="1" s="1"/>
  <c r="AE1874" i="1"/>
  <c r="Y1875" i="1"/>
  <c r="AA1875" i="1" s="1"/>
  <c r="AE1875" i="1"/>
  <c r="Y1876" i="1"/>
  <c r="AA1876" i="1" s="1"/>
  <c r="AE1876" i="1"/>
  <c r="Y1877" i="1"/>
  <c r="AA1877" i="1" s="1"/>
  <c r="AE1877" i="1"/>
  <c r="Y1878" i="1"/>
  <c r="AA1878" i="1" s="1"/>
  <c r="AE1878" i="1"/>
  <c r="Y1879" i="1"/>
  <c r="AA1879" i="1" s="1"/>
  <c r="AE1879" i="1"/>
  <c r="Y1880" i="1"/>
  <c r="AA1880" i="1" s="1"/>
  <c r="AE1880" i="1"/>
  <c r="Y1881" i="1"/>
  <c r="AE1881" i="1"/>
  <c r="Y1882" i="1"/>
  <c r="AE1882" i="1"/>
  <c r="Y1883" i="1"/>
  <c r="AA1883" i="1" s="1"/>
  <c r="AE1883" i="1"/>
  <c r="Y1884" i="1"/>
  <c r="AA1884" i="1" s="1"/>
  <c r="AE1884" i="1"/>
  <c r="Y1885" i="1"/>
  <c r="AA1885" i="1" s="1"/>
  <c r="AE1885" i="1"/>
  <c r="Y1886" i="1"/>
  <c r="AA1886" i="1" s="1"/>
  <c r="AE1886" i="1"/>
  <c r="Y1887" i="1"/>
  <c r="AA1887" i="1" s="1"/>
  <c r="AE1887" i="1"/>
  <c r="Y1888" i="1"/>
  <c r="AA1888" i="1" s="1"/>
  <c r="AE1888" i="1"/>
  <c r="Y1889" i="1"/>
  <c r="AA1889" i="1" s="1"/>
  <c r="AE1889" i="1"/>
  <c r="Y1890" i="1"/>
  <c r="AA1890" i="1" s="1"/>
  <c r="AE1890" i="1"/>
  <c r="Y1891" i="1"/>
  <c r="AA1891" i="1" s="1"/>
  <c r="AE1891" i="1"/>
  <c r="Y1892" i="1"/>
  <c r="AA1892" i="1" s="1"/>
  <c r="AE1892" i="1"/>
  <c r="Y1893" i="1"/>
  <c r="AA1893" i="1" s="1"/>
  <c r="AE1893" i="1"/>
  <c r="Y1894" i="1"/>
  <c r="AA1894" i="1" s="1"/>
  <c r="AE1894" i="1"/>
  <c r="Y1895" i="1"/>
  <c r="AA1895" i="1" s="1"/>
  <c r="AE1895" i="1"/>
  <c r="Y1896" i="1"/>
  <c r="AA1896" i="1" s="1"/>
  <c r="AE1896" i="1"/>
  <c r="Y1897" i="1"/>
  <c r="AA1897" i="1" s="1"/>
  <c r="AE1897" i="1"/>
  <c r="Y1898" i="1"/>
  <c r="AA1898" i="1" s="1"/>
  <c r="AE1898" i="1"/>
  <c r="Y1899" i="1"/>
  <c r="AA1899" i="1" s="1"/>
  <c r="AE1899" i="1"/>
  <c r="Y1900" i="1"/>
  <c r="AA1900" i="1" s="1"/>
  <c r="AE1900" i="1"/>
  <c r="Y1901" i="1"/>
  <c r="AA1901" i="1" s="1"/>
  <c r="AE1901" i="1"/>
  <c r="Y1902" i="1"/>
  <c r="AA1902" i="1" s="1"/>
  <c r="AE1902" i="1"/>
  <c r="Y1903" i="1"/>
  <c r="AA1903" i="1" s="1"/>
  <c r="AE1903" i="1"/>
  <c r="Y1904" i="1"/>
  <c r="AA1904" i="1" s="1"/>
  <c r="AE1904" i="1"/>
  <c r="Y1905" i="1"/>
  <c r="AA1905" i="1" s="1"/>
  <c r="AE1905" i="1"/>
  <c r="Y1906" i="1"/>
  <c r="AA1906" i="1" s="1"/>
  <c r="AE1906" i="1"/>
  <c r="Y1907" i="1"/>
  <c r="AA1907" i="1" s="1"/>
  <c r="AE1907" i="1"/>
  <c r="Y1908" i="1"/>
  <c r="AA1908" i="1" s="1"/>
  <c r="AE1908" i="1"/>
  <c r="Y1909" i="1"/>
  <c r="AE1909" i="1"/>
  <c r="Y1910" i="1"/>
  <c r="AA1910" i="1" s="1"/>
  <c r="AE1910" i="1"/>
  <c r="Y1911" i="1"/>
  <c r="AA1911" i="1" s="1"/>
  <c r="AE1911" i="1"/>
  <c r="Y1912" i="1"/>
  <c r="AA1912" i="1" s="1"/>
  <c r="AE1912" i="1"/>
  <c r="Y1913" i="1"/>
  <c r="AA1913" i="1" s="1"/>
  <c r="AE1913" i="1"/>
  <c r="Y1914" i="1"/>
  <c r="AA1914" i="1" s="1"/>
  <c r="AE1914" i="1"/>
  <c r="Y1915" i="1"/>
  <c r="AA1915" i="1" s="1"/>
  <c r="AE1915" i="1"/>
  <c r="Y1916" i="1"/>
  <c r="AA1916" i="1" s="1"/>
  <c r="AE1916" i="1"/>
  <c r="Y1917" i="1"/>
  <c r="AA1917" i="1" s="1"/>
  <c r="AE1917" i="1"/>
  <c r="Y1918" i="1"/>
  <c r="AA1918" i="1" s="1"/>
  <c r="AE1918" i="1"/>
  <c r="Y1919" i="1"/>
  <c r="AA1919" i="1" s="1"/>
  <c r="AE1919" i="1"/>
  <c r="Y1920" i="1"/>
  <c r="AA1920" i="1" s="1"/>
  <c r="AE1920" i="1"/>
  <c r="Y1921" i="1"/>
  <c r="AA1921" i="1" s="1"/>
  <c r="AE1921" i="1"/>
  <c r="Y1922" i="1"/>
  <c r="AA1922" i="1" s="1"/>
  <c r="AE1922" i="1"/>
  <c r="Y1923" i="1"/>
  <c r="AA1923" i="1" s="1"/>
  <c r="AE1923" i="1"/>
  <c r="Y1924" i="1"/>
  <c r="AA1924" i="1" s="1"/>
  <c r="AE1924" i="1"/>
  <c r="Y1925" i="1"/>
  <c r="AE1925" i="1"/>
  <c r="Y1926" i="1"/>
  <c r="AA1926" i="1" s="1"/>
  <c r="AE1926" i="1"/>
  <c r="Y1927" i="1"/>
  <c r="AA1927" i="1" s="1"/>
  <c r="AE1927" i="1"/>
  <c r="Y1928" i="1"/>
  <c r="AA1928" i="1" s="1"/>
  <c r="AE1928" i="1"/>
  <c r="Y1929" i="1"/>
  <c r="AA1929" i="1" s="1"/>
  <c r="AE1929" i="1"/>
  <c r="Y1930" i="1"/>
  <c r="AE1930" i="1"/>
  <c r="Y1931" i="1"/>
  <c r="AE1931" i="1"/>
  <c r="Y1932" i="1"/>
  <c r="AA1932" i="1" s="1"/>
  <c r="AE1932" i="1"/>
  <c r="Y1933" i="1"/>
  <c r="AA1933" i="1" s="1"/>
  <c r="AE1933" i="1"/>
  <c r="Y1934" i="1"/>
  <c r="AA1934" i="1" s="1"/>
  <c r="AE1934" i="1"/>
  <c r="Y1935" i="1"/>
  <c r="AA1935" i="1" s="1"/>
  <c r="AE1935" i="1"/>
  <c r="Y1936" i="1"/>
  <c r="AA1936" i="1" s="1"/>
  <c r="AE1936" i="1"/>
  <c r="Y1937" i="1"/>
  <c r="AA1937" i="1" s="1"/>
  <c r="AE1937" i="1"/>
  <c r="Y1938" i="1"/>
  <c r="AA1938" i="1" s="1"/>
  <c r="AE1938" i="1"/>
  <c r="Y1939" i="1"/>
  <c r="AE1939" i="1"/>
  <c r="Y1940" i="1"/>
  <c r="AA1940" i="1" s="1"/>
  <c r="AE1940" i="1"/>
  <c r="Y1941" i="1"/>
  <c r="AA1941" i="1" s="1"/>
  <c r="AE1941" i="1"/>
  <c r="Y1942" i="1"/>
  <c r="AA1942" i="1" s="1"/>
  <c r="AE1942" i="1"/>
  <c r="Y1943" i="1"/>
  <c r="AE1943" i="1"/>
  <c r="Y1944" i="1"/>
  <c r="AE1944" i="1"/>
  <c r="Y1945" i="1"/>
  <c r="AA1945" i="1" s="1"/>
  <c r="AE1945" i="1"/>
  <c r="Y1946" i="1"/>
  <c r="AE1946" i="1"/>
  <c r="Y1947" i="1"/>
  <c r="AE1947" i="1"/>
  <c r="Y1948" i="1"/>
  <c r="AE1948" i="1"/>
  <c r="Y1949" i="1"/>
  <c r="AE1949" i="1"/>
  <c r="Y1950" i="1"/>
  <c r="AE1950" i="1"/>
  <c r="Y1951" i="1"/>
  <c r="AE1951" i="1"/>
  <c r="Y1952" i="1"/>
  <c r="AE1952" i="1"/>
  <c r="Y1953" i="1"/>
  <c r="AE1953" i="1"/>
  <c r="Y1954" i="1"/>
  <c r="AE1954" i="1"/>
  <c r="Y1955" i="1"/>
  <c r="AE1955" i="1"/>
  <c r="Y1956" i="1"/>
  <c r="AE1956" i="1"/>
  <c r="Y1957" i="1"/>
  <c r="AE1957" i="1"/>
  <c r="Y1958" i="1"/>
  <c r="AE1958" i="1"/>
  <c r="Y1959" i="1"/>
  <c r="AA1959" i="1" s="1"/>
  <c r="AE1959" i="1"/>
  <c r="Y1960" i="1"/>
  <c r="AA1960" i="1" s="1"/>
  <c r="AE1960" i="1"/>
  <c r="Y1961" i="1"/>
  <c r="AA1961" i="1" s="1"/>
  <c r="AE1961" i="1"/>
  <c r="Y1962" i="1"/>
  <c r="AE1962" i="1"/>
  <c r="Y1963" i="1"/>
  <c r="AE1963" i="1"/>
  <c r="Y1964" i="1"/>
  <c r="AA1964" i="1" s="1"/>
  <c r="AE1964" i="1"/>
  <c r="Y1965" i="1"/>
  <c r="AA1965" i="1" s="1"/>
  <c r="AE1965" i="1"/>
  <c r="Y1966" i="1"/>
  <c r="AE1966" i="1"/>
  <c r="Y1967" i="1"/>
  <c r="AE1967" i="1"/>
  <c r="Y1968" i="1"/>
  <c r="AA1968" i="1" s="1"/>
  <c r="AE1968" i="1"/>
  <c r="Y1969" i="1"/>
  <c r="AA1969" i="1" s="1"/>
  <c r="AE1969" i="1"/>
  <c r="Y1970" i="1"/>
  <c r="AA1970" i="1" s="1"/>
  <c r="AE1970" i="1"/>
  <c r="Y1971" i="1"/>
  <c r="AA1971" i="1" s="1"/>
  <c r="AE1971" i="1"/>
  <c r="Y1972" i="1"/>
  <c r="AA1972" i="1" s="1"/>
  <c r="AE1972" i="1"/>
  <c r="Y1973" i="1"/>
  <c r="AA1973" i="1" s="1"/>
  <c r="AE1973" i="1"/>
  <c r="Y1974" i="1"/>
  <c r="AA1974" i="1" s="1"/>
  <c r="AE1974" i="1"/>
  <c r="Y1975" i="1"/>
  <c r="AA1975" i="1" s="1"/>
  <c r="AE1975" i="1"/>
  <c r="Y1976" i="1"/>
  <c r="AA1976" i="1" s="1"/>
  <c r="AE1976" i="1"/>
  <c r="Y1977" i="1"/>
  <c r="AA1977" i="1" s="1"/>
  <c r="AE1977" i="1"/>
  <c r="Y1978" i="1"/>
  <c r="AA1978" i="1" s="1"/>
  <c r="AE1978" i="1"/>
  <c r="Y1979" i="1"/>
  <c r="AA1979" i="1" s="1"/>
  <c r="AE1979" i="1"/>
  <c r="Y1980" i="1"/>
  <c r="AE1980" i="1"/>
  <c r="Y1981" i="1"/>
  <c r="AE1981" i="1"/>
  <c r="Y1982" i="1"/>
  <c r="AE1982" i="1"/>
  <c r="Y1983" i="1"/>
  <c r="AE1983" i="1"/>
  <c r="Y1984" i="1"/>
  <c r="AE1984" i="1"/>
  <c r="Y1985" i="1"/>
  <c r="AE1985" i="1"/>
  <c r="Y1986" i="1"/>
  <c r="AE1986" i="1"/>
  <c r="Y1987" i="1"/>
  <c r="AE1987" i="1"/>
  <c r="Y1988" i="1"/>
  <c r="AE1988" i="1"/>
  <c r="Y1989" i="1"/>
  <c r="AE1989" i="1"/>
  <c r="Y1990" i="1"/>
  <c r="AA1990" i="1" s="1"/>
  <c r="AE1990" i="1"/>
  <c r="Y1991" i="1"/>
  <c r="AE1991" i="1"/>
  <c r="Y1992" i="1"/>
  <c r="AA1992" i="1" s="1"/>
  <c r="AE1992" i="1"/>
  <c r="Y1993" i="1"/>
  <c r="AE1993" i="1"/>
  <c r="Y1994" i="1"/>
  <c r="AA1994" i="1" s="1"/>
  <c r="AE1994" i="1"/>
  <c r="Y1995" i="1"/>
  <c r="AA1995" i="1" s="1"/>
  <c r="AE1995" i="1"/>
  <c r="Y1996" i="1"/>
  <c r="AA1996" i="1" s="1"/>
  <c r="AE1996" i="1"/>
  <c r="Y1997" i="1"/>
  <c r="AA1997" i="1" s="1"/>
  <c r="AE1997" i="1"/>
  <c r="Y1998" i="1"/>
  <c r="AE1998" i="1"/>
  <c r="Y1999" i="1"/>
  <c r="AA1999" i="1" s="1"/>
  <c r="AE1999" i="1"/>
  <c r="Y2000" i="1"/>
  <c r="AA2000" i="1" s="1"/>
  <c r="AE2000" i="1"/>
  <c r="Y1650" i="1"/>
  <c r="AA1650" i="1" s="1"/>
  <c r="AE1650" i="1"/>
  <c r="Y1651" i="1"/>
  <c r="AA1651" i="1" s="1"/>
  <c r="AE1651" i="1"/>
  <c r="Y1652" i="1"/>
  <c r="AA1652" i="1" s="1"/>
  <c r="AE1652" i="1"/>
  <c r="Y1653" i="1"/>
  <c r="AA1653" i="1" s="1"/>
  <c r="AE1653" i="1"/>
  <c r="Y1654" i="1"/>
  <c r="AA1654" i="1" s="1"/>
  <c r="AE1654" i="1"/>
  <c r="Y1655" i="1"/>
  <c r="AA1655" i="1" s="1"/>
  <c r="AE1655" i="1"/>
  <c r="Y1656" i="1"/>
  <c r="AA1656" i="1" s="1"/>
  <c r="AE1656" i="1"/>
  <c r="Y1657" i="1"/>
  <c r="AA1657" i="1" s="1"/>
  <c r="AE1657" i="1"/>
  <c r="Y1658" i="1"/>
  <c r="AA1658" i="1" s="1"/>
  <c r="AE1658" i="1"/>
  <c r="Y1659" i="1"/>
  <c r="AA1659" i="1" s="1"/>
  <c r="AE1659" i="1"/>
  <c r="Y1660" i="1"/>
  <c r="AA1660" i="1" s="1"/>
  <c r="AE1660" i="1"/>
  <c r="Y1661" i="1"/>
  <c r="AA1661" i="1" s="1"/>
  <c r="AE1661" i="1"/>
  <c r="Y1662" i="1"/>
  <c r="AA1662" i="1" s="1"/>
  <c r="AE1662" i="1"/>
  <c r="Y1663" i="1"/>
  <c r="AA1663" i="1" s="1"/>
  <c r="AE1663" i="1"/>
  <c r="Y1664" i="1"/>
  <c r="AA1664" i="1" s="1"/>
  <c r="AE1664" i="1"/>
  <c r="Y1665" i="1"/>
  <c r="AA1665" i="1" s="1"/>
  <c r="AE1665" i="1"/>
  <c r="Y1666" i="1"/>
  <c r="AA1666" i="1" s="1"/>
  <c r="AE1666" i="1"/>
  <c r="Y1667" i="1"/>
  <c r="AA1667" i="1" s="1"/>
  <c r="AE1667" i="1"/>
  <c r="Y1668" i="1"/>
  <c r="AA1668" i="1" s="1"/>
  <c r="AE1668" i="1"/>
  <c r="Y1669" i="1"/>
  <c r="AA1669" i="1" s="1"/>
  <c r="AE1669" i="1"/>
  <c r="Y1670" i="1"/>
  <c r="AA1670" i="1" s="1"/>
  <c r="AE1670" i="1"/>
  <c r="Y1671" i="1"/>
  <c r="AA1671" i="1" s="1"/>
  <c r="AE1671" i="1"/>
  <c r="Y1672" i="1"/>
  <c r="AA1672" i="1" s="1"/>
  <c r="AE1672" i="1"/>
  <c r="Y1673" i="1"/>
  <c r="AA1673" i="1" s="1"/>
  <c r="AE1673" i="1"/>
  <c r="Y1674" i="1"/>
  <c r="AA1674" i="1" s="1"/>
  <c r="AE1674" i="1"/>
  <c r="Y1675" i="1"/>
  <c r="AA1675" i="1" s="1"/>
  <c r="AE1675" i="1"/>
  <c r="Y1676" i="1"/>
  <c r="AA1676" i="1" s="1"/>
  <c r="AE1676" i="1"/>
  <c r="Y1677" i="1"/>
  <c r="AA1677" i="1" s="1"/>
  <c r="AE1677" i="1"/>
  <c r="Y1678" i="1"/>
  <c r="AA1678" i="1" s="1"/>
  <c r="AE1678" i="1"/>
  <c r="Y1679" i="1"/>
  <c r="AA1679" i="1" s="1"/>
  <c r="AE1679" i="1"/>
  <c r="Y1680" i="1"/>
  <c r="AA1680" i="1" s="1"/>
  <c r="AE1680" i="1"/>
  <c r="Y1681" i="1"/>
  <c r="AA1681" i="1" s="1"/>
  <c r="AE1681" i="1"/>
  <c r="Y1682" i="1"/>
  <c r="AA1682" i="1" s="1"/>
  <c r="AE1682" i="1"/>
  <c r="Y1683" i="1"/>
  <c r="AA1683" i="1" s="1"/>
  <c r="AE1683" i="1"/>
  <c r="Y1684" i="1"/>
  <c r="AA1684" i="1" s="1"/>
  <c r="AE1684" i="1"/>
  <c r="Y1685" i="1"/>
  <c r="AA1685" i="1" s="1"/>
  <c r="AE1685" i="1"/>
  <c r="Y1686" i="1"/>
  <c r="AA1686" i="1" s="1"/>
  <c r="AE1686" i="1"/>
  <c r="Y1687" i="1"/>
  <c r="AA1687" i="1" s="1"/>
  <c r="AE1687" i="1"/>
  <c r="Y1688" i="1"/>
  <c r="AA1688" i="1" s="1"/>
  <c r="AE1688" i="1"/>
  <c r="Y1689" i="1"/>
  <c r="AA1689" i="1" s="1"/>
  <c r="AE1689" i="1"/>
  <c r="Y1690" i="1"/>
  <c r="AA1690" i="1" s="1"/>
  <c r="AE1690" i="1"/>
  <c r="Y1691" i="1"/>
  <c r="AA1691" i="1" s="1"/>
  <c r="AE1691" i="1"/>
  <c r="Y1692" i="1"/>
  <c r="AA1692" i="1" s="1"/>
  <c r="AE1692" i="1"/>
  <c r="Y1693" i="1"/>
  <c r="AA1693" i="1" s="1"/>
  <c r="AE1693" i="1"/>
  <c r="Y1694" i="1"/>
  <c r="AA1694" i="1" s="1"/>
  <c r="AE1694" i="1"/>
  <c r="Y1695" i="1"/>
  <c r="AE1695" i="1"/>
  <c r="Y1696" i="1"/>
  <c r="AA1696" i="1" s="1"/>
  <c r="AE1696" i="1"/>
  <c r="Y1697" i="1"/>
  <c r="AA1697" i="1" s="1"/>
  <c r="AE1697" i="1"/>
  <c r="Y1698" i="1"/>
  <c r="AA1698" i="1" s="1"/>
  <c r="AE1698" i="1"/>
  <c r="Y1699" i="1"/>
  <c r="AA1699" i="1" s="1"/>
  <c r="AE1699" i="1"/>
  <c r="Y1700" i="1"/>
  <c r="AA1700" i="1" s="1"/>
  <c r="AE1700" i="1"/>
  <c r="Y1701" i="1"/>
  <c r="AA1701" i="1" s="1"/>
  <c r="AE1701" i="1"/>
  <c r="Y1702" i="1"/>
  <c r="AE1702" i="1"/>
  <c r="Y1703" i="1"/>
  <c r="AA1703" i="1" s="1"/>
  <c r="AE1703" i="1"/>
  <c r="Y1704" i="1"/>
  <c r="AA1704" i="1" s="1"/>
  <c r="AE1704" i="1"/>
  <c r="Y1705" i="1"/>
  <c r="AA1705" i="1" s="1"/>
  <c r="AE1705" i="1"/>
  <c r="Y1706" i="1"/>
  <c r="AA1706" i="1" s="1"/>
  <c r="AE1706" i="1"/>
  <c r="Y1707" i="1"/>
  <c r="AA1707" i="1" s="1"/>
  <c r="AE1707" i="1"/>
  <c r="Y1708" i="1"/>
  <c r="AA1708" i="1" s="1"/>
  <c r="AE1708" i="1"/>
  <c r="Y1709" i="1"/>
  <c r="AA1709" i="1" s="1"/>
  <c r="AE1709" i="1"/>
  <c r="Y1710" i="1"/>
  <c r="AA1710" i="1" s="1"/>
  <c r="AE1710" i="1"/>
  <c r="Y1711" i="1"/>
  <c r="AA1711" i="1" s="1"/>
  <c r="AE1711" i="1"/>
  <c r="Y1712" i="1"/>
  <c r="AA1712" i="1" s="1"/>
  <c r="AE1712" i="1"/>
  <c r="Y1713" i="1"/>
  <c r="AA1713" i="1" s="1"/>
  <c r="AE1713" i="1"/>
  <c r="Y1714" i="1"/>
  <c r="AA1714" i="1" s="1"/>
  <c r="AE1714" i="1"/>
  <c r="Y1715" i="1"/>
  <c r="AE1715" i="1"/>
  <c r="Y1716" i="1"/>
  <c r="AA1716" i="1" s="1"/>
  <c r="AE1716" i="1"/>
  <c r="Y1717" i="1"/>
  <c r="AA1717" i="1" s="1"/>
  <c r="AE1717" i="1"/>
  <c r="Y1718" i="1"/>
  <c r="AA1718" i="1" s="1"/>
  <c r="AE1718" i="1"/>
  <c r="Y1719" i="1"/>
  <c r="AA1719" i="1" s="1"/>
  <c r="AE1719" i="1"/>
  <c r="Y1720" i="1"/>
  <c r="AA1720" i="1" s="1"/>
  <c r="AE1720" i="1"/>
  <c r="Y1721" i="1"/>
  <c r="AA1721" i="1" s="1"/>
  <c r="AE1721" i="1"/>
  <c r="Y1722" i="1"/>
  <c r="AA1722" i="1" s="1"/>
  <c r="AE1722" i="1"/>
  <c r="Y1723" i="1"/>
  <c r="AA1723" i="1" s="1"/>
  <c r="AE1723" i="1"/>
  <c r="Y1724" i="1"/>
  <c r="AA1724" i="1" s="1"/>
  <c r="AE1724" i="1"/>
  <c r="Y1725" i="1"/>
  <c r="AA1725" i="1" s="1"/>
  <c r="AE1725" i="1"/>
  <c r="Y1726" i="1"/>
  <c r="AA1726" i="1" s="1"/>
  <c r="AE1726" i="1"/>
  <c r="Y1727" i="1"/>
  <c r="AA1727" i="1" s="1"/>
  <c r="AE1727" i="1"/>
  <c r="Y1728" i="1"/>
  <c r="AA1728" i="1" s="1"/>
  <c r="AE1728" i="1"/>
  <c r="Y1729" i="1"/>
  <c r="AA1729" i="1" s="1"/>
  <c r="AE1729" i="1"/>
  <c r="Y1730" i="1"/>
  <c r="AA1730" i="1" s="1"/>
  <c r="AE1730" i="1"/>
  <c r="Y1731" i="1"/>
  <c r="AA1731" i="1" s="1"/>
  <c r="AE1731" i="1"/>
  <c r="Y1732" i="1"/>
  <c r="AA1732" i="1" s="1"/>
  <c r="AE1732" i="1"/>
  <c r="Y1733" i="1"/>
  <c r="AA1733" i="1" s="1"/>
  <c r="AE1733" i="1"/>
  <c r="Y1734" i="1"/>
  <c r="AA1734" i="1" s="1"/>
  <c r="AE1734" i="1"/>
  <c r="Y1735" i="1"/>
  <c r="AA1735" i="1" s="1"/>
  <c r="AE1735" i="1"/>
  <c r="Y1736" i="1"/>
  <c r="AA1736" i="1" s="1"/>
  <c r="AE1736" i="1"/>
  <c r="Y1737" i="1"/>
  <c r="AA1737" i="1" s="1"/>
  <c r="AE1737" i="1"/>
  <c r="Y1738" i="1"/>
  <c r="AA1738" i="1" s="1"/>
  <c r="AE1738" i="1"/>
  <c r="Y1739" i="1"/>
  <c r="AA1739" i="1" s="1"/>
  <c r="AE1739" i="1"/>
  <c r="Y1740" i="1"/>
  <c r="AA1740" i="1" s="1"/>
  <c r="AE1740" i="1"/>
  <c r="Y1741" i="1"/>
  <c r="AA1741" i="1" s="1"/>
  <c r="AE1741" i="1"/>
  <c r="Y1742" i="1"/>
  <c r="AA1742" i="1" s="1"/>
  <c r="AE1742" i="1"/>
  <c r="Y1743" i="1"/>
  <c r="AA1743" i="1" s="1"/>
  <c r="AE1743" i="1"/>
  <c r="Y1744" i="1"/>
  <c r="AA1744" i="1" s="1"/>
  <c r="AE1744" i="1"/>
  <c r="Y1745" i="1"/>
  <c r="AA1745" i="1" s="1"/>
  <c r="AE1745" i="1"/>
  <c r="Y1746" i="1"/>
  <c r="AA1746" i="1" s="1"/>
  <c r="AE1746" i="1"/>
  <c r="Y1747" i="1"/>
  <c r="AA1747" i="1" s="1"/>
  <c r="AE1747" i="1"/>
  <c r="Y1748" i="1"/>
  <c r="AA1748" i="1" s="1"/>
  <c r="AE1748" i="1"/>
  <c r="Y1749" i="1"/>
  <c r="AA1749" i="1" s="1"/>
  <c r="AE1749" i="1"/>
  <c r="Y1750" i="1"/>
  <c r="AA1750" i="1" s="1"/>
  <c r="AE1750" i="1"/>
  <c r="Y1751" i="1"/>
  <c r="AA1751" i="1" s="1"/>
  <c r="AE1751" i="1"/>
  <c r="Y1752" i="1"/>
  <c r="AA1752" i="1" s="1"/>
  <c r="AE1752" i="1"/>
  <c r="Y1753" i="1"/>
  <c r="AA1753" i="1" s="1"/>
  <c r="AE1753" i="1"/>
  <c r="Y1754" i="1"/>
  <c r="AA1754" i="1" s="1"/>
  <c r="AE1754" i="1"/>
  <c r="Y1755" i="1"/>
  <c r="AA1755" i="1" s="1"/>
  <c r="AE1755" i="1"/>
  <c r="Y1756" i="1"/>
  <c r="AA1756" i="1" s="1"/>
  <c r="AE1756" i="1"/>
  <c r="Y1757" i="1"/>
  <c r="AA1757" i="1" s="1"/>
  <c r="AE1757" i="1"/>
  <c r="Y1758" i="1"/>
  <c r="AA1758" i="1" s="1"/>
  <c r="AE1758" i="1"/>
  <c r="Y1759" i="1"/>
  <c r="AA1759" i="1" s="1"/>
  <c r="AE1759" i="1"/>
  <c r="Y1760" i="1"/>
  <c r="AA1760" i="1" s="1"/>
  <c r="AE1760" i="1"/>
  <c r="Y1761" i="1"/>
  <c r="AA1761" i="1" s="1"/>
  <c r="AE1761" i="1"/>
  <c r="Y1762" i="1"/>
  <c r="AA1762" i="1" s="1"/>
  <c r="AE1762" i="1"/>
  <c r="Y1763" i="1"/>
  <c r="AA1763" i="1" s="1"/>
  <c r="AE1763" i="1"/>
  <c r="Y1764" i="1"/>
  <c r="AA1764" i="1" s="1"/>
  <c r="AE1764" i="1"/>
  <c r="Y1765" i="1"/>
  <c r="AA1765" i="1" s="1"/>
  <c r="AE1765" i="1"/>
  <c r="Y1766" i="1"/>
  <c r="AA1766" i="1" s="1"/>
  <c r="AE1766" i="1"/>
  <c r="Y1767" i="1"/>
  <c r="AA1767" i="1" s="1"/>
  <c r="AE1767" i="1"/>
  <c r="Y1768" i="1"/>
  <c r="AA1768" i="1" s="1"/>
  <c r="AE1768" i="1"/>
  <c r="Y1769" i="1"/>
  <c r="AA1769" i="1" s="1"/>
  <c r="AE1769" i="1"/>
  <c r="Y1770" i="1"/>
  <c r="AA1770" i="1" s="1"/>
  <c r="AE1770" i="1"/>
  <c r="Y1771" i="1"/>
  <c r="AA1771" i="1" s="1"/>
  <c r="AE1771" i="1"/>
  <c r="Y1772" i="1"/>
  <c r="AA1772" i="1" s="1"/>
  <c r="AE1772" i="1"/>
  <c r="Y1773" i="1"/>
  <c r="AA1773" i="1" s="1"/>
  <c r="AE1773" i="1"/>
  <c r="Y1774" i="1"/>
  <c r="AA1774" i="1" s="1"/>
  <c r="AE1774" i="1"/>
  <c r="Y1775" i="1"/>
  <c r="AA1775" i="1" s="1"/>
  <c r="AE1775" i="1"/>
  <c r="Y1776" i="1"/>
  <c r="AA1776" i="1" s="1"/>
  <c r="AE1776" i="1"/>
  <c r="Y1777" i="1"/>
  <c r="AA1777" i="1" s="1"/>
  <c r="AE1777" i="1"/>
  <c r="Y1778" i="1"/>
  <c r="AA1778" i="1" s="1"/>
  <c r="AE1778" i="1"/>
  <c r="Y1779" i="1"/>
  <c r="AA1779" i="1" s="1"/>
  <c r="AE1779" i="1"/>
  <c r="Y1780" i="1"/>
  <c r="AA1780" i="1" s="1"/>
  <c r="AE1780" i="1"/>
  <c r="Y1781" i="1"/>
  <c r="AA1781" i="1" s="1"/>
  <c r="AE1781" i="1"/>
  <c r="Y1782" i="1"/>
  <c r="AA1782" i="1" s="1"/>
  <c r="AE1782" i="1"/>
  <c r="Y1783" i="1"/>
  <c r="AA1783" i="1" s="1"/>
  <c r="AE1783" i="1"/>
  <c r="Y1784" i="1"/>
  <c r="AA1784" i="1" s="1"/>
  <c r="AE1784" i="1"/>
  <c r="Y1785" i="1"/>
  <c r="AA1785" i="1" s="1"/>
  <c r="AE1785" i="1"/>
  <c r="Y1786" i="1"/>
  <c r="AA1786" i="1" s="1"/>
  <c r="AE1786" i="1"/>
  <c r="Y1787" i="1"/>
  <c r="AA1787" i="1" s="1"/>
  <c r="AE1787" i="1"/>
  <c r="Y1788" i="1"/>
  <c r="AA1788" i="1" s="1"/>
  <c r="AE1788" i="1"/>
  <c r="Y1789" i="1"/>
  <c r="AA1789" i="1" s="1"/>
  <c r="AE1789" i="1"/>
  <c r="Y1790" i="1"/>
  <c r="AA1790" i="1" s="1"/>
  <c r="AE1790" i="1"/>
  <c r="Y1791" i="1"/>
  <c r="AA1791" i="1" s="1"/>
  <c r="AE1791" i="1"/>
  <c r="Y1792" i="1"/>
  <c r="AA1792" i="1" s="1"/>
  <c r="AE1792" i="1"/>
  <c r="Y1793" i="1"/>
  <c r="AA1793" i="1" s="1"/>
  <c r="AE1793" i="1"/>
  <c r="Y1794" i="1"/>
  <c r="AE1794" i="1"/>
  <c r="Y1795" i="1"/>
  <c r="AA1795" i="1" s="1"/>
  <c r="AE1795" i="1"/>
  <c r="Y1796" i="1"/>
  <c r="AA1796" i="1" s="1"/>
  <c r="AE1796" i="1"/>
  <c r="Y1797" i="1"/>
  <c r="AA1797" i="1" s="1"/>
  <c r="AE1797" i="1"/>
  <c r="Y1798" i="1"/>
  <c r="AE1798" i="1"/>
  <c r="Y1799" i="1"/>
  <c r="AE1799" i="1"/>
  <c r="Y1800" i="1"/>
  <c r="AE1800" i="1"/>
  <c r="Y1801" i="1"/>
  <c r="AA1801" i="1" s="1"/>
  <c r="AE1801" i="1"/>
  <c r="Y1802" i="1"/>
  <c r="AE1802" i="1"/>
  <c r="Y1803" i="1"/>
  <c r="AA1803" i="1" s="1"/>
  <c r="AE1803" i="1"/>
  <c r="Y1804" i="1"/>
  <c r="AA1804" i="1" s="1"/>
  <c r="AE1804" i="1"/>
  <c r="Y1805" i="1"/>
  <c r="AA1805" i="1" s="1"/>
  <c r="AE1805" i="1"/>
  <c r="Y1806" i="1"/>
  <c r="AA1806" i="1" s="1"/>
  <c r="AE1806" i="1"/>
  <c r="Y1807" i="1"/>
  <c r="AA1807" i="1" s="1"/>
  <c r="AE1807" i="1"/>
  <c r="Y1808" i="1"/>
  <c r="AA1808" i="1" s="1"/>
  <c r="AE1808" i="1"/>
  <c r="Y1809" i="1"/>
  <c r="AA1809" i="1" s="1"/>
  <c r="AE1809" i="1"/>
  <c r="Y1810" i="1"/>
  <c r="AA1810" i="1" s="1"/>
  <c r="AE1810" i="1"/>
  <c r="Y1811" i="1"/>
  <c r="AA1811" i="1" s="1"/>
  <c r="AE1811" i="1"/>
  <c r="Y1812" i="1"/>
  <c r="AA1812" i="1" s="1"/>
  <c r="AE1812" i="1"/>
  <c r="Y1813" i="1"/>
  <c r="AA1813" i="1" s="1"/>
  <c r="AE1813" i="1"/>
  <c r="Y1814" i="1"/>
  <c r="AA1814" i="1" s="1"/>
  <c r="AE1814" i="1"/>
  <c r="Y1815" i="1"/>
  <c r="AA1815" i="1" s="1"/>
  <c r="AE1815" i="1"/>
  <c r="Y1816" i="1"/>
  <c r="AA1816" i="1" s="1"/>
  <c r="AE1816" i="1"/>
  <c r="Y1817" i="1"/>
  <c r="AA1817" i="1" s="1"/>
  <c r="AE1817" i="1"/>
  <c r="Y1818" i="1"/>
  <c r="AA1818" i="1" s="1"/>
  <c r="AE1818" i="1"/>
  <c r="Y1819" i="1"/>
  <c r="AA1819" i="1" s="1"/>
  <c r="AE1819" i="1"/>
  <c r="Y1820" i="1"/>
  <c r="AA1820" i="1" s="1"/>
  <c r="AE1820" i="1"/>
  <c r="Y1821" i="1"/>
  <c r="AA1821" i="1" s="1"/>
  <c r="AE1821" i="1"/>
  <c r="Y1822" i="1"/>
  <c r="AA1822" i="1" s="1"/>
  <c r="AE1822" i="1"/>
  <c r="Y1823" i="1"/>
  <c r="AA1823" i="1" s="1"/>
  <c r="AE1823" i="1"/>
  <c r="Y1824" i="1"/>
  <c r="AA1824" i="1" s="1"/>
  <c r="AE1824" i="1"/>
  <c r="Y1825" i="1"/>
  <c r="AA1825" i="1" s="1"/>
  <c r="AE1825" i="1"/>
  <c r="Y1826" i="1"/>
  <c r="AA1826" i="1" s="1"/>
  <c r="AE1826" i="1"/>
  <c r="Y1827" i="1"/>
  <c r="AA1827" i="1" s="1"/>
  <c r="AE1827" i="1"/>
  <c r="Y1828" i="1"/>
  <c r="AA1828" i="1" s="1"/>
  <c r="AE1828" i="1"/>
  <c r="Y1829" i="1"/>
  <c r="AA1829" i="1" s="1"/>
  <c r="AE1829" i="1"/>
  <c r="Y1830" i="1"/>
  <c r="AE1830" i="1"/>
  <c r="Y1831" i="1"/>
  <c r="AA1831" i="1" s="1"/>
  <c r="AE1831" i="1"/>
  <c r="Y1832" i="1"/>
  <c r="AA1832" i="1" s="1"/>
  <c r="AE1832" i="1"/>
  <c r="Y1833" i="1"/>
  <c r="AA1833" i="1" s="1"/>
  <c r="AE1833" i="1"/>
  <c r="Y1834" i="1"/>
  <c r="AA1834" i="1" s="1"/>
  <c r="AE1834" i="1"/>
  <c r="Y1835" i="1"/>
  <c r="AA1835" i="1" s="1"/>
  <c r="AE1835" i="1"/>
  <c r="Y1836" i="1"/>
  <c r="AA1836" i="1" s="1"/>
  <c r="AE1836" i="1"/>
  <c r="Y1837" i="1"/>
  <c r="AA1837" i="1" s="1"/>
  <c r="AE1837" i="1"/>
  <c r="Y1838" i="1"/>
  <c r="AA1838" i="1" s="1"/>
  <c r="AE1838" i="1"/>
  <c r="Y1839" i="1"/>
  <c r="AA1839" i="1" s="1"/>
  <c r="AE1839" i="1"/>
  <c r="Y1840" i="1"/>
  <c r="AA1840" i="1" s="1"/>
  <c r="AE1840" i="1"/>
  <c r="Y1841" i="1"/>
  <c r="AA1841" i="1" s="1"/>
  <c r="AE1841" i="1"/>
  <c r="Y1842" i="1"/>
  <c r="AA1842" i="1" s="1"/>
  <c r="AE1842" i="1"/>
  <c r="Y1843" i="1"/>
  <c r="AA1843" i="1" s="1"/>
  <c r="AE1843" i="1"/>
  <c r="Y1844" i="1"/>
  <c r="AA1844" i="1" s="1"/>
  <c r="AE1844" i="1"/>
  <c r="Y1845" i="1"/>
  <c r="AA1845" i="1" s="1"/>
  <c r="AE1845" i="1"/>
  <c r="Y1846" i="1"/>
  <c r="AA1846" i="1" s="1"/>
  <c r="AE1846" i="1"/>
  <c r="Y1847" i="1"/>
  <c r="AE1847" i="1"/>
  <c r="Y1848" i="1"/>
  <c r="AA1848" i="1" s="1"/>
  <c r="AE1848" i="1"/>
  <c r="Y1849" i="1"/>
  <c r="AA1849" i="1" s="1"/>
  <c r="AE1849" i="1"/>
  <c r="Y1850" i="1"/>
  <c r="AA1850" i="1" s="1"/>
  <c r="AE1850" i="1"/>
  <c r="Y1851" i="1"/>
  <c r="AA1851" i="1" s="1"/>
  <c r="AE1851" i="1"/>
  <c r="Y1852" i="1"/>
  <c r="AA1852" i="1" s="1"/>
  <c r="AE1852" i="1"/>
  <c r="Y1853" i="1"/>
  <c r="AA1853" i="1" s="1"/>
  <c r="AE1853" i="1"/>
  <c r="Y1854" i="1"/>
  <c r="AA1854" i="1" s="1"/>
  <c r="AE1854" i="1"/>
  <c r="Y1855" i="1"/>
  <c r="AA1855" i="1" s="1"/>
  <c r="AE1855" i="1"/>
  <c r="Y1856" i="1"/>
  <c r="AA1856" i="1" s="1"/>
  <c r="AE1856" i="1"/>
  <c r="Y1857" i="1"/>
  <c r="AA1857" i="1" s="1"/>
  <c r="AE1857" i="1"/>
  <c r="Y1858" i="1"/>
  <c r="AA1858" i="1" s="1"/>
  <c r="AE1858" i="1"/>
  <c r="Y1859" i="1"/>
  <c r="AA1859" i="1" s="1"/>
  <c r="AE1859" i="1"/>
  <c r="Y1860" i="1"/>
  <c r="AA1860" i="1" s="1"/>
  <c r="AE1860" i="1"/>
  <c r="Y1861" i="1"/>
  <c r="AA1861" i="1" s="1"/>
  <c r="AE1861" i="1"/>
  <c r="Y1862" i="1"/>
  <c r="AA1862" i="1" s="1"/>
  <c r="AE1862" i="1"/>
  <c r="Y1863" i="1"/>
  <c r="AA1863" i="1" s="1"/>
  <c r="AE1863" i="1"/>
  <c r="Y1864" i="1"/>
  <c r="AA1864" i="1" s="1"/>
  <c r="AE1864" i="1"/>
  <c r="Y1865" i="1"/>
  <c r="AA1865" i="1" s="1"/>
  <c r="AE1865" i="1"/>
  <c r="Y1866" i="1"/>
  <c r="AA1866" i="1" s="1"/>
  <c r="AE1866" i="1"/>
  <c r="Y1867" i="1"/>
  <c r="AA1867" i="1" s="1"/>
  <c r="AE1867" i="1"/>
  <c r="Y1868" i="1"/>
  <c r="AA1868" i="1" s="1"/>
  <c r="AE1868" i="1"/>
  <c r="Y1869" i="1"/>
  <c r="AE1869" i="1"/>
  <c r="Y1870" i="1"/>
  <c r="AA1870" i="1" s="1"/>
  <c r="AE1870" i="1"/>
  <c r="Y1871" i="1"/>
  <c r="AA1871" i="1" s="1"/>
  <c r="AE1871" i="1"/>
  <c r="Y1872" i="1"/>
  <c r="AA1872" i="1" s="1"/>
  <c r="AE1872" i="1"/>
  <c r="Y1873" i="1"/>
  <c r="AA1873" i="1" s="1"/>
  <c r="AE1873" i="1"/>
  <c r="AE1645" i="1" l="1"/>
  <c r="Y1645" i="1"/>
  <c r="AA1645" i="1" s="1"/>
  <c r="AE1646" i="1"/>
  <c r="Y1646" i="1"/>
  <c r="AA1646" i="1" s="1"/>
  <c r="AE1647" i="1"/>
  <c r="Y1647" i="1"/>
  <c r="AE1648" i="1"/>
  <c r="Y1648" i="1"/>
  <c r="AA1648" i="1" s="1"/>
  <c r="AE1649" i="1"/>
  <c r="Y1649" i="1"/>
  <c r="AA1649" i="1" s="1"/>
  <c r="AE1644" i="1"/>
  <c r="Y1644" i="1"/>
  <c r="AA1644" i="1" s="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E1502" i="1"/>
  <c r="AE1503" i="1"/>
  <c r="AE1504" i="1"/>
  <c r="AE1505" i="1"/>
  <c r="AE1506" i="1"/>
  <c r="AE1507" i="1"/>
  <c r="AE1508" i="1"/>
  <c r="AE1509" i="1"/>
  <c r="AE1510" i="1"/>
  <c r="AE1511" i="1"/>
  <c r="AE1512" i="1"/>
  <c r="AE1513" i="1"/>
  <c r="AE1514" i="1"/>
  <c r="AE1515" i="1"/>
  <c r="AE1516" i="1"/>
  <c r="AE1517" i="1"/>
  <c r="AE1518" i="1"/>
  <c r="AE1519" i="1"/>
  <c r="AE1520" i="1"/>
  <c r="AE1521" i="1"/>
  <c r="AE1522" i="1"/>
  <c r="AE1523" i="1"/>
  <c r="AE1524" i="1"/>
  <c r="AE1525" i="1"/>
  <c r="AE1526" i="1"/>
  <c r="AE1527" i="1"/>
  <c r="AE1528" i="1"/>
  <c r="AE1529" i="1"/>
  <c r="AE1530" i="1"/>
  <c r="AE1531" i="1"/>
  <c r="AE1532" i="1"/>
  <c r="AE1533" i="1"/>
  <c r="AE1534" i="1"/>
  <c r="AE1535" i="1"/>
  <c r="AE1536" i="1"/>
  <c r="AE1537" i="1"/>
  <c r="AE1538" i="1"/>
  <c r="AE1539" i="1"/>
  <c r="AE1540" i="1"/>
  <c r="AE1541" i="1"/>
  <c r="AE1542" i="1"/>
  <c r="AE1543" i="1"/>
  <c r="AE1544" i="1"/>
  <c r="AE1545" i="1"/>
  <c r="AE1546" i="1"/>
  <c r="AE1547" i="1"/>
  <c r="AE1548" i="1"/>
  <c r="AE1549" i="1"/>
  <c r="AE1550" i="1"/>
  <c r="AE1551" i="1"/>
  <c r="AE1552" i="1"/>
  <c r="AE1553" i="1"/>
  <c r="AE1554" i="1"/>
  <c r="AE1555" i="1"/>
  <c r="AE1556" i="1"/>
  <c r="AE1557" i="1"/>
  <c r="AE1558" i="1"/>
  <c r="AE1559" i="1"/>
  <c r="AE1560" i="1"/>
  <c r="AE1561" i="1"/>
  <c r="AE1562" i="1"/>
  <c r="AE1563" i="1"/>
  <c r="AE1564" i="1"/>
  <c r="AE1565" i="1"/>
  <c r="AE1566" i="1"/>
  <c r="AE1567" i="1"/>
  <c r="AE1568" i="1"/>
  <c r="AE1569" i="1"/>
  <c r="AE1570" i="1"/>
  <c r="AE1571" i="1"/>
  <c r="AE1572" i="1"/>
  <c r="AE1573" i="1"/>
  <c r="AE1574" i="1"/>
  <c r="AE1575" i="1"/>
  <c r="AE1576" i="1"/>
  <c r="AE1577" i="1"/>
  <c r="AE1578" i="1"/>
  <c r="AE1579" i="1"/>
  <c r="AE1580" i="1"/>
  <c r="AE1581" i="1"/>
  <c r="AE1582" i="1"/>
  <c r="AE1583" i="1"/>
  <c r="AE1584" i="1"/>
  <c r="AE1585" i="1"/>
  <c r="AE1586" i="1"/>
  <c r="AE1587" i="1"/>
  <c r="AE1588" i="1"/>
  <c r="AE1589" i="1"/>
  <c r="AE1590" i="1"/>
  <c r="AE1591" i="1"/>
  <c r="AE1592" i="1"/>
  <c r="AE1593" i="1"/>
  <c r="AE1594" i="1"/>
  <c r="AE1595" i="1"/>
  <c r="AE1596" i="1"/>
  <c r="AE1597" i="1"/>
  <c r="AE1598" i="1"/>
  <c r="AE1599" i="1"/>
  <c r="AE1600" i="1"/>
  <c r="AE1601" i="1"/>
  <c r="AE1602" i="1"/>
  <c r="AE1603" i="1"/>
  <c r="AE1604" i="1"/>
  <c r="AE1605" i="1"/>
  <c r="AE1606" i="1"/>
  <c r="AE1607" i="1"/>
  <c r="AE1608" i="1"/>
  <c r="AE1609" i="1"/>
  <c r="AE1610" i="1"/>
  <c r="AE1611" i="1"/>
  <c r="AE1612" i="1"/>
  <c r="AE1613" i="1"/>
  <c r="AE1614" i="1"/>
  <c r="AE1615" i="1"/>
  <c r="AE1616" i="1"/>
  <c r="AE1617" i="1"/>
  <c r="AE1618" i="1"/>
  <c r="AE1619" i="1"/>
  <c r="AE1620" i="1"/>
  <c r="AE1621" i="1"/>
  <c r="AE1622" i="1"/>
  <c r="AE1623" i="1"/>
  <c r="AE1624" i="1"/>
  <c r="AE1625" i="1"/>
  <c r="AE1626" i="1"/>
  <c r="AE1627" i="1"/>
  <c r="AE1628" i="1"/>
  <c r="AE1629" i="1"/>
  <c r="AE1630" i="1"/>
  <c r="AE1631" i="1"/>
  <c r="AE1632" i="1"/>
  <c r="AE1633" i="1"/>
  <c r="AE1634" i="1"/>
  <c r="AE1635" i="1"/>
  <c r="AE1636" i="1"/>
  <c r="AE1637" i="1"/>
  <c r="AE1638" i="1"/>
  <c r="AE1639" i="1"/>
  <c r="AE1640" i="1"/>
  <c r="AE1641" i="1"/>
  <c r="AE1642" i="1"/>
  <c r="AE1643" i="1"/>
  <c r="Y503" i="1"/>
  <c r="AA503" i="1" s="1"/>
  <c r="Y504" i="1"/>
  <c r="Y505" i="1"/>
  <c r="Y506" i="1"/>
  <c r="Y507" i="1"/>
  <c r="Y508" i="1"/>
  <c r="AA508" i="1" s="1"/>
  <c r="Y509" i="1"/>
  <c r="AA509" i="1" s="1"/>
  <c r="Y510" i="1"/>
  <c r="AA510" i="1" s="1"/>
  <c r="Y511" i="1"/>
  <c r="AA511" i="1" s="1"/>
  <c r="Y512" i="1"/>
  <c r="Y513" i="1"/>
  <c r="Y514" i="1"/>
  <c r="AA514" i="1" s="1"/>
  <c r="Y515" i="1"/>
  <c r="AA515" i="1" s="1"/>
  <c r="Y516" i="1"/>
  <c r="AA516" i="1" s="1"/>
  <c r="Y517" i="1"/>
  <c r="AA517" i="1" s="1"/>
  <c r="Y518" i="1"/>
  <c r="AA518" i="1" s="1"/>
  <c r="Y519" i="1"/>
  <c r="AA519" i="1" s="1"/>
  <c r="Y520" i="1"/>
  <c r="AA520" i="1" s="1"/>
  <c r="Y521" i="1"/>
  <c r="AA521" i="1" s="1"/>
  <c r="Y522" i="1"/>
  <c r="AA522" i="1" s="1"/>
  <c r="Y523" i="1"/>
  <c r="AA523" i="1" s="1"/>
  <c r="Y524" i="1"/>
  <c r="AA524" i="1" s="1"/>
  <c r="Y525" i="1"/>
  <c r="AA525" i="1" s="1"/>
  <c r="Y526" i="1"/>
  <c r="AA526" i="1" s="1"/>
  <c r="Y527" i="1"/>
  <c r="AA527" i="1" s="1"/>
  <c r="Y528" i="1"/>
  <c r="AA528" i="1" s="1"/>
  <c r="Y529" i="1"/>
  <c r="AA529" i="1" s="1"/>
  <c r="Y530" i="1"/>
  <c r="AA530" i="1" s="1"/>
  <c r="Y531" i="1"/>
  <c r="AA531" i="1" s="1"/>
  <c r="Y532" i="1"/>
  <c r="AA532" i="1" s="1"/>
  <c r="Y533" i="1"/>
  <c r="AA533" i="1" s="1"/>
  <c r="Y534" i="1"/>
  <c r="AA534" i="1" s="1"/>
  <c r="Y535" i="1"/>
  <c r="AA535" i="1" s="1"/>
  <c r="Y536" i="1"/>
  <c r="AA536" i="1" s="1"/>
  <c r="Y537" i="1"/>
  <c r="AA537" i="1" s="1"/>
  <c r="Y538" i="1"/>
  <c r="AA538" i="1" s="1"/>
  <c r="Y539" i="1"/>
  <c r="AA539" i="1" s="1"/>
  <c r="Y540" i="1"/>
  <c r="AA540" i="1" s="1"/>
  <c r="Y541" i="1"/>
  <c r="AA541" i="1" s="1"/>
  <c r="Y542" i="1"/>
  <c r="AA542" i="1" s="1"/>
  <c r="Y543" i="1"/>
  <c r="AA543" i="1" s="1"/>
  <c r="Y544" i="1"/>
  <c r="AA544" i="1" s="1"/>
  <c r="Y545" i="1"/>
  <c r="AA545" i="1" s="1"/>
  <c r="Y546" i="1"/>
  <c r="AA546" i="1" s="1"/>
  <c r="Y547" i="1"/>
  <c r="AA547" i="1" s="1"/>
  <c r="Y548" i="1"/>
  <c r="AA548" i="1" s="1"/>
  <c r="Y549" i="1"/>
  <c r="AA549" i="1" s="1"/>
  <c r="Y550" i="1"/>
  <c r="AA550" i="1" s="1"/>
  <c r="Y551" i="1"/>
  <c r="Y552" i="1"/>
  <c r="AA552" i="1" s="1"/>
  <c r="Y553" i="1"/>
  <c r="AA553" i="1" s="1"/>
  <c r="Y554" i="1"/>
  <c r="AA554" i="1" s="1"/>
  <c r="Y555" i="1"/>
  <c r="AA555" i="1" s="1"/>
  <c r="Y556" i="1"/>
  <c r="AA556" i="1" s="1"/>
  <c r="Y557" i="1"/>
  <c r="AA557" i="1" s="1"/>
  <c r="Y558" i="1"/>
  <c r="AA558" i="1" s="1"/>
  <c r="Y559" i="1"/>
  <c r="AA559" i="1" s="1"/>
  <c r="Y560" i="1"/>
  <c r="AA560" i="1" s="1"/>
  <c r="Y561" i="1"/>
  <c r="AA561" i="1" s="1"/>
  <c r="Y562" i="1"/>
  <c r="AA562" i="1" s="1"/>
  <c r="Y563" i="1"/>
  <c r="AA563" i="1" s="1"/>
  <c r="Y564" i="1"/>
  <c r="AA564" i="1" s="1"/>
  <c r="Y565" i="1"/>
  <c r="AA565" i="1" s="1"/>
  <c r="Y566" i="1"/>
  <c r="AA566" i="1" s="1"/>
  <c r="Y567" i="1"/>
  <c r="AA567" i="1" s="1"/>
  <c r="Y568" i="1"/>
  <c r="AA568" i="1" s="1"/>
  <c r="Y569" i="1"/>
  <c r="AA569" i="1" s="1"/>
  <c r="Y570" i="1"/>
  <c r="AA570" i="1" s="1"/>
  <c r="Y571" i="1"/>
  <c r="AA571" i="1" s="1"/>
  <c r="Y572" i="1"/>
  <c r="AA572" i="1" s="1"/>
  <c r="Y573" i="1"/>
  <c r="AA573" i="1" s="1"/>
  <c r="Y574" i="1"/>
  <c r="AA574" i="1" s="1"/>
  <c r="Y575" i="1"/>
  <c r="AA575" i="1" s="1"/>
  <c r="Y576" i="1"/>
  <c r="AA576" i="1" s="1"/>
  <c r="Y577" i="1"/>
  <c r="AA577" i="1" s="1"/>
  <c r="Y578" i="1"/>
  <c r="AA578" i="1" s="1"/>
  <c r="Y579" i="1"/>
  <c r="AA579" i="1" s="1"/>
  <c r="Y580" i="1"/>
  <c r="AA580" i="1" s="1"/>
  <c r="Y581" i="1"/>
  <c r="AA581" i="1" s="1"/>
  <c r="Y582" i="1"/>
  <c r="AA582" i="1" s="1"/>
  <c r="Y583" i="1"/>
  <c r="AA583" i="1" s="1"/>
  <c r="Y584" i="1"/>
  <c r="AA584" i="1" s="1"/>
  <c r="Y585" i="1"/>
  <c r="AA585" i="1" s="1"/>
  <c r="Y586" i="1"/>
  <c r="AA586" i="1" s="1"/>
  <c r="Y587" i="1"/>
  <c r="AA587" i="1" s="1"/>
  <c r="Y588" i="1"/>
  <c r="AA588" i="1" s="1"/>
  <c r="Y589" i="1"/>
  <c r="AA589" i="1" s="1"/>
  <c r="Y590" i="1"/>
  <c r="AA590" i="1" s="1"/>
  <c r="Y591" i="1"/>
  <c r="AA591" i="1" s="1"/>
  <c r="Y592" i="1"/>
  <c r="AA592" i="1" s="1"/>
  <c r="Y593" i="1"/>
  <c r="AA593" i="1" s="1"/>
  <c r="Y594" i="1"/>
  <c r="AA594" i="1" s="1"/>
  <c r="Y595" i="1"/>
  <c r="AA595" i="1" s="1"/>
  <c r="Y596" i="1"/>
  <c r="AA596" i="1" s="1"/>
  <c r="Y597" i="1"/>
  <c r="AA597" i="1" s="1"/>
  <c r="Y598" i="1"/>
  <c r="AA598" i="1" s="1"/>
  <c r="Y599" i="1"/>
  <c r="AA599" i="1" s="1"/>
  <c r="Y600" i="1"/>
  <c r="AA600" i="1" s="1"/>
  <c r="Y601" i="1"/>
  <c r="AA601" i="1" s="1"/>
  <c r="Y602" i="1"/>
  <c r="AA602" i="1" s="1"/>
  <c r="Y603" i="1"/>
  <c r="AA603" i="1" s="1"/>
  <c r="Y604" i="1"/>
  <c r="AA604" i="1" s="1"/>
  <c r="Y605" i="1"/>
  <c r="AA605" i="1" s="1"/>
  <c r="Y606" i="1"/>
  <c r="AA606" i="1" s="1"/>
  <c r="Y607" i="1"/>
  <c r="AA607" i="1" s="1"/>
  <c r="Y608" i="1"/>
  <c r="AA608" i="1" s="1"/>
  <c r="Y609" i="1"/>
  <c r="AA609" i="1" s="1"/>
  <c r="Y610" i="1"/>
  <c r="AA610" i="1" s="1"/>
  <c r="Y611" i="1"/>
  <c r="AA611" i="1" s="1"/>
  <c r="Y612" i="1"/>
  <c r="AA612" i="1" s="1"/>
  <c r="Y613" i="1"/>
  <c r="AA613" i="1" s="1"/>
  <c r="Y614" i="1"/>
  <c r="AA614" i="1" s="1"/>
  <c r="Y615" i="1"/>
  <c r="AA615" i="1" s="1"/>
  <c r="Y616" i="1"/>
  <c r="AA616" i="1" s="1"/>
  <c r="Y617" i="1"/>
  <c r="AA617" i="1" s="1"/>
  <c r="Y618" i="1"/>
  <c r="AA618" i="1" s="1"/>
  <c r="Y619" i="1"/>
  <c r="AA619" i="1" s="1"/>
  <c r="Y620" i="1"/>
  <c r="AA620" i="1" s="1"/>
  <c r="Y621" i="1"/>
  <c r="AA621" i="1" s="1"/>
  <c r="Y622" i="1"/>
  <c r="AA622" i="1" s="1"/>
  <c r="Y623" i="1"/>
  <c r="AA623" i="1" s="1"/>
  <c r="Y624" i="1"/>
  <c r="AA624" i="1" s="1"/>
  <c r="Y625" i="1"/>
  <c r="AA625" i="1" s="1"/>
  <c r="Y626" i="1"/>
  <c r="AA626" i="1" s="1"/>
  <c r="Y627" i="1"/>
  <c r="AA627" i="1" s="1"/>
  <c r="Y628" i="1"/>
  <c r="AA628" i="1" s="1"/>
  <c r="Y629" i="1"/>
  <c r="AA629" i="1" s="1"/>
  <c r="Y630" i="1"/>
  <c r="AA630" i="1" s="1"/>
  <c r="Y631" i="1"/>
  <c r="AA631" i="1" s="1"/>
  <c r="Y632" i="1"/>
  <c r="AA632" i="1" s="1"/>
  <c r="Y633" i="1"/>
  <c r="AA633" i="1" s="1"/>
  <c r="Y634" i="1"/>
  <c r="AA634" i="1" s="1"/>
  <c r="Y635" i="1"/>
  <c r="AA635" i="1" s="1"/>
  <c r="Y636" i="1"/>
  <c r="AA636" i="1" s="1"/>
  <c r="Y637" i="1"/>
  <c r="AA637" i="1" s="1"/>
  <c r="Y638" i="1"/>
  <c r="AA638" i="1" s="1"/>
  <c r="Y639" i="1"/>
  <c r="AA639" i="1" s="1"/>
  <c r="Y640" i="1"/>
  <c r="AA640" i="1" s="1"/>
  <c r="Y641" i="1"/>
  <c r="AA641" i="1" s="1"/>
  <c r="Y642" i="1"/>
  <c r="AA642" i="1" s="1"/>
  <c r="Y643" i="1"/>
  <c r="AA643" i="1" s="1"/>
  <c r="Y644" i="1"/>
  <c r="AA644" i="1" s="1"/>
  <c r="Y645" i="1"/>
  <c r="AA645" i="1" s="1"/>
  <c r="Y646" i="1"/>
  <c r="AA646" i="1" s="1"/>
  <c r="Y647" i="1"/>
  <c r="AA647" i="1" s="1"/>
  <c r="Y648" i="1"/>
  <c r="AA648" i="1" s="1"/>
  <c r="Y649" i="1"/>
  <c r="AA649" i="1" s="1"/>
  <c r="Y650" i="1"/>
  <c r="AA650" i="1" s="1"/>
  <c r="Y651" i="1"/>
  <c r="AA651" i="1" s="1"/>
  <c r="Y652" i="1"/>
  <c r="AA652" i="1" s="1"/>
  <c r="Y653" i="1"/>
  <c r="AA653" i="1" s="1"/>
  <c r="Y654" i="1"/>
  <c r="AA654" i="1" s="1"/>
  <c r="Y655" i="1"/>
  <c r="AA655" i="1" s="1"/>
  <c r="Y656" i="1"/>
  <c r="Y657" i="1"/>
  <c r="Y658" i="1"/>
  <c r="Y659" i="1"/>
  <c r="Y660" i="1"/>
  <c r="Y661" i="1"/>
  <c r="AA661" i="1" s="1"/>
  <c r="Y662" i="1"/>
  <c r="AA662" i="1" s="1"/>
  <c r="Y663" i="1"/>
  <c r="AA663" i="1" s="1"/>
  <c r="Y664" i="1"/>
  <c r="AA664" i="1" s="1"/>
  <c r="Y665" i="1"/>
  <c r="AA665" i="1" s="1"/>
  <c r="Y666" i="1"/>
  <c r="AA666" i="1" s="1"/>
  <c r="Y667" i="1"/>
  <c r="AA667" i="1" s="1"/>
  <c r="Y668" i="1"/>
  <c r="AA668" i="1" s="1"/>
  <c r="Y669" i="1"/>
  <c r="AA669" i="1" s="1"/>
  <c r="Y670" i="1"/>
  <c r="AA670" i="1" s="1"/>
  <c r="Y671" i="1"/>
  <c r="AA671" i="1" s="1"/>
  <c r="Y672" i="1"/>
  <c r="AA672" i="1" s="1"/>
  <c r="Y673" i="1"/>
  <c r="AA673" i="1" s="1"/>
  <c r="Y674" i="1"/>
  <c r="AA674" i="1" s="1"/>
  <c r="Y675" i="1"/>
  <c r="AA675" i="1" s="1"/>
  <c r="Y676" i="1"/>
  <c r="AA676" i="1" s="1"/>
  <c r="Y677" i="1"/>
  <c r="AA677" i="1" s="1"/>
  <c r="Y678" i="1"/>
  <c r="Y679" i="1"/>
  <c r="Y680" i="1"/>
  <c r="Y681" i="1"/>
  <c r="Y682" i="1"/>
  <c r="Y683" i="1"/>
  <c r="Y684" i="1"/>
  <c r="Y685" i="1"/>
  <c r="Y686" i="1"/>
  <c r="AA686" i="1" s="1"/>
  <c r="Y687" i="1"/>
  <c r="AA687" i="1" s="1"/>
  <c r="Y688" i="1"/>
  <c r="Y689" i="1"/>
  <c r="Y690" i="1"/>
  <c r="Y691" i="1"/>
  <c r="Y692" i="1"/>
  <c r="Y693" i="1"/>
  <c r="AA693" i="1" s="1"/>
  <c r="Y694" i="1"/>
  <c r="AA694" i="1" s="1"/>
  <c r="Y695" i="1"/>
  <c r="AA695" i="1" s="1"/>
  <c r="Y696" i="1"/>
  <c r="AA696" i="1" s="1"/>
  <c r="Y697" i="1"/>
  <c r="AA697" i="1" s="1"/>
  <c r="Y698" i="1"/>
  <c r="AA698" i="1" s="1"/>
  <c r="Y699" i="1"/>
  <c r="AA699" i="1" s="1"/>
  <c r="Y700" i="1"/>
  <c r="AA700" i="1" s="1"/>
  <c r="Y701" i="1"/>
  <c r="AA701" i="1" s="1"/>
  <c r="Y702" i="1"/>
  <c r="AA702" i="1" s="1"/>
  <c r="Y703" i="1"/>
  <c r="AA703" i="1" s="1"/>
  <c r="Y704" i="1"/>
  <c r="AA704" i="1" s="1"/>
  <c r="Y705" i="1"/>
  <c r="Y706" i="1"/>
  <c r="AA706" i="1" s="1"/>
  <c r="Y707" i="1"/>
  <c r="Y708" i="1"/>
  <c r="AA708" i="1" s="1"/>
  <c r="Y709" i="1"/>
  <c r="AA709" i="1" s="1"/>
  <c r="Y710" i="1"/>
  <c r="AA710" i="1" s="1"/>
  <c r="Y711" i="1"/>
  <c r="Y712" i="1"/>
  <c r="Y713" i="1"/>
  <c r="Y714" i="1"/>
  <c r="Y715" i="1"/>
  <c r="Y716" i="1"/>
  <c r="Y717" i="1"/>
  <c r="Y718" i="1"/>
  <c r="Y719" i="1"/>
  <c r="Y720" i="1"/>
  <c r="Y721" i="1"/>
  <c r="AA721" i="1" s="1"/>
  <c r="Y722" i="1"/>
  <c r="AA722" i="1" s="1"/>
  <c r="Y723" i="1"/>
  <c r="AA723" i="1" s="1"/>
  <c r="Y724" i="1"/>
  <c r="AA724" i="1" s="1"/>
  <c r="Y725" i="1"/>
  <c r="AA725" i="1" s="1"/>
  <c r="Y726" i="1"/>
  <c r="AA726" i="1" s="1"/>
  <c r="Y727" i="1"/>
  <c r="AA727" i="1" s="1"/>
  <c r="Y728" i="1"/>
  <c r="Y729" i="1"/>
  <c r="Y730" i="1"/>
  <c r="AA730" i="1" s="1"/>
  <c r="Y731" i="1"/>
  <c r="AA731" i="1" s="1"/>
  <c r="Y732" i="1"/>
  <c r="AA732" i="1" s="1"/>
  <c r="Y733" i="1"/>
  <c r="AA733" i="1" s="1"/>
  <c r="Y734" i="1"/>
  <c r="AA734" i="1" s="1"/>
  <c r="Y735" i="1"/>
  <c r="AA735" i="1" s="1"/>
  <c r="Y736" i="1"/>
  <c r="Y737" i="1"/>
  <c r="Y738" i="1"/>
  <c r="Y739" i="1"/>
  <c r="AA739" i="1" s="1"/>
  <c r="Y740" i="1"/>
  <c r="AA740" i="1" s="1"/>
  <c r="Y741" i="1"/>
  <c r="AA741" i="1" s="1"/>
  <c r="Y742" i="1"/>
  <c r="AA742" i="1" s="1"/>
  <c r="Y743" i="1"/>
  <c r="AA743" i="1" s="1"/>
  <c r="Y744" i="1"/>
  <c r="AA744" i="1" s="1"/>
  <c r="Y745" i="1"/>
  <c r="AA745" i="1" s="1"/>
  <c r="Y746" i="1"/>
  <c r="AA746" i="1" s="1"/>
  <c r="Y747" i="1"/>
  <c r="AA747" i="1" s="1"/>
  <c r="Y748" i="1"/>
  <c r="AA748" i="1" s="1"/>
  <c r="Y749" i="1"/>
  <c r="AA749" i="1" s="1"/>
  <c r="Y750" i="1"/>
  <c r="AA750" i="1" s="1"/>
  <c r="Y751" i="1"/>
  <c r="AA751" i="1" s="1"/>
  <c r="Y752" i="1"/>
  <c r="AA752" i="1" s="1"/>
  <c r="Y753" i="1"/>
  <c r="AA753" i="1" s="1"/>
  <c r="Y754" i="1"/>
  <c r="AA754" i="1" s="1"/>
  <c r="Y755" i="1"/>
  <c r="AA755" i="1" s="1"/>
  <c r="Y756" i="1"/>
  <c r="AA756" i="1" s="1"/>
  <c r="Y757" i="1"/>
  <c r="AA757" i="1" s="1"/>
  <c r="Y758" i="1"/>
  <c r="AA758" i="1" s="1"/>
  <c r="Y759" i="1"/>
  <c r="AA759" i="1" s="1"/>
  <c r="Y760" i="1"/>
  <c r="AA760" i="1" s="1"/>
  <c r="Y761" i="1"/>
  <c r="AA761" i="1" s="1"/>
  <c r="Y762" i="1"/>
  <c r="AA762" i="1" s="1"/>
  <c r="Y763" i="1"/>
  <c r="AA763" i="1" s="1"/>
  <c r="Y764" i="1"/>
  <c r="AA764" i="1" s="1"/>
  <c r="Y765" i="1"/>
  <c r="AA765" i="1" s="1"/>
  <c r="Y766" i="1"/>
  <c r="AA766" i="1" s="1"/>
  <c r="Y767" i="1"/>
  <c r="AA767" i="1" s="1"/>
  <c r="Y768" i="1"/>
  <c r="AA768" i="1" s="1"/>
  <c r="Y769" i="1"/>
  <c r="AA769" i="1" s="1"/>
  <c r="Y770" i="1"/>
  <c r="AA770" i="1" s="1"/>
  <c r="Y771" i="1"/>
  <c r="AA771" i="1" s="1"/>
  <c r="Y772" i="1"/>
  <c r="AA772" i="1" s="1"/>
  <c r="Y773" i="1"/>
  <c r="AA773" i="1" s="1"/>
  <c r="Y774" i="1"/>
  <c r="AA774" i="1" s="1"/>
  <c r="Y775" i="1"/>
  <c r="AA775" i="1" s="1"/>
  <c r="Y776" i="1"/>
  <c r="AA776" i="1" s="1"/>
  <c r="Y777" i="1"/>
  <c r="AA777" i="1" s="1"/>
  <c r="Y778" i="1"/>
  <c r="AA778" i="1" s="1"/>
  <c r="Y779" i="1"/>
  <c r="AA779" i="1" s="1"/>
  <c r="Y780" i="1"/>
  <c r="AA780" i="1" s="1"/>
  <c r="Y781" i="1"/>
  <c r="AA781" i="1" s="1"/>
  <c r="Y782" i="1"/>
  <c r="AA782" i="1" s="1"/>
  <c r="Y783" i="1"/>
  <c r="AA783" i="1" s="1"/>
  <c r="Y784" i="1"/>
  <c r="AA784" i="1" s="1"/>
  <c r="Y785" i="1"/>
  <c r="AA785" i="1" s="1"/>
  <c r="Y786" i="1"/>
  <c r="AA786" i="1" s="1"/>
  <c r="Y787" i="1"/>
  <c r="AA787" i="1" s="1"/>
  <c r="Y788" i="1"/>
  <c r="AA788" i="1" s="1"/>
  <c r="Y789" i="1"/>
  <c r="AA789" i="1" s="1"/>
  <c r="Y790" i="1"/>
  <c r="AA790" i="1" s="1"/>
  <c r="Y791" i="1"/>
  <c r="AA791" i="1" s="1"/>
  <c r="Y792" i="1"/>
  <c r="AA792" i="1" s="1"/>
  <c r="Y793" i="1"/>
  <c r="AA793" i="1" s="1"/>
  <c r="Y794" i="1"/>
  <c r="AA794" i="1" s="1"/>
  <c r="Y795" i="1"/>
  <c r="AA795" i="1" s="1"/>
  <c r="Y796" i="1"/>
  <c r="AA796" i="1" s="1"/>
  <c r="Y797" i="1"/>
  <c r="AA797" i="1" s="1"/>
  <c r="Y798" i="1"/>
  <c r="AA798" i="1" s="1"/>
  <c r="Y799" i="1"/>
  <c r="AA799" i="1" s="1"/>
  <c r="Y800" i="1"/>
  <c r="AA800" i="1" s="1"/>
  <c r="Y801" i="1"/>
  <c r="AA801" i="1" s="1"/>
  <c r="Y802" i="1"/>
  <c r="AA802" i="1" s="1"/>
  <c r="Y803" i="1"/>
  <c r="AA803" i="1" s="1"/>
  <c r="Y804" i="1"/>
  <c r="AA804" i="1" s="1"/>
  <c r="Y805" i="1"/>
  <c r="AA805" i="1" s="1"/>
  <c r="Y806" i="1"/>
  <c r="AA806" i="1" s="1"/>
  <c r="Y807" i="1"/>
  <c r="AA807" i="1" s="1"/>
  <c r="Y808" i="1"/>
  <c r="AA808" i="1" s="1"/>
  <c r="Y809" i="1"/>
  <c r="AA809" i="1" s="1"/>
  <c r="Y810" i="1"/>
  <c r="AA810" i="1" s="1"/>
  <c r="Y811" i="1"/>
  <c r="AA811" i="1" s="1"/>
  <c r="Y812" i="1"/>
  <c r="AA812" i="1" s="1"/>
  <c r="Y813" i="1"/>
  <c r="AA813" i="1" s="1"/>
  <c r="Y814" i="1"/>
  <c r="AA814" i="1" s="1"/>
  <c r="Y815" i="1"/>
  <c r="AA815" i="1" s="1"/>
  <c r="Y816" i="1"/>
  <c r="AA816" i="1" s="1"/>
  <c r="Y817" i="1"/>
  <c r="AA817" i="1" s="1"/>
  <c r="Y818" i="1"/>
  <c r="AA818" i="1" s="1"/>
  <c r="Y819" i="1"/>
  <c r="AA819" i="1" s="1"/>
  <c r="Y820" i="1"/>
  <c r="AA820" i="1" s="1"/>
  <c r="Y821" i="1"/>
  <c r="AA821" i="1" s="1"/>
  <c r="Y822" i="1"/>
  <c r="AA822" i="1" s="1"/>
  <c r="Y823" i="1"/>
  <c r="AA823" i="1" s="1"/>
  <c r="Y824" i="1"/>
  <c r="AA824" i="1" s="1"/>
  <c r="Y825" i="1"/>
  <c r="AA825" i="1" s="1"/>
  <c r="Y826" i="1"/>
  <c r="AA826" i="1" s="1"/>
  <c r="Y827" i="1"/>
  <c r="AA827" i="1" s="1"/>
  <c r="Y828" i="1"/>
  <c r="AA828" i="1" s="1"/>
  <c r="Y829" i="1"/>
  <c r="AA829" i="1" s="1"/>
  <c r="Y830" i="1"/>
  <c r="AA830" i="1" s="1"/>
  <c r="Y831" i="1"/>
  <c r="AA831" i="1" s="1"/>
  <c r="Y832" i="1"/>
  <c r="AA832" i="1" s="1"/>
  <c r="Y833" i="1"/>
  <c r="AA833" i="1" s="1"/>
  <c r="Y834" i="1"/>
  <c r="AA834" i="1" s="1"/>
  <c r="Y835" i="1"/>
  <c r="AA835" i="1" s="1"/>
  <c r="Y836" i="1"/>
  <c r="AA836" i="1" s="1"/>
  <c r="Y837" i="1"/>
  <c r="AA837" i="1" s="1"/>
  <c r="Y838" i="1"/>
  <c r="AA838" i="1" s="1"/>
  <c r="Y839" i="1"/>
  <c r="AA839" i="1" s="1"/>
  <c r="Y840" i="1"/>
  <c r="AA840" i="1" s="1"/>
  <c r="Y841" i="1"/>
  <c r="AA841" i="1" s="1"/>
  <c r="Y842" i="1"/>
  <c r="AA842" i="1" s="1"/>
  <c r="Y843" i="1"/>
  <c r="AA843" i="1" s="1"/>
  <c r="Y844" i="1"/>
  <c r="AA844" i="1" s="1"/>
  <c r="Y845" i="1"/>
  <c r="AA845" i="1" s="1"/>
  <c r="Y846" i="1"/>
  <c r="AA846" i="1" s="1"/>
  <c r="Y847" i="1"/>
  <c r="AA847" i="1" s="1"/>
  <c r="Y848" i="1"/>
  <c r="AA848" i="1" s="1"/>
  <c r="Y849" i="1"/>
  <c r="AA849" i="1" s="1"/>
  <c r="Y850" i="1"/>
  <c r="AA850" i="1" s="1"/>
  <c r="Y851" i="1"/>
  <c r="AA851" i="1" s="1"/>
  <c r="Y852" i="1"/>
  <c r="AA852" i="1" s="1"/>
  <c r="Y853" i="1"/>
  <c r="AA853" i="1" s="1"/>
  <c r="Y854" i="1"/>
  <c r="AA854" i="1" s="1"/>
  <c r="Y855" i="1"/>
  <c r="AA855" i="1" s="1"/>
  <c r="Y856" i="1"/>
  <c r="AA856" i="1" s="1"/>
  <c r="Y857" i="1"/>
  <c r="AA857" i="1" s="1"/>
  <c r="Y858" i="1"/>
  <c r="AA858" i="1" s="1"/>
  <c r="Y859" i="1"/>
  <c r="AA859" i="1" s="1"/>
  <c r="Y860" i="1"/>
  <c r="AA860" i="1" s="1"/>
  <c r="Y861" i="1"/>
  <c r="AA861" i="1" s="1"/>
  <c r="Y862" i="1"/>
  <c r="AA862" i="1" s="1"/>
  <c r="Y863" i="1"/>
  <c r="AA863" i="1" s="1"/>
  <c r="Y864" i="1"/>
  <c r="AA864" i="1" s="1"/>
  <c r="Y865" i="1"/>
  <c r="AA865" i="1" s="1"/>
  <c r="Y866" i="1"/>
  <c r="AA866" i="1" s="1"/>
  <c r="Y867" i="1"/>
  <c r="AA867" i="1" s="1"/>
  <c r="Y868" i="1"/>
  <c r="AA868" i="1" s="1"/>
  <c r="Y869" i="1"/>
  <c r="AA869" i="1" s="1"/>
  <c r="Y870" i="1"/>
  <c r="AA870" i="1" s="1"/>
  <c r="Y871" i="1"/>
  <c r="Y872" i="1"/>
  <c r="Y873" i="1"/>
  <c r="AA873" i="1" s="1"/>
  <c r="Y874" i="1"/>
  <c r="Y875" i="1"/>
  <c r="Y876" i="1"/>
  <c r="Y877" i="1"/>
  <c r="AA877" i="1" s="1"/>
  <c r="Y878" i="1"/>
  <c r="AA878" i="1" s="1"/>
  <c r="Y879" i="1"/>
  <c r="AA879" i="1" s="1"/>
  <c r="Y880" i="1"/>
  <c r="AA880" i="1" s="1"/>
  <c r="Y881" i="1"/>
  <c r="AA881" i="1" s="1"/>
  <c r="Y882" i="1"/>
  <c r="AA882" i="1" s="1"/>
  <c r="Y883" i="1"/>
  <c r="AA883" i="1" s="1"/>
  <c r="Y884" i="1"/>
  <c r="AA884" i="1" s="1"/>
  <c r="Y885" i="1"/>
  <c r="AA885" i="1" s="1"/>
  <c r="Y886" i="1"/>
  <c r="AA886" i="1" s="1"/>
  <c r="Y887" i="1"/>
  <c r="AA887" i="1" s="1"/>
  <c r="Y888" i="1"/>
  <c r="AA888" i="1" s="1"/>
  <c r="Y889" i="1"/>
  <c r="AA889" i="1" s="1"/>
  <c r="Y890" i="1"/>
  <c r="AA890" i="1" s="1"/>
  <c r="Y891" i="1"/>
  <c r="AA891" i="1" s="1"/>
  <c r="Y892" i="1"/>
  <c r="AA892" i="1" s="1"/>
  <c r="Y893" i="1"/>
  <c r="AA893" i="1" s="1"/>
  <c r="Y894" i="1"/>
  <c r="AA894" i="1" s="1"/>
  <c r="Y895" i="1"/>
  <c r="AA895" i="1" s="1"/>
  <c r="Y896" i="1"/>
  <c r="AA896" i="1" s="1"/>
  <c r="Y897" i="1"/>
  <c r="AA897" i="1" s="1"/>
  <c r="Y898" i="1"/>
  <c r="AA898" i="1" s="1"/>
  <c r="Y899" i="1"/>
  <c r="AA899" i="1" s="1"/>
  <c r="Y900" i="1"/>
  <c r="AA900" i="1" s="1"/>
  <c r="Y901" i="1"/>
  <c r="AA901" i="1" s="1"/>
  <c r="Y902" i="1"/>
  <c r="AA902" i="1" s="1"/>
  <c r="Y903" i="1"/>
  <c r="AA903" i="1" s="1"/>
  <c r="Y904" i="1"/>
  <c r="AA904" i="1" s="1"/>
  <c r="Y905" i="1"/>
  <c r="AA905" i="1" s="1"/>
  <c r="Y906" i="1"/>
  <c r="AA906" i="1" s="1"/>
  <c r="Y907" i="1"/>
  <c r="AA907" i="1" s="1"/>
  <c r="Y908" i="1"/>
  <c r="AA908" i="1" s="1"/>
  <c r="Y909" i="1"/>
  <c r="AA909" i="1" s="1"/>
  <c r="Y910" i="1"/>
  <c r="AA910" i="1" s="1"/>
  <c r="Y911" i="1"/>
  <c r="Y912" i="1"/>
  <c r="AA912" i="1" s="1"/>
  <c r="Y913" i="1"/>
  <c r="AA913" i="1" s="1"/>
  <c r="Y914" i="1"/>
  <c r="AA914" i="1" s="1"/>
  <c r="Y915" i="1"/>
  <c r="AA915" i="1" s="1"/>
  <c r="Y916" i="1"/>
  <c r="AA916" i="1" s="1"/>
  <c r="Y917" i="1"/>
  <c r="AA917" i="1" s="1"/>
  <c r="Y918" i="1"/>
  <c r="AA918" i="1" s="1"/>
  <c r="Y919" i="1"/>
  <c r="AA919" i="1" s="1"/>
  <c r="Y920" i="1"/>
  <c r="AA920" i="1" s="1"/>
  <c r="Y921" i="1"/>
  <c r="AA921" i="1" s="1"/>
  <c r="Y922" i="1"/>
  <c r="AA922" i="1" s="1"/>
  <c r="Y923" i="1"/>
  <c r="AA923" i="1" s="1"/>
  <c r="Y924" i="1"/>
  <c r="AA924" i="1" s="1"/>
  <c r="Y925" i="1"/>
  <c r="AA925" i="1" s="1"/>
  <c r="Y926" i="1"/>
  <c r="AA926" i="1" s="1"/>
  <c r="Y927" i="1"/>
  <c r="AA927" i="1" s="1"/>
  <c r="Y928" i="1"/>
  <c r="AA928" i="1" s="1"/>
  <c r="Y929" i="1"/>
  <c r="AA929" i="1" s="1"/>
  <c r="Y930" i="1"/>
  <c r="AA930" i="1" s="1"/>
  <c r="Y931" i="1"/>
  <c r="AA931" i="1" s="1"/>
  <c r="Y932" i="1"/>
  <c r="AA932" i="1" s="1"/>
  <c r="Y933" i="1"/>
  <c r="AA933" i="1" s="1"/>
  <c r="Y934" i="1"/>
  <c r="AA934" i="1" s="1"/>
  <c r="Y935" i="1"/>
  <c r="AA935" i="1" s="1"/>
  <c r="Y936" i="1"/>
  <c r="AA936" i="1" s="1"/>
  <c r="Y937" i="1"/>
  <c r="AA937" i="1" s="1"/>
  <c r="Y938" i="1"/>
  <c r="AA938" i="1" s="1"/>
  <c r="Y939" i="1"/>
  <c r="AA939" i="1" s="1"/>
  <c r="Y940" i="1"/>
  <c r="AA940" i="1" s="1"/>
  <c r="Y941" i="1"/>
  <c r="AA941" i="1" s="1"/>
  <c r="Y942" i="1"/>
  <c r="AA942" i="1" s="1"/>
  <c r="Y943" i="1"/>
  <c r="AA943" i="1" s="1"/>
  <c r="Y944" i="1"/>
  <c r="AA944" i="1" s="1"/>
  <c r="Y945" i="1"/>
  <c r="AA945" i="1" s="1"/>
  <c r="Y946" i="1"/>
  <c r="AA946" i="1" s="1"/>
  <c r="Y947" i="1"/>
  <c r="AA947" i="1" s="1"/>
  <c r="Y948" i="1"/>
  <c r="AA948" i="1" s="1"/>
  <c r="Y949" i="1"/>
  <c r="AA949" i="1" s="1"/>
  <c r="Y950" i="1"/>
  <c r="AA950" i="1" s="1"/>
  <c r="Y951" i="1"/>
  <c r="AA951" i="1" s="1"/>
  <c r="Y952" i="1"/>
  <c r="AA952" i="1" s="1"/>
  <c r="Y953" i="1"/>
  <c r="AA953" i="1" s="1"/>
  <c r="Y954" i="1"/>
  <c r="AA954" i="1" s="1"/>
  <c r="Y955" i="1"/>
  <c r="AA955" i="1" s="1"/>
  <c r="Y956" i="1"/>
  <c r="AA956" i="1" s="1"/>
  <c r="Y957" i="1"/>
  <c r="AA957" i="1" s="1"/>
  <c r="Y958" i="1"/>
  <c r="AA958" i="1" s="1"/>
  <c r="Y959" i="1"/>
  <c r="AA959" i="1" s="1"/>
  <c r="Y960" i="1"/>
  <c r="AA960" i="1" s="1"/>
  <c r="Y961" i="1"/>
  <c r="AA961" i="1" s="1"/>
  <c r="Y962" i="1"/>
  <c r="Y963" i="1"/>
  <c r="AA963" i="1" s="1"/>
  <c r="Y964" i="1"/>
  <c r="AA964" i="1" s="1"/>
  <c r="Y965" i="1"/>
  <c r="AA965" i="1" s="1"/>
  <c r="Y966" i="1"/>
  <c r="AA966" i="1" s="1"/>
  <c r="Y967" i="1"/>
  <c r="Y968" i="1"/>
  <c r="Y969" i="1"/>
  <c r="Y970" i="1"/>
  <c r="Y971" i="1"/>
  <c r="Y972" i="1"/>
  <c r="AA972" i="1" s="1"/>
  <c r="Y973" i="1"/>
  <c r="AA973" i="1" s="1"/>
  <c r="Y974" i="1"/>
  <c r="AA974" i="1" s="1"/>
  <c r="Y975" i="1"/>
  <c r="AA975" i="1" s="1"/>
  <c r="Y976" i="1"/>
  <c r="AA976" i="1" s="1"/>
  <c r="Y977" i="1"/>
  <c r="AA977" i="1" s="1"/>
  <c r="Y978" i="1"/>
  <c r="AA978" i="1" s="1"/>
  <c r="Y979" i="1"/>
  <c r="AA979" i="1" s="1"/>
  <c r="Y980" i="1"/>
  <c r="AA980" i="1" s="1"/>
  <c r="Y981" i="1"/>
  <c r="AA981" i="1" s="1"/>
  <c r="Y982" i="1"/>
  <c r="AA982" i="1" s="1"/>
  <c r="Y983" i="1"/>
  <c r="AA983" i="1" s="1"/>
  <c r="Y984" i="1"/>
  <c r="AA984" i="1" s="1"/>
  <c r="Y985" i="1"/>
  <c r="AA985" i="1" s="1"/>
  <c r="Y986" i="1"/>
  <c r="AA986" i="1" s="1"/>
  <c r="Y987" i="1"/>
  <c r="AA987" i="1" s="1"/>
  <c r="Y988" i="1"/>
  <c r="AA988" i="1" s="1"/>
  <c r="Y989" i="1"/>
  <c r="AA989" i="1" s="1"/>
  <c r="Y990" i="1"/>
  <c r="AA990" i="1" s="1"/>
  <c r="Y991" i="1"/>
  <c r="AA991" i="1" s="1"/>
  <c r="Y992" i="1"/>
  <c r="AA992" i="1" s="1"/>
  <c r="Y993" i="1"/>
  <c r="AA993" i="1" s="1"/>
  <c r="Y994" i="1"/>
  <c r="AA994" i="1" s="1"/>
  <c r="Y995" i="1"/>
  <c r="AA995" i="1" s="1"/>
  <c r="Y996" i="1"/>
  <c r="AA996" i="1" s="1"/>
  <c r="Y997" i="1"/>
  <c r="AA997" i="1" s="1"/>
  <c r="Y998" i="1"/>
  <c r="AA998" i="1" s="1"/>
  <c r="Y999" i="1"/>
  <c r="AA999" i="1" s="1"/>
  <c r="Y1000" i="1"/>
  <c r="AA1000" i="1" s="1"/>
  <c r="Y1001" i="1"/>
  <c r="AA1001" i="1" s="1"/>
  <c r="Y1002" i="1"/>
  <c r="AA1002" i="1" s="1"/>
  <c r="Y1003" i="1"/>
  <c r="AA1003" i="1" s="1"/>
  <c r="Y1004" i="1"/>
  <c r="AA1004" i="1" s="1"/>
  <c r="Y1005" i="1"/>
  <c r="AA1005" i="1" s="1"/>
  <c r="Y1006" i="1"/>
  <c r="AA1006" i="1" s="1"/>
  <c r="Y1007" i="1"/>
  <c r="AA1007" i="1" s="1"/>
  <c r="Y1008" i="1"/>
  <c r="AA1008" i="1" s="1"/>
  <c r="Y1009" i="1"/>
  <c r="AA1009" i="1" s="1"/>
  <c r="Y1010" i="1"/>
  <c r="AA1010" i="1" s="1"/>
  <c r="Y1011" i="1"/>
  <c r="AA1011" i="1" s="1"/>
  <c r="Y1012" i="1"/>
  <c r="AA1012" i="1" s="1"/>
  <c r="Y1013" i="1"/>
  <c r="AA1013" i="1" s="1"/>
  <c r="Y1014" i="1"/>
  <c r="AA1014" i="1" s="1"/>
  <c r="Y1015" i="1"/>
  <c r="AA1015" i="1" s="1"/>
  <c r="Y1016" i="1"/>
  <c r="AA1016" i="1" s="1"/>
  <c r="Y1017" i="1"/>
  <c r="AA1017" i="1" s="1"/>
  <c r="Y1018" i="1"/>
  <c r="AA1018" i="1" s="1"/>
  <c r="Y1019" i="1"/>
  <c r="AA1019" i="1" s="1"/>
  <c r="Y1020" i="1"/>
  <c r="AA1020" i="1" s="1"/>
  <c r="Y1021" i="1"/>
  <c r="AA1021" i="1" s="1"/>
  <c r="Y1022" i="1"/>
  <c r="AA1022" i="1" s="1"/>
  <c r="Y1023" i="1"/>
  <c r="AA1023" i="1" s="1"/>
  <c r="Y1024" i="1"/>
  <c r="AA1024" i="1" s="1"/>
  <c r="Y1025" i="1"/>
  <c r="AA1025" i="1" s="1"/>
  <c r="Y1026" i="1"/>
  <c r="AA1026" i="1" s="1"/>
  <c r="Y1027" i="1"/>
  <c r="AA1027" i="1" s="1"/>
  <c r="Y1028" i="1"/>
  <c r="AA1028" i="1" s="1"/>
  <c r="Y1029" i="1"/>
  <c r="AA1029" i="1" s="1"/>
  <c r="Y1030" i="1"/>
  <c r="AA1030" i="1" s="1"/>
  <c r="Y1031" i="1"/>
  <c r="AA1031" i="1" s="1"/>
  <c r="Y1032" i="1"/>
  <c r="AA1032" i="1" s="1"/>
  <c r="Y1033" i="1"/>
  <c r="AA1033" i="1" s="1"/>
  <c r="Y1034" i="1"/>
  <c r="AA1034" i="1" s="1"/>
  <c r="Y1035" i="1"/>
  <c r="AA1035" i="1" s="1"/>
  <c r="Y1036" i="1"/>
  <c r="AA1036" i="1" s="1"/>
  <c r="Y1037" i="1"/>
  <c r="AA1037" i="1" s="1"/>
  <c r="Y1038" i="1"/>
  <c r="AA1038" i="1" s="1"/>
  <c r="Y1039" i="1"/>
  <c r="AA1039" i="1" s="1"/>
  <c r="Y1040" i="1"/>
  <c r="AA1040" i="1" s="1"/>
  <c r="Y1041" i="1"/>
  <c r="AA1041" i="1" s="1"/>
  <c r="Y1042" i="1"/>
  <c r="AA1042" i="1" s="1"/>
  <c r="Y1043" i="1"/>
  <c r="Y1044" i="1"/>
  <c r="AA1044" i="1" s="1"/>
  <c r="Y1045" i="1"/>
  <c r="AA1045" i="1" s="1"/>
  <c r="Y1046" i="1"/>
  <c r="Y1047" i="1"/>
  <c r="Y1048" i="1"/>
  <c r="Y1049" i="1"/>
  <c r="Y1050" i="1"/>
  <c r="Y1051" i="1"/>
  <c r="Y1052" i="1"/>
  <c r="Y1053" i="1"/>
  <c r="Y1054" i="1"/>
  <c r="AA1054" i="1" s="1"/>
  <c r="Y1055" i="1"/>
  <c r="AA1055" i="1" s="1"/>
  <c r="Y1056" i="1"/>
  <c r="Y1057" i="1"/>
  <c r="Y1058" i="1"/>
  <c r="Y1059" i="1"/>
  <c r="Y1060" i="1"/>
  <c r="AA1060" i="1" s="1"/>
  <c r="Y1061" i="1"/>
  <c r="Y1062" i="1"/>
  <c r="Y1063" i="1"/>
  <c r="Y1064" i="1"/>
  <c r="AA1064" i="1" s="1"/>
  <c r="Y1065" i="1"/>
  <c r="AA1065" i="1" s="1"/>
  <c r="Y1066" i="1"/>
  <c r="Y1067" i="1"/>
  <c r="Y1068" i="1"/>
  <c r="Y1069" i="1"/>
  <c r="Y1070" i="1"/>
  <c r="Y1071" i="1"/>
  <c r="Y1072" i="1"/>
  <c r="Y1073" i="1"/>
  <c r="Y1074" i="1"/>
  <c r="AA1074" i="1" s="1"/>
  <c r="Y1075" i="1"/>
  <c r="AA1075" i="1" s="1"/>
  <c r="Y1076" i="1"/>
  <c r="Y1077" i="1"/>
  <c r="Y1078" i="1"/>
  <c r="Y1079" i="1"/>
  <c r="Y1080" i="1"/>
  <c r="AA1080" i="1" s="1"/>
  <c r="Y1081" i="1"/>
  <c r="AA1081" i="1" s="1"/>
  <c r="Y1082" i="1"/>
  <c r="AA1082" i="1" s="1"/>
  <c r="Y1083" i="1"/>
  <c r="Y1084" i="1"/>
  <c r="Y1085" i="1"/>
  <c r="Y1086" i="1"/>
  <c r="Y1087" i="1"/>
  <c r="AA1087" i="1" s="1"/>
  <c r="Y1088" i="1"/>
  <c r="AA1088" i="1" s="1"/>
  <c r="Y1089" i="1"/>
  <c r="AA1089" i="1" s="1"/>
  <c r="Y1090" i="1"/>
  <c r="AA1090" i="1" s="1"/>
  <c r="Y1091" i="1"/>
  <c r="AA1091" i="1" s="1"/>
  <c r="Y1092" i="1"/>
  <c r="AA1092" i="1" s="1"/>
  <c r="Y1093" i="1"/>
  <c r="AA1093" i="1" s="1"/>
  <c r="Y1094" i="1"/>
  <c r="AA1094" i="1" s="1"/>
  <c r="Y1095" i="1"/>
  <c r="AA1095" i="1" s="1"/>
  <c r="Y1096" i="1"/>
  <c r="AA1096" i="1" s="1"/>
  <c r="Y1097" i="1"/>
  <c r="AA1097" i="1" s="1"/>
  <c r="Y1098" i="1"/>
  <c r="AA1098" i="1" s="1"/>
  <c r="Y1099" i="1"/>
  <c r="AA1099" i="1" s="1"/>
  <c r="Y1100" i="1"/>
  <c r="AA1100" i="1" s="1"/>
  <c r="Y1101" i="1"/>
  <c r="Y1102" i="1"/>
  <c r="AA1102" i="1" s="1"/>
  <c r="Y1103" i="1"/>
  <c r="Y1104" i="1"/>
  <c r="AA1104" i="1" s="1"/>
  <c r="Y1105" i="1"/>
  <c r="AA1105" i="1" s="1"/>
  <c r="Y1106" i="1"/>
  <c r="AA1106" i="1" s="1"/>
  <c r="Y1107" i="1"/>
  <c r="AA1107" i="1" s="1"/>
  <c r="Y1108" i="1"/>
  <c r="AA1108" i="1" s="1"/>
  <c r="Y1109" i="1"/>
  <c r="AA1109" i="1" s="1"/>
  <c r="Y1110" i="1"/>
  <c r="AA1110" i="1" s="1"/>
  <c r="Y1111" i="1"/>
  <c r="Y1112" i="1"/>
  <c r="AA1112" i="1" s="1"/>
  <c r="Y1113" i="1"/>
  <c r="AA1113" i="1" s="1"/>
  <c r="Y1114" i="1"/>
  <c r="Y1115" i="1"/>
  <c r="AA1115" i="1" s="1"/>
  <c r="Y1116" i="1"/>
  <c r="AA1116" i="1" s="1"/>
  <c r="Y1117" i="1"/>
  <c r="AA1117" i="1" s="1"/>
  <c r="Y1118" i="1"/>
  <c r="AA1118" i="1" s="1"/>
  <c r="Y1119" i="1"/>
  <c r="AA1119" i="1" s="1"/>
  <c r="Y1120" i="1"/>
  <c r="AA1120" i="1" s="1"/>
  <c r="Y1121" i="1"/>
  <c r="AA1121" i="1" s="1"/>
  <c r="Y1122" i="1"/>
  <c r="AA1122" i="1" s="1"/>
  <c r="Y1123" i="1"/>
  <c r="AA1123" i="1" s="1"/>
  <c r="Y1124" i="1"/>
  <c r="AA1124" i="1" s="1"/>
  <c r="Y1125" i="1"/>
  <c r="AA1125" i="1" s="1"/>
  <c r="Y1126" i="1"/>
  <c r="AA1126" i="1" s="1"/>
  <c r="Y1127" i="1"/>
  <c r="AA1127" i="1" s="1"/>
  <c r="Y1128" i="1"/>
  <c r="AA1128" i="1" s="1"/>
  <c r="Y1129" i="1"/>
  <c r="AA1129" i="1" s="1"/>
  <c r="Y1130" i="1"/>
  <c r="AA1130" i="1" s="1"/>
  <c r="Y1131" i="1"/>
  <c r="AA1131" i="1" s="1"/>
  <c r="Y1132" i="1"/>
  <c r="AA1132" i="1" s="1"/>
  <c r="Y1133" i="1"/>
  <c r="AA1133" i="1" s="1"/>
  <c r="Y1134" i="1"/>
  <c r="AA1134" i="1" s="1"/>
  <c r="Y1135" i="1"/>
  <c r="AA1135" i="1" s="1"/>
  <c r="Y1136" i="1"/>
  <c r="Y1137" i="1"/>
  <c r="AA1137" i="1" s="1"/>
  <c r="Y1138" i="1"/>
  <c r="AA1138" i="1" s="1"/>
  <c r="Y1139" i="1"/>
  <c r="AA1139" i="1" s="1"/>
  <c r="Y1140" i="1"/>
  <c r="AA1140" i="1" s="1"/>
  <c r="Y1141" i="1"/>
  <c r="AA1141" i="1" s="1"/>
  <c r="Y1142" i="1"/>
  <c r="AA1142" i="1" s="1"/>
  <c r="Y1143" i="1"/>
  <c r="AA1143" i="1" s="1"/>
  <c r="Y1144" i="1"/>
  <c r="AA1144" i="1" s="1"/>
  <c r="Y1145" i="1"/>
  <c r="AA1145" i="1" s="1"/>
  <c r="Y1146" i="1"/>
  <c r="AA1146" i="1" s="1"/>
  <c r="Y1147" i="1"/>
  <c r="AA1147" i="1" s="1"/>
  <c r="Y1148" i="1"/>
  <c r="AA1148" i="1" s="1"/>
  <c r="Y1149" i="1"/>
  <c r="AA1149" i="1" s="1"/>
  <c r="Y1150" i="1"/>
  <c r="AA1150" i="1" s="1"/>
  <c r="Y1151" i="1"/>
  <c r="AA1151" i="1" s="1"/>
  <c r="Y1152" i="1"/>
  <c r="AA1152" i="1" s="1"/>
  <c r="Y1153" i="1"/>
  <c r="AA1153" i="1" s="1"/>
  <c r="Y1154" i="1"/>
  <c r="AA1154" i="1" s="1"/>
  <c r="Y1155" i="1"/>
  <c r="AA1155" i="1" s="1"/>
  <c r="Y1156" i="1"/>
  <c r="AA1156" i="1" s="1"/>
  <c r="Y1157" i="1"/>
  <c r="AA1157" i="1" s="1"/>
  <c r="Y1158" i="1"/>
  <c r="AA1158" i="1" s="1"/>
  <c r="Y1159" i="1"/>
  <c r="AA1159" i="1" s="1"/>
  <c r="Y1160" i="1"/>
  <c r="AA1160" i="1" s="1"/>
  <c r="Y1161" i="1"/>
  <c r="AA1161" i="1" s="1"/>
  <c r="Y1162" i="1"/>
  <c r="AA1162" i="1" s="1"/>
  <c r="Y1163" i="1"/>
  <c r="AA1163" i="1" s="1"/>
  <c r="Y1164" i="1"/>
  <c r="AA1164" i="1" s="1"/>
  <c r="Y1165" i="1"/>
  <c r="AA1165" i="1" s="1"/>
  <c r="Y1166" i="1"/>
  <c r="AA1166" i="1" s="1"/>
  <c r="Y1167" i="1"/>
  <c r="AA1167" i="1" s="1"/>
  <c r="Y1168" i="1"/>
  <c r="AA1168" i="1" s="1"/>
  <c r="Y1169" i="1"/>
  <c r="AA1169" i="1" s="1"/>
  <c r="Y1170" i="1"/>
  <c r="AA1170" i="1" s="1"/>
  <c r="Y1171" i="1"/>
  <c r="AA1171" i="1" s="1"/>
  <c r="Y1172" i="1"/>
  <c r="AA1172" i="1" s="1"/>
  <c r="Y1173" i="1"/>
  <c r="AA1173" i="1" s="1"/>
  <c r="Y1174" i="1"/>
  <c r="AA1174" i="1" s="1"/>
  <c r="Y1175" i="1"/>
  <c r="AA1175" i="1" s="1"/>
  <c r="Y1176" i="1"/>
  <c r="AA1176" i="1" s="1"/>
  <c r="Y1177" i="1"/>
  <c r="AA1177" i="1" s="1"/>
  <c r="Y1178" i="1"/>
  <c r="AA1178" i="1" s="1"/>
  <c r="Y1179" i="1"/>
  <c r="AA1179" i="1" s="1"/>
  <c r="Y1180" i="1"/>
  <c r="AA1180" i="1" s="1"/>
  <c r="Y1181" i="1"/>
  <c r="AA1181" i="1" s="1"/>
  <c r="Y1182" i="1"/>
  <c r="AA1182" i="1" s="1"/>
  <c r="Y1183" i="1"/>
  <c r="AA1183" i="1" s="1"/>
  <c r="Y1184" i="1"/>
  <c r="AA1184" i="1" s="1"/>
  <c r="Y1185" i="1"/>
  <c r="AA1185" i="1" s="1"/>
  <c r="Y1186" i="1"/>
  <c r="AA1186" i="1" s="1"/>
  <c r="Y1187" i="1"/>
  <c r="AA1187" i="1" s="1"/>
  <c r="Y1188" i="1"/>
  <c r="AA1188" i="1" s="1"/>
  <c r="Y1189" i="1"/>
  <c r="AA1189" i="1" s="1"/>
  <c r="Y1190" i="1"/>
  <c r="AA1190" i="1" s="1"/>
  <c r="Y1191" i="1"/>
  <c r="AA1191" i="1" s="1"/>
  <c r="Y1192" i="1"/>
  <c r="AA1192" i="1" s="1"/>
  <c r="Y1193" i="1"/>
  <c r="AA1193" i="1" s="1"/>
  <c r="Y1194" i="1"/>
  <c r="AA1194" i="1" s="1"/>
  <c r="Y1195" i="1"/>
  <c r="AA1195" i="1" s="1"/>
  <c r="Y1196" i="1"/>
  <c r="AA1196" i="1" s="1"/>
  <c r="Y1197" i="1"/>
  <c r="AA1197" i="1" s="1"/>
  <c r="Y1198" i="1"/>
  <c r="AA1198" i="1" s="1"/>
  <c r="Y1199" i="1"/>
  <c r="AA1199" i="1" s="1"/>
  <c r="Y1200" i="1"/>
  <c r="AA1200" i="1" s="1"/>
  <c r="Y1201" i="1"/>
  <c r="AA1201" i="1" s="1"/>
  <c r="Y1202" i="1"/>
  <c r="AA1202" i="1" s="1"/>
  <c r="Y1203" i="1"/>
  <c r="AA1203" i="1" s="1"/>
  <c r="Y1204" i="1"/>
  <c r="AA1204" i="1" s="1"/>
  <c r="Y1205" i="1"/>
  <c r="AA1205" i="1" s="1"/>
  <c r="Y1206" i="1"/>
  <c r="AA1206" i="1" s="1"/>
  <c r="Y1207" i="1"/>
  <c r="AA1207" i="1" s="1"/>
  <c r="Y1208" i="1"/>
  <c r="AA1208" i="1" s="1"/>
  <c r="Y1209" i="1"/>
  <c r="AA1209" i="1" s="1"/>
  <c r="Y1210" i="1"/>
  <c r="AA1210" i="1" s="1"/>
  <c r="Y1211" i="1"/>
  <c r="AA1211" i="1" s="1"/>
  <c r="Y1212" i="1"/>
  <c r="AA1212" i="1" s="1"/>
  <c r="Y1213" i="1"/>
  <c r="AA1213" i="1" s="1"/>
  <c r="Y1214" i="1"/>
  <c r="AA1214" i="1" s="1"/>
  <c r="Y1215" i="1"/>
  <c r="AA1215" i="1" s="1"/>
  <c r="Y1216" i="1"/>
  <c r="AA1216" i="1" s="1"/>
  <c r="Y1217" i="1"/>
  <c r="AA1217" i="1" s="1"/>
  <c r="Y1218" i="1"/>
  <c r="AA1218" i="1" s="1"/>
  <c r="Y1219" i="1"/>
  <c r="AA1219" i="1" s="1"/>
  <c r="Y1220" i="1"/>
  <c r="AA1220" i="1" s="1"/>
  <c r="Y1221" i="1"/>
  <c r="AA1221" i="1" s="1"/>
  <c r="Y1222" i="1"/>
  <c r="AA1222" i="1" s="1"/>
  <c r="Y1223" i="1"/>
  <c r="AA1223" i="1" s="1"/>
  <c r="Y1224" i="1"/>
  <c r="AA1224" i="1" s="1"/>
  <c r="Y1225" i="1"/>
  <c r="AA1225" i="1" s="1"/>
  <c r="Y1226" i="1"/>
  <c r="AA1226" i="1" s="1"/>
  <c r="Y1227" i="1"/>
  <c r="AA1227" i="1" s="1"/>
  <c r="Y1228" i="1"/>
  <c r="AA1228" i="1" s="1"/>
  <c r="Y1229" i="1"/>
  <c r="AA1229" i="1" s="1"/>
  <c r="Y1230" i="1"/>
  <c r="AA1230" i="1" s="1"/>
  <c r="Y1231" i="1"/>
  <c r="AA1231" i="1" s="1"/>
  <c r="Y1232" i="1"/>
  <c r="AA1232" i="1" s="1"/>
  <c r="Y1233" i="1"/>
  <c r="AA1233" i="1" s="1"/>
  <c r="Y1234" i="1"/>
  <c r="AA1234" i="1" s="1"/>
  <c r="Y1235" i="1"/>
  <c r="Y1236" i="1"/>
  <c r="Y1237" i="1"/>
  <c r="AA1237" i="1" s="1"/>
  <c r="Y1238" i="1"/>
  <c r="AA1238" i="1" s="1"/>
  <c r="Y1239" i="1"/>
  <c r="Y1240" i="1"/>
  <c r="AA1240" i="1" s="1"/>
  <c r="Y1241" i="1"/>
  <c r="AA1241" i="1" s="1"/>
  <c r="Y1242" i="1"/>
  <c r="AA1242" i="1" s="1"/>
  <c r="Y1243" i="1"/>
  <c r="AA1243" i="1" s="1"/>
  <c r="Y1244" i="1"/>
  <c r="Y1245" i="1"/>
  <c r="AA1245" i="1" s="1"/>
  <c r="Y1246" i="1"/>
  <c r="Y1247" i="1"/>
  <c r="AA1247" i="1" s="1"/>
  <c r="Y1248" i="1"/>
  <c r="Y1249" i="1"/>
  <c r="AA1249" i="1" s="1"/>
  <c r="Y1250" i="1"/>
  <c r="AA1250" i="1" s="1"/>
  <c r="Y1251" i="1"/>
  <c r="AA1251" i="1" s="1"/>
  <c r="Y1252" i="1"/>
  <c r="AA1252" i="1" s="1"/>
  <c r="Y1253" i="1"/>
  <c r="AA1253" i="1" s="1"/>
  <c r="Y1254" i="1"/>
  <c r="AA1254" i="1" s="1"/>
  <c r="Y1255" i="1"/>
  <c r="AA1255" i="1" s="1"/>
  <c r="Y1256" i="1"/>
  <c r="AA1256" i="1" s="1"/>
  <c r="Y1257" i="1"/>
  <c r="AA1257" i="1" s="1"/>
  <c r="Y1258" i="1"/>
  <c r="AA1258" i="1" s="1"/>
  <c r="Y1259" i="1"/>
  <c r="AA1259" i="1" s="1"/>
  <c r="Y1260" i="1"/>
  <c r="AA1260" i="1" s="1"/>
  <c r="Y1261" i="1"/>
  <c r="AA1261" i="1" s="1"/>
  <c r="Y1262" i="1"/>
  <c r="AA1262" i="1" s="1"/>
  <c r="Y1263" i="1"/>
  <c r="AA1263" i="1" s="1"/>
  <c r="Y1264" i="1"/>
  <c r="Y1265" i="1"/>
  <c r="AA1265" i="1" s="1"/>
  <c r="Y1266" i="1"/>
  <c r="Y1267" i="1"/>
  <c r="AA1267" i="1" s="1"/>
  <c r="Y1268" i="1"/>
  <c r="AA1268" i="1" s="1"/>
  <c r="Y1269" i="1"/>
  <c r="AA1269" i="1" s="1"/>
  <c r="Y1270" i="1"/>
  <c r="AA1270" i="1" s="1"/>
  <c r="Y1271" i="1"/>
  <c r="AA1271" i="1" s="1"/>
  <c r="Y1272" i="1"/>
  <c r="AA1272" i="1" s="1"/>
  <c r="Y1273" i="1"/>
  <c r="Y1274" i="1"/>
  <c r="AA1274" i="1" s="1"/>
  <c r="Y1275" i="1"/>
  <c r="AA1275" i="1" s="1"/>
  <c r="Y1276" i="1"/>
  <c r="AA1276" i="1" s="1"/>
  <c r="Y1277" i="1"/>
  <c r="Y1278" i="1"/>
  <c r="AA1278" i="1" s="1"/>
  <c r="Y1279" i="1"/>
  <c r="AA1279" i="1" s="1"/>
  <c r="Y1280" i="1"/>
  <c r="AA1280" i="1" s="1"/>
  <c r="Y1281" i="1"/>
  <c r="AA1281" i="1" s="1"/>
  <c r="Y1282" i="1"/>
  <c r="AA1282" i="1" s="1"/>
  <c r="Y1283" i="1"/>
  <c r="AA1283" i="1" s="1"/>
  <c r="Y1284" i="1"/>
  <c r="AA1284" i="1" s="1"/>
  <c r="Y1285" i="1"/>
  <c r="AA1285" i="1" s="1"/>
  <c r="Y1286" i="1"/>
  <c r="AA1286" i="1" s="1"/>
  <c r="Y1287" i="1"/>
  <c r="AA1287" i="1" s="1"/>
  <c r="Y1288" i="1"/>
  <c r="AA1288" i="1" s="1"/>
  <c r="Y1289" i="1"/>
  <c r="AA1289" i="1" s="1"/>
  <c r="Y1290" i="1"/>
  <c r="AA1290" i="1" s="1"/>
  <c r="Y1291" i="1"/>
  <c r="AA1291" i="1" s="1"/>
  <c r="Y1292" i="1"/>
  <c r="AA1292" i="1" s="1"/>
  <c r="Y1293" i="1"/>
  <c r="AA1293" i="1" s="1"/>
  <c r="Y1294" i="1"/>
  <c r="AA1294" i="1" s="1"/>
  <c r="Y1295" i="1"/>
  <c r="AA1295" i="1" s="1"/>
  <c r="Y1296" i="1"/>
  <c r="AA1296" i="1" s="1"/>
  <c r="Y1297" i="1"/>
  <c r="AA1297" i="1" s="1"/>
  <c r="Y1298" i="1"/>
  <c r="AA1298" i="1" s="1"/>
  <c r="Y1299" i="1"/>
  <c r="AA1299" i="1" s="1"/>
  <c r="Y1300" i="1"/>
  <c r="AA1300" i="1" s="1"/>
  <c r="Y1301" i="1"/>
  <c r="AA1301" i="1" s="1"/>
  <c r="Y1302" i="1"/>
  <c r="AA1302" i="1" s="1"/>
  <c r="Y1303" i="1"/>
  <c r="AA1303" i="1" s="1"/>
  <c r="Y1304" i="1"/>
  <c r="AA1304" i="1" s="1"/>
  <c r="Y1305" i="1"/>
  <c r="AA1305" i="1" s="1"/>
  <c r="Y1306" i="1"/>
  <c r="AA1306" i="1" s="1"/>
  <c r="Y1307" i="1"/>
  <c r="AA1307" i="1" s="1"/>
  <c r="Y1308" i="1"/>
  <c r="AA1308" i="1" s="1"/>
  <c r="Y1309" i="1"/>
  <c r="AA1309" i="1" s="1"/>
  <c r="Y1310" i="1"/>
  <c r="AA1310" i="1" s="1"/>
  <c r="Y1311" i="1"/>
  <c r="AA1311" i="1" s="1"/>
  <c r="Y1312" i="1"/>
  <c r="AA1312" i="1" s="1"/>
  <c r="Y1313" i="1"/>
  <c r="AA1313" i="1" s="1"/>
  <c r="Y1314" i="1"/>
  <c r="AA1314" i="1" s="1"/>
  <c r="Y1315" i="1"/>
  <c r="AA1315" i="1" s="1"/>
  <c r="Y1316" i="1"/>
  <c r="AA1316" i="1" s="1"/>
  <c r="Y1317" i="1"/>
  <c r="AA1317" i="1" s="1"/>
  <c r="Y1318" i="1"/>
  <c r="AA1318" i="1" s="1"/>
  <c r="Y1319" i="1"/>
  <c r="AA1319" i="1" s="1"/>
  <c r="Y1320" i="1"/>
  <c r="AA1320" i="1" s="1"/>
  <c r="Y1321" i="1"/>
  <c r="AA1321" i="1" s="1"/>
  <c r="Y1322" i="1"/>
  <c r="AA1322" i="1" s="1"/>
  <c r="Y1323" i="1"/>
  <c r="AA1323" i="1" s="1"/>
  <c r="Y1324" i="1"/>
  <c r="AA1324" i="1" s="1"/>
  <c r="Y1325" i="1"/>
  <c r="AA1325" i="1" s="1"/>
  <c r="Y1326" i="1"/>
  <c r="AA1326" i="1" s="1"/>
  <c r="Y1327" i="1"/>
  <c r="AA1327" i="1" s="1"/>
  <c r="Y1328" i="1"/>
  <c r="AA1328" i="1" s="1"/>
  <c r="Y1329" i="1"/>
  <c r="AA1329" i="1" s="1"/>
  <c r="Y1330" i="1"/>
  <c r="AA1330" i="1" s="1"/>
  <c r="Y1331" i="1"/>
  <c r="AA1331" i="1" s="1"/>
  <c r="Y1332" i="1"/>
  <c r="AA1332" i="1" s="1"/>
  <c r="Y1333" i="1"/>
  <c r="Y1334" i="1"/>
  <c r="Y1335" i="1"/>
  <c r="Y1336" i="1"/>
  <c r="Y1337" i="1"/>
  <c r="Y1338" i="1"/>
  <c r="AA1338" i="1" s="1"/>
  <c r="Y1339" i="1"/>
  <c r="AA1339" i="1" s="1"/>
  <c r="Y1340" i="1"/>
  <c r="AA1340" i="1" s="1"/>
  <c r="Y1341" i="1"/>
  <c r="AA1341" i="1" s="1"/>
  <c r="Y1342" i="1"/>
  <c r="AA1342" i="1" s="1"/>
  <c r="Y1343" i="1"/>
  <c r="AA1343" i="1" s="1"/>
  <c r="Y1344" i="1"/>
  <c r="AA1344" i="1" s="1"/>
  <c r="Y1345" i="1"/>
  <c r="AA1345" i="1" s="1"/>
  <c r="Y1346" i="1"/>
  <c r="AA1346" i="1" s="1"/>
  <c r="Y1347" i="1"/>
  <c r="AA1347" i="1" s="1"/>
  <c r="Y1348" i="1"/>
  <c r="AA1348" i="1" s="1"/>
  <c r="Y1349" i="1"/>
  <c r="AA1349" i="1" s="1"/>
  <c r="Y1350" i="1"/>
  <c r="AA1350" i="1" s="1"/>
  <c r="Y1351" i="1"/>
  <c r="AA1351" i="1" s="1"/>
  <c r="Y1352" i="1"/>
  <c r="AA1352" i="1" s="1"/>
  <c r="Y1353" i="1"/>
  <c r="AA1353" i="1" s="1"/>
  <c r="Y1354" i="1"/>
  <c r="AA1354" i="1" s="1"/>
  <c r="Y1355" i="1"/>
  <c r="AA1355" i="1" s="1"/>
  <c r="Y1356" i="1"/>
  <c r="AA1356" i="1" s="1"/>
  <c r="Y1357" i="1"/>
  <c r="AA1357" i="1" s="1"/>
  <c r="Y1358" i="1"/>
  <c r="AA1358" i="1" s="1"/>
  <c r="Y1359" i="1"/>
  <c r="AA1359" i="1" s="1"/>
  <c r="Y1360" i="1"/>
  <c r="AA1360" i="1" s="1"/>
  <c r="Y1361" i="1"/>
  <c r="AA1361" i="1" s="1"/>
  <c r="Y1362" i="1"/>
  <c r="AA1362" i="1" s="1"/>
  <c r="Y1363" i="1"/>
  <c r="AA1363" i="1" s="1"/>
  <c r="Y1364" i="1"/>
  <c r="AA1364" i="1" s="1"/>
  <c r="Y1365" i="1"/>
  <c r="AA1365" i="1" s="1"/>
  <c r="Y1366" i="1"/>
  <c r="AA1366" i="1" s="1"/>
  <c r="Y1367" i="1"/>
  <c r="Y1368" i="1"/>
  <c r="AA1368" i="1" s="1"/>
  <c r="Y1369" i="1"/>
  <c r="AA1369" i="1" s="1"/>
  <c r="Y1370" i="1"/>
  <c r="AA1370" i="1" s="1"/>
  <c r="Y1371" i="1"/>
  <c r="AA1371" i="1" s="1"/>
  <c r="Y1372" i="1"/>
  <c r="AA1372" i="1" s="1"/>
  <c r="Y1373" i="1"/>
  <c r="AA1373" i="1" s="1"/>
  <c r="Y1374" i="1"/>
  <c r="AA1374" i="1" s="1"/>
  <c r="Y1375" i="1"/>
  <c r="AA1375" i="1" s="1"/>
  <c r="Y1376" i="1"/>
  <c r="AA1376" i="1" s="1"/>
  <c r="Y1377" i="1"/>
  <c r="AA1377" i="1" s="1"/>
  <c r="Y1378" i="1"/>
  <c r="AA1378" i="1" s="1"/>
  <c r="Y1379" i="1"/>
  <c r="AA1379" i="1" s="1"/>
  <c r="Y1380" i="1"/>
  <c r="AA1380" i="1" s="1"/>
  <c r="Y1381" i="1"/>
  <c r="AA1381" i="1" s="1"/>
  <c r="Y1382" i="1"/>
  <c r="AA1382" i="1" s="1"/>
  <c r="Y1383" i="1"/>
  <c r="AA1383" i="1" s="1"/>
  <c r="Y1384" i="1"/>
  <c r="AA1384" i="1" s="1"/>
  <c r="Y1385" i="1"/>
  <c r="AA1385" i="1" s="1"/>
  <c r="Y1386" i="1"/>
  <c r="AA1386" i="1" s="1"/>
  <c r="Y1387" i="1"/>
  <c r="AA1387" i="1" s="1"/>
  <c r="Y1388" i="1"/>
  <c r="AA1388" i="1" s="1"/>
  <c r="Y1389" i="1"/>
  <c r="AA1389" i="1" s="1"/>
  <c r="Y1390" i="1"/>
  <c r="AA1390" i="1" s="1"/>
  <c r="Y1391" i="1"/>
  <c r="AA1391" i="1" s="1"/>
  <c r="Y1392" i="1"/>
  <c r="AA1392" i="1" s="1"/>
  <c r="Y1393" i="1"/>
  <c r="AA1393" i="1" s="1"/>
  <c r="Y1394" i="1"/>
  <c r="Y1395" i="1"/>
  <c r="AA1395" i="1" s="1"/>
  <c r="Y1396" i="1"/>
  <c r="Y1397" i="1"/>
  <c r="AA1397" i="1" s="1"/>
  <c r="Y1398" i="1"/>
  <c r="Y1399" i="1"/>
  <c r="AA1399" i="1" s="1"/>
  <c r="Y1400" i="1"/>
  <c r="AA1400" i="1" s="1"/>
  <c r="Y1401" i="1"/>
  <c r="Y1402" i="1"/>
  <c r="AA1402" i="1" s="1"/>
  <c r="Y1403" i="1"/>
  <c r="AA1403" i="1" s="1"/>
  <c r="Y1404" i="1"/>
  <c r="AA1404" i="1" s="1"/>
  <c r="Y1405" i="1"/>
  <c r="AA1405" i="1" s="1"/>
  <c r="Y1406" i="1"/>
  <c r="AA1406" i="1" s="1"/>
  <c r="Y1407" i="1"/>
  <c r="AA1407" i="1" s="1"/>
  <c r="Y1408" i="1"/>
  <c r="AA1408" i="1" s="1"/>
  <c r="Y1409" i="1"/>
  <c r="AA1409" i="1" s="1"/>
  <c r="Y1410" i="1"/>
  <c r="AA1410" i="1" s="1"/>
  <c r="Y1411" i="1"/>
  <c r="AA1411" i="1" s="1"/>
  <c r="Y1412" i="1"/>
  <c r="AA1412" i="1" s="1"/>
  <c r="Y1413" i="1"/>
  <c r="AA1413" i="1" s="1"/>
  <c r="Y1414" i="1"/>
  <c r="AA1414" i="1" s="1"/>
  <c r="Y1415" i="1"/>
  <c r="AA1415" i="1" s="1"/>
  <c r="Y1416" i="1"/>
  <c r="AA1416" i="1" s="1"/>
  <c r="Y1417" i="1"/>
  <c r="AA1417" i="1" s="1"/>
  <c r="Y1418" i="1"/>
  <c r="AA1418" i="1" s="1"/>
  <c r="Y1419" i="1"/>
  <c r="AA1419" i="1" s="1"/>
  <c r="Y1420" i="1"/>
  <c r="AA1420" i="1" s="1"/>
  <c r="Y1421" i="1"/>
  <c r="AA1421" i="1" s="1"/>
  <c r="Y1422" i="1"/>
  <c r="AA1422" i="1" s="1"/>
  <c r="Y1423" i="1"/>
  <c r="AA1423" i="1" s="1"/>
  <c r="Y1424" i="1"/>
  <c r="AA1424" i="1" s="1"/>
  <c r="Y1425" i="1"/>
  <c r="AA1425" i="1" s="1"/>
  <c r="Y1426" i="1"/>
  <c r="AA1426" i="1" s="1"/>
  <c r="Y1427" i="1"/>
  <c r="AA1427" i="1" s="1"/>
  <c r="Y1428" i="1"/>
  <c r="Y1429" i="1"/>
  <c r="Y1430" i="1"/>
  <c r="Y1431" i="1"/>
  <c r="AA1431" i="1" s="1"/>
  <c r="Y1432" i="1"/>
  <c r="Y1433" i="1"/>
  <c r="AA1433" i="1" s="1"/>
  <c r="Y1434" i="1"/>
  <c r="AA1434" i="1" s="1"/>
  <c r="Y1435" i="1"/>
  <c r="Y1436" i="1"/>
  <c r="AA1436" i="1" s="1"/>
  <c r="Y1437" i="1"/>
  <c r="AA1437" i="1" s="1"/>
  <c r="Y1438" i="1"/>
  <c r="AA1438" i="1" s="1"/>
  <c r="Y1439" i="1"/>
  <c r="AA1439" i="1" s="1"/>
  <c r="Y1440" i="1"/>
  <c r="AA1440" i="1" s="1"/>
  <c r="Y1441" i="1"/>
  <c r="AA1441" i="1" s="1"/>
  <c r="Y1442" i="1"/>
  <c r="AA1442" i="1" s="1"/>
  <c r="Y1443" i="1"/>
  <c r="Y1444" i="1"/>
  <c r="AA1444" i="1" s="1"/>
  <c r="Y1445" i="1"/>
  <c r="AA1445" i="1" s="1"/>
  <c r="Y1446" i="1"/>
  <c r="AA1446" i="1" s="1"/>
  <c r="Y1447" i="1"/>
  <c r="AA1447" i="1" s="1"/>
  <c r="Y1448" i="1"/>
  <c r="AA1448" i="1" s="1"/>
  <c r="Y1449" i="1"/>
  <c r="AA1449" i="1" s="1"/>
  <c r="Y1450" i="1"/>
  <c r="AA1450" i="1" s="1"/>
  <c r="Y1451" i="1"/>
  <c r="AA1451" i="1" s="1"/>
  <c r="Y1452" i="1"/>
  <c r="AA1452" i="1" s="1"/>
  <c r="Y1453" i="1"/>
  <c r="AA1453" i="1" s="1"/>
  <c r="Y1454" i="1"/>
  <c r="AA1454" i="1" s="1"/>
  <c r="Y1455" i="1"/>
  <c r="AA1455" i="1" s="1"/>
  <c r="Y1456" i="1"/>
  <c r="AA1456" i="1" s="1"/>
  <c r="Y1457" i="1"/>
  <c r="AA1457" i="1" s="1"/>
  <c r="Y1458" i="1"/>
  <c r="AA1458" i="1" s="1"/>
  <c r="Y1459" i="1"/>
  <c r="AA1459" i="1" s="1"/>
  <c r="Y1460" i="1"/>
  <c r="AA1460" i="1" s="1"/>
  <c r="Y1461" i="1"/>
  <c r="AA1461" i="1" s="1"/>
  <c r="Y1462" i="1"/>
  <c r="Y1463" i="1"/>
  <c r="Y1464" i="1"/>
  <c r="Y1465" i="1"/>
  <c r="Y1466" i="1"/>
  <c r="Y1467" i="1"/>
  <c r="Y1468" i="1"/>
  <c r="Y1469" i="1"/>
  <c r="Y1470" i="1"/>
  <c r="Y1471" i="1"/>
  <c r="Y1472" i="1"/>
  <c r="Y1473" i="1"/>
  <c r="Y1474" i="1"/>
  <c r="Y1475" i="1"/>
  <c r="Y1476" i="1"/>
  <c r="Y1477" i="1"/>
  <c r="Y1478" i="1"/>
  <c r="Y1479" i="1"/>
  <c r="Y1480" i="1"/>
  <c r="AA1480" i="1" s="1"/>
  <c r="Y1481" i="1"/>
  <c r="AA1481" i="1" s="1"/>
  <c r="Y1482" i="1"/>
  <c r="AA1482" i="1" s="1"/>
  <c r="Y1483" i="1"/>
  <c r="AA1483" i="1" s="1"/>
  <c r="Y1484" i="1"/>
  <c r="Y1485" i="1"/>
  <c r="Y1486" i="1"/>
  <c r="Y1487" i="1"/>
  <c r="Y1488" i="1"/>
  <c r="Y1489" i="1"/>
  <c r="Y1490" i="1"/>
  <c r="Y1491" i="1"/>
  <c r="Y1492" i="1"/>
  <c r="Y1493" i="1"/>
  <c r="Y1494" i="1"/>
  <c r="Y1495" i="1"/>
  <c r="Y1496" i="1"/>
  <c r="Y1497" i="1"/>
  <c r="Y1498" i="1"/>
  <c r="Y1499" i="1"/>
  <c r="Y1500" i="1"/>
  <c r="Y1501" i="1"/>
  <c r="Y1502" i="1"/>
  <c r="Y1503" i="1"/>
  <c r="AA1503" i="1" s="1"/>
  <c r="Y1504" i="1"/>
  <c r="Y1505" i="1"/>
  <c r="Y1506" i="1"/>
  <c r="AA1506" i="1" s="1"/>
  <c r="Y1507" i="1"/>
  <c r="AA1507" i="1" s="1"/>
  <c r="Y1508" i="1"/>
  <c r="AA1508" i="1" s="1"/>
  <c r="Y1509" i="1"/>
  <c r="AA1509" i="1" s="1"/>
  <c r="Y1510" i="1"/>
  <c r="AA1510" i="1" s="1"/>
  <c r="Y1511" i="1"/>
  <c r="AA1511" i="1" s="1"/>
  <c r="Y1512" i="1"/>
  <c r="AA1512" i="1" s="1"/>
  <c r="Y1513" i="1"/>
  <c r="AA1513" i="1" s="1"/>
  <c r="Y1514" i="1"/>
  <c r="AA1514" i="1" s="1"/>
  <c r="Y1515" i="1"/>
  <c r="AA1515" i="1" s="1"/>
  <c r="Y1516" i="1"/>
  <c r="AA1516" i="1" s="1"/>
  <c r="Y1517" i="1"/>
  <c r="AA1517" i="1" s="1"/>
  <c r="Y1518" i="1"/>
  <c r="AA1518" i="1" s="1"/>
  <c r="Y1519" i="1"/>
  <c r="AA1519" i="1" s="1"/>
  <c r="Y1520" i="1"/>
  <c r="AA1520" i="1" s="1"/>
  <c r="Y1521" i="1"/>
  <c r="AA1521" i="1" s="1"/>
  <c r="Y1522" i="1"/>
  <c r="AA1522" i="1" s="1"/>
  <c r="Y1523" i="1"/>
  <c r="AA1523" i="1" s="1"/>
  <c r="Y1524" i="1"/>
  <c r="AA1524" i="1" s="1"/>
  <c r="Y1525" i="1"/>
  <c r="AA1525" i="1" s="1"/>
  <c r="Y1526" i="1"/>
  <c r="AA1526" i="1" s="1"/>
  <c r="Y1527" i="1"/>
  <c r="AA1527" i="1" s="1"/>
  <c r="Y1528" i="1"/>
  <c r="AA1528" i="1" s="1"/>
  <c r="Y1529" i="1"/>
  <c r="AA1529" i="1" s="1"/>
  <c r="Y1530" i="1"/>
  <c r="AA1530" i="1" s="1"/>
  <c r="Y1531" i="1"/>
  <c r="AA1531" i="1" s="1"/>
  <c r="Y1532" i="1"/>
  <c r="AA1532" i="1" s="1"/>
  <c r="Y1533" i="1"/>
  <c r="AA1533" i="1" s="1"/>
  <c r="Y1534" i="1"/>
  <c r="AA1534" i="1" s="1"/>
  <c r="Y1535" i="1"/>
  <c r="AA1535" i="1" s="1"/>
  <c r="Y1536" i="1"/>
  <c r="AA1536" i="1" s="1"/>
  <c r="Y1537" i="1"/>
  <c r="AA1537" i="1" s="1"/>
  <c r="Y1538" i="1"/>
  <c r="AA1538" i="1" s="1"/>
  <c r="Y1539" i="1"/>
  <c r="AA1539" i="1" s="1"/>
  <c r="Y1540" i="1"/>
  <c r="AA1540" i="1" s="1"/>
  <c r="Y1541" i="1"/>
  <c r="AA1541" i="1" s="1"/>
  <c r="Y1542" i="1"/>
  <c r="AA1542" i="1" s="1"/>
  <c r="Y1543" i="1"/>
  <c r="AA1543" i="1" s="1"/>
  <c r="Y1544" i="1"/>
  <c r="AA1544" i="1" s="1"/>
  <c r="Y1545" i="1"/>
  <c r="Y1546" i="1"/>
  <c r="Y1547" i="1"/>
  <c r="AA1547" i="1" s="1"/>
  <c r="Y1548" i="1"/>
  <c r="AA1548" i="1" s="1"/>
  <c r="Y1549" i="1"/>
  <c r="AA1549" i="1" s="1"/>
  <c r="Y1550" i="1"/>
  <c r="AA1550" i="1" s="1"/>
  <c r="Y1551" i="1"/>
  <c r="AA1551" i="1" s="1"/>
  <c r="Y1552" i="1"/>
  <c r="AA1552" i="1" s="1"/>
  <c r="Y1553" i="1"/>
  <c r="AA1553" i="1" s="1"/>
  <c r="Y1554" i="1"/>
  <c r="AA1554" i="1" s="1"/>
  <c r="Y1555" i="1"/>
  <c r="AA1555" i="1" s="1"/>
  <c r="Y1556" i="1"/>
  <c r="AA1556" i="1" s="1"/>
  <c r="Y1557" i="1"/>
  <c r="AA1557" i="1" s="1"/>
  <c r="Y1558" i="1"/>
  <c r="AA1558" i="1" s="1"/>
  <c r="Y1559" i="1"/>
  <c r="AA1559" i="1" s="1"/>
  <c r="Y1560" i="1"/>
  <c r="AA1560" i="1" s="1"/>
  <c r="Y1561" i="1"/>
  <c r="AA1561" i="1" s="1"/>
  <c r="Y1562" i="1"/>
  <c r="AA1562" i="1" s="1"/>
  <c r="Y1563" i="1"/>
  <c r="AA1563" i="1" s="1"/>
  <c r="Y1564" i="1"/>
  <c r="AA1564" i="1" s="1"/>
  <c r="Y1565" i="1"/>
  <c r="AA1565" i="1" s="1"/>
  <c r="Y1566" i="1"/>
  <c r="AA1566" i="1" s="1"/>
  <c r="Y1567" i="1"/>
  <c r="AA1567" i="1" s="1"/>
  <c r="Y1568" i="1"/>
  <c r="AA1568" i="1" s="1"/>
  <c r="Y1569" i="1"/>
  <c r="AA1569" i="1" s="1"/>
  <c r="Y1570" i="1"/>
  <c r="AA1570" i="1" s="1"/>
  <c r="Y1571" i="1"/>
  <c r="AA1571" i="1" s="1"/>
  <c r="Y1572" i="1"/>
  <c r="AA1572" i="1" s="1"/>
  <c r="Y1573" i="1"/>
  <c r="AA1573" i="1" s="1"/>
  <c r="Y1574" i="1"/>
  <c r="AA1574" i="1" s="1"/>
  <c r="Y1575" i="1"/>
  <c r="AA1575" i="1" s="1"/>
  <c r="Y1576" i="1"/>
  <c r="AA1576" i="1" s="1"/>
  <c r="Y1577" i="1"/>
  <c r="AA1577" i="1" s="1"/>
  <c r="Y1578" i="1"/>
  <c r="AA1578" i="1" s="1"/>
  <c r="Y1579" i="1"/>
  <c r="Y1580" i="1"/>
  <c r="AA1580" i="1" s="1"/>
  <c r="Y1581" i="1"/>
  <c r="AA1581" i="1" s="1"/>
  <c r="Y1582" i="1"/>
  <c r="AA1582" i="1" s="1"/>
  <c r="Y1583" i="1"/>
  <c r="AA1583" i="1" s="1"/>
  <c r="Y1584" i="1"/>
  <c r="AA1584" i="1" s="1"/>
  <c r="Y1585" i="1"/>
  <c r="AA1585" i="1" s="1"/>
  <c r="Y1586" i="1"/>
  <c r="AA1586" i="1" s="1"/>
  <c r="Y1587" i="1"/>
  <c r="AA1587" i="1" s="1"/>
  <c r="Y1588" i="1"/>
  <c r="AA1588" i="1" s="1"/>
  <c r="Y1589" i="1"/>
  <c r="AA1589" i="1" s="1"/>
  <c r="Y1590" i="1"/>
  <c r="AA1590" i="1" s="1"/>
  <c r="Y1591" i="1"/>
  <c r="AA1591" i="1" s="1"/>
  <c r="Y1592" i="1"/>
  <c r="AA1592" i="1" s="1"/>
  <c r="Y1593" i="1"/>
  <c r="AA1593" i="1" s="1"/>
  <c r="Y1594" i="1"/>
  <c r="AA1594" i="1" s="1"/>
  <c r="Y1595" i="1"/>
  <c r="AA1595" i="1" s="1"/>
  <c r="Y1596" i="1"/>
  <c r="AA1596" i="1" s="1"/>
  <c r="Y1597" i="1"/>
  <c r="AA1597" i="1" s="1"/>
  <c r="Y1598" i="1"/>
  <c r="Y1599" i="1"/>
  <c r="AA1599" i="1" s="1"/>
  <c r="Y1600" i="1"/>
  <c r="AA1600" i="1" s="1"/>
  <c r="Y1601" i="1"/>
  <c r="AA1601" i="1" s="1"/>
  <c r="Y1602" i="1"/>
  <c r="AA1602" i="1" s="1"/>
  <c r="Y1603" i="1"/>
  <c r="AA1603" i="1" s="1"/>
  <c r="Y1604" i="1"/>
  <c r="AA1604" i="1" s="1"/>
  <c r="Y1605" i="1"/>
  <c r="AA1605" i="1" s="1"/>
  <c r="Y1606" i="1"/>
  <c r="AA1606" i="1" s="1"/>
  <c r="Y1607" i="1"/>
  <c r="AA1607" i="1" s="1"/>
  <c r="Y1608" i="1"/>
  <c r="AA1608" i="1" s="1"/>
  <c r="Y1609" i="1"/>
  <c r="AA1609" i="1" s="1"/>
  <c r="Y1610" i="1"/>
  <c r="AA1610" i="1" s="1"/>
  <c r="Y1611" i="1"/>
  <c r="AA1611" i="1" s="1"/>
  <c r="Y1612" i="1"/>
  <c r="AA1612" i="1" s="1"/>
  <c r="Y1613" i="1"/>
  <c r="AA1613" i="1" s="1"/>
  <c r="Y1614" i="1"/>
  <c r="AA1614" i="1" s="1"/>
  <c r="Y1615" i="1"/>
  <c r="AA1615" i="1" s="1"/>
  <c r="Y1616" i="1"/>
  <c r="AA1616" i="1" s="1"/>
  <c r="Y1617" i="1"/>
  <c r="AA1617" i="1" s="1"/>
  <c r="Y1618" i="1"/>
  <c r="AA1618" i="1" s="1"/>
  <c r="Y1619" i="1"/>
  <c r="AA1619" i="1" s="1"/>
  <c r="Y1620" i="1"/>
  <c r="AA1620" i="1" s="1"/>
  <c r="Y1621" i="1"/>
  <c r="AA1621" i="1" s="1"/>
  <c r="Y1622" i="1"/>
  <c r="AA1622" i="1" s="1"/>
  <c r="Y1623" i="1"/>
  <c r="AA1623" i="1" s="1"/>
  <c r="Y1624" i="1"/>
  <c r="AA1624" i="1" s="1"/>
  <c r="Y1625" i="1"/>
  <c r="AA1625" i="1" s="1"/>
  <c r="Y1626" i="1"/>
  <c r="AA1626" i="1" s="1"/>
  <c r="Y1627" i="1"/>
  <c r="AA1627" i="1" s="1"/>
  <c r="Y1628" i="1"/>
  <c r="AA1628" i="1" s="1"/>
  <c r="Y1629" i="1"/>
  <c r="AA1629" i="1" s="1"/>
  <c r="Y1630" i="1"/>
  <c r="AA1630" i="1" s="1"/>
  <c r="Y1631" i="1"/>
  <c r="AA1631" i="1" s="1"/>
  <c r="Y1632" i="1"/>
  <c r="AA1632" i="1" s="1"/>
  <c r="Y1633" i="1"/>
  <c r="AA1633" i="1" s="1"/>
  <c r="Y1634" i="1"/>
  <c r="AA1634" i="1" s="1"/>
  <c r="Y1635" i="1"/>
  <c r="AA1635" i="1" s="1"/>
  <c r="Y1636" i="1"/>
  <c r="AA1636" i="1" s="1"/>
  <c r="Y1637" i="1"/>
  <c r="AA1637" i="1" s="1"/>
  <c r="Y1638" i="1"/>
  <c r="AA1638" i="1" s="1"/>
  <c r="Y1639" i="1"/>
  <c r="Y1640" i="1"/>
  <c r="Y1641" i="1"/>
  <c r="Y1642" i="1"/>
  <c r="AA1642" i="1" s="1"/>
  <c r="Y1643" i="1"/>
  <c r="AA1643" i="1" s="1"/>
  <c r="Y501" i="1"/>
  <c r="AA501" i="1" s="1"/>
  <c r="Y502" i="1"/>
  <c r="AA502" i="1" s="1"/>
  <c r="Y500" i="1"/>
  <c r="Y3" i="1"/>
  <c r="AA3" i="1" s="1"/>
  <c r="Y4" i="1"/>
  <c r="AA4" i="1" s="1"/>
  <c r="Y5" i="1"/>
  <c r="AA5" i="1" s="1"/>
  <c r="Y6" i="1"/>
  <c r="AA6" i="1" s="1"/>
  <c r="Y7" i="1"/>
  <c r="AA7" i="1" s="1"/>
  <c r="Y8" i="1"/>
  <c r="AA8" i="1" s="1"/>
  <c r="Y9" i="1"/>
  <c r="AA9" i="1" s="1"/>
  <c r="Y10" i="1"/>
  <c r="AA10" i="1" s="1"/>
  <c r="Y11" i="1"/>
  <c r="AA11" i="1" s="1"/>
  <c r="Y12" i="1"/>
  <c r="AA12" i="1" s="1"/>
  <c r="Y13" i="1"/>
  <c r="AA13" i="1" s="1"/>
  <c r="Y14" i="1"/>
  <c r="AA14" i="1" s="1"/>
  <c r="Y15" i="1"/>
  <c r="AA15" i="1" s="1"/>
  <c r="Y16" i="1"/>
  <c r="AA16" i="1" s="1"/>
  <c r="Y17" i="1"/>
  <c r="AA17" i="1" s="1"/>
  <c r="Y18" i="1"/>
  <c r="AA18" i="1" s="1"/>
  <c r="Y19" i="1"/>
  <c r="AA19" i="1" s="1"/>
  <c r="Y20" i="1"/>
  <c r="AA20" i="1" s="1"/>
  <c r="Y21" i="1"/>
  <c r="AA21" i="1" s="1"/>
  <c r="Y22" i="1"/>
  <c r="AA22" i="1" s="1"/>
  <c r="Y23" i="1"/>
  <c r="AA23" i="1" s="1"/>
  <c r="Y24" i="1"/>
  <c r="AA24" i="1" s="1"/>
  <c r="Y25" i="1"/>
  <c r="AA25" i="1" s="1"/>
  <c r="Y26" i="1"/>
  <c r="AA26" i="1" s="1"/>
  <c r="Y27" i="1"/>
  <c r="AA27" i="1" s="1"/>
  <c r="Y28" i="1"/>
  <c r="AA28" i="1" s="1"/>
  <c r="Y29" i="1"/>
  <c r="AA29" i="1" s="1"/>
  <c r="Y30" i="1"/>
  <c r="AA30" i="1" s="1"/>
  <c r="Y31" i="1"/>
  <c r="AA31" i="1" s="1"/>
  <c r="Y32" i="1"/>
  <c r="AA32" i="1" s="1"/>
  <c r="Y33" i="1"/>
  <c r="AA33" i="1" s="1"/>
  <c r="Y34" i="1"/>
  <c r="AA34" i="1" s="1"/>
  <c r="Y35" i="1"/>
  <c r="AA35" i="1" s="1"/>
  <c r="Y36" i="1"/>
  <c r="AA36" i="1" s="1"/>
  <c r="Y37" i="1"/>
  <c r="AA37" i="1" s="1"/>
  <c r="Y38" i="1"/>
  <c r="AA38" i="1" s="1"/>
  <c r="Y39" i="1"/>
  <c r="AA39" i="1" s="1"/>
  <c r="Y40" i="1"/>
  <c r="AA40" i="1" s="1"/>
  <c r="Y41" i="1"/>
  <c r="AA41" i="1" s="1"/>
  <c r="Y42" i="1"/>
  <c r="AA42" i="1" s="1"/>
  <c r="Y43" i="1"/>
  <c r="AA43" i="1" s="1"/>
  <c r="Y44" i="1"/>
  <c r="AA44" i="1" s="1"/>
  <c r="Y45" i="1"/>
  <c r="AA45" i="1" s="1"/>
  <c r="Y46" i="1"/>
  <c r="AA46" i="1" s="1"/>
  <c r="Y47" i="1"/>
  <c r="AA47" i="1" s="1"/>
  <c r="Y48" i="1"/>
  <c r="AA48" i="1" s="1"/>
  <c r="Y49" i="1"/>
  <c r="AA49" i="1" s="1"/>
  <c r="Y50" i="1"/>
  <c r="AA50" i="1" s="1"/>
  <c r="Y51" i="1"/>
  <c r="AA51" i="1" s="1"/>
  <c r="Y52" i="1"/>
  <c r="AA52" i="1" s="1"/>
  <c r="Y53" i="1"/>
  <c r="AA53" i="1" s="1"/>
  <c r="Y54" i="1"/>
  <c r="AA54" i="1" s="1"/>
  <c r="Y55" i="1"/>
  <c r="AA55" i="1" s="1"/>
  <c r="Y56" i="1"/>
  <c r="AA56" i="1" s="1"/>
  <c r="Y57" i="1"/>
  <c r="AA57" i="1" s="1"/>
  <c r="Y58" i="1"/>
  <c r="AA58" i="1" s="1"/>
  <c r="Y59" i="1"/>
  <c r="AA59" i="1" s="1"/>
  <c r="Y60" i="1"/>
  <c r="AA60" i="1" s="1"/>
  <c r="Y61" i="1"/>
  <c r="AA61" i="1" s="1"/>
  <c r="Y62" i="1"/>
  <c r="AA62" i="1" s="1"/>
  <c r="Y63" i="1"/>
  <c r="AA63" i="1" s="1"/>
  <c r="Y64" i="1"/>
  <c r="AA64" i="1" s="1"/>
  <c r="Y65" i="1"/>
  <c r="Y66" i="1"/>
  <c r="Y67" i="1"/>
  <c r="Y68" i="1"/>
  <c r="AA68" i="1" s="1"/>
  <c r="Y69" i="1"/>
  <c r="AA69" i="1" s="1"/>
  <c r="Y70" i="1"/>
  <c r="AA70" i="1" s="1"/>
  <c r="Y71" i="1"/>
  <c r="AA71" i="1" s="1"/>
  <c r="Y72" i="1"/>
  <c r="AA72" i="1" s="1"/>
  <c r="Y73" i="1"/>
  <c r="AA73" i="1" s="1"/>
  <c r="Y74" i="1"/>
  <c r="AA74" i="1" s="1"/>
  <c r="Y75" i="1"/>
  <c r="AA75" i="1" s="1"/>
  <c r="Y76" i="1"/>
  <c r="AA76" i="1" s="1"/>
  <c r="Y77" i="1"/>
  <c r="AA77" i="1" s="1"/>
  <c r="Y78" i="1"/>
  <c r="AA78" i="1" s="1"/>
  <c r="Y79" i="1"/>
  <c r="AA79" i="1" s="1"/>
  <c r="Y80" i="1"/>
  <c r="Y81" i="1"/>
  <c r="Y82" i="1"/>
  <c r="AA82" i="1" s="1"/>
  <c r="Y83" i="1"/>
  <c r="AA83" i="1" s="1"/>
  <c r="Y84" i="1"/>
  <c r="AA84" i="1" s="1"/>
  <c r="Y85" i="1"/>
  <c r="AA85" i="1" s="1"/>
  <c r="Y86" i="1"/>
  <c r="AA86" i="1" s="1"/>
  <c r="Y87" i="1"/>
  <c r="AA87" i="1" s="1"/>
  <c r="Y88" i="1"/>
  <c r="AA88" i="1" s="1"/>
  <c r="Y89" i="1"/>
  <c r="AA89" i="1" s="1"/>
  <c r="Y90" i="1"/>
  <c r="AA90" i="1" s="1"/>
  <c r="Y91" i="1"/>
  <c r="AA91" i="1" s="1"/>
  <c r="Y92" i="1"/>
  <c r="AA92" i="1" s="1"/>
  <c r="Y93" i="1"/>
  <c r="AA93" i="1" s="1"/>
  <c r="Y94" i="1"/>
  <c r="AA94" i="1" s="1"/>
  <c r="Y95" i="1"/>
  <c r="AA95" i="1" s="1"/>
  <c r="Y96" i="1"/>
  <c r="AA96" i="1" s="1"/>
  <c r="Y97" i="1"/>
  <c r="AA97" i="1" s="1"/>
  <c r="Y98" i="1"/>
  <c r="AA98" i="1" s="1"/>
  <c r="Y99" i="1"/>
  <c r="AA99" i="1" s="1"/>
  <c r="Y100" i="1"/>
  <c r="AA100" i="1" s="1"/>
  <c r="Y101" i="1"/>
  <c r="AA101" i="1" s="1"/>
  <c r="Y102" i="1"/>
  <c r="AA102" i="1" s="1"/>
  <c r="Y103" i="1"/>
  <c r="AA103" i="1" s="1"/>
  <c r="Y104" i="1"/>
  <c r="AA104" i="1" s="1"/>
  <c r="Y105" i="1"/>
  <c r="AA105" i="1" s="1"/>
  <c r="Y106" i="1"/>
  <c r="AA106" i="1" s="1"/>
  <c r="Y107" i="1"/>
  <c r="AA107" i="1" s="1"/>
  <c r="Y108" i="1"/>
  <c r="AA108" i="1" s="1"/>
  <c r="Y109" i="1"/>
  <c r="AA109" i="1" s="1"/>
  <c r="Y110" i="1"/>
  <c r="AA110" i="1" s="1"/>
  <c r="Y111" i="1"/>
  <c r="AA111" i="1" s="1"/>
  <c r="Y112" i="1"/>
  <c r="AA112" i="1" s="1"/>
  <c r="Y113" i="1"/>
  <c r="AA113" i="1" s="1"/>
  <c r="Y114" i="1"/>
  <c r="AA114" i="1" s="1"/>
  <c r="Y115" i="1"/>
  <c r="AA115" i="1" s="1"/>
  <c r="Y116" i="1"/>
  <c r="AA116" i="1" s="1"/>
  <c r="Y117" i="1"/>
  <c r="AA117" i="1" s="1"/>
  <c r="Y118" i="1"/>
  <c r="AA118" i="1" s="1"/>
  <c r="Y119" i="1"/>
  <c r="AA119" i="1" s="1"/>
  <c r="Y120" i="1"/>
  <c r="AA120" i="1" s="1"/>
  <c r="Y121" i="1"/>
  <c r="AA121" i="1" s="1"/>
  <c r="Y122" i="1"/>
  <c r="Y123" i="1"/>
  <c r="Y124" i="1"/>
  <c r="Y125" i="1"/>
  <c r="Y126" i="1"/>
  <c r="Y127" i="1"/>
  <c r="Y128" i="1"/>
  <c r="Y129" i="1"/>
  <c r="Y130" i="1"/>
  <c r="Y131" i="1"/>
  <c r="AA131" i="1" s="1"/>
  <c r="Y132" i="1"/>
  <c r="AA132" i="1" s="1"/>
  <c r="Y133" i="1"/>
  <c r="AA133" i="1" s="1"/>
  <c r="Y134" i="1"/>
  <c r="AA134" i="1" s="1"/>
  <c r="Y135" i="1"/>
  <c r="AA135" i="1" s="1"/>
  <c r="Y136" i="1"/>
  <c r="AA136" i="1" s="1"/>
  <c r="Y137" i="1"/>
  <c r="AA137" i="1" s="1"/>
  <c r="Y138" i="1"/>
  <c r="AA138" i="1" s="1"/>
  <c r="Y139" i="1"/>
  <c r="AA139" i="1" s="1"/>
  <c r="Y140" i="1"/>
  <c r="AA140" i="1" s="1"/>
  <c r="Y141" i="1"/>
  <c r="AA141" i="1" s="1"/>
  <c r="Y142" i="1"/>
  <c r="AA142" i="1" s="1"/>
  <c r="Y143" i="1"/>
  <c r="AA143" i="1" s="1"/>
  <c r="Y144" i="1"/>
  <c r="AA144" i="1" s="1"/>
  <c r="Y145" i="1"/>
  <c r="AA145" i="1" s="1"/>
  <c r="Y146" i="1"/>
  <c r="AA146" i="1" s="1"/>
  <c r="Y147" i="1"/>
  <c r="AA147" i="1" s="1"/>
  <c r="Y148" i="1"/>
  <c r="AA148" i="1" s="1"/>
  <c r="Y149" i="1"/>
  <c r="AA149" i="1" s="1"/>
  <c r="Y150" i="1"/>
  <c r="AA150" i="1" s="1"/>
  <c r="Y151" i="1"/>
  <c r="AA151" i="1" s="1"/>
  <c r="Y152" i="1"/>
  <c r="AA152" i="1" s="1"/>
  <c r="Y153" i="1"/>
  <c r="AA153" i="1" s="1"/>
  <c r="Y154" i="1"/>
  <c r="AA154" i="1" s="1"/>
  <c r="Y155" i="1"/>
  <c r="AA155" i="1" s="1"/>
  <c r="Y156" i="1"/>
  <c r="AA156" i="1" s="1"/>
  <c r="Y157" i="1"/>
  <c r="AA157" i="1" s="1"/>
  <c r="Y158" i="1"/>
  <c r="AA158" i="1" s="1"/>
  <c r="Y159" i="1"/>
  <c r="AA159" i="1" s="1"/>
  <c r="Y160" i="1"/>
  <c r="AA160" i="1" s="1"/>
  <c r="Y161" i="1"/>
  <c r="AA161" i="1" s="1"/>
  <c r="Y162" i="1"/>
  <c r="AA162" i="1" s="1"/>
  <c r="Y163" i="1"/>
  <c r="AA163" i="1" s="1"/>
  <c r="Y164" i="1"/>
  <c r="AA164" i="1" s="1"/>
  <c r="Y165" i="1"/>
  <c r="AA165" i="1" s="1"/>
  <c r="Y166" i="1"/>
  <c r="AA166" i="1" s="1"/>
  <c r="Y167" i="1"/>
  <c r="AA167" i="1" s="1"/>
  <c r="Y168" i="1"/>
  <c r="AA168" i="1" s="1"/>
  <c r="Y169" i="1"/>
  <c r="AA169" i="1" s="1"/>
  <c r="Y170" i="1"/>
  <c r="AA170" i="1" s="1"/>
  <c r="Y171" i="1"/>
  <c r="AA171" i="1" s="1"/>
  <c r="Y172" i="1"/>
  <c r="AA172" i="1" s="1"/>
  <c r="Y173" i="1"/>
  <c r="AA173" i="1" s="1"/>
  <c r="Y174" i="1"/>
  <c r="AA174" i="1" s="1"/>
  <c r="Y175" i="1"/>
  <c r="AA175" i="1" s="1"/>
  <c r="Y176" i="1"/>
  <c r="AA176" i="1" s="1"/>
  <c r="Y177" i="1"/>
  <c r="AA177" i="1" s="1"/>
  <c r="Y178" i="1"/>
  <c r="AA178" i="1" s="1"/>
  <c r="Y179" i="1"/>
  <c r="AA179" i="1" s="1"/>
  <c r="Y180" i="1"/>
  <c r="AA180" i="1" s="1"/>
  <c r="Y181" i="1"/>
  <c r="AA181" i="1" s="1"/>
  <c r="Y182" i="1"/>
  <c r="AA182" i="1" s="1"/>
  <c r="Y183" i="1"/>
  <c r="AA183" i="1" s="1"/>
  <c r="Y184" i="1"/>
  <c r="AA184" i="1" s="1"/>
  <c r="Y185" i="1"/>
  <c r="AA185" i="1" s="1"/>
  <c r="Y186" i="1"/>
  <c r="AA186" i="1" s="1"/>
  <c r="Y187" i="1"/>
  <c r="AA187" i="1" s="1"/>
  <c r="Y188" i="1"/>
  <c r="AA188" i="1" s="1"/>
  <c r="Y189" i="1"/>
  <c r="AA189" i="1" s="1"/>
  <c r="Y190" i="1"/>
  <c r="AA190" i="1" s="1"/>
  <c r="Y191" i="1"/>
  <c r="AA191" i="1" s="1"/>
  <c r="Y192" i="1"/>
  <c r="AA192" i="1" s="1"/>
  <c r="Y193" i="1"/>
  <c r="AA193" i="1" s="1"/>
  <c r="Y194" i="1"/>
  <c r="AA194" i="1" s="1"/>
  <c r="Y195" i="1"/>
  <c r="AA195" i="1" s="1"/>
  <c r="Y196" i="1"/>
  <c r="AA196" i="1" s="1"/>
  <c r="Y197" i="1"/>
  <c r="AA197" i="1" s="1"/>
  <c r="Y198" i="1"/>
  <c r="AA198" i="1" s="1"/>
  <c r="Y199" i="1"/>
  <c r="AA199" i="1" s="1"/>
  <c r="Y200" i="1"/>
  <c r="AA200" i="1" s="1"/>
  <c r="Y201" i="1"/>
  <c r="AA201" i="1" s="1"/>
  <c r="Y202" i="1"/>
  <c r="AA202" i="1" s="1"/>
  <c r="Y203" i="1"/>
  <c r="AA203" i="1" s="1"/>
  <c r="Y204" i="1"/>
  <c r="AA204" i="1" s="1"/>
  <c r="Y205" i="1"/>
  <c r="AA205" i="1" s="1"/>
  <c r="Y206" i="1"/>
  <c r="AA206" i="1" s="1"/>
  <c r="Y207" i="1"/>
  <c r="AA207" i="1" s="1"/>
  <c r="Y208" i="1"/>
  <c r="AA208" i="1" s="1"/>
  <c r="Y209" i="1"/>
  <c r="AA209" i="1" s="1"/>
  <c r="Y210" i="1"/>
  <c r="AA210" i="1" s="1"/>
  <c r="Y211" i="1"/>
  <c r="AA211" i="1" s="1"/>
  <c r="Y212" i="1"/>
  <c r="AA212" i="1" s="1"/>
  <c r="Y213" i="1"/>
  <c r="AA213" i="1" s="1"/>
  <c r="Y214" i="1"/>
  <c r="AA214" i="1" s="1"/>
  <c r="Y215" i="1"/>
  <c r="AA215" i="1" s="1"/>
  <c r="Y216" i="1"/>
  <c r="AA216" i="1" s="1"/>
  <c r="Y217" i="1"/>
  <c r="AA217" i="1" s="1"/>
  <c r="Y218" i="1"/>
  <c r="AA218" i="1" s="1"/>
  <c r="Y219" i="1"/>
  <c r="AA219" i="1" s="1"/>
  <c r="Y220" i="1"/>
  <c r="AA220" i="1" s="1"/>
  <c r="Y221" i="1"/>
  <c r="AA221" i="1" s="1"/>
  <c r="Y222" i="1"/>
  <c r="AA222" i="1" s="1"/>
  <c r="Y223" i="1"/>
  <c r="AA223" i="1" s="1"/>
  <c r="Y224" i="1"/>
  <c r="AA224" i="1" s="1"/>
  <c r="Y225" i="1"/>
  <c r="AA225" i="1" s="1"/>
  <c r="Y226" i="1"/>
  <c r="AA226" i="1" s="1"/>
  <c r="Y227" i="1"/>
  <c r="AA227" i="1" s="1"/>
  <c r="Y228" i="1"/>
  <c r="AA228" i="1" s="1"/>
  <c r="Y229" i="1"/>
  <c r="AA229" i="1" s="1"/>
  <c r="Y230" i="1"/>
  <c r="AA230" i="1" s="1"/>
  <c r="Y231" i="1"/>
  <c r="AA231" i="1" s="1"/>
  <c r="Y232" i="1"/>
  <c r="AA232" i="1" s="1"/>
  <c r="Y233" i="1"/>
  <c r="AA233" i="1" s="1"/>
  <c r="Y234" i="1"/>
  <c r="AA234" i="1" s="1"/>
  <c r="Y235" i="1"/>
  <c r="AA235" i="1" s="1"/>
  <c r="Y236" i="1"/>
  <c r="AA236" i="1" s="1"/>
  <c r="Y237" i="1"/>
  <c r="AA237" i="1" s="1"/>
  <c r="Y238" i="1"/>
  <c r="AA238" i="1" s="1"/>
  <c r="Y239" i="1"/>
  <c r="AA239" i="1" s="1"/>
  <c r="Y240" i="1"/>
  <c r="AA240" i="1" s="1"/>
  <c r="Y241" i="1"/>
  <c r="AA241" i="1" s="1"/>
  <c r="Y242" i="1"/>
  <c r="AA242" i="1" s="1"/>
  <c r="Y243" i="1"/>
  <c r="AA243" i="1" s="1"/>
  <c r="Y244" i="1"/>
  <c r="AA244" i="1" s="1"/>
  <c r="Y245" i="1"/>
  <c r="AA245" i="1" s="1"/>
  <c r="Y246" i="1"/>
  <c r="AA246" i="1" s="1"/>
  <c r="Y247" i="1"/>
  <c r="AA247" i="1" s="1"/>
  <c r="Y248" i="1"/>
  <c r="AA248" i="1" s="1"/>
  <c r="Y249" i="1"/>
  <c r="AA249" i="1" s="1"/>
  <c r="Y250" i="1"/>
  <c r="AA250" i="1" s="1"/>
  <c r="Y251" i="1"/>
  <c r="AA251" i="1" s="1"/>
  <c r="Y252" i="1"/>
  <c r="AA252" i="1" s="1"/>
  <c r="Y253" i="1"/>
  <c r="AA253" i="1" s="1"/>
  <c r="Y254" i="1"/>
  <c r="AA254" i="1" s="1"/>
  <c r="Y255" i="1"/>
  <c r="AA255" i="1" s="1"/>
  <c r="Y256" i="1"/>
  <c r="AA256" i="1" s="1"/>
  <c r="Y257" i="1"/>
  <c r="AA257" i="1" s="1"/>
  <c r="Y258" i="1"/>
  <c r="AA258" i="1" s="1"/>
  <c r="Y259" i="1"/>
  <c r="AA259" i="1" s="1"/>
  <c r="Y260" i="1"/>
  <c r="AA260" i="1" s="1"/>
  <c r="Y261" i="1"/>
  <c r="AA261" i="1" s="1"/>
  <c r="Y262" i="1"/>
  <c r="AA262" i="1" s="1"/>
  <c r="Y263" i="1"/>
  <c r="AA263" i="1" s="1"/>
  <c r="Y264" i="1"/>
  <c r="AA264" i="1" s="1"/>
  <c r="Y265" i="1"/>
  <c r="AA265" i="1" s="1"/>
  <c r="Y266" i="1"/>
  <c r="AA266" i="1" s="1"/>
  <c r="Y267" i="1"/>
  <c r="AA267" i="1" s="1"/>
  <c r="Y268" i="1"/>
  <c r="AA268" i="1" s="1"/>
  <c r="Y269" i="1"/>
  <c r="AA269" i="1" s="1"/>
  <c r="Y270" i="1"/>
  <c r="AA270" i="1" s="1"/>
  <c r="Y271" i="1"/>
  <c r="AA271" i="1" s="1"/>
  <c r="Y272" i="1"/>
  <c r="AA272" i="1" s="1"/>
  <c r="Y273" i="1"/>
  <c r="AA273" i="1" s="1"/>
  <c r="Y274" i="1"/>
  <c r="AA274" i="1" s="1"/>
  <c r="Y275" i="1"/>
  <c r="AA275" i="1" s="1"/>
  <c r="Y276" i="1"/>
  <c r="AA276" i="1" s="1"/>
  <c r="Y277" i="1"/>
  <c r="AA277" i="1" s="1"/>
  <c r="Y278" i="1"/>
  <c r="AA278" i="1" s="1"/>
  <c r="Y279" i="1"/>
  <c r="AA279" i="1" s="1"/>
  <c r="Y280" i="1"/>
  <c r="AA280" i="1" s="1"/>
  <c r="Y281" i="1"/>
  <c r="AA281" i="1" s="1"/>
  <c r="Y282" i="1"/>
  <c r="AA282" i="1" s="1"/>
  <c r="Y283" i="1"/>
  <c r="AA283" i="1" s="1"/>
  <c r="Y284" i="1"/>
  <c r="AA284" i="1" s="1"/>
  <c r="Y285" i="1"/>
  <c r="AA285" i="1" s="1"/>
  <c r="Y286" i="1"/>
  <c r="AA286" i="1" s="1"/>
  <c r="Y287" i="1"/>
  <c r="AA287" i="1" s="1"/>
  <c r="Y288" i="1"/>
  <c r="AA288" i="1" s="1"/>
  <c r="Y289" i="1"/>
  <c r="AA289" i="1" s="1"/>
  <c r="Y290" i="1"/>
  <c r="AA290" i="1" s="1"/>
  <c r="Y291" i="1"/>
  <c r="AA291" i="1" s="1"/>
  <c r="Y292" i="1"/>
  <c r="AA292" i="1" s="1"/>
  <c r="Y293" i="1"/>
  <c r="AA293" i="1" s="1"/>
  <c r="Y294" i="1"/>
  <c r="AA294" i="1" s="1"/>
  <c r="Y295" i="1"/>
  <c r="AA295" i="1" s="1"/>
  <c r="Y296" i="1"/>
  <c r="AA296" i="1" s="1"/>
  <c r="Y297" i="1"/>
  <c r="AA297" i="1" s="1"/>
  <c r="Y298" i="1"/>
  <c r="AA298" i="1" s="1"/>
  <c r="Y299" i="1"/>
  <c r="AA299" i="1" s="1"/>
  <c r="Y300" i="1"/>
  <c r="AA300" i="1" s="1"/>
  <c r="Y301" i="1"/>
  <c r="AA301" i="1" s="1"/>
  <c r="Y302" i="1"/>
  <c r="AA302" i="1" s="1"/>
  <c r="Y303" i="1"/>
  <c r="AA303" i="1" s="1"/>
  <c r="Y304" i="1"/>
  <c r="AA304" i="1" s="1"/>
  <c r="Y305" i="1"/>
  <c r="AA305" i="1" s="1"/>
  <c r="Y306" i="1"/>
  <c r="AA306" i="1" s="1"/>
  <c r="Y307" i="1"/>
  <c r="AA307" i="1" s="1"/>
  <c r="Y308" i="1"/>
  <c r="AA308" i="1" s="1"/>
  <c r="Y309" i="1"/>
  <c r="AA309" i="1" s="1"/>
  <c r="Y310" i="1"/>
  <c r="AA310" i="1" s="1"/>
  <c r="Y311" i="1"/>
  <c r="AA311" i="1" s="1"/>
  <c r="Y312" i="1"/>
  <c r="AA312" i="1" s="1"/>
  <c r="Y313" i="1"/>
  <c r="AA313" i="1" s="1"/>
  <c r="Y314" i="1"/>
  <c r="AA314" i="1" s="1"/>
  <c r="Y315" i="1"/>
  <c r="AA315" i="1" s="1"/>
  <c r="Y316" i="1"/>
  <c r="AA316" i="1" s="1"/>
  <c r="Y317" i="1"/>
  <c r="AA317" i="1" s="1"/>
  <c r="Y318" i="1"/>
  <c r="AA318" i="1" s="1"/>
  <c r="Y319" i="1"/>
  <c r="AA319" i="1" s="1"/>
  <c r="Y320" i="1"/>
  <c r="AA320" i="1" s="1"/>
  <c r="Y321" i="1"/>
  <c r="AA321" i="1" s="1"/>
  <c r="Y322" i="1"/>
  <c r="AA322" i="1" s="1"/>
  <c r="Y323" i="1"/>
  <c r="AA323" i="1" s="1"/>
  <c r="Y324" i="1"/>
  <c r="AA324" i="1" s="1"/>
  <c r="Y325" i="1"/>
  <c r="AA325" i="1" s="1"/>
  <c r="Y326" i="1"/>
  <c r="AA326" i="1" s="1"/>
  <c r="Y327" i="1"/>
  <c r="AA327" i="1" s="1"/>
  <c r="Y328" i="1"/>
  <c r="AA328" i="1" s="1"/>
  <c r="Y329" i="1"/>
  <c r="AA329" i="1" s="1"/>
  <c r="Y330" i="1"/>
  <c r="AA330" i="1" s="1"/>
  <c r="Y331" i="1"/>
  <c r="AA331" i="1" s="1"/>
  <c r="Y332" i="1"/>
  <c r="AA332" i="1" s="1"/>
  <c r="Y333" i="1"/>
  <c r="AA333" i="1" s="1"/>
  <c r="Y334" i="1"/>
  <c r="AA334" i="1" s="1"/>
  <c r="Y335" i="1"/>
  <c r="AA335" i="1" s="1"/>
  <c r="Y336" i="1"/>
  <c r="AA336" i="1" s="1"/>
  <c r="Y337" i="1"/>
  <c r="AA337" i="1" s="1"/>
  <c r="Y338" i="1"/>
  <c r="AA338" i="1" s="1"/>
  <c r="Y339" i="1"/>
  <c r="AA339" i="1" s="1"/>
  <c r="Y340" i="1"/>
  <c r="AA340" i="1" s="1"/>
  <c r="Y341" i="1"/>
  <c r="AA341" i="1" s="1"/>
  <c r="Y342" i="1"/>
  <c r="AA342" i="1" s="1"/>
  <c r="Y343" i="1"/>
  <c r="AA343" i="1" s="1"/>
  <c r="Y344" i="1"/>
  <c r="AA344" i="1" s="1"/>
  <c r="Y345" i="1"/>
  <c r="AA345" i="1" s="1"/>
  <c r="Y346" i="1"/>
  <c r="AA346" i="1" s="1"/>
  <c r="Y347" i="1"/>
  <c r="AA347" i="1" s="1"/>
  <c r="Y348" i="1"/>
  <c r="AA348" i="1" s="1"/>
  <c r="Y349" i="1"/>
  <c r="AA349" i="1" s="1"/>
  <c r="Y350" i="1"/>
  <c r="AA350" i="1" s="1"/>
  <c r="Y351" i="1"/>
  <c r="AA351" i="1" s="1"/>
  <c r="Y352" i="1"/>
  <c r="AA352" i="1" s="1"/>
  <c r="Y353" i="1"/>
  <c r="AA353" i="1" s="1"/>
  <c r="Y354" i="1"/>
  <c r="AA354" i="1" s="1"/>
  <c r="Y355" i="1"/>
  <c r="AA355" i="1" s="1"/>
  <c r="Y356" i="1"/>
  <c r="AA356" i="1" s="1"/>
  <c r="Y357" i="1"/>
  <c r="AA357" i="1" s="1"/>
  <c r="Y358" i="1"/>
  <c r="AA358" i="1" s="1"/>
  <c r="Y359" i="1"/>
  <c r="AA359" i="1" s="1"/>
  <c r="Y360" i="1"/>
  <c r="AA360" i="1" s="1"/>
  <c r="Y361" i="1"/>
  <c r="AA361" i="1" s="1"/>
  <c r="Y362" i="1"/>
  <c r="AA362" i="1" s="1"/>
  <c r="Y363" i="1"/>
  <c r="AA363" i="1" s="1"/>
  <c r="Y364" i="1"/>
  <c r="AA364" i="1" s="1"/>
  <c r="Y365" i="1"/>
  <c r="AA365" i="1" s="1"/>
  <c r="Y366" i="1"/>
  <c r="AA366" i="1" s="1"/>
  <c r="Y367" i="1"/>
  <c r="AA367" i="1" s="1"/>
  <c r="Y368" i="1"/>
  <c r="AA368" i="1" s="1"/>
  <c r="Y369" i="1"/>
  <c r="AA369" i="1" s="1"/>
  <c r="Y370" i="1"/>
  <c r="AA370" i="1" s="1"/>
  <c r="Y371" i="1"/>
  <c r="AA371" i="1" s="1"/>
  <c r="Y372" i="1"/>
  <c r="AA372" i="1" s="1"/>
  <c r="Y373" i="1"/>
  <c r="AA373" i="1" s="1"/>
  <c r="Y374" i="1"/>
  <c r="AA374" i="1" s="1"/>
  <c r="Y375" i="1"/>
  <c r="AA375" i="1" s="1"/>
  <c r="Y376" i="1"/>
  <c r="AA376" i="1" s="1"/>
  <c r="Y377" i="1"/>
  <c r="AA377" i="1" s="1"/>
  <c r="Y378" i="1"/>
  <c r="AA378" i="1" s="1"/>
  <c r="Y379" i="1"/>
  <c r="AA379" i="1" s="1"/>
  <c r="Y380" i="1"/>
  <c r="AA380" i="1" s="1"/>
  <c r="Y381" i="1"/>
  <c r="AA381" i="1" s="1"/>
  <c r="Y382" i="1"/>
  <c r="AA382" i="1" s="1"/>
  <c r="Y383" i="1"/>
  <c r="AA383" i="1" s="1"/>
  <c r="Y384" i="1"/>
  <c r="AA384" i="1" s="1"/>
  <c r="Y385" i="1"/>
  <c r="AA385" i="1" s="1"/>
  <c r="Y386" i="1"/>
  <c r="AA386" i="1" s="1"/>
  <c r="Y387" i="1"/>
  <c r="AA387" i="1" s="1"/>
  <c r="Y388" i="1"/>
  <c r="AA388" i="1" s="1"/>
  <c r="Y389" i="1"/>
  <c r="AA389" i="1" s="1"/>
  <c r="Y390" i="1"/>
  <c r="AA390" i="1" s="1"/>
  <c r="Y391" i="1"/>
  <c r="AA391" i="1" s="1"/>
  <c r="Y392" i="1"/>
  <c r="AA392" i="1" s="1"/>
  <c r="Y393" i="1"/>
  <c r="AA393" i="1" s="1"/>
  <c r="Y394" i="1"/>
  <c r="AA394" i="1" s="1"/>
  <c r="Y395" i="1"/>
  <c r="AA395" i="1" s="1"/>
  <c r="Y396" i="1"/>
  <c r="AA396" i="1" s="1"/>
  <c r="Y397" i="1"/>
  <c r="AA397" i="1" s="1"/>
  <c r="Y398" i="1"/>
  <c r="AA398" i="1" s="1"/>
  <c r="Y399" i="1"/>
  <c r="AA399" i="1" s="1"/>
  <c r="Y400" i="1"/>
  <c r="AA400" i="1" s="1"/>
  <c r="Y401" i="1"/>
  <c r="AA401" i="1" s="1"/>
  <c r="Y402" i="1"/>
  <c r="AA402" i="1" s="1"/>
  <c r="Y403" i="1"/>
  <c r="AA403" i="1" s="1"/>
  <c r="Y404" i="1"/>
  <c r="AA404" i="1" s="1"/>
  <c r="Y405" i="1"/>
  <c r="AA405" i="1" s="1"/>
  <c r="Y406" i="1"/>
  <c r="AA406" i="1" s="1"/>
  <c r="Y407" i="1"/>
  <c r="AA407" i="1" s="1"/>
  <c r="Y408" i="1"/>
  <c r="AA408" i="1" s="1"/>
  <c r="Y409" i="1"/>
  <c r="AA409" i="1" s="1"/>
  <c r="Y410" i="1"/>
  <c r="AA410" i="1" s="1"/>
  <c r="Y411" i="1"/>
  <c r="AA411" i="1" s="1"/>
  <c r="Y412" i="1"/>
  <c r="AA412" i="1" s="1"/>
  <c r="Y413" i="1"/>
  <c r="AA413" i="1" s="1"/>
  <c r="Y414" i="1"/>
  <c r="AA414" i="1" s="1"/>
  <c r="Y415" i="1"/>
  <c r="AA415" i="1" s="1"/>
  <c r="Y416" i="1"/>
  <c r="AA416" i="1" s="1"/>
  <c r="Y417" i="1"/>
  <c r="AA417" i="1" s="1"/>
  <c r="Y418" i="1"/>
  <c r="AA418" i="1" s="1"/>
  <c r="Y419" i="1"/>
  <c r="AA419" i="1" s="1"/>
  <c r="Y420" i="1"/>
  <c r="Y421" i="1"/>
  <c r="AA421" i="1" s="1"/>
  <c r="Y422" i="1"/>
  <c r="Y423" i="1"/>
  <c r="AA423" i="1" s="1"/>
  <c r="Y424" i="1"/>
  <c r="Y425" i="1"/>
  <c r="AA425" i="1" s="1"/>
  <c r="Y426" i="1"/>
  <c r="AA426" i="1" s="1"/>
  <c r="Y427" i="1"/>
  <c r="AA427" i="1" s="1"/>
  <c r="Y428" i="1"/>
  <c r="Y429" i="1"/>
  <c r="Y430" i="1"/>
  <c r="Y431" i="1"/>
  <c r="Y432" i="1"/>
  <c r="Y433" i="1"/>
  <c r="Y434" i="1"/>
  <c r="Y435" i="1"/>
  <c r="AA435" i="1" s="1"/>
  <c r="Y436" i="1"/>
  <c r="AA436" i="1" s="1"/>
  <c r="Y437" i="1"/>
  <c r="AA437" i="1" s="1"/>
  <c r="Y438" i="1"/>
  <c r="AA438" i="1" s="1"/>
  <c r="Y439" i="1"/>
  <c r="AA439" i="1" s="1"/>
  <c r="Y440" i="1"/>
  <c r="AA440" i="1" s="1"/>
  <c r="Y441" i="1"/>
  <c r="AA441" i="1" s="1"/>
  <c r="Y442" i="1"/>
  <c r="Y443" i="1"/>
  <c r="AA443" i="1" s="1"/>
  <c r="Y444" i="1"/>
  <c r="AA444" i="1" s="1"/>
  <c r="Y445" i="1"/>
  <c r="AA445" i="1" s="1"/>
  <c r="Y446" i="1"/>
  <c r="AA446" i="1" s="1"/>
  <c r="Y447" i="1"/>
  <c r="AA447" i="1" s="1"/>
  <c r="Y448" i="1"/>
  <c r="AA448" i="1" s="1"/>
  <c r="Y449" i="1"/>
  <c r="AA449" i="1" s="1"/>
  <c r="Y450" i="1"/>
  <c r="AA450" i="1" s="1"/>
  <c r="Y451" i="1"/>
  <c r="Y452" i="1"/>
  <c r="Y453" i="1"/>
  <c r="Y454" i="1"/>
  <c r="Y455" i="1"/>
  <c r="Y456" i="1"/>
  <c r="Y457" i="1"/>
  <c r="Y458" i="1"/>
  <c r="Y459" i="1"/>
  <c r="AA459" i="1" s="1"/>
  <c r="Y460" i="1"/>
  <c r="AA460" i="1" s="1"/>
  <c r="Y461" i="1"/>
  <c r="AA461" i="1" s="1"/>
  <c r="Y462" i="1"/>
  <c r="AA462" i="1" s="1"/>
  <c r="Y463" i="1"/>
  <c r="Y464" i="1"/>
  <c r="AA464" i="1" s="1"/>
  <c r="Y465" i="1"/>
  <c r="AA465" i="1" s="1"/>
  <c r="Y466" i="1"/>
  <c r="AA466" i="1" s="1"/>
  <c r="Y467" i="1"/>
  <c r="AA467" i="1" s="1"/>
  <c r="Y468" i="1"/>
  <c r="AA468" i="1" s="1"/>
  <c r="Y469" i="1"/>
  <c r="AA469" i="1" s="1"/>
  <c r="Y470" i="1"/>
  <c r="Y471" i="1"/>
  <c r="Y472" i="1"/>
  <c r="AA472" i="1" s="1"/>
  <c r="Y473" i="1"/>
  <c r="AA473" i="1" s="1"/>
  <c r="Y474" i="1"/>
  <c r="AA474" i="1" s="1"/>
  <c r="Y475" i="1"/>
  <c r="Y476" i="1"/>
  <c r="Y477" i="1"/>
  <c r="Y478" i="1"/>
  <c r="Y479" i="1"/>
  <c r="Y480" i="1"/>
  <c r="Y481" i="1"/>
  <c r="AA481" i="1" s="1"/>
  <c r="Y482" i="1"/>
  <c r="AA482" i="1" s="1"/>
  <c r="Y483" i="1"/>
  <c r="AA483" i="1" s="1"/>
  <c r="Y484" i="1"/>
  <c r="Y485" i="1"/>
  <c r="AA485" i="1" s="1"/>
  <c r="Y486" i="1"/>
  <c r="AA486" i="1" s="1"/>
  <c r="Y487" i="1"/>
  <c r="AA487" i="1" s="1"/>
  <c r="Y488" i="1"/>
  <c r="Y489" i="1"/>
  <c r="Y490" i="1"/>
  <c r="Y491" i="1"/>
  <c r="Y492" i="1"/>
  <c r="Y493" i="1"/>
  <c r="Y494" i="1"/>
  <c r="Y495" i="1"/>
  <c r="Y496" i="1"/>
  <c r="Y497" i="1"/>
  <c r="Y498" i="1"/>
  <c r="Y499" i="1"/>
  <c r="Y2" i="1"/>
  <c r="AA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3D0CC899-D669-4233-8DBC-73F5177E8AFF}">
      <text>
        <r>
          <rPr>
            <sz val="9"/>
            <color indexed="81"/>
            <rFont val="Segoe UI"/>
            <family val="2"/>
          </rPr>
          <t xml:space="preserve">Sequência numérica acompanhada do código que identifica a obra.
</t>
        </r>
      </text>
    </comment>
    <comment ref="B1" authorId="0" shapeId="0" xr:uid="{B6335FCB-8332-4C3F-8526-73CA4B27A1C1}">
      <text>
        <r>
          <rPr>
            <sz val="9"/>
            <color indexed="81"/>
            <rFont val="Segoe UI"/>
            <family val="2"/>
          </rPr>
          <t>Selecione na lista suspensa em cada célula o status da ilustração.</t>
        </r>
      </text>
    </comment>
    <comment ref="C1" authorId="0" shapeId="0" xr:uid="{FAD14918-A50B-4457-82F3-CB9459ECF06F}">
      <text>
        <r>
          <rPr>
            <sz val="9"/>
            <color indexed="81"/>
            <rFont val="Segoe UI"/>
            <family val="2"/>
          </rPr>
          <t xml:space="preserve">Selecione na lista suspensa, a categoria da ilustração.
</t>
        </r>
      </text>
    </comment>
    <comment ref="D1" authorId="0" shapeId="0" xr:uid="{BA521218-ED46-4B88-88BC-4DAE435C6EEF}">
      <text>
        <r>
          <rPr>
            <sz val="9"/>
            <color indexed="81"/>
            <rFont val="Segoe UI"/>
            <family val="2"/>
          </rPr>
          <t xml:space="preserve">Selecione na lista suspensa em que parte do livro se encontra a imagem.
</t>
        </r>
      </text>
    </comment>
    <comment ref="E1" authorId="0" shapeId="0" xr:uid="{C3A8D5CC-14E2-4242-832A-55EE9A62D513}">
      <text>
        <r>
          <rPr>
            <sz val="9"/>
            <color indexed="81"/>
            <rFont val="Segoe UI"/>
            <family val="2"/>
          </rPr>
          <t>Preencher estes campos com números 
de páginas.</t>
        </r>
      </text>
    </comment>
    <comment ref="F1" authorId="0" shapeId="0" xr:uid="{77322721-7593-42F0-A138-176211D22CCC}">
      <text>
        <r>
          <rPr>
            <sz val="9"/>
            <color indexed="81"/>
            <rFont val="Segoe UI"/>
            <family val="2"/>
          </rPr>
          <t>Prencher com o número do volume da obra.</t>
        </r>
      </text>
    </comment>
    <comment ref="G1" authorId="0" shapeId="0" xr:uid="{C9C571BF-9693-4193-B70D-A743F5A0A3BC}">
      <text>
        <r>
          <rPr>
            <sz val="9"/>
            <color indexed="81"/>
            <rFont val="Segoe UI"/>
            <family val="2"/>
          </rPr>
          <t>Preencher este campo com o número do capítulo ou nome da seção.</t>
        </r>
      </text>
    </comment>
    <comment ref="H1" authorId="0" shapeId="0" xr:uid="{2AD45050-60B0-4A0D-998B-D528686848F8}">
      <text>
        <r>
          <rPr>
            <sz val="9"/>
            <color indexed="81"/>
            <rFont val="Segoe UI"/>
            <family val="2"/>
          </rPr>
          <t xml:space="preserve">Preencher estes campos com números do capítulos ou os nomes padronizados das seções.
</t>
        </r>
      </text>
    </comment>
    <comment ref="I1" authorId="0" shapeId="0" xr:uid="{E5C58997-9047-40FB-9E41-6042EA80051C}">
      <text>
        <r>
          <rPr>
            <sz val="9"/>
            <color indexed="81"/>
            <rFont val="Segoe UI"/>
            <family val="2"/>
          </rPr>
          <t>Selecione na lista suspensa em cada célula o tipo da ilustração.</t>
        </r>
      </text>
    </comment>
    <comment ref="J1" authorId="0" shapeId="0" xr:uid="{65B19E86-3441-46E9-8ED5-04BD67048482}">
      <text>
        <r>
          <rPr>
            <sz val="9"/>
            <color indexed="81"/>
            <rFont val="Segoe UI"/>
            <family val="2"/>
          </rPr>
          <t xml:space="preserve">Se o tipo de imagem escolhida for RESGATE ou AJUSTE, coloque aqui o nome da obra de origem.
</t>
        </r>
      </text>
    </comment>
    <comment ref="K1" authorId="0" shapeId="0" xr:uid="{C4B31C13-AB94-4B46-8D4F-2C22A8C152F3}">
      <text>
        <r>
          <rPr>
            <sz val="9"/>
            <color indexed="81"/>
            <rFont val="Segoe UI"/>
            <family val="2"/>
          </rPr>
          <t xml:space="preserve">Se o tipo de imagem escolhida for RESGATE ou AJUSTE, coloque aqui apenas o número da página da obra de origem.
</t>
        </r>
      </text>
    </comment>
    <comment ref="L1" authorId="0" shapeId="0" xr:uid="{13F95DE5-820E-4AFB-B19B-F67435299211}">
      <text>
        <r>
          <rPr>
            <sz val="9"/>
            <color indexed="81"/>
            <rFont val="Segoe UI"/>
            <family val="2"/>
          </rPr>
          <t>Se o tipo de imagem escolhida for RESGATE ou AJUSTE, coloque aqui apenas o número do volume da obra de origem.</t>
        </r>
      </text>
    </comment>
    <comment ref="M1" authorId="0" shapeId="0" xr:uid="{222EBAFF-E995-4F89-8D0C-64B3297D567A}">
      <text>
        <r>
          <rPr>
            <sz val="9"/>
            <color indexed="81"/>
            <rFont val="Segoe UI"/>
            <family val="2"/>
          </rPr>
          <t xml:space="preserve">
Se o tipo de imagem escolhida for RESGATE ou AJUSTE, coloque aqui apenas o número do volume da obra de origem.</t>
        </r>
      </text>
    </comment>
    <comment ref="N1" authorId="0" shapeId="0" xr:uid="{8CDAFBE6-4A6B-427F-AB80-AEC501642817}">
      <text>
        <r>
          <rPr>
            <sz val="9"/>
            <color indexed="81"/>
            <rFont val="Segoe UI"/>
            <family val="2"/>
          </rPr>
          <t>Qual editora possui o direito de uso da ilustração.</t>
        </r>
      </text>
    </comment>
    <comment ref="O1" authorId="0" shapeId="0" xr:uid="{17E5CCB4-FC1A-4EBA-8DA2-17775F93A903}">
      <text>
        <r>
          <rPr>
            <sz val="9"/>
            <color indexed="81"/>
            <rFont val="Segoe UI"/>
            <family val="2"/>
          </rPr>
          <t xml:space="preserve">Descrição da imagem detalhada de acordo com a edição.
</t>
        </r>
      </text>
    </comment>
    <comment ref="Q1" authorId="0" shapeId="0" xr:uid="{E94920A2-613D-4D8E-845D-9EA24DC69025}">
      <text>
        <r>
          <rPr>
            <sz val="9"/>
            <color indexed="81"/>
            <rFont val="Segoe UI"/>
            <family val="2"/>
          </rPr>
          <t>Anotações gerais/adicionais da equipe/núcleo sobre a produção da imagem.</t>
        </r>
      </text>
    </comment>
    <comment ref="R1" authorId="0" shapeId="0" xr:uid="{6989CC06-6230-488E-AF1D-D020B76B671B}">
      <text>
        <r>
          <rPr>
            <sz val="9"/>
            <color indexed="81"/>
            <rFont val="Segoe UI"/>
            <family val="2"/>
          </rPr>
          <t xml:space="preserve">Número do lote de acordo com a data de liberação para arte.
</t>
        </r>
      </text>
    </comment>
    <comment ref="S1" authorId="0" shapeId="0" xr:uid="{3C8056B6-6D56-4ABC-8D5E-133F73C05996}">
      <text>
        <r>
          <rPr>
            <sz val="9"/>
            <color indexed="81"/>
            <rFont val="Segoe UI"/>
            <family val="2"/>
          </rPr>
          <t xml:space="preserve">Data que o lote foi liberado para edição de arte.
</t>
        </r>
      </text>
    </comment>
    <comment ref="T1" authorId="0" shapeId="0" xr:uid="{3C167E04-A371-47C4-8717-D873AD4E9FC7}">
      <text>
        <r>
          <rPr>
            <sz val="9"/>
            <color indexed="81"/>
            <rFont val="Segoe UI"/>
            <family val="2"/>
          </rPr>
          <t>Data de envio da edição de arte para o ilustrador.</t>
        </r>
      </text>
    </comment>
    <comment ref="U1" authorId="0" shapeId="0" xr:uid="{69C14C76-27F2-41AF-852D-CB92E57EA4BB}">
      <text>
        <r>
          <rPr>
            <sz val="9"/>
            <color indexed="81"/>
            <rFont val="Segoe UI"/>
            <family val="2"/>
          </rPr>
          <t xml:space="preserve">Data de recebimento 
do rafe do ilustrador.
</t>
        </r>
      </text>
    </comment>
    <comment ref="V1" authorId="0" shapeId="0" xr:uid="{04B50519-2510-4909-864C-EB1E440194CF}">
      <text>
        <r>
          <rPr>
            <sz val="9"/>
            <color indexed="81"/>
            <rFont val="Segoe UI"/>
            <family val="2"/>
          </rPr>
          <t xml:space="preserve">Data de envio para finalizar a ilustração.
</t>
        </r>
      </text>
    </comment>
    <comment ref="W1" authorId="0" shapeId="0" xr:uid="{CEA43B39-7373-4A67-A7FA-E74EABB032A8}">
      <text>
        <r>
          <rPr>
            <sz val="9"/>
            <color indexed="81"/>
            <rFont val="Segoe UI"/>
            <family val="2"/>
          </rPr>
          <t>Data de retorno da ilustração finalizada pelo ilustrador.</t>
        </r>
      </text>
    </comment>
    <comment ref="X1" authorId="0" shapeId="0" xr:uid="{8894FE2D-830E-400E-8328-8CAE80D2CA61}">
      <text>
        <r>
          <rPr>
            <sz val="9"/>
            <color indexed="81"/>
            <rFont val="Segoe UI"/>
            <family val="2"/>
          </rPr>
          <t>Selecione na lista suspensa a sigla do nome do ilustrador que produziu ou produzirá a ilustração ou o nome do criador da ilustração do padrão.</t>
        </r>
        <r>
          <rPr>
            <b/>
            <sz val="9"/>
            <color indexed="81"/>
            <rFont val="Segoe UI"/>
            <family val="2"/>
          </rPr>
          <t xml:space="preserve">
</t>
        </r>
      </text>
    </comment>
    <comment ref="Y1" authorId="0" shapeId="0" xr:uid="{DCD8860F-16F3-4D41-BA80-F679A5727127}">
      <text>
        <r>
          <rPr>
            <sz val="9"/>
            <color indexed="81"/>
            <rFont val="Segoe UI"/>
            <family val="2"/>
          </rPr>
          <t>Nome do ilustrador que produziu ou produzirá a ilustração ou o nome do criador da ilustração do padrão.
Coluna bloqueada para edição manual.</t>
        </r>
      </text>
    </comment>
    <comment ref="Z1" authorId="0" shapeId="0" xr:uid="{58AED824-409A-41E8-BF67-1959D1B97CC0}">
      <text>
        <r>
          <rPr>
            <sz val="9"/>
            <color indexed="81"/>
            <rFont val="Segoe UI"/>
            <family val="2"/>
          </rPr>
          <t>Nome de quem ajustou ou coloriu a ilustração.</t>
        </r>
      </text>
    </comment>
    <comment ref="AA1" authorId="0" shapeId="0" xr:uid="{6ECC2883-E2DB-4A0F-A8E0-5F9C7F3E9932}">
      <text>
        <r>
          <rPr>
            <sz val="9"/>
            <color indexed="81"/>
            <rFont val="Segoe UI"/>
            <family val="2"/>
          </rPr>
          <t>O crédito deve ser de quem criou a ilustração e produziu-a pela primeira vez. Em casos de mais de um ilustrador, separar por /. Ex: Sergio Lima/Rogério Casagrande</t>
        </r>
      </text>
    </comment>
    <comment ref="AB1" authorId="0" shapeId="0" xr:uid="{A75A1E6C-CE82-4039-B5E4-8415AFD6F938}">
      <text>
        <r>
          <rPr>
            <sz val="9"/>
            <color indexed="81"/>
            <rFont val="Segoe UI"/>
            <family val="2"/>
          </rPr>
          <t xml:space="preserve">Selecione na lista suspensa em cada célula a classificação da ilustração.
</t>
        </r>
      </text>
    </comment>
    <comment ref="AC1" authorId="0" shapeId="0" xr:uid="{B96AFB6E-62C6-4112-AC4A-77C048F5CEC2}">
      <text>
        <r>
          <rPr>
            <sz val="9"/>
            <color indexed="81"/>
            <rFont val="Segoe UI"/>
            <family val="2"/>
          </rPr>
          <t>Anotações gerais/adicionais do designer sobre a produção da imagem.</t>
        </r>
      </text>
    </comment>
    <comment ref="AD1" authorId="0" shapeId="0" xr:uid="{71499792-448C-4233-8683-C2F2FA803FED}">
      <text>
        <r>
          <rPr>
            <sz val="9"/>
            <color indexed="81"/>
            <rFont val="Segoe UI"/>
            <family val="2"/>
          </rPr>
          <t>Anotações para fechamento dos pagamentos mensais das ilustrações.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tc={6F3398B8-B840-468D-BE1F-8A152702A72D}</author>
  </authors>
  <commentList>
    <comment ref="B5" authorId="0" shapeId="0" xr:uid="{6F3398B8-B840-468D-BE1F-8A152702A72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Sempre confirmar no inicio do projeto esses créditos em verde com a Iconografia.
</t>
      </text>
    </comment>
  </commentList>
</comments>
</file>

<file path=xl/sharedStrings.xml><?xml version="1.0" encoding="utf-8"?>
<sst xmlns="http://schemas.openxmlformats.org/spreadsheetml/2006/main" count="23593" uniqueCount="6674">
  <si>
    <t>RETRANCA</t>
  </si>
  <si>
    <t>STATUS</t>
  </si>
  <si>
    <t>CATEGORIA</t>
  </si>
  <si>
    <t>LOCALIZAÇÃO</t>
  </si>
  <si>
    <t>PÁGINA</t>
  </si>
  <si>
    <t>VOLUME</t>
  </si>
  <si>
    <t>UNIDADE</t>
  </si>
  <si>
    <t>CAPÍTULO 
 ou
 SEÇÃO</t>
  </si>
  <si>
    <t>TIPO</t>
  </si>
  <si>
    <t>NOME DA OBRA
 PARA RESGATE</t>
  </si>
  <si>
    <t>PÁGINA PARA RESGATE</t>
  </si>
  <si>
    <t>VOLUME PARA RESGATE</t>
  </si>
  <si>
    <t>VERSÃO PARA RESGATE</t>
  </si>
  <si>
    <t>PROPRIEDADE</t>
  </si>
  <si>
    <t>DESCRIÇÃO DA IMAGEM</t>
  </si>
  <si>
    <t>ILUSTRADOR RESGATE</t>
  </si>
  <si>
    <t>OBSERVAÇÃO DO EDITORIAL/NÚCLEO</t>
  </si>
  <si>
    <t>LOTE</t>
  </si>
  <si>
    <t xml:space="preserve">DATA DE LIBERAÇÃO DO LOTE PARA ARTE </t>
  </si>
  <si>
    <t>DATA DE ENVIO 
DO PEDIDO</t>
  </si>
  <si>
    <t>DATA DO RECEBIMENTO 
DO RAFE</t>
  </si>
  <si>
    <t>DATA DE RETORNO DO RAFE PARA ILUSTRADOR</t>
  </si>
  <si>
    <t>DATA DE RECEBIMENTO
 DA FINALIZADA</t>
  </si>
  <si>
    <t>SIGLA</t>
  </si>
  <si>
    <t>ILUSTRADOR CRIAÇÃO</t>
  </si>
  <si>
    <t>ILUSTRADOR AJUSTES</t>
  </si>
  <si>
    <t>CRÉDITOS  (A e B)</t>
  </si>
  <si>
    <t>CLASSIFICAÇÃO</t>
  </si>
  <si>
    <t>OBSERVAÇÃO DA ARTE</t>
  </si>
  <si>
    <t>OBSERVAÇÃO DE PAGAMENTO</t>
  </si>
  <si>
    <t>PROJETO</t>
  </si>
  <si>
    <t>i0303_1p012m_g27_e002</t>
  </si>
  <si>
    <t>APLICADA</t>
  </si>
  <si>
    <t>ILUSTRAÇÃO</t>
  </si>
  <si>
    <t>MIOLO</t>
  </si>
  <si>
    <t>AJUSTE</t>
  </si>
  <si>
    <t>Resgatar ilustração 6 figuras geométricas espaciais na perspectiva da ilustração de referência; veio do g23_ftd_lt_1bam_p57; código antigo it1232ct_1bam_g23_ftd
Ajuste: separar imagens em i0303a (cubo azul escuro), i0303b (prisma verde), i0303c (paralelepípedo azul claro), i0303d (prisma vermelho), i0303e (cilindro amarelo), i0303f (prisma laranja base de estrela).</t>
  </si>
  <si>
    <t>ct</t>
  </si>
  <si>
    <t>Vinícius Costa</t>
  </si>
  <si>
    <t>Resgate com ajuste</t>
  </si>
  <si>
    <t>FINALIZADO</t>
  </si>
  <si>
    <t>i0304_1p012m_g27_e002</t>
  </si>
  <si>
    <t xml:space="preserve">Resgatar ilustração menino brincando no quarto com seus brinquedos, sentado no chão e encostado na cama; veio da página 58 do g23_ftd_lt_1bam; código antigo: i1207dn_1bam_g23_ftd 
AJUSTE: Ajustar a ponta roxa da torre em cima do criado mudo ao lado do chapéu de aniversário para que não se pareça ou gere dúvidas que seja uma esfera. Algo como na ref. </t>
  </si>
  <si>
    <t>dn</t>
  </si>
  <si>
    <t>resgate com ajuste</t>
  </si>
  <si>
    <t>i0305_1p012m_g27_e002</t>
  </si>
  <si>
    <t>RESGATE</t>
  </si>
  <si>
    <t>Resgatar ilustração de um cubo azul; g23_ftd_lt_1bam_p58; veio da página 58 do g23_ftd_lt_1bam; código antigo it1258sl_1bam_g23_ftd</t>
  </si>
  <si>
    <t>sl</t>
  </si>
  <si>
    <t>i0306_1p012m_g27_e002</t>
  </si>
  <si>
    <t>Resgatar ilustração de uma esfera azul; g23_ftd_lt_1bam_p58; veio da página 58 do g23_ftd_lt_1bam; código antigo it1259sl_1bam_g23_ftd</t>
  </si>
  <si>
    <t>i0307_1p012m_g27_e002</t>
  </si>
  <si>
    <t>Resgatar ilustração bloco de madeira em formato de cubo; vem do g23_ftd_lt_1bam_p59; código antigo i1209dn_1bam_g23_ftd</t>
  </si>
  <si>
    <t>i0308_1p012m_g27_e002</t>
  </si>
  <si>
    <t>Resgatar ilustração tambor em formato de cilindro; vem do g23_ftd_lt_1bam_p59; código antigo i1211dn_1bam_g23_ftd</t>
  </si>
  <si>
    <t>i0309_1p012m_g27_e002</t>
  </si>
  <si>
    <t xml:space="preserve">Resgatar ilustração torre de peças coloridas em formato de cone; vem do g23_ftd_lt_1bam_p59; código antigo i1213dn_1bam_g23_ftd 
AJUSTE: deixar a torre de peças coloridas com o mesmo ajuste feito na cena principal i0304_1p012m. </t>
  </si>
  <si>
    <t>i0310_1p012m_g27_e002</t>
  </si>
  <si>
    <t>Resgatar ilustração bola de futebol; vem do g23_ftd_lt_1bam_p59; código antigo i1215dn_1bam_g23_ftd</t>
  </si>
  <si>
    <t>i0311_1p012m_g27_e002</t>
  </si>
  <si>
    <t>Resgatar ilustração bloco de madeira em formato de paralelepípedo; vem do g23_ftd_lt_1bam_p59; código antigo i1217dn_1bam_g23_ftd</t>
  </si>
  <si>
    <t>i0312_1p012m_g27_e002</t>
  </si>
  <si>
    <t>Resgatar ilustração bola de basquete; vem do g23_ftd_lt_1bam_p59; código antigo i1210dn_1bam_g23_ftd</t>
  </si>
  <si>
    <t>i0313_1p012m_g27_e002</t>
  </si>
  <si>
    <t xml:space="preserve">Resgatar ilustração torre de blocos ABC em formato de cubo; vem do g23_ftd_lt_1bam_p59; código antigo i1212dn_1bam_g23_ftd. 
AJUSTE: Ajustar deixando somente um cubo, como na ref. </t>
  </si>
  <si>
    <t>i0314_1p012m_g27_e002</t>
  </si>
  <si>
    <t>Resgatar ilustração caixa de presente em formato de paralelepípedo; vem do g23_ftd_lt_1bam_p59; código antigo i1214dn_1bam_g23_ftd</t>
  </si>
  <si>
    <t>i0315_1p012m_g27_e002</t>
  </si>
  <si>
    <t>Resgatar ilustração bloco de madeira em formato de cilindro; vem do g23_ftd_lt_1bam_p59; código antigo i1216dn_1bam_g23_ftd</t>
  </si>
  <si>
    <t>i0316_1p012m_g27_e002</t>
  </si>
  <si>
    <t>Resgatar ilustração chapéu de aniversário rosa com bolinhas brancas em formato de cone; vem do g23_ftd_lt_1bam_p59; código antigo i1218dn_1bam_g23_ftd</t>
  </si>
  <si>
    <t>i0317_1p012m_g27_e002</t>
  </si>
  <si>
    <t>Resgatar ilustração trem formado por blocos de madeira com formatos de formas geométricas espaciais; vem do g23_ftd_lt_1bam_p60; código antigo i1220dn_1bam_g23_ftd</t>
  </si>
  <si>
    <t>i0318_1p012m_g27_e002</t>
  </si>
  <si>
    <t>Resgatar ilustração esfera azul; g23_ftd_lt_1bam_p60; vem do código antigo it1221sl_1bam_g23_ftd_aj</t>
  </si>
  <si>
    <t>i0319_1p012m_g27_e002</t>
  </si>
  <si>
    <t>Resgatar ilustração paralelepípedo vermelho; g23_ftd_lt_1bam_p60; vem do código antigo it1233sl_1bam_g23_ftd_aj</t>
  </si>
  <si>
    <t>i0320_1p012m_g27_e002</t>
  </si>
  <si>
    <t>Resgatar ilustração cone amarelo; g23_ftd_lt_1bam_p60; vem do código antigo it1234sl_1bam_g23_ftd_aj</t>
  </si>
  <si>
    <t>i0321_1p012m_g27_e002</t>
  </si>
  <si>
    <t>Resgatar ilustração cilindro verde; g23_ftd_lt_1bam_p60; vem do código antigo it1235sl_1bam_g23_ftd_aj</t>
  </si>
  <si>
    <t>i0322_1p012m_g27_e002</t>
  </si>
  <si>
    <t>Resgatar ilustração cubo alaranjado; g23_ftd_lt_1bam_p60; vem do código antigo it1265sl_1bam_g23_ftd</t>
  </si>
  <si>
    <t>i0323_1p012m_g27_e002</t>
  </si>
  <si>
    <t>Resgatar ilustração caixa de jogo em formato de bloco retangular em preto e branco; vem do g23_ftd_lt_1bam_p60; código antigo i1222rm_1bam_g23_ftd</t>
  </si>
  <si>
    <t>rm</t>
  </si>
  <si>
    <t>i0324_1p012m_g27_e002</t>
  </si>
  <si>
    <t>Resgatar ilustração pega varetas em formato de cilindro em preto e branco; vem do g23_ftd_lt_1bam_p60; código antigo i1237rm_1bam_g23_ftd</t>
  </si>
  <si>
    <t>Tatiane Galheiro</t>
  </si>
  <si>
    <t>Resgate ajuste</t>
  </si>
  <si>
    <t>i0325_1p012m_g27_e002</t>
  </si>
  <si>
    <t>Resgatar ilustração bola de tênis em preto e branco; vem do g23_ftd_lt_1bam_p60; código antigo i1238rm_1bam_g23_ftd</t>
  </si>
  <si>
    <t>i0326_1p012m_g27_e002</t>
  </si>
  <si>
    <t>Resgatar ilustração chapéu de aniversário em formato de cone em preto e branco; vem do g23_ftd_lt_1bam_p50; código antigo i1239rm_1bam_g23_ftd</t>
  </si>
  <si>
    <t>i0327_1p012m_g27_e002</t>
  </si>
  <si>
    <t>Resgatar ilustração caixa de presente em formato de cubo em preto e branco; vem do g23_ftd_lt_1bam_p60; código antigo i1240rm_1bam_g23_ftd_ef</t>
  </si>
  <si>
    <t>i0330_1p012m_g27_e002</t>
  </si>
  <si>
    <t>PRONTA</t>
  </si>
  <si>
    <t>Resgatar ilustração boneca feita com materiais recicláveis; vem do g23_ftd_lt_1bam_p61; código antigo i1247dw_1bam_g23_ftd</t>
  </si>
  <si>
    <t>01/08/225</t>
  </si>
  <si>
    <t>dw</t>
  </si>
  <si>
    <t>Nicolas Furtado</t>
  </si>
  <si>
    <t>resgate ajuste</t>
  </si>
  <si>
    <t>i0331_1p012m_g27_e002</t>
  </si>
  <si>
    <t>Resgatar ilustração cubo roxa; vem do g23_ftd_lt_1bam_p61; código antigo it1248sl_1bam_g23_ftd</t>
  </si>
  <si>
    <t>i0332_1p012m_g27_e002</t>
  </si>
  <si>
    <t>Resgatar ilustração paralelepípedo roxa; vem do g23_ftd_lt_1bam_p61; código antigo it1249sl_1bam_g23_ftd</t>
  </si>
  <si>
    <t>i0333_1p012m_g27_e002</t>
  </si>
  <si>
    <t>Resgatar ilustração esfera roxa; vem do g23_ftd_lt_1bam_p61; código antigo it1250sl_1bam_g23_ftd</t>
  </si>
  <si>
    <t>i0334_1p012m_g27_e002</t>
  </si>
  <si>
    <t>Resgatar ilustração cone roxa; vem do g23_ftd_lt_1bam_p61; código antigo it1251sl_1bam_g23_ftd</t>
  </si>
  <si>
    <t>i0335_1p012m_g27_e002</t>
  </si>
  <si>
    <t>Resgatar ilustração cilindro roxa; vem do g23_ftd_lt_1bam_p61; código antigo it1252sl_1bam_g23_ftd</t>
  </si>
  <si>
    <t>i0336_1p012m_g27_e002</t>
  </si>
  <si>
    <t>Resgatar ilustração planificação de um cubo; vem do g23_ftd_lt_1bam_p62; código antigo it1201_1bam_g23_ftd_re</t>
  </si>
  <si>
    <t>i0337_1p012m_g27_e002</t>
  </si>
  <si>
    <t>Resgatar ilustração cubo verde; vem do g23_ftd_lt_1bam_p62; código antigo it1202_1bam_g23_ftd_re</t>
  </si>
  <si>
    <t>i0338_1p012m_g27_e002</t>
  </si>
  <si>
    <t>Resgatar ilustração planificação de um paralelepípedo; vem do g23_ftd_lt_1bam_p62; código antigo it1203_1bam_g23_ftd_re</t>
  </si>
  <si>
    <t>i0339_1p012m_g27_e002</t>
  </si>
  <si>
    <t>Resgatar ilustração paralelepípedo amarelo; vem do g23_ftd_lt_1bam_p62; código antigo it1204_1bam_g23_ftd_re</t>
  </si>
  <si>
    <t>i0340_1p012m_g27_e002</t>
  </si>
  <si>
    <t>Resgatar ilustração de cubo verde; código antigo it1253sl_1bam_g23_ftd
Ajuste: deixar somente o cubo verde nesse código</t>
  </si>
  <si>
    <t>i0341_1p012m_g27_e002</t>
  </si>
  <si>
    <t>Resgatar ilustração de cone azul; código antigo it1253sl_1bam_g23_ftd
Ajuste: deixar somente o cone azul nesse código</t>
  </si>
  <si>
    <t>i0342_1p012m_g27_e002</t>
  </si>
  <si>
    <t>Resgatar ilustração de paralelepípedo vermelho; código antigo it1253sl_1bam_g23_ftd
Ajuste: deixar somente o paralelepípedo vermelho nesse código</t>
  </si>
  <si>
    <t>i0343_1p012m_g27_e002</t>
  </si>
  <si>
    <t>Resgatar ilustração de esfera amarela; código antigo it1253sl_1bam_g23_ftd
Ajuste: deixar somente a esfera amarela nesse código</t>
  </si>
  <si>
    <t>i0344_1p012m_g27_e002</t>
  </si>
  <si>
    <t>Resgatar ilustração figuras geométricas preto e branco: cone, cubo, esfera e paralelepípedo; vem do g23_ftd_lt_1bam_p63; código antigo it1254sl_1bam_g23_ftd
AJUSTE: Separar em A a D</t>
  </si>
  <si>
    <t>i0345_1p012m_g27_e002</t>
  </si>
  <si>
    <t xml:space="preserve">Resgatar ilustração figuras geométricas preto e branco: cubo, cone, paralelepípedo e esfera; vem do g23_ftd_lt_1bam_p63; código antigo it1255sl_1bam_g23_ftd.
AJUSTE: Separar em A a D
</t>
  </si>
  <si>
    <t>i0346_1p012m_g27_e002</t>
  </si>
  <si>
    <t>Resgatar ilustração figuras geométricas preto e branco: esfera, paralelepípedo, cubo e cone; vem do g23_ftd_lt_1bam_p63; código antigo it1256sl_1bam_g23_ftd
AJUSTE: Separar em A a D</t>
  </si>
  <si>
    <t xml:space="preserve">i0103_1p012m_g27_e002 </t>
  </si>
  <si>
    <t xml:space="preserve">Resgatar ilustração do telefone em cima da mesa do g23_ftd_lt_1bam_p026 código antigo i0805fm_1bam_g23_ftd </t>
  </si>
  <si>
    <t>fm</t>
  </si>
  <si>
    <t>i0104_1p012m_g27_e002</t>
  </si>
  <si>
    <t xml:space="preserve">Resgatar e AJUSTAR ilustração da menina segurando o gatinho do g23_ftd_lt_1bam_p026 código antigo i0806fm_1bam_g23_ftd 
AJUSTE: ajustar cor e contraste entre o tom de pele da menina e a cor da pelagem do gato, conforme sinalizado pela leitura prévia da Arte. 
 </t>
  </si>
  <si>
    <t>Ellen Jacob</t>
  </si>
  <si>
    <t xml:space="preserve">i0105_1p012m_g27_e002 </t>
  </si>
  <si>
    <t xml:space="preserve">Resgatar ilustração do homem com a menina do g23_ftd_lt_1bam_p026 código antigo i0807fm_1bam_g23_ftd </t>
  </si>
  <si>
    <t xml:space="preserve">i0106_1p012m_g27_e002 </t>
  </si>
  <si>
    <t xml:space="preserve">Resgatar ilustração do professor com lousa do g23_ftd_lt_1bam_p026 código antigo i0808fm_1bam_g23_ftd </t>
  </si>
  <si>
    <t xml:space="preserve">i0107_1p012m_g27_e002 </t>
  </si>
  <si>
    <t>Resgatar ilustração dos leites com 4 reais do g23_ftd_lt_1bam_p026 código antigo i0809fm_1bam_g23_ftd. AJUSTE: Atualizar o preço para 9 reais.</t>
  </si>
  <si>
    <t xml:space="preserve">i0108_1p012m_g27_e002 </t>
  </si>
  <si>
    <t xml:space="preserve">Resgatar ilustração do cachorro dormindo do g23_ftd_lt_1bam_p026 código antigo i0810fm_1bam_g23_ftd </t>
  </si>
  <si>
    <t xml:space="preserve">i0109_1p012m_g27_e002 </t>
  </si>
  <si>
    <t>Resgatar e ajustar ilustração do homem trabalhando na feira do g23_ftd_lt_1bam_p027 código antigo i0802dn_1bam_g23_ftd_ef_ly.
AJUSTE: Ajustar preço do tomate para 9 reais e ajustar preço da banana para 7 reais.</t>
  </si>
  <si>
    <t xml:space="preserve">i0110_1p012m_g27_e002 </t>
  </si>
  <si>
    <t xml:space="preserve">Resgatar ilustração do menino almoçando do g23_ftd_lt_1bam_p028 código antigo i0803dn_1bam_g23_ftd_ly_ef </t>
  </si>
  <si>
    <t>gabriella imai</t>
  </si>
  <si>
    <t xml:space="preserve">i0116_1p012m_g27_e002 </t>
  </si>
  <si>
    <t xml:space="preserve">Resgatar ilustração dos gatos do g23_ftd_lt_1bam_p030 código antigo i0815dn_1bam_g23_ftd_ef </t>
  </si>
  <si>
    <t xml:space="preserve">i0118_1p012m_g27_e002 </t>
  </si>
  <si>
    <t>Resgatar ilustração do jardim do g23_ftd_lt_1bam_p031 código antigo i0817dn_1bam_g23_ftd</t>
  </si>
  <si>
    <t xml:space="preserve">i0120_1p012m_g27_e002 </t>
  </si>
  <si>
    <t xml:space="preserve">Resgatar ilustração dos ninhos do g23_ftd_lt_1bam_p031 código antigo i0819dn_1bam_g23_ftd </t>
  </si>
  <si>
    <t xml:space="preserve">i0121_1p012m_g27_e002 </t>
  </si>
  <si>
    <t xml:space="preserve">Resgatar e ajustar ilustração dos pilotos com carrinhos do g23_ftd_lt_1bam_p032 código antigo i0934iv_1bam_g23_ftd 
Ajustes: 
Ajuste 1: Arte separar as ils em 8 códigos, sendo:  i0121a (roupa vermelha), i0121b (roupa verde), i0121c (roupa azul), i0121d (roupa amarela), i0121e (carro verde), i0121f (carro amarelo), i0121g (carro vermelho), i0121h (carro azul) 
Ajuste 2: Na i0121d, ajustar contraste e cor do tom de pele do menino com a sua roupa. </t>
  </si>
  <si>
    <t>iv</t>
  </si>
  <si>
    <t xml:space="preserve">i0126_1p012m_g27_e002 </t>
  </si>
  <si>
    <t>IL TEC ARTE</t>
  </si>
  <si>
    <t>Resgatar ilustração do carrinho verde do g23_ftd_lt_1bam_p034 código antigo i0825rm_1bam_g23_ftd</t>
  </si>
  <si>
    <t xml:space="preserve">i0127_1p012m_g27_e002 </t>
  </si>
  <si>
    <t xml:space="preserve">Resgatar ilustração dos carrinhos amarelos do g23_ftd_lt_1bam_p034 código antigo i0826rm_1bam_g23_ftd </t>
  </si>
  <si>
    <t xml:space="preserve">i0128_1p012m_g27_e002 </t>
  </si>
  <si>
    <t xml:space="preserve">Resgatar ilustração dos carrinhos laranjas do g23_ftd_lt_1bam_p034 código antigo i0827rm_1bam_g23_ftd </t>
  </si>
  <si>
    <t xml:space="preserve">i0129_1p012m_g27_e002 </t>
  </si>
  <si>
    <t>Resgatar ilustração dos carrinhos azuis do g23_ftd_lt_1bam_p034 código antigo i0828rm_1bam_g23_ftd</t>
  </si>
  <si>
    <t xml:space="preserve"> 
i0130_1p012m_g27_e002 </t>
  </si>
  <si>
    <t xml:space="preserve">Resgatar ilustração dos carrinhos pretos do g23_ftd_lt_1bam_p034 código antigo i0829rm_1bam_g23_ftd </t>
  </si>
  <si>
    <t xml:space="preserve">i0141_1p012m_g27_e002 </t>
  </si>
  <si>
    <t xml:space="preserve"> 
Resgatar ilustração do arco-íris do g23_ftd_lt_1bam_p036 código antigo i0833rm_1bam_g23_ftd </t>
  </si>
  <si>
    <t>i0144_1p012m_g27_e002</t>
  </si>
  <si>
    <t xml:space="preserve">Resgatar ilustração da palavra respeito do g23_ftd_lt_1bam_p037 código antigo i0835rm_1bam_g23_ftd </t>
  </si>
  <si>
    <t xml:space="preserve">i0147_1p012m_g27_e002 </t>
  </si>
  <si>
    <t xml:space="preserve">Resgatar ilustração das formigas carregando folhas do g23_ftd_lt_1bam_p038 código antigo i0916iv_1bam_g23_ftd </t>
  </si>
  <si>
    <t xml:space="preserve">i0152_1p012m_g27_e002 </t>
  </si>
  <si>
    <t xml:space="preserve">Resgatar ilustração dos gatinhos no muro do g23_ftd_lt_1bam_p039 código antigo i0842dn_1bam_g23_ftd </t>
  </si>
  <si>
    <t xml:space="preserve">i0155_1p012m_g27_e002 </t>
  </si>
  <si>
    <t xml:space="preserve">Resgatar ilustração dos lápis coloridos bagunçados do g23_ftd_lt_1bam_p040 código antigo i0843zz_1bam_g23_ftd </t>
  </si>
  <si>
    <t>zz</t>
  </si>
  <si>
    <t>RENAN FONSECA/ARQUIVO DA EDITORA</t>
  </si>
  <si>
    <t xml:space="preserve">i0156_1p012m_g27_e002 </t>
  </si>
  <si>
    <t xml:space="preserve">Resgatar ilustração dos lápis alinhados do g23_ftd_lt_1bam_p040 código antigo i0844zz_1bam_g23_ftd </t>
  </si>
  <si>
    <t xml:space="preserve">i0214_1p012m_g27_e002 </t>
  </si>
  <si>
    <t>xx</t>
  </si>
  <si>
    <t xml:space="preserve">Resgatar e ajustar  ilustração de uma lousa com uma tabela com os seguinte título: “PREFERÊNCIA DOS ESTUDANTES EM PARTICIPAR DO GRUPO DE ESTUDOS”, disponível em g23_ftd_lt_1bam_p158, 
Código antigo: i4001zz_1bam_g23_ftd
</t>
  </si>
  <si>
    <t>SERGIO LIMA/ARQUIVO DA EDITORA</t>
  </si>
  <si>
    <t xml:space="preserve">i0215_1p012m_g27_e002 </t>
  </si>
  <si>
    <t xml:space="preserve">Resgatar ilustração de uma mesa com várias frutas uma ao lado da outra, disponível em g23_ftd_lt_1bam_p159,  Código antigo: i4003Als_1bam_g23_ftd </t>
  </si>
  <si>
    <t xml:space="preserve">ls </t>
  </si>
  <si>
    <t xml:space="preserve">i0216_1p012m_g27_e002 </t>
  </si>
  <si>
    <t xml:space="preserve">Resgatar ilustração de fruta laranja, disponível em g23_ftd_lt_1bam_p159, código antigo: i4003Bls_1bam_g23_ftd 
</t>
  </si>
  <si>
    <t xml:space="preserve">i0217_1p012m_g27_e002 </t>
  </si>
  <si>
    <t>Resgatar ilustração de fruta maçã, disponível em g23_ftd_lt_1bam_p159, código antigo: i4003Cls_1bam_g23_ftd</t>
  </si>
  <si>
    <t xml:space="preserve">i0218_1p012m_g27_e002 </t>
  </si>
  <si>
    <t xml:space="preserve">Resgatar ilustração de fruta banana, disponível em g23_ftd_lt_1bam_p159, código antigo: i4003Dls_1bam_g23_ftd </t>
  </si>
  <si>
    <t xml:space="preserve">i0219_1p012m_g27_e002 </t>
  </si>
  <si>
    <t xml:space="preserve">Resgatar ilustração de fruta pera, disponível em g23_ftd_lt_1bam_p159, código antigo: i4003Els_1bam_g23_ftd </t>
  </si>
  <si>
    <t xml:space="preserve">i0220_1p012m_g27_e002 </t>
  </si>
  <si>
    <t xml:space="preserve">Resgatar ilustração de uma mesa com vários objetos em cima dela, disponível em g23_ftd_lt_1bam_p164,  código antigo: i4015Als_1bam_g23_ftd_ef </t>
  </si>
  <si>
    <t xml:space="preserve">i0221_1p012m_g27_e002 </t>
  </si>
  <si>
    <t xml:space="preserve">Resgatar ilustração de uma caneta, disponível em g23_ftd_lt_1bam_p164, 
código antigo: i4015Bls_1bam_g23_ftd </t>
  </si>
  <si>
    <t>i0222_1p012m_g27_e002</t>
  </si>
  <si>
    <t xml:space="preserve">Resgatar ilustração de um lápis, disponível em g23_ftd_lt_1bam_p164, 
código antigo: i4015Cls_1bam_g23_ftd </t>
  </si>
  <si>
    <t xml:space="preserve">i0223_1p012m_g27_e002 </t>
  </si>
  <si>
    <t>Resgatar ilustração de uma borracha, disponível em g23_ftd_lt_1bam_p164, 
código antigo: i4015Dls_1bam_g23_ftd</t>
  </si>
  <si>
    <t xml:space="preserve">i0224_1p012m_g27_e002 </t>
  </si>
  <si>
    <t xml:space="preserve">i0224_1p012m_g27_e002 
RESGATE 
Resgatar ilustração de um clip, disponível em g23_ftd_lt_1bam_p164, 
código antigo: i4015Els_1bam_g23_ftd </t>
  </si>
  <si>
    <t xml:space="preserve">g0225_1p012m_g27_e002 </t>
  </si>
  <si>
    <t>Resgatar ilustração de um gráfico de barras com informações de objetos, disponível em g23_ftd_lt_1bam_p164, código antigo: gt4020sl_1bam_g23_ftd_ef.
Ajuste: Retirar as barras em cor resposta</t>
  </si>
  <si>
    <t xml:space="preserve">i0226_1p012m_g27_e002 </t>
  </si>
  <si>
    <t xml:space="preserve">Resgatar ilustração de várias bolinas com cores distintas em cima de uma superfície, disponível em g23_ftd_lt_1bam_p167, 
código antigo: i4023ls_1bam_g23_ftd </t>
  </si>
  <si>
    <t xml:space="preserve">i0228_1p012m_g27_e002 </t>
  </si>
  <si>
    <t>Resgatar ilustração de um dado branco, disponível em g23_ftd_lt_1bam_p169,
Código antigo: i4032zz_1bam_g23_ftd
Ajuste: compor base para o dado.</t>
  </si>
  <si>
    <t>i0230_1p012m_g27_e002</t>
  </si>
  <si>
    <t xml:space="preserve">Resgatar ilustração de cada face de um dado de 1 a 6, disponível em g23_ftd_lt_1bam_p169, 
Código antigo: i4034zz_1bam_g23_ftd </t>
  </si>
  <si>
    <t>Keithy Mostachi</t>
  </si>
  <si>
    <t>RESGATE COM AJUSTE</t>
  </si>
  <si>
    <t xml:space="preserve">i0160_1p012m_g27_e002 </t>
  </si>
  <si>
    <t xml:space="preserve">Resgatar ilustração do prato com laranjas do g23_ftd_lt_1bam_p041 código antigo i0847rm_1bam_g23_ftd </t>
  </si>
  <si>
    <t xml:space="preserve">i0162_1p012m_g27_e002 </t>
  </si>
  <si>
    <t xml:space="preserve">Resgatar ilustração das 9 bolinhas do g23_ftd_lt_1bam_p041 código antigo i0849rm_1bam_g23_ftd </t>
  </si>
  <si>
    <t xml:space="preserve">i0164_1p012m_g27_e002 </t>
  </si>
  <si>
    <t xml:space="preserve">Resgatar ilustração das 10 bolinhas do g23_ftd_lt_1bam_p041 código antigo i0850rm_1bam_g23_ftd </t>
  </si>
  <si>
    <t xml:space="preserve">i0166_1p012m_g27_e002 </t>
  </si>
  <si>
    <t>Resgatar ilustração das 8 bolinhas vermelhas do g23_ftd_lt_1bam_p041 código antigo i0851rm_1bam_g23_ftd</t>
  </si>
  <si>
    <t xml:space="preserve">i0231_1p012m_g27_e002 </t>
  </si>
  <si>
    <t>Resgatar ilustração de uma macha azul, disponível em g23_ftd_lt_1bam_p166, 
Código antigo: i4035sl_1bam_g23_ft</t>
  </si>
  <si>
    <t xml:space="preserve">i0232_1p012m_g27_e002 </t>
  </si>
  <si>
    <t xml:space="preserve">Resgatar ilustração de uma macha rosa, disponível em g23_ftd_lt_1bam_p166, 
Código antigo: i4036sl_1bam_g23_ftd </t>
  </si>
  <si>
    <t xml:space="preserve">i0233_1p012m_g27_e002 </t>
  </si>
  <si>
    <t>Resgatar ilustração de uma macha vermelha, disponível em g23_ftd_lt_1bam_p166, 
Código antigo: i4037sl_1bam_g23_ftd</t>
  </si>
  <si>
    <t xml:space="preserve">i0234_1p012m_g27_e002 </t>
  </si>
  <si>
    <t xml:space="preserve">Resgatar ilustração de uma macha amarela, disponível em g23_ftd_lt_1bam_p166, 
Código antigo: i4038sl_1bam_g23_ftd </t>
  </si>
  <si>
    <t xml:space="preserve">i0235_1p012m_g27_e002 </t>
  </si>
  <si>
    <t xml:space="preserve">Resgatar ilustração de uma macha verde, disponível em g23_ftd_lt_1bam_p166, 
Código antigo: i4039sl_1bam_g23_ftd 
Imagem de uma mancha verde. </t>
  </si>
  <si>
    <t xml:space="preserve">g0236_1p012m_g27_e002 </t>
  </si>
  <si>
    <t xml:space="preserve">Resgatar ilustração de um gráfico de barras com informações de cores favoritas, disponível em g23_ftd_lt_1bam_p166, 
Código antigo: gt4022sl_1bam_g23_ftd </t>
  </si>
  <si>
    <t xml:space="preserve">i0237_1p012m_g27_e002 </t>
  </si>
  <si>
    <t xml:space="preserve">Resgatar ilustração de uma menina sorteando uma bolinha, disponível em g23_ftd_lt_1bam_p168, 
Código antigo: i4031ls_1bam_g23_ftd </t>
  </si>
  <si>
    <t xml:space="preserve">i0168_1p012m_g27_e002 </t>
  </si>
  <si>
    <t xml:space="preserve">Resgatar ilustração do menino com 6 sapos de papel do g23_ftd_lt_1bam_p042 código antigo i0917tc_1bam_g23_ftd </t>
  </si>
  <si>
    <t>tc</t>
  </si>
  <si>
    <t>i0169_1p012m_g27_e002</t>
  </si>
  <si>
    <t xml:space="preserve">Resgatar ilustração do menino com 7 sapos de papel do g23_ftd_lt_1bam_p042 código antigo i0918tc_1bam_g23_ftd </t>
  </si>
  <si>
    <t xml:space="preserve">i0244_1p012m_g27_e002 </t>
  </si>
  <si>
    <t>Resgatar e ajustar ilustração de 4 sapinhos do g23_ftd_lt_1bam_p041 código antigo i0919Tcd_1bam_g23_ftd
AJUSTE: deixar apenas 1 sapinho, conforme referência a seguir.</t>
  </si>
  <si>
    <t xml:space="preserve">i0245_1p012m_g27_e002 </t>
  </si>
  <si>
    <t>Resgatar e ajustar ilustração de 4 sapinhos do g23_ftd_lt_1bam_p041 código antigo i0919Tcd_1bam_g23_ftd
AJUSTE: deixar apenas 2 sapinhos, conforme referência a seguir.</t>
  </si>
  <si>
    <t xml:space="preserve">i0246_1p012m_g27_e002 </t>
  </si>
  <si>
    <t>Resgatar e ajustar ilustração de 4 sapinhos do g23_ftd_lt_1bam_p041 código antigo i0919Tcd_1bam_g23_ftd
AJUSTE: deixar apenas 3 sapinhos, conforme referência a seguir.</t>
  </si>
  <si>
    <t>i0247_1p012m_g27_e002</t>
  </si>
  <si>
    <t xml:space="preserve">Resgatar ilustração de 4 sapinhos do g23_ftd_lt_1bam_p041 código antigo i0919tcd_1bam_g23_ftd </t>
  </si>
  <si>
    <t xml:space="preserve">i0248_1p012m_g27_e002 </t>
  </si>
  <si>
    <t>Resgatar e ajustar ilustração de 4 sapinhos do g23_ftd_lt_1bam_p041 código antigo i0919Tcd_1bam_g23_ftd
AJUSTE: deixar apenas 5 sapinhos, conforme referência a seguir.</t>
  </si>
  <si>
    <t xml:space="preserve">
i0249_1p012m_g27_e002</t>
  </si>
  <si>
    <t>Resgatar e ajustar ilustração de 4 sapinhos do g23_ftd_lt_1bam_p041 código antigo i0919Tcd_1bam_g23_ftd
AJUSTE: deixar apenas 6 sapinhos, conforme referência a seguir.</t>
  </si>
  <si>
    <t xml:space="preserve">i0250_1p012m_g27_e002 </t>
  </si>
  <si>
    <t>Resgatar e ajustar ilustração de 4 sapinhos do g23_ftd_lt_1bam_p041 código antigo i0919Tcd_1bam_g23_ftd
AJUSTE: deixar apenas 7 sapinhos, conforme referência a seguir.</t>
  </si>
  <si>
    <t xml:space="preserve">i0251_1p012m_g27_e002 </t>
  </si>
  <si>
    <t>Resgatar e ajustar ilustração de 4 sapinhos do g23_ftd_lt_1bam_p041 código antigo i0919Tcd_1bam_g23_ftd
AJUSTE: deixar apenas 8 sapinhos, conforme referência a seguir.</t>
  </si>
  <si>
    <t xml:space="preserve">i0252_1p012m_g27_e002 </t>
  </si>
  <si>
    <t>Resgatar e ajustar ilustração de 4 sapinhos do g23_ftd_lt_1bam_p041 código antigo i0919Tcd_1bam_g23_ftd
AJUSTE: deixar apenas 9 sapinhos, conforme referência a seguir.</t>
  </si>
  <si>
    <t xml:space="preserve">i0253_1p012m_g27_e002 </t>
  </si>
  <si>
    <t>Resgatar ilustração de 10 sapinhos do g23_ftd_lt_1bam_p041 código antigo i0919tcj_1bam_g23_ftd</t>
  </si>
  <si>
    <t xml:space="preserve">i0171_1p012m_g27_e002 </t>
  </si>
  <si>
    <t>Resgatar e ajustar ilustração da menina falando do g23_ftd_lt_1bam_p042 código antigo
i0867tc_1bam_g23_ftd
AJUSTE: flipar a menina conforme referência a seguir.</t>
  </si>
  <si>
    <t xml:space="preserve">i0173_1p012m_g27_e002 </t>
  </si>
  <si>
    <t xml:space="preserve">Resgatar ilustração de uma dezena de amendoins do g23_ftd_lt_1bam_p043 código antigo i0868rm_1bam_g23_ftd </t>
  </si>
  <si>
    <t xml:space="preserve">i0174_1p012m_g27_e002 </t>
  </si>
  <si>
    <t xml:space="preserve">Resgatar ilustração do quadro de ordens do Lucas (quadro preto com 9 bolinhas de gude) do g23_ftd_lt_1bam_p043 código antigo i0869tc_1bam_g23_ftd_ef </t>
  </si>
  <si>
    <t xml:space="preserve">i0175_1p012m_g27_e002 </t>
  </si>
  <si>
    <t xml:space="preserve">Resgatar ilustração do quadro de ordens do Gabriel (quadro preto com 10 bolinhas de gude) do g23_ftd_lt_1bam_p043 código antigo i0870tc_1bam_g23_ftd_ef </t>
  </si>
  <si>
    <t xml:space="preserve">i0176_1p012m_g27_e002 </t>
  </si>
  <si>
    <t xml:space="preserve">Resgatar ilustração do menino jogando bingo do g23_ftd_lt_1bam_p044 código antigo i0801dn_1bam_g23_ftd_ef </t>
  </si>
  <si>
    <t>i0177_1p012m_g27_e002</t>
  </si>
  <si>
    <t xml:space="preserve">Resgatar ilustração de 11 bonés do g23_ftd_lt_1bam_p045 código antigo i0871rm_1bam_g23_ftd </t>
  </si>
  <si>
    <t xml:space="preserve">i0178_1p012m_g27_e002 </t>
  </si>
  <si>
    <t xml:space="preserve">Resgatar ilustração de 12 bonés do g23_ftd_lt_1bam_p045 código antigo i0872rm_1bam_g23_ftd </t>
  </si>
  <si>
    <t xml:space="preserve">i0179_1p012m_g27_e002 </t>
  </si>
  <si>
    <t>Resgatar ilustração de 13 bonés do g23_ftd_lt_1bam_p045 código antigo i0873rm_1bam_g23_ftd</t>
  </si>
  <si>
    <t xml:space="preserve">i0180_1p012m_g27_e002 </t>
  </si>
  <si>
    <t>Resgatar ilustração de 14 bonés do g23_ftd_lt_1bam_p045 código antigo i0874rm_1bam_g23_ftd</t>
  </si>
  <si>
    <t xml:space="preserve">i0181_1p012m_g27_e002 </t>
  </si>
  <si>
    <t>Resgatar ilustração de 15 bonés do g23_ftd_lt_1bam_p046 código antigo i0875rm_1bam_g23_ftd</t>
  </si>
  <si>
    <t xml:space="preserve">i0182_1p012m_g27_e002 </t>
  </si>
  <si>
    <t>Resgatar ilustração de 16 bonés do g23_ftd_lt_1bam_p046 código antigo i0876rm_1bam_g23_ftd</t>
  </si>
  <si>
    <t xml:space="preserve">i0183_1p012m_g27_e002 </t>
  </si>
  <si>
    <t>Resgatar ilustração de 17 bonés do g23_ftd_lt_1bam_p046 código antigo i0877rm_1bam_g23_ftd</t>
  </si>
  <si>
    <t xml:space="preserve">i0184_1p012m_g27_e002 </t>
  </si>
  <si>
    <t>Resgatar ilustração de 18 bonés do g23_ftd_lt_1bam_p046 código antigo i0878rm_1bam_g23_ftd</t>
  </si>
  <si>
    <t xml:space="preserve">i0185_1p012m_g27_e002 </t>
  </si>
  <si>
    <t>Resgatar ilustração de 19 bonés do g23_ftd_lt_1bam_p046 código antigo i0879rm_1bam_g23_ftd</t>
  </si>
  <si>
    <t xml:space="preserve">i0189_1p012m_g27_e002 </t>
  </si>
  <si>
    <t xml:space="preserve">Resgatar ilustração do coelho indo para a toca do g23_fdt_lt_1bam_p047 código antigo i0883dn_1bam_g23_ftd_ef </t>
  </si>
  <si>
    <t xml:space="preserve">i0190_1p012m_g27_e002 </t>
  </si>
  <si>
    <t xml:space="preserve">Resgatar ilustração das frutas na feira do g23_fdt_lt_1bam_p048 código antigo i0884ls_1bam_g23_ftd_ef </t>
  </si>
  <si>
    <t xml:space="preserve">i0195_1p012m_g27_e002 </t>
  </si>
  <si>
    <t>Resgatar ilustração dos meninos falando dos gols do g23_ftd_lt_1bam_049, código antigo i0885ls_1bam_g23_ftd
Ajuste: Retirar fundo da ilustração e deixar apenas os personagens sobre uma porção grama</t>
  </si>
  <si>
    <t xml:space="preserve">i0196_1p012m_g27_e002 </t>
  </si>
  <si>
    <t xml:space="preserve">Resgatar ilustração de uma unidade e uma dezena do g23_ftd_lt_1bam_p050 código antigo i0887zz_1bam_g23_ftd </t>
  </si>
  <si>
    <t xml:space="preserve">i0197_1p012m_g27_e002 </t>
  </si>
  <si>
    <t xml:space="preserve">Resgatar ilustração de uma dezena e duas unidade do g23_ftd_lt_1bam_p050 código antigo i0888zz_1bam_g23_ftd </t>
  </si>
  <si>
    <t xml:space="preserve">i0198_1p012m_g27_e002 </t>
  </si>
  <si>
    <t xml:space="preserve">Resgatar ilustração de uma dezena e três unidades do g23_ftd_lt_1bam_p050 código antigo i0889zz_1bam_g23_ftd </t>
  </si>
  <si>
    <t>i0199_1p012m_g27_e002</t>
  </si>
  <si>
    <t>Resgatar ilustração de uma dezena e quatro unidades do g23_ftd_lt_1bam_p050 código antigo i0892zz_1bam_g23_ftd</t>
  </si>
  <si>
    <t xml:space="preserve">i0200_1p012m_g27_e002 </t>
  </si>
  <si>
    <t xml:space="preserve">Resgatar ilustração de uma dezena e cinco unidades do g23_ftd_lt_1bam_p050 código antigo i0891zz_1bam_g23_ftd </t>
  </si>
  <si>
    <t xml:space="preserve">i0201_1p012m_g27_e002 </t>
  </si>
  <si>
    <t xml:space="preserve">Resgatar ilustração de uma dezena e seis unidades do g23_ftd_lt_1bam_p050 código antigo i0890zz_1bam_g23_ftd </t>
  </si>
  <si>
    <t>i0202_1p012m_g27_e002</t>
  </si>
  <si>
    <t xml:space="preserve">Resgatar ilustração de uma dezena e sete unidades do g23_ftd_lt_1bam_p050 código antigo i0893zz_1bam_g23_ftd </t>
  </si>
  <si>
    <t xml:space="preserve">i0203_1p012m_g27_e002 </t>
  </si>
  <si>
    <t xml:space="preserve">Resgatar ilustração de uma dezena e oito unidades do g23_ftd_lt_1bam_p050 código antigo i0894zz_1bam_g23_ftd </t>
  </si>
  <si>
    <t xml:space="preserve">i0204_1p012m_g27_e002 </t>
  </si>
  <si>
    <t xml:space="preserve">Resgatar ilustração de uma dezena e nove unidades do g23_ftd_lt_1bam_p050 código antigo i0895zz_1bam_g23_ftd </t>
  </si>
  <si>
    <t>i0238_1p012m_g27_e002</t>
  </si>
  <si>
    <t xml:space="preserve">Resgatar ilustração de uma tabela com nomes pessoais e contagem com bolinhas, disponível em g23_ftd_lt_1bam_p163, código antigo: i4012sl_1bam_g23_ftd </t>
  </si>
  <si>
    <t xml:space="preserve">i0239_1p012m_g27_e002 </t>
  </si>
  <si>
    <t xml:space="preserve">Resgatar ilustração de uma bolinha azul, disponível em g23_ftd_lt_1bam_p163,  
Código antigo: i4041sl_1bam_g23_ftd </t>
  </si>
  <si>
    <t xml:space="preserve">g0241_1p012m_g27_e002 </t>
  </si>
  <si>
    <t>GRÁFICO</t>
  </si>
  <si>
    <t>Resgatar e ajustar ilustração de um gráfico de barras com informações de uma partida de jogo, disponível em g23_ftd_lt_1bam_p163, código antigo: gt4013sl_1bam_g23_ftd
AJUSTES: atualizar ano para 2027 e trocar o texto da fonte (última linha) para: FONTE DE PESQUISA: ANOTAÇÕES DE CÉLIA COM BASE NOS PONTOS DO JOGO.</t>
  </si>
  <si>
    <t xml:space="preserve">i0205_1p012m_g27_e002 </t>
  </si>
  <si>
    <t xml:space="preserve">Resgatar ilustração do mais alto até o mais baixo de 10 estudantes do g23_ftd_lt_1bam_p051 código antigo i0928tc_1bam_g23_ftd </t>
  </si>
  <si>
    <t xml:space="preserve">i0206_1p012m_g27_e002 </t>
  </si>
  <si>
    <t xml:space="preserve">Resgatar e AJUSTAR ilustração de uma corrida do g23_ftd_lt_1bam_p052 código antigo i0896ly_1bam_g23_ftd 
AJUSTE: ajustar cor e contraste da ilustração. Verificar se é possível baixar o tom do laranja de fundo, conforme sinalizado pela leitura prévia da Arte. </t>
  </si>
  <si>
    <t>ly</t>
  </si>
  <si>
    <t xml:space="preserve">i0207_1p012m_g27_e002 </t>
  </si>
  <si>
    <t xml:space="preserve">Resgatar ilustração da fila da merenda escolar do g23_mdn_lt_1bam_p052 código antigo i0929tc_1bam_g23_ftd </t>
  </si>
  <si>
    <t>i0208_1p012m_g27_e002</t>
  </si>
  <si>
    <t xml:space="preserve">Resgatar ilustração das bandeirinhas do g23_ftd_lt_1bam_p053 código antigo i0937iv_1bam_g23_ftd </t>
  </si>
  <si>
    <t>16/0925</t>
  </si>
  <si>
    <t xml:space="preserve">i0209_1p012m_g27_e002 </t>
  </si>
  <si>
    <t xml:space="preserve">Resgatar e AJUSTAR ilustração da mulher e filho comprando uma bilheteria do g23_ftd_lt_1bam_p053 código antigo i0899ly_1bam_g23_ftd 
AJUSTE: cor do vidro e da parede estão sem contraste </t>
  </si>
  <si>
    <t xml:space="preserve">i0210_1p012m_g27_e002 </t>
  </si>
  <si>
    <t xml:space="preserve">Resgatar e AJUSTAR ilustração da mulher e filho na fila de um cinema do g23_ftd_lt_1bam_p053 código antigo i0900ly_1bam_g23_ftd 
AJUSTE: melhorar escolha de cores entre o chão e o céu </t>
  </si>
  <si>
    <t xml:space="preserve">i0211_1p012m_g27_e002 </t>
  </si>
  <si>
    <t xml:space="preserve">Resgatar e AJUSTAR ilustração da mulher e filho entrando no cinema do g23_ftd_lt_1bam_p053 código antigo i0901ly_1bam_g23_ftd 
AJUSTE: suavizar a cor vermelha da parede e da pele dos personagens, melhorar cor do chão </t>
  </si>
  <si>
    <t xml:space="preserve">i0212_1p012m_g27_e002 </t>
  </si>
  <si>
    <t xml:space="preserve">Resgatar e AJUSTAR ilustração da mulher e filho assistindo o filme no cinema do g23_ftd_lt_1bam_p053 código antigo i0902ly_1bam_g23_ftd 
AJUSTE: melhorar contraste entre as cadeiras e o tom de pele dos personagens </t>
  </si>
  <si>
    <t xml:space="preserve">i0213_1p012m_g27_e002 </t>
  </si>
  <si>
    <t xml:space="preserve">Resgatar e AJUSTAR ilustração de um parque com brinquedos do g23_ftd_lt_1bam_p055 código antigo i0915tc_1bam_g23_ftd_ly 
AJUSTE: separar a il em A e B. Ilustra A: Reduzir a parte esquerda da ilustração para que encaixe na pagina 54 abaixo do texto. Excluir a placa e completar a parte da grama que ficou oculta. Ou duplicar a barraquinha que aparece ao fundo para ocupar melhor o espaço. Para a ilustra B, manter a família e o chão da parte direita, excluindo as gramas. 
favor consultar arquivo disponível em g23_ftd_lt_1bam_p001a208.pdf com as indicações de ajuste apontadas pela leitura prévia, nas páginas 54 e 55 </t>
  </si>
  <si>
    <t>i0732_1p012m_g27_e002</t>
  </si>
  <si>
    <t>Resgatar e ajustar ilustração de uma praia com crianças brincando; disponível em g23_ftd_lt_1bam_p018, código antigo: i0414rt_1bam_g23_ftd_ef
AJUSTE: inserir um adulto na cena ao lado da criança que está com a prancha de surfe.</t>
  </si>
  <si>
    <t>rt</t>
  </si>
  <si>
    <t>Maryane Vioto Silva</t>
  </si>
  <si>
    <t xml:space="preserve">i0733_1p012m_g27_e002 </t>
  </si>
  <si>
    <t xml:space="preserve">Resgatar ilustração de várias crianças dançando capoeira; disponível em g23_ftd_lt_1bam_p019, 
Código antigo: i0417rt_1bam_g23_ftd </t>
  </si>
  <si>
    <t xml:space="preserve">i0734_1p012m_g27_e002 </t>
  </si>
  <si>
    <t xml:space="preserve">Resgatar ilustração de uma criança sentada em uma mesa cheia de vasos de tintas; disponível em g23_ftd_lt_1bam_p019, 
Código antigo: i0415rt_1bam_g23_ftd </t>
  </si>
  <si>
    <t xml:space="preserve">i0735_1p012m_g27_e002 </t>
  </si>
  <si>
    <t xml:space="preserve">Resgatar ilustração de uma mancha de tinta na cor amarela; disponível em g23_ftd_lt_1bam_p019, 
Código antigo: i0416rt_1bam_g23_ftd </t>
  </si>
  <si>
    <t xml:space="preserve">i0736_1p012m_g27_e002 </t>
  </si>
  <si>
    <t xml:space="preserve">Resgatar ilustração de uma mancha de tinta na cor azul; disponível em g23_ftd_lt_1bam_p019, 
Código antigo: i0430rt_1bam_g23_ftd </t>
  </si>
  <si>
    <t xml:space="preserve">i0737_1p012m_g27_e002 </t>
  </si>
  <si>
    <t xml:space="preserve">Resgatar ilustração de uma mancha de tinta na cor verde; disponível em g23_ftd_lt_1bam_p019, 
Código antigo: i0431rt_1bam_g23_ftd </t>
  </si>
  <si>
    <t xml:space="preserve">i0738_1p012m_g27_e002 </t>
  </si>
  <si>
    <t xml:space="preserve">Resgatar ilustração de uma mancha de tinta na cor ; disponível em g23_ftd_lt_1bam_p019, 
Código antigo: i0432rt_1bam_g23_ftd </t>
  </si>
  <si>
    <t xml:space="preserve">i0739_1p012m_g27_e002 </t>
  </si>
  <si>
    <t xml:space="preserve">Resgatar ilustração de uma criança dentro de uma piscina brincando com uma moça; disponível em g23_ftd_lt_1bam_p020, 
código antigo: i0418lc_1bam_g23_ftd </t>
  </si>
  <si>
    <t>lc</t>
  </si>
  <si>
    <t>Bruna Campos</t>
  </si>
  <si>
    <t xml:space="preserve">i0740_1p012m_g27_e002 </t>
  </si>
  <si>
    <t xml:space="preserve">Resgatar ilustração de uma criança dentro de uma piscina; disponível em g23_ftd_lt_1bam_p020, 
código antigo: i0419lc_1bam_g23_ftd </t>
  </si>
  <si>
    <t xml:space="preserve">i0741_1p012m_g27_e002 </t>
  </si>
  <si>
    <t xml:space="preserve">Resgatar ilustração de uma moça de óculos; disponível em g23_ftd_lt_1bam_p020, 
código antigo: i0434lc_1bam_g23_ftd </t>
  </si>
  <si>
    <t xml:space="preserve">i0742_1p012m_g27_e002 </t>
  </si>
  <si>
    <t xml:space="preserve">Resgatar ilustração de um cão em frente a uma arvore com um gato no galho; disponível em g23_ftd_lt_1bam_p0121, 
Código antigo: i0420lc_1bam_g23_ftd </t>
  </si>
  <si>
    <t xml:space="preserve">i0743_1p012m_g27_e002 </t>
  </si>
  <si>
    <t xml:space="preserve">Resgatar ilustração de um cão olhando para cima; disponível em g23_ftd_lt_1bam_p021, 
Código antigo: i0436lc_1bam_g23_ftd </t>
  </si>
  <si>
    <t xml:space="preserve">i0744_1p012m_g27_e002 </t>
  </si>
  <si>
    <t xml:space="preserve">Resgatar ilustração de um gato olhando para baixo; disponível em g23_ftd_lt_1bam_p021, 
Código antigo: i0422lc_1bam_g23_ftd </t>
  </si>
  <si>
    <t xml:space="preserve">i0702_1p012m_g27_e002 </t>
  </si>
  <si>
    <t xml:space="preserve">Resgatar ilustração do gatinho e um cachorro do g23_fdt_lt_1bam_p172 código antigo i4401iv_1bam_g23_ftd_ef </t>
  </si>
  <si>
    <t xml:space="preserve">i0703_1p012m_g27_e002 </t>
  </si>
  <si>
    <t xml:space="preserve">Resgatar ilustração de uma professora com duas crianças jogando do g23_ftd_lt_1bam_p172 código antigo: i4402iv_1bam_g23_ftd </t>
  </si>
  <si>
    <t>Felipe Grigoli</t>
  </si>
  <si>
    <t>ilustracao moderada</t>
  </si>
  <si>
    <t>PREVISAO</t>
  </si>
  <si>
    <t xml:space="preserve">i0704_1p012m_g27_e002 </t>
  </si>
  <si>
    <t xml:space="preserve">Resgatar ilustração de um ponto de ônibus com duas pessoas do g23_ftd_lt_1bam, código antigo: i4438iv_1bam_g23_ftd </t>
  </si>
  <si>
    <t xml:space="preserve">i0705_1p012m_g27_e002 </t>
  </si>
  <si>
    <t xml:space="preserve">Resgatar ilustração de um quarto com brinquedos do g23_ftd_lt_1bam_p173 código antigo i4404iv_1bam_g23_ftd </t>
  </si>
  <si>
    <t xml:space="preserve">i0706_1p012m_g27_e002 </t>
  </si>
  <si>
    <t xml:space="preserve">Resgatar ilustração da boneca do g23_ftd_lt_1bam_p173 código antigo i4405iv_1bam_g23_ftd </t>
  </si>
  <si>
    <t xml:space="preserve">i0707_1p012m_g27_e002 </t>
  </si>
  <si>
    <t xml:space="preserve">Resgatar ilustração da bola do g23_ftd_lt_1bam_p173 código antigo i4406iv_1bam_g23_ftd </t>
  </si>
  <si>
    <t xml:space="preserve">i0708_1p012m_g27_e002 </t>
  </si>
  <si>
    <t xml:space="preserve">Resgatar ilustração do macaco de pelúcia do g23_ftd_lt_1bam_p173 código antigo i4407iv_1bam_g23_ftd </t>
  </si>
  <si>
    <t xml:space="preserve">i0709_1p012m_g27_e002 </t>
  </si>
  <si>
    <t>AVALIANDO</t>
  </si>
  <si>
    <t xml:space="preserve">Resgatar ilustração de uma carteira, quadro e professora em uma sala de aula do g23_ftd_lt_1bam_p174 código antigo i4435ec_1bam_g23_ftd </t>
  </si>
  <si>
    <t>ec</t>
  </si>
  <si>
    <t xml:space="preserve">i0710_1p012m_g27_e002 </t>
  </si>
  <si>
    <t>EXCLUIDA</t>
  </si>
  <si>
    <t xml:space="preserve">Resgatar ilustração das meninas segurando balões do g23_ftd_lt_1bam_p174 código antigo i4408ec_1bam_g23_ftd </t>
  </si>
  <si>
    <t xml:space="preserve">i0712_1p012m_g27_e002 </t>
  </si>
  <si>
    <t xml:space="preserve">Resgatar ilustração das mulheres fazendo compra do g23_ftd_lt_1bam_p175 código antigo i4844ec_2bam_g23_ftd_ef </t>
  </si>
  <si>
    <t>RESGATE AJUSTE</t>
  </si>
  <si>
    <t xml:space="preserve">i0715_1p012m_g27_e002 </t>
  </si>
  <si>
    <t>Resgatar ilustração da seta vermelha do g27_1p012m_p155 código i4913_1p012m_g27_e002</t>
  </si>
  <si>
    <t xml:space="preserve">i0716_1p012m_g27_e002 </t>
  </si>
  <si>
    <t>Resgatar ilustração da seta azul do g27_1p012m_p155 código i4914_1p012m_g27_e002</t>
  </si>
  <si>
    <t>i0717_1p012m_g27_e002</t>
  </si>
  <si>
    <t>Resgatar ilustração da seta amarela do g27_1p012m_p155 código i4915_1p012m_g27_e002</t>
  </si>
  <si>
    <t xml:space="preserve">i0718_1p012m_g27_e002 </t>
  </si>
  <si>
    <t>Resgatar e ajustar ilustração do caminho de setas do g23_ftd_lt_1bam_p177 código antigo i4419ct_1bam_g23_ftd
AJUSTE: Trocar cor das setas amarelas para vermelha usando o mesmo tom da i4913_1p012m_g27_e002, trocar a cor das setas verdes para azul no mesmo tom da i4914_1p012m_g27_e002 e trocar a cor das setas vermelhas para amarela no mesmo tom da i4915_1p012m_g27_e002</t>
  </si>
  <si>
    <t xml:space="preserve">i0719_1p012m_g27_e002 </t>
  </si>
  <si>
    <t xml:space="preserve">Resgatar ilustração de um menino ao lado de uma malha com uma seta, e uma porta de sala de aula do outro lado, do g23_ftd_lt_1bam_p177 código antigo i4412ec_1bam_g23_ftd </t>
  </si>
  <si>
    <t xml:space="preserve">i0720_1p012m_g27_e002 </t>
  </si>
  <si>
    <t xml:space="preserve">Resgatar ilustração do caminho da abelha até o favo de mel do g23_ftd_lt_1bam_p178 código antigo i4437rm_1bam_g23_ftd </t>
  </si>
  <si>
    <t xml:space="preserve">i0721_1p012m_g27_e002 </t>
  </si>
  <si>
    <t xml:space="preserve">i0722_1p012m_g27_e002 </t>
  </si>
  <si>
    <t xml:space="preserve">i0723_1p012m_g27_e002 </t>
  </si>
  <si>
    <t xml:space="preserve">i0724_1p012m_g27_e002 </t>
  </si>
  <si>
    <t>Resgatar e ajustar ilustração do caminho pelas setas do g23_ftd_lt_1bam_p178 código antigo i4426ct_1bam_g23_ftd
AJUSTE: Trocar cor das setas amarelas para vermelha usando o mesmo tom da i4913_1p012m_g27_e002, trocar a cor das setas verdes para azul no mesmo tom da i4914_1p012m_g27_e002 e trocar a cor das setas vermelhas para amarela no mesmo tom da i4915_1p012m_g27_e002</t>
  </si>
  <si>
    <t xml:space="preserve">i0725_1p012m_g27_e002 </t>
  </si>
  <si>
    <t>Resgatar e ajustar ilustração do caminho pelas setas do g23_ftd_lt_1bam_p178 código antigo i4427ct_1bam_g23_ftd
AJUSTE: Trocar cor das setas amarelas para vermelha usando o mesmo tom da i4913_1p012m_g27_e002, trocar a cor das setas verdes para azul no mesmo tom da i4914_1p012m_g27_e002 e trocar a cor das setas vermelhas para amarela no mesmo tom da i4915_1p012m_g27_e002</t>
  </si>
  <si>
    <t xml:space="preserve">i0726_1p012m_g27_e002 </t>
  </si>
  <si>
    <t>Resgatar e ajustar ilustração do caminho pelas setas do g23_ftd_lt_1bam_p178 código antigo i4428ct_1bam_g23_ftd
AJUSTE: Trocar cor das setas amarelas para vermelha usando o mesmo tom da i4913_1p012m_g27_e002, trocar a cor das setas verdes para azul no mesmo tom da i4914_1p012m_g27_e002 e trocar a cor das setas vermelhas para amarela no mesmo tom da i4915_1p012m_g27_e002</t>
  </si>
  <si>
    <t xml:space="preserve">i0727_1p012m_g27_e002 </t>
  </si>
  <si>
    <t xml:space="preserve">i0728_1p012m_g27_e002 </t>
  </si>
  <si>
    <t xml:space="preserve">i0729_1p012m_g27_e002 </t>
  </si>
  <si>
    <t xml:space="preserve">i0730_1p012m_g27_e002 </t>
  </si>
  <si>
    <t>Resgatar e ajustar ilustração do caminho pelas setas do g23_ftd_lt_1bam_p179 código antigo i4432ct_1bam_g23_ftd
AJUSTE: Trocar cor das setas amarelas para vermelha usando o mesmo tom da i4913_1p012m_g27_e002, trocar a cor das setas verdes para azul no mesmo tom da i4914_1p012m_g27_e002 e trocar a cor das setas vermelhas para amarela no mesmo tom da i4915_1p012m_g27_e002</t>
  </si>
  <si>
    <t xml:space="preserve">i0731_1p012m_g27_e002 </t>
  </si>
  <si>
    <t xml:space="preserve">Resgatar ilustração de um menino ao lado de uma malha, com uma seta, e do outro lado alguns brinquedos, do g23_ftd_lt_1bam_p179 código antigo i4415ec_1bam_g23_ftd </t>
  </si>
  <si>
    <t xml:space="preserve">i1102_1p012m_g27_e002 </t>
  </si>
  <si>
    <t>Resgatar ilustração de um litro de óleo, disponível em g23_ftd_lt_1bam_p149, 
Código antigo: i3601iv_1bam_g23_ftd</t>
  </si>
  <si>
    <t xml:space="preserve">i1103_1p012m_g27_e002 </t>
  </si>
  <si>
    <t xml:space="preserve">Resgatar ilustração de uma bandeja de ovos, disponível em g23_ftd_lt_1bam_p149, 
Código antigo: i3603iv_1bam_g23_ftd 
AJUSTE: deixar apenas uma dúzia de ovos. </t>
  </si>
  <si>
    <t>Ingridhi Borges</t>
  </si>
  <si>
    <t>ARTE</t>
  </si>
  <si>
    <t xml:space="preserve">i1104_1p012m_g27_e002 </t>
  </si>
  <si>
    <t xml:space="preserve">Resgatar ilustração de um litro de leite, disponível em g23_ftd_lt_1bam_p149, 
Código antigo: i3604iv_1bam_g23_ftd </t>
  </si>
  <si>
    <t xml:space="preserve">i1105_1p012m_g27_e002 </t>
  </si>
  <si>
    <t xml:space="preserve">Resgatar e AJUSTAR ilustração de uma criança junto a uma mulher em uma loja, disponível em g23_ftd_lt_1bam_p149, 
Código antigo: i3605iv_1bam_g23_ftd 
AJUSTE: Ajustar cor e contraste, tentar deixar cores menos saturadas e mais harmônico. </t>
  </si>
  <si>
    <t xml:space="preserve">i1106_1p012m_g27_e002 </t>
  </si>
  <si>
    <t xml:space="preserve">Resgatar e AJUSTAR ilustração de uma criança em frente a uma mesa com cofrinho, disponível em g23_ftd_lt_1bam_p149, 
Código antigo: i3606iv_1bam_g23_ftd 
AJUSTE: Ajustar cor e contraste, tentar deixar cores menos saturadas e mais harmônico. </t>
  </si>
  <si>
    <t xml:space="preserve">g1113_1p012m_g27_e002 </t>
  </si>
  <si>
    <t xml:space="preserve">Resgatar ilustração de um gráfico de barra, disponível em g23_ftd_lt_1bam_p150. 
AJUSTE: Retirar a cor magenta das colunas 
Código antigo: gt3613rm_1bam_g23_ftd_ef </t>
  </si>
  <si>
    <t>i1114_1p012m_g27_e002</t>
  </si>
  <si>
    <t xml:space="preserve">Resgatar e AJUSTAR ilustração de duas tirinhas com 3 cenas cada, disponível em g23_ftd_lt_1bam_p152, 
AJUSTE: separar as duas tirinhas em dois códigos. Deixar esse i1114 para a tirinha de cima e i115 para a tirinha de baixo. 
Código antigo: i3618ly_1bam_g23_ftd_ef_ly </t>
  </si>
  <si>
    <t xml:space="preserve">i1115_1p012m_g27_e002 </t>
  </si>
  <si>
    <t xml:space="preserve">Resgatar e AJUSTAR ilustração de duas tirinhas com 3 cenas cada, disponível em g23_ftd_lt_1bam_p152, 
AJUSTE: separar as duas tirinhas em dois códigos. Deixar esse i1115 para a tirinha de baixo e i1114 para a tirinha de cima.  
Código antigo: i3618ly_1bam_g23_ftd_ef_ly </t>
  </si>
  <si>
    <t xml:space="preserve">i1116_1p012m_g27_e002 </t>
  </si>
  <si>
    <t xml:space="preserve">Resgatar ilustração de moedas e notas de dinheiro, disponível em g23_ftd_lt_1bam_p152, 
Código antigo: i3619ly_1bam_g23_ftd_ef_ly </t>
  </si>
  <si>
    <t>i1303_1p012m_g27_e002</t>
  </si>
  <si>
    <t>Resgatar ilustração de várias crianças uma ao lado da outra, disponível em g23_ftd_lt_1bam_p092,
Código antigo: i2001iv_1bam_g23_ftd</t>
  </si>
  <si>
    <t>i1305_1p012m_g27_e002</t>
  </si>
  <si>
    <t>Resgatar ilustração de moça em frente a peixes em uma bancada, disponível em g23_ftd_lt_1bam_p093,
Código antigo: i2002iv_1bam_g23_ftd</t>
  </si>
  <si>
    <t>i1307_1p012m_g27_e002</t>
  </si>
  <si>
    <t>Resgatar ilustração de uma casa e com carro em preto e branco, disponível em g23_ftd_lt_1bam_p093,
Código antigo: i2039aiv_1bam_g23_ftd</t>
  </si>
  <si>
    <t>i1308_1p012m_g27_e002</t>
  </si>
  <si>
    <t>Resgatar ilustração de uma casa preto e branco, um carro colorido e lápis de cores na cena, disponível em g23_ftd_lt_1bam_p093,
Código antigo: i2039biv_1bam_g23_ftd</t>
  </si>
  <si>
    <t>i1309_1p012m_g27_e002</t>
  </si>
  <si>
    <t>Resgatar ilustração de uma casa e carro colorido e alguns lápis de cor na cena, disponível em g23_ftd_lt_1bam_p093, 
Código antigo: i2039civ_1bam_g23_ftd</t>
  </si>
  <si>
    <t>i1310_1p012m_g27_e002</t>
  </si>
  <si>
    <t>Resgatar ilustração de 12 peixes, disponível em g23_ftd_lt_1bam_p094,
Código antigo: i2005iv_1bam_g23_ftd</t>
  </si>
  <si>
    <t>i1311_1p012m_g27_e002</t>
  </si>
  <si>
    <t>Resgatar ilustração de 17 peixes, disponível em g23_ftd_lt_1bam_p094,
Código antigo: i2045iv_1bam_g23_ftd</t>
  </si>
  <si>
    <t>i1316_1p012m_g27_e002</t>
  </si>
  <si>
    <t>RESGATE
Resgatar ilustração de uma régua com esquema de setas e números, disponível em g23_ftd_lt_1bam_p095, Código antigo i2010_1bam_g23_ftd</t>
  </si>
  <si>
    <t>re</t>
  </si>
  <si>
    <t>i1317_1p012m_g27_e002</t>
  </si>
  <si>
    <t>Resgatar ilustração com cinco estrelas, disponível em g23_ftd_lt_1bam_p095,
Código antigo: i2046Arm_1bam_g23_ftd</t>
  </si>
  <si>
    <t>i1323_1p012m_g27_e002</t>
  </si>
  <si>
    <t>Resgatar e ajustar ilustração de duas crianças ao lado de uma mesa, disponível em g23_ftd_lt_1bam_p097,
Código antigo: i2011iv_1bam_g23_ftd
AJUSTE: ajustar cor e contraste. Tom de pele do menino está próxima da parte que aproxima da mesa, conforme foi sinalizado pela leitura da Arte.</t>
  </si>
  <si>
    <t>Rafaela Panissa</t>
  </si>
  <si>
    <t>i1324_1p012m_g27_e002</t>
  </si>
  <si>
    <t>Resgatar ilustração de três árvores com dois cestos cheios de frutas, disponível em g23_ftd_lt_1bam_p098,
Código antigo: i2012dn_1bam_g23_ftd</t>
  </si>
  <si>
    <t>i1325_1p012m_g27_e002</t>
  </si>
  <si>
    <t>Resgatar ilustração de uma menina descrevendo uma operação, disponível em g23_ftd_lt_1bam_p098,
Código antigo: i2013dn_1bam_g23_ftd</t>
  </si>
  <si>
    <t>i1326_1p012m_g27_e002</t>
  </si>
  <si>
    <t>Resgatar ilustração de 1 barra e 3 cubinhos do material dourado, disponível em g23_ftd_lt_1bam_p099,
Código antigo: i2014zz_1bam_g23_ftd</t>
  </si>
  <si>
    <t>i1327_1p012m_g27_e002</t>
  </si>
  <si>
    <t>Resgatar ilustração de 1 barra e 2 cubinhos do material dourado, disponível em g23_ftd_lt_1bam_p099,
Código antigo: i2015zz_1bam_g23_ftd</t>
  </si>
  <si>
    <t>i1328_1p012m_g27_e002</t>
  </si>
  <si>
    <t>Resgatar ilustração de 2 barras e 5 cubinhos, disponível em g23_ftd_lt_1bam_p099,
Código antigo: i2016zz_1bam_g23_ftd</t>
  </si>
  <si>
    <t>i1331_1p012m_g27_e002</t>
  </si>
  <si>
    <t>Resgatar ilustração de 1 barra e 3 cubinhos do material dourado, disponível em g23_ftd_lt_1bam_p100,
Código antigo: i2018_1bam_g23_ftd</t>
  </si>
  <si>
    <t>i1347_1p012m_g27_e002</t>
  </si>
  <si>
    <t>Resgatar ilustração de 1 barra e 1 cubinho do material dourado, disponível em g23_ftd_lt_1bam_p100,
Código antigo: i2019_1bam_g23_ftd</t>
  </si>
  <si>
    <t>i1348_1p012m_g27_e002</t>
  </si>
  <si>
    <t>Resgatar ilustração de 2 barras e 4 cubinhos do material dourado, disponível em g23_ftd_lt_1bam_p100,
Código antigo: i2020_1bam_g23_ftd</t>
  </si>
  <si>
    <t>i1332_1p012m_g27_e002</t>
  </si>
  <si>
    <t>Resgatar ilustração de 1 barra e 8 cubinhos do material dourado, disponível em g23_ftd_lt_1bam_p100,
Código antigo: i2021zz_1bam_g23_ftd</t>
  </si>
  <si>
    <t>i1349_1p012m_g27_e002</t>
  </si>
  <si>
    <t>Resgatar ilustração de 1 barra do material dourado, disponível em g23_ftd_lt_1bam_p100,
Código antigo: i2022zz_1bam_g23_ftd</t>
  </si>
  <si>
    <t>i1350_1p012m_g27_e002</t>
  </si>
  <si>
    <t>Resgatar ilustração de 2 barras e 8 cubinhos do material dourado, disponível em g23_ftd_lt_1bam_p100,
Código antigo: i2023zz_1bam_g23_ftd</t>
  </si>
  <si>
    <t>i1333_1p012m_g27_e002</t>
  </si>
  <si>
    <t>Resgatar ilustração de 2 barras e 3 cubinhos do material dourado, disponível em g23_ftd_lt_1bam_p100,
Código antigo: i2024zz_1bam_g23_ftd</t>
  </si>
  <si>
    <t>i1351_1p012m_g27_e002</t>
  </si>
  <si>
    <t>Resgatar ilustração de 1 barra e 6 cubinhos do material dourado, disponível em g23_ftd_lt_1bam_p100,
Código antigo: i2025zz_1bam_g23_ftd</t>
  </si>
  <si>
    <t>i1352_1p012m_g27_e002</t>
  </si>
  <si>
    <t>Resgatar ilustração de 3 barras e 9 cubinhos do material dourado, disponível em g23_ftd_lt_1bam_p100,
Código antigo: i2026zz_1bam_g23_ftd</t>
  </si>
  <si>
    <t>i1336_1p012m_g27_e002</t>
  </si>
  <si>
    <t>Resgatar ilustração de uma menina como se estivesse falando, disponível em g23_ftd_lt_1bam_p101,
Código antigo: i2029dn_1bam_g23_ftd</t>
  </si>
  <si>
    <t>i1337_1p012m_g27_e002</t>
  </si>
  <si>
    <t>Resgatar ilustração de ábaco com 1 dezena e 4 unidades representando o número 14, disponível em g23_ftd_lt_1bam_p102,
Código antigo: i2030zz_1bam_g23_ftd</t>
  </si>
  <si>
    <t>i1338_1p012m_g27_e002</t>
  </si>
  <si>
    <t>Resgatar ilustração de ábaco com 3 dezena e 7 unidades representando o número 37, disponível em g23_ftd_lt_1bam_p101,
Código antigo: i2031zz_1bam_g23_ftd</t>
  </si>
  <si>
    <t>i1339_1p012m_g27_e002</t>
  </si>
  <si>
    <t>Resgatar e ajustar ilustração de ábaco do padrão com duas hastes, de dezena e unidade, com número 43 em cor resposta, disponível em g23_ftd_lt_1bam_p102, código antigo: i2032zz_1bam_g23_ftd
AJUSTE: deixar as hastes do ábaco vazias (sem bolinhas em cor resposta), conforme referência a seguir.</t>
  </si>
  <si>
    <t xml:space="preserve">i1502_1p012m_g27_e002 </t>
  </si>
  <si>
    <t>Resgatar ilustração do índio jovem do g23_ftd_lt_1bam_p105 código antigo i2405dn_1bam_g23_ftd</t>
  </si>
  <si>
    <t>Excluída pela equipe</t>
  </si>
  <si>
    <t xml:space="preserve">i1503_1p012m_g27_e002 </t>
  </si>
  <si>
    <t>Resgatar ilustração do vaso rosa de triângulos do g23_ftd_lt_1bam_p106 código antigo i2411rm_1bam_g23_ftd</t>
  </si>
  <si>
    <t>i1504_1p012m_g27_e002</t>
  </si>
  <si>
    <t xml:space="preserve">Resgatar ilustração do vaso azul com quadrados do g23_ftd_lt_1bam_p106 código antigo i2412rm_1bam_g23_ftd </t>
  </si>
  <si>
    <t xml:space="preserve">i1505_1p012m_g27_e002 </t>
  </si>
  <si>
    <t xml:space="preserve">Resgatar ilustração do vaso amarelo do g23_ftd_lt_1bam_p106 código antigo i2413rm_1bam_g23_ftd   AJUSTE: ajustar essa imagem para que todos os elementos em preto sejam quadrados. Nas partes curvas da imagem os elementos não devem dar a ideia de continuação, deve aparecer o quadrado completo. </t>
  </si>
  <si>
    <t xml:space="preserve">i1506_1p012m_g27_e002 </t>
  </si>
  <si>
    <t xml:space="preserve">Resgatar ilustração do quadrado preto do g23_ftd_lt_1bam_p106 código antigo it2414sl_1bam_g23_ftd </t>
  </si>
  <si>
    <t xml:space="preserve">i1507_1p012m_g27_e002 </t>
  </si>
  <si>
    <t xml:space="preserve">Resgatar ilustração do círculo preto do g23_ftd_lt_1bam_p106 código antigo it2415sl_1bam_g23_ftd </t>
  </si>
  <si>
    <t xml:space="preserve">i1508_1p012m_g27_e002 </t>
  </si>
  <si>
    <t xml:space="preserve">Resgatar ilustração do triângulo preto do g23_ftd_lt_1bam_p106 código antigo it2416sl_1bam_g23_ftd </t>
  </si>
  <si>
    <t xml:space="preserve">i1509_1p012m_g27_e002 </t>
  </si>
  <si>
    <t>Resgatar ilustração do retângulo preto do g23_ftd_lt_1bam_p106 código antigo it2417sl_1bam_g23_ftd</t>
  </si>
  <si>
    <t xml:space="preserve">i1510_1p012m_g27_e002 </t>
  </si>
  <si>
    <t xml:space="preserve">Resgatar ilustração de sequência de figuras do g23_ftd_lt_1bam_p106 código antigo it2418sl_1bam_g23_ftd  AJUSTE: retirar as setas da imagem e aproximar um pouco as figuras e colocar reticências ao final conforme referência a seguir. </t>
  </si>
  <si>
    <t>i1511_1p012m_g27_e002</t>
  </si>
  <si>
    <t xml:space="preserve">Resgatar ilustração do retângulo e quadrado do g23_ftd_lt_1bam_p106 código antigo it2419sl_1bam_g23_ftd  AJUSTE: retirar as setas da imagem e aproximar um pouco as figuras conforme referência a seguir. </t>
  </si>
  <si>
    <t>i1512_1p012m_g27_e002</t>
  </si>
  <si>
    <t xml:space="preserve">Resgatar ilustração do triângulo e do retângulo do g23_ftd_lt_1bam_p106 código antigo it2420sl_1bam_g23_ftd    AJUSTE: retirar as setas da imagem e aproximar um pouco as figuras conforme referência a seguir. </t>
  </si>
  <si>
    <t xml:space="preserve">i1513_1p012m_g27_e002 </t>
  </si>
  <si>
    <t>Resgatar ilustração do círculo verde do g23_ftd_lt_1bam_p107 código antigo it2421sl_1bam_g23_ftd</t>
  </si>
  <si>
    <t>i1514_1p012m_g27_e002</t>
  </si>
  <si>
    <t xml:space="preserve">Resgatar ilustração dos carimbos com formatos diferentes do g23_ftd_lt_1bam_p107 código antigo it2422sl_1bam_g23_ftd </t>
  </si>
  <si>
    <t xml:space="preserve">Rafaela Panissa </t>
  </si>
  <si>
    <t xml:space="preserve">i1515_1p012m_g27_e002 </t>
  </si>
  <si>
    <t xml:space="preserve">Resgatar ilustração do quadrado verde do g23_ftd_lt_1bam_p107 código antigo it2425sl_1bam_g23_ftd_LOcopy1 </t>
  </si>
  <si>
    <t xml:space="preserve">i1516_1p012m_g27_e002 </t>
  </si>
  <si>
    <t>Resgatar ilustração do triangulo verde do g23_ftd_lt_1bam_p107 código antigo it2424sl_1bam_g23_ftd_LOcopy1</t>
  </si>
  <si>
    <t xml:space="preserve">i1517_1p012m_g27_e002 </t>
  </si>
  <si>
    <t xml:space="preserve">Resgatar ilustração do retângulo do g23_ftd_lt_1bam_p107 código antigo it2427sl_1bam_g23_ftd </t>
  </si>
  <si>
    <t>i1518_1p012m_g27_e002</t>
  </si>
  <si>
    <t xml:space="preserve">Resgatar ilustração do círculo do g23_ftd_lt_1bam_p107 código antigo it2426sl_1bam_g23_ftd  </t>
  </si>
  <si>
    <t xml:space="preserve">i1519_1p012m_g27_e002 </t>
  </si>
  <si>
    <t xml:space="preserve">Resgatar ilustração do triângulo verde do g23_ftd_lt_1bam_p107 código antigo it2423sl_1bam_g23_ftd </t>
  </si>
  <si>
    <t xml:space="preserve">i1520_1p012m_g27_e002 </t>
  </si>
  <si>
    <t xml:space="preserve">Resgatar ilustração do triangulo verde do g23_ftd_lt_1bam_p107 código antigo it2424sl_1bam_g23_ftd_LOcopy1 </t>
  </si>
  <si>
    <t xml:space="preserve">i1521_1p012m_g27_e002 </t>
  </si>
  <si>
    <t>Resgatar ilustração do quadrado verde do g23_ftd_lt_1bam_p107 código antigo it2425sl_1bam_g23_ftd_LOcopy1</t>
  </si>
  <si>
    <t>i1522_1p012m_g27_e002</t>
  </si>
  <si>
    <t xml:space="preserve">i1523_1p012m_g27_e002 </t>
  </si>
  <si>
    <t xml:space="preserve">i1524_1p012m_g27_e002 </t>
  </si>
  <si>
    <t xml:space="preserve">Resgatar ilustração do triângulo verde do g23_ftd_lt_1bam_p107 código antigo it2428sl_1bam_g23_ftd </t>
  </si>
  <si>
    <t xml:space="preserve">i1525_1p012m_g27_e002 </t>
  </si>
  <si>
    <t xml:space="preserve">i1526_1p012m_g27_e002 </t>
  </si>
  <si>
    <t xml:space="preserve">i1527_1p012m_g27_e002 </t>
  </si>
  <si>
    <t>Resgatar ilustração do círculo do g23_ftd_lt_1bam_p107 código antigo it2426sl_1bam_g23_ftd</t>
  </si>
  <si>
    <t xml:space="preserve">i1528_1p012m_g27_e002 </t>
  </si>
  <si>
    <t xml:space="preserve">i1529_1p012m_g27_e002 </t>
  </si>
  <si>
    <t>Resgatar ilustração do retângulo do g23_ftd_lt_1bam_p107 código antigo it2429sl_1bam_g23_ftd</t>
  </si>
  <si>
    <t xml:space="preserve">i1530_1p012m_g27_e002 </t>
  </si>
  <si>
    <t xml:space="preserve">i1531_1p012m_g27_e002 </t>
  </si>
  <si>
    <t xml:space="preserve">i1532_1p012m_g27_e002 </t>
  </si>
  <si>
    <t xml:space="preserve">Resgatar ilustração do círculo do g23_ftd_lt_1bam_p107 código antigo it2426sl_1bam_g23_ftd  
Imagem de um carimbo de círculo. </t>
  </si>
  <si>
    <t xml:space="preserve">i1533_1p012m_g27_e002 </t>
  </si>
  <si>
    <t xml:space="preserve">i1534_1p012m_g27_e002 </t>
  </si>
  <si>
    <t xml:space="preserve">Resgatar ilustração de triângulos coloridos do g23_ftd_lt_1bam_p108 código antigo i2430dn_1bam_g23_ftd </t>
  </si>
  <si>
    <t>Gabriella Imai</t>
  </si>
  <si>
    <t xml:space="preserve">i1536_1p012m_g27_e002 </t>
  </si>
  <si>
    <t xml:space="preserve">Resgatar ilustração da representação de um ônibus do g23_fdt_lt_1bam_p109 código antigo it2410sl_1bam_g23_ftd </t>
  </si>
  <si>
    <t xml:space="preserve">i1537_1p012m_g27_e002 </t>
  </si>
  <si>
    <t xml:space="preserve">Resgatar ilustração dos quadrados do g23_fdt_lt_1bam_p109 código antigo it2433sl_1bam_g23_ftd </t>
  </si>
  <si>
    <t xml:space="preserve">i1538_1p012m_g27_e002 </t>
  </si>
  <si>
    <t xml:space="preserve">Resgatar ilustração dos retângulos do g23_fdt_lt_1bam_p109 código antigo it2434sl_1bam_g23_ftd </t>
  </si>
  <si>
    <t xml:space="preserve">i1540_1p012m_g27_e002 </t>
  </si>
  <si>
    <t xml:space="preserve">Resgatar ilustração do triângulo azul g23_fdt_lt_1bam_p109 código antigo it2436sl_1bam_g23_ftd </t>
  </si>
  <si>
    <t xml:space="preserve">i1541_1p012m_g27_e002 </t>
  </si>
  <si>
    <t xml:space="preserve">Resgatar ilustração do círculo azul do g23_fdt_lt_1bam_p109 código antigo it2438sl_1bam_g23_ftd </t>
  </si>
  <si>
    <t xml:space="preserve">i1542_1p012m_g27_e002 </t>
  </si>
  <si>
    <t xml:space="preserve">Resgatar ilustração do quadrado azul do g23_fdt_lt_1bam_p109 código antigo it2439sl_1bam_g23_ftd </t>
  </si>
  <si>
    <t xml:space="preserve">i1543_1p012m_g27_e002 </t>
  </si>
  <si>
    <t xml:space="preserve">Resgatar ilustração do desenho de um quadrado no papel do g23_ftd_lt_1bam_p110 código antigo i2456rm_1bam_g23_ftd </t>
  </si>
  <si>
    <t xml:space="preserve">i1547_1p012m_g27_e002 </t>
  </si>
  <si>
    <t xml:space="preserve">Resgatar ilustração do desenho do triângulo do g23_ftd_lt_1bam_p110 código antigo i2461rm_1bam_g23_ftd </t>
  </si>
  <si>
    <t xml:space="preserve">i1552_1p012m_g27_e002 </t>
  </si>
  <si>
    <t xml:space="preserve">Resgatar ilustração da pirâmide do g23_ftd_lt_1bam_p111 código antigo it2464sl_1bam_g23_ftd </t>
  </si>
  <si>
    <t xml:space="preserve">i1553_1p012m_g27_e002 </t>
  </si>
  <si>
    <t xml:space="preserve">Resgatar ilustração do cilindro do g23_ftd_lt_1bam_p111 código antigo it2465sl_1bam_g23_ftd </t>
  </si>
  <si>
    <t xml:space="preserve">i1554_1p012m_g27_e002 </t>
  </si>
  <si>
    <t xml:space="preserve">Resgatar ilustração do cubo do g23_ftd_lt_1bam_p111 código antigo it2466sl_1bam_g23_ftd </t>
  </si>
  <si>
    <t xml:space="preserve">i1555_1p012m_g27_e002 </t>
  </si>
  <si>
    <t xml:space="preserve">Resgatar ilustração do paralelepípedo retângulo do g23_ftd_lt_1bam_p111 código antigo it2467sl_1bam_g23_ftd  </t>
  </si>
  <si>
    <t xml:space="preserve">i1556_1p012m_g27_e002 </t>
  </si>
  <si>
    <t xml:space="preserve">Resgatar ilustração de um quadrado e um triângulo do g23_ftd_lt_1bam_p111 código antigo i2468rm_1bam_g23_ftd </t>
  </si>
  <si>
    <t xml:space="preserve">i1557_1p012m_g27_e002 </t>
  </si>
  <si>
    <t>Resgatar ilustração de objetos em cima da mesa do g23_ftd_lt_1bam_p111 código antigo i2469rm_1bam_g23_ftd_ef</t>
  </si>
  <si>
    <t xml:space="preserve">i1558_1p012m_g27_e002 </t>
  </si>
  <si>
    <t xml:space="preserve">Resgatar ilustração da representação de um ônibus do g23_fdt_lt_1bam_p109 código antigo it2432sl_1bam_g23_ftd </t>
  </si>
  <si>
    <t>i1703_1p012m_g27_e002</t>
  </si>
  <si>
    <t>Resgatar e ajustar ilustração de um prato com maçãs vermelhas, disponível em g23_ftd_lt_1bam_p116,
Código antigo: i2858iv_1bam_g23_ftd_ef
AJUSTE: ajustar contraste entre as maçãs, se possível fazer um leve fiozinho na parte iluminada de cada maçã conforme solicitado na leitura prévia da Arte.</t>
  </si>
  <si>
    <t>Ajuste moderado</t>
  </si>
  <si>
    <t>i1705_1p012m_g27_e002</t>
  </si>
  <si>
    <t>Resgatar ilustração de um gato, disponível em g23_ftd_lt_1bam_p117,
Código antigo: i2899dn_1bam_g23_ftd</t>
  </si>
  <si>
    <t>i1753_1p012m_g27_e002</t>
  </si>
  <si>
    <t>Resgatar ilustração de uma galinha, disponível em g23_ftd_lt_1bam_p117,
Código antigo: i2905dn_1bam_g23_ftd</t>
  </si>
  <si>
    <t>i1707_1p012m_g27_e002</t>
  </si>
  <si>
    <t>Resgatar ilustração de 7 estrelas uma ao lado da outra estando 4 riscadas de vermelho, disponível em g23_ftd_lt_1bam_p118,
Código antigo: i2907rm_1bam_g23_ftd</t>
  </si>
  <si>
    <t>i1710_1p012m_g27_e002</t>
  </si>
  <si>
    <t>Resgatar ilustração de uma régua de 15 cm disponível em g23_ftd_lt_1bam_p118,
Código antigo: i2864zz_1bam_g23_ftd</t>
  </si>
  <si>
    <t>i1711_1p012m_g27_e002</t>
  </si>
  <si>
    <t>Resgatar e ajustar ilustração de seis traços pretos na vertical, disponível em g23_ftd_lt_1bam_p119,
Código antigo: i2911sl_1bam_g23_ftd
AJUSTE: deixar apenas os 6 riscos pretos, retirar os 4 em cor resposta, conforme referência a seguir.</t>
  </si>
  <si>
    <t>Ajuste Simples</t>
  </si>
  <si>
    <t>i1712_1p012m_g27_e002</t>
  </si>
  <si>
    <t>Resgatar e ajustar ilustração de três traços pretos na vertical, disponível em g23_ftd_lt_1bam_p119,
Código antigo: i2912sl_1bam_g23_ftd
AJUSTE: deixar apenas os 3 riscos pretos, retirar os 7 em cor resposta, conforme referência a seguir.</t>
  </si>
  <si>
    <t>i1713_1p012m_g27_e002</t>
  </si>
  <si>
    <t>Resgatar ilustração de nove ovos dentro da caixa de ovos, disponível em g23_ftd_lt_1bam_p119,
Código antigo: i2914rm_1bam_g23_ftd</t>
  </si>
  <si>
    <t>i1714_1p012m_g27_e002</t>
  </si>
  <si>
    <t>Resgatar e ajustar ilustração de várias crianças uma ao lado da outra com posição para foto estilo jogador de futebol, disponível em g23_ftd_lt_1bam_p120, código antigo: i2900iv_1bam_g23_ftd
AJUSTE: ajustar cor e contraste entre os personagens. Alguns personagens estão com as marcações do rosto muito claras e apagadas em relação ao tom de pele, conforme indicado na leitura prévia da Arte.
Ajustar também a cor da camiseta dos jogadores conforme o ajuste feito na i1715_1p012m_g27_e002.</t>
  </si>
  <si>
    <t>ilustracao simples</t>
  </si>
  <si>
    <t>i1715_1p012m_g27_e002</t>
  </si>
  <si>
    <t>Resgatar e ajustar ilustração de um campo de futebol, disponível em g23_ftd_lt_1bam_p120, código antigo: i2901iv_1bam_g23_ftd
AJUSTE: mudar a cor da camiseta dos jogadores para que fique mais visível no campo verde. Lembrar de trocar a cor da camiseta na imagem i1714_1p012m_g27_e002 (imagem logo acima)</t>
  </si>
  <si>
    <t>i1717_1p012m_g27_e002</t>
  </si>
  <si>
    <t>Resgatar ilustração de 1 barra e 3 cubinhos do material dourado, estando 1 cubinho riscado disponível em g23_ftd_lt_1bam_p121,
Código antigo: i2893zz_1bam_g23_ftd</t>
  </si>
  <si>
    <t>i1718_1p012m_g27_e002</t>
  </si>
  <si>
    <t>Resgatar ilustração de 1 barra e 8 cubinhos do material dourado, estando 5 cubinhos riscados disponível em g23_ftd_lt_1bam_p121,
Código antigo: i2894zz_1bam_g23_ftd</t>
  </si>
  <si>
    <t>i1719_1p012m_g27_e002</t>
  </si>
  <si>
    <t>Resgatar ilustração de 1 barra e 7 cubinhos do material dourado, estando 6 cubinhos riscados disponível em g23_ftd_lt_1bam_p121,
Código antigo: i2895zz_1bam_g23_ftd</t>
  </si>
  <si>
    <t>i1720_1p012m_g27_e002</t>
  </si>
  <si>
    <t>Resgatar ilustração de 12 cachorros um ao lado do outro, disponível em g23_ftd_lt_1bam_p122,
Código antigo: i2872dn_1bam_g23_ftd</t>
  </si>
  <si>
    <t>i1721_1p012m_g27_e002</t>
  </si>
  <si>
    <t>Resgatar ilustração dos mesmos 12 cachorros da i1720_1p012m_g27_e002 um ao lado do outro agora com dois cachorros saindo de perto, disponível em g23_ftd_lt_1bam_p122, código antigo: i2873dn_1bam_g23_ftd</t>
  </si>
  <si>
    <t>i1722_1p012m_g27_e002</t>
  </si>
  <si>
    <t>Resgatar ilustração de 10 gatos um ao lado do outro, disponível em g23_ftd_lt_1bam_p122, código antigo: i2874dn_1bam_g23_ftd</t>
  </si>
  <si>
    <t>i1723_1p012m_g27_e002</t>
  </si>
  <si>
    <t>Resgatar ilustração dos 10 gatos um ao lado do outro da i1722_1p012m_g27_e002 agora com três saindo de perto, disponível em g23_ftd_lt_1bam_p122, código antigo: i2875dn_1bam_g23_ftd</t>
  </si>
  <si>
    <t>i1724_1p012m_g27_e002</t>
  </si>
  <si>
    <t>Resgatar ilustração de um ábaco representando o número 38, disponível em g23_ftd_lt_1bam_p123, código antigo: i2882zz_1bam_g23_ftd</t>
  </si>
  <si>
    <t>i1725_1p012m_g27_e002</t>
  </si>
  <si>
    <t>Resgatar ilustração de um ábaco com 2 contas na vareta das dezenas e 3 contas na vareta das unidades e 6 contas ao lado do ábaco, disponível em g23_ftd_lt_1bam_p123, código antigo: i2883zz_1bam_g23_ftd</t>
  </si>
  <si>
    <t>i1726_1p012m_g27_e002</t>
  </si>
  <si>
    <t>Resgatar ilustração de um ábaco do padrão de duas hastes D e U, sem as bolinhas, conforme referência, com o código i1339_1p012m_g27_e002 do g27_ftd_lt_1bam_p102_u7 e renomear com o código acima</t>
  </si>
  <si>
    <t>i1730_1p012m_g27_e002</t>
  </si>
  <si>
    <t>Resgatar ilustração de 2 barras e 4 cubinhos do material dourado, disponível em g23_ftd_lt_1bam_p124,
Código antigo: i2876_1bam_g23_ftd_re</t>
  </si>
  <si>
    <t>i1731_1p012m_g27_e002</t>
  </si>
  <si>
    <t>Resgatar ilustração de 2 barras, estando 1 riscada, e 4 cubinhos, estando 3 riscados, do material dourado, disponível em g23_ftd_lt_1bam_p124,
Código antigo: i2877_1bam_g23_ftd_re</t>
  </si>
  <si>
    <t>i1734_1p012m_g27_e002</t>
  </si>
  <si>
    <t>Resgatar ilustração de vários insetos em cenário de floresta, disponível em g23_ftd_lt_1bam_p125,
Código antigo: i2902cd_1bam_g23_ftd</t>
  </si>
  <si>
    <t>cd</t>
  </si>
  <si>
    <t>i1738_1p012m_g27_e002</t>
  </si>
  <si>
    <t>Resgatar ilustração de lápis de cor em uma caixa, disponível em g23_ftd_lt_1bam_p127,
Código antigo: i2888rm_1bam_g23_ftd</t>
  </si>
  <si>
    <t>i1742_1p012m_g27_e002</t>
  </si>
  <si>
    <t>Resgatar ilustração de vários copos sobre a mesa, disponível em g23_ftd_lt_1bam_p127,
Código antigo: i2890rm_1bam_g23_ftd</t>
  </si>
  <si>
    <t>i1745_1p012m_g27_e002</t>
  </si>
  <si>
    <t>Resgatar ilustração de uma tirinha de colegas de turma, disponível em g23_ftd_lt_1bam_p129,
Código antigo: i2856iv_1bam_g23_ftd</t>
  </si>
  <si>
    <t>i1746_1p012m_g27_e002</t>
  </si>
  <si>
    <t>Resgatar ilustração de uma menina, mesma que aparece na i1745_1p012m_g27_e002, disponível em g23_ftd_lt_1bam_p129,
Código antigo: i2856Aiv_1bam_g23_ftd</t>
  </si>
  <si>
    <t>i1754_1p012m_g27_e002</t>
  </si>
  <si>
    <t>Resgatar ilustração de um menino, mesmo que aparece na i1745_1p012m_g27_e002, disponível em g23_ftd_lt_1bam_p129,
Código antigo: i2856Biv_1bam_g23_ftd</t>
  </si>
  <si>
    <t>i1902_1p012m_g27_e002</t>
  </si>
  <si>
    <t xml:space="preserve">Resgatar ilustração da menina falando do g23_ftd_lt_1bam_p182 código antigo i4807tc_1bam_g23_ftd </t>
  </si>
  <si>
    <t xml:space="preserve">i1903_1p012m_g27_e002 </t>
  </si>
  <si>
    <t xml:space="preserve">Resgatar ilustração das mulheres conversando do g23_ftd_lt_1bam_p182 código antigo i4808tc_1bam_g23_ftd </t>
  </si>
  <si>
    <t xml:space="preserve">i1904_1p012m_g27_e002 </t>
  </si>
  <si>
    <t xml:space="preserve">Resgatar ilustração da balança com uma bola e uma melancia do g23_ftd_lt_1bam_p183 código antigo i4810sl_1bam_g23_ftd </t>
  </si>
  <si>
    <t xml:space="preserve">i1905_1p012m_g27_e002 </t>
  </si>
  <si>
    <t xml:space="preserve">Resgatar ilustração da balança com uma cola do g23_ftd_lt_1bam_p183 código antigo i4811sl_1bam_g23_ftd </t>
  </si>
  <si>
    <t xml:space="preserve">i1906_1p012m_g27_e002 </t>
  </si>
  <si>
    <t xml:space="preserve">Resgatar ilustração de um pacote de tomates do g23_ftd_lt_1bam_p184 código antigo i4858rm_1bam_g23_ftd </t>
  </si>
  <si>
    <t xml:space="preserve">i1907_1p012m_g27_e002 </t>
  </si>
  <si>
    <t>Resgatar e ajustar ilustração do leite do g23_ftd_lt_1bam_p184 código antigo i4859rm_1bam_g23_ftd
AJUSTE: deixar “LEITE” em caixa alta alta.</t>
  </si>
  <si>
    <t xml:space="preserve">i1908_1p012m_g27_e002 </t>
  </si>
  <si>
    <t>Resgatar e ajustar ilustração da farinha do g23_ftd_lt_1bam_p184 código antigo i4860rm_1bam_g23_ftd
AJUSTE: deixar “FARINHA” e “KG” em caixa alta alta.</t>
  </si>
  <si>
    <t xml:space="preserve">i1909_1p012m_g27_e002 </t>
  </si>
  <si>
    <t xml:space="preserve">Resgatar ilustração do sapato do g23_ftd_lt_1bam_p184 código antigo i4861rm_1bam_g23_ftd </t>
  </si>
  <si>
    <t xml:space="preserve">g1911_1p012m_g27_e002 </t>
  </si>
  <si>
    <t xml:space="preserve">Resgatar gráfico das massas dos estudantes do g23_ftd_lt_1bam_p185 código antigo gt4853sl_1bam_g23_ftd </t>
  </si>
  <si>
    <t xml:space="preserve">i1912_1p012m_g27_e002 </t>
  </si>
  <si>
    <t xml:space="preserve">Resgatar ilustração da farinha, do sal e do leite do g23_ftd_lt_1bam_p186 código antigo i4818tc_1bam_g23_ftd </t>
  </si>
  <si>
    <t xml:space="preserve">i1913_1p012m_g27_e002 </t>
  </si>
  <si>
    <t xml:space="preserve">Resgatar ilustração das cestas do café da manhã do g23_ftd_lt_1bam_p187 código antigo i4819rm_1bam_g23_ftd </t>
  </si>
  <si>
    <t xml:space="preserve">i1914_1p012m_g27_e002 </t>
  </si>
  <si>
    <t xml:space="preserve">Resgatar ilustração da cesta de Akira do g23_ftd_lt_1bam_p187 código antigo i4820rm_1bam_g23_ftd </t>
  </si>
  <si>
    <t xml:space="preserve">i1915_1p012m_g27_e002 </t>
  </si>
  <si>
    <t xml:space="preserve">Resgatar ilustração dos copos de diferentes tamanhos do g23_ftd_lt_1bam_p188 código antigo i4822cd_1bam_g23_ftd </t>
  </si>
  <si>
    <t xml:space="preserve">i1916_1p012m_g27_e002 </t>
  </si>
  <si>
    <t xml:space="preserve">Resgatar ilustração de duas jarras do g23_ftd_lt_1bam_p188 código antigo i4823cd_1bam_g23_ftd </t>
  </si>
  <si>
    <t xml:space="preserve">i1917_1p012m_g27_e002 </t>
  </si>
  <si>
    <t xml:space="preserve">Resgatar ilustração das garrafas do g23_ftd_lt_1bam_p188 código antigo i4824cd_1bam_g23_ftd </t>
  </si>
  <si>
    <t xml:space="preserve">i1918_1p012m_g27_e002 </t>
  </si>
  <si>
    <t xml:space="preserve">Resgatar ilustração dos frascos do g23_ftd_lt_1bam_p189 código antigo i4825cd_1bam_g23_ftd </t>
  </si>
  <si>
    <t xml:space="preserve">i1919_1p012m_g27_e002 </t>
  </si>
  <si>
    <t xml:space="preserve">Resgatar ilustração de 5 copos com uma caixa de água de coco do g23_ftd_lt_1bam_189 código antigo i4826cd_1bam_g23_ftd_ef </t>
  </si>
  <si>
    <t>i1920_1p012m_g27_e002</t>
  </si>
  <si>
    <t xml:space="preserve">Resgatar ilustração dos recipientes do g23_ftd_lt_1bam_p190 código antigo i4828cd_1bam_g23_ftd_ef </t>
  </si>
  <si>
    <t xml:space="preserve">i1927_1p012m_g27_e002 </t>
  </si>
  <si>
    <t xml:space="preserve">Resgatar ilustração das garrafas pet verdes do g23_ftd_lt_1bam_p192 código antigo i4835cd_1bam_g23_ftd </t>
  </si>
  <si>
    <t xml:space="preserve">i1928_1p012m_g27_e002 </t>
  </si>
  <si>
    <t xml:space="preserve">Resgatar ilustração do menino falando do g23_ftd_lt_1bam_p193 código antigo i4836kb_1bam_g23_ftd </t>
  </si>
  <si>
    <t>kb</t>
  </si>
  <si>
    <t xml:space="preserve">i1929_1p012m_g27_e002 </t>
  </si>
  <si>
    <t xml:space="preserve">Resgatar ilustração dos baldes do g23_ftd_lt_1bam_p193 código antigo i4851rm_1bam_g23_ftd </t>
  </si>
  <si>
    <t xml:space="preserve">i0103_2p012m_g27_e002 </t>
  </si>
  <si>
    <t xml:space="preserve">Resgatar e AJUSTAR ilustração com 3 famílias. Veio do g23_ftd_lt_2bam_p012. Código antigo i0426kf_2bam_g23_ftd 
AJUSTE: ajustar separando ilustração de uma mulher e três crianças conforme referência </t>
  </si>
  <si>
    <t>kf</t>
  </si>
  <si>
    <t xml:space="preserve">i0104_2p012m_g27_e002 </t>
  </si>
  <si>
    <t xml:space="preserve">Resgatar e AJUSTAR ilustração com 3 famílias. Veio do g23_ftd_lt_2bam_p012. Código antigo i0426kf_2bam_g23_ftd 
AJUSTE: ajustar separando ilustração de dois homens e quatro crianças conforme referência </t>
  </si>
  <si>
    <t xml:space="preserve">i0105_2p012m_g27_e002 </t>
  </si>
  <si>
    <t xml:space="preserve">Resgatar e AJUSTAR ilustração com 3 famílias. Veio do g23_ftd_lt_2bam_p012. Código antigo i0426kf_2bam_g23_ftd 
AJUSTE: ajustar separando ilustração de quatro adultos e três crianças conforme referência </t>
  </si>
  <si>
    <t xml:space="preserve"> 
i0106_2p012m_g27_e002</t>
  </si>
  <si>
    <t xml:space="preserve">Resgatar ilustração de seis canetas. Veio do g23_ftd_lt_2bam_p013. Código antigo i0429zz_2bam_g23_ftd </t>
  </si>
  <si>
    <t>rp</t>
  </si>
  <si>
    <t xml:space="preserve">i0107_2p012m_g27_e002 </t>
  </si>
  <si>
    <t xml:space="preserve">Resgatar ilustração de nove apontadores verdes. Veio do g23_ftd_lt_2bam_p013. Código antigo i0430sl_2bam_g23_ftd </t>
  </si>
  <si>
    <t xml:space="preserve">i0108_2p012m_g27_e002 </t>
  </si>
  <si>
    <t xml:space="preserve">Resgatar ilustração de sete barrachas; disponível em g23_ftd_lt_2bam_p013_código i0431sl_2bam_g23_ftd </t>
  </si>
  <si>
    <t xml:space="preserve"> 
i0109_2p012m_g27_e002 </t>
  </si>
  <si>
    <t>Resgatar e ajustar ilustração de uma maçã. Veio do g23_ftd_lt_2bam_p013. Código antigo i0432kf_2bam_g23 _ftd 
AJUSTE: separar imagem deixando somente a maçã</t>
  </si>
  <si>
    <t xml:space="preserve">i0110_2p012m_g27_e002 </t>
  </si>
  <si>
    <t xml:space="preserve">Resgatar e ajustar ilustração de 9 abelhas. Veio do g23_ftd_lt_2bam_p013. Código antigo i0432kf_2bam_g23 _ftd 
AJUSTE: separar imagem deixando somente as 9 abelhas </t>
  </si>
  <si>
    <t xml:space="preserve">i0111_2p012m_g27_e002 </t>
  </si>
  <si>
    <t>Resgatar e ajustar ilustração de quatro laranjas. Veio do g23_ftd_lt_2bam_p013. Código antigo i0432kf_2bam_g23 _ftd 
AJUSTE: separar imagem deixando somente as 4 laranjas</t>
  </si>
  <si>
    <t xml:space="preserve">i0112_2p012m_g27_e002 </t>
  </si>
  <si>
    <t xml:space="preserve">Resgatar e ajustar ilustração de dez flores. Veio do g23_ftd_lt_2bam_p013. Código antigo i0432kf_2bam_g23 _ftd 
AJUSTE: separar imagem deixando somente as 10 flores </t>
  </si>
  <si>
    <t xml:space="preserve">i0113_2p012m_g27_e002 </t>
  </si>
  <si>
    <t xml:space="preserve">Resgatar e ajustar ilustração de cinco borboletas. Veio do g23_ftd_lt_2bam_p013. Código antigo i0432kf_2bam_g23 _ftd 
AJUSTE: separar imagem deixando somente as 5 borboletas </t>
  </si>
  <si>
    <t xml:space="preserve">i0114_2p012m_g27_e002 </t>
  </si>
  <si>
    <t xml:space="preserve">Resgatar e ajustar ilustração de vários caranguejos. Veio do g23_ftd_lt_2bam_p014. Código antigo i0437kf_2bam_g23_ftd 
AJUSTE: deixar apenas 1 caranguejo e codificar com o código acima. </t>
  </si>
  <si>
    <t xml:space="preserve">i0169_2p012m_g27_e002 </t>
  </si>
  <si>
    <t xml:space="preserve">Resgatar e ajustar ilustração de vários caranguejos. Veio do g23_ftd_lt_2bam_p014. Código antigo i0437kf_2bam_g23_ftd 
AJUSTE: deixar apenas 2 caranguejos e codificar com o código acima. </t>
  </si>
  <si>
    <t xml:space="preserve">i0170_2p012m_g27_e002 </t>
  </si>
  <si>
    <t xml:space="preserve">Resgatar e ajustar ilustração de vários caranguejos. Veio do g23_ftd_lt_2bam_p014. Código antigo i0437kf_2bam_g23_ftd 
AJUSTE: deixar apenas 3 caranguejos e codificar com o código acima. </t>
  </si>
  <si>
    <t xml:space="preserve">i0171_2p012m_g27_e002 </t>
  </si>
  <si>
    <t xml:space="preserve">Resgatar e ajustar ilustração de vários caranguejos. Veio do g23_ftd_lt_2bam_p014. Código antigo i0437kf_2bam_g23_ftd 
AJUSTE: deixar apenas 4 caranguejos e codificar com o código acima. </t>
  </si>
  <si>
    <t xml:space="preserve">i0172_2p012m_g27_e002 </t>
  </si>
  <si>
    <t xml:space="preserve">Resgatar e ajustar ilustração de vários caranguejos. Veio do g23_ftd_lt_2bam_p014. Código antigo i0437kf_2bam_g23_ftd 
AJUSTE: deixar apenas 5 caranguejos e codificar com o código acima. </t>
  </si>
  <si>
    <t xml:space="preserve">i0173_2p012m_g27_e002 </t>
  </si>
  <si>
    <t xml:space="preserve">Resgatar e ajustar ilustração de vários caranguejos. Veio do g23_ftd_lt_2bam_p014. Código antigo i0437kf_2bam_g23_ftd 
AJUSTE: deixar apenas 6 caranguejos e codificar com o código acima. </t>
  </si>
  <si>
    <t xml:space="preserve">i0174_2p012m_g27_e002 </t>
  </si>
  <si>
    <t xml:space="preserve">Resgatar e ajustar ilustração de vários caranguejos. Veio do g23_ftd_lt_2bam_p014. Código antigo i0437kf_2bam_g23_ftd 
AJUSTE: deixar apenas 7 caranguejos e codificar com o código acima. </t>
  </si>
  <si>
    <t xml:space="preserve">i0175_2p012m_g27_e002 </t>
  </si>
  <si>
    <t xml:space="preserve">Resgatar e ajustar ilustração de vários caranguejos. Veio do g23_ftd_lt_2bam_p014. Código antigo i0437kf_2bam_g23_ftd 
AJUSTE: deixar apenas 8 caranguejos e codificar com o código acima. </t>
  </si>
  <si>
    <t xml:space="preserve">i0176_2p012m_g27_e002 </t>
  </si>
  <si>
    <t xml:space="preserve">Resgatar e ajustar ilustração de vários caranguejos. Veio do g23_ftd_lt_2bam_p014. Código antigo i0437kf_2bam_g23_ftd 
AJUSTE: deixar apenas 9 caranguejos e codificar com o código acima. </t>
  </si>
  <si>
    <t xml:space="preserve">i0177_2p012m_g27_e002 </t>
  </si>
  <si>
    <t xml:space="preserve">Resgatar e ajustar ilustração de vários caranguejos. Veio do g23_ftd_lt_2bam_p014. Código antigo i0437kf_2bam_g23_ftd 
AJUSTE: deixar apenas 10 caranguejos e codificar com o código acima. </t>
  </si>
  <si>
    <t>i0115_2p012m_g27_e002</t>
  </si>
  <si>
    <t xml:space="preserve">Resgatar e ajustar ilustração de nuvem com gotas de chuva. Veio do g23_ftd_lt_2bam_p015. Código antigo i0510kf_2bam_g23_ftd 
AJUSTE: ajustar imagem ao digital, fica estranho para o digital essa imagem com espaços em branco; ver ideia para ajustar, mas pode ser de outra forma também, como fica melhor. </t>
  </si>
  <si>
    <t xml:space="preserve">i0116_2p012m_g27_e002 </t>
  </si>
  <si>
    <t xml:space="preserve">Resgatar ilustração de vários pingos de chuva. Veio do g23_ftd_lt_2bam_p015. Código antigo i0511kf_2bam_g23_ftd </t>
  </si>
  <si>
    <t xml:space="preserve">i0117_2p012m_g27_e002 </t>
  </si>
  <si>
    <t xml:space="preserve">Resgatar ilustração de 10 gotas. Veio do g23_ftd_lt_2bam_p016. Código antigo i0520kf_2bam_g23_ftd_aj </t>
  </si>
  <si>
    <t xml:space="preserve">i0118_2p012m_g27_e002 </t>
  </si>
  <si>
    <t>Resgatar e AJUSTAR ilustração de 12 carrinhos lado a lado. Veio do g23_ftd_lt_2bam_p016. Código antigo i0441rm_2bam_g23_ftd 
AJUSTE: deixar 12 carrinhos, retirando o último carrinho laranja da primeira fileira, de modo que a ilustração fique como a referência a seguir</t>
  </si>
  <si>
    <t xml:space="preserve">i0119_2p012m_g27_e002 </t>
  </si>
  <si>
    <t xml:space="preserve">RESGATE 
Resgatar ilustração de 13 carrinhos de brinquedo. Veio do g23_ftd_lt_2bam_p017. Código antigo i0441rm_2bam_g23_ftd </t>
  </si>
  <si>
    <t xml:space="preserve">i0120_2p012m_g27_e002 </t>
  </si>
  <si>
    <t xml:space="preserve">Resgatar ilustração de 14 carrinhos de brinquedo. Veio do g23_ftd_lt_2bam_p017. Código antigo i0442rm_2bam_g23_ftd </t>
  </si>
  <si>
    <t xml:space="preserve">i0121_2p012m_g27_e002 </t>
  </si>
  <si>
    <t>Resgatar e ajustar ilustração de vários carrinhos de brinquedo. Veio do g23_ftd_lt_2bam_p017 código antigo i0442rm_2bam_g23_ftd 
AJUSTE: acrescentar mais um carrinho amarelo, no total deve ser 15 carrinhos, de modo que a ilustração fique como a referência a seguir</t>
  </si>
  <si>
    <t xml:space="preserve">i0123_2p012m_g27_e002 </t>
  </si>
  <si>
    <t xml:space="preserve">Resgatar ilustração de uma menina realizando um sorteio; disponível em g23_ftd_lt_2bam_188, 
Código antigo: i4419kb_2bam_g23_ftd </t>
  </si>
  <si>
    <t xml:space="preserve">i0124_2p012m_g27_e002 </t>
  </si>
  <si>
    <t xml:space="preserve">Resgatar ilustração de um pássaro em cima de um galho. Veio do g23_ftd_lt_2bam_p018. Código antigo i0445kf_2bam_g23_ftd </t>
  </si>
  <si>
    <t xml:space="preserve">i0126_2p012m_g27_e002 </t>
  </si>
  <si>
    <t>Resgatar ilustração de uma prateleira com vários robôs de brinquedo. Veio do g23_ftd_lt_2bam_p019. Código antigo i0447kf_2bam_g23_ftd</t>
  </si>
  <si>
    <t xml:space="preserve">i0127_2p012m_g27_e002 </t>
  </si>
  <si>
    <t>Resgatar ilustração de uma prateleira com vários robôs de brinquedo. Veio do g23_ftd_lt_2bam_p019. Código antigo i0448kf_2bam_g23_ftd</t>
  </si>
  <si>
    <t xml:space="preserve">i0128_2p012m_g27_e002 </t>
  </si>
  <si>
    <t xml:space="preserve">Resgatar ilustração de 6 grupos com 10 laranjas em cada. Veio do g23_ftd_lt_2bam_p020. Código antigo i0449kf_A_2bam_g23_ftd </t>
  </si>
  <si>
    <t xml:space="preserve">i0129_2p012m_g27_e002 </t>
  </si>
  <si>
    <t xml:space="preserve">Resgatar ilustração de 7 grupos com 10 cenouras em cada. Veio do g23_ftd_lt_2bam_p020. Código antigo i0517tc_2bam_g23_ftd </t>
  </si>
  <si>
    <t xml:space="preserve">i0130_2p012m_g27_e002 </t>
  </si>
  <si>
    <t xml:space="preserve">Resgatar ilustração de 8 grupos com 10 cubinhos em cada. Veio do g23_ftd_lt_2bam_p021. Código antigo i0451zz_2bam_g23_ftd </t>
  </si>
  <si>
    <t xml:space="preserve">i0131_2p012m_g27_e002 </t>
  </si>
  <si>
    <t xml:space="preserve">Resgatar ilustração de barraca com ursinhos de pelúcia de tamanhos distintos. Veio do g23_ftd_lt_2bam_p021. Código antigo i0453kf_2bam_g23_ftd </t>
  </si>
  <si>
    <t xml:space="preserve">i0132_2p012m_g27_e002 </t>
  </si>
  <si>
    <t xml:space="preserve">Resgatar ilustração e AJUSTAR aquário com vários peixes e uma pessoa colocando mais um com um recipiente. Veio do g23_ftd_lt_2bam_p022. Código antigo i0455kf_2bam_g23_ftd 
AJUSTE: adicionar um fundinho cor, de forma que os braços não fiquem "decepados". Ver sugestão </t>
  </si>
  <si>
    <t xml:space="preserve">i0133_2p012m_g27_e002 </t>
  </si>
  <si>
    <t xml:space="preserve">Resgatar ilustração de 34 bolinhas coloridas. Veio do g23_ftd_lt_2bam_p023. Código antigo i0456sl_2bam_g23_ftd </t>
  </si>
  <si>
    <t xml:space="preserve">i0134_2p012m_g27_e002 </t>
  </si>
  <si>
    <t xml:space="preserve">Resgatar ilustração de uma barra do material dourado. Veio do g23_ftd_lt_2bam_p024. Código antigo i0500zz_2bam_g23_ftd </t>
  </si>
  <si>
    <t xml:space="preserve">i0135_2p012m_g27_e002 </t>
  </si>
  <si>
    <t xml:space="preserve">Resgatar ilustração de um cubinho do material dourado. Veio do g23_ftd_lt_2bam_p024. Código antigo i0499zz_2bam_g23_ftd </t>
  </si>
  <si>
    <t xml:space="preserve">i0136_2p012m_g27_e002 </t>
  </si>
  <si>
    <t xml:space="preserve">Resgatar ilustração de 4 barras e 5 cubinhos do material dourado. Veio do g23_ftd_lt_2bam_p024. Código antigo i0458zz_2bam_g23_ftd </t>
  </si>
  <si>
    <t xml:space="preserve">i0137_2p012m_g27_e002 </t>
  </si>
  <si>
    <t xml:space="preserve">Resgatar ilustração de 5 barras e 7 cubinhos do material dourado. Veio do g23_ftd_lt_2bam_p024. Código antigo i0460zz_2bam_g23_ftd </t>
  </si>
  <si>
    <t xml:space="preserve">i0138_2p012m_g27_e002 </t>
  </si>
  <si>
    <t xml:space="preserve">Resgatar ilustração de 3 barras e 1 cubinho do material dourado. Veio do g23_ftd_lt_2bam_p024. Código antigo i0461zz_2bam_g23_ftd </t>
  </si>
  <si>
    <t xml:space="preserve">i0139_2p012m_g27_e002 </t>
  </si>
  <si>
    <t xml:space="preserve">Resgatar ilustração de ábaco representando o número 25. Veio do g23_ftd_lt_2bam_p025. Código antigo i0457zz_2bam_g23_ftd </t>
  </si>
  <si>
    <t xml:space="preserve">i0140_2p012m_g27_e002 </t>
  </si>
  <si>
    <t xml:space="preserve">Resgatar ilustração de ábaco representando o número 32. Veio do g23_ftd_lt_2bam_p025. Código antigo i0502zz_2bam_g23_ftd </t>
  </si>
  <si>
    <t xml:space="preserve">i0141_2p012m_g27_e002 </t>
  </si>
  <si>
    <t xml:space="preserve">Resgatar ilustração de ábaco representando o número 48. Veio do g23_ftd_lt_2bam_ p025. Código antigo i0503zz_2bam_g23_ftd </t>
  </si>
  <si>
    <t xml:space="preserve">i0142_2p012m_g27_e002 </t>
  </si>
  <si>
    <t>Resgatar ilustração de ábaco representando o número 50. Veio do g23_ftd_lt_2bam_p025. Código antigo i0504zz_2bam_g23_ftd</t>
  </si>
  <si>
    <t xml:space="preserve">i0145_2p012m_g27_e002 </t>
  </si>
  <si>
    <t xml:space="preserve">Resgatar ilustração de uma professora em uma sala de aula com vários alunos ao seu redor; disponível em g23_ftd_lt_2bam_186, 
Código antigo: i4414kb_2bam_g23_ftd </t>
  </si>
  <si>
    <t xml:space="preserve">i0147_2p012m_g27_e002 </t>
  </si>
  <si>
    <t xml:space="preserve">Resgatar ilustração de uma menina ruiva com o dedo levantado; disponível em g23_ftd_lt_2bam_187_código i4416kb_2bam_g23_ftd </t>
  </si>
  <si>
    <t xml:space="preserve">i0148_2p012m_g27_e002 </t>
  </si>
  <si>
    <t xml:space="preserve">Resgatar ilustração de um menino moreno; disponível em g23_ftd_lt_2bam_17_código i4417kb_2bam_g23_ftd </t>
  </si>
  <si>
    <t xml:space="preserve">i0149_2p012m_g27_e002 </t>
  </si>
  <si>
    <t xml:space="preserve">Resgatar ilustração de menino branco; disponível em g23_ftd_lt_2bam_187_código i4418kb_2bam_g23_ftd </t>
  </si>
  <si>
    <t xml:space="preserve">i0151_2p012m_g27_e002 </t>
  </si>
  <si>
    <t xml:space="preserve">Resgatar ilustração de 9 bandejas com 10 caquis em cada, 1 bandeja vazia e 9 caquis soltos. Veio do g23_ftd_lt_2bam_p027. Código antigo i0462rm_2bam_g23_ftd </t>
  </si>
  <si>
    <t xml:space="preserve">i0152_2p012m_g27_e002 </t>
  </si>
  <si>
    <t xml:space="preserve">Resgatar ilustração de ábaco representando o número 100. Veio do g23_ftd_lt_2bam_p028. Código antigo i0463zz_2bam_g23_ftd </t>
  </si>
  <si>
    <t xml:space="preserve">i0154_2p012m_g27_e002 </t>
  </si>
  <si>
    <t xml:space="preserve">Resgatar ilustração de 10 cubinhos do material dourado. Veio do g23_ftd_lt_2bam_p028. Código antigo i0466zz_2bam_g23_ftd </t>
  </si>
  <si>
    <t xml:space="preserve">i0165_2p012m_g27_e002 </t>
  </si>
  <si>
    <t xml:space="preserve">Resgatar ilustração de 1 barra do material dourado. Veio do g23_ftd_lt_2bam_p028. Código antigo i0500zz_2bam_g23_ftd </t>
  </si>
  <si>
    <t xml:space="preserve">i0155_2p012m_g27_e002 </t>
  </si>
  <si>
    <t xml:space="preserve">Resgatar ilustração de 10 barras do material dourado. Veio do g23_ftd_lt_2bam_p028. Código antigo i0506zz_2bam_g23_ftd </t>
  </si>
  <si>
    <t xml:space="preserve">i0166_2p012m_g27_e002 </t>
  </si>
  <si>
    <t xml:space="preserve">Resgatar ilustração de 1 placa do material dourado. Veio do g23_ftd_lt_2bam_p028. Código antigo i0507zz_2bam_g23_ftd </t>
  </si>
  <si>
    <t xml:space="preserve">i0156_2p012m_g27_e002 </t>
  </si>
  <si>
    <t xml:space="preserve">Resgatar ilustração de 4 porta lápis, sendo o primeiro com 5 lápis coloridos, o segundo com 6 lápis coloridos, o terceiro com 8 lápis coloridos e o quarto com 5 lápis coloridos. Veio do g23_ftd_lt_2bam_p029. Código antigo i0468sl_2bam_g23_ftd </t>
  </si>
  <si>
    <t xml:space="preserve">i0159_2p012m_g27_e002 </t>
  </si>
  <si>
    <t xml:space="preserve">Resgatar ilustração de ábaco representando o número 13. Veio do g23_ftd_lt_2bam_p030. Código antigo i0470zz_2bam_g23_ftd </t>
  </si>
  <si>
    <t xml:space="preserve">i0167_2p012m_g27_e002 </t>
  </si>
  <si>
    <t xml:space="preserve">Resgatar ilustração de ábaco representando o número 15. Veio do g23_ftd_lt_2bam_p030. Código antigo i0509zz_2bam_g23_ftd </t>
  </si>
  <si>
    <t xml:space="preserve">i0160_2p012m_g27_e002 </t>
  </si>
  <si>
    <t xml:space="preserve">Resgatar ilustração de ábaco representando o número 17 Veio do g23_ftd_lt_2bam_p030. Código antigo i0471zz_2bam_g23_ftd </t>
  </si>
  <si>
    <t xml:space="preserve">i0162_2p012m_g27_e002 </t>
  </si>
  <si>
    <t xml:space="preserve">Resgatar ilustração de 13 pássaros. Veio do g23_ftd_lt_2bam_p033. Código antigo i0472kf_A_2bam_g23_ftd </t>
  </si>
  <si>
    <t xml:space="preserve">i0163_2p012m_g27_e002 </t>
  </si>
  <si>
    <t xml:space="preserve">Resgatar ilustração de 14 pássaros. Veio do g23_ftd_lt_2bam_p033. Código antigo i0472kf_B_2bam_g23_ftd </t>
  </si>
  <si>
    <t xml:space="preserve">i0164_2p012m_g27_e002 </t>
  </si>
  <si>
    <t xml:space="preserve">Resgatar ilustração de uma corrida de ciclistas. Veio do g23_ftd_lt_2bam_p037. Código antigo i0512kf_2bam_g23_ftd </t>
  </si>
  <si>
    <t xml:space="preserve">i0125_2p012m_g27_e002 </t>
  </si>
  <si>
    <t xml:space="preserve">Resgatar e ajustar ilustração de 10 palmeiras. Veio do g23_ftd_lt_2bam_p018. Código antigo i0446kf_2bam_g23_ftd 
AJUSTE: retirar as palmeiras em cor resposta e dispor as 10 palmeiras conforme referência a seguir  </t>
  </si>
  <si>
    <t>i0168_2p012m_g27_e002</t>
  </si>
  <si>
    <t xml:space="preserve">Resgatar ilustração de ábaco representando o número 14. Veio do g23_ftd_lt_2bam_p030. Código antigo i0513zz_2bam_g23_ft </t>
  </si>
  <si>
    <t xml:space="preserve">i0302_2p012m_g27_e002 </t>
  </si>
  <si>
    <t xml:space="preserve">Resgatar ilustração de 3 potes transparentes de tamanhos distintos; disponível em g23_ftd_lt_2bam_p040 código antigo i0801rm_2bam_g23_ftd </t>
  </si>
  <si>
    <t xml:space="preserve">i0303_2p012m_g27_e002 </t>
  </si>
  <si>
    <t xml:space="preserve">Resgatar ilustração de um cubo amarelo; disponível em g23_ftd_lt_2bam_p040 código antigo it0802sl_2bam_g23_ftd </t>
  </si>
  <si>
    <t xml:space="preserve">i0304_2p012m_g27_e002 </t>
  </si>
  <si>
    <t>Resgatar ilustração de esfera amarela; disponível em g23_ftd_lt_2bam_p040 código antigo it0803_2bam_g23_ftd_re</t>
  </si>
  <si>
    <t xml:space="preserve">i0306_2p012m_g27_e002 </t>
  </si>
  <si>
    <t xml:space="preserve">Resgatar ilustração de um paralelepípedo amarelo; disponível em g23_ftd_lt_2bam_p040 código antigo it0805sl_2bam_g23_ftd </t>
  </si>
  <si>
    <t xml:space="preserve">i0307_2p012m_g27_e002 </t>
  </si>
  <si>
    <t xml:space="preserve">Resgatar ilustração de uma pirâmide amarela; disponível em g23_ftd_lt_2bam_p040 código antigo it0806_2bam_g23_ftd_re </t>
  </si>
  <si>
    <t xml:space="preserve">i0308_2p012m_g27_e002 </t>
  </si>
  <si>
    <t xml:space="preserve">Resgatar ilustração de cone amarelo; disponível em g23_ftd_lt_2bam_p040 código antigo it0848_2bam_g23_ftd_re </t>
  </si>
  <si>
    <t xml:space="preserve">i0309_2p012m_g27_e002 </t>
  </si>
  <si>
    <t>Resgatar ilustração de cone roxo; disponível em g23_ftd_lt_2bam_p040 código antigo it0849_2bam_g23_ftd_re</t>
  </si>
  <si>
    <t xml:space="preserve">i0310_2p012m_g27_e002 </t>
  </si>
  <si>
    <t xml:space="preserve">Resgatar ilustração de esfera roxo; disponível em g23_ftd_lt_2bam_p040 código antigo it0850_2bam_g23_ftd_re </t>
  </si>
  <si>
    <t xml:space="preserve">i0311_2p012m_g27_e002 </t>
  </si>
  <si>
    <t xml:space="preserve">Resgatar ilustração de um cilindro roxo; disponível em g23_ftd_lt_2bam_p040 código antigo it0851_2bam_g23_ftd_re </t>
  </si>
  <si>
    <t xml:space="preserve">i0312_2p012m_g27_e002 </t>
  </si>
  <si>
    <t xml:space="preserve">Resgatar ilustração de um paralelepípedo roxo; disponível em g23_ftd_lt_2bam_p040 código antigo it0852_2bam_g23_ftd_re </t>
  </si>
  <si>
    <t xml:space="preserve">i0313_2p012m_g27_e002 </t>
  </si>
  <si>
    <t xml:space="preserve">Resgatar ilustração de uma pirâmide roxo; disponível em g23_ftd_lt_2bam_p040 código antigo it0853_2bam_g23_ftd_re </t>
  </si>
  <si>
    <t xml:space="preserve">i0314_2p012m_g27_e002 </t>
  </si>
  <si>
    <t xml:space="preserve">Resgatar ilustração de um cubo roxo; disponível em g23_ftd_lt_2bam_p040 código antigo it0854sl_2bam_g23_ftd </t>
  </si>
  <si>
    <t xml:space="preserve">i0344_2p012m_g27_e002 </t>
  </si>
  <si>
    <t xml:space="preserve">Resgatar ilustração de uma pirâmide de base quadrada; disponível em g23_ftd_lt_2bam_p041 código antigo it0871sl_2bam_g23_ftd </t>
  </si>
  <si>
    <t xml:space="preserve">i0345_2p012m_g27_e002 </t>
  </si>
  <si>
    <t xml:space="preserve">Resgatar ilustração de um paralelepípedo; disponível em g23_ftd_lt_2bam_p041 código antigo it0855sl_2bam_g23_ftd </t>
  </si>
  <si>
    <t xml:space="preserve">i0346_2p012m_g27_e002 </t>
  </si>
  <si>
    <t xml:space="preserve">Resgatar ilustração de uma esfera; disponível em g23_ftd_lt_2bam_p041 código antigo it0872sl_2bam_g23_ftd </t>
  </si>
  <si>
    <t xml:space="preserve">i0347_2p012m_g27_e002 </t>
  </si>
  <si>
    <t xml:space="preserve">Resgatar ilustração de um cone; disponível em g23_ftd_lt_2bam_p041 código antigo it0874sl_2bam_g23_ftd </t>
  </si>
  <si>
    <t>i0348_2p012m_g27_e002</t>
  </si>
  <si>
    <t xml:space="preserve">Resgatar ilustração de um cubo; disponível em g23_ftd_lt_2bam_p041 código antigo it0873sl_2bam_g23_ftd </t>
  </si>
  <si>
    <t xml:space="preserve">i0349_2p012m_g27_e002 </t>
  </si>
  <si>
    <t xml:space="preserve">Resgatar ilustração de um cilindro; disponível em g23_ftd_lt_2bam_p041 código antigo it0875sl_2bam_g23_ftd </t>
  </si>
  <si>
    <t xml:space="preserve">i0317_2p012m_g27_e002 </t>
  </si>
  <si>
    <t>Resgatar ilustração de uma moça loira como se estivesse falando; disponível em g23_ftd_lt_2bam_p041 código antigo i0856iv_2bam_g23_ftd</t>
  </si>
  <si>
    <t xml:space="preserve">i0322_2p012m_g27_e002 </t>
  </si>
  <si>
    <t>Resgatar e ajustar ilustração da construção de um cubo de papel amarelo; disponível em g23_ftd_lt_2bam_p043 código antigo i0857rm_2bam_g23_ftd 
AJUSTE: separar a ilustração em A, B e C</t>
  </si>
  <si>
    <t xml:space="preserve">i0323_2p012m_g27_e002 </t>
  </si>
  <si>
    <t xml:space="preserve">Resgatar ilustração de cubo vermelho; disponível em g23_ftd_lt_2bam_p044 código antigo it0830sl_2bam_g23_ftd </t>
  </si>
  <si>
    <t xml:space="preserve">i0324_2p012m_g27_e002 </t>
  </si>
  <si>
    <t xml:space="preserve">Resgatar ilustração de um paralelepípedo vermelho; disponível em g23_ftd_lt_2bam_p044 código antigo it0831sl_2bam_g23_ftd </t>
  </si>
  <si>
    <t xml:space="preserve">i0325_2p012m_g27_e002 </t>
  </si>
  <si>
    <t xml:space="preserve">Resgatar ilustração de uma pirâmide de base quadrada vermelha; disponível em g23_ftd_lt_2bam_p044 código antigo it0832sl_2bam_g23_ftd </t>
  </si>
  <si>
    <t xml:space="preserve">i0326_2p012m_g27_e002 </t>
  </si>
  <si>
    <t xml:space="preserve">Resgatar ilustração de um cone verde; disponível em g23_ftd_lt_2bam_p044 código antigo it0833sl_2bam_g23_ftd </t>
  </si>
  <si>
    <t xml:space="preserve">i0327_2p012m_g27_e002 </t>
  </si>
  <si>
    <t xml:space="preserve">Resgatar ilustração de um cilindro verde; disponível em g23_ftd_lt_2bam_p044 código antigo it0834sl_2bam_g23_ftd </t>
  </si>
  <si>
    <t xml:space="preserve">i0328_2p012m_g27_e002 </t>
  </si>
  <si>
    <t xml:space="preserve">Resgatar ilustração de uma esfera verde; disponível em g23_ftd_lt_2bam_p044 código antigo it0835sl_2bam_g23_ftd </t>
  </si>
  <si>
    <t xml:space="preserve">i0330_2p012m_g27_e002 </t>
  </si>
  <si>
    <t xml:space="preserve">Resgatar ilustração de um paralelepípedo de madeira; disponível em g23_ftd_lt_2bam_p044 código antigo i0858rm_2bam_g23_ftd </t>
  </si>
  <si>
    <t xml:space="preserve">i0331_2p012m_g27_e002 </t>
  </si>
  <si>
    <t xml:space="preserve">Resgatar ilustração de um cubo mágico; disponível em g23_ftd_lt_2bam_p044 código antigo i0859rm_2bam_g23_ftd_ef </t>
  </si>
  <si>
    <t xml:space="preserve">i0332_2p012m_g27_e002 </t>
  </si>
  <si>
    <t xml:space="preserve">Resgatar ilustração de uma pirâmide com um laço, como se fosse uma embalagem de presente; disponível em g23_ftd_lt_2bam_p044 código antigo i0860rm_2bam_g23_ftd_ef </t>
  </si>
  <si>
    <t xml:space="preserve">i0333_2p012m_g27_e002 </t>
  </si>
  <si>
    <t xml:space="preserve">Resgatar ilustração de uma bolinha de gude; disponível em g23_ftd_lt_2bam_p044 código antigo i0861rm_2bam_g23_ftd </t>
  </si>
  <si>
    <t xml:space="preserve">i0334_2p012m_g27_e002 </t>
  </si>
  <si>
    <t xml:space="preserve">Resgatar ilustração de lata em formato de cilindro; disponível em g23_ftd_lt_2bam_p044 código antigo i0862rm_2bam_g23_ftd </t>
  </si>
  <si>
    <t xml:space="preserve">i0335_2p012m_g27_e002 </t>
  </si>
  <si>
    <t xml:space="preserve">Resgatar ilustração de chapéu em formato de cone; disponível em g23_ftd_lt_2bam_p044 código antigo i0863rm_2bam_g23_ftd </t>
  </si>
  <si>
    <t xml:space="preserve">i0336_2p012m_g27_e002 </t>
  </si>
  <si>
    <t xml:space="preserve">Resgatar ilustração de uma rampa de madeira e uma mão segurando uma bola azul; disponível em g23_ftd_lt_2bam_p045 código antigo i0864rm_2bam_g23_ftd </t>
  </si>
  <si>
    <t xml:space="preserve">i0337_2p012m_g27_e002 </t>
  </si>
  <si>
    <t xml:space="preserve">Resgatar ilustração de um paralelepípedo, um cilindro, um cubo, uma pirâmide, um cone e um prisma de madeira lado a lado sobre uma superfície; disponível em g23_ftd_lt_2bam_p045 código antigo i0877rm_2bam_g23_ftd </t>
  </si>
  <si>
    <t xml:space="preserve">i0342_2p012m_g27_e002 </t>
  </si>
  <si>
    <t>Resgatar e ajustar ilustração em espelho de três crianças segurando objetos distintos com um balão com o objeto ampliado que está na mão de cada uma; disponível em g23_ftd_lt_2bam_p046 código antigo i0867rq_2bam_g23_ftd_ly 
AJUSTE: manter apenas a ilustração das crianças.</t>
  </si>
  <si>
    <t>rq</t>
  </si>
  <si>
    <t xml:space="preserve">i0305_2p012m_g27_e002 </t>
  </si>
  <si>
    <t>Resgatar ilustração de um cilindro amarelo; disponível em g23_ftd_lt_2bam_p040 código antigo it0804_2bam_g23_ftd_re</t>
  </si>
  <si>
    <t>i0502_1p012m_g27_e002</t>
  </si>
  <si>
    <t>Resgatar ilustração de um relógio no pulso, disponível em g23_ftd_lt_1bam_p131,
Código antigo: i3248rm_1bam_g23_ftd</t>
  </si>
  <si>
    <t>i0503_1p012m_g27_e002</t>
  </si>
  <si>
    <t>Resgatar ilustração de uma calculadora, disponível em g23_ftd_lt_1bam_p131, 
Código antigo: i3243zz_1bam_g23_ftd</t>
  </si>
  <si>
    <t>i0504_1p012m_g27_e002</t>
  </si>
  <si>
    <t>Resgatar ilustração uma régua dobrável, disponível em g23_ftd_lt_1bam_p131, 
código antigo: i3249rm_1bam_g23_ftd</t>
  </si>
  <si>
    <t>i0505_1p012m_g27_e002</t>
  </si>
  <si>
    <t>Resgatar ilustração de um relógio digital, disponível em g23_ftd_lt_1bam_p131, 
código antigo: i3242zz_1bam_g23_ftd</t>
  </si>
  <si>
    <t>JANAINA OLIVEIRA/ARQUIVO DA EDITORA</t>
  </si>
  <si>
    <t>i0532_1p012m_g27_e002</t>
  </si>
  <si>
    <t>Resgatar ilustração de uma paisagem de montanha com pegadas de gigante, disponível em g23_ftd_lt_1bam_p140, 
Código antigo: i3201iv_1bam_g23_ftd_ef</t>
  </si>
  <si>
    <t>Arte</t>
  </si>
  <si>
    <t>i0536_1p012m_g27_e002</t>
  </si>
  <si>
    <t>Resgatar ilustração de uma balança digital, disponível em g23_ftd_lt_1bam_p142, 
Código antigo: i3205zz_1bam_g23_ftd</t>
  </si>
  <si>
    <t>i0537_1p012m_g27_e002</t>
  </si>
  <si>
    <t>Resgatar ilustração de uma fita métrica, disponível em g23_ftd_lt_1bam_p142, 
Código antigo: i3206rm_1bam_g23_ftd</t>
  </si>
  <si>
    <t>i0538_1p012m_g27_e002</t>
  </si>
  <si>
    <t>Resgatar ilustração de um relógio de pulso, disponível em g23_ftd_lt_1bam_p142,
Código antigo: i3207rm_1bam_g23_ftd</t>
  </si>
  <si>
    <t>i0539_1p012m_g27_e002</t>
  </si>
  <si>
    <t>Resgatar ilustração de uma trena, disponível em g23_ftd_lt_1bam_p142, 
Código antigo: i3208rm_1bam_g23_ftd</t>
  </si>
  <si>
    <t>i0540_1p012m_g27_e002</t>
  </si>
  <si>
    <t>ilustração de um calendário. Disponível em g23_ftd_lt_1bam_p142,
referência: i3209zz_1bam_g23_ftd,
Ajuste: atualizar para calendário de 2027 do padrão e manter o formato</t>
  </si>
  <si>
    <t>CARLOS BORIN/ARQUIVO DA EDITORA</t>
  </si>
  <si>
    <t>i0541_1p012m_g27_e002</t>
  </si>
  <si>
    <t>Resgatar e ajustar ilustração de um termômetro de corpo digital, disponível em g23_ftd_lt_1bam_p142, 
Código antigo: i3210zz_1bam_g23_ftd
AJUSTE: deixar no visor do termômetro o número 36, pois o aluno ainda não conhece número decimal.</t>
  </si>
  <si>
    <t>i0542_1p012m_g27_e002</t>
  </si>
  <si>
    <t>Resgatar ilustração de uma régua, disponível em g23_ftd_lt_1bam_p142,
Código antigo: i3211zz_1bam_g23_ftd</t>
  </si>
  <si>
    <t>i0543_1p012m_g27_e002</t>
  </si>
  <si>
    <t>Resgatar ilustração recipiente cilíndrico com marcações de medida, disponível em g23_ftd_lt_1bam_p142,
Código antigo: i3212zz_1bam_g23_ftd</t>
  </si>
  <si>
    <t>i0544_1p012m_g27_e002</t>
  </si>
  <si>
    <t>Resgatar ilustração de uma régua, disponível em g23_ftd_lt_1bam_p143 
Código antigo: i3213zz_1bam_g23_ftd</t>
  </si>
  <si>
    <t>i0545_1p012m_g27_e002</t>
  </si>
  <si>
    <t>Resgatar ilustração de um lápis em cima de uma régua, disponível em g23_ftd_lt_1bam_p143, 
Código antigo: i3214zz_1bam_g23_ftd</t>
  </si>
  <si>
    <t>RENAN FONSECA/RAFAELA H. PEREIRA/ARQUIVO DA EDITORA</t>
  </si>
  <si>
    <t>i0547_1p012m_g27_e002</t>
  </si>
  <si>
    <t>Resgatar ilustração de uma caneta, disponível em g23_ftd_lt_1bam_p144, 
Código antigo: i3215zz_1bam_g23_ftd</t>
  </si>
  <si>
    <t>RAFAELA H. PEREIRA/ARQUIVO DA EDITORA</t>
  </si>
  <si>
    <t>i0548_1p012m_g27_e002</t>
  </si>
  <si>
    <t>Resgatar ilustração de uma escova dental, disponível em g23_ftd_lt_1bam_p144, 
Código antigo: i3216rm_1bam_g23_ftd</t>
  </si>
  <si>
    <t>i0550_1p012m_g27_e002</t>
  </si>
  <si>
    <t>Resgatar ilustração de uma faixa vermelha, disponível em g23_ftd_lt_1bam_p144,
código antigo: i3217rm_1bam_g23_ftd_ef</t>
  </si>
  <si>
    <t>i0551_1p012m_g27_e002</t>
  </si>
  <si>
    <t>Resgatar ilustração de uma faixa azul, disponível em g23_ftd_lt_1bam_p144,
código antigo: i3218rm_1bam_g23_ftd_ef</t>
  </si>
  <si>
    <t>i0552_1p012m_g27_e002</t>
  </si>
  <si>
    <t>Resgatar ilustração de uma faixa verde, disponível em g23_ftd_lt_1bam_p144,
código antigo: i3219rm_1bam_g23_ftd_ef</t>
  </si>
  <si>
    <t>i0554_1p012m_g27_e002</t>
  </si>
  <si>
    <t>Resgatar ilustração de uma faixa azul de 1 cm, disponível em g23_ftd_lt_1bam_p145,
código antigo: i3220_1bam_g23_ftd_re
AJUSTE: Recortar a faixa em 1 cm de comprimento e 0,5 cm de altura</t>
  </si>
  <si>
    <t>i0555_1p012m_g27_e002</t>
  </si>
  <si>
    <t>Resgatar ilustração de uma faixa azul com listras branca, disponível em g23_ftd_lt_1bam_p145,
código antigo: i3221rm_1bam_g23_ftd_ef1
AJUSTE: Separar as ils</t>
  </si>
  <si>
    <t>i0556_1p012m_g27_e002</t>
  </si>
  <si>
    <t>Resgatar ilustração de uma faixa vermelha com bolinhas claras, disponível em g23_ftd_lt_1bam_p145,
código antigo: i3221rm_1bam_g23_ftd_ef
AJUSTE: Separar as ils</t>
  </si>
  <si>
    <t>i0557_1p012m_g27_e002</t>
  </si>
  <si>
    <t>Resgatar ilustração de uma régua limitada em 15 cm, disponível em g23_ftd_lt_1bam_p145,
código antigo: i3213zz_1bam_g23_ftd</t>
  </si>
  <si>
    <t>i0506_1p012m_g27_e002</t>
  </si>
  <si>
    <t>Resgatar ilustração de uma menina sentada a uma mesa de café, disponível em g23_ftd_lt_1bam_p132,
Código antigo: i3250iv_1bam_g23_ftd</t>
  </si>
  <si>
    <t>i0507_1p012m_g27_e002</t>
  </si>
  <si>
    <t>Resgatar ilustração de menina dormindo na cama, disponível em g23_ftd_lt_1bam_p132,
Código antigo: i3251iv_1bam_g23_ftd</t>
  </si>
  <si>
    <t>i0508_1p012m_g27_e002</t>
  </si>
  <si>
    <t>Resgatar ilustração de menina sentada em uma escrivaninha, disponível em g23_ftd_lt_1bam_p132,
Código antigo: i3252iv_1bam_g23_ftd</t>
  </si>
  <si>
    <t>i0509_1p012m_g27_e002</t>
  </si>
  <si>
    <t>resgatar a ilustração de uma mulher em frente a um bolo. Imagem disponível em g23_ftd_lt_1bam_p133,
Código antigo: i3226iv_1bam_g23_ftd
AJUSTE: Trocar a mulher por um homem e manter a cor de pele.</t>
  </si>
  <si>
    <t>i0510_1p012m_g27_e002</t>
  </si>
  <si>
    <t>resgatar ilustração de uma mulher preparando uma receita. Imagem disponível em g23_ftd_lt_1bam_p133,
Código antigo: i3234iv_1bam_g23_ftd
AJUSTE: Trocar a mulher por um homem e manter a cor de pele, sendo o mesmo homem da i0509_1p012m_g27_e002.</t>
  </si>
  <si>
    <t>i0511_1p012m_g27_e002</t>
  </si>
  <si>
    <t>resgatar ilustração de uma mulher escolhendo itens em uma prateleira. Imagem disponível em g23_ftd_lt_1bam_p133,
Código antigo: i3233iv_1bam_g23_ftd
AJUSTE: Trocar a mulher por um homem e manter a cor de pele, sendo o mesmo homem da i0509_1p012m_g27_e002 e i0510_1p012m_g27_e002</t>
  </si>
  <si>
    <t>i0512_1p012m_g27_e002</t>
  </si>
  <si>
    <t>resgatar ilustração de uma mulher servindo uma fatia de bolo para um menino. Imagem disponível em g23_ftd_lt_1bam_p133,
Código antigo: i3235iv_1bam_g23_ftd
AJUSTE: Trocar a mulher por um homem e manter a cor de pele, sendo o mesmo homem da i0509_1p012m_g27_e002, i0510_1p012m_g27_e002 e i0511_1p012m_g27_e002</t>
  </si>
  <si>
    <t>i0513_1p012m_g27_e002</t>
  </si>
  <si>
    <t>Resgatar ilustração de um menino, disponível em g23_ftd_lt_1bam_p133,
Código antigo: i3244iv_1bam_g23_ftd</t>
  </si>
  <si>
    <t>i0515_1p012m_g27_e002</t>
  </si>
  <si>
    <t>Resgatar ilustração de um relógio de ponteiro mostrando 7h com indicações, disponível em g23_ftd_lt_1bam_p134,
Código antigo: i3227zz_1bam_g23_ftd</t>
  </si>
  <si>
    <t>i0516_1p012m_g27_e002</t>
  </si>
  <si>
    <t>Resgatar ilustração de um relógio de ponteiro mostrando 5h, disponível em g23_ftd_lt_1bam_p134,
Código antigo: i3228zz_1bam_g23_ftd</t>
  </si>
  <si>
    <t>i0517_1p012m_g27_e002</t>
  </si>
  <si>
    <t>Resgatar ilustração de um relógio de ponteiro mostrando 9h, disponível em g23_ftd_lt_1bam_p134,
Código antigo: i3237zz_1bam_g23_ftd</t>
  </si>
  <si>
    <t>i0518_1p012m_g27_e002</t>
  </si>
  <si>
    <t>Resgatar ilustração de um relógio de ponteiro mostrando 10h, disponível em g23_ftd_lt_1bam_p134,
Código antigo: i3236zz_1bam_g23_ftd</t>
  </si>
  <si>
    <t>i0519_1p012m_g27_e002</t>
  </si>
  <si>
    <t>Resgatar ilustração de um relógio de ponteiro mostrando 12h , disponível em g23_ftd_lt_1bam_p134,
Código antigo: i3238zz_1bam_g23_ftd</t>
  </si>
  <si>
    <t>i0520_1p012m_g27_e002</t>
  </si>
  <si>
    <t>Resgatar ilustração de um relógio de ponteiro sem os ponteiros, disponível em g23_ftd_lt_1bam_p135,
Código antigo: i3229zz_1bam_g23_ftd</t>
  </si>
  <si>
    <t>i0530_1p012m_g27_e002</t>
  </si>
  <si>
    <t>NOVA</t>
  </si>
  <si>
    <t>ilustração NOVA de um calendário de 2027 do padrão</t>
  </si>
  <si>
    <t>Ajuste simples</t>
  </si>
  <si>
    <t>i0531_1p012m_g27_e002</t>
  </si>
  <si>
    <t>ilustração do mês de setembro de 2027, calendário do padrão novo</t>
  </si>
  <si>
    <t>Ajuste Complexo</t>
  </si>
  <si>
    <t>g0558_1p012m_g27_e002</t>
  </si>
  <si>
    <t>Resgatar gráfico de barras com informações de carros vendidos em alguns meses, disponível em g23_ftd_lt_1bam_p165, 
Código antigo: gt4021sl_1bam_g23_ftd</t>
  </si>
  <si>
    <t xml:space="preserve">i0502_2p012m_g27_e002 </t>
  </si>
  <si>
    <t xml:space="preserve">Resgatar ilustração de uma menina movimentando umas tampas em cima de uma mesa; disponível em g23_ftd_lt_2bam_p050,  
Código antigo: i1208tc_2bam_g23_ftd </t>
  </si>
  <si>
    <t xml:space="preserve">i0503_2p012m_g27_e002 </t>
  </si>
  <si>
    <t xml:space="preserve">Resgatar ilustração de 8 tampas verdes; disponível em g23_ftd_lt_2bam_p050,  
Código antigo: i1209tc_2bam_g23_ftd </t>
  </si>
  <si>
    <t xml:space="preserve">i0504_2p012m_g27_e002 </t>
  </si>
  <si>
    <t xml:space="preserve">Resgatar ilustração de 6 tampas azuis; disponível em g23_ftd_lt_2bam_p050,  
Código antigo: i1210tc_2bam_g23_ftd </t>
  </si>
  <si>
    <t xml:space="preserve">i0506_2p012m_g27_e002 </t>
  </si>
  <si>
    <t xml:space="preserve">Resgatar ilustração de uma régua azul de 0 a 15 e uma adição abaixo 8+3=11; disponível em g23_ftd_lt_2bam_p051,  
Código antigo: i1259zz_2bam_g23_ftd </t>
  </si>
  <si>
    <t>i0509_2p012m_g27_e002</t>
  </si>
  <si>
    <t>Resgatar ilustração de um rapaz em uma loja olhando mochilas e cadernos; disponível em g23_ftd_lt_2bam_p053, 
Código antigo: i1214tc_2bam_g23_ftd_ef
Ajuste: Na prateleira das mochilas trocar todas elas por estojos, inclusive na do rapaz. Trocar na imagem o nome na prateleira e a descrição da promoção, de MOCHILAS para ESTOJOS. Além disso, deixar o preço do estojo com 16 reais e do caderno com 33 reais. Manter texto em caixa alta alta.</t>
  </si>
  <si>
    <t xml:space="preserve">i0509_2p012m_g27_e002 </t>
  </si>
  <si>
    <t xml:space="preserve">Resgatar ilustração de um rapaz em uma loja olhando mochilas e cadernos; disponível em g23_ftd_lt_2bam_p053,  
Código antigo: i1214tc_2bam_g23_ftd_ef </t>
  </si>
  <si>
    <t>Foi cadastrada duas vezes.</t>
  </si>
  <si>
    <t xml:space="preserve">i0510_2p012m_g27_e002 </t>
  </si>
  <si>
    <t xml:space="preserve">Resgatar ilustração de 3 dezenas e 3 unidades do material dourado  
Código antigo: i1260_2bam_g23_ftd_re </t>
  </si>
  <si>
    <t>i0539_2p012m_g27_e002</t>
  </si>
  <si>
    <t xml:space="preserve">Resgatar ilustração de 1 dezena e 6 unidades do material dourado  
Código antigo: i1261_2bam_g23_ftd_re </t>
  </si>
  <si>
    <t xml:space="preserve">i0511_2p012m_g27_e002 </t>
  </si>
  <si>
    <t xml:space="preserve">Resgatar ilustração de quatro dezenas e 9 unidades do material dourado; disponível em g23_ftd_lt_2bam_p054,  
Código antigo: i1262_2bam_g23_ftd_re </t>
  </si>
  <si>
    <t xml:space="preserve">i0512_2p012m_g27_e002 </t>
  </si>
  <si>
    <t xml:space="preserve">Resgatar ilustração de uma menina; disponível em g23_ftd_lt_2bam_p055,  
Código antigo: i1216tc_2bam_g23_ftd </t>
  </si>
  <si>
    <t xml:space="preserve">i0546_2p012m_g27_e002 </t>
  </si>
  <si>
    <t xml:space="preserve">Resgatar ilustração de ábaco com 3 dezenas e 2 unidades; disponível em g23_ftd_lt_2bam_p055,  
Código antigo: i1241zz_2bam_g23_ftd </t>
  </si>
  <si>
    <t xml:space="preserve">i0513_2p012m_g27_e002 </t>
  </si>
  <si>
    <t xml:space="preserve">Resgatar e  AJUSTAR ilustração de um ábaco com número 48 em cor resposta, disponível em g23_ftd_lt_2bam_p055, 
Código antigo i1218zz_2bam_g23_ftd 
AJUSTE: retirar bolinhas em cor resposta, deixar apenas o ábaco com as duas hastes vazias </t>
  </si>
  <si>
    <t xml:space="preserve">i0515_2p012m_g27_e002 </t>
  </si>
  <si>
    <t xml:space="preserve">Resgatar ilustração de copo verde com um canudo; disponível em g23_ftd_lt_2bam_p056, 
Código antigo: i1215Atc_2bam_g23_ftd_ef </t>
  </si>
  <si>
    <t xml:space="preserve">i0516_2p012m_g27_e002 </t>
  </si>
  <si>
    <t xml:space="preserve">Resgatar ilustração de uma caneca na cor vermelha; disponível em g23_ftd_lt_2bam_p056, 
Código antigo: i1215Btc_2bam_g23_ftd_ef </t>
  </si>
  <si>
    <t>i0517_2p012m_g27_e002</t>
  </si>
  <si>
    <t xml:space="preserve">Resgatar ilustração de uma garrafa na cor cinza escuro; disponível em g23_ftd_lt_2bam_p056, 
Código antigo: i1215Ctc_2bam_g23_ftd_ef </t>
  </si>
  <si>
    <t xml:space="preserve">i0518_2p012m_g27_e002 </t>
  </si>
  <si>
    <t xml:space="preserve">Resgatar ilustração de 3 dezenas e 4 unidades do material dourado; disponível em g23_ftd_lt_2bam_p057, 
Código antigo: i1243zz_2bam_g23_ftd </t>
  </si>
  <si>
    <t xml:space="preserve">i0540_2p012m_g27_e002 </t>
  </si>
  <si>
    <t>Resgatar ilustração de 2 dezenas e 7 unidades do material dourado; disponível em g23_ftd_lt_2bam_p057, 
Código antigo: i1244zz_2bam_g23_ftd</t>
  </si>
  <si>
    <t>i0519_2p012m_g27_e002</t>
  </si>
  <si>
    <t xml:space="preserve">Resgatar ilustração de 5 dezenas e 11 unidades do material dourado; disponível em g23_ftd_lt_2bam_p057, 
Código antigo: i1245zz_2bam_g23_ftd </t>
  </si>
  <si>
    <t xml:space="preserve">i0541_2p012m_g27_e002 </t>
  </si>
  <si>
    <t>Resgatar ilustração de 6 dezenas e 1 unidade do material dourado; disponível em g23_ftd_lt_2bam_p057, 
Código antigo: i1246zz_2bam_g23_ftd</t>
  </si>
  <si>
    <t xml:space="preserve">i0520_2p012m_g27_e002 </t>
  </si>
  <si>
    <t xml:space="preserve">Resgatar ilustração de uma calculadora; disponível em g23_ftd_lt_2bam_p059, 
Código antigo: i1247zz_2bam_g23_ftd </t>
  </si>
  <si>
    <t xml:space="preserve">i0522_2p012m_g27_e002 </t>
  </si>
  <si>
    <t xml:space="preserve">Resgatar ilustração da tela da calculadora com o resultado 91; disponível em g23_ftd_lt_2bam_p059,  
Código antigo: i1228zz_2bam_g23_ftd </t>
  </si>
  <si>
    <t xml:space="preserve">i0524_2p012m_g27_e002 </t>
  </si>
  <si>
    <t>Resgatar e ajustar ilustração de um panfleto com alguns itens para venda de uma loja; disponível em g23_ftd_lt_2bam_p060, 
Código antigo: i1230tc_2bam_g23_ftd
Ajuste: trocar imagem do tênis por imagem de um chinelo, ajustar o preço do boné para 29 reais, ajustar o preço da camisa para 47 reais e o preço do par de meia para 22 reais. Manter texto em caixa alta alta.</t>
  </si>
  <si>
    <t xml:space="preserve">i0545_2p012m_g27_e002 </t>
  </si>
  <si>
    <t>Resgatar ilustração de uma professora ao lado de um quadro negro; disponível em g23_ftd_lt_2bam_179, código antigo: i4405kb_2bam_g23_ftd. 
Ajuste: retirar um voto do gato, um voto do OUTROS e um voto do NENHUM, como indicado na referência a seguir.</t>
  </si>
  <si>
    <t xml:space="preserve">i0525_2p012m_g27_e002 </t>
  </si>
  <si>
    <t xml:space="preserve">Resgatar ilustração de um menino segurando duas laranjas uma em cada mão; disponível em g23_ftd_lt_2bam_p061,  
Código antigo: i1248tc_2bam_g23_ftd_ef </t>
  </si>
  <si>
    <t xml:space="preserve">i0526_2p012m_g27_e002 </t>
  </si>
  <si>
    <t xml:space="preserve">Resgatar ilustração de uma régua com 15 cm; disponível em g23_ftd_lt_2bam_p062,  
código antigo: i1217zz_2bam_g23_ftd </t>
  </si>
  <si>
    <t xml:space="preserve">i0530_2p012m_g27_e002 </t>
  </si>
  <si>
    <t xml:space="preserve">Resgatar ilustração de 4 dezenas e 7 unidades do material dourado com alguns risquinhos; disponível em g23_ftd_lt_2bam_p064, código antigo: i1266_2bam_g23_ftd_re </t>
  </si>
  <si>
    <t xml:space="preserve">i0531_2p012m_g27_e002 </t>
  </si>
  <si>
    <t xml:space="preserve">Resgatar ilustração de 1 dezena e 5 unidades; disponível em g23_ftd_lt_2bam_p064,  
Código antigo: i1267_2bam_g23_ftd_re </t>
  </si>
  <si>
    <t xml:space="preserve">i0532_2p012m_g27_e002 </t>
  </si>
  <si>
    <t>Resgatar e ajustar ilustração de cenas de um cordel um abaixo do outro para ilustração da página; disponível em g23_ftd_lt_2bam_p065, 
Código antigo: i1233dc_2bam_g23_ftd_ef
AJUSTE: compor os livretos lado a lado, ao invés de pendurados. Ver ideia a seguir, porém manter o fio tracejado unindo os livretos.
Arte: essa imagem vai entrar ao lado do cálculo acima, ver tamanho ideal.</t>
  </si>
  <si>
    <t>dc</t>
  </si>
  <si>
    <t xml:space="preserve">i0533_2p012m_g27_e002 </t>
  </si>
  <si>
    <t xml:space="preserve">Resgatar ilustração de um ábaco com 3 dezenas e 7 unidades; disponível em g23_ftd_lt_2bam_p066,  
Código antigo: i1252zz_2bam_g23_ftd </t>
  </si>
  <si>
    <t xml:space="preserve">i0534_2p012m_g27_e002 </t>
  </si>
  <si>
    <t xml:space="preserve">Resgatar ilustração de um ábaco com 1 dezena e 4 unidades; disponível em g23_ftd_lt_2bam_p066,  
Código antigo: i1268zz_2bam_g23_ftd </t>
  </si>
  <si>
    <t xml:space="preserve">i0535_2p012m_g27_e002 </t>
  </si>
  <si>
    <t xml:space="preserve">Resgatar ilustração de 7 dezenas e 1 unidade do material dourado; disponível em g23_ftd_lt_2bam_p068,  
Código antigo: i1253zz_2bam_g23_ftd </t>
  </si>
  <si>
    <t xml:space="preserve">i0536_2p012m_g27_e002 </t>
  </si>
  <si>
    <t xml:space="preserve">Resgatar ilustração de 6 dezenas e 11 unidades do material dourado com e uma operação abaixo; disponível em g23_ftd_lt_2bam_p068,  
Código antigo: i1255zz_2bam_g23_ftd </t>
  </si>
  <si>
    <t>i0703_2p012m_g27_e002</t>
  </si>
  <si>
    <t xml:space="preserve">Resgatar ilustração de 8 placas do material dourado do g23_ftd_lt_2bam_p076 código antigo i1602zz_2bam_g23_ftd </t>
  </si>
  <si>
    <t xml:space="preserve">i0704_2p012m_g27_e002 </t>
  </si>
  <si>
    <t xml:space="preserve">Resgatar ilustração 2 barras do material dourado do g23_ftd_lt_2bam_p076 código antigo i1642zz_2bam_g23_ftd </t>
  </si>
  <si>
    <t xml:space="preserve">i0705_2p012m_g27_e002 </t>
  </si>
  <si>
    <t xml:space="preserve">Resgatar ilustração de 8 cubinhos do material dourado do g23_ftd_lt_2bam_p077 código antigo i1643zz_2bam_g23_ftd </t>
  </si>
  <si>
    <t xml:space="preserve">i0706_2p012m_g27_e002 </t>
  </si>
  <si>
    <t xml:space="preserve">Resgatar ilustração de 7 placas do material dourado do g23_ftd_lt_2bam_p077 código antigo i1603zz_2bam_g23_ftd 
Resgatar ilustração de 2 barras do material dourado do g23_ftd_lt_2bam_p077 código antigo i1642zz_2bam_g23_ftd 
Resgatar ilustração de 3 cubinhos do material dourado do g23_ftd_lt_2bam_p077 código antigo i1647zz_2bam_g23_ftd 
AJUSTE: deixar as 3 ilustrações acima representando o número 723 no mesmo código xxx. Ver referência. </t>
  </si>
  <si>
    <t xml:space="preserve">i0707_2p012m_g27_e002 </t>
  </si>
  <si>
    <t xml:space="preserve">Resgatar ilustração de 4 placas do material dourado do g23_ftd_lt_2bam_p077 código antigo i1604zz_2bam_g23_ftd 
Resgatar ilustração de 5 barras do material dourado do g23_ftd_lt_2bam_p077 código antigo i1648zz_2bam_g23_ftd 
Resgatar ilustração de 1 cubinho do material dourado do g23_ftd_lt_2bam_p077 código antigo i1649zz_2bam_g23_ftd 
AJUSTE: deixar as 3 ilustrações acima representando o número 451 em um mesmo código, sendo i0707_2p012m_g27_e002. </t>
  </si>
  <si>
    <t xml:space="preserve">i0708_2p012m_g27_e002 </t>
  </si>
  <si>
    <t xml:space="preserve">Resgatar ilustração do ábaco do representando o número 468 do g23_ftd_lt_2bam_p078 código antigo i1605zz_2bam_g23_ftd </t>
  </si>
  <si>
    <t xml:space="preserve">i0709_2p012m_g27_e002 </t>
  </si>
  <si>
    <t xml:space="preserve">Resgatar ilustração do ábaco representado o número 261 do g23_ftd_lt_2bam_p078 código antigo i1606zz_2bam_g23_ftd </t>
  </si>
  <si>
    <t xml:space="preserve">i0710_2p012m_g27_e002 </t>
  </si>
  <si>
    <t xml:space="preserve">Resgatar ilustração do ábaco representado o número 524 do g23_ftd_lt_2bam_p078 código antigo i1607zz_2bam_g23_ftd </t>
  </si>
  <si>
    <t xml:space="preserve">i0711_2p012m_g27_e002 </t>
  </si>
  <si>
    <t>Resgatar ilustração do ábaco representando o número 324 do g23_ftd_lt_2bam_p078 código antigo i1608zz_2bam_g23_ftd 
AJUSTE:  retirar as unidades, dezenas e centenas em cor resposta do ábaco abaixo. Deixar apenas ábaco vazio.</t>
  </si>
  <si>
    <t xml:space="preserve">i0714_2p012m_g27_e002 </t>
  </si>
  <si>
    <t xml:space="preserve">Resgatar ilustração da conversa de Pedro e Bruno do g23_ftd_lt_2bam_p079 código antigo i1611ly_2bam_g23_ftd </t>
  </si>
  <si>
    <t xml:space="preserve">i0717_2p012m_g27_e002 </t>
  </si>
  <si>
    <t xml:space="preserve">Resgatar ilustração da moça no caixa eletrônico do g23_ftd_lt_2bam_p080 código antigo i1616ly_2bam_g23_ftd </t>
  </si>
  <si>
    <t xml:space="preserve">i0718_2p012m_g27_e002 </t>
  </si>
  <si>
    <t>Resgatar e ajustar ilustração de homem carregando uma caixa do g23_ftd_lt_2bam_p081 código antigo i1617ly_2bam_g23_ftd_ef
AJUSTE: a pedido da leitura transversal, fazer os seguintes ajustes:
Incluir itens de EPI. Manter gênero e etnia.
Para trabalhadores que se dedicam a atividades de armazenagem e movimentação de cargas, os requisitos de segurança são:
• Calçado de segurança (bota com biqueira reforçada).
• Luvas antiderrapantes ou de proteção mecânica, que cubram as mãos.
• Colete refletivo de alta visibilidade sobre a roupa.
• Capacete de segurança.
Referências:
https://www.shutterstock.com/pt/image-photo/distribution-center-worker-putting-box-on-2250865431
https://www.shutterstock.com/pt/image-photo/three-warehouse-workers-using-digital-tablet-2527304511
https://www.shutterstock.com/pt/image-photo/three-warehouse-workers-using-digital-tablet-2321824635
A forma como ele está carregando/segurando a caixa também não é muito segura, favor ajustar. Veja algumas opções de nova pose para a ilustração:
https://www.shutterstock.com/pt/image-photo/man-worker-protective-mask-working-industrial-1746068921
https://www.shutterstock.com/pt/image-photo/black-male-workers-wearing-protective-face-1774822652</t>
  </si>
  <si>
    <t>PAGO</t>
  </si>
  <si>
    <t xml:space="preserve">i0719_2p012m_g27_e002 </t>
  </si>
  <si>
    <t xml:space="preserve">Resgatar ilustração do ábaco representando o 1000 do g23_ftd_lt_2bam_p081 código antigo i1618zz_2bam_g23_ftd </t>
  </si>
  <si>
    <t xml:space="preserve">i0720_2p012m_g27_e002 </t>
  </si>
  <si>
    <t xml:space="preserve">Resgatar ilustração de 9 placas, 9 barras e 9 cubinhos do material dourado do g23_ftd_lt_2bam_p082 código antigo i1619zz_2bam_g23_ftd_aj </t>
  </si>
  <si>
    <t xml:space="preserve">i0721_2p012m_g27_e002 </t>
  </si>
  <si>
    <t xml:space="preserve">Resgatar ilustração de 1 cubinho do material dourado do g23_ftd_lt_2bam_p082 código antigo i1651zz_2bam_g23_ftd_aj </t>
  </si>
  <si>
    <t xml:space="preserve">i0722_2p012m_g27_e002 </t>
  </si>
  <si>
    <t xml:space="preserve">Resgatar ilustração de 1 cubo grande do material dourado do g23_ftd_lt_2bam_p082 código antigo i1652zz_2bam_g23_ftd_aj </t>
  </si>
  <si>
    <t xml:space="preserve">i0723_2p012m_g27_e002 </t>
  </si>
  <si>
    <t xml:space="preserve">Resgatar ilustração de reta numérica de 0 a 1 000 do g23_ftd_lt_2bam_p082 código antigo it1620sl_2bam_g23_ftd </t>
  </si>
  <si>
    <t xml:space="preserve">i1003_2p012m_g27_e002 </t>
  </si>
  <si>
    <t xml:space="preserve">Resgatar e ajustar ilustração da medição de uma mesa pelo palmo de alguns alunos, do g23_ftd_lt_2bam_p108, 
código antigo i2405ei2426ai2428ly_2bam_g23_ftd 
AJUSTE: separar as imagens em i1003A (mesa sozinha e dois palmos medindo ao lado), i1003B (medição com 9 palmos), i1003C (medição com 10 palmos) e i1003D (medição com 8 palmos) </t>
  </si>
  <si>
    <t xml:space="preserve">i1104_2p012m_g27_e002 </t>
  </si>
  <si>
    <t>Resgatar ilustração da menina medindo com o pé do g23_ftd_lt_2bam_p109 código antigo i2406ly_2bam_g23_ftd</t>
  </si>
  <si>
    <t xml:space="preserve">i1105_2p012m_g27_e002 </t>
  </si>
  <si>
    <t xml:space="preserve">Resgatar ilustração da régua com a representação de 1 cm do g23_ftd_lt_2bam_p110 código antigo i2407zz_2bam_g23_ftd </t>
  </si>
  <si>
    <t xml:space="preserve">i1106_2p012m_g27_e002 </t>
  </si>
  <si>
    <t>Resgatar ilustração da caneta sendo medida na régua do g23_ftd_lt_2bam_p110 código antigo i2408zz_2bam_g23_ftd</t>
  </si>
  <si>
    <t xml:space="preserve">i1107_2p012m_g27_e002 </t>
  </si>
  <si>
    <t xml:space="preserve">Resgatar ilustração da medição de uma fita do g23_ftd_lt_2bam_p110 código antigo i2409zz_2bam_g23_ftd_ef </t>
  </si>
  <si>
    <t>RENAN FONSECA/CYNTHIA SEKIGUCHI/ARQUIVO DA EDITORA</t>
  </si>
  <si>
    <t xml:space="preserve">i1108_2p012m_g27_e002 </t>
  </si>
  <si>
    <t xml:space="preserve">Resgatar ilustração da medição de uma fita do g23_ftd_lt_2bam_p110 código antigo i2410zz_2bam_g23_ftd </t>
  </si>
  <si>
    <t xml:space="preserve">i1113_2p012m_g27_e002 </t>
  </si>
  <si>
    <t>Resgatar ilustração do comprimento do barbante do g23_ftd_lt_2bam_p111 código antigo i2417_2bam_g23_ftd</t>
  </si>
  <si>
    <t>ck</t>
  </si>
  <si>
    <t xml:space="preserve">i1114_2p012m_g27_e002 </t>
  </si>
  <si>
    <t xml:space="preserve">Resgatar ilustração do comprimento do barbante do 12 mm de comprimento g23_ftd_lt_2bam_p111 código antigo i2419_2bam_g23_ftd </t>
  </si>
  <si>
    <t xml:space="preserve">i1115_2p012m_g27_e002 </t>
  </si>
  <si>
    <t xml:space="preserve">Resgatar ilustração do comprimento do barbante do g23_ftd_lt_2bam_p111 código antigo i2420_2bam_g23_ftd </t>
  </si>
  <si>
    <t xml:space="preserve">i1116_2p012m_g27_e002 </t>
  </si>
  <si>
    <t xml:space="preserve">Resgatar ilustração do quadrado do g23_ftd_lt_2bam_p111 código antigo it2433_2bam_g23_ftd </t>
  </si>
  <si>
    <t>gu</t>
  </si>
  <si>
    <t xml:space="preserve">i1117_2p012m_g27_e002 </t>
  </si>
  <si>
    <t xml:space="preserve">Resgatar ilustração do pentágono do g23_ftd_lt_2bam_p111 código antigo it2434_2bam_g23_ftd </t>
  </si>
  <si>
    <t xml:space="preserve">i1118_2p012m_g27_e002 </t>
  </si>
  <si>
    <t xml:space="preserve">Resgatar ilustração do triângulo do g23_ftd_lt_2bam_p111 código antigo it2435_2bam_g23_ftd </t>
  </si>
  <si>
    <t xml:space="preserve">i1119_2p012m_g27_e002 </t>
  </si>
  <si>
    <t>Resgatar ilustração de duas retas paralelas do g23_ftd_lt_2bam_p112 código antigo it2423_2bam_g23_ftd 
AJUSTE: Aumentar a ilustração de modo que ele ocupe a largura da mancha da página, aumentar de forma proporcional com a ilustração seguinte i1120_2p012m_g27_e002.</t>
  </si>
  <si>
    <t xml:space="preserve">i1120_2p012m_g27_e002 </t>
  </si>
  <si>
    <t>Resgatar ilustração de duas retas paralelas do mesmo comprimento do g23_ftd_lt_2bam_p112 código antigo it2424_2bam_g23_ftd 
AJUSTE: Aumentar a ilustração de modo que ele ocupe a largura da mancha da página aumentar de forma proporcional com a ilustração anterior i1119_2p012m_g27_e002.</t>
  </si>
  <si>
    <t xml:space="preserve">i1121_2p012m_g27_e002 </t>
  </si>
  <si>
    <t xml:space="preserve">Resgatar ilustração da medição de comprimento por passo do g23_ftd_lt_2bam_p112 código antigo i2441kb_2bam_g23_ftd </t>
  </si>
  <si>
    <t xml:space="preserve">i1122_2p012m_g27_e002 </t>
  </si>
  <si>
    <t xml:space="preserve">Resgatar ilustração do fio dental do g23_ftd_lt_2bam_p113 código antigo i2429ly_2bam_g23_ftd </t>
  </si>
  <si>
    <t xml:space="preserve">i1123_2p012m_g27_e002 </t>
  </si>
  <si>
    <t xml:space="preserve">Resgatar ilustração da placa do g23_ftd_lt_2bam_p113 código antigo i2430ly_2bam_g23_ftd </t>
  </si>
  <si>
    <t xml:space="preserve">i1124_2p012m_g27_e002 </t>
  </si>
  <si>
    <t xml:space="preserve">Resgatar ilustração dos irmãos vendo uma lista de compras do g23_ftd_lt_2bam_p114 código antigo i2438kb_2bam_g23_ftd </t>
  </si>
  <si>
    <t xml:space="preserve">i1125_2p012m_g27_e002 </t>
  </si>
  <si>
    <t xml:space="preserve">Resgatar ilustração dos materiais utilizados para artesanato do g23_ftd_lt_2bam_p115 código antigo i2440kb_2bam_g23_ftd_ly </t>
  </si>
  <si>
    <t xml:space="preserve">i1303_2p012m_g27_e002 </t>
  </si>
  <si>
    <t xml:space="preserve">Resgatar ilustração da menina colocando uma moeda no cofrinho do g23_ftd_lt_2bam_p132 código antigo i3202rt_2bam_g23_ftd </t>
  </si>
  <si>
    <t xml:space="preserve">i1304_2p012m_g27_e002 </t>
  </si>
  <si>
    <t xml:space="preserve">Resgatar ilustração das camisas do g23_ftd_lt_2bam_p133 código antigo i3205rt_2bam_g23_ftd </t>
  </si>
  <si>
    <t xml:space="preserve">i1305_2p012m_g27_e002 </t>
  </si>
  <si>
    <t>Resgatar ilustração de 15 carrinhos organizados em 3 linhas e 5 colunas do g23_ftd_lt_2bam_p133 código antigo i3206rt_2bam_g23_ftd</t>
  </si>
  <si>
    <t xml:space="preserve">i1306_2p012m_g27_e002 </t>
  </si>
  <si>
    <t xml:space="preserve">Resgatar ilustração de opções de lanches e sucos do g23_ftd_lt_2bam_p134 código antigo i3207rt_2bam_g23_ftd </t>
  </si>
  <si>
    <t xml:space="preserve">i1307_2p012m_g27_e002 </t>
  </si>
  <si>
    <t xml:space="preserve">Resgatar ilustração das bandejas de morango do g23_ftd_lt_2bam_p135 código antigo i3208rt_2bam_g23_ftd </t>
  </si>
  <si>
    <t xml:space="preserve">i1308_2p012m_g27_e002 </t>
  </si>
  <si>
    <t xml:space="preserve">Resgatar ilustração de 8 lápis do g23_ftd_lt_2bam_p135 código antigo i3210rt_2bam_g23_ftd </t>
  </si>
  <si>
    <t xml:space="preserve">i1309_2p012m_g27_e002 </t>
  </si>
  <si>
    <t xml:space="preserve">Resgatar ilustração de 10 peões do g23_ftd_lt_2bam_p135 código antigo i3211rt_2bam_g23_ftd </t>
  </si>
  <si>
    <t xml:space="preserve">i1310_2p012m_g27_e002 </t>
  </si>
  <si>
    <t xml:space="preserve">Resgatar ilustração da disposição das mesas no escritório do g23_ftd_lt_2bam_p136 código antigo i3212ec_2bam_g23_ftd </t>
  </si>
  <si>
    <t xml:space="preserve">i1311_2p012m_g27_e002 </t>
  </si>
  <si>
    <r>
      <rPr>
        <sz val="11"/>
        <color rgb="FF000000"/>
        <rFont val="Calibri"/>
        <family val="2"/>
      </rPr>
      <t> Resgatar ilustração de 3 embalagens com 5 canetas cada do g23_ftd_lt_2bam_p136 código antigo i3213ec_B_2bam_g23_ftd</t>
    </r>
    <r>
      <rPr>
        <i/>
        <sz val="9"/>
        <color rgb="FF0000FF"/>
        <rFont val="Calibri"/>
        <family val="2"/>
      </rPr>
      <t xml:space="preserve"> </t>
    </r>
  </si>
  <si>
    <t xml:space="preserve">i1312_2p012m_g27_e002 </t>
  </si>
  <si>
    <t xml:space="preserve">Resgatar ilustração de uma tabela de 4 tiaras e 3 laços do g23_ftd_lt_2bam_p137 código antigo i3216ec_2bam_g23_ftd </t>
  </si>
  <si>
    <t xml:space="preserve">i1313_2p012m_g27_e002 </t>
  </si>
  <si>
    <t xml:space="preserve">Resgatar ilustração de 3 embalagens de escova com 3 escovas em cada do g23_ftd_lt_2bam_p138 código antigo i3214ec_2bam_g23_ftd </t>
  </si>
  <si>
    <t xml:space="preserve">i1314_2p012m_g27_e002 </t>
  </si>
  <si>
    <t xml:space="preserve">Resgatar ilustração de 3 embalagens de escova com 3 escovas em cada do g23_ftd_lt_2bam_p138 código antigo i3215ec_2bam_g23_ftd </t>
  </si>
  <si>
    <t xml:space="preserve">i1317_2p012m_g27_e002 </t>
  </si>
  <si>
    <t xml:space="preserve">Resgatar ilustração da distribuição das carteiras do g23_ftd_lt_2bam_p140 código antigo i3219ec_2bam_g23_ftd </t>
  </si>
  <si>
    <t xml:space="preserve">i1318_2p012m_g27_e002 </t>
  </si>
  <si>
    <t xml:space="preserve">Resgatar ilustração de 8 apontadores do g23_ftd_lt_2bam_p140 código antigo i3220sl_2bam_g23_ftd </t>
  </si>
  <si>
    <t>i1319_2p012m_g27_e002</t>
  </si>
  <si>
    <t xml:space="preserve">Resgatar ilustração de 12 clipes do g23_ftd_lt_2bam_p140 código antigo i3221sl_2bam_g23_ftd </t>
  </si>
  <si>
    <t xml:space="preserve">i1320_2p012m_g27_e002 </t>
  </si>
  <si>
    <t>Resgatar ilustração de uma régua de 15 cm do g23_ftd_lt_2bam_p141 código antigo i3222zz_2bam_g23_ftd</t>
  </si>
  <si>
    <t xml:space="preserve">i1321_2p012m_g27_e002 </t>
  </si>
  <si>
    <t xml:space="preserve">Resgatar ilustração das mesas do g23_ftd_lt_2bam_p142 código antigo i3224ec_2bam_g23_ftd_ef </t>
  </si>
  <si>
    <t xml:space="preserve">i1322_2p012m_g27_e002 </t>
  </si>
  <si>
    <t xml:space="preserve">Resgatar ilustração da tela do celular do g23_ftd_lt_2bam_p142 código antigo i3225ec_2bam_g23_ftd </t>
  </si>
  <si>
    <t xml:space="preserve">i1323_2p012m_g27_e002 </t>
  </si>
  <si>
    <t xml:space="preserve">Resgatar ilustração do ábaco do número 51 do g23_ftd_lt_2bam_p143 código antigo i3226zz_2bam_g23_ftd </t>
  </si>
  <si>
    <t xml:space="preserve">i1324_2p012m_g27_e002 </t>
  </si>
  <si>
    <t xml:space="preserve">Resgatar ilustração do ábaco do número 15 do g23_ftd_lt_2bam_p143 código antigo i3204zz_2bam_g23_ftd </t>
  </si>
  <si>
    <t xml:space="preserve">i1325_2p012m_g27_e002 </t>
  </si>
  <si>
    <t xml:space="preserve">Resgatar ilustração do ábaco do número 35 do g23_ftd_lt_2bam_p143 código antigo i3227zz_2bam_g23_ftd </t>
  </si>
  <si>
    <t xml:space="preserve">i1326_2p012m_g27_e002 </t>
  </si>
  <si>
    <t xml:space="preserve">Resgatar ilustração do ábaco do número 33 do g23_ftd_lt_2bam_p143 código antigo i3230zz_2bam_g23_ftd </t>
  </si>
  <si>
    <t xml:space="preserve">i1327_2p012m_g27_e002 </t>
  </si>
  <si>
    <t>Resgsatar ilustração do tablet do g23_ftd_lt_2bam_p143 código antigo i3228ec_2bam_g23_ftd 
AJUSTE: Deixar a imagem com 5 fileiras (acrescentar mais uma) e 6 colunas, pois o objetivo desta atividade é o aluno fazer multiplicação por 5.</t>
  </si>
  <si>
    <t xml:space="preserve">if1302_2p012m_g27_e002 </t>
  </si>
  <si>
    <t>IL + FOTO</t>
  </si>
  <si>
    <t xml:space="preserve">Resgatar foto ilustração do quebra cabeça da arara azul do g23_ftd_lt_2bam_p131 código antigo if3201ct_2bam_g23_ftd_ly </t>
  </si>
  <si>
    <t>ILUSTRAÇÃO DE CAIO TANAKA. FOTO: KEN BARBER/ALAMY/FOTOARENA</t>
  </si>
  <si>
    <t xml:space="preserve">i1502_2p012m_g27_e002 </t>
  </si>
  <si>
    <t xml:space="preserve">Resgatar ilustração de um professor ao lado de um quadro negro com algumas figuras geométricas desenhadas; disponível em g23_ftd_lt_2bam_p164_código i4001iv_2bam_g23_ftd </t>
  </si>
  <si>
    <t xml:space="preserve">i1503_2p012m_g27_e002 </t>
  </si>
  <si>
    <t>Resgatar ilustração de objetos com formatos de figuras geométricas; disponível em g23_ftd_lt_2bam_p164_código i4002iv_2bam_g23_ftd  - AJUSTE: trocar a cor do cilindro para azul, como sugerido pelo Roni no balão de comentário, para melhorar contraste na cena.</t>
  </si>
  <si>
    <t xml:space="preserve">i1508_2p012m_g27_e002 </t>
  </si>
  <si>
    <t xml:space="preserve">Resgatar ilustração de um triângulo na cor roxa; disponível em g23_ftd_lt_2bam_165_código it0904pn_2bam_g23_ftd </t>
  </si>
  <si>
    <t>pn</t>
  </si>
  <si>
    <t xml:space="preserve">i1509_2p012m_g27_e002 </t>
  </si>
  <si>
    <t xml:space="preserve">Resgatar ilustração de um retângulo na cor roxa; disponível em g23_ftd_lt_2bam_165_código it0909pn_2bam_g23_ftd  </t>
  </si>
  <si>
    <t xml:space="preserve">i1510_2p012m_g27_e002 </t>
  </si>
  <si>
    <t xml:space="preserve">Resgatar ilustração de um quadrado na cor roxa; disponível em g23_ftd_lt_2bam_165_código it0902pn_2bam_g23_ftd </t>
  </si>
  <si>
    <t xml:space="preserve">i1511_2p012m_g27_e002 </t>
  </si>
  <si>
    <t xml:space="preserve">Resgatar ilustração de um círculo na cor roxa; disponível em g23_ftd_lt_2bam_165_código it0906pn_2bam_g23_ftd </t>
  </si>
  <si>
    <t xml:space="preserve">i1512_2p012m_g27_e002 </t>
  </si>
  <si>
    <t xml:space="preserve">resgatar ilustração de uma mancha amarela. veio do g23_ftd_lt_2bam_165 código antigo i1025Agu_2bam_g23_ftd </t>
  </si>
  <si>
    <t xml:space="preserve">i1513_2p012m_g27_e002 </t>
  </si>
  <si>
    <t xml:space="preserve">resgatar ilustração de uma mancha verde. veio do g23_ftd_lt_2bam_165 código antigo i1025Bgu_2bam_g23_ftd </t>
  </si>
  <si>
    <t xml:space="preserve">i1514_2p012m_g27_e002 </t>
  </si>
  <si>
    <t xml:space="preserve">resgatar ilustração de uma mancha azul. veio do g23_ftd_lt_2bam_165 código antigo i1025Cgu_2bam_g23_ftd </t>
  </si>
  <si>
    <t xml:space="preserve">i1515_2p012m_g27_e002 </t>
  </si>
  <si>
    <t xml:space="preserve">resgatar ilustração de uma mancha azul. veio do g23_ftd_lt_2bam_165 código antigo i1025Dgu_2bam_g23_ftd </t>
  </si>
  <si>
    <t>i1516_2p012m_g27_e002</t>
  </si>
  <si>
    <t xml:space="preserve">resgatar ilustração de gato formado por figuras geométricas. veio do g23_ftd_lt_2bam_165 código antigo it4017gu_2bam_g23_ftd </t>
  </si>
  <si>
    <t xml:space="preserve">i1517_2p012m_g27_e002 </t>
  </si>
  <si>
    <t>Resgatar ilustração de uma casa com formato de figuras geométricas e árvores com formato de figuras geométricas; disponível em g23_ftd_lt_2bam_166_código it4018sl_2bam_g23_ftd</t>
  </si>
  <si>
    <t xml:space="preserve">i1518_2p012m_g27_e002 </t>
  </si>
  <si>
    <t xml:space="preserve">Resgatar ilustração de uma pessoa com formatos geométricos; disponível em g23_ftd_lt_2bam_166_código it4019sl_2bam_g23_ftd </t>
  </si>
  <si>
    <t xml:space="preserve">i1519_2p012m_g27_e002 </t>
  </si>
  <si>
    <t xml:space="preserve">Resgatar ilustração de um trem com formatos geométricos; disponível em g23_ftd_lt_2bam_166_código it4020sl_2bam_g23_ftd </t>
  </si>
  <si>
    <t xml:space="preserve">i1520_2p012m_g27_e002 </t>
  </si>
  <si>
    <t xml:space="preserve">Resgatar e AJUSTAR ilustração de três cenas da composição de um triângulo no papel; disponível em g23_ftd_lt_2bam_167, 
código antigo: i4026rm_2bam_g23_ftd_ly 
AJUSTE: separar as ils em i1520A, i1520B e i1520C </t>
  </si>
  <si>
    <t>Rebecca Baniski</t>
  </si>
  <si>
    <t xml:space="preserve">i1521_2p012m_g27_e002 </t>
  </si>
  <si>
    <t xml:space="preserve">Resgatar ilustração da composição do desenho de uma figura utilizando um objeto com formato de prisma; disponível em g23_ftd_lt_2bam_167_código i4027rm_2bam_g23_ftd_ly </t>
  </si>
  <si>
    <t xml:space="preserve">i1522_2p012m_g27_e002 </t>
  </si>
  <si>
    <t xml:space="preserve">Resgatar ilustração de um recorte de papel utilizando tesoura; disponível em g23_ftd_lt_2bam_167, 
Código antigo: i4023rm_2bam_g23_ftd_ly </t>
  </si>
  <si>
    <t>i1564_2p012m_g27_e002</t>
  </si>
  <si>
    <t xml:space="preserve">Resgatar ilustração de dois círculos e um retângulo, mesmos que aparecem na i1522_2p012m_g27_e002; disponível em g23_ftd_lt_2bam_167, 
Código antigo: i4024rm_2bam_g23_ftd_ly </t>
  </si>
  <si>
    <t>i1523_2p012m_g27_e002</t>
  </si>
  <si>
    <t xml:space="preserve">Resgatar ilustração de um cilindro na cor laranja; disponível em g23_ftd_lt_2bam_167_código it4057gu_2bam_g23_ftd </t>
  </si>
  <si>
    <t xml:space="preserve">i1524_2p012m_g27_e002 </t>
  </si>
  <si>
    <t xml:space="preserve">Resgatar ilustração de um pirata e um caminho em rumo a um tesouro; disponível em g23_ftd_lt_2bam_168_código i4021iv_2bam_g23_ftd </t>
  </si>
  <si>
    <t xml:space="preserve">i1525_2p012m_g27_e002 </t>
  </si>
  <si>
    <t>Resgatar ilustração de um Três triângulos dentro de triângulos maior formado por palitos amarelos; disponível em g23_ftd_lt_2bam_168_código i4022zz_2bam_g23_ftd</t>
  </si>
  <si>
    <t xml:space="preserve">i1526_2p012m_g27_e002 </t>
  </si>
  <si>
    <t xml:space="preserve">Resgatar ilustração de um paralelepípedo; disponível em g23_ftd_lt_2bam_169, 
Código antigo it4028sl_2bam_g23_ftd </t>
  </si>
  <si>
    <t xml:space="preserve">i1527_2p012m_g27_e002 </t>
  </si>
  <si>
    <t xml:space="preserve">Resgatar ilustração de um paralelepípedo sendo desmontado, sequência da i1526_2p012m_g27_e002; disponível em g23_ftd_lt_2bam_169, 
Código antigo it4029sl_2bam_g23_ftd </t>
  </si>
  <si>
    <t xml:space="preserve">i1528_2p012m_g27_e002 </t>
  </si>
  <si>
    <t xml:space="preserve">Resgatar ilustração da planificação do paralelepípedo da i1526_2p012m_g27_e002; disponível em g23_ftd_lt_2bam_169, 
código it4030sl_2bam_g23_ftd_ef </t>
  </si>
  <si>
    <t xml:space="preserve">i1529_2p012m_g27_e002 </t>
  </si>
  <si>
    <t xml:space="preserve">Resgatar ilustração dos polígonos da planificação da i1528_2p012m_g27_e002; disponível em g23_ftd_lt_2bam_169, 
código it4031sl_2bam_g23_ftd </t>
  </si>
  <si>
    <t xml:space="preserve">i1530_2p012m_g27_e002 </t>
  </si>
  <si>
    <t xml:space="preserve">Resgatar ilustração de um caixa azul; disponível em g23_ftd_lt_2bam_169, código antigo it4032sl_2bam_g23_ftd </t>
  </si>
  <si>
    <t xml:space="preserve">i1531_2p012m_g27_e002 </t>
  </si>
  <si>
    <t xml:space="preserve">Resgatar ilustração de um círculo na cor azul; disponível em g23_ftd_lt_2bam_169, código antigo it4033sl_2bam_g23_ftd </t>
  </si>
  <si>
    <t xml:space="preserve">i1532_2p012m_g27_e002 </t>
  </si>
  <si>
    <t xml:space="preserve">Resgatar ilustração de um triângulo na cor azul; disponível em g23_ftd_lt_2bam_169, código antigo it4034sl_2bam_g23_ftd </t>
  </si>
  <si>
    <t xml:space="preserve">i1533_2p012m_g27_e002 </t>
  </si>
  <si>
    <t xml:space="preserve">Resgatar ilustração de um quadrado na cor azul; disponível em g23_ftd_lt_2bam_169, código antigo it4035sl_2bam_g23_ftd </t>
  </si>
  <si>
    <t xml:space="preserve">i1534_2p012m_g27_e002 </t>
  </si>
  <si>
    <t xml:space="preserve">Resgatar ilustração de várias figuras geométricas dispostas em 4 fileiras; disponível em g23_ftd_lt_2bam_170, código it4036sl_2bam_g23_ftd </t>
  </si>
  <si>
    <t xml:space="preserve">i1535_2p012m_g27_e002 </t>
  </si>
  <si>
    <t xml:space="preserve">Resgatar ilustração de uma figura com um padrão de sequência de cores verde, vermelho e amarelo; disponível em g23_ftd_lt_2bam_170, código i4038rm_2bam_g23_ftd </t>
  </si>
  <si>
    <t>i1537_2p012m_g27_e002</t>
  </si>
  <si>
    <t xml:space="preserve">Resgatar ilustração de um quadrado verde e suas nomenclaturas; disponível em g23_ftd_lt_2bam_171 código it4039sl_2bam_g23_ftd </t>
  </si>
  <si>
    <t xml:space="preserve">i1538_2p012m_g27_e002 </t>
  </si>
  <si>
    <t xml:space="preserve">Resgatar ilustração de um triângulo azul e suas nomenclaturas; disponível em g23_ftd_lt_2bam_171 código it4040sl_2bam_g23_ftd </t>
  </si>
  <si>
    <t>i1539_2p012m_g27_e002</t>
  </si>
  <si>
    <t xml:space="preserve">Resgatar ilustração de um retângulo amarelo e suas nomenclaturas; disponível em g23_ftd_lt_2bam_171 código it4041sl_2bam_g23_ftd </t>
  </si>
  <si>
    <t xml:space="preserve">i1540_2p012m_g27_e002 </t>
  </si>
  <si>
    <t>Resgatar ilustração de 4 figuras geométricas em uma malha; disponível em g23_ftd_lt_2bam_172, código i4049zz_2bam_g23_ftd  
AJUSTE: Remover as figuras de resposta e deixar apenas os pontos de mesma cor que formam cada figura. (deixar apenas a figura amarela que é modelo para realizar os desenhos).</t>
  </si>
  <si>
    <t>ib</t>
  </si>
  <si>
    <t xml:space="preserve">i1541_2p012m_g27_e002 </t>
  </si>
  <si>
    <t xml:space="preserve">Resgatar ilustração de 3 quadrados verdes, 1 retângulo e 2 triângulos; disponível em g23_ftd_lt_2bam_172, código i4045rm_2bam_g23_ftd </t>
  </si>
  <si>
    <t xml:space="preserve">i1542_2p012m_g27_e002 </t>
  </si>
  <si>
    <t xml:space="preserve">Resgatar ilustração de um de 2 quadrados azuis, 2 retângulos verdes e 1 triângulo vermelho; disponível em g23_ftd_lt_2bam_1, 
Código antigo i4047rm_2bam_g23_ftd </t>
  </si>
  <si>
    <t xml:space="preserve">i1543_2p012m_g27_e002 </t>
  </si>
  <si>
    <t>Resgatar ilustração de 4 retângulos vermelhos e 1 triângulo azul; disponível em g23_ftd_lt_2bam_172, 
código i4046rm_2bam_g23_ftd</t>
  </si>
  <si>
    <t xml:space="preserve">i1544_2p012m_g27_e002 </t>
  </si>
  <si>
    <t xml:space="preserve">Resgatar ilustração de 4 triângulos verdes e 1 quadrado vermelho; disponível em g23_ftd_lt_2bam_172, 
código i4048rm_2bam_g23_ftd </t>
  </si>
  <si>
    <t xml:space="preserve">i1545_2p012m_g27_e002 </t>
  </si>
  <si>
    <t>Resgatar ilustração de um círculo, um quadrado e um retângulo com fundo cores vermelho, roxo e azul; disponível em g23_ftd_lt_2bam_173, código i4050gu_2bam_g23_ftd</t>
  </si>
  <si>
    <t xml:space="preserve">i1546_2p012m_g27_e002 </t>
  </si>
  <si>
    <t xml:space="preserve">Resgatar ilustração de um menino e uma menina sentados em frente a uma mesa; disponível em g23_ftd_lt_2bam_173, código i4051dc_2bam_g23_ftd_ef </t>
  </si>
  <si>
    <t xml:space="preserve">i1547_2p012m_g27_e002 </t>
  </si>
  <si>
    <t xml:space="preserve">Resgatar ilustração de quatro pessoas em frente a uma escola; disponível em g23_ftd_lt_2bam_p120, código i2801tc_2bam_g23_ftd </t>
  </si>
  <si>
    <t xml:space="preserve">i1548_2p012m_g27_e002 </t>
  </si>
  <si>
    <t xml:space="preserve">Resgatar ilustração do layout das poltronas de um cinema; disponível em g23_ftd_lt_2bam_p121, código i2822tc_2bam_g23_ftd </t>
  </si>
  <si>
    <t xml:space="preserve">i1549_2p012m_g27_e002 </t>
  </si>
  <si>
    <t xml:space="preserve">Resgatar ilustração de um quarto com 1 beliche e duas pessoas deitadas nela; disponível em g23_ftd_lt_2bam_p122_código i2803tc_2bam_g23_ftd </t>
  </si>
  <si>
    <t xml:space="preserve">i1551_2p012m_g27_e002 </t>
  </si>
  <si>
    <t xml:space="preserve">Resgatar ilustração de duas crianças brincando de tênis de mesa; disponível em g23_ftd_lt_2bam_p123, código i2802tc_2bam_g23_ftd_ef </t>
  </si>
  <si>
    <t>i1552_2p012m_g27_e002</t>
  </si>
  <si>
    <t xml:space="preserve">Resgatar ilustração da visão de cima de uma quadra de um bairro; disponível em g23_ftd_lt_2bam_p124, código i2804rm_2bam_g23_ftd </t>
  </si>
  <si>
    <t xml:space="preserve">i1553_2p012m_g27_e002 </t>
  </si>
  <si>
    <t xml:space="preserve">Resgatar ilustração da visão de cima de um bairro; disponível em g23_ftd_lt_2bam_p125, código i2805rm_2bam_g23_ftd </t>
  </si>
  <si>
    <t xml:space="preserve">i1554_2p012m_g27_e002 </t>
  </si>
  <si>
    <t xml:space="preserve">Resgatar ilustração da planta de uma casa; disponível em g23_ftd_lt_2bam_p126, código i2806rm_2bam_g23_ftd </t>
  </si>
  <si>
    <t xml:space="preserve">i1555_2p012m_g27_e002 </t>
  </si>
  <si>
    <t>Resgatar seta vermelha do g27_lt_2p012m, código i6143sl_2p012m_g27_e002_aj e renomear com o código acima.</t>
  </si>
  <si>
    <t>i1556_2p012m_g27_e002</t>
  </si>
  <si>
    <t>Resgatar ilustração de uma seta verde virada para a direita; disponível em g23_ftd_lt_2bam_p122_código i2813sl_2bam_g23_ftd  - AJUSTE: mudar a cor da seta para azul, no mesmo tom de azul da de código i6123sl_2p012m_g27_e002_aj (enviada na pasta), porém manter o formato dessa seta.</t>
  </si>
  <si>
    <t xml:space="preserve">i1557_2p012m_g27_e002 </t>
  </si>
  <si>
    <t>Resgatar ilustração de uma seta vermelha virada para a esquerda; disponível em g23_ftd_lt_2bam_p122_código i2814sl_2bam_g23_ftd  - AJUSTE: mudar a cor da seta para amarela, no mesmo tom de azul da de código i6142sl_2p012m_g27_e002_aj (enviada na pasta), porém manter o formato dessa seta.</t>
  </si>
  <si>
    <t xml:space="preserve">i1558_2p012m_g27_e002 </t>
  </si>
  <si>
    <t>Resgatar ilustração de um cachorro e um labirinto e um caminho até um pote de ração; disponível em g23_ftd_lt_2bam_p126 código i2808tc_2bam_g23_ftd  -</t>
  </si>
  <si>
    <t>i1559_2p012m_g27_e002</t>
  </si>
  <si>
    <t xml:space="preserve">i1560_2p012m_g27_e002 </t>
  </si>
  <si>
    <t>Resgatar seta azul do g27_lt_2p012m, código i1556_2p012m_g27_e002_aj e renomear com o código acima.</t>
  </si>
  <si>
    <t xml:space="preserve">i1561_2p012m_g27_e002 </t>
  </si>
  <si>
    <t>Resgatar seta amarela do g27_lt_2p012m, código i1557_2p012m_g27_e002_aj e renomear com o código acima.</t>
  </si>
  <si>
    <t xml:space="preserve">i1562_2p012m_g27_e002 </t>
  </si>
  <si>
    <t xml:space="preserve">Resgatar ilustração de um caminho usando locais da cidade como pontos de referências; disponível em g23_ftd_lt_2bam_p127_código i2809rm_2bam_g23_ftd </t>
  </si>
  <si>
    <t>i0903_2p012m_g27_e002</t>
  </si>
  <si>
    <t>Resgatar ilustração de uma pessoa olhando uma vitrine de roupas; disponível em g23_ftd_lt_2bam_p088 código antigo i2001rt_2bam_g23_ftd</t>
  </si>
  <si>
    <t>i0904_2p012m_g27_e002</t>
  </si>
  <si>
    <t>Resgatar ilustração de 1 placa e 5 cubinhos do material dourado; disponível em g23_ftd_lt_2bam_p088 código antigo i2002_2bam_g23_ftd_re</t>
  </si>
  <si>
    <t>i0905_2p012m_g27_e002</t>
  </si>
  <si>
    <t>Resgatar ilustração de 1 placa, 4 barras e 2 cubinhos do material dourado; disponível em g23_ftd_lt_2bam_p08 código antigo i2003_2bam_g23_ftd_re</t>
  </si>
  <si>
    <t>i0906_2p012m_g27_e002</t>
  </si>
  <si>
    <t>Resgatar ilustração de 2 placas, 4 barras e 7 cubinhos; disponível em g23_ftd_lt_2bam_p088 código antigo i2005_2bam_g23_ftd_re</t>
  </si>
  <si>
    <t>i0907_2p012m_g27_e002</t>
  </si>
  <si>
    <t xml:space="preserve">Resgatar ilustração de pipoqueiro entregando pipocas a uma criança acompanhada de um adulto; disponível em g23_ftd_lt_2bam_p090 código antigo i2006rt_2bam_g23_ftd
AJUSTE: ajustar deixando o pipoqueiro um homem de cor branca e criança negra acompanhada também com adulto negro. </t>
  </si>
  <si>
    <t>i0908_2p012m_g27_e002</t>
  </si>
  <si>
    <t>Resgatar ilustração de 3 casas lado a lado a distâncias medida em passos; disponível em g23_ftd_lt_2bam_p091 código antigo i2007rt_2bam_g23_ftd</t>
  </si>
  <si>
    <t>i0909_2p012m_g27_e002</t>
  </si>
  <si>
    <t>Resgatar ilustração de um ábaco representando o número 999; disponível em g23_ftd_lt_2bam_p091 código antigo i2009zz_2bam_g23_ftd</t>
  </si>
  <si>
    <t>excluída pela equipe</t>
  </si>
  <si>
    <t>i0910_2p012m_g27_e002</t>
  </si>
  <si>
    <t>Resgatar ilustração de um ábaco representando o número 898; disponível em g23_ftd_lt_2bam_p091 código antigo i2010zz_2bam_g23_ftd</t>
  </si>
  <si>
    <t>i0911_2p012m_g27_e002</t>
  </si>
  <si>
    <t>Resgatar ilustração de um ábaco representando o número 577; disponível em g23_ftd_lt_2bam_p091 código antigo i2011zz_2bam_g23_ftd</t>
  </si>
  <si>
    <t>i0912_2p012m_g27_e002</t>
  </si>
  <si>
    <t xml:space="preserve">Resgatar ilustração de um ábaco representando o número 637; disponível em g23_ftd_lt_2bam_p091 código antigo i2012zz_2bam_g23_ftd </t>
  </si>
  <si>
    <t>i0913_2p012m_g27_e002</t>
  </si>
  <si>
    <t>Resgatar ilustração de uma caixa de papelão com roupas para doação; disponível em g23_ftd_lt_2bam_p092 código antigo i2030lp_2bam_g23_ftd</t>
  </si>
  <si>
    <t>lp</t>
  </si>
  <si>
    <t>i0914_2p012m_g27_e002</t>
  </si>
  <si>
    <t>Resgatar ilustração de 1 placa e 8 barras e 7 cubinhos do material dourado; disponível em g23_ftd_lt_2bam_p092 código antigo i2013_2bam_g23_ftd_re</t>
  </si>
  <si>
    <t>i0915_2p012m_g27_e002</t>
  </si>
  <si>
    <t>Resgatar ilustração de 2 placas, 3 barras e 4 cubinhos do material dourado; disponível em g23_ftd_lt_2bam_p092 código antigo i2014_2bam_g23_ftd_re</t>
  </si>
  <si>
    <t>i0916_2p012m_g27_e002</t>
  </si>
  <si>
    <t>Resgatar ilustração de 3 placas, 11 barras e 11 cubinhos do material dourado; disponível em g23_ftd_lt_2bam_p092 código antigo i2015_2bam_g23_ftd_re</t>
  </si>
  <si>
    <t>i0917_2p012m_g27_e002</t>
  </si>
  <si>
    <t>Resgatar ilustração de 4 placas, 2 barras e 1 cubinho; disponível em g23_ftd_lt_2bam_p092 código antigo i2031_2bam_g23_ftd_re</t>
  </si>
  <si>
    <t>i0918_2p012m_g27_e002</t>
  </si>
  <si>
    <t>Resgatar ilustração de um menino como se estivesse pensando; disponível em g23_ftd_lt_2bam_p094 código antigo i2028lp_2bam_g23_ftd</t>
  </si>
  <si>
    <t>g0931_2p012m_g27_e002</t>
  </si>
  <si>
    <t xml:space="preserve">Resgatar e AJUSTAR ilustração de um gráfico de barras sobre lazer preferido da família de Marlene; disponível em g23_ftd_lt_2bam_185,
Código antigo: gt4413gu_2bam_g23_ftd
AJUSTE: retirar colunas em cor resposta
</t>
  </si>
  <si>
    <t>i0920_2p012m_g27_e002</t>
  </si>
  <si>
    <t>Resgatar ilustração de 2 placas, sendo 1 riscada, 5 barras, sendo 3 riscadas e 6 cubinhos, sendo 2 riscados do material dourado; disponível em g23_ftd_lt_2bam_p096 código i2017_2bam_g23_ftd_re
AJUSTE: riscar 1 placa com fio preto, riscar 3 barras com fio preto e riscar 2 cubinhos com fio preto conforme indicado a seguir.</t>
  </si>
  <si>
    <t>i0921_2p012m_g27_e002</t>
  </si>
  <si>
    <t>Resgatar ilustração de 1 placa, 2 barras e 4 cubinhos do material dourado; disponível em g23_ftd_lt_2bam_p096 código antigo i2018_2bam_g23_ftd_re</t>
  </si>
  <si>
    <t>i0922_2p012m_g27_e002</t>
  </si>
  <si>
    <t>Resgatar ilustração de uma folha de caderno e um lápis ao lado; disponível em g23_ftd_lt_2bam_p098 código antigo i2032rt_2bam_g23_ftd</t>
  </si>
  <si>
    <t>i0923_2p012m_g27_e002</t>
  </si>
  <si>
    <t>Resgatar ilustração de uma moça escolhendo uma batedeira para comprar; disponível em g23_ftd_lt_2bam_p099 código antigo i2019rt_2bam_g23_ftd
AJUSTE: mudar o valor de 69 reais para 94 reais na batedeira azul.</t>
  </si>
  <si>
    <t>i0924_2p012m_g27_e002</t>
  </si>
  <si>
    <t>Resgatar ilustração de uma menina e um menino jogando videogame; disponível em g23_ftd_lt_2bam_p100 código antigo i2021rt_2bam_g23_ftd</t>
  </si>
  <si>
    <t>i0925_2p012m_g27_e002</t>
  </si>
  <si>
    <t>Resgatar a ajustar ilustração de 2 placas, 2 barras e 3 cubinhos, sendo 2 riscados do material dourado; disponível em g23_ftd_lt_2bam_p100 código i2023_2bam_g23_ftd_re 
AJUSTE: riscar 2 cubinhos com fio preto conforme indicado a seguir.</t>
  </si>
  <si>
    <t>i0926_2p012m_g27_e002</t>
  </si>
  <si>
    <t>Resgatar e ajustar ilustração de 1 placa sendo esta riscada, 12 barras sendo 9 riscadas e 3 cubinhos, sendo 2 riscados do material dourado; disponível em g23_ftd_lt_2bam_p100 código antigo i2025_2bam_g23_ftd_re
AJUSTE: riscar 1 placa com fio preto, 9 barras com fio preto e 2 cubinhos com fio preto conforme indicado a seguir.</t>
  </si>
  <si>
    <t>i0927_2p012m_g27_e002</t>
  </si>
  <si>
    <t>Resgatar ilustração de uma menina como se estivesse pensando; disponível em g23_ftd_lt_2bam_p102 código antigo i2034lp_2bam_g23_ftd</t>
  </si>
  <si>
    <t>i0928_2p012m_g27_e002</t>
  </si>
  <si>
    <t>Resgatar ilustração de uma oferta de um televisor e um sofá em duas lojas distintas; disponível em g23_ftd_lt_2bam_p104 código antigo i2026lp_2bam_g23_ftd</t>
  </si>
  <si>
    <t>i0929_2p012m_g27_e002</t>
  </si>
  <si>
    <t>Resgatar ilustração de uma menina e um menino jogando um jogo em cima de uma mesa; disponível em g23_ftd_lt_2bam_p105 código antigo i2027tc_2bam_g23_ftd_ef</t>
  </si>
  <si>
    <t xml:space="preserve">i1702_2p012m_g27_e002 </t>
  </si>
  <si>
    <t>Resgatar ilustração do quarto com caixas do g23_ftd_lt_2bam_p146 código antigo i3605kb_2bam_g23_ftd_ef</t>
  </si>
  <si>
    <t xml:space="preserve">i1703_2p012m_g27_e002 </t>
  </si>
  <si>
    <t xml:space="preserve">Resgatar ilustração da menina do falando do g23_ftd_lt_2bam_p147 código antigo i3643iv_2bam_g23_ftd </t>
  </si>
  <si>
    <t xml:space="preserve">i1706_2p012m_g27_e002 </t>
  </si>
  <si>
    <t xml:space="preserve">Resgatar ilustração dos alunos conversando sobre divisão do g23_ftd_lt_2bam_p148 código antigo i3606kb_2bam_g23_ftd </t>
  </si>
  <si>
    <t xml:space="preserve">i1707_2p012m_g27_e002 </t>
  </si>
  <si>
    <t>Resgatar ilustração de 16 laranjas do g23_ftd_lt_2bam_p148 código antigo i3607kd_2bam_g23_ftd</t>
  </si>
  <si>
    <t>i1708_2p012m_g27_e002</t>
  </si>
  <si>
    <t xml:space="preserve">Resgatar ilustração do contorno de 16 laranjas do g23_ftd_lt_2bam_p148 código antigo i3644iv_2bam_g23_ftd </t>
  </si>
  <si>
    <t xml:space="preserve">i1710_2p012m_g27_e002 </t>
  </si>
  <si>
    <t xml:space="preserve">Resgatar ilustração de umas revistas do g23_ftd_lt_2bam_p150 código antigo i3609kd_2bam_g23_ftd </t>
  </si>
  <si>
    <t xml:space="preserve">i1712_2p012m_g27_e002 </t>
  </si>
  <si>
    <t xml:space="preserve">Resgatar ilustração das figurinhas do g23_ftd_lt_2bam_p150 código antigo i3613kb_2bam_g23_ftd </t>
  </si>
  <si>
    <t xml:space="preserve">i1713_2p012m_g27_e002 </t>
  </si>
  <si>
    <t>Resgatar ilustração das colheitas de morango do g23_ftd_lt_2bam_p151 código antigo i3614kd_2bam_g23_ftd 
AJUSTE - separar a il em A (12 morangos); B (6 morangos) e C (3 morangos) separando cada conjunto de morangos</t>
  </si>
  <si>
    <t xml:space="preserve">i1714_2p012m_g27_e002 </t>
  </si>
  <si>
    <t xml:space="preserve">Resgatar ilustração do senhor Jonas pensando em construção de bonecos do g23_ftd_lt_2bam_p152 código antigo i3617kb_2bam_g23_ftd </t>
  </si>
  <si>
    <t xml:space="preserve">i1715_2p012m_g27_e002 </t>
  </si>
  <si>
    <t xml:space="preserve">Resgatar ilustração da régua saltando de 3 cm do g23_ftd_lt_2bam_p152 código antigo i3618zz_2bam_g23_ftd </t>
  </si>
  <si>
    <t xml:space="preserve">i1716_2p012m_g27_e002 </t>
  </si>
  <si>
    <t xml:space="preserve">Resgatar ilustração da menina falando do g23_ftd_lt_2bam_p152 código antigo i3619iv_2bam_g23_ftd </t>
  </si>
  <si>
    <t xml:space="preserve">i1717_2p012m_g27_e002 </t>
  </si>
  <si>
    <t xml:space="preserve">Resgatar ilustração da sala de aula vista de cima do g23_ftd_lt_2bam_p152 código antigo i3620kb_2bam_g23_ftd </t>
  </si>
  <si>
    <t xml:space="preserve">i1718_2p012m_g27_e002 </t>
  </si>
  <si>
    <t xml:space="preserve">Resgatar ilustração de um menino ao lado de uma mesa com pilhas de jogos do g23_ftd_lt_2bam_p154 código antigo i3621tc_2bam_g23_ftd_ef </t>
  </si>
  <si>
    <t xml:space="preserve">i1720_2p012m_g27_e002 </t>
  </si>
  <si>
    <t xml:space="preserve">Resgatar ilustração de 24 carrinhos vermelhos do g23_ftd_lt_2bam_p154 código antigo i3622tc_2bam_g23_ftd </t>
  </si>
  <si>
    <t xml:space="preserve">i1721_2p012m_g27_e002 </t>
  </si>
  <si>
    <t>Resgatar ilustração da esfirras do g23_ftd_lt_2bam_p155 código antigo i3623tc_2bam_g23_ftd_ef</t>
  </si>
  <si>
    <t>foi cadastrada novamente com o mesmo código</t>
  </si>
  <si>
    <t xml:space="preserve">i1722_2p012m_g27_e002 </t>
  </si>
  <si>
    <t>Vamos Concluir</t>
  </si>
  <si>
    <t xml:space="preserve">Resgatar ilustração dos enfeites do g23_ftd_lt_2bam_p156 código antigo i3624tc_2bam_g23_ftd </t>
  </si>
  <si>
    <t>aplicada na seção vamos concluir  p. 252</t>
  </si>
  <si>
    <t xml:space="preserve">i1723_2p012m_g27_e002 </t>
  </si>
  <si>
    <t xml:space="preserve">Resgatar ilustração dos bonés do g23_ftd_lt_2bam_p156 código antigo i3625tc_2bam_g23_ftd </t>
  </si>
  <si>
    <t xml:space="preserve">i1724_2p012m_g27_e002 </t>
  </si>
  <si>
    <t xml:space="preserve">Resgatar ilustração das 5 embalagens de canetas coloridas do g23_ftd_lt_2bam_p157 código antigo i3627tc_2bam_g23_ftd </t>
  </si>
  <si>
    <t xml:space="preserve">i1725_2p012m_g27_e002 </t>
  </si>
  <si>
    <t xml:space="preserve">Resgatar ilustração da caixa de sabonetes do g23_ftd_lt_2bam_p157 código antigo i3628tc_2bam_g23_ftd </t>
  </si>
  <si>
    <t xml:space="preserve">i1727_2p012m_g27_e002 </t>
  </si>
  <si>
    <t xml:space="preserve">Resgatar ilustração do caminho com resultados iguais do g23_ftd_lt_2bam_p159 código antigo i3629tc_2bam_g23_ftd </t>
  </si>
  <si>
    <t xml:space="preserve">i1902_2p012m_g27_e002 </t>
  </si>
  <si>
    <t xml:space="preserve">Resgatar ilustração das mulheres fazendo compras do g23_ftd_lt_2bam_p192, código antigo i4844ec_2bam_g23_ftd </t>
  </si>
  <si>
    <t xml:space="preserve">i1907_2p012m_g27_e002 </t>
  </si>
  <si>
    <t>Resgatar ilustração da balança com abacaxi e maça do g23_ftd_lt_2bam_p193, código antigo i4849rm_2bam_g23_ftd</t>
  </si>
  <si>
    <t>HELOÍSA PINTARELLI/SERGIO LIMA/ARQUIVO DA EDITORA</t>
  </si>
  <si>
    <t xml:space="preserve">i1908_2p012m_g27_e002 </t>
  </si>
  <si>
    <t>Resgatar ilustração da balança com abacaxi e jaca do g23_ftd_lt_2bam_p193, código antigo i4850rm_2bam_g23_ftd</t>
  </si>
  <si>
    <t xml:space="preserve">i1913_2p012m_g27_e002 </t>
  </si>
  <si>
    <t xml:space="preserve">Resgatar ilustração da balança da bola com o livro do g23_ftd_lt_2bam_p195, código antigo i4856rm_2bam_g23_ftd </t>
  </si>
  <si>
    <t>i1914_2p012m_g27_e002</t>
  </si>
  <si>
    <t xml:space="preserve">Resgatar ilustração da balança da bola com o livro do g23_ftd_lt_2bam_p195, código antigo i4858rm_2bam_g23_ftd </t>
  </si>
  <si>
    <t xml:space="preserve">i1915_2p012m_g27_e002 </t>
  </si>
  <si>
    <t xml:space="preserve">Resgatar ilustração da balança da bola com o livro do g23_ftd_lt_2bam_p195, código antigo i4857rm_2bam_g23_ftd </t>
  </si>
  <si>
    <t xml:space="preserve">g1916_2p012m_g27_e002 </t>
  </si>
  <si>
    <t xml:space="preserve">Resgatar ilustração de um gráfico de barras sobre material reciclável; disponível em g23_ftd_lt_2bam_182, 
código antigo i4407rm_2bam_g23_ftd </t>
  </si>
  <si>
    <t xml:space="preserve">i1917_2p012m_g27_e002 </t>
  </si>
  <si>
    <t xml:space="preserve">Resgatar ilustração de uma barrinha retangular laranja; disponível em g23_ftd_lt_2bam_182, 
código antigo i4408rm_2bam_g23_ftd </t>
  </si>
  <si>
    <t xml:space="preserve">i1918_2p012m_g27_e002 </t>
  </si>
  <si>
    <t xml:space="preserve">Resgatar ilustração do menino falando do g23_ftd_lt_2bam_p196, 
código antigo i4859ec_2bam_g23_ftd </t>
  </si>
  <si>
    <t xml:space="preserve">i1919_2p012m_g27_e002 </t>
  </si>
  <si>
    <t xml:space="preserve">Resgatar ilustração dos recipientes do g23_ftd_lt_2bam_p196, 
código antigo i4860rm_2bam_g23_ftd </t>
  </si>
  <si>
    <t xml:space="preserve">i1920_2p012m_g27_e002 </t>
  </si>
  <si>
    <t xml:space="preserve">Resgatar ilustração dos recipientes na mesa do g23_ftd_lt_2bam_p197, código antigo i4861rm_2bam_g23_ftd </t>
  </si>
  <si>
    <t xml:space="preserve">i1921_2p012m_g27_e002 </t>
  </si>
  <si>
    <t xml:space="preserve">Resgatar ilustração do recipiente com 4 copos iguais do g23_ftd_lt_2bam_p197, 
código antigo i4906brm_2bam_g23_ftd </t>
  </si>
  <si>
    <t xml:space="preserve">i1922_2p012m_g27_e002 </t>
  </si>
  <si>
    <t xml:space="preserve">Resgatar ilustração dos recipientes de três copos com água do g23_ftd_lt_2bam_p197, 
código antigo i4906arm_2bam_g23_ftd </t>
  </si>
  <si>
    <t xml:space="preserve">i1923_2p012m_g27_e002 </t>
  </si>
  <si>
    <t xml:space="preserve">Resgatar ilustração do moço e a atendente no supermercado do g23_ftd_lt_2bam_p198, 
código antigo i4883ec_2bam_g23_ftd </t>
  </si>
  <si>
    <t xml:space="preserve">i1924_2p012m_g27_e002 </t>
  </si>
  <si>
    <t xml:space="preserve">Resgatar ilustração das embalagens do g23_ftd_lt_2bam_p198, 
código antigo i4864rm_2bam_g23_ftd </t>
  </si>
  <si>
    <t xml:space="preserve">i1925_2p012m_g27_e002 </t>
  </si>
  <si>
    <t xml:space="preserve">Resgatar ilustração do recipiente do g23_ftd_lt_2bam_p199, 
código antigo i4907arm_2bam_g23_ftd </t>
  </si>
  <si>
    <t xml:space="preserve">i1926_2p012m_g27_e002 </t>
  </si>
  <si>
    <t>Resgatar ilustração do recipiente do g23_ftd_lt_2bam_p199, 
código antigo i4907brm_2bam_g23_ftd 
Imagem de um recipiente dividido em 5 partes iguais, com líquido em 5 partes.</t>
  </si>
  <si>
    <t xml:space="preserve">i1927_2p012m_g27_e002 </t>
  </si>
  <si>
    <t xml:space="preserve">Resgatar ilustração do recipiente do g23_ftd_lt_2bam_p199, 
código antigo i4907crm_2bam_g23_ftd </t>
  </si>
  <si>
    <t xml:space="preserve">i1928_2p012m_g27_e002 </t>
  </si>
  <si>
    <t xml:space="preserve">Resgatar ilustração do recipiente do g23_ftd_lt_2bam_p199, 
código antigo i4907drm_2bam_g23_ftd </t>
  </si>
  <si>
    <t xml:space="preserve">i1929_2p012m_g27_e002 </t>
  </si>
  <si>
    <t xml:space="preserve">Ilustração NOVA de um calendário completo de 2027, do padrão </t>
  </si>
  <si>
    <t>cj</t>
  </si>
  <si>
    <t>padrão</t>
  </si>
  <si>
    <t xml:space="preserve">i1930_2p012m_g27_e002 </t>
  </si>
  <si>
    <t xml:space="preserve">Ilustração NOVA do calendário do padrão, do mês de novembro de 2027 </t>
  </si>
  <si>
    <t xml:space="preserve">i1931_2p012m_g27_e002 </t>
  </si>
  <si>
    <t xml:space="preserve">Resgatar ilustração da menina com uma caderneta do g23_ftd_lt_2bam_p202, código antigo 1i4867ec_2bam_g23_ftd </t>
  </si>
  <si>
    <t xml:space="preserve">g1936_2p012m_g27_e002 </t>
  </si>
  <si>
    <t xml:space="preserve">Resgatar ilustração de um gráfico sobre filmes assistidos por Juliana; disponível em g23_ftd_lt_2bam_183, código antigo gt4409gu_2bam_g23_ftd </t>
  </si>
  <si>
    <t xml:space="preserve">i1939_2p012m_g27_e002 </t>
  </si>
  <si>
    <t xml:space="preserve">Resgatar ilustração do relógio analógico marcando as 7 horas do g23_ftd_lt_2bam_p204, código antigo i4872zz_2bam_g23_ftd </t>
  </si>
  <si>
    <t xml:space="preserve">i1940_2p012m_g27_e002 </t>
  </si>
  <si>
    <t xml:space="preserve">Resgatar ilustração do relógio analógico marcando as 7 horas do g23_ftd_lt_2bam_p204, código antigo i4873zz_2bam_g23_ftd </t>
  </si>
  <si>
    <t xml:space="preserve">i1943_2p012m_g27_e002 </t>
  </si>
  <si>
    <t xml:space="preserve">Resgatar ilustração do relógio do g23_ftd_lt_2bam_p205, código antigo i4876zz_2bam_g23_ftd </t>
  </si>
  <si>
    <t xml:space="preserve">i1944_2p012m_g27_e002 </t>
  </si>
  <si>
    <t>Resgatar ilustração do relógio do 6 horas do g23_ftd_lt_2bam_p205, código antigo i4877zz_2bam_g23_ftd
AJUSTE: Retirar os ponteiros em cor resposta.</t>
  </si>
  <si>
    <t>Tamires Azevedo</t>
  </si>
  <si>
    <t xml:space="preserve">i1945_2p012m_g27_e002 </t>
  </si>
  <si>
    <t>Resgatar ilustração do relógio do 6 horas do g23_ftd_lt_2bam_p205, código antigo i4878zz_2bam_g23_ftd
AJUSTE: Retirar os ponteiros em cor resposta.</t>
  </si>
  <si>
    <t xml:space="preserve">i1946_2p012m_g27_e002 </t>
  </si>
  <si>
    <t>Resgatar ilustração do relógio do 6 horas do g23_ftd_lt_2bam_p205, código antigo i4879zz_2bam_g23_ftd
AJUSTE: Retirar os ponteiros em cor resposta.</t>
  </si>
  <si>
    <t xml:space="preserve">i1947_2p012m_g27_e002 </t>
  </si>
  <si>
    <t xml:space="preserve">Resgatar ilustração do relógio do g23_ftd_lt_2bam_p205, código antigo i4880zz_2bam_g23_ftd </t>
  </si>
  <si>
    <t xml:space="preserve">i1948_2p012m_g27_e002 </t>
  </si>
  <si>
    <t xml:space="preserve">Resgatar ilustração do relógio do g23_ftd_lt_2bam_p205, código antigo i4880bzz_2bam_g23_ftd </t>
  </si>
  <si>
    <t xml:space="preserve">i1949_2p012m_g27_e002 </t>
  </si>
  <si>
    <t xml:space="preserve">Resgatar ilustração do menino vendo horário 7:00 do g23_ftd_lt_2bam_p206, código antigo i4882Aec_2bam_g23_ftd </t>
  </si>
  <si>
    <t xml:space="preserve">i1950_2p012m_g27_e002 </t>
  </si>
  <si>
    <t xml:space="preserve">Resgatar ilustração do menino vendo horário 19:00 do g23_ftd_lt_2bam_p206, código antigo i4882Bec_2bam_g23_ftd </t>
  </si>
  <si>
    <t xml:space="preserve">i1951_2p012m_g27_e002 </t>
  </si>
  <si>
    <t xml:space="preserve">Resgatar ilustração do horário das 9h do g23_ftd_lt_2bam_p206, código antigo i4884zz_2bam_g23_ftd </t>
  </si>
  <si>
    <t xml:space="preserve">i1952_2p012m_g27_e002 </t>
  </si>
  <si>
    <t>Resgatar ilustração do horário das 5h do g23_ftd_lt_2bam_p206, código antigo i4885zz_2bam_g23_ftd</t>
  </si>
  <si>
    <t xml:space="preserve">i1953_2p012m_g27_e002 </t>
  </si>
  <si>
    <t xml:space="preserve">Resgatar ilustração do horário das 2h do g23_ftd_lt_2bam_p206, código antigo i4886zz_2bam_g23_ftd </t>
  </si>
  <si>
    <t xml:space="preserve">i1954_2p012m_g27_e002 </t>
  </si>
  <si>
    <t xml:space="preserve">Resgatar ilustração do horário das 4h do g23_ftd_lt_2bam_p206, código antigo i4881zz_2bam_g23_ftd </t>
  </si>
  <si>
    <t xml:space="preserve">i1955_2p012m_g27_e002 </t>
  </si>
  <si>
    <t xml:space="preserve">Resgatar ilustração do relógio digital marcando 14 horas do g23_ftd_lt_2bam_p207, código antigo i4887zz_2bam_g23_ftd </t>
  </si>
  <si>
    <t xml:space="preserve">i1957_2p012m_g27_e002 </t>
  </si>
  <si>
    <t>Resgatar ilustração da mãe e do menino conversando no quarto do g23_ftd_lt_2bam_p208, código antigo i4840Aiv_2bam_g23_ftd</t>
  </si>
  <si>
    <t xml:space="preserve">i1958_2p012m_g27_e002 </t>
  </si>
  <si>
    <t>Resgatar ilustração da mãe e do menino conversando no quarto do g23_ftd_lt_2bam_p208, código antigo i4840Biv_2bam_g23_ftd_ef</t>
  </si>
  <si>
    <t xml:space="preserve">i1961_2p012m_g27_e002 </t>
  </si>
  <si>
    <t xml:space="preserve">Resgatar ilustração de uma barrinha retangular amarela; disponível em g23_ftd_lt_2bam_184, 
código antigo: it4420gu_2bam_g23_ftd </t>
  </si>
  <si>
    <t xml:space="preserve">i0102_3p012m_g27_e002 </t>
  </si>
  <si>
    <t xml:space="preserve">Resgatar ilustração dois meninos jogando basquetebol; disponível em g23_ftd_lt_3bam_p012. Código antigo: i0423iv_3bam_g23_ftd </t>
  </si>
  <si>
    <t xml:space="preserve">i0103_3p012m_g27_e002 </t>
  </si>
  <si>
    <t xml:space="preserve">Resgatar ilustração uma moça em uma barraca de maças; disponível em g23_ftd_lt_3bam_p012. Código antigo: i0424iv_3bam_g23_ftd </t>
  </si>
  <si>
    <t xml:space="preserve">i0104_3p012m_g27_e002 </t>
  </si>
  <si>
    <t xml:space="preserve">Resgatar ilustração do calendário do mês de Novembro; disponível em g23_ftd_lt_3bam_p012. Código antigo: i0425iv_3bam_g23_ftd </t>
  </si>
  <si>
    <t>Excluída pela equipe.</t>
  </si>
  <si>
    <t xml:space="preserve">i0105_3p012m_g27_e002 </t>
  </si>
  <si>
    <t>Resgatar ilustração de aparelho celular com um número na tela; disponível em g23_ftd_lt_3bam_p012. Código antigo: i0426iv_3bam_g23_ftd</t>
  </si>
  <si>
    <t xml:space="preserve">i0106_3p012m_g27_e002 </t>
  </si>
  <si>
    <t xml:space="preserve">Resgatar ilustração de uma esfera de madeira; disponível em g23_ftd_lt_3bam_p013. Código antigo: it0427sl_3bam_g23_ftd. </t>
  </si>
  <si>
    <t>i0107_3p012m_g27_e002</t>
  </si>
  <si>
    <t xml:space="preserve">Resgatar ilustração de um cubo de madeira; disponível em g23_ftd_lt_3bam_p013. Código antigo: it0428sl_3bam_g23_ftd </t>
  </si>
  <si>
    <t xml:space="preserve">i0108_3p012m_g27_e002 </t>
  </si>
  <si>
    <t xml:space="preserve">Resgatar ilustração de um paralelepípedo de madeira; disponível em g23_ftd_lt_3bam_p013. Código antigo: it0429sl_3bam_g23_ftd </t>
  </si>
  <si>
    <t xml:space="preserve">i0109_3p012m_g27_e002 </t>
  </si>
  <si>
    <t xml:space="preserve">Resgatar ilustração de uma pirâmide de madeira; disponível em g23_ftd_lt_3bam_p013. Código antigo: it0430sl_3bam_g23_ftd </t>
  </si>
  <si>
    <t xml:space="preserve">g0110_3p012m_g27_e002 </t>
  </si>
  <si>
    <t xml:space="preserve">Resgatar ilustração de quadro em forma de tabela com objetos de geometria espacial; disponível em g23_ftd_lt_3bam_p013. Código antigo: gt0435sl_3bam_g23_ftd 
Arte: Excluir quadrinhos em cor resposta e ajustar valores do eixo horizontal para que fique de 10 em 10 (de 0 a 80, manter mesmas divisões, apenas acrescentar o zero para que virem dezenas) </t>
  </si>
  <si>
    <t xml:space="preserve">i0111_3p012m_g27_e002 </t>
  </si>
  <si>
    <t>Resgatar ilustração de um notebook roxo mostrando a tela e o teclado; disponível em g23_ftd_lt_3bam_p014. Código antigo: i0436zz_3bam_g23_ftd 
AJUSTE: retirar a tabela do computador a fim de ganhar mais espaço e inserir o título: Classificação
das crianças em um jogo. e a Fonte de pesquisa: anotações de um espectador. Conforme a referência
a seguir.</t>
  </si>
  <si>
    <t>ja</t>
  </si>
  <si>
    <t>PADRÃO</t>
  </si>
  <si>
    <t xml:space="preserve">i0116_3p012m_g27_e002 </t>
  </si>
  <si>
    <t xml:space="preserve">Resgatar ilustração uma etiqueta de embalagem com endereço e nome fixado; disponível em g23_ftd_lt_3bam_p015. Código antigo: i0441rm_3bam_g23_ftd </t>
  </si>
  <si>
    <t xml:space="preserve">i0117_3p012m_g27_e002 </t>
  </si>
  <si>
    <t xml:space="preserve">Resgatar ilustração de 1 unidade do material dourado; disponível em g23_ftd_lt_3bam_p016. Código antigo: i0442ZZ_3bam_g23_ftd 
Imagem de um cubinho. </t>
  </si>
  <si>
    <t xml:space="preserve">i0118_3p012m_g27_e002 </t>
  </si>
  <si>
    <t xml:space="preserve">Resgatar ilustração 10 unidades e 1 dezena do material dourado; disponível em g23_ftd_lt_3bam_p013. Código antigo: i0443zz_3bam_g23_ftd 
Ajuste: separar ils em A e B e retirar a seta, sendo i0118A: os 10 cubinhos; i0118B: uma barrinha </t>
  </si>
  <si>
    <t xml:space="preserve">i0119_3p012m_g27_e002 </t>
  </si>
  <si>
    <t>Resgatar ilustração 10 dezenas e 1 centena do material dourado; disponível em g23_ftd_lt_3bam_p016. Código antigo: i0444zz_3bam_g23_ftd 
Ajuste: separar ils em A e B e retirar a seta, sendo i0119A: as 10 barrinhas; i0119B: uma placa</t>
  </si>
  <si>
    <t xml:space="preserve">i0120_3p012m_g27_e002 </t>
  </si>
  <si>
    <t xml:space="preserve">Resgatar ilustração de 2 centenas do material dourado; disponível em g23_ftd_lt_3bam_p017. Código antigo: i0445zz_3bam_g23_ftd </t>
  </si>
  <si>
    <t>i0121_3p012m_g27_e002</t>
  </si>
  <si>
    <t xml:space="preserve">Resgatar ilustração 5 dezenas do material dourado; disponível em g23_ftd_lt_3bam_p017. Código antigo: i0446zz_3bam_g23_ftd </t>
  </si>
  <si>
    <t xml:space="preserve"> i0122_3p012m_g27_e002 </t>
  </si>
  <si>
    <t xml:space="preserve">Resgatar ilustração 6 unidades do material dourado; disponível em g23_ftd_lt_3bam_p017. Código antigo: i0447zz_3bam_g23_ftd </t>
  </si>
  <si>
    <t xml:space="preserve">i0123_3p012m_g27_e002 </t>
  </si>
  <si>
    <t xml:space="preserve">Resgatar ilustração 4 centenas do material dourado; disponível em g23_ftd_lt_3bam_p017. Código antigo: i0448zz_3bam_g23_ftd </t>
  </si>
  <si>
    <t xml:space="preserve">i0124_3p012m_g27_e002 </t>
  </si>
  <si>
    <t xml:space="preserve">Resgatar ilustração 3 dezenas do material dourado; disponível em g23_ftd_lt_3bam_p017. Código antigo: i0449zz_3bam_g23_ftd </t>
  </si>
  <si>
    <t xml:space="preserve">i0125_3p012m_g27_e002 </t>
  </si>
  <si>
    <t xml:space="preserve">Resgatar ilustração 9 unidades do material dourado; disponível em g23_ftd_lt_3bam_p017. Código antigo: i0450zz_3bam_g23_ftd </t>
  </si>
  <si>
    <t xml:space="preserve">i0126_3p012m_g27_e002 </t>
  </si>
  <si>
    <t xml:space="preserve">Resgatar ilustração de 6 centenas do material dourado; disponível em g23_ftd_lt_3bam_p017. Código antigo: i0451zz_3bam_g23_ftd </t>
  </si>
  <si>
    <t xml:space="preserve">i0127_3p012m_g27_e002 </t>
  </si>
  <si>
    <t xml:space="preserve">Resgatar ilustração 4 unidades do material dourado; disponível em g23_ftd_lt_3bam_p017. Código antigo: i0452zz_3bam_g23_ftd </t>
  </si>
  <si>
    <t xml:space="preserve">i0128_3p012m_g27_e002 </t>
  </si>
  <si>
    <t>Resgatar ilustração 9 centenas, 9 dezenas e 9 unidades do material dourado; disponível em g23_ftd_lt_3bam_p018. Código antigo: i0453zz_3bam_g23_ftd 
Imagem de material dourado contendo 9 placas, 9 barras e 9 cubinhos.</t>
  </si>
  <si>
    <t xml:space="preserve">i0129_3p012m_g27_e002 </t>
  </si>
  <si>
    <t xml:space="preserve">Resgatar ilustração de um ábaco com 3 centenas, 5 dezenas e 2 unidades; disponível em g23_ftd_lt_3bam_p018. Código antigo: i0454zz_3bam_g23_ftd 
Ajuste: retirar as bolinhas em cor resposta </t>
  </si>
  <si>
    <t xml:space="preserve">i0130_3p012m_g27_e002 </t>
  </si>
  <si>
    <t>Resgatar ilustração 9 centenas, 9 dezenas e 9 unidades do material dourado; disponível em g23_ftd_lt_3bam_p018. Código antigo: i0453zz_3bam_g23_ftd</t>
  </si>
  <si>
    <t xml:space="preserve">i0132_3p012m_g27_e002 </t>
  </si>
  <si>
    <t xml:space="preserve">Resgatar ilustração de um ábaco com 7 centenas, duas dezenas e 5 unidades; disponível em g23_ftd_lt_3bam_p019. Código antigo: i0456zz_3bam_g23_ftd </t>
  </si>
  <si>
    <t xml:space="preserve">i0133_3p012m_g27_e002 </t>
  </si>
  <si>
    <t>Resgatar ilustração de um ábaco com duas centenas, 5 dezenas e 7 unidades; disponível em g23_ftd_lt_3bam_p019. Código antigo: i0457zz_3bam_g23_ftd</t>
  </si>
  <si>
    <t xml:space="preserve">i0134_3p012m_g27_e002 </t>
  </si>
  <si>
    <t xml:space="preserve">Resgatar ilustração de um ábaco 2 centenas, 7 dezenas e 5 unidades; disponível em g23_ftd_lt_3bam_p019. Código antigo: i0458zz_3bam_g23_ftd </t>
  </si>
  <si>
    <t>i0135_3p012m_g27_e002</t>
  </si>
  <si>
    <t xml:space="preserve">Resgatar ilustração de um ábaco 5 centenas, 2 dezenas e 7 unidades; disponível em g23_ftd_lt_3bam_p019. Código antigo: i0459zz_3bam_g23_ftd </t>
  </si>
  <si>
    <t xml:space="preserve">i0136_3p012m_g27_e002 </t>
  </si>
  <si>
    <t xml:space="preserve">Resgatar ilustração de um ábaco com 5 unidades, 7 dezenas e 2 unidades; disponível em g23_ftd_lt_3bam_p019. Código antigo: i0460zz_3bam_g23_ftd </t>
  </si>
  <si>
    <t>i0137_3p012m_g27_e002</t>
  </si>
  <si>
    <t xml:space="preserve">Resgatar ilustração de uma reta numérica iniciando no 80 com alguns quadrados em branco; disponível em g23_ftd_lt_3bam_p020. Código antigo: it0462sl_3bam_g23_ftd </t>
  </si>
  <si>
    <t xml:space="preserve">i0139_3p012m_g27_e002 </t>
  </si>
  <si>
    <t xml:space="preserve">Resgatar ilustração 10 centenas e 1 milhar do material dourado; disponível em g23_ftd_lt_3bam_p021. Código antigo: i0494zz_3bam_g23_ftd 
Ajuste: Dividir a il em A e B para e retirar a seta, sendo i0139A: parte esquerda da il, que são as 10 placas; i0139B: parte direita da il que é o cubo grande inteiro </t>
  </si>
  <si>
    <t xml:space="preserve">i0141_3p012m_g27_e002 </t>
  </si>
  <si>
    <t xml:space="preserve">Resgatar ilustração de 1 milhar, 8 centenas, 9 dezenas e 6 unidades do material dourado; disponível em g23_ftd_lt_3bam_p023. Código antigo: i0466_3bam_g23_ftd_re </t>
  </si>
  <si>
    <t xml:space="preserve">i0142_3p012m_g27_e002 </t>
  </si>
  <si>
    <t xml:space="preserve">Resgatar ilustração de 1 milhar, 9 centenas, 6 dezenas e 6 unidades; disponível em g23_ftd_lt_3bam_p023. Código antigo: i0467_3bam_g23_ftd_re </t>
  </si>
  <si>
    <t xml:space="preserve">i0143_3p012m_g27_e002 </t>
  </si>
  <si>
    <t xml:space="preserve">Resgatar ilustração de 1 unidade de milhar, 4 centenas, 0 dezenas e 2 unidades do ábaco; disponível em g23_ftd_lt_3bam_p024. Código antigo: i0468zz_3bam_g23_ftd </t>
  </si>
  <si>
    <t xml:space="preserve">i0144_3p012m_g27_e002 </t>
  </si>
  <si>
    <t xml:space="preserve">Resgatar ilustração um ábaco com 1 unidade de milhar, 7 centenas, 4 dezenas e 3 unidades; disponível em g23_ftd_lt_3bam_p024. Código antigo: i0469zz_3bam_g23_ftd </t>
  </si>
  <si>
    <t xml:space="preserve">i0145_3p012m_g27_e002 </t>
  </si>
  <si>
    <t xml:space="preserve">Resgatar ilustração de um ábaco com 2 unidades de milhar, 4 dezenas e 1 unidade; disponível em g23_ftd_lt_3bam_p024. Código antigo: i0470zz_3bam_g23_ftd </t>
  </si>
  <si>
    <t xml:space="preserve">i0146_3p012m_g27_e002 </t>
  </si>
  <si>
    <t xml:space="preserve">Resgatar ilustração um ábaco com 1 unidade de milhar, 3 centenas, 8 dezenas e 4 unidades; disponível em g23_ftd_lt_3bam_p024. Código antigo: i0471zz_3bam_g23_ftd </t>
  </si>
  <si>
    <t xml:space="preserve">i0147_3p012m_g27_e002 </t>
  </si>
  <si>
    <t>Resgatar ilustração um ábaco com 2 unidades de milhar, 7 centenas, 2 dezenas e 8 unidades; disponível em g23_ftd_lt_3bam_p024. Código antigo: i0472zz_3bam_g23_ftd</t>
  </si>
  <si>
    <t>i0148_3p012m_g27_e002</t>
  </si>
  <si>
    <t xml:space="preserve">Resgatar ilustração um ábaco com 1 unidade de milhar, 6 centenas e 2 unidades; disponível em g23_ftd_lt_3bam_p024. Código antigo: i0473zz_3bam_g23_ftd </t>
  </si>
  <si>
    <t xml:space="preserve">i0149_3p012m_g27_e002 </t>
  </si>
  <si>
    <t xml:space="preserve">Resgatar ilustração de 5 cubos do material dourado, 8 centenas, 9 dezenas e 3 unidades do material dourado; disponível em g23_ftd_lt_3bam_p025. Código antigo: i0474_3bam_g23_ftd_re </t>
  </si>
  <si>
    <t xml:space="preserve">i0150_3p012m_g27_e002 </t>
  </si>
  <si>
    <t xml:space="preserve">Resgatar ilustração de 7 cubos do material dourado, 9 centenas, 2 dezenas e 5 unidades do material dourado; disponível em g23_ftd_lt_3bam_p025. Código antigo: i0475_3bam_g23_ftd_re </t>
  </si>
  <si>
    <t xml:space="preserve">i0151_3p012m_g27_e002 </t>
  </si>
  <si>
    <t xml:space="preserve">Resgatar ilustração de 9 cubos do material dourado, 5 centenas, 6 dezenas e 8 unidades do material dourado; disponível em g23_ftd_lt_3bam_p025. Código antigo: i0476zz_3bam_g23_ftd </t>
  </si>
  <si>
    <t xml:space="preserve">i0152_3p012m_g27_e002 </t>
  </si>
  <si>
    <t xml:space="preserve">Resgatar ilustração uma menina com o braço levantado, disponível em g23_ftd_lt_3bam_p027. Código antigo: i0478iv_3bam_g23_ftd </t>
  </si>
  <si>
    <t xml:space="preserve">i0153_3p012m_g27_e002 </t>
  </si>
  <si>
    <t xml:space="preserve">Resgatar ilustração de uma menina com a mão na cintura; disponível em g23_ftd_lt_3bam_p027. Código antigo: i0479iv_3bam_g23_ftd </t>
  </si>
  <si>
    <t xml:space="preserve">i0154_3p012m_g27_e002 </t>
  </si>
  <si>
    <t>Resgatar ilustração uma reta numérica iniciando no 3700; disponível em g23_ftd_lt_3bam_p026. Código antigo: it0477sl_3bam_g23_ftd</t>
  </si>
  <si>
    <t xml:space="preserve">i0155_3p012m_g27_e002 </t>
  </si>
  <si>
    <t>Resgatar ilustração de uma reta numérica iniciando no 4 300 com lacunas abaixo dos números; disponível em g23_ftd_lt_3bam_p029. Código antigo: it0480sl_3bam_g23_ftd</t>
  </si>
  <si>
    <t xml:space="preserve">i0156_3p012m_g27_e002 </t>
  </si>
  <si>
    <t xml:space="preserve">Resgatar ilustração de cinco mãos segurando (cada uma) um pedaço de papel com números; disponível em g23_ftd_lt_3bam_p030. Código antigo: i0481rm_3bam_g23_ftd </t>
  </si>
  <si>
    <t xml:space="preserve">i0158_3p012m_g27_e002 </t>
  </si>
  <si>
    <t xml:space="preserve">Resgatar ilustração de uma reta numérica iniciando no número 640; disponível em g23_ftd_lt_3bam_p034. Código antigo: it0483sl_3bam_g23_ftd </t>
  </si>
  <si>
    <t xml:space="preserve">i0162_3p012m_g27_e002 </t>
  </si>
  <si>
    <t xml:space="preserve">Resgatar ilustração de um círculo em formato de roleta e um papel amarelo para anotação; disponível em g23_ftd_lt_3bam_p035. Código antigo: i0487rm_3bam_g23_ftd </t>
  </si>
  <si>
    <t xml:space="preserve">i0302_3p012m_g27_e002 </t>
  </si>
  <si>
    <t xml:space="preserve">Resgatar ilustração da pilha de objetos do g23_ftd_lt_3bam_p037 código antigo i0826rm_3bam_g23_ftd </t>
  </si>
  <si>
    <t xml:space="preserve">i0303_3p012m_g27_e002 </t>
  </si>
  <si>
    <t xml:space="preserve">Resgatar ilustração da menina falando do g23_ftd_lt_3bam_p038 código antigo i0862iv_3bam_g23_ftd </t>
  </si>
  <si>
    <t xml:space="preserve">i0304_3p012m_g27_e002 </t>
  </si>
  <si>
    <t>Resgatar ilustração dos brinquedos nas prateleiras do g23_ftd_lt_3bam_p038 código antigo i0802iv_3bam_g23_ftd_ef</t>
  </si>
  <si>
    <t xml:space="preserve">i0305_3p012m_g27_e002 </t>
  </si>
  <si>
    <t xml:space="preserve">Resgatar ilustração de esfera do g23_ftd_lt_3bam_p038 código antigo it0854sl_3bam_g23_ftd </t>
  </si>
  <si>
    <t xml:space="preserve">i0306_3p012m_g27_e002 </t>
  </si>
  <si>
    <t xml:space="preserve">Resgatar ilustração de cilindro do g23_ftd_lt_3bam_p038 código antigo it0853sl_3bam_g23_ftd </t>
  </si>
  <si>
    <t xml:space="preserve">i0307_3p012m_g27_e002 </t>
  </si>
  <si>
    <t xml:space="preserve">Resgatar ilustração de paralelepípedo do g23_ftd_lt_3bam_p038 código antigo it0850sl_3bam_g23_ftd </t>
  </si>
  <si>
    <t xml:space="preserve">i0308_3p012m_g27_e002 </t>
  </si>
  <si>
    <t xml:space="preserve">Resgatar ilustração de cubo do g23_ftd_lt_3bam_p038 código antigo it0849sl_3bam_g23_ftd </t>
  </si>
  <si>
    <t xml:space="preserve">i0309_3p012m_g27_e002 </t>
  </si>
  <si>
    <t>Resgatar ilustração de pirâmide do g23_ftd_lt_3bam_p038 código antigo it0851sl_3bam_g23_ftd</t>
  </si>
  <si>
    <t xml:space="preserve">i0310_3p012m_g27_e002 </t>
  </si>
  <si>
    <t xml:space="preserve">Resgatar ilustração de cone do g23_ftd_lt_3bam_p038 código antigo it0852sl_3bam_g23_ftd </t>
  </si>
  <si>
    <t xml:space="preserve">i0311_3p012m_g27_e002 </t>
  </si>
  <si>
    <t>Resgatar ilustração da maquete do g23_ftd_lt_3bam_p039 código antigo i0803rm_3bam_g23_ftd</t>
  </si>
  <si>
    <t xml:space="preserve">i0314_3p012m_g27_e002 </t>
  </si>
  <si>
    <t>Resgatar ilustração do cone do g23_ftd_lt_3bam_p040 código antigo it0806sl_3bam_g23_ftd</t>
  </si>
  <si>
    <t xml:space="preserve">i0315_3p012m_g27_e002 </t>
  </si>
  <si>
    <t xml:space="preserve">Resgatar ilustração do cilindro do g23_ftd_lt_3bam_p040 código antigo it0855sl_3bam_g23_ftd </t>
  </si>
  <si>
    <t xml:space="preserve">i0316_3p012m_g27_e002 </t>
  </si>
  <si>
    <t xml:space="preserve">Resgatar ilustração do prisma laranja do g23_ftd_lt_3bam_p040 código antigo it0856sl_3bam_g23_ftd </t>
  </si>
  <si>
    <t xml:space="preserve">i0317_3p012m_g27_e002 </t>
  </si>
  <si>
    <t xml:space="preserve">Resgatar ilustração da esfera do g23_ftd_lt_3bam_p040 código antigo it0857sl_3bam_g23_ftd </t>
  </si>
  <si>
    <t xml:space="preserve">i0318_3p012m_g27_e002 </t>
  </si>
  <si>
    <t xml:space="preserve">Resgatar ilustração do cubo do g23_ftd_lt_3bam_p040 código antigo it0858sl_3bam_g23_ftd </t>
  </si>
  <si>
    <t xml:space="preserve">i0319_3p012m_g27_e002 </t>
  </si>
  <si>
    <t xml:space="preserve">Resgatar ilustração da pirâmide do g23_ftd_lt_3bam_p040 código antigo it0859sl_3bam_g23_ftd </t>
  </si>
  <si>
    <t xml:space="preserve">i0325_3p012m_g27_e002 </t>
  </si>
  <si>
    <t xml:space="preserve">Resgatar ilustração do cubo roxo do g23_ftd_lt_3bam_p041 código antigo it0812sl_3bam_g23_ftd </t>
  </si>
  <si>
    <t xml:space="preserve">i0326_3p012m_g27_e002 </t>
  </si>
  <si>
    <t xml:space="preserve">Resgatar ilustração do paralelepípedo do g23_ftd_lt_3bam_p041 código antigo it0813sl_3bam_g23_ftd </t>
  </si>
  <si>
    <t xml:space="preserve">i0327_3p012m_g27_e002 </t>
  </si>
  <si>
    <t xml:space="preserve">Resgatar ilustração da pirâmide do g23_ftd_lt_3bam_p041 código antigo it0814sl_3bam_g23_ftd </t>
  </si>
  <si>
    <t xml:space="preserve">i0328_3p012m_g27_e002 </t>
  </si>
  <si>
    <t xml:space="preserve">Resgatar ilustração do cilindro azul do g23_ftd_lt_3bam_p041 código antigo it0815sl_3bam_g23_ftd </t>
  </si>
  <si>
    <t xml:space="preserve">i0329_3p012m_g27_e002 </t>
  </si>
  <si>
    <t xml:space="preserve">Resgatar ilustração do cone azul do g23_ftd_lt_3bam_p041 código antigo it0816sl_3bam_g23_ftd </t>
  </si>
  <si>
    <t xml:space="preserve">i0330_3p012m_g27_e002 </t>
  </si>
  <si>
    <t xml:space="preserve">Resgatar ilustração da esfera azul do g23_ftd_lt_3bam_p041 código antigo it0817sl_3bam_g23_ftd </t>
  </si>
  <si>
    <t xml:space="preserve">i0331_3p012m_g27_e002 </t>
  </si>
  <si>
    <t xml:space="preserve">Resgatar ilustração de diversos objetos com formatos geométricos do g23_ftd_lt_3bam_p042 código antigo i0818rm_3bam_g23_ftd </t>
  </si>
  <si>
    <t xml:space="preserve">i0332_3p012m_g27_e002 </t>
  </si>
  <si>
    <t xml:space="preserve">Resgatar ilustração da planificação do cubo e cubo do g23_ftd_lt_3bam_p042. Código antigo: it0821sl_3bam_g23_ftd 
AJUSTE: separar ilustração em A e B e retirar a seta vermelha </t>
  </si>
  <si>
    <t xml:space="preserve">i0334_3p012m_g27_e002 </t>
  </si>
  <si>
    <t xml:space="preserve">Resgatar ilustração da peça planificada do g23_ftd_lt_p043 código antigo i0819rm_3bam_g23_ftd </t>
  </si>
  <si>
    <t xml:space="preserve">i0335_3p012m_g27_e002 </t>
  </si>
  <si>
    <t>Resgatar ilustração do cubo azul do g23_ftd_lt_p043 código antigo it0820sl_3bam_g23_ftd  - AJUSTE: deixar a ils mais parecida com um paralelepípedo, mais achatada. Atenção pois é o paralelepípedo do molde da i0334_3p012m_g27_e002, logo as duas deverão ficar coerentes após os ajustes</t>
  </si>
  <si>
    <t xml:space="preserve">i0336_3p012m_g27_e002 </t>
  </si>
  <si>
    <t xml:space="preserve">Resgatar ilustração da planificação da pirâmide do g23_ftd_lt_3bam_p043 código antigo it0823sl_3bam_g23_ftd 
Ajuste: separar ilustração em A e B e retirar a seta vermelha </t>
  </si>
  <si>
    <t xml:space="preserve">i0337_3p012m_g27_e002 </t>
  </si>
  <si>
    <t xml:space="preserve">Resgatar ilustração da menina fazendo um trabalho escolar com embalagens do produto do g23_ftd_lt_3bam_p044 código antigo i0860rm_3bam_g23_ftd_ef </t>
  </si>
  <si>
    <t xml:space="preserve">i0338_3p012m_g27_e002 </t>
  </si>
  <si>
    <t xml:space="preserve">Resgatar a planificação do cone do g23_ftd_lt_3bam_p044 código antigo it0839sl_3bam_g23_ftd </t>
  </si>
  <si>
    <t xml:space="preserve">i0339_3p012m_g27_e002 </t>
  </si>
  <si>
    <t xml:space="preserve">Resgatar a planificação da pirâmide do g23_ftd_lt_3bam_p044 código antigo it0846sl_3bam_g23_ftd </t>
  </si>
  <si>
    <t xml:space="preserve">i0340_3p012m_g27_e002 </t>
  </si>
  <si>
    <t xml:space="preserve">Resgatar a planificação do cilindro do g23_ftd_lt_3bam_p044 código antigo it0840sl_3bam_g23_ftd </t>
  </si>
  <si>
    <t xml:space="preserve">i0341_3p012m_g27_e002 </t>
  </si>
  <si>
    <t>Resgatar a planificação do cubo do g23_ftd_lt_3bam_p044 código antigo it0861sl_3bam_g23_ftd</t>
  </si>
  <si>
    <t>i0342_3p012m_g27_e002</t>
  </si>
  <si>
    <t xml:space="preserve">Resgatar a planificação do paralelepípedo do g23_ftd_lt_3bam_p044 código antigo it0841sl_3bam_g23_ftd </t>
  </si>
  <si>
    <t>i0343_3p012m_g27_e002</t>
  </si>
  <si>
    <t xml:space="preserve">RResgatar ilustração de uma caixa de sabonete montada
Resgatar as 3 planificações do g23_ftd_lt_3bam_p045 código antigo i0824rm_3bam_g23_ftd
AJUSTE:
Retirar as inscrições e a tarja vermelha que caracterizam uma embalagem de remédio e aplicar uma inscrição e estampa que caracterize uma embalagem de sabonete.
Nomear a embalagem como SABONETE PERFUMADO.
Arte: Separar as ils em A, B, C e D
</t>
  </si>
  <si>
    <t>Resgate e ajuste</t>
  </si>
  <si>
    <t xml:space="preserve">i0344_3p012m_g27_e002 </t>
  </si>
  <si>
    <t xml:space="preserve">Resgatar ilustração do cubo feito de madeira do g23_ftd_lt_3bam_p045 código antigo it0828sl_3bam_g23_ftd </t>
  </si>
  <si>
    <t xml:space="preserve">i0345_3p012m_g27_e002 </t>
  </si>
  <si>
    <t xml:space="preserve">Resgatar ilustração da pirâmide feita de madeira do g23_ftd_lt_3bam_p045 código antigo it0829sl_3bam_g23_ftd </t>
  </si>
  <si>
    <t xml:space="preserve">i0346_3p012m_g27_e002 </t>
  </si>
  <si>
    <t xml:space="preserve">Resgatar ilustração do cilindro feito de madeira do g23_ftd_lt_3bam_p045 código antigo it0830sl_3bam_g23_ftd </t>
  </si>
  <si>
    <t xml:space="preserve">i0347_3p012m_g27_e002 </t>
  </si>
  <si>
    <t xml:space="preserve">Resgatar ilustração de paralelepípedo feito de madeira do g23_ftd_lt_3bam_p045 código antigo it0831sl_3bam_g23_ftd </t>
  </si>
  <si>
    <t xml:space="preserve">i0348_3p012m_g27_e002 </t>
  </si>
  <si>
    <t xml:space="preserve">Resgatar ilustração de círculo carimbado do g23_ftd_lt_3bam_p045 código antigo it0832sl_3bam_g23_ftd </t>
  </si>
  <si>
    <t xml:space="preserve">i0349_3p012m_g27_e002 </t>
  </si>
  <si>
    <t xml:space="preserve">Resgatar ilustração de quadrado carimbado do g23_ftd_lt_3bam_p045 código antigo it0833sl_3bam_g23_ftd </t>
  </si>
  <si>
    <t xml:space="preserve">i0350_3p012m_g27_e002 </t>
  </si>
  <si>
    <t xml:space="preserve">Resgatar ilustração de retângulo carimbado do g23_ftd_lt_3bam_p045 código antigo it0834sl_3bam_g23_ftd </t>
  </si>
  <si>
    <t xml:space="preserve">i0351_3p012m_g27_e002 </t>
  </si>
  <si>
    <t xml:space="preserve">Resgatar ilustração de triângulo carimbado do g23_ftd_lt_3bam_p045 código antigo it0835sl_3bam_g23_ftd </t>
  </si>
  <si>
    <t>i0980_1p012m_g27_e002</t>
  </si>
  <si>
    <t>Resgatar ilustração 19 gibis distintos distribuídos em uma mesa; g23_ftd_lt_1bam_p68; código antigo i1602dn_1bam_g23_ftd</t>
  </si>
  <si>
    <t>i0981_1p012m_g27_e002</t>
  </si>
  <si>
    <t>Resgatar ilustração de um menino olhando alguns gibis em cima da mesa (mesmos gibis da i0980_1p012m) com mais 1 gibi agora, disponível em g23_ftd_lt_1bam_p68; código antigo i1603dn_1bam_g23_ftd</t>
  </si>
  <si>
    <t>i0982_1p012m_g27_e002</t>
  </si>
  <si>
    <t>Resgatar ilustração de 1 cubinho material dourado; g23_ftd_lt_1bam_p69; código antigo i1674zz_1bam_g23_ftd</t>
  </si>
  <si>
    <t>i0983_1p012m_g27_e002</t>
  </si>
  <si>
    <t>Resgatar ilustração de 1 barra do material dourado; g23_ftd_lt_1bam_p69; código antigo i1647zz_1bam_g23_ftd_aj</t>
  </si>
  <si>
    <t>i0984_1p012m_g27_e002</t>
  </si>
  <si>
    <t>Resgatar ilustração de 2 barras e 1 cubinho do material dourado; g23_ftd_lt_1bam_p69; código antigo i1605zz_1bam_g23_ftd</t>
  </si>
  <si>
    <t>i0985_1p012m_g27_e002</t>
  </si>
  <si>
    <t>Resgatar ilustração de 2 barras e 2 cubinhos do material dourado; g23_ftd_lt_1bam_p69; código antigo i1666zz_1bam_g23_ftd</t>
  </si>
  <si>
    <t>i0986_1p012m_g27_e002</t>
  </si>
  <si>
    <t>Resgatar ilustração de 2 barras e 3 cubinhos do material dourado; g23_ftd_lt_1bam_p69; código antigo i1667zz_1bam_g23_ftd</t>
  </si>
  <si>
    <t>i0987_1p012m_g27_e002</t>
  </si>
  <si>
    <t>Resgatar ilustração de 2 barras e 4 cubinhos do material dourado; g23_ftd_lt_1bam_p69; código antigo i1668zz_1bam_g23_ftd</t>
  </si>
  <si>
    <t>i0988_1p012m_g27_e002</t>
  </si>
  <si>
    <t>Resgatar ilustração de 2 barras e 5 cubinhos do material dourado; g23_ftd_lt_1bam_p69; código antigo i1669zz_1bam_g23_ftd</t>
  </si>
  <si>
    <t>i0989_1p012m_g27_e002</t>
  </si>
  <si>
    <t>Resgatar ilustração de 2 barras e 6 cubinhos do material dourado; g23_ftd_lt_1bam_p69; código antigo i1670zz_1bam_g23_ftd</t>
  </si>
  <si>
    <t>i0990_1p012m_g27_e002</t>
  </si>
  <si>
    <t>Resgatar ilustração de 2 barras e 7 cubinhos do material dourado; g23_ftd_lt_1bam_p69; código antigo i1671zz_1bam_g23_ftd</t>
  </si>
  <si>
    <t>i0991_1p012m_g27_e002</t>
  </si>
  <si>
    <t>Resgatar ilustração de 2 barras e 8 cubinhos do material dourado; g23_ftd_lt_1bam_p69; código antigo i1672zz_1bam_g23_ftd</t>
  </si>
  <si>
    <t>i0992_1p012m_g27_e002</t>
  </si>
  <si>
    <t>Resgatar ilustração de 2 barras e 9 cubinhos do material dourado; g23_ftd_lt_1bam_p69; código antigo i1673zz_1bam_g23_ftd</t>
  </si>
  <si>
    <t>i0993_1p012m_g27_e002</t>
  </si>
  <si>
    <t xml:space="preserve">Resgatar e ajustar ilustração de 9 bolinhas; g23_ftd_lt_1bam_p41; código antigo i0849rm_1bam_g23_ftd
AJUSTE: compor mais 11 bolinhas totalizando 20 bolinhas azuis. Dispor em ordem aleatória. Ver ideia a seguir.
</t>
  </si>
  <si>
    <t>i0994_1p012m_g27_e002</t>
  </si>
  <si>
    <t xml:space="preserve">Resgatar e ajustar ilustração de 9 bolinhas; g23_ftd_lt_1bam_p41; código antigo i0849rm_1bam_g23_ftd
AJUSTE: compor mais 15 bolinhas totalizando 24 bolinhas azuis. Dispor em ordem aleatória. Ver ideia a seguir.
</t>
  </si>
  <si>
    <t>i0995_1p012m_g27_e002</t>
  </si>
  <si>
    <t xml:space="preserve">Resgatar e ajustar ilustração de 9 bolinhas; g23_ftd_lt_1bam_p41; código antigo i0849rm_1bam_g23_ftd
AJUSTE: compor mais 17 bolinhas totalizando 26 bolinhas azuis. Dispor em ordem aleatória. Ver ideia a seguir.
</t>
  </si>
  <si>
    <t>i0996_1p012m_g27_e002</t>
  </si>
  <si>
    <t xml:space="preserve">Resgatar e ajustar ilustração de 9 bolinhas; g23_ftd_lt_1bam_p41; código antigo i0849rm_1bam_g23_ftd
AJUSTE: compor mais 13 bolinhas totalizando 22 bolinhas azuis. Dispor em ordem aleatória. Ver ideia a seguir.
</t>
  </si>
  <si>
    <t>i0997_1p012m_g27_e002</t>
  </si>
  <si>
    <t>Resgatar ilustração flores plantadas em um jardim; g23_ftd_lt_1bam_p70; código antigo i1606dn_1bam_g23_ftd</t>
  </si>
  <si>
    <t>i0999_1p012m_g27_e002</t>
  </si>
  <si>
    <t>Resgatar ilustração de um quadradinho verde, disponível em g23_ftd_lt_1bam_p159 código it4002sl_1bam_g23_ftd</t>
  </si>
  <si>
    <t>i1000_1p012m_g27_e002</t>
  </si>
  <si>
    <t xml:space="preserve">Resgatar e ajustar ilustração do caminho colorido com a sequência numérica; g23_ftd_lt_4npm_p70; código antigo i1679dn_1bam_g23_ftd. 
AJUSTE: deixar o número 3 em preto para o estudante e o fundo cinza no mesmo padrão dos demais números que ficaram para o estudante.
</t>
  </si>
  <si>
    <t>i1001_1p012m_g27_e002</t>
  </si>
  <si>
    <t>Resgatar ilustração 3 sacos com bolinhas coloridas dentro; g23_ftd_lt_1bam_p71; código antigo i1608rm_1bam_g23_ftd</t>
  </si>
  <si>
    <t>i1002_1p012m_g27_e002</t>
  </si>
  <si>
    <t xml:space="preserve">Resgatar e ajustar ilustração de uma tabela em uma folha de papel de duas colunas, disponível em g23_ftd_lt_1bam_p162_código antigo i4010ls_1bam_g23_ftd
AJUSTE: Trocar a palavra VÔLEI para VOLEIBOL, e a palavra BASQUETE para BASQUETEBOL
</t>
  </si>
  <si>
    <t>i1003_1p012m_g27_e002</t>
  </si>
  <si>
    <t xml:space="preserve">Resgatar e ajustar ilustração de uma tabela em uma folha de papel de duas colunas, disponível em g23_ftd_lt_1bam_p162_código i4011ls_1bam_g23_ftd_ef
AJUSTE: Trocar a palavra VÔLEI para VOLEIBOL, e a palavra BASQUETE para BASQUETEBOL
</t>
  </si>
  <si>
    <t>i1004_1p012m_g27_e002</t>
  </si>
  <si>
    <t xml:space="preserve">Resgatar e ajustar ilustração de 34 palitos de sorvete separados em grupos de 10; g23_ftd_lt_1bam_p71; código antigo i1611zz_1bam_g23_ftd
AJUSTE: deixar com 32 palitos, ou seja, no grupo que tem 4, retirar 2, conforme referência a seguir.
</t>
  </si>
  <si>
    <t>i1005_1p012m_g27_e002</t>
  </si>
  <si>
    <t>Resgatar ilustração 34 palitos de sorvete separados em grupos de 10; g23_ftd_lt_1bam_p71; código antigo i1611zz_1bam_g23_ftd</t>
  </si>
  <si>
    <t>i1006_1p012m_g27_e002</t>
  </si>
  <si>
    <t xml:space="preserve">Resgatar e ajustar ilustração 34 palitos de sorvete separados em grupos de 10; g23_ftd_lt_1bam_p71; código antigo i1611zz_1bam_g23_ftd
AJUSTE: deixar com 36 palitos, ou seja, acrescentar mais 2 palitos no grupo que tem 4, conforme referência a seguir.
</t>
  </si>
  <si>
    <t>i1007_1p012m_g27_e002</t>
  </si>
  <si>
    <t>Resgatar ilustração 39 palitos de sorvete separados em grupos de 10; g23_ftd_lt_1bam_p71; código antigo i1612zz_1bam_g23_ftd</t>
  </si>
  <si>
    <t>i1008_1p012m_g27_e002</t>
  </si>
  <si>
    <t xml:space="preserve">Resgatar e ajustar ilustração cena de cinco crianças brincando de esconde-esconde em um parque; g23_ftd_lt_1bam_p72; código antigo i1613iv_1bam_g23_ftd_ef
AJUSTE: inserir um adulto na cena para supervisionar a brincadeira das crianças.
</t>
  </si>
  <si>
    <t>i1009_1p012m_g27_e002</t>
  </si>
  <si>
    <t>Resgatar ilustração 41 palitos de picolé; g23_ftd_lt_1bam_p72; código antigo i1614zz_1bam_g23_ftd</t>
  </si>
  <si>
    <t>i1010_1p012m_g27_e002</t>
  </si>
  <si>
    <t>Resgatar ilustração 45 palitos de picolé; g23_ftd_lt_1bam_p73; código antigo i1615zz_1bam_g23_ftd</t>
  </si>
  <si>
    <t>i1011_1p012m_g27_e002</t>
  </si>
  <si>
    <t>Resgatar ilustração 41 palitos de picolé; g23_ftd_lt_1bam_p73; código antigo i1616zz_1bam_g23_ftd</t>
  </si>
  <si>
    <t>i1012_1p012m_g27_e002</t>
  </si>
  <si>
    <t>i1013_1p012m_g27_e002</t>
  </si>
  <si>
    <t xml:space="preserve">Resgatar e ajustar ilustração contorno do cachorro composto por pontos e enumerados de 1 a 50; g23_ftd_lt_1bam_p74; código antigo i1618rm_1bam_g23_ftd
AJUSTE: retirar a linha em cor resposta.
</t>
  </si>
  <si>
    <t>i1014_1p012m_g27_e002</t>
  </si>
  <si>
    <t>Resgatar ilustração número 60 representado por 6 barras do material dourado; g23_ftd_lt_1bam_p75; código antigo i1682zz_1bam_g23_ftd</t>
  </si>
  <si>
    <t>i1015_1p012m_g27_e002</t>
  </si>
  <si>
    <t>Resgatar ilustração número 61 representado por 6 barras e 1 cubinho do material dourado; g23_ftd_lt_1bam_p75; código antigo i1619zz_1bam_g23_ftd</t>
  </si>
  <si>
    <t>i1016_1p012m_g27_e002</t>
  </si>
  <si>
    <t>Resgatar ilustração número 62 representado 6 barras e 2 cubinhos do material dourado; g23_ftd_lt_1bam_p75; código antigo i1620zz_1bam_g23_ftd</t>
  </si>
  <si>
    <t>i1017_1p012m_g27_e002</t>
  </si>
  <si>
    <t>Resgatar ilustração número 63 representado 6 barras e 3 cubinhos do material dourado; g23_ftd_lt_1bam_p75, código antigo i1621zz_1bam_g23_ftd</t>
  </si>
  <si>
    <t>i1018_1p012m_g27_e002</t>
  </si>
  <si>
    <t>Resgatar ilustração número 64 representado 6 barras e 4 cubinhos do material dourado; g23_ftd_lt_1bam_p75, código antigo i1624zz_1bam_g23_ftd</t>
  </si>
  <si>
    <t>i1019_1p012m_g27_e002</t>
  </si>
  <si>
    <t>Resgatar ilustração número 65 representado 6 barras e 5 cubinhos do material dourado; g23_ftd_lt_1bam_p75; código antigo i1623zz_1bam_g23_ftd</t>
  </si>
  <si>
    <t>i1020_1p012m_g27_e002</t>
  </si>
  <si>
    <t>Resgatar ilustração número 66 representado 6 barras e 6 cubinhos do material dourado; g23_ftd_lt_1bam_p75, código antigo i1622zz_1bam_g23_ftd</t>
  </si>
  <si>
    <t>i1021_1p012m_g27_e002</t>
  </si>
  <si>
    <t>Resgatar ilustração número 67 representado 6 barras e 7 cubinhos do material dourado; g23_ftd_lt_1bam_p75, código antigo i1625zz_1bam_g23_ftd</t>
  </si>
  <si>
    <t>i1022_1p012m_g27_e002</t>
  </si>
  <si>
    <t>Resgatar ilustração número 68 representado 6 barras e 8 cubinhos do material dourado; g23_ftd_lt_1bam_p75, código antigo i1626zz_1bam_g23_ftd</t>
  </si>
  <si>
    <t>i1023_1p012m_g27_e002</t>
  </si>
  <si>
    <t>Resgatar ilustração número 69 representado 6 barras e 9 cubinhos do material dourado; g23_ftd_lt_1bam_p75, código antigo i1627zz_1bam_g23_ftd</t>
  </si>
  <si>
    <t>i1024_1p012m_g27_e002</t>
  </si>
  <si>
    <t>Resgatar ilustração de um labirinto de uma sequência de números; disponível em g23_ftd_lt_1bam_p076; código antigo i1628iv_1bam_g23_ftd</t>
  </si>
  <si>
    <t>i1025_1p012m_g27_e002</t>
  </si>
  <si>
    <t>Resgatar ilustração de ábaco com 7 dezenas; disponível em g23_ftd_lt_1bam_p076; código antigo i1629zz_1bam_g23_ftd</t>
  </si>
  <si>
    <t>i1026_1p012m_g27_e002</t>
  </si>
  <si>
    <t>Resgatar ilustração de ábaco com 7 e 2 unidades dezenas; disponível em g23_ftd_lt_1bam_p076; código antigo i1631zz_1bam_g23_ftd</t>
  </si>
  <si>
    <t>i1027_1p012m_g27_e002</t>
  </si>
  <si>
    <t>Resgatar ilustração de ábaco com 7 e 5 unidades dezenas; disponível em g23_ftd_lt_1bam_p076; código antigo i1630zz_1bam_g23_ftd</t>
  </si>
  <si>
    <t>i1028_1p012m_g27_e002</t>
  </si>
  <si>
    <t>Resgatar ilustração de um pacote com bolinhas coloridas disponível em g23_ftd_lt_1bam_p077, código antigo i1633rm_1bam_g23_ftd</t>
  </si>
  <si>
    <t>i1081_1p012m_g27_e002</t>
  </si>
  <si>
    <t>Resgatar ilustração de dois pacotes com bolinhas coloridas disponível em g23_ftd_lt_1bam_p077, código antigo i1634rm_1bam_g23_ftd</t>
  </si>
  <si>
    <t>i1082_1p012m_g27_e002</t>
  </si>
  <si>
    <t>Resgatar ilustração de três pacotes com bolinhas coloridas disponível em g23_ftd_lt_1bam_p077, código antigo i1635rm_1bam_g23_ftd</t>
  </si>
  <si>
    <t>i1083_1p012m_g27_e002</t>
  </si>
  <si>
    <t>Resgatar ilustração de quatro pacotes com bolinhas coloridas disponível em g23_ftd_lt_1bam_p077, código antigo i1636rm_1bam_g23_ftd</t>
  </si>
  <si>
    <t>i1084_1p012m_g27_e002</t>
  </si>
  <si>
    <t>Resgatar ilustração de cinco pacotes com bolinhas coloridas disponível em g23_ftd_lt_1bam_p077, código antigo i1637rm_1bam_g23_ftd</t>
  </si>
  <si>
    <t>i1085_1p012m_g27_e002</t>
  </si>
  <si>
    <t>Resgatar ilustração de seis pacotes com bolinhas coloridas disponível em g23_ftd_lt_1bam_p077, código antigo i1638rm_1bam_g23_ftd</t>
  </si>
  <si>
    <t>i1086_1p012m_g27_e002</t>
  </si>
  <si>
    <t>Resgatar ilustração de sete pacotes com bolinhas coloridas disponível em g23_ftd_lt_1bam_p077, código antigo i1639rm_1bam_g23_ftd</t>
  </si>
  <si>
    <t>i1087_1p012m_g27_e002</t>
  </si>
  <si>
    <t>Resgatar ilustração de oito pacotes com bolinhas coloridas disponível em g23_ftd_lt_1bam_p077, código antigo i1640rm_1bam_g23_ftd</t>
  </si>
  <si>
    <t>i1088_1p012m_g27_e002</t>
  </si>
  <si>
    <t>Resgatar ilustração de nove pacotes com bolinhas coloridas disponível em g23_ftd_lt_1bam_p077, código antigo i1641rm_1bam_g23_ftd</t>
  </si>
  <si>
    <t>i1029_1p012m_g27_e002</t>
  </si>
  <si>
    <t xml:space="preserve">Resgatar e ajustar ilustração de 91 palitos lado a lado, agrupados; disponível em g23_ftd_lt_1bam_p078, código antigo i1642zz_1bam_g23_ftd
AJUSTE: retirar os 8 palitos em cor resposta na última fileira
</t>
  </si>
  <si>
    <t>i1089_1p012m_g27_e002</t>
  </si>
  <si>
    <t>resgatar ilustração de 9 barras do material dourado, disponível em g23_ftd_lt_1bam_p078, código antigo: i1643_1bam_g23_ftd_re</t>
  </si>
  <si>
    <t>i1090_1p012m_g27_e002</t>
  </si>
  <si>
    <t>resgatar ilustração de 9 barras e 2 cubinhos do material dourado, disponível em g23_ftd_lt_1bam_p078, código antigo: i1675_1bam_g23_ftd_re</t>
  </si>
  <si>
    <t>i1091_1p012m_g27_e002</t>
  </si>
  <si>
    <t>resgatar ilustração de 9 barras e 5 cubinhos do material dourado, disponível em g23_ftd_lt_1bam_p078, código antigo: i1676_1bam_g23_ftd_re</t>
  </si>
  <si>
    <t>i1039_1p012m_g27_e002</t>
  </si>
  <si>
    <t xml:space="preserve">Ilustração de 99 cajus organizados em bandejas com 3 cajus em cada bandeja.
Arte: se for mais fácil, fazer 1 bandeja com 3 cajus e reaplicar as demais, conforme referência a seguir.
</t>
  </si>
  <si>
    <t>F: 04/04</t>
  </si>
  <si>
    <t>i1040_1p012m_g27_e002</t>
  </si>
  <si>
    <t>Resgatar e ajustar ilustração de três crianças pulando corda; disponível em g23_ftd_lt_1bam_p079, código i1644iv_1bam_g23_ftd
AJUSTE 1: inserir um adulto na cena, pode ser na porta ou na janela aberta.
AJUSTE 2: deixar a menina ruiva mais gordinha.</t>
  </si>
  <si>
    <t>i1041_1p012m_g27_e002</t>
  </si>
  <si>
    <t>Resgatar ilustração de um ábaco com 1 centena; disponível em g23_ftd_lt_1bam_p080, código i1645zz_1bam_g23_ftd</t>
  </si>
  <si>
    <t>i1092_1p012m_g27_e002</t>
  </si>
  <si>
    <t>Resgatar ilustração de 1 barra do material dourado disponível em g23_ftd_lt_1bam_p080 código i1647zz_1bam_g23_ftd</t>
  </si>
  <si>
    <t>i1042_1p012m_g27_e002</t>
  </si>
  <si>
    <t>Resgatar ilustração de 10 cubinhos do material dourado disponível em g23_ftd_lt_1bam_p080 código i1646zz_1bam_g23_ftd</t>
  </si>
  <si>
    <t>i1043_1p012m_g27_e002</t>
  </si>
  <si>
    <t>Resgatar ilustração de 10 barras do material dourado disponível em g23_ftd_lt_1bam_p080 código i1648zz_1bam_g23_ftd</t>
  </si>
  <si>
    <t>i1093_1p012m_g27_e002</t>
  </si>
  <si>
    <t>Resgatar ilustração de 1 placa do material dourado disponível em g23_ftd_lt_1bam_p080 código i1649zz_1bam_g23_ftd</t>
  </si>
  <si>
    <t>i1044_1p012m_g27_e002</t>
  </si>
  <si>
    <t>Resgatar ilustração de 10 barras do material dourado; disponível em g23_ftd_lt_1bam_p081, código i1648zz_1bam_g23_ftd_aj</t>
  </si>
  <si>
    <t>i1045_1p012m_g27_e002</t>
  </si>
  <si>
    <t>Resgatar ilustração de 9 barras e 9 cubinhos do material dourado; disponível em g23_ftd_lt_1bam_p081, código i1651zz_1bam_g23_ftd</t>
  </si>
  <si>
    <t>i1046_1p012m_g27_e002</t>
  </si>
  <si>
    <t>Resgatar ilustração de 9 barras do material dourado; disponível em g23_ftd_lt_1bam_p081 código i1652zz_1bam_g23_ftd</t>
  </si>
  <si>
    <t>i1047_1p012m_g27_e002</t>
  </si>
  <si>
    <t>Resgatar e ajustar ilustração de 9 barras e 9 cubinhos do material dourado; disponível em g23_ftd_lt_1bam_p081, código i1651zz_1bam_g23_ftd
AJUSTE: retirar 1 cubinho, deixando com 8 cubinhos e 9 barras, ver referência a seguir.</t>
  </si>
  <si>
    <t>i1048_1p012m_g27_e002</t>
  </si>
  <si>
    <t>Resgatar e ajustar ilustração de 9 dezenas do material dourado e 9 unidades; disponível em g23_ftd_lt_1bam_p081, código i1651zz_1bam_g23_ftd
AJUSTE: retirar 3 cubinhos, deixando com 6 cubinhos e 9 barras, ver referência a seguir.</t>
  </si>
  <si>
    <t>i1049_1p012m_g27_e002</t>
  </si>
  <si>
    <t>Resgatar e ajustar ilustração de 9 dezenas do material dourado e 9 unidades; disponível em g23_ftd_lt_1bam_p081, código i1651zz_1bam_g23_ftd
AJUSTE: deixar apenas 1 cubinho abaixo das 9 barras, ver referência a seguir.</t>
  </si>
  <si>
    <t>i1050_1p012m_g27_e002</t>
  </si>
  <si>
    <t>Resgatar e ajustar ilustração de 9 dezenas do material dourado e 9 unidades; disponível em g23_ftd_lt_1bam_p081, código i1651zz_1bam_g23_ftd
AJUSTE: deixar apenas 2 cubinhos abaixo das 9 barras, ver referência a seguir.</t>
  </si>
  <si>
    <t>i1051_1p012m_g27_e002</t>
  </si>
  <si>
    <t>Resgatar ilustração de um ábaco com 9 dezenas e 9 unidades; disponível em g23_ftd_lt_1bam_p081, código i1653zz_1bam_g23_ftd</t>
  </si>
  <si>
    <t>i1052_1p012m_g27_e002</t>
  </si>
  <si>
    <t>Resgatar ilustração de um ábaco com 9 dezenas; disponível em g23_ftd_lt_1bam_p081, código i1654zz_1bam_g23_ftd</t>
  </si>
  <si>
    <t>i1053_1p012m_g27_e002</t>
  </si>
  <si>
    <t>Resgatar ilustração de um ábaco com 1 centena; disponível em g23_ftd_lt_1bam_p081 código i1655zz_1bam_g23_ftd</t>
  </si>
  <si>
    <t>i1054_1p012m_g27_e002</t>
  </si>
  <si>
    <t>Resgatar e ajustar ilustração de um ábaco com 9 dezenas e 9 unidades; disponível em g23_ftd_lt_1bam_p081, código i1653zz_1bam_g23_ftd
AJUSTE: deixar com 9 bolinhas na dezena e apenas 1 na unidade, conforme referência a seguir.</t>
  </si>
  <si>
    <t>i1055_1p012m_g27_e002</t>
  </si>
  <si>
    <t>Resgatar e ajustar ilustração de um ábaco com 9 dezenas e 9 unidades; disponível em g23_ftd_lt_1bam_p081, código i1653zz_1bam_g23_ftd
AJUSTE: deixar com 9 bolinhas na dezena e 8 na unidade, ver referência a seguir.</t>
  </si>
  <si>
    <t>i1056_1p012m_g27_e002</t>
  </si>
  <si>
    <t>Resgatar e ajustar ilustração de um ábaco com 9 dezenas e 9 unidades; disponível em g23_ftd_lt_1bam_p081, código i1653zz_1bam_g23_ftd
AJUSTE: deixar com 9 bolinhas na dezena e 2 na unidade, ver referência a seguir.</t>
  </si>
  <si>
    <t>i1057_1p012m_g27_e002</t>
  </si>
  <si>
    <t>Resgatar e ajustar ilustração de um ábaco com 9 dezenas e 9 unidades; disponível em g23_ftd_lt_1bam_p081, código i1653zz_1bam_g23_ftd
AJUSTE: deixar com 9 bolinhas na dezena e 6 na unidade, ver referência a seguir, ver referência a seguir.</t>
  </si>
  <si>
    <t>i1058_1p012m_g27_e002</t>
  </si>
  <si>
    <t>Resgatar ilustração de uma moça plantando flores; disponível em g23_ftd_lt_1bam_p082 código i1656dn_1bam_g23_ftd</t>
  </si>
  <si>
    <t>i1059_1p012m_g27_e002</t>
  </si>
  <si>
    <t>Resgatar ilustração de uma moça plantando flores; disponível em g23_ftd_lt_1bam_p083 código i1657dn_1bam_g23_ftd</t>
  </si>
  <si>
    <t>i1061_1p012m_g27_e002</t>
  </si>
  <si>
    <t>Ilustração de dado do padrão com a face de 1 ponto voltada para cima e as faces laterais com 3 pontos e 5 pontos, conforme referência a seguir.</t>
  </si>
  <si>
    <t>i1062_1p012m_g27_e002</t>
  </si>
  <si>
    <t>Ilustração de dado do padrão com a face de 3 pontos voltada para cima e as faces laterais com 2 pontos e 6 pontos, conforme referência a seguir</t>
  </si>
  <si>
    <t>i1063_1p012m_g27_e002</t>
  </si>
  <si>
    <t>Resgatar il. de dado do padrão com 2 pontos na face de cima disponível em g23_ftd_lt_1bam_p169 código i4032zz_1bam_g23_ftd</t>
  </si>
  <si>
    <t>i1064_1p012m_g27_e002</t>
  </si>
  <si>
    <t>Ilustração de dado do padrão com a face de 4 pontos voltada para cima e as faces laterais com 1 ponto e 2 pontos, conforme referência a seguir.</t>
  </si>
  <si>
    <t>i1065_1p012m_g27_e002</t>
  </si>
  <si>
    <t>Ilustração de dado do padrão com a face de 6 pontos voltada para cima e as faces laterais com 5 pontos e 4 pontos, conforme referência a seguir.</t>
  </si>
  <si>
    <t>i1066_1p012m_g27_e002</t>
  </si>
  <si>
    <t>Ilustração de dado do padrão com a face de 5 pontos voltada para cima e as faces laterais com 1 ponto e 4 pontos, conforme referência a seguir.</t>
  </si>
  <si>
    <t>i1067_1p012m_g27_e002</t>
  </si>
  <si>
    <t>Resgatar ilustração de vários carrinhos de brinquedo lado a lado; disponível em g23_ftd_lt_1bam_p084, código i1658rm_1bam_g23_ftd</t>
  </si>
  <si>
    <t>i1071_1p012m_g27_e002</t>
  </si>
  <si>
    <t>Il. cena de fundo de pátio de escola de duas crianças de uniforme brincando de amarelinha (ver ideia abaixo, não fazer igual) aparentando ter 6 anos de idade, com semblante alegre, sendo uma menina negra e outra uma menina branca com prótese em um membro superior.
Os números de 1 até 10 devem ficar evidentes para os estudantes identificarem os números.
Deixar uma menina negra fora da amarelinha, como se estivesse olhando a outra menina pular.
Deixar a menina branca com a prótese como se estivesse começando a pular, com a pedra na casa 5, de modo que todos os números fiquem visíveis. Não deixar o pé da menina sobre o número.
O número 1 não pode ter traço embaixo e o número 7 não pode ser cortado.
Deixar os números da amarelinha de maneira que dê boa visualização para o leitor.</t>
  </si>
  <si>
    <t>ig</t>
  </si>
  <si>
    <t>R: 07/04  F: 09/04</t>
  </si>
  <si>
    <t>i1072_1p012m_g27_e002</t>
  </si>
  <si>
    <t>Resgatar ilustração de figurinhas com diferentes ilustrações; disponível em g23_ftd_lt_1bam_p085 código antigo i1659rm_1bam_g23_ftd</t>
  </si>
  <si>
    <t>i1073_1p012m_g27_e002</t>
  </si>
  <si>
    <t>Resgatar ilustração de figurinhas com diferentes ilustrações; disponível em g23_ftd_lt_1bam_p085 código antigo i1660rm_1bam_g23_ftd</t>
  </si>
  <si>
    <t>i1074_1p012m_g27_e002</t>
  </si>
  <si>
    <t>Resgatar ilustração de figurinhas com diferentes ilustrações; disponível em g23_ftd_lt_1bam_p085 código antigo i1662rm_1bam_g23_ftd</t>
  </si>
  <si>
    <t>i1075_1p012m_g27_e002</t>
  </si>
  <si>
    <t>Resgatar ilustração de 8 giz de cera de diferentes cores; disponível em g23_ftd_lt_1bam_p086 código antigo i1680zz_1bam_g23_ftd</t>
  </si>
  <si>
    <t>i1076_1p012m_g27_e002</t>
  </si>
  <si>
    <t>Resgatar ilustração de 8 giz de cera de diferentes cores; disponível em g23_ftd_lt_1bam_p086 código antigo i1681zz_1bam_g23_ftd</t>
  </si>
  <si>
    <t>i1077_1p012m_g27_e002</t>
  </si>
  <si>
    <t>Resgatar ilustração reta numérica de 0 a 19 em ordem crescente; disponível em g23_ftd_lt_1bam_p086 código antigo i1663zz_1bam_g23_ftd_aj</t>
  </si>
  <si>
    <t>i1078_1p012m_g27_e002</t>
  </si>
  <si>
    <t>Resgatar ilustração reta numérica de 85 a 99 em ordem crescente; disponível em g23_ftd_lt_1bam_p087 código antigo i1664_1bam_g23_ftd</t>
  </si>
  <si>
    <t>i1079_1p012m_g27_e002</t>
  </si>
  <si>
    <t>Resgatar ilustração de fichas numeradas em ordem decrescente; disponível em g23_ftd_lt_1bam_p087 código antigo i1665rm_1bam_g23_ftd</t>
  </si>
  <si>
    <t>i1080_1p012m_g27_e002</t>
  </si>
  <si>
    <t>Resgatar e ajustar ilustração de crianças brincando na companhia de um adulto; disponível em g23_ftd_lt_1bam_p087 código i1677iv_1bam_g23_ftd_ef_ly
AJUSTE: a pedido da equipe, a cena não deve ficar em espelho, deixar apenas em uma cena por causa da ordem de leitura. Para isso, favor fazer um layout para fechar a página com a ilustração nessa posição. Aproximar os personagens, aumentar o céu e o chão, porém deve ser possível contar todas as crianças, não ficando uma atrás da outra.</t>
  </si>
  <si>
    <t xml:space="preserve">i6101_1p012m_g27_e002 </t>
  </si>
  <si>
    <t>Vamos Iniciar</t>
  </si>
  <si>
    <t>Resgatar ilustração dos lápis (vermelho, azul e amarelo) do menor para o maior do g23_ftd_lt_1bam_p006 código antigo i0459dn_1bam_g23_ftd</t>
  </si>
  <si>
    <t xml:space="preserve">i6102_1p012m_g27_e002 </t>
  </si>
  <si>
    <t xml:space="preserve">Resgatar ilustração das torres do menor para o maior do g23_ftd_lt_1bam_p006 código antigo i0460dn_1bam_g23_ftd </t>
  </si>
  <si>
    <t xml:space="preserve">i6103_1p012m_g27_e002 </t>
  </si>
  <si>
    <t>lustração de três cachorros, sendo de um cachorro de pequeno porte (mais leve), um cachorro grande porte (mais pesado) e um cachorro médio porte, com um chão abaixo deles de modo que estejam em um mesmo plano e alinhados; deve ter espaçamento entre os cachorros para que o estudante consiga contorná-los.</t>
  </si>
  <si>
    <t>FINALIZADA</t>
  </si>
  <si>
    <t xml:space="preserve">i6104_1p012m_g27_e002 </t>
  </si>
  <si>
    <t xml:space="preserve">Resgatar ilustração das cadeiras de um teatro do g23_ftd_lt_1bam_p006 código antigo i0439dn_1bam_g23_ftd </t>
  </si>
  <si>
    <t xml:space="preserve">i6105_1p012m_g27_e002 </t>
  </si>
  <si>
    <t>Resgatar e ajustar ilustração dos gatos brancos andando em fila do g23_ftd_lt_1bam_p006 código antigo i0440dn_1bam_g23_ftd
AJUSTE: flipar a imagem conforme referência a seguir; os números serão inseridos na diagramação.</t>
  </si>
  <si>
    <t xml:space="preserve">i6106_1p012m_g27_e002 </t>
  </si>
  <si>
    <t xml:space="preserve">Resgatar ilustração dos livros que o menino ganhou do g23_ftd_lt_1bam_p007 código antigo i0437dn_1bam_g23_ftd </t>
  </si>
  <si>
    <t xml:space="preserve">i6107_1p012m_g27_e002 </t>
  </si>
  <si>
    <t xml:space="preserve">Resgatar ilustração dos lápis em grupos de 2 do g23_ftd_lt_1bam_p007 código antigo i0441dn_1bam_g23_ftd </t>
  </si>
  <si>
    <t xml:space="preserve">i6108_1p012m_g27_e002 </t>
  </si>
  <si>
    <t xml:space="preserve">Resgatar ilustração de uma criança de costas, disponível em g23_ftd_lt_1bam_p007 código antigo i0442tc_1bam_g23_ftd </t>
  </si>
  <si>
    <t xml:space="preserve">i6132_1p012m_g27_e002 </t>
  </si>
  <si>
    <t xml:space="preserve">Resgatar ilustração de uma bolinha preta, disponível em g23_ftd_lt_1bam_p009_código 
it2415sl_1bam_g23_ftd </t>
  </si>
  <si>
    <t xml:space="preserve">i6114_1p012m_g27_e002 </t>
  </si>
  <si>
    <t xml:space="preserve">Resgatar ilustração de uma esfera, disponível em g23_ftd_lt_1bam_p008 código it0448sl_1bam_g23_ftd </t>
  </si>
  <si>
    <t xml:space="preserve">i6115_1p012m_g27_e002 </t>
  </si>
  <si>
    <t xml:space="preserve">Resgatar ilustração de um cone, disponível em g23_ftd_lt_1bam_p008 código it0449sl_1bam_g23_ftd </t>
  </si>
  <si>
    <t xml:space="preserve">i6116_1p012m_g27_e002 </t>
  </si>
  <si>
    <t xml:space="preserve">Resgatar ilustração de um paralelepípedo, disponível em g23_ftd_lt_1bam_p008 código it0450sl_1bam_g23_ftd </t>
  </si>
  <si>
    <t xml:space="preserve">i6117_1p012m_g27_e002 </t>
  </si>
  <si>
    <t>Resgatar ilustração de um cilindro, disponível em g23_ftd_lt_1bam_p008 código it0451sl_1bam_g23_ftd</t>
  </si>
  <si>
    <t>i6118_1p012m_g27_e002</t>
  </si>
  <si>
    <t xml:space="preserve">Resgatar ilustração de um cubo, disponível em g23_ftd_lt_1bam_p008 código it0452sl_1bam_g23_ftd </t>
  </si>
  <si>
    <t>i6119_1p012m_g27_e002</t>
  </si>
  <si>
    <t xml:space="preserve">Resgatar e ajustar ilustração de retângulos verde e azul lado a lado separados por setas, disponível em g23_ftd_lt_1bam_p008 código antigo_it0477sl_1bam_g23_ftd. AJUSTE: retirar setas e compor reticencias no final, como na referência seguir. Usar semelhante a que foi feita para o Pitanguá. </t>
  </si>
  <si>
    <t xml:space="preserve">i6120_1p012m_g27_e002 </t>
  </si>
  <si>
    <t xml:space="preserve">
Resgatar e ajustar ilustração de um quadrado verde claro, disponível em g23_ftd_lt_1bam_p008 código antigo it0478sl_1bam_g23_ftd 
AJUSTE: separar ilustração deixando só o quadrado verde nesse código, conforme indicado a seguir. </t>
  </si>
  <si>
    <t>i6121_1p012m_g27_e002</t>
  </si>
  <si>
    <t>Resgatar e ajustar a ilustração de um retângulo vermelho claro, disponível em g23_ftd_lt_1bam_p008 código antigo it0478sl_1bam_g23_ftd 
AJUSTE: separar ilustração deixando só o retângulo vermelho nesse código, conforme indicado a seguir.</t>
  </si>
  <si>
    <t xml:space="preserve">i6122_1p012m_g27_e002 </t>
  </si>
  <si>
    <t xml:space="preserve">Resgatar e ajustar a ilustração de um triângulo azul claro, disponível em g23_ftd_lt_1bam_p008 código antigo it0478sl_1bam_g23_ftd 
AJUSTE: separar ilustração deixando só o triângulo azul nesse código, conforme indicado a seguir. </t>
  </si>
  <si>
    <t xml:space="preserve">i6123_1p012m_g27_e002 </t>
  </si>
  <si>
    <t xml:space="preserve">Resgatar e ajustar a ilustração de círculo laranja claro, disponível em g23_ftd_lt_1bam_p008 código antigo it0478sl_1bam_g23_ftd 
AJUSTE: separar ilustração deixando só o círculo laranja nesse código, conforme indicado a seguir. </t>
  </si>
  <si>
    <t xml:space="preserve">i6124_1p012m_g27_e002 </t>
  </si>
  <si>
    <t xml:space="preserve">Resgatar e ajustar ilustração de uma sequência de figuras geométricas de triângulo e quadrado lado a lado, disponível em g23_ftd_lt_1bam_p008_código antigo it0457sl_1bam_g23_ftd 
AJUSTE 1: no lugar do triângulo em cor resposta, inserir um triângulo amarelo como os demais da sequência, conforme referência a seguir. 
AJUSTE 2: retirar o quadrado em cor resposta e deixar o espaço em branco, mantendo o fio resposta, conforme referência a seguir. 
AJUSTE 3: compor reticencias no final, como na referência seguir. Usar a mesma utilizada na i6119_1p012m_g27_e002 </t>
  </si>
  <si>
    <t xml:space="preserve">i6125_1p012m_g27_e002 </t>
  </si>
  <si>
    <t xml:space="preserve">Resgatar ilustração de um menino mastigando uma banana, disponível em g23_ftd_lt_1bam_p009 código i0462Atc_1bam_g23_ftd </t>
  </si>
  <si>
    <t>i6126_1p012m_g27_e002</t>
  </si>
  <si>
    <t xml:space="preserve">Resgatar ilustração de um menino descascando uma banana, disponível em g23_ftd_lt_1bam_p009 código i0462Btc_1bam_g23_ftd </t>
  </si>
  <si>
    <t xml:space="preserve">i6127_1p012m_g27_e002 </t>
  </si>
  <si>
    <t xml:space="preserve">Resgatar ilustração de um menino jogando a banana no cesto de lixo, disponível em g23_ftd_lt_1bam_p009 código i0462Ctc_1bam_g23_ftd </t>
  </si>
  <si>
    <t xml:space="preserve">i4910_1p012m_g27_e002 </t>
  </si>
  <si>
    <t>Vamos Avaliar o Aprendizado</t>
  </si>
  <si>
    <t xml:space="preserve">Resgatar ilustração de um lápis verde, disponível em g23_ftd_lt_1bam_p154 código i3622zz_1bam_g23_ftd </t>
  </si>
  <si>
    <t xml:space="preserve">i4911_1p012m_g27_e002 </t>
  </si>
  <si>
    <t xml:space="preserve">Resgatar ilustração de apontador verde, disponível em g23_ftd_lt_1bam_p154 código i3623rm_1bam_g23_ftd </t>
  </si>
  <si>
    <t xml:space="preserve">i4912_1p012m_g27_e002 </t>
  </si>
  <si>
    <t xml:space="preserve">Resgatar ilustração da sala de aula com a professora do g23_ftd_lt_1bam_p195 código antigo i4873iv_1bam_g23_ftd </t>
  </si>
  <si>
    <t xml:space="preserve">i4913_1p012m_g27_e002 </t>
  </si>
  <si>
    <t>Resgatar e ajustar ilustração de uma seta amarela; disponível em g23_ftd_lt_1bam_p195 código
antigo i4420ct_1bam_g23_ftd
AJUSTE: trocar cor da seta para Vermelha, mesmo tom da antiga i4422ct_1bam_g23_ftd, enviada
na pasta.</t>
  </si>
  <si>
    <t xml:space="preserve">i4914_1p012m_g27_e002 </t>
  </si>
  <si>
    <t>Resgatar e ajustar ilustração de seta verde virada para a direita; disponível em
g23_ftd_lt_1bam_p195 código antigo i4421ct_1bam_g23_ftd
AJUSTE: trocar cor da seta para Azul.</t>
  </si>
  <si>
    <t xml:space="preserve">i4915_1p012m_g27_e002 </t>
  </si>
  <si>
    <t>Resgatar e ajustar ilustração de seta vermelha virada para a esquerda, disponível em;
g23_ftd_lt_1bam_p195 código antigo i4422ct_1bam_g23_ftd
AJUSTE: trocar cor da seta para Amarelo, mesmo tom da antiga i4420ct_1bam_g23_ftd, enviada na
pasta.</t>
  </si>
  <si>
    <t xml:space="preserve">i4916_1p012m_g27_e002 </t>
  </si>
  <si>
    <t>Resgatar e ajustar ilustração das setas do caminho do g23_ftd_lt_1bam_p195 código antigo
i4862sl_1bam_g23_ftd
AJUSTE: Mudar as cores das setas conforme mudanças feitas na i4913_1p012m, i4914_1p012m e
i4915_1p012m, ou seja, trocar a cor da seta Amarela para Vermelha, trocar a cor da seta Verde para
Azul e trocar a cor da seta Vermelha para Amarela.</t>
  </si>
  <si>
    <t xml:space="preserve">i4917_1p012m_g27_e002 </t>
  </si>
  <si>
    <t xml:space="preserve">Resgatar ilustração do caminho do Carlos do g23_ftd_lt_1bam_p195 código antigo i4806iv_1bam_g23_ftd </t>
  </si>
  <si>
    <t xml:space="preserve">i4918_1p012m_g27_e002 </t>
  </si>
  <si>
    <t xml:space="preserve">Resgatar ilustração do ábaco do número 25 do g23_ftd_lt_1bam_p113 código antigo i2474sl_1bam_g23_ftd </t>
  </si>
  <si>
    <t xml:space="preserve">i4919_1p012m_g27_e002 </t>
  </si>
  <si>
    <t xml:space="preserve">Resgatar ilustração do ábaco do número 34 do g23_ftd_lt_1bam_p113 código antigo i2476sl_1bam_g23_ftd </t>
  </si>
  <si>
    <t xml:space="preserve">i4920_1p012m_g27_e002 </t>
  </si>
  <si>
    <t xml:space="preserve">Resgatar ilustração do ábaco do número 39 do g23_ftd_lt_1bam_p113 código antigo i2478sl_1bam_g23_ftd </t>
  </si>
  <si>
    <t xml:space="preserve">i4921_1p012m_g27_e002 </t>
  </si>
  <si>
    <t xml:space="preserve">Resgatar ilustração do ábaco do número 73 do g23_ftd_lt_1bam_p113 código antigo i2480sl_1bam_g23_ftd </t>
  </si>
  <si>
    <t xml:space="preserve">i4922_1p012m_g27_e002 </t>
  </si>
  <si>
    <t xml:space="preserve">Resgatar ilustração do ábaco do número 28 do g23_ftd_lt_1bam_p113 código antigo i2475sl_1bam_g23_ftd </t>
  </si>
  <si>
    <t xml:space="preserve">i4923_1p012m_g27_e002 </t>
  </si>
  <si>
    <t xml:space="preserve">Resgatar ilustração do ábaco do número 42 do g23_ftd_lt_1bam_p113 código antigo i2477sl_1bam_g23_ftd </t>
  </si>
  <si>
    <t xml:space="preserve">i4924_1p012m_g27_e002 </t>
  </si>
  <si>
    <t xml:space="preserve">Resgatar ilustração do ábaco do número 61 do g23_ftd_lt_1bam_p113 código antigo i2479sl_1bam_g23_ftd </t>
  </si>
  <si>
    <t xml:space="preserve">i4925_1p012m_g27_e002 </t>
  </si>
  <si>
    <t xml:space="preserve">Resgatar ilustração do ábaco do número 80 do g23_ftd_lt_1bam_p113 código antigo i2481sl_1bam_g23_ftd </t>
  </si>
  <si>
    <t>i2103_3p012m_g27_e002</t>
  </si>
  <si>
    <t>Resgatar ilustração faixa ultrapassagem permitida nos dois sentidos e somente para um dos sentidos; g23_ftd_lt_3bam_p192; código antigo i4417rm_3bam_g23_ftd</t>
  </si>
  <si>
    <t>i2104_3p012m_g27_e002</t>
  </si>
  <si>
    <t>Resgatar ilustração faixa ultrapassagem proibida nos dois sentidos; g23_ftd_lt_3bam_p192; código antigo i4418rm_3bam_g23_ftd</t>
  </si>
  <si>
    <t>i2105_3p012m_g27_e002</t>
  </si>
  <si>
    <t>Resgatar ilustração da reta r; g23_ftd_lt_3bam_p192; código antigo it4420pm_3bam_g23_ftd</t>
  </si>
  <si>
    <t>pm</t>
  </si>
  <si>
    <t>i2106_3p012m_g27_e002</t>
  </si>
  <si>
    <t>Resgatar ilustração reta r em um programa de computador; g23_ftd_lt_3bam_p193; código antigo i4421zz_3bam_g23_ftd</t>
  </si>
  <si>
    <t>i2107_3p012m_g27_e002</t>
  </si>
  <si>
    <t>Resgatar ilustração retas r e s paralelas em um programa de computador; g23_ftd_lt_3bam_p193; código antigo i4422zz_3bam_g23_ftd</t>
  </si>
  <si>
    <t>i2108_3p012m_g27_e002</t>
  </si>
  <si>
    <t>Resgatar ilustração retas s, t, u e v em um programa de computador; g23_ftd_lt_3bam_p193; código antigo i4423zz_3bam_g23_ftd</t>
  </si>
  <si>
    <t>i2109_3p012m_g27_e002</t>
  </si>
  <si>
    <t>Resgatar e ajustar ilustração de uma malha quadriculada; g23_ftd_lt_3bam_p194; código antigo i4424zz_3bam_g23_ftd
AJUSTE: retirar as retas em cor resposta, deixar somente a malha.</t>
  </si>
  <si>
    <t>i2110_3p012m_g27_e002</t>
  </si>
  <si>
    <t>Resgatar ilustração; de uma mão apoiando um esquadro em uma das retas paralelas, a reta r, g23_ftd_lt_3bam_p194; código antigo i4425rm_3bam_g23_ftd</t>
  </si>
  <si>
    <t>i2111_3p012m_g27_e002</t>
  </si>
  <si>
    <t>Resgatar ilustração; de duas mãos encostando a régua no esquadro que está na reta r,  g23_ftd_lt_3bam_p194; código antigo i4426rm_3bam_g23_ftd</t>
  </si>
  <si>
    <t>i2112_3p012m_g27_e002</t>
  </si>
  <si>
    <t>Resgatar ilustração, de duas mãos que deslizou o esquadro até a reta s, usando a régua como apoio, g23_ftd_lt_3bam_p194; código antigo i4427rm_3bam_g23_ftd</t>
  </si>
  <si>
    <t>i2113_3p012m_g27_e002</t>
  </si>
  <si>
    <t>Resgatar ilustração retas t e u paralelas; g23_ftd_lt_3bam_p194; código antigo it4428pm_3bam_g23_ftd</t>
  </si>
  <si>
    <t>i2114_3p012m_g27_e002</t>
  </si>
  <si>
    <t>Ilustração de um desenho feito em uma tela de computador como mostrado na referência a seguir. As ruas Prata e Esmeralda devem ser paralelas, assim como as ruas Rubi e Ouro. 
Os nomes das ruas devem ficar visível para o aluno.
Arte: se achar conveniente, pode usar a tela de computador do padrão e compor apenas o suporte da tela.</t>
  </si>
  <si>
    <t>i2195_3p012m_g27_e002</t>
  </si>
  <si>
    <t>Resgatar ilustração mão contornando um objeto cilíndrico; g23_ftd_lt_3bam_p195; código antigo i4430rm_3bam_g23_ftd</t>
  </si>
  <si>
    <t>i2115_3p012m_g27_e002</t>
  </si>
  <si>
    <t>Resgatar ilustração desenhos de figuras geométricas feitas através de objetos; g23_ftd_lt_3bam_p195; código antigo i4431rm_3bam_g23_ftd</t>
  </si>
  <si>
    <t>Ajustado pela diagramação.</t>
  </si>
  <si>
    <t>i2116_3p012m_g27_e002</t>
  </si>
  <si>
    <t>Resgatar ilustração caixa de sapatos; g23_ftd_lt_3bam_p195; código antigo i4432rm_3bam_g23_ftd</t>
  </si>
  <si>
    <t>i2117_3p012m_g27_e002</t>
  </si>
  <si>
    <t>Resgatar ilustração recipiente transparente; g23_ftd_lt_3bam_p195; código antigo i4433rm_3bam_g23_ftd</t>
  </si>
  <si>
    <t>i2118_3p012m_g27_e002</t>
  </si>
  <si>
    <t>Resgatar ilustração pirâmide de base quadrada; g23_ftd_lt_3bam_p195; código antigo i4434rm_3bam_g23_ftd</t>
  </si>
  <si>
    <t>i2119_3p012m_g27_e002</t>
  </si>
  <si>
    <t>Resgatar a ilustração labirinto de forma geométricas, g23_ftd_lt_3bam_p196; código antigo i4435gu_3bam_g23_ftd</t>
  </si>
  <si>
    <t>i2122_3p012m_g27_e002</t>
  </si>
  <si>
    <t>Resgatar ilustração retângulo verde; g23_ftd_lt_3bam_p196; código antigo it4436pm_3bam_g23_ftd</t>
  </si>
  <si>
    <t>i2124_3p012m_g27_e002</t>
  </si>
  <si>
    <t>Resgatar ilustração círculo verde; g23_ftd_lt_3bam_p196; código antigo it4437pm_3bam_g23_ftd</t>
  </si>
  <si>
    <t>i2121_3p012m_g27_e002</t>
  </si>
  <si>
    <t>Resgatar ilustração triângulo verde; g23_ftd_lt_3bam_p196; código antigo it4438pm_3bam_g23_ftd</t>
  </si>
  <si>
    <t>i2123_3p012m_g27_e002</t>
  </si>
  <si>
    <t>Resgatar ilustração quadrado verde; g23_ftd_lt_3bam_p196; código antigo it4439pm_3bam_g23_ftd</t>
  </si>
  <si>
    <t>i2125_3p012m_g27_e002</t>
  </si>
  <si>
    <t>Resgatar ilustração desenho feito a partir de figuras geométricas planas; g23_ftd_lt_3bam_p197; código antigo it4440pm_3bam_g23_ftd</t>
  </si>
  <si>
    <t>g2126_3p012m_g27_e002</t>
  </si>
  <si>
    <t>Resgatar ilustração de gráfico de barras com a quantidade de figuras desenhadas por tipo; g23_ftd_lt_#bam_p197; código antigo gt4441pm_3bam_g23_ftd
AJUSTE: Excluir resposta retirando os quadrinhos que estão pintados na cor magenta do gráfico.</t>
  </si>
  <si>
    <t>i2127_3p012m_g27_e002</t>
  </si>
  <si>
    <t>Resgatar ilustração pipa vermelha e amarela; g23_ftd_lt_3bam_p198; código antigo i4442rm_3bam_g23_ftd</t>
  </si>
  <si>
    <t>i2128_3p012m_g27_e002</t>
  </si>
  <si>
    <t>Resgatar ilustração pipa roxa, amarela e azul; g23_ftd_lt_3bam_p198; código antigo i4443rm_3bam_g23_ftd</t>
  </si>
  <si>
    <t>i2129_3p012m_g27_e002</t>
  </si>
  <si>
    <t>Resgatar ilustração pipa verde, branco e vermelho; g23_ftd_lt_3bam_p198; código antigo i4444rm_3bam_g23_ftd</t>
  </si>
  <si>
    <t>i2130_3p012m_g27_e002</t>
  </si>
  <si>
    <t>Resgatar ilustração pedaço de papel separado em fileiras de diferentes tonalidades de vermelho; g23_ftd_lt_3bam_p198; código antigo i4445gu_3bam_g23_ftd</t>
  </si>
  <si>
    <t>i2131_3p012m_g27_e002</t>
  </si>
  <si>
    <t>Resgatar ilustração quadrado verde; g23_ftd_lt_3bam_p198; código antigo it4449pm_3bam_g23_ftd</t>
  </si>
  <si>
    <t>i2132_3p012m_g27_e002</t>
  </si>
  <si>
    <t>Resgatar ilustração triângulo retângulo azul; g23_ftd_lt_3bam_p198; código antigo it4450pm_3bam_g23_ftd</t>
  </si>
  <si>
    <t>i2133_3p012m_g27_e002</t>
  </si>
  <si>
    <t>Resgatar ilustração figura amarela; g23_ftd_lt_3bam_p198; código antigo it4451pm_3bam_g23_ftd</t>
  </si>
  <si>
    <t>i2134_3p012m_g27_e002</t>
  </si>
  <si>
    <t>Resgatar ilustração das figuras; g23_ftd_lt_3bam_p198; código antigo it4452pm_3bam_g23_ftd</t>
  </si>
  <si>
    <t>i2137_3p012m_g27_e002</t>
  </si>
  <si>
    <t>Resgatar ilustração mesa com 2 cubos, roxo e verde, em cima de tamanhos diferentes; g23_ftd_lt_3bam_p199; código antigo it4446pm_3bam_g23_ftd</t>
  </si>
  <si>
    <t>i2138_3p012m_g27_e002</t>
  </si>
  <si>
    <t>Resgatar ilustração da face do cubo roxo e do cubo verde de tamanhos diferentes da ilustração i2137_3p012m; g23_ftd_lt_3bam_p199; código antigo it4447pm_3bam_g23_ftd</t>
  </si>
  <si>
    <t>i2139_3p012m_g27_e002</t>
  </si>
  <si>
    <t>Resgatar ilustração de dois quadrados do mesmo tamanho verde e dois quadrados de mesmo tamanho roxo da i2138_3p012m; g23_ftd_lt_3bam_p199; código antigo it4448pm_3bam_g23_ftd</t>
  </si>
  <si>
    <t>i2140_3p012m_g27_e002</t>
  </si>
  <si>
    <t>Resgatar e ajustar ilustração de uma figura geométrica plana desenhada em um caderno com indicações do vértice e do lado; g23_ftd_lt_3bam_p200; código antigo i4453zz_3bam_g23_ftd
AJUSTE: retirar caderno da imagem e retirar ponta da seta, deixando apenas o fio de indicação deixando chegar até o vértice e o lado do quadrado.</t>
  </si>
  <si>
    <t>CAMILA CARMONA/ARQUIVO DA EDITORA</t>
  </si>
  <si>
    <t>i2141_3p012m_g27_e002</t>
  </si>
  <si>
    <t>Resgatar ilustração quadrado verde; g23_ftd_lt_3bam_p200; código antigo it4454pm_3bam_g23_ftd</t>
  </si>
  <si>
    <t>i2142_3p012m_g27_e002</t>
  </si>
  <si>
    <t>Resgatar ilustração triângulo amarelo; g23_ftd_lt_3bam_p200; código antigo it4455pm_3bam_g23_ftd</t>
  </si>
  <si>
    <t>i2143_3p012m_g27_e002</t>
  </si>
  <si>
    <t>Resgatar ilustração pentágono azul; g23_ftd_lt_3bam_p200; código antigo it4489pm_3bam_g23_ftd</t>
  </si>
  <si>
    <t>i2144_3p012m_g27_e002</t>
  </si>
  <si>
    <t xml:space="preserve">Resgatar ilustração figuras geométricas planas em uma malha quadriculada; g23_ftd_lt_3bam_p201; código antigo i4457zz_3bam_g23_ftd 
Ajuste: compor uma proteção para cada textos da malha quadriculada pois a leitura do texto sobreposto na malha está prejudicada, mas manter a escrita cursiva, para atender o edital (4.19 - item d).
</t>
  </si>
  <si>
    <t>i2145_3p012m_g27_e002</t>
  </si>
  <si>
    <t>Resgatar ilustração malha quadriculada com retângulo amarelo; g23_ftd_lt_3bam_p201; código antigo i4460zz_3bam_g23_ftd</t>
  </si>
  <si>
    <t>GUSTAVO CONTI/ARQUIVO DA EDITORA</t>
  </si>
  <si>
    <t>i2146_3p012m_g27_e002</t>
  </si>
  <si>
    <t>Resgatar ilustração malha quadriculada com losango amarelo; g23_ftd_lt_3bam_p201; código antigo i4461zz_3bam_g23_ftd</t>
  </si>
  <si>
    <t>i2147_3p012m_g27_e002</t>
  </si>
  <si>
    <t>Resgatar ilustração malha quadriculada com triângulo amarelo; g23_ftd_lt_3bam_p201; código antigo i4462zz_3bam_g23_ftd</t>
  </si>
  <si>
    <t>i2148_3p012m_g27_e002</t>
  </si>
  <si>
    <t>Resgatar ilustração malha quadriculada com quadrado amarelo; g23_ftd_lt_3bam_p201; código antigo i4492zz_3bam_g23_ftd</t>
  </si>
  <si>
    <t>i2149_3p012m_g27_e002</t>
  </si>
  <si>
    <t>Resgatar ilustração malha quadriculada com trapézio amarelo; g23_ftd_lt_3bam_p201; código antigo i4463zz_3bam_g23_ftd</t>
  </si>
  <si>
    <t>i2150_3p012m_g27_e002</t>
  </si>
  <si>
    <t>Resgatar ilustração triângulo amarelo; g23_ftd_lt_3bam_p202; código antigo it4466pm_3bam_g23_ftd</t>
  </si>
  <si>
    <t>i2151_3p012m_g27_e002</t>
  </si>
  <si>
    <t>Resgatar ilustração trapézio lilás; g23_ftd_lt_3bam_p202; código antigo it4468pm_3bam_g23_ftd</t>
  </si>
  <si>
    <t>i2152_3p012m_g27_e002</t>
  </si>
  <si>
    <t>Resgatar ilustração paralelepípedo azul; g23_ftd_lt_3bam_p202; código antigo it4469pm_3bam_g23_ftd</t>
  </si>
  <si>
    <t>i2153_3p012m_g27_e002</t>
  </si>
  <si>
    <t>Resgatar ilustração mancha de tinta azul; g23_ftd_lt_3bam_p202; código antigo i4495_3bam_g23_ftd_re</t>
  </si>
  <si>
    <t>i2154_3p012m_g27_e002</t>
  </si>
  <si>
    <t>Resgatar ilustração mancha de tinta amarela; g23_ftd_lt_3bam_p202; código antigo i4496_3bam_g23_ftd</t>
  </si>
  <si>
    <t>i2155_3p012m_g27_e002</t>
  </si>
  <si>
    <t>Resgatar ilustração mancha de tinta verde; g23_ftd_lt_3bam_p202; código antigo i4497_3bam_g23_ftd</t>
  </si>
  <si>
    <t>i2156_3p012m_g27_e002</t>
  </si>
  <si>
    <t>Resgatar ilustração mancha de tinta vermelha; g23_ftd_lt_3bam_p202; código antigo i4498_3bam_g23_ftd</t>
  </si>
  <si>
    <t>i2157_3p012m_g27_e002</t>
  </si>
  <si>
    <t>Resgatar ilustração mancha de tinta laranja; g23_ftd_lt_3bam_p202; código antigo i4499_3bam_g23_ftd</t>
  </si>
  <si>
    <t>i2158_3p012m_g27_e002</t>
  </si>
  <si>
    <t>Resgatar ilustração figuras geométricas planas variadas, com o nome de cores em cor resposta; g23_ftd_lt_3bam_p202; código antigo it4464pm_3bam_g23_ftd</t>
  </si>
  <si>
    <t>i2159_3p012m_g27_e002</t>
  </si>
  <si>
    <t>Resgatar ilustração quadrado azul; g23_ftd_lt_3bam-p202; código antigo it4470pm_3bam_g23_ftd</t>
  </si>
  <si>
    <t>i2160_3p012m_g27_e002</t>
  </si>
  <si>
    <t>Resgatar ilustração quadrado verde; g23_ftd_lt_3bam_p202; código antigo it4471pm_3bam_g23_ftd</t>
  </si>
  <si>
    <t>i2161_3p012m_g27_e002</t>
  </si>
  <si>
    <t>Resgatar ilustração quadrado laranja; g23_ftd_lt_3bam_p202; código antigo it4472pm_3bam_g23_ftd</t>
  </si>
  <si>
    <t>i2162_3p012m_g27_e002</t>
  </si>
  <si>
    <t>Resgatar ilustração retângulo vermelho; g23_ftd_lt_3bam_p202; código antigo it4473pm_3bam_g23_ftd</t>
  </si>
  <si>
    <t>i2163_3p012m_g27_e002</t>
  </si>
  <si>
    <t>Resgatar ilustração retângulo amarelo; g23_ftd_lt_3bam_p202; código antigo it4474pm_3bam_g23_ftd</t>
  </si>
  <si>
    <t>i2164_3p012m_g27_e002</t>
  </si>
  <si>
    <t>Resgatar ilustração retângulo roxo inclinado; g23_ftd_lt_3bma_p202; código antigo it4475pm_3bam_g23_ftd</t>
  </si>
  <si>
    <t>i2165_3p012m_g27_e002</t>
  </si>
  <si>
    <t>Resgatar ilustração de figuras geométricas planas para encaixe; g23_ftd_lt_3bam_p202; código antigo i4476gu_3bam_g23_ftd</t>
  </si>
  <si>
    <t>i2166_3p012m_g27_e002</t>
  </si>
  <si>
    <t>Resgatar e ajustar ilustração malha quadriculada com triângulo amarelo e outra cor resposta; g23_ftd_lt_3bam_p203; código antigo i4477zz_3bam_g23_ftd
AJUSTE: excluir triângulo em cor resposta</t>
  </si>
  <si>
    <t>i2167_3p012m_g27_e002</t>
  </si>
  <si>
    <t>Resgatar e ajustar a ilustração figuras geométricas planas coloridas; g23_ftd_lt_3bam_p204; código antigo it4478pm_3bam_g23_ftd
AJUSTE 1: separar as figuras em A, B, C, D e E.
AJUSTE 2: compor mais duas figuras, sendo um trapézio vermelho e um retângulo marrom, conforme referência (pode usar as cores do padrão diferentes das já usadas).
Codificar as imagens novas como i2167F_3p012m_g27_e002 e i2167G_3p012m_g27_e002.
Para produzir as ilustrações novas pode usar o trapézio verde que já existe e diminuir um pouco na altura e flipar verticalmente e pode usar o retângulo rosa que já existe e deixar um pouco maior na horizonta. A ideia é que essas imagens mais o enunciado da atividade ocupem uma página.</t>
  </si>
  <si>
    <t>i2168_3p012m_g27_e002</t>
  </si>
  <si>
    <t>Resgatar ilustração figuras geométricas em papeis transparentes; g23_ftd_lt_3bam_p204; código antigo it4493sl_3bam_g23_ftd</t>
  </si>
  <si>
    <t>i2169_3p012m_g27_e002</t>
  </si>
  <si>
    <t>Resgatar ilustração figuras geométricas (pentágonos sobrepostos) planas em papéis transparentes; g23_ftd_lt_3bam_p204; código antigo it4494sl_3bam_g23_ftd</t>
  </si>
  <si>
    <t>i2194_3p012m_g27_e002</t>
  </si>
  <si>
    <t>Ilustração figuras geométricas (triângulos sobrepostos) planas em papéis transparente. Utilizar o mesmo estilo que foi utilizado na it4493sl_3bam_g23_ftd ou it4494sl_3bam_g23_ftd (foram enviadas na pasta), porém usar cores diferentes dessas. Os dois triângulos devem ser iguais, cores diferentes, e com posições ligeiramente diferentes no papel. No segundo momento estão totalmente sobrepostos e as cores devem ser mescladas.</t>
  </si>
  <si>
    <t>km</t>
  </si>
  <si>
    <t>arte</t>
  </si>
  <si>
    <t>i2170_3p012m_g27_e002</t>
  </si>
  <si>
    <t>Ilustração de uma construção de um triângulo em uma malha, como se fosse de um software de geometria dinâmica. (ver exemplo, não deve parecer que é geogebra). 
Para compor essa imagem usar a tela de código antigo i4421zz_3bam_g23_ftd (enviada na pasta) e em seu interior compor o triângulo conforme referência a seguir. Ver se o crédito deve ficar do Gustavo Conti, pois a tela foi ele quem fez.</t>
  </si>
  <si>
    <t>i2171_3p012m_g27_e002</t>
  </si>
  <si>
    <t>Ilustração da mesma tela da i2170_3p012m_g27_e002 agora com um triângulo congruente ao que já está na tela, na mesma malha, dando sequência a construção, como se fosse de um software de geometria dinâmica, conforme referência a seguir. Ver se o crédito deve ficar do Gustavo Conti, pois a tela foi ele quem fez.</t>
  </si>
  <si>
    <t>i2172_3p012m_g27_e002</t>
  </si>
  <si>
    <t>Ilustração da mesma tela da i2171_3p012m_g27_e002 agora com o triângulo congruente ao que já estava na tela na mesma malha só que posicionado de outra maneira, como se fosse de um software de geometria dinâmica, conforme referência a seguir. Ver se o crédito deve ficar do Gustavo Conti, pois a tela foi ele quem fez.</t>
  </si>
  <si>
    <t>i2175_3p012m_g27_e002</t>
  </si>
  <si>
    <t>Resgatar e ajustar ilustração indígenas confeccionando cestos; g23_ftd_lt_3bam_p206; código antigo i4402ez_3bam_g23_ftd_ef_ly
AJUSTE: manter a ilustração apenas na página par e retirar elementos das laterais da página conforme indicado na leitura prévia da Arte. Ver referência a seguir.
Arte: verificar se é necessário montar um layout para ver se essas páginas vão fechar.</t>
  </si>
  <si>
    <t>ez</t>
  </si>
  <si>
    <t>i2176_3p012m_g27_e002</t>
  </si>
  <si>
    <t>Resgatar ilustração triângulo verde; g23_ftd_lt_3bam_p207; código antigo it4403sl_3bam_g23_ftd</t>
  </si>
  <si>
    <t>i2177_3p012m_g27_e002</t>
  </si>
  <si>
    <t>Resgatar ilustração círculo azul; g23_ftd_lt_3bam_p207; código antigo it4404sl_3bam_g23_ftd</t>
  </si>
  <si>
    <t>i2178_3p012m_g27_e002</t>
  </si>
  <si>
    <t>Resgatar ilustração círculo vermelho; g23_ftd_lt_3bam_p207; código antigo it4405sl_3bam_g23_ftd</t>
  </si>
  <si>
    <t>i2179_3p012m_g27_e002</t>
  </si>
  <si>
    <t>Resgatar ilustração retângulo azul; g23_ftd_lt_3bam_p207; código antigo it4406sl_3bam_g23_ftd</t>
  </si>
  <si>
    <t>i2180_3p012m_g27_e002</t>
  </si>
  <si>
    <t>Resgatar ilustração quadrado vermelho; g23_ftd_lt_3bam_p207; código antigo it4407sl_3bam_g23_ftd</t>
  </si>
  <si>
    <t>i2181_3p012m_g27_e002</t>
  </si>
  <si>
    <t>Resgatar ilustração círculo roxo; g23_ftd_lt_3bam_p207; código antigo it4408sl_3bam_g23_ftd</t>
  </si>
  <si>
    <t>i2182_3p012m_g27_e002</t>
  </si>
  <si>
    <t>Resgatar ilustração retângulo amarelo; g23_ftd_lt_3bam_p207; código antigo it4409sl_3bam_g23_ftd</t>
  </si>
  <si>
    <t>i2183_3p012m_g27_e002</t>
  </si>
  <si>
    <t>Resgatar ilustração quadrado amarelo; g23_ftd_lt_3bam_p207; código antigo it4410sl_3bam_g23_ftd</t>
  </si>
  <si>
    <t>i2184_3p012m_g27_e002</t>
  </si>
  <si>
    <t>Resgatar ilustração paralelogramo roxo; g23_ftd_lt_3bam_p207; código antigo it4411sl_3bam_g23_ftd</t>
  </si>
  <si>
    <t>i2185_3p012m_g27_e002</t>
  </si>
  <si>
    <t>Resgatar ilustração trapézio amarelo; g23_ftd_lt_3bam_p207; código antigo it4412sl_3bam_g23_ftd</t>
  </si>
  <si>
    <t>i2186_3p012m_g27_e002</t>
  </si>
  <si>
    <t>Resgatar ilustração quadrado azul; g23_ftd_lt_3bam_p207; código antigo it4413sl_3bam_g23_ftd</t>
  </si>
  <si>
    <t>i2187_3p012m_g27_e002</t>
  </si>
  <si>
    <t>Resgatar ilustração retângulo vermelho; g23_ftd_lt_3bam_p207; código antigo it4414sl_3bam_g23_ftd</t>
  </si>
  <si>
    <t>i6149_1p012m_g27_e002</t>
  </si>
  <si>
    <t>Vamos concluir</t>
  </si>
  <si>
    <t>Resgatar ilustração das figuras geométricas do g23_ftd_lt_1bam_p198 código antigo it4844sl_1bam_g23_ftd</t>
  </si>
  <si>
    <t>i6150_1p012m_g27_e002</t>
  </si>
  <si>
    <t>Resgatar ilustração do boneco de figuras geométricas do g23_ftd_lt_1bam_p198 código antigo it4872sl_1bam_g23_ftd</t>
  </si>
  <si>
    <t>i6151_1p012m_g27_e002</t>
  </si>
  <si>
    <t>Resgatar e ajustar ilustração das figuras geométricas do g23_ftd_lt_1bam_p198 código antigo it4845sl_1bam_g23_ftd
AJUSTE: separar em ilustração em A, B, C, D, E e F</t>
  </si>
  <si>
    <t>i6152_1p012m_g27_e002</t>
  </si>
  <si>
    <t>Resgatar ilustração da fita verde do g23_ftd_lt_1bam_p196 código antigo i4838rm_1bam_g23_ftd_ef</t>
  </si>
  <si>
    <t>i6153_1p012m_g27_e002</t>
  </si>
  <si>
    <t>Resgatar ilustração da fita amarela do g23_ftd_lt_1bam_p196 código antigo i4839rm_1bam_g23_ftd_ef</t>
  </si>
  <si>
    <t>i6154_1p012m_g27_e002</t>
  </si>
  <si>
    <t>Resgatar ilustração de um relógio marcando 9 horas do g23_ftd_lt_1bam_p197 código antigo i4840zz_1bam_g23_ftd</t>
  </si>
  <si>
    <t>i6155_1p012m_g27_e002</t>
  </si>
  <si>
    <t>Resgatar ilustração de um relógio marcando 7 horas do g23_ftd_lt_1bam_p197 código antigo i4841zz_1bam_g23_ftd</t>
  </si>
  <si>
    <t>i6156_1p012m_g27_e002</t>
  </si>
  <si>
    <t>Resgatar ilustração do menino em um estádio de futebol do g23_ftd_lt_1bam_p197 código antigo i4842iv_1bam_g23_ftd</t>
  </si>
  <si>
    <t>i6158_1p012m_g27_e002</t>
  </si>
  <si>
    <t>Resgatar ilustração do quadrado do g23_ftd_lt_1bam_p198 código antigo it4846sl_1bam_g23_ftd</t>
  </si>
  <si>
    <t>i6159_1p012m_g27_e002</t>
  </si>
  <si>
    <t>Resgatar ilustração do triângulo do g23_ftd_lt_1bam_p198 código antigo it4847sl_1bam_g23_ftd</t>
  </si>
  <si>
    <t>i6160_1p012m_g27_e002</t>
  </si>
  <si>
    <t>Resgatar ilustração do círculo do g23_ftd_lt_1bam_p198 código antigo it4848sl_1bam_g23_ftd</t>
  </si>
  <si>
    <t>i6161_1p012m_g27_e002</t>
  </si>
  <si>
    <t>Resgatar ilustração de um jogo saindo da casa 1 até a casa 29; disponível em g23_ftd_lt_1bam_p18 do LIVRO DE PRÁTICAS – 1 ANO – código antigo i0625dn_1bam_g23_ftd</t>
  </si>
  <si>
    <t>i6162_1p012m_g27_e002</t>
  </si>
  <si>
    <t>Resgatar ilustração de um menino com cabelo cacheado preto; disponível em g23_ftd_lt_1bam_p18 do LIVRO DE PRÁTICAS – 1 ANO - código antigo i0628dn_1bam_g23_ftd</t>
  </si>
  <si>
    <t>i6163_1p012m_g27_e002</t>
  </si>
  <si>
    <t>Resgatar ilustração de uma menina com cabelo amarelo, disponível em g23_ftd_lt_1bam_p18 do LIVRO DE PRÁTICAS – 1 ANO - código antigo i0626dn_1bam_g23_ftd</t>
  </si>
  <si>
    <t>i6164_1p012m_g27_e002</t>
  </si>
  <si>
    <t>Resgatar ilustração de uma menina com cabelo ruivo, disponível em g23_ftd_lt_1bam_p18 do LIVRO DE PRÁTICAS – 1 ANO - código antigo i0627dn_1bam_g23_ftd</t>
  </si>
  <si>
    <t>i6165_1p012m_g27_e002</t>
  </si>
  <si>
    <t>Resgatar ilustração de duas bandejas de ovos, uma com 12 ovos e a outra com apenas 1 ovo, disponível em g23_ftd_lt_1bam_p52 do LIVRO DE PRÁTICAS – 1 ANO - código antigo i1019iv_1bam_g23_ftd</t>
  </si>
  <si>
    <t>i6166_1p012m_g27_e002</t>
  </si>
  <si>
    <t>Resgatar ilustração de uma caixa de lápis de cor, disponível no g23_ftd_lt_1bam_p52 do LIVRO DE PRÁTICAS – 1 ANO - código antigo i1021iv_1bam_g23_ftd</t>
  </si>
  <si>
    <t>i6167_1p012m_g27_e002</t>
  </si>
  <si>
    <t>Resgatar ilustração da caixa de giz do g23_ftd_lt_1bam_p52 do LIVRO DE PRÁTICAS – 1ANO - código antigo i1023iv _1bam_g23_ftd_ef</t>
  </si>
  <si>
    <t>g6168_1p012m_g27_e002</t>
  </si>
  <si>
    <t>Resgatar e ajustar gráfico da medida de massa dos animais do g23_ftd_lt_1bam_p199 código antigo gt4849sl_1bam_g23_ftd
AJUSTE: deixar GATO-PALHEIRO com 6 QUILOGRAMAS no gráfico, ou seja, pintar mais um quadrinho do gráfico.</t>
  </si>
  <si>
    <t xml:space="preserve">i0502_3p012m_g27_e002 </t>
  </si>
  <si>
    <t xml:space="preserve">Resgatar ilustração da confecção de peças do g23_ftd_lt_3bam_p048 código antigo i1201tc_3bam_g23_ftd_ef </t>
  </si>
  <si>
    <t xml:space="preserve">i0503_3p012m_g27_e002 </t>
  </si>
  <si>
    <t xml:space="preserve">Resgatar ilustração da representação do número 324 do material dourado do g23_ftd_lt_3bam_p048 código antigo i1202zz_3bam_g23_ftd </t>
  </si>
  <si>
    <t xml:space="preserve">i0504_3p012m_g27_e002 </t>
  </si>
  <si>
    <t xml:space="preserve">Resgatar ilustração da representação do número 315 do material dourado do g23_ftd_lt_3bam_p048 código antigo i1203zz_3bam_g23_ftd </t>
  </si>
  <si>
    <t xml:space="preserve">i0505_3p012m_g27_e002 </t>
  </si>
  <si>
    <t xml:space="preserve">Resgatar ilustração da representação do número 639 do material dourado do g23_ftd_lt_3bam_p048 código antigo i1204zz_3bam_g23_ftd </t>
  </si>
  <si>
    <t xml:space="preserve">i0507_3p012m_g27_e002 </t>
  </si>
  <si>
    <t xml:space="preserve">Resgatar ilustração do jogo de dardos do g23_ftd_lt_3bam_p052 código antigo i1206rm_3bam_g23_ftd </t>
  </si>
  <si>
    <t xml:space="preserve">i0508_3p012m_g27_e002 </t>
  </si>
  <si>
    <t xml:space="preserve">Resgatar ilustração da reta numérica da soma 7+6 do g23_ftd_lt_3bam_p053 código antigo it1217gu_3bam_g23_ftd </t>
  </si>
  <si>
    <t xml:space="preserve">i0510_3p012m_g27_e002 </t>
  </si>
  <si>
    <t xml:space="preserve">Resgatar ilustração da reta numérica com seta apontando de 4 a 11 em cor resposta do g23_ftd_lt_3bam_p053 código antigo it1228sl_3bam_g23_ftd 
AJUSTE: retirar indicações em cor resposta </t>
  </si>
  <si>
    <t xml:space="preserve">i0511_3p012m_g27_e002 </t>
  </si>
  <si>
    <t xml:space="preserve">Resgatar ilustração da reta numérica com seta apontando de 932 a 938 em cor resposta do g23_ftd_lt_3bam_p053 código antigo it1229sl_3bam_g23_ftd 
AJUSTE: retirar indicações em cor resposta </t>
  </si>
  <si>
    <t xml:space="preserve">i0512_3p012m_g27_e002 </t>
  </si>
  <si>
    <t xml:space="preserve">Resgatar ilustração de quatro peças de roupa do g23_ftd_lt_3bam_p055 código antigo i1208tc_3bam_g23_ftd 
AJUSTE: Separar as ils em A, B, C e D, sendo i0512A (calça jeans), i0512B (calça de lycra), i0512C (blusa vermelha), i0512D (blusa amarela) </t>
  </si>
  <si>
    <t xml:space="preserve">i0513_3p012m_g27_e002 </t>
  </si>
  <si>
    <t xml:space="preserve">Resgatar ilustração da representação do número 116 por cubinhos do g23_ftd_lt_3bam_p055 código antigo i1209zz_3bam_g23_ftd </t>
  </si>
  <si>
    <t>i0514_3p012m_g27_e002</t>
  </si>
  <si>
    <t xml:space="preserve">Resgatar ilustração da representação do número 154 por cubinhos do g23_ftd_lt_3bam_p055 código antigo i1210zz_3bam_g23_ftd </t>
  </si>
  <si>
    <t xml:space="preserve">i0515_3p012m_g27_e002 </t>
  </si>
  <si>
    <t xml:space="preserve">Resgatar ilustração de 2 placas, 6 barras, 10 cubinhos e 1 barra do material dourado do g23_ftd_lt_3bam_p056 código antigo i1211zz_3bam_g23_ftd </t>
  </si>
  <si>
    <t xml:space="preserve">i0516_3p012m_g27_e002 </t>
  </si>
  <si>
    <t xml:space="preserve">Resgatar ilustração da menina de camiseta amarela do g23_ftd_lt_3bam_p058 código antigo i1213tc_3bam_g23_ftd </t>
  </si>
  <si>
    <t xml:space="preserve">i0517_3p012m_g27_e002 </t>
  </si>
  <si>
    <t xml:space="preserve">Resgatar ilustração de menino falando do g23_ftd_lt_3bam_p058 código antigo i1212tc_3bam_g23_ftd </t>
  </si>
  <si>
    <t xml:space="preserve">i0518_3p012m_g27_e002 </t>
  </si>
  <si>
    <t xml:space="preserve">Resgatar ilustração do visor de uma calculadora do número 374 do g23_ftd_lt_3bam_p058 código antigo i1218zz_3bam_g23_ftd </t>
  </si>
  <si>
    <t xml:space="preserve">i0703_3p012m_g27_e002 </t>
  </si>
  <si>
    <t xml:space="preserve">Resgatar ilustração de um calendário do ano de 2023; disponível em g23_ftd_lt_3bam_p084. Código antigo: i2041zz_3bam_g23_ftd 
AJUSTE: trocar pelo calendário atualizado de 2027 do padrão </t>
  </si>
  <si>
    <t xml:space="preserve">i0704_3p012m_g27_e002 </t>
  </si>
  <si>
    <t xml:space="preserve">Resgatar ilustração de um menino de cadeira de roda; disponível em g23_ftd_lt_3bam_p086. Código antigo: i2044iv_3bam_g23_ftd </t>
  </si>
  <si>
    <t xml:space="preserve">i0706_3p012m_g27_e002 </t>
  </si>
  <si>
    <t xml:space="preserve">Resgatar ilustração de 3 crianças com um balão de fala cada; disponível em g23_ftd_lt_3bam_p087. Código antigo: i2049iv_3bam_g23_ftd 
Arte: separar ils em A, B e C </t>
  </si>
  <si>
    <t xml:space="preserve">i0708_3p012m_g27_e002 </t>
  </si>
  <si>
    <t xml:space="preserve">Resgatar ilustração de um relógio de ponteiros; disponível em g23_ftd_lt_3bam_p089. Código antigo: i2002zz_3bam_g23_ftd </t>
  </si>
  <si>
    <t xml:space="preserve">i0709_3p012m_g27_e002 </t>
  </si>
  <si>
    <t xml:space="preserve">Resgatar ilustração de um relógio digital; disponível em g23_ftd_lt_3bam_p089.Código antigo: i2003zz_3bam_g23_ftd </t>
  </si>
  <si>
    <t xml:space="preserve">i0710_3p012m_g27_e002 </t>
  </si>
  <si>
    <t xml:space="preserve">Resgatar ilustração de um relógio marcando 6 horas; disponível em g23_ftd_lt_3bam_p089. Código antigo: i2004zz_3bam_g23_ftd </t>
  </si>
  <si>
    <t xml:space="preserve">i0711_3p012m_g27_e002 </t>
  </si>
  <si>
    <t xml:space="preserve">Resgatar ilustração de um relógio marcando 9 horas e 30 minutos; disponível em g23_ftd_lt_3bam_p089. Código antigo: i2005zz_3bam_g23_ftd </t>
  </si>
  <si>
    <t xml:space="preserve">i0712_3p012m_g27_e002 </t>
  </si>
  <si>
    <t xml:space="preserve">Resgatar ilustração de um relógio marcando 5 horas e 30 minutos; disponível em g23_ftd_lt_3bam_p089. Código antigo: i2006zz_3bam_g23_ftd </t>
  </si>
  <si>
    <t xml:space="preserve">i0713_3p012m_g27_e002 </t>
  </si>
  <si>
    <t xml:space="preserve">Resgatar ilustração de um relógio digital marcando 5 horas e 30 minutos; disponível em g23_ftd_lt_3bam_p089. Código antigo: i2007zz_3bam_g23_ftd </t>
  </si>
  <si>
    <t xml:space="preserve">i0714_3p012m_g27_e002 </t>
  </si>
  <si>
    <t xml:space="preserve">Resgatar ilustração de um relógio digital marcando 9 horas e 30 minutos; disponível em g23_ftd_lt_3bam_p089. Código antigo: i2008zz_3bam_g23_ftd </t>
  </si>
  <si>
    <t xml:space="preserve">i0715_3p012m_g27_e002 </t>
  </si>
  <si>
    <t xml:space="preserve">Resgatar ilustração de um relógio digital marcando 6 horas; disponível em g23_ftd_lt_3bam_p089. Código antigo: i2009zz_3bam_g23_ftd </t>
  </si>
  <si>
    <t xml:space="preserve">i0716_3p012m_g27_e002 </t>
  </si>
  <si>
    <t xml:space="preserve">Resgatar ilustração de um relógio de ponteiro marcando 2 horas e 30 minutos em cor resposta; disponível em g23_ftd_lt_3bam_p089. Código antigo: i2011zz_3bam_g23_ftd 
AJUSTE: excluir os ponteiros em cor resposta </t>
  </si>
  <si>
    <t xml:space="preserve">i0717_3p012m_g27_e002 </t>
  </si>
  <si>
    <t xml:space="preserve">Resgatar ilustração de um relógio digital 2 horas e 30 minutos; disponível em g23_ftd_lt_3bam_p089. Código antigo: i2010zz_3bam_g23_ftd </t>
  </si>
  <si>
    <t xml:space="preserve">i0718_3p012m_g27_e002 </t>
  </si>
  <si>
    <t xml:space="preserve">Resgatar ilustração de um relógio de ponteiro mostrando uma parte de 5 minutos; disponível em g23_ftd_lt_3bam_p090. Código antigo: i2018zz_3bam_g23_ftd </t>
  </si>
  <si>
    <t xml:space="preserve">i0719_3p012m_g27_e002 </t>
  </si>
  <si>
    <t xml:space="preserve">Resgatar ilustração de um relógio de ponteiro mostrando uma parte de 5 minutos; disponível em g23_ftd_lt_3bam_p090. Código antigo: i2019zz_3bam_g23_ftd </t>
  </si>
  <si>
    <t xml:space="preserve">i0720_3p012m_g27_e002 </t>
  </si>
  <si>
    <t xml:space="preserve">Resgatar ilustração de um relógio de ponteiro mostrando uma parte de 5 minutos; disponível em g23_ftd_lt_3bam_p090. Código antigo: i2020zz_3bam_g23_ftd </t>
  </si>
  <si>
    <t xml:space="preserve">i0721_3p012m_g27_e002 </t>
  </si>
  <si>
    <t xml:space="preserve">Resgatar ilustração de um relógio verde com campos para anotar os intervalos de 5 em 5 minutos; disponível em g23_ftd_lt_3bam_p090. Código antigo: i2021gu_3bam_g23_ftd </t>
  </si>
  <si>
    <t xml:space="preserve">i0722_3p012m_g27_e002 </t>
  </si>
  <si>
    <t xml:space="preserve">Resgatar ilustração de uma menina com um origami na mão; disponível em g23_ftd_lt_3bam_p091. Código antigo: i2026iv_3bam_g23_ftd </t>
  </si>
  <si>
    <t xml:space="preserve">i0723_3p012m_g27_e002 </t>
  </si>
  <si>
    <t xml:space="preserve">Resgatar ilustração de um relógio verde marcando 5 horas; disponível em g23_ftd_lt_3bam_p091. Código antigo: i2027zz_3bam_g23_ftd </t>
  </si>
  <si>
    <t xml:space="preserve">i0724_3p012m_g27_e002 </t>
  </si>
  <si>
    <t xml:space="preserve">Resgatar ilustração deum relógio verde marcando 1 hora e 30 minutos; disponível em g23_ftd_lt_3bam_p091. Código antigo: i2028zz_3bam_g23_ftd </t>
  </si>
  <si>
    <t xml:space="preserve">i0725_3p012m_g27_e002 </t>
  </si>
  <si>
    <t xml:space="preserve">Resgatar ilustração de um relógio verde marcando 10 e 5 minutos; disponível em g23_ftd_lt_3bam_p091. Código antigo: i2029zz_3bam_g23_ftd </t>
  </si>
  <si>
    <t xml:space="preserve">i0726_3p012m_g27_e002 </t>
  </si>
  <si>
    <t xml:space="preserve">Resgatar ilustração de uma mulher olhando um bolo assando no forno de um fogão; disponível em g23_ftd_lt_3bam_p092. Código antigo: i2030iv_3bam_g23_ftd </t>
  </si>
  <si>
    <t xml:space="preserve">i0727_3p012m_g27_e002 </t>
  </si>
  <si>
    <t xml:space="preserve">Resgatar ilustração de um rapaz sentado em frente ao computador; disponível em g23_ftd_lt_3bam_p092. Código antigo: i2031iv_3bam_g23_ftd </t>
  </si>
  <si>
    <t xml:space="preserve">i0728_3p012m_g27_e002 </t>
  </si>
  <si>
    <t xml:space="preserve">Resgatar ilustração de um relógio digital marcando 9 horas, 29 minutos e 53 segundos; disponível em g23_ftd_lt_3bam_p092. Código antigo: i2032zz_3bam_g23_ftd </t>
  </si>
  <si>
    <t xml:space="preserve">i0729_3p012m_g27_e002 </t>
  </si>
  <si>
    <t xml:space="preserve">Resgatar ilustração de um relógio marcando 09 horas, 25 minutos e 53 segundos; disponível em g23_ftd_lt_3bam_p092. Código antigo: i2033zz_3bam_g23_ftd </t>
  </si>
  <si>
    <t xml:space="preserve">i0730_3p012m_g27_e002 </t>
  </si>
  <si>
    <t xml:space="preserve">Resgatar ilustração de um relógio digital marcando 9 horas e 30 minutos; disponível em g23_ftd_lt_3bam_p092. Código antigo: i2034zz_3bam_g23_ftd </t>
  </si>
  <si>
    <t xml:space="preserve">i0731_3p012m_g27_e002 </t>
  </si>
  <si>
    <t xml:space="preserve">Resgatar ilustração de um relógio marcando 9 horas, 29 minutos e 55 segundos; disponível em g23_ftd_lt_3bam_p092. Código antigo: i2035zz_3bam_g23_ftd </t>
  </si>
  <si>
    <t xml:space="preserve">i0732_3p012m_g27_e002 </t>
  </si>
  <si>
    <t xml:space="preserve">Resgatar ilustração de um relógio digital mostrando 15 horas e 30 minutos; disponível em g23_ftd_lt_3bam_p093. Código antigo: i2036zz_3bam_g23_ftd </t>
  </si>
  <si>
    <t xml:space="preserve">i0733_3p012m_g27_e002 </t>
  </si>
  <si>
    <t xml:space="preserve">Resgatar ilustração de um relógio digital mostrando 3 horas e 30 minutos; disponível em g23_ftd_lt_3bam_p093. Código antigo: i2037zz_3bam_g23_ftd </t>
  </si>
  <si>
    <t xml:space="preserve">i0734_3p012m_g27_e002 </t>
  </si>
  <si>
    <t xml:space="preserve">Resgatar ilustração de um relógio mostrando 4 horas e 30 minutos; disponível em g23_ftd_lt_3bam_p093. Código antigo: i2038zz_3bam_g23_ftd </t>
  </si>
  <si>
    <t xml:space="preserve">i0735_3p012m_g27_e002 </t>
  </si>
  <si>
    <t xml:space="preserve">Resgatar ilustração de um relógio mostrando 21 horas e 30 minutos; disponível em g23_ftd_lt_3bam_p093. Código antigo: i2039zz_3bam_g23_ftd </t>
  </si>
  <si>
    <t xml:space="preserve">i0736_3p012m_g27_e002 </t>
  </si>
  <si>
    <t xml:space="preserve">Resgatar ilustração de um menino em um corredor da escola com um balão de fala; disponível em g23_ftd_lt_3bam_p094. Código antigo: i2047gd_3bam_g23_ftd_ef_ly 
AJUSTE: remover parte direita vazia da il (que fazia parte da página 95 espelhada), deixar como na referência </t>
  </si>
  <si>
    <t>gd</t>
  </si>
  <si>
    <t xml:space="preserve">i0903_3p012m_g27_e002 </t>
  </si>
  <si>
    <t xml:space="preserve">Resgatar ilustração de chef de cozinha falando no restaurante do g23_ftd_lt_3bam_p066 código antigo i1601iv_3bam_g23_ftd </t>
  </si>
  <si>
    <t xml:space="preserve">i0904_3p012m_g27_e002 </t>
  </si>
  <si>
    <t xml:space="preserve">Resgatar ilustração 1 placa, 7 barras e 3 cubinhos de material dourado do g23_ftd_lt_3bam_p066 código antigo i1602zz_3bam_g23_ftd </t>
  </si>
  <si>
    <t xml:space="preserve">i0905_3p012m_g27_e002 </t>
  </si>
  <si>
    <t xml:space="preserve">Resgatar ilustração de retirar 1 placa, 4 barras e 2 cubinhos de material dourado do g23_ftd_lt_3bam_p066 código antigo i1603zz_3bam_g23_ftd </t>
  </si>
  <si>
    <t xml:space="preserve">i0906_3p012m_g27_e002 </t>
  </si>
  <si>
    <t xml:space="preserve">Resgatar ilustração de 3 barras e 1 cubinho do material dourado do g23_ftd_lt_3bam_p067 código antigo i1604zz_3bam_g23_ftd </t>
  </si>
  <si>
    <t xml:space="preserve">i0908_3p012m_g27_e002 </t>
  </si>
  <si>
    <t xml:space="preserve">Resgatar ilustração do visor de uma calculadora do número 425 do g23_ftd_lt_3bam_p068 código antigo i1628zz_3bam_g23_ftd </t>
  </si>
  <si>
    <t xml:space="preserve">i0910_3p012m_g27_e002 </t>
  </si>
  <si>
    <t xml:space="preserve">Resgatar ilustração da reta numérica do 9 subtraindo 2 do g23_ftd_lt_3bam_p071 código antigo it1607gu_3bam_g23_ftd </t>
  </si>
  <si>
    <t xml:space="preserve">i0912_3p012m_g27_e002 </t>
  </si>
  <si>
    <t xml:space="preserve">Resgatar ilustração da reta numérica do 7 tirando 4  em cor resposta do g23_ftd_lt_3bam_p071 código antigo it1626sl_3bam_g23_ftd 
AJUSTE: retirar elementos em cor resposta </t>
  </si>
  <si>
    <t xml:space="preserve">i0913_3p012m_g27_e002 </t>
  </si>
  <si>
    <t xml:space="preserve">Resgatar ilustração da reta numérica do 161 tirando 11 em cor resposta do g23_ftd_lt_3bam_p071 código antigo it1627sl_3bam_g23_ftd 
AJUSTE: retirar elementos em cor resposta </t>
  </si>
  <si>
    <t xml:space="preserve">i0915_3p012m_g27_e002 </t>
  </si>
  <si>
    <t xml:space="preserve">Resgatar ilustração de 2 placas, 5 barrinhas e 7 cubinhos do g23_ftd_lt_3bam_p073 código antigo i1612zz_3bam_g23_ftd_aj </t>
  </si>
  <si>
    <t xml:space="preserve">i0916_3p012m_g27_e002 </t>
  </si>
  <si>
    <t xml:space="preserve">Resgatar ilustração de 2 placas, 5 barrinhas e 7 cubinhos do g23_ftd_lt_3bam_p073 código antigo i1613zz_3bam_g23_ftd_aj </t>
  </si>
  <si>
    <t xml:space="preserve">i0917_3p012m_g27_e002 </t>
  </si>
  <si>
    <t xml:space="preserve">Resgatar ilustração da retirada de 1 placa do g23_ftd_lt_3bam_p073 código antigo i1614zz_3bam_g23_ftd_aj </t>
  </si>
  <si>
    <t xml:space="preserve">i0918_3p012m_g27_e002 </t>
  </si>
  <si>
    <t xml:space="preserve">Resgatar ilustração de 9 barras e 4 cubinhos do g23_ftd_lt_3bam_p074 código antigo i1615zz_3bam_g23_ftd_aj </t>
  </si>
  <si>
    <t xml:space="preserve">i0923_3p012m_g27_e002 </t>
  </si>
  <si>
    <t xml:space="preserve">Resgatar ilustração do menino na cadeira de rodas e a menina correndo no g23_ftd_lt_3bam_p080 código antigo i1622ls_3bam_g23_ftd_ly 
Arte: separar il em duas partes para que fique adequada ao digital </t>
  </si>
  <si>
    <t>i1102_3p012m_g27_e002</t>
  </si>
  <si>
    <t>Resgatar ilustração de instrumentos utilizados por escolas de samba, disponível em g23_ftd_lt_3bam_p097. Código antigo: i2478rm_3bam_g23_ftd</t>
  </si>
  <si>
    <t>i1103_3p012m_g27_e002</t>
  </si>
  <si>
    <t>Resgatar ilustração de dois vasos de flores com um fundo cor azul, disponível em g23_ftd_lt_3bam_p098. Código antigo: i2401gd_3bam_g23_ftd_ef</t>
  </si>
  <si>
    <t>i1104_3p012m_g27_e002</t>
  </si>
  <si>
    <t>Resgatar ilustração de 14 quadrados azuis, disponível em g23_ftd_lt_3bam_p098. Código antigo: i2479sl_3bam_g23_ftd</t>
  </si>
  <si>
    <t>i1105_3p012m_g27_e002</t>
  </si>
  <si>
    <t>Resgatar ilustração de 15 quadradinhos laranja, disponível em g23_ftd_lt_3bam_p098. Código antigo: i2480sl_3bam_g23_ftd</t>
  </si>
  <si>
    <t>i1106_3p012m_g27_e002</t>
  </si>
  <si>
    <t>Resgatar ilustração de alguns estudantes sentados em grupos em uma sala, disponível em g23_ftd_lt_3bam_p099. Código antigo: i2402gd_3bam_g23_ftd</t>
  </si>
  <si>
    <t>i1107_3p012m_g27_e002</t>
  </si>
  <si>
    <t>Resgatar ilustração de 12 figurinhas representadas em linhas e colunas, disponível em g23_ftd_lt_3bam_p099. Código antigo: i2403rm_3bam_g23_ftd</t>
  </si>
  <si>
    <t>i1108_3p012m_g27_e002</t>
  </si>
  <si>
    <t>Resgatar ilustração de um laço verde, disponível em g23_ftd_lt_3bam_p100. Código antigo: i2404rm_3bam_g23_ftd</t>
  </si>
  <si>
    <t>i1109_3p012m_g27_e002</t>
  </si>
  <si>
    <t>Resgatar ilustração de um laço rosa, disponível em g23_ftd_lt_3bam_p100. Código antigo: i2405rm_3bam_g23_ftd</t>
  </si>
  <si>
    <t>i1110_3p012m_g27_e002</t>
  </si>
  <si>
    <t>Resgatar ilustração de um laço amarelo, disponível em g23_ftd_lt_3bam_p100. Código antigo: i2406rm_3bam_g23_ftd</t>
  </si>
  <si>
    <t>i1111_3p012m_g27_e002</t>
  </si>
  <si>
    <t>Resgatar ilustração de um laço laranja, disponível em g23_ftd_lt_3bam_p100. Código antigo: i2407rm_3bam_g23_ftd</t>
  </si>
  <si>
    <t>i1112_3p012m_g27_e002</t>
  </si>
  <si>
    <t>Resgatar ilustração de uma caixa azul, disponível em g23_ftd_lt_3bam_p100. Código antigo: i2408rm_3bam_g23_ftd</t>
  </si>
  <si>
    <t>i1113_3p012m_g27_e002</t>
  </si>
  <si>
    <t>Resgatar ilustração do desenho de uma caixa com um laço para pintar, disponível em g23_ftd_lt_3bam_p100. Código antigo: i2410rm_3bam_g23_ftd</t>
  </si>
  <si>
    <t>i1114_3p012m_g27_e002</t>
  </si>
  <si>
    <t>Resgatar ilustração de uma caixa vermelha, disponível em g23_ftd_lt_3bam_p100. Código antigo: i2409rm_3bam_g23_ftd</t>
  </si>
  <si>
    <t>i1115_3p012m_g27_e002</t>
  </si>
  <si>
    <t>Resgatar ilustração de uma régua com flecha "pulando” a cada 4cm e uma operação matemática logo abaixo, disponível em g23_ftd_lt_3bam_p100. Código antigo: i2482zz_3bam_g23_ftd</t>
  </si>
  <si>
    <t>i1116_3p012m_g27_e002</t>
  </si>
  <si>
    <t>Resgatar ilustração de 6 grupos compostos por 5 apontadores verdes, disponível em g23_ftd_lt_3bam_p101. Código antigo: i2412gu_3bam_g23_ftd</t>
  </si>
  <si>
    <t>i1117_3p012m_g27_e002</t>
  </si>
  <si>
    <t>Resgatar ilustração de 6 grupos compostos por 7 canetas com cores distintas, disponível em g23_ftd_lt_3bam_p101. Código antigo: i2413zz_3bam_g23_ftd</t>
  </si>
  <si>
    <t>i1118_3p012m_g27_e002</t>
  </si>
  <si>
    <t>Resgatar ilustração de um bolo de cenoura, disponível em g23_ftd_lt_3bam_p101. Código antigo: i2414rm_3bam_g23_ftd</t>
  </si>
  <si>
    <t>i1119_3p012m_g27_e002</t>
  </si>
  <si>
    <t>Resgatar ilustração de um kit de 6 sabonetes, disponível em g23_ftd_lt_3bam_p102. Código antigo: i2415rm_3bam_g23_ftd</t>
  </si>
  <si>
    <t>essa il está duplicada na planilha</t>
  </si>
  <si>
    <t>i1120_3p012m_g27_e002</t>
  </si>
  <si>
    <t>Resgatar ilustração de 7 potes com 3 bolas de tênis cada, disponível em g23_ftd_lt_3bam_p103. Código antigo: i2416rm_3bam_g23_ftd</t>
  </si>
  <si>
    <t>i1121_3p012m_g27_e002</t>
  </si>
  <si>
    <t>Resgatar ilustração de embalagens de bolas de tênis de mesa, disponível em g23_ftd_lt_3bam_p103. Código antigo: i2417rm_3bam_g23_ftd</t>
  </si>
  <si>
    <t>i1122_3p012m_g27_e002</t>
  </si>
  <si>
    <t>Resgatar ilustração de 7 cachos de bananas, disponível em g23_ftd_lt_3bam_p104. Código antigo: i2418rm_3bam_g23_ftd</t>
  </si>
  <si>
    <t>i1123_3p012m_g27_e002</t>
  </si>
  <si>
    <t>Resgatar ilustração de 7 pacotes de figurinhas, disponível em g23_ftd_lt_3bam_p104. Código antigo: i2419rm_3bam_g23_ftd</t>
  </si>
  <si>
    <t>i1124_3p012m_g27_e002</t>
  </si>
  <si>
    <t>Resgatar ilustração de 8 pacotes de arroz de 2 kgs, disponível em g23_ftd_lt_3bam_p105. Código antigo: i2481rm_3bam_g23_ftd</t>
  </si>
  <si>
    <t>i1125_3p012m_g27_e002</t>
  </si>
  <si>
    <t>Resgatar ilustração de uma malha quadriculada com o meio com a cor azul claro, disponível em g23_ftd_lt_3bam_p105. Código antigo: i2420zz_3bam_g23_ftd</t>
  </si>
  <si>
    <t>i1126_3p012m_g27_e002</t>
  </si>
  <si>
    <t xml:space="preserve">Resgatar ilustração de uma malha com 32 quadrinhos em cor resposta, disponível em g23_ftd_lt_3bam_p105. Código antigo: i2421gu_3bam_g23_ftd
AJUSTE: retirar preenchimento em cor resposta
</t>
  </si>
  <si>
    <t>resgate com ajute</t>
  </si>
  <si>
    <t>i1127_3p012m_g27_e002</t>
  </si>
  <si>
    <t xml:space="preserve">Resgatar ilustração de uma malha com 24 quadrinhos pintados de rosa, disponível em g23_ftd_lt_3bam_p105. Código antigo: i2422gu_3bam_g23_ftd
AJUSTE: retirar preenchimento em cor resposta
</t>
  </si>
  <si>
    <t>i1129_3p012m_g27_e002</t>
  </si>
  <si>
    <t>Resgatar ilustração da tela da calculadora marcando o número 30, disponível em g23_ftd_lt_3bam_p106. Código antigo: i2425zz_3bam_g23_ftd</t>
  </si>
  <si>
    <t>i1130_3p012m_g27_e002</t>
  </si>
  <si>
    <t>Resgatar ilustração de 9 jogos de caneta, disponível em g23_ftd_lt_3bam_p107. Código antigo: i2427rm_3bam_g23_ftd</t>
  </si>
  <si>
    <t>i1131_3p012m_g27_e002</t>
  </si>
  <si>
    <t>Resgatar ilustração de um carro vermelho visto de cima, disponível em g23_ftd_lt_3bam_p107. Código antigo: i2428rm_3bam_g23_ftd</t>
  </si>
  <si>
    <t>i1132_3p012m_g27_e002</t>
  </si>
  <si>
    <t>Resgatar ilustração de alguns salgados, disponível em g23_ftd_lt_3bam_p108. Código antigo: i2429tc_3bam_g23_ftd</t>
  </si>
  <si>
    <t>i1134_3p012m_g27_e002</t>
  </si>
  <si>
    <t>Resgatar ilustração de uma barra de cereal, disponível em g23_ftd_lt_3bam_p109. Código antigo: i2431tc_3bam_g23_ftd</t>
  </si>
  <si>
    <t>i1135_3p012m_g27_e002</t>
  </si>
  <si>
    <t>Resgatar ilustração de um pacote de arroz de 8 reais, disponível em g23_ftd_lt_3bam_p109. Código antigo: i2432tc_3bam_g23_ftd - AJUSTE: Inserir na ilustração que o pacote possui um 1 KG de modo que faça jus ao preço</t>
  </si>
  <si>
    <t>i1137_3p012m_g27_e002</t>
  </si>
  <si>
    <t>Resgatar ilustração de uma pessoa empurrando um carrinho com caixas, disponível em g23_ftd_lt_3bam_p110. Código antigo: i2434gd_3bam_g23_ftd_ef</t>
  </si>
  <si>
    <t>i1142_3p012m_g27_e002</t>
  </si>
  <si>
    <t>Resgatar ilustração de 3 fardos de garrafas de água, disponível em g23_ftd_lt_3bam_p112. Código antigo: i2440rm_3bam_g23_ftd</t>
  </si>
  <si>
    <t>i1144_3p012m_g27_e002</t>
  </si>
  <si>
    <t xml:space="preserve">Resgatar ilustração de materiais escolares, disponível em g23_ftd_lt_3bam_p113. Código antigo: i2447rm_3bam_g23_ftd
AJUSTE: separar nesse código o pacote de folha sulfite
</t>
  </si>
  <si>
    <t>i1145_3p012m_g27_e002</t>
  </si>
  <si>
    <t xml:space="preserve">Resgatar ilustração de materiais escolares, disponível em g23_ftd_lt_3bam_p113. Código antigo: i2447rm_3bam_g23_ftd
AJUSTE: separar nesse código o tubo de cola
</t>
  </si>
  <si>
    <t>i1146_3p012m_g27_e002</t>
  </si>
  <si>
    <t xml:space="preserve">Resgatar ilustração de materiais escolares, disponível em g23_ftd_lt_3bam_p113. Código antigo: i2447rm_3bam_g23_ftd
AJUSTE: separar nesse código a régua
</t>
  </si>
  <si>
    <t>i1147_3p012m_g27_e002</t>
  </si>
  <si>
    <t xml:space="preserve">Resgatar ilustração de materiais escolares, disponível em g23_ftd_lt_3bam_p113. Código antigo: i2447rm_3bam_g23_ftd
AJUSTE: separar nesse código o caderno
</t>
  </si>
  <si>
    <t>i1149_3p012m_g27_e002</t>
  </si>
  <si>
    <t>Resgatar ilustração de várias mesas circulares em uma sala, disponível em g23_ftd_lt_3bam_p114. Código antigo: i2449tc_3bam_g23_ftd</t>
  </si>
  <si>
    <t>i1150_3p012m_g27_e002</t>
  </si>
  <si>
    <t>Resgatar ilustração de uma moça em frente a um balcão, disponível em g23_ftd_lt_3bam_p115. Código antigo: i2450tc_3bam_g23_ftd</t>
  </si>
  <si>
    <t>i1153_3p012m_g27_e002</t>
  </si>
  <si>
    <t>Resgatar ilustração de um casal em frente a um circo, disponível em g23_ftd_lt_3bam_p117. Código antigo: i2457tc_3bam_g23_ftd</t>
  </si>
  <si>
    <t>i1155_3p012m_g27_e002</t>
  </si>
  <si>
    <t>Resgatar ilustração de um menino e uma moça em uma cena de teatro, disponível em g23_ftd_lt_3bam_p119. Código antigo: i2465gd_3bam_g23_ftd_ef</t>
  </si>
  <si>
    <t xml:space="preserve">i2197_3p012m_g27_e002 </t>
  </si>
  <si>
    <t>Resgatar ilustração faixa ultrapassagem permitida nos dois sentidos e somente para um dos sentidos; g23_ftd_lt_3bam_p192; código antigo i4418rm_3bam_g23_ftd</t>
  </si>
  <si>
    <t xml:space="preserve">i2198_3p012m_g27_e002 </t>
  </si>
  <si>
    <t>Resgatar ilustração faixa ultrapassagem permitida nos dois sentidos e somente para um dos sentidos; g23_ftd_lt_3bam_p192; código antigo i4419rm_3bam_g23_ftd</t>
  </si>
  <si>
    <t>i0711_1p012m_g27_e002</t>
  </si>
  <si>
    <t>Resgatar e ajustar ilustração das meninas brincando do g23_ftd_lt_1bam_p175 código antigo i4436ec_1bam_g23_ftd
AJUSTE: Inserir um adulto na cena olhando as crianças brincarem.</t>
  </si>
  <si>
    <t>i0747_1p012m_g27_e002</t>
  </si>
  <si>
    <t>Resgatar e ajustar ilustração de crianças brincando em uma praça com árvores ao fundo; disponível em g23_ftd_lt_1bam_p022, código antigo: i0423iv_1bam_g23_ftd_ef
AJUSTE: Inserir um adulto na imagem supervisionando a brincadeira</t>
  </si>
  <si>
    <t>i0748_1p012m_g27_e002</t>
  </si>
  <si>
    <t>Resgatar e ajustar ilustração de três crianças comprando sorvete; disponível em g23_ftd_lt_1bam_p023, código antigo: i0424dn_1bam_g23_ftd_ef
AJUSTE: trocar a imagem do sorvete na placa pela escrita: INGRESSO PARA O PARQUE DE DIVERSÃO e logo abaixo dessa escrita, ilustrar um brinquedo simples do parque. Borrar a plaquinha da lousa para deixar o texto ilegível; retirar o sorvete da mão da vendedora e colocar um tíquete de ingresso; ajustar contraste e cor da ilustração - a cor da pele da menina que está na fila está se misturando com a cor da casinha, assim, ajustar para uma menina negra.</t>
  </si>
  <si>
    <t>i0751_1p012m_g27_e002</t>
  </si>
  <si>
    <t>Resgatar ilustração de um menino de costas em que há dois círculos nas suas 2 mãos; disponível em g23_ftd_lt_1bam_p112 do LIVRO DE PRÁTICAS – 1 ANO - código antigo 
i1512tc_1bam_g23_ftd</t>
  </si>
  <si>
    <t>i0713_1p012m_g27_e002</t>
  </si>
  <si>
    <t>Resgatar e ajustar ilustração da representação da sala de aula do Pedro do g23_ftd_lt_1bam_p176 código antigo i4417zz_1bam_g23_ftd
AJUSTE: deixar o desenho em uma folha de papel sem linhas, sem estar no caderno.</t>
  </si>
  <si>
    <t xml:space="preserve">i1302_3p012m_g27_e002 </t>
  </si>
  <si>
    <t xml:space="preserve">Resgatar ilustração de medição com pés, palmo e passos do g23_ftd_lt_3bam_p150 código antigo i3201tc_3bam_g23_ftd. 
AJUSTE: separar em A, B e C, sendo i1302A_3p012m a mão, i1302B_3p012m o pé sozinho de perfil e i1302C_3p012m os dois pés representando passo </t>
  </si>
  <si>
    <t xml:space="preserve">i1303_3p012m_g27_e002 </t>
  </si>
  <si>
    <t xml:space="preserve">Resgatar ilustração da medição pelo cúbito do g23_ftd_lt_3bam_p150 código antigo i3254tc_3bam_g23_ftd 
Arte: Separar ils em A e B, sendo i1303A_3p012m o menino com braço esticado e a i1303B_3p012m a mão sozinha fechada </t>
  </si>
  <si>
    <t xml:space="preserve">i1305_3p012m_g27_e002 </t>
  </si>
  <si>
    <t>Resgatar ilustração de duas crianças medindo o chão de uma garagem com passos, do g23_ftd_lt_3bam_p152 código antigo i3207tc_3bam_g23_ftd
AJUSTE: incluir um adulto na cena. Como sugestão reaproveitar a mulher negra da il de mesma linguagem i4808tc_1bam_g23_ftd_ef (arquivo enviado na pasta), e colocá-la ao fundo do lado direto, virada para as crianças, e retirar a vassoura e o balde para não ter muita informação no fundo.</t>
  </si>
  <si>
    <t xml:space="preserve">i1306_3p012m_g27_e002 </t>
  </si>
  <si>
    <t xml:space="preserve">Resgatar ilustração de duas crianças em pé lado a lado do g23_ftd_lt_3bam_p152 código antigo i3208tc_3bam_g23_ftd 
AJUSTE: separar ils em A e B </t>
  </si>
  <si>
    <t xml:space="preserve">i1307_3p012m_g27_e002 </t>
  </si>
  <si>
    <t>Resgatar ilustração do marceneiro do g23_ftd_lt_3bam_p153 código antigo i3209tc_3bam_g23_ftd
AJUSTE: melhorar a nitidez da régua, deixá-la mais clara</t>
  </si>
  <si>
    <t xml:space="preserve">i1308_3p012m_g27_e002 </t>
  </si>
  <si>
    <t>Resgatar ilustração da régua com a cota de 1 cm do g23_ftd_lt_3bam_p153 código antigo i3210zz_3bam_g23_ftd
AJUSTE: cortar a régua, deixando com a medida até 4 cm, como na ref.</t>
  </si>
  <si>
    <t xml:space="preserve">i1318_3p012m_g27_e002 </t>
  </si>
  <si>
    <t xml:space="preserve">Resgatar ilustração de uma linha com 19 cm de comprimento do g23_ftd_lt_3bam_p155 código antigo i3220gu_3bam_g23_ftd </t>
  </si>
  <si>
    <t xml:space="preserve">i1319_3p012m_g27_e002 </t>
  </si>
  <si>
    <t xml:space="preserve">Resgatar ilustração de uma linha de uma linha com 33 cm de comprimento do g23_ftd_lt_3bam_p155 código antigo i3221gu_3bam_g23_ftd </t>
  </si>
  <si>
    <t xml:space="preserve">i1320_3p012m_g27_e002 </t>
  </si>
  <si>
    <t xml:space="preserve">Resgatar ilustração da medida do comprimento do apontador na régua do g23_ftd_lt_3bam_p156 código antigo i3222gu_3bam_g23_ftd </t>
  </si>
  <si>
    <t xml:space="preserve">i1321_3p012m_g27_e002 </t>
  </si>
  <si>
    <t xml:space="preserve">Resgatar ilustração da medida do comprimento da tesoura na régua do g23_ftd_lt_3bam_p156 código antigo i3224zz_3bam_g23_ftd </t>
  </si>
  <si>
    <t xml:space="preserve">i1322_3p012m_g27_e002 </t>
  </si>
  <si>
    <t xml:space="preserve">Resgatar ilustração da medida do comprimento do giz de cera na régua do g23_ftd_lt_3bam_p157 código antigo i3225zz_3bam_g23_ftd </t>
  </si>
  <si>
    <t xml:space="preserve">i1323_3p012m_g27_e002 </t>
  </si>
  <si>
    <t xml:space="preserve">Resgatar ilustração da medida do comprimento da linha azul do g23_ftd_lt_3bam_p157 código antigo i3240gu_3bam_g23_ftd </t>
  </si>
  <si>
    <t xml:space="preserve">i1324_3p012m_g27_e002 </t>
  </si>
  <si>
    <t xml:space="preserve">Resgatar ilustração da medida do comprimento da linha verde do g23_ftd_lt_3bam_p157 código antigo i3241gu_3bam_g23_ftd </t>
  </si>
  <si>
    <t xml:space="preserve">i1325_3p012m_g27_e002 </t>
  </si>
  <si>
    <t xml:space="preserve">Resgatar ilustração da medida do comprimento da linha preta do g23_ftd_lt_3bam_p157 código antigo i3242gu_3bam_g23_ftd </t>
  </si>
  <si>
    <t xml:space="preserve">i1326_3p012m_g27_e002 </t>
  </si>
  <si>
    <t xml:space="preserve">Resgatar ilustração da medida do comprimento da linha vermelha do g23_ftd_lt_3bam_p157 código antigo i3243gu_3bam_g23_ftd </t>
  </si>
  <si>
    <t>i1327_3p012m_g27_e002</t>
  </si>
  <si>
    <t xml:space="preserve">Resgatar ilustração da medida do comprimento da linha roxa do g23_ftd_lt_3bam_p157 código antigo i3244gu_3bam_g23_ftd </t>
  </si>
  <si>
    <t xml:space="preserve">i1337_3p012m_g27_e002 </t>
  </si>
  <si>
    <t xml:space="preserve">Resgatar ilustração das crianças medindo a altura do menino do g23_ftd_lt_3bam_p161 código antigo i3235tc_3bam_g23_ftd </t>
  </si>
  <si>
    <t xml:space="preserve">g1511_3p012m_g27_e002 </t>
  </si>
  <si>
    <t xml:space="preserve">Resgatar ilustração do gráfico de barras do g23_ftd_lt_3bam_p170 código antigo gt3609gu_3bam_g23_ftd </t>
  </si>
  <si>
    <t xml:space="preserve">g1512_3p012m_g27_e002 </t>
  </si>
  <si>
    <t xml:space="preserve">Resgatar ilustração do gráfico de barras verticais do g23_ftd_lt_3bam_p171 código antigo gt3610gu_3bam_g23_ftd </t>
  </si>
  <si>
    <t xml:space="preserve">g1513_3p012m_g27_e002 </t>
  </si>
  <si>
    <t xml:space="preserve">Resgatar ilustração do gráfico do de barras horizontais do g23_ftd_lt_3bam_p172 código antigo gt3611gu_3bam_g23_ftd </t>
  </si>
  <si>
    <t xml:space="preserve">g1514_3p012m_g27_e002 </t>
  </si>
  <si>
    <t xml:space="preserve">Resgatar ilustração do gráfico em branco do g23_ftd_lt_3bam_p173 código antigo gt3612gu_3bam_g23_ftd </t>
  </si>
  <si>
    <t xml:space="preserve">i1518_3p012m_g27_e002 </t>
  </si>
  <si>
    <t xml:space="preserve">Resgatar ilustração das crianças do g23_ftd_lt_3bam_p175 código antigo i3616iv_3bam_g23_ftd </t>
  </si>
  <si>
    <t xml:space="preserve">i1519_3p012m_g27_e002 </t>
  </si>
  <si>
    <t>Resgatar ilustração das bolinhas do g23_ftd_lt_3bam_p176 código antigo i3624gu_3bam_g23_ftd. 
AJUSTE: Trocar a cor das 5 bolinhas pretas para cor vermelha.</t>
  </si>
  <si>
    <t xml:space="preserve">i1704_3p012m_g27_e002 </t>
  </si>
  <si>
    <t xml:space="preserve">Resgatar il de várias pessoas em uma fila. Veio do g23_ftd_it_3bam_p183 código antigo i4015iv_3bam_g23_ftd </t>
  </si>
  <si>
    <t xml:space="preserve">i1705_3p012m_g27_e002 </t>
  </si>
  <si>
    <t xml:space="preserve">Resgatar ilustração livros de disciplinas enfileirados; g23_ftd_lt_3bam_p183; código antigo i4016iv_3bam_g23_ftd </t>
  </si>
  <si>
    <t xml:space="preserve">i1706_3p012m_g27_e002 </t>
  </si>
  <si>
    <t xml:space="preserve">Resgatar ilustração visão superior de uma sala de aula; g23_ftd_lt_3bam_p184; código antigo i4017iv_3bam_g23_ftd </t>
  </si>
  <si>
    <t xml:space="preserve">i1707_3p012m_g27_e002 </t>
  </si>
  <si>
    <t xml:space="preserve">Resgatar ilustração menina de camiseta vermelha explicando um caminho; g23_ftd_lt_3bam_p185; código antigo i4018iv_3bam_g23_ftd </t>
  </si>
  <si>
    <t xml:space="preserve">i1708_3p012m_g27_e002 </t>
  </si>
  <si>
    <t xml:space="preserve">Resgatar ilustração vista de cima de um estacionamento; g23_ftd_lt_3bam_p185; código antigo i4019rm_3bam_g23_ftd </t>
  </si>
  <si>
    <t xml:space="preserve">i1709_3p012m_g27_e002 </t>
  </si>
  <si>
    <t xml:space="preserve">Resgatar ilustração malha com frutas e um macaco; g23_ftd_lt_3bam_p186; código antigo i4020rm_3bam_g23_ftd 
AJUSTE: retirar fio em cor resposta </t>
  </si>
  <si>
    <t xml:space="preserve">i1710_3p012m_g27_e002 </t>
  </si>
  <si>
    <t xml:space="preserve">Resgatar ilustração caixa d’água conectada a vários fios coloridos em uma malha; g23_ftd_lt_3bam_p186; código antigo i4021rm_3bam_g23_ftd 
AJUSTE: retirar caminho em cor resposta que liga a torneira do meio à caixa d’água </t>
  </si>
  <si>
    <t xml:space="preserve">i1711_3p012m_g27_e002 </t>
  </si>
  <si>
    <t>Resgatar ilustração mapa com nome das ruas e medidas em metros; g23_ftd_lt_3bam_p187; código antigo i4022rm_3bam_g23_ftd 
AJUSTE: retirar fio cor resposta (da casa azul à verde)</t>
  </si>
  <si>
    <t xml:space="preserve">i1712_3p012m_g27_e002 </t>
  </si>
  <si>
    <t xml:space="preserve">Resgatar ilustração casa azul com porta e janela branca; g23_ftd_lt_3bam_p187; código antigo i4022Arm_3bam_g23_ftd </t>
  </si>
  <si>
    <t xml:space="preserve">i1713_3p012m_g27_e002 </t>
  </si>
  <si>
    <t xml:space="preserve">Resgatar ilustração casa ciano com janela e porta branco; g23_ftd_lt_3bam_p187; código antigo i4022Brm_3bam_g23_ftd </t>
  </si>
  <si>
    <t xml:space="preserve">i1714_3p012m_g27_e002 </t>
  </si>
  <si>
    <t>Resgatar ilustração escola com janelas e porta vermelha; g23_ftd_lt_3bam_p187; código antigo i4022Crm_3bam_g23_ftd</t>
  </si>
  <si>
    <t xml:space="preserve">i1715_3p012m_g27_e002 </t>
  </si>
  <si>
    <t xml:space="preserve">Resgatar ilustração açougue rosa com janela e porta branco; g23_ftd_lt_3bam_p187; código antigo i4022Drm_3bam_g23_ftd </t>
  </si>
  <si>
    <t xml:space="preserve">i1716_3p012m_g27_e002 </t>
  </si>
  <si>
    <t xml:space="preserve">Resgatar ilustração três fio coloridos representando opções de caminhos; g23_ftd_lt_3bam_p188; código antigo i4028gu_3bam_g23_ftd </t>
  </si>
  <si>
    <t xml:space="preserve">i1718_3p012m_g27_e002 </t>
  </si>
  <si>
    <t xml:space="preserve">Resgatar ilustração malha quadriculada com fio cor resposta; g23_ftd_lt_3bam_p188; código antigo i4029gu_3bam_g23_ftd 
AJUSTE: retirar caminho em cor resposta </t>
  </si>
  <si>
    <t xml:space="preserve">i1719_3p012m_g27_e002 </t>
  </si>
  <si>
    <t xml:space="preserve">Resgatar ilustração malha quadriculada representando o trajeto feito pela Ana e pelo Rui; g23_ftd_lt_3bam_p189; código antigo i4030rm_3bam_g23_ftd 
AJUSTE: excluir caminho em cor resposta (de C a D) </t>
  </si>
  <si>
    <t xml:space="preserve">i1703_3p012m_g27_e002 </t>
  </si>
  <si>
    <t xml:space="preserve">Resgatar ilustração mapa de assentos de ônibus; g23_ftd_lt_3bam_p182; código antigo i4014iv_3bam_g23_ftd </t>
  </si>
  <si>
    <t xml:space="preserve">i0365_1p012m_g27_e002 </t>
  </si>
  <si>
    <t xml:space="preserve">ilustração de parte de um cubo 3x3 em forma de escada, conforme a referência. A figura deve ser maciça, sem a subdivisão em cubinhos. Ver referência a seguir. Arte: enviei um pdf na pasta com ilustrações semelhantes que podem servir de base para compor essa, colocar no padrão da obra. Ao encaixar essa com a i0297_1p012m a figura formada deve ser um cubo. </t>
  </si>
  <si>
    <t>F:25/04</t>
  </si>
  <si>
    <t>i0366_1p012m_g27_e002</t>
  </si>
  <si>
    <t xml:space="preserve">ilustração de parte de um cubo 3x3, com um bloquinho saindo do centro de uma face, conforme a referência. A figura deve ser maciça, sem a subdivisão em cubinhos. Ver referência a seguir. 
Arte: enviei um pdf na pasta com ilustrações semelhantes que podem servir de base para compor essa, colocar no padrão da obra. Ao encaixar essa com a i0295_1p012m a figura formada deve ser um cubo. Essa é igual a contornada no pdf i0366_i0295_base </t>
  </si>
  <si>
    <t>i0367_1p012m_g27_e002</t>
  </si>
  <si>
    <t xml:space="preserve">ilustração de parte de um cubo 3x3, com uma cruz no centro de uma face, conforme a referência. A figura deve ser maciça, sem a subdivisão em cubinhos. Ver referência a seguir. 
Arte: enviei um pdf na pasta com ilustrações semelhantes que podem servir de base para compor essa, colocar no padrão da obra. Ao encaixar essa com a i0296_1p012m a figura formada deve ser um cubo. </t>
  </si>
  <si>
    <t>i0295_1p012m_g27_e002</t>
  </si>
  <si>
    <t>ilustração da outra parte do cubo que complementa a figura i0366_1p012m, conforme referência a seguir. 
Arte: enviei um pdf na pasta com ilustrações semelhantes que podem servir de base para compor essa, colocar no padrão da obra. Ao encaixar essa com a i0366_1p012m a figura formada deve ser um cubo. 
Essa é igual a contornada no pdf i0366_i0295_base.</t>
  </si>
  <si>
    <t>i0296_1p012m_g27_e002</t>
  </si>
  <si>
    <t xml:space="preserve">ilustração da outra parte do cubo que complementa a figura i0367_1p012m, conforme referência a seguir. 
Arte: enviei um pdf na pasta com ilustrações semelhantes que podem servir de base para compor essa, colocar no padrão da obra. Ao encaixar essa com a i0367_1p012m a figura formada deve ser um cubo. Colocar no padrão da obra </t>
  </si>
  <si>
    <t>i0297_1p012m_g27_e002</t>
  </si>
  <si>
    <t>ilustração da outra parte do cubo que complementa a figura i0365_1p012m, conforme referência a seguir. 
Arte: enviei um pdf na pasta com ilustrações semelhantes que podem servir de base para compor essa, colocar no padrão da obra. Ao encaixar essa com a i0365_1p012m a figura formada deve ser um cubo. Colocar no padrão da obra</t>
  </si>
  <si>
    <t xml:space="preserve">i1902_3p012m_g27_e002 </t>
  </si>
  <si>
    <t xml:space="preserve">Resgatar ilustração chaveiros infantis sortidos; g23_ftd_lt_3bam_p126; código antigo i2829rm_3bam_g23_ftd </t>
  </si>
  <si>
    <t xml:space="preserve">i1903_3p012m_g27_e002 </t>
  </si>
  <si>
    <t xml:space="preserve">Resgatar ilustração grupos de bolinhas coloridas sortidas; g23_ftd_lt_3bam_p127; código antigo i2804iv_3bam_g23_ftd </t>
  </si>
  <si>
    <t xml:space="preserve">i1904_3p012m_g27_e002 </t>
  </si>
  <si>
    <t xml:space="preserve">Resgatar ilustração floricultor manejando arranjos de flores; g23_ftd_lt_3bam_p127; código antigo i2805iv_3bam_g23_ftd_ef </t>
  </si>
  <si>
    <t xml:space="preserve">i1905_3p012m_g27_e002 </t>
  </si>
  <si>
    <t>Resgatar ilustração menino explicando divisão em um quadro negro; g23_ftd_lt_3bam_p128; código antigo i2806gd_3bam_g23_ftd</t>
  </si>
  <si>
    <t xml:space="preserve">i1906_3p012m_g27_e002 </t>
  </si>
  <si>
    <t xml:space="preserve">Resgatar ilustração de régua de 10 cm; código antigo: i2807zz_3bam_g23_ftd </t>
  </si>
  <si>
    <t xml:space="preserve">i1908_3p012m_g27_e002 </t>
  </si>
  <si>
    <t xml:space="preserve">Resgatar ilustração mãe e filha entregando material reciclável para um oficial; g23_ftd_lt_3bam_p130; código antigo i2809iv_3bam_g23_ftd </t>
  </si>
  <si>
    <t xml:space="preserve">i1909_3p012m_g27_e002 </t>
  </si>
  <si>
    <t xml:space="preserve">Resgatar ilustração menina ruiva explicando o algoritmo de divisão; g23_ftd_lt_3bam_p130; código antigo i2810iv_3bam_g23_ftd </t>
  </si>
  <si>
    <t xml:space="preserve">i1910_3p012m_g27_e002 </t>
  </si>
  <si>
    <t xml:space="preserve">Resgatar ilustração de menina de camiseta roxa explicando como ela realizou a divisão; g23_ftd_lt_3bam_p131; código antigo i2811iv_3bam_g23_ftd </t>
  </si>
  <si>
    <t xml:space="preserve">i1911_3p012m_g27_e002 </t>
  </si>
  <si>
    <t xml:space="preserve">Resgatar ilustração duas meninas segurando folhas; g23_ftd_lt_3bam_p131; código antigo i2812iv_3bam_g23_ftd </t>
  </si>
  <si>
    <t xml:space="preserve">i1912_3p012m_g27_e002 </t>
  </si>
  <si>
    <t xml:space="preserve">Resgatar ilustração menino com a mão no rosto pensando, efetuando cálculo mental; g23_ftd_lt_3bam_p132; código antigo i2813gd_3bam_g23_ftd </t>
  </si>
  <si>
    <t xml:space="preserve">i1914_3p012m_g27_e002 </t>
  </si>
  <si>
    <t xml:space="preserve">Resgatar ilustração de visor de calculadora com número 4; g23_ftd_lt_3bam_p133; código antigo i2827zz_3bam_g23_ftd </t>
  </si>
  <si>
    <t xml:space="preserve">i1915_3p012m_g27_e002 </t>
  </si>
  <si>
    <t xml:space="preserve">Resgatar ilustração 16 maçãs sem cor; g23_ftd_lt_3bam_p134; código antigo i2815rm_3bam_g23_ftd </t>
  </si>
  <si>
    <t xml:space="preserve">i1916_3p012m_g27_e002 </t>
  </si>
  <si>
    <t xml:space="preserve">Resgatar ilustração quadro negro com anotações; g23_ftd_lt_3bam_p134; código antigo i2826zz_3bam_g23_ftd </t>
  </si>
  <si>
    <t>ca</t>
  </si>
  <si>
    <t xml:space="preserve">i1918_3p012m_g27_e002 </t>
  </si>
  <si>
    <t xml:space="preserve">Resgatar ilustração mulher fazendo quindim; g23_ftd_lt_3bam_p136; código antigo i2818gd_3bam_g23_ftd </t>
  </si>
  <si>
    <t xml:space="preserve">i1920_3p012m_g27_e002 </t>
  </si>
  <si>
    <t xml:space="preserve">Resgatar ilustração homem segurando um saco de laranjas frente a duas caixas; g23_ftd_lt_3bam_p139; código antigo i2820gd_3bam_g23_ftd </t>
  </si>
  <si>
    <t xml:space="preserve">i1921_3p012m_g27_e002 </t>
  </si>
  <si>
    <t xml:space="preserve">Resgatar ilustração 2 camisetas com preços diferentes; g23_ftd_lt_3bam_p141; código antigo i2802gd_3bam_g23_ftd_ef </t>
  </si>
  <si>
    <t>i1922_3p012m_g27_e002</t>
  </si>
  <si>
    <t xml:space="preserve">Resgatar ilustração de menino lendo livro; g23_ftd_lt_3bam_p142; código antigo i2821gd_3bam_g23_ftd </t>
  </si>
  <si>
    <t xml:space="preserve">i1117_1p012m_g27_e002 </t>
  </si>
  <si>
    <t xml:space="preserve">resgatar foto de um adulto e duas crianças indo para um circo, Atividade 17 - Veio da página 67 - Livro de atividades do BAM. Código antigo i1070ds_1bam_g23_ftd. 
AJUSTE: deixar o rapaz com mais jeito de adulto, para justificar a supervisão das crianças (talvez colocar um bigode e inserir uma roupa menos informal.) </t>
  </si>
  <si>
    <t xml:space="preserve">i1118_1p012m_g27_e002 </t>
  </si>
  <si>
    <t xml:space="preserve">l. de um cartaz com destaque do preço de meia entrada de um cinema, com valor de 16 reais. Não incluir pipoca, nem bebida no cartaz. Ver referência, mas não fazer igual. 
Deve ficar a escrita 
CINEMA 
INGRESSO 
MEIA-ENTRADA  
16 REAIS </t>
  </si>
  <si>
    <t>FINAL: 07/05</t>
  </si>
  <si>
    <t xml:space="preserve">i1132_1p012m_g27_e002 </t>
  </si>
  <si>
    <t xml:space="preserve">Resgatar ilustração do menino do g23_ftd_lpa_1bam_p066a075_u2, 
código antigo: i1096_1bam_g23_ftd_re </t>
  </si>
  <si>
    <t>i1119_1p012m_g27_e002</t>
  </si>
  <si>
    <t xml:space="preserve">Il. de um pacote de 500 gramas de café. 
Na embalagem deve estar escrito CAFÉ e a indicação 500 g.  Arte: fazer as imagens proporcionais  (i1119 até -i1124). Não precisa inserir marcas, apenas o nome dos produtos. </t>
  </si>
  <si>
    <t>i1120_1p012m_g27_e002</t>
  </si>
  <si>
    <t>Il. de um pacote de 5 kg de arroz. 
Na embalagem deve estar escrito ARROZ e a indicação 5 kg.</t>
  </si>
  <si>
    <t xml:space="preserve">i1121_1p012m_g27_e002 </t>
  </si>
  <si>
    <t xml:space="preserve">Il. de uma garrafa de 1 L de iogurte. 
Na embalagem deve estar escrito IOGURTE e a indicação 1 L. Arte: fazer as imagens proporcionais  (i1119 até -i1124). Não precisa inserir marcas, apenas o nome dos produtos. </t>
  </si>
  <si>
    <t xml:space="preserve">i1122_1p012m_g27_e002 </t>
  </si>
  <si>
    <t xml:space="preserve">Il. de uma caixa de sabão em pó de 4 kg. 
Na embalagem deve estar escrito SABÃO EM PÓ e a indicação 4 kg.Arte: fazer as imagens proporcionais  (i1119 até -i1124). Não precisa inserir marcas, apenas o nome dos produtos. </t>
  </si>
  <si>
    <t xml:space="preserve">i1123_1p012m_g27_e002 </t>
  </si>
  <si>
    <t xml:space="preserve">Il. de um saquinho de leite em pó de 1 kg. 
Na embalagem deve estar escrito LEITE EM PÓ e a indicação 1 kg. Arte: fazer as imagens proporcionais  (i1119 até -i1124). Não precisa inserir marcas, apenas o nome dos produtos. </t>
  </si>
  <si>
    <t xml:space="preserve">i1124_1p012m_g27_e002 </t>
  </si>
  <si>
    <t xml:space="preserve">  Il. de um frasco de xampu com 400 mL. 
Na embalagem deve estar escrito XAMPU e a indicação 400 mL.   Arte: fazer as imagens proporcionais  (i1119 até -i1124). Não precisa inserir marcas, apenas o nome dos produtos. </t>
  </si>
  <si>
    <t xml:space="preserve">i0102_4p012m_g27_e002 </t>
  </si>
  <si>
    <t>Resgatar ilustração dois meninos, um de pé e outro de cadeira de rodas; g23_ftd_lt_4bam_p12; código antigo i4881ct_4bam_g23_ftd
AJUSTE: incluir, na imagem da cadeira de rodas, os elementos no padrão de segurança necessários para atender o Edital. Deve ser facilmente empurrável com uma só mão, regulável em altura, assim como assento e encosto, além de cintos, apoio de braço e mesa, garantindo um alinhamento perfeito na postura da criança. Além disso, deixar o menino da cadeira de rodas com o semblante de feliz.
Ver modelo em: https://www.mobilitybrasil.com.br/cadeira-de-rodas-genesys-ultra-lite-x-infantil-ortobras</t>
  </si>
  <si>
    <t xml:space="preserve">i0103_4p012m_g27_e002 </t>
  </si>
  <si>
    <t xml:space="preserve">Resgatar ilustração homem e mulher no elevador; g23_ftd_lt_4bam_p12; código antigo i4882ct_4bam_g23_ftd </t>
  </si>
  <si>
    <t xml:space="preserve">i0104_4p012m_g27_e002 </t>
  </si>
  <si>
    <t xml:space="preserve">Resgatar ilustração tomate na balança marcando 2kg; g23_ftd_lt_4bam_p12; código antigo i4883ct_4bam_g23_ftd </t>
  </si>
  <si>
    <t>i0105_4p012m_g27_e002</t>
  </si>
  <si>
    <t xml:space="preserve">Resgatar ilustração homem mostrando documento; g23_ftd_lt_4bam_p12; código antigo i4884ct_4bam_g23_ftd </t>
  </si>
  <si>
    <t xml:space="preserve">i0106_4p012m_g27_e002 </t>
  </si>
  <si>
    <t xml:space="preserve">Resgatar ilustração parte de um cadastro do Raul da Silva no celular; g23_ftd_lt_4bam_p13; código antigo i0421gd_4bam_g23_ftd_ef </t>
  </si>
  <si>
    <t xml:space="preserve">i0107_4p012m_g27_e002 </t>
  </si>
  <si>
    <t xml:space="preserve">Resgatar ilustração menino falando; g23_ftd_lt_4bam_p13; código antigo i0454gd_4bam_g23_ftd_ef </t>
  </si>
  <si>
    <t xml:space="preserve">i0108_4p012m_g27_e002 </t>
  </si>
  <si>
    <t xml:space="preserve">Resgatar ilustração material dourado: cubo; g23_ftd_lt_4bam_p14; código antigo i0422zz_4bam_g23_ftd </t>
  </si>
  <si>
    <t xml:space="preserve">i0109_4p012m_g27_e002 </t>
  </si>
  <si>
    <t xml:space="preserve">Resgatar ilustração material dourado: barra; g23_ftd_lt_4bam_p14; código antigo i0423zz_4bam_g23_ftd </t>
  </si>
  <si>
    <t xml:space="preserve">i0110_4p012m_g27_e002 </t>
  </si>
  <si>
    <t xml:space="preserve">Resgatar ilustração material dourado: placa; g23_ftd_lt_4bam_p14; código antigo i0424zz_4bam_g23_ftd </t>
  </si>
  <si>
    <t xml:space="preserve">i0111_4p012m_g27_e002 </t>
  </si>
  <si>
    <t xml:space="preserve">Resgatar ilustração material dourado: cubo grande; g23_ftd_lt_3bam_p14; código antigo i0425zz_4bam_g23_ftd </t>
  </si>
  <si>
    <t xml:space="preserve">i0112_4p012m_g27_e002 </t>
  </si>
  <si>
    <t xml:space="preserve">Resgatar ilustração de 6 placas de material dourado; g23_ftd_lt_4bam_p15; código antigo i0426Azz_4bam_g23_ftd_aj </t>
  </si>
  <si>
    <t xml:space="preserve">i0113_4p012m_g27_e002 </t>
  </si>
  <si>
    <t xml:space="preserve">Resgatar ilustração de 9 barras de material dourado; g23_ftd_lt_4bam_p15; código antigo i0426Bzz_4bam_g23_ftd_aj </t>
  </si>
  <si>
    <t xml:space="preserve">i0114_4p012m_g27_e002 </t>
  </si>
  <si>
    <t xml:space="preserve">Resgatar ilustração de3 cubos de material dourado; g23_ftd_lt_4bam_p15; código antigo i0426Czz_4bam_g23_ftd_aj </t>
  </si>
  <si>
    <t xml:space="preserve">i0115_4p012m_g27_e002 </t>
  </si>
  <si>
    <t xml:space="preserve">Resgatar ilustração material dourado 4 placas; g23_ftd_lt_4bam_p15; código antigo i0427Azz_4bam_g23_ftd_aj </t>
  </si>
  <si>
    <t xml:space="preserve">i0116_4p012m_g27_e002 </t>
  </si>
  <si>
    <t xml:space="preserve">Resgatar ilustração material dourado 5 cubinhos; g23_ftd_lt_4bam_p15; código antigo i0427Bzz_4bam_g23_ftd_aj </t>
  </si>
  <si>
    <t xml:space="preserve">i0117_4p012m_g27_e002 </t>
  </si>
  <si>
    <t xml:space="preserve">Resgatar ilustração material dourado representando o número 1938; g23_ftd_lt_4bam_p15; código antigo i0428zz_4bam_g23_ftd_aj </t>
  </si>
  <si>
    <t xml:space="preserve">i0120_4p012m_g27_e002 </t>
  </si>
  <si>
    <t xml:space="preserve">Resgatar ilustração material dourado 1524; g23_ftd_lt_4bam_p16; código antigo i0431zz_4bam_g23_ftd </t>
  </si>
  <si>
    <t xml:space="preserve">i0121_4p012m_g27_e002 </t>
  </si>
  <si>
    <t xml:space="preserve">Resgatar ilustração material dourado 3458; g23_ftd_lt_4bam_p16; código antigo i0432zz_4bam_g23_ftd </t>
  </si>
  <si>
    <t xml:space="preserve">i0122_4p012m_g27_e002 </t>
  </si>
  <si>
    <t xml:space="preserve">Resgatar ilustração ábaco 2563; g23_ftd_lt_4bam_p17; código antigo i0433zz_4bam_g23_ftd </t>
  </si>
  <si>
    <t xml:space="preserve">i0123_4p012m_g27_e002 </t>
  </si>
  <si>
    <t xml:space="preserve">Resgatar ilustração ábaco marcado 3872; g23_ftd_lt_4bam_p17; código antigo i0434zz_4bam_g23_ftd </t>
  </si>
  <si>
    <t xml:space="preserve">i0124_4p012m_g27_e002 </t>
  </si>
  <si>
    <t xml:space="preserve">Resgatar ilustração ábaco 8759; g23_ftd_lt_bam_p17; código antigo i0436zz_4bam_g23_ftd </t>
  </si>
  <si>
    <t xml:space="preserve">i0126_4p012m_g27_e002 </t>
  </si>
  <si>
    <t xml:space="preserve">Resgatar ilustração ábaco 63321; g23_ftd_lt_4bam_p20; código antigo i0441zz_4bam_g23_ftd </t>
  </si>
  <si>
    <t xml:space="preserve">i0127_4p012m_g27_e002 </t>
  </si>
  <si>
    <t xml:space="preserve">Resgatar ilustração ábaco 47595; g23_ftd_lt_4bam_p20; código antigo i0442zz_4bam_g23_ftd </t>
  </si>
  <si>
    <t xml:space="preserve">i0128_4p012m_g27_e002 </t>
  </si>
  <si>
    <t xml:space="preserve">Resgatar ilustração ábaco 70142; g23_ftd_lt_4bam_p20; código antigo i0443zz_4bam_g23_ftd </t>
  </si>
  <si>
    <t xml:space="preserve">i0132_4p012m_g27_e002 </t>
  </si>
  <si>
    <t xml:space="preserve">Resgatar ilustração quadro negro com tabela de unidade decimal número 76836; g23_ftd_lt_4bam_p22; código antigo i0445zz_4bam_g23_ftd </t>
  </si>
  <si>
    <t xml:space="preserve">i0134_4p012m_g27_e002 </t>
  </si>
  <si>
    <t>Resgatar ilustração menina pensando; g23_ftd_lt_4bam_p23; código antigo i0455gd_4bam_g23_ftd</t>
  </si>
  <si>
    <t xml:space="preserve">g0135_4p012m_g27_e002 </t>
  </si>
  <si>
    <t>Resgatar gráfico quantidade de peças produzidas mensalmente em certa fábrica automotiva, no período de janeiro a junho em 2022; g23_ftd_lt_4bam_p26; código antigo gt0447gu_4bam_g23_ftd 
AJUSTE: compor fio preto nas barras de acordo com padrão</t>
  </si>
  <si>
    <t xml:space="preserve">i0136_4p012m_g27_e002 </t>
  </si>
  <si>
    <t xml:space="preserve">Resgatar ilustração do ábaco; g23_ftd_lt_4bam_p26; código antigo i0448zz_4bam_g23_ftd 
AJUSTE: Retirar cor resposta </t>
  </si>
  <si>
    <t xml:space="preserve">i0138_4p012m_g27_e002 </t>
  </si>
  <si>
    <t>Resgatar ilustração reta, de base 100, com os números 54 000, 54 337 e 55 000; g23_ftd_lt_4bam_p27; código antigo it0450zz_4bam_g23_ftd 
AJUSTE: Trocar os números para 74 000, 74 170 e 75 000, como na ref (atentar para a proporção das distâncias)</t>
  </si>
  <si>
    <t xml:space="preserve">i0119_4p012m_g27_e002 </t>
  </si>
  <si>
    <t>Resgatar ilustração material dourado 1093; g23_ftd_lt_4bam_p16; código antigo i0430zz_4bam_g23_ftd
AJUSTE: retirar duas barras e aumentar 5 cubinhos, deixando como na ref</t>
  </si>
  <si>
    <t xml:space="preserve">i2303_3p012m_g27_e002 </t>
  </si>
  <si>
    <t xml:space="preserve">Resgatar ilustração da menina segurando um caderno e uma borracha do g23_ftd_lt_3bam_p210 código antigo i4837tc_3bam_g23_ftd </t>
  </si>
  <si>
    <t xml:space="preserve">i2304_3p012m_g27_e002 </t>
  </si>
  <si>
    <t xml:space="preserve">Resgatar ilustração da balança do com uma tesoura e calculadora do g23_ftd_lt_3bam_p210 código antigo i4838zz_3bam_g23_ftd </t>
  </si>
  <si>
    <t>RENAN FONSECA/SERGIO LIMA/GUSTAVO CONTI/ARQUIVO DA EDITORA</t>
  </si>
  <si>
    <t xml:space="preserve">i2305_3p012m_g27_e002 </t>
  </si>
  <si>
    <t xml:space="preserve">Resgatar ilustração do embalagens de sabão em pó de 2 kg, café de 1 kg e arroz de 5 kg do g23_ftd_lt_3bam_p211 código antigo i4807rm_3bam_g23_ftd </t>
  </si>
  <si>
    <t xml:space="preserve">i2306_3p012m_g27_e002 </t>
  </si>
  <si>
    <t xml:space="preserve">Resgatar ilustração do creme dental de 90 g, achocolatado de 400 g e barra de cereal de 30 g, do g23_ftd_lt_3bam_p211 código antigo i4808rm_3bam_g23_ftd
AJUSTE 1: caracterizar a embalagem de achocolatado para leite em pó; não precisa mudar o formato, apenas as informações internas: ACHOCOLATADO, para LEITE EM PÓ realizando a mudança dos desenhos que são chocolate para leite, sugiro colocar uma vaquinha no lugar do chocolate e no lugar do copo de achocolatado, colocar um copo com leite.
AJUSTE 2: trocar a barra de cereal para uma lata de atum de 120 g. No corpo escrever ATUM e a medida 120 g e colocar algum elemento, por exemplo, a silhueta de um peixe para caracterizar e combinar com o estilo das outras </t>
  </si>
  <si>
    <t xml:space="preserve">i2307_3p012m_g27_e002 </t>
  </si>
  <si>
    <t>Resgatar ilustração da balança com a medição de 2 kg de um melão do g23_ftd_lt_3bam_p212 código antigo i4809rm_3bam_g23_ftd 
AJUSTE: Ampliar a balança de modo que dê leitura indicando 2kg, retirar o fio cota em vermelho e retirar a ilustração ampliada do visor mostrando 2 kg. A il ficará ao lado da i2308_3p012m_g27_e002, aumentar o máximo possível.</t>
  </si>
  <si>
    <t xml:space="preserve">i2308_3p012m_g27_e002 </t>
  </si>
  <si>
    <t xml:space="preserve">Resgatar ilustração do saco de batatas com massa de 535 g do g23_ftd_lt_3bam_p212 código antigo i4810rm_3bam_g23_ftd </t>
  </si>
  <si>
    <t xml:space="preserve">i2312_3p012m_g27_e002 </t>
  </si>
  <si>
    <t xml:space="preserve">Resgatar ilustração da balança de 50 g e 20 g e um cubinho do g23_ftd_lt_3bam_p213 código antigo i4815zz_3bam_g23_ftd </t>
  </si>
  <si>
    <t>JANAINA OLIVEIRA/SERGIO LIMA/ARQUIVO DA EDITORA</t>
  </si>
  <si>
    <t xml:space="preserve">i2313_3p012m_g27_e002 </t>
  </si>
  <si>
    <t xml:space="preserve">Resgatar ilustração do cubo amarelo do g23_ftd_lt_3bam_p213 código antigo it4841zz_3bam_g23_ftd </t>
  </si>
  <si>
    <t xml:space="preserve">i2314_3p012m_g27_e002 </t>
  </si>
  <si>
    <t xml:space="preserve">Resgatar ilustração da balança de 3 cubos amarelos e um peso de 20 g e um cubo azul do g23_ftd_lt_3bam_p213 código antigo i4839zz_3bam_g23_ftd </t>
  </si>
  <si>
    <t xml:space="preserve">i2315_3p012m_g27_e002 </t>
  </si>
  <si>
    <t xml:space="preserve">Resgatar ilustração do cubo azul do g23_ftd_lt_3bam_p213 código antigo it4842zz_3bam_g23_ftd </t>
  </si>
  <si>
    <t xml:space="preserve">i2316_3p012m_g27_e002 </t>
  </si>
  <si>
    <t xml:space="preserve">Resgatar ilustração da balança do cubo amarelo e verde e um cubo azul do g23_ftd_lt_3bam_p213 código antigo i4840zz_3bam_g23_ftd </t>
  </si>
  <si>
    <t xml:space="preserve">i2317_3p012m_g27_e002 </t>
  </si>
  <si>
    <t xml:space="preserve">Resgatar ilustração do cubo verde do g23_ftd_lt_3bam_p213 código antigo it4843zz_3bam_g23_ftd 
it4843zz_3bam_g23_ftd </t>
  </si>
  <si>
    <t xml:space="preserve">i2318_3p012m_g27_e002 </t>
  </si>
  <si>
    <t xml:space="preserve">Resgatar ilustração do menino enchendo as jarras de água do g23_ftd_lt_3bam_p214 código antigo i4844tc_3bam_g23_ftd 
AJUSTE: separar as ils em A, B e C </t>
  </si>
  <si>
    <t xml:space="preserve">i2319_3p012m_g27_e002 </t>
  </si>
  <si>
    <t xml:space="preserve">Resgatar ilustração dos recipientes do g23_ftd_lt_3bam_p214 código antigo i4845rm_3bam_g23_ftd </t>
  </si>
  <si>
    <t xml:space="preserve">i2320_3p012m_g27_e002 </t>
  </si>
  <si>
    <t xml:space="preserve">Resgatar ilustração do homem entregando o suco para o menino do g23_ftd_lt_3bam_p215 código antigo i4817tc_3bam_g23_ftd </t>
  </si>
  <si>
    <t xml:space="preserve">i2321_3p012m_g27_e002 </t>
  </si>
  <si>
    <t xml:space="preserve">Resgatar ilustração do feijão, suco, leite e ração do g23_ftd_lt_3bam_p215 código antigo i4818rm_3bam_g23_ftd_sub </t>
  </si>
  <si>
    <t xml:space="preserve">i2322_3p012m_g27_e002 </t>
  </si>
  <si>
    <t>Resgatar ilustração dos recipientes do g23_ftd_lt_3bam_p216 código antigo i4819rm_3bam_g23_ftd</t>
  </si>
  <si>
    <t xml:space="preserve">i2323_3p012m_g27_e002 </t>
  </si>
  <si>
    <t xml:space="preserve">Resgatar ilustração da jarra com dois copos sobre uma mesa, do g23_ftd_lt_3bam_p216 código antigo i4846rm_3bam_g23_ftd </t>
  </si>
  <si>
    <t xml:space="preserve">i2324_3p012m_g27_e002 </t>
  </si>
  <si>
    <t xml:space="preserve">Resgatar ilustração de um recipiente de 1 L com água até a 2ª marcação do g23_ftd_lt_3bam_p217 código antigo i4823zz_3bam_g23_ftd </t>
  </si>
  <si>
    <t xml:space="preserve">i2325_3p012m_g27_e002 </t>
  </si>
  <si>
    <t xml:space="preserve">Resgatar ilustração de um recipiente de 1 L com água até a 5ª marcação do g23_ftd_lt_3bam_p217 código antigo i4847zz_3bam_g23_ftd </t>
  </si>
  <si>
    <t xml:space="preserve">i2326_3p012m_g27_e002 </t>
  </si>
  <si>
    <t xml:space="preserve">Resgatar ilustração de um recipiente de 1 L com água até a 7ª marcação do g23_ftd_lt_3bam_p217 código antigo  i4848zz_3bam_g23_ftd </t>
  </si>
  <si>
    <t xml:space="preserve">i2328_3p012m_g27_e002 </t>
  </si>
  <si>
    <t xml:space="preserve">Resgatar ilustração dos barris do g23_ftd_lt_3bam_p218 código antigo i4828rm_3bam_g23_ftd </t>
  </si>
  <si>
    <t xml:space="preserve">i2329_3p012m_g27_e002 </t>
  </si>
  <si>
    <t xml:space="preserve">Resgatar ilustração de duas crianças brincando no g23_ftd_lt_3bam_p219 código antigo i4829tc_3bam_g23_ftd </t>
  </si>
  <si>
    <t xml:space="preserve">i0303_4p012m_g27_e002 </t>
  </si>
  <si>
    <t xml:space="preserve">Resgatar ilustração do placar da Equipe A nas duas etapas do g23_ftd_lt_4bam_p032 código antigo i0801rt_4bam_g23_ftd </t>
  </si>
  <si>
    <t xml:space="preserve">i0304_4p012m_g27_e002 </t>
  </si>
  <si>
    <t xml:space="preserve">Resgatar ilustração do senhor de óculos do g23_ftd_lt_4bam_p033 código antigo i0802rt_4bam_g23_ftd </t>
  </si>
  <si>
    <t xml:space="preserve">i0305_4p012m_g27_e002 </t>
  </si>
  <si>
    <t xml:space="preserve">resgatar ilustração de menino pensativo. veio do g23_ftd_lt_4bam_p034 código antigo i0825tc_4bam_g23_ftd </t>
  </si>
  <si>
    <t xml:space="preserve">i0310_4p012m_g27_e002 </t>
  </si>
  <si>
    <t xml:space="preserve">Resgatar ilustração do ábaco do g23_ftd_lt_4bam_p037 código antigo i0805zz_4bam_g23_ftd 
AJUSTE: retirar cor resposta </t>
  </si>
  <si>
    <t xml:space="preserve">i0311_4p012m_g27_e002 </t>
  </si>
  <si>
    <t xml:space="preserve">Resgatar ilustração do menino ruivo do g23_ftd_lt_4bam_p038 código antigo i0807rt_4bam_g23_ftd </t>
  </si>
  <si>
    <t xml:space="preserve">i0312_4p012m_g27_e002 </t>
  </si>
  <si>
    <t xml:space="preserve">Resgatar ilustração da resposta na calculadora do g23_ftd_lt_4bam_p038 código antigo i0809zz_4bam_g23_ftd </t>
  </si>
  <si>
    <t xml:space="preserve">i0313_4p012m_g27_e002 </t>
  </si>
  <si>
    <t xml:space="preserve">Resgatar ilustração da menina branca com os cabelos sozinhos do g23_ftd_lt_4bam_p038 código antigo i0808rt_4bam_g23_ftd </t>
  </si>
  <si>
    <t xml:space="preserve">i0315_4p012m_g27_e002 </t>
  </si>
  <si>
    <t xml:space="preserve">Resgatar ilustração da menina dos cabelos castanhos do g23_ftd_lt_4bam_p042 código antigo i0814tc_4bam_g23_ftd </t>
  </si>
  <si>
    <t xml:space="preserve">i0503_4p012m_g27_e002 </t>
  </si>
  <si>
    <t xml:space="preserve">Resgatar ilustração da menina com cabelo castanho do g23_ftd_lt_4bam_p045 código antigo i0816tc_4bam_g23_ftd </t>
  </si>
  <si>
    <t xml:space="preserve">i0504_4p012m_g27_e002 </t>
  </si>
  <si>
    <t xml:space="preserve">Resgatar ilustração do menino negro do g23_ftd_lt_4bam_p045 código antigo i0817tc_4bam_g23_ftd </t>
  </si>
  <si>
    <t xml:space="preserve">i0505_4p012m_g27_e002 </t>
  </si>
  <si>
    <t xml:space="preserve">Resgatar ilustração da representação de uma linha ferroviária do g23_ftd_lt_4bam_p045 código antigo i0818_4bam_g23_ftd_re </t>
  </si>
  <si>
    <t xml:space="preserve">i0506_4p012m_g27_e002 </t>
  </si>
  <si>
    <t xml:space="preserve">Resgatar ilustração de um menino pardo do g23_ftd_4bam_p047 código antigo i0820tc_4bam_g23_ftd </t>
  </si>
  <si>
    <t xml:space="preserve">i0507_4p012m_g27_e002 </t>
  </si>
  <si>
    <t xml:space="preserve">Resgatar ilustração do visor da calculadora do g23_ftd_lt_4bam_p047 código antigo i0826zz_4bam_g23_ftd </t>
  </si>
  <si>
    <t xml:space="preserve">i0508_4p012m_g27_e002 </t>
  </si>
  <si>
    <t xml:space="preserve">Resgatar il menino loiro como se estivesse pensando do g23_ftd_lt_4bam_p048 código antigo i0822ec_4bam_g23_ftd </t>
  </si>
  <si>
    <t xml:space="preserve">i0509_4p012m_g27_e002 </t>
  </si>
  <si>
    <t xml:space="preserve">resgatar ilustração de menina branca falando. veio do g23_ftd_lt_4bam_p048 código antigo i0821ec_4bam_g23_ftd </t>
  </si>
  <si>
    <t xml:space="preserve">i0510_4p012m_g27_e002 </t>
  </si>
  <si>
    <t xml:space="preserve">Resgatar ilustração da geladeira com seu preço de venda do g23_ftd_lt_4bam_p049 código antigo i0827ec_4bam_g23_ftd </t>
  </si>
  <si>
    <t xml:space="preserve">i0514_4p012m_g27_e002 </t>
  </si>
  <si>
    <t xml:space="preserve">Resgatar ilustração da lousa com a atividade do g23_ftd_lt_4bam_p052 código antigo i0819zz_4bam_g23_ftd </t>
  </si>
  <si>
    <t xml:space="preserve">i0515_4p012m_g27_e002 </t>
  </si>
  <si>
    <t xml:space="preserve">Resgatar e ajustar ilustração da piscina com capacidade de 76 200 L do g23_ftd_lt_4bam_p053 código antigo i0832ec_4bam_g23_ftd 
AJUSTE: separar ilustração de piscinas em A e B </t>
  </si>
  <si>
    <t xml:space="preserve">i0516_4p012m_g27_e002 </t>
  </si>
  <si>
    <t xml:space="preserve">Resgatar ilustração da menina do g23_ftd_lt_4bam_p053 código antigo i0834ec_4bam_g23_ftd </t>
  </si>
  <si>
    <t xml:space="preserve">i0702_4p012m_g27_e002 </t>
  </si>
  <si>
    <t xml:space="preserve">Resgatar ilustração de uma mulher ao lado de uma mesa com diversos objetos; disponível em g23_ftd_lt_4bam_p060 código antigo i1201rm_4bam_g23_ftd </t>
  </si>
  <si>
    <t xml:space="preserve">i0703_4p012m_g27_e002 </t>
  </si>
  <si>
    <t xml:space="preserve">Resgatar ilustração de uma caixa de sabão em pó; disponível em g23_ftd_lt_4bam_p060 código i1244rm_4bam_g23_ftd </t>
  </si>
  <si>
    <t xml:space="preserve">i0704_4p012m_g27_e002 </t>
  </si>
  <si>
    <t xml:space="preserve">Resgatar ilustração de um cubo mágico; disponível em g23_ftd_lt_4bam_p060 código antigo i1245rm_4bam_g23_ftd </t>
  </si>
  <si>
    <t xml:space="preserve">i0705_4p012m_g27_e002 </t>
  </si>
  <si>
    <t xml:space="preserve">Resgatar ilustração de um calendário em forma de pirâmide; disponível em g23_ftd_lt_4bam_p060 código antigo i1246rm_4bam_g23_ftd </t>
  </si>
  <si>
    <t xml:space="preserve">i0706_4p012m_g27_e002 </t>
  </si>
  <si>
    <t xml:space="preserve">Resgatar ilustração de um vidro de tinta spray; disponível em g23_ftd_lt_4bam_p060 código antigo i1247rm_4bam_g23_ftd </t>
  </si>
  <si>
    <t xml:space="preserve">i0707_4p012m_g27_e002 </t>
  </si>
  <si>
    <t xml:space="preserve">Resgatar ilustração de uma bola de futebol; disponível em g23_ftd_lt_4bam_p060 código antigo i1248rm_4bam_g23_ftd </t>
  </si>
  <si>
    <t xml:space="preserve">i0708_4p012m_g27_e002 </t>
  </si>
  <si>
    <t xml:space="preserve">Resgatar ilustração de um cone vermelho com listras roxa; disponível em g23_ftd_lt_4bam_p060 código antigo i1249rm_4bam_g23_ftd </t>
  </si>
  <si>
    <t xml:space="preserve">i0709_4p012m_g27_e002 </t>
  </si>
  <si>
    <t xml:space="preserve">Resgatar ilustração de um cubo azul; disponível em g23_ftd_lt_4bam_p061 código antigo it1202sl_4bam_g23_ftd </t>
  </si>
  <si>
    <t xml:space="preserve">i0710_4p012m_g27_e002 </t>
  </si>
  <si>
    <t xml:space="preserve">Resgatar ilustração de um paralelepípedo azul; disponível em g23_ftd_lt_4bam_p061 código antigo it1203sl_4bam_g23_ftd </t>
  </si>
  <si>
    <t xml:space="preserve">i0711_4p012m_g27_e002 </t>
  </si>
  <si>
    <t xml:space="preserve">Resgatar ilustração de uma pirâmide com base pentagonal azul; disponível em g23_ftd_lt_4bam_p061 código antigo it1204sl_4bam_g23_ftd </t>
  </si>
  <si>
    <t xml:space="preserve">i0712_4p012m_g27_e002 </t>
  </si>
  <si>
    <t xml:space="preserve">Resgatar ilustração de uma esfera azul; disponível em g23_ftd_lt_4bam_p061 código antigo it1205sl_4bam_g23_ftd </t>
  </si>
  <si>
    <t xml:space="preserve">i0713_4p012m_g27_e002 </t>
  </si>
  <si>
    <t xml:space="preserve">Resgatar ilustração de um cilindro azul; disponível em g23_ftd_lt_4bam_p061 código antigo it1206sl_4bam_g23_ftd </t>
  </si>
  <si>
    <t xml:space="preserve">i0714_4p012m_g27_e002 </t>
  </si>
  <si>
    <t xml:space="preserve">Resgatar ilustração de um cone azul; disponível em g23_ftd_lt_4bam_p061 código antigo it1207sl_4bam_g23_ftd </t>
  </si>
  <si>
    <t xml:space="preserve">i0715_4p012m_g27_e002 </t>
  </si>
  <si>
    <t xml:space="preserve">Resgatar ilustração de uma figura em preto e branco para embrulho; disponível em g23_ftd_lt_4bam_p061 código antigo i1255rm_4bam_g23_ftd </t>
  </si>
  <si>
    <t xml:space="preserve">i0716_4p012m_g27_e002 </t>
  </si>
  <si>
    <t xml:space="preserve">Resgatar ilustração de um desenho de uma caixa com laço pra presente; disponível em g23_ftd_lt_4bam_p061 código antigo i1256rm_4bam_g23_ftd </t>
  </si>
  <si>
    <t xml:space="preserve">i0717_4p012m_g27_e002 </t>
  </si>
  <si>
    <t xml:space="preserve">Resgatar ilustração do desenho de uma pirâmide quadrada sem a ponta; disponível em g23_ftd_lt_4bam_p061 código antigo i1257rm_4bam_g23_ftd </t>
  </si>
  <si>
    <t xml:space="preserve">i0718_4p012m_g27_e002 </t>
  </si>
  <si>
    <t xml:space="preserve">Resgatar ilustração do desenho de uma caixa circular com laço para presente; disponível em g23_ftd_lt_4bam_p061 código antigo i1258rm_4bam_g23_ftd </t>
  </si>
  <si>
    <t xml:space="preserve">i0719_4p012m_g27_e002 </t>
  </si>
  <si>
    <t xml:space="preserve">Resgatar ilustração de um paralelepípedo laranja; disponível em g23_ftd_lt_4bam_p062 código antigo it1209sl_4bam_g23_ftd </t>
  </si>
  <si>
    <t xml:space="preserve">i0720_4p012m_g27_e002 </t>
  </si>
  <si>
    <t xml:space="preserve">Resgatar ilustração de uma pirâmide de base quadrada roxa; disponível em g23_ftd_lt_4bam_p062 código antigo it1261sl_4bam_g23_ftd </t>
  </si>
  <si>
    <t xml:space="preserve">i0721_4p012m_g27_e002 </t>
  </si>
  <si>
    <t xml:space="preserve">Resgatar ilustração de uma pirâmide roxa de base triangular; disponível em g23_ftd_lt_4bam_p062 código antigo it1262sl_4bam_g23_ftd </t>
  </si>
  <si>
    <t xml:space="preserve">i0722_4p012m_g27_e002 </t>
  </si>
  <si>
    <t xml:space="preserve">Resgatar ilustração de um prisma de cor roxa; disponível em g23_ftd_lt_4bam_p062 código antigo it1263sl_4bam_g23_ftd </t>
  </si>
  <si>
    <t xml:space="preserve">i0723_4p012m_g27_e002 </t>
  </si>
  <si>
    <t xml:space="preserve">Resgatar ilustração de uma pirâmide roxa de base pentagonal; disponível em g23_ftd_lt_4bam_p062 código antigo it1264sl_4bam_g23_ftd </t>
  </si>
  <si>
    <t xml:space="preserve">i0724_4p012m_g27_e002 </t>
  </si>
  <si>
    <t xml:space="preserve">Resgatar ilustração de um paralelepípedo amarelo desmontado; disponível em g23_ftd_lt_4bam_p063 código antigo it1210sl_4bam_g23_ftd </t>
  </si>
  <si>
    <t xml:space="preserve">i0725_4p012m_g27_e002 </t>
  </si>
  <si>
    <t xml:space="preserve">Resgatar ilustração de um cubo amarelo desmontado; disponível em g23_ftd_lt_4bam_p063 código antigo it1212sl_4bam_g23_ftd </t>
  </si>
  <si>
    <t xml:space="preserve">i0726_4p012m_g27_e002 </t>
  </si>
  <si>
    <t xml:space="preserve">Resgatar ilustração de uma pirâmide amarela de base pentagonal desmontada; disponível em g23_ftd_lt_4bam_p063 código antigo it1211sl_4bam_g23_ftd </t>
  </si>
  <si>
    <t xml:space="preserve">i0727_4p012m_g27_e002 </t>
  </si>
  <si>
    <t xml:space="preserve">Resgatar ilustração de uma pirâmide amarela de base quadrada desmontada; disponível em g23_ftd_lt_4bam_p063 código antigo it1213sl_4bam_g23_ftd </t>
  </si>
  <si>
    <t xml:space="preserve">i0728_4p012m_g27_e002 </t>
  </si>
  <si>
    <t xml:space="preserve">Resgatar ilustração de um; disponível em g23_ftd_lt_4bam_p063 código antigo it1215sl_4bam_g23_ftd </t>
  </si>
  <si>
    <t>i0729_4p012m_g27_e002</t>
  </si>
  <si>
    <t xml:space="preserve">Resgatar ilustração de um; disponível em g23_ftd_lt_4bam_p063 código antigo it1217sl_4bam_g23_ftd </t>
  </si>
  <si>
    <t xml:space="preserve">i0730_4p012m_g27_e002 </t>
  </si>
  <si>
    <t xml:space="preserve">i0731_4p012m_g27_e002 </t>
  </si>
  <si>
    <t xml:space="preserve">Resgatar ilustração de um; disponível em g23_ftd_lt_4bam_p063 código antigo it1216sl_4bam_g23_ftd </t>
  </si>
  <si>
    <t xml:space="preserve">i0732_4p012m_g27_e002 </t>
  </si>
  <si>
    <t xml:space="preserve">Resgatar ilustração de um prisma verde com cotas indicando base, face lateral e base; disponível em g23_ftd_lt_4bam_p064 código antigo it1218sl_4bam_g23_ftd </t>
  </si>
  <si>
    <t xml:space="preserve">i0733_4p012m_g27_e002 </t>
  </si>
  <si>
    <t xml:space="preserve">Resgatar ilustração de uma pirâmide verde de base quadrada; disponível em g23_ftd_lt_4bam_p064 código antigo it1219sl_4bam_g23_ftd </t>
  </si>
  <si>
    <t xml:space="preserve">i0734_4p012m_g27_e002 </t>
  </si>
  <si>
    <t xml:space="preserve">Resgatar ilustração de uma pirâmide laranja de base hexagonal; disponível em g23_ftd_lt_4bam_p064 código antigo it1220sl_4bam_g23_ftd </t>
  </si>
  <si>
    <t xml:space="preserve">i0735_4p012m_g27_e002 </t>
  </si>
  <si>
    <t xml:space="preserve">Resgatar ilustração de um prisma laranja de base pentagonal; disponível em g23_ftd_lt_4bam_p064 código antigo it1221sl_4bam_g23_ftd </t>
  </si>
  <si>
    <t xml:space="preserve">i0736_4p012m_g27_e002 </t>
  </si>
  <si>
    <t xml:space="preserve">Resgatar ilustração de um prisma roxa com base octogonal; disponível em g23_ftd_lt_4bam_p065 código antigo it1225sl_4bam_g23_ftd </t>
  </si>
  <si>
    <t xml:space="preserve">i0737_4p012m_g27_e002 </t>
  </si>
  <si>
    <t xml:space="preserve">Resgatar ilustração de uma pirâmide roxa com base octogonal; disponível em g23_ftd_lt_4bam_p065 código antigo it1226sl_4bam_g23_ftd </t>
  </si>
  <si>
    <t xml:space="preserve">i0738_4p012m_g27_e002 </t>
  </si>
  <si>
    <t xml:space="preserve">Resgatar ilustração de uma pirâmide roxa de base hexagonal; disponível em g23_ftd_lt_4bam_p065 código antigo it1227sl_4bam_g23_ftd </t>
  </si>
  <si>
    <t xml:space="preserve">i0739_4p012m_g27_e002 </t>
  </si>
  <si>
    <t xml:space="preserve">Resgatar ilustração de um pentágono vermelho; disponível em g23_ftd_lt_4bam_p065 código antigo it1222sl_4bam_g23_ftd </t>
  </si>
  <si>
    <t xml:space="preserve">i0740_4p012m_g27_e002 </t>
  </si>
  <si>
    <t xml:space="preserve">Resgatar ilustração de um hexágono vermelho; disponível em g23_ftd_lt_4bam_p065 código antigo it1223sl_4bam_g23_ftd </t>
  </si>
  <si>
    <t xml:space="preserve">i0741_4p012m_g27_e002 </t>
  </si>
  <si>
    <t xml:space="preserve">Resgatar ilustração de um paralelepípedo; disponível em g23_ftd_lt_4bam_p066 código antigo it1228sl_4bam_g23_ftd </t>
  </si>
  <si>
    <t xml:space="preserve">i0742_4p012m_g27_e002 </t>
  </si>
  <si>
    <t xml:space="preserve">Resgatar ilustração de um prisma de base hexagonal; disponível em g23_ftd_lt_4bam_p066 código antigo it1229sl_4bam_g23_ftd </t>
  </si>
  <si>
    <t xml:space="preserve">i0743_4p012m_g27_e002 </t>
  </si>
  <si>
    <t xml:space="preserve">Resgatar ilustração de um prisma de base pentagonal; disponível em g23_ftd_lt_4bam_p066 código antigo it1230sl_4bam_g23_ftd </t>
  </si>
  <si>
    <t xml:space="preserve">i0744_4p012m_g27_e002 </t>
  </si>
  <si>
    <t xml:space="preserve">Resgatar ilustração de planificação de prisma de base pentagonal; disponível em g23_ftd_lt_4bam_p066 código antigo it1231sl_4bam_g23_ft </t>
  </si>
  <si>
    <t xml:space="preserve">i0745_4p012m_g27_e002 </t>
  </si>
  <si>
    <t xml:space="preserve">Resgatar ilustração de planificação de um paralelepípedo; disponível em g23_ftd_lt_4bam_p066 código antigo it1232sl_4bam_g23_ftd </t>
  </si>
  <si>
    <t xml:space="preserve">i0746_4p012m_g27_e002 </t>
  </si>
  <si>
    <t xml:space="preserve">Resgatar ilustração de planificação de um prisma de base hexagonal; disponível em g23_ftd_lt_4bam_p066 código antigo it1233sl_4bam_g23_ftd </t>
  </si>
  <si>
    <t xml:space="preserve">i0747_4p012m_g27_e002 </t>
  </si>
  <si>
    <t xml:space="preserve">Resgatar ilustração de uma pirâmide verde de base verde; disponível em g23_ftd_lt_4bam_p066 código antigo it1234sl_4bam_g23_ftd </t>
  </si>
  <si>
    <t xml:space="preserve">i0748_4p012m_g27_e002 </t>
  </si>
  <si>
    <t xml:space="preserve">resgatar ilustração de uma estrela. veio do g23_ftd_lt_4bam_p066; código antigo it1235sl_4bam_g23_ftd </t>
  </si>
  <si>
    <t xml:space="preserve">i0749_4p012m_g27_e002 </t>
  </si>
  <si>
    <t xml:space="preserve">Resgatar ilustração de uma pirâmide de verde de base triangular; disponível em g23_ftd_lt_4bam_p066 código antigo it1236sl_4bam_g23_ftd </t>
  </si>
  <si>
    <t xml:space="preserve">i0750_4p012m_g27_e002 </t>
  </si>
  <si>
    <t xml:space="preserve">Resgatar ilustração de um triângulo; disponível em g23_ftd_lt_4bam_p066 código antigo it1237sl_4bam_g23_ftd </t>
  </si>
  <si>
    <t xml:space="preserve">i0751_4p012m_g27_e002 </t>
  </si>
  <si>
    <t xml:space="preserve">Resgatar ilustração de um cubo azul; disponível em g23_ftd_lt_4bam_p067 código antigo it1238sl_4bam_g23_ftd </t>
  </si>
  <si>
    <t xml:space="preserve">i0752_4p012m_g27_e002 </t>
  </si>
  <si>
    <t xml:space="preserve">Resgatar ilustração de um paralelepípedo; disponível em g23_ftd_lt_4bam_p067 código antigo it1239sl_4bam_g23_ftd </t>
  </si>
  <si>
    <t xml:space="preserve">i0753_4p012m_g27_e002 </t>
  </si>
  <si>
    <t xml:space="preserve">Resgatar ilustração de um cubo com faces com o desenho de uma estrela de diferentes cores em frente a dois espelhos; disponível em g23_ftd_lt_4bam_p067 código antigo i1240sl_4bam_g23_ftd </t>
  </si>
  <si>
    <t xml:space="preserve">i0754_4p012m_g27_e002 </t>
  </si>
  <si>
    <t>Resgatar ilustração da planificação de um cubo com faces com desenho de estrela desmontado; disponível em g23_ftd_lt_4bam_p067 código antigo i1241sl_4bam_g23_ftd
AJUSTE: ampliar imagem para que o aluno tenha mais espaço para pintar as estrelas e de modo que feche a página.</t>
  </si>
  <si>
    <t xml:space="preserve">i0571_1p012m_g27_e002 </t>
  </si>
  <si>
    <t xml:space="preserve">Resgatar ilustração de um relógio digital. Imagem disponível em g23_ftd_lpa_1bam_p120a131_u4,  
código antigo: i1726zz_1bam_g23_ftd.ai </t>
  </si>
  <si>
    <t xml:space="preserve">i0572_1p012m_g27_e002 </t>
  </si>
  <si>
    <t xml:space="preserve">Resgatar ilustração de um relógio digital. Imagem disponível em g23_ftd_lt_1bam_p127,  
código antigo: i1709zz_1bam_g23_ftd. </t>
  </si>
  <si>
    <t xml:space="preserve">i0573_1p012m_g27_e002 </t>
  </si>
  <si>
    <t xml:space="preserve">Resgatar ilustração de um relógio digital. Imagem disponível em g23_ftd_lt_1bam_p127,  
código antigo: i1710zz_1bam_g23_ftd </t>
  </si>
  <si>
    <t xml:space="preserve">i0574_1p012m_g27_e002 </t>
  </si>
  <si>
    <t xml:space="preserve">Resgatar ilustração de um relógio digital. Imagem disponível em g23_ftd_lt_1bam_p127,  
código antigo: i1711zz_1bam_g23_ftd </t>
  </si>
  <si>
    <t xml:space="preserve">i0577_1p012m_g27_e002 </t>
  </si>
  <si>
    <t xml:space="preserve">resgatar relógio digital do padrão sem os dígitos do g23_ftd_lpa_1bam_p120a131_u4, código antigo: i1716zz_1bam_g23_ftd </t>
  </si>
  <si>
    <t>i0559_1p012m_g27_e002</t>
  </si>
  <si>
    <t xml:space="preserve">Resgatar ilustração de uma senhora na poltrona tecendo, disponível em g23_ftd_lt_1bam_p012 código i0471iv_1bam_g23_ftd  </t>
  </si>
  <si>
    <t>i0560_1p012m_g27_e002</t>
  </si>
  <si>
    <t xml:space="preserve">Resgatar ilustração de três saias de diferentes cores, disponível em g23_ftd_lt_1bam_p012 código i0472iv_1bam_g23_ftd  </t>
  </si>
  <si>
    <t xml:space="preserve">i0561_1p012m_g27_e002 </t>
  </si>
  <si>
    <t>Resgatar e ajustar ilustração de dois jacarés no lago, disponível em g23_ftd_lt_1bam_p013_código antigo i0476tc_1bam_g23_ftd
AJUSTE: Deixar os olhos fechados no jacaré com a cauda mais comprida. Ver referência a seguir.</t>
  </si>
  <si>
    <t xml:space="preserve">i0562_1p012m_g27_e002 </t>
  </si>
  <si>
    <t>Resgatar e ajustar ilustração de dois tucanos em um galho, disponível em g23_ftd_lt_1bam_p013_código i0428tc_1bam_g23_ftd_ef
AJUSTE: Deixar as folhas todas do lado do tucano de bico mais comprido. Ver referência a seguir</t>
  </si>
  <si>
    <t xml:space="preserve">i0563_1p012m_g27_e002 </t>
  </si>
  <si>
    <t xml:space="preserve">Resgatar ilustração de três gatos um ao lado do outro, disponível em g23_ftd_lt_1bam_p013_código i0429tc_1bam_g23_ftd_ef  </t>
  </si>
  <si>
    <t xml:space="preserve">i0565_1p012m_g27_e002 </t>
  </si>
  <si>
    <t xml:space="preserve">ilustração de um menino com a sua mãe em frente três caminhos que levam a um parque. O começo é com os dois personagens e o final é no parque. Todo o percurso dos três caminhos deve aparecer na imagem. Um dos caminhos deve ser nitidamente mais curto que os outros, e os caminhos identificados por A, B e C, inserido na diagramação. Os caminhos devem ser em branco para que os estudantes pintem. O menino e a mãe são ruivos, a mãe usa óculos e o menino aparelho dental. Imagem de referência. </t>
  </si>
  <si>
    <t>R:09/05 F:13/05</t>
  </si>
  <si>
    <t xml:space="preserve">i0566_1p012m_g27_e002 </t>
  </si>
  <si>
    <t>Resgatar ilustração de três crianças uma ao lado do outro, disponível em g23_ftd_lt_1bam_p014_código i0410rt_1bam_g23_ftd_ef </t>
  </si>
  <si>
    <t xml:space="preserve">i0567_1p012m_g27_e002 </t>
  </si>
  <si>
    <t xml:space="preserve">Resgatar ilustração de uma arvore com vários pássaros, disponível em g23_ftd_lt_1bam_p014_código i0411rt_1bam_g23_ftd  </t>
  </si>
  <si>
    <t xml:space="preserve">i0568_1p012m_g27_e002 </t>
  </si>
  <si>
    <t xml:space="preserve">Resgatar ilustração de quatro crianças uma ao lado da outra, disponível em g23_ftd_lt_1bam_p015_código i0473tc_1bam_g23_ftd  
AJUSTAR: Ajustar o contraste da terceira personagem (a menina negra) pois os traços do nariz e da boca estão muito apagados.  </t>
  </si>
  <si>
    <t xml:space="preserve">i0569_1p012m_g27_e002 </t>
  </si>
  <si>
    <t xml:space="preserve">Resgatar ilustração de uma sala com dois sofás, um rosa de três lugares à esquerda e um roxo de dois lugares à direita. Um abajur no meio da cena, dois vasos no canto direito da imagem, um menor com listras roxas e um maior com listras brancas, e a parede de fundo com duas listras verdes, a mas à esquerda mais larga em relação àquela mais à direita, Veio do livro Bons Amigos - Página 64.  
Código antigo: i1243iv_1bam_g23_ftd 
AJUSTE: deixar o vaso menor amarelo e o vaso maior azul e sem listras. </t>
  </si>
  <si>
    <t>i0575_1p012m_g27_e002</t>
  </si>
  <si>
    <t xml:space="preserve">Resgatar ilustração de quatro estudantes com tamanhos diferentes em ordem decrescente da esquerda para a direita e a professora à direita deles. Veio do livro de práticas Bons Amigos - Página 122. Código antigo: i1688tc_1bam_g23_ftd </t>
  </si>
  <si>
    <t xml:space="preserve">i0576_1p012m_g27_e002 </t>
  </si>
  <si>
    <t xml:space="preserve">Resgatar ilustração de duas crianças brincando de sobrepor peças coloridas. Há um menino à esquerda, com uma construção maior, e uma menina à direita com uma construção menor e dois quadros com seus nomes: PEDRO E LAURA. Veio do livro de práticas Bons Amigos - Página 122. Código antigo: i1689tc_1bam_g23_ftd.psd </t>
  </si>
  <si>
    <t xml:space="preserve">i0902_4p012m_g27_e002 </t>
  </si>
  <si>
    <t xml:space="preserve">Resgatar ilustração quadros com desenhos diversos; g23_ftd_lt_4bam_p72; código antigo i1601rm_4bam_g23_ftd </t>
  </si>
  <si>
    <t>i0903_4p012m_g27_e002</t>
  </si>
  <si>
    <t xml:space="preserve">Resgatar ilustração menina observando a prateleira de um supermercado; g23_ftd_lt_4bam_p73; código antigo i1603iv_4bam_g23_ftd </t>
  </si>
  <si>
    <t xml:space="preserve">i0904_4p012m_g27_e002 </t>
  </si>
  <si>
    <t xml:space="preserve">Resgatar ilustração armário de 24 gavetas; g23_ftd_lt_4bam_p75; código antigo i1605tc_4bam_g23_ftd </t>
  </si>
  <si>
    <t xml:space="preserve">i0905_4p012m_g27_e002 </t>
  </si>
  <si>
    <t xml:space="preserve">Resgatar ilustração dois armários, um com 12 gavetas e outro com 20 gavetas; g23_ftd_lt_4bam_p75; código antigo i1606tc_4bam_g23_ftd </t>
  </si>
  <si>
    <t xml:space="preserve">i0906_4p012m_g27_e002 </t>
  </si>
  <si>
    <t xml:space="preserve">Resgatar ilustração de mouses e notebooks; g23_ftd_lt_4bam_p76; código antigo i1613tc_4bam_g23_ftd
AJUSTE: separar cada elemento em códigos de A até K, ordenando da esquerda para direita, mouses: de A até C; com notebook cinza: D até G; com notebook preto: H até K </t>
  </si>
  <si>
    <t>as ils i0906 (A, B, C, D e H) foram excluídas pela equipe</t>
  </si>
  <si>
    <t xml:space="preserve">i0907_4p012m_g27_e002 </t>
  </si>
  <si>
    <t xml:space="preserve">Resgatar ilustração camisetas de cores diferentes, com estampas de animais; g23_ftd_lt_4bam_p76; código antigo i1619tc_4bam_g23_ftd </t>
  </si>
  <si>
    <t xml:space="preserve">i0909_4p012m_g27_e002 </t>
  </si>
  <si>
    <t xml:space="preserve">Resgatar ilustração smartphone, g23_ftd_lt_4bam_p78; código antigo i1612iv_4bam_g23_ftd </t>
  </si>
  <si>
    <t xml:space="preserve">i0910_4p012m_g27_e002 </t>
  </si>
  <si>
    <t xml:space="preserve">Resgatar ilustração 6 cartões vermelhos, 3 cartões azuis e 1 cartão amarelo; g23_ftd_lt_4bam_p79; código antigo i1627gu_4bam_g23_ftd </t>
  </si>
  <si>
    <t xml:space="preserve">i0911_4p012m_g27_e002 </t>
  </si>
  <si>
    <t xml:space="preserve">Resgatar ilustração 1 cartão vermelho, 1 cartão amarelo, 2 cartões verdes e 1 cartão azul; g23_ftd_lt_4bam_p79; código antigo i1628gu_4bam_g23_ftd </t>
  </si>
  <si>
    <t xml:space="preserve">i0912_4p012m_g27_e002 </t>
  </si>
  <si>
    <t xml:space="preserve">Resgatar ilustração 6 cartões azuis e 2 cartões verdes; g23_ftd_lt_4bam_p79; código antigo i1629gu_4bam_g23_ftd </t>
  </si>
  <si>
    <t xml:space="preserve">i0913_4p012m_g27_e002 </t>
  </si>
  <si>
    <t xml:space="preserve">Resgatar ilustração menina olhando instrumentos musicais em uma vitrine; g23_ftd_lt_4bam_p83; código antigo i1641iv_4bam_g23_ftd </t>
  </si>
  <si>
    <t xml:space="preserve">i0915_4p012m_g27_e002 </t>
  </si>
  <si>
    <t xml:space="preserve">Resgatar ilustração quadro negro escrito “100×9×4”; g23_ftd_lt_4bam_p86; código antigo i1652zz_4bam_g23_ftd </t>
  </si>
  <si>
    <t xml:space="preserve">i0916_4p012m_g27_e002 </t>
  </si>
  <si>
    <t xml:space="preserve">Resgatar ilustração armário com livros; g23_ftd_lt_4bam_p86; código antigo i1656tc_4bam_g23_ftd </t>
  </si>
  <si>
    <t xml:space="preserve">i0917_4p012m_g27_e002 </t>
  </si>
  <si>
    <t xml:space="preserve">Resgatar ilustração duas crianças conversando; g23_ftd_lt_4bam_p86; código antigo i1657tc_4bam_g23_ftd </t>
  </si>
  <si>
    <t xml:space="preserve">i0919_4p012m_g27_e002 </t>
  </si>
  <si>
    <t xml:space="preserve">Resgatar ilustração menina como se estivesse pensando; g23_ftd_lt_4bam_p88; código antigo i1668iv_4bam_g23_ftd </t>
  </si>
  <si>
    <t xml:space="preserve">i0922_4p012m_g27_e002 </t>
  </si>
  <si>
    <t xml:space="preserve">Resgatar ilustração jogo dos pontinhos; g23_ftd_lt_4bam_p89; código antigo i1670iv_4bam_g23_ftd </t>
  </si>
  <si>
    <t xml:space="preserve">i1306_4p012m_g27_e002 </t>
  </si>
  <si>
    <t xml:space="preserve">Resgatar ilustração de uma régua com 10 cm; disponível em g23_ftd_lt_4bam_p115 código antigo i2407zz_4bam_g23_ftd </t>
  </si>
  <si>
    <t xml:space="preserve">i1308_4p012m_g27_e002 </t>
  </si>
  <si>
    <t xml:space="preserve">Resgatar ilustração de um lápis amarelo acima de um lápis verde sobre uma régua azul; disponível em g23_ftd_lt_4bam_p116 código antigo i2409zz_4bam_g23_ftd </t>
  </si>
  <si>
    <t>RAFAELA H. PEREIRA/RENAN FONSECA/ARQUIVO DA EDITORA</t>
  </si>
  <si>
    <t xml:space="preserve">i1310_4p012m_g27_e002 </t>
  </si>
  <si>
    <t xml:space="preserve">Resgatar ilustração de 4 pessoas de diferentes tamanhos; disponível em g23_ftd_lt_4bam_p117 código antigo i2411tc_4bam_g23_ftd </t>
  </si>
  <si>
    <t xml:space="preserve">i1311_4p012m_g27_e002 </t>
  </si>
  <si>
    <t xml:space="preserve">Resgatar ilustração de um retângulo vermelho mostrando o tamanho das suas laterais; disponível em g23_ftd_lt_4bam_p117 código antigo it2412gu_4bam_g23_ftd </t>
  </si>
  <si>
    <t>i1312_4p012m_g27_e002</t>
  </si>
  <si>
    <t xml:space="preserve">Resgatar ilustração de um triângulo retângulo vermelho; disponível em g23_ftd_lt_4bam_p117_código it2413gu_4bam_g23_ftd </t>
  </si>
  <si>
    <t xml:space="preserve">i1313_4p012m_g27_e002 </t>
  </si>
  <si>
    <t xml:space="preserve">Resgatar ilustração de um quadrado vermelho; disponível em g23_ftd_lt_4bam_p117 código antigo it2414gu_4bam_g23_ftd </t>
  </si>
  <si>
    <t xml:space="preserve">i1314_4p012m_g27_e002 </t>
  </si>
  <si>
    <t xml:space="preserve">Resgatar ilustração de um pentágono vermelho; disponível em g23_ftd_lt_4bam_p117 código antigo it2415gu_4bam_g23_ftd </t>
  </si>
  <si>
    <t xml:space="preserve">i1315_4p012m_g27_e002 </t>
  </si>
  <si>
    <t xml:space="preserve">Resgatar ilustração de uma malha com figuras em amarelo; disponível em g23_ftd_lt_4bam_p118 código antigo i2416sl_4bam_g23_ftd </t>
  </si>
  <si>
    <t xml:space="preserve">i1316_4p012m_g27_e002 </t>
  </si>
  <si>
    <t xml:space="preserve">Resgatar ilustração de um quadrado vermelho; disponível em g23_ftd_lt_4bam_p118 código antigo it2417gu_4bam_g23_ftd </t>
  </si>
  <si>
    <t xml:space="preserve">i1317_4p012m_g27_e002 </t>
  </si>
  <si>
    <t xml:space="preserve">Resgatar ilustração de um pentágono vermelho; disponível em g23_ftd_lt_4bam_p118 código antigo it2418gu_4bam_g23_ftd </t>
  </si>
  <si>
    <t xml:space="preserve">i1318_4p012m_g27_e002 </t>
  </si>
  <si>
    <t xml:space="preserve">Resgatar ilustração de um hexágono vermelho; disponível em g23_ftd_lt_4bam_p118 código antigo it2419gu_4bam_g23_ftd </t>
  </si>
  <si>
    <t xml:space="preserve">i1319_4p012m_g27_e002 </t>
  </si>
  <si>
    <t xml:space="preserve">Resgatar ilustração de uma placa indicando as distâncias para chegar em alguns lugares; disponível em g23_ftd_lt_4bam_p119 código antigo i2420gu_4bam_g23_ftd </t>
  </si>
  <si>
    <t xml:space="preserve">m1322_4p012m_g27_e002 </t>
  </si>
  <si>
    <t xml:space="preserve">Resgatar mapa do Brasil focando na região da Amazonas; disponível em g23_ftd_lt_4bam_p121 código antigo m2423gu_4bam_g23_ftd 
AJUSTE: separar em A B C separando mapa legenda e mapa de localização </t>
  </si>
  <si>
    <t xml:space="preserve">i1323_4p012m_g27_e002 </t>
  </si>
  <si>
    <t xml:space="preserve">Resgatar ilustração de um relógio indicando o que significado de seus ponteiros; disponível em g23_ftd_lt_4bam_p122 código antigo i2426zz_4bam_g23_ftd </t>
  </si>
  <si>
    <t xml:space="preserve">i1324_4p012m_g27_e002 </t>
  </si>
  <si>
    <t xml:space="preserve">Resgatar ilustração de um relógio digital indicando o significado de cada número; disponível em g23_ftd_lt_4bam_p122 código antigo i2427zz_4bam_g23_ftd </t>
  </si>
  <si>
    <t xml:space="preserve">i1327_4p012m_g27_e002 </t>
  </si>
  <si>
    <t xml:space="preserve">Resgatar ilustração de um confeiteiro em frente a um bolo de 3 camadas; disponível em g23_ftd_lt_4bam_p123 código antigo i2436tc_4bam_g23_ftd </t>
  </si>
  <si>
    <t xml:space="preserve">i1328_4p012m_g27_e002 </t>
  </si>
  <si>
    <t xml:space="preserve">Resgatar ilustração de um relógio marcando 2h e 25min; disponível em g23_ftd_lt_4bam_p123 código antigo i2428zz_4bam_g23_ftd </t>
  </si>
  <si>
    <t xml:space="preserve">i1329_4p012m_g27_e002 </t>
  </si>
  <si>
    <t xml:space="preserve">Resgatar ilustração de um relógio marcando 8 h e 15 min; disponível em g23_ftd_lt_4bam_p123 código antigo i2429zz_4bam_g23_ftd </t>
  </si>
  <si>
    <t xml:space="preserve">i1330_4p012m_g27_e002 </t>
  </si>
  <si>
    <t>Resgatar ilustração de um relógio marcando 4 h e 50 min; disponível em g23_ftd_lt_4bam_p123 código antigo i2430zz_4bam_g23_ftd</t>
  </si>
  <si>
    <t xml:space="preserve">i1331_4p012m_g27_e002 </t>
  </si>
  <si>
    <t xml:space="preserve">Resgatar ilustração de um relógio marcando 11 h e 35 min; disponível em g23_ftd_lt_4bam_p123 código antigo i2431zz_4bam_g23_ftd </t>
  </si>
  <si>
    <t xml:space="preserve">i1332_4p012m_g27_e002 </t>
  </si>
  <si>
    <t xml:space="preserve">Resgatar ilustração de um relógio digital marcando 8 h e 15 min; disponível em g23_ftd_lt_4bam_p123 código antigo i2432zz_4bam_g23_ftd </t>
  </si>
  <si>
    <t xml:space="preserve">i1333_4p012m_g27_e002 </t>
  </si>
  <si>
    <t xml:space="preserve">Resgatar ilustração de um relógio digital marcando 11 h e 35 min; disponível em g23_ftd_lt_4bam_p123 código antigo i2433zz_4bam_g23_ftd </t>
  </si>
  <si>
    <t xml:space="preserve">i1334_4p012m_g27_e002 </t>
  </si>
  <si>
    <t xml:space="preserve">Resgatar ilustração de um relógio marcando 2 h e 25 min; disponível em g23_ftd_lt_4bam_p123 código antigo i2434zz_4bam_g23_ftd </t>
  </si>
  <si>
    <t xml:space="preserve">i1335_4p012m_g27_e002 </t>
  </si>
  <si>
    <t xml:space="preserve">Resgatar ilustração de um relógio digital marcando 4 h e 50 min; disponível em g23_ftd_lt_4bam_p123 código antigo i2435zz_4bam_g23_ftd </t>
  </si>
  <si>
    <t xml:space="preserve">i1336_4p012m_g27_e002 </t>
  </si>
  <si>
    <t xml:space="preserve">Resgatar ilustração de um relógio marcando 7 h e 40 min; disponível em g23_ftd_lt_4bam_p123 código antigo i2437zz_4bam_g23_ftd </t>
  </si>
  <si>
    <t xml:space="preserve">i1337_4p012m_g27_e002 </t>
  </si>
  <si>
    <t xml:space="preserve">Resgatar ilustração de um relógio digital marcando 9 h e 5 min; disponível em g23_ftd_lt_4bam_p123 código antigo i2438zz_4bam_g23_ftd </t>
  </si>
  <si>
    <t xml:space="preserve">i1338_4p012m_g27_e002 </t>
  </si>
  <si>
    <t xml:space="preserve">Resgatar ilustração de um relógio marcando 5 h e 37 min; disponível em g23_ftd_lt_4bam_p124 código antigo i2439zz_4bam_g23_ftd </t>
  </si>
  <si>
    <t xml:space="preserve">i1339_4p012m_g27_e002 </t>
  </si>
  <si>
    <t xml:space="preserve">Resgatar ilustração de um relógio marcando 3 h e 41 min; disponível em g23_ftd_lt_4bam_p124 código antigo i2440zz_4bam_g23_ftd </t>
  </si>
  <si>
    <t xml:space="preserve">i1340_4p012m_g27_e002 </t>
  </si>
  <si>
    <t xml:space="preserve">Resgatar ilustração de um relógio digital vermelho com lacunas para preencher hora, minuto e segundo; disponível em g23_ftd_lt_4bam_p124 código antigo i2443zz_4bam_g23_ftd 
AJUSTE: retirar os elementos em cor resposta </t>
  </si>
  <si>
    <t xml:space="preserve">i1341_4p012m_g27_e002 </t>
  </si>
  <si>
    <t xml:space="preserve">Resgatar ilustração de um relógio marcando 7 h e 10 min; disponível em g23_ftd_lt_4bam_p124 código antigo i2441zz_4bam_g23_ftd </t>
  </si>
  <si>
    <t xml:space="preserve">i1342_4p012m_g27_e0027 </t>
  </si>
  <si>
    <t xml:space="preserve">Resgatar ilustração de um relógio digital verde com lacunas para preencher hora, minuto e segundo; disponível em g23_ftd_lt_4bam_p124 código antigo i2444zz_4bam_g23_ftd 
AJUSTE: retirar os elementos em cor resposta </t>
  </si>
  <si>
    <t xml:space="preserve">i1343_4p012m_g27_e002 </t>
  </si>
  <si>
    <t xml:space="preserve">i1344_4p012m_g27_e0027 </t>
  </si>
  <si>
    <t xml:space="preserve">Resgatar ilustração de um relógio digital roxo com lacunas para preencher hora, minuto e segundo; disponível em g23_ftd_lt_4bam_p124 código antigo i2445zz_4bam_g23_ftd </t>
  </si>
  <si>
    <t xml:space="preserve">i1345_4p012m_g27_e0027 </t>
  </si>
  <si>
    <t xml:space="preserve">Resgatar ilustração de um menino treinando voleibol; disponível em g23_ftd_lt_4bam_p112 código antigo i2449iv_4bam_g23_ftd </t>
  </si>
  <si>
    <t xml:space="preserve">i1346_4p012m_g27_e002 </t>
  </si>
  <si>
    <t xml:space="preserve">Resgatar ilustração de 4 pessoas em cinema comprando ingressos para um certo filme; disponível em g23_ftd_lt_4bam_p125 código antigo i2450iv_4bam_g23_ftd 
AJUSTE: ajustar data para o ano de 2027 </t>
  </si>
  <si>
    <t>i1348_4p012m_g27_e002</t>
  </si>
  <si>
    <t xml:space="preserve">Resgatar ilustração de um calendário do ano de 2023; disponível em g23_ftd_lt_4bam_p127 código antigo i2452rm_4bam_g23_ftd 
AJUSTE:  atualizar calendário para junho de 2027 </t>
  </si>
  <si>
    <t>CARLOS BORIN/KEITHY MOSTACHI/ARQUIVO DA EDITORA</t>
  </si>
  <si>
    <t xml:space="preserve">i1502_4p012m_g27_e002 </t>
  </si>
  <si>
    <t xml:space="preserve">Resgatar ilustração da figura dividida em 2 partes iguais do g23_ftd_lt_4bam_p148 código antigo it3202gu_4bam_g23_ftd </t>
  </si>
  <si>
    <t xml:space="preserve">i1503_4p012m_g27_e002 </t>
  </si>
  <si>
    <t xml:space="preserve">Resgatar ilustração da figura dividida em 3 partes iguais do g23_ftd_lt_4bam_p148 código antigo it3203gu_4bam_g23_ftd </t>
  </si>
  <si>
    <t xml:space="preserve">i1504_4p012m_g27_e002 </t>
  </si>
  <si>
    <t xml:space="preserve">Resgatar ilustração da figura dividida em 4 partes iguais do g23_ftd_lt_4bam_p148 código antigo it3204gu_4bam_g23_ftd </t>
  </si>
  <si>
    <t xml:space="preserve">i1505_4p012m_g27_e002 </t>
  </si>
  <si>
    <t>Resgatar ilustração da figura dividida em 5 partes iguais do g23_ftd_lt_4bam_p148 código antigo it3205gu_4bam_g23_ftd</t>
  </si>
  <si>
    <t xml:space="preserve">i1506_4p012m_g27_e002 </t>
  </si>
  <si>
    <t xml:space="preserve">Resgatar ilustração do triângulo dividido em 9 partes iguais do g23_ftd_lt_4bam_p150 código antigo it3207gu_4bam_g23_ftd </t>
  </si>
  <si>
    <t xml:space="preserve">i1507_4p012m_g27_e002 </t>
  </si>
  <si>
    <t xml:space="preserve">Resgatar ilustração de uma figura dividida em 10 partes com 4 partes coloridas, do g23_ftd_4bam_p150 código antigo i3208zz_4bam_g23_ftd </t>
  </si>
  <si>
    <t xml:space="preserve">i1508_4p012m_g27_e002 </t>
  </si>
  <si>
    <t xml:space="preserve">Resgatar ilustração de uma figura dividida em 10 partes com 9 partes coloridas do g23_ftd_4bam_p150 código antigo i3209zz_4bam_g23_ftd </t>
  </si>
  <si>
    <t xml:space="preserve">i1509_4p012m_g27_e002 </t>
  </si>
  <si>
    <t xml:space="preserve">Resgatar ilustração de uma figura dividida em 100 partes com 43 partes coloridas do g23_ftd_4bam_p150 código antigo i3210zz_4bam_g23_ftd </t>
  </si>
  <si>
    <t xml:space="preserve">i1510_4p012m_g27_e002 </t>
  </si>
  <si>
    <t xml:space="preserve">Resgatar ilustração de uma figura dividida em 100 partes com 61 partes coloridas do g23_ftd_4bam_p150 código antigo i3211zz_4bam_g23_ftd </t>
  </si>
  <si>
    <t xml:space="preserve">i1511_4p012m_g27_e002 </t>
  </si>
  <si>
    <t xml:space="preserve">Resgatar ilustração dos recipientes do g23_ftd_lt_4bam_p151 código antigo i3212rm_4bam_g23_ftd_ef </t>
  </si>
  <si>
    <t xml:space="preserve">i1512_4p012m_g27_e002 </t>
  </si>
  <si>
    <t xml:space="preserve">Resgatar ilustração da figura dividida em 3 quadrados amarelos, 2 quadrados azuis, 2 quadrados rosa e 1 vermelho do g23_ftd_lt_4bam_p151 código antigo it3213gu_4bam_g23_ftd </t>
  </si>
  <si>
    <t xml:space="preserve">i1513_4p012m_g27_e002 </t>
  </si>
  <si>
    <t xml:space="preserve">Resgatar ilustração da figura dividida em partes iguais do g23_ftd_lt_4bam_p151 código antigo it3227sl_4bam_g23_ftd </t>
  </si>
  <si>
    <t xml:space="preserve">i1514_4p012m_g27_e002 </t>
  </si>
  <si>
    <t xml:space="preserve">Resgatar ilustração da representação do número  2/3
 na reta numérica do g23_ftd_lt_4bam_p152 código antigo it3216zz_4bam_g23_ftd </t>
  </si>
  <si>
    <t xml:space="preserve">i1515_4p012m_g27_e002 </t>
  </si>
  <si>
    <t xml:space="preserve">Resgatar ilustração da reta numérica do g23_ftd_lt_4bam_p152 código antigo it3217zz_4bam_g23_ftd </t>
  </si>
  <si>
    <t xml:space="preserve">i1516_4p012m_g27_e002 </t>
  </si>
  <si>
    <t xml:space="preserve">Resgatar ilustração da reta numérica do g23_ftd_lt_4bam_p152 código antigo it3218zz_4bam_g23_ftd </t>
  </si>
  <si>
    <t xml:space="preserve">i1517_4p012m_g27_e002 </t>
  </si>
  <si>
    <t xml:space="preserve">Resgatar ilustração da reta numérica do g23_ftd_lt_4bam_p152 código antigo it3219zz_4bam_g23_ftd </t>
  </si>
  <si>
    <t xml:space="preserve">i1518_4p012m_g27_e002 </t>
  </si>
  <si>
    <t xml:space="preserve">Resgatar ilustração da figura dividida em 100 partes iguais do g23_ftd_lt_4bam_p152 código antigo i3220zz_4bam_g23_ftd </t>
  </si>
  <si>
    <t xml:space="preserve">i1519_4p012m_g27_e002 </t>
  </si>
  <si>
    <t xml:space="preserve">Resgatar ilustração das pipas do g23_ftd_lt_4bam_p153 código antigo i3221rm_4bam_g23_ftd </t>
  </si>
  <si>
    <t xml:space="preserve">i1521_4p012m_g27_e002 </t>
  </si>
  <si>
    <t xml:space="preserve">Resgatar ilustração dos chapéus verdes, amarelos e vermelhos do g23_ftd_lt_4bam_p154 código antigo i3223rm_4bam_g23_ftd </t>
  </si>
  <si>
    <t xml:space="preserve">i1522_4p012m_g27_e002 </t>
  </si>
  <si>
    <t xml:space="preserve">Resgatar ilustração dos copos verdes, amarelos e rosas do g23_ftd_lt_4bam_p154 código antigo i3224rm_4bam_g23_ftd </t>
  </si>
  <si>
    <t xml:space="preserve">i1523_4p012m_g27_e002 </t>
  </si>
  <si>
    <t xml:space="preserve">Resgatar ilustração dos garfos verdes, roxos e laranjas do g23_ftd_lt_4bam_p154 código antigo i3225rm_4bam_g23_ftd </t>
  </si>
  <si>
    <t xml:space="preserve">g1526_4p012m_g27_e002 </t>
  </si>
  <si>
    <t>Resgatar ilustração do gráfico da quantidade de livros do g23_ftd_lt_4bam_p156 código antigo gt3229gu_4bam_g23_ftd 
AJUSTE: compor fio preto nas barras conforme padrão</t>
  </si>
  <si>
    <t xml:space="preserve">i1527_4p012m_g27_e002 </t>
  </si>
  <si>
    <t xml:space="preserve">Resgatar ilustração da figura dividida hein 6 quadrados azuis, 4 quadrados verdes, 3 vermelhos e 2 amarelos do g23_ftd_lt_4bam_p157 código antigo it3230gu_4bam_g23_ftd </t>
  </si>
  <si>
    <t xml:space="preserve">i1528_4p012m_g27_e002 </t>
  </si>
  <si>
    <t xml:space="preserve">Resgatar ilustração de duas figuras alinhadas, representando três doze avos e oito doze avos, do g23_ftd_lt_4bam_p158 código antigo it3231gu_4bam_g23_ftd </t>
  </si>
  <si>
    <t xml:space="preserve">i1529_4p012m_g27_e002 </t>
  </si>
  <si>
    <t xml:space="preserve">Resgatar ilustração da figura representando oito nonos e 2 nonos do g23_ftd_lt_4bam_p158 código antigo it3214sl_4bam_g23_ftd 
AJUSTE: retirar cor resposta dos preenchimentos </t>
  </si>
  <si>
    <t xml:space="preserve">i1530_4p012m_g27_e002 </t>
  </si>
  <si>
    <t xml:space="preserve">Resgatar ilustração da figura representando cinco dezoito avos e doze dezoito avos do g23_ftd_lt_4bam_p158 código antigo it3215sl_4bam_g23_ftd 
AJUSTE: retirar cor resposta dos preenchimentos </t>
  </si>
  <si>
    <t xml:space="preserve">i1531_4p012m_g27_e002 </t>
  </si>
  <si>
    <t>Resgatar ilustração de frações em ordem crescente em uma reta, do g23_ftd_lt_4bam_p158 código antigo it3235zz_4bam_g23_ftd 
AJUSTE:
Ampliar a reta numérica de modo que ela tenha o tamanho da largura da página e melhore o espaçamento entre as frações</t>
  </si>
  <si>
    <t xml:space="preserve">i1533_4p012m_g27_e002 </t>
  </si>
  <si>
    <t>Resgatar ilustração da reta numérica dividida em duas do g23_ftd_lt_4bam_p159 código antigo it3237zz_4bam_g23_ftd 
AJUSTE: aumentar horizontalmente para que ocupe melhor espaço na página</t>
  </si>
  <si>
    <t xml:space="preserve">i1534_4p012m_g27_e002 </t>
  </si>
  <si>
    <t>Resgatar ilustração da reta numérica dividida em 3 do g23_ftd_lt_4bam_p159 código antigo it3238zz_4bam_g23_ftd 
AJUSTE: aumentar horizontalmente para que ocupe melhor espaço na página</t>
  </si>
  <si>
    <t xml:space="preserve">i1535_4p012m_g27_e002 </t>
  </si>
  <si>
    <t>Resgatar ilustração da reta numérica dividida em 4 do g23_ftd_lt_4bam_p159 código antigo it3239gu_4bam_g23_ftd 
AJUSTE: aumentar horizontalmente para que ocupe melhor espaço na página</t>
  </si>
  <si>
    <t xml:space="preserve">i1536_4p012m_g27_e002 </t>
  </si>
  <si>
    <t>Resgatar ilustração da reta numérica dividida em 5 do g23_ftd_lt_4bam_p159 código antigo it3240zz_4bam_g23_ftd
AJUSTE: aumentar horizontalmente para que ocupe melhor espaço na página</t>
  </si>
  <si>
    <t xml:space="preserve">i1106_4p012m_g27_e002 </t>
  </si>
  <si>
    <t xml:space="preserve">Resgatar ilustração de menino. veio do g23_ftd_4bam_p096 código antigo i2014tc_4bam_g23_ftd </t>
  </si>
  <si>
    <t xml:space="preserve">g1108_4p012m_g27_e002 </t>
  </si>
  <si>
    <t>Resgatar ilustração do gráfico da quantidade de pães do g23_ftd_lt_4bam_p100 código antigo gt2028sl_4bam_g23_ftd 
AJUSTAR: compor fio contorno preto em torno das barras</t>
  </si>
  <si>
    <t xml:space="preserve">if1110_4p012m_g27_e002 </t>
  </si>
  <si>
    <t>Resgatar e ajustar ilustração da menina explicando o cálculo na lousa. veio do g23_ftd_4bam_p101 código antigo if2033pm_4bam_g23_ftd 
AJUSTE: separar ilustração em A (cena esquerda com a menina olhando pro leitor) e B (cena direita com a menina olhando pra lousa)  e ajustar os cáculos em cada cena conforme as referências em anexo</t>
  </si>
  <si>
    <t>ILUSTRAÇÃO DE PETRA MENDES/ARQUIVO DA EDITORA. FOTOS: OLGA1818/SHUTTERSTOCK.COM E TARTILA/SHUTTERSTOCK.COM</t>
  </si>
  <si>
    <t xml:space="preserve">i1112_4p012m_g27_e002 </t>
  </si>
  <si>
    <t>Resgatar ilustração da batedeira com preço de venda do g23_ftd_lt_4bam_p103 código antigo i2039ec_4bam_g23_ftd 
AJUSTAR: mudar o preço da batedeira para R$ 702,00</t>
  </si>
  <si>
    <t xml:space="preserve">i1113_4p012m_g27_e002 </t>
  </si>
  <si>
    <t>Resgatar ilustração dos pacotes iniciais do g23_ftd_lt_4bam_p107 código antigo i2054rm_4bam_g23_ftd
AJUSTE: trocar R$ 1 080,00 para 1 080 reais e trocar R$ 2 640,00 para 2 640 reais.
Arte: ver também contraste Checker</t>
  </si>
  <si>
    <t xml:space="preserve">i1114_4p012m_g27_e002 </t>
  </si>
  <si>
    <t>Resgatar ilustração da lanchonete do g23_ftd_lt_4bam_p108 código antigo i2058ec_4bam_g23_ftd 
AJUSTE: atualizar o preço do sanduíche para 18 reais.</t>
  </si>
  <si>
    <t xml:space="preserve">i1119_4p012m_g27_e002 </t>
  </si>
  <si>
    <t>Resgatar ilustração do menino pensando em comprar camisetas do g23_ftd_lt_4bam_p110 código antigo i2064tc_4bam_g23_ftd
AJUSTE: trocar R$ 150,00 por 150 reais.</t>
  </si>
  <si>
    <t xml:space="preserve">g1706_4p012m_g27_e002 </t>
  </si>
  <si>
    <t>Resgatar ilustração do gráfico do g23_ftd_lt_4bam_p169 código antigo gt3613sl_4bam_g23_ftd 
AJUSTE: Alterar Macarronada por: Livro; Lasanha por: Revista; Nhoque por: Jornal; Escondidinho por: Gibi; panqueca por: Álbum de figurinhas; alterar pratos por: Produtos. Compor fio preto nas barras de acordo com o padrão.</t>
  </si>
  <si>
    <t xml:space="preserve">g1707_4p012m_g27_e002 </t>
  </si>
  <si>
    <t xml:space="preserve">Resgatar ilustração do gráfico do g23_ftd_lt_4bam_p170 código antigo g3614sl_4bam_g23_ftd </t>
  </si>
  <si>
    <t xml:space="preserve">i1708_4p012m_g27_e002 </t>
  </si>
  <si>
    <t xml:space="preserve">Resgatar ilustração da moça parda do g23_ftd_lt_4bam_p171 código antigo i3615gv_4bam_g23_ftd </t>
  </si>
  <si>
    <t>gv</t>
  </si>
  <si>
    <t xml:space="preserve">i1709_4p012m_g27_e002 </t>
  </si>
  <si>
    <t xml:space="preserve">Resgatar ilustração da lousa com um gráfico do g23_ftd_lt_4bam_p171 código antigo i3616zz_4bam_g23_ftd 
AJUSTE: Trocar ano 2023 por 2027, verificar contraste também entre as cores da il. 
Ajustar o título do gráfico para “Usuários de óculos entre as pessoas que moram nas residências dos estudantes em outubro de 2027” </t>
  </si>
  <si>
    <t>CAMILA FERREIRA/SERGIO LIMA/ARQUIVO DA EDITORA</t>
  </si>
  <si>
    <t xml:space="preserve">i1712_4p012m_g27_e002 </t>
  </si>
  <si>
    <t xml:space="preserve">Resgatar ilustração das crianças brincando de sortear as bolinhas do g23_ftd_lt_4bam_p173 código antigo i3619gv_4bam_g23_ftd_ef 
AJUSTE:
Deixar o menino com cabelo amarelo, com mais traços de um rosto masculino, os traços parecem muito de um rosto femino.
</t>
  </si>
  <si>
    <t xml:space="preserve">i1713_4p012m_g27_e002 </t>
  </si>
  <si>
    <t xml:space="preserve">Resgatar ilustração das menino falando de sortear as bolinhas do g23_ftd_lt_4bam_p173 código antigo i3620gv_4bam_g23_ftd </t>
  </si>
  <si>
    <t xml:space="preserve">i1714_4p012m_g27_e002 </t>
  </si>
  <si>
    <t xml:space="preserve">Resgatar ilustração do dado do g23_ftd_lt_4bam_p174 código antigo it3621sl_4bam_g23_ftd </t>
  </si>
  <si>
    <t xml:space="preserve">i1715_4p012m_g27_e002 </t>
  </si>
  <si>
    <t xml:space="preserve">Resgatar ilustração das faces do dado do g23_ftd_lt_4bam_p174 código antigo it3622sl_4bam_g23_ftd </t>
  </si>
  <si>
    <t xml:space="preserve">i1716_4p012m_g27_e002 </t>
  </si>
  <si>
    <t xml:space="preserve">Resgatar ilustração das face quadrada do dado do g23_ftd_lt_4bam_p174 código antigo it3605sl_4bam_g23_ftd </t>
  </si>
  <si>
    <t xml:space="preserve">i1717_4p012m_g27_e002 </t>
  </si>
  <si>
    <t xml:space="preserve">Resgatar ilustração das face triangular do dado do g23_ftd_lt_4bam_p174 código antigo it3608sl_4bam_g23_ftd </t>
  </si>
  <si>
    <t xml:space="preserve">i1718_4p012m_g27_e002 </t>
  </si>
  <si>
    <t xml:space="preserve">Resgatar ilustração das face retangular do dado do g23_ftd_lt_4bam_p174 código antigo it3606sl_4bam_g23_ftd </t>
  </si>
  <si>
    <t xml:space="preserve">i1719_4p012m_g27_e002 </t>
  </si>
  <si>
    <t xml:space="preserve">Resgatar ilustração das face circular do dado do g23_ftd_lt_4bam_p174 código antigo it3610sl_4bam_g23_ftd </t>
  </si>
  <si>
    <t xml:space="preserve">i1720_4p012m_g27_e002 </t>
  </si>
  <si>
    <t>Resgatar ilustração do menino olhando o aquário do g23_ftd_lt_4bam_p175 código antigo i3623gv_4bam_g23_ftd</t>
  </si>
  <si>
    <t xml:space="preserve">i1721_4p012m_g27_e002 </t>
  </si>
  <si>
    <t xml:space="preserve">Resgatar ilustração da pesquisa pelo tablet no roteador do g23_ftd_lt_4bam_p176 código antigo i3601cf_4bam_g23_ftd_ef_ly 
Recortar a ilustração de modo que fique apenas essa parte de referência, sendo assim deverá sumir a parte que mostra o cabo de internet.
Para ficar mais nítido o uso da internet, poderá ser colocado no topo da tela do tablet um sinal de wifi.
</t>
  </si>
  <si>
    <t>cf</t>
  </si>
  <si>
    <t xml:space="preserve">g1722_4p012m_g27_e002 </t>
  </si>
  <si>
    <t xml:space="preserve">Resgatar ilustração do gráfico feito pela pesquisa do g23_ftd_lt_4bam_p177 código antigo gt3603gu_4bam_g23_ftd 
AJUSTE: retirar preenchimentos em cor resposta </t>
  </si>
  <si>
    <t xml:space="preserve">i1559_1p012m_g27_e002 </t>
  </si>
  <si>
    <t xml:space="preserve">Resgatar ilustração de um quadrado roxo; disponível em g23_ftd_lt_1bam_p105 código antigo it2406sl_1bam_g23_ftd </t>
  </si>
  <si>
    <t xml:space="preserve">i1535_1p012m_g27_e002 </t>
  </si>
  <si>
    <t xml:space="preserve">Resgatar ilustração do círculo amarelo do g23_ftd_lt_1bam_p88 LIVRO DE PRÁTICAS – 1 ANO - código antigo it1300gu_1bam_g23_ftd </t>
  </si>
  <si>
    <t xml:space="preserve">i1563_1p012m_g27_e002 </t>
  </si>
  <si>
    <t xml:space="preserve">Resgatar ilustração do quadrado azul do g23_ftd_lt_1bam_p88 - LIVRO DE PRÁTICAS – 1 ANO - código antigo it1301gu_1bam_g23_ftd </t>
  </si>
  <si>
    <t>i1564_1p012m_g27_e002</t>
  </si>
  <si>
    <t xml:space="preserve">i1565_1p012m_g27_e002 </t>
  </si>
  <si>
    <t xml:space="preserve">Resgatar ilustração do triângulo rosa do g23_ftd_lt_1bam_p88 - LIVRO DE PRÁTICAS – 1 ANO - código antigo it1303gu_1bam_g23_ftd </t>
  </si>
  <si>
    <t xml:space="preserve">i1566_1p012m_g27_e002 </t>
  </si>
  <si>
    <t xml:space="preserve">Resgatar ilustração do retângulo verde do g23_ftd_lt_1bam_p88 LIVRO DE PRÁTICAS – 1 ANO - código antigo it1302gu_1bam_g23_ftd </t>
  </si>
  <si>
    <t>i1567_1p012m_g27_e002</t>
  </si>
  <si>
    <t xml:space="preserve">Ilustração composta por um menino negro de cabelo preto enrolado, usando uma blusa branca e calça preta, apontando para um painel com o título colorido "BAHIA". No painel (MURAL), há várias imagens pequenas de pontos turísticos do estado da Bahia, acompanhadas de textos explicativos. 
No canto superior direito da imagem, há um destaque para a bandeira do estado da Bahia. A bandeira também aparece em miniatura ao lado do título "BAHIA", indicando que o conteúdo apresentado é sobre esse estado brasileiro, conforme referência. Não fazer igual a referência. </t>
  </si>
  <si>
    <t>la</t>
  </si>
  <si>
    <t>R:15/05 F:19/05</t>
  </si>
  <si>
    <t xml:space="preserve">i1905_4p012m_g27_e002 </t>
  </si>
  <si>
    <t xml:space="preserve">Resgatar ilustração segmento de reta BC; g23_ftd_lt_4bam_p134; código antigo it2804zz_4bam_g23_ftd </t>
  </si>
  <si>
    <t>VINÍCIUS COSTA/ARQUIVO DA EDITORA</t>
  </si>
  <si>
    <t xml:space="preserve">i1906_4p012m_g27_e002 </t>
  </si>
  <si>
    <t xml:space="preserve">Resgatar ilustração segmento de reta AB em cima de uma régua, indo de 0cm a 2cm; g23_ftd_lt_4bam_p134; código antigo i2867zz_4bam_g23_ftd </t>
  </si>
  <si>
    <t xml:space="preserve">i1907_4p012m_g27_e002 </t>
  </si>
  <si>
    <t xml:space="preserve">Resgatar ilustração segmento de reta EF; g23_ftd_lt_4bam_p134; código antigo it2802zz_4bam_g23_ftd </t>
  </si>
  <si>
    <t xml:space="preserve">i1908_4p012m_g27_e002 </t>
  </si>
  <si>
    <t xml:space="preserve">Resgatar ilustração segmento de reta GH; g23_ftd_lt_4bam_p134; código antigo it2803zz_4bam_g23_ftd </t>
  </si>
  <si>
    <t xml:space="preserve">i1909_4p012m_g27_e002 </t>
  </si>
  <si>
    <t xml:space="preserve">Resgatar ilustração do segmento de reta AB; g23_ftd_lt_4bam_p135; código antigo it2805zz_4bam_g23_ftd </t>
  </si>
  <si>
    <t xml:space="preserve">i1911_4p012m_g27_e002 </t>
  </si>
  <si>
    <t>Resgatar ilustração segmento de reta CD; g23_ftd_lt_4bam_p135; código antigo it2806zz_4bam_g23_ftd</t>
  </si>
  <si>
    <t xml:space="preserve">i1912_4p012m_g27_e002 </t>
  </si>
  <si>
    <t xml:space="preserve">Resgatar ilustração segmento de reta EF; g23_ftd_lt_4bam_p135; código antigo it2807zz_4bam_g23_ftd </t>
  </si>
  <si>
    <t xml:space="preserve">i1913_4p012m_g27_e002 </t>
  </si>
  <si>
    <t xml:space="preserve">Resgatar ilustração do segmento de reta; g23_ftd_lt_4bam_p135; código antigo it2808zz_4bam_g23_ftd </t>
  </si>
  <si>
    <t>i1914_4p012m_g27_e002</t>
  </si>
  <si>
    <t>Resgatar ilustração semirreta FA com origem em F; g23_ftd_lt_4bam_p135; código antigo it2809zz_4bam_g23_ftd</t>
  </si>
  <si>
    <t xml:space="preserve">i1915_4p012m_g27_e002 </t>
  </si>
  <si>
    <t xml:space="preserve">Resgatar ilustração reta HC, ou CH; g23_ftd_lt_4bam_135; código antigo it2810zz_4bam_g23_ftd </t>
  </si>
  <si>
    <t xml:space="preserve">i1916_4p012m_g27_e002 </t>
  </si>
  <si>
    <t>Resgatar ilustração arco AB; g23_ftd_lt_4bam_p136; código antigo it2861zz_4bam_g23_ftd</t>
  </si>
  <si>
    <t xml:space="preserve">i1917_4p012m_g27_e002 </t>
  </si>
  <si>
    <t xml:space="preserve">Resgatar ilustração segmento de reta CD; g23_ftd_lt_4bam_p136; código antigo it2862zz_4bam_g23_ftd </t>
  </si>
  <si>
    <t xml:space="preserve">i1918_4p012m_g27_e002 </t>
  </si>
  <si>
    <t xml:space="preserve">Resgatar ilustração linha EF; g23_ftd_lt_4bam_p136; código antigo it2863zz_4bam_g23_ftd </t>
  </si>
  <si>
    <t xml:space="preserve">i1920_4p012m_g27_e002 </t>
  </si>
  <si>
    <t xml:space="preserve">Resgatar ilustração triângulo verde; g23_ftd_lt_4bam_p136; código antigo it2811zz_4bam_g23_ftd </t>
  </si>
  <si>
    <t xml:space="preserve">i1921_4p012m_g27_e002 </t>
  </si>
  <si>
    <t xml:space="preserve">Resgatar ilustração figuras geométrica rosa composta de 12 segmentos de reta; g23_ftd_lt_4bam_o136; código antigo it2812zz_4bam_g23_ftd </t>
  </si>
  <si>
    <t>i1922_4p012m_g27_e002</t>
  </si>
  <si>
    <t>Resgatar ilustração hexágono verde; g23_ftd_lt_4bam_p136; código antigo it2813zz_4bam_g23_ftd</t>
  </si>
  <si>
    <t>i1923_4p012m_g27_e002</t>
  </si>
  <si>
    <t xml:space="preserve">Resgatar ilustração losango amarelo; g23_ftd_lt_4bam_p136; código antigo it2814zz_4bam_g23_ftd </t>
  </si>
  <si>
    <t xml:space="preserve">i1924_4p012m_g27_e002 </t>
  </si>
  <si>
    <t>Resgatar ilustração retas r e s, com segmentos de retas; g23_ftd_lt_4bam_p136; código antigo it2815zz_4bam_g23_ftd</t>
  </si>
  <si>
    <t xml:space="preserve">i1925_4p012m_g27_e002 </t>
  </si>
  <si>
    <t xml:space="preserve">Resgatar ilustração de menina segurando folha de papel com duas retas paralelas; g23_ftd_lt_4bam_p137; código antigo i2864Bec_4bam_g23_ftd </t>
  </si>
  <si>
    <t xml:space="preserve">i1926_4p012m_g27_e002 </t>
  </si>
  <si>
    <t xml:space="preserve">Resgatar ilustração folha de papel com duas retas paralelas; g23_ftd_lt_4bam_p137; código antigo i2864Aec_4bam_g23_ftd </t>
  </si>
  <si>
    <t>resgate c ajuste</t>
  </si>
  <si>
    <t xml:space="preserve">i1927_4p012m_g27_e002 </t>
  </si>
  <si>
    <t xml:space="preserve">Resgatar ilustração menino segurando uma folha de papel com duas retas concorrentes; g23_ftd_lt_4bam_p137; código antigo i2821Bec_4bam_g23_ftd </t>
  </si>
  <si>
    <t xml:space="preserve">i1928_4p012m_g27_e002 </t>
  </si>
  <si>
    <t xml:space="preserve">Resgatar ilustração de uma folha de papel com duas retas concorrentes; g23_ftd_lt_4bam_p137; código antigo i2821Bec_4bam_g23_ftd </t>
  </si>
  <si>
    <t xml:space="preserve">i1929_4p012m_g27_e002 </t>
  </si>
  <si>
    <t xml:space="preserve">Resgatar ilustração duas retas concorrentes r e s; g23_ftd_lt_4bam_p137; código antigo it2817zz_4bam_g23_ftd </t>
  </si>
  <si>
    <t xml:space="preserve">i1930_4p012m_g27_e002 </t>
  </si>
  <si>
    <t xml:space="preserve">Resgatar ilustração duas retas paralelas u e v; g23_ftd_lt_4bam_137; código antigo it2819zz_4bam_g23_ftd </t>
  </si>
  <si>
    <t xml:space="preserve">i1931_4p012m_g27_e002 </t>
  </si>
  <si>
    <t xml:space="preserve">Resgatar ilustração duas retas perpendiculares c e d; g23_ftd_lt_4bam_p137; código antigo it2818zz_4bam_g23_ftd </t>
  </si>
  <si>
    <t xml:space="preserve">i1932_4p012m_g27_e002 </t>
  </si>
  <si>
    <t xml:space="preserve">Resgatar ilustração duas retas paralelas r e s; g23_ftd_lt_5bam_p138; código antigo it2822zz_4bam_g23_ftd </t>
  </si>
  <si>
    <t>FERNANDA PARDINI BIAGIO/ARQUIVO DA EDITORA</t>
  </si>
  <si>
    <t xml:space="preserve">i1933_4p012m_g27_e002 </t>
  </si>
  <si>
    <t xml:space="preserve">Resgatar ilustração duas retas concorrentes m e n; g23_ftd_lt_4bam_p138; código antigo it2823zz_4bam_g23_ftd </t>
  </si>
  <si>
    <t xml:space="preserve">i1934_4p012m_g27_e002 </t>
  </si>
  <si>
    <t xml:space="preserve">Resgatar ilustração malha quadriculada, retas s e t paralelas verde e vermelha, e reta r azul intersectando; g23_ftd_lt_4bam_p138; código antigo i2824zz_4bam_g23_ftd </t>
  </si>
  <si>
    <t xml:space="preserve">i1937_4p012m_g27_e002 </t>
  </si>
  <si>
    <t xml:space="preserve">Resgatar ilustração representação do ângulo 
AOˆB; g23_ftd_lt_4bam_p139; código antigo it2827zz_4bam_g23_ftd </t>
  </si>
  <si>
    <t xml:space="preserve">i1938_4p012m_g27_e002 </t>
  </si>
  <si>
    <t xml:space="preserve">Resgatar ilustração representação do ângulo QOF; g23_ftd_lt_4bam_p139; código antigo it2828zz_4bam_g23_ftd </t>
  </si>
  <si>
    <t xml:space="preserve">i1939_4p012m_g27_e002 </t>
  </si>
  <si>
    <t>Resgatar ilustração representação do ângulo FEG; g23_ftd_lt_4bam_p139; código antigo it2829zz_4bam_g23_ftd</t>
  </si>
  <si>
    <t xml:space="preserve">i1940_4p012m_g27_e002 </t>
  </si>
  <si>
    <t xml:space="preserve">Resgatar ilustração representação do grau e de uma volta completa; g23_ftd_lt_4bam_p140; código antigo it2830zz_4bam_g23_ftd </t>
  </si>
  <si>
    <t xml:space="preserve">i1941_4p012m_g27_e002 </t>
  </si>
  <si>
    <t xml:space="preserve">Resgatar ilustração de transferidor com remissivos; g23_ftd_lt_4bam_p140; código antigo i2833zz_4bam_g23_ftd </t>
  </si>
  <si>
    <t xml:space="preserve">i1942_4p012m_g27_e002 </t>
  </si>
  <si>
    <t xml:space="preserve">Resgatar ilustração transferidor com 2 semirretas C e B formando um ângulo A; g23_ftd_lt_4bam_p140; código antigo i2834zz_4bam_g23_ftd </t>
  </si>
  <si>
    <t xml:space="preserve">i1943_4p012m_g27_e002 </t>
  </si>
  <si>
    <t xml:space="preserve">Resgatar ilustração transferidor com duas semirretas F e E, com origem em D; g23_ftd_lt_4bam_p140; código antigo i2835zz_4bam_g23_ftd </t>
  </si>
  <si>
    <t xml:space="preserve">i1944_4p012m_g27_e002 </t>
  </si>
  <si>
    <t xml:space="preserve">Resgatar ilustração representação do ângulo reto; g23_ftd_lt_4bam_p141; código antigo it2866zz_4bam_g23_ftd </t>
  </si>
  <si>
    <t xml:space="preserve">i1945_4p012m_g27_e002 </t>
  </si>
  <si>
    <t xml:space="preserve">Resgatar ilustração representação de um ângulo raso; g23_ftd_lt_4bam_p141; código antigo it2836zz_4bam_g23_ftd </t>
  </si>
  <si>
    <t xml:space="preserve">i1946_4p012m_g27_e002 </t>
  </si>
  <si>
    <t xml:space="preserve">Resgatar ilustração representação de um ângulo agudo; g23_ftd_lt_4bam_p141; código antigo it2837zz_4bam_g23_ftd </t>
  </si>
  <si>
    <t xml:space="preserve">i1947_4p012m_g27_e002 </t>
  </si>
  <si>
    <t xml:space="preserve">Resgatar ilustração representação de um ângulo obtuso; g23_ftd_lt_4bam_p141; código antigo it2838zz_4bam_g23_ftd </t>
  </si>
  <si>
    <t xml:space="preserve">i1948_4p012m_g27_e002 </t>
  </si>
  <si>
    <t xml:space="preserve">Resgatar ilustração malha quadriculada com duas retas perpendiculares r e s; g23_ftd_lt_4bam_p142; código antigo i2846zz_4bam_g23_ftd </t>
  </si>
  <si>
    <t xml:space="preserve">i1949_4p012m_g27_e002 </t>
  </si>
  <si>
    <t xml:space="preserve">Resgatar ilustração malha quadriculada com retas v e n paralelas, reta u perpendicular com v e n, e a reta m concorrente com as retas v, n e u; g23_ftd_lt_4bam_p142; código antigo i2841zz_4bam_g23_ftd </t>
  </si>
  <si>
    <t xml:space="preserve">i1950_4p012m_g27_e002 </t>
  </si>
  <si>
    <t xml:space="preserve">Resgatar e ajustar ilustração de processo de criação de um ângulo reto com folha sulfite, g23_ftd_lt_4bam_p143; código antigo i2847rm_4bam_g23_ftd. 
AJUSTE: separar a ilustração em 4 códigos, i1950A: recortando círculo, i1950B: dobrando ao meio a primeira vez, i1950C: dobrando ao meio a segunda vez e i1950D: folha sozinha com ¼ do círculo, conforme indicado </t>
  </si>
  <si>
    <t xml:space="preserve">i1951_4p012m_g27_e002 </t>
  </si>
  <si>
    <t xml:space="preserve">Resgatar ilustração paralelepípedo amarelo, com indicação de ângulo nos 2 vértices da base; g23_ftd_lt_4bam_p143; código antigo it2844zz_4bam_g23_ftd </t>
  </si>
  <si>
    <t xml:space="preserve">i1952_4p012m_g27_e002 </t>
  </si>
  <si>
    <t xml:space="preserve">Resgatar ilustração trapézio vermelho, com indicação de ângulo nos dois vértices da esquerda; g23_ftd_lt_4bam_p143; código antigo it2845zz_4bam_g23_ftd </t>
  </si>
  <si>
    <t xml:space="preserve">i1953_4p012m_g27_e002 </t>
  </si>
  <si>
    <t xml:space="preserve">Resgatar ilustração mapa virtual com trajeto representado por um fio vermelho; g23_ftd_lt_4bam_p144; código antigo i2855rm_4bam_g23_ftd 
AJUSTE: separa a il em duas ils (A e B): o mapa e a legenda  </t>
  </si>
  <si>
    <t xml:space="preserve">i1955_4p012m_g27_e002 </t>
  </si>
  <si>
    <t xml:space="preserve">Resgatar ilustração representação de um trajeto em uma malha quadriculada; g23_ftd_lt_4bam_p145; código antigo i2857rm_4bam_g23_ftd </t>
  </si>
  <si>
    <t xml:space="preserve">i1956_4p012m_g27_e002 </t>
  </si>
  <si>
    <t xml:space="preserve">Resgatar ilustração programa de computador com desenhos compostos por linhas; g23_ftd_lt_4bam_p182; código antigo i4056gu_4bam_g23_ftd </t>
  </si>
  <si>
    <t xml:space="preserve">i1957_4p012m_g27_e002 </t>
  </si>
  <si>
    <t xml:space="preserve">Resgatar ilustração linha poligonais simples e aberta; g23_ftd_lt_4bam_p182; código antigo i4057gu_4bam_g23_ftd </t>
  </si>
  <si>
    <t xml:space="preserve">i1958_4p012m_g27_e002 </t>
  </si>
  <si>
    <t xml:space="preserve">Resgatar ilustração linha poligonais não simples e aberta; g23_ftd_lt_4bam_p182; código antigo i4058gu_4bam_g23_ftd </t>
  </si>
  <si>
    <t>i1959_4p012m_g27_e002</t>
  </si>
  <si>
    <t xml:space="preserve">Resgatar ilustração linhas poligonais simples e fechada; g23_ftd_lt_4bam_p182; código antigo i4088gu_4bam_g23_ftd </t>
  </si>
  <si>
    <t xml:space="preserve">i1960_4p012m_g27_e002 </t>
  </si>
  <si>
    <t xml:space="preserve">Resgatar ilustração linhas poligonais não simples e fechada; g23_ftd_lt_4bam_p182; código antigo i4060gu_4bam_g23_ftd </t>
  </si>
  <si>
    <t xml:space="preserve">i1961_4p012m_g27_e002 </t>
  </si>
  <si>
    <t>Resgatar ilustração polígono triângulo equilátero; g23_ftd_lt_4bam_p183; código antigo it4001gu_4bam_g23_ftd</t>
  </si>
  <si>
    <t xml:space="preserve">i1962_4p012m_g27_e002 </t>
  </si>
  <si>
    <t xml:space="preserve">Resgatar ilustração polígono estrela de cinco pontas; g23_ftd_lt_4bam_p183; código antigo it4061gu_4bam_g23_ftd </t>
  </si>
  <si>
    <t xml:space="preserve">i1963_4p012m_g27_e002 </t>
  </si>
  <si>
    <t xml:space="preserve">Resgatar ilustração polígono bandeirinha; g23_ftd_lt_4bam_p183; código antigo it4062gu_4bam_g23_ftd </t>
  </si>
  <si>
    <t xml:space="preserve">i1964_4p012m_g27_e002 </t>
  </si>
  <si>
    <t xml:space="preserve">Resgatar ilustração polígono hexágono regular; g23_ftd_lt_4bam_p183; código antigo it4063gu_4bam_g23_ftd </t>
  </si>
  <si>
    <t xml:space="preserve">i1965_4p012m_g27_e002 </t>
  </si>
  <si>
    <t xml:space="preserve">Resgatar ilustração polígono hexágono preenchido com cor rosa; g23_ftd_lt_4bam_p183; código antigo it4002gu_4bam_g23_ftd </t>
  </si>
  <si>
    <t xml:space="preserve">i1967_4p012m_g27_e002 </t>
  </si>
  <si>
    <t>Resgatar ilustração polígono pentágono verde; g23_ftd_lt_4bam_p183; código antigo it4003gu_4bam_g23_ftd</t>
  </si>
  <si>
    <t xml:space="preserve">i1968_4p012m_g27_e002 </t>
  </si>
  <si>
    <t xml:space="preserve">Resgatar ilustração polígono de três lados, triângulo; g23_ftd_lt_4bam_p183; código antigo it4065gu_4bam_g23_ftd </t>
  </si>
  <si>
    <t>i1969_4p012m_g27_e002</t>
  </si>
  <si>
    <t xml:space="preserve">Resgatar ilustração polígono de 5 lados, pentágono; g23_ftd_lt_4bam_p183; código antigo it4067gu_4bam_g23_ftd </t>
  </si>
  <si>
    <t>i1970_4p012m_g27_e002</t>
  </si>
  <si>
    <t xml:space="preserve">Resgatar ilustração de polígono de 4 lados; quadrilátero; g23_ftd_lt_4bam_p183; código antigo it4066gu_4bam_g23_ftd </t>
  </si>
  <si>
    <t>i1971_4p012m_g27_e002</t>
  </si>
  <si>
    <t xml:space="preserve">Resgatar ilustração de polígono de 6 lados, hexágono; g23_ftd_lt_4bam_p183; código antigo it4068gu_4bam_g23_ftd </t>
  </si>
  <si>
    <t xml:space="preserve">i2033_4p012m_g27_e002 </t>
  </si>
  <si>
    <t xml:space="preserve">resgatar ilustração de um polígono heptágono vermelho; g23_ftd_lt_4bam_p184; código antigo it4008gu_4bam_g23_ftd </t>
  </si>
  <si>
    <t xml:space="preserve">i1972_4p012m_g27_e002 </t>
  </si>
  <si>
    <t xml:space="preserve">resgatar ilustração de um polígono pentágono; g23_ftd_lt_4bam_p184; código antigo it4006gu_4bam_g23_ftd </t>
  </si>
  <si>
    <t xml:space="preserve">i1973_4p012m_g27_e002 </t>
  </si>
  <si>
    <t xml:space="preserve">resgatar ilustração de um polígono quadrilátero; g23_ftd_lt_4bam_p184; código antigo it4005gu_4bam_g23_ftd </t>
  </si>
  <si>
    <t xml:space="preserve">i1974_4p012m_g27_e002 </t>
  </si>
  <si>
    <t xml:space="preserve">resgatar ilustração de um polígono triângulo; g23_ftd_lt_4bam_p184; código antigo it4004gu_4bam_g23_ftd </t>
  </si>
  <si>
    <t>i1975_4p012m_g27_e002</t>
  </si>
  <si>
    <t xml:space="preserve">resgatar ilustração de um polígono hexágono; g23_ftd_lt_4bam_p184; código antigo it4007gu_4bam_g23_ftd </t>
  </si>
  <si>
    <t xml:space="preserve">i1976_4p012m_g27_e002 </t>
  </si>
  <si>
    <t>resgatar ilustração de um polígono octógono; g23_ftd_lt_4bam_p184; código antigo it4009gu_4bam_g23_ftd</t>
  </si>
  <si>
    <t xml:space="preserve">i1977_4p012m_g27_e002 </t>
  </si>
  <si>
    <t xml:space="preserve">resgatar ilustração de um polígono eneágono; g23_ftd_lt_4bam_p184; código antigo it4010gu_4bam_g23_ftd </t>
  </si>
  <si>
    <t xml:space="preserve">i1978_4p012m_g27_e002 </t>
  </si>
  <si>
    <t xml:space="preserve">resgatar ilustração de um polígono decágono; g23_ftd_lt_4bam_p184; código antigo it4011gu_4bam_g23_ftd </t>
  </si>
  <si>
    <t xml:space="preserve">i1980_4p012m_g27_e002 </t>
  </si>
  <si>
    <t xml:space="preserve">Resgatar ilustração polígono de três lados, triângulo rosa; g23_ftd_lt_4bam_p185; código antigo it4013gu_4bam_g23_ftd </t>
  </si>
  <si>
    <t xml:space="preserve">i1981_4p012m_g27_e002 </t>
  </si>
  <si>
    <t xml:space="preserve">Resgatar ilustração polígono de quatro lados, quadrilátero amarelo; g23_ftd_lt_4bam_p185; código antigo it4014gu_4bam_g23_ftd </t>
  </si>
  <si>
    <t xml:space="preserve">i1982_4p012m_g27_e002 </t>
  </si>
  <si>
    <t xml:space="preserve">Resgatar ilustração polígono de quatro lados, quadrado amarelo; g23_ftd_lt_4bam_p185; código antigo it4015gu_4bam_g23_ftd </t>
  </si>
  <si>
    <t>i1983_4p012m_g27_e002</t>
  </si>
  <si>
    <t>Resgatar ilustração 2 polígonos de quatro lados congruentes, 2 quadrados amarelos; g23_ftd_lt_4bam_p185; código antigo it4016gu_4bam_g23_ftd</t>
  </si>
  <si>
    <t xml:space="preserve">i1984_4p012m_g27_e002 </t>
  </si>
  <si>
    <t xml:space="preserve">Resgatar ilustração representação do piso da sacada do apartamento; g23_ftd_lt_4bam_p186; código antigo i4017_4bam_g23_ftd_re </t>
  </si>
  <si>
    <t xml:space="preserve">i1986_4p012m_g27_e002 </t>
  </si>
  <si>
    <t xml:space="preserve">Resgatar ilustração quadradinho amarelo; g23_ftd_lt_4bam_p186; código antigo i4018gu_4bam_g23_ftd </t>
  </si>
  <si>
    <t xml:space="preserve">i1987_4p012m_g27_e002 </t>
  </si>
  <si>
    <t xml:space="preserve">Resgatar ilustração malha quadriculada com três figuras formadas por quadradinhos amarelos; g23_ftd_lt_4bam_p186; código antigo i4019gu_4bam_g23_ftd </t>
  </si>
  <si>
    <t xml:space="preserve">i1988_4p012m_g27_e002 </t>
  </si>
  <si>
    <t xml:space="preserve">Resgatar ilustração malha quadriculada com 2 figuras, vermelha e azul; g23_ftd_lt_4bam_p187; código antigo i4020gu_4bam_g23_ftd </t>
  </si>
  <si>
    <t xml:space="preserve">i1989_4p012m_g27_e002 </t>
  </si>
  <si>
    <t xml:space="preserve">Resgatar ilustração malha quadriculada com figuras verdes; g23_ftd_lt_4bam_p187; código antigo i4021gu_4bam_g23_ftd </t>
  </si>
  <si>
    <t xml:space="preserve">i1990_4p012m_g27_e002 </t>
  </si>
  <si>
    <t xml:space="preserve">Resgatar ilustração quadradinho verde; g23_ftd_lt_4bam_p187; código antigo i4055gu_4bam_g23_ftd </t>
  </si>
  <si>
    <t xml:space="preserve">i1991_4p012m_g27_e002 </t>
  </si>
  <si>
    <t xml:space="preserve">Resgatar ilustração malha quadriculada com figuras vermelhas; g23_ftd_lt_4bam_p188; código antigo i4053gu_4bam_g23_ftd </t>
  </si>
  <si>
    <t>i1992_4p012m_g27_e002</t>
  </si>
  <si>
    <t xml:space="preserve">Resgatar ilustração quadradinho vermelho; g23_ftd_lt_4bam_p188; código antigo i4053Bgu_4bam_g23_ftd </t>
  </si>
  <si>
    <t xml:space="preserve">i1993_4p012m_g27_e002 </t>
  </si>
  <si>
    <t xml:space="preserve">Resgatar ilustração quadradinho com somente o contorno, sem o preenchimento; g23_ftd_lt_4bam_p188; código antigo i4070gu_4bam_g23_ftd </t>
  </si>
  <si>
    <t xml:space="preserve">i1994_4p012m_g27_e002 </t>
  </si>
  <si>
    <t xml:space="preserve">resgatar ilustração de figura geométrica desenhada em malha quadriculada. g23_ftd_lt_4bam_p188; código antigo i4054gu_4bam_g23_ftd 
AJUSTE: retirar a figura em cor resposta, deixar somente a malha quadriculada. </t>
  </si>
  <si>
    <t xml:space="preserve">i1995_4p012m_g27_e002 </t>
  </si>
  <si>
    <t xml:space="preserve">Resgatar e ajustar ilustração do processo de construção de uma boneca de papel; g23_ftd_lt_4bam_p189; código antigo i4022zz_4bam_g23_ftd 
AJUSTE: separar a ilustração em 6 códigos, A, B, C, D, E e F, conforme referência.  </t>
  </si>
  <si>
    <t>RAFAELA H. PEREIRA E RENAN FONSECA/ARQUIVO DA EDITORA</t>
  </si>
  <si>
    <t xml:space="preserve">i1996_4p012m_g27_e002 </t>
  </si>
  <si>
    <t xml:space="preserve">Resgatar ilustração papel recortado em formato de boneca com um eixo de simetria; g23_ftd_lt_4bam_p189; código antigo i4022Bzz_4bam_g23_ftd </t>
  </si>
  <si>
    <t xml:space="preserve">i1997_4p012m_g27_e002 </t>
  </si>
  <si>
    <t>Resgatar ilustração folha de árvore com uma linha azul cortando ao meio verticalmente; g23_ftd_lt_4bam_p189; código antigo i4023gu_4bam_g23_ftd</t>
  </si>
  <si>
    <t xml:space="preserve">i1998_4p012m_g27_e002 </t>
  </si>
  <si>
    <t xml:space="preserve">Resgatar ilustração barco com uma linha azul cortando ao meio horizontalmente; g23_ftd_lt_4bam_p189; código antigo i4024gu_4bam_g23_ftd </t>
  </si>
  <si>
    <t xml:space="preserve">i1999_4p012m_g27_e002 </t>
  </si>
  <si>
    <t xml:space="preserve">Resgatar ilustração avião com uma linha azul cortando ao meio verticalmente; g23_ftd_lt_4bam_p189; código antigo i4025gu_4bam_g23_ftd </t>
  </si>
  <si>
    <t xml:space="preserve">i2000_4p012m_g27_e002 </t>
  </si>
  <si>
    <t xml:space="preserve">Resgatar ilustração chaleira com uma linha azul cortando ao meio verticalmente; g23_ftd_lt_4bam_p189; código antigo i4026gu_4bam_g23_ftd </t>
  </si>
  <si>
    <t xml:space="preserve">i2001_4p012m_g27_e002 </t>
  </si>
  <si>
    <t xml:space="preserve">Resgatar ilustração malha quadriculada com uma figura separada por uma linha vermelha verticalmente em duas partes simétricas, uma azul e outra em cor resposta; g23_ftd_lt_4bam_p190; código antigo i4027gu_4bam_g23_ftd_sub 
AJUSTE: retirar a cor resposta da figura. </t>
  </si>
  <si>
    <t xml:space="preserve">i2002_4p012m_g27_e002 </t>
  </si>
  <si>
    <t xml:space="preserve">Resgatar ilustração malha quadriculada com uma figura separada por uma linha vermelha horizontalmente em duas partes simétricas, uma azul e outra em cor resposta; g23_ftd_lt_4bam_p190; código antigo i4028gu_4bam_g23_ftd_sub 
AJUSTE: retirar a cor resposta da figura. </t>
  </si>
  <si>
    <t xml:space="preserve">i2003_4p012m_g27_e002 </t>
  </si>
  <si>
    <t xml:space="preserve">Resgatar ilustração letra H cortada por 2 eixos de simetria; g23_ftd_lt_4bam_p190; código antigo i4030gu_4bam_g23_ftd </t>
  </si>
  <si>
    <t xml:space="preserve">i2004_4p012m_g27_e002 </t>
  </si>
  <si>
    <t xml:space="preserve">Resgatar ilustração letra O cortado por 4 eixos de simetria; g23_ftd_lt_4bam_p190; código antigo i4031gu_4bam_g23_ftd </t>
  </si>
  <si>
    <t xml:space="preserve">i2005_4p012m_g27_e002 </t>
  </si>
  <si>
    <t xml:space="preserve">Resgatar ilustração letras P, Q, R, S, T e U enfileiradas; g23_ftd_lt_4bam_p190; código antigo i4032gu_4bam_g23_ftd 
AJUSTE: deixar nesse código as letras P, Q, R, S, T e U </t>
  </si>
  <si>
    <t xml:space="preserve">i2006_4p012m_g27_e002 </t>
  </si>
  <si>
    <t xml:space="preserve">AJUSTE 
Resgatar ilustração letras V, W, X, Y e Z enfileiradas; g23_ftd_lt_4bam_p190; código antigo i4032gu_4bam_g23_ftd1 
AJUSTE: deixar nesse código as letras V, W, X, Y e Z </t>
  </si>
  <si>
    <t>i2007_4p012m_g27_e002</t>
  </si>
  <si>
    <t xml:space="preserve">Resgatar ilustração malha quadriculada com 4 figuras tendo seus eixos de simetria destacados em linhas cor resposta; g23_ftd_lt_4bam_p191; código antigo i4033gu_4bam_g23_ftd_sub 
AJUSTE: retirar a cor resposta da figura. </t>
  </si>
  <si>
    <t xml:space="preserve">i2008_4p012m_g27_e002 </t>
  </si>
  <si>
    <t xml:space="preserve">Resgatar ilustração placa de trânsito “Dê a preferência” com os eixos de simetria destacados com linhas azuis; g23_ftd_lt_4bam_p191; código antigo i4086_4bam_g23_ftd_re </t>
  </si>
  <si>
    <t xml:space="preserve">i2009_4p012m_g27_e002 </t>
  </si>
  <si>
    <t>Resgatar ilustração placa de trânsito “Sentido de circulação da via ou da pista” com o eixo de simetria destacado com linha azul; g23_ftd_lt_4bam_p191; código antigo i4084_4bam_g23_ftd_re</t>
  </si>
  <si>
    <t xml:space="preserve">i2010_4p012m_g27_e002 </t>
  </si>
  <si>
    <t xml:space="preserve">Resgatar ilustração placa de trânsito “Sentido duplo” com os eixos de simetria destacados com linhas azuis; g23_ftd_lt_4bam_p191; código antigo i4085_4bam_g23_ftd_re </t>
  </si>
  <si>
    <t>i2011_4p012m_g27_e002</t>
  </si>
  <si>
    <t xml:space="preserve">Resgatar ilustração placa de trânsito “Cruzamento de vias” com os eixos de simetria destacados com linhas azuis; g23_ftd_lt_4bam_p191; código antigo i4087_4bam_g23_ftd_re </t>
  </si>
  <si>
    <t xml:space="preserve">i2012_4p012m_g27_e002 </t>
  </si>
  <si>
    <t xml:space="preserve">Resgatar ilustração aplicativo de computador com duas figuras lilás simétricas; g23_ftd_lt_4bam_p192; código antigo i4036gu_4bam_g23_ftd </t>
  </si>
  <si>
    <t xml:space="preserve">i2013_4p012m_g27_e002 </t>
  </si>
  <si>
    <t xml:space="preserve">Resgatar ilustração malha quadriculada com dois triângulos azuis iguais; g23_ftd_lt_4bam_p192; código antigo i4038gu_4bam_g23_ftd </t>
  </si>
  <si>
    <t xml:space="preserve">i2014_4p012m_g27_e002 </t>
  </si>
  <si>
    <t xml:space="preserve">Resgatar ilustração malha quadriculada com dois triângulos roxos simétricos; g23_ftd_lt_4bam_p192; código antigo i4039gu_4bam_g23_ftd </t>
  </si>
  <si>
    <t xml:space="preserve">i2015_4p012m_g27_e002 </t>
  </si>
  <si>
    <t xml:space="preserve">Resgatar ilustração malha quadriculada com dois triângulos verdes iguais; g23_ftd_lt_4bam_p192; código antigo i4040gu_4bam_g23_ftd </t>
  </si>
  <si>
    <t xml:space="preserve">i2016_4p012m_g27_e002 </t>
  </si>
  <si>
    <t xml:space="preserve">Resgatar ilustração malha quadriculada dois hexágonos laranjas simétricos; g23_ftd_lt_4bam_p192; código antigo i4041gu_4bam_g23_ftd </t>
  </si>
  <si>
    <t>i2017_4p012m_g27_e002</t>
  </si>
  <si>
    <t xml:space="preserve">Resgatar ilustração desenho de uma cartola amarela inclinada para a esquerda e a direita um eixo e vertical; g23_ftd_lt_4bam_p193; código antigo i4076gu_4bam_g23_ftd </t>
  </si>
  <si>
    <t xml:space="preserve">i2018_4p012m_g27_e002 </t>
  </si>
  <si>
    <t>Resgatar ilustração desenho de uma cartola amarela; g23_ftd_lt_4bam_p193; código antigo i4077gu_4bam_g23_ftd</t>
  </si>
  <si>
    <t xml:space="preserve">i2019_4p012m_g27_e002 </t>
  </si>
  <si>
    <t xml:space="preserve">Resgatar ilustração desenho de uma cartola amarela inclinado para a direita; g23_ftd_lt_4bam_p193; código antigo i4078gu_4bam_g23_ftd </t>
  </si>
  <si>
    <t xml:space="preserve">i2020_4p012m_g27_e002 </t>
  </si>
  <si>
    <t xml:space="preserve">Resgatar ilustração desenho de uma cartola amarela inclinado para a esquerda; g23_ftd_lt_4bam_p193; código antigo i4079gu_4bam_g23_ftd </t>
  </si>
  <si>
    <t xml:space="preserve">i2021_4p012m_g27_e002 </t>
  </si>
  <si>
    <t xml:space="preserve">Resgatar ilustração desenho de um guarda-chuva colorido em uma folha de papel e ao lado um espelho posicionado de pé; g23_ftd_lt_4bam_p193; código antigo i4042gu_4bam_g23_ftd </t>
  </si>
  <si>
    <t xml:space="preserve">i2022_4p012m_g27_e002 </t>
  </si>
  <si>
    <t>Resgatar ilustração guarda-chuva colorido com o cabo virado para a direita; g23_ftd_lt_4bam_p193; código antigo i4043gu_4bam_g23_ftd</t>
  </si>
  <si>
    <t xml:space="preserve">i2023_4p012m_g27_e002 </t>
  </si>
  <si>
    <t xml:space="preserve">Resgatar ilustração guarda-chuva colorido com o cabo virado para a esquerda; g23_ftd_lt_4bam_p193; código antigo i4044gu_4bam_g23_ftd </t>
  </si>
  <si>
    <t xml:space="preserve">i2024_4p012m_g27_e002 </t>
  </si>
  <si>
    <t xml:space="preserve">Resgatar ilustração guarda-chuva colorido com o cabo virado para a esquerda; g23_ftd_lt_4bam_p193; código antigo i4045gu_4bam_g23_ftd </t>
  </si>
  <si>
    <t xml:space="preserve">i2025_4p012m_g27_e002 </t>
  </si>
  <si>
    <t xml:space="preserve">Resgatar ilustração malha quadriculada figura losango azul ABCD com um eixo e a direita; g23_ftd_lt_4bam_p194; código antigo i4046gu_4bam_g23_ftd </t>
  </si>
  <si>
    <t xml:space="preserve">i2026_4p012m_g27_e002 </t>
  </si>
  <si>
    <t xml:space="preserve">Resgatar ilustração malha quadriculada separado por um eixo e em duas partes, uma parte com um losango azul ABCD e o outro marcado com pontos EFGH; g23_ftd_lt_4bam_p194; código antigo i4047gu_4bam_g23_ftd </t>
  </si>
  <si>
    <t xml:space="preserve">i2027_4p012m_g27_e002 </t>
  </si>
  <si>
    <t xml:space="preserve">Resgatar ilustração malha quadriculada separado por um eixo e em duas partes, uma parte com um losango azul ABCD e o outro com um losango EFGH; g23_ftd_lt_4bam_p194; código antigo i4048gu_4bam_g23_ftd </t>
  </si>
  <si>
    <t xml:space="preserve">i2028_4p012m_g27_e002 </t>
  </si>
  <si>
    <t xml:space="preserve">Resgatar ilustração malha quadriculada separado por um eixo e em duas partes, uma parte com uma figura roxa ABCDEFGHIJ e o a outra uma figura KLMNOPQRST em cor resposta simétrica a outra; g23_ftd_lt_4bam_p194; código antigo i4049gu_4bam_g23_ftd_sub 
AJUSTE: retirar a cor resposta da figura. </t>
  </si>
  <si>
    <t xml:space="preserve">i2031_4p012m_g27_e002 </t>
  </si>
  <si>
    <t xml:space="preserve">Resgatar ilustração quadrado roxo, com indicações de ângulo em 2 vértices, uma oposta da outra; g23_ftd_lt_4bam_p143; código antigo it2843zz_4bam_g23_ftd  </t>
  </si>
  <si>
    <t xml:space="preserve">i0369_1p012m_g27_e002 </t>
  </si>
  <si>
    <t>VA</t>
  </si>
  <si>
    <t xml:space="preserve">Resgatar ilustração do bolo de aniversário com enfeites do g23_ftd_lt_1bam_p065 código antigo i1245iv_1bam_g23_ftd </t>
  </si>
  <si>
    <t xml:space="preserve">i0373_1p012m_g27_e002 </t>
  </si>
  <si>
    <t xml:space="preserve">RESGATE </t>
  </si>
  <si>
    <t xml:space="preserve">Resgatar ilustração da esfera do g23_ftd_lt_1bam_p065 código antigo it1260sl_1bam_g23_ftd </t>
  </si>
  <si>
    <t>i0374_1p012m_g27_e002</t>
  </si>
  <si>
    <t xml:space="preserve">Resgatar ilustração do cone do g23_ftd_lt_1bam_p065 código antigo it1261sl_1bam_g23_ftd </t>
  </si>
  <si>
    <t xml:space="preserve">i0375_1p012m_g27_e002 </t>
  </si>
  <si>
    <t xml:space="preserve">Resgatar ilustração do cilindro do g23_ftd_lt_1bam_p065 código antigo it1262sl_1bam_g23_ftd </t>
  </si>
  <si>
    <t xml:space="preserve">i0376_1p012m_g27_e002 </t>
  </si>
  <si>
    <t xml:space="preserve">Resgatar ilustração do cubo do g23_ftd_lt_1bam_p065 código antigo it1263sl_1bam_g23_ftd </t>
  </si>
  <si>
    <t xml:space="preserve">i0377_1p012m_g27_e002 </t>
  </si>
  <si>
    <t xml:space="preserve">Resgatar ilustração do paralelepípedo do g23_ftd_lt_1bam_p065 código antigo it1264sl_1bam_g23_ftd </t>
  </si>
  <si>
    <t xml:space="preserve">i0378_1p012m_g27_e002 </t>
  </si>
  <si>
    <t xml:space="preserve">Resgatar ilustração dos objetos de presentes do g23_ftd_lt_1bam_p065 código antigo i1246iv_1bam_g23_ftd </t>
  </si>
  <si>
    <t xml:space="preserve">i0379_1p012m_g27_e002 </t>
  </si>
  <si>
    <t xml:space="preserve">Resgatar e ajustar ilustração da sequência de figuras geométricas espaciais (paralelepípedo vermelho e cone azul) do livro de práticas – 1 BAM- página 84- código antigo it1404gu_1bam_g23_ftd AJUSTE: excluir as setas e aproximar um pouco as figuras. Retirar a figura final em cor resposta e inserir ... no padrão da obra. Ver referência a seguir. </t>
  </si>
  <si>
    <t xml:space="preserve">i0380_1p012m_g27_e002 </t>
  </si>
  <si>
    <t xml:space="preserve">Resgatar e ajustar ilustração da sequência de figuras geométricas espaciais (cilindro verde e esfera amarela) do livro de práticas – 1 BAM- página 84- código antigo it1405gu_1bam_g23_ftd AJUSTE: excluir as setas e aproximar um pouco as figuras. Retirar a figura final em cor resposta e inserir ... no padrão da obra. Ver referência a seguir. </t>
  </si>
  <si>
    <t>i1577_1p012m_g27_e002</t>
  </si>
  <si>
    <t>Resgatar e ajustar ilustração do palhaço do g23_ftd_lt_1bam_p113 código antigo i2482rm_1bam_g23_ftd AJUSTE: Deixar a ilustração colorida.</t>
  </si>
  <si>
    <t xml:space="preserve">i1578_1p012m_g27_e002 </t>
  </si>
  <si>
    <t xml:space="preserve">Resgatar ilustração dos 10 bonés do g23_ftd_lt_1bam_p112 código antigo i2470rm_1bam_g23_ftd </t>
  </si>
  <si>
    <t xml:space="preserve">i1579_1p012m_g27_e002 </t>
  </si>
  <si>
    <t xml:space="preserve">Resgatar ilustração dos 6 bonés do g23_ftd_lt_1bam_p112 código antigo i2471rm_1bam_g23_ftd </t>
  </si>
  <si>
    <t>i1580_1p012m_g27_e002</t>
  </si>
  <si>
    <t xml:space="preserve">Resgatar ilustração de 15 xícaras do g23_ftd_lt_1bam_p112 código antigo i2472rm_1bam_g23_ftd </t>
  </si>
  <si>
    <t>i1581_1p012m_g27_e002</t>
  </si>
  <si>
    <t>Resgatar ilustração de 3 xícaras do g23_ftd_lt_1bam_p112 código antigo i2473rm_1bam_g23_ftd</t>
  </si>
  <si>
    <t xml:space="preserve">i1939_1p012m_g27_e002 </t>
  </si>
  <si>
    <t xml:space="preserve">Resgatar ilustração das 5 casas do g23_ftd_lt_1bam_p75 – do Livro de Práticas código antigo i1082rm_1bam_g23_ftd </t>
  </si>
  <si>
    <t>i5901_1p012m_g27_e002</t>
  </si>
  <si>
    <t>Ilustração de cena de pastor de ovelhas da antiguidade, sentado no chão contando as ovelhas e relacionando uma pedrinha para cada ovelha.
Na imagem deve aparecer 3 ovelhas, e deve ser possível o aluno contar e deve ter 3 pedrinhas no chão de modo que o aluno consiga contar.
Ver ideia a seguir.</t>
  </si>
  <si>
    <t>R:23/05 F:29/05</t>
  </si>
  <si>
    <t>i5902_1p012m_g27_e002</t>
  </si>
  <si>
    <t>Ilustração de cena com o mesmo pastor da i5901_1p012m segurando um cajado enquanto observa seis ovelhas no campo (como as da i5901_1p012m). Ao seu lado, há um graveto de madeira com seis riscos gravados que dê para o aluno contar, representando a quantidade de ovelhas que ele possui. Na cena deve aparecer 6 ovelhas no campo que dê para o aluno contar.</t>
  </si>
  <si>
    <t>i0123_1p012m_g27_e002</t>
  </si>
  <si>
    <t>Resgatar ilustração das crianças no parque do g23_ftd_lt_1bam_p033 código antigo i0823dn_1bam_g23_ftd
AJUSTE: Acrescentar um adulto na cena para estar supervisionando as crianças.</t>
  </si>
  <si>
    <t>i5905_1p012m_g27_e002</t>
  </si>
  <si>
    <t>Ilustração de 7 canetas azuis do padrão da obra espaço entre elas para o aluno contornar. Ver ideia a seguir.</t>
  </si>
  <si>
    <t>i0227_1p012m_g27_e002</t>
  </si>
  <si>
    <t>Resgatar ilustração de várias crianças conversando sobre as bolinhas escolhidas, disponível em g23_ftd_lt_1bam_p167, código antigo: i4024ls_1bam_g23_ftd</t>
  </si>
  <si>
    <t>i0139_1p012m_g27_e002</t>
  </si>
  <si>
    <t>Resgatar e ajustar ilustração das crianças no parque do g23_ftd_lt_1bam_p035 código antigo i0831ly_1bam_g23_ftd_ef
AJUSTE: ajustar cor e contraste - a cor do chão está mesclando com a cor do tom de pele de algumas crianças, conforme sinalizado pela leitura prévia da Arte. Além disso, acrescentar um adulto na cena para estar supervisionando as crianças.</t>
  </si>
  <si>
    <t>i0146_1p012m_g27_e002</t>
  </si>
  <si>
    <t>Resgatar e ajustar ilustração das pedras do g23_ftd_lt_1bam_p037 código antigo i0837rm_1bam_g23_ftd.
AJUSTE: Remover as pedras em cor resposta da imagem.</t>
  </si>
  <si>
    <t>i0163_1p012m_g27_e002</t>
  </si>
  <si>
    <t>Resgatar e ajustar ilustração de 9 blocos pintados do g23_ftd_lt_1bam_p041 código antigo it0912sl_1bam_g23_ftd
AJUSTE: retirar cor resposta do interior dos quadradinhos</t>
  </si>
  <si>
    <t>i5912_1p012m_g27_e002</t>
  </si>
  <si>
    <t>Resgatar cubinho de material dourado do g23_ftd_lt_1bam_p066a073_u4, código antigo i1674zz_1bam_g23_ftd</t>
  </si>
  <si>
    <t>i5913_1p012m_g27_e002</t>
  </si>
  <si>
    <t>Resgatar cubinho de material dourado do g23_ftd_lt_1bam_p097a103_u5, código antigo i2022zz_1bam_g23_ftd</t>
  </si>
  <si>
    <t>i0275_1p012m_g27_e002</t>
  </si>
  <si>
    <t>Resgatar e ajustar ilustração do material dourado representando o número 11 do g23_ftd_lt_1bam_p066a073_u4, código antigo i1666zz_1bam_g23_ftd.
AJUSTE: deixar uma barra e um cubinho</t>
  </si>
  <si>
    <t>i0276_1p012m_g27_e002</t>
  </si>
  <si>
    <t>Resgatar e ajustar ilustração do material dourado representando o número 12 do g23_ftd_lt_1bam_p066a073_u4, código antigo i1666zz_1bam_g23_ftd.
AJUSTE: deixar uma barra e dois cubinhos</t>
  </si>
  <si>
    <t>i0277_1p012m_g27_e002</t>
  </si>
  <si>
    <t>Resgatar e ajustar ilustração do material dourado representando o número 13 do g23_ftd_lt_1bam_p066a073_u4, código antigo i1667zz_1bam_g23_ftd.
AJUSTE: deixar uma barra e três cubinhos.</t>
  </si>
  <si>
    <t>i0278_1p012m_g27_e002</t>
  </si>
  <si>
    <t>Resgatar e ajustar ilustração do material dourado representando o número 14 do g23_ftd_lt_1bam_p066a073_u4, código antigo i1668zz_1bam_g23_ftd.
AJUSTE: deixar uma barra e quatro cubinhos.</t>
  </si>
  <si>
    <t>i0279_1p012m_g27_e002</t>
  </si>
  <si>
    <t>Resgatar e ajustar ilustração do material dourado representando o número 15 do g23_ftd_lt_1bam_p066a073_u4, código antigo i1669zz_1bam_g23_ftd.
AJUSTE: deixar uma barra e cinco cubinhos.</t>
  </si>
  <si>
    <t>i0280_1p012m_g27_e002</t>
  </si>
  <si>
    <t>Resgatar e ajustar ilustração do material dourado representando o número 16 do g23_ftd_lt_1bam_p066a073_u4, código antigo i1670zz_1bam_g23_ftd.
AJUSTE: deixar uma barra e seis cubinhos.</t>
  </si>
  <si>
    <t>i0281_1p012m_g27_e002</t>
  </si>
  <si>
    <t>Resgatar e ajustar ilustração do material dourado representando o número 17 do g23_ftd_lt_1bam_p066a073_u4, código antigo i1671zz_1bam_g23_ftd.
AJUSTE: deixar uma barra e sete cubinhos.</t>
  </si>
  <si>
    <t>i0282_1p012m_g27_e002</t>
  </si>
  <si>
    <t>Resgatar e ajustar ilustração do material dourado representando o número 18 do g23_ftd_lt_1bam_p066a073_u4, código antigo i1672zz_1bam_g23_ftd.
AJUSTE: deixar uma barra e oito cubinhos.</t>
  </si>
  <si>
    <t>i0283_1p012m_g27_e002</t>
  </si>
  <si>
    <t>Resgatar e ajustar ilustração do material dourado representando o número 19 do g23_ftd_lt_1bam_p066a073_u4, código antigo i1673zz_1bam_g23_ftd.
AJUSTE: deixar uma barra e nove cubinhos.</t>
  </si>
  <si>
    <t>i2102_4p012m_g27_e002</t>
  </si>
  <si>
    <t xml:space="preserve">Resgatar ilustração quadrilátero dividida em 10 barrinhas, com 1 barrinha preenchida; g23_ftd_lt_4bam_p198; código antigo it4403sl_4bam_g23_ftd </t>
  </si>
  <si>
    <t xml:space="preserve">i2103_4p012m_g27_e002 </t>
  </si>
  <si>
    <t xml:space="preserve">Resgatar ilustração quadrilátero dividida em 2 linhas e 5 colunas, com 3 colunas preenchidas; g23_ftd_lt_4bam_p198; código antigo it4404sl_4bam_g23_ftd </t>
  </si>
  <si>
    <t xml:space="preserve">i2104_4p012m_g27_e002 </t>
  </si>
  <si>
    <t xml:space="preserve">Resgatar ilustração figura dividida em 10 hexágonos iguais, com 7 preenchidos; g23_ftd_lt_4bam_p199; código antigo it4405sl_4bam_g23_ftd </t>
  </si>
  <si>
    <t xml:space="preserve">i2105_4p012m_g27_e002 </t>
  </si>
  <si>
    <t xml:space="preserve">Resgatar ilustração figura dividida em 10 quadriláteros iguais, com 2 preenchidos; g23_ftd_lt_4bam_p199; código antigo it4406sl_4bam_g23_ftd </t>
  </si>
  <si>
    <t xml:space="preserve">i2106_4p012m_g27_e002 </t>
  </si>
  <si>
    <t xml:space="preserve">Resgatar ilustração figura dividida em 10 quadriláteros iguais, com 4 preenchidos em cor resposta; g23_ftd_lt_4bam_p199; código antigo it4407sl_4bam_g23_ftd 
AJUSTE: retirar cor resposta </t>
  </si>
  <si>
    <t xml:space="preserve">i2107_4p012m_g27_e002 </t>
  </si>
  <si>
    <t xml:space="preserve">Resgatar ilustração figura dividida em 10 triângulos iguais; g23_ftd_lt_4bam_p199; código antigo it4409sl_4bam_g23_ftd </t>
  </si>
  <si>
    <t xml:space="preserve">i2108_4p012m_g27_e002 </t>
  </si>
  <si>
    <t xml:space="preserve">Resgatar ilustração professora e um quadro negro com representação da fração 1,3 em círculos; g23_ftd_lt_4bam_p200; código antigo i4410ec_4bam_g23_ftd </t>
  </si>
  <si>
    <t xml:space="preserve">i2109_4p012m_g27_e002 </t>
  </si>
  <si>
    <t xml:space="preserve">Resgatar ilustração representação fração 1,7 em círculos; g23_ftd_lt_4bam_p200; código antigo it4411sl_4bam_g23_ftd </t>
  </si>
  <si>
    <t xml:space="preserve">i2110_4p012m_g27_e002 </t>
  </si>
  <si>
    <t xml:space="preserve">Resgatar ilustração representação fração 3,2 em círculos; g23_ftd_lt_4bam_p200; código antigo it4412sl_4bam_g23_ftd </t>
  </si>
  <si>
    <t xml:space="preserve">i2111_4p012m_g27_e002 </t>
  </si>
  <si>
    <t xml:space="preserve">Resgatar ilustração representação fração 2,6 em círculos; g23_ftd_lt_4bam_p200; código antigo it4413sl_4bam_g23_ftd </t>
  </si>
  <si>
    <t xml:space="preserve">i2112_4p012m_g27_e002 </t>
  </si>
  <si>
    <t xml:space="preserve">Resgatar ilustração figura dividida em 100 quadriláteros iguais com 1 quadrilátero preenchido; g23_ftd_lt_4bam_p201; código antigo it4414sl_4bam_g23_ftd </t>
  </si>
  <si>
    <t xml:space="preserve">i2113_4p012m_g27_e002 </t>
  </si>
  <si>
    <t xml:space="preserve">Resgatar ilustração figura dividida em 100 quadriláteros iguais, com 36 preenchidos; g23_ftd_lt_4bam_p201; código antigo it4415sl_4bam_g23_ftd </t>
  </si>
  <si>
    <t xml:space="preserve">i2114_4p012m_g27_e002 </t>
  </si>
  <si>
    <t xml:space="preserve">Resgatar ilustração figura dividida em 100 quadriláteros iguais, com 63 preenchidas; g23_ftd_lt_4bam_p201; código antigo it4416sl_4bam_g23_ftd </t>
  </si>
  <si>
    <t xml:space="preserve">i2115_4p012m_g27_e002 </t>
  </si>
  <si>
    <t xml:space="preserve">Resgatar ilustração figura dividida em 100 quadriláteros iguais, com 12 preenchidos em cor resposta; g23_ftd_lt_4bam_p202; código antigo it4417sl_4bam_g23_ftd_sub </t>
  </si>
  <si>
    <t>i2116_4p012m_g27_e002</t>
  </si>
  <si>
    <t xml:space="preserve">Resgatar ilustração figura dividida em 100 quadriláteros iguais, com 24 preenchidos na cor amarela, 15 preenchidos na cor vermelha e 14 preenchidos na cor azul; g23_ftd_lt_4bam_p202; código antigo it4450sl_4bam_g23_ftd </t>
  </si>
  <si>
    <t xml:space="preserve">i2117_4p012m_g27_e002 </t>
  </si>
  <si>
    <t xml:space="preserve">Resgatar ilustração menina segurando folha de papel com figuras dívidas em partes iguais e preenchidas na cor verde; g23_ftd_lt_4bam_p203; código antigo i4420ec_4bam_g23_ftd </t>
  </si>
  <si>
    <t xml:space="preserve">i2118_4p012m_g27_e002 </t>
  </si>
  <si>
    <t xml:space="preserve">Resgatar ilustração material dourado, 1 placa; g23_ftd_lt_4bam_p205; código antigo i4421_4bam_g23_ftd_re </t>
  </si>
  <si>
    <t xml:space="preserve">i2119_4p012m_g27_e002 </t>
  </si>
  <si>
    <t xml:space="preserve">Resgatar ilustração material dourado, 1 barrinha; g23_ftd_lt_4bam_p205; código antigo i4422_4bam_g23_ftd_re </t>
  </si>
  <si>
    <t xml:space="preserve">i2120_4p012m_g27_e002 </t>
  </si>
  <si>
    <t xml:space="preserve">Resgatar ilustração material dourado, 1 cubinho; g23_ftd_lt_4bam_p205; código antigo i4423_4bam_g23_ftd_re </t>
  </si>
  <si>
    <t xml:space="preserve">i2121_4p012m_g27_e002 </t>
  </si>
  <si>
    <t xml:space="preserve">Resgatar ilustração material dourado 2,54; g23_ftd_lt_4bam_p205; código antigo i4424_4bam_g23_ftd_re </t>
  </si>
  <si>
    <t xml:space="preserve">i2122_4p012m_g27_e002 </t>
  </si>
  <si>
    <t xml:space="preserve">Resgatar ilustração placa de trânsito escrito “2,20 m”; g23_ftd_lt_4bam_p206; código antigo i4425sl_4bam_g23_ftd </t>
  </si>
  <si>
    <t xml:space="preserve">i2123_4p012m_g27_e002 </t>
  </si>
  <si>
    <t xml:space="preserve">Resgatar ilustração placa de trânsito escrito “1,80 m”; g23_ftd_lt_4bam_p206; código antigo i4426sl_4bam_g23_ftd </t>
  </si>
  <si>
    <t xml:space="preserve">i2124_4p012m_g27_e002 </t>
  </si>
  <si>
    <t xml:space="preserve">Resgatar ilustração material dourado 2,53; g23_ftd_lt_4bam_p206; código antigo i4427_4bam_g23_ftd_re </t>
  </si>
  <si>
    <t xml:space="preserve">i2125_4p012m_g27_e002 </t>
  </si>
  <si>
    <t xml:space="preserve">Resgatar ilustração material dourado 1,39; g23_ftd_lt_4bam_p206; código antigo i4428_4bam_g23_ftd_re </t>
  </si>
  <si>
    <t xml:space="preserve">i2127_4p012m_g27_e002 </t>
  </si>
  <si>
    <t xml:space="preserve">Resgatar ilustração reta de crescente com quadrinhos para preencher; g23_ftd_lt_4bam_p209; código antigo it4435sl_4bam_g23_ftd </t>
  </si>
  <si>
    <t xml:space="preserve">i2129_4p012m_g27_e002 </t>
  </si>
  <si>
    <t xml:space="preserve">Resgatar ilustração material dourado 2,50; g23_ftd_lt_4bam_p210; código antigo i4431zz_4bam_g23_ftd_aj
AJUSTE: Ajustar a imagem, adicionando mais duas placas, totalizando 4. </t>
  </si>
  <si>
    <t xml:space="preserve">i2130_4p012m_g27_e002 </t>
  </si>
  <si>
    <t>Resgatar ilustração material dourado 3,75; g23_ftd_lt_4bam_p210; código antigo i4432zz_4bam_g23_ftd_aj 
AJUSTE: Ajustar a imagem, adicionando mais duas placas, totalizando 5.</t>
  </si>
  <si>
    <t xml:space="preserve">i2131_4p012m_g27_e002 </t>
  </si>
  <si>
    <t>Resgatar ilustração material dourado 6,25, representação de 10 décimos e 1 unidade; g23_ftd_lt_4bam_p210; código antigo i4433zz_4bam_g23_ftd_aj 
AJUSTE: Ajustar para que tenha 9 placas na primeira parte (antes de acrescentar uma pelo agrupamento). Ver ref:</t>
  </si>
  <si>
    <t xml:space="preserve">i2135_4p012m_g27_e002 </t>
  </si>
  <si>
    <t xml:space="preserve">Resgatar ilustração número 11.59 em um visor da calculadora eletrônica; g23_ftd_lt_4bam_p213; código antigo i4436zz_4bam_g23_ftd </t>
  </si>
  <si>
    <t xml:space="preserve">i2137_4p012m_g27_e002 </t>
  </si>
  <si>
    <t>Resgatar ilustração material dourado 1,13; g23_ftd_lt_4bam_p214; código antigo i4439_4bam_g23_ftd_re</t>
  </si>
  <si>
    <t xml:space="preserve">i2138_4p012m_g27_e002 </t>
  </si>
  <si>
    <t xml:space="preserve">Resgatar ilustração material dourado 1,13, com 2 cubinhos riscados; g23_ftd_lt_4bam_p214; código antigo i4440_4bam_g23_ftd_re </t>
  </si>
  <si>
    <t>i2139_4p012m_g27_e002</t>
  </si>
  <si>
    <t xml:space="preserve">Resgatar ilustração material dourado 1,13, com 5 barrinhas e 2 cubinhos riscados; g23_ftd_lt_4bam_p214; código antigo i4441_4bam_g23_ftd_re </t>
  </si>
  <si>
    <t xml:space="preserve">i2141_4p012m_g27_e002 </t>
  </si>
  <si>
    <t xml:space="preserve">Resgatar ilustração comparação da medida da altura entre o atleta e a marca alcançada por ele; g23_ftd_lt_4bam_p216; código antigo i4443_4bam_g23_ftd_re </t>
  </si>
  <si>
    <t xml:space="preserve">i2142_4p012m_g27_e002 </t>
  </si>
  <si>
    <t xml:space="preserve">Resgatar ilustração cupom fiscal de supermercado azul; g23_ftd_lt_4bam_p217; código antigo i4444zz_4bam_g23_ftd 
AJUSTE: ajustar ano da data para 2027 </t>
  </si>
  <si>
    <t xml:space="preserve">i2143_4p012m_g27_e002 </t>
  </si>
  <si>
    <t xml:space="preserve">Resgatar ilustração fichas com os números: 6, 4 e 1; g23_ftd_lt_4bam_p219; código antigo i4452ct_4bam_g23_ftd </t>
  </si>
  <si>
    <t>i2144_4p012m_g27_e002</t>
  </si>
  <si>
    <t xml:space="preserve">Resgatar ilustração representação do jogo da comparação proposto; g23_ftd_lt_4bam_p219; código antigo i4445ec_4bam_g23_ftd_ef </t>
  </si>
  <si>
    <t>if0291_1p012m_g27_e002</t>
  </si>
  <si>
    <t>Ilustração de um gráfico de barras horizontais para que o estudante pinte os quadrinhos (dispostos em 20 colunas) e forme as barras (usar como base a gt4022sl_1bam_g23_ftd, enviada na pasta, porém com barras horizontais). Compor os nomes SEMENTE e QUANTIDADE DE SEMENTES nos eixos, como indicado abaixo. No eixo vertical compor as f0291a_1p012m, f0291b_1p012m e f0291c_1p012m, conforme descrito abaixo.
f0291a_1p012m_g27_e002
NOVA
Resgatar foto de uma semente de feijão em fundo branco da f0288_1p012m_g27_e002 e compor no eixo do gráfico conforme referência a seguir.
f0291b_1p012m_g27_e002
NOVA
Resgatar foto de uma semente de milho em fundo branco da f0289_1p012m_g27_e002 e compor no eixo do gráfico conforme referência a seguir.
f0291c_1p012m_g27_e002
NOVA
Resgatar foto de uma semente de abóbora em fundo branco da f0290_1p012m_g27_e002 e compor no eixo do gráfico conforme referência a seguir.</t>
  </si>
  <si>
    <t>vc</t>
  </si>
  <si>
    <t>i0264_1p012m_g27_e002</t>
  </si>
  <si>
    <t>Ilustração de uma mesa com 14 lápis de cores variadas sobre ela, um ao lado do outro (pode repetir algumas cores, não tem problema) como se fosse na sala de aula. Compor também 8 porta lápis um ao lado do outro de maneira parecida com a referência, porém não fazer igual.</t>
  </si>
  <si>
    <t>i0265_1p012m_g27_e002</t>
  </si>
  <si>
    <t>Ilustração da mesma cena da i0264_1p012m_g27_e002 agora com 7 porta lápis, cada um contendo 2 lápis de cor de cores diferentes, 1 dos porta lápis deve estar vazio sem nenhum lápis, conforme referência.</t>
  </si>
  <si>
    <t>i5914_1p012m_g27_e002</t>
  </si>
  <si>
    <t>Ilustração de 15 bichinhos de brinquedo sobre uma bancada. Ver ideia para os bichinhos de brinquedo a seguir, porém não fazer igual.</t>
  </si>
  <si>
    <t>A equipe trocou por foto.</t>
  </si>
  <si>
    <t>i0266_1p012m_g27_e002</t>
  </si>
  <si>
    <t>Ilustração da vista de cima de uma sala de aula com 10 estudantes, idade de 6 anos, entre meninos e meninas com variedades de etnias sentados em suas carteiras. Considerando a primeira fileira de cima: uma menina loira, um menino branco cabelos pretos, um menino negro. Fileira do meio: uma menina negra, uma menina morena cabelos pretos, um menino ruivo, um menino branco cabelos castanhos. Última fileira de baixo: um menino negro, um menino moreno cabelos castanhos, uma menina loira.</t>
  </si>
  <si>
    <t>lz</t>
  </si>
  <si>
    <t>R:22/05 F:26/05</t>
  </si>
  <si>
    <t>i5916_1p012m_g27_e002</t>
  </si>
  <si>
    <t>Ilustração de 6 fichas verdes e 12 fichas vermelhas em formato circular, dispostas conforme referência a seguir.</t>
  </si>
  <si>
    <t>i5917_1p012m_g27_e002</t>
  </si>
  <si>
    <t>Ilustração das mesmas fichas da i5916_1p012m sendo agora 9 fichas verdes e 8 fichas vermelhas, dispostas conforme referência a seguir.</t>
  </si>
  <si>
    <t xml:space="preserve">i0102_5p012m_g27_e002 </t>
  </si>
  <si>
    <t>resgatar ilustração de material dourado. veio de g23_ftd_lt_5bam_p12 código antigo i0402_4bam_g23_ftd_re 
AJUSTE: separar em código A e B, retirar a seta</t>
  </si>
  <si>
    <t>i0103_5p012m_g27_e002</t>
  </si>
  <si>
    <t xml:space="preserve">resgatar ilustração de material dourado. veio de g23_ftd_lt_5bam_p12 código antigo i0403_4bam_g23_ftd_re 
AJUSTE: separar em código A e B, retirar a seta </t>
  </si>
  <si>
    <t xml:space="preserve">i0104_5p012m_g27_e002 </t>
  </si>
  <si>
    <t>resgatar ilustração de material dourado. veio de g23_ftd_lt_5bam_p12 código antigo i0404_4bam_g23_ftd_re 
AJUSTE: separar em código A e B, retirar a seta</t>
  </si>
  <si>
    <t>i0105_5p012m_g27_e002</t>
  </si>
  <si>
    <t>Resgatar ilustração de sequência de números tabelados, do g23_ftd_lt_5bam_p010a015_u1, código antigo  
i0233rn_5m1sim_m18_ftd_ef</t>
  </si>
  <si>
    <t>rn</t>
  </si>
  <si>
    <t>i0106_5p012m_g27_e002</t>
  </si>
  <si>
    <t>resgatar ilustração de material dourado. veio de g23_ftd_lt_5bam_p14 código antigo i0406_4bam_g23_ftd_re</t>
  </si>
  <si>
    <t xml:space="preserve">i0107_5p012m_g27_e002 </t>
  </si>
  <si>
    <t>resgatar ilustração de material dourado. veio de g23_ftd_lt_5bam_p14 código antigo i0407_4bam_g23_ftd_re</t>
  </si>
  <si>
    <t>i0108_5p012m_g27_e002</t>
  </si>
  <si>
    <t>resgatar ilustração de material dourado. veio de g23_ftd_lt_5bam_p14 código antigo i0408_4bam_g23_ftd_re</t>
  </si>
  <si>
    <t>i0109_5p012m_g27_e002</t>
  </si>
  <si>
    <t>resgatar ilustração de ábaco. veio de g23_ftd_lt_5bam_p16 código antigo i0436zz_5bam_g23_ftd</t>
  </si>
  <si>
    <t xml:space="preserve">i0110_5p012m_g27_e002 </t>
  </si>
  <si>
    <t>resgatar ilustração de ábaco. veio de g23_ftd_lt_5bam_p16 código antigo i0409zz_5bam_g23_ftd_aj</t>
  </si>
  <si>
    <t xml:space="preserve">i0111_5p012m_g27_e002 </t>
  </si>
  <si>
    <t xml:space="preserve">resgatar ilustração de ábaco. veio de g23_ftd_lt_5bam_p16 código antigo i0411zz_5bam_g23_ftd_aj </t>
  </si>
  <si>
    <t>i0112_5p012m_g27_e002</t>
  </si>
  <si>
    <t xml:space="preserve">resgatar ilustração de ábaco. veio de g23_ftd_lt_5bam_p16 código antigo i0410zz_5bam_g23_ftd_aj </t>
  </si>
  <si>
    <t xml:space="preserve">i0113_5p012m_g27_e002 </t>
  </si>
  <si>
    <t xml:space="preserve">resgatar ilustração de ábaco. veio de g23_ftd_lt_5bam_p16 código antigo i0412zz_5bam_g23_ftd_aj </t>
  </si>
  <si>
    <t xml:space="preserve">i0114_5p012m_g27_e002 </t>
  </si>
  <si>
    <t xml:space="preserve">resgatar ilustração de ábaco. veio de g23_ftd_lt_5bam_p21 código antigo i0416zz_5bam_g23_ftd 
AJUSTE: retirar bolinhas em cor resposta </t>
  </si>
  <si>
    <t>i0115_5p012m_g27_e002</t>
  </si>
  <si>
    <t xml:space="preserve">resgatar ilustração de reta numérica. veio de g23_ftd_lt_5bam_p22 código antigo it0437zz_5bam_g23_ftd </t>
  </si>
  <si>
    <t xml:space="preserve">i0117_5p012m_g27_e002 </t>
  </si>
  <si>
    <t xml:space="preserve">resgatar ilustração de captura de tela de um jogo de computador. veio de g23_ftd_lt_5bam_p23 código antigo i0438gu_5bam_g23_ftd </t>
  </si>
  <si>
    <t xml:space="preserve">i0119_5p012m_g27_e002 </t>
  </si>
  <si>
    <t>resgatar ilustração de reta numérica. veio de g23_ftd_lt_5bam_p24 código antigo it0421zz_5bam_g23_ftd</t>
  </si>
  <si>
    <t>i0120_5p012m_g27_e002</t>
  </si>
  <si>
    <t>resgatar ilustracao de reta numérica. veio de g23_ftd_lt_5bam_p24 código antigo it0422zz_5bam_g23_ftd</t>
  </si>
  <si>
    <t>i0274_1p012m_g27_e002</t>
  </si>
  <si>
    <t>Ilustração de 14 cartões. Organizar os cartões em 3 linhas, conforme referência a seguir.</t>
  </si>
  <si>
    <t>i5921_1p012m_g27_e002</t>
  </si>
  <si>
    <t>Ilustração como se fosse um cupom/selo que se ganha em um estabelecimento para trocar por brindes, COM O TEXTO ABAIXO, DEIXAR BEM CHAMATIVO, CHAMANDO A ATENÇÃO PARA OS BRINDES. Ver exemplo de referência de selo para ilustrar:
PROMOÇÃO!
A CADA 20 REAIS EM COMPRAS TROQUE POR UM SELO. 
JUNTE SELOS E TROQUE POR BRINDES INCRÍVEIS!</t>
  </si>
  <si>
    <t>i0564_1p012m_g27_e002</t>
  </si>
  <si>
    <t>Resgatar e ajustar ilustração de uma menina cadeirante de cabelos pretos segurando dois balões, disponível em g23_ftd_lpa_1bam_p120a131 código i1685ly_1bam_g23_ftd
AJUSTES: inserir cinto de segurança e alça de guia (para o adulto empurrar), esboçar um freio na roda e deixar o chão mais plano.
Inserir um adulto na cena.
Ver ideia para ajustar a cadeira https://www.mobilitybrasil.com.br/cadeira-de-rodas-genesys-ultra-lite-x-infantil-ortobras</t>
  </si>
  <si>
    <t xml:space="preserve">i2304_4p012m_g27_e002 </t>
  </si>
  <si>
    <t xml:space="preserve">Resgatar ilustração do abacaxi na balança com massa 645 g do g23_ftd_lt_4bam_p225 código antigo i4824rm_4bam_g23_ftd </t>
  </si>
  <si>
    <t xml:space="preserve">i2305_4p012m_g27_e002 </t>
  </si>
  <si>
    <t xml:space="preserve">Resgatar ilustração do banana balança com massa 500 g do g23_ftd_lt_4bam_p225 código antigo i4871rm_4bam_g23_ftd </t>
  </si>
  <si>
    <t xml:space="preserve">i2306_4p012m_g27_e002 </t>
  </si>
  <si>
    <t xml:space="preserve">Resgatar ilustração da maça na balança com massa 112 g do g23_ftd_lt_4bam_p225 código antigo i4872rm_4bam_g23_ftd </t>
  </si>
  <si>
    <t xml:space="preserve">i2307_4p012m_g27_e002 </t>
  </si>
  <si>
    <t xml:space="preserve">Resgatar ilustração dos brinquedos na balança do g23_ftd_lt_4bam_p226 código antigo i4825rm_4bam_g23_ftd </t>
  </si>
  <si>
    <t xml:space="preserve">i2308_4p012m_g27_e002 </t>
  </si>
  <si>
    <t xml:space="preserve">Resgatar ilustração do robô e o urso na balança do g23_ftd_lt_4bam_p226 código antigo i4826rm_4bam_g23_ftd </t>
  </si>
  <si>
    <t xml:space="preserve">i2309_4p012m_g27_e002 </t>
  </si>
  <si>
    <t xml:space="preserve">Resgatar ilustração do carrinho e da bola na balança do g23_ftd_lt_4bam_p226 código antigo i4827rm_4bam_g23_ftd </t>
  </si>
  <si>
    <t xml:space="preserve">i2317_4p012m_g27_e002 </t>
  </si>
  <si>
    <t xml:space="preserve">Resgatar ilustração do professor no quadro do g23_ftd_lt_4bam_p228 código antigo i4833iv_4bam_g23_ftd </t>
  </si>
  <si>
    <t xml:space="preserve">i2319_4p012m_g27_e002 </t>
  </si>
  <si>
    <t xml:space="preserve">Resgatar ilustração dos diferentes tamanhos de garrafa de água mineral do g23_ftd_lt_4bam_p229 código antigo i4835rm_4bam_g23_ftd </t>
  </si>
  <si>
    <t xml:space="preserve">i2320_4p012m_g27_e002 </t>
  </si>
  <si>
    <t xml:space="preserve">Resgatar ilustração dos recipientes e as fichas do g23_ftd_lt_4bam_p230 código antigo i4836rm_4bam_g23_ftd </t>
  </si>
  <si>
    <t xml:space="preserve">i2321_4p012m_g27_e002 </t>
  </si>
  <si>
    <t xml:space="preserve">Resgatar ilustração das garrafas e copos do g23_ftd_lt_4bam_p231 código antigo i4873rm_4bam_g23_ftd </t>
  </si>
  <si>
    <t>i2322_4p012m_g27_e002</t>
  </si>
  <si>
    <t xml:space="preserve">Resgatar ilustração dos recipientes com medidas de 1 L do g23_ftd_lt_4bam_p231 código antigo i4838rm_4bam_g23_ftd </t>
  </si>
  <si>
    <t xml:space="preserve">i2324_4p012m_g27_e002 </t>
  </si>
  <si>
    <t xml:space="preserve">Resgatar ilustração dos recipientes com diferentes medidas de capacidade do g23_ftd_lt_4bam_p232 código antigo i4841rm_4bam_g23_ftd </t>
  </si>
  <si>
    <t xml:space="preserve">i2325_4p012m_g27_e002 </t>
  </si>
  <si>
    <t xml:space="preserve">Resgatar ilustração dos recipientes com capacidades diferentes do g23_ftd_lt_4bam_p233 código antigo i4842rm_4bam_g23_ftd </t>
  </si>
  <si>
    <t>i2326_4p012m_g27_e002</t>
  </si>
  <si>
    <t xml:space="preserve">Resgatar ilustração dos perfumes com capacidades diferentes do g23_ftd_lt_4bam_p233 código antigo i4843rm_4bam_g23_ftd </t>
  </si>
  <si>
    <t xml:space="preserve">i2327_4p012m_g27_e002 </t>
  </si>
  <si>
    <t xml:space="preserve">Resgatar ilustração dos xampus com capacidades diferentes do g23_ftd_lt_4bam_p233 código antigo i4844rm_4bam_g23_ftd </t>
  </si>
  <si>
    <t xml:space="preserve">i0503_5p012m_g27_e002 </t>
  </si>
  <si>
    <t xml:space="preserve">Resgatar ilustração quadro negro escrito quantos meses equivalem a certas unidades de tempo; g23_ftd_lt_5bam_p235; código antigo i4863zz_5bam_g23_ftd.jpg </t>
  </si>
  <si>
    <t xml:space="preserve">i0504_5p012m_g27_e002 </t>
  </si>
  <si>
    <t xml:space="preserve">Resgatar ilustração relógio de ponteiro ciano marcando 9h30; g23_ftd_lt_5bam_p237; código antigo i4809zz_5bam_g23_ftd.jpg </t>
  </si>
  <si>
    <t>i0505_5p012m_g27_e002</t>
  </si>
  <si>
    <t xml:space="preserve">Resgatar ilustração relógio digital vermelho marcando 1h55; g23_ftd_lt_5bam_p237; código antigo i4810zz_5bam_g23_ftd.jpg </t>
  </si>
  <si>
    <t xml:space="preserve">i0506_5p012m_g27_e002 </t>
  </si>
  <si>
    <t xml:space="preserve">Resgatar ilustração cartaz show de teatro O conto do bruxo Gandal, com o local que acontecerá, a data, o horário e o tempo de duração da apresentação; g23_ftd_lt_5bam_p237; código antigo i4811iv_5bam_g23_ftd_ef.jpg 
AJUSTE: atualizar ano para 2027 </t>
  </si>
  <si>
    <t>IVY NUNES/ARQUIVO DA EDITORA</t>
  </si>
  <si>
    <t>i0507_5p012m_g27_e002</t>
  </si>
  <si>
    <t xml:space="preserve">Resgatar ilustração smartphone com previsão do tempo de certa cidade; g23_ftd_lt_5bam_p244; código antigo i4830rm_5bam_g23_ftd.jpg </t>
  </si>
  <si>
    <t>planilhada duas vezes
deixamos a do ajuste</t>
  </si>
  <si>
    <t>he</t>
  </si>
  <si>
    <t>i0511_5p012m_g27_e002</t>
  </si>
  <si>
    <t>Resgatar ilustração termômetro de líquido; g23_ftd_lt_5bam_p245; código antigo i4834_4bam_g23_ftd_re.jpg 
AJUSTE: Remover pintura em cor resposta</t>
  </si>
  <si>
    <t xml:space="preserve">i0303_5p012m_g27_e002 </t>
  </si>
  <si>
    <t>Resgatar ilustração de silhueta do corpo humano e os órgãos: córneas, pulmões, coração, fígado, pâncreas, rins, ossos. Veio do g23_ftd_lt_5bam_p031, código antigo i0802rm_5bam_g23_ftd 
AJUSTE: Separar a il de A até G retirando o corpo e os fios, deixando apenas os ícones. i0303A: córneas; i0303B: pulmões; i0303C: coração; i0303D: fígado; i0303E: pâncreas; i0303F: rins e i0303G: ossos.</t>
  </si>
  <si>
    <t>i0307_5p012m_g27_e002</t>
  </si>
  <si>
    <t xml:space="preserve">Resgatar ilustração de alvo com os valores 100, 50, 25 e 10. Um dardo está no valor 25, um dardo está no valor 100 e um dardo está no valor 50. Veio do g23_ftd_lt_5bam_p037, código antigo i0805rm_5bam_g23_ftd </t>
  </si>
  <si>
    <t>i0309_5p012m_g27_e002</t>
  </si>
  <si>
    <t xml:space="preserve">Resgatar ilustração de um menino negro como se estivesse pensando. Veio do g23_ftd_lt_5bam_p041, código antigo i0807iv_5bam_g23_ftd </t>
  </si>
  <si>
    <t xml:space="preserve">i0312_5p012m_g27_e002 </t>
  </si>
  <si>
    <t xml:space="preserve">Resgatar ilustração de cupom fiscal. Veio do g23_ftd_lt_5bam_p044, código antigo i0812zz_5bam_g23_ftd 
AJUSTE: ajustar ano para 2027 </t>
  </si>
  <si>
    <t xml:space="preserve">i0315_5p012m_g27_e002 </t>
  </si>
  <si>
    <t>Resgatar e ajustar ilustração de duas balanças, uma marcando 1 220 g com um carrinho, um robô e uma bola em cima e a outra marcando 1 600 g com um carrinho um robô e duas bolos em cima (sendo os objetos iguais nas duas balanças). Veio do g23_ftd_lt_5bam_p046, código antigo i0814rm_5bam_g23_ftd 
Ajuste: separar as balanças em A e B.</t>
  </si>
  <si>
    <t>SERGIO LIMA/HELOÍSA PINTARELLI/ARQUIVO DA EDITORA</t>
  </si>
  <si>
    <t xml:space="preserve">i0316_5p012m_g27_e002 </t>
  </si>
  <si>
    <t xml:space="preserve">Resgatar ilustração de menina de uniforme escolar atrás de um ônibus escolar. Veio do g23_ftd_lt_5bam_p047, código antigo i0815iv_5bam_g23_ftd </t>
  </si>
  <si>
    <t xml:space="preserve">i0317_5p012m_g27_e002 </t>
  </si>
  <si>
    <t xml:space="preserve">Resgatar ilustração de um kit de higiene dental e um frasco de xarope. Veio do g23_ftd_lt_5bam_p048, código antigo i0816rm_5bam_g23_ftd </t>
  </si>
  <si>
    <t xml:space="preserve">i0707_5p012m_g27_e002 </t>
  </si>
  <si>
    <t>resgatar ilustração de quadrado. veio de g23_ftd_lt_5bam_p055 código antigo it1212_4bam_g23_ftd_re</t>
  </si>
  <si>
    <t xml:space="preserve">i0708_5p012m_g27_e002 </t>
  </si>
  <si>
    <t xml:space="preserve">resgatar ilustração de cilindro. veio de g23_ftd_lt_5bam_p055 código antigo it1214_5bam_g23_ftd_re </t>
  </si>
  <si>
    <t xml:space="preserve">i0709_5p012m_g27_e002 </t>
  </si>
  <si>
    <t>resgatar ilustração de pirâmide de base hexagonal. veio de g23_ftd_lt_5bam_p055 código antigo it1216_5bam_g23_ftd_re</t>
  </si>
  <si>
    <t>i0710_5p012m_g27_e002</t>
  </si>
  <si>
    <t>resgatar ilustração de esfera. veio de g23_ftd_lt_5bam_p055 código antigo it1213_5bam_g23_ftd_re</t>
  </si>
  <si>
    <t xml:space="preserve">i0711_5p012m_g27_e002 </t>
  </si>
  <si>
    <t>resgatar ilustração de octógono. veio de g23_ftd_lt_5bam_p055 código antigo it1215_5bam_g23_ftd_re</t>
  </si>
  <si>
    <t xml:space="preserve">i0712_5p012m_g27_e002 </t>
  </si>
  <si>
    <t>resgatar ilustração de paralelepípedo. veio de g23_ftd_lt_5bam_p055 código antigo it1217_5bam_g23_ftd_r</t>
  </si>
  <si>
    <t xml:space="preserve">i0713_5p012m_g27_e002 </t>
  </si>
  <si>
    <t xml:space="preserve">resgatar ilustração de prisma hexagonal. veio de g23_ftd_lt_5bam_p055 código antigo it1218_5bam_g23_ftd_re </t>
  </si>
  <si>
    <t xml:space="preserve">i0714_5p012m_g27_e002 </t>
  </si>
  <si>
    <t>resgatar ilustração de paralelepípedo. veio de g23_ftd_lt_5bam_p055 código antigo it1219_5bam_g23_ftd_re</t>
  </si>
  <si>
    <t xml:space="preserve">i0715_5p012m_g27_e002 </t>
  </si>
  <si>
    <t>resgatar ilustração de cilindro veio de g23_ftd_lt_5bam_p055 código antigo it1220_5bam_g23_ftd_re</t>
  </si>
  <si>
    <t xml:space="preserve">i0716_5p012m_g27_e002 </t>
  </si>
  <si>
    <t xml:space="preserve">resgatar ilustração de paralelepípedo. veio de g23_ftd_lt_5bam_p055 código antigo it1321gu_5bam_g23_ftd </t>
  </si>
  <si>
    <t xml:space="preserve">i0721_5p012m_g27_e002 </t>
  </si>
  <si>
    <t xml:space="preserve">resgatar ilustração de captura de tela de computador com figuras geométricas. veio de g23_ftd_lt_5bam_p056 código antigo i1226zz_5bam_g23_ftd </t>
  </si>
  <si>
    <t xml:space="preserve">i0722_5p012m_g27_e002 </t>
  </si>
  <si>
    <t xml:space="preserve">resgatar ilustração de octaedro. veio de g23_ftd_lt_5bam_p056 código antigo it1228fb_5bam_g23_ftd </t>
  </si>
  <si>
    <t>fb</t>
  </si>
  <si>
    <t xml:space="preserve">i0723_5p012m_g27_e002 </t>
  </si>
  <si>
    <t xml:space="preserve">resgatar ilustração de poliedro. veio de g23_ftd_lt_5bam_p056 código antigo it1230fb_5bam_g23_ftd </t>
  </si>
  <si>
    <t xml:space="preserve">i0724_5p012m_g27_e002 </t>
  </si>
  <si>
    <t xml:space="preserve">resgatar ilustração de poliedro. veio de g23_ftd_lt_5bam_p056 código antigo it1227fb_5bam_g23_ftd </t>
  </si>
  <si>
    <t xml:space="preserve">i0725_5p012m_g27_e002 </t>
  </si>
  <si>
    <t xml:space="preserve">resgatar ilustração de cone com recorte no topo. veio de g23_ftd_lt_5bam_p056 código antigo it1229fb_5bam_g23_ftd </t>
  </si>
  <si>
    <t xml:space="preserve">i0726_5p012m_g27_e002 </t>
  </si>
  <si>
    <t>resgatar ilustração de cilindro com corte transversal veio de g23_ftd_lt_5bam_p056 código antigo it1231fb_5bam_g23_ftd</t>
  </si>
  <si>
    <t xml:space="preserve">i0727_5p012m_g27_e002 </t>
  </si>
  <si>
    <t xml:space="preserve">resgatar ilustração de uma semiesfera. veio de g23_ftd_lt_5bam_p056 código antigo it1232fb_5bam_g23_ftd </t>
  </si>
  <si>
    <t xml:space="preserve">i0728_5p012m_g27_e002 </t>
  </si>
  <si>
    <t xml:space="preserve">resgatar ilustração de semiesfera. veio de g23_ftd_lt_5bam_p057 código antigo it1240_5bam_g23_ftd_re </t>
  </si>
  <si>
    <t xml:space="preserve">i0729_5p012m_g27_e002 </t>
  </si>
  <si>
    <t xml:space="preserve">resgatar ilustração de prisma de base hexagonal. veio de g23_ftd_lt_5bam_p057 código antigo it1244_5bam_g23_ftd_re </t>
  </si>
  <si>
    <t xml:space="preserve">i0730_5p012m_g27_e002 </t>
  </si>
  <si>
    <t xml:space="preserve">resgatar ilustração de pirâmide de base pentagonal. veio de g23_ftd_lt_5bam_p057 código antigo it1241_5bam_g23_ftd_re </t>
  </si>
  <si>
    <t xml:space="preserve">i0731_5p012m_g27_e002 </t>
  </si>
  <si>
    <t xml:space="preserve">resgatar ilustração de cilindro. veio de g23_ftd_lt_5bam_p057 código antigo it1246_5bam_g23_ftd_re </t>
  </si>
  <si>
    <t xml:space="preserve">i0732_5p012m_g27_e002 </t>
  </si>
  <si>
    <t xml:space="preserve">resgatar ilustração de paralelepípedo. veio de g23_ftd_lt_5bam_p057 código antigo it1243fb_5bam_g23_ftd </t>
  </si>
  <si>
    <t>i0733_5p012m_g27_e002</t>
  </si>
  <si>
    <t xml:space="preserve">resgatar ilustração de tetraedro. veio de g23_ftd_lt_5bam_p057 código antigo it1242_5bam_g23_ftd_re </t>
  </si>
  <si>
    <t xml:space="preserve">i0734_5p012m_g27_e002 </t>
  </si>
  <si>
    <t xml:space="preserve">resgatar ilustração de cone. veio de g23_ftd_lt_5bam_p057 código antigo it1245_5bam_g23_ftd_re </t>
  </si>
  <si>
    <t xml:space="preserve">i0735_5p012m_g27_e002 </t>
  </si>
  <si>
    <t>resgatar ilustração de octaedro. veio de g23_ftd_lt_5bam_p057 código antigo it1247_5bam_g23_ftd_re</t>
  </si>
  <si>
    <t>i0736_5p012m_g27_e002</t>
  </si>
  <si>
    <t xml:space="preserve">resgatar ilustração de prisma de base triangular. veio de g23_ftd_lt_5bam_p057 código antigo it1238_5bam_g23_ftd_re </t>
  </si>
  <si>
    <t xml:space="preserve">i0737_5p012m_g27_e002 </t>
  </si>
  <si>
    <t xml:space="preserve">resgatar ilustração de paralelepípedo. veio de g23_ftd_lt_5bam_p057 código antigo it1237fb_5bam_g23_ftd </t>
  </si>
  <si>
    <t xml:space="preserve">i0738_5p012m_g27_e002 </t>
  </si>
  <si>
    <t xml:space="preserve">resgatar ilustração de cilindro. veio de g23_ftd_lt_5bam_p057 código antigo it1239fb_5bam_g23_ftd </t>
  </si>
  <si>
    <t xml:space="preserve">i0739_5p012m_g27_e002 </t>
  </si>
  <si>
    <t xml:space="preserve">resgatar ilustração de prisma de base triangular. veio de g23_ftd_lt_5bam_p057 código antigo it1308fb_5bam_g23_ftd </t>
  </si>
  <si>
    <t xml:space="preserve">i0740_5p012m_g27_e002 </t>
  </si>
  <si>
    <t xml:space="preserve">resgatar ilustração de pirâmide de base pentagonal. veio de g23_ftd_lt_5bam_p057 código antigo it1309fb_5bam_g23_ftd </t>
  </si>
  <si>
    <t xml:space="preserve">i0741_5p012m_g27_e002 </t>
  </si>
  <si>
    <t xml:space="preserve">resgatar ilustração de pirâmide de base octogonal. veio de g23_ftd_lt_5bam_p058 código antigo it1248_5bam_g23_ftd_re </t>
  </si>
  <si>
    <t xml:space="preserve">i0742_5p012m_g27_e002 </t>
  </si>
  <si>
    <t xml:space="preserve">resgatar ilustração de paralelepípedo. veio de g23_ftd_lt_5bam_p058 código antigo it1249fb_5bam_g23_ftd </t>
  </si>
  <si>
    <t>i0743_5p012m_g27_e002</t>
  </si>
  <si>
    <t xml:space="preserve">resgatar ilustração de prisma de base hexagonal. veio de g23_ftd_lt_5bam_p058 código antigo it1250_5bam_g23_ftd_re </t>
  </si>
  <si>
    <t xml:space="preserve">i0744_5p012m_g27_e002 </t>
  </si>
  <si>
    <t>resgatar ilustração de tetraedro. veio de g23_ftd_lt_5bam_p058 código antigo it1251_5bam_g23_ftd_re</t>
  </si>
  <si>
    <t xml:space="preserve">i0745_5p012m_g27_e002 </t>
  </si>
  <si>
    <t>resgatar ilustração de cilindro veio de g23_ftd_lt_5bam_p058 código antigo it1257_5bam_g23_ftd_re</t>
  </si>
  <si>
    <t xml:space="preserve">i0746_5p012m_g27_e002 </t>
  </si>
  <si>
    <t>resgatar ilustração de prisma de base pentagonal. veio de g23_ftd_lt_5bam_p058 código antigo it1258_5bam_g23_ftd_re</t>
  </si>
  <si>
    <t xml:space="preserve">i0747_5p012m_g27_e002 </t>
  </si>
  <si>
    <t xml:space="preserve">resgatar ilustração de pirâmide. veio de g23_ftd_lt_5bam_p058 código antigo it1259_5bam_g23_ftd_re </t>
  </si>
  <si>
    <t xml:space="preserve">i0748_5p012m_g27_e002 </t>
  </si>
  <si>
    <t xml:space="preserve">resgatar ilustração de cone. veio de g23_ftd_lt_5bam_p058 código antigo it1260_5bam_g23_ftd_re </t>
  </si>
  <si>
    <t xml:space="preserve">i0749_5p012m_g27_e002 </t>
  </si>
  <si>
    <t xml:space="preserve">resgatar ilustração de planificação de pirâmide. veio de g23_ftd_lt_5bam_p059 código antigo it1262_5bam_g23_ftd_re </t>
  </si>
  <si>
    <t xml:space="preserve">i0750_5p012m_g27_e002 </t>
  </si>
  <si>
    <t xml:space="preserve">resgatar ilustração de planificação de paralelepípedo. veio de g23_ftd_lt_5bam_p059 código antigo it1263_5bam_g23_ftd_re </t>
  </si>
  <si>
    <t xml:space="preserve">i0751_5p012m_g27_e002 </t>
  </si>
  <si>
    <t xml:space="preserve">resgatar ilustração de planificação de prisma hexagonal. veio de g23_ftd_lt_5bam_p059 código antigo it1264_5bam_g23_ftd_re </t>
  </si>
  <si>
    <t xml:space="preserve">i0752_5p012m_g27_e002 </t>
  </si>
  <si>
    <t xml:space="preserve">resgatar ilustração de planificação de cone. veio de g23_ftd_lt_5bam_p059 código antigo it1265_5bam_g23_ftd_re </t>
  </si>
  <si>
    <t>i0753_5p012m_g27_e002</t>
  </si>
  <si>
    <t xml:space="preserve">resgatar ilustração de cone. veio de g23_ftd_lt_5bam_p059 código antigo it1266_5bam_g23_ftd_re </t>
  </si>
  <si>
    <t xml:space="preserve">i0754_5p012m_g27_e002 </t>
  </si>
  <si>
    <t xml:space="preserve">resgatar ilustração de prisma de base hexagonal. veio de g23_ftd_lt_5bam_p059 código antigo it1267_5bam_g23_ftd_re </t>
  </si>
  <si>
    <t xml:space="preserve">i0755_5p012m_g27_e002 </t>
  </si>
  <si>
    <t>resgatar ilustração de paralelepípedo. veio de g23_ftd_lt_5bam_p059 código antigo it1268_5bam_g23_ftd_re</t>
  </si>
  <si>
    <t xml:space="preserve">i0756_5p012m_g27_e002 </t>
  </si>
  <si>
    <t xml:space="preserve">resgatar ilustração de pirâmide. veio de g23_ftd_lt_5bam_p059 código antigo it1269_5bam_g23_ftd_re </t>
  </si>
  <si>
    <t xml:space="preserve">i0757_5p012m_g27_e002 </t>
  </si>
  <si>
    <t xml:space="preserve">resgatar ilustração de cubos amontoados em um canto. veio de g23_ftd_lt_5bam_p059 código antigo it1261fb_5bam_g23_ftd </t>
  </si>
  <si>
    <t>i0758_5p012m_g27_e002</t>
  </si>
  <si>
    <t xml:space="preserve">resgatar ilustração de pirâmide de base hexagonal. veio de g23_ftd_lt_5bam_p060 código antigo it1233fb_5bam_g23_ftd </t>
  </si>
  <si>
    <t xml:space="preserve">i0759_5p012m_g27_e002 </t>
  </si>
  <si>
    <t xml:space="preserve">resgatar ilustração de paralelepípedo. veio de g23_ftd_lt_5bam_p060 código antigo it1234fb_5bam_g23_ftd </t>
  </si>
  <si>
    <t xml:space="preserve">i0760_5p012m_g27_e002 </t>
  </si>
  <si>
    <t>resgatar ilustração de pirâmide de base pentagonal. veio de g23_ftd_lt_5bam_p060 código antigo it1235fb_5bam_g23_ftd</t>
  </si>
  <si>
    <t xml:space="preserve">i0761_5p012m_g27_e002 </t>
  </si>
  <si>
    <t>resgatar ilustração de tetraedro. veio de g23_ftd_lt_5bam_p060 código antigo it1236fb_5bam_g23_ftd</t>
  </si>
  <si>
    <t xml:space="preserve">i0762_5p012m_g27_e002 </t>
  </si>
  <si>
    <t xml:space="preserve">resgatar ilustração de planificação de cilindro. veio de g23_ftd_lt_5bam_p060 código antigo it1252_5bam_g23_ftd_re </t>
  </si>
  <si>
    <t xml:space="preserve">i0763_5p012m_g27_e002 </t>
  </si>
  <si>
    <t xml:space="preserve">resgatar ilustração de planificação de paralelepípedo. veio de g23_ftd_lt_5bam_p060 código antigo it1253_5bam_g23_ftd_re </t>
  </si>
  <si>
    <t xml:space="preserve">i0764_5p012m_g27_e002 </t>
  </si>
  <si>
    <t xml:space="preserve">resgatar ilustração de cubo. veio de g23_ftd_lt_5bam_p060 código antigo it1254_5bam_g23_ftd_re </t>
  </si>
  <si>
    <t xml:space="preserve">i0765_5p012m_g27_e002 </t>
  </si>
  <si>
    <t xml:space="preserve">resgatar ilustração de planificação de prisma de base pentagonal. veio de g23_ftd_lt_5bam_p060 código antigo it1255_5bam_g23_ftd_re </t>
  </si>
  <si>
    <t xml:space="preserve">i0766_5p012m_g27_e002 </t>
  </si>
  <si>
    <t xml:space="preserve">resgatar ilustração de planificação de cone. veio de g23_ftd_lt_5bam_p060 código antigo it1256_5bam_g23_ftd_re </t>
  </si>
  <si>
    <t xml:space="preserve">i0772_5p012m_g27_e002 </t>
  </si>
  <si>
    <t xml:space="preserve">resgatar ilustração de prisma de base pentagonal. veio de g23_ftd_lt_5bam_p061 código antigo it1275_5bam_g23_ftd_re </t>
  </si>
  <si>
    <t xml:space="preserve">i0773_5p012m_g27_e002 </t>
  </si>
  <si>
    <t xml:space="preserve">resgatar ilustração de prisma de base triangular. veio de g23_ftd_lt_5bam_p061 código antigo it1310fb_5bam_g23_ftd </t>
  </si>
  <si>
    <t xml:space="preserve">i0774_5p012m_g27_e002 </t>
  </si>
  <si>
    <t xml:space="preserve">resgatar ilustração de prisma hexagonal. veio de g23_ftd_lt_5bam_p061 código antigo it1311fb_5bam_g23_ftd </t>
  </si>
  <si>
    <t>i0775_5p012m_g27_e002</t>
  </si>
  <si>
    <t xml:space="preserve">resgatar ilustração de pirâmide de base hexagonal. veio de g23_ftd_lt_5bam_p062 código antigo it1277_5bam_g23_ftd_re </t>
  </si>
  <si>
    <t xml:space="preserve">i0776_5p012m_g27_e002 </t>
  </si>
  <si>
    <t xml:space="preserve">resgatar ilustração de pirâmide de base quadrada. veio de g23_ftd_lt_5bam_p062 código antigo it1276fb_5bam_g23_ftd </t>
  </si>
  <si>
    <t xml:space="preserve">i0777_5p012m_g27_e002 </t>
  </si>
  <si>
    <t>resgatar ilustração de pirâmide de base pentagonal. veio de g23_ftd_lt_5bam_p062 código antigo it1312fb_5bam_g23_ftd</t>
  </si>
  <si>
    <t>i0778_5p012m_g27_e002</t>
  </si>
  <si>
    <t xml:space="preserve">Resgatar ilustração de cubo veio de g23_ftd_lt_5bam_p062 código antigo it1278fb_5bam_g23_ftd </t>
  </si>
  <si>
    <t xml:space="preserve">i0779_5p012m_g27_e002 </t>
  </si>
  <si>
    <t xml:space="preserve">Resgatar ilustração de paralelepípedo veio de g23_ftd_lt_5bam_p062 código antigo it1281fb_5bam_g23_ftd </t>
  </si>
  <si>
    <t xml:space="preserve">i0780_5p012m_g27_e002 </t>
  </si>
  <si>
    <t>Resgatar ilustração de prisma de base triangular. veio de g23_ftd_lt_5bam_p062 código antigo it1282fb_A5bam_g23_ftd</t>
  </si>
  <si>
    <t xml:space="preserve">i0781_5p012m_g27_e002 </t>
  </si>
  <si>
    <t xml:space="preserve">Resgatar ilustração de tetraedro veio de g23_ftd_lt_5bam_p062 código antigo it1279fb_5bam_g23_ftd </t>
  </si>
  <si>
    <t xml:space="preserve">i0782_5p012m_g27_e002 </t>
  </si>
  <si>
    <t xml:space="preserve">Resgatar ilustração de pirâmide de base hexagonal. veio de g23_ftd_lt_5bam_p062 código antigo it1280fb_5bam_g23_ftd </t>
  </si>
  <si>
    <t xml:space="preserve">i0783_5p012m_g27_e002 </t>
  </si>
  <si>
    <t xml:space="preserve">Resgatar ilustração de pirâmide de base pentagonal. veio de g23_ftd_lt_5bam_p062 código antigo it1283fb_5bam_g23_ftd </t>
  </si>
  <si>
    <t xml:space="preserve">i0784_5p012m_g27_e002 </t>
  </si>
  <si>
    <t xml:space="preserve">resgatar ilustração de pirâmide de base hexagonal. veio de g23_ftd_lt_5bam_p063 código antigo it1284_5bam_g23_ftd_re </t>
  </si>
  <si>
    <t>i0785_5p012m_g27_e002</t>
  </si>
  <si>
    <t xml:space="preserve">resgatar ilustração de pirâmide de base quadrada. veio de g23_ftd_lt_5bam_p063 código antigo it1287_5bam_g23_ftd_re </t>
  </si>
  <si>
    <t xml:space="preserve">i0786_5p012m_g27_e002 </t>
  </si>
  <si>
    <t xml:space="preserve">resgata ilustração de cubo. veio de g23_ftd_lt_5bam_p063 código antigo it1285fb_5bam_g23_ftd </t>
  </si>
  <si>
    <t>fe</t>
  </si>
  <si>
    <t xml:space="preserve">i0787_5p012m_g27_e002 </t>
  </si>
  <si>
    <t xml:space="preserve">resgatar ilustração de prisma de base triangular. de veio de g23_ftd_lt_5bam_p063 código antigo it1288_5bam_g23_ftd_re </t>
  </si>
  <si>
    <t xml:space="preserve">i0788_5p012m_g27_e002 </t>
  </si>
  <si>
    <t>resgatar ilustração de tetraedro. veio de g23_ftd_lt_5bam_p063 código antigo it1286_5bam_g23_ftd_re</t>
  </si>
  <si>
    <t xml:space="preserve">i0789_5p012m_g27_e002 </t>
  </si>
  <si>
    <t xml:space="preserve">resgatar ilustração de pirâmide. veio de g23_ftd_lt_5bam_p063 código antigo it1289_5bam_g23_ftd_re </t>
  </si>
  <si>
    <t xml:space="preserve">i0796_5p012m_g27_e002 </t>
  </si>
  <si>
    <t xml:space="preserve">resgatar ilustração de planificação de paralelepípedo. veio de g23_ftd_lt_5bam_p064 código antigo it1298_5bam_g23_ftd_re </t>
  </si>
  <si>
    <t xml:space="preserve">i0797_5p012m_g27_e002 </t>
  </si>
  <si>
    <t xml:space="preserve">resgatar ilustração de planificação de cilindro. veio de g23_ftd_lt_5bam_p064 código antigo it1299_5bam_g23_ftd_re </t>
  </si>
  <si>
    <t>i0798_5p012m_g27_e002</t>
  </si>
  <si>
    <t xml:space="preserve">resgatar ilustração de planificação de prisma de base triangular. veio de g23_ftd_lt_5bam_p064 código antigo it1300_5bam_g23_ftd_re </t>
  </si>
  <si>
    <t xml:space="preserve">i0799_5p012m_g27_e002 </t>
  </si>
  <si>
    <t xml:space="preserve">resgatar ilustração de planificação de cone. veio de g23_ftd_lt_5bam_p064 código antigo it1301_5bam_g23_ftd_re </t>
  </si>
  <si>
    <t xml:space="preserve">i0800_5p012m_g27_e002 </t>
  </si>
  <si>
    <t xml:space="preserve">resgatar ilustração de planificação de pirâmide de base pentagonal. veio de g23_ftd_lt_5bam_p064 código antigo it1302_5bam_g23_ftd_re </t>
  </si>
  <si>
    <t xml:space="preserve">i0801_5p012m_g27_e002 </t>
  </si>
  <si>
    <t xml:space="preserve">resgatar ilustração de pirâmide de base hexagonal. veio de g23_ftd_lt_5bam_p064 código antigo it1303_5bam_g23_ftd_re </t>
  </si>
  <si>
    <t xml:space="preserve">i0802_5p012m_g27_e002 </t>
  </si>
  <si>
    <t xml:space="preserve">resgatar ilustração de passo a passo da montagem de cubo. veio de g23_ftd_lt_5bam_p065 código antigo it1304sl_5bam_g23_ftd 
AJUSTE: separar ils em A, B e C, conforme sequência a seguir e retirar as setas </t>
  </si>
  <si>
    <t xml:space="preserve">i0803_5p012m_g27_e002 </t>
  </si>
  <si>
    <t xml:space="preserve">resgatar ilustração de planificação de prisma de base pentagonal. veio de g23_ftd_lt_5bam_p065 código antigo it1305_5bam_g23_ftd_re </t>
  </si>
  <si>
    <t xml:space="preserve">i0804_5p012m_g27_e002 </t>
  </si>
  <si>
    <t xml:space="preserve">resgatar ilustração de planificação de tetraedro. veio de g23_ftd_lt_5bam_p065 código antigo it1306_5bam_g23_ftd_re </t>
  </si>
  <si>
    <t xml:space="preserve">i0805_5p012m_g27_e002 </t>
  </si>
  <si>
    <t xml:space="preserve">resgatar ilustração de planificação de dado. veio de g23_ftd_lt_5bam_p065 código antigo it1307sl_5bam_g23_ftd </t>
  </si>
  <si>
    <t xml:space="preserve">i0807_5p012m_g27_e002 </t>
  </si>
  <si>
    <t xml:space="preserve">resgatar ilustração de possível planificação de figura geométrica. veio de g23_ftd_lt_5bam_p067 código antigo it1202gu_5bam_g23_ftd </t>
  </si>
  <si>
    <t>i0808_5p012m_g27_e002</t>
  </si>
  <si>
    <t xml:space="preserve">resgatar ilustração de possível planificação de figura geométrica. veio de g23_ftd_lt_5bam_p067 código antigo it1203gu_5bam_g23_ftd </t>
  </si>
  <si>
    <t xml:space="preserve">i0809_5p012m_g27_e002 </t>
  </si>
  <si>
    <t xml:space="preserve">resgatar ilustração de possível planificação de figura geométrica. veio de g23_ftd_lt_5bam_p067 código antigo it1204gu_5bam_g23_ftd </t>
  </si>
  <si>
    <t>i0810_5p012m_g27_e002</t>
  </si>
  <si>
    <t xml:space="preserve">resgatar ilustração de possível planificação de figura geométrica. veio de g23_ftd_lt_5bam_p067 código antigo it1205gu_5bam_g23_ftd </t>
  </si>
  <si>
    <t>i1353_1p012m_g27_e002</t>
  </si>
  <si>
    <t>Resgatar e ajustar ilustração de 17 peixes, disponível em g23_ftd_lt_1bam_p094,
Código antigo: i2045iv_1bam_g23_ftd
AJUSTE 1: retirar dois peixes, deixar com 15 no total, ficando 10 no primeiro aglomerado e 5 no segundo aglomerado e cropar parte do fundo para não ficar muita sobra.
AJUSTE 2: Trocar a cor dos peixes para que fique diferente das sequências de resgates dessa atividade (não deixar igual a i2005iv_1bam_g23_ftd e ser diferente dessa i2045iv_1bam_g23_ftd)</t>
  </si>
  <si>
    <t>i1354_1p012m_g27_e002</t>
  </si>
  <si>
    <t>Resgatar e ajustar 8 lápis de cor do padrão, do g23_ftd_lt_1bam_p040, código antigo i0844zz_1bam_g23_ftd.
AJUSTE: incluir mais 4 lápis de cor variada, deixando com 12 no total.</t>
  </si>
  <si>
    <t>i1357_1p012m_g27_e002</t>
  </si>
  <si>
    <t>Resgatar ilustração de bolinhas azuis dentro do g23_ftd_lt_1bam_p33 do LIVRO DE PRÁTICAS – 1 ANO - código antigo i1090gu_1bam_g23_ftd</t>
  </si>
  <si>
    <t>i1346_1p012m_g27_e002</t>
  </si>
  <si>
    <t>Ilustração de tabela em uma prancheta do projeto gráfico na fonte manuscrita em caixa alta alta na fonte Tomarik com os dados a seguir. Ver ideia logo abaixo, porém usar os dados a seguir e a prancheta do padrão.
MEIO DE LOCOMOÇÃO UTILIZADO PELOS ESTUDANTES DO 1º ANO A PARA IR À ESCOLA – 2027
TIPO DE
TRANSPORTE	QUANTIDADE DE
ESTUDANTES
CARRO DE PASSEIO	12
ÔNIBUS	10
BICICLETA	11
A PÉ	14
FONTE DE PESQUISA: ANOTAÇÕES DE ISADORA.</t>
  </si>
  <si>
    <t>Será feita pela diagramação.</t>
  </si>
  <si>
    <t>i1355_1p012m_g27_e002</t>
  </si>
  <si>
    <t>Ilustração de 12 cilindros azuis, 13 cilindros verdes, 5 cones azuis e 7 cubos verdes. Essas figuras devem estar misturadas. Além disso, deve ser possível visualizar todas elas, conforme referência:</t>
  </si>
  <si>
    <t>ti</t>
  </si>
  <si>
    <t>Padrão</t>
  </si>
  <si>
    <t>i1358_1p012m_g27_e002</t>
  </si>
  <si>
    <t>Ilustração do visor da calculadora com o número 32 no padrão da obra. Ver a referência a seguir.</t>
  </si>
  <si>
    <t>i1359_1p012m_g27_e002</t>
  </si>
  <si>
    <t>Ilustração do visor da calculadora com o número 27 no visor no padrão da obra. Ver a referência a seguir.</t>
  </si>
  <si>
    <t>i1360_1p012m_g27_e002</t>
  </si>
  <si>
    <t>Ilustração do visor da tela calculadora com o número 59 no padrão da obra. Ver a referência a seguir.</t>
  </si>
  <si>
    <t>i1356_1p012m_g27_e002</t>
  </si>
  <si>
    <t>Ilustração de 4 pacotes iguais de figurinhas como indicado abaixo com uma temática de ANIMAIS DO BRASIL. Nesse pacote de figurinhas deve estar indicado CONTÉM 11 FIGURINHAS, semelhante ao da referência. Não precisa ser complexo quanto a variedade de animais, mas ilustrar de forma que remeta à fauna brasileira.</t>
  </si>
  <si>
    <t>R: 26/05  F: 31/05</t>
  </si>
  <si>
    <t xml:space="preserve">i1716_1p012m_g27_e002 </t>
  </si>
  <si>
    <t xml:space="preserve">Resgatar e ajustar ilustração de uma operação em um caderno, disponível em g23_ftd_lt_1bam_p121, 
Código antigo: i2871zz_1bam_g23_ftd 
AJUSTE: Excluir o caderno e deixar somente o cálculo feito com risquinhos. </t>
  </si>
  <si>
    <t xml:space="preserve">g1755_1p012m_g27_e002 </t>
  </si>
  <si>
    <t xml:space="preserve">Resgatar e ajustar il. do gráfico de barras do livro de práticas da página 79, código antigo: gt1086gu_1bam_g23_ftd 
AJUSTE: excluir os quadrinhos em cor resposta, deixando-os com fundo branco. </t>
  </si>
  <si>
    <t>GU</t>
  </si>
  <si>
    <t xml:space="preserve">i1766_1p012m_g27_e002 </t>
  </si>
  <si>
    <t xml:space="preserve">Resgatar ilustração de 6 barras, estando 1 riscada, e 5 cubinhos, estando 2 riscados, do material dourado, disponível na atividade 13, item A, da Página 49 do Livro de Práticas do BAM, código antigo i1006zz_1bam_g23_ftd  </t>
  </si>
  <si>
    <t xml:space="preserve">i1767_1p012m_g27_e002 </t>
  </si>
  <si>
    <t xml:space="preserve">Resgatar ilustração de 5 barras, estando 2 riscadas, e 9 cubinhos, estando 5 riscados, do material dourado, disponível na atividade 13, item B, da Página 49 do Livro de Práticas do BAM, código antigo i1007zz_1bam_g23_ftd </t>
  </si>
  <si>
    <t xml:space="preserve">i1768_1p012m_g27_e002 </t>
  </si>
  <si>
    <t xml:space="preserve">Resgatar ilustração de 2 barras, estando 1 riscada, e 7 cubinhos, estando 5 riscados, do material dourado, disponível na atividade 13, item C, da Página 49 do Livro de Práticas do BAM, código antigo i1008zz_1bam_g23_ftd </t>
  </si>
  <si>
    <t xml:space="preserve">i1769_1p012m_g27_e002 </t>
  </si>
  <si>
    <t xml:space="preserve">Resgatar ilustração de 3 barras, estando 2 riscadas, e 4 cubinhos, estando 1 riscado, do material dourado, disponível na atividade 13, item D, da Página 49 do Livro de Práticas do BAM, código antigo i1009zz_1bam_g23_ftd </t>
  </si>
  <si>
    <t xml:space="preserve">i1777_1p012m_g27_e002 </t>
  </si>
  <si>
    <t>Resgatar e ajustar ilustração de 11 bonés do g23_ftd_lt_1bam_p045 código antigo i0871rm_1bam_g23_ftd 
AJUSTE: deixar apenas 4 bonés indicados a seguir.</t>
  </si>
  <si>
    <t xml:space="preserve">i1771_1p012m_g27_e002 </t>
  </si>
  <si>
    <t xml:space="preserve">Resgatar ilustração do visor de uma calculadora com o número 86, disponível em g23_ftd_lt_1bam, código antigo i1087zz_1bam_g23_ftd </t>
  </si>
  <si>
    <t xml:space="preserve">i1773_1p012m_g27_e002 </t>
  </si>
  <si>
    <t xml:space="preserve">Resgatar ilustração do visor de uma calculadora com o número 32, disponível em g23_ftd_lt_1bam, código antigo i1088zz_1bam_g23_ftd </t>
  </si>
  <si>
    <t xml:space="preserve">i1774_1p012m_g27_e002 </t>
  </si>
  <si>
    <t xml:space="preserve">Resgatar ilustração do visor de uma calculadora com o número 54, disponível em g23_ftd_lt_1bam, código antigo i1089zz_1bam_g23_ftd </t>
  </si>
  <si>
    <t xml:space="preserve">i0904_5p012m_g27_e002 </t>
  </si>
  <si>
    <t xml:space="preserve">Resgatar ilustração de vista superior de uma casa. veio de g23_ftd_lt_5bam_p075 código antigo i1604kf_5bam_g23_ftd </t>
  </si>
  <si>
    <t xml:space="preserve">i0906_5p012m_g27_e002 </t>
  </si>
  <si>
    <t xml:space="preserve">Il de camiseta verde, veio de g23_ftd_lt_5bam_p077 código antigo i1625rm_5bam_g23_ftd. </t>
  </si>
  <si>
    <t xml:space="preserve">i0907_5p012m_g27_e002 </t>
  </si>
  <si>
    <t xml:space="preserve">Il de camiseta vermelha, veio de g23_ftd_lt_5bam_p077 código antigo i1626rm_5bam_g23_ftd. </t>
  </si>
  <si>
    <t>i0908_5p012m_g27_e002</t>
  </si>
  <si>
    <t xml:space="preserve">Il de camiseta amarela, veio de g23_ftd_lt_5bam_p077 código antigo i1627rm_5bam_g23_ftd. </t>
  </si>
  <si>
    <t xml:space="preserve">i0909_5p012m_g27_e002 </t>
  </si>
  <si>
    <t xml:space="preserve">Il de camiseta preta, veio de g23_ftd_lt_5bam_p077 código antigo i1628rm_5bam_g23_ftd. </t>
  </si>
  <si>
    <t>i0913_5p012m_g27_e002</t>
  </si>
  <si>
    <t xml:space="preserve">Ilustração de bermuda azul, veio de g23_ftd_lt_5bam_p077 código antigo i1606rm_5bam_g23_ftd. </t>
  </si>
  <si>
    <t xml:space="preserve">i0910_5p012m_g27_e002 </t>
  </si>
  <si>
    <t>Ilustração do conjunto da camiseta da i0906_5p012m_g27 e bermuda da i0913_5p012m_g27 , veio de g23_ftd_lt_5bam_p077 código antigo i1629rm_5bam_g23_ftd.</t>
  </si>
  <si>
    <t>i0914_5p012m_g27_e002</t>
  </si>
  <si>
    <t xml:space="preserve">Ilustração do conjunto de camiseta e bermuda sem cor, veio de g23_ftd_lt_5bam_p077 código antigo i1631rm_5bam_g23_ftd. </t>
  </si>
  <si>
    <t>i0912_5p012m_g27_e002</t>
  </si>
  <si>
    <t xml:space="preserve">Ilustração de bermuda marrom, veio de g23_ftd_lt_5bam_p077 código antigo i1624rm_5bam_g23_ftd. </t>
  </si>
  <si>
    <t>i0911_5p012m_g27_e002</t>
  </si>
  <si>
    <t>Ilustração do conjunto da camiseta da i0906_5p012m_g27 e bermuda da i0912_5p012m_g27, veio de g23_ftd_lt_5bam_p077 código antigo i1630rm_5bam_g23_ftd.</t>
  </si>
  <si>
    <t xml:space="preserve">i0931_5p012m_g27_e002 </t>
  </si>
  <si>
    <t>EDICAO_ARTE</t>
  </si>
  <si>
    <t xml:space="preserve">Resgatar ilustração de cardápio de café da manhã de uma lanchonete. veio de g23_ftd_lt_5bam_p077 código antigo i1607rm_5bam_g23_ftd </t>
  </si>
  <si>
    <t xml:space="preserve">i0915_5p012m_g27_e002 </t>
  </si>
  <si>
    <t xml:space="preserve">Resgatar ilustração de uma menina estudando. veio de g23_ftd_lt_5bam_p078 código antigo i1608iv_5bam_g23_ftd </t>
  </si>
  <si>
    <t xml:space="preserve">i0918_5p012m_g27_e002 </t>
  </si>
  <si>
    <t xml:space="preserve">Resgatar ilustração de menino estudando e falando algo. veio de g23_ftd_lt_5bam_p082 código antigo i1611iv_5bam_g23_ftd </t>
  </si>
  <si>
    <t>i0919_5p012m_g27_e002</t>
  </si>
  <si>
    <t xml:space="preserve">Resgatar ilustração de 3 crianças brincando de carta na testa. veio de g23_ftd_lt_5bam_p084 código antigo i1612tc_5bam_g23_ftd </t>
  </si>
  <si>
    <t xml:space="preserve">i0924_5p012m_g27_e002 </t>
  </si>
  <si>
    <t xml:space="preserve">Resgatar ilustração de 3 crianças conversando. veio de g23_ftd_lt_5bam_p085 código antigo i1617tc_5bam_g23_ftd </t>
  </si>
  <si>
    <t xml:space="preserve">i0925_5p012m_g27_e002 </t>
  </si>
  <si>
    <t>Resgatar ilustração de menina. veio de g23_ftd_lt_5bam_p086 código antigo i1635tc_5bam_g23_ftd_aj</t>
  </si>
  <si>
    <t xml:space="preserve">i0930_5p012m_g27_e002 </t>
  </si>
  <si>
    <t xml:space="preserve">Resgatar ilustração de lousa. veio de g23_ftd_lt_5bam_p091 código antigo i1623zz_5bam_g23_ftd_aj </t>
  </si>
  <si>
    <t>i1910_1p012m_g27_e002</t>
  </si>
  <si>
    <t>Resgatar e ajustar ilustração das crianças medindo a massa do g23_ftd_lt_1bam_p184 código antigo i4813kb_1bam_g23_ftd
AJUSTE: Inserir um adulto cena, pode ser um profissional supervisionando as crianças</t>
  </si>
  <si>
    <t xml:space="preserve">if1102_5p012m_g27_e002 </t>
  </si>
  <si>
    <t xml:space="preserve">Resgatar ilustração de menina e passo a passo de papel dividido em 2. veio de g23_ftd_lt_5bam_p114 código antigo if2404sl_5bam_g23_ftd. 
Ajuste: dividir il em A, B e C, conforme a sequência e excluir setas. </t>
  </si>
  <si>
    <t>ILUSTRAÇÃO DE SERGIO LIMA/ARQUIVO DA EDITORA. FOTO: OLGA1818/SHUTTERSTOCK.COM</t>
  </si>
  <si>
    <t>i1103_5p012m_g27_e002</t>
  </si>
  <si>
    <t xml:space="preserve">Resgatar ilustração de círculo representando fração. veio de g23_ftd_lt_5bam_p114 código antigo it2405_4bam_g23_ftd_re </t>
  </si>
  <si>
    <t>ri</t>
  </si>
  <si>
    <t xml:space="preserve">i1104_5p012m_g27_e002 </t>
  </si>
  <si>
    <t xml:space="preserve">Resgatar ilustração de representação de fração. veio de g23_ftd_lt_5bam_p115 código antigo it2407_4bam_g23_ftd_re </t>
  </si>
  <si>
    <t xml:space="preserve">i1105_5p012m_g27_e002 </t>
  </si>
  <si>
    <t xml:space="preserve">Resgatar ilustração de representação de fração. veio de g23_ftd_lt_5bam_p115 código antigo it2406_4bam_g23_ftd_re </t>
  </si>
  <si>
    <t xml:space="preserve">i1106_5p012m_g27_e002 </t>
  </si>
  <si>
    <t xml:space="preserve">Resgatar ilustração de representação de fração. veio de g23_ftd_lt_5bam_p115 código antigo it2408_4bam_g23_ftd_re </t>
  </si>
  <si>
    <t xml:space="preserve">i1107_5p012m_g27_e002 </t>
  </si>
  <si>
    <t xml:space="preserve">Resgatar ilustração de representação de fração. veio de g23_ftd_lt_5bam_p115 código antigo it2409vc_5bam_g23_ftd </t>
  </si>
  <si>
    <t xml:space="preserve">i1108_5p012m_g27_e002 </t>
  </si>
  <si>
    <t xml:space="preserve">Resgatar ilustração de representação de fração. veio de g23_ftd_lt_5bam_p115 código antigo it2410vc_5bam_g23_ftd </t>
  </si>
  <si>
    <t xml:space="preserve">i1109_5p012m_g27_e002 </t>
  </si>
  <si>
    <t>Resgatar ilustração de representação de fração. veio de g23_ftd_lt_5bam_p115 código antigo it2411vc_5bam_g23_ftd</t>
  </si>
  <si>
    <t xml:space="preserve">i1110_5p012m_g27_e002 </t>
  </si>
  <si>
    <t xml:space="preserve">Resgatar ilustração de reta numérica. veio de g23_ftd_lt_5bam_p116 código antigo it2412vc_5bam_g23_ftd </t>
  </si>
  <si>
    <t xml:space="preserve">i1111_5p012m_g27_e002 </t>
  </si>
  <si>
    <t xml:space="preserve">Resgatar ilustração de reta numérica. veio de g23_ftd_lt_5bam_p116 código antigo it2413vc_5bam_g23_ftd </t>
  </si>
  <si>
    <t xml:space="preserve">i1112_5p012m_g27_e002 </t>
  </si>
  <si>
    <t>Resgatar ilustração de reta numérica. veio de g23_ftd_lt_5bam_p116 código antigo it2414vc_5bam_g23_ftd</t>
  </si>
  <si>
    <t xml:space="preserve">i1113_5p012m_g27_e002 </t>
  </si>
  <si>
    <t xml:space="preserve">Resgatar ilustração de reta numérica. veio de g23_ftd_lt_5bam_p116 código antigo it2415vc_5bam_g23_ftd </t>
  </si>
  <si>
    <t xml:space="preserve">i1114_5p012m_g27_e002 </t>
  </si>
  <si>
    <t>Resgatar ilustração de camisetas. veio de g23_ftd_lt_5bam_p117 código antigo i2416pm_5bam_g23_ftd</t>
  </si>
  <si>
    <t xml:space="preserve">i1115_5p012m_g27_e002 </t>
  </si>
  <si>
    <t xml:space="preserve">Resgatar ilustração de 30 estudantes. veio de g23_ftd_lt_5bam_p118 código antigo i2417sl_5bam_g23_ftd </t>
  </si>
  <si>
    <t xml:space="preserve">i1116_5p012m_g27_e002 </t>
  </si>
  <si>
    <t>Resgatar ilustração de 30 estudantes. veio de g23_ftd_lt_5bam_p118 código antigo i2418sl_5bam_g23_ftd</t>
  </si>
  <si>
    <t xml:space="preserve">i1117_5p012m_g27_e002 </t>
  </si>
  <si>
    <t xml:space="preserve">Resgatar ilustração de 30 estudantes. veio de g23_ftd_lt_5bam_p118 código antigo i2419sl_5bam_g23_ftd </t>
  </si>
  <si>
    <t xml:space="preserve">i1118_5p012m_g27_e002 </t>
  </si>
  <si>
    <t xml:space="preserve">Resgatar ilustração de marcador de combustível veio de g23_ftd_lt_5bam_p120 código antigo it2420_4bam_g23_ftd_re </t>
  </si>
  <si>
    <t>rr</t>
  </si>
  <si>
    <t xml:space="preserve">if1119_5p012m_g27_e002 </t>
  </si>
  <si>
    <t>Resgatar ilustração de professora ensinando na lousa. veio de g23_ftd_lt_5bam_p121 código antigo if2421sl_5bam_g23_ftd_ef</t>
  </si>
  <si>
    <t xml:space="preserve">i1120_5p012m_g27_e002 </t>
  </si>
  <si>
    <t xml:space="preserve">Resgatar ilustração de representação de fração. veio de g23_ftd_lt_5bam_p121 código antigo it2422_4bam_g23_ftd_re </t>
  </si>
  <si>
    <t xml:space="preserve">i1121_5p012m_g27_e002 </t>
  </si>
  <si>
    <t xml:space="preserve">Resgatar ilustração de representação de fração. veio de g23_ftd_lt_5bam_p122 código antigo it2423_4bam_g23_ftd_re </t>
  </si>
  <si>
    <t xml:space="preserve">i1122_5p012m_g27_e002 </t>
  </si>
  <si>
    <t xml:space="preserve">Resgatar ilustração de representação de fração. veio de g23_ftd_lt_5bam_p122 código antigo it2424_4bam_g23_ftd_re </t>
  </si>
  <si>
    <t xml:space="preserve">i1123_5p012m_g27_e002 </t>
  </si>
  <si>
    <t xml:space="preserve">Resgatar ilustração de reta numérica veio de g23_ftd_lt_5bam_p123 código antigo it2427vc_5bam_g23_ftd </t>
  </si>
  <si>
    <t xml:space="preserve">i1124_5p012m_g27_e002 </t>
  </si>
  <si>
    <t xml:space="preserve">Resgatar ilustração de reta numérica veio de g23_ftd_lt_5bam_p123 código antigo it2428vc_5bam_g23_ftd </t>
  </si>
  <si>
    <t xml:space="preserve">i1125_5p012m_g27_e002 </t>
  </si>
  <si>
    <t xml:space="preserve">Resgatar ilustração de reta numérica veio de g23_ftd_lt_5bam_p123 código antigo it2429vc_5bam_g23_ftd </t>
  </si>
  <si>
    <t xml:space="preserve">i1126_5p012m_g27_e002 </t>
  </si>
  <si>
    <t xml:space="preserve">Resgatar ilustração de reta numérica. veio de g23_ftd_lt_5bam_p123 código antigo it2430vc_5bam_g23_ftd </t>
  </si>
  <si>
    <t xml:space="preserve">i1127_5p012m_g27_e002 </t>
  </si>
  <si>
    <t xml:space="preserve">Resgatar ilustração de representação de fração. veio de g23_ftd_lt_5bam_p124 código antigo it2431vc_5bam_g23_ftd </t>
  </si>
  <si>
    <t xml:space="preserve">i1128_5p012m_g27_e002 </t>
  </si>
  <si>
    <t xml:space="preserve">Resgatar ilustração de representação de fração. veio de g23_ftd_lt_5bam_p124 código antigo it2432vc_5bam_g23_ftd </t>
  </si>
  <si>
    <t xml:space="preserve">i1129_5p012m_g27_e002 </t>
  </si>
  <si>
    <t xml:space="preserve">Resgatar ilustração de representação de fração. veio de g23_ftd_lt_5bam_p124 código antigo it2433vc_5bam_g23_ftd </t>
  </si>
  <si>
    <t xml:space="preserve">i1131_5p012m_g27_e002 </t>
  </si>
  <si>
    <t xml:space="preserve">Resgatar ilustração de representação de fração. veio de g23_ftd_lt_5bam_p124 código antigo it2435vc_5bam_g23_ftd </t>
  </si>
  <si>
    <t xml:space="preserve">i1132_5p012m_g27_e002 </t>
  </si>
  <si>
    <t xml:space="preserve">Resgatar ilustração de representação de fração. veio de g23_ftd_lt_5bam_p124 código antigo it2436vc_5bam_g23_ftd </t>
  </si>
  <si>
    <t xml:space="preserve">i1133_5p012m_g27_e002 </t>
  </si>
  <si>
    <t xml:space="preserve">Resgatar ilustração de representação de fração. veio de g23_ftd_lt_5bam_p124 código antigo it2437vc_5bam_g23_ftd </t>
  </si>
  <si>
    <t xml:space="preserve">i1134_5p012m_g27_e002 </t>
  </si>
  <si>
    <t xml:space="preserve">Resgatar ilustração de representação de fração. veio de g23_ftd_lt_5bam_p125 código antigo it2458sl_5bam_g23_ftd </t>
  </si>
  <si>
    <t xml:space="preserve">i1135_5p012m_g27_e002 </t>
  </si>
  <si>
    <t xml:space="preserve">Resgatar ilustração de representação de fração. veio de g23_ftd_lt_5bam_p125 código antigo it2459sl_5bam_g23_ftd </t>
  </si>
  <si>
    <t xml:space="preserve">i1136_5p012m_g27_e002 </t>
  </si>
  <si>
    <t xml:space="preserve">Resgatar ilustração de representação de fração. veio de g23_ftd_lt_5bam_p125 código antigo it2460sl_5bam_g23_ftd </t>
  </si>
  <si>
    <t xml:space="preserve">i1139_5p012m_g27_e002 </t>
  </si>
  <si>
    <t xml:space="preserve">Resgatar ilustração de representação geométrica em formato de barra de frações. veio de g23_ftd_lt_5bam_p128 código antigo it2443_5bam_g23_ftd </t>
  </si>
  <si>
    <t xml:space="preserve">i1142_5p012m_g27_e002 </t>
  </si>
  <si>
    <t xml:space="preserve">Resgatar ilustração de reta numérica veio de g23_ftd_lt_5bam_p130 código antigo it2446vc_5bam_g23_ftd </t>
  </si>
  <si>
    <t xml:space="preserve">i1143_5p012m_g27_e002 </t>
  </si>
  <si>
    <t>Resgatar ilustração de representação de frações veio de g23_ftd_lt_5bam_p131 código antigo it2447_4bam_g23_ftd_re</t>
  </si>
  <si>
    <t xml:space="preserve">i1144_5p012m_g27_e002 </t>
  </si>
  <si>
    <t xml:space="preserve">Resgatar ilustração de representação de fração veio de g23_ftd_lt_5bam_p131 código antigo it2448_4bam_g23_ftd_re </t>
  </si>
  <si>
    <t xml:space="preserve">i1150_5p012m_g27_e002 </t>
  </si>
  <si>
    <t xml:space="preserve">Resgatar ilustração de carros azuis e vermelhos em estacionamento. veio de g23_ftd_lt_5bam_p132 código antigo if2449pm_5bam_g23_ftd </t>
  </si>
  <si>
    <t xml:space="preserve">if1146_5p012m_g27_e002 </t>
  </si>
  <si>
    <t xml:space="preserve">Resgatar ilustração de menina veio de g23_ftd_lt_5bam_p133 código antigo if2450sl_5bam_g23_ftd_ef </t>
  </si>
  <si>
    <t>ILUSTRAÇÃO DE SERGIO LIMA/ARQUIVO DA EDITORA. FOTO: COLORFUEL STUDIO/SHUTTERSTOCK.COM</t>
  </si>
  <si>
    <t>i1302_5p012m_g27_e002</t>
  </si>
  <si>
    <t xml:space="preserve">Resgatar ilustração de ângulos; g23_ftd_lt_5bam_p94; código antigo it2087sl_5bam_g23_ftd.png </t>
  </si>
  <si>
    <t>i1389_5p012m_g27_e002</t>
  </si>
  <si>
    <t xml:space="preserve">Resgatar ilustração de ângulos; g23_ftd_lt_5bam_p94; código antigo it2088sl_5bam_g23_ftd.png </t>
  </si>
  <si>
    <t xml:space="preserve">i1304_5p012m_g27_e002 </t>
  </si>
  <si>
    <t xml:space="preserve">Resgatar ilustração círculo verde com indicação de 1 grau; g23_ftd_lt_5bam_p94; código antigo it2003_5bam_g23_ftd_re.png </t>
  </si>
  <si>
    <t xml:space="preserve">i1305_5p012m_g27_e002 </t>
  </si>
  <si>
    <t xml:space="preserve">Resgatar ilustração estruturas de uma representação de ângulo; g23_ftd_lt_5bam_p94; código antigo it2004ri_5bam_g23_ftd_aj.png </t>
  </si>
  <si>
    <t xml:space="preserve">i1306_5p012m_g27_e002 </t>
  </si>
  <si>
    <t>Resgatar ilustração ângulo QÔP; g23_ftd_lt_5bam_p94; código antigo it2005vc_5bam_g23_ftd.png</t>
  </si>
  <si>
    <t xml:space="preserve">i1307_5p012m_g27_e002 </t>
  </si>
  <si>
    <t xml:space="preserve">Resgatar ilustração representação do ângulo FÊG; g23_ftd_lt_5bam_p94; código antigo it2006vc_5bam_g23_ftd.png </t>
  </si>
  <si>
    <t xml:space="preserve">i1308_5p012m_g27_e002 </t>
  </si>
  <si>
    <t xml:space="preserve">Resgatar ilustração representação de um ângulo 
AB^C=30°; g23_ftd_lt_5bam_p95; código antigo it2008vc_5bam_g23_ftd.png </t>
  </si>
  <si>
    <t xml:space="preserve">i1309_5p012m_g27_e002 </t>
  </si>
  <si>
    <t xml:space="preserve">Resgatar ilustração representação de um ângulo 
DEˆF=90°; g23_ftd_lt_5bam_p94; código antigo it2009vc_5bam_g23_ftd.png </t>
  </si>
  <si>
    <t xml:space="preserve">i1310_5p012m_g27_e002 </t>
  </si>
  <si>
    <t xml:space="preserve">Resgatar ilustração representação de um ângulo 
GHˆI=180°; g23_ftd_lt_5bam_p94; código antigo it2010vc_5bam_g23_ftd.png </t>
  </si>
  <si>
    <t xml:space="preserve">i1311_5p012m_g27_e002 </t>
  </si>
  <si>
    <t xml:space="preserve">Resgatar ilustração representação de um ângulo 
JKˆL=120°; g23_ftd_lt_5bam_p94; código antigo  it2011vc_5bam_g23_ftd.png </t>
  </si>
  <si>
    <t>i1312_5p012m_g27_e002</t>
  </si>
  <si>
    <t xml:space="preserve">Resgatar ilustração de representação de dois ângulos dentro da tela de um software de gráficos, g23_ftd_lt_5bam_p95; código antigo i2012gu_5bam_g23_ftd.png </t>
  </si>
  <si>
    <t xml:space="preserve">if1313_5p012m_g27_e002 </t>
  </si>
  <si>
    <t xml:space="preserve">Resgatar ilustração professora explicando em um quadro negro os tipos de linhas poligonais; g23_ftd_lt_5bam_p96; código antigo if2013pn_5bam_g23_ftd.png </t>
  </si>
  <si>
    <t>ILUSTRAÇÕES DE RAFAELA PANISSA/ARQUIVO DA EDITORA. FOTO: FOXELLE ART/SHUTTERSTOCK.COM</t>
  </si>
  <si>
    <t xml:space="preserve">if1314_5p012m_g27_e002 </t>
  </si>
  <si>
    <t xml:space="preserve">Resgatar ilustração professora explicando em um quadro negro os tipos de linhas poligonais; g23_ftd_lt_5bam_p96; código antigo if2014pn_5bam_g23_ftd.png </t>
  </si>
  <si>
    <t>i1315_5p012m_g27_e002</t>
  </si>
  <si>
    <t xml:space="preserve">Resgatar ilustração hexágono azul; g23_ftd_lt_5bam_p97; código antigo it2015vc_5bam_g23_ftd.png </t>
  </si>
  <si>
    <t xml:space="preserve">i1316_5p012m_g27_e002 </t>
  </si>
  <si>
    <t xml:space="preserve">Resgatar ilustração meia elipse; g23_ftd_lt_5bam_p97; código antigo it2016vc_5bam_g23_ftd.png </t>
  </si>
  <si>
    <t xml:space="preserve">i1317_5p012m_g27_e002 </t>
  </si>
  <si>
    <t xml:space="preserve">Resgatar ilustração hexágono vermelho; g23_ftd_lt_5bam_p97; código antigo it2017vc_5bam_g23_ftd.png </t>
  </si>
  <si>
    <t xml:space="preserve">i1318_5p012m_g27_e002 </t>
  </si>
  <si>
    <t xml:space="preserve">Resgatar ilustração figura plana amarela; g23_ftd_lt_5bam_p97; código antigo it2018vc_5bam_g23_ftd.png </t>
  </si>
  <si>
    <t xml:space="preserve">i1319_5p012m_g27_e002 </t>
  </si>
  <si>
    <t xml:space="preserve">Resgatar ilustração figura plana verde; g23_ftd_lt_5bam_p97; código antigo it2019vc_5bam_g23_ftd.png </t>
  </si>
  <si>
    <t xml:space="preserve">i1320_5p012m_g27_e002 </t>
  </si>
  <si>
    <t xml:space="preserve">Resgatar ilustração quadrado azul; g23_ftd_lt_5bam_p97; código antigo it2020vc_5bam_g23_ftd.png </t>
  </si>
  <si>
    <t xml:space="preserve">i1321_5p012m_g27_e002 </t>
  </si>
  <si>
    <t xml:space="preserve">Resgatar ilustração hexágono verde com indicações para o ângulo; g23_ftd_lt_5bam_p97; código antigo it2021vc_5bam_g23_ftd.png </t>
  </si>
  <si>
    <t xml:space="preserve">i1322_5p012m_g27_e002 </t>
  </si>
  <si>
    <t xml:space="preserve">Resgatar ilustração polígono triângulo indicações dos ângulos internos; g23_ftd_lt_5bam_p97; código antigo it2022vc_5bam_g23_ftd.png </t>
  </si>
  <si>
    <t xml:space="preserve">i1323_5p012m_g27_e002 </t>
  </si>
  <si>
    <t xml:space="preserve">Resgatar ilustração polígono quadrilátero indicações dos ângulos internos; g23_ftd_lt_5bam_p97; código antigo it2023vc_5bam_g23_ftd.png </t>
  </si>
  <si>
    <t xml:space="preserve">i1324_5p012m_g27_e002 </t>
  </si>
  <si>
    <t xml:space="preserve">Resgatar ilustração polígono pentágono indicações dos ângulos internos; g23_ftd_lt_5bam_p97; código antigo it2024vc_5bam_g23_ftd.png </t>
  </si>
  <si>
    <t xml:space="preserve">i1325_5p012m_g27_e002 </t>
  </si>
  <si>
    <t xml:space="preserve">Resgatar ilustração polígono hexágono indicações dos ângulos internos; g23_ftd_lt_5bam_p97; código antigo it2025vc_5bam_g23_ftd.png </t>
  </si>
  <si>
    <t xml:space="preserve">i1326_5p012m_g27_e002 </t>
  </si>
  <si>
    <t xml:space="preserve">Resgatar ilustração polígono heptágono indicações dos ângulos internos; g23_ftd_lt_5bam_p97; código antigo it2026vc_5bam_g23_ftd.png </t>
  </si>
  <si>
    <t xml:space="preserve">i1327_5p012m_g27_e002 </t>
  </si>
  <si>
    <t xml:space="preserve">Resgatar ilustração polígono octógono indicações dos ângulos internos; g23_ftd_lt_5bam_p97; código antigo it2027vc_5bam_g23_ftd.png </t>
  </si>
  <si>
    <t xml:space="preserve">i1328_5p012m_g27_e002 </t>
  </si>
  <si>
    <t xml:space="preserve">Resgatar ilustração polígono hexágono regular azul; g23_ftd_lt_5bam_p98; código antigo it2028ri_5bam_g23_ftd_aj.png </t>
  </si>
  <si>
    <t xml:space="preserve">i1329_5p012m_g27_e002 </t>
  </si>
  <si>
    <t xml:space="preserve">Resgatar ilustração polígono triângulo irregular verde; g23_ftd_lt_5bam_p98; código antigo it2029_5bam_g23_ftd_re.png </t>
  </si>
  <si>
    <t xml:space="preserve">i1330_5p012m_g27_e002 </t>
  </si>
  <si>
    <t xml:space="preserve">Resgatar ilustração polígono quadrilátero regular laranja; g23_ftd_lt_5bam_p98; código antigo it2030ri_5bam_g23_ftd_aj.png </t>
  </si>
  <si>
    <t xml:space="preserve">i1331_5p012m_g27_e002 </t>
  </si>
  <si>
    <t xml:space="preserve">Resgatar ilustração polígono quadrilátero irregular roxo; g23_ftd_lt_5bam_p98; código antigo it2031_5bam_g23_ftd_re.png </t>
  </si>
  <si>
    <t xml:space="preserve">i1332_5p012m_g27_e002 </t>
  </si>
  <si>
    <t xml:space="preserve">Resgatar ilustração polígono octógono regular vermelho; g23_ftd_lt_5bam_p98; código antigo it2032ri_5bam_g23_ftd_aj.png </t>
  </si>
  <si>
    <t xml:space="preserve">i1333_5p012m_g27_e002 </t>
  </si>
  <si>
    <t xml:space="preserve">Resgatar ilustração polígono triângulo regular amarelo; g23_ftd_lt_5bam_p98; código antigo it2033ri_5bam_g23_ftd_aj.png </t>
  </si>
  <si>
    <t xml:space="preserve">i1334_5p012m_g27_e002 </t>
  </si>
  <si>
    <t xml:space="preserve">Resgatar ilustrações tira de folha de papel sulfite entrelaçado 1; g23_ftd_lt_5bam_p98; código antigo i2034vc_5bam_g23_ftd </t>
  </si>
  <si>
    <t xml:space="preserve">i1335_5p012m_g27_e002 </t>
  </si>
  <si>
    <t xml:space="preserve">Resgatar ilustração tira de folha de papel sulfite entrelaçado 2; g23_ftd_lt_5bam_p98; código antigo i2035vc_5bam_g23_ftd </t>
  </si>
  <si>
    <t xml:space="preserve">i1336_5p012m_g27_e002 </t>
  </si>
  <si>
    <t xml:space="preserve">Resgatar ilustração tira de folha de papel sulfite entrelaçado 3 com indicações para recorte; g23_ftd_lt_5bam_p98; código antigo i2036vc_5bam_g23_ftd </t>
  </si>
  <si>
    <t xml:space="preserve">i1337_5p012m_g27_e002 </t>
  </si>
  <si>
    <t xml:space="preserve">Resgatar ilustração polígono triângulo com indicações de cada parte; g23_ftd_lt_5bam_p99; código antigo it2037vc_5bam_g23_ftd.jpg </t>
  </si>
  <si>
    <t xml:space="preserve">i1338_5p012m_g27_e002 </t>
  </si>
  <si>
    <t xml:space="preserve">Resgatar ilustração triângulo equilátero ABC; g23_ftd_lt_5bam_p99; código antigo it2039_5bam_g23_ftd_re.jpg </t>
  </si>
  <si>
    <t>i1339_5p012m_g27_e002</t>
  </si>
  <si>
    <t xml:space="preserve">Resgatar ilustração triângulo escaleno; g23_ftd_lt_5bam_p99; código antigo it2040_5bam_g23_ftd_re.jpg </t>
  </si>
  <si>
    <t xml:space="preserve">i1340_5p012m_g27_e002 </t>
  </si>
  <si>
    <t xml:space="preserve">Resgatar ilustração triângulo isósceles; g23_ftd_lt_5bam_p99; código antigo it2041_5bam_g23_ftd_re.jpg </t>
  </si>
  <si>
    <t xml:space="preserve">i1341_5p012m_g27_e002 </t>
  </si>
  <si>
    <t xml:space="preserve">Resgatar ilustração segmento AB de 3cm sendo traçado por um lápis com auxílio de uma régua; g23_ftd_lt_5bam_p100; código antigo i2042_5bam_g23_ftd_re.jpg </t>
  </si>
  <si>
    <t xml:space="preserve">i1342_5p012m_g27_e002 </t>
  </si>
  <si>
    <t xml:space="preserve">Resgatar ilustração compasso com ponta seca em B, traçando um arco com abertura de 5cm; g23_ftd_lt_5bam_p100; código antigo i2044_5bam_g23_ftd_re.jpg </t>
  </si>
  <si>
    <t xml:space="preserve">i1343_5p012m_g27_e002 </t>
  </si>
  <si>
    <t xml:space="preserve">Resgatar ilustração compasso com ponta seca em A, traçando um arco com abertura de 5cm; g23_ftd_lt_5bam_p100; código antigo i2044b_5bam_g23_ftd_re.jpg </t>
  </si>
  <si>
    <t xml:space="preserve">i1344_5p012m_g27_e002 </t>
  </si>
  <si>
    <t xml:space="preserve">Resgatar ilustração triângulo formado pelo pontos A e B, e o ponto de interseção entre os arcos traçados, C; g23_ftd_lt_5bam_p100; código antigo i2045_5bam_g23_ftd_re.jpg </t>
  </si>
  <si>
    <t xml:space="preserve">i1345_5p012m_g27_e002 </t>
  </si>
  <si>
    <t xml:space="preserve">Resgatar ilustração triângulo isósceles roxo com as medidas dos lados; g23_ftd_lt_5bam_p101; código antigo it2046a_5bam_g23_ftd_re.jpg </t>
  </si>
  <si>
    <t xml:space="preserve">i1346_5p012m_g27_e002 </t>
  </si>
  <si>
    <t xml:space="preserve">Resgatar ilustração triângulo equilátero roxo com as medidas dos lados; g23_ftd_lt_5bam_p101; código antigo it2046b_5bam_g23_ftd_re.jpg </t>
  </si>
  <si>
    <t xml:space="preserve">i1347_5p012m_g27_e002 </t>
  </si>
  <si>
    <t xml:space="preserve">Resgatar ilustração triângulo escaleno roxo com as medidas dos lados; g23_ftd_lt_5bam_p101; código antigo it2046c_5bam_g23_ftd_re.jpg </t>
  </si>
  <si>
    <t xml:space="preserve">i1348_5p012m_g27_e002 </t>
  </si>
  <si>
    <t xml:space="preserve">Resgatar ilustração triângulo equilátero 2 roxo com as medidas dos lados; g23_ftd_lt_5bam_p101; código antigo it2046d_5bam_g23_ftd_re.jpg </t>
  </si>
  <si>
    <t xml:space="preserve">i1349_5p012m_g27_e002 </t>
  </si>
  <si>
    <t xml:space="preserve">Resgatar ilustração triângulo azul com medidas de 5cm, 4cm e 3cm; g23_ftd_lt_5bam_p101; código antigo it2047vc_5bam_g23_ftd.jpg </t>
  </si>
  <si>
    <t xml:space="preserve">i1350_5p012m_g27_e002 </t>
  </si>
  <si>
    <t xml:space="preserve">Resgatar ilustração partes de um triângulo com aberturas de 3cm, e arcos tracejados; g23_ftd_lt_5bam_p101; código antigo it2048vc_5bam_g23_ftd.jpg </t>
  </si>
  <si>
    <t xml:space="preserve">i1351_5p012m_g27_e002 </t>
  </si>
  <si>
    <t xml:space="preserve">Resgatar ilustração triângulo de folha caderno com ângulos internos pintados de cores diferentes; g23_ftd_lt_5bam_p102; código antigo i2049vc_5bam_g23_ftd.jpg </t>
  </si>
  <si>
    <t xml:space="preserve">i1352_5p012m_g27_e002 </t>
  </si>
  <si>
    <t xml:space="preserve">Resgatar ilustração triângulo de folha caderno com ângulos internos pintados de cores diferentes rasgado em 3 partes; g23_ftd_lt_5bam_p102; código antigo i2050vc_5bam_g23_ftd </t>
  </si>
  <si>
    <t xml:space="preserve">i1353_5p012m_g27_e002 </t>
  </si>
  <si>
    <t xml:space="preserve">Resgatar ilustração partes do triângulo rasgado, juntados com os ângulos destacados; g23_ftd_lt_5bam_p102; código antigo i2051vc_5bam_g23_ftd </t>
  </si>
  <si>
    <t xml:space="preserve">i1354_5p012m_g27_e002 </t>
  </si>
  <si>
    <t xml:space="preserve">Resgatar ilustração triângulo ABC com ângulos internos indicados 35° e 87°; g23_ftd_lt_5bam_p102; código antigo it2052_5bam_g23_ftd_re.jpg </t>
  </si>
  <si>
    <t xml:space="preserve">i1355_5p012m_g27_e002 </t>
  </si>
  <si>
    <t xml:space="preserve">Resgatar ilustração triângulo DEF com ângulos internos indicados 60° e 60°; g23_ftd_lt_5bam_p102; código antigo it2053_5bam_g23_ftd_re.jpg </t>
  </si>
  <si>
    <t xml:space="preserve">i1356_5p012m_g27_e002 </t>
  </si>
  <si>
    <t xml:space="preserve">Resgatar ilustração triângulo GHI com ângulos internos indicaodos 40° e 100°; g23_ftd_lt_5bam_p102; código antigo it2054_5bam_g23_ftd_re.jpg </t>
  </si>
  <si>
    <t xml:space="preserve">i1357_5p012m_g27_e002 </t>
  </si>
  <si>
    <t xml:space="preserve">Resgatar ilustração de bandeira de Minas Gerais; g23_ftd_lt_5bam_p103; código antigo i2055_5bam_g23_ftd.jpg </t>
  </si>
  <si>
    <t>ye</t>
  </si>
  <si>
    <t>MINAS GERAIS/ARQUIVO DA EDITORA</t>
  </si>
  <si>
    <t xml:space="preserve">i1358_5p012m_g27_e002 </t>
  </si>
  <si>
    <t xml:space="preserve">Resgatar ilustração triângulo KLM com ângulos internos indicados; g23_ftd_lt_5bam_p103; código antigo it2056_5bam_g23_ftd_re.jpg </t>
  </si>
  <si>
    <t xml:space="preserve">i1359_5p012m_g27_e002 </t>
  </si>
  <si>
    <t xml:space="preserve">Resgatar ilustração triângulo NOP com ângulos internos indicados; g23_ftd_lt_5bam_p103; código antigo it2057_5bam_g23_ftd_re.jpg </t>
  </si>
  <si>
    <t xml:space="preserve">i1360_5p012m_g27_e002 </t>
  </si>
  <si>
    <t xml:space="preserve">Resgatar ilustração triângulo RST com ângulos internos indicados; g23_ftd_lt_5bam_p103; código antigo it2058_5bam_g23_ftd_re.jpg </t>
  </si>
  <si>
    <t xml:space="preserve">i1361_5p012m_g27_e002 </t>
  </si>
  <si>
    <t xml:space="preserve">Resgatar ilustração polígono quadrilátero azul ABCD, com ângulos internos indicados; g23_ftd_lt_5bam_p104; código antigo it2059vc_5bam_g23_ftd.jpg </t>
  </si>
  <si>
    <t xml:space="preserve">i1362_5p012m_g27_e002 </t>
  </si>
  <si>
    <t xml:space="preserve">Resgatar ilustração malha triangular com 4 equiláteros de cores diferentes; g23_ftd_lt_5bam_p104; código antigo i2061zz_5bam_g23_ftd </t>
  </si>
  <si>
    <t xml:space="preserve">i1364_5p012m_g27_e002 </t>
  </si>
  <si>
    <t xml:space="preserve">Resgatar 3 trapézio, um quadrado, um losango e um retângulo em uma malha pontilhada; g23_ftd_lt_5bam_p105; código antigo i2063zz_5bam_g23_ftd.jpg </t>
  </si>
  <si>
    <t xml:space="preserve">i1367_5p012m_g27_e002 </t>
  </si>
  <si>
    <t xml:space="preserve">Resgatar ilustração losango vermelho; g23_ftd_lt_5bam_p106; código antigo it2066_5bam_g23_ftd_re.jpg </t>
  </si>
  <si>
    <t xml:space="preserve">i1368_5p012m_g27_e002 </t>
  </si>
  <si>
    <t xml:space="preserve">Resgatar ilustração retângulo azul; g23_ftd_lt_5bam_p106; código antigo it2067_5bam_g23_ftd_re.jpg </t>
  </si>
  <si>
    <t xml:space="preserve">i1369_5p012m_g27_e002 </t>
  </si>
  <si>
    <t xml:space="preserve">Resgatar ilustração losango roxo; g23_ftd_lt_5bam_p106; código antigo it2068_5bam_g23_ftd_re.jpg </t>
  </si>
  <si>
    <t xml:space="preserve">i1370_5p012m_g27_e002 </t>
  </si>
  <si>
    <t xml:space="preserve">Resgatar ilustração quadrado verde; g23_ftd_lt_5bam_p106; código antigo it2069_5bam_g23_ftd_re.jpg </t>
  </si>
  <si>
    <t xml:space="preserve">i1371_5p012m_g27_e002 </t>
  </si>
  <si>
    <t xml:space="preserve">Resgatar ilustração quadrado laranja; g23_ftd_lt_5bam_p106; código antigo it2070_5bam_g23_ftd_re.jpg </t>
  </si>
  <si>
    <t xml:space="preserve">i1372_5p012m_g27_e002 </t>
  </si>
  <si>
    <t xml:space="preserve">Resgatar ilustração retângulo amarelo; g23_ftd_lt_5bam_p106; código antigo it2071_5bam_g23_ftd_re.jpg </t>
  </si>
  <si>
    <t xml:space="preserve">i1373_5p012m_g27_e002 </t>
  </si>
  <si>
    <t xml:space="preserve">Resgatar lustração 5 triângulos isósceles iguais congruentes, que juntos forma um pentágono; g23_ftd_lt_5bam_p106 código antigo it2072_5bam_g23_ftd_re.jpg </t>
  </si>
  <si>
    <t xml:space="preserve">i1374_5p012m_g27_e002 </t>
  </si>
  <si>
    <t xml:space="preserve">Resgatar ilustração segmento AB de 5cm traçado com auxílio de uma régua, e um ponto marcando 60° com auxílio de um transferidor; g23_ftd_lt_5bam_p107; código antigo i2073zz_5bam_g23_ftd.jpg </t>
  </si>
  <si>
    <t xml:space="preserve">i1375_5p012m_g27_e002 </t>
  </si>
  <si>
    <t xml:space="preserve">Resgatar ilustração arco traçado com um compasso com ponta seca em A de abertura de 3cm sobre uma semirreta saindo de A; g23_ftd_lt_5bam_p107; código antigo it2074_5bam_g23_ftd_re.jpg </t>
  </si>
  <si>
    <t xml:space="preserve">i1376_5p012m_g27_e002 </t>
  </si>
  <si>
    <t xml:space="preserve">Resgatar ilustração arco traçado com um compasso com ponta seca em B de abertura de 3cm; g23_ftd_lt_5bam_p107; código antigo it2075_5bam_g23_ftd_re.jpg </t>
  </si>
  <si>
    <t xml:space="preserve">i1377_5p012m_g27_e002 </t>
  </si>
  <si>
    <t xml:space="preserve">Resgatar ilustração arco traçado com um compasso com ponta seca em C de abertura de 5cm sobre o arco traçado anteriormente, e paralelogramo formado pelos pontos A, B, C e D; g23_ftd_lt_5bam_p107; código antigo it2076_5bam_g23_ftd_re.jpg </t>
  </si>
  <si>
    <t xml:space="preserve">i1380_5p012m_g27_e002 </t>
  </si>
  <si>
    <t xml:space="preserve">Resgatar ilustração malha quadriculada com quadrados de diferentes tamanhos; g23_ftd_lt_5bam_p109; código antigo i2078zz_5bam_g23_ftd.jpg </t>
  </si>
  <si>
    <t xml:space="preserve">i1382_5p012m_g27_e002 </t>
  </si>
  <si>
    <t xml:space="preserve">Resgatar ilustração paralelogramo verde, e outros dois paralelogramos em cor resposta, um reduzido e outro ampliado; g23_ftd_lt_5bam_p110; código antigo i2080zz_5bam_g23_ftd 
AJUSTE: retirar as figuras em cor resposta </t>
  </si>
  <si>
    <t xml:space="preserve">i1383_5p012m_g27_e002 </t>
  </si>
  <si>
    <t xml:space="preserve">Resgatar ilustração trapézio vermelho em uma malha quadriculada 1x1 cm; g23_ftd_lt_5bam_p110; código antigo i2081_5bam_g23_ftd_re.jpg </t>
  </si>
  <si>
    <t xml:space="preserve">i1384_5p012m_g27_e002 </t>
  </si>
  <si>
    <t xml:space="preserve">Resgatar ilustração trapézio vermelho em uma malha quadriculada 2x2 cm; g23_ftd_lt_5bam_p110; código antigo i2082zz_5bam_g23_ftd.jpg </t>
  </si>
  <si>
    <t xml:space="preserve">i2102_5p012m_g27_e002 </t>
  </si>
  <si>
    <t xml:space="preserve">Resgatar ilustração de uma tabela com colunas de A a D e linhas de 1 a 9, disponível em g23_ftd_lt_5bam_p204 código i4018zz_5bam_g23_ftd 
AJUSTE: ajustar de acordo com padrão atual </t>
  </si>
  <si>
    <t xml:space="preserve">if2104_5p012m_g27_e002 </t>
  </si>
  <si>
    <t xml:space="preserve">Resgatar ilustração+foto de um retângulo com 24 quadradinhos em branco, com a representação de casa, mercado, padaria em três dos quadradinhos, disponível em g23_ftd_lt_5bam_205, código if4019vc_5bam_g23_ftd </t>
  </si>
  <si>
    <t>ILUSTRAÇÃO DE VINICIUS COSTA/ARQUIVO DA EDITORA. FOTOS: JOHAVEL/SHUTTERSTOCK.COM, JOENI91/SHUTTERSTOCK.COM E MACROVECTOR/SHUTTERSTOCK.COM</t>
  </si>
  <si>
    <t xml:space="preserve">i2106_5p012m_g27_e002 </t>
  </si>
  <si>
    <t xml:space="preserve">resgatar e ajustar ilustração de um peão branco e outro preto de um tabuleiro de xadrez, disponível em g23_ftd_lt_5bam_p206 código i4004zz_5bam_g23_ftd
AJUSTE: cropar ilustração deixando somente as peças do print abaixo para esse código
</t>
  </si>
  <si>
    <t>CYNTHIA SEKIGUCHI/ARQUIVO DA EDITORA</t>
  </si>
  <si>
    <t xml:space="preserve">i2107_5p012m_g27_e002 </t>
  </si>
  <si>
    <t xml:space="preserve">resgatar e ajustar ilustração de duas peças de xadrez, uma torre branca e uma preta, disponível em g23_ftd_lt_5bam_p206 código i4004zz_5bam_g23_ftd
AJUSTE: cropar ilustração deixando somente as peças do print abaixo para esse código
</t>
  </si>
  <si>
    <t xml:space="preserve">i2108_5p012m_g27_e002 </t>
  </si>
  <si>
    <t xml:space="preserve">resgatar e ajustar ilustração de duas peças de xadrez, um cavalo branco e um preto, disponível em g23_ftd_lt_5bam_p206 código i4004zz_5bam_g23_ftd
AJUSTE: cropar ilustração deixando somente as peças do print abaixo para esse código
</t>
  </si>
  <si>
    <t xml:space="preserve">i2109_5p012m_g27_e002 </t>
  </si>
  <si>
    <t xml:space="preserve">resgatar e ajustar ilustração de duas peças de xadrez, um bispo branco e outro preto, disponível em g23_ftd_lt_5bam_p206 código i4004zz_5bam_g23_ftd
AJUSTE: cropar ilustração deixando somente as peças do print abaixo para esse código
</t>
  </si>
  <si>
    <t xml:space="preserve">i2110_5p012m_g27_e002 </t>
  </si>
  <si>
    <t xml:space="preserve">resgatar e ajustar ilustração de duas peças de xadrez, uma rainha branca e outra preta, disponível em g23_ftd_lt_5bam_p206 código i4004zz_5bam_g23_ftd
AJUSTE: cropar ilustração deixando somente as peças do print abaixo para esse código
</t>
  </si>
  <si>
    <t xml:space="preserve">i2111_5p012m_g27_e002 </t>
  </si>
  <si>
    <t xml:space="preserve">resgatar e ajustar ilustração de duas peças de xadrez, um rei branco e outro preto, disponível em g23_ftd_lt_5bam_p206 código i4004zz_5bam_g23_ftd
AJUSTE: cropar ilustração deixando somente as peças do print abaixo para esse código
</t>
  </si>
  <si>
    <t xml:space="preserve">i2112_5p012m_g27_e002 </t>
  </si>
  <si>
    <t xml:space="preserve">Resgatar ilustração de um tabuleiro de xadrez com algumas peças sobrepostas no tabuleiro, disponível em g23_ftd_lt_5bam_p206 código i4010zz_5bam_g23_ftd </t>
  </si>
  <si>
    <t xml:space="preserve">if2113_5p012m_g27_e002 </t>
  </si>
  <si>
    <t xml:space="preserve">Resgatar ilustração+foto de um plano cartesiano com um quadrante com 100 quadrinhos ilustrando a localização de alguns lugares, disponível em g23_ftd_lt_5bam_p207 código if4011vc_5bam_23_ftd 
AJUSTE: separar em 9 códigos: if2113A: malha principal com elementos sobre ela; if2113B: ícone da sorveteria; if2113C: ícone da lanchonete; if2113D: ícone do mercado; if2113E: ícone do correio; if2113F: ícone da floricultura; if2113G: ícone da padaria; if2113H: ícone do posto de combustível; if2113I: ícone da farmácia. Não deixar os textos dos ícones, serão compostos pela diag. </t>
  </si>
  <si>
    <t>ILUSTRAÇÃO DE VINICIUS COSTA. FOTOS: RITA OWL/SHUTTERSTOCK.COM, DUNHILL/SHUTTERSTOCK.COM,ALIAKSEI KRUHLENIA/SHUTTERSTOCK.COM, TATIANA PANKOVA/SHUTTERSTOCK.COM, TANDA V/&amp;#10;SHUTTERSTOCK.COM E EDEL/SHUTTERSTOCK.COM</t>
  </si>
  <si>
    <t xml:space="preserve">g2114_5p012m_g27_e002 </t>
  </si>
  <si>
    <t xml:space="preserve">Resgatar ilustração de um quadrante do plano cartesiano com 100 quadradinhos, disponível em g23_ftd_lt_5bam_p208 código gt4012gu_5bam_g23_ftd </t>
  </si>
  <si>
    <t xml:space="preserve">m2115_5p012m_g27_e002 </t>
  </si>
  <si>
    <t>MAPA</t>
  </si>
  <si>
    <t xml:space="preserve">Resgatar ilustração de uma região do planeta representado no mapa mundi, disponível em g23_ftd_lt_5bam_p208 código m4013gu_5bam_g23_ftd </t>
  </si>
  <si>
    <t xml:space="preserve">g2116_5p012m_g27_e002 </t>
  </si>
  <si>
    <t>Resgatar ilustração de um triângulo ABC representado em um quadrante de um plano cartesiano, disponível em g23_ftd_lt_5bam_p209 código gt4005_5bam_g23_ftd_re ; remover o triangulo em magenta</t>
  </si>
  <si>
    <t xml:space="preserve">g2117_5p012m_g27_e002 </t>
  </si>
  <si>
    <t xml:space="preserve">Resgatar ilustração do quadrante de um plano cartesiano com os pontos A, B e C, disponível em g23_ftd_lt_5bam_p209 código gt4021gu_5bam_g23_ftd 
AJUSTE: excluir elementos em cor resposta </t>
  </si>
  <si>
    <t xml:space="preserve">g2118_5p012m_g27_e002 </t>
  </si>
  <si>
    <t xml:space="preserve">Resgatar ilustração do quadrante de um plano cartesiano com os pontos G, H e F, disponível em g23_ftd_lt_5bam_p209 código gt4022gu_5bam_g23_ftd 
AJUSTE: excluir elementos em cor resposta </t>
  </si>
  <si>
    <t xml:space="preserve">if2119_5p012m_g27_e002 </t>
  </si>
  <si>
    <t xml:space="preserve">Resgatar ilustração+foto de um caminho em quadrante do plano cartesiano, disponível em g23_ftd_lt_5bam_p210 código if4014vc_5bam_g23_ftd 
AJUSTE: separar em 5 códigos: if2119A: malha principal com elementos sobre ela; i2119B: ícone do pirata; i2119C: ícone do arbusto; i2119D: ícone da pedra; i2119E: ícone do baú do tesouro. Nos ícones, não deixar o texto, será inserido pela diag. </t>
  </si>
  <si>
    <t>ILUSTRAÇÃO DE VINICIUS COSTA/ARQUIVO DA EDITORA. FOTOS: FILKUSTO/SHUTTERSTOCK.COM, MICROONE/SHUTTERSTOCK.COM, MARYDESY/SHUTTERSTOCK.COM E CLAUDIA&amp;#10;PYLINSKAYA/SHUTTERSTOCK.COM</t>
  </si>
  <si>
    <t xml:space="preserve">if2120_5p012m_g27_e002 </t>
  </si>
  <si>
    <t>resgatar e ajustar ilustração+foto de um caminho a um baú em representado em um plano cartesiano, disponível em g23_ftd_lt_5bam_p210 código if4015vc_5bam_g23_ftd
AJUSTE: retirar fio magenta da if</t>
  </si>
  <si>
    <t>ILUSTRAÇÃO DE VINICIUS COSTA/ARQUIVO DA EDITORA. FOTOS: MICROONE/SHUTTERSTOCK.COM E MARYDESY/SHUTTERSTOCK.COM</t>
  </si>
  <si>
    <t xml:space="preserve">i2121_5p012m_g27_e002 </t>
  </si>
  <si>
    <t xml:space="preserve">Resgatar ilustração de comandos de um jogo compostos por frases, disponível em g23_ftd_lt_5bam_p211 código i4023sl_5bam_g23_ftd </t>
  </si>
  <si>
    <t>i2122_5p012m_g27_e002</t>
  </si>
  <si>
    <t xml:space="preserve">Resgatar ilustração dos comandos de um certo jogo compostos por frases, disponível em g23_ftd_lt_5bam_p211 código i4024sl_5bam_g23_ftd </t>
  </si>
  <si>
    <t xml:space="preserve">if2123_5p012m_g27_e002 </t>
  </si>
  <si>
    <t xml:space="preserve">Resgatar ilustração+foto de um quadrante do plano cartesiano e um ponto A e B, disponível em g23_ftd_lt_5bam_p211 código if4025vc_5bam_g23_ftd 
AJUSTE: excluir fio em cor resposta </t>
  </si>
  <si>
    <t>ILUSTRAÇÃO DE VINICIUS COSTA/ARQUIVO DA EDITORA. FOTO: WINWIN ARTLAB/SHUTTERSTOCK.COM</t>
  </si>
  <si>
    <t xml:space="preserve">if2124_5p012m_g27_e002 </t>
  </si>
  <si>
    <t xml:space="preserve">resgatar e ajustar ilustração+foto do quadrante de um plano cartesiano com alguns pontos A, B, C e D, disponível em g23_ftd_lt_5bam_p211 código if4026vc_5bam_g23_ftd
AJUSTE: retirar fio magenta da if
</t>
  </si>
  <si>
    <t>g2126_5p012m_g27_e002</t>
  </si>
  <si>
    <t xml:space="preserve">Resgatar ilustração do quadrante do plano cartesiano com eixos de 0 a 5, disponível em g23_ftd_lt_5bam_p213 código it4003pm_5bam_g23_ftd_ly 
AJUSTE: excluir fio em cor resposta </t>
  </si>
  <si>
    <t xml:space="preserve">i1903_5p012m_g27_e002 </t>
  </si>
  <si>
    <t>Resgatar ilustração de três estudantes de uniforme, sendo uma menina negra com prancheta na mão, um menino de óculos ao lado dela e uma menina loira como se estivesse escrevendo na lousa. Na lousa está o resultado de uma pesquisa. Veio do g23_ftd_lt_5bam_p218, código antigo i4407lp_5bam_g23_ftd</t>
  </si>
  <si>
    <t xml:space="preserve">g1907_5p012m_g27_e002 </t>
  </si>
  <si>
    <t xml:space="preserve">Resgatar ilustração de gráfico de barras manuscrito referente ao resultado da votação para representante de turma. Veio do g23_ftd_lt_5bam_p223, código antigo gt4409sl_5bam_g23_ftd </t>
  </si>
  <si>
    <t xml:space="preserve">g1913_5p012m_g27_e002 </t>
  </si>
  <si>
    <t xml:space="preserve">Resgatar ilustração de gráfico de linhas com gastos da fatura mensal de água de uma residência. Veio do g23_ftd_lt_5bam_p226, código antigo gt4414gu_5bam_g23_ftd </t>
  </si>
  <si>
    <t xml:space="preserve">i1916_5p012m_g27_e002 </t>
  </si>
  <si>
    <t xml:space="preserve">Resgatar ilustração de ícone que representa um filme. Veio do g23_ftd_lt_5bam_p228, código antigo i4413sl_5bam_g23_ftd </t>
  </si>
  <si>
    <t xml:space="preserve">g1917_5p012m_g27_e002 </t>
  </si>
  <si>
    <t xml:space="preserve">Resgatar ilustração de pictograma com a quantidade de filmes que assistidos. Veio do g23_ftd_lt_5bam_p228, código antigo g4417sl_5bam_g23_ftd </t>
  </si>
  <si>
    <t xml:space="preserve">i1918_5p012m_g27_e002 </t>
  </si>
  <si>
    <t xml:space="preserve">Resgatar ilustração de roleta. Veio do g23_ftd_lt_5bam_p229, código antigo i4419sl_5bam_g23_ftd </t>
  </si>
  <si>
    <t xml:space="preserve">i1920_5p012m_g27_e002 </t>
  </si>
  <si>
    <t xml:space="preserve">Resgatar ilustração de caixa com bolinhas coloridas. Veio do g23_ftd_lt_5bam_p230, código antigo i4420gu_5bam_g23_ftd </t>
  </si>
  <si>
    <t xml:space="preserve">i1922_5p012m_g27_e002 </t>
  </si>
  <si>
    <t xml:space="preserve">Resgatar ilustração das seis faces de um dado. Veio do g23_ftd_lt_5bam_p230, código antigo i4423_4bam_g23_ftd </t>
  </si>
  <si>
    <t xml:space="preserve">i1506_5p012m_g27_e002 </t>
  </si>
  <si>
    <t xml:space="preserve">Resgatar ilustração da barrinha com 10 cubinhos do g23_ftd_lt_5bam_p143 código antigo i2807_4bam_g23_ftd_re </t>
  </si>
  <si>
    <t>i1507_5p012m_g27_e002</t>
  </si>
  <si>
    <t xml:space="preserve">Resgatar ilustração do quadrado com 100 cubinhos do g23_ftd_lt_5bam_p143 código antigo i2808_4bam_g23_ftd_re </t>
  </si>
  <si>
    <t xml:space="preserve">i1508_5p012m_g27_e002 </t>
  </si>
  <si>
    <t xml:space="preserve">Resgatar ilustração do cubo com 1000 cubinhos do g23_ftd_lt_5bam_p143 código antigo i2809_4bam_g23_ftd_re </t>
  </si>
  <si>
    <t xml:space="preserve">i1509_5p012m_g27_e002 </t>
  </si>
  <si>
    <t xml:space="preserve">Resgatar ilustração da representação do número decimal 2,6 do g23_ftd_lt_5bam_p144 código antigo it2810zz_5bam_g23_ftd </t>
  </si>
  <si>
    <t xml:space="preserve">i1510_5p012m_g27_e002 </t>
  </si>
  <si>
    <t>Resgatar ilustração da representação do número decimal 1 (um inteiro) do g23_ftd_lt_5bam_p144 código antigo it2811zz_5bam_g23_ftd</t>
  </si>
  <si>
    <t xml:space="preserve">i1511_5p012m_g27_e002 </t>
  </si>
  <si>
    <t xml:space="preserve">Resgatar ilustração da representação do número decimal 1,15 do g23_ftd_lt_5bam_p144 código antigo it2812zz_5bam_g23_ftd </t>
  </si>
  <si>
    <t xml:space="preserve">i1512_5p012m_g27_e002 </t>
  </si>
  <si>
    <t xml:space="preserve">Resgatar ilustração da representação do número decimal 0,4 do g23_ftd_lt_5bam_p144 código antigo it2813zz_5bam_g23_ftd </t>
  </si>
  <si>
    <t xml:space="preserve">i1513_5p012m_g27_e002 </t>
  </si>
  <si>
    <t xml:space="preserve">Resgatar ilustração da representação do número decimal 2,7 do g23_ftd_lt_5bam_p144 código antigo it2814zz_5bam_g23_ftd </t>
  </si>
  <si>
    <t xml:space="preserve">i1514_5p012m_g27_e002 </t>
  </si>
  <si>
    <t xml:space="preserve">Resgatar ilustração da representação do número decimal 1,25 do g23_ftd_lt_5bam_p144 código antigo it2815zz_5bam_g23_ftd </t>
  </si>
  <si>
    <t xml:space="preserve">i1515_5p012m_g27_e002 </t>
  </si>
  <si>
    <t xml:space="preserve">Resgatar ilustração da figura dividido em 10 partes iguais do g23_ftd_lt_5bam_p146 código antigo it2816zz_5bam_g23_ftd 
AJUSTE: retirar cor resposta </t>
  </si>
  <si>
    <t xml:space="preserve">i1516_5p012m_g27_e002 </t>
  </si>
  <si>
    <t xml:space="preserve">Resgatar ilustração da figura dividido em 10 partes iguais do g23_ftd_lt_5bam_p146 código antigo it2817zz_5bam_g23_ftd 
AJUSTE: retirar cor resposta </t>
  </si>
  <si>
    <t xml:space="preserve">i1517_5p012m_g27_e002 </t>
  </si>
  <si>
    <t xml:space="preserve">Resgatar ilustração da reta numérica do número 1 até o 6 do g23_ftd_lt_5bam_p147 código antigo it2818zz_5bam_g23_ftd </t>
  </si>
  <si>
    <t xml:space="preserve">i1518_5p012m_g27_e002 </t>
  </si>
  <si>
    <t xml:space="preserve">Resgatar ilustração da reta numérica com para escrever os números decimais do g23_ftd_lt_5bam_p148 código antigo it2819zz_5bam_g23_ftd </t>
  </si>
  <si>
    <t xml:space="preserve">i1519_5p012m_g27_e002 </t>
  </si>
  <si>
    <t xml:space="preserve">Resgatar o preço de lanches de uma lanchonete do g23_ftd_lt_5bam_p149 código antigo if2823pn_5bam_g23_ftd </t>
  </si>
  <si>
    <t xml:space="preserve">i1520_5p012m_g27_e002 </t>
  </si>
  <si>
    <t xml:space="preserve">Resgatar ilustração do número decimal no visor da calculadora do g23_ftd_lt_5bam_p149 código antigo i2824zz_5bam_g23_ftd </t>
  </si>
  <si>
    <t xml:space="preserve">i1521_5p012m_g27_e002 </t>
  </si>
  <si>
    <t xml:space="preserve">Resgatar ilustração da reta numérica com aproximação do número decimal 15,6412 do g23_ftd_lt_5bam_p149 código antigo it2853sl_5bam_g23_ftd </t>
  </si>
  <si>
    <t xml:space="preserve">i1531_5p012m_g27_e002 </t>
  </si>
  <si>
    <t xml:space="preserve">Il. do visor de uma calculadora simples do padrão, mostrando o número 4.92 do g23_ftd_lt_5bam_p153 código antigo i2830zz_5bam_g23_ftd, conforme referência </t>
  </si>
  <si>
    <t xml:space="preserve">i1532_5p012m_g27_e002 </t>
  </si>
  <si>
    <t xml:space="preserve">Resgatar ilustração do homem olhando os preços do mouse e do pen drive do g23_ftd_lt_5bam_p154 código antigo i2831ec_5bam_g23_ftd_ef </t>
  </si>
  <si>
    <t xml:space="preserve">i1533_5p012m_g27_e002 </t>
  </si>
  <si>
    <t xml:space="preserve">Resgatar ilustração do site de uma livraria do g23_ftd_5bam_p154 código antigo i2832ec_5bam_g23_ftd_ef </t>
  </si>
  <si>
    <t xml:space="preserve">i1534_5p012m_g27_e002 </t>
  </si>
  <si>
    <t>Resgatar ilustração de quadro com valores de pizzas e bebidas de um restaurante do g23_ftd_lt_5bam_p155, código antigo i2833gu_5bam_g23_ftd
AJUSTE: Ajustar valores, de modo que uma pizza grande seja R$ 154,40, uma média R$ 125,20, uma pequena R$ 81,50 e calzone R$ 84,30. Dentre as bebidas, o suco por R$ 9,20 e a água R$ 6,50.</t>
  </si>
  <si>
    <t xml:space="preserve">i1536_5p012m_g27_e002 </t>
  </si>
  <si>
    <t xml:space="preserve">Resgatar ilustração dos doces da barraca do milho do g23_ftd_lt_5bam_p156 código antigo di2835ec_5bam_g23_ftd_ef </t>
  </si>
  <si>
    <t xml:space="preserve">i1537_5p012m_g27_e002 </t>
  </si>
  <si>
    <t xml:space="preserve">Resgatar ilustração do visor da calculadora do 28,8 do g23_ftd_lt_5bam_p158 código antigo i2836zz_5bam_g23_ftd </t>
  </si>
  <si>
    <t xml:space="preserve">i1538_5p012m_g27_e002 </t>
  </si>
  <si>
    <t>Resgatar ilustração de saquinho de amendoim doce do g23_ftd_5bam_p161 código antigo i2841ec_5bam_g23_ftd_ef
Ajuste: trocar nome na embalagem por Mix de castanhas, como na ref. Se possível variar um pouco cor e formas das castanhas para descaracterizar o amendoim doce.</t>
  </si>
  <si>
    <t xml:space="preserve">i1540_5p012m_g27_e002 </t>
  </si>
  <si>
    <t xml:space="preserve">Resgatar ilustração da mulher com jarras de suco do g23_ftd_lt_5bam_p162 código antigo i2842ec_5bam_g23_ftd </t>
  </si>
  <si>
    <t xml:space="preserve">if1543_5p012m_g27_e002 </t>
  </si>
  <si>
    <t>Resgatar foto das escovas do dente do g23_ftd_lt_5bam_p166 código antigo if2844pn_5bam_g23_ftd
AJUSTE: Mudar o preço na embalagem para R$ 54,90</t>
  </si>
  <si>
    <t>ILUSTRAÇÃO DE RAFAELA PANISSA/ARQUIVO DA EDITORA. FOTO: MYBONA/SHUTTERSTOCK.COM</t>
  </si>
  <si>
    <t xml:space="preserve">m1702 _5p012m_g27_e002 </t>
  </si>
  <si>
    <t xml:space="preserve">Resgatar ilustração de mapa do paraná com a medida da distancia entre Curitiba e londrina veio do g23_ftd_lt_5bam_p184 código antigo m3604gu_5bam_g23_ftd 
AJUSTE: separar a il em m1701A (mapa), m1701B (mini-mapa) e m1701C (legenda). </t>
  </si>
  <si>
    <t xml:space="preserve">i1709 _5p012m_g27_e002 </t>
  </si>
  <si>
    <t xml:space="preserve">Resgatar ilustração de lousa com retângulo e triangulo veio do g23_ftd_lt_5bam_p189 código antigo i3613zz_5bam_g23_ftd </t>
  </si>
  <si>
    <t xml:space="preserve">i1710 _5p012m_g27_e002 </t>
  </si>
  <si>
    <t xml:space="preserve">Resgatar ilustração de retângulo verde veio do g23_ftd_lt_5bam_p190 código antigo it3614sl_5bam_g23_ftd </t>
  </si>
  <si>
    <t xml:space="preserve">i1711 _5p012m_g27_e002 </t>
  </si>
  <si>
    <t xml:space="preserve">Resgatar ilustração de hexágono amarelo veio do g23_ftd_lt_5bam_p190 código antigo it3615sl_5bam_g23_ftd </t>
  </si>
  <si>
    <t xml:space="preserve">i1712 _5p012m_g27_e002 </t>
  </si>
  <si>
    <t>Resgatar ilustração de triangulo azul veio do g23_ftd_lt_5bam_p190 código antigo it3616sl_5bam_g23_ftd</t>
  </si>
  <si>
    <t xml:space="preserve">if1713 _5p012m_g27_e002 </t>
  </si>
  <si>
    <t xml:space="preserve">Resgatar ilustração com foto de esquema de 3 caminhos veio do g23_ftd_lt_5bam_p191 código antigo if3617pn_5bam_g23_ftd </t>
  </si>
  <si>
    <t xml:space="preserve">ILUSTRAÇÃO DE RAFAELA PANISSA/ARQUIVO DA EDITORA. FOTO: TELE52/SHUTTERSTOCK.COM
</t>
  </si>
  <si>
    <t xml:space="preserve">m1714 _5p012m_g27_e002 </t>
  </si>
  <si>
    <t xml:space="preserve">Resgatar ilustração de mapa da medida da distância entre Curitiba e campo grande veio do g23_ftd_lt_5bam_p192 código antigo m3618gu_5bam_g23_ftd 
AJUSTE: separar il em m1714A(mapa), m1714B (minimapa) e m1714C (legenda). </t>
  </si>
  <si>
    <t xml:space="preserve">i1715 _5p012m_g27_e002 </t>
  </si>
  <si>
    <t xml:space="preserve">Resgatar ilustração de retângulo dividido em 24 quadradinhos veio do g23_ftd_lt_5bam_p193 código antigo it3619sl_5bam_g23_ftd </t>
  </si>
  <si>
    <t xml:space="preserve">i1716 _5p012m_g27_e002 </t>
  </si>
  <si>
    <t xml:space="preserve">Resgatar ilustração de retângulo dividido em 48 triângulos veio do g23_ftd_lt_5bam_p193 código antigo it3620sl_5bam_g23_ftd </t>
  </si>
  <si>
    <t xml:space="preserve">i1717 _5p012m_g27_e002 </t>
  </si>
  <si>
    <t xml:space="preserve">Resgatar ilustração de quadradinho veio do g23_ftd_lt_5bam_p193 código antigo it3621sl_5bam_g23_ftd </t>
  </si>
  <si>
    <t xml:space="preserve">i1718 _5p012m_g27_e002 </t>
  </si>
  <si>
    <t xml:space="preserve">Resgatar ilustração de triangulo veio do g23_ftd_lt_5bam_p193 código antigo it3622sl_5bam_g23_ftd </t>
  </si>
  <si>
    <t xml:space="preserve">i1719 _5p012m_g27_e002 </t>
  </si>
  <si>
    <t xml:space="preserve">Resgatar ilustração de trapézio veio do g23_ftd_lt_5bam_p193 código antigo it3623sl_5bam_g23_ftd </t>
  </si>
  <si>
    <t xml:space="preserve">i1720 _5p012m_g27_e002 </t>
  </si>
  <si>
    <t xml:space="preserve">Resgatar ilustração de quadradinho de lado 1 veio do g23_ftd_lt_5bam_p193 código antigo it3624sl_5bam_g23_ftd </t>
  </si>
  <si>
    <t xml:space="preserve">i1721 _5p012m_g27_e002 </t>
  </si>
  <si>
    <t xml:space="preserve">Resgatar ilustração de malha quadriculada com duas áreas veio do g23_ftd_lt_5bam_p193 código antigo i3625gu_5bam_g23_ftd </t>
  </si>
  <si>
    <t xml:space="preserve">i1722 _5p012m_g27_e002 </t>
  </si>
  <si>
    <t xml:space="preserve">Resgatar ilustração de malha quadriculada com 4 figuras veio do g23_ftd_lt_5bam_p194 código antigo i3626gu_5bam_g23_ftd </t>
  </si>
  <si>
    <t xml:space="preserve">i1723_5p012m_g27_e002 </t>
  </si>
  <si>
    <t xml:space="preserve">Resgatar ilustração de malha quadriculada com retângulo veio do g23_ftd_lt_5bam_p196 código antigo i3607gu_5bam_g23_ftd </t>
  </si>
  <si>
    <t xml:space="preserve">i1724_5p012m_g27_e002 </t>
  </si>
  <si>
    <t xml:space="preserve">Resgatar ilustração de retângulo veio do g23_ftd_lt_5bam_p197 código antigo it3628sl_5bam_g23_ftd </t>
  </si>
  <si>
    <t xml:space="preserve">i1725_5p012m_g27_e002 </t>
  </si>
  <si>
    <t xml:space="preserve">Resgatar ilustração de quadrado veio do g23_ftd_lt_5bam_p197 código antigo it3629sl_5bam_g23_ftd </t>
  </si>
  <si>
    <t xml:space="preserve">i1726_5p012m_g27_e002 </t>
  </si>
  <si>
    <t xml:space="preserve">Resgatar ilustração de retângulo vermelho veio do g23_ftd_lt_5bam_p198 código antigo it3630sl_5bam_g23_ftd </t>
  </si>
  <si>
    <t xml:space="preserve">i1727_5p012m_g27_e002 </t>
  </si>
  <si>
    <t xml:space="preserve">Resgatar ilustração de quadrado laranja veio do g23_ftd_lt_5bam_p198 código antigo it3631sl_5bam_g23_ftd </t>
  </si>
  <si>
    <t xml:space="preserve">i1728_5p012m_g27_e002 </t>
  </si>
  <si>
    <t xml:space="preserve">Resgatar ilustração de retângulo roxo veio do g23_ftd_lt_5bam_p198 código antigo it3632sl_5bam_g23_ftd </t>
  </si>
  <si>
    <t xml:space="preserve">i1729_5p012m_g27_e002 </t>
  </si>
  <si>
    <t xml:space="preserve">Resgatar ilustração de retângulo amarelo veio do g23_ftd_lt_5bam_p198 código antigo it3633sl_5bam_g23_ftd </t>
  </si>
  <si>
    <t xml:space="preserve">i1730_5p012m_g27_e002 </t>
  </si>
  <si>
    <t xml:space="preserve">Resgatar ilustração de 2 figuras com seus perímetros indicados veio do g23_ftd_lt_5bam_p199 código antigo it3635_5bam_g23_ftd </t>
  </si>
  <si>
    <t xml:space="preserve">i1731_5p012m_g27_e002 </t>
  </si>
  <si>
    <t xml:space="preserve">Resgatar ilustração de 2 figuras com seus perímetros indicados veio do g23_ftd_lt_5bam_p199 código antigo it3636_5bam_g23_ftd </t>
  </si>
  <si>
    <t xml:space="preserve">i1733_5p012m_g27_e002 </t>
  </si>
  <si>
    <t xml:space="preserve">Resgatar ilustração de figura com seus lados indicados veio do g23_ftd_lt_5bam_p199 código antigo it3637_5bam_g23_ftd_re </t>
  </si>
  <si>
    <t xml:space="preserve">i1734_5p012m_g27_e002 </t>
  </si>
  <si>
    <t xml:space="preserve">Resgatar ilustração de figura com seus lados indicados veio do g23_ftd_lt_5bam_p199 código antigo it3638_5bam_g23_ftd_re </t>
  </si>
  <si>
    <t xml:space="preserve">i1735_5p012m_g27_e002 </t>
  </si>
  <si>
    <t>Resgatar ilustração produtos: sabão em pó, leite condensado, arroz, café, bolacha e esponja de aço com os seus respectivos massas; g23_ftd_lt_5bam_p238; código antigo i4815iv_5bam_g23_ftd_ef.jpg
AJUSTE: Trocar nome na embalagem de leite condensado por “leite em pó” (manter 1,5 kg) e pacote de bolacha por pote de iogurte natural, sendo daqueles pequenos que geralmente vem em packs para serem destacados pela lateral da tampa (manter 80 g), como exemplo na referência</t>
  </si>
  <si>
    <t xml:space="preserve">i1739_5p012m_g27_e002 </t>
  </si>
  <si>
    <t xml:space="preserve">Resgatar ilustração do g23_ftd_lt_5bam_p239, código antigo i4825iv_5bam_g23_ftd_ef.jpg </t>
  </si>
  <si>
    <t xml:space="preserve">i1743_5p012m_g27_e002 </t>
  </si>
  <si>
    <t xml:space="preserve">Resgatar ilustração de balança com vários pesos; g23_ftd_lt_5bam_p243; código antigo i4828sl_5bam_g23_ftd.jpg </t>
  </si>
  <si>
    <t xml:space="preserve">i1744_5p012m_g27_e002 </t>
  </si>
  <si>
    <t xml:space="preserve">Resgatar ilustração quadro negro com preços de pães vendidos em uma padaria; g23_ftd_lt_5bam_p243; código antigo i4829sl_5bam_g23_ftd.jpg
AJUSTE: Alterar os preços para R$ 22,00 (Pão branco), R$ 45,00 (Baguete), R$ 35,00 (Pão de centeio) e R$ 21,00 (Pão integral). </t>
  </si>
  <si>
    <t xml:space="preserve">i1749_5p012m_g27_e002 </t>
  </si>
  <si>
    <t xml:space="preserve">Resgatar ilustração recipiente transparente preenchido até a metade de um líquido azul; g23_ftd_lt_5bam_p249; código antigo i4876zz_5bam_g23_ftd.jpg </t>
  </si>
  <si>
    <t xml:space="preserve">i1750_5p012m_g27_e002 </t>
  </si>
  <si>
    <t xml:space="preserve">Resgatar ilustração recipiente transparente preenchido quase completamente de um líquido azul; g23_ftd_lt_5bam_p249; código antigo i4878zz_5bam_g23_ftd.jpg </t>
  </si>
  <si>
    <t xml:space="preserve">i1751_5p012m_g27_e002 </t>
  </si>
  <si>
    <t xml:space="preserve">Resgatar ilustração recipiente transparente preenchido menos da metade de um líquido azul; g23_ftd_lt_5bam_p249; código antigo  i4879zz_5bam_g23_ftd.jpg </t>
  </si>
  <si>
    <t xml:space="preserve">i1752_5p012m_g27_e002 </t>
  </si>
  <si>
    <t xml:space="preserve">Resgatar ilustração recipientes de suco de laranja de diferentes medidas; g23_ftd_lt_5bam_p250; código antigo i4874rm_5bam_g23_ftd.jpg
AJUSTE: Aumentar embalagens o quanto for possível (a mesma porcentagem para todas pois já estão proporcionais entre si), e/ou aumentar a fonte das medidas (pode ser reduzido o ícone da laranja e valorizar mais o espaço da fonte), para que seja possível identificar melhor as medidas da quantidade de líquido em cada garrafa </t>
  </si>
  <si>
    <t xml:space="preserve">i1753_5p012m_g27_e002 </t>
  </si>
  <si>
    <t xml:space="preserve">Resgatar ilustração jarra de suco de laranja e 4 copos vazios ao lado, tudo sobre uma mesa; g23_ftd_lt_5bam_p250; código antigo i4875rm_5bam_g23_ftd.jpg </t>
  </si>
  <si>
    <t xml:space="preserve">i1754_5p012m_g27_e002 </t>
  </si>
  <si>
    <t xml:space="preserve">Resgatar ilustração gotas d’água com textos de consumo de água para certas atividades do cotidiano; g23_ftd_lt_5bam_p251; código antigo i4839sl_5bam_g23_ftd.jpg </t>
  </si>
  <si>
    <t xml:space="preserve">i1755_5p012m_g27_e002 </t>
  </si>
  <si>
    <t xml:space="preserve">Resgatar ilustração 6 caixas de papelão empilhadas em um pallet, 2x3x1; g23_ftd_lt_5bam_p252; código antigo i4840Arm_5bam_g23_ftd </t>
  </si>
  <si>
    <t xml:space="preserve">i1756_5p012m_g27_e002 </t>
  </si>
  <si>
    <t xml:space="preserve">Resgatar ilustração 18 caixas de papelão empilhadas em um pallet, 2x3x3; g23_ftd_lt_5bam_p252; código antigo i4840Brm_5bam_g23_ftd </t>
  </si>
  <si>
    <t xml:space="preserve">i1757_5p012m_g27_e002 </t>
  </si>
  <si>
    <t xml:space="preserve">Resgatar ilustração 5 caixas de papelão empilhadas em um pallet; g23_ftd_lt_5bam_p252; código antigo i4872Arm_5bam_g23_ftd.jpg </t>
  </si>
  <si>
    <t xml:space="preserve">i1758_5p012m_g27_e002 </t>
  </si>
  <si>
    <t xml:space="preserve">Resgatar ilustração 7 caixas de papelão empilhadas sobre um pallet; g23_ftd_lt_5bam_p252; código antigo  i4872Brm_5bam_g23_ftd.jpg </t>
  </si>
  <si>
    <t xml:space="preserve">i1759_5p012m_g27_e002 </t>
  </si>
  <si>
    <t xml:space="preserve">Resgatar ilustração material dourado cubinho; g23_ftd_lt_5bam_p253; código antigo it4854gu_5bam_g23_ftd.jpg </t>
  </si>
  <si>
    <t xml:space="preserve">i1760_5p012m_g27_e002 </t>
  </si>
  <si>
    <t xml:space="preserve">Resgatar ilustração material dourado meio cubinho; g23_ftd_lt_5bam_p253; código antigo it4855gu_5bam_g23_ftd.jpg </t>
  </si>
  <si>
    <t>i1761_5p012m_g27_e002</t>
  </si>
  <si>
    <t xml:space="preserve">Resgatar ilustração material dourado com 18 cubinhos; g23_ftd_lt_5bam_p253; código antigo it4864gu_5bam_g23_ftd.jpg </t>
  </si>
  <si>
    <t xml:space="preserve">i1762_5p012m_g27_e002 </t>
  </si>
  <si>
    <t xml:space="preserve">Resgatar ilustração material dourado com 13,5 cubinhos; g23_ftd_lt_5bam_p253; código antigo it4866gu_5bam_g23_ftd.jpg </t>
  </si>
  <si>
    <t xml:space="preserve">i1763_5p012m_g27_e002 </t>
  </si>
  <si>
    <t xml:space="preserve">Resgatar ilustração material dourado com 20 cubinhos; g23_ftd_lt_5bam_p253; código antigo it4865gu_5bam_g23_ftd.jpg </t>
  </si>
  <si>
    <t xml:space="preserve">i1764_5p012m_g27_e002 </t>
  </si>
  <si>
    <t xml:space="preserve">Resgatar ilustração material dourado com 9 cubinhos; g23_ftd_lt_5bam_p253; código antigo it4867gu_5bam_g23_ftd.jpg </t>
  </si>
  <si>
    <t xml:space="preserve">i1765_5p012m_g27_e002 </t>
  </si>
  <si>
    <t xml:space="preserve">Resgatar ilustração paralelepípedo roxo 5x2x3; g23_ftd_lt_5bam_p254; código antigo it4868gu_5bam_g23_ftd </t>
  </si>
  <si>
    <t xml:space="preserve">i1766_5p012m_g27_e002 </t>
  </si>
  <si>
    <t xml:space="preserve">Resgatar ilustração cubo verde 3x3x3; g23_ftd_lt_5bam_p254; código antigo it4842gu_5bam_g23_ftd </t>
  </si>
  <si>
    <t xml:space="preserve">i1767_5p012m_g27_e002 </t>
  </si>
  <si>
    <t xml:space="preserve">Resgatar ilustração paralelepípedo azul 6x4x3; g23_ftd_lt_5bam_p254; código antigo it4869gu_5bam_g23_ftd.jpg </t>
  </si>
  <si>
    <t xml:space="preserve">i1768_5p012m_g27_e002 </t>
  </si>
  <si>
    <t xml:space="preserve">Resgatar ilustração cubo azul 4x4x4; g23_ftd_lt_5bam_p254; código antigo it4870gu_5bam_g23_ftd.jpg </t>
  </si>
  <si>
    <t xml:space="preserve">i1769_5p012m_g27_e002 </t>
  </si>
  <si>
    <t xml:space="preserve">Resgatar ilustração caixa marrom de parafusos 30x10x20; g23_ftd_lt_5bam_p255; código antigo i4871sl_5bam_g23_ftd.jpg </t>
  </si>
  <si>
    <t xml:space="preserve">i1770_5p012m_g27_e002 </t>
  </si>
  <si>
    <t xml:space="preserve">Resgatar ilustração aquário com formato de paralelepípedo de medidas 30x65x50; g23_ftd_lt_5bam_p255; código antigo it4861gu_5bam_g23_ftd.jpg </t>
  </si>
  <si>
    <t xml:space="preserve">i1771_5p012m_g27_e002 </t>
  </si>
  <si>
    <t xml:space="preserve">Resgatar ilustração aquário com formato de paralelepípedo de medidas 35x60x50; g23_ftd_lt_5bam_p255; código antigo it4862gu_5bam_g23_ftd.jpg </t>
  </si>
  <si>
    <t xml:space="preserve">i2302_5p012m_g27_e002 </t>
  </si>
  <si>
    <t xml:space="preserve">Resgatar ilustração de uma janela de informação copiando um arquivo em 30%. Veio do g23_ftd_lt_5bam_p170, código antigo i3201Afb_5bam_g23_ftd </t>
  </si>
  <si>
    <t xml:space="preserve">i2303_5p012m_g27_e002 </t>
  </si>
  <si>
    <t xml:space="preserve">Resgatar ilustração de uma janela de informação copiando um arquivo em 50%. Veio do g23_ftd_lt_5bam_p170, código antigo i3201Bfb_5bam_g23_ftd </t>
  </si>
  <si>
    <t xml:space="preserve">i2320_5p012m_g27_e002 </t>
  </si>
  <si>
    <t xml:space="preserve">Resgatar ilustração de uma janela de informação copiando um arquivo em 95%. Veio do g23_ftd_lt_5bam_p170, código antigo i3201Cfb_5bam_g23_ftd </t>
  </si>
  <si>
    <t xml:space="preserve">i2304_5p012m_g27_e002 </t>
  </si>
  <si>
    <t xml:space="preserve">Resgatar ilustração de uma janela de informação copiando um arquivo em 100%. Veio do g23_ftd_lt_5bam_p170, código antigo i3201Dfb_5bam_g23_ftd </t>
  </si>
  <si>
    <t xml:space="preserve">i2305_5p012m_g27_e002 </t>
  </si>
  <si>
    <t xml:space="preserve">Resgatar ilustração de uma barra com 100 partes estando 30 pintadas de verde. Veio do g23_ftd_lt_5bam_p170, código antigo i3202fb_5bam_g23_ftd </t>
  </si>
  <si>
    <t xml:space="preserve">i2306_5p012m_g27_e002 </t>
  </si>
  <si>
    <t xml:space="preserve">Resgatar ilustração de uma figura dividida em 100 partes estando pintadas 53 partes de verde. Veio do g23_ftd_lt_5bam_p171, código antigo it3203zz_5bam_g23_ftd </t>
  </si>
  <si>
    <t xml:space="preserve">i2307_5p012m_g27_e002 </t>
  </si>
  <si>
    <t xml:space="preserve">Resgatar ilustração de uma figura dividida em 100 partes estando pintadas 89 partes de verde. Veio do g23_ftd_lt_5bam_p171, código antigo it3204zz_5bam_g23_ftd </t>
  </si>
  <si>
    <t xml:space="preserve">i2308_5p012m_g27_e002 </t>
  </si>
  <si>
    <t xml:space="preserve">Resgatar ilustração de uma figura dividida em 100 partes estando pintadas 10 partes. Veio do g23_ftd_lt_5bam_p172, código antigo it3205zz_5bam_g23_ftd </t>
  </si>
  <si>
    <t xml:space="preserve">i2309_5p012m_g27_e002 </t>
  </si>
  <si>
    <t xml:space="preserve">Resgatar ilustração de uma figura dividida em 100 partes estando pintadas 25 partes. Veio do g23_ftd_lt_5bam_p172, código antigo it3207zz_5bam_g23_ftd </t>
  </si>
  <si>
    <t xml:space="preserve">i2310_5p012m_g27_e002 </t>
  </si>
  <si>
    <t xml:space="preserve">Resgatar ilustração de uma figura dividida em 100 partes estando pintadas 50 partes. Veio do g23_ftd_lt_5bam_p172, código antigo it3209zz_5bam_g23_ftd </t>
  </si>
  <si>
    <t xml:space="preserve">i2311_5p012m_g27_e002 </t>
  </si>
  <si>
    <t xml:space="preserve">Resgatar ilustração de uma figura dividida em 100 partes estando pintadas 75 partes. Veio do g23_ftd_lt_5bam_p172, código antigo it3211zz_5bam_g23_ftd </t>
  </si>
  <si>
    <t xml:space="preserve">i2312_5p012m_g27_e002 </t>
  </si>
  <si>
    <t xml:space="preserve">Resgatar ilustração de uma figura dividida em 100 partes. Veio do g23_ftd_lt_5bam_p173, código antigo it3213zz_5bam_g23_ftd 
Ajuste: retirar cor resposta da imagem. </t>
  </si>
  <si>
    <t xml:space="preserve">i2314_5p012m_g27_e002 </t>
  </si>
  <si>
    <t xml:space="preserve">Resgatar ilustração do visor de calculadora com o número 66,4. Veio do g23_ftd_lt_5bam_p176, código antigo i3216zz_5bam_g23_ftd. </t>
  </si>
  <si>
    <t xml:space="preserve">i2317_5p012m_g27_e002 </t>
  </si>
  <si>
    <t xml:space="preserve">Resgatar ilustração de barra de cereais com embalagem azul representando as informações nutricionais da tabela acima. Veio do g23_ftd_lt_5bam_p180, código antigo i3602ez_5bam_g23_ftd </t>
  </si>
  <si>
    <t xml:space="preserve">i2318_5p012m_g27_e002 </t>
  </si>
  <si>
    <t xml:space="preserve">Resgatar ilustração de barra de cereais com embalagem vermelha representando as informações nutricionais da tabela acima. Veio do g23_ftd_lt_5bam_p180, código antigo i3602ez_5bam_g23_ftd </t>
  </si>
  <si>
    <t>i0338_2p012m_g27_e002</t>
  </si>
  <si>
    <t xml:space="preserve">Resgatar ilustração de uma sequência compostas por figuras geométricas espaciais verdes; disponível em g23_ftd_lt_2bam_p045 código antigo it0841sl_2bam_g23_ftd 
AJUSTE: Excluir as setas e aproximar as figuras. </t>
  </si>
  <si>
    <t xml:space="preserve">i0339_2p012m_g27_e002 </t>
  </si>
  <si>
    <t xml:space="preserve">Resgatar ilustração de uma sequência compostas por cone, cilindro, esfera na cor verde, disponível em g23_ftd_lt_2bam_p045 código antigo it0866sl_2bam_g23_ftd  
AJUSTE: Excluir as setas e aproximar as figuras. </t>
  </si>
  <si>
    <t xml:space="preserve">i0340_2p012m_g27_e002 </t>
  </si>
  <si>
    <t xml:space="preserve">Resgatar ilustração de uma sequência compostas por cone, esfera, cilindro na cor verde; disponível em g23_ftd_lt_2bam_p045 código antigo it0868sl_2bam_g23_ftd 
AJUSTE: Excluir as setas e aproximar as figuras. </t>
  </si>
  <si>
    <t xml:space="preserve">i0341_2p012m_g27_e002 </t>
  </si>
  <si>
    <t xml:space="preserve">Resgatar ilustração de uma sequência compostas por esfera, cilindro e cone; disponível em g23_ftd_lt_2bam_p045 código antigo it0869sl_2bam_g23_ftd 
AJUSTE: Excluir as setas e aproximar as figuras. </t>
  </si>
  <si>
    <t xml:space="preserve">i0184_2p012m_g27_e002 </t>
  </si>
  <si>
    <t xml:space="preserve">Il. de um homem da antiguidade fazendo riscos em um osso de animal com o uso de uma pedra em formato de uma lâmina de faca. Deve ficar clara as marcações feitas no osso, sendo 4 marcações feitas e finalizando a quinta e última marcação.  Ao lado do homem compor um suporte de madeira onde aparecem 5 peixes que o homem pescou. </t>
  </si>
  <si>
    <t>cq</t>
  </si>
  <si>
    <t>R:23/06 F:27/06</t>
  </si>
  <si>
    <t xml:space="preserve">i0185_2p012m_g27_e002 </t>
  </si>
  <si>
    <t xml:space="preserve">Il. de 4 pedrinhas enfileiradas.  </t>
  </si>
  <si>
    <t>F:20/06</t>
  </si>
  <si>
    <t xml:space="preserve">i0186_2p012m_g27_e002 </t>
  </si>
  <si>
    <t xml:space="preserve">Il. símbolos, como na ref., representando 4 unidades na numeração Maia. </t>
  </si>
  <si>
    <t xml:space="preserve">i0187_2p012m_g27_e002 </t>
  </si>
  <si>
    <t xml:space="preserve">Il. símbolo, como na ref., representando 4 unidades na numeração Grega. </t>
  </si>
  <si>
    <t xml:space="preserve">i0188_2p012m_g27_e002 </t>
  </si>
  <si>
    <t xml:space="preserve">Il. símbolos, como na ref., representando 4 unidades na numeração Babilônica. </t>
  </si>
  <si>
    <t xml:space="preserve">i0189_2p012m_g27_e002 </t>
  </si>
  <si>
    <t xml:space="preserve">Il. símbolos, como na ref., representando 4 unidades na numeração Romana. </t>
  </si>
  <si>
    <t xml:space="preserve">i0190_2p012m_g27_e002 </t>
  </si>
  <si>
    <t xml:space="preserve">Il. de 8 pedrinhas enfileiradas.  </t>
  </si>
  <si>
    <t xml:space="preserve">i0122_2p012m_g27_e002 </t>
  </si>
  <si>
    <t xml:space="preserve">Resgatar ilustração de um atendente de sorveteria anotando os pedidos de uma família; disponível em g23_ftd_lt_2bam_176, 
Código antigo i4401kb_2bam_g23_ftd 
AJUSTE: 
Alterar na il. a palavra SORVETE por SALADA DE FRUTAS . Colocar um abafador de som e um colar de autista em um dos clientes. 
Além disso, deixar mais visível as informações na prancheta. </t>
  </si>
  <si>
    <t>KEITHY MOSTACHI/ARQUIVO DA EDITORA</t>
  </si>
  <si>
    <t xml:space="preserve">i0361_2p012m_g27_e002 </t>
  </si>
  <si>
    <t xml:space="preserve">il. da frente e do verso da ficha, aplicando um exemplo lúdico da numeração da ficha, utilizar a como modelo a referência, (utilizar o mesmo modelo de il. realizado no material complementar) </t>
  </si>
  <si>
    <t xml:space="preserve">i0362_2p012m_g27_e002 </t>
  </si>
  <si>
    <t xml:space="preserve">Ils. De um grupo formado por 3 ou 4 estudantes de 7 anos em uma mesa, brincando com o jogo. As fichas deverão conter visivelmente que as crianças estão brincando com as fichas numéricas, compor uma criança com cadeira de rodas, um adulto supervisionando a brincadeira de modo que o adulto seja uma professora, uma criança mais gordinha, uma criança com cabelo enrolado. 
Compor as ils, trazendo distinções entre os corpos, não todos relativamente magros ou gordos, sendo assim deverão ter um equilíbrio sem haver uma padronização. 
Ao fundo construir um ambiente de modo que pareça ser uma sala de aula, com carteiras ao fundo e com outros estudantes. 
Ver a referência de modelo </t>
  </si>
  <si>
    <t>i0347_1p012m_g27_e002</t>
  </si>
  <si>
    <t>Resgatar ilustração de um cubo amarelo; disponível em g23_ftd_lt_2bam_p040 código antigo it0802sl_2bam_g23_ftd</t>
  </si>
  <si>
    <t>i0348_1p012m_g27_e002</t>
  </si>
  <si>
    <t>Resgatar ilustração de um paralelepípedo amarelo; disponível em g23_ftd_lt_2bam_p040 código antigo it0805sl_2bam_g23_ftd</t>
  </si>
  <si>
    <t>i0349_1p012m_g27_e002</t>
  </si>
  <si>
    <t>i0350_1p012m_g27_e002</t>
  </si>
  <si>
    <t>Resgatar ilustração de cone amarelo; disponível em g23_ftd_lt_2bam_p040 código antigo it0848_2bam_g23_ftd_re</t>
  </si>
  <si>
    <t>i0351_1p012m_g27_e002</t>
  </si>
  <si>
    <t>i0352_1p012m_g27_e002</t>
  </si>
  <si>
    <t>Resgatar ilustração de cubo do g23_ftd_lt_3bam_p038 código antigo it0849sl_3bam_g23_ftd</t>
  </si>
  <si>
    <t>i0353_1p012m_g27_e002</t>
  </si>
  <si>
    <t>Resgatar ilustração de paralelepípedo do g23_ftd_lt_3bam_p038 código antigo it0850sl_3bam_g23_ftd</t>
  </si>
  <si>
    <t>i0354_1p012m_g27_e002</t>
  </si>
  <si>
    <t>Resgatar ilustração de cilindro do g23_ftd_lt_3bam_p038 código antigo it0853sl_3bam_g23_ftd</t>
  </si>
  <si>
    <t>i0355_1p012m_g27_e002</t>
  </si>
  <si>
    <t>Resgatar ilustração de cone do g23_ftd_lt_3bam_p038 código antigo it0852sl_3bam_g23_ftd</t>
  </si>
  <si>
    <t>i0356_1p012m_g27_e002</t>
  </si>
  <si>
    <t>Resgatar ilustração de esfera do g23_ftd_lt_3bam_p038 código antigo it0854sl_3bam_g23_ftd</t>
  </si>
  <si>
    <t>i0357_1p012m_g27_e002</t>
  </si>
  <si>
    <t>il. de um paralelepípedo feito com massinha de modelar igual no formato e tamanho semelhantes ao da ilustração com o código antigo it0850sl_3bam_g23_ftd (enviado na pasta)</t>
  </si>
  <si>
    <t>R: 23/06 ; F: 25/06</t>
  </si>
  <si>
    <t>i0358_1p012m_g27_e002</t>
  </si>
  <si>
    <t>il. de um cilindro feito com massinha de modelar igual no formato e tamanho semelhantes ao da ilustração com o código antigo it0853sl_3bam_g23_ftd (enviado na pasta)</t>
  </si>
  <si>
    <t>i0359_1p012m_g27_e002</t>
  </si>
  <si>
    <t>il. de um cone feito com massinha de modelar igual no formato e tamanho semelhantes ao da ilustração com o código antigo it0852sl_3bam_g23_ftd (enviado na pasta)</t>
  </si>
  <si>
    <t>i0293_1p012m_g27_e002</t>
  </si>
  <si>
    <t>Resgatar e ajustar ilustração de um cubo vermelho, disponível em livro de práticas do 1 ano, página 87 BAM código antigo it1421gu_1bam_g23_ftd
AJUSTE: compor a sequência usando os cubos indicados acima conforme referência a seguir, sendo um cubo vermelho e um cubo azul conforme referência a seguir. Colocar ... no final da sequência no padrão da obra conforme referência a seguir.
Arte: manter tamanho das imagens como está no resgate.</t>
  </si>
  <si>
    <t>BRUNA CAMPOS/ARQUIVO DA EDITORA</t>
  </si>
  <si>
    <t>i0382_1p012m_g27_e002</t>
  </si>
  <si>
    <t>Resgatar ilustração de cubo vermelho, disponível em: livro de práticas do 1 ano, página 87 BAM código antigo it1421gu_1bam_g23_ftd</t>
  </si>
  <si>
    <t>i0383_1p012m_g27_e002</t>
  </si>
  <si>
    <t>Resgatar e ajustar cubo vermelho, disponível em: livro de práticas do 1 ano, página 87 BAM código antigo it1421gu_1bam_g23_ftd
AJUSTE: deixar o cubo na cor azul conforme a cor usada na sequência da i0293_1p012m_g27_e002 acima.</t>
  </si>
  <si>
    <t>i0384_1p012m_g27_e002</t>
  </si>
  <si>
    <t>Resgatar ilustração de cubo vermelho, disponível em: livro de práticas do 1 ano, página 87 BAM código antigo it1421gu_1bam_g23_ftd
AJUSTE: deixar o cubo na cor verde do padrão conforme referência a seguir.</t>
  </si>
  <si>
    <t>i0298_1p012m_g27_e002</t>
  </si>
  <si>
    <t>ilustração de uma sequência de um cilindro, uma esfera, um cone, um cilindro, uma esfera e um cone, com ... do padrão da obra ao final da sequência conforme referência a seguir.</t>
  </si>
  <si>
    <t>bp</t>
  </si>
  <si>
    <t>i0299_1p012m_g27_e002</t>
  </si>
  <si>
    <t>ilustração de uma sequência de um cubo, um paralelepípedo, um cone, um cubo, um paralelepípedo e um cone e um cone, com ... do padrão da obra ao final da sequência conforme referência a seguir.</t>
  </si>
  <si>
    <t>i0300_1p012m_g27_e002</t>
  </si>
  <si>
    <t>ilustração de uma sequência de uma esfera, um paralelepípedo, um cilindro, uma esfera, um paralelepípedo e um cilindro, com ... do padrão da obra ao final da sequência conforme referência a seguir.</t>
  </si>
  <si>
    <t>i0736_2p012m_g27_e002</t>
  </si>
  <si>
    <t>Resgatar ábaco sem contas da i0711_2p012m_g27_e002 e codificar com o código acima.</t>
  </si>
  <si>
    <t>i0735_2p012m_g27_e002</t>
  </si>
  <si>
    <t>Il. de uma malha quadriculada com quadradinhos coloridos formando um mosaico.
O mosaico deve ser construído em uma malha 10x14. Ver referência a seguir.</t>
  </si>
  <si>
    <t>INGRIDHI BORGES/ARQUIVO DA EDITORA</t>
  </si>
  <si>
    <t>i0505_2p012m_g27_e002</t>
  </si>
  <si>
    <t>Resgatar ilustração dos dois grupos de tampas e a adição abaixo de cada adição, compor as setas OBRIGATORIAMENTE, para indicar os agrupamentos e trocas.; disponível em g23_ftd_lt_2bam_p051, 
Código antigo: i1211tc_2bam_g23_ftd
Ajuste: agrupar tampinhas, como indicado na referência a seguir.</t>
  </si>
  <si>
    <t>mv</t>
  </si>
  <si>
    <t>THAIS CASTRO/ARQUIVO DA EDITORA</t>
  </si>
  <si>
    <t>i0557_2p012m_g27_e002</t>
  </si>
  <si>
    <t>Ilustração de uma folha de caderno do projeto gráfioc com desenhos de tracinhos e uma conta matemática montada como se fosse manuscrita, como indicada na ref.</t>
  </si>
  <si>
    <t>i0542_2p012m_g27_e002</t>
  </si>
  <si>
    <t>Ilustração de anotações sobre uma partida de futebol com a escrita manuscrita em caixa alta alta. Compor conforme referência a seguir.</t>
  </si>
  <si>
    <t>i0547_2p012m_g27_e002</t>
  </si>
  <si>
    <t>Resgatar e ajustar ilustração de dois ábacos com 8 dezenas e 5 unidades; disponível em g23_ftd_lt_2bam_p055, 
Código antigo: i1242zz_2bam_g23_ftd
Ajuste: retirar a seta e o ábaco da esquerda, manter apenas o da referência a seguir. Retirar sombra embaixo do ábaco.</t>
  </si>
  <si>
    <t>i0548_2p012m_g27_e002</t>
  </si>
  <si>
    <t>Resgatar ilustração de ábaco com o número 37 do g23_ftd_lt_1bam_p102, código antigo i2031zz_1bam_g23_ftd</t>
  </si>
  <si>
    <t>i0549_2p012m_g27_e002</t>
  </si>
  <si>
    <t>Resgatar ilustração de ábaco com o número 25 do g23_ftd_lt_1bam_p113, código antigo i2474sl_1bam_g23_ftd</t>
  </si>
  <si>
    <t>i0550_2p012m_g27_e002</t>
  </si>
  <si>
    <t>Resgatar ilustração de ábaco com o número 28 do g23_ftd_lt_1bam_p113, código antigo i2475sl_1bam_g23_ftd</t>
  </si>
  <si>
    <t>i0559_2p012m_g27_e002</t>
  </si>
  <si>
    <t>Resgatar e ajustar ilustração de ábaco com o número 42 do g23_ftd_lt_1bam_p113, código antigo i2477sl_1bam_g23_ftd
AJUSTE: retirar uma bolinha da haste das unidades ficando representado no ábaco o número 41. Ver referência a seguir.</t>
  </si>
  <si>
    <t>i0543_2p012m_g27_e002</t>
  </si>
  <si>
    <t>Ilustração de anotações de sabores de suco em fonte manuscrita em caixa alta alta conforme referência a seguir.</t>
  </si>
  <si>
    <t>i0561_2p012m_g27_e002</t>
  </si>
  <si>
    <t>Ilustração de 8 traços verticais, com os dois primeiros cortados e as indicações com chaves, conforme referência a seguir.</t>
  </si>
  <si>
    <t>g0538_2p012m_g27_e002</t>
  </si>
  <si>
    <t>Resgatar e ajustar ilustração de um gráfico de barras sobre quantidade de estudantes; disponível em g23_ftd_lt_2bam_p071, 
Código antigo: gt1256sl_2bam_g23_ftd
AJUSTE: inserir fio contorno preto nas barras do gráfico conforme novo padrão.</t>
  </si>
  <si>
    <t>i1361_1p012m_g27_e002</t>
  </si>
  <si>
    <t>Resgatar ilustração de ábaco com 1 dezena e 4 unidades representando o número 14, disponível em g23_ftd_lt_1bam_p102, Código antigo: i2030zz_1bam_g23_ftd Ajuste: Inserir duas bolinhas na vareta das dezenas e três bolinas na vareta das unidades sendo colocadas, como na ref.</t>
  </si>
  <si>
    <t>i6169_1p012m_g27_e002</t>
  </si>
  <si>
    <t>Material complementar</t>
  </si>
  <si>
    <t>Resgatar ilustração de cartelas de bingo do g23_ftd_lt_1bam_p203 código antigo i4801rm_1bam_g23_ftd</t>
  </si>
  <si>
    <t xml:space="preserve">i0942_2p012m_g27_e002 </t>
  </si>
  <si>
    <t xml:space="preserve">Resgatar e ajustar ilustração de ábaco do padrão do g23_ftd_lt_2bam_p078 código antigo i1606zz_2bam_g23_ftd
AJUSTE: ajustar para que o ábaco indique o número 235.
</t>
  </si>
  <si>
    <t xml:space="preserve">i0943_2p012m_g27_e002 </t>
  </si>
  <si>
    <t xml:space="preserve">Resgatar e ajustar ilustração de ábaco do padrão do g23_ftd_lt_2bam_p078 código antigo i1606zz_2bam_g23_ftd
AJUSTE: ajustar para que o ábaco indique o número 387.
</t>
  </si>
  <si>
    <t>i0944_2p012m_g27_e002</t>
  </si>
  <si>
    <t>Ilustração de um ábaco do padrão da obra com o número 258 representado.</t>
  </si>
  <si>
    <t xml:space="preserve">Arte </t>
  </si>
  <si>
    <t>i0945_2p012m_g27_e002</t>
  </si>
  <si>
    <t xml:space="preserve">Ilustração de dois ábacos do padrão da obra.
O primeiro deve ter 1 bolinha na centena, com uma saindo, uma bolinha na centena e 4 saindo e 2 bolinhas na unidade e 6 saindo.
 O segundo deve ter um ábaco com o número 112 representado. Ver referência.
ARTE: separar em A e B para facilitar a digramação.
</t>
  </si>
  <si>
    <t>i6170_1p012m_g27_e002</t>
  </si>
  <si>
    <t>Il. de um ábaco como se fosse feito de papel com 2 varetas, possuindo a indicação das unidades e dezenas, sem as bolinhas (não deve ser o do padrão)
Deixar o tamanho do ábaco de modo que ocupe uma página do material complementar.
Ver ideia as seguir, mas como dito antes, não deve ser o ábaco do padrão, deve ser de papel.</t>
  </si>
  <si>
    <t>r:07/07 f:09/07</t>
  </si>
  <si>
    <t>i6171_1p012m_g27_e002</t>
  </si>
  <si>
    <t>Il. de 1 bolinha do ábaco de modo que as bolinhas fiquem de tamanho proporcional para caber 10 delas alinhadas sobre a vareta do ábaco da i6170_1p012m_g27_e002. Fazer no mesmo estilo do ábaco da i6170_1p012m_g27_e002. Não fazer igual as bolinhas do ábaco do padrão.</t>
  </si>
  <si>
    <t>i6172_1p012m_g27_e002</t>
  </si>
  <si>
    <t>Resgatar ilustração do molde da figura geométrica (CUBO PLANIFICADO) do g23_ftd_1bam_p205 código antigo it4874sl_1bam_g23_ftd</t>
  </si>
  <si>
    <t>i6185_1p012m_g27_e002</t>
  </si>
  <si>
    <t>Resgatar ilustração do molde da figura geométrica (PARALELEPÍPEDO PLANIFICADO) do g23_ftd_1bam_p205 código antigo it4875sl_1bam_g23_ftd</t>
  </si>
  <si>
    <t>i6174_1p012m_g27_e002</t>
  </si>
  <si>
    <t>Ilustração de um cubinho do material dourado no padrão da obra.</t>
  </si>
  <si>
    <t>i6175_1p012m_g27_e002</t>
  </si>
  <si>
    <t>Ilustração de barra do material dourado no padrão da obra.</t>
  </si>
  <si>
    <t>i6176_1p012m_g27_e002</t>
  </si>
  <si>
    <t xml:space="preserve">Ilustração de quadro com o texto a seguir com vista frontal para o aluno preencher. Usar a mesma fonte e bordas da i1002ls_1p012m_g27_e002_aj (enviada na pasta) que já apareceu na página 129 do 1P011M.
Arte: esse quadro deve ocupar a página toda, se necessário deixar cada linha do quadro mais larga para fechar a página.
FUTEBOL	
VOLEIBOL	
BASQUETEBOL	
TÊNIS	
NATAÇÃO	
OUTROS	</t>
  </si>
  <si>
    <t>i6177_1p012m_g27_e002</t>
  </si>
  <si>
    <t>Ilustração de 1 palito de sorvete do padrão da obra.
Arte: fazer a ilustração de tamanho que feche a página de com a quantidade indicada para a diagramação aplicar.</t>
  </si>
  <si>
    <t>i6178_1p012m_g27_e002</t>
  </si>
  <si>
    <t>Resgatar ilustração de uma roleta com números de 1 a 9 do g23_ftd_lt_1bam_p207 código antigo i4803iv_1bam_g23_ftd</t>
  </si>
  <si>
    <t>i6179_1p012m_g27_e002</t>
  </si>
  <si>
    <t>Ilustração de um tabuleiro de figuras geométricas planas possuindo uma casa com a escrita SAÍDA e uma casa com a escrita CHEGADA e mais 20 casas com figuras geométricas planas que serão círculos, retângulos, triângulos e quadrados. Fazer essas figuras em diferentes posições, sendo que os triângulos podem variar e serem isósceles, retângulo e equilátero e os retângulos podem alguns mais horizontais e outros mais verticais. Esse tabuleiro deve ocupar duas páginas do material complementar de modo que tenha uma parte fique com o código acima e a outra parte na próxima página com o código i6179B_1p012m_g27_e002. Compor uma aba que permita o estudante colar as duas partes para o tabuleiro ficar completo e inserir tracejado para o estudante recortar.
Ver ideia a seguir, ficando separado em duas partes. No final do tabuleiro, na casa de CHEGADA, compor aquele quadriculado padrão que representa a chegada e umas bandeirinhas também com esse quadriculado ao lado dessa casa. Compor um fundo para o tabuleiro que fique mais adequado.</t>
  </si>
  <si>
    <t>R:07/07 F:14/07</t>
  </si>
  <si>
    <t>i6180_1p012m_g27_e002</t>
  </si>
  <si>
    <t>Resgatar e ajustar ilustração de um dado planificado disponivel em g23_ftd_lt_1bam_p001a256, código antigo it4874sl_1bam_g23_ftd
AJUSTE: compor numeração de 1 a 6 em cada face do dado e girar o dado para que ocupe a página toda. Ver referência a seguir.
ARTE: Esse dado será usado para o jogo da i6179A_1p012m e i6179B_1p012m, sendo assim, deixar na mesma linguagem dessas imagens.</t>
  </si>
  <si>
    <t>i6181_1p012m_g27_e002</t>
  </si>
  <si>
    <t>Resgatar e ajustar ilustração de um dado planificado disponivel em g23_ftd_lt_1bam_p001a256, código antigo it4874sl_1bam_g23_ftd
AJUSTE: compor o cubo com vermelha do projeto gráfico e fazer de tamanho que após montado a face de um lado caiba nas casas do tabuleiro da i6179A_1p012m e i6179B_1p012m.
ARTE: Esse dado será usado para o jogo da i6179A_1p012m e i6179B_1p012m, sendo assim, deixar na mesma linguagem dessas imagens.</t>
  </si>
  <si>
    <t>i6182_1p012m_g27_e002</t>
  </si>
  <si>
    <t>Resgatar e ajustar ilustração do molde de um cone azul do g23_ftd_lt_4bam_p241, código antigo i4807sl_4bam_g23_ftd
AJUSTE: fazer de tamanho que após montado a base caiba nas casas do tabuleiro da i6179A_1p012m e i6179B_1p012m e se for a Arte que faz, compor tracejado em torno da imagem par ao aluno recortar.
ARTE: Esse dado será usado para o jogo da i6179A_1p012m e i6179B_1p012m, sendo assim, deixar na mesma linguagem dessas imagens.</t>
  </si>
  <si>
    <t>i6183_1p012m_g27_e002</t>
  </si>
  <si>
    <t>Resgatar e ajustar ilustração do molde de um cilindro roxo do g23_ftd_lt_4bam_p241, código antigo i4806sl_4bam_g23_ftd
AJUSTE: aumentar a altura do cilindro conforme referência no print1 fazer de tamanho que após montado a base caiba nas casas do tabuleiro da i6179A_1p012m e i6179B_1p012m e se for a Arte que faz, compor tracejado em torno da imagem par ao aluno recortar.
ARTE: Esse dado será usado para o jogo da i6179A_1p012m e i6179B_1p012m, sendo assim, deixar na mesma linguagem dessas imagens.</t>
  </si>
  <si>
    <t>i6184_1p012m_g27_e002</t>
  </si>
  <si>
    <t>Resgatar e ajustar ilustração do molde de um paralelepipedo retangulo amarelo do g23_ftd_lt_4bam_p241, código antigo it4875sl_1bam_g23_ftd
AJUSTE: fazer de tamanho que após montado a face de um lado menor caiba nas casas do tabuleiro da i6179A_1p012m e i6179B_1p012m.
ARTE: Esse dado será usado para o jogo da i6179A_1p012m e i6179B_1p012m, sendo assim, deixar na mesma linguagem dessas imagens.</t>
  </si>
  <si>
    <t>i1574_1p012m_g27_e002</t>
  </si>
  <si>
    <t>Ilustração 4 crianças com cerca de 6 anos cada de diferentes sendo uma menina negra, uma menina branca em cadeira de rodas, um menino ruivo com um aparelho auricular e um menino oriental ao redor de uma mesa com o semblante feliz brincando com um jogo. 
Em cima da mesa deve ter o tabuleiro do jogo sendo o mesmo do Material complementar da i6179A_1p012m_g27_e002 e i6179B_1p012m_g27_e002 já montado com várias casas onde aparecem imagens de quadrados, círculos, triângulos e retângulos. Em cima do tabuleiro também deve aparecer um cubo, um cilindro um cone e um paralelepípedo já montados sendo das cores e a mesma proporção de tamanho com os seus respectivos moldes que serão disponibilizados no Material complementar com os códigos i6181_1p012m, i6182_1p012m, i6183_1p012m, i6184_1p012m. Essas peças podem estar em casas diferentes do tabuleiro. Além disso, também deve aparecer um dado comum já montado em cima do tabuleiro, dado que também será obtido a partir do molde disponibilizado no Material complementar com o código i6180_1p012m.</t>
  </si>
  <si>
    <t>i6102_2p012m_g27_e002</t>
  </si>
  <si>
    <t>Ilustrar 16 cartões numerados. Os resultados devem corresponder ao resultado dos cálculos de adição e subtração colocados nos cartões das páginas 267 e 269. Os números nos cartões deverão ser: 10, 5, 15, 20, 25, 0,55,40, 50, 90, 30, 80, 65, 38, 27, 67. Deixar os cartões de modo que ocupem essa página inteira.
Esses cartões vão aparecer na i0556_2p012m_g27_e002 do miolo.
Ver referência a seguir.</t>
  </si>
  <si>
    <t>i6103_2p012m_g27_e002</t>
  </si>
  <si>
    <t>Ilustrar 8 cartões com cálculos de adição envolvendo números de dois algarismos, os cálculos dos cartões devem ser os seguintes: (25+25) (40+50) (15+15) (49+31) (40+25) (18+25) (14+13) (20+47). Esses cartões vão aparecer na i0556_2p012m_g27_e002 do miolo. Deixar os cartões de modo que ocupem essa página inteira.
Esses cartões vão aparecer na i0556_2p012m_g27_e002 do miolo.
Ver referência a seguir.</t>
  </si>
  <si>
    <t>i6104_2p012m_g27_e002</t>
  </si>
  <si>
    <t>Ilustrar 8 cartões com cálculos de subtração envolvendo números de dois algarismos, os cálculos dos cartões devem ser os seguintes: (25-15) (20-15) (33-18) (90-70) (40-15) (50-50) (70-15) (80-40). Esses cartões vão aparecer na i0556_2p012m_g27_e002 do miolo. Deixar os cartões de modo que ocupem essa página inteira.
Esses cartões vão aparecer na i0556_2p012m_g27_e002 do miolo.
Ver referência a seguir.</t>
  </si>
  <si>
    <t>i0556_2p012m_g27_e002</t>
  </si>
  <si>
    <t>Ilustração de 3 estudantes com idade aproximada de 7 a 8 anos de uniforme em ambiente de sala de aula, duas meninas e um menino, em que uma menina está colocando um cartão com o número 9 sobre a mesa e os outros dois colegas estão escolhendo cartões com operações matemáticas, sendo que esses cartões devem ser no mesmo padrão dos do Material complementar com os códigos i6102_2p012m_g27_e002, i6103_2p012m_g27_e002 e i6104_2p012m_g27_e002. A menina que coloca o cartão sobre a mesa é negra, o menino é moreno e a outra menina com o cartão da operação é cadeirante e branca. Ver ideia a seguir, porém não fazer igual.
ARTE: compor nessa imagem os cartões com números que existem no Material complementar nas imagens i6102_2p012m_g27_e002, i6103_2p012m_g27_e002 e i6104_2p012m_g27_e002.
Se necessário, ver referência para cadeira de rodas a seguir, página 22:
https://iris.who.int/bitstream/handle/10665/78236/9789241503471_reference_manual_por.pdf</t>
  </si>
  <si>
    <t>r:04/07 f:08/07</t>
  </si>
  <si>
    <t>i1560_1p012m_g27_e002</t>
  </si>
  <si>
    <t>Resgatar ilustração de um triângulo roxo; disponível em g23_ftd_lt_1bam_p105 código antigo it2407sl_1bam_g23_ftd</t>
  </si>
  <si>
    <t>i1561_1p012m_g27_e002</t>
  </si>
  <si>
    <t xml:space="preserve">Resgatar ilustração de um retângulo roxo; disponível em g23_ftd_lt_1bam_p105 código antigo 
it2408sl_1bam_g23_ftd
</t>
  </si>
  <si>
    <t>i1562_1p012m_g27_e002</t>
  </si>
  <si>
    <t>Resgatar ilustração de um círculo roxo, disponível em g23_ftd_lt_1bam_p105 código antigo it2409sl_1bam_g23_ftd</t>
  </si>
  <si>
    <t>i6105_2p012m_g27_e002</t>
  </si>
  <si>
    <t>Ilustrar 12 cartões com números de dois algarismos. Nenhum dos números podem se repetir e devem ser algarismos iguais com diferentes valores posicionais. Os números a serem colocados nas fichas são: 31, 13, 59, 95, 79. 97, 39, 91, 12, 21,90,19.</t>
  </si>
  <si>
    <t>i6106_2p012m_g27_e002</t>
  </si>
  <si>
    <t>Ilustrar 12 cartões com números de dois ou três algarismos continuação da atividade anterior, mesma referência. Os números a serem colocados nas fichas são:123, 213, 231, 356, 536, 653, 410, 140, 234, 432, 324, 243</t>
  </si>
  <si>
    <t>i0172_3p012m_g27_e002</t>
  </si>
  <si>
    <t xml:space="preserve">Ilustração de um telefone fixo em uma mesa, deve ter no visor o número (43) 1164-8721. A ilustração deve ter o mesmo padrão das ils i0102, i0103 e i0104_3p012m (ilustradora Ivy Nunes) pois faz parte da mesma atividade. Conforme a referência
ARTE: enviar para Ivy Nunes ou fazer de modo que fique parecido com o traço dela para ficar no mesmo traço das imagens acima.
</t>
  </si>
  <si>
    <t xml:space="preserve">i0174_3p012m_g27_e002 </t>
  </si>
  <si>
    <t>Ilustração de 4 risquinhos conforme referência a seguir.</t>
  </si>
  <si>
    <t xml:space="preserve">i0175_3p012m_g27_e002 </t>
  </si>
  <si>
    <t>Ilustração de 7 risquinhos conforme referência a seguir.</t>
  </si>
  <si>
    <t xml:space="preserve">i0176_3p012m_g27_e002 </t>
  </si>
  <si>
    <t>Ilustração de 2 risquinhos conforme referência a seguir.</t>
  </si>
  <si>
    <t xml:space="preserve">i0177_3p012m_g27_e002 </t>
  </si>
  <si>
    <t>Ilustração de 5 risquinhos conforme referência a seguir.</t>
  </si>
  <si>
    <t xml:space="preserve">i0163_3p012m_g27_e002 </t>
  </si>
  <si>
    <t>Resgatar Ilustração de um ábaco com C, D e U para os estudantes desenharem as contas, da página 18 do g27_e002_lt_3p012m, código i0129_3p012m_g27_e002.</t>
  </si>
  <si>
    <t>i0164_3p012m_g27_e002</t>
  </si>
  <si>
    <t xml:space="preserve">Resgatar e ajustar ilustração de uma placa, uma barra e três cubinhos do material dourado do g23_ftd_lt_4bam_p212a221_u11. Código antigo i4439_4bam_g23_ftd_re.
AJUSTE: Ajustar deixando apenas 1 placa, 1 barra e 1 cubinho e separar imagem em A, B e C, ficando i0164A_3p012m_g27_e002 para a placa; i0164B_3p012m_g27_e002 para a barra e i0164C_3p012m_g27_e002 para o cubinho. Ver referência a seguir.
</t>
  </si>
  <si>
    <t>i0166_3p012m_g27_e002</t>
  </si>
  <si>
    <t>Ilustração de uma bicicleta que custe em torno de 1200 reais. Ver ideia a seguir.</t>
  </si>
  <si>
    <t>FINAL :11/07</t>
  </si>
  <si>
    <t>i0167_3p012m_g27_e002</t>
  </si>
  <si>
    <t>Ilustração de uma bicicleta que custe em torno de 600 reais. Ver ideia a seguir.</t>
  </si>
  <si>
    <t>i0168_3p012m_g27_e002</t>
  </si>
  <si>
    <t>Ilustração de uma bicicleta que custe em torno de 1500 reais. Ver ideia a seguir.</t>
  </si>
  <si>
    <t>i0169_3p012m_g27_e002</t>
  </si>
  <si>
    <t>Ilustração de uma bicicleta que custe em torno de 550 reais. Ver ideia a seguir.</t>
  </si>
  <si>
    <t>i0170_3p012m_g27_e002</t>
  </si>
  <si>
    <t>Ilustração de uma bicicleta que custe em torno de 750 reais. Ver ideia a seguir.</t>
  </si>
  <si>
    <t>i0171_3p012m_g27_e002</t>
  </si>
  <si>
    <t>Ilustração de uma bicicleta que custe em torno de 900 reais. Ver ideia a seguir.</t>
  </si>
  <si>
    <t>i6199_2p012m_g27_e002</t>
  </si>
  <si>
    <t>Ilustração de 8 fichas apenas com o fio contorno (todas com a mesma cor de fio contorno) e o interior com espaço interno em branco para o estudante preencher com números. As 8 fichas devem ocupar o espaço disponível nesta página.
ARTE: fazer essas fichas mais ou menos do mesmo tamanho da i0361_2p012m_g27_e002 e 
 i0362_2p012m_g27_e002 que está no miolo. Ver referência a seguir.</t>
  </si>
  <si>
    <t>i6200_2p012m_g27_e002</t>
  </si>
  <si>
    <t>Resgatar e ajustar ilustração do molde da figura geométrica (CUBO PLANIFICADO) do g23_ftd_1bam_p205 código antigo it4874sl_1bam_g23_ftd
AJUSTE: girar o molde conforme indicado e deixar de tamanho que ocupe a página inteira. Ajustar a cor do molde para amarelo do padrão.</t>
  </si>
  <si>
    <t>Resgate com Ajuste</t>
  </si>
  <si>
    <t>i6109_2p012m_g27_e002</t>
  </si>
  <si>
    <t>Resgatar ilustração de um caminho composto por subtrações, com início com o nome ENTRADA e fim com o nome CHEGADA, veio de g23_ftd_mp_2bam_p219 código antigo: i4889tc_2bam_g23_ftd, conforme a referência</t>
  </si>
  <si>
    <t>i6110_2p012m_g27_e002</t>
  </si>
  <si>
    <t>Resgatar ilustração do dado com os peões do g23_ftd_lt_2bam_p221 código antigo i4905sl_2bam_g23_ftd</t>
  </si>
  <si>
    <t>i6111_2p012m_g27_e002</t>
  </si>
  <si>
    <t>Ilustração de um cubinho do material dourado no padrão da obra que representa uma unidade</t>
  </si>
  <si>
    <t>i6096_2p012m_g27_e002</t>
  </si>
  <si>
    <t>Ilustração de um calendário atualizado de 2027 do padrão da obra</t>
  </si>
  <si>
    <t>i0930_2p012m_g27_e002</t>
  </si>
  <si>
    <t xml:space="preserve">Ilustração de prancheta do projeto gráfico com os textos em fonte manuscrita em caixa alta baixa conforme indicado a seguir. Deixar os números na forma de risquinhos conforme referência:
Qual é o seu lazer preferido?
Praticar esporte: 35 em forma de risquinhos
Leitura: 20 em forma de risquinho
Assistir filmes: 45 em forma de risquinho
Viajar 15 em forma de risquinho
Outros 5: em forma de risquinho. 
ARTE: caso não caiba a prancheta, pode deixar apenas o caderno com as informações para ficar maior as informações.
</t>
  </si>
  <si>
    <t>g0933_2p012m_g27_e002</t>
  </si>
  <si>
    <t xml:space="preserve">Ilustração de um gráfico com as barras em branco para o aluno completar. Colocar abaixo de cada barra lado a lado no eixo horizontal, os seguintes itens nessa ordem (ver ideia abaixo): Praticar esportes; Leitura; Assistir filmes; Viajar; Outros. No eixo vertical, compor o gráfico de 0 a 45 com escala de 5 em 5. O nome do eixo vertical deve ser “Quantidade de pessoas” e o eixo horizontal deve ser “Lazer”.
Arte: usar como base o gráfico de código antigo gt4413gu_2bam_g23_ftd (enviado na pasta). 
</t>
  </si>
  <si>
    <t>i6136_2p012m_g27_e002</t>
  </si>
  <si>
    <t>vamos avaliar</t>
  </si>
  <si>
    <t xml:space="preserve">Resgatar ilustração de vários lápis verdes lado a lado; disponível em g23_ftd_lt_2bam_p72 código antigo: i1202zz_2bam_g23_ftd.
AJUSTE: espalhar um pouco mais os lápis para que fique mais fácil contornar as dezenas, pode dividir os lápis um pouco para baixo
</t>
  </si>
  <si>
    <t>i6137_2p012m_g27_e002</t>
  </si>
  <si>
    <t>Resgatar ilustração de uma caixa de presente em forma de cubo; disponível em g23_ftd_lt_2bam_p72 código antigo: i1203iv_2bam_g23_ftd_ef</t>
  </si>
  <si>
    <t>i6138_2p012m_g27_e002</t>
  </si>
  <si>
    <t>Resgatar ilustração de chapéu de aniversário; disponível em g23_ftd_lt_2bam_p72 código antigo: i1204iv_2bam_g23_ftd</t>
  </si>
  <si>
    <t>i6139_2p012m_g27_e002</t>
  </si>
  <si>
    <t>Resgatar ilustração de uma bolinha de árvore de Natal; disponível em g23_ftd_lt_2bam_p72 código antigo: i1205iv_2bam_g23_ftd</t>
  </si>
  <si>
    <t>i6140_2p012m_g27_e002</t>
  </si>
  <si>
    <t>Resgatar ilustração de um pacote de bolacha recheada; disponível em g23_ftd_lt_2bam_p72 código antigo: i1206iv_2bam_g23_ftd</t>
  </si>
  <si>
    <t>i6141_2p012m_g27_e002</t>
  </si>
  <si>
    <t>Resgatar ilustração de um cinto e uma camiseta lado a lado; disponível em g23_ftd_lt_2bam_p73 código antigo: i1207iv_2bam_g23_ftd</t>
  </si>
  <si>
    <t>i6198_2p012m_g27_e002</t>
  </si>
  <si>
    <t>Resgatar Ilustração de um ábaco com C, D e U para os estudantes desenharem as contas, do g27_e002_lt_3p012m código i0129_3p012m_g27_e002, página 18.</t>
  </si>
  <si>
    <t>i6145_2p012m_g27_e002</t>
  </si>
  <si>
    <t>Resgatar ilustração do pedaço de fita do g23_ftd_lt_2bam_p117 código antigo i2404ly_2bam_g23_ftd</t>
  </si>
  <si>
    <t>i6146_2p012m_g27_e002</t>
  </si>
  <si>
    <t>Resgatar ilustração de uma caixa com laranjas do g23_ftd_lt_2bam_p160 código antigo i3604rm_2bam_g23_ftd</t>
  </si>
  <si>
    <t>i6147_2p012m_g27_e002</t>
  </si>
  <si>
    <t>Ilustração de um salão de festas visto de cima, com mesas dispostas em 5 colunas e 4 linhas, conforme a referência.</t>
  </si>
  <si>
    <t>F:11/07</t>
  </si>
  <si>
    <t>i6148_2p012m_g27_e002</t>
  </si>
  <si>
    <t xml:space="preserve">Resgatar ilustração de uma placa de trânsito marcando 40 km/h do g23_lt_2bag, código antigo 
i0651rm_2bag_g23_ftd 
AJUSTE: ajustar placa para 80 km/h conforme referência a seguir.
</t>
  </si>
  <si>
    <t>i6149_2p012m_g27_e002</t>
  </si>
  <si>
    <t xml:space="preserve">Resgatar ilustração de uma placa de trânsito de quebra-molas do g23_lt_2bag, código antigo 
i0653rm_2bag_g23_ftd
</t>
  </si>
  <si>
    <t>i6151_2p012m_g27_e002</t>
  </si>
  <si>
    <t xml:space="preserve">Ilustração de uma placa de trânsito no formato retangular conforme referência a seguir
ARTE: enviar para Heloísa Pintarelli produzir para ficar na mesma linguagem das anteriores e pedir pra usar nessa placa o mesmo tom de amarelo da imagem de código antigo i0653rm_2bag_g23_ftd (lombada acima) e fazer de tamanho proporcional as de modo que fique proporcional as de código antigo i0651rm_2bag_g23_ftd e i0653rm_2bag_g23_ftd (enviadas na pasta)
</t>
  </si>
  <si>
    <t>i6150_2p012m_g27_e002</t>
  </si>
  <si>
    <t xml:space="preserve">Ilustração de uma placa de trânsito triangular de preferência conforme referência a seguir.
ARTE: enviar para Heloísa Pintarelli produzir para ficar na mesma linguagem das anteriores e pedir pra usar nessa placa o mesmo tom de vermelho da imagem de código antigo i0651rm_2bag_g23_ftd 
(80 km/h acima) e fazer de tamanho proporcional as de modo que fique proporcional as de código antigo i0651rm_2bag_g23_ftd e i0653rm_2bag_g23_ftd (enviadas na pasta) 
</t>
  </si>
  <si>
    <t xml:space="preserve">i6152_2p012m_g27_e002 </t>
  </si>
  <si>
    <t xml:space="preserve">Resgatar ilustração da sequência de setas do g23_ftd_lt_2bam_p160 código antigo i3638gu_2bam_g23_ftd
AJUSTE: Mudar cor das setas conforme referência a seguir, deixando no mesmo tom de vermelho, azul e amarelo das ilustrações abaixo (i6153_2p012m_g27_e002, i6154_2p012m_g27_e002 e i6155_2p012m_g27_e002) após serem ajustadas.
</t>
  </si>
  <si>
    <t xml:space="preserve">i6153_2p012m_g27_e002 </t>
  </si>
  <si>
    <t xml:space="preserve">Resgatar ilustração da seta amarela para cima do g23_ftd_lt_2bam_p160 código antigo i3642gu_2bam_g23_ftd
AJUSTE: Mudar cor da seta para vermelho mesmo tom de vermelho da i4913_1p012m_g27_e002_aj (enviada na pasta)
</t>
  </si>
  <si>
    <t xml:space="preserve">i6154_2p012m_g27_e002 </t>
  </si>
  <si>
    <t xml:space="preserve">Resgatar ilustração da seta verde para direita do g23_ftd_lt_2bam_p160 código antigo i3640gu_2bam_g23_ftd 
AJUSTE: Mudar cor da seta para azul mesmo tom de azul da i4914_1p012m_g27_e002_aj (enviada na pasta)
</t>
  </si>
  <si>
    <t>i6155_2p012m_g27_e002</t>
  </si>
  <si>
    <t xml:space="preserve">Resgatar ilustração da seta vermelha para esquerda do g23_ftd_lt_2bam_p160 código antigo i3641gu_2bam_g23_ftd
AJUSTE: Mudar cor da seta para amarelo mesmo tom de amarelo da i4915_1p012m_g27_e002_aj (enviada na pasta)
</t>
  </si>
  <si>
    <t>i6156_2p012m_g27_e002</t>
  </si>
  <si>
    <t xml:space="preserve">Resgatar ilustração da resposta do caminho do g23_ftd_lt_2bam_p160 código antigo i3602rm_2bam_g23_ftd
AJUSTE: remover a resposta em magenta na il.
</t>
  </si>
  <si>
    <t>i6157_2p012m_g27_e002</t>
  </si>
  <si>
    <t>Resgatar ilustração de um bairro do g23_ftd_lt_2bam_p160 código antigo i3603rm_2bam_g23_ftd_aj</t>
  </si>
  <si>
    <t>i6158_2p012m_g27_e002</t>
  </si>
  <si>
    <t>Resgatar a ilustração dos quadrados coloridos do g23_ftd_lt_2bam_p161 código antigo it3639gu_2bam_g23_ftd</t>
  </si>
  <si>
    <t>i6159_2p012m_g27_e002</t>
  </si>
  <si>
    <t xml:space="preserve">Resgatar ilustração dos meninos na balança do g23_ftd_lt_2bam_p211 código antigo i4807iv_2bam_g23_ftd
AJUSTE: separar ilustrações em A, B e C, e diminuir o tamanho de cada personagem, além de abaixar o visor da balança, se possível ampliar os números no visor de cada balança, 22 kg, 20 kg e 26 kg
</t>
  </si>
  <si>
    <t>g6160_2p012m_g27_e002</t>
  </si>
  <si>
    <t>Resgatar gráfico de bolinhas coloridas do g23_ftd_lt_2bam_p210 código antigo gt4806gu_2bam_g23_ftd</t>
  </si>
  <si>
    <t>i6161_2p012m_g27_e002</t>
  </si>
  <si>
    <t>Resgatar ilustração dos recipientes em cima da mesa do g23_ftd_lt_2bam_p211 código antigo i4808rm_2bam_g23_ftd</t>
  </si>
  <si>
    <t>i6162_2p012m_g27_e002</t>
  </si>
  <si>
    <t>Resgatar ilustração de relógio g23_ftd_lt_2bam_p211 código antigo i4809zz_2bam_g23_ftd</t>
  </si>
  <si>
    <t>i6163_2p012m_g27_e002</t>
  </si>
  <si>
    <t>Resgatar ilustração relógio digital do g23_ftd_lt_2bam_p211 código antigo i4810zz_2bam_g23_ftd</t>
  </si>
  <si>
    <t>i6114_2p012m_g27_e002</t>
  </si>
  <si>
    <t>vamos iniciar</t>
  </si>
  <si>
    <t>Resgatar ilustração de diferentes figurinhas lado a lado; disponível em g23_ftd_lt_2bam_p006_código antigo:i0402iv_2bam_g23_ftd_ef</t>
  </si>
  <si>
    <t>i6115_2p012m_g27_e002</t>
  </si>
  <si>
    <t>Resgatar ilustração de um vendedor na barraca; disponível em g23_ftd_lt_2bam_p006_código antigo: i0403iv_2bam_g23_ftd</t>
  </si>
  <si>
    <t>i6121_2p012m_g27_e002</t>
  </si>
  <si>
    <t>Resgatar ilustração de mão enfiada em uma caixa; disponível em g23_ftd_lt_2bam_p007_código antigo: i0519iv_2bam_g23_ftd</t>
  </si>
  <si>
    <t>i6122_2p012m_g27_e002</t>
  </si>
  <si>
    <t>Resgatar ilustração de um menino de costas com um uma caneta em cada mão; disponível em g23_ftd_lt_2bam_p008_código antigo: i0412iv_2bam_g23_ftd</t>
  </si>
  <si>
    <t>i6123_2p012m_g27_e002</t>
  </si>
  <si>
    <t xml:space="preserve">Resgatar ilustração de uma seta verde para direita, disponível em g23_ftd_lt_2bam_p008 código antigo: i0413sl_2bam_g23_ftd
AJUSTE: trocar a cor da seta para azul no mesmo tom de azul da i4914_1p012m_g27_e002_aj (enviada na pasta), porém manter o formato da seta como está.
</t>
  </si>
  <si>
    <t>i6142_2p012m_g27_e002</t>
  </si>
  <si>
    <t xml:space="preserve">Resgatar ilustração de uma seta azul para a esquerda, disponível em g23_ftd_lt_2bam_p008 código antigo: i0414sl_2bam_g23_ftd
AJUSTE: trocar a cor da seta para amarelo no mesmo tom de amarelo da i4915_1p012m_g27_e002_aj (enviada na pasta), porém manter o formato da seta como está.
</t>
  </si>
  <si>
    <t>i6143_2p012m_g27_e002</t>
  </si>
  <si>
    <t xml:space="preserve">Resgatar ilustração de uma seta vermelha para cima, disponível em g23_ftd_lt_2bam_p008 código antigo: i0415sl_2bam_g23_ftd
AJUSTE: deixar o tom de vermelho dessa seta igual ao da i4913_1p012m_g27_e002_aj (enviada na pasta).
</t>
  </si>
  <si>
    <t>i6144_2p012m_g27_e002</t>
  </si>
  <si>
    <t xml:space="preserve">Resgatar ilustração de uma seta amarela para baixo, disponível em g23_ftd_lt_2bam_p008 código antigo: i0416sl_2bam_g23_ftd
AJUSTE: trocar a cor para laranja do padrão da obra.
</t>
  </si>
  <si>
    <t>i6124_2p012m_g27_e002</t>
  </si>
  <si>
    <t xml:space="preserve">Resgatar ilustração de um esquema com setas de diferentes cores apontado para direções distintas; disponível em g23_ftd_lt_2bam_p008_código antigo: i0417sl_2bam_g23_ftd
AJUSTE: trocar cor das setas conforme a imagens ajustadas acima, deixando na mesma cor e tom, sendo que as cores das setas da sequência deve ser:
azul, azul, vermelho, azul, azul, laranja, laranja, azul, azul, vermelho, vermelho, azul. Manter o formato das setas como está.
</t>
  </si>
  <si>
    <t>i6125_2p012m_g27_e002</t>
  </si>
  <si>
    <t>Resgatar ilustração de uma menina e ao seu lado uma tabela de 7 colunas por 3 linhas; disponível em g23_ftd_lt_2bam_p008_código antigo: i0418iv_2bam_g23_ftd_ef</t>
  </si>
  <si>
    <t>i6126_2p012m_g27_e002</t>
  </si>
  <si>
    <t xml:space="preserve">Resgatar ilustração de três gatos lado a lado; disponível em g23_ftd_lt_2bam_p009_código antigo: i0419iv_2bam_g23_ftd </t>
  </si>
  <si>
    <t>i6127_2p012m_g27_e002</t>
  </si>
  <si>
    <t>Resgatar ilustração de jarras de tamanhos distintos; disponível em g23_ftd_lt_2bam_p009_código antigo: i0420iv_2bam_g23_ftd</t>
  </si>
  <si>
    <t>i6128_2p012m_g27_e002</t>
  </si>
  <si>
    <t>Resgatar ilustração de uma mancha verde; disponível em g23_ftd_lt_2bam_p009_código antigo: i0421iv_2bam_g23_ftd</t>
  </si>
  <si>
    <t>i6129_2p012m_g27_e002</t>
  </si>
  <si>
    <t>Resgatar ilustração de uma mancha vermelha; disponível em g23_ftd_lt_2bam_p009_código antigo: i0423iv_2bam_g23_ftd</t>
  </si>
  <si>
    <t>i6130_2p012m_g27_e002</t>
  </si>
  <si>
    <t>Resgatar ilustração de uma mancha azul; disponível em g23_ftd_lt_2bam_p009_código antigo: i0422iv_2bam_g23_ftd</t>
  </si>
  <si>
    <t>i6131_2p012m_g27_e002</t>
  </si>
  <si>
    <t>Resgatar ilustração de uma mancha amarela; disponível em g23_ftd_lt_2bam_p009_código antigo: i0424iv_2bam_g23_ftd</t>
  </si>
  <si>
    <t>i6132_2p012m_g27_e002</t>
  </si>
  <si>
    <t>Resgatar ilustração de círculo; disponível em g23_ftd_lt_2bam_p009_código antigo: it0425sl_2bam_g23_ftd</t>
  </si>
  <si>
    <t>i6133_2p012m_g27_e002</t>
  </si>
  <si>
    <t>Resgatar ilustração de um quadrado; disponível em g23_ftd_lt_2bam_p009_código antigo: it0514sl_2bam_g23_ftd</t>
  </si>
  <si>
    <t>i6134_2p012m_g27_e002</t>
  </si>
  <si>
    <t>Resgatar ilustração de um retângulo; disponível em g23_ftd_lt_2bam_p009_código antigo: it0515sl_2bam_g23_ftd</t>
  </si>
  <si>
    <t>i6135_2p012m_g27_e002</t>
  </si>
  <si>
    <t>Resgatar ilustração de um triângulo; disponível em g23_ftd_lt_2bam_p009_código antigo: it0516sl_2bam_g23_ftd</t>
  </si>
  <si>
    <t>i6164_2p012m_g27_e002</t>
  </si>
  <si>
    <t>vamos concluir</t>
  </si>
  <si>
    <t>Resgatar ilustração de um livro e seu preço abaixo; disponível em g23_ftd_lt_2bam_212 código antigo: i4815kb_2bam_g23_ftd</t>
  </si>
  <si>
    <t>i6165_2p012m_g27_e002</t>
  </si>
  <si>
    <t>Resgatar ilustração de uma mochila e seu preço ao lado; disponível em g23_ftd_lt_2bam_212 código antigo: i4816kb_2bam_g23_ftd</t>
  </si>
  <si>
    <t>g6166_2p012m_g27_e002</t>
  </si>
  <si>
    <t xml:space="preserve">Resgatar ilustração de um gráfico de barras sobre alimento arrecadados; disponível em g23_ftd_lt_2bam_212 código antigo: gt4817gu_2bam_g23_ftd
AJUSTE: compor fio contorno preto do padrão da obra em volta das barras do gráfico.
</t>
  </si>
  <si>
    <t>i6167_2p012m_g27_e002</t>
  </si>
  <si>
    <t>Resgatar ilustração um cone; disponível em g23_ftd_lt_2bam_213 código antigo: it4818gu_2bam_g23_ftd.ai</t>
  </si>
  <si>
    <t>i6168_2p012m_g27_e002</t>
  </si>
  <si>
    <t>Resgatar ilustração um cubo; disponível em g23_ftd_lt_2bam_213 código antigo: it4819gu_2bam_g23_ftd.ai</t>
  </si>
  <si>
    <t>i6169_2p012m_g27_e002</t>
  </si>
  <si>
    <t>Resgatar ilustração uma pirâmide; disponível em g23_ftd_lt_2bam_213 código antigo: it4820gu_2bam_g23_ftd.ai</t>
  </si>
  <si>
    <t>i6170_2p012m_g27_e002</t>
  </si>
  <si>
    <t>Resgatar ilustração uma esfera vermelha; disponível em g23_ftd_lt_2bam_213 código it4821gu_2bam_g23_ftd.ai</t>
  </si>
  <si>
    <t>i6171_2p012m_g27_e002</t>
  </si>
  <si>
    <t>Resgatar ilustração pessoas em uma fila na praia; disponível em g23_ftd_lt_2bam_213 código antigo: i4822kb_2bam_g23_ftd</t>
  </si>
  <si>
    <t>i6172_2p012m_g27_e002</t>
  </si>
  <si>
    <t xml:space="preserve">Resgatar ilustração várias setas amarela, verde e vermelhas com diferentes posições; disponível em g23_ftd_lt_2bam_213 código antigo i4825gu_2bam_g23_ftd
AJUSTE: Mudar cor das setas conforme referência a seguir, deixando no mesmo tom de vermelho, azul e amarelo das ilustrações com os códigos i4913_1p012m_g27_e002_aj, i4914_1p012m_g27_e002_aj e i4915_1p012m_g27_e002_aj  (enviadas na pasta), respectivamente.
</t>
  </si>
  <si>
    <t>i6173_2p012m_g27_e002</t>
  </si>
  <si>
    <t>Resgatar ilustração de uma seta vermelha do g27_e002_lt_2p012m_p204e205, seção Vamos avaliar o aprendizado, p. 205 com o código i6153_2p012m_g27_e002 e codificar com o código acima.</t>
  </si>
  <si>
    <t>i6174_2p012m_g27_e002</t>
  </si>
  <si>
    <t>Resgatar ilustração de seta para direta azul do g27_e002_lt_2p012m_p204e205 seção Vamos avaliar o aprendizado, p. 205 com o código i6154_2p012m_g27_e002 e codificar com o código acima.</t>
  </si>
  <si>
    <t>i6175_2p012m_g27_e002</t>
  </si>
  <si>
    <t>Resgatar ilustração uma seta para esquerda amarela do do g27_e002_lt_2p012m_p204e205 seção Vamos avaliar o aprendizado, p. 205 com o código i6155_2p012m_g27_e002 e codificar com o código acima.</t>
  </si>
  <si>
    <t>i6176_2p012m_g27_e002</t>
  </si>
  <si>
    <t>Resgatar ilustração de um menino e quadro com vários quadrinhos em linha e colunas e um triciclo; disponível em g23_ftd_lt_2bam_213 código antigo i4826kd_2bam_g23_ftd</t>
  </si>
  <si>
    <t>planilha não encontrou código do ilustrador  kd .</t>
  </si>
  <si>
    <t>KLEBER MAURÍCIO COELHO/ARQUIVO DA EDITORA</t>
  </si>
  <si>
    <t>i6177_2p012m_g27_e002</t>
  </si>
  <si>
    <t>Resgatar ilustração uma garrafa e 4 copos em cima de uma mesa; disponível em g23_ftd_lt_2bam_214 código antigo: i4827rm_2bam_g23_ftd</t>
  </si>
  <si>
    <t>i6178_2p012m_g27_e002</t>
  </si>
  <si>
    <t>Resgatar ilustração um prisma azul; disponível em g23_ftd_lt_2bam_214 código antigo: it4828gu_2bam_g23_ftd</t>
  </si>
  <si>
    <t>i6179_2p012m_g27_e002</t>
  </si>
  <si>
    <t>Resgatar ilustração triangulo azul; disponível em g23_ftd_lt_2bam_214 código antigo: it4829gu_2bam_g23_ftd</t>
  </si>
  <si>
    <t>i6180_2p012m_g27_e002</t>
  </si>
  <si>
    <t>Resgatar ilustração de um círculo azul; disponível em g23_ftd_lt_2bam_214 código antigo: it4830gu_2bam_g23_ftd</t>
  </si>
  <si>
    <t>i6181_2p012m_g27_e002</t>
  </si>
  <si>
    <t>Resgatar ilustração um retângulo azul; disponível em g23_ftd_lt_2bam_214 código antigo: it4831gu_2bam_g23_ftd</t>
  </si>
  <si>
    <t>i6182_2p012m_g27_e002</t>
  </si>
  <si>
    <t>Resgatar ilustração de uma faixa vermelha; disponível em g23_ftd_lt_2bam_215 código antigo: i4832rm_2bam_g23_ftd</t>
  </si>
  <si>
    <t>i6183_2p012m_g27_e002</t>
  </si>
  <si>
    <t>Resgatar ilustração de uma faixa azul; disponível em g23_ftd_lt_2bam_215 código antigo: i4833rm_2bam_g23_ftd</t>
  </si>
  <si>
    <t>i6184_2p012m_g27_e002</t>
  </si>
  <si>
    <t>Resgatar ilustração de uma faixa verde; disponível em g23_ftd_lt_2bam_215 código antigo: i4834rm_2bam_g23_ftd</t>
  </si>
  <si>
    <t>i1141_2p012m_g27_e002</t>
  </si>
  <si>
    <t xml:space="preserve">Il. de um apontador de 2,8 cm (pode ser o do padrão) sendo medido com uma régua de apoio. Compor cotas, como na ref. </t>
  </si>
  <si>
    <t>i1143_2p012m_g27_e002</t>
  </si>
  <si>
    <t>ILUSTRANDO</t>
  </si>
  <si>
    <t xml:space="preserve">Il. de um pendrive de 5,2 cm sendo medido com uma régua de apoio. Compor cotas, como na ref. </t>
  </si>
  <si>
    <t>i1142_2p012m_g27_e002</t>
  </si>
  <si>
    <t xml:space="preserve">Il. de um lápis de 9,5 cm sendo medido com uma régua de apoio. Compor cotas, como na ref. </t>
  </si>
  <si>
    <t>i1338_2p012m_g27_e002</t>
  </si>
  <si>
    <t>Il. de uma menina sentada em frente a uma mesa, na mesa deverá conter um rolo de barbante e uma pulseira pré-fabricada, indicando que foi feita de forma artesanal.</t>
  </si>
  <si>
    <t>R:14/07 F:21/07</t>
  </si>
  <si>
    <t>i1130_2p012m_g27_e002</t>
  </si>
  <si>
    <t xml:space="preserve">Resgatar ilustração do comprimento do barbante de 10 cm de comprimento do g23_ftd_lt_2bam_p111 código antigo i2420_2bam_g23_ftd
AJUSTE: deixar barbante com medida de 7 centímetros de comprimento e compor cota sobre ele conforme referência a seguir.
</t>
  </si>
  <si>
    <t>i1131_2p012m_g27_e002</t>
  </si>
  <si>
    <t xml:space="preserve">Resgatar ilustração do comprimento do barbante de 10 cm de comprimento do g23_ftd_lt_2bam_p111 código antigo i2420_2bam_g23_ftd
AJUSTE: deixar barbante com medida de 9 centímetros de comprimento e compor cota sobre ele conforme referência a seguir.
</t>
  </si>
  <si>
    <t>i1132_2p012m_g27_e002</t>
  </si>
  <si>
    <t xml:space="preserve">Resgatar ilustração do comprimento do barbante de 12 mm de comprimento do g23_ftd_lt_2bam_p111 código antigo i2419_2bam_g23_ftd
AJUSTE: deixar barbante com medida de 18 milímetros de comprimento e compor cota sobre ele conforme referência a seguir.
</t>
  </si>
  <si>
    <t>i1133_2p012m_g27_e002</t>
  </si>
  <si>
    <t xml:space="preserve">Resgatar ilustração do comprimento do barbante de 10 cm de comprimento do g23_ftd_lt_2bam_p111 código antigo i2420_2bam_g23_ftd
AJUSTE: deixar barbante com medida de 12 centímetros de comprimento e compor cota sobre ele conforme referência a seguir.
</t>
  </si>
  <si>
    <t>i1334_2p012m_g27_e002</t>
  </si>
  <si>
    <t>Il. de um quadrado com lado medindo 3 cm.</t>
  </si>
  <si>
    <t>i1335_2p012m_g27_e002</t>
  </si>
  <si>
    <t>Il. de um retângulo com lados medindo 2 cm e 4 cm.</t>
  </si>
  <si>
    <t>i1336_2p012m_g27_e002</t>
  </si>
  <si>
    <t>Il. De um triangulo isósceles, com 2 cm de base e os demais lados medindo 5 cm.</t>
  </si>
  <si>
    <t>i1144_2p012m_g27_e002</t>
  </si>
  <si>
    <t xml:space="preserve">Ilustração de paralelogramo com duas retas traçadas, sendo uma vermelha e outra azul. A medida da linha azul deve ser igual a medida da linha vermelha. Ver referência.
Aumentar a ilustração de modo que ele ocupe a largura da mancha da página aumentar de forma proporcional com a ilustração anterior i1120_2p012m_g27_e002
ARTE: se precisar, pode usar a que foi feita para o Pitanguá com o código antigo it1024_3pmm_g19_mdn (enviada na pasta) e colocar no padrão de fio da obra do BAM e mudar a cor dos fios vermelho e azul conforme referência a seguir.
ARTE: deixar o mesmo tom de vermelho e azul das imagens acima e ver se é possível colocar o crédito do GUSTAVO CONTI que é o crédito das anteriores.
</t>
  </si>
  <si>
    <t>i1329_2p012m_g27_e002</t>
  </si>
  <si>
    <t>Ilustração de 10 cubinhos do material dourado do padrão sobre uma superfície; devem estar
espalhados sobre a superfície conforme referência a segui</t>
  </si>
  <si>
    <t>i1331_2p012m_g27_e002</t>
  </si>
  <si>
    <t>Ilustração de 10 cubinhos do material dourado do padrão sobre uma superfície; devem agrupados de
2 em 2 sobre a superfície conforme referência a seguir.</t>
  </si>
  <si>
    <t>i1340_2p012m_g27_e002</t>
  </si>
  <si>
    <t>Resgatar ilustração de opções de lanches e sucos do g23_ftd_lt_2bam_p134 código antigo
i3207rt_2bam_g23_ftd
AJUSTE: Separar as ilustrações em A, B, C e D, sendo o lanche de atum A, lanche de cenoura B, lanche
de frango C e copo de suco de uva e laranja D, conforme referência.</t>
  </si>
  <si>
    <t>i1341_2p012m_g27_e002</t>
  </si>
  <si>
    <t>AJUSTANDO</t>
  </si>
  <si>
    <t>Ilustração de 8 pandeiros iguais dispostos como na referência, porém deixar próximos, mas não sobrepor as imagens.</t>
  </si>
  <si>
    <t>i1342_2p012m_g27_e002</t>
  </si>
  <si>
    <t>Ilustração de 12 atabaques iguais dispostos como na referência, porém deixar próximos, mas não sobrepor as imagens.</t>
  </si>
  <si>
    <t>i1337_2p012m_g27_e002</t>
  </si>
  <si>
    <t>Il de 16 pífanos ou pife, iguais, dispostos como na referência.</t>
  </si>
  <si>
    <t>i1343_2p012m_g27_e002</t>
  </si>
  <si>
    <t>Ilustração de bilboquês dispostas em dois grupos com 4 bilboquês cada, como na ref.</t>
  </si>
  <si>
    <t>i1145_2p012m_g27_e002</t>
  </si>
  <si>
    <t>Ilustração de um menino de aproximadamente 8 anos moreno com os braços abertos na altura dos ombros e segurando um barbante esticado com as pontas dos dedos. Ver ideia a seguir, porém os braços devem estar retos.</t>
  </si>
  <si>
    <t>R: 21/07 e F: 24/07</t>
  </si>
  <si>
    <t>i0564_2p012m_g27_e002</t>
  </si>
  <si>
    <t>ilustração de um risquinho da i0542_2p012m_g27_e002 para aplicar no texto abaixo, conforme indicado a seguir.</t>
  </si>
  <si>
    <t>nf</t>
  </si>
  <si>
    <t>i0565_2p012m_g27_e002</t>
  </si>
  <si>
    <t>ilustração de um asterisco da i0543_2p012m_g27_e002 para aplicar no texto abaixo, conforme indicado a seguir.</t>
  </si>
  <si>
    <t>i1571_2p012m_g27_e002</t>
  </si>
  <si>
    <t>Ilustração de um mosaico contendo triângulos, quadrados, retângulos e círculo com um padrão de sequência de cores verde, vermelho, azul, marrom e amarelo. Os triângulos devem ser verdes, os círculos amarelos, o quadrado vermelho, o retângulo de cima azul e o retângulo de baixo marrom. Ver referência.</t>
  </si>
  <si>
    <t>i1572_2p012m_g27_e002</t>
  </si>
  <si>
    <t xml:space="preserve">Ilustração de uma pirâmide de base quadrada e de sua respectiva planificação ao lado, como na referência. </t>
  </si>
  <si>
    <t>i1536_2p012m_g27_e002</t>
  </si>
  <si>
    <t xml:space="preserve">Resgatar ilustração de um desenho de sequências de figuras geométricas; disponível em g23_ftd_lt_2bam_171, código i4037rm_2bam_g23_ftd
AJUSTE: Compor a sequência como indicada, ampliando um quadrinho para a direita.
Retirar a resposta em magenta da ilustração, deixar os espaços em branco.
Ver como deve ficar na ref.
</t>
  </si>
  <si>
    <t>i1573_2p012m_g27_e002</t>
  </si>
  <si>
    <t xml:space="preserve">Resgatar e ajustar sequência de setas do g23_ftd_lt_2bam_p122, código antigo i2823sl_2bam_g23_ftd
AJUSTE: trocar cores das setas. A seta apontada para cima deve ficar na cor vermelha, a para direita na cor azul e a para esquerda na cor amarela. São as mesmas cores e setas das i1555_2p012m_g27_e002 (código antigo i6143sl_2p012m_g27_e002_aj (enviada na pasta));
i1556_2p012m, i1557_2p012m. Ver referência.
</t>
  </si>
  <si>
    <t>i1568_2p012m_g27_e002</t>
  </si>
  <si>
    <t xml:space="preserve">Resgatar ilustração em espelho de uma rua de esquina com um carro parado antes de pedestres atravessando a faixa de pedestres; disponível em g23_ftd_lt_2bam_p128_código_i2810ls_2bam_g23_ftd_ly
AJUSTE:
AJUSTE: adequar ilustração em espelho ao digital.
</t>
  </si>
  <si>
    <t>i6199_1p012m_g27_e002</t>
  </si>
  <si>
    <t>CAPA</t>
  </si>
  <si>
    <t>ilustração da capa</t>
  </si>
  <si>
    <t>ua</t>
  </si>
  <si>
    <t>F:6/8</t>
  </si>
  <si>
    <t>i6205_1p012m_g27_e002</t>
  </si>
  <si>
    <t>MP-E</t>
  </si>
  <si>
    <t xml:space="preserve">Resgatar ilustração de dois números representados um relógio digital. Imagem disponível em g23_ftd_lt_1bam_p.XXXIV, do livro de práticas, código antigo: i1729gu_1bam_g23_ftd.ai </t>
  </si>
  <si>
    <t>i1705_2p012m_g27_e002</t>
  </si>
  <si>
    <t>Resgatar ilustração de uma barra dividida em 15 quadradinhos iguais do g23_ftd_lt_2bam_p147 código antigo i3633sl_2bam_g23_ftd
AJUSTE: Remover as cores dos quadrinhos, deixando-os brancos, apenas com o contorno em preto, conforme a referência</t>
  </si>
  <si>
    <t>i1709_2p012m_g27_e002</t>
  </si>
  <si>
    <t>resgatar ilustração de crianças em uma sala de aula. veio do g23_ftd_lt_2bam_p149 código antigo i3608kb_2bam_g23_ftd
AJUSTE: Inserir na ilustração um adulto supervisionando os estudantes, pode ser uma cozinheira da cantina por exemplo.</t>
  </si>
  <si>
    <t>i1721_2p012m_g27_e002</t>
  </si>
  <si>
    <t>Resgatar ilustração da esfirras sobre uma mesa em uma cozinha do g23_ftd_lt_2bam_p155 código antigo i3623tc_2bam_g23_ftd_ef
AJUSTE- Na il. deverá ser alterado as esfirras, e no lugar distribuir biscoitos com formatos em V (para serem os mesmos que aparecem na f1733_2p012m da pág seguinte), com a mesma quantidade das antigas esfirras, (se possível colocá-los em duas formas para facilitar a visualização dos biscoitos). Ver a ref</t>
  </si>
  <si>
    <t xml:space="preserve">if6206_1p012m_g27_e002 </t>
  </si>
  <si>
    <t xml:space="preserve">resgatar ilustração de labirinto de cachorro ao osso. veio de: g23_ftd_mp_1bam_p171 código antigo if5202ct_1bam_g23_ftd </t>
  </si>
  <si>
    <t>ILUSTRAÇÕES DE CAIO TANAKA/ARQUIVO DA EDITORA. FOTOS: COLORFUEL STUDIO/SHUTTERSTOCK.COM; SOFIAV/SHUTTERSTOCK.COM</t>
  </si>
  <si>
    <t xml:space="preserve">i6214_1p012m_g27_e002 </t>
  </si>
  <si>
    <t xml:space="preserve">Resgatar ilustração de um menino ao lado de uma malha com uma seta, e uma porta de sala de aula do outro lado, do g23_ftd_lt_1bam_p177 código antigo i4412ec_1bam_g23_ftd 
AJUSTE: compor caminho conforme referência a seguir com cor, diferente de magenta, pode ser laranja, por exemplo, reduzido para caber no Manual. Compor a escrita MENINO NO PORTÃO DA ESCOLA e SALA DE AULA conforme referência a seguir. </t>
  </si>
  <si>
    <t>i1965_2p012m_g27_e002</t>
  </si>
  <si>
    <t>Ilustrar um vaso com plantas e uma tigela vazia de plástico, lado a lado em cima de um tampo de mesa. A ideia é mostrar que o vaso de planta é mais pesado que a tigela, manter proporcionais entre si. Ver referência</t>
  </si>
  <si>
    <t>id</t>
  </si>
  <si>
    <t>RAFE 25/07
FINALIZADAS 28/07</t>
  </si>
  <si>
    <t>i1966_2p012m_g27_e002</t>
  </si>
  <si>
    <t>Ilustrar um ferro de passar e um garfo, lado a lado em cima de um tampo de mesa. A ideia é mostrar que o ferro de passar é mais pesado que a tigela, manter proporcionais entre si. Ver referência</t>
  </si>
  <si>
    <t>ocultar</t>
  </si>
  <si>
    <t>Resgatar ilustração de um gráfico de barras sobre material reciclável; disponível em g23_ftd_lt_2bam_182,
código antigo i4407rm_2bam_g23_ftd - 
Ajuste: ajustar o ano e título na imagem.
“ Quantidade de material reciclável arrecadado pelas turmas de 2º ano, em quilogramas, em
outubro de 2027.</t>
  </si>
  <si>
    <t>Código repetido.</t>
  </si>
  <si>
    <t>i1967_2p012m_g27_e002</t>
  </si>
  <si>
    <t>Ilustração de uma balança equilibrada do padrão de ilustrações, em um dos lados deve conter 4 pacotes iguais de feijão de 1kg. Deve ser possível o aluno ver que o pacote tem 1 kg. Não deve haver marca.</t>
  </si>
  <si>
    <t>INGRIDHI BORGES/SERGIO LIMA/ARQUIVO DA EDITORA</t>
  </si>
  <si>
    <t>i1968_2p012m_g27_e002</t>
  </si>
  <si>
    <t>Ilustração de uma balança equilibrada do padrão de ilustrações, ela deve conter em um lado 2 pacotes iguais de arroz de 5kg. Deve ser possível o aluno ver que o pacote tem 5 kg. Não deve haver marca.</t>
  </si>
  <si>
    <t>i1969_2p012m_g27_e002</t>
  </si>
  <si>
    <t>Ilustração de uma balança equilibrada do padrão de ilustrações, em um dos lados deve ter um
pacote de farinha de trigo de 2 kg, indicando no pacote o peso (2kg) e o nome farinha de trigo. Não
deve haver marca.</t>
  </si>
  <si>
    <t>g1962_2p012m_g27_e002</t>
  </si>
  <si>
    <t>Resgatar e AJUSTAR ilustração de um gráfico de barras sobre horas de estudo; disponível em
g23_ftd_lt_2bam_184, código antigo: gt4410gu_2bam_g23_ftd
AJUSTE: retirar barras em cor resposta</t>
  </si>
  <si>
    <t>i1956_2p012m_g27_e002</t>
  </si>
  <si>
    <t>Resgatar ilustração do relógio marcando 8 horas do g23_ftd_lt_2bam_p207, código antigo i4888zz_2bam_g23_ftd
AJUSTE: retirar ponteiros em cor resposta, deixar vazio como na ref</t>
  </si>
  <si>
    <t>i0386_3p012m_g27_e002</t>
  </si>
  <si>
    <t>Ilustrações dos recortes de objetos da imagem principal. código antigo - i0802iv_3bam_g23_ftd_ef. 
 (cubo, bola, caixa, pega varetas, pirâmide. chapéu cônico) 
Separar retrancas em A, B, C, D, F .</t>
  </si>
  <si>
    <t>PADRAO</t>
  </si>
  <si>
    <t>i0370_3p012m_g27_e002</t>
  </si>
  <si>
    <t>Il. de uma sequência com paralelepípedo, esfera e pirâmide, como indicado na ref. Separar também e duplas de figuras.
Separar retrancas em A, B, C, D.</t>
  </si>
  <si>
    <t>i0371_3p012m_g27_e002</t>
  </si>
  <si>
    <t>Il. de uma sequência com cilindro, cone e pirâmide, como indicado na ref. Separar também  duplas de figuras.
Separar retrancas em A, B, C, D.</t>
  </si>
  <si>
    <t>i0372_3p012m_g27_e002</t>
  </si>
  <si>
    <t>Il. de uma sequência paralelepípedo, cilindro, cone e pirâmide, como indicado na ref. Separar também  duplas de figuras.
Separar retrancas em A, B, C, D.</t>
  </si>
  <si>
    <t>i0373_3p012m_g27_e002</t>
  </si>
  <si>
    <t>Il. de uma sequência , esfera, paralelepípedo, cilindro, cone e pirâmide, como indicado na ref. Separar também  duplas de figuras.
Separar retrancas em A, B, C, D.</t>
  </si>
  <si>
    <t xml:space="preserve">i6103_3p012m_g27_e002 </t>
  </si>
  <si>
    <t xml:space="preserve">Ilustração da planificação de um paralelepípedo retangular no padrão da obra, esta planificação deverá ser da mesma cor da figura representada no LT página 53 (i0334_3p012m_g27_e002,
seguindo o modelo antigo cor azul) deve ocupar a folha toda. Usar como base a referência, não deixar as faces muito quadradas para que não se assemelhe ao cubo
</t>
  </si>
  <si>
    <t>i6104_3p012m_g27_e002</t>
  </si>
  <si>
    <t xml:space="preserve">Ilustração da planificação de uma pirâmide no padrão da obra, está planificação deverá ser da mesma cor da figura representada no LT na página 53 (i0336_3p012m_g27_e002, 
seguindo o modelo antigo cor laranja), deve ocupar a página inteira. Usar como base a referência
</t>
  </si>
  <si>
    <t>i6126_3p012m_g27_e002</t>
  </si>
  <si>
    <t xml:space="preserve">Resgatar ilustração do molde da figura geométrica (CUBO PLANIFICADO) do g23_ftd_1bam_p205 código antigo it4874sl_1bam_g23_ftd - AJUSTE: deixar a planificação da mesma cor da figura representada no LT na página 52 (i0332_3p012m_g27_e002, seguindo o modelo antigo cor verde) deve ocupar a folha toda. 
Deixar a ilustração na posição dessa referência abaixo.
</t>
  </si>
  <si>
    <t>i6112_3p012m_g27_e002</t>
  </si>
  <si>
    <t>Ils de um ábaco de papel de 4 varetas contendo as letras do valor lugar, o ábaco não deve conter as bolinhas, conforme a referência:</t>
  </si>
  <si>
    <t>i6113_3p012m_g27_e002</t>
  </si>
  <si>
    <t>material complementar</t>
  </si>
  <si>
    <t>Il. De uma bolinha do ábaco que seja proporcional ao tamanho do ábaco da página 285, conforme a referência:</t>
  </si>
  <si>
    <t>i6211_1p012m_g27_e002</t>
  </si>
  <si>
    <t xml:space="preserve">Resgatar ilustração i4806iv_1bam_g23_ftd.psd de uma malha com um menino a esquerda e uma casa a direita.
AJUSTE: Tirar o menino e a casa e substituir pelos textos, conforme a ref. Pintar o caminho que deve ser seguido, não usar a cor magenta. Ver referência:
ATENÇÃO: a imagem não pode ter mais do que 5 cm de altura pois vai entrar no rodapé da página.
</t>
  </si>
  <si>
    <t>RESGATE COM AJSUTE</t>
  </si>
  <si>
    <t xml:space="preserve">i6207_1p012m_g27_e002 </t>
  </si>
  <si>
    <t xml:space="preserve">resgatar ilustração de triângulo veio de: g23_ftd_mp_1bam_p108 código antigo i2487zz_1bam_g23_ftd </t>
  </si>
  <si>
    <t xml:space="preserve">i6210_1p012m_g27_e002 </t>
  </si>
  <si>
    <t xml:space="preserve">Resgatar ilustração com várias formas geométricas do g23_ftd_lt_1bam_p108 código antigo i2431rm_1bam_g23_ftd 
AJUSTE: trocar a cor magenta por amarelo. </t>
  </si>
  <si>
    <t>i6208_1p012m_g27_e002</t>
  </si>
  <si>
    <t xml:space="preserve">resgatar ilustração de triângulos em um triângulo veio de: g23_ftd_mp_1bam_p108 código antigo it2488sl_1bam_g23_ftd </t>
  </si>
  <si>
    <t xml:space="preserve">i6209_1p012m_g27_e002 </t>
  </si>
  <si>
    <t xml:space="preserve">resgatar ilustração de um cachorro formado por figuras geométricas. veio de: g23_ftd_mp_1bam_p109 código antigo it2489sl_1bam_g23_ftd </t>
  </si>
  <si>
    <t>i0747_3p012m_g27_e002</t>
  </si>
  <si>
    <t>Calendário padrão apenas do mês de maio de 2027 do padrão, com a tarja padrão acima do calendário indicando o ano.</t>
  </si>
  <si>
    <t>i0739_3p012m_g27_e002</t>
  </si>
  <si>
    <t>Ilustração de um ambiente de biblioteca, e 3 crianças reunidas ali,  de etnias variadas, aprox. 9 anos, sendo um menino à esquerda, loiro; uma menina ao centro, asiática, e outro menino à direita, moreno e usando óculos. Devem estar de frente para o leitor e lado a lado, como se estivessem falando, pois será inserido balão de fala em cada um deles.. Ver referência, porém a biblioteca pode ser bem mais simplificada, a ref é para ajudar no entendimento de espaçamento, mostrando as composições que serão compostas na il posteriormente pela diagramação (nomes, calendário e balões).</t>
  </si>
  <si>
    <t>i0707_3p012m_g27_e002</t>
  </si>
  <si>
    <t xml:space="preserve"> ilustração de uma menina e um menino lado a lado com um balão de fala cada; disponível em g23_ftd_lt_3bam_p088. Código antigo:  i2001iv_3bam_g23_ftd
AJUSTE:
Inserir um adulto na ilustração, além de retirar a casquinha de sorvete que está presente na imagem
</t>
  </si>
  <si>
    <t>i0930_3p012m_g27_e002</t>
  </si>
  <si>
    <t>Resgatar ilustração de cartaz de promoção do ftd_g23_5bam, e usar apenas o videogamecód.
antigo ‐ i0803rm_5bam_g23_ftd.
AJUSTE1 – compor no cartaz apenas o videogame e o texto indicado.
AJUSTE2 – Ajustar o controle do videogame para um mais moderno, por exemplo “X box serie S”, ou
“Playstation 4”. E se for preciso ajustar modelo do console.
Ver ideia nas imagens de referencia
Compor no cartaz a seguinte mensagem:
Promoção do dia
De 2 199 reais por 1 879</t>
  </si>
  <si>
    <t xml:space="preserve">Resgatar ilustração de um conjunto com 5 sabonetes, disponível em g23_ftd_lt_3bam_p102_código antigo i2415rm_3bam_g23_ftd
AJUSTE: compor na parte em vermelho o texto “EMBALAGEM COM 5 UNIDADES”
</t>
  </si>
  <si>
    <t>i1172_3p012m_g27_e002</t>
  </si>
  <si>
    <t>Ilustração de 7 embalagens de anéis de bambu, com 3 anéis cada. Cada embalagem deve ser
transparente, como na ref.</t>
  </si>
  <si>
    <t>i1175_3p012m_g27_e002</t>
  </si>
  <si>
    <t>Ilustração 8 embalagens de chaveiros artesanais, com 6 chaveiros em cada. Cada embalagem deve ser transparente, como na ref.</t>
  </si>
  <si>
    <t>i1133_3p012m_g27_e002</t>
  </si>
  <si>
    <t xml:space="preserve">Resgatar ilustração de algumas crianças lado a lado em frente a tela, disponível em g23_ftd_lt_3bam_p109. Código antigo: i2430tc_3bam_g23_ftd
AJUSTE:
Inserir um adulto supervisionando, no caso do contexto, inserir um pai na cena.
</t>
  </si>
  <si>
    <t>g1177_3p012m_g27_e002</t>
  </si>
  <si>
    <t xml:space="preserve">Compor um pictograma que represente os dados do quadro a seguir.
Sabor	Quantidade de votos
Laranja	50
Uva	60
Caju	30
Limão	40
Nesse pictograma, cada figura de uma garrafa deve valer 10 votos, conforme a ref.
Compor 0 no início do pictograma.
Obs: Na classificação, compor as frutas que representam o sabor de cada suco, como na ref.
</t>
  </si>
  <si>
    <t>i1178_3p012m_g27_e002</t>
  </si>
  <si>
    <t>Ilustração de 4 pacotes um atrás do outro, de modo que seja possível verificar que são 4 pacotes separados de sulfite indicando nitidamente 100 folhas na embalagem, seguir como modelo para criar a ilustração.</t>
  </si>
  <si>
    <t>i1179_3p012m_g27_e002</t>
  </si>
  <si>
    <t>Ilustração de uma borracha escolar</t>
  </si>
  <si>
    <t>i6203_2p012m_g27_e002</t>
  </si>
  <si>
    <t>ilustração de 1 cubinho do material dourado. Deixar em tamanho pequeno pois vai entrar na linha do texto. Manter proporção entre a i6204_2p012m_g27_e002</t>
  </si>
  <si>
    <t>i6204_2p012m_g27_e002</t>
  </si>
  <si>
    <t>ilustração de 1 barrinha do material dourado. Deixar em tamanho pequeno pois vai entrar na linha do texto. Manter proporção entre a i6203_2p012m_g27_e002</t>
  </si>
  <si>
    <t>i6223_2p012m_g27_e002</t>
  </si>
  <si>
    <t>resgatar do material g27_e002_mpu_2p012m pág 22, o cubinho i6203_2p012m_g27_e002 e renomear com o cód acima</t>
  </si>
  <si>
    <t>i6224_2p012m_g27_e002</t>
  </si>
  <si>
    <t>resgatar do material g27_e002_mpu_2p012m pág 22, a barrinha i6204_2p012m_g27_e002 e renomear com o cód acima</t>
  </si>
  <si>
    <t>i6206_2p012m_g27_e002</t>
  </si>
  <si>
    <t>Resgatar ilustração de um ábaco com centena, dezena e unidade “vazio”, disponível em g23_ftd_mp_2bam_p025, código i5213sl_2bam_g23_ftd</t>
  </si>
  <si>
    <t>i6205_2p012m_g27_e002</t>
  </si>
  <si>
    <t>ilustração de uma placa material dourado. Deixar em tamanho pequeno pois vai entrar na linha do texto. Manter proporção entre a i6203_2p012m_g27_e002 e a i6204_2p012m_g27_e002</t>
  </si>
  <si>
    <t>i6225_2p012m_g27_e002</t>
  </si>
  <si>
    <t>i6226_2p012m_g27_e002</t>
  </si>
  <si>
    <t>i1349_3p012m_g27_e002</t>
  </si>
  <si>
    <t>Ilustração da régua de 10 cm do padrão com uma borracha medindo exatamente 5 cm, como na ref.</t>
  </si>
  <si>
    <t>i1348_3p012m_g27_e002</t>
  </si>
  <si>
    <t>Il. de um menino com cerca de 8 anos, loiro, como se estivesse dentro da sala de aula, uniforme escolar, medindo o tampo de uma carteira escolar com uma régua. Posicionar a régua na lateral, rente a lateral de baixo, como se estivesse começando a medir. A visão pode ser mais frontal do que na referência.</t>
  </si>
  <si>
    <t>RAFE: 05/08
FINAL: 11/08</t>
  </si>
  <si>
    <t>g1350_3p012m_g27_e002</t>
  </si>
  <si>
    <t>Compor gráfico de barras verticais com as seguintes informações da tabela abaixo. Medida: eixo horizontal (nome abaixo de cada barra é a medida em cm); Quantidade de carreteis: eixo vertical. Eixo vertical de 5 em 5 até 25.
Medida, Quantidade de carreteis:
50 cm, 20; 100 cm, 15; 150 cm, 18; 200 cm, 8; 300 cm, 22</t>
  </si>
  <si>
    <t>FINAL: 06/08</t>
  </si>
  <si>
    <t>i1502_3p012m_g27_e002</t>
  </si>
  <si>
    <t>RESGATE
Resgatar ilustração de quadro negro com instrumentos musicais desenhados do g23_ftd_lt_3bam_p164 código antigo i3602sl_3bam_g23_ftd_aj</t>
  </si>
  <si>
    <t>i1508_3p012m_g27_e002</t>
  </si>
  <si>
    <t>ilustração de uma janela de software com uma planilha eletrônica GENÉRICA do padrão, com as seguintes informações:
Título: Medida da massa de alguns cães em dois momentos de um tratamento em agosto de 2027
Cão, Medida de massa (em quilograma), Antes do tratamento, Depois do tratamento. Conforme a referencia:</t>
  </si>
  <si>
    <t>i1509_3p012m_g27_e002</t>
  </si>
  <si>
    <t>ilustração de uma janela de software com uma planilha eletrônica GENÉRICA do padrão, com as seguintes informações:
Título: Medida da massa de alguns cães em dois momentos de um tratamento em agosto de 2027
Cão, Medida de massa (em quilograma), Antes do tratamento, Depois do tratamento.
Totó 10, 13, Tufão 12, 12, Juba 13, 11, Gigante, 9, 11. Fonte de pesquisa: Registro da veterinária Cláudia Conforme a referência:</t>
  </si>
  <si>
    <t>i1510_3p012m_g27_e002</t>
  </si>
  <si>
    <t>Resgatar ilustração da lousa com tabelas dos estudantes do g23_ftd_lt_3bam_p168 código antigo i3605zz_3bam_g23_ftd.
AJUSTE: Ajustar título na primeira tabela para: Quantidade de aniversariantes do 3º ano, por mês, em 2027. Ajustar título da segunda tabela para: Quantidade de aniversariantes do 3º ano, por sexo e por mês, em 2027</t>
  </si>
  <si>
    <t>CAMILA FERREIRA/ARQUIVO DA EDITORA</t>
  </si>
  <si>
    <t>g1521_3p012m_g27_e002</t>
  </si>
  <si>
    <t>il. gráfico de barras horizontais, com eixo horizontal “Quantidade de gols” e eixo vertical “Seleção” e os seguintes dados: França: 16; Argentina: 15; Inglaterra: 13; Portugal: 12; Países Baixos: 10; Espanha: 9. O eixo horizontal pode ser dividido de 5 em 5, até 20.</t>
  </si>
  <si>
    <t>i1515_3p012m_g27_e002</t>
  </si>
  <si>
    <t>ilustração de uma janela de software genérico com uma planilha eletrônica do padrão, com as seguintes informações:
Segunda feira: 40; Terça feira: 48; Quarta-feira:25; Quinta-feira: 25; Sexta-feira: 28; Sábado: 18; Domingo: 15. Conforme a referência:</t>
  </si>
  <si>
    <t>i1516_3p012m_g27_e002</t>
  </si>
  <si>
    <t>ilustração de uma janela de software genérico (descaracterizar para não ficar exatamente igual a referência), com a opção de selecionar um certo tipo de gráfico de barras conforme a referência:</t>
  </si>
  <si>
    <t>g1517_3p012m_g27_e002</t>
  </si>
  <si>
    <t>ráfico de barras, em uma janela de software, como se tivesse sido feito em uma planilha eletrônica genérica. Deixar como se fosse continuação da i1515_3p012m, com o gráfico sobrepondo parte das informações, ver exemplo. Título “Quantidade diária de poltronas vazias em uma sala de cinema, durante uma semana em março 2027”, ver referência.</t>
  </si>
  <si>
    <t>i0571_3p012m_g27_e002</t>
  </si>
  <si>
    <t>Il. de um ábaco com U, D e C sem contas. resgatar do i0711_2p012m_g27_e002</t>
  </si>
  <si>
    <t>i5924_1p012m_g27_e002</t>
  </si>
  <si>
    <t>Resgatar i5916_1p012m_g27_e002 e deixar apenas uma bolinha e aplicar a cor azul nela</t>
  </si>
  <si>
    <t>i5925_1p012m_g27_e002</t>
  </si>
  <si>
    <t>Resgatar i5916_1p012m_g27_e002 e deixar apenas uma bolinha e aplicar a cor amarela nela</t>
  </si>
  <si>
    <t xml:space="preserve">i5926_1p012m_g27_e002 </t>
  </si>
  <si>
    <t>Resgatar i5916_1p012m_g27_e002 e deixar apenas uma bolinha verde</t>
  </si>
  <si>
    <t>i5927_1p012m_g27_e002</t>
  </si>
  <si>
    <t>Resgatar i5916_1p012m_g27_e002 e deixar apenas uma bolinha vermelha</t>
  </si>
  <si>
    <t>i6215 _1p012m_g27_e002</t>
  </si>
  <si>
    <t xml:space="preserve">Resgatar ilustração de um menino ao lado de uma malha com uma seta, e vários brinquedos do outro lado, do g23_ftd_lt_1bam_p179 código antigo: i4415ec_1bam_g23_ftd.psd
AJUSTE 
compor caminho conforme referência a seguir com cor, diferente de magenta, pode ser laranja, por exemplo, reduzido para caber no Manual. Retirar o menino e os brinquedos e compor a escrita Bruno e Brinquedo conforme referência a seguir.
ATENÇÃO: A imagem não pode ultrapassar 5 cm por causa do limite do rodapé
</t>
  </si>
  <si>
    <t>g6225_2p012m_g27_e002</t>
  </si>
  <si>
    <t xml:space="preserve">Resgatar gráfico do miolo com o código g0933pn_2p012m_g27_e002 e ajustar para entrar no manual
AJUSTES: reduzir gráfico proporcionalmente deixando com cerca de 5 cm na altura para caber no rodapé do manual. 
Para representar a resposta da atividade, deixar os quadrinhos pintados com as quantidades a seguir: Praticar esportes: 35; Leitura: 20; Assistir filmes: 45; Viajar: 15; Outros: 5.
Deixar os quadrinhos pintados por baixo dos fios do gráfico. Não usar cor magenta.
Ver print de referência do livro a seguir.
</t>
  </si>
  <si>
    <t>i0939_3p012m_g27_e002</t>
  </si>
  <si>
    <t>Il. de um ábaco com U, D e C sem contas</t>
  </si>
  <si>
    <t>i1917_3p012m_g27_e002</t>
  </si>
  <si>
    <t>Resgatar ilustração pai e filho observando uma mochila em uma vitrine; g23_ftd_lt_3bam_p135; código antigo i2817gd_3bam_g23_ftd
AJUSTE: Alterar as ilustrações de bolsas para BONÉS, substituir a palavra BOLSAS por BONÉS.</t>
  </si>
  <si>
    <t>i1940_3p012m_g27_e002</t>
  </si>
  <si>
    <t>Resgatar Ilustração do material dourado do padrão, sendo 6 barras e 6 cubinhos do g23_ftd_lt_1bam_p074a081_u4, cód antigo i1622zz_1bam_g23_ftd.ai.
AJUSTE: inserir mais uma barra, deixando no total com 7 barras e 6 cubinhos</t>
  </si>
  <si>
    <t>i1941_3p012m_g27_e002</t>
  </si>
  <si>
    <t>Resgatar Ilustração do material dourado do padrão, sendo 6 barras e 6 cubinhos do g23_ftd_lt_1bam_p074a081_u4, cód antigo i1622zz_1bam_g23_ftd.ai.
AJUSTE: inserir 10 cubinhos, deixando no total com 6 barras e 16 cubinhos, sendo que os 10 cubinhos devem ser representados como se fosse uma barra inteira com os cubinhos distanciados entre si na vertical, conforme referência</t>
  </si>
  <si>
    <t>i1942_3p012m_g27_e002</t>
  </si>
  <si>
    <t>Resgatar Ilustração do material dourado do padrão, sendo 6 barras e 6 cubinhos do g23_ftd_lt_1bam_p074a081_u4, cód antigo i1622zz_1bam_g23_ftd.ai.
AJUSTE: deixar com 3 barras e 8 cubinhos, ver referência</t>
  </si>
  <si>
    <t>i1933_3p012m_g27_e002</t>
  </si>
  <si>
    <t>Resgatar Ilustração de 2 cubos, 4 placas, 8 barras, e 7 unidades do material dourado no padrão da obra, do g23_ftd_lpa_4bam_p006a013_u1, código antigo i0494zz_4bam_g23_ftd.
AJUSTE: retirar os dois cubos grandes e retirar 5 cubinhos, deixando no total, 4 placas, 8 barras e 2 cubinhos</t>
  </si>
  <si>
    <t>i1934_3p012m_g27_e002</t>
  </si>
  <si>
    <t>Ilustração de 2 placas, 4 barras, e 1 unidade do material dourado do padrão da obra. A ilustração é sequencial da i1933_3p012m_g27_e002, por isso utilizar ela como base retirando metade de cada elemento, deixando conforme descrito acima e a referência</t>
  </si>
  <si>
    <t>i1923_3p012m_g27_e002</t>
  </si>
  <si>
    <t>Resgatar ilustração cartaz de uma peça de teatro de super-herói; g23_ftd_lt_3bam_p145; código antigo i2823iv_3bam_g23_ftd 
AJUSTE: Editar o valor da entrada para 9 reais, e se possível melhorar contraste entre esse texto rosa da última linha e fundo escuro (ver se a fonte na cor branca fica melhor)</t>
  </si>
  <si>
    <t>i1924_3p012m_g27_e002</t>
  </si>
  <si>
    <t>Resgatar ilustração cupom fiscal depósito de construção; g23_ftd_lt_3bam_p147; código antigo i2824zz_3bam_g23_ftd
AJUSTE: Ajustar data para 2027, diminuir tamanho horizontal do cupom, e retirar texto “Depósito de construção” (assim  reduz um pouco o tamanho vertical). Ver ref.</t>
  </si>
  <si>
    <t>i1944_3p012m_g27_e002</t>
  </si>
  <si>
    <t>Ilustração de 6 traços pretos verticais pequenos e iguais; compor uma certa distância entre eles para a diag compor contorno dois a dois</t>
  </si>
  <si>
    <t>fg</t>
  </si>
  <si>
    <t>i2344_3p012m_g27_e002</t>
  </si>
  <si>
    <t xml:space="preserve">Ilustração de uma receita em um caderno de receitas do padrão, caderno menor, com o arame na parte de cima. Apresentar as seguintes informações: em cima o título Receita de queijo caseiro; ingredientes: leite 4 L; água morna 1 L; coalho 4 mL; sal 30 mL. Os ingredientes devem estar em uma coluna e suas quantidades na coluna ao lado. Compor uma ilustração de um queijo no mesmo caderno onde está a receita (dentro da forma na parte inferior direta).
Apresentar as informações em duas colunas, com o ingrediente ao lado esquerdo e a quantidade no direito.
Ver ideia conforme referência esquerda mas compor no padrão da ref direita (print frio retirado do padrão)
</t>
  </si>
  <si>
    <t>i2330_3p012m_g27_e002</t>
  </si>
  <si>
    <t>Resgatar ilustração composta, contendo propagandas, produtos em prateleiras e personagem g23_ftd_lt_3bam_p220 código antigo i4832ls_3bam_g23_ftd_ef_ly
AJUSTES:
Ajuste 1 - Separar código i2330_3p012m_g27_e002 em 3 ilustrações A, B e C conforme referências 
Ajuste 2 – na parte das prateleiras (ilustração B), substituir a palavra e as ilustrações de BEBIDA LÁCTEA por IOGURTE em uma garrafinha de 170 g (não precisa especificar essa medida de massa); substituir a palavra MARGARINA por MANTEIGA, pode manter a ilustração.</t>
  </si>
  <si>
    <t>i6207_2p012m_g27_e002</t>
  </si>
  <si>
    <t>Resgatar ilustração do palmo do g23_ftd_mp_2bam_p109 código antigo i5204zz_2bam_g23_ftd</t>
  </si>
  <si>
    <t>i6208_2p012m_g27_e002</t>
  </si>
  <si>
    <t>Resgatar ilustração 5 quadrados congruentes feitos de palitos; g23_ftd_mp_2bam_p168; código antigo i5205zz_2bam_g23_ftd.png</t>
  </si>
  <si>
    <t>i6209_2p012m_g27_e002</t>
  </si>
  <si>
    <t>Resgatar ilustração um triângulo e outros 3 triângulos incompletos feitos de palitos; g23_ftd_mp_2bam_p168; código antigo i5206zz_2bam_g23_ftd.png</t>
  </si>
  <si>
    <t>i6210_2p012m_g27_e002</t>
  </si>
  <si>
    <t>Resgatar ilustração 4 quadrados congruentes feito de palitos; g23_ftd_mp_2bam_p168; código antigo i5207zz_2bam_g23_ftd.png</t>
  </si>
  <si>
    <t>i6211_2p012m_g27_e002</t>
  </si>
  <si>
    <t>Resgatar ilustração três quadrados congruentes em seus vértices, feito de palitos; g23_ftd_mp_2bam_p168; código antigo i5208zz_2bam_g23_ftd.png</t>
  </si>
  <si>
    <t>i6212_2p012m_g27_e002</t>
  </si>
  <si>
    <t>Resgatar ilustração 4 triângulos congruentes feito de palitos; g23_ftd_mp_2bam_p168; código antigo i5209zz_2bam_g23_ftd.png</t>
  </si>
  <si>
    <t>i6213_2p012m_g27_e002</t>
  </si>
  <si>
    <t>Resgatar ilustração 2 quadrados, com um quadrado menor interno ao quadrado maior, congruente em uma das vértices, feito de palitos; g23_ftd_mp_2bam_p168; código antigo i5210zz_2bam_g23_ftd.png</t>
  </si>
  <si>
    <t>i6222_2p012m_g27_e002</t>
  </si>
  <si>
    <t>Resgatar ilustração de um pirata e um caminho em rumo a um tesouro; disponível em g23_ftd_lt_2bam_168_código i4021iv_2bam_g23_ftd
AJUSTE: Retirar o pirata, o fundo e o baú do tesouro, e deixar apenas com os títulos; Compor o caminho que o estudante deve fazer conforme a referência, não deixar na cor magenta
ATENÇÃO: a imagem não pode ultrapassar 5 cm de altura para não passar do limite do rodapé do MP</t>
  </si>
  <si>
    <t>i6218_2p012m_g27_e002</t>
  </si>
  <si>
    <t>Resgatar ilustração da visão de cima de um bairro código i2805rm_2bam_g23_ftd
AJUSTE: Compor o caminho que o estudante deve fazer na imagem conforme a referência, não deixar na cor magenta
ATENÇÃO: a imagem não pode ter mais de 5 cm de altura para não ultrapassar o limite do rodapé do MP</t>
  </si>
  <si>
    <t>i6219_2p012m_g27_e002</t>
  </si>
  <si>
    <t>Resgatar ilustração de um cachorro e um labirinto e um caminho até um pote de ração código i2808tc_2bam_g23_ftd
AJUSTE: retirar o cachorro e o pote de ração e substituir pelos textos do print. Compor o caminho que o estudante deve percorrer conforme a referência, não deixar na cor magenta
ATENÇÃO: a imagem não pode ter mais de 5 cm de altura para não ultrapassar o limite do rodapé do MP</t>
  </si>
  <si>
    <t>i6220_2p012m_g27_e002</t>
  </si>
  <si>
    <t>resgatar ilustração de setas em cor resposta. disponível em g23_ftd_lt_2bam_p127 código i2818sl_2bam_g23_ftd
AJUSTE: trocar a cor magenta para as mesmas cores que aparecem na i1573sl_2p012m_g27_e002_aj (seta pra cima em vermelho, para esquerda amarela, e para direita, azul.
ATENÇÃO: a imagem não pode ter mais de 5 cm de altura para não ultrapassar o limite do rodapé do MP</t>
  </si>
  <si>
    <t>i6221_2p012m_g27_e002</t>
  </si>
  <si>
    <t>resgatar ilustração de setas em cor resposta. disponível em g23_ftd_lt_2bam_p127 código i2819sl_2bam_g23_ftd
AJUSTE: trocar a cor magenta para as mesmas cores que aparecem na i1573sl_2p012m_g27_e002_aj (seta pra cima em vermelho, para esquerda amarela, e para direita, azul.
ATENÇÃO: a imagem não pode ter mais de 5 cm de altura para não ultrapassar o limite do rodapé do MP</t>
  </si>
  <si>
    <t>i6105_3p012m_g27_e002</t>
  </si>
  <si>
    <t>Ilustração da planificação de uma caixinha de sabonete no padrão da obra, deverá ter as abas de recorte e de colagem, para ser possível realizar a montagem da caixinha. Esta planificação deverá ser a mesma da figura representada na página 55 (i0343B_3p012m_g27_e002), deve ocupar a página inteira.
Arte: essa il i0343B_3p012m_g27_e002 antes era uma caixinha de remédio, verificar último pedido de ajuste atualizando para uma caixa de sabonete</t>
  </si>
  <si>
    <t>i0365_3p012m_g27_e002</t>
  </si>
  <si>
    <t>As ilustrações dos produtos deverão ser proporcionais entre si. Além disso, todas elas devem estar em um mesmo plano. Se necessário, compor zoom na quantidade de alguma delas.
Ilustração de um balde de Iogurte natural de 1,8 kg, deverá ser nítido que é “iogurte natural” e que contém 1,8 kg, a tampa do balde deverá ser aquelas internas, de modo que o balde fique totalmente cilíndrico; uma caixinha de sabonete, com tamanho padrão e com a sua massa em gramas de 90 g; uma caixa de creme dental, contendo o nome creme dental e com a sua massa em gramas de 90 g e uma lata de leite em pó, com o nome leite em pó no rótulo e deverá conter a sua massa 380 gramas. Ver a referência, a base já está com a proporção. A referência da tampa isolada é para o balde de iogurte, exemplificando que não seja a tampa em relevo da ref principal.
ARTE: fazer imagens proporcionais sobre uma mesma superfície.</t>
  </si>
  <si>
    <t>i0705_3p012m_g27_e002</t>
  </si>
  <si>
    <t xml:space="preserve">RESGATAR e ajustar ilustração de uma folha de caderno com um planejamento semanal; disponível em g23_ftd_lt_3bam_p083. Código antigo: i2046gu_3bam_g23_ftd
AJUSTE:
Trocar o ano de 2022 por 2027
</t>
  </si>
  <si>
    <t>Fora do padrão, pedido para excluir.</t>
  </si>
  <si>
    <t>i6153_3p012m_g27_e002</t>
  </si>
  <si>
    <t>VAA</t>
  </si>
  <si>
    <t>Resgatar ilustração da reta numérica do g23_ftd_lt_3bam_p062 código antigo it1220sl_3bam_g23_ftd</t>
  </si>
  <si>
    <t>i6154_3p012m_g27_e002</t>
  </si>
  <si>
    <t>Resgatar ilustração da caixa em formato de bloco retangular do g23_ftd_lt_3bam_p063 código antigo it1222sl_3bam_g23_ftd</t>
  </si>
  <si>
    <t>i6155_3p012m_g27_e002</t>
  </si>
  <si>
    <t>Resgatar ilustração do molde do g23_ftd_lt_3bam_p063 código antigo it1223sl_3bam_g23_ftd</t>
  </si>
  <si>
    <t>i6156_3p012m_g27_e002</t>
  </si>
  <si>
    <t>Resgatar ilustração do molde retangular do g23_ftd_lt_3bam_p063 código antigo it1224sl_3bam_g23_ftd</t>
  </si>
  <si>
    <t>i6157_3p012m_g27_e002</t>
  </si>
  <si>
    <t>Resgatar ilustração da caixa em formato de bloco retangular do g23_ftd_lt_3bam_p063 código antigo it1225sl_3bam_g23_ftd</t>
  </si>
  <si>
    <t>i6158_3p012m_g27_e002</t>
  </si>
  <si>
    <t>Resgatar ilustração recital de violão; g23_ftd_lt_3bam_p122; código antigo i4853tc_3bam_g23_ftd.png</t>
  </si>
  <si>
    <t>i6159_3p012m_g27_e002</t>
  </si>
  <si>
    <t>Resgatar ilustração relógio vermelho marcando 10h15; g23_ftd_lt_3bam_p122; código antigo i4849zz_3bam_g23_ftd.png</t>
  </si>
  <si>
    <t>i6160_3p012m_g27_e002</t>
  </si>
  <si>
    <t>Resgatar ilustração relógio ciano marcando 10h30; g23_ftd_lt_3bam_p122; código antigo i4850zz_3bam_g23_ftd.png</t>
  </si>
  <si>
    <t>i6161_3p012m_g27_e002</t>
  </si>
  <si>
    <t>Resgatar ilustração relógio laranja marcando 9h30; g23_ftd_lt_3bam_p122; código antigo i4851zz_3bam_g23_ftd.png</t>
  </si>
  <si>
    <t>i6162_3p012m_g27_e002</t>
  </si>
  <si>
    <t>Ilustração de um forno elétrico assando um frango, uma torta e uma pizza. Disponível em g23_ftd_lt_3bam_p123 código antigo: i4852tc_3bam_g23_ftd
AJUSTE: separar as ils em códigos A, B e C</t>
  </si>
  <si>
    <t>i6163_3p012m_g27_e002</t>
  </si>
  <si>
    <t>ilustração de uma bolinha vermelha, pequena para ser aplicada dentro da linha de texto</t>
  </si>
  <si>
    <t>i6164_3p012m_g27_e002</t>
  </si>
  <si>
    <t>Resgatar ilustração da distância da casa aos estabelecimentos do g23_ftd_lt_3bam_p178 código antigo i4856rm_3bam_g23_ftd</t>
  </si>
  <si>
    <t>i6165_3p012m_g27_e002</t>
  </si>
  <si>
    <t>Resgatar uns objetos na estante do g23_ftd_lt_3bam_p222 código antigo i4858rm_3bam_g23_ftd</t>
  </si>
  <si>
    <t>i6166_3p012m_g27_e002</t>
  </si>
  <si>
    <t>Resgatar ilustração da representação de um bairro do g23_ftd_lt_3bam_p222 código antigo i4859rm_3bam_g23_ftd</t>
  </si>
  <si>
    <t>i6167_3p012m_g27_e002</t>
  </si>
  <si>
    <t>Resgatar ilustração da balança com os pesos do g23_ftd_lt_3bam_p223 código antigo i4861zz_3bam_g23_ftd</t>
  </si>
  <si>
    <t>RAFAELA PANISSA/SERGIO LIMA/ARQUIVO DA EDITORA</t>
  </si>
  <si>
    <t>i6168_3p012m_g27_e002</t>
  </si>
  <si>
    <t>Resgatar ilustração do computador com figuras geométricas do g23_ftd_lt_3bam_p223 código antigo i4860zz_3bam_g23_ftd</t>
  </si>
  <si>
    <t>RAFAELA PANISSA/JANAINA OLIVEIRA/ARQUIVO DA EDITORA</t>
  </si>
  <si>
    <t>i6169_3p012m_g27_e002</t>
  </si>
  <si>
    <t>Resgatar ilustração da prateleira com os recipientes do g23_ftd_lt_3bam_p223 código antigo i4862rm_3bam_g23_ftd</t>
  </si>
  <si>
    <t>i6132_3p012m_g27_e002</t>
  </si>
  <si>
    <t>VI</t>
  </si>
  <si>
    <t>Resgatar ilustração da família almoçando do g23_ftd_lt_3bam_p007 código antigo i0408iv_3bam_g23_ftd</t>
  </si>
  <si>
    <t>i6133_3p012m_g27_e002</t>
  </si>
  <si>
    <t>Resgatar ilustração da família jantando do g23_ftd_lt_3bam_p007 código antigo i0409iv_3bam_g23_ftd</t>
  </si>
  <si>
    <t>i6134_3p012m_g27_e002</t>
  </si>
  <si>
    <t>Resgatar ilustração do menino fazendo dever de casa do g23_ftd_lt_3bam_p008 código antigo i0410iv_3bam_g23_ftd</t>
  </si>
  <si>
    <t>i6135_3p012m_g27_e002</t>
  </si>
  <si>
    <t>Resgatar e ajustar ilustração das setas coloridas do g23_ftd_lt_3bam_p006a009
 código antigo i0411sl_3bam_g23_ftd
AJUSTE: trocar as cores, sendo, vermelho: seta para cima; azul: seta para direita e amarelo: seta para esquerda, conforme referência. As cores são as mesmas usadas na il i6152_2p012m_g27_e002</t>
  </si>
  <si>
    <t>i6170_3p012m_g27_e002</t>
  </si>
  <si>
    <t>Resgatar ilustração da seta vermelha com o código i1555sl_2p012m_g27_e002 e renomear com código acima</t>
  </si>
  <si>
    <t>i6171_3p012m_g27_e002</t>
  </si>
  <si>
    <t>Resgatar ilustração da seta azul com o código i1556sl_2p012m_g27_e002_aj e renomear com código acima</t>
  </si>
  <si>
    <t>i6172_3p012m_g27_e002</t>
  </si>
  <si>
    <t>Resgatar ilustração da seta amarela com o código i1557sl_2p012m_g27_e002_aj e renomear com código acima</t>
  </si>
  <si>
    <t>i6136_3p012m_g27_e002</t>
  </si>
  <si>
    <t>Resgatar ilustração do caminho do passarinho do g23_ftd_lt_3bam_p008 código antigo i0412iv_3bam_g23_ftd</t>
  </si>
  <si>
    <t>i6137_3p012m_g27_e002</t>
  </si>
  <si>
    <t>Resgatar ilustração do quadrado azul do g23_ftd_lt_3bam_p008 código antigo it0416sl_3bam_g23_ftd</t>
  </si>
  <si>
    <t>i6138_3p012m_g27_e002</t>
  </si>
  <si>
    <t>Resgatar ilustração do círculo verde do g23_ftd_lt_3bam_p008 código antigo it0417sl_3bam_g23_ftd</t>
  </si>
  <si>
    <t>i6139_3p012m_g27_e002</t>
  </si>
  <si>
    <t>Resgatar ilustração do retângulo vermelho do g23_ftd_lt_3bam_p008 código antigo it0418sl_3bam_g23_ftd</t>
  </si>
  <si>
    <t>i6140_3p012m_g27_e002</t>
  </si>
  <si>
    <t>Resgatar ilustração do triangulo amarelo do g23_ftd_lt_3bam_p008 código antigo it0419sl_3bam_g23_ftd</t>
  </si>
  <si>
    <t>i6141_3p012m_g27_e002</t>
  </si>
  <si>
    <t>Resgatar ilustração de uma paisagem da cidade do g23_ftd_lt_3bam_p009 código antigo it0420sl_3bam_g23_ftd_sub</t>
  </si>
  <si>
    <t>i6142_3p012m_g27_e002</t>
  </si>
  <si>
    <t>Resgatar ilustração dos recipientes com suas respectivas capacidades do g23_ftd_lt_3bam_p009 código antigo i0421rm_3bam_g23_ftd</t>
  </si>
  <si>
    <t>i6143_3p012m_g27_e002</t>
  </si>
  <si>
    <t>VC</t>
  </si>
  <si>
    <t>Resgatar ilustração da planificação do cilindro do g23_ftd_lt_3bam_p224 código antigo it4863zz_3bam_g23_ftd</t>
  </si>
  <si>
    <t>i6144_3p012m_g27_e002</t>
  </si>
  <si>
    <t>Resgatar ilustração da planificação do cone do g23_ftd_lt_3bam_p224 código antigo it4864zz_3bam_g23_ftd</t>
  </si>
  <si>
    <t>i6145_3p012m_g27_e002</t>
  </si>
  <si>
    <t>Resgatar ilustração da planificação do paralelepípedo do g23_ftd_lt_3bam_p224 código antigo it4865zz_3bam_g23_ftd</t>
  </si>
  <si>
    <t>i6146_3p012m_g27_e002</t>
  </si>
  <si>
    <t>Resgatar ilustração do relógio marcando 10 horas do g23_ftd_lt_3bam_p224 código antigo i4866zz_3bam_g23_ftd</t>
  </si>
  <si>
    <t>i6147_3p012m_g27_e002</t>
  </si>
  <si>
    <t>Resgatar ilustração do quadrado azul do g23_ftd_lt_3bam_p224 código antigo it4867zz_3bam_g23_ftd</t>
  </si>
  <si>
    <t>i6148_3p012m_g27_e002</t>
  </si>
  <si>
    <t>Resgatar ilustração do retângulo verde do g23_ftd_lt_3bam_p224 código antigo it4868zz_3bam_g23_ftd</t>
  </si>
  <si>
    <t>i6149_3p012m_g27_e002</t>
  </si>
  <si>
    <t>Resgatar ilustração do triângulo vermelho do g23_ftd_lt_3bam_p224 código antigo it4869zz_3bam_g23_ftd</t>
  </si>
  <si>
    <t>i6150_3p012m_g27_e002</t>
  </si>
  <si>
    <t>Resgatar ilustração da caixa com suco de laranja do g23_ftd_lt_3bam_p226 código antigo i4871rm_3bam_g23_ftd</t>
  </si>
  <si>
    <t>i6151_3p012m_g27_e002</t>
  </si>
  <si>
    <t>Resgatar ilustração dos carros parados no semáforo do g23_ftd_lt_3bam_p227 código antigo i4873rm_3bam_g23_ftd</t>
  </si>
  <si>
    <t>i6152_3p012m_g27_e002</t>
  </si>
  <si>
    <t>Resgatar ilustração do corredor da escola cm algumas salas do g23_ftd_lt_3bam_p227 código antigo  i4875rm_3bam_g23_ftd</t>
  </si>
  <si>
    <t>g0137_4p012m_g27_e002</t>
  </si>
  <si>
    <t>Resgatar ilustração/gráfico população estimada de alguns municípios do estado do Ceará, m 2020; g23_ftd_lt_4bam_p27; código antigo gt0449gu_4bam_g23_ftd
AJUSTE: Ajustar alturas das barras, trocando para os novos valores: 23 714 (Aurora), 50 411 (Boa Viagem), 74 170 (Eusébio), 13 801 (Graça), 25 135 (Campos Sales) e 32 775 (Bela Cruz).
ATENÇÃO: Ajustar o nome da cidade no gráfico para Campos (no plural) Sales.</t>
  </si>
  <si>
    <t>m0140_4p012m_g27_e002</t>
  </si>
  <si>
    <t>Resgatar mapa quantidade de municípios por região do Brasil; g23_ftd_lt_4bam_p29; código antigo m0452zz_4bam_g23_ftd
AJUSTE: separar em 3 códigos A, B e C: m0140A, mapa principal; m0140B, mapa de localização; m0140C, legenda</t>
  </si>
  <si>
    <t>i6176_4p012m_g27_e002</t>
  </si>
  <si>
    <t>Ilustração de um quadro de ordens, que possui 2 classes unidades simples e unidades de milhar, de modo que, tenha 5 ordens, DM, UM, C, D e U, usar os traços seguindo o padrão editorial do projeto gráfico, tomar como modelo a referência a seguir</t>
  </si>
  <si>
    <t>i6186_4p012m_g27_e002</t>
  </si>
  <si>
    <t>Ilustração de pares de fichas de 0 a 10, ou seja, dois números zero, 0, 0, dois números um, 1, 1 e assim por diante até o 9, 9. Seguir modelo de referência, 
No entanto essas fichas deverão ser proporcionais ao tamanho dos quadrinhos brancos do quadro de ordens da página 269, ilustração &lt; 6176_4p012m_g27_e002 &gt; de modo que os números dessas fichas ao serem recortadas deverão caber nesses quadrinhos do quadro de ordens, ver o modelo no comentário</t>
  </si>
  <si>
    <t>i6156_4p012m_g27_e002</t>
  </si>
  <si>
    <t>Resgatar ilustração de um ábaco com 8 unidades de milhar, 7 dezenas e 9 unidades; disponível em g23_ftd_lt_4bam_p240 código antigo i4801zz_4bam_g23_ftd</t>
  </si>
  <si>
    <t>i6157_4p012m_g27_e002</t>
  </si>
  <si>
    <t>Resgatar ilustração de um ábaco com 8 dezenas de milhar, 7 de unidades de milhar e 9 dezenas; disponível em g23_ftd_lt_4bam_p240 código antigo i4802zz_4bam_g23_ftd</t>
  </si>
  <si>
    <t>i6158_4p012m_g27_e002</t>
  </si>
  <si>
    <t>Resgatar ilustração de um ábaco com 8 unidades de milhar, 7 centenas e 9 dezenas; disponível em g23_ftd_lt_4bam_p240 código antigo i4803zz_4bam_g23_ftd</t>
  </si>
  <si>
    <t>i6159_4p012m_g27_e002</t>
  </si>
  <si>
    <t>Resgatar ilustração de um prisma verde desmontado; disponível em g23_ftd_lt_4bam_p241 código antigo i4808sl_4bam_g23_ftd</t>
  </si>
  <si>
    <t>i6160_4p012m_g27_e002</t>
  </si>
  <si>
    <t>Resgatar ilustração de um “ CONE” azul desmontado; disponível em g23_ftd_lt_4bam_p241 código antigo i4807sl_4bam_g23_ftd</t>
  </si>
  <si>
    <t>i6161_4p012m_g27_e002</t>
  </si>
  <si>
    <t>Resgatar ilustração de uma pirâmide pentagonal amarelo desmontado; disponível em g23_ftd_lt_4bam_p241 código antigo i4805sl_4bam_g23_ftd</t>
  </si>
  <si>
    <t>i6162_4p012m_g27_e002</t>
  </si>
  <si>
    <t xml:space="preserve">Resgatar ilustração de uma malha quadriculada com várias retas; disponível em g23_ftd_lt_4bam_p241 código antigo it4810sl_4bam_g23_ftd
AJUSTE: trocar a cor de todas as retas para azul </t>
  </si>
  <si>
    <t>i6163_4p012m_g27_e002</t>
  </si>
  <si>
    <t>Resgatar ilustração de um retângulo com 24 quadrados, com 11 quadrados azul e 7 verdes; disponível em g23_ftd_lt_4bam_p242 código antigo it4811sl_4bam_g23_ftd</t>
  </si>
  <si>
    <t>i6164_4p012m_g27_e002</t>
  </si>
  <si>
    <t>Resgatar ilustração de um círculo dividido em 8 partes com 2 partes em azul e 3 em verdes; disponível em g23_ftd_lt_4bam_p242 código antigo it4812sl_4bam_g23_ftd</t>
  </si>
  <si>
    <t>i6165_4p012m_g27_e002</t>
  </si>
  <si>
    <t>Resgatar ilustração de um quadro com 16 quadradinhos sendo 9 em azul e 4 verdes; disponível em g23_ftd_lt_4bam_p242 código antigo it4813sl_4bam_g23_ftd</t>
  </si>
  <si>
    <t>i6166_4p012m_g27_e002</t>
  </si>
  <si>
    <t>Resgatar ilustração do quadrado verde do g23_ftd_lt_4bam_p238 código antigo it4852vc_4bam_g23_ftd</t>
  </si>
  <si>
    <t>i6167_4p012m_g27_e002</t>
  </si>
  <si>
    <t>Resgatar ilustração do círculo azul do g23_ftd_lt_4bam_p238 código antigo it4853vc_4bam_g23_ftd</t>
  </si>
  <si>
    <t>i6168_4p012m_g27_e002</t>
  </si>
  <si>
    <t>Resgatar ilustração do hexágono rosa do g23_ftd_lt_4bam_p238 código antigo it4854vc_4bam_g23_ftd</t>
  </si>
  <si>
    <t>i6169_4p012m_g27_e002</t>
  </si>
  <si>
    <t>Resgatar ilustração do decágono vermelho do g23_ftd_lt_4bam_p238 código antigo it4855vc_4bam_g23_ftd</t>
  </si>
  <si>
    <t>i6170_4p012m_g27_e002</t>
  </si>
  <si>
    <t>Resgatar ilustração do eneágono laranja do g23_ftd_lt_4bam_p238 código antigo it4856vc_4bam_g23_ftd</t>
  </si>
  <si>
    <t>i6171_4p012m_g27_e002</t>
  </si>
  <si>
    <t>Resgatar ilustração do heptágono amarelo do g23_ftd_lt_4bam_p238 código antigo it4857vc_4bam_g23_ftd</t>
  </si>
  <si>
    <t>i6172_4p012m_g27_e002</t>
  </si>
  <si>
    <t>Resgatar ilustração de um duas figuras, a azul acima do eixo e, a vermelha abaixo do e; disponível em g23_ftd_lt_4bam_p242 código antigo i4815ct_4bam_g23_ftd_sub
Ajuste: remover elementos em cor resposta, deixando apenas a figura azul, o texto “Figura A”, o quadriculado e a linha em negrito com o e.</t>
  </si>
  <si>
    <t>i6173_4p012m_g27_e002</t>
  </si>
  <si>
    <t>Resgatar ilustração de três figuras verdes uma ao lado da outra com um fundo que lembra uma malha quadriculada; disponível em g23_ftd_lt_4bam_p243 código antigo i4816ct_4bam_g23_ftd</t>
  </si>
  <si>
    <t>i6174_4p012m_g27_e002</t>
  </si>
  <si>
    <t>Resgatar ilustração de três placa de centena, 6 dezenas e 7 unidades do material dourado; disponível em g23_ftd_lt_4bam_p243 código antigo i4818zz_4bam_g23_ftd</t>
  </si>
  <si>
    <t>i6175_4p012m_g27_e002</t>
  </si>
  <si>
    <t>Resgatar ilustração de uma placa de centena, 4 dezenas e 2 unidades do material dourado; disponível em g23_ftd_lt_4bam_p243 código antigo i4819zz_4bam_g23_ftd</t>
  </si>
  <si>
    <t>i6101_4p012m_g27_e002</t>
  </si>
  <si>
    <t>Resgatar ilustração de um cone azul; disponível em g23_ftd_lt_4bam_p007 código antigo:it0463gu_4bam_g23_ftd.a</t>
  </si>
  <si>
    <t xml:space="preserve">i6102_4p012m_g27_e002 </t>
  </si>
  <si>
    <t xml:space="preserve">Resgatar ilustração de um uma pirâmide de base quadrada azul; disponível em g23_ftd_lt_4bam_p007 código antigo: it0465gu_4bam_g23_ftd.ai </t>
  </si>
  <si>
    <t xml:space="preserve">i6103_4p012m_g27_e002 </t>
  </si>
  <si>
    <t xml:space="preserve">Resgatar ilustração de um paralelepípedo azul; disponível em g23_ftd_lt_4bam_p007 código antigo it0482gu_4bam_g23_ftd.ai </t>
  </si>
  <si>
    <t xml:space="preserve">i6104_4p012m_g27_e002 </t>
  </si>
  <si>
    <t>Resgatar ilustração de um de uma pirâmide de base quadrada desmontado; disponível em g23_ftd_lt_4bam_p007 código antigo it0484gu_4bam_g23_ftd.ai</t>
  </si>
  <si>
    <t>i6105_4p012m_g27_e00</t>
  </si>
  <si>
    <t xml:space="preserve">Resgatar ilustração de um cone desmontado; disponível em g23_ftd_lt_4bam_p007 código antigo it0485gu_4bam_g23_ftd.ai </t>
  </si>
  <si>
    <t xml:space="preserve">i6106_4p012m_g27_e002 </t>
  </si>
  <si>
    <t xml:space="preserve">Resgatar ilustração de um paralelepípedo desmontado; disponível em g23_ftd_lt_4bam_p007 código antigo it0486gu_4bam_g23_ftd.ai </t>
  </si>
  <si>
    <t>i6107_4p012m_g27_e002</t>
  </si>
  <si>
    <t>Resgatar e ajustar ilustração de duas crianças sentadas em mesas escolares; disponível em g23_ftd_lt_4bam_p008 código antigo i0489tc_4bam_g23_ftd 
AJUSTE: separar retranca</t>
  </si>
  <si>
    <t xml:space="preserve">i6108_4p012m_g27_e002 </t>
  </si>
  <si>
    <t xml:space="preserve">Resgatar e ajustar ilustração de um menino sentado em frente a uma mesa na sala; disponível em g23_ftd_lt_4bam_p008 código antigo i0489tc_4bam_g23_ftd 
AJUSTE: separar retranca </t>
  </si>
  <si>
    <t>i6109_4p012m_g27_e002</t>
  </si>
  <si>
    <t>Resgatar ilustração de um várias bolinhas com diferentes cores; disponível em g23_ftd_lt_4bam_p008 código antigo i0464gu _4bam_g23_ftd</t>
  </si>
  <si>
    <t>i6121_4p012m_g27_e002</t>
  </si>
  <si>
    <t xml:space="preserve">Resgatar ilustrações disponível em g23_ftd_lt_4bam_p069
i6121A -paralelepípedo azul;  código antigo it0411sl_4bam_g23_ftd 
i6121B - pirâmide vermelha de base triangular; código antigo  it0412sl_4bam_g23_ftd
i6121C - prisma verde; código antigo it0413sl_4bam_g23_ftd 
i6121D - pirâmide amarela de base pentagonal; código antigo it0414sl_4bam_g23_ftd </t>
  </si>
  <si>
    <t>2b</t>
  </si>
  <si>
    <t xml:space="preserve">i6125_4p012m_g27_e002 </t>
  </si>
  <si>
    <t xml:space="preserve">Resgatar ilustração de uma placa de um restaurante com alguns pratos; disponível em g23_ftd_lt_4bam_p130 código antigo i2455ec_4bam_g23_ftd </t>
  </si>
  <si>
    <t xml:space="preserve">i6126_4p012m_g27_e002 </t>
  </si>
  <si>
    <t xml:space="preserve">Resgatar ilustração de um de um pedaço de uma fatura de energia elétrica; disponível em g23_ftd_lt_4bam_p130 código antigo i2456zz_4bam_g23_ftd 
AJUSTE: mudar data de 2023 para 2027 e o preço de 432 para 672 </t>
  </si>
  <si>
    <t>i6139_4p012m_g27_e002</t>
  </si>
  <si>
    <t>Resgatar ilustração de uma figura geométrica laranja; disponível em g23_ftd_lt_4bam_p131 código antigo it2457gu_4bam_g23_ftd</t>
  </si>
  <si>
    <t>3b</t>
  </si>
  <si>
    <t>g6140_4p012m_g27_e002</t>
  </si>
  <si>
    <t>Resgatar gráfico da fração decimal do g23_ftd_lt_4bam_p179 código antigo gt3629gu_4bam_g23_ftd
AJUSTE: Diminuir uma fruta do gráfico, isto é retirar o Limão, trocar a fruta Morango por Amora, além de reduzir um pouco a medida do gráfico, de modo que feche a página, ver o modelo da referência.</t>
  </si>
  <si>
    <t>i6141_4p012m_g27_e002</t>
  </si>
  <si>
    <t>Resgatar ilustração das fichas amarela, azul e vermelha do g23_ftd_lt_4bam_p178 código antigo i3630zz_4bam_g23_ftd</t>
  </si>
  <si>
    <t>i6142_4p012m_g27_e002</t>
  </si>
  <si>
    <t>Resgatar ilustração das fichas roxa, azul e vermelha do g23_ftd_lt_4bam_p178 código antigo i3631zz_4bam_g23_ftd</t>
  </si>
  <si>
    <t>i6143_4p012m_g27_e002</t>
  </si>
  <si>
    <t>Resgatar ilustração do mapa da região da casa da Manuela do g23_ftd_lt_4bam_p178 código antigo i3626rm_4bam_g23_ftd_ef</t>
  </si>
  <si>
    <t>4b</t>
  </si>
  <si>
    <t>i6144_4p012m_g27_e002</t>
  </si>
  <si>
    <t>Resgatar ilustrações do g23_ftd_lt_4bam_p238
i6144A - polígono verde;  código antigo it4858vc_4bam_g23_ftd
i6144B - oval azul; código antigo it4859vc_4bam_g23_ftd
i6144C - pentágono rosa; código antigo it4860vc_4bam_g23_ftd
i6144D - figura vermelha; código antigo it4861vc_4bam_g23_ftd
i6144E - figura eneágono; código antigo it4862vc_4bam_g23_ftd
i6144F - polígono amarelo; código antigo it4863vc_4bam_g23_ftd</t>
  </si>
  <si>
    <t>i6150_4p012m_g27_e002</t>
  </si>
  <si>
    <t xml:space="preserve">Resgatar ilustrações do recipiente com água do g23_ftd_lt_4bam_p239
i6150A - recipiente com água de 0,8L; código antigo i4864zz_4bam_g23_ftd
i6150B - recipiente com água de 0,4L; código antigo i4865zz_4bam_g23_ftd
i6150C - recipiente com água de 100 ml; código antigo i4866zz_4bam_g23_ftd
</t>
  </si>
  <si>
    <t>i6153_4p012m_g27_e002</t>
  </si>
  <si>
    <t>Resgatar ilustrações de balanças com quadradinhos  do g23_ftd_lt_4bam_p239
i6153A - balança com um quadrado verde e um amarelo; código antigo i4868zz_4bam_g23_ftd
i6153B - balança com três quadrado amarelo; código antigo i4869zz_4bam_g23_ftd
i6153C -  balança com dois quadrados verde e um amarelo; código antigo i4870zz_4bam_g23_ftd</t>
  </si>
  <si>
    <t xml:space="preserve">i0325_4p012m_g27_e002 </t>
  </si>
  <si>
    <t>il. de um ábaco padrão de 5 ordens e representar nesse ábaco o número 2 341: UM: 2 bolinhas; C: 3 bolinhas; D: 4 bolinhas e U: 1 bolinha. Ver referência para o ábaco.</t>
  </si>
  <si>
    <t>i0316_4p012m_g27_e002</t>
  </si>
  <si>
    <t>il.de um ábaco de 5 ordens, sequência da i0325_4p012m_g27_e002, por isso utilizar a mesma como base e apenas inserir as contas como segue: uma conta entrando na haste das unidades de milhar, 5 contas entrando nas hastes da centena e 5 na dezena e 8 contas entrando na haste das unidades. Ver referência.</t>
  </si>
  <si>
    <t>i0332_4p012m_g27_e002</t>
  </si>
  <si>
    <t>il.de um ábaco de 5 ordens, sequência da i0316_4p012m_g27_e002, representando o número 3899, UM: 3 bolinhas; C: 8 bolinhas; D: 9 bolinhas e U: 9 bolinhas</t>
  </si>
  <si>
    <t>i0326_4p012m_g27_e 002</t>
  </si>
  <si>
    <t>Il. de um ábaco no padrão da obra, de 5 ordens com o número 5839 indicado e ao lado indicar 9 bolinhas empilhadas com uma seta indicando para a haste U, como indicado.</t>
  </si>
  <si>
    <t>i0327_4p012m_g27_e 002</t>
  </si>
  <si>
    <t>Il. de um ábaco no padrão da obra, de 5 ordens com o número 5948 indicado e ao lado indicar 9 bolinhas empilhadas com uma seta indicando para a haste D. Na haste D com 4 bolinhas, uma das bolinhas deve estar levemente afastada, como indicado.</t>
  </si>
  <si>
    <t>i0328_4p012m_g27_e 002</t>
  </si>
  <si>
    <t>Il. de um ábaco no padrão da obra, de 5 ordens com o número 5938 indicado e ao lado indicar 1 bolinha com uma seta indicando para a haste C. Na haste C com 10 bolinhas, deixar a primeira bolinha levemente afastada, nesse caso, como o ábaco do padrão comporta exatamente 10 bolinhas na haste, essa pode ficar levemente fora da haste.</t>
  </si>
  <si>
    <t>i0329_4p012m_g27_e 002</t>
  </si>
  <si>
    <t>Il. de um ábaco no padrão da obra, de 5 ordens com o número 6138 indicado e ao lado indicar 1 bolinha com uma seta indicando para a haste UM. Na haste UM com 6 bolinhas, uma das bolinhas deve estar levemente afastada, como indicado.</t>
  </si>
  <si>
    <t>i0333_4p012m_g27_e 002</t>
  </si>
  <si>
    <t>Il. de um ábaco no padrão da obra, de 5 ordens com o número 7138</t>
  </si>
  <si>
    <t>i0331_4p012m_g27_e002</t>
  </si>
  <si>
    <t>Resgatar ilustração do computador, teclado e mouse com seus respectivos preços do g23_ftd_lt_4bam_p039 código antigo i0813ec_4bam_g23_ftd
AJUSTE: aumentar as etiquetas dos produtos e melhorar nitidez para facilitar a visualização, modificar o preço do monitor para 630 e do teclado para 85</t>
  </si>
  <si>
    <t>i6185_4p012m_g27_e002</t>
  </si>
  <si>
    <t>Ilustrar um ábaco de papel com 5 varetas, sua composição deve ser feite estilo paisagem, para que fique grande na página, suas varetas deverão conter os termos DM, UM, C, D, U, as suas varetas deverão estar sem as bolinhas, apenas a ilustração do ábaco, ver modelo da referência.</t>
  </si>
  <si>
    <t>i6184_4p012m_g27_e002</t>
  </si>
  <si>
    <t>Ilustração de 50 bolinhas que representam as contas do ábaco de papel, de modo que as bolinhas possuam o mesmo tamanho sendo proporcionais entre si, essas bolinhas deveram ficar com tamanho superior a largura da haste do ábaco. Seguir a disposição entre as bolinhas de modo que tenha espaço suficiente para recorte.</t>
  </si>
  <si>
    <t>i0522_4p012m_g27_e002</t>
  </si>
  <si>
    <t>Ilustração de um ábaco de 5 ordens, no padrão da obra, com o número 1858 representado nele: haste DM: sem bolinha; haste UM: com uma bolinha; haste C: com 8 bolinhas; haste D: 5 bolinhas e haste U: com 8 bolinhas  representação similar à referência.</t>
  </si>
  <si>
    <t>gx</t>
  </si>
  <si>
    <t>i0523_4p012m_g27_e002</t>
  </si>
  <si>
    <t>Ilustração do mesmo ábaco da il. i0522_4p012m, mas agora deve haver um pequeno espaço entre as bolinhas de cada vareta, para indicar estamos retirando 5 bolinhas da vareta das unidades (haste U), 3 bolinhas da vareta das dezenas (haste D), 1 bolinha da vareta das centenas (haste C) e 1 bolinha da vareta das unidades de milhar (haste UM), representação similar à referência.</t>
  </si>
  <si>
    <t>i0524_4p012m_g27_e002</t>
  </si>
  <si>
    <t>Ilustração do mesmo ábaco de 5 ordens como il. i0523_4p012m, mas agora deve estar registrado o número 723: haste DM: sem bolinha; haste UM: sem bolinha; haste C: com 7 bolinhas; haste D: 2 bolinhas e haste U: com 3 bolinhas representação similar à referência.</t>
  </si>
  <si>
    <t>i0526_4p012m_g27_e002</t>
  </si>
  <si>
    <t>Ilustração de uma balança do padrão de dois pratos em equilíbrio. No prato da esquerda, colocar dois pesos de 12 kg e um de 15 kg. Já no prato da direita, colocar um peso de 20 kg , um de 10 kg , um de 5 kg e quatro de 1 kg.</t>
  </si>
  <si>
    <t xml:space="preserve">i0517_4p012m_g27_e002  </t>
  </si>
  <si>
    <t>Resgatar ilustração representação sertão do Brasil, com dois personagens conversando e paisagem típica, do g23_ftd_lt_4bam_p056 código antigo i0845mq_4bam_g23_ftd_ef_ly
AJUSTE: cropar a il para que fique apenas a parte que aparecia na página par, conforme referência</t>
  </si>
  <si>
    <t>mq</t>
  </si>
  <si>
    <t>i6212_1p012m_g27_e002</t>
  </si>
  <si>
    <t>MP-G</t>
  </si>
  <si>
    <t xml:space="preserve">Arte: ilustrar um conjunto de fichas sobrepostas como na referência abaixo. Acrescentar as fichas 0,00,000,0000. As unidades devem ser na cor verde. As dezenas na cor vermelha, centenas na cor azul e milhares na cor amarela. 
obs.: fazer conforme a i1145ib_2p011m_g27_e001 do pitanguá, porém ajustar para o padrão de fonte do plantar e inserir uma aba ao final de cada ficha. ver com a Tamires
</t>
  </si>
  <si>
    <t>i6213_1p012m_g27_e002</t>
  </si>
  <si>
    <t xml:space="preserve">Arte: ilustrar um exemplo com as fichas sobrepostas como na referência abaixo. As fichas devem ser retangulares, com uma abinha lateral sem essa parte de encaixe que aparece na referência.
obs.: fazer conforme a i1145ib_2p011m_g27_e001 do pitanguá, porém ajustar para o padrão de fonte do plantar e inserir uma aba ao final de cada ficha. ver com a Tamires
</t>
  </si>
  <si>
    <t>i0737_2p012m_g27_e002</t>
  </si>
  <si>
    <t xml:space="preserve">Ilustração de uma adição de fichas sobrepostas, de modo que sejam todos os quadrinhos proporcionais, compor o número 300 separados em três quadrinhos de cor azul; compor o sinal de + , compor o número 50 separados em dois quadrinhos de cor vermelho, compor o sinal de + ; compor o número 2 em um quadrinho na cor verde, compor o sinal de = , e compor o número 352 separados em três quadrinhos unidos de tal forma que pareçam estar sobrepostos. (Não compor fundo cor, ou seja, deixá-lo branco)
Ver o modelo de referência
</t>
  </si>
  <si>
    <t>i0738_2p012m_g27_e002</t>
  </si>
  <si>
    <t>Ilustração de uma adição de fichas sobrepostas, de modo que sejam todos os quadrinhos proporcionais, compor o número 200 separados em três quadrinhos de cor azul; compor o sinal de + , compor o número 90 separados em dois quadrinhos de cor vermelho, compor o sinal de + ; compor o número 5 em um quadrinho na cor verde, compor o sinal de = (Não compor fundo cor, ou seja, deixá-lo branco) Ver o modelo de referência</t>
  </si>
  <si>
    <t>i0739_2p012m_g27_e002</t>
  </si>
  <si>
    <t>Ilustração de uma adição de fichas sobrepostas, de modo que sejam todos os quadrinhos proporcionais, compor o número 400 separados em três quadrinhos de cor azul; compor o sinal de + , compor o número 40 separados em dois quadrinhos de cor vermelho, compor o sinal de + ; compor o número 8 em um quadrinho na cor verde, compor o sinal de =. (Não compor fundo cor, ou seja, deixá-lo branco) Ver o modelo de referência</t>
  </si>
  <si>
    <t>i0740_2p012m_g27_e002</t>
  </si>
  <si>
    <t xml:space="preserve">Ilustração de uma adição de fichas sobrepostas, de modo que sejam todos os quadrinhos proporcionais, compor o número 600 separados em três quadrinhos de cor azul; compor o sinal de + , compor o número 30 separados em dois quadrinhos de cor vermelho, compor o sinal de + ; compor o número 2 em um quadrinho na cor verde, compor o sinal de =. (Não compor fundo cor, ou seja, deixá-lo branco)
Ver o modelo de referência
</t>
  </si>
  <si>
    <t>i0758_4p012m_g27_e002</t>
  </si>
  <si>
    <t>Ilustração de um quadrado branco com uma estrela colorida de verde. A cor verde deve ser a mesma que aparece na i1240sl_4bam_g23_ftd (arquivo na pasta). O tamanho do quadrado e o formato da estrela deve ser o mesmo que aparece na planificação da i0754_4p012m_g27_e002</t>
  </si>
  <si>
    <t>i0759_4p012m_g27_e002</t>
  </si>
  <si>
    <t>Ilustração de um quadrado branco com uma estrela colorida de amarelo. A cor amarela deve ser a mesma que aparece na i1240sl_4bam_g23_ftd (arquivo na pasta). O tamanho do quadrado e o formato da estrela deve ser o mesmo que aparece na planificação da i0754_4p012m_g27_e002</t>
  </si>
  <si>
    <t>i0760_4p012m_g27_e002</t>
  </si>
  <si>
    <t>Ilustração de um quadrado branco com uma estrela colorida de roxo. A cor roxa deve ser a mesma que aparece na i1240sl_4bam_g23_ftd (arquivo na pasta). O tamanho do quadrado e o formato da estrela deve ser o mesmo que aparece na planificação da i0754_4p012m_g27_e002</t>
  </si>
  <si>
    <t>i0755_4p012m_g27_e002</t>
  </si>
  <si>
    <t xml:space="preserve">ilustração como se fosse dentro de uma sala de aula de uma menina estudante (uniforme escolar) entregando um chapéu de aniversário para a professora (usando jaleco de professor). A professora pode estar em sua mesa em frente à sala de aula, com a lousa de fundo, e a menina ao lado como se tivesse chegado ali. Compor as duas com boca aberta pois será inserido balão de fala.
 A menina deve ter aprox. 9 anos, ser ruiva e a professora, morena, com vitiligo. Ver referência
</t>
  </si>
  <si>
    <t>i0934_4p012m_g27_e002</t>
  </si>
  <si>
    <t>Ilustração de uma malha quadriculada de 4 por 7. Colorir nessa malha um retângulo formado por 10 quadradinhos (2 linhas com 5 quadradinhos cada)</t>
  </si>
  <si>
    <t>i0935_4p012m_g27_e002</t>
  </si>
  <si>
    <t>Ilustração de uma malha quadricula de 7 por 4, mesmo tamanho da i0934_4p012m_g27_e002.</t>
  </si>
  <si>
    <t>i0924_4p012m_g27_e002</t>
  </si>
  <si>
    <t>Ilustração de um desenho feito a mão indicando 7 linhas na cor verde em um sentido (não se cruzando entre si, mas podendo não ser paralelas), e 6 linhas vermelhas em outro sentido e cruzando as 7 primeiras (não se cruzando entre si, mas podendo não ser paralelas).</t>
  </si>
  <si>
    <t>i0936_4p012m_g27_e002</t>
  </si>
  <si>
    <t>Ilustração de um esquema como se fosse um ábaco de papel com C, D e U, letras com as mesmas cores do projeto gráfico. Representar o número 124, quatro vezes como representado usando bolinhas, todas do mesmo tamanho e mesma cor. Separar as representações por um fio fino e claro, conforme ref.</t>
  </si>
  <si>
    <t>i0937_4p012m_g27_e002</t>
  </si>
  <si>
    <t>Ilustração de um ábaco de papel com C, D e U, com as mesmas cores do projeto gráfico, mesmo modelo do i0936_4p012m_g27_e002. Nele, indicar 4 bolinhas na ordem das centenas, 8 bolinhas nas dezenas e 16 nas unidades, como na ref.</t>
  </si>
  <si>
    <t>i0938_4p012m_g27_e002</t>
  </si>
  <si>
    <t>Ilustração de um ábaco de papel com C, D e U, com as mesmas cores do projeto gráfico, mesmo modelo do i0936_4p012m_g27_e002. Nele, indicar o número 496</t>
  </si>
  <si>
    <t>i0941_4p012m_g27_e002</t>
  </si>
  <si>
    <t>il 3 quadrinhos lado a lado e inserir números 1, 3, 6 e 2 conforme referência</t>
  </si>
  <si>
    <t>i0942_4p012m_g27_e002</t>
  </si>
  <si>
    <t>il 3 quadrinhos com traço na diagonal, lado a lado, e inserir números 1, 3, 6 e 2 conforme referência. Sequência da i0941_4p012m_g27_e002</t>
  </si>
  <si>
    <t>i0943_4p012m_g27_e002</t>
  </si>
  <si>
    <t>il 3 quadrinhos com traço na diagonal, lado a lado, e inserir números 1, 3, 6 e 2, e 1 e 2 conforme referência. Sequência da i0942_4p012m_g27_e002</t>
  </si>
  <si>
    <t>i0944_4p012m_g27_e002</t>
  </si>
  <si>
    <t>il 3 quadrinhos com traço na diagonal, lado a lado, e inserir números 1, 3, 6 e 2, e 1, 2, 0 e 6 conforme referência. Sequência da i0943_4p012m_g27_e002</t>
  </si>
  <si>
    <t>i0945_4p012m_g27_e002</t>
  </si>
  <si>
    <t>il 3 quadrinhos com traço na diagonal, lado a lado, e inserir números 1, 3, 6 e 2, e 1, 2, 0, 6, 0 e 2 conforme referência. Sequência da i0944_4p012m_g27_e002</t>
  </si>
  <si>
    <t>i0939_4p012m_g27_e002</t>
  </si>
  <si>
    <t>Ilustração de um cartaz com o preço de um contrabaixo, semelhante ao da ref. Compor de modo que não fique muito grande horizontalmente pois vai ser composto ao lado da atividade.</t>
  </si>
  <si>
    <t>i0940_4p012m_g27_e002</t>
  </si>
  <si>
    <t>Ilustração de um cartaz com o preço de uma bateria, semelhante ao da ref. Compor na mesmo estilo da i0939_4p012m_g27_e002</t>
  </si>
  <si>
    <t>i0946_4p012m_g27_e002</t>
  </si>
  <si>
    <t>compor esquema com 6 quadradinhos com diagonais e números inscritos e em volta, usar como base a i0945_4p012m_g27_e002. Ver referência (compor conforme as cores do esquema)</t>
  </si>
  <si>
    <t>i6228_2p012m_g27_e002</t>
  </si>
  <si>
    <t>Resgatar ilustração do “truque da mão” da quantidade de dias de cada mês. veio de g23_ftd_mp_2bam_p201 código antigo: i5216sl_2bam_g23_ftd</t>
  </si>
  <si>
    <t xml:space="preserve">i6227_2p012m_g27_e002 </t>
  </si>
  <si>
    <t xml:space="preserve">resgatar ilustração de balança de dois pratos feitos com material escolar veio de g23_ftd_mp_2bam_p190 código antigo i5215sl_2bam_g23_ftd </t>
  </si>
  <si>
    <t>i6205_3p012m_g27_e002</t>
  </si>
  <si>
    <t xml:space="preserve">Resgatar ilustração ábaco construído manualmente, com 4 casas decimais; g23_ftd_mp_3bam_p59; código antigo i5210sl_3bam_g23_ftd </t>
  </si>
  <si>
    <t>i1107_4p012m_g27_e002</t>
  </si>
  <si>
    <t xml:space="preserve">Resgatar ilustração dos confeiteiros. veio do g23_ftd_lt_4bam_p097 código antigo i2015tc_4bam_g23_ftd
AJUSTE:
Na ilustração substituir os chocolates representados por mini bolos de rolo.
</t>
  </si>
  <si>
    <t>i1132_4p012m_g27_e002</t>
  </si>
  <si>
    <t>il. de 9 retângulos azuis, 6 retângulos vermelhos e 8 retângulos verdes, dispostos conforme a referência, para
representar as fichas. Ver referência.</t>
  </si>
  <si>
    <t>Finalizada 25/08</t>
  </si>
  <si>
    <t>if1109_4p012m_g27_e002</t>
  </si>
  <si>
    <t xml:space="preserve">Resgatar ilustração com foto de uma calça, camiseta e sapato. veio do g23_ftd_4bam_p101 código antigo if2030pm_4bam_g23_ftd
AJUSTE: atualizar o preço da camisa para 131 reais, o preço da calça para 152 reais e o preço do sapato para 172 reais
</t>
  </si>
  <si>
    <t>ILUSTRAÇÕES: PETRA MENDES. FOTO: MARYNA GORBATKO/SHUTTERSTOCK.COM</t>
  </si>
  <si>
    <t>i1128_4p012m_g27_e002</t>
  </si>
  <si>
    <t xml:space="preserve">il. imagem de uma bilheteria de teatro com o preço do ingresso a 12 reais e mãos de uma pessoa como se estivesse em uma bilheteria entregando o ingresso e recebendo o dinheiro. Ver referência. </t>
  </si>
  <si>
    <t>i1130_4p012m_g27_e002</t>
  </si>
  <si>
    <t>i1130A - Ilustração de uma bandeja de morangos com 12 unidades, semelhante a referência.
i1130B - Ilustração de uma bandeja de morangos com 16 unidades, semelhante a referência.</t>
  </si>
  <si>
    <t>g1321_4p012m_g27_e002</t>
  </si>
  <si>
    <t xml:space="preserve">Resgatar gráfico de barras sobre extensões de rios do Brasil; disponível em g23_ftd_lt_4bam_p120 código antigo gt2422gu_4bam_g23_ftd
AJUSTAR: compor fio preto em torno das barras
</t>
  </si>
  <si>
    <t>i1347_4p012m_g27_e002</t>
  </si>
  <si>
    <t xml:space="preserve">Resgatar ilustração de um adulto levando uma criança ao médico; disponível em g23_ftd_lt_4bam_p126 código antigo i2451iv_4bam_g23_ftd
AJUSTE: Inserir a parte do mês de março de 2027 no local do calendário do mês que está na ilustração deste modo, dia 01 é segunda feira e 31 quarta feira. 
</t>
  </si>
  <si>
    <t>i1350_4p012m_g27_e002</t>
  </si>
  <si>
    <t xml:space="preserve">Resgatar ilustração de algumas pessoas em um parque com um rio ao fundo; disponível em g23_ftd_lt_4bam_p128 código antigo i2401cq_4bam_g23_ftd_ly
AJUSTE:
Separar ilustração em duas partes para caber nas duas páginas.
Cena A (pág. par) —deixar as pessoas e o Sol e tirar o fundo cor que está sobre o texto.
Cena B (pág. ímpar) —deixar o Sol, as árvores menores e as pessoas e tirar a árvore maior que está sobre o texto.
</t>
  </si>
  <si>
    <t>i1938_3p012m_g27_e002</t>
  </si>
  <si>
    <t>Resgatar ilustração homem segurando um saco de laranjas frente a duas caixas; g23_ftd_lt_3bam_p139; código antigo i2820gd_3bam_g23_ftd</t>
  </si>
  <si>
    <t>i1133_4p012m_g27_e002</t>
  </si>
  <si>
    <t>il. das 9 fichas azuis da il. i1132_4p012m_g27_e002, disposta em 4 colunas e duas linhas, com uma das fichas
em separado. Abaixo, compor as demais fichas coloridas que ainda não foram distribuídas. Ver referência.</t>
  </si>
  <si>
    <t>i1134_4p012m_g27_e002</t>
  </si>
  <si>
    <t>Compor na il. i1134_4p012m_g27_e002 duas fichas vermelhas em cada célula, obtendo 1 ficha azul e duas
fichas vermelhas em cada uma. Retirar a ficha azul que que está separada igual da i1133_4p012m. Abaixo,
compor as demais fichas coloridas que ainda não foram distribuídas. Ver referência.</t>
  </si>
  <si>
    <t>i1135_4p012m_g27_e002</t>
  </si>
  <si>
    <t>Compor na il. i1135_4p012m_g27_e002 uma ficha verde em cada célula, obtendo 1 ficha azul, duas
fichas vermelhas e 1 ficha verde em cada uma igual da i1134_4p012m. Ver referência.</t>
  </si>
  <si>
    <t>i1538_4p012m_g27_e002</t>
  </si>
  <si>
    <t>Resgatar ilustração de régua cropada do g23_ftd_lt_2bam_p110 código antigo i2410zz_2bam_g23_ftd</t>
  </si>
  <si>
    <t>i1543_4p012m_g27_e002</t>
  </si>
  <si>
    <t>Resgatar ilustração de uma figura dividida em 100 partes com 61 partes coloridas do g23_ftd_4bam_p150 código antigo i3210zz_4bam_g23_ftd</t>
  </si>
  <si>
    <t>i1539_4p012m_g27_e002</t>
  </si>
  <si>
    <t>Ilustração de uma cena em que uma mão está colocando na mesa três peças de um círculo do material complementar que representam 3 partes da figura, ou seja, 3/4.  
(il referente ao material complementar   - i6181_4p012m_g27_e002)</t>
  </si>
  <si>
    <t>Finalizada 27/08</t>
  </si>
  <si>
    <t>i6181_4p012m_g27_e002</t>
  </si>
  <si>
    <t>Ilustração de 6 círculos na página, sendo um círculo de cada cor. Um círculo deve ser vermelho e estar inteiro.
Os demais devem ser de cores diferentes e estar divididos, respectivamente, em: 2 partes; 3 partes; 4 partes; 5
partes; 6 partes, (Lembrando que as partes deveram conter os mesmos tamanhos sendo proporcionais) ver a referência
(Material complementar referente a il  - i1539_4p012m_g27_e002)</t>
  </si>
  <si>
    <t>i1540_4p012m_g27_e002</t>
  </si>
  <si>
    <t>ilustração de duas figuras. Cada um dividido em 14 partes iguais. Deixar um retângulo embaixo do outro. Fazer conforme referência</t>
  </si>
  <si>
    <t>i1541_4p012m_g27_e002</t>
  </si>
  <si>
    <t xml:space="preserve">Ilustração uma malha com 10 quadradinhos pintados na cor amarela seguindo a ordem horizontal dos quadrinhos. </t>
  </si>
  <si>
    <t>i1544_4p012m_g27_e002</t>
  </si>
  <si>
    <t>Ilustração uma malha com 20 quadrinhos, mesmo tamanho da i1541_4p012m_g27_e002, com 10 deles pintados na cor verde, alternando os quadrinhos, um com cor e outro sem cor.</t>
  </si>
  <si>
    <t xml:space="preserve">i6187_4p012m_g27_e002 </t>
  </si>
  <si>
    <t xml:space="preserve">Ilustração de uma tela de tablet mostrando os seguintes dados na tela em formato de ícones:
Sertanejo: 393 com um ícone de um violão desenhado; Gospel: 246, com um ícone de flauta desenhado; Rock: 90 com um ícone de uma guitarra desenhado; Pagode: 32 com um ícone de pandeiro desenhado; Forró: 176 com um ícone de sanfona desenhado; Pop: 31 com um ícone de um piano desenhado; Outros: 32 com ícone de vários instrumentos desenhados. Ao fundo compor um fundo cor azul claro neutro, para compor a ilustração seguir o modelo que já existia no livro antigo conforme ref.
Deixar Rock e Pop em itálico no imagem.
</t>
  </si>
  <si>
    <t>F: 02/09</t>
  </si>
  <si>
    <t>i1727_4p012m_g27_e002</t>
  </si>
  <si>
    <t>Il de uma planilha de software genérico do padrão, com as informações de acordo com a referência. Deixar como na ref, com as bordas claras nas células que tem informações.</t>
  </si>
  <si>
    <t>i1728_4p012m_g27_e002</t>
  </si>
  <si>
    <t>Il de uma planilha de software genérico do padrão, com as informações de acordo com a referência. Essa il é continuação da i1728_4p012m_g27_e002, por isso utilizá-la como base, e inserir as infos que faltam. As células com informações devem ter borda preta e os números com cifrão e terminados em “,00”.</t>
  </si>
  <si>
    <t>g1705_4p012m_g27_e002</t>
  </si>
  <si>
    <t xml:space="preserve">Resgatar gráfico da quantidade de filmes do g23_ftd_lt_4bam_p168 código antigo gt3612sl_4bam_g23_ftd
AJUSTE: Excluir do gráfico os anos de 2014 a 2017; atualizar a quantidade de 2019 para 169; incluir no gráfico as quantidades relativas aos anos 2020: 59; 2021: 129; 2022: 173; 2023:161. Também compor fio preto nas barras, conforme padrão.
</t>
  </si>
  <si>
    <t>i1725_4p012m_g27_e002</t>
  </si>
  <si>
    <t>Resgatar ilustração de uma janela de software genérica composta por menus de tipos de gráfico do g27_e002_lt_3p012m_p160a173, unid 8,  código i1516_3p012m_g27_e002 e renomear com código acima</t>
  </si>
  <si>
    <t>i1726_4p012m_g27_e002</t>
  </si>
  <si>
    <t xml:space="preserve">Il de um gráfico de barras no padrão, composto dentro de uma janela de software genérica do padrão. Compor título-“Usuários de óculos entre as pessoas que moram nas residências dos estudantes em outubro de 2027”
, com os dados seguintes: Alaíde: 2; Hélio: 3; Jean: 4; Tamires: 5. Eixo vertical “Quantidade”, horizontal: “Estudante”.
</t>
  </si>
  <si>
    <t>i1987_4p012m_g27_e002</t>
  </si>
  <si>
    <t>Resgatar ilustração malha quadriculada com três figuras formadas por quadradinhos amarelos; g23_ftd_lt_4bam_p186; código antigo i4019gu_4bam_g23_ftd
AJUSTE:
Compor a figura A que está em formato de L, como outra composição, ocupando os mesmo 18 quadrinhos, podendo ser o formato de um T por exemplo ver o modelo de referência abaixo</t>
  </si>
  <si>
    <t>i2036_4p012m_g27_e002</t>
  </si>
  <si>
    <t>ilustração de 4 símbolos egípcios de acordo com a referência</t>
  </si>
  <si>
    <t>FINALIZADA: 26/08</t>
  </si>
  <si>
    <t>i2037_4p012m_g27_e002</t>
  </si>
  <si>
    <t xml:space="preserve">ilustração de 2 símbolos egípcios de acordo com a referência. O símbolo da esquerda é o mesmo que aparece na </t>
  </si>
  <si>
    <t>i2038_4p012m_g27_e002</t>
  </si>
  <si>
    <t>ilustração de 1 símbolo egípcio semelhante a uma mão de acordo com a referência</t>
  </si>
  <si>
    <t>i2040_4p012m_g27_e002</t>
  </si>
  <si>
    <t>Ilustração de uma janela de geometria dinâmica genérica (semelhante ao geogebra, mas usar padrão), com uma figura de um losango de lados ABCD e uma reta vertical representando eixo de simetria nomeado de f. Ver referência.</t>
  </si>
  <si>
    <t>GUSTAVO CONTI E INGRIDHI BORGES/ARQUIVO DA EDITORA</t>
  </si>
  <si>
    <t>i2041_4p012m_g27_e002</t>
  </si>
  <si>
    <t>Ilustração, sequência da i2040_4p012m_g27_e002, de uma janela de geometria dinâmica genérica, com uma figura de um losango de lados ABCD e uma reta vertical representando eixo de simetria nomeado de f, com outro losango de vértices EFGH, simétrico ao eixo com o primeiro. Ver referência.</t>
  </si>
  <si>
    <t>g2331_4p012m_g27_e002</t>
  </si>
  <si>
    <t xml:space="preserve">Resgatar ilustração do gráfico das medidas da temperatura do g23_ftd_lt_4bam_p235 código antigo gt4849gu_4bam_g23_ftd
AJUSTE: atualizar dados: 29 e 21 (Vitória), 27 e 15 (São Paulo), 34 e 20 (Palmas), 19 e 8 (Curitiba), 32 e 17 (Goiânia).
</t>
  </si>
  <si>
    <t>i6217_2p012m_g27_e002</t>
  </si>
  <si>
    <t xml:space="preserve">Resgatar e ajustar ilustração i4826kd_2bam_g23_ftd de uma malha com um menino a esquerda e um triciclo a direita.
AJUSTE: Tirar o menino e o triciclo e substituir pelas palavras criança e triciclo, conforme a ref. Pintar o caminho que deve ser seguido, não usar a cor magenta. Ver referência:
ATENÇÃO: a imagem não pode ter mais do que 5 cm de altura pois vai entrar no rodapé da página.
</t>
  </si>
  <si>
    <t xml:space="preserve">Resgatar malha quadriculada do miolo com o código i0418iv_2bam_g23_ftd_ef e ajustar para entrar no manual
AJUSTE: reduzir a malha proporcionalmente deixando com cerca de 5 cm na altura para caber no rodapé do manual.
Retirar a menina e a bola e substituir pelas palavras: “Silvia” e “Bola de Silvia” e compor o caminho conforme a referência.
Ver print de referência a seguir.
</t>
  </si>
  <si>
    <t>i6215_2p012m_g27_e002</t>
  </si>
  <si>
    <t xml:space="preserve">Resgatar ilustração i3602rm_2bam_g23_ftd de uma malha com carro a esquerda e uma bandeira de chegada a direita.
AJUSTE: Tirar o carro e bandeira e substituir pelos textos, conforme a ref. Pintar o caminho que deve ser seguido, não usar a cor magenta. Ver referência:
ATENÇÃO: a imagem não pode ter mais do que 5 cm de altura pois vai entrar no rodapé da página.
</t>
  </si>
  <si>
    <t>i6216_2p012m_g27_e002</t>
  </si>
  <si>
    <t xml:space="preserve">Resgatar ilustração i3603rm_2bam_g23_ftd_aj de um bairro.
AJUSTE: traçar o caminho que deve ser seguido, não usar a cor magenta. Ver referência:
ATENÇÃO: a imagem não pode ter mais do que 5 cm de altura pois vai entrar no rodapé da página.
</t>
  </si>
  <si>
    <t>i2128_4p012m_g27_e002</t>
  </si>
  <si>
    <t xml:space="preserve">resgatar ilustração de preços de suco, bolo e salgados. veio do g23_ftd_lt_4bam_p210; código antigo i4430mk_4bam_g23_ftd
Ajuste: trocar a ilustração do salgado por uma salada de frutas (manter o valor)
Atualizar valor do suco para R$ 4,50
Trocar a ilustração do bolo para um misto quente, e atualizar valor para R$5,75
</t>
  </si>
  <si>
    <t>i2146_4p012m_g27_e002</t>
  </si>
  <si>
    <t>Ilustração de um triângulo com as cotas, como indicado na ref.</t>
  </si>
  <si>
    <t>RAFAELA PANISSA/ARQUIVO DA EDITORA</t>
  </si>
  <si>
    <t>i2147_4p012m_g27_e002</t>
  </si>
  <si>
    <t>Ilustração de um retângulo com as cotas, como indicado na ref.</t>
  </si>
  <si>
    <t>i2148_4p012m_g27_e002</t>
  </si>
  <si>
    <t xml:space="preserve">Ilustração de um menino pardo, de cabelo cacheado, usando camiseta e calça jeans. Ele está comprando um copo de suco de laranja em uma barraca de suco. Na cena, ele deve estar entregando uma nota de 10 reais para o dono da barraca. O dono da barraca é um homem branco, sobrepeso, utilizando uma touca e avental brancos.
A cena deve estar acontecendo ao ar livre, em um parque, e sobre a mesa da barraca, deve estar uma jarra de suco e copos empilhados. Além disso, se possível, na fachada na barraca, colocar uma imagem de uma laranja.
***Dar destaque a cédula da imagem, para que os estudantes consigam identificar.
Utilizar a i4401gd_4bam_g23_ftd_ef_ly, disponível em: g23_ftd_lt_4bam_p220, como referência.
</t>
  </si>
  <si>
    <t>jx</t>
  </si>
  <si>
    <t>R:26/08 F:03/09</t>
  </si>
  <si>
    <t>i2149_4p012m_g27_e002</t>
  </si>
  <si>
    <t xml:space="preserve">Ilustração do menino da 2148_3p012m_g27_e002, de frente para o leitor, olhando para o dinheiro em sua mão, com uma expressão de desentendido/confuso, pois percebeu que o vendedor devolveu o troco errado. O menino deve estar segurando uma nota de 10 reais, uma de 2 reais e uma moeda de 50 centavos, em que na outra mão está segurando um copo de suco de laranja. Ao fundo da imagem, estará a barraca de suco de laranja, um pouco afastado, dando a ideia de que o menino já passou pela barraca. Na imagem, deve ser possível identificar o vendedor do 2148_4p012_g27_e002 dentro da barraca.
***Dar destaque ao dinheiro na mão do menino da imagem, para que os estudantes consigam identificar.
Utilizar a i4401gd_4bam_g23_ftd_ef_ly, disponível em: g23_ftd_lt_4bam_p220, como referência.
</t>
  </si>
  <si>
    <t xml:space="preserve">i6180_4p012m_g27_e002 </t>
  </si>
  <si>
    <t xml:space="preserve">resgatar ilustração de fichas com números de 0 a 9. veio do g23_ftd_lt_4bam_p251 código antigo i4446sl_4bam_g23_ftd </t>
  </si>
  <si>
    <t xml:space="preserve">i6182_4p012m_g27_e002 </t>
  </si>
  <si>
    <t>resgatar ilustração de dois quadros iguais, para indicar a parte inteira e a parte decimal de números. veio do g23_ftd_lt_4bam_p253 código antigo i4447sl_4bam_g23_ftd</t>
  </si>
  <si>
    <t>i1945_3p012m_g27_e002</t>
  </si>
  <si>
    <t>Ilustração da representação do número 36 utilizando o material dourado. Terá 3 barras lado a lado, e 6 cubinhos a direita das barras, disposto em duas colunas.</t>
  </si>
  <si>
    <t>i1946_3p012m_g27_e002</t>
  </si>
  <si>
    <t xml:space="preserve">Resgatar ilustração da representação do número 36, utilizando material dourado, de código i1945_3p012m_g27_e002.
AJUSTE: Aumentar o espaçamento entre as barras, e afastar os cubinhos um pouco para a direita. As barras serão contornadas.
</t>
  </si>
  <si>
    <t>i1947_3p012m_g27_e002</t>
  </si>
  <si>
    <t>Ilustração da representação do número 12, utilizando o material dourado. Terá 1 barra e 2 cubinhos, a direita da barra. Os cubinhos estarão um em cima do outro.</t>
  </si>
  <si>
    <t xml:space="preserve"> g0319_5p012m_g27_e002</t>
  </si>
  <si>
    <t xml:space="preserve">Gráfico de barras com os dados da tabela. Eixo vertical “Quantidade de transplantes”, compor eixo de 500 em 500 até 6500. Eixo horizontal: “Órgão”. Compor o valor acima de cada coluna 
Órgãos	Quantidade de transplantes
Coração	424
Fígado	2 365
Pâncreas	117
Pulmão	78
Rim	6 047
</t>
  </si>
  <si>
    <t>i0320_5p012m_g27_e002</t>
  </si>
  <si>
    <t>il. ábaco com hastes “UM”, “C”, “D”, “U”, representando o número 2 365 (ver padrão da obra), de modo que, DM: 0 bolinhas; UM: 2 bolinhas; C: 3 bolinhas; D: 6 bolinhas e U: 5 bolinhas.</t>
  </si>
  <si>
    <t>i0321_5p012m_g27_e002</t>
  </si>
  <si>
    <t>il. de um ábaco de 5 ordens do padrão, com o número 2365 representado, e ainda com 4 bolinhas entrando nas hastes da centena, 2 bolinhas entrando na haste da dezena e 4 bolinhas entrando na haste das unidades.</t>
  </si>
  <si>
    <t>i0331_5p012m_g27_e002</t>
  </si>
  <si>
    <t>il. de um ábaco de 5 ordens do padrão, sequência do i0321_5p012m_g27_e002, com o número 2789 representado, sendo: DM: nenhuma bolinha; UM: 2 bolinhas; C: 7 bolinhas; D: 8 bolinhas e U: 9 bolinhas. Ver referência.</t>
  </si>
  <si>
    <t>i0305_5p012m_g27_e002</t>
  </si>
  <si>
    <t>Resgatar ilustração de cartaz com os produtos: televisor, notebook, telefone celular, tablet e videogame, com
os respectivos preços. Veio do g23_ftd_lt_5bam_p034, código antigo i0803rm_5bam_g23_ftd:
AJUSTE: Colocar a ilustração do tablet no lugar do telefone celular e mudar o nome para tablet, de modo que
fique tablet: R$ 969, 00, retirar a ilustração do celular e de Telefone celular além de retirar o preço R$ 1
539,00, ver a referência</t>
  </si>
  <si>
    <t>i0308_5p012m_g27_e002</t>
  </si>
  <si>
    <t>Resgatar ilustração de mulher em frente a uma vitrine observando os preços de uma TV 45 polegadas, uma TV 39 polegadas e um home theater. Veio do g23_ftd_lt_5bam_p038, código antigo i0806iv_5bam_g23_ftd</t>
  </si>
  <si>
    <t>i6135_5p012m_g27_e002</t>
  </si>
  <si>
    <t xml:space="preserve">Resgatar e ajustar Ábaco com 5 hastes do padrão, para recorte, utilizar a i6174zz_3p012m_g27_e002 como base do modelo mais atual (arquivo enviado na pasta) e inserir a quinta haste com DM na cor padrão, ver ref
</t>
  </si>
  <si>
    <t>HELOÍSA PINTARELLI/ARQUIVO DA EDITORA</t>
  </si>
  <si>
    <t>i6136_5p012m_g27_e002</t>
  </si>
  <si>
    <t xml:space="preserve">Il. De uma bolinha do ábaco que seja proporcional ao tamanho do ábaco da página 285, conforme a referência:
Resgate, il igual do MC do vol 1, i6171rm_1p012m_g27_e002
</t>
  </si>
  <si>
    <t>i0502_5p012m_g27_e002</t>
  </si>
  <si>
    <t xml:space="preserve">Resgatar ilustração com: pote de sorvete, pacote de café, embalagem de achocolatado, garrafa de alvejante e caixa de creme de leite, em que neles estão destacados a data de fabricação/validade; g23_ftd_lt_5bam_p234; código antigo i4801iv_5bam_g23_ftd_ef
AJUSTE: trocar o sorvete por um pote de Frutas congeladas, trocar o creme de leite por Milho em conserva e ajustar a validade para 3 anos, trocar o achocolatado por Leite em pó integral, atualizar datas dos produtos produzidos em janeiro e fevereiro para 2027 e os demais para 2026.
</t>
  </si>
  <si>
    <t xml:space="preserve">Resgatar ilustração smartphone com previsão do tempo de certa cidade; g23_ftd_lt_5bam_p244; código antigo i4830rm_5bam_g23_ftd
AJUSTE: mudar celular para um tablet
</t>
  </si>
  <si>
    <t>g0512_5p012m_g27_e002</t>
  </si>
  <si>
    <t xml:space="preserve">Ilustração de um gráfico de colunas do padrão (colunas com a mesma cor e fio contorno em preto) que tem no eixo horizontal “Capitais do mundo” e eixo vertical com indicações indo de 0 a 35°C e nomeado por “Temperatura (°C )”.
Com as seguintes indicações:
Brasília (Brasil): 18 °C;
Cairo (Egito): 32 °C;
Santigo (Chile) 4 °C;
Madri (Espanha): 34 °C
</t>
  </si>
  <si>
    <t>i0119_5p012m_g27_e002</t>
  </si>
  <si>
    <t xml:space="preserve">resgatar ilustração de reta numérica. veio de g23_ftd_lt_5bam_p24 código antigo it0421zz_5bam_g23_ftd
AJUSTE: modificar valores para: 716 000; 716 793; 717 000. Ajustar posição.
</t>
  </si>
  <si>
    <t xml:space="preserve">resgatar ilustracao de reta numérica. veio de g23_ftd_lt_5bam_p24 código antigo it0422zz_5bam_g23_ftd
AJUSTE: modificar valores para: 716 700; 716 793; 716 800. Ajustar posição
</t>
  </si>
  <si>
    <t>g0123_5p012m_g27_e002</t>
  </si>
  <si>
    <t xml:space="preserve">resgatar gráfico de população do Brasil. veio de g23_ftd_lt_5bam_p26 código antigo gt0424gu_5bam_g23_ftd
AJUSTE: atualizar dados e inserir fio contornando as barras, conforme padrão da obra
São Paulo: 11 895 578
Rio de Janeiro: 6 729 894
Brasília: 2 982 818
Fortaleza: 2 574 412 
Salvador: 2 568 928
</t>
  </si>
  <si>
    <t>g0124_5p012m_g27_e002</t>
  </si>
  <si>
    <t xml:space="preserve">resgatar gráfico de frota de automóveis. veio de g23_ftd_lt_5bam_p27 código antigo gt0425gu_5bam_g23_ftd
AJUSTE: atualizar dado e inserir fio contornando as barras, conforme padrão da obra
São Paulo: 34 332 819
Minas Gerais: 13 975 854  
Rio de Janeiro: 7 973 983
Espírito Santo: 2 494 996 
</t>
  </si>
  <si>
    <t>i0806_5p012m_g27_e002</t>
  </si>
  <si>
    <t xml:space="preserve">resgatar e ajustar ilustração de visitantes no masp. veio de g23_ftd_lt_5bam_p066 código antigo i1206cq_5bam_g23_ftd
AJUSTE: deixar ilustração apenas na página par conforme sugerido na leitura prévia da Arte (ver referência a seguir.
AJUSTE: não ficar mais em espelho, por causa do Digital.
</t>
  </si>
  <si>
    <t>i6137_5p012m_g27_e002</t>
  </si>
  <si>
    <t>Material Complementar</t>
  </si>
  <si>
    <t xml:space="preserve">resgatar ilustração de planificação de prisma de base pentagonal. veio de g23_ftd_lt_5bam_p065 código antigo it1305_5bam_g23_ftd_re
AJUSTE:
Ampliar a ilustração de modo que ocupe uma página nos padrões de material complementar.
Compor tracejado padrão de recorte
</t>
  </si>
  <si>
    <t>i6138_5p012m_g27_e002</t>
  </si>
  <si>
    <t xml:space="preserve">resgatar ilustração de planificação de tetraedro. veio de g23_ftd_lt_5bam_p065 código antigo it1306_5bam_g23_ftd_re
AJUSTE
Ampliar a ilustração de modo que ocupe uma página nos padrões de material complementar
</t>
  </si>
  <si>
    <t>i0579_1p012m_g27_e002</t>
  </si>
  <si>
    <t>Ilustrar esquema, em que terá uma seta apontando para a direita, e sobre ela terá 4 espaços para o estudante completar</t>
  </si>
  <si>
    <t>Vai ser feito no projeto gráfico.</t>
  </si>
  <si>
    <t>i0752_1p012m_g27_e002</t>
  </si>
  <si>
    <t xml:space="preserve">Ilustração de 4 crianças de costas assistindo um filme. Indicar a cota Carla na imagem, como na ref.
Arte: a vista de costa das crianças deve ser frontal.
</t>
  </si>
  <si>
    <t>i1723_4p012m_g27_e002</t>
  </si>
  <si>
    <t>il de papeleta do padrão com dia da semana e quantidade de tracinhos correspondentes: DOMINGO: 16 tracinhos; SEGUNDA-FEIRA: 10 tracinhos; TERÇA-FEIRA: 12 tracinhos; QUARTA-FEIRA: 9 tracinhos; QUINTA-FEIRA: 10 tracinhos; SEXTA-FEIRA: 8 tracinhos; SÁBADO: 15 tracinhos.</t>
  </si>
  <si>
    <t>INGRIDHI BORGES E KEITHY MOSTACHI/ARQUIVO DA EDITORA</t>
  </si>
  <si>
    <t>i0936_5p012m_g27_e002</t>
  </si>
  <si>
    <t>Ilustração de uma malha quadriculada 12 linhas por 16 colunas, em que ela estará dividida em 4 partes de tamanhos diferentes. A parte superior esquerda, estará dividida em 2 linhas e 10 colunas, a parte superior direita, em duas linhas e 6 colunas, a inferior esquerda em 10 linhas e 10 colunas, e a parte inferior direita em 10 linhas e 6 colunas. Compor as indicações ao lado dos quadros e as operações em cada setor e pintar cada parte com uma cor diferente. Ver referência.</t>
  </si>
  <si>
    <t>i0934_5p012m_g27_e002</t>
  </si>
  <si>
    <t>il de uma malha quadriculada 20x18. Compor quadradinhos do mesmo tamanho da malha da i0936_5p012m_g27_e002. Ver referência.</t>
  </si>
  <si>
    <t>i0905_5p012m_g27_e002</t>
  </si>
  <si>
    <t>resgatar ilustração de flyer de propaganda. veio de g23_ftd_lt_5bam_p075 código antigo i1605kf_5bam_g23_ftd
AJUSTE: Ajustar corpo do aparelho que era um smartphone para que se assemelhe mais a um tablet e mudar a palavra SMARTPHONE por TABLET. Ver referência</t>
  </si>
  <si>
    <t>i6139_5p012m_g27_e002</t>
  </si>
  <si>
    <t>resgatar ilustração de cartões de números 2 a 9. veio de g23_ftd_lt_5bam_p265 código antigo i1632gu_5bam_g23_ftd</t>
  </si>
  <si>
    <t>i6140_5p012m_g27_e002</t>
  </si>
  <si>
    <t>resgatar ilustração de cartões de números 10, 11, 12, 20, 50, 100. veio de g23_ftd_lt_5bam_p267 código antigo i1633gu_5bam_g23_ftd</t>
  </si>
  <si>
    <t>i6219_4p011m_g27_e001</t>
  </si>
  <si>
    <t>i6219_4p011m_g27_e001
RESGATE
Resgatar balança de dois praros feita com cabide, disponível em;  g23_mdn_mp_4npm_pg260_u10, página 260. Código_i5001_4npm_g23_mdn_re</t>
  </si>
  <si>
    <t>cm</t>
  </si>
  <si>
    <t>i6206_3p012m_g27_e002</t>
  </si>
  <si>
    <t>Resgatar ilustração malha quadriculada 10x10 e pintar um quadrilátero verde 8 na horizontal e 7 na vertical; g23_ftd_mp_3bam_p105; código antigo i5214sl_3bam_g23_ftd</t>
  </si>
  <si>
    <t>i6207_3p012m_g27_e002</t>
  </si>
  <si>
    <t>Resgatar ilustração malha quadriculada 10x10 pintar um quadrado vermelho 8x8; g23_ftd_mp_3bam_p105; código antigo i5215sl_3bam_g23_ftd</t>
  </si>
  <si>
    <t>i6208_3p012m_g27_e002</t>
  </si>
  <si>
    <t>Resgatar ilustração malha quadriculada 10x10 pintar um quadrilátero amarelo de 7 na horizontal e 8 na vertical; g23_ftd_mp_3bam_p105; código antigo i5216sl_3bam_g23_ftd</t>
  </si>
  <si>
    <t>i6209_3p012m_g27_e002</t>
  </si>
  <si>
    <t>Ilustrar 3 triângulos iguais, somente fio, sobrepostos conforme referência.</t>
  </si>
  <si>
    <t>i1157_5p012m_g27_e002</t>
  </si>
  <si>
    <t>Il. Como se fosse ambientado no antigo Egito, com 2 egípcios usando cordas com nós, esticada como se estivessem delimitando uma distância no chão. Importante que dê para perceber os nós nas cordas e que tenham uma distância igual entre cada um. As pontas da corda podem estar meio enroladas perto de um dos personagens para que aparente ter mais. A il será composta ao lado do texto, não compor tão horizontal. Ver referências para ideia da composição.</t>
  </si>
  <si>
    <t>R: 03/09
F: 05/09</t>
  </si>
  <si>
    <t>if1145_5p012m_g27_e002</t>
  </si>
  <si>
    <t>Resgatar ilustração de carros azuis e vermelhos em estacionamento. veio de g23_ftd_lt_5bam_p132 código antigo if2449pm_5bam_g23_ftd</t>
  </si>
  <si>
    <t>ILUSTRAÇÃO DE PETRA MENDES/ARQUIVO DA EDITORA. FOTO: HOBBIT/SHUTTERSTOCK.COM</t>
  </si>
  <si>
    <t>i1149_5p012m_g27_e002</t>
  </si>
  <si>
    <t>resgatar ilustração de lixos no mar. veio de g23_ftd_lt_5bam_p136 código antigo i2402kf_5bam_g23_ftd_ef_ly1
AJUSTE: Separar a ilustração em duas, A e B, de modo que seja adequado para aplicar uma em cada página</t>
  </si>
  <si>
    <t>i1158_5p012m_g27_e002</t>
  </si>
  <si>
    <t>Ilustrar 2 cubos, 4 esferas e 3 pirâmides, distribuídas conforme referência para que seja possível aplica-las ao lado da atividade</t>
  </si>
  <si>
    <t>i1397_5p012m_g27_e002</t>
  </si>
  <si>
    <t>Il de um ângulo reto, do g23_ftd_lt_4bam_p139a145_u7 código antigo it2866zz_4bam_g23_ftd</t>
  </si>
  <si>
    <t>i1390_5p012m_g27_e002</t>
  </si>
  <si>
    <t>Resgatar Ilustração polígono triângulo regular (3 lados) do g23_ftd_lt_1bam_p104a111_u6 código antigo it2436sl_1bam_g23_ftd.ai.</t>
  </si>
  <si>
    <t>i1391_5p012m_g27_e002</t>
  </si>
  <si>
    <t>Resgatar Ilustração polígono pentágono regular (5 lados) do g23_ftd_lt_5bam_p092a098_u5 código antigo it2015vc_5bam_g23_ftd.ai.</t>
  </si>
  <si>
    <t>i1392_5p012m_g27_e002</t>
  </si>
  <si>
    <t>Resgatar e ajustar Ilustração polígono heptágono regular (7 lados) do g23_ftd_lt_4bam_p180a188_u10 código antigo it4002gu_4bam_g23_ftd.ai. 
AJUSTE: deixar na cor azul, mesma do it2015vc_5bam_g23_ftd, ver referência</t>
  </si>
  <si>
    <t>i1398_5p012m_g27_e002</t>
  </si>
  <si>
    <t>Il de uma janela de software de geometria dinâmica genérica do padrão, com um quadrilátero ABCD sobre uma malha quadriculada. Compor o quadrilátero com as mesmas dimensões em quadradinhos que está na referência.</t>
  </si>
  <si>
    <t>i1399_5p012m_g27_e002</t>
  </si>
  <si>
    <t>Il de uma janela de software de geometria dinâmica genérica do padrão, com um quadrilátero ABCD e outro EFGH sobre uma malha quadriculada. Utilizar a i1398_5p012m_g27_e002 como base, pois é sequência dela acrescentando o quadrilátero EFGH, com metade das dimensões do ABCD. Ver a referência.</t>
  </si>
  <si>
    <t>i1400_5p012m_g27_e002</t>
  </si>
  <si>
    <t>Il de uma janela de software de geometria dinâmica genérica do padrão, com quadriláteros ABCD, EFGH e IJKL sobre uma malha quadriculada. Utilizar a i1399_5p012m_g27_e002 como base, pois é sequência dela acrescentando o quadrilátero IJKL, com o dobro das dimensões do ABCD. Ver a referência.</t>
  </si>
  <si>
    <t>i1549_5p012m_g27_e002</t>
  </si>
  <si>
    <t>Ilustração de um cardápio que contenha os seguintes itens,
Suco de morango                               R$ 15,49
Suco de laranja                               R$ 13,79
Suco de beterraba                               R$ 16,29
Café expresso                               R$ 12,99
Café com leite                               R$ 13,55
Pingado                               R$ 14,60
Compor ao lado desse cardápio pequenas ilustrações de xícaras de café e alguns copos de suco, seguir essas ideias para compor a ilustração, escolher qualquer uma delas.</t>
  </si>
  <si>
    <t>F: 05/09</t>
  </si>
  <si>
    <t>i1551_5p012m_g27_e001</t>
  </si>
  <si>
    <t>Ilustração de um triângulo de lados 3,6 cm, 2,8 cm e 3,2 cm, como na ref.</t>
  </si>
  <si>
    <t>i1552_5p012m_g27_e001</t>
  </si>
  <si>
    <t>Ilustração de um retângulo de lados 3,5 cm e 2,6 cm, como na ref.</t>
  </si>
  <si>
    <t>i6111_5p012m_g27_e002</t>
  </si>
  <si>
    <t>ilustração do cubo do g23_ftd_lt_5bam_p006 código antigo it0445gu_5bam_g23_ftd</t>
  </si>
  <si>
    <t>i6112_5p012m_g27_e002</t>
  </si>
  <si>
    <t>ilustração do prisma triangular do g23_ftd_lt_5bam_p006 código antigo it0446gu_5bam_g23_ftd</t>
  </si>
  <si>
    <t>i6113_5p012m_g27_e002</t>
  </si>
  <si>
    <t>ilustração do prisma hexagonal do g23_ftd_lt_5bam_p006 código antigo it0447gu_5bam_g23_ftd</t>
  </si>
  <si>
    <t>i6114_5p012m_g27_e002</t>
  </si>
  <si>
    <t>ilustração da pirâmide do g23_ftd_lt_5bam_p006 código antigo it0448gu_5bam_g23_ftd</t>
  </si>
  <si>
    <t>i6115_5p012m_g27_e002</t>
  </si>
  <si>
    <t>ilustração do prisma pentagonal do g23_ftd_lt_5bam_p006 código antigo it0449gu_5bam_g23_ftd</t>
  </si>
  <si>
    <t>i6116_5p012m_g27_e002</t>
  </si>
  <si>
    <t>ilustração do paralelepípedo do g23_ftd_lt_5bam_p006 código antigo it0450gu_5bam_g23_ftd</t>
  </si>
  <si>
    <t>g6118_5p012m_g27_e002</t>
  </si>
  <si>
    <t>ilustração do gráfico da quantidade de brinquedos do g23_ftd_lt_5bam_p007 código antigo gt0441gu_5bam_g23_ftd
AJUSTE: Ajustar barras verticais para ficarem mais estreitas e seja possível diminuir o tamanho do gráfico para ele ser composto ao lado da atividade. Compor fio preto contornando as barras de acordo com o padrão da obra.</t>
  </si>
  <si>
    <t>i6119_5p012m_g27_e002</t>
  </si>
  <si>
    <t>ilustração das retas concorrentes do g23_ftd_lt_5bam_p008 código antigo it0442zz_5bam_g23_ftd</t>
  </si>
  <si>
    <t>i6120_5p012m_g27_e002</t>
  </si>
  <si>
    <t>ilustração das retas perpendiculares do g23_ftd_lt_5bam_p008 código antigo it0443zz_5bam_g23_ftd</t>
  </si>
  <si>
    <t>i6121_5p012m_g27_e002</t>
  </si>
  <si>
    <t>Ilustração das retas paralelas do g23_ftd_lt_5bam_p008 código antigo it0444zz_5bam_g23_ftd</t>
  </si>
  <si>
    <t>i6122_5p012m_g27_e002</t>
  </si>
  <si>
    <t>Ilustração de um mapa de um bairro do g23_ftd_lt_5bam_p006 código antigo i0453zz_5bam_g23_ftd</t>
  </si>
  <si>
    <t>i6123_5p012m_g27_e002</t>
  </si>
  <si>
    <t>Ilustração da medida da borracha do g23_ftd_lt_5bam_p009 código antigo i0454zz_5bam_g23_ftd</t>
  </si>
  <si>
    <t>GUSTAVO CONTI E RENAN FONSECA/ARQUIVO DA EDITORA</t>
  </si>
  <si>
    <t>i6124_5p012m_g27_e002</t>
  </si>
  <si>
    <t>Ilustração da medida do clipe do g23_ftd_lt_5bam_p009 código antigo i0455zz_5bam_g23_ftd</t>
  </si>
  <si>
    <t>i6125_5p012m_g27_e002</t>
  </si>
  <si>
    <t>Resgatar e ajustar ilustração das figuras na malha quadriculada do g23_ftd_lt_5bam_p009 código antigo i0457gu_5bam_g23_ftd
AJUSTE: remover as figuras em magenta, conforme a referência</t>
  </si>
  <si>
    <t>i6126_5p012m_g27_e002</t>
  </si>
  <si>
    <t>Resgatar ilustração das figuras na malha quadriculada do g23_ftd_lt_5bam_p009 código antigo i0458gu_5bam_g23_ftd</t>
  </si>
  <si>
    <t>i6127_5p012m_g27_e002</t>
  </si>
  <si>
    <t>ilustração de termômetro. veio de g23_ftd_lt_5bam_p258 código antigo i4880zz_5bam_g23_ftd</t>
  </si>
  <si>
    <t>i6130_5p012m_g27_e002</t>
  </si>
  <si>
    <t>ilustração de planificação de prisma de base triangular. veio de g23_ftd_lt_5bam_p260 código antigo it4883gu_5bam_g23_ftd</t>
  </si>
  <si>
    <t>i6131_5p012m_g27_e002</t>
  </si>
  <si>
    <t>ilustração de planificação de pirâmide de base pentagonal. veio de g23_ftd_lt_5bam_p260 código antigo it4886gu_5bam_g23_ftd</t>
  </si>
  <si>
    <t>i6132_5p012m_g27_e002</t>
  </si>
  <si>
    <t>ilustração de planificação de prisma de base hexagonal. veio de g23_ftd_lt_5bam_p260 código antigo it4887gu_5bam_g23_ftd</t>
  </si>
  <si>
    <t>i6128_5p012m_g27_e002</t>
  </si>
  <si>
    <t>ilustração de um paralelepípedo formado por cubos. veio de g23_ftd_lt_5bam_p261 código antigo it4884gu_5bam_g23_ftd</t>
  </si>
  <si>
    <t>i6129_5p012m_g27_e002</t>
  </si>
  <si>
    <t>ilustração de paralelepípedo na vertical formado por cubos. veio de g23_ftd_lt_5bam_p261 código antigo it4885gu_5bam_g23_ftd</t>
  </si>
  <si>
    <t>g6133_5p012m_g27_e002</t>
  </si>
  <si>
    <t>gráfico de colunas sobre medida de massa. veio de g23_ftd_lt_5bam_p259 código antigo gt4881gu_5bam_g23_ftd
Ajuste: Compor fio contorno nas barras do gráfico de acordo com o padrão de ilustrações.</t>
  </si>
  <si>
    <t>i6134_5p012m_g27_e002</t>
  </si>
  <si>
    <t>ilustração de movimento do cavalo no xadrez. veio de g23_ftd_lt_5bam_p260 código antigo i4882zz_5bam_g23_ftd</t>
  </si>
  <si>
    <t>i1151_5p012m_g27_e002</t>
  </si>
  <si>
    <t>resgatar ilustração de planificação de tetraedro veio de g23_ftd_lt_5bam_p69 código antigo it1315gu_5bam_g23_ftd</t>
  </si>
  <si>
    <t>i1152_5p012m_g27_e002</t>
  </si>
  <si>
    <t>resgatar ilustração de tetraedro veio de g23_ftd_lt_5bam_p69 código antigo it1316zz_5bam_g23_ftd</t>
  </si>
  <si>
    <t>i1153_5p012m_g27_e002</t>
  </si>
  <si>
    <t>resgatar ilustração de cone veio de g23_ftd_lt_5bam_p69 código antigo it1317zz_5bam_g23_ftd</t>
  </si>
  <si>
    <t>i1154_5p012m_g27_e002</t>
  </si>
  <si>
    <t>resgatar ilustração de prisma veio de g23_ftd_lt_5bam_p69 código antigo it1318zz_5bam_g23_ftd</t>
  </si>
  <si>
    <t>i1155_5p012m_g27_e002</t>
  </si>
  <si>
    <t>resgatar ilustração de paralelepípedo veio de g23_ftd_lt_5bam_p69 código antigo it1319zz_5bam_g23_ftd</t>
  </si>
  <si>
    <t>i1774_5p012m_g27_e002</t>
  </si>
  <si>
    <t>resgatar ilustração de figura geométrica. veio de g23_ftd_lt_5bam_p138 código antigo it2452gu_5bam_g23_ftd</t>
  </si>
  <si>
    <t>i1775_5p012m_g27_e002</t>
  </si>
  <si>
    <t>resgatar ilustração de hexágono veio de g23_ftd_lt_5bam_p138 código antigo it2453gu_5bam_g23_ftd</t>
  </si>
  <si>
    <t>i1776_5p012m_g27_e002</t>
  </si>
  <si>
    <t>resgatar ilustração de linhas poligonais veio de g23_ftd_lt_5bam_p138 código antigo it2454gu_5bam_g23_ftd</t>
  </si>
  <si>
    <t>i1777_5p012m_g27_e002</t>
  </si>
  <si>
    <t>resgatar ilustração de figura geométrica aberta. veio de g23_ftd_lt_5bam_p138 código antigo it2455gu_5bam_g23_ftd</t>
  </si>
  <si>
    <t>i1778_5p012m_g27_e002</t>
  </si>
  <si>
    <t>resgatar ilustração de triângulo com um ângulo de 100° veio de g23_ftd_lt_5bam_p138 código antigo it2456gu_5bam_g23_ftd</t>
  </si>
  <si>
    <t>i1779_5p012m_g27_e002</t>
  </si>
  <si>
    <t>Resgatar ilustração triângulo isósceles roxo com as medidas dos lados; g23_ftd_lt_5bam_p101; código antigo it2046a_4bam_g23_ftd_re</t>
  </si>
  <si>
    <t>i1780_5p012m_g27_e002</t>
  </si>
  <si>
    <t>Resgatar ilustração triângulo equilátero roxo com as medidas dos lados; g23_ftd_lt_5bam_p101; código antigo it2046b_4bam_g23_ftd_re</t>
  </si>
  <si>
    <t>i1781_5p012m_g27_e002</t>
  </si>
  <si>
    <t>Resgatar ilustração triângulo escaleno roxo com as medidas dos lados; g23_ftd_lt_5bam_p101; código antigo it2046c_4bam_g23_ftd_re</t>
  </si>
  <si>
    <t>i1782_5p012m_g27_e002</t>
  </si>
  <si>
    <t>Resgatar ilustração triângulo equilátero 2 roxos com as medidas dos lados; g23_ftd_lt_5bam_p101; código antigo it2046d_4bam_g23_ftd_re</t>
  </si>
  <si>
    <t>i1783_5p012m_g27_e002</t>
  </si>
  <si>
    <t>resgatar ilustração de medidas de caixas de presente. veio de g23_ftd_lt_5bam_p257 código antigo i0463sl_5bam_g23_ftd</t>
  </si>
  <si>
    <t>i2321_5p012m_g27_e002</t>
  </si>
  <si>
    <t>resgatar ilustração de caminho de coelho em um plano cartesiano. veio de g23_ftd_lt_5bam_p256 código antigo i0462sl_5bam_g23_ftd</t>
  </si>
  <si>
    <t>i2322_5p012m_g27_e002</t>
  </si>
  <si>
    <t>resgatar ilustração de representação de fração veio de g23_ftd_lt_5bam_p201 código antigo it0459_5bam_g23_ftd_re</t>
  </si>
  <si>
    <t>i2323_5p012m_g27_e002</t>
  </si>
  <si>
    <t>resgatar ilustração de representação de fração veio de veio de g23_ftd_lt_5bam_p201 código antigo it0460_5bam_g23_ftd_re</t>
  </si>
  <si>
    <t>g1708_5p012m_g27_e002</t>
  </si>
  <si>
    <t>Resgatar ilustração de gráfico com os edifícios mais altos veio do g23_ftd_lt_5bam_p186 código antigo g3612rm_5bam_g23_ftd
AJUSTE: Acrescentar um edifício entre Burj Khalifa e Shanghai Tower (ou seja, na segunda posição): “Merdeka 118” com medida de altura igual a 678,9 m.</t>
  </si>
  <si>
    <t>g1904_5p012m_g27_e002</t>
  </si>
  <si>
    <t>Resgatar ilustração de gráfico de barras referente a exportação anual de automóveis. Veio do g23_ftd_lt_5bam_p220, código antigo gt4402gu_5bam_g23_ftd
AJUSTE: atualizar dados para os anos de 2020 a 2024, com os seguintes valores:
2020: 258 279; 2021 298 012; 2022: 386 422; 2023;308 228; 2024: 295 666;
O valor do eixo vertical pode ir até 400 000. Ajustar para padrão de colunas com fio preto</t>
  </si>
  <si>
    <t>g1905_5p012m_g27_e002</t>
  </si>
  <si>
    <t>Resgatar ilustração de gráfico de barras duplas referente a produção anual de café no Brasil. Veio do g23_ftd_lt_5bam_p221, código antigo gt4405gu_5bam_g23_ftd
AJUSTE: atualizar anos para 2020 a 2024 com a seguintes a seguir: 2020 2021 2022 2023 2024
Café arábica 48 768; 31 423,5; 32 720,8; 38 904,9; 39 598,4
Café conilon 14 311; 16 292,5; 18 199,3; 16 167,4; 14 616,7
Ajustar para padrão de colunas com fio preto</t>
  </si>
  <si>
    <t>g1923_5p012m_g27_e002</t>
  </si>
  <si>
    <t>Resgatar gráfico/ilustração medidas de temperatura mínima e máxima registradas em algumas cidades do Brasil – 03/07/2021; Veio de g23_ftd_lt_5bam_p246; código antigo gt4812gu_5bam_g23_ftd
AJUSTE: Compor fio preto em torno das barras conforme padrão e ajustar as temperaturas máximas e mínimas para os valores da tabela a seguir:
Boa Vista	Macapá	Porto Alegre	Vitória
Temperatura máxima	33	32,3	12,3	31
Temperatura mínima	25,3	24	8	15,3</t>
  </si>
  <si>
    <t>i1927_5p012m_g27_e002</t>
  </si>
  <si>
    <t>Ilustração de uma janela de planilha genérica do padrão, com os dados da referência</t>
  </si>
  <si>
    <t>i1928_5p012m_g27_e002</t>
  </si>
  <si>
    <t>Resgatar ilustração de uma janela de software genérica composta por menus de tipos de gráfico do g27_e002_lt_3p012m_p160a173, unid 8, código i1516_3p012m_g27_e002 e renomear com código acima</t>
  </si>
  <si>
    <t>g1929_5p012m_g27_e002</t>
  </si>
  <si>
    <t>Gráfico de barras verticais com as alturas: Humberto 5; Isadora 8; Mateus 6; Raul 10; Melissa 6. Nome do eixo vertical: Quantidade de votos, eixo horizontal: Candidato.</t>
  </si>
  <si>
    <t>g1926_5p012m_g27_e002</t>
  </si>
  <si>
    <t>Ilustração de um gráfico de linhas do padrão, com o eixo horizontal “Ano” contemplando os anos de 2019, 2020, 2021, 2022 e 2023, e no eixo vertical “Quantidade de casos”, 0, 5 000, 10 000, 15 000, 20 000, 25 000 e 30 000. O traço da linha deverá partir do ano 2019-28 076 casos; 2020 – 5 995 casos; 2021 – 5 339 casos; 2022 – 7 644 casos e 2023 – 4 019 casos. Ver referência.</t>
  </si>
  <si>
    <t>g1924_5p012m_g27_e002</t>
  </si>
  <si>
    <t>Resgatar gráfico/ilustração medidas de temperatura registradas por Sheila; g23_ftd_lt_5bam_p247; código antigo gt4877gu_5bam_g23_ftd
Ajuste: retirar linha em cor resposta do gráfico</t>
  </si>
  <si>
    <t>i1930_5p012m_g27_e002</t>
  </si>
  <si>
    <t>ilustração de uma janela de software genérica, com os meses e valores em duas colunas conforme referência, e ao lado, uma janela de estilos de gráficos. Para a janela dos gráficos utilizar como base a i1516_3p012m_g27_e002, porém na parte dos estilos compor de modo que seja gráficos de linhas, conforme referência. Ao fundo compor o gráfico formado, aparecendo em partes, será o mesmo da i1931_5p012m_g27_e002</t>
  </si>
  <si>
    <t>JANAINA OLIVEIRA/NICOLAS FURTADO/ARQUIVO DA EDITORA</t>
  </si>
  <si>
    <t>g1931_5p012m_g27_e002</t>
  </si>
  <si>
    <t>Gráfico de linhas do padrão com os eixos: Vertical: “Quantia (R$)”, de 20 em 20, de 0 a 120; horizontal: “Mês”, Janeiro 75; Fevereiro 87; Março 81; Abril 108; Maio 71; Junho 80.</t>
  </si>
  <si>
    <t>if2105_5p012m_g27_e002</t>
  </si>
  <si>
    <t>Resgatar ilustração+foto de uma batalha naval, disponível em g23_ftd_lt_5bam_p205 código if4020vc_5bam_g23_ftd
AJUSTE: Separar a il em 5 códigos sendo (ver os nomes na referência, mas deixar apenas o ícone): A (principal, malha com embarcações), B (navio cruzador), C (porta-aviões), D (contratorpedeiro) e E (navio rebocador), para compô-las em formato de legenda ao lado do tabuleiro da batalha naval</t>
  </si>
  <si>
    <t>ILUSTRAÇÃO DE VINICIUS COSTA/ARQUIVO DA EDITORA. FOTOS: NWM/SHUTTERSTOCK.COM E NOTIONPIC/SHUTTERSTOCK.COM</t>
  </si>
  <si>
    <t>i2125_5p012m_g27_e002</t>
  </si>
  <si>
    <t>Resgatar ilustração dos escritos de um diário feito por uma menina, disponível em g23_ftd_lt_5bam_p212 código fm4001pm_5bam_g23_ftd_ly
AJUSTE: recado da leitura prévia da Arte: retirar a ilustração do caderno (ver possibilidade de compor papeleta do padrão) e deixar apenas a personagem e os demais elementos, também não deixar a ilustração invadir de uma página para a outra, separando a il em duas partes para cada página.
Também atualizar as datas para o ano de 2027.</t>
  </si>
  <si>
    <t>i2316_5p012m_g27_e002</t>
  </si>
  <si>
    <t>Resgatar ilustração de estudantes em grupo realizando uma atividade. Veio do g23_ftd_lt_5bam_p179, código antigo i3220iv_5bam_g23_ftd
AJUSTE: Inserir um adulto na cena.</t>
  </si>
  <si>
    <t>i6141_5p012m_g27_e002</t>
  </si>
  <si>
    <t>resgatar ilustração da planificação de dado roxo; veio de g23_ftd_lt_5bam_p269 código antigo i3221iv_5bam_g23_ftd</t>
  </si>
  <si>
    <t>i6142_5p012m_g27_e002</t>
  </si>
  <si>
    <t>resgatar ilustração da planificação de dado amarelo com porcentagens; veio de g23_ftd_lt_5bam_p269 código antigo i3222iv_5bam_g23_ftd</t>
  </si>
  <si>
    <t>i6143_5p012m_g27_e002</t>
  </si>
  <si>
    <t>resgatar ilustração de quadro formado por 9 retângulos. veio de g23_ftd_lt_5bam_p271 código antigo i3224Biv_5bam_g23_ftd</t>
  </si>
  <si>
    <t>i2324_5p012m_g27_e002</t>
  </si>
  <si>
    <t>Ilustração de um pacote de polpa de maracujá, de modo que apresente as seguintes informações escritas, POLPA DE MARACUJÁ; MARACUJÁ; 100% DE POLPA, ver a referência</t>
  </si>
  <si>
    <t>F: 12/09</t>
  </si>
  <si>
    <t>i2325_5p012m_g27_e002</t>
  </si>
  <si>
    <t>Ilustração de um pacote de polpa de polpa de abacaxi (semelhante a i2324_5p012m_g27_e002), de modo que apresente as seguintes informações escritas, POLPA DE ABACAXI; ABACAXI; 100% DE POLPA, ver a referência</t>
  </si>
  <si>
    <t>i2319_5p012m_g27_e002</t>
  </si>
  <si>
    <t>Resgatar ilustração de frutas, legumes, carnes para distribuir ao redor da página 181. Veio do g23_ftd_lt_5bam_p181, código antigo i3602ez_5bam_g23_ftd
AJUSTE: não compor a il. de maneira que ela saia da ‘margem da página’, portanto a il. não deve sangrar. Manter os elementos que estão na referência, e retirar a representação da linguiça em gomos</t>
  </si>
  <si>
    <t>i6107_2p012m_g27_e002</t>
  </si>
  <si>
    <t xml:space="preserve">lustrar um ábaco de papel com 3 varetas (hastes) com as indicações de ordens, ou seja, D(dezenas), C(centenas), U(unidades). O ábaco deve ocupar a página inteira. </t>
  </si>
  <si>
    <t>i6108_2p012m_g27_e002</t>
  </si>
  <si>
    <t>Ilustrar 20 bolinhas VERDES que devem ter tamanho proporcional para caber 9 delas alinhadas sobre a vareta do ábaco da i6107_2p012m_g27_e002. Deixar no mesmo estilo de papel da i6107_2p012m. Ver ideia a seguir.
Lembrando que as bolinhas da página deverão ser igualmente proporcionais (ou seja, a bolinha verde, vermelha e azul indicadas a seguir devem ser do mesmo tamanho).</t>
  </si>
  <si>
    <t>i6201_2p012m_g27_e002</t>
  </si>
  <si>
    <t>Resgatar i6171_1p012m_g27_e002 (ilustração de 1 bolinha do ábaco de modo que as bolinhas fiquem de tamanho proporcional para caber 10 delas alinhadas sobre a vareta do ábaco da i6170_1p012m_g27_e002. Fazer no mesmo estilo do ábaco da i6170_1p012m_g27_e002. Não fazer igual as bolinhas do ábaco do padrão) e renomear com o código acima.</t>
  </si>
  <si>
    <t>i6202_2p012m_g27_e002</t>
  </si>
  <si>
    <t>Ilustrar 9 bolinhas AZUIS que devem ter tamanho proporcional para caber 9 delas alinhadas sobre a vareta do ábaco da i6107_2p012m_g27_e002. Deixar no mesmo estilo de papel da i6107_2p012m. Ver ideia a seguir.
Lembrando que as bolinhas da página deverão ser igualmente proporcionais (ou seja, a bolinha verde, vermelha e azul deve ser do mesmo tamanho).</t>
  </si>
  <si>
    <t>i5901_2p012m_g27_e002</t>
  </si>
  <si>
    <t>Ilustração de um conjunto de fichas sobrepostas, de modo que sejam todos os quadrinhos proporcionais com a i5902_2p012m_g27_e002 (página seguinte), compor o número 100; 200; 300; 400; 500; 600; 700; 800 e 900 separados em quadrinhos de cor azul. Seguir a mesma ideia usada no primeiro ano, usar como base a i6213gx_1p012m_g27_e002.</t>
  </si>
  <si>
    <t>i5902_2p012m_g27_e002</t>
  </si>
  <si>
    <t>Ilustração de um conjunto de fichas sobrepostas, de modo que sejam todos os quadrinhos proporcionais com a i5901_2p012m_g27_e002 (página anterior), compor o número 0, 1, 2, 3, 4, 5, 6, 7, 8, 9, separados com mesma distância e de modo que cada número possua um quadrinho de cor verde. Compor 00,10; 20; 30; 40; 50; 60; 70; 80 e 90 separados os números em quadrinhos de cor vermelho. Seguir a mesma ideia usada no primeiro ano, usar como base a i6213gx_1p012m_g27_e002.</t>
  </si>
  <si>
    <t>i6112_2p012m_g27_e002</t>
  </si>
  <si>
    <t>Resgatar Ilustração de 16 fichas no estilo dominó do g23_ftd_lt_2bam_p223 código antigo i4890gu_2bam_g23_ftd</t>
  </si>
  <si>
    <t>i6095_2p012m_g27_e002</t>
  </si>
  <si>
    <t>Compor pesos de balança, conforme o padrão de ilustração, proporcionais entre si e correspondentes ao encaixe nas balanças da página 230, u10 (por exemplo, a i1967zz_2p012m_g27_e002), pois devem caber nos pratos delas.
Ilustrar os seguintes pesos:
1 peso de 5 kg; 8 pesos de 1 kg; 6 pesos de 500 g
Atentar pois os pesos do padrão já estão proporcionais entre si, ao modificar o tamanho usar a mesma escala em todos</t>
  </si>
  <si>
    <t>i6204_3p012m_g27_e002</t>
  </si>
  <si>
    <t>Resgatar ilustração dos recipientes com 250 ml, 500 ml e 1L do g23_ftd_mp_3bam_p212 código antigo i5213pn_3bam_g23_ftd</t>
  </si>
  <si>
    <t>i6210_3p012m_g27_e002</t>
  </si>
  <si>
    <t>Vamos iniciar</t>
  </si>
  <si>
    <t>Resgatar ilustração de uma paisagem da cidade do g23_ftd_lt_3bam_p009 código antigo it0420sl_3bam_g23_ftd
AJUSTE: Compor legenda da il conforme a referência (ao lado da il), porém mudar as cores para as cores indicadas na legenda, remover o magenta. Os ícones da legenda devem estar dentro da respectiva forma da cena, com exceção da estrela que deve ir dentro das formas retangulares. Se possível, nos ícones da legenda e dentro da cena, não compor fio contorno para não poluir. Colorir a estrela de vermelho, o quadrado de azul, triângulo de amarelo e círculo de verde. A imagem não pode passar de 5cm para caber no rodapé do MP.</t>
  </si>
  <si>
    <t>i6222_4p012m_g27_e002</t>
  </si>
  <si>
    <t>Resgatar ilustração reta numérica de 12000 a 13000 dividida em 10 partes iguais, com indicação de distância de 100 da primeira a segunda parte e o número 12932 na reta, do g23_ftd_mp_4bam_p38; código antigo it5205sl_4bam_g23_ftd</t>
  </si>
  <si>
    <t>i6223_4p012m_g27_e002</t>
  </si>
  <si>
    <t>Resgatar ilustração reta numérica de 27000 a 28000 dividida em 10 partes iguais, com indicação de distância de 100 da primeira a segunda parte. e o número 27320; do g23_ftd_mp_4bam_p38; código antigo it5206sl_4bam_g23_ftd</t>
  </si>
  <si>
    <t>i6203_4p012m_g27_e002</t>
  </si>
  <si>
    <t>il. da adição 1+9=10, em que os números 1, 9 e 10 e os sinais + e = são feitos com palitos de fósforo. Ver referência.</t>
  </si>
  <si>
    <t>i6221_4p012m_g27_e002</t>
  </si>
  <si>
    <t>Resgatar ilustração paralelogramo e pirâmide construído a partir de canudos e massa de modelar coloridas; g23_ftd_mp_4bam_p58; código antigo i5203sl_4bam_g23_ftd.png</t>
  </si>
  <si>
    <t>i6188_4p012m_g27_e002</t>
  </si>
  <si>
    <t>Ilustração de um quadradinho verde, utilizar o mesmo que aparece na malha i6173_4p012m_g27_e002, antiga i4816ct_4bam_g23_ftd</t>
  </si>
  <si>
    <t>i6225_4p012m_g27_e002</t>
  </si>
  <si>
    <t>Resgatar ilustração de um retângulo formado por 6 quadrados do g23_ftd_mp_4bam_p150 código antigo it5202cm_4bam_g23_ftd</t>
  </si>
  <si>
    <t>i6215_4p012m_g27_e002</t>
  </si>
  <si>
    <t>Resgatar ilustração de um segmento BA, do g23_ftd_mp_4bam_p135 código antigo it5207cm_4bam_g23_ftd</t>
  </si>
  <si>
    <t>i6216_4p012m_g27_e002</t>
  </si>
  <si>
    <t>Resgatar ilustração de um segmento CD, do g23_ftd_mp_4bam_p135 código antigo it5208cm_4bam_g23_ftd</t>
  </si>
  <si>
    <t>i6217_4p012m_g27_e002</t>
  </si>
  <si>
    <t>Resgatar ilustração de um segmento EF, do g23_ftd_mp_4bam_p135 código antigo it5209cm_4bam_g23_ftd</t>
  </si>
  <si>
    <t>i6218_4p012m_g27_e002</t>
  </si>
  <si>
    <t>Resgatar ilustração de um segmento GH, do g23_ftd_mp_4bam_p135 código antigo it5210cm_4bam_g23_ftd</t>
  </si>
  <si>
    <t>i6219_4p012m_g27_e002</t>
  </si>
  <si>
    <t>Resgatar ilustração de um segmento IJ, do g23_ftd_mp_4bam_p135 código antigo it5211cm_4bam_g23_ftd</t>
  </si>
  <si>
    <t>i6220_4p012m_g27_e002</t>
  </si>
  <si>
    <t>Resgatar ilustração de um segmento KL, do g23_ftd_mp_4bam_p135 código antigo it5212cm_4bam_g23_ftd</t>
  </si>
  <si>
    <t>i6226_4p012m_g27_e002</t>
  </si>
  <si>
    <t>Resgatar ilustração de duas retas r e s concorrentes no ponto P, do g23_ftd_lt_4bam_p138 código antigo it2865zz_4bam_g23_ftd
AJUSTE: deixar em preto no padrão da obra pois vai entrar no manual do professor, deixar com tamanho de cerca de 5 cm de altura.</t>
  </si>
  <si>
    <t>i6227_4p012m_g27_e002</t>
  </si>
  <si>
    <t>Resgatar ilustração do triângulo do g23_ftd_lt_4bam_p185, código antigo it4013gu_4bam_g23_ftd</t>
  </si>
  <si>
    <t>i6228_4p012m_g27_e002</t>
  </si>
  <si>
    <t>Resgatar ilustração do quadrilátero do g23_ftd_lt_4bam_p185, código antigo it4014gu_4bam_g23_ftd</t>
  </si>
  <si>
    <t>i6204_4p012m_g27_e002</t>
  </si>
  <si>
    <t>Resgatar ilustração da boneca com eixo de simetria do g23_ftd_mp_4bam_p189 código antigo i5213sl_4bam_g23_ftd</t>
  </si>
  <si>
    <t>i6205_4p012m_g27_e002</t>
  </si>
  <si>
    <t>Resgatar ilustração da letra k com eixo de simetria do g23_ftd_mp_4bam_p190 código antigo i5214sl_4bam_g23_ftd</t>
  </si>
  <si>
    <t>i6229_4p012m_g27_e002</t>
  </si>
  <si>
    <t>Resgatar ilustração da figura simétrica do item a da atividade 2 do g23_ftd_lt_4bam_p190. Código antigo i4027gu_4bam_g23_ftd
AJUSTE: deixar a parte que está em cor resposta pintada de azul conforme referência a seguir.</t>
  </si>
  <si>
    <t>i6230_4p012m_g27_e002</t>
  </si>
  <si>
    <t>Resgatar ilustração da figura simétrica do item a da atividade 2 do g23_ftd_lt_4bam_p190. Código antigo i4028gu_4bam_g23_ftd
AJUSTE: deixar a parte que está em cor resposta pintada de azul conforme referência a seguir.</t>
  </si>
  <si>
    <t>i6206_4p012m_g27_e002</t>
  </si>
  <si>
    <t>Resgatar ilustração da folha quadrada até formar um triângulo do g23_ftd_lt_4bam_p190 código antigo i5215sl_4bam_g23_ftd
AJUSTE: separar ils em A, B, C e D e retirar as setas</t>
  </si>
  <si>
    <t>i6207_4p012m_g27_e002</t>
  </si>
  <si>
    <t>Resgatar ilustração dos recortes no triângulo do g23_ftd_mp_4bam_p190 código antigo i5216sl_4bam_g23_ftd
AJUSTE: separar il em A e B e retiras as setas</t>
  </si>
  <si>
    <t>i6208_4p012m_g27_e002</t>
  </si>
  <si>
    <t>Resgatar ilustração da placa da ponte estreita do g23_ftd_lt_4bam_p191 código antigo i5217sl_4bam_g23_ftd_aj</t>
  </si>
  <si>
    <t>i6209_4p012m_g27_e002</t>
  </si>
  <si>
    <t>Resgatar ilustração da placa de junções sucessivas contrárias do g23_ftd_lt_4bam_p191 código antigo i0472sl_4m4sim_m18_ftd</t>
  </si>
  <si>
    <t>i6210_4p012m_g27_e002</t>
  </si>
  <si>
    <t>Resgatar ilustração da placa vire lateral à direita do g23_ftd_lt_4bam_p191 código antigo i5219sl_4bam_g23_ftd_aj</t>
  </si>
  <si>
    <t>i6211_4p012m_g27_e002</t>
  </si>
  <si>
    <t>Resgatar ilustração da placa da pista regular do g23_ftd_lt_4bam_p191 código antigo i5220sl_4bam_g23_ftd_aj</t>
  </si>
  <si>
    <t>i6212_4p012m_g27_e002</t>
  </si>
  <si>
    <t>Resgatar ilustração da placa da pista sinuosa à direita do g23_ftd_lt_4bam_p191 código antigo i5221_4bam_g23_ftd_re</t>
  </si>
  <si>
    <t>i6213_4p012m_g27_e002</t>
  </si>
  <si>
    <t>Resgatar ilustração da placa de passagem de nível sem barreira do g23_ftd_lt_4bam_p191 código antigo i5222sl_4bam_g23_ftd_aj</t>
  </si>
  <si>
    <t>i6231_4p012m_g27_e002</t>
  </si>
  <si>
    <t>Resgatar ilustração de malha com figuras simétricas do g23_lt_u10, página 211, código i2007gu_4p012m_g27_e002_aj.
AJUSTE: inserir fios em preto para representar os eixos simétricas conforme referência a seguir. Fazer tudo na mesma malha e excluir da malha a figura que não tem eixo se simetria.</t>
  </si>
  <si>
    <t>i6232_4p012m_g27_e002</t>
  </si>
  <si>
    <t>Ilustração de um triângulo equilátero (todos os lados de mesma medida)</t>
  </si>
  <si>
    <t>i6233_4p012m_g27_e002</t>
  </si>
  <si>
    <t>Ilustração de uma figura formada por três triângulos equilátero com as mesmas dimensões do triângulo da i6232_4p012m</t>
  </si>
  <si>
    <t>i6093_2p012m_g27_e002</t>
  </si>
  <si>
    <t>Resgatar ilustração de um cubinho da 6111_2p012m_g27_e002</t>
  </si>
  <si>
    <t>i6106_3p012m_g27_e002</t>
  </si>
  <si>
    <t>Resgatar ilustração de um cubinho do material dourado no padrão da obra que representa uma unidade do Material complementar do g27_lt_2p012m_e002, código i6111_2p012m_g27_e002 e renomear com o código acima.</t>
  </si>
  <si>
    <t>i6107_3p012m_g27_e002</t>
  </si>
  <si>
    <t>Ilustração de uma placa do material dourado do padrão que representa 100 unidades. Fazer os cubinhos dessa placa do mesmo tamanho do cubinho da i6111_2p012m_g27_e002</t>
  </si>
  <si>
    <t>i6108_3p012m_g27_e002</t>
  </si>
  <si>
    <t>Ilustração de uma barra do material dourado que representa 10 unidades. Fazer os cubinhos dessa barra do mesmo tamanho do cubinho da i6111_2p012m_g27_e002</t>
  </si>
  <si>
    <t>i6101_3p012m_g27_e002</t>
  </si>
  <si>
    <t>Resgatar ilustração de uma roleta de 0 a 9 com diferentes cores; disponível em g23_ftd_lt_3bam_p231. Código antigo: i4830rm_3bam_g23_ftd</t>
  </si>
  <si>
    <t>i6102_3p012m_g27_e002</t>
  </si>
  <si>
    <t>Resgatar ilustração de uma anotação das rodadas da roleta da comparação; disponível em g23_ftd_lt_3bam_p233. Código antigo: i4831rm_3bam_g23_ftd</t>
  </si>
  <si>
    <t>i6174_3p012m_g27_e002</t>
  </si>
  <si>
    <t>Resgatar ilustração de um ábaco de papel do g27_lt_mat. complementar, código i6107rm_2p012m_g27_e002 e acrescentar a vareta da unidade de milhar (UM) ficando com 4 varetas. Ver ideia a seguir, porém no modelo do ábaco de papel.</t>
  </si>
  <si>
    <t xml:space="preserve">i6175_3p012m_g27_e002 </t>
  </si>
  <si>
    <t>Resgatar i6171_1p012m_g27_e002 (ilustração de 1 bolinha do ábaco de papel de modo que as bolinhas fiquem de tamanho proporcional para caber 10 delas alinhadas sobre a vareta do ábaco da i6170_1p012m_g27_e002. Fazer no mesmo estilo do ábaco da i6170_1p012m_g27_e002. Não fazer igual as bolinhas do ábaco do padrão) e renomear com o código acima.</t>
  </si>
  <si>
    <t>i6109_3p012m_g27_e002</t>
  </si>
  <si>
    <t>Resgatar ilustração de várias figuras geométricas com diferentes cores; disponível em g23_ftd_lt_3bam_p235. Código antigo: it4490pm_3bam_g23_ftd</t>
  </si>
  <si>
    <t>i6176_3p012m_g27_e002</t>
  </si>
  <si>
    <t>Resgatar ilustração de 6 figurinhas com algumas características de seus personagens; disponível em g23_ftd_lt_3bam_p237. Código antigo: i4834tc_3bam_g23_ftd</t>
  </si>
  <si>
    <t>i6177_3p012m_g27_e002</t>
  </si>
  <si>
    <t>Resgatar ilustração de 6 figurinhas com algumas características de seus personagens; disponível em g23_ftd_lt_3bam_p237. Código antigo i4834tc_3bam_g23_ftd</t>
  </si>
  <si>
    <t>i0178_3p012m_g27_e002</t>
  </si>
  <si>
    <t>Resgatar ilustração do calendário do mês de setembro de 2027, calendário do padrão novo, código i0531_1p012m_g27_e002 e renomear com o código acima</t>
  </si>
  <si>
    <t>i6200_1p012m_g27_e002</t>
  </si>
  <si>
    <t xml:space="preserve">Resgatar os peões para o jogo de tabuleiro da i4905sl_2bam_g23_ftd_a e separar os peões, cada um com a extensão A, B, C e D. 
• Compor mais um peão de cor diferente. </t>
  </si>
  <si>
    <t>Sergio Lima</t>
  </si>
  <si>
    <t>i6234_4p012m_g27_e002</t>
  </si>
  <si>
    <t xml:space="preserve">Resgatar e ajustar ilustração de desenho de um coração em uma malha quadriculada e sua simetria. disponível em g23_ftd_lt_4bam_p242 código antigo i4815ct_4bam_g23_ftd
AJUSTE: Pintar o coração magenta com o mesmo azul utilizado na ilustração, e deixar a imagem com 5cm para caber no rodapé
</t>
  </si>
  <si>
    <t>i6236_5p012m_g27_e002</t>
  </si>
  <si>
    <t>ilustrar ábaco de 9 hastes com a representação do número 25 905 no padrão e tamanho do ábaco da FTD (com as bolinhas laranjas), como na ref.</t>
  </si>
  <si>
    <t>i6237_5p012m_g27_e002</t>
  </si>
  <si>
    <t>ilustrar ábaco de 9 hastes com a representação do número 946 301 no padrão e tamanho do ábaco da FTD (com as bolinhas laranjas), como na ref.</t>
  </si>
  <si>
    <t>i6238_5p012m_g27_e002</t>
  </si>
  <si>
    <t>ilustrar ábaco de 9 hastes com a representação do número 520 641 no padrão e tamanho do ábaco da FTD (com as bolinhas laranjas), como na ref.</t>
  </si>
  <si>
    <t>i6239_5p012m_g27_e002</t>
  </si>
  <si>
    <t>ilustrar ábaco de 9 hastes com a representação do número 390 344 no padrão e tamanho do ábaco da FTD (com as bolinhas laranjas), como na ref.</t>
  </si>
  <si>
    <t>i6235_5p012m_g27_e002</t>
  </si>
  <si>
    <t>Resgatar ilustração 3 ábacos com centena, dezena e unidade construído com uma placa de isopor e palitos de churrasco, em que eles são congruentes na vertical, onde o primeiro ábaco representa os Milhões, o segundo Milhares e o terceiro Unidades simples; g23_ftd_mp_5bam_p16; código antigo i5209gu_5bam_g23_ftd</t>
  </si>
  <si>
    <t>i6240_5p012m_g27_e002</t>
  </si>
  <si>
    <t>Resgatar ilustração reta numérica separado em 10 partes iguais, que vai de 110000 a 120000 com o número 113678 indicado, e um fio vermelho conectando os números 110000, 120000 e 113678, e outro fio vermelho indicando medida de uma parte da reta que mede 1000 unidades; g23_ftd_mp_5bam_p27; código antigo it5210gu_5bam_g23_ftd</t>
  </si>
  <si>
    <t>i6241_5p012m_g27_e002</t>
  </si>
  <si>
    <t>Resgatar ilustração reta numérica separado em 10 partes iguais, que vai de 37000 a 38000 com o número 37410 indicado, e um fio vermelho conectando os números 37000, 38000 e 37410, e outro fio vermelho indicando medida de uma parte da reta que mede 100 unidades; g23_ftd_mp_5bam_p27; código antigo it5211gu_5bam_g23_ftd</t>
  </si>
  <si>
    <t>i6242_5p012m_g27_e002</t>
  </si>
  <si>
    <t>Resgatar ilustração reta numérica separado em 10 partes iguais, que vai de 1600 a 1700 com o número 1668 indicado, e um fio vermelho conectando os números 1600, 1700 e 1668, e outro fio vermelho indicando medida de uma parte da reta que mede 10 unidades; g23_ftd_mp_5bam_p27; código antigo it5212gu_5bam_g23_ftd</t>
  </si>
  <si>
    <t>i6243_5p012m_g27_e002</t>
  </si>
  <si>
    <t>Resgatar ilustração triângulos e cones pretos representando que há no centro da imagem uma esfera sugerida; g23_ftd_mp_5bam_p59; código antigo i5224_5bam_g23_ftd_re</t>
  </si>
  <si>
    <t>i6244_5p012m_g27_e002</t>
  </si>
  <si>
    <t>Resgatar ilustração 8 círculos pretos repartidos em partes irregulares representando vértices de um cubo sugerido; g23_ftd_mp_5bam_p59; código antigo i5225_5bam_g23_ftd_re</t>
  </si>
  <si>
    <t>i6245_5p012m_g27_e002</t>
  </si>
  <si>
    <t>Resgatar ilustração pirâmide regular triangular azul; g23_ftd_mp_5bam_p61; código antigo it5226pn_5bam_g23_ftd</t>
  </si>
  <si>
    <t>i6246_5p012m_g27_e002</t>
  </si>
  <si>
    <t>Resgatar ilustração pirâmide regular pentagonal vermelho; g23_ftd_mp_5bam_p61; código antigo it5227pn_5bam_g23_ftd</t>
  </si>
  <si>
    <t>i6247_5p012m_g27_e002</t>
  </si>
  <si>
    <t>Resgatar ilustração prisma de base triangular roxo; g23_ftd_mp_5bam_p61; código antigo it5228pn_5bam_g23_ftd</t>
  </si>
  <si>
    <t>i6248_5p012m_g27_e002</t>
  </si>
  <si>
    <t>Resgatar ilustração pirâmide regular hexagonal verde; g23_ftd_mp_5bam_p61; código antigo it5229pn_5bam_g23_ftd</t>
  </si>
  <si>
    <t>i6249_5p012m_g27_e002</t>
  </si>
  <si>
    <t>Resgatar ilustração cubo vermelho; g23_ftd_mp_5bam_p63; código antigo it5236sl_5bam_g23_ftd</t>
  </si>
  <si>
    <t>i6250_5p012m_g27_e002</t>
  </si>
  <si>
    <t>Resgatar ilustração prisma de base quadrada vermelho; g23_ftd_mp_5bam_p63; código antigo it5237sl_5bam_g23_ftd</t>
  </si>
  <si>
    <t>i6251_5p012m_g27_e002</t>
  </si>
  <si>
    <t>Resgatar ilustração prisma de base quadrada vermelho; g23_ftd_mp_5bam_p63; código antigo it5238sl_5bam_g23_ftd</t>
  </si>
  <si>
    <t>i6252_5p012m_g27_e002</t>
  </si>
  <si>
    <t>Resgatar ilustração planificação de um prisma de base triangular verde; g23_ftd_mp_5bam_p64; código antigo it5230_5bam_g23_ftd_re</t>
  </si>
  <si>
    <t>i6253_5p012m_g27_e002</t>
  </si>
  <si>
    <t>Resgatar ilustração planificação de um prisma de base triangular amarelo; g23_ftd_mp_5bam_p64; código antigo it5231_5bam_g23_ftd_re</t>
  </si>
  <si>
    <t>i6802_5p012m_g27_e002</t>
  </si>
  <si>
    <t>Resgatar ilustração terreno retangular cercado com arame; g23_ftd_mp_5bam_p198; código antigo i5232_5bam_g23_ftd_re</t>
  </si>
  <si>
    <t>i6225_5p012m_g27_e002</t>
  </si>
  <si>
    <t>Resgatar ilustração de uma malha quadriculada com as linhas indicadas por números de 1 a 9 e as colunas por letras de A até H, disponível em g23_ftd_mp_5bam_p202_codigo antigo i5207zz_5bam_g23_ftd</t>
  </si>
  <si>
    <t>i6226_5p012m_g27_e002</t>
  </si>
  <si>
    <t>Resgatar ilustração de uma malha quadriculada com as linhas indicadas por números de 1 a 10 e as colunas por letras de A até J, disponível em g23_ftd_mp_5bam_p202_codigo antigo i5208pn_5bam_g23_ftd</t>
  </si>
  <si>
    <t>i6227_5p012m_g27_e002</t>
  </si>
  <si>
    <t>RESGATAR ilustração de um triângulo ABC representado em um quadrante de um plano cartesiano e do triângulo em cor resposta.
AJUSTE: Ajustar o triângulo em cor resposta para preto, disponível em g23_ftd_lt_5bam_p209 código antigo: gt4005_5bam_g23_ftd_re
A Imagem deve ficar com cerca de 5 cm de altura, pois entrará no rodapé do manual</t>
  </si>
  <si>
    <t>i6228_5p012m_g27_e002</t>
  </si>
  <si>
    <t>Resgatar ilustração do quadrante de um plano cartesiano com os pontos A, B, C e D, disponível em g23_ftd_lt_5bam_p209 código antigo: gt4021gu_5bam_g23_ftd
AJUSTE: alterar a cor do ponto D para preto e ligar com fio preto os pontos A e B, B e C, C e D e por fim D e A formando um retângulo.
A Imagem deve ficar com cerca de 5 cm de altura, pois entrará no rodapé do manual</t>
  </si>
  <si>
    <t>i6229_5p012m_g27_e002</t>
  </si>
  <si>
    <t>Resgatar ilustração do quadrante de um plano cartesiano com os pontos G, H, F e E, disponível em g23_ftd_lt_5bam_p209 código antigo: gt4022gu_5bam_g23_ftd
AJUSTE: alterar a cor do ponto E para preto e ligar com fio preto os pontos E e H, H e F, F e G e por fim G e E, formando um retângulo.
A Imagem deve ficar com cerca de 5 cm de altura, pois entrará no rodapé do manual</t>
  </si>
  <si>
    <t>if6230_5p012m_g27_e002</t>
  </si>
  <si>
    <t>Resgatar e ajustar ilustração+foto de um caminho a um baú em representado em um plano cartesiano, disponível em g23_ftd_lt_5bam_p210 código antigo if4015vc_5bam_g23_ftd
AJUSTE: Deixar fio magenta da if em preto. 
A Imagem deve ficar com cerca de 5 cm.</t>
  </si>
  <si>
    <t>if6231_5p012m_g27_e002</t>
  </si>
  <si>
    <t>Resgatar e ajustar ilustração+foto do primeiro quadrante de um plano cartesiano com alguns pontos A, B, C e D, disponível em g23_ftd_lt_5bam_p211 código if4026vc_5bam_g23_ftd
AJUSTE: Ajustar o fio em cor resposta, deixar em preto.
A Imagem deve ficar com cerca de 5 cm.</t>
  </si>
  <si>
    <t>i6209_5p012m_g27_e002</t>
  </si>
  <si>
    <t>Resgatar ilustração figuras dividida em 10 partes iguais, com uma dessas partes preenchida em cor vermelha; g23_ftd_mp_5bam_p172; código antigo it5218_5bam_g23_ftd_re</t>
  </si>
  <si>
    <t>i6210_5p012m_g27_e002</t>
  </si>
  <si>
    <t>Resgatar ilustração figura dividida em quatro partes iguais, com uma dessas partes preenchida em cor roxa; g23_ftd_mp_5bam_p172; código antigo it5219_5bam_g23_ftd_re</t>
  </si>
  <si>
    <t>i6211_5p012m_g27_e002</t>
  </si>
  <si>
    <t>Resgatar ilustração figura dividida em duas partes iguais, com uma dessas partes preenchida em cor azul; g23_ftd_mp_5bam_p172; código antigo it5220_5bam_g23_ftd_re</t>
  </si>
  <si>
    <t>i6212_5p012m_g27_e002</t>
  </si>
  <si>
    <t>Resgatar ilustração figura dividida em quatro partes iguais, com uma dessas partes preenchida em cor amarela; g23_ftd_mp_5bam_p172; código antigo it5221_5bam_g23_ftd_re</t>
  </si>
  <si>
    <t>i6213_5p012m_g27_e002</t>
  </si>
  <si>
    <t>Resgatar ilustração quadrado amarelo; g23_ftd_mp_5bam_p173; código antigo it5222_5bam_g23_ftd_re</t>
  </si>
  <si>
    <t>i6261_5p012m_g27_e002</t>
  </si>
  <si>
    <t>Resgatar ilustração polígono laranja não regular de 7 vértices, 7 lados e 7 ângulos internos destacados; g23_ftd_mp_5bam_p97; código antigo it5233gu_5bam_g23_ftd</t>
  </si>
  <si>
    <t>i6262_5p012m_g27_e002</t>
  </si>
  <si>
    <t>Resgatar ilustração polígono rosa não regular de 6 vértices, 6 lados e 6 ângulos internos destacados; g23_ftd_mp_5bam_p97; código antigo it5234gu_5bam_g23_ftd</t>
  </si>
  <si>
    <t>i6263_5p012m_g27_e002</t>
  </si>
  <si>
    <t>Resgatar ilustração polígono azul não regular de 12 vértices, 12 lados e 12 ângulos destacados; g23_ftd_mp_5bam_p97; código antigo it5235gu_5bam_g23_ftd
Ajuste: destacar os ângulos internos que não estão destacados como foi feito na imagem de código antigo it5233gu_5bam_g23_ftd (enviada na pasta)</t>
  </si>
  <si>
    <t>i6232_5p012m_g27_e002</t>
  </si>
  <si>
    <t>Resgatar imagem de um triângulo construído com medidas 4, 6 e 7; g23_ftd_mp_5bam_p100; Código antigo it2086_4bam_g23_ftd_re
Ajuste: alterar a cor magenta para preta.</t>
  </si>
  <si>
    <t>i6264_5p012m_g27_e002</t>
  </si>
  <si>
    <t>Resgatar ilustração caminho formado por um quadrado e um triângulo, onde esse caminho é composto de setas indicando a direção partindo do início ao final; g23_ftd_mp_5bam_p106; código antigo it5217ri_5bam_g23_ftd_aj</t>
  </si>
  <si>
    <t>i6265_5p012m_g27_e002</t>
  </si>
  <si>
    <t>Resgatar ilustração triângulo ABC com ângulos internos indicados 35° e 87°; g23_ftd_lt_5bam_p102; código antigo it2052_4bam_g23_ftd_re</t>
  </si>
  <si>
    <t>i6266_5p012m_g27_e002</t>
  </si>
  <si>
    <t>Resgatar ilustração triângulo DEF com ângulos internos indicados 60° e 60°; g23_ftd_lt_5bam_p102; código antigo it2053_4bam_g23_ftd_re</t>
  </si>
  <si>
    <t>i6267_5p012m_g27_e002</t>
  </si>
  <si>
    <t>Resgatar ilustração triângulo GHI com ângulos internos indicados 40° e 100°; g23_ftd_lt_5bam_p102; código antigo it2054_4bam_g23_ftd_re</t>
  </si>
  <si>
    <t>i6203_5p012m_g27_e002</t>
  </si>
  <si>
    <t>Resgatar ilustração das 8 bolinhas rosas do g23_ftd_mp_5bam_p120 código antigo i5202gu_5bam_g23_ftd_prof</t>
  </si>
  <si>
    <t>i6204_5p012m_g27_e002</t>
  </si>
  <si>
    <t>Resgatar ilustração dos 6 quadradinhos verdes divididos do g23_ftd_mp_5bam_p120 código antigo it5203gu_5bam_g23_ftd_prof.png</t>
  </si>
  <si>
    <t>i6205_5p012m_g27_e002</t>
  </si>
  <si>
    <t>Resgatar ilustração da representação do 3/5 e 6/9do g23_ftd_mp_5bam_p127 código antigo it5204gu_5bam_g23_ftd</t>
  </si>
  <si>
    <t>i6206_5p012m_g27_e002</t>
  </si>
  <si>
    <t>Resgatar ilustração da representação do 3/5 e 6/9do g23_ftd_mp_5bam_p127 código antigo it5205gu_5bam_g23_ftd</t>
  </si>
  <si>
    <t>i6207_5p012m_g27_e002</t>
  </si>
  <si>
    <t>Resgatar ilustração da representação do 3/5 e 6/9do g23_ftd_mp_5bam_p127 código antigo it5206gu_5bam_g23_ftd</t>
  </si>
  <si>
    <t>g6268_5p012m_g27_e002</t>
  </si>
  <si>
    <t>Resgatar gráfico/ilustração medidas de temperatura registradas por Sheila; g23_ftd_lt_5bam_p247; código antigo gt4877gu_5bam_g23_ftd 
Ajuste: manter a linha e os pontos em cor resposta do gráfico e deixar na cor tudo em verde como no começo do gráfico. Deixar com cerca de 5 cm de altura, pois vai entrar no manual.</t>
  </si>
  <si>
    <t>i6269_5p012m_g27_e002</t>
  </si>
  <si>
    <t>Resgatar gráfico/ilustração medidas de temperatura registradas por Sheila; g23_ftd_lt_5bam_p247; código antigo gt4877gu_5bam_g23_ftd 
Ajuste: recortar a quebra do gráfico conforme referência a seguir para aplicar no texto a seguir no local indicado.</t>
  </si>
  <si>
    <t>i6177_4p012m_g27_e002</t>
  </si>
  <si>
    <t>resgatar ilustração de malha pontilhada com diversos números. veio do g23_ftd_lt_4bam_p247 código antigo i1673iv_4bam_g23_ftd</t>
  </si>
  <si>
    <t>i6178_4p012m_g27_e002</t>
  </si>
  <si>
    <t>resgatar ilustração de planificação de um dado verde. veio do g23_ftd_lt_4bam_p249 código antigo it1674zz_4bam_g23_ftd</t>
  </si>
  <si>
    <t>i6179_4p012m_g27_e002</t>
  </si>
  <si>
    <t>resgatar ilustração de planificação de um dado verde. veio do g23_ftd_lt_4bam_p249 código antigo it1675zz_4bam_g23_ftd</t>
  </si>
  <si>
    <t>i6183_4p012m_g27_e002</t>
  </si>
  <si>
    <t>Resgatar ilustração do gráfico do g23_ftd_lt_4bam_p255 código antigo i4874gu_4bam_g23_ftd</t>
  </si>
  <si>
    <t xml:space="preserve">i0375_2p012m_g27_e002
</t>
  </si>
  <si>
    <t>ils de um paralelepípedo, do g23_ftd_lt_5bam_p052a067_u3 cód antigo it1217_5bam_g23_ftd_re</t>
  </si>
  <si>
    <t>i1345_2p012m_g27_e002</t>
  </si>
  <si>
    <t>Ilustrar três lápis conforme o padrão da obra</t>
  </si>
  <si>
    <t>i1974_2p012m_g27_e002</t>
  </si>
  <si>
    <t>Ilustrar relógio no padrão da obra marcando 5h como na ref.</t>
  </si>
  <si>
    <t>i1975_2p012m_g27_e002</t>
  </si>
  <si>
    <t>Ilustrar relógio no padrão da obra marcando 6h como na ref.</t>
  </si>
  <si>
    <t>i1976_2p012m_g27_e002</t>
  </si>
  <si>
    <t>Ilustrar relógio no padrão da obra marcando 3h como na ref.</t>
  </si>
  <si>
    <t>i1977_2p012m_g27_e002</t>
  </si>
  <si>
    <t>Ilustrar relógio no padrão da obra marcando 4h, como na ref.</t>
  </si>
  <si>
    <t>i1354_4p012m_g27_e002</t>
  </si>
  <si>
    <t>ilustração de relógio digital laranja no padrão da obra marcando 05:3720; deixar no padrão de relógio laranja (ver print em anexo)</t>
  </si>
  <si>
    <t>i1355_4p012m_g27_e002</t>
  </si>
  <si>
    <t>ilustração de relógio digital laranja no padrão da obra marcando 17:3720;  deixar no padrão de relógio laranja (ver print em anexo)</t>
  </si>
  <si>
    <t>i6189_4p012m_g27_e002</t>
  </si>
  <si>
    <t>resgatar ábaco de papel de 5 hastes, cód i6135zz_5p012m_g27_e002 e renomear</t>
  </si>
  <si>
    <t>i6190_4p012m_g27_e002</t>
  </si>
  <si>
    <t>resgatar contas de papel, cód i6136rm_5p012m_g27_e002 e renomear</t>
  </si>
  <si>
    <t>i6270_5p012m_g27_e002</t>
  </si>
  <si>
    <t>Ilustração de representação de fração com dois retângulos divididos em 3 partes. Um todo pintado de verde e o outro com uma parte pintada. Conforme referência.</t>
  </si>
  <si>
    <t>i6271_5p012m_g27_e002</t>
  </si>
  <si>
    <t>Ilustração de representação de fração com três retângulos divididos em 4 partes cada um. Dois deles todo pintado de verde e o outro com uma parte pintada. Conforme referência.</t>
  </si>
  <si>
    <t xml:space="preserve">CRÉDITOS GERAIS DA FTD PARA REFERÊNCIA - EF1
 </t>
  </si>
  <si>
    <t>Nome do ilustrador</t>
  </si>
  <si>
    <t>Sigla Arte</t>
  </si>
  <si>
    <t>Crédito</t>
  </si>
  <si>
    <t>Acervo da editora</t>
  </si>
  <si>
    <t>ARQUIVO DA EDITORA</t>
  </si>
  <si>
    <t>Sigla ZZ (ver documento de ils. técnicas)</t>
  </si>
  <si>
    <t>VER DOCUMENTO DE ILS. TÉCNICAS</t>
  </si>
  <si>
    <t>ILUSTRAÇOES DE PROVAS OFICIAIS (somente se não houver crédito)</t>
  </si>
  <si>
    <t>yv</t>
  </si>
  <si>
    <t xml:space="preserve">NOME DO VESTIBULAR/DATA
</t>
  </si>
  <si>
    <t>ILUSTRAÇÕES DE PLACAS DE TRÂNSITO</t>
  </si>
  <si>
    <t>yy</t>
  </si>
  <si>
    <t>DENATRAN/ARQUIVO DA EDITORA</t>
  </si>
  <si>
    <t>ILUSTRAÇÕES DE BANDEIRAS DE PAÍS</t>
  </si>
  <si>
    <t>yp</t>
  </si>
  <si>
    <t xml:space="preserve">NOME DO PAÍS/ARQUIVO DA EDITORA
</t>
  </si>
  <si>
    <t>ILUSTRAÇÕES DE BANDEIRAS DE ESTADO</t>
  </si>
  <si>
    <t xml:space="preserve">NOME DO ESTADO/ARQUIVO DA EDITORA
</t>
  </si>
  <si>
    <t>ILUSTRAÇÕES GERADAS POR PROGRAMAS C/ IA</t>
  </si>
  <si>
    <t>ia</t>
  </si>
  <si>
    <t>a</t>
  </si>
  <si>
    <t>3 Pixel Studio</t>
  </si>
  <si>
    <t>px</t>
  </si>
  <si>
    <t>ROBSON OLIVIERI/ARQUIVO DA EDITORA</t>
  </si>
  <si>
    <t>A7 Estudio</t>
  </si>
  <si>
    <t>ao</t>
  </si>
  <si>
    <t>JORGE RIBEIRO/ARQUIVO DA EDITORA</t>
  </si>
  <si>
    <t xml:space="preserve">Adilson Farias </t>
  </si>
  <si>
    <t>af</t>
  </si>
  <si>
    <t>ADILSON FARIAS/ARQUIVO DA EDITORA</t>
  </si>
  <si>
    <t xml:space="preserve">Adilson Secco </t>
  </si>
  <si>
    <t>ac</t>
  </si>
  <si>
    <t>ADILSON SECCO/ARQUIVO DA EDITORA</t>
  </si>
  <si>
    <t>Adriano Cesar Moreno Pátaro</t>
  </si>
  <si>
    <t>ad</t>
  </si>
  <si>
    <t>ADRIANO PÁTARO/ARQUIVO DA EDITORA</t>
  </si>
  <si>
    <t>Adriel Contieri</t>
  </si>
  <si>
    <t>av</t>
  </si>
  <si>
    <t>ADRIEL CONTIERI/ARQUIVO DA EDITORA</t>
  </si>
  <si>
    <t>Águeda Horn</t>
  </si>
  <si>
    <t>ah</t>
  </si>
  <si>
    <t>ÁGUEDA HORN/ARQUIVO DA EDITORA</t>
  </si>
  <si>
    <t>Alessandra Tozi</t>
  </si>
  <si>
    <t>az</t>
  </si>
  <si>
    <t>ALESSANDRA TOZI/ARQUIVO DA EDITORA</t>
  </si>
  <si>
    <t>Alexandre Affonso</t>
  </si>
  <si>
    <t>ax</t>
  </si>
  <si>
    <t>ALEXANDRE AFFONSO/ARQUIVO DA EDITORA</t>
  </si>
  <si>
    <t>Alexandre de Lima Barvik</t>
  </si>
  <si>
    <t>ab</t>
  </si>
  <si>
    <t>ALEXANDRE DE LIMA BARVIK/ARQUIVO DA EDITORA</t>
  </si>
  <si>
    <t>Alexandre de Souza</t>
  </si>
  <si>
    <t>xe</t>
  </si>
  <si>
    <t>ALEXANDRE DE SOUZA/ARQUIVO DA EDITORA</t>
  </si>
  <si>
    <t>Alexandre Koyama</t>
  </si>
  <si>
    <t>ak</t>
  </si>
  <si>
    <t>ALEXANDRE KOYAMA/ARQUIVO DA EDITORA</t>
  </si>
  <si>
    <t>Alexandre Rampazo</t>
  </si>
  <si>
    <t>am</t>
  </si>
  <si>
    <t>ALEXANDRE RAMPAZO/ARQUIVO DA EDITORA</t>
  </si>
  <si>
    <t>Ana Elisa Carneiro</t>
  </si>
  <si>
    <t>ae</t>
  </si>
  <si>
    <t>ANA ELISA CARNEIRO/ARQUIVO DA EDITORA</t>
  </si>
  <si>
    <t>Ana Laura Alexius</t>
  </si>
  <si>
    <t>au</t>
  </si>
  <si>
    <t>ANA ALEXIUS/ARQUIVO DA EDITORA</t>
  </si>
  <si>
    <t>Ana Kozuki</t>
  </si>
  <si>
    <t>zk</t>
  </si>
  <si>
    <t>ANA KOZUKI/ARQUIVO DA EDITORA</t>
  </si>
  <si>
    <t>Andressa Meissner</t>
  </si>
  <si>
    <t>aq</t>
  </si>
  <si>
    <t>ANDRESSA MEISSNER/ARQUIVO DA EDITORA</t>
  </si>
  <si>
    <t>André Aguiar</t>
  </si>
  <si>
    <t>aa</t>
  </si>
  <si>
    <t>ANDRÉ AGUIAR/ARQUIVO DA EDITORA</t>
  </si>
  <si>
    <t>André Leandro Silva</t>
  </si>
  <si>
    <t>an</t>
  </si>
  <si>
    <t>ANDRÉ L. SILVA/ARQUIVO DA EDITORA</t>
  </si>
  <si>
    <t>André Rodrigues</t>
  </si>
  <si>
    <t>ag</t>
  </si>
  <si>
    <t>ANDRÉ RODRIGUES/ARQUIVO DA EDITORA</t>
  </si>
  <si>
    <t xml:space="preserve">Angelo Shuman </t>
  </si>
  <si>
    <t>as</t>
  </si>
  <si>
    <t>ANGELO SHUMAN/ARQUIVO DA EDITORA</t>
  </si>
  <si>
    <t>Anna Anjos</t>
  </si>
  <si>
    <t>nn</t>
  </si>
  <si>
    <t>ANNA ANJOS/ARQUIVO DA EDITORA</t>
  </si>
  <si>
    <t>Anna Simonin</t>
  </si>
  <si>
    <t>ai</t>
  </si>
  <si>
    <t>ANNA SIMONIN/ARQUIVO DA EDITORA</t>
  </si>
  <si>
    <t>Ariel Fajtlowicz</t>
  </si>
  <si>
    <t>aj</t>
  </si>
  <si>
    <t>ARIEL FAJTLOWICZ/ARQUIVO DA EDITORA</t>
  </si>
  <si>
    <t>Art Capri - Gustavo Machado</t>
  </si>
  <si>
    <t>gm</t>
  </si>
  <si>
    <t>GUSTAVO MACHADO/ARQUIVO DA EDITORA</t>
  </si>
  <si>
    <t>Arthur Moreno Milan Parreira</t>
  </si>
  <si>
    <t>at</t>
  </si>
  <si>
    <t>ARTHUR M. M. PARREIRA/ARQUIVO DA EDITORA</t>
  </si>
  <si>
    <t>Arthur Rosseto</t>
  </si>
  <si>
    <t>ar</t>
  </si>
  <si>
    <t>ARTHUR ROSSETO/ARQUIVO DA EDITORA</t>
  </si>
  <si>
    <t>Bárbara Lô Sarzi</t>
  </si>
  <si>
    <t>ba</t>
  </si>
  <si>
    <t>BÁRBARA SARZI/ARQUIVO DA EDITORA</t>
  </si>
  <si>
    <t>Beatriz Carvalho</t>
  </si>
  <si>
    <t>bt</t>
  </si>
  <si>
    <t>BEATRIZ CARVALHO/ARQUIVO DA EDITORA</t>
  </si>
  <si>
    <t>Beatriz Mayumi</t>
  </si>
  <si>
    <t>bm</t>
  </si>
  <si>
    <t>BEATRIZ MAYUMI/ARQUIVO DA EDITORA</t>
  </si>
  <si>
    <t>Belli Studio Design</t>
  </si>
  <si>
    <t>bl</t>
  </si>
  <si>
    <t/>
  </si>
  <si>
    <t>Bernardo França</t>
  </si>
  <si>
    <t>be</t>
  </si>
  <si>
    <t>BERNARDO FRANÇA/ARQUIVO DA EDITORA</t>
  </si>
  <si>
    <t>Bianca Nazari</t>
  </si>
  <si>
    <t>bi</t>
  </si>
  <si>
    <t>BIANCA NAZARI/ARQUIVO DA EDITORA</t>
  </si>
  <si>
    <t>Brenda Bossato</t>
  </si>
  <si>
    <t>bd</t>
  </si>
  <si>
    <t>BRENDA BOSSATO/ARQUIVO DA EDITORA</t>
  </si>
  <si>
    <t>Brenda Goes</t>
  </si>
  <si>
    <t>bg</t>
  </si>
  <si>
    <t>BRENDA GOES/ARQUIVO DA EDITORA</t>
  </si>
  <si>
    <t>Brunna Mancuso</t>
  </si>
  <si>
    <t>bs</t>
  </si>
  <si>
    <t>BRUNNA MANCUSO/ARQUIVO DA EDITORA</t>
  </si>
  <si>
    <t>Bruna Menezes</t>
  </si>
  <si>
    <t>bz</t>
  </si>
  <si>
    <t>BRUNA MENEZES/ARQUIVO DA EDITORA</t>
  </si>
  <si>
    <t>Bruno Badain</t>
  </si>
  <si>
    <t>bb</t>
  </si>
  <si>
    <t>BRUNO BADAIN/ARQUIVO DA EDITORA</t>
  </si>
  <si>
    <t>Bruno H. S. Cerkuenik</t>
  </si>
  <si>
    <t>bc</t>
  </si>
  <si>
    <t>BRUNO CERKUENIK/ARQUIVO DA EDITORA</t>
  </si>
  <si>
    <t>Bruno Nunes Coelho</t>
  </si>
  <si>
    <t>bn</t>
  </si>
  <si>
    <t>BRUNO NUNES/ARQUIVO DA EDITORA</t>
  </si>
  <si>
    <t>Bruno Oliveira Sampaio</t>
  </si>
  <si>
    <t>br</t>
  </si>
  <si>
    <t>BRUNO SAMPAIO/ARQUIVO DA EDITORA</t>
  </si>
  <si>
    <t>Bruno Rosal de Vasconcelos</t>
  </si>
  <si>
    <t>bu</t>
  </si>
  <si>
    <t>Caio Hideki Takaso Tanaka</t>
  </si>
  <si>
    <t>CAIO TANAKA/ARQUIVO DA EDITORA</t>
  </si>
  <si>
    <t>Cajila Barbosa</t>
  </si>
  <si>
    <t>kj</t>
  </si>
  <si>
    <t>CAJILA BARBOSA/ARQUIVO DA EDITORA</t>
  </si>
  <si>
    <t>Camila Ferreira Carmona</t>
  </si>
  <si>
    <t>Carlitos Pinheiro</t>
  </si>
  <si>
    <t>CARLITOS PINHEIRO/ARQUIVO DA EDITORA</t>
  </si>
  <si>
    <t>Carlos Alberto Borin Junior</t>
  </si>
  <si>
    <t>Carlos Eduardo Nascimento</t>
  </si>
  <si>
    <t>cn</t>
  </si>
  <si>
    <t>CARLOS EDUARDO NASCIMENTO/ARQUIVO DA EDITORA</t>
  </si>
  <si>
    <t>Carmen Ferreira Martinez</t>
  </si>
  <si>
    <t>cc</t>
  </si>
  <si>
    <t>CARMEN MARTINEZ/ARQUIVO DA EDITORA</t>
  </si>
  <si>
    <t>Carol Rempto</t>
  </si>
  <si>
    <t>cw</t>
  </si>
  <si>
    <t>CAROL REMPTO/ARQUIVO DA EDITORA</t>
  </si>
  <si>
    <t>Carol Sartori</t>
  </si>
  <si>
    <t>cx</t>
  </si>
  <si>
    <t>CAROL SARTORI/ARQUIVO DA EDITORA</t>
  </si>
  <si>
    <t>Carolina Coroa</t>
  </si>
  <si>
    <t>kk</t>
  </si>
  <si>
    <t>CAROLINA COROA/ARQUIVO DA EDITORA</t>
  </si>
  <si>
    <t>Caroline Antunes e Silva</t>
  </si>
  <si>
    <t>CAROLINE ANTUNES E SILVA/ARQUIVO DA EDITORA</t>
  </si>
  <si>
    <t>Caroline Romão Bezerra</t>
  </si>
  <si>
    <t>co</t>
  </si>
  <si>
    <t>CAROLINE ROMÃO BEZERRA/ARQUIVO DA EDITORA</t>
  </si>
  <si>
    <t>Cartoon Pro</t>
  </si>
  <si>
    <t>cp</t>
  </si>
  <si>
    <t>Cássio Bittencourt</t>
  </si>
  <si>
    <t>cs</t>
  </si>
  <si>
    <t>CÁSSIO BITTENCOURT/ARQUIVO DA EDITORA</t>
  </si>
  <si>
    <t>Cássio Yoshiyaki Shibukawa</t>
  </si>
  <si>
    <t>cy</t>
  </si>
  <si>
    <t>CÁSSIO YOSHIYAKI SHIBUKAWA/ARQUIVO DA EDITORA</t>
  </si>
  <si>
    <t>Cátia Germani</t>
  </si>
  <si>
    <t>CÁTIA GERMANI/ARQUIVO DA EDITORA</t>
  </si>
  <si>
    <t>Cauê Zunchini</t>
  </si>
  <si>
    <t>ci</t>
  </si>
  <si>
    <t>CAUÊ ZUNCHINI/ARQUIVO DA EDITORA</t>
  </si>
  <si>
    <t>Cecilia Andrade</t>
  </si>
  <si>
    <t>cl</t>
  </si>
  <si>
    <t>CECILIA ANDRADE/ARQUIVO DA EDITORA</t>
  </si>
  <si>
    <t xml:space="preserve">Chanceler </t>
  </si>
  <si>
    <t>ch</t>
  </si>
  <si>
    <t>Chris Borges</t>
  </si>
  <si>
    <t>cg</t>
  </si>
  <si>
    <t>CHRIS BORGES/ARQUIVO DA EDITORA</t>
  </si>
  <si>
    <t>Clarrisa Cabral de Lemos</t>
  </si>
  <si>
    <t>cv</t>
  </si>
  <si>
    <t>CLARISSA CABRAL/ARQUIVO DA EDITORA</t>
  </si>
  <si>
    <t>Clarissa França</t>
  </si>
  <si>
    <t>CLARISSA FRANÇA/ARQUIVO DA EDITORA</t>
  </si>
  <si>
    <t>Claudia Brito</t>
  </si>
  <si>
    <t>cb</t>
  </si>
  <si>
    <t>CLAUDIA BRITO/ARQUIVO DA EDITORA</t>
  </si>
  <si>
    <t>Claudia Souza</t>
  </si>
  <si>
    <t>cz</t>
  </si>
  <si>
    <t>CLAUDIA SOUZA/ARQUIVO DA EDITORA</t>
  </si>
  <si>
    <t>Copa Studio</t>
  </si>
  <si>
    <t>ap</t>
  </si>
  <si>
    <t>Cria Ideias</t>
  </si>
  <si>
    <t>cr</t>
  </si>
  <si>
    <t>Cris Eich (Maria Cristina Pires de Carvalho)</t>
  </si>
  <si>
    <t>ce</t>
  </si>
  <si>
    <t>CRIS EICH/ARQUIVO DA EDITORA</t>
  </si>
  <si>
    <t>Cynthia Sekiguchi</t>
  </si>
  <si>
    <t>Dani Mota</t>
  </si>
  <si>
    <t>dm</t>
  </si>
  <si>
    <t>DANI MOTA/ARQUIVO DA EDITORA</t>
  </si>
  <si>
    <t>Daniel Araujo</t>
  </si>
  <si>
    <t>da</t>
  </si>
  <si>
    <t>DANIEL ARAUJO/ARQUIVO DA EDITORA</t>
  </si>
  <si>
    <t>Daniel Carvalho</t>
  </si>
  <si>
    <t>DANIEL CARVALHO/ARQUIVO DA EDITORA</t>
  </si>
  <si>
    <t>Daniel Wu</t>
  </si>
  <si>
    <t>DANIEL WU/ARQUIVO DA EDITORA</t>
  </si>
  <si>
    <t>Daniel Zeppo</t>
  </si>
  <si>
    <t>dz</t>
  </si>
  <si>
    <t>DANIEL GUSTAVO SILVA GONÇALVES/ARQUIVO DA EDITORA</t>
  </si>
  <si>
    <t>Danielle Pioli</t>
  </si>
  <si>
    <t>dp</t>
  </si>
  <si>
    <t>DANIELLE PIOLI/ARQUIVO DA EDITORA</t>
  </si>
  <si>
    <t>Danillo Souza</t>
  </si>
  <si>
    <t>dl</t>
  </si>
  <si>
    <t>DANILLO SOUZA/ARQUIVO DA EDITORA</t>
  </si>
  <si>
    <t>Danilo Santos - Red Dragon</t>
  </si>
  <si>
    <t>dd</t>
  </si>
  <si>
    <t>DANILO SANTOS/ARQUIVO DA EDITORA</t>
  </si>
  <si>
    <t>Davi Augusto</t>
  </si>
  <si>
    <t>do</t>
  </si>
  <si>
    <t>DAVI AUGUSTO/ARQUIVO DA EDITORA</t>
  </si>
  <si>
    <t>David Renó</t>
  </si>
  <si>
    <t>dv</t>
  </si>
  <si>
    <t>DAVI RENÓ/ARQUIVO DA EDITORA</t>
  </si>
  <si>
    <t>Dayane Barbieri</t>
  </si>
  <si>
    <t>db</t>
  </si>
  <si>
    <t>DAYANE BARBIERI/ARQUIVO DA EDITORA</t>
  </si>
  <si>
    <t>Débora Ferreira</t>
  </si>
  <si>
    <t>df</t>
  </si>
  <si>
    <t>DÉBORA FERREIRA/ARQUIVO DA EDITORA</t>
  </si>
  <si>
    <t>Débora Kamogawa</t>
  </si>
  <si>
    <t>dk</t>
  </si>
  <si>
    <t>DÉBORA KAMOGAWA/ARQUIVO DA EDITORA</t>
  </si>
  <si>
    <t>Débora Mini</t>
  </si>
  <si>
    <t>di</t>
  </si>
  <si>
    <t>DÉBORA MINI/ARQUIVO DA EDITORA</t>
  </si>
  <si>
    <t>Desenhorama Estúdio</t>
  </si>
  <si>
    <t>ds</t>
  </si>
  <si>
    <t>DEIVY LIMA COSTA/ARQUIVO DA EDITORA</t>
  </si>
  <si>
    <t>Dogzilla Studio - Walkir Fernandes</t>
  </si>
  <si>
    <t>dg</t>
  </si>
  <si>
    <t>WALKIR FERNANDES/ARQUIVO DA EDITORA</t>
  </si>
  <si>
    <t>Dois de nós (Kime Rodrigues)</t>
  </si>
  <si>
    <t>GUILHERME RODRIGUES/ARQUIVO DA EDITORA</t>
  </si>
  <si>
    <t>Eber Evangelista</t>
  </si>
  <si>
    <t>ee</t>
  </si>
  <si>
    <t>EBER EVANGELISTA/ARQUIVO DA EDITORA</t>
  </si>
  <si>
    <t>Edde Wagner Aguiar</t>
  </si>
  <si>
    <t>ew</t>
  </si>
  <si>
    <t>EDDE AGUIAR/ARQUIVO DA EDITORA</t>
  </si>
  <si>
    <t>Edson Bellusci Cavalcante</t>
  </si>
  <si>
    <t>ed</t>
  </si>
  <si>
    <t>EDSON BELLUSCI/ARQUIVO DA EDITORA</t>
  </si>
  <si>
    <t>Edson Farias</t>
  </si>
  <si>
    <t>ef</t>
  </si>
  <si>
    <t>EDSON FARIAS/ARQUIVO DA EDITORA</t>
  </si>
  <si>
    <t>Eduardo A. Rosa Neto</t>
  </si>
  <si>
    <t>du</t>
  </si>
  <si>
    <t>EDUARDO ROSA/ARQUIVO DA EDITORA</t>
  </si>
  <si>
    <t>Eduardo Borges</t>
  </si>
  <si>
    <t>eb</t>
  </si>
  <si>
    <t>EDUARDO BORGES/ARQUIVO DA EDITORA</t>
  </si>
  <si>
    <t>Eduardo Carriça dos Santos</t>
  </si>
  <si>
    <t>es</t>
  </si>
  <si>
    <t>EDUARDO CARRIÇA/ARQUIVO DA EDITORA</t>
  </si>
  <si>
    <t>ej</t>
  </si>
  <si>
    <t>ELLEN JACOB/ARQUIVO DA EDITORA</t>
  </si>
  <si>
    <t>Enágio Coelho</t>
  </si>
  <si>
    <t>en</t>
  </si>
  <si>
    <t>ENÁGIO COELHO/ARQUIVO DA EDITORA</t>
  </si>
  <si>
    <t>Erica Maria Rocha Santos (Erica Maradona)</t>
  </si>
  <si>
    <t>er</t>
  </si>
  <si>
    <t>ERICA MARADONA/ARQUIVO DA EDITORA</t>
  </si>
  <si>
    <t>Erika Lourenço</t>
  </si>
  <si>
    <t>ek</t>
  </si>
  <si>
    <t>ERIKA LOURENÇO/ARQUIVO DA EDITORA</t>
  </si>
  <si>
    <t>Estúdio Amplarena</t>
  </si>
  <si>
    <t>al</t>
  </si>
  <si>
    <t>Estúdio Guerra</t>
  </si>
  <si>
    <t>eg</t>
  </si>
  <si>
    <t>Estúdio Ilustranet</t>
  </si>
  <si>
    <t>it</t>
  </si>
  <si>
    <t>RUBENS TAVARES LIMA FILHO/ARQUIVO DA EDITORA</t>
  </si>
  <si>
    <t>Estúdio Kiwi</t>
  </si>
  <si>
    <t>kw</t>
  </si>
  <si>
    <t>THIAGO LOPES/ARQUIVO DA EDITORA</t>
  </si>
  <si>
    <t>Estúdio Lab307</t>
  </si>
  <si>
    <t>lb</t>
  </si>
  <si>
    <t>ERIK MALAGRINO/ARQUIVO DA EDITORA</t>
  </si>
  <si>
    <t>Estúdio Meraki</t>
  </si>
  <si>
    <t>mk</t>
  </si>
  <si>
    <t>NATANAELE BILMAIA/ARQUIVO DA EDITORA</t>
  </si>
  <si>
    <t>Estúdio Mil</t>
  </si>
  <si>
    <t>em</t>
  </si>
  <si>
    <t>Estúdio Orangotango</t>
  </si>
  <si>
    <t>eo</t>
  </si>
  <si>
    <t>Estúdio Ornitorrinco</t>
  </si>
  <si>
    <t>MÁRCIO GUERRA/ARQUIVO DA EDITORA</t>
  </si>
  <si>
    <t>Estúdio Um mais Dois</t>
  </si>
  <si>
    <t>ud</t>
  </si>
  <si>
    <t>Ezequiel Silva (Monge Lua)</t>
  </si>
  <si>
    <t>EZEQUIEL SILVA/ARQUIVO DA EDITORA</t>
  </si>
  <si>
    <t>Ewerton Xavier</t>
  </si>
  <si>
    <t>ex</t>
  </si>
  <si>
    <t>EWERTON XAVIER/ARQUIVO DA EDITORA</t>
  </si>
  <si>
    <t>Fabio Eugenio</t>
  </si>
  <si>
    <t>FABIO EUGENIO/ARQUIVO DA EDITORA</t>
  </si>
  <si>
    <t>Fabíola Petri</t>
  </si>
  <si>
    <t>fp</t>
  </si>
  <si>
    <t>FABÍOLA PETRI/ARQUIVO DA EDITORA</t>
  </si>
  <si>
    <t>FELIPE GRIGOLI/ARQUIVO DA EDITORA</t>
  </si>
  <si>
    <t>Fernanda Monteiro</t>
  </si>
  <si>
    <t>FERNANDA MONTEIRO/ARQUIVO DA EDITORA</t>
  </si>
  <si>
    <t>Fernanda Pardini Biagio</t>
  </si>
  <si>
    <t>Flávia Nunes</t>
  </si>
  <si>
    <t>fn</t>
  </si>
  <si>
    <t>FLÁVIA NUNES/ARQUIVO DA EDITORA</t>
  </si>
  <si>
    <t>Flavio Roberto Pereira</t>
  </si>
  <si>
    <t>fl</t>
  </si>
  <si>
    <t>FLAVIO PEREIRA/ARQUIVO DA EDITORA</t>
  </si>
  <si>
    <t>Francine Matsumoto</t>
  </si>
  <si>
    <t>fr</t>
  </si>
  <si>
    <t>FRAN MATSUMOTO/ARQUIVO DA EDITORA</t>
  </si>
  <si>
    <t>Gabi Vasko</t>
  </si>
  <si>
    <t>GABI VASKO/ARQUIVO DA EDITORA</t>
  </si>
  <si>
    <t>Gabriel Kyu</t>
  </si>
  <si>
    <t>gk</t>
  </si>
  <si>
    <t>GABRIEL KYU/ARQUIVO DA EDITORA</t>
  </si>
  <si>
    <t>Gabriela Abreu de Souza</t>
  </si>
  <si>
    <t>gs</t>
  </si>
  <si>
    <t>GABRIELA ABREU/ARQUIVO DA EDITORA</t>
  </si>
  <si>
    <t>Gabriela Heberle</t>
  </si>
  <si>
    <t>gb</t>
  </si>
  <si>
    <t>GABRIELA HEBERLE/ARQUIVO DA EDITORA</t>
  </si>
  <si>
    <t>Gabriela Tozati</t>
  </si>
  <si>
    <t>gt</t>
  </si>
  <si>
    <t>GABRIELA TOZATI/ARQUIVO DA EDITORA</t>
  </si>
  <si>
    <t>GABRIELLA IMAI/ARQUIVO DA EDITORA</t>
  </si>
  <si>
    <t xml:space="preserve">Gilberto Audibert Alicio </t>
  </si>
  <si>
    <t>ga</t>
  </si>
  <si>
    <t>GILBERTO ALICIO/ARQUIVO DA EDITORA</t>
  </si>
  <si>
    <t>Giovana Medeiros</t>
  </si>
  <si>
    <t>gi</t>
  </si>
  <si>
    <t>GIOVANA MEDEIROS/ARQUIVO DA EDITORA</t>
  </si>
  <si>
    <t>Girafa Listrada</t>
  </si>
  <si>
    <t>gl</t>
  </si>
  <si>
    <t>BRUNA ASSIS BRASIL/ARQUIVO DA EDITORA</t>
  </si>
  <si>
    <t xml:space="preserve">Giully Leão </t>
  </si>
  <si>
    <t>gy</t>
  </si>
  <si>
    <t>GIULLY LEÃO/ARQUIVO DA EDITORA</t>
  </si>
  <si>
    <t xml:space="preserve">Giz de Cera Studio </t>
  </si>
  <si>
    <t>gz</t>
  </si>
  <si>
    <t>Graphorama</t>
  </si>
  <si>
    <t>gh</t>
  </si>
  <si>
    <t>Graziela Andrade</t>
  </si>
  <si>
    <t>ge</t>
  </si>
  <si>
    <t>GRAZIELA ANDRADE/ARQUIVO DA EDITORA</t>
  </si>
  <si>
    <t>Guilherme Aranega - Estudio Rufus</t>
  </si>
  <si>
    <t>gn</t>
  </si>
  <si>
    <t>GUILHERME ARANEGA/ARQUIVO DA EDITORA</t>
  </si>
  <si>
    <t>Guilherme Casagrandi</t>
  </si>
  <si>
    <t>gg</t>
  </si>
  <si>
    <t>GUILHERME CASAGRANDI/ARQUIVO DA EDITORA</t>
  </si>
  <si>
    <t>Guilherme Da Cas</t>
  </si>
  <si>
    <t>gc</t>
  </si>
  <si>
    <t>GUILHERME DA CAS/ARQUIVO DA EDITORA</t>
  </si>
  <si>
    <t>Gustavo Almeida</t>
  </si>
  <si>
    <t>GUSTAVO ALMEIDA/ARQUIVO DA EDITORA</t>
  </si>
  <si>
    <t>Gustavo Conti</t>
  </si>
  <si>
    <t>Gustavo Pedrosa</t>
  </si>
  <si>
    <t>gp</t>
  </si>
  <si>
    <t>GUSTAVO PEDROSA/ARQUIVO DA EDITORA</t>
  </si>
  <si>
    <t>Gustavo Ramos</t>
  </si>
  <si>
    <t>gr</t>
  </si>
  <si>
    <t>GUSTAVO RAMOS/ARQUIVO DA EDITORA</t>
  </si>
  <si>
    <t xml:space="preserve">Heloísa Pintarelli </t>
  </si>
  <si>
    <t>Henrique Dan Fuzitani</t>
  </si>
  <si>
    <t>hf</t>
  </si>
  <si>
    <t>HENRIQUE DAN FUZITANI/ARQUIVO DA EDITORA</t>
  </si>
  <si>
    <t>Henrique Jorge</t>
  </si>
  <si>
    <t>hj</t>
  </si>
  <si>
    <t>HENRIQUE JORGE G. M. SILVA/ARQUIVO DA EDITORA</t>
  </si>
  <si>
    <t>Hiro Kawahara</t>
  </si>
  <si>
    <t>hk</t>
  </si>
  <si>
    <t>HIRO KAWAHARA/ARQUIVO DA EDITORA</t>
  </si>
  <si>
    <t>Hugo Araújo</t>
  </si>
  <si>
    <t>ha</t>
  </si>
  <si>
    <t>HUGO ARAÚJO/ARQUIVO DA EDITORA</t>
  </si>
  <si>
    <t>Iberá Júnior</t>
  </si>
  <si>
    <t>ij</t>
  </si>
  <si>
    <t>IBERÁ JÚNIOR/ARQUIVO DA EDITORA</t>
  </si>
  <si>
    <t xml:space="preserve">Ideário Lab </t>
  </si>
  <si>
    <t>REINALDO ROSA/ARQUIVO DA EDITORA</t>
  </si>
  <si>
    <t>Ilustra Cartoon</t>
  </si>
  <si>
    <t>ic</t>
  </si>
  <si>
    <t>Imaginario Studio - Fabio Eiji</t>
  </si>
  <si>
    <t>FABIO EIJI SIRASUMA/ARQUIVO DA EDITORA</t>
  </si>
  <si>
    <t>Ingrid Skare</t>
  </si>
  <si>
    <t>ik</t>
  </si>
  <si>
    <t>INGRID SKARE/ARQUIVO DA EDITORA</t>
  </si>
  <si>
    <t>Inkdrop Estudio</t>
  </si>
  <si>
    <t>ie</t>
  </si>
  <si>
    <t>Irena Freitas</t>
  </si>
  <si>
    <t>if</t>
  </si>
  <si>
    <t>IRENA FREITAS/ARQUIVO DA EDITORA</t>
  </si>
  <si>
    <t>Isabela Santos Ferreira do Vale</t>
  </si>
  <si>
    <t>ss</t>
  </si>
  <si>
    <t>ISABELA SANTOS/ARQUIVO DA EDITORA</t>
  </si>
  <si>
    <t>Isabella Medeiros</t>
  </si>
  <si>
    <t>im</t>
  </si>
  <si>
    <t>ISABELLA MEDEIROS/ARQUIVO DA EDITORA</t>
  </si>
  <si>
    <t>Isadora Zeferino</t>
  </si>
  <si>
    <t>is</t>
  </si>
  <si>
    <t>ISADORA ZEFERINO/ARQUIVO DA EDITORA</t>
  </si>
  <si>
    <t>Ísis Duarte</t>
  </si>
  <si>
    <t>iu</t>
  </si>
  <si>
    <t>ÍSIS DUARTE/ARQUIVO DA EDITORA</t>
  </si>
  <si>
    <t>Ivy Nunes</t>
  </si>
  <si>
    <t>Izaac Brito</t>
  </si>
  <si>
    <t>zb</t>
  </si>
  <si>
    <t>IZAAC BRITO/ARQUIVO DA EDITORA</t>
  </si>
  <si>
    <t>Jacqueline Amadio</t>
  </si>
  <si>
    <t>jc</t>
  </si>
  <si>
    <t>JACQUELINE AMADIO/ARQUIVO DA EDITORA</t>
  </si>
  <si>
    <t>Jacqueline Lima</t>
  </si>
  <si>
    <t>jl</t>
  </si>
  <si>
    <t>JACQUELINE LIMA/ARQUIVO DA EDITORA</t>
  </si>
  <si>
    <t>Janaina de Oliveira Castro</t>
  </si>
  <si>
    <t>Jessica Machado</t>
  </si>
  <si>
    <t>jg</t>
  </si>
  <si>
    <t>JESSICA MACHADO/ARQUIVO DA EDITORA</t>
  </si>
  <si>
    <t>Jéssica Sinnema</t>
  </si>
  <si>
    <t>jt</t>
  </si>
  <si>
    <t>JÉSSICA SINNEMA/ARQUIVO DA EDITORA</t>
  </si>
  <si>
    <t>Jéssyca Gomes</t>
  </si>
  <si>
    <t>je</t>
  </si>
  <si>
    <t>JÉSSYKA GOMES/ARQUIVO DA EDITORA</t>
  </si>
  <si>
    <t>João Ricardo Sampaio</t>
  </si>
  <si>
    <t>js</t>
  </si>
  <si>
    <t>JOÃO SAMPAIO/ARQUIVO DA EDITORA</t>
  </si>
  <si>
    <t>João Vitor Vanzela</t>
  </si>
  <si>
    <t>jv</t>
  </si>
  <si>
    <t>JOÃO VITOR VANZELA/ARQUIVO DA EDITORA</t>
  </si>
  <si>
    <t>Johannes de Paulo</t>
  </si>
  <si>
    <t>jp</t>
  </si>
  <si>
    <t>JOHANNES DE PAULO/ARQUIVO DA EDITORA</t>
  </si>
  <si>
    <t>Jorge Henrique Brazilio dos Santos</t>
  </si>
  <si>
    <t>jh</t>
  </si>
  <si>
    <t>JORGE BRAZÍLIO/ARQUIVO DA EDITORA</t>
  </si>
  <si>
    <t>Jorge Zaiba</t>
  </si>
  <si>
    <t>za</t>
  </si>
  <si>
    <t>JORGE ZAIBA/ARQUIVO DA EDITORA</t>
  </si>
  <si>
    <t>José Vitor Elorza Costa</t>
  </si>
  <si>
    <t>zv</t>
  </si>
  <si>
    <t>JOSÉ VITOR ELORZA/ARQUIVO DA EDITORA</t>
  </si>
  <si>
    <t>Jotabe Ilustração Infantil</t>
  </si>
  <si>
    <t>jb</t>
  </si>
  <si>
    <t>Julia Mello</t>
  </si>
  <si>
    <t>jm</t>
  </si>
  <si>
    <t>JULIA MELLO/ARQUIVO DA EDITORA</t>
  </si>
  <si>
    <t>Julia Ponnick</t>
  </si>
  <si>
    <t>jn</t>
  </si>
  <si>
    <t>JULIA PONNICK/ARQUIVO DA EDITORA</t>
  </si>
  <si>
    <t>Juliana Dacosta</t>
  </si>
  <si>
    <t>JULIANA DACOSTA/ARQUIVO DA EDITORA</t>
  </si>
  <si>
    <t>Juliana Del Anhol Azevedo</t>
  </si>
  <si>
    <t>jd</t>
  </si>
  <si>
    <t>JULIANA DEL ANHOL AZEVEDO/ARQUIVO DA EDITORA</t>
  </si>
  <si>
    <t>Juliana Oliveira</t>
  </si>
  <si>
    <t>ju</t>
  </si>
  <si>
    <t>JULIANA OLIVERIA/ARQUIVO DA EDITORA</t>
  </si>
  <si>
    <t>Júnior Caramez (Antonio Carlos Caramez Jr.)</t>
  </si>
  <si>
    <t>jr</t>
  </si>
  <si>
    <t>ANTONIO CARLOS CARAMEZ JÚNIOR/ARQUIVO DA EDITORA</t>
  </si>
  <si>
    <t>Karina Tamaki Kobayashi</t>
  </si>
  <si>
    <t>kr</t>
  </si>
  <si>
    <t>KARINA TAMAKI KOBAYASHI/ARQUIVO DA EDITORA</t>
  </si>
  <si>
    <t>Karyne Elise Teixeira</t>
  </si>
  <si>
    <t>ke</t>
  </si>
  <si>
    <t>Katharine Frota</t>
  </si>
  <si>
    <t>KATHARINE FROTA/ARQUIVO DA EDITORA</t>
  </si>
  <si>
    <t>Kendra Rubio da Silva</t>
  </si>
  <si>
    <t>ks</t>
  </si>
  <si>
    <t>KENDRA RUBIO/ARQUIVO DA EDITORA</t>
  </si>
  <si>
    <t>Kézia Trentini</t>
  </si>
  <si>
    <t>kt</t>
  </si>
  <si>
    <t>KÉZIA TRENTINI/ARQUIVO DA EDITORA</t>
  </si>
  <si>
    <t>Kirlley Velôso</t>
  </si>
  <si>
    <t>kv</t>
  </si>
  <si>
    <t>KIRLLEY VELÔSO/ARQUIVO DA EDITORA</t>
  </si>
  <si>
    <t>Klayton Luz</t>
  </si>
  <si>
    <t>kl</t>
  </si>
  <si>
    <t>KLAYTON LUZ/ARQUIVO DA EDITORA</t>
  </si>
  <si>
    <t>Kleber Maurício Coelho - GIZ DE CERA</t>
  </si>
  <si>
    <t>Laís Bicudo</t>
  </si>
  <si>
    <t>LAÍS BICUDO/ARQUIVO DA EDITORA</t>
  </si>
  <si>
    <t xml:space="preserve">Laís Garbelini </t>
  </si>
  <si>
    <t>lg</t>
  </si>
  <si>
    <t>LAÍS GARBELINI/ARQUIVO DA EDITORA</t>
  </si>
  <si>
    <t>Leandro Júnior Pimenta</t>
  </si>
  <si>
    <t>lt</t>
  </si>
  <si>
    <t>LEANDRO PIMENTA/ARQUIVO DA EDITORA</t>
  </si>
  <si>
    <t>Leandro Lassmar</t>
  </si>
  <si>
    <t>LEANDRO LASSMAR/ARQUIVO DA EDITORA</t>
  </si>
  <si>
    <t>Leo Gibran</t>
  </si>
  <si>
    <t>le</t>
  </si>
  <si>
    <t>LEO GIBRAN/ARQUIVO DA EDITORA</t>
  </si>
  <si>
    <t>Leo Natsume</t>
  </si>
  <si>
    <t>ln</t>
  </si>
  <si>
    <t>LEO NATSUME/ARQUIVO DA EDITORA</t>
  </si>
  <si>
    <t>Leonardo de Moura Amaral - GIZ DE CERA</t>
  </si>
  <si>
    <t>LEONARDO DE MOURA AMARAL/ARQUIVO DA EDITORA</t>
  </si>
  <si>
    <t>Leonardo Mari</t>
  </si>
  <si>
    <t>lm</t>
  </si>
  <si>
    <t>LEONARDO MARI/ARQUIVO DA EDITORA</t>
  </si>
  <si>
    <t>Letícia Ribeiro</t>
  </si>
  <si>
    <t>lr</t>
  </si>
  <si>
    <t>LETÍCIA RIBEIRO/ARQUIVO DA EDITORA</t>
  </si>
  <si>
    <t>Liberi</t>
  </si>
  <si>
    <t>l</t>
  </si>
  <si>
    <t>LIBERI/ARQUIVO DA EDITORA</t>
  </si>
  <si>
    <t>Lislley Velani</t>
  </si>
  <si>
    <t>LISLLEY GOMES FEIGE/ARQUIVO DA EDITORA</t>
  </si>
  <si>
    <t>Loquaz Design</t>
  </si>
  <si>
    <t>lq</t>
  </si>
  <si>
    <t>Lucas Kenzo Hamazaki</t>
  </si>
  <si>
    <t>kz</t>
  </si>
  <si>
    <t>KENZO HAMAZAKI/ARQUIVO DA EDITORA</t>
  </si>
  <si>
    <t>Lucas Palma</t>
  </si>
  <si>
    <t>LUCAS PALMA/ARQUIVO DA EDITORA</t>
  </si>
  <si>
    <t xml:space="preserve">Luciane Mori </t>
  </si>
  <si>
    <t>lu</t>
  </si>
  <si>
    <t>LUCIANE MORI/ARQUIVO DA EDITORA</t>
  </si>
  <si>
    <t>Luciano Veronezi</t>
  </si>
  <si>
    <t>lv</t>
  </si>
  <si>
    <t>LUCIANO VERONEZI/ARQUIVO DA EDITORA</t>
  </si>
  <si>
    <t>Luiz Fernando Fogaça</t>
  </si>
  <si>
    <t>lf</t>
  </si>
  <si>
    <t>LUIZ F. FOGAÇA/ARQUIVO DA EDITORA</t>
  </si>
  <si>
    <t>Luiz Lentini</t>
  </si>
  <si>
    <t>ll</t>
  </si>
  <si>
    <t>LUIZ PEREZ LENTINI/ARQUIVO DA EDITORA</t>
  </si>
  <si>
    <t>Luiz Roberto Lúcio Correa</t>
  </si>
  <si>
    <t>bo</t>
  </si>
  <si>
    <t>LUIZ ROBERTO/ARQUIVO DA EDITORA</t>
  </si>
  <si>
    <t>Malu Menezes</t>
  </si>
  <si>
    <t>mx</t>
  </si>
  <si>
    <t>MALU MENEZES/ARQUIVO DA EDITORA</t>
  </si>
  <si>
    <t>Marcela Pialarissi</t>
  </si>
  <si>
    <t>ma</t>
  </si>
  <si>
    <t>MARCELA PIALARISSI/ARQUIVO DA EDITORA</t>
  </si>
  <si>
    <t>Marcello Araújo</t>
  </si>
  <si>
    <t>mj</t>
  </si>
  <si>
    <t>MARCELLO ARAUJO/ARQUIVO DA EDITORA</t>
  </si>
  <si>
    <t>Marcelo Castro</t>
  </si>
  <si>
    <t>mc</t>
  </si>
  <si>
    <t>MARCELO CASTRO/ARQUIVO DA EDITORA</t>
  </si>
  <si>
    <t>Marciano Palácio</t>
  </si>
  <si>
    <t>mz</t>
  </si>
  <si>
    <t>MARCIANO PALÁCIO/ARQUIVO DA EDITORA</t>
  </si>
  <si>
    <t>Marcos Farrell</t>
  </si>
  <si>
    <t>mr</t>
  </si>
  <si>
    <t>MARCOS FARRELL/ARQUIVO DA EDITORA</t>
  </si>
  <si>
    <t>Marcos Machado</t>
  </si>
  <si>
    <t>mm</t>
  </si>
  <si>
    <t>MARCOS MACHADO/ARQUIVO DA EDITORA</t>
  </si>
  <si>
    <t>Marcos Mello</t>
  </si>
  <si>
    <t>me</t>
  </si>
  <si>
    <t>MARCO MELLO/ARQUIVO DA EDITORA</t>
  </si>
  <si>
    <t>Maria Gabriela Gama</t>
  </si>
  <si>
    <t>md</t>
  </si>
  <si>
    <t>MARIA GABRIELA GAMA/ARQUIVO DA EDITORA</t>
  </si>
  <si>
    <t>Minna Miná</t>
  </si>
  <si>
    <t>MINNA MINÁ/ARQUIVO DA EDITORA</t>
  </si>
  <si>
    <t>Mariana Valente</t>
  </si>
  <si>
    <t>mn</t>
  </si>
  <si>
    <t>MARIANA VALENTE/ARQUIVO DA EDITORA</t>
  </si>
  <si>
    <t>Marília Bruno</t>
  </si>
  <si>
    <t>mb</t>
  </si>
  <si>
    <t>MARÍLIA BRUNO/ARQUIVO DA EDITORA</t>
  </si>
  <si>
    <t>Marilia Goldschmidt</t>
  </si>
  <si>
    <t>go</t>
  </si>
  <si>
    <t>MARILIA GOLDSCHMIDT/ARQUIVO DA EDITORA</t>
  </si>
  <si>
    <t>Marilia Pirilo</t>
  </si>
  <si>
    <t>mp</t>
  </si>
  <si>
    <t>MARILIA PIRILO/ARQUIVO DA EDITORA</t>
  </si>
  <si>
    <t>Mario Henrique Boaventura Nakano</t>
  </si>
  <si>
    <t>mh</t>
  </si>
  <si>
    <t>MARIO HENRIQUE/ARQUIVO DA EDITORA</t>
  </si>
  <si>
    <t>Marlowa</t>
  </si>
  <si>
    <t>mw</t>
  </si>
  <si>
    <t>MARLOWA/ARQUIVO DA EDITORA</t>
  </si>
  <si>
    <t>MARYANE VIOTO SILVA/ARQUIVO DA EDITORA</t>
  </si>
  <si>
    <t>Maurenilson Freire</t>
  </si>
  <si>
    <t>mu</t>
  </si>
  <si>
    <t>MAURENILSON FREIRE/ARQUIVO DA EDITORA</t>
  </si>
  <si>
    <t>Maurício Loyola</t>
  </si>
  <si>
    <t>ml</t>
  </si>
  <si>
    <t>MAURÍCIO LOYOLA/ARQUIVO DA EDITORA</t>
  </si>
  <si>
    <t>Maurício Planel</t>
  </si>
  <si>
    <t>mo</t>
  </si>
  <si>
    <t>MAURICIO PLANEL/ARQUIVO DA EDITORA</t>
  </si>
  <si>
    <t>Mauro Souza</t>
  </si>
  <si>
    <t>ms</t>
  </si>
  <si>
    <t>MAURO SOUZA/ARQUIVO DA EDITORA</t>
  </si>
  <si>
    <t>Melissa Garabeli</t>
  </si>
  <si>
    <t>mg</t>
  </si>
  <si>
    <t>MELISSA GARABELI/ARQUIVO DA EDITORA</t>
  </si>
  <si>
    <t>Michael Altomani</t>
  </si>
  <si>
    <t>MICHEL ALTOMANI/ARQUIVO DA EDITORA</t>
  </si>
  <si>
    <t>Michel Ramalho</t>
  </si>
  <si>
    <t>mi</t>
  </si>
  <si>
    <t>MICHEL RAMALHO/ARQUIVO DA EDITORA</t>
  </si>
  <si>
    <t>Milena Godoy</t>
  </si>
  <si>
    <t>oy</t>
  </si>
  <si>
    <t>GABRIELA MELLO/MILENA GODOY/ARQUIVO DA EDITORA</t>
  </si>
  <si>
    <t>Mosaico Fluído</t>
  </si>
  <si>
    <t>mf</t>
  </si>
  <si>
    <t>MOSAICO FLUÍDO/ARQUIVO DA EDITORA</t>
  </si>
  <si>
    <t>Motoca Design</t>
  </si>
  <si>
    <t>mt</t>
  </si>
  <si>
    <t>MOTOCA DESIGN/ARQUIVO DA EDITORA</t>
  </si>
  <si>
    <t>Murilo Moretti</t>
  </si>
  <si>
    <t>et</t>
  </si>
  <si>
    <t>MURILO MORETTI/ARQUIVO DA EDITORA</t>
  </si>
  <si>
    <t xml:space="preserve">Natanaele Bilmaia </t>
  </si>
  <si>
    <t>nb</t>
  </si>
  <si>
    <t>Nathalia Ichioka</t>
  </si>
  <si>
    <t>ni</t>
  </si>
  <si>
    <t>NATHALIA ICHIOKA/ARQUIVO DA EDITORA</t>
  </si>
  <si>
    <t xml:space="preserve">Nelson Akira Ishikawa </t>
  </si>
  <si>
    <t>ne</t>
  </si>
  <si>
    <t>NELSON ISHIKAWA/ARQUIVO DA EDITORA</t>
  </si>
  <si>
    <t>Nelson Cosentino</t>
  </si>
  <si>
    <t>nc</t>
  </si>
  <si>
    <t>NELSON COSENTINO/ARQUIVO DA EDITORA</t>
  </si>
  <si>
    <t>NICOLAS FURTADO/ARQUIVO DA EDITORA</t>
  </si>
  <si>
    <t>Nicole Santos</t>
  </si>
  <si>
    <t>ns</t>
  </si>
  <si>
    <t>NICOLE SANTOS/ARQUIVO DA EDITORA</t>
  </si>
  <si>
    <t>Nik Neves</t>
  </si>
  <si>
    <t>nk</t>
  </si>
  <si>
    <t>NIK NEVES/ARQUIVO DA EDITORA</t>
  </si>
  <si>
    <t xml:space="preserve">Ohanna Schmitt </t>
  </si>
  <si>
    <t>oh</t>
  </si>
  <si>
    <t>OHANNA SCHMITT/ARQUIVO DA EDITORA</t>
  </si>
  <si>
    <t>Patrícia Kelen Takahashi</t>
  </si>
  <si>
    <t>pk</t>
  </si>
  <si>
    <t>PATRÍCIA KELEN TAKAHASHI/ARQUIVO DA EDITORA</t>
  </si>
  <si>
    <t>Patricia Paulozi de Menezes</t>
  </si>
  <si>
    <t>pp</t>
  </si>
  <si>
    <t>PATRÍCIA PAULOZI/ARQUIVO DA EDITORA</t>
  </si>
  <si>
    <t>Patricia Pessoa</t>
  </si>
  <si>
    <t>pt</t>
  </si>
  <si>
    <t>PATRICIA PESSOA/ARQUIVO DA EDITORA</t>
  </si>
  <si>
    <t>Paula Diazzi Ferreira</t>
  </si>
  <si>
    <t>pa</t>
  </si>
  <si>
    <t>PAULA DIAZZI/ARQUIVO DA EDITORA</t>
  </si>
  <si>
    <t>Paula Kranz</t>
  </si>
  <si>
    <t>pz</t>
  </si>
  <si>
    <t>PAULA KRANZ/ARQUIVO DA EDITORA</t>
  </si>
  <si>
    <t>Paula Radi</t>
  </si>
  <si>
    <t>pr</t>
  </si>
  <si>
    <t>PAULA RADI/ARQUIVO DA EDITORA</t>
  </si>
  <si>
    <t>Pedro Guilherme Pauletti Lorenzo</t>
  </si>
  <si>
    <t>pl</t>
  </si>
  <si>
    <t>PEDRO LORENZO/ARQUIVO DA EDITORA</t>
  </si>
  <si>
    <t>Petra Mendes</t>
  </si>
  <si>
    <t>PETRA MENDES/ARQUIVO DA EDITORA</t>
  </si>
  <si>
    <t>Poliana de Fátima Garcia</t>
  </si>
  <si>
    <t>po</t>
  </si>
  <si>
    <t>POLIANA GARCIA/ARQUIVO DA EDITORA</t>
  </si>
  <si>
    <t>Pri Wi</t>
  </si>
  <si>
    <t>pw</t>
  </si>
  <si>
    <t>PRIWI/ARQUIVO DA EDITORA</t>
  </si>
  <si>
    <t xml:space="preserve">Priscilla Camacho </t>
  </si>
  <si>
    <t>ps</t>
  </si>
  <si>
    <t>PRISCILLA CAMACHO/ARQUIVO DA EDITORA</t>
  </si>
  <si>
    <t>Quanta Studio (2014 em diante)</t>
  </si>
  <si>
    <t>qs</t>
  </si>
  <si>
    <t>QUANTA STUDIO (2014 EM DIANTE)</t>
  </si>
  <si>
    <t>Quanta Studio (até 2013)</t>
  </si>
  <si>
    <t>qt</t>
  </si>
  <si>
    <t>QUANTA STUDIO (ATÉ 2013)</t>
  </si>
  <si>
    <t>Rafael da Silva (ARTE)</t>
  </si>
  <si>
    <t>rd</t>
  </si>
  <si>
    <t>RAFAEL SILVA/ARQUIVO DA EDITORA</t>
  </si>
  <si>
    <t>Rafael da Silva Hatadani</t>
  </si>
  <si>
    <t>rh</t>
  </si>
  <si>
    <t>RAFAEL HATADANI/ARQUIVO DA EDITORA</t>
  </si>
  <si>
    <t>Rafael Gallardo</t>
  </si>
  <si>
    <t>rf</t>
  </si>
  <si>
    <t>RAFAEL GALLARDO/ARQUIVO DA EDITORA</t>
  </si>
  <si>
    <t>Rafael Lam</t>
  </si>
  <si>
    <t>rl</t>
  </si>
  <si>
    <t>RAFAEL LAM/ARQUIVO DA EDITORA</t>
  </si>
  <si>
    <t>Rafael Luís Gaion</t>
  </si>
  <si>
    <t>RAFAEL L. GAION/ARQUIVO DA EDITORA</t>
  </si>
  <si>
    <t>Rafael Luzio Rodrigues</t>
  </si>
  <si>
    <t>RAFAEL LUZIO/ARQUIVO DA EDITORA</t>
  </si>
  <si>
    <t>Rafael Martins - Somma</t>
  </si>
  <si>
    <t>Rafaela Harger</t>
  </si>
  <si>
    <t xml:space="preserve">rx </t>
  </si>
  <si>
    <t>RAFAELA HARGER/ARQUIVO DA EDITORA</t>
  </si>
  <si>
    <t>Rafaela Hidalgo Pereira</t>
  </si>
  <si>
    <t>Raíssa Bulhões</t>
  </si>
  <si>
    <t>rs</t>
  </si>
  <si>
    <t>RAÍSSA BULHÕES/ARQUIVO DA EDITORA</t>
  </si>
  <si>
    <t>Raitan Ohi</t>
  </si>
  <si>
    <t>RAITAN OHI/ARQUIVO DA EDITORA</t>
  </si>
  <si>
    <t>Raquel Silva</t>
  </si>
  <si>
    <t>RAQUEL SILVA/ARQUIVO DA EDITORA</t>
  </si>
  <si>
    <t>Raul Aguiar</t>
  </si>
  <si>
    <t>ra</t>
  </si>
  <si>
    <t>RAUL AGUIAR/ARQUIVO DA EDITORA</t>
  </si>
  <si>
    <t>Rayanne Cardoso</t>
  </si>
  <si>
    <t>ay</t>
  </si>
  <si>
    <t>RAYANNE CARDOSO/ARQUIVO DA EDITORA</t>
  </si>
  <si>
    <t>bk</t>
  </si>
  <si>
    <t>REBECCA BANISKI/ARQUIVO DA EDITORA</t>
  </si>
  <si>
    <t>Reinaldo Rosa - Ideario Lab</t>
  </si>
  <si>
    <t>il</t>
  </si>
  <si>
    <t>Renan de Oliveira Fonseca</t>
  </si>
  <si>
    <t>Renan Nuche</t>
  </si>
  <si>
    <t>rz</t>
  </si>
  <si>
    <t>RENAN NUCHE/ARQUIVO DA EDITORA</t>
  </si>
  <si>
    <t>Renato Rodrigues</t>
  </si>
  <si>
    <t>xr</t>
  </si>
  <si>
    <t>RENATO RODRIGUES/ARQUIVO DA EDITORA</t>
  </si>
  <si>
    <t>Ricardo Gualberto</t>
  </si>
  <si>
    <t>RICARDO GUALBERTO/ARQUIVO DA EDITORA</t>
  </si>
  <si>
    <t>Rivaldo Ferreira Barboza Filho</t>
  </si>
  <si>
    <t>rv</t>
  </si>
  <si>
    <t>RIVALDO BARBOZA/ARQUIVO DA EDITORA</t>
  </si>
  <si>
    <t>Roberto Bigas</t>
  </si>
  <si>
    <t>rb</t>
  </si>
  <si>
    <t>ROBERTO BIGAS/ARQUIVO DA EDITORA</t>
  </si>
  <si>
    <t>Roberto Weigand</t>
  </si>
  <si>
    <t>rw</t>
  </si>
  <si>
    <t>ROBERTO WEIGAND/ARQUIVO DA EDITORA</t>
  </si>
  <si>
    <t>Robson Araújo</t>
  </si>
  <si>
    <t>rj</t>
  </si>
  <si>
    <t>ROBSON ARAÚJO/ARQUIVO DA EDITORA</t>
  </si>
  <si>
    <t>Rodrigo Arraya</t>
  </si>
  <si>
    <t>ry</t>
  </si>
  <si>
    <t>RODRIGO ARRAYA/ARQUIVO DA EDITORA</t>
  </si>
  <si>
    <t>Rodrigo Cordeiro</t>
  </si>
  <si>
    <t>rk</t>
  </si>
  <si>
    <t>RODRIGO CORDEIRO/ARQUIVO DA EDITORA</t>
  </si>
  <si>
    <t>Rodrigo Gafa</t>
  </si>
  <si>
    <t>ro</t>
  </si>
  <si>
    <t>RODRIGO GAFA/ARQUIVO DA EDITORA</t>
  </si>
  <si>
    <t>Roger Cartoon</t>
  </si>
  <si>
    <t>rg</t>
  </si>
  <si>
    <t>ROGER CARTOON/ARQUIVO DA EDITORA</t>
  </si>
  <si>
    <t>Rogério Casagrande</t>
  </si>
  <si>
    <t>ROGÉRIO CASAGRANDE/ARQUIVO DA EDITORA</t>
  </si>
  <si>
    <t>Rogério Coelho</t>
  </si>
  <si>
    <t>rc</t>
  </si>
  <si>
    <t>ROGÉRIO COELHO/ARQUIVO DA EDITORA</t>
  </si>
  <si>
    <t>Ronaldo Inácio De Lucena</t>
  </si>
  <si>
    <t>RONALDO LUCENA/ARQUIVO DA EDITORA</t>
  </si>
  <si>
    <t>Rosana Urbes</t>
  </si>
  <si>
    <t>ru</t>
  </si>
  <si>
    <t>ROSANA URBES/ARQUIVO DA EDITORA</t>
  </si>
  <si>
    <t>RS2 Comunicação</t>
  </si>
  <si>
    <t>sm</t>
  </si>
  <si>
    <t>RS2 COMUNICAÇÃO/ARQUIVO DA EDITORA</t>
  </si>
  <si>
    <t>Sabrina Eras</t>
  </si>
  <si>
    <t>se</t>
  </si>
  <si>
    <t>SABRINA ERAS/ARQUIVO DA EDITORA</t>
  </si>
  <si>
    <t>Samanta Flôor</t>
  </si>
  <si>
    <t>sf</t>
  </si>
  <si>
    <t>SAMANDA FLÔOR/ARQUIVO DA EDITORA</t>
  </si>
  <si>
    <t xml:space="preserve">Samuel Silva Nascimento </t>
  </si>
  <si>
    <t>sa</t>
  </si>
  <si>
    <t>SAMUEL SILVA/ARQUIVO DA EDITORA</t>
  </si>
  <si>
    <t>Saulo Nunes Marques</t>
  </si>
  <si>
    <t>sq</t>
  </si>
  <si>
    <t>SAULO NUNES/ARQUIVO DA EDITORA</t>
  </si>
  <si>
    <t>Sidney Siqueira Meireles</t>
  </si>
  <si>
    <t>sd</t>
  </si>
  <si>
    <t>SIDNEY SIQUEIRA MEIRELES/ARQUIVO DA EDITORA</t>
  </si>
  <si>
    <t>Silvia Otofuji</t>
  </si>
  <si>
    <t>so</t>
  </si>
  <si>
    <t>SILVIA OTOFUJI/ARQUIVO DA EDITORA</t>
  </si>
  <si>
    <t>Simone Bellusci Cavalcante</t>
  </si>
  <si>
    <t>si</t>
  </si>
  <si>
    <t>SIMONE/ARQUIVO DA EDITORA</t>
  </si>
  <si>
    <t>Sonia Horn</t>
  </si>
  <si>
    <t>sh</t>
  </si>
  <si>
    <t>SONIA HORN/ARQUIVO DA EDITORA</t>
  </si>
  <si>
    <t>Sonia Vaz</t>
  </si>
  <si>
    <t>VAZ</t>
  </si>
  <si>
    <t>SONIA VAZ/ARQUIVO DA EDITORA</t>
  </si>
  <si>
    <t xml:space="preserve">Sputinik Studio </t>
  </si>
  <si>
    <t>sk</t>
  </si>
  <si>
    <t>SPUTINIK STUDIO/ARQUIVO DA EDITORA</t>
  </si>
  <si>
    <t>Studio Caparroz (Selma)</t>
  </si>
  <si>
    <t>sc</t>
  </si>
  <si>
    <t>SELMA CAPARROZ/ARQUIVO DA EDITORA</t>
  </si>
  <si>
    <t>Studio Maya</t>
  </si>
  <si>
    <t>my</t>
  </si>
  <si>
    <t>STUDIO MAYA/ARQUIVO DA EDITORA</t>
  </si>
  <si>
    <t>Studio OPZ</t>
  </si>
  <si>
    <t>oz</t>
  </si>
  <si>
    <t>ANDERSON GABRIEL CAPELOTO MACOHIN/ARQUIVO DA EDITORA</t>
  </si>
  <si>
    <t>Studio Pack</t>
  </si>
  <si>
    <t>sp</t>
  </si>
  <si>
    <t>STUDIO PACK/ARQUIVO DA EDITORA</t>
  </si>
  <si>
    <t>Suppa</t>
  </si>
  <si>
    <t>su</t>
  </si>
  <si>
    <t>VIVIAN SUPPA/ARQUIVO DA EDITORA</t>
  </si>
  <si>
    <t>Sylvia Muniz</t>
  </si>
  <si>
    <t>sy</t>
  </si>
  <si>
    <t>SYLVIA MUNIZ/ARQUIVO DA EDITORA</t>
  </si>
  <si>
    <t>Sylvia S. Nakamura</t>
  </si>
  <si>
    <t>sn</t>
  </si>
  <si>
    <t>SYLVIA NAKAMURA/ARQUIVO DA EDITORA</t>
  </si>
  <si>
    <t>tr</t>
  </si>
  <si>
    <t>TAMIRES AZEVEDO/ARQUIVO DA EDITORA</t>
  </si>
  <si>
    <t>Tânia Machado</t>
  </si>
  <si>
    <t>tm</t>
  </si>
  <si>
    <t>TÂNIA MACHADO/ARQUIVO DA EDITORA</t>
  </si>
  <si>
    <t xml:space="preserve">Tatiana Paiva </t>
  </si>
  <si>
    <t>tp</t>
  </si>
  <si>
    <t>TATIANA PAIVA/ARQUIVO DA EDITORA</t>
  </si>
  <si>
    <t>TATIANE GALHEIRO/ARQUIVO DA EDITORA</t>
  </si>
  <si>
    <t>Thais Castro</t>
  </si>
  <si>
    <t>Thamires Paredes - Universo Paralelo</t>
  </si>
  <si>
    <t>th</t>
  </si>
  <si>
    <t>THAMIRES PAREDES/ARQUIVO DA EDITORA</t>
  </si>
  <si>
    <t>Thiago Araujo Lima (Thiago Limon)</t>
  </si>
  <si>
    <t>tl</t>
  </si>
  <si>
    <t>THIAGO LIMA/ARQUIVO DA EDITORA</t>
  </si>
  <si>
    <t>Thiago Barbosa De Almeida</t>
  </si>
  <si>
    <t>ta</t>
  </si>
  <si>
    <t>THIAGO ALMEIDA/ARQUIVO DA EDITORA</t>
  </si>
  <si>
    <t xml:space="preserve">Thiago Moura Januário </t>
  </si>
  <si>
    <t>tj</t>
  </si>
  <si>
    <t>THIAGO MOURA JANUÁRIO/ARQUIVO DA EDITORA</t>
  </si>
  <si>
    <t>Thiago Neumann</t>
  </si>
  <si>
    <t>tn</t>
  </si>
  <si>
    <t>THIAGO NEUMANN/ARQUIVO DA EDITORA</t>
  </si>
  <si>
    <t>Thiago Soares</t>
  </si>
  <si>
    <t>tg</t>
  </si>
  <si>
    <t>THIAGO SOARES/ARQUIVO DA EDITORA</t>
  </si>
  <si>
    <t xml:space="preserve">TypoStudio </t>
  </si>
  <si>
    <t>ts</t>
  </si>
  <si>
    <t>Veridiana Pegoraro Camelo</t>
  </si>
  <si>
    <t>vo</t>
  </si>
  <si>
    <t>VERIDIANA PEGORARO CAMELO/ARQUIVO DA EDITORA</t>
  </si>
  <si>
    <t xml:space="preserve">Veridiana Scarpelli - IMAGERIA ESTUDIO </t>
  </si>
  <si>
    <t>vs</t>
  </si>
  <si>
    <t>VIRIDIANA SCARPELLI/ARQUIVO DA EDITORA</t>
  </si>
  <si>
    <t>Victor Ferreira Lemos</t>
  </si>
  <si>
    <t>vf</t>
  </si>
  <si>
    <t>VICTOR LEMOS/ARQUIVO DA EDITORA</t>
  </si>
  <si>
    <t>Vitor Locatelli</t>
  </si>
  <si>
    <t>vl</t>
  </si>
  <si>
    <t>VITOR LOCATELLI/ARQUIVO DA EDITORA</t>
  </si>
  <si>
    <t>Volpe Studio</t>
  </si>
  <si>
    <t>vp</t>
  </si>
  <si>
    <t>VOLPE STUDIO/ARQUIVO DA EDITORA</t>
  </si>
  <si>
    <t xml:space="preserve">Waldomiro Neto </t>
  </si>
  <si>
    <t>wn</t>
  </si>
  <si>
    <t>WALDOMIRO NETO/ARQUIVO DA EDITORA</t>
  </si>
  <si>
    <t xml:space="preserve">Wandson Rocha </t>
  </si>
  <si>
    <t>wr</t>
  </si>
  <si>
    <t>WANDSON ROCHA/ARQUIVO DA EDITORA</t>
  </si>
  <si>
    <t>Wanick Correa Flores</t>
  </si>
  <si>
    <t>wk</t>
  </si>
  <si>
    <t>WANICK CORREA/ARQUIVO DA EDITORA</t>
  </si>
  <si>
    <t>Werllen Holanda</t>
  </si>
  <si>
    <t>wh</t>
  </si>
  <si>
    <t>WERLLEN HOLANDA/ARQUIVO DA EDITORA</t>
  </si>
  <si>
    <t>PRÉ-EDIÇÃO</t>
  </si>
  <si>
    <t>SCRIBA</t>
  </si>
  <si>
    <t>EDICAO_EQUIPE</t>
  </si>
  <si>
    <t>APRESENT.</t>
  </si>
  <si>
    <t>FTD</t>
  </si>
  <si>
    <t>SUMÁRIO</t>
  </si>
  <si>
    <t>MDN</t>
  </si>
  <si>
    <t>FINALIZADO RAFE</t>
  </si>
  <si>
    <t>ABERTURA</t>
  </si>
  <si>
    <t>SABER</t>
  </si>
  <si>
    <t>SM</t>
  </si>
  <si>
    <t>PAGO RAFE</t>
  </si>
  <si>
    <t>LINHA TEMPO</t>
  </si>
  <si>
    <t>PAG.ESPECIAL</t>
  </si>
  <si>
    <t>SCP</t>
  </si>
  <si>
    <t>FINALIZANDO</t>
  </si>
  <si>
    <t>INFOGRÁFICO</t>
  </si>
  <si>
    <t>ÚNICO</t>
  </si>
  <si>
    <t>ABR</t>
  </si>
  <si>
    <t>BASE</t>
  </si>
  <si>
    <t>IBEP</t>
  </si>
  <si>
    <t>LEYA</t>
  </si>
  <si>
    <t>SARAIVA</t>
  </si>
  <si>
    <t>SANTILLANA</t>
  </si>
  <si>
    <t>QUINTETO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</si>
</sst>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0"/>
      <name val="Aptos Narrow"/>
      <family val="2"/>
      <scheme val="minor"/>
    </font>
    <font>
      <sz val="9"/>
      <color indexed="81"/>
      <name val="Segoe UI"/>
      <family val="2"/>
    </font>
    <font>
      <b/>
      <sz val="9"/>
      <color indexed="81"/>
      <name val="Segoe UI"/>
      <family val="2"/>
    </font>
    <font>
      <sz val="10"/>
      <color theme="1"/>
      <name val="Arial"/>
      <family val="2"/>
    </font>
    <font>
      <b/>
      <sz val="11"/>
      <color theme="0"/>
      <name val="Arial Narrow"/>
      <family val="2"/>
    </font>
    <font>
      <b/>
      <sz val="16"/>
      <color theme="0"/>
      <name val="Aptos Narrow"/>
      <family val="2"/>
    </font>
    <font>
      <sz val="11"/>
      <name val="Arial Narrow"/>
      <family val="2"/>
    </font>
    <font>
      <sz val="11"/>
      <color rgb="FF000000"/>
      <name val="Calibri"/>
      <family val="2"/>
    </font>
    <font>
      <sz val="11"/>
      <color rgb="FF000000"/>
      <name val="Aptos Narrow"/>
      <family val="2"/>
    </font>
    <font>
      <i/>
      <sz val="9"/>
      <color rgb="FF0000FF"/>
      <name val="Calibri"/>
      <family val="2"/>
    </font>
    <font>
      <sz val="12"/>
      <color theme="1"/>
      <name val="Calibri"/>
      <family val="2"/>
    </font>
    <font>
      <sz val="11"/>
      <name val="Arial Narrow"/>
    </font>
    <font>
      <sz val="11"/>
      <color rgb="FF242424"/>
      <name val="Aptos Narrow"/>
      <charset val="1"/>
    </font>
    <font>
      <sz val="11"/>
      <color rgb="FF000000"/>
      <name val="Aptos Narrow"/>
    </font>
    <font>
      <sz val="12"/>
      <color theme="1"/>
      <name val="Calibri"/>
      <family val="2"/>
      <charset val="1"/>
    </font>
    <font>
      <sz val="12"/>
      <color theme="1"/>
      <name val="Calibri"/>
      <charset val="1"/>
    </font>
    <font>
      <sz val="11"/>
      <color rgb="FF000000"/>
      <name val="Aptos Narrow"/>
      <scheme val="minor"/>
    </font>
  </fonts>
  <fills count="12">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CC9900"/>
        <bgColor indexed="64"/>
      </patternFill>
    </fill>
    <fill>
      <patternFill patternType="solid">
        <fgColor theme="9" tint="-0.249977111117893"/>
        <bgColor theme="1"/>
      </patternFill>
    </fill>
    <fill>
      <patternFill patternType="solid">
        <fgColor rgb="FFFFFFFF"/>
        <bgColor indexed="64"/>
      </patternFill>
    </fill>
    <fill>
      <patternFill patternType="solid">
        <fgColor rgb="FFFFFFFF"/>
        <bgColor rgb="FFFFFFFF"/>
      </patternFill>
    </fill>
    <fill>
      <patternFill patternType="solid">
        <fgColor theme="0"/>
        <bgColor indexed="64"/>
      </patternFill>
    </fill>
    <fill>
      <patternFill patternType="solid">
        <fgColor theme="4"/>
        <bgColor theme="9"/>
      </patternFill>
    </fill>
    <fill>
      <patternFill patternType="solid">
        <fgColor rgb="FF00B050"/>
        <bgColor indexed="64"/>
      </patternFill>
    </fill>
  </fills>
  <borders count="11">
    <border>
      <left/>
      <right/>
      <top/>
      <bottom/>
      <diagonal/>
    </border>
    <border>
      <left style="thin">
        <color theme="1"/>
      </left>
      <right/>
      <top style="thin">
        <color theme="1"/>
      </top>
      <bottom/>
      <diagonal/>
    </border>
    <border>
      <left/>
      <right/>
      <top style="thin">
        <color theme="1"/>
      </top>
      <bottom/>
      <diagonal/>
    </border>
    <border>
      <left style="thin">
        <color theme="4" tint="0.39997558519241921"/>
      </left>
      <right style="thin">
        <color theme="4" tint="0.39997558519241921"/>
      </right>
      <top style="thin">
        <color theme="4" tint="0.3999755851924192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theme="9"/>
      </right>
      <top style="thin">
        <color theme="9"/>
      </top>
      <bottom/>
      <diagonal/>
    </border>
  </borders>
  <cellStyleXfs count="1">
    <xf numFmtId="0" fontId="0" fillId="0" borderId="0"/>
  </cellStyleXfs>
  <cellXfs count="67">
    <xf numFmtId="0" fontId="0" fillId="0" borderId="0" xfId="0"/>
    <xf numFmtId="0" fontId="4" fillId="7" borderId="0" xfId="0" applyFont="1" applyFill="1" applyAlignment="1">
      <alignment vertical="center"/>
    </xf>
    <xf numFmtId="0" fontId="4" fillId="7" borderId="0" xfId="0" applyFont="1" applyFill="1" applyAlignment="1">
      <alignment vertical="center" wrapText="1"/>
    </xf>
    <xf numFmtId="0" fontId="0" fillId="0" borderId="0" xfId="0" applyAlignment="1">
      <alignment horizontal="center" vertical="center"/>
    </xf>
    <xf numFmtId="0" fontId="0" fillId="0" borderId="0" xfId="0" applyAlignment="1">
      <alignment vertical="center"/>
    </xf>
    <xf numFmtId="0" fontId="4" fillId="8" borderId="0" xfId="0" applyFont="1" applyFill="1" applyAlignment="1">
      <alignment vertical="center"/>
    </xf>
    <xf numFmtId="0" fontId="4" fillId="7" borderId="0" xfId="0" applyFont="1" applyFill="1" applyAlignment="1">
      <alignment horizontal="center" vertical="center" wrapText="1"/>
    </xf>
    <xf numFmtId="0" fontId="1" fillId="4"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0" fillId="0" borderId="0" xfId="0" applyAlignment="1">
      <alignment wrapText="1"/>
    </xf>
    <xf numFmtId="0" fontId="1" fillId="2" borderId="3" xfId="0" applyFont="1" applyFill="1" applyBorder="1" applyAlignment="1">
      <alignment horizontal="center" vertical="center" wrapText="1"/>
    </xf>
    <xf numFmtId="14" fontId="1" fillId="5" borderId="2"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1" fillId="3" borderId="2" xfId="0" applyFont="1" applyFill="1" applyBorder="1" applyAlignment="1" applyProtection="1">
      <alignment horizontal="center" vertical="center" wrapText="1"/>
      <protection locked="0"/>
    </xf>
    <xf numFmtId="0" fontId="0" fillId="0" borderId="0" xfId="0" applyAlignment="1" applyProtection="1">
      <alignment horizontal="left" vertical="center" wrapText="1"/>
      <protection locked="0"/>
    </xf>
    <xf numFmtId="0" fontId="0" fillId="0" borderId="0" xfId="0" applyAlignment="1">
      <alignment horizontal="left"/>
    </xf>
    <xf numFmtId="0" fontId="5" fillId="10" borderId="6" xfId="0" applyFont="1" applyFill="1" applyBorder="1"/>
    <xf numFmtId="0" fontId="5" fillId="10" borderId="7" xfId="0" applyFont="1" applyFill="1" applyBorder="1"/>
    <xf numFmtId="0" fontId="5" fillId="10" borderId="8" xfId="0" applyFont="1" applyFill="1" applyBorder="1"/>
    <xf numFmtId="0" fontId="7" fillId="9" borderId="5" xfId="0" applyFont="1" applyFill="1" applyBorder="1" applyAlignment="1">
      <alignment horizontal="left"/>
    </xf>
    <xf numFmtId="0" fontId="7" fillId="9" borderId="5" xfId="0" applyFont="1" applyFill="1" applyBorder="1" applyAlignment="1">
      <alignment horizontal="center" vertical="center"/>
    </xf>
    <xf numFmtId="0" fontId="7" fillId="9" borderId="5" xfId="0" applyFont="1" applyFill="1" applyBorder="1" applyAlignment="1">
      <alignment horizontal="left" vertical="center" wrapText="1"/>
    </xf>
    <xf numFmtId="0" fontId="7" fillId="9" borderId="5" xfId="0" applyFont="1" applyFill="1" applyBorder="1" applyAlignment="1">
      <alignment horizontal="left" vertical="center"/>
    </xf>
    <xf numFmtId="0" fontId="7" fillId="9" borderId="5" xfId="0" applyFont="1" applyFill="1" applyBorder="1" applyAlignment="1">
      <alignment horizontal="left" wrapText="1"/>
    </xf>
    <xf numFmtId="0" fontId="7" fillId="9" borderId="5" xfId="0" applyFont="1" applyFill="1" applyBorder="1"/>
    <xf numFmtId="0" fontId="7" fillId="9" borderId="9" xfId="0" applyFont="1" applyFill="1" applyBorder="1" applyAlignment="1">
      <alignment horizontal="left"/>
    </xf>
    <xf numFmtId="0" fontId="7" fillId="9" borderId="9" xfId="0" applyFont="1" applyFill="1" applyBorder="1" applyAlignment="1">
      <alignment horizontal="center" vertical="center"/>
    </xf>
    <xf numFmtId="0" fontId="7" fillId="9" borderId="9" xfId="0" applyFont="1" applyFill="1" applyBorder="1" applyAlignment="1">
      <alignment horizontal="left" vertical="center"/>
    </xf>
    <xf numFmtId="0" fontId="1" fillId="4" borderId="1" xfId="0" applyFont="1" applyFill="1" applyBorder="1" applyAlignment="1">
      <alignment vertical="center" wrapText="1"/>
    </xf>
    <xf numFmtId="0" fontId="0" fillId="0" borderId="0" xfId="0" applyAlignment="1" applyProtection="1">
      <alignment vertical="center" wrapText="1"/>
      <protection locked="0"/>
    </xf>
    <xf numFmtId="0" fontId="8" fillId="0" borderId="0" xfId="0" applyFont="1" applyAlignment="1" applyProtection="1">
      <alignment wrapText="1"/>
      <protection locked="0"/>
    </xf>
    <xf numFmtId="0" fontId="0" fillId="0" borderId="0" xfId="0" applyAlignment="1" applyProtection="1">
      <alignment horizontal="center" vertical="center" wrapText="1"/>
      <protection locked="0"/>
    </xf>
    <xf numFmtId="14" fontId="0" fillId="0" borderId="0" xfId="0" applyNumberFormat="1" applyAlignment="1" applyProtection="1">
      <alignment horizontal="center" vertical="center" wrapText="1"/>
      <protection locked="0"/>
    </xf>
    <xf numFmtId="0" fontId="0" fillId="0" borderId="0" xfId="0" applyAlignment="1">
      <alignment vertical="center" wrapText="1"/>
    </xf>
    <xf numFmtId="0" fontId="0" fillId="0" borderId="0" xfId="0" applyAlignment="1" applyProtection="1">
      <alignment wrapText="1"/>
      <protection locked="0"/>
    </xf>
    <xf numFmtId="0" fontId="4" fillId="0" borderId="0" xfId="0" applyFont="1" applyAlignment="1" applyProtection="1">
      <alignment vertical="center" wrapText="1"/>
      <protection locked="0"/>
    </xf>
    <xf numFmtId="0" fontId="9" fillId="0" borderId="0" xfId="0" applyFont="1" applyAlignment="1" applyProtection="1">
      <alignment horizontal="center" vertical="center" wrapText="1"/>
      <protection locked="0"/>
    </xf>
    <xf numFmtId="0" fontId="8" fillId="0" borderId="0" xfId="0" applyFont="1" applyAlignment="1" applyProtection="1">
      <alignment vertical="center" wrapText="1"/>
      <protection locked="0"/>
    </xf>
    <xf numFmtId="0" fontId="0" fillId="0" borderId="0" xfId="0" applyAlignment="1">
      <alignment horizontal="left" vertical="center" wrapText="1"/>
    </xf>
    <xf numFmtId="0" fontId="0" fillId="0" borderId="0" xfId="0" applyAlignment="1">
      <alignment horizontal="center" vertical="center" wrapText="1"/>
    </xf>
    <xf numFmtId="14" fontId="0" fillId="0" borderId="0" xfId="0" applyNumberFormat="1" applyAlignment="1">
      <alignment horizontal="center" vertical="center" wrapText="1"/>
    </xf>
    <xf numFmtId="0" fontId="0" fillId="0" borderId="0" xfId="0" quotePrefix="1" applyAlignment="1" applyProtection="1">
      <alignment vertical="center" wrapText="1"/>
      <protection locked="0"/>
    </xf>
    <xf numFmtId="0" fontId="10" fillId="0" borderId="0" xfId="0" applyFont="1" applyAlignment="1" applyProtection="1">
      <alignment wrapText="1"/>
      <protection locked="0"/>
    </xf>
    <xf numFmtId="0" fontId="11" fillId="0" borderId="0" xfId="0" applyFont="1" applyProtection="1">
      <protection locked="0"/>
    </xf>
    <xf numFmtId="0" fontId="7" fillId="9" borderId="5" xfId="0" applyFont="1" applyFill="1" applyBorder="1" applyAlignment="1" applyProtection="1">
      <alignment horizontal="left" vertical="center"/>
      <protection locked="0"/>
    </xf>
    <xf numFmtId="0" fontId="0" fillId="0" borderId="0" xfId="0" applyProtection="1">
      <protection locked="0"/>
    </xf>
    <xf numFmtId="0" fontId="8" fillId="0" borderId="0" xfId="0" applyFont="1" applyProtection="1">
      <protection locked="0"/>
    </xf>
    <xf numFmtId="0" fontId="9" fillId="0" borderId="0" xfId="0" applyFont="1" applyProtection="1">
      <protection locked="0"/>
    </xf>
    <xf numFmtId="0" fontId="12" fillId="9" borderId="5" xfId="0" applyFont="1" applyFill="1" applyBorder="1" applyAlignment="1">
      <alignment horizontal="left"/>
    </xf>
    <xf numFmtId="0" fontId="12" fillId="9" borderId="5" xfId="0" applyFont="1" applyFill="1" applyBorder="1" applyAlignment="1">
      <alignment horizontal="left" vertical="center"/>
    </xf>
    <xf numFmtId="0" fontId="12" fillId="9" borderId="5" xfId="0" applyFont="1" applyFill="1" applyBorder="1" applyAlignment="1">
      <alignment horizontal="left" vertical="center" wrapText="1"/>
    </xf>
    <xf numFmtId="0" fontId="12" fillId="9" borderId="5" xfId="0" applyFont="1" applyFill="1" applyBorder="1"/>
    <xf numFmtId="0" fontId="12" fillId="9" borderId="5" xfId="0" applyFont="1" applyFill="1" applyBorder="1" applyAlignment="1">
      <alignment horizontal="center" vertical="center"/>
    </xf>
    <xf numFmtId="0" fontId="12" fillId="9" borderId="9" xfId="0" applyFont="1" applyFill="1" applyBorder="1" applyAlignment="1">
      <alignment horizontal="left"/>
    </xf>
    <xf numFmtId="0" fontId="12" fillId="9" borderId="9" xfId="0" applyFont="1" applyFill="1" applyBorder="1" applyAlignment="1">
      <alignment horizontal="center" vertical="center"/>
    </xf>
    <xf numFmtId="0" fontId="12" fillId="9" borderId="9" xfId="0" applyFont="1" applyFill="1" applyBorder="1" applyAlignment="1">
      <alignment horizontal="left" vertical="center"/>
    </xf>
    <xf numFmtId="0" fontId="13" fillId="0" borderId="0" xfId="0" applyFont="1"/>
    <xf numFmtId="0" fontId="14" fillId="0" borderId="10" xfId="0" applyFont="1" applyBorder="1" applyAlignment="1">
      <alignment vertical="center"/>
    </xf>
    <xf numFmtId="0" fontId="15" fillId="0" borderId="0" xfId="0" applyFont="1" applyProtection="1">
      <protection locked="0"/>
    </xf>
    <xf numFmtId="0" fontId="12" fillId="9" borderId="5" xfId="0" applyFont="1" applyFill="1" applyBorder="1" applyAlignment="1" applyProtection="1">
      <alignment horizontal="left" vertical="center"/>
      <protection locked="0"/>
    </xf>
    <xf numFmtId="0" fontId="16" fillId="0" borderId="0" xfId="0" applyFont="1" applyAlignment="1" applyProtection="1">
      <alignment wrapText="1"/>
      <protection locked="0"/>
    </xf>
    <xf numFmtId="0" fontId="17" fillId="0" borderId="0" xfId="0" applyFont="1" applyAlignment="1" applyProtection="1">
      <alignment wrapText="1"/>
      <protection locked="0"/>
    </xf>
    <xf numFmtId="0" fontId="16" fillId="0" borderId="0" xfId="0" applyFont="1" applyProtection="1">
      <protection locked="0"/>
    </xf>
    <xf numFmtId="0" fontId="16" fillId="0" borderId="0" xfId="0" applyFont="1" applyAlignment="1" applyProtection="1">
      <alignment vertical="center"/>
      <protection locked="0"/>
    </xf>
    <xf numFmtId="0" fontId="6" fillId="11" borderId="0" xfId="0" applyFont="1" applyFill="1" applyAlignment="1">
      <alignment horizontal="center" wrapText="1"/>
    </xf>
  </cellXfs>
  <cellStyles count="1">
    <cellStyle name="Normal" xfId="0" builtinId="0"/>
  </cellStyles>
  <dxfs count="40">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rial Narrow"/>
        <family val="2"/>
        <scheme val="none"/>
      </font>
      <fill>
        <patternFill patternType="solid">
          <fgColor theme="9"/>
          <bgColor theme="4"/>
        </patternFill>
      </fill>
      <border diagonalUp="0" diagonalDown="0" outline="0">
        <left style="thin">
          <color indexed="64"/>
        </left>
        <right style="thin">
          <color indexed="64"/>
        </right>
        <top/>
        <bottom/>
      </border>
    </dxf>
    <dxf>
      <numFmt numFmtId="0" formatCode="General"/>
      <alignment horizontal="general" vertical="center" textRotation="0" wrapText="1" indent="0" justifyLastLine="0" shrinkToFit="0" readingOrder="0"/>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center" vertical="center" textRotation="0" wrapText="1" indent="0" justifyLastLine="0" shrinkToFit="0" readingOrder="0"/>
      <protection locked="0" hidden="0"/>
    </dxf>
    <dxf>
      <numFmt numFmtId="0" formatCode="General"/>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numFmt numFmtId="0" formatCode="General"/>
      <alignment horizontal="general"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numFmt numFmtId="19" formatCode="dd/mm/yyyy"/>
      <alignment horizontal="center" vertical="center" textRotation="0" wrapText="1" indent="0" justifyLastLine="0" shrinkToFit="0" readingOrder="0"/>
      <protection locked="0" hidden="0"/>
    </dxf>
    <dxf>
      <numFmt numFmtId="19" formatCode="dd/mm/yyyy"/>
      <alignment horizontal="center" vertical="center" textRotation="0" wrapText="1" indent="0" justifyLastLine="0" shrinkToFit="0" readingOrder="0"/>
      <protection locked="0" hidden="0"/>
    </dxf>
    <dxf>
      <numFmt numFmtId="19" formatCode="dd/mm/yyyy"/>
      <alignment horizontal="center" vertical="center" textRotation="0" wrapText="1" indent="0" justifyLastLine="0" shrinkToFit="0" readingOrder="0"/>
      <protection locked="0" hidden="0"/>
    </dxf>
    <dxf>
      <numFmt numFmtId="19" formatCode="dd/mm/yyyy"/>
      <alignment horizontal="center" vertical="center" textRotation="0" wrapText="1" indent="0" justifyLastLine="0" shrinkToFit="0" readingOrder="0"/>
      <protection locked="0" hidden="0"/>
    </dxf>
    <dxf>
      <numFmt numFmtId="19" formatCode="dd/mm/yyyy"/>
      <alignment horizontal="center" vertical="center" textRotation="0" wrapText="1" indent="0" justifyLastLine="0" shrinkToFit="0" readingOrder="0"/>
      <protection locked="0" hidden="0"/>
    </dxf>
    <dxf>
      <alignment horizontal="center"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alignment horizontal="center" vertical="center" textRotation="0" wrapText="1" indent="0" justifyLastLine="0" shrinkToFit="0" readingOrder="0"/>
      <protection locked="0" hidden="0"/>
    </dxf>
    <dxf>
      <alignment horizontal="center"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alignment horizontal="general" vertical="center" textRotation="0" wrapText="1" indent="0" justifyLastLine="0" shrinkToFit="0" readingOrder="0"/>
      <protection locked="0" hidden="0"/>
    </dxf>
    <dxf>
      <alignment horizontal="center" vertical="center" textRotation="0" wrapText="1" indent="0" justifyLastLine="0" shrinkToFit="0" readingOrder="0"/>
      <protection locked="0" hidden="0"/>
    </dxf>
    <dxf>
      <alignment horizontal="center" vertical="center" textRotation="0" wrapText="1" indent="0" justifyLastLine="0" shrinkToFit="0" readingOrder="0"/>
      <protection locked="0" hidden="0"/>
    </dxf>
    <dxf>
      <alignment horizontal="center" vertical="center" textRotation="0" wrapText="1" indent="0" justifyLastLine="0" shrinkToFit="0" readingOrder="0"/>
      <protection locked="0" hidden="0"/>
    </dxf>
    <dxf>
      <alignment horizontal="center" vertical="center" textRotation="0" wrapText="1" indent="0" justifyLastLine="0" shrinkToFit="0" readingOrder="0"/>
      <protection locked="0" hidden="0"/>
    </dxf>
    <dxf>
      <alignment horizontal="center"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general" vertical="center" wrapText="1"/>
      <protection locked="0" hidden="0"/>
    </dxf>
    <dxf>
      <alignment wrapText="1"/>
      <protection locked="0" hidden="0"/>
    </dxf>
    <dxf>
      <alignment horizontal="center" vertical="center" textRotation="0" wrapText="1" indent="0" justifyLastLine="0" shrinkToFit="0" readingOrder="0"/>
    </dxf>
  </dxfs>
  <tableStyles count="0" defaultTableStyle="TableStyleMedium2" defaultPivotStyle="PivotStyleLight16"/>
  <colors>
    <mruColors>
      <color rgb="FFCC9900"/>
      <color rgb="FF8D8A0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203200</xdr:colOff>
      <xdr:row>222</xdr:row>
      <xdr:rowOff>0</xdr:rowOff>
    </xdr:from>
    <xdr:ext cx="45719" cy="101600"/>
    <xdr:sp macro="" textlink="">
      <xdr:nvSpPr>
        <xdr:cNvPr id="2" name="CaixaDeTexto 1">
          <a:extLst>
            <a:ext uri="{FF2B5EF4-FFF2-40B4-BE49-F238E27FC236}">
              <a16:creationId xmlns:a16="http://schemas.microsoft.com/office/drawing/2014/main" id="{AB2150AF-6FA4-42CC-A227-E894AF472CFC}"/>
            </a:ext>
          </a:extLst>
        </xdr:cNvPr>
        <xdr:cNvSpPr txBox="1"/>
      </xdr:nvSpPr>
      <xdr:spPr>
        <a:xfrm flipH="1">
          <a:off x="203200" y="44405550"/>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3" name="CaixaDeTexto 2">
          <a:extLst>
            <a:ext uri="{FF2B5EF4-FFF2-40B4-BE49-F238E27FC236}">
              <a16:creationId xmlns:a16="http://schemas.microsoft.com/office/drawing/2014/main" id="{98AE915A-CAD6-4064-AC4F-C5DAD1B8017B}"/>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4" name="CaixaDeTexto 3">
          <a:extLst>
            <a:ext uri="{FF2B5EF4-FFF2-40B4-BE49-F238E27FC236}">
              <a16:creationId xmlns:a16="http://schemas.microsoft.com/office/drawing/2014/main" id="{88236475-6F98-4C7F-993E-41AC3B07EEDB}"/>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5" name="CaixaDeTexto 4">
          <a:extLst>
            <a:ext uri="{FF2B5EF4-FFF2-40B4-BE49-F238E27FC236}">
              <a16:creationId xmlns:a16="http://schemas.microsoft.com/office/drawing/2014/main" id="{B8EB5755-7A8B-471F-A872-4FB5C3C1DA86}"/>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6" name="CaixaDeTexto 5">
          <a:extLst>
            <a:ext uri="{FF2B5EF4-FFF2-40B4-BE49-F238E27FC236}">
              <a16:creationId xmlns:a16="http://schemas.microsoft.com/office/drawing/2014/main" id="{81AE2463-9595-4DF1-AEFB-9FEDC1EC577C}"/>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224</xdr:row>
      <xdr:rowOff>0</xdr:rowOff>
    </xdr:from>
    <xdr:ext cx="45719" cy="101600"/>
    <xdr:sp macro="" textlink="">
      <xdr:nvSpPr>
        <xdr:cNvPr id="7" name="CaixaDeTexto 6">
          <a:extLst>
            <a:ext uri="{FF2B5EF4-FFF2-40B4-BE49-F238E27FC236}">
              <a16:creationId xmlns:a16="http://schemas.microsoft.com/office/drawing/2014/main" id="{F329BC6D-787F-4097-9D25-6DB6567E6F67}"/>
            </a:ext>
          </a:extLst>
        </xdr:cNvPr>
        <xdr:cNvSpPr txBox="1"/>
      </xdr:nvSpPr>
      <xdr:spPr>
        <a:xfrm flipH="1">
          <a:off x="203200" y="475773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8" name="CaixaDeTexto 7">
          <a:extLst>
            <a:ext uri="{FF2B5EF4-FFF2-40B4-BE49-F238E27FC236}">
              <a16:creationId xmlns:a16="http://schemas.microsoft.com/office/drawing/2014/main" id="{53D94EBC-5922-4334-B943-5A90CD869386}"/>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9" name="CaixaDeTexto 8">
          <a:extLst>
            <a:ext uri="{FF2B5EF4-FFF2-40B4-BE49-F238E27FC236}">
              <a16:creationId xmlns:a16="http://schemas.microsoft.com/office/drawing/2014/main" id="{D20E5A9D-AD70-4EEE-AB09-C55351B25AD7}"/>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10" name="CaixaDeTexto 9">
          <a:extLst>
            <a:ext uri="{FF2B5EF4-FFF2-40B4-BE49-F238E27FC236}">
              <a16:creationId xmlns:a16="http://schemas.microsoft.com/office/drawing/2014/main" id="{226A8D69-92A5-4785-8C17-AFC276F9E8AD}"/>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11" name="CaixaDeTexto 10">
          <a:extLst>
            <a:ext uri="{FF2B5EF4-FFF2-40B4-BE49-F238E27FC236}">
              <a16:creationId xmlns:a16="http://schemas.microsoft.com/office/drawing/2014/main" id="{B3C1F108-B3EB-4DF1-A24E-F9D4C9B25548}"/>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2" name="CaixaDeTexto 11">
          <a:extLst>
            <a:ext uri="{FF2B5EF4-FFF2-40B4-BE49-F238E27FC236}">
              <a16:creationId xmlns:a16="http://schemas.microsoft.com/office/drawing/2014/main" id="{C6628D33-C56E-4896-B80A-7ED7E7BDA3CF}"/>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3" name="CaixaDeTexto 12">
          <a:extLst>
            <a:ext uri="{FF2B5EF4-FFF2-40B4-BE49-F238E27FC236}">
              <a16:creationId xmlns:a16="http://schemas.microsoft.com/office/drawing/2014/main" id="{F34D9301-3A43-4F64-BA9E-6818F286D2F3}"/>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4" name="CaixaDeTexto 13">
          <a:extLst>
            <a:ext uri="{FF2B5EF4-FFF2-40B4-BE49-F238E27FC236}">
              <a16:creationId xmlns:a16="http://schemas.microsoft.com/office/drawing/2014/main" id="{F711116C-DFA6-443F-83B2-C2AFEA58E0FC}"/>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5" name="CaixaDeTexto 14">
          <a:extLst>
            <a:ext uri="{FF2B5EF4-FFF2-40B4-BE49-F238E27FC236}">
              <a16:creationId xmlns:a16="http://schemas.microsoft.com/office/drawing/2014/main" id="{5EFEA726-A96A-423E-A32F-7431D1AF6367}"/>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6" name="CaixaDeTexto 15">
          <a:extLst>
            <a:ext uri="{FF2B5EF4-FFF2-40B4-BE49-F238E27FC236}">
              <a16:creationId xmlns:a16="http://schemas.microsoft.com/office/drawing/2014/main" id="{EB497E6B-D58D-4575-A6B4-4B07E8749952}"/>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7" name="CaixaDeTexto 16">
          <a:extLst>
            <a:ext uri="{FF2B5EF4-FFF2-40B4-BE49-F238E27FC236}">
              <a16:creationId xmlns:a16="http://schemas.microsoft.com/office/drawing/2014/main" id="{B6DDE556-70BB-41A0-8964-24532AA9AEDC}"/>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18" name="CaixaDeTexto 17">
          <a:extLst>
            <a:ext uri="{FF2B5EF4-FFF2-40B4-BE49-F238E27FC236}">
              <a16:creationId xmlns:a16="http://schemas.microsoft.com/office/drawing/2014/main" id="{24375BAB-CF77-4EBF-ADF2-D8B4AAB72C88}"/>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19" name="CaixaDeTexto 18">
          <a:extLst>
            <a:ext uri="{FF2B5EF4-FFF2-40B4-BE49-F238E27FC236}">
              <a16:creationId xmlns:a16="http://schemas.microsoft.com/office/drawing/2014/main" id="{676D1004-5929-4D66-9D34-F0C3AE53EE79}"/>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BF40FE60-43D4-421C-80BE-1BA8F888D58B}">
    <nsvFilter filterId="{26F14978-443C-43BF-BBAB-3AC6D5A7AEE7}" ref="A1:AE4078" tableId="2"/>
  </namedSheetView>
  <namedSheetView name="Exibição 2" id="{B13C61A8-0CF5-4D63-B8C4-F011F2070C0C}">
    <nsvFilter filterId="{26F14978-443C-43BF-BBAB-3AC6D5A7AEE7}" ref="A1:AE4078" tableId="2">
      <columnFilter colId="5" id="{701EC8BF-5D46-4F01-9E72-37F5C84C6204}">
        <filter colId="5">
          <x:filters>
            <x:filter val="4"/>
          </x:filters>
        </filter>
      </columnFilter>
      <columnFilter colId="6" id="{42115F63-2A60-4768-BBD4-D907E57CB424}">
        <filter colId="6">
          <x:filters>
            <x:filter val="10"/>
          </x:filters>
        </filter>
      </columnFilter>
    </nsvFilter>
  </namedSheetView>
  <namedSheetView name="Exibir1" id="{AB73308D-1B3B-4F55-86C0-2882E2AC9F8F}">
    <nsvFilter filterId="{26F14978-443C-43BF-BBAB-3AC6D5A7AEE7}" ref="A1:AE4078" tableId="2"/>
  </namedSheetView>
</namedSheetViews>
</file>

<file path=xl/persons/person.xml><?xml version="1.0" encoding="utf-8"?>
<personList xmlns="http://schemas.microsoft.com/office/spreadsheetml/2018/threadedcomments" xmlns:x="http://schemas.openxmlformats.org/spreadsheetml/2006/main">
  <person displayName="Lucia Moniz das Neves" id="{95DCFAD4-C509-4C74-A2E0-3800DE24F017}" userId="S::lucia.neves@scriba.com.br::a9d26947-3c27-4f77-a88c-9e71eb2137c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F14978-443C-43BF-BBAB-3AC6D5A7AEE7}" name="Tabela2" displayName="Tabela2" ref="A1:AE4078" totalsRowShown="0" headerRowDxfId="39" dataDxfId="38">
  <autoFilter ref="A1:AE4078" xr:uid="{26F14978-443C-43BF-BBAB-3AC6D5A7AEE7}"/>
  <tableColumns count="31">
    <tableColumn id="1" xr3:uid="{47B2C718-3485-46B9-AADB-7CD6614C956B}" name="RETRANCA" dataDxfId="37"/>
    <tableColumn id="2" xr3:uid="{6F20D1A7-51B1-4A53-83CF-50614FC1E87E}" name="STATUS" dataDxfId="36"/>
    <tableColumn id="3" xr3:uid="{E8572E99-0AB2-49AE-9897-F535E78DC59B}" name="CATEGORIA" dataDxfId="35"/>
    <tableColumn id="4" xr3:uid="{3BAA2E23-8D96-41DB-870E-717EF9F01497}" name="LOCALIZAÇÃO" dataDxfId="34"/>
    <tableColumn id="5" xr3:uid="{1B97AF7C-996A-498F-8E4F-F5114662DCAE}" name="PÁGINA" dataDxfId="33"/>
    <tableColumn id="6" xr3:uid="{701EC8BF-5D46-4F01-9E72-37F5C84C6204}" name="VOLUME" dataDxfId="32"/>
    <tableColumn id="7" xr3:uid="{42115F63-2A60-4768-BBD4-D907E57CB424}" name="UNIDADE" dataDxfId="31"/>
    <tableColumn id="8" xr3:uid="{8E407FD3-50F6-4CC1-A2B4-EDA18ADCE3EB}" name="CAPÍTULO _x000a_ ou_x000a_ SEÇÃO" dataDxfId="30"/>
    <tableColumn id="9" xr3:uid="{F6258D69-7676-4635-B739-B385D000AE2F}" name="TIPO" dataDxfId="29"/>
    <tableColumn id="10" xr3:uid="{4DD8887C-979F-4883-A85F-C815DE05EFC4}" name="NOME DA OBRA_x000a_ PARA RESGATE" dataDxfId="28"/>
    <tableColumn id="11" xr3:uid="{6AE351D3-5B1B-4747-80E2-2C6E7096156C}" name="PÁGINA PARA RESGATE" dataDxfId="27"/>
    <tableColumn id="12" xr3:uid="{952EC93C-92B5-4133-9AEA-04AF281045BE}" name="VOLUME PARA RESGATE" dataDxfId="26"/>
    <tableColumn id="13" xr3:uid="{57087D3E-8F9F-4743-8F04-3C6E29F5FEF7}" name="VERSÃO PARA RESGATE" dataDxfId="25"/>
    <tableColumn id="14" xr3:uid="{C9E5A9B8-DDE9-4844-B5BF-DF220C1DD168}" name="PROPRIEDADE" dataDxfId="24"/>
    <tableColumn id="15" xr3:uid="{562820C1-46A0-42B2-950F-AED0FB5E62E7}" name="DESCRIÇÃO DA IMAGEM" dataDxfId="23"/>
    <tableColumn id="16" xr3:uid="{C1FEADE5-978E-42A0-A72B-4B75CDF0847D}" name="ILUSTRADOR RESGATE" dataDxfId="22"/>
    <tableColumn id="17" xr3:uid="{9EC1C14E-FE8F-416B-8F0B-F1829EFD032D}" name="OBSERVAÇÃO DO EDITORIAL/NÚCLEO" dataDxfId="21"/>
    <tableColumn id="18" xr3:uid="{1445C9B1-3AFA-4B92-985F-63C0113E7064}" name="LOTE" dataDxfId="20"/>
    <tableColumn id="19" xr3:uid="{DC238784-0E4D-4DC4-B1E6-1E19ACD2AA8D}" name="DATA DE LIBERAÇÃO DO LOTE PARA ARTE " dataDxfId="19"/>
    <tableColumn id="20" xr3:uid="{0C20AC60-0820-4D59-B1C1-6D84A4B9FA66}" name="DATA DE ENVIO _x000a_DO PEDIDO" dataDxfId="18"/>
    <tableColumn id="21" xr3:uid="{DDDDF8E2-4440-46FA-8A2E-11BFA188E1C2}" name="DATA DO RECEBIMENTO _x000a_DO RAFE" dataDxfId="17"/>
    <tableColumn id="22" xr3:uid="{FE78F000-3E98-407F-A684-34560ED2CEE0}" name="DATA DE RETORNO DO RAFE PARA ILUSTRADOR" dataDxfId="16"/>
    <tableColumn id="23" xr3:uid="{2847C90F-EB07-4DB4-B575-0FC03C222849}" name="DATA DE RECEBIMENTO_x000a_ DA FINALIZADA" dataDxfId="15"/>
    <tableColumn id="24" xr3:uid="{14797CE0-E66E-45A5-8181-5A2482F775E9}" name="SIGLA" dataDxfId="14"/>
    <tableColumn id="25" xr3:uid="{A1C665BD-8ED6-4CD6-88D0-C67BAF49562F}" name="ILUSTRADOR CRIAÇÃO" dataDxfId="13">
      <calculatedColumnFormula>IF(Tabela2[[#This Row],[SIGLA]]="","",VLOOKUP(Tabela2[[#This Row],[SIGLA]],Tabela1[[#All],[Sigla Arte]:[Crédito]],2,0))</calculatedColumnFormula>
    </tableColumn>
    <tableColumn id="26" xr3:uid="{12E00CAD-6FD2-4BBD-B590-5DBCF5457DD0}" name="ILUSTRADOR AJUSTES" dataDxfId="12"/>
    <tableColumn id="27" xr3:uid="{DB4DAD23-FDE3-4C38-AFEF-6E9484181939}" name="CRÉDITOS  (A e B)" dataDxfId="11">
      <calculatedColumnFormula>Tabela2[[#This Row],[ILUSTRADOR CRIAÇÃO]]</calculatedColumnFormula>
    </tableColumn>
    <tableColumn id="28" xr3:uid="{A2773F6F-7648-4C4E-A050-6FF08F4C6FD3}" name="CLASSIFICAÇÃO" dataDxfId="10"/>
    <tableColumn id="29" xr3:uid="{5A4B66D0-8557-4F1B-921F-35C87DD256F5}" name="OBSERVAÇÃO DA ARTE" dataDxfId="9"/>
    <tableColumn id="30" xr3:uid="{EB5C8D02-71DF-417B-98C8-2041FFF8D781}" name="OBSERVAÇÃO DE PAGAMENTO" dataDxfId="8"/>
    <tableColumn id="31" xr3:uid="{81BC28F8-346B-49BF-9B96-5CACD15820DD}" name="PROJETO" dataDxfId="7">
      <calculatedColumnFormula>"EF1 E002 Mat"</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BE67D7-BEB7-4864-B672-C92E8F50EA1C}" name="Tabela1" displayName="Tabela1" ref="A2:C338" totalsRowShown="0" headerRowDxfId="6" headerRowBorderDxfId="5" tableBorderDxfId="4" totalsRowBorderDxfId="3">
  <autoFilter ref="A2:C338" xr:uid="{CFBE67D7-BEB7-4864-B672-C92E8F50EA1C}"/>
  <tableColumns count="3">
    <tableColumn id="1" xr3:uid="{C36DD153-B2B3-4F39-B82B-DEB76EB2AD26}" name="Nome do ilustrador" dataDxfId="2"/>
    <tableColumn id="2" xr3:uid="{7E763C3D-6CCA-41C5-A4A9-02759A77B5A2}" name="Sigla Arte" dataDxfId="1"/>
    <tableColumn id="3" xr3:uid="{E9D26475-B0A0-4DE9-BA83-B2BE3B504CD0}" name="Crédito" dataDxfId="0"/>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4-03-04T13:14:27.82" personId="{95DCFAD4-C509-4C74-A2E0-3800DE24F017}" id="{6F3398B8-B840-468D-BE1F-8A152702A72D}">
    <text xml:space="preserve">Sempre confirmar no inicio do projeto esses créditos em verde com a Iconografia.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BF5A-5CAC-45B3-A283-F5407C43288F}">
  <dimension ref="A1:AE4078"/>
  <sheetViews>
    <sheetView tabSelected="1" zoomScaleNormal="100" workbookViewId="0">
      <pane xSplit="2" topLeftCell="T1" activePane="topRight" state="frozen"/>
      <selection pane="topRight" activeCell="AB4082" sqref="AB4082"/>
    </sheetView>
  </sheetViews>
  <sheetFormatPr defaultColWidth="9.140625" defaultRowHeight="15" x14ac:dyDescent="0.25"/>
  <cols>
    <col min="1" max="1" width="25.5703125" style="35" customWidth="1"/>
    <col min="2" max="2" width="15" style="40" customWidth="1"/>
    <col min="3" max="3" width="12.5703125" style="40" customWidth="1"/>
    <col min="4" max="4" width="15.28515625" style="41" customWidth="1"/>
    <col min="5" max="5" width="12.42578125" style="41" customWidth="1"/>
    <col min="6" max="6" width="10.5703125" style="41" customWidth="1"/>
    <col min="7" max="7" width="11.140625" style="41" customWidth="1"/>
    <col min="8" max="8" width="13.5703125" style="41" customWidth="1"/>
    <col min="9" max="9" width="9.140625" style="35" customWidth="1"/>
    <col min="10" max="10" width="6.85546875" style="35" hidden="1" customWidth="1"/>
    <col min="11" max="11" width="5.140625" style="41" hidden="1" customWidth="1"/>
    <col min="12" max="12" width="4.85546875" style="41" hidden="1" customWidth="1"/>
    <col min="13" max="13" width="2.5703125" style="35" hidden="1" customWidth="1"/>
    <col min="14" max="14" width="5.28515625" style="35" hidden="1" customWidth="1"/>
    <col min="15" max="15" width="55.140625" style="40" customWidth="1"/>
    <col min="16" max="16" width="23.85546875" style="40" customWidth="1"/>
    <col min="17" max="17" width="9.140625" style="40" customWidth="1"/>
    <col min="18" max="18" width="15.5703125" style="41" customWidth="1"/>
    <col min="19" max="19" width="19" style="42" customWidth="1"/>
    <col min="20" max="20" width="15.28515625" style="42" customWidth="1"/>
    <col min="21" max="21" width="16.5703125" style="42" customWidth="1"/>
    <col min="22" max="23" width="18.7109375" style="42" customWidth="1"/>
    <col min="24" max="24" width="8.85546875" style="41" customWidth="1"/>
    <col min="25" max="25" width="53.7109375" style="35" customWidth="1"/>
    <col min="26" max="26" width="38.28515625" style="35" customWidth="1"/>
    <col min="27" max="27" width="59.42578125" style="35" customWidth="1"/>
    <col min="28" max="28" width="16.5703125" style="41" customWidth="1"/>
    <col min="29" max="29" width="35.5703125" style="40" customWidth="1"/>
    <col min="30" max="30" width="19.42578125" style="16" customWidth="1"/>
    <col min="31" max="31" width="13.7109375" style="35" bestFit="1" customWidth="1"/>
    <col min="32" max="16384" width="9.140625" style="9"/>
  </cols>
  <sheetData>
    <row r="1" spans="1:31" ht="66" customHeight="1" x14ac:dyDescent="0.25">
      <c r="A1" s="30"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14" t="s">
        <v>18</v>
      </c>
      <c r="T1" s="11" t="s">
        <v>19</v>
      </c>
      <c r="U1" s="11" t="s">
        <v>20</v>
      </c>
      <c r="V1" s="11" t="s">
        <v>21</v>
      </c>
      <c r="W1" s="12" t="s">
        <v>22</v>
      </c>
      <c r="X1" s="8" t="s">
        <v>23</v>
      </c>
      <c r="Y1" s="10" t="s">
        <v>24</v>
      </c>
      <c r="Z1" s="8" t="s">
        <v>25</v>
      </c>
      <c r="AA1" s="10" t="s">
        <v>26</v>
      </c>
      <c r="AB1" s="8" t="s">
        <v>27</v>
      </c>
      <c r="AC1" s="8" t="s">
        <v>28</v>
      </c>
      <c r="AD1" s="15" t="s">
        <v>29</v>
      </c>
      <c r="AE1" s="13" t="s">
        <v>30</v>
      </c>
    </row>
    <row r="2" spans="1:31" s="36" customFormat="1" ht="105" x14ac:dyDescent="0.25">
      <c r="A2" s="31" t="s">
        <v>31</v>
      </c>
      <c r="B2" s="16" t="s">
        <v>32</v>
      </c>
      <c r="C2" s="16" t="s">
        <v>33</v>
      </c>
      <c r="D2" s="33" t="s">
        <v>34</v>
      </c>
      <c r="E2" s="33">
        <v>57</v>
      </c>
      <c r="F2" s="33">
        <v>1</v>
      </c>
      <c r="G2" s="33">
        <v>2</v>
      </c>
      <c r="H2" s="33"/>
      <c r="I2" s="31" t="s">
        <v>35</v>
      </c>
      <c r="J2" s="31"/>
      <c r="K2" s="33"/>
      <c r="L2" s="33"/>
      <c r="M2" s="31"/>
      <c r="N2" s="31"/>
      <c r="O2" s="16" t="s">
        <v>36</v>
      </c>
      <c r="P2" s="16"/>
      <c r="Q2" s="16"/>
      <c r="R2" s="33">
        <v>1</v>
      </c>
      <c r="S2" s="34">
        <v>45729</v>
      </c>
      <c r="T2" s="34">
        <v>45729</v>
      </c>
      <c r="U2" s="34"/>
      <c r="V2" s="34"/>
      <c r="W2" s="34">
        <v>45729</v>
      </c>
      <c r="X2" s="33" t="s">
        <v>37</v>
      </c>
      <c r="Y2" s="35" t="str">
        <f>IF(Tabela2[[#This Row],[SIGLA]]="","",VLOOKUP(Tabela2[[#This Row],[SIGLA]],Tabela1[[#All],[Sigla Arte]:[Crédito]],2,0))</f>
        <v>CAIO TANAKA/ARQUIVO DA EDITORA</v>
      </c>
      <c r="Z2" s="31" t="s">
        <v>38</v>
      </c>
      <c r="AA2" s="31" t="str">
        <f>Tabela2[[#This Row],[ILUSTRADOR CRIAÇÃO]]</f>
        <v>CAIO TANAKA/ARQUIVO DA EDITORA</v>
      </c>
      <c r="AB2" s="33">
        <v>14</v>
      </c>
      <c r="AC2" s="16" t="s">
        <v>39</v>
      </c>
      <c r="AD2" s="16" t="s">
        <v>40</v>
      </c>
      <c r="AE2" s="35" t="str">
        <f t="shared" ref="AE2:AE65" si="0">"EF1 E002 Mat"</f>
        <v>EF1 E002 Mat</v>
      </c>
    </row>
    <row r="3" spans="1:31" s="36" customFormat="1" ht="135" x14ac:dyDescent="0.25">
      <c r="A3" s="31" t="s">
        <v>41</v>
      </c>
      <c r="B3" s="16" t="s">
        <v>32</v>
      </c>
      <c r="C3" s="16" t="s">
        <v>33</v>
      </c>
      <c r="D3" s="33" t="s">
        <v>34</v>
      </c>
      <c r="E3" s="33">
        <v>58</v>
      </c>
      <c r="F3" s="33">
        <v>1</v>
      </c>
      <c r="G3" s="33">
        <v>2</v>
      </c>
      <c r="H3" s="33"/>
      <c r="I3" s="31" t="s">
        <v>35</v>
      </c>
      <c r="J3" s="31"/>
      <c r="K3" s="33"/>
      <c r="L3" s="33"/>
      <c r="M3" s="31"/>
      <c r="N3" s="31"/>
      <c r="O3" s="16" t="s">
        <v>42</v>
      </c>
      <c r="P3" s="16"/>
      <c r="Q3" s="16"/>
      <c r="R3" s="33">
        <v>29</v>
      </c>
      <c r="S3" s="34">
        <v>45764</v>
      </c>
      <c r="T3" s="34">
        <v>45764</v>
      </c>
      <c r="U3" s="34"/>
      <c r="V3" s="34"/>
      <c r="W3" s="34">
        <v>45770</v>
      </c>
      <c r="X3" s="33" t="s">
        <v>43</v>
      </c>
      <c r="Y3" s="35" t="str">
        <f>IF(Tabela2[[#This Row],[SIGLA]]="","",VLOOKUP(Tabela2[[#This Row],[SIGLA]],Tabela1[[#All],[Sigla Arte]:[Crédito]],2,0))</f>
        <v>GUILHERME RODRIGUES/ARQUIVO DA EDITORA</v>
      </c>
      <c r="Z3" s="31" t="s">
        <v>38</v>
      </c>
      <c r="AA3" s="31" t="str">
        <f>Tabela2[[#This Row],[ILUSTRADOR CRIAÇÃO]]</f>
        <v>GUILHERME RODRIGUES/ARQUIVO DA EDITORA</v>
      </c>
      <c r="AB3" s="33">
        <v>14</v>
      </c>
      <c r="AC3" s="16" t="s">
        <v>44</v>
      </c>
      <c r="AD3" s="16" t="s">
        <v>40</v>
      </c>
      <c r="AE3" s="35" t="str">
        <f t="shared" si="0"/>
        <v>EF1 E002 Mat</v>
      </c>
    </row>
    <row r="4" spans="1:31" s="36" customFormat="1" ht="45" x14ac:dyDescent="0.25">
      <c r="A4" s="31" t="s">
        <v>45</v>
      </c>
      <c r="B4" s="16" t="s">
        <v>32</v>
      </c>
      <c r="C4" s="16" t="s">
        <v>33</v>
      </c>
      <c r="D4" s="33" t="s">
        <v>34</v>
      </c>
      <c r="E4" s="33">
        <v>58</v>
      </c>
      <c r="F4" s="33">
        <v>1</v>
      </c>
      <c r="G4" s="33">
        <v>2</v>
      </c>
      <c r="H4" s="33"/>
      <c r="I4" s="31" t="s">
        <v>46</v>
      </c>
      <c r="J4" s="31"/>
      <c r="K4" s="33"/>
      <c r="L4" s="33"/>
      <c r="M4" s="31"/>
      <c r="N4" s="31"/>
      <c r="O4" s="16" t="s">
        <v>47</v>
      </c>
      <c r="P4" s="16"/>
      <c r="Q4" s="16"/>
      <c r="R4" s="33"/>
      <c r="S4" s="34"/>
      <c r="T4" s="34"/>
      <c r="U4" s="34"/>
      <c r="V4" s="34"/>
      <c r="W4" s="34"/>
      <c r="X4" s="33" t="s">
        <v>48</v>
      </c>
      <c r="Y4" s="35" t="str">
        <f>IF(Tabela2[[#This Row],[SIGLA]]="","",VLOOKUP(Tabela2[[#This Row],[SIGLA]],Tabela1[[#All],[Sigla Arte]:[Crédito]],2,0))</f>
        <v>SERGIO LIMA/ARQUIVO DA EDITORA</v>
      </c>
      <c r="Z4" s="31"/>
      <c r="AA4" s="31" t="str">
        <f>Tabela2[[#This Row],[ILUSTRADOR CRIAÇÃO]]</f>
        <v>SERGIO LIMA/ARQUIVO DA EDITORA</v>
      </c>
      <c r="AB4" s="33"/>
      <c r="AC4" s="16"/>
      <c r="AD4" s="16"/>
      <c r="AE4" s="35" t="str">
        <f t="shared" si="0"/>
        <v>EF1 E002 Mat</v>
      </c>
    </row>
    <row r="5" spans="1:31" s="36" customFormat="1" ht="45" x14ac:dyDescent="0.25">
      <c r="A5" s="31" t="s">
        <v>49</v>
      </c>
      <c r="B5" s="16" t="s">
        <v>32</v>
      </c>
      <c r="C5" s="16" t="s">
        <v>33</v>
      </c>
      <c r="D5" s="33" t="s">
        <v>34</v>
      </c>
      <c r="E5" s="33">
        <v>58</v>
      </c>
      <c r="F5" s="33">
        <v>1</v>
      </c>
      <c r="G5" s="33">
        <v>2</v>
      </c>
      <c r="H5" s="33"/>
      <c r="I5" s="31" t="s">
        <v>46</v>
      </c>
      <c r="J5" s="31"/>
      <c r="K5" s="33"/>
      <c r="L5" s="33"/>
      <c r="M5" s="31"/>
      <c r="N5" s="31"/>
      <c r="O5" s="16" t="s">
        <v>50</v>
      </c>
      <c r="P5" s="16"/>
      <c r="Q5" s="16"/>
      <c r="R5" s="33"/>
      <c r="S5" s="34"/>
      <c r="T5" s="34"/>
      <c r="U5" s="34"/>
      <c r="V5" s="34"/>
      <c r="W5" s="34"/>
      <c r="X5" s="33" t="s">
        <v>48</v>
      </c>
      <c r="Y5" s="35" t="str">
        <f>IF(Tabela2[[#This Row],[SIGLA]]="","",VLOOKUP(Tabela2[[#This Row],[SIGLA]],Tabela1[[#All],[Sigla Arte]:[Crédito]],2,0))</f>
        <v>SERGIO LIMA/ARQUIVO DA EDITORA</v>
      </c>
      <c r="Z5" s="31"/>
      <c r="AA5" s="31" t="str">
        <f>Tabela2[[#This Row],[ILUSTRADOR CRIAÇÃO]]</f>
        <v>SERGIO LIMA/ARQUIVO DA EDITORA</v>
      </c>
      <c r="AB5" s="33"/>
      <c r="AC5" s="16"/>
      <c r="AD5" s="16"/>
      <c r="AE5" s="35" t="str">
        <f t="shared" si="0"/>
        <v>EF1 E002 Mat</v>
      </c>
    </row>
    <row r="6" spans="1:31" s="36" customFormat="1" ht="45" x14ac:dyDescent="0.25">
      <c r="A6" s="31" t="s">
        <v>51</v>
      </c>
      <c r="B6" s="16" t="s">
        <v>32</v>
      </c>
      <c r="C6" s="16" t="s">
        <v>33</v>
      </c>
      <c r="D6" s="33" t="s">
        <v>34</v>
      </c>
      <c r="E6" s="33">
        <v>59</v>
      </c>
      <c r="F6" s="33">
        <v>1</v>
      </c>
      <c r="G6" s="33">
        <v>2</v>
      </c>
      <c r="H6" s="33"/>
      <c r="I6" s="31" t="s">
        <v>46</v>
      </c>
      <c r="J6" s="31"/>
      <c r="K6" s="33"/>
      <c r="L6" s="33"/>
      <c r="M6" s="31"/>
      <c r="N6" s="31"/>
      <c r="O6" s="16" t="s">
        <v>52</v>
      </c>
      <c r="P6" s="16"/>
      <c r="Q6" s="16"/>
      <c r="R6" s="33"/>
      <c r="S6" s="34"/>
      <c r="T6" s="34"/>
      <c r="U6" s="34"/>
      <c r="V6" s="34"/>
      <c r="W6" s="34"/>
      <c r="X6" s="33" t="s">
        <v>43</v>
      </c>
      <c r="Y6" s="35" t="str">
        <f>IF(Tabela2[[#This Row],[SIGLA]]="","",VLOOKUP(Tabela2[[#This Row],[SIGLA]],Tabela1[[#All],[Sigla Arte]:[Crédito]],2,0))</f>
        <v>GUILHERME RODRIGUES/ARQUIVO DA EDITORA</v>
      </c>
      <c r="Z6" s="31"/>
      <c r="AA6" s="31" t="str">
        <f>Tabela2[[#This Row],[ILUSTRADOR CRIAÇÃO]]</f>
        <v>GUILHERME RODRIGUES/ARQUIVO DA EDITORA</v>
      </c>
      <c r="AB6" s="33"/>
      <c r="AC6" s="16"/>
      <c r="AD6" s="16"/>
      <c r="AE6" s="35" t="str">
        <f t="shared" si="0"/>
        <v>EF1 E002 Mat</v>
      </c>
    </row>
    <row r="7" spans="1:31" s="36" customFormat="1" ht="30" x14ac:dyDescent="0.25">
      <c r="A7" s="37" t="s">
        <v>53</v>
      </c>
      <c r="B7" s="16" t="s">
        <v>32</v>
      </c>
      <c r="C7" s="16" t="s">
        <v>33</v>
      </c>
      <c r="D7" s="33" t="s">
        <v>34</v>
      </c>
      <c r="E7" s="33">
        <v>59</v>
      </c>
      <c r="F7" s="33">
        <v>1</v>
      </c>
      <c r="G7" s="33">
        <v>2</v>
      </c>
      <c r="H7" s="33"/>
      <c r="I7" s="31" t="s">
        <v>46</v>
      </c>
      <c r="J7" s="31"/>
      <c r="K7" s="33"/>
      <c r="L7" s="33"/>
      <c r="M7" s="31"/>
      <c r="N7" s="31"/>
      <c r="O7" s="16" t="s">
        <v>54</v>
      </c>
      <c r="P7" s="16"/>
      <c r="Q7" s="16"/>
      <c r="R7" s="33"/>
      <c r="S7" s="34"/>
      <c r="T7" s="34"/>
      <c r="U7" s="34"/>
      <c r="V7" s="34"/>
      <c r="W7" s="34"/>
      <c r="X7" s="33" t="s">
        <v>43</v>
      </c>
      <c r="Y7" s="35" t="str">
        <f>IF(Tabela2[[#This Row],[SIGLA]]="","",VLOOKUP(Tabela2[[#This Row],[SIGLA]],Tabela1[[#All],[Sigla Arte]:[Crédito]],2,0))</f>
        <v>GUILHERME RODRIGUES/ARQUIVO DA EDITORA</v>
      </c>
      <c r="Z7" s="31"/>
      <c r="AA7" s="31" t="str">
        <f>Tabela2[[#This Row],[ILUSTRADOR CRIAÇÃO]]</f>
        <v>GUILHERME RODRIGUES/ARQUIVO DA EDITORA</v>
      </c>
      <c r="AB7" s="33"/>
      <c r="AC7" s="16"/>
      <c r="AD7" s="16"/>
      <c r="AE7" s="35" t="str">
        <f t="shared" si="0"/>
        <v>EF1 E002 Mat</v>
      </c>
    </row>
    <row r="8" spans="1:31" s="36" customFormat="1" ht="90" x14ac:dyDescent="0.25">
      <c r="A8" s="31" t="s">
        <v>55</v>
      </c>
      <c r="B8" s="16" t="s">
        <v>32</v>
      </c>
      <c r="C8" s="16" t="s">
        <v>33</v>
      </c>
      <c r="D8" s="33" t="s">
        <v>34</v>
      </c>
      <c r="E8" s="33">
        <v>59</v>
      </c>
      <c r="F8" s="33">
        <v>1</v>
      </c>
      <c r="G8" s="33">
        <v>2</v>
      </c>
      <c r="H8" s="33"/>
      <c r="I8" s="31" t="s">
        <v>35</v>
      </c>
      <c r="J8" s="31"/>
      <c r="K8" s="33"/>
      <c r="L8" s="33"/>
      <c r="M8" s="31"/>
      <c r="N8" s="31"/>
      <c r="O8" s="16" t="s">
        <v>56</v>
      </c>
      <c r="P8" s="16"/>
      <c r="Q8" s="16"/>
      <c r="R8" s="33">
        <v>29</v>
      </c>
      <c r="S8" s="34">
        <v>45764</v>
      </c>
      <c r="T8" s="34">
        <v>45764</v>
      </c>
      <c r="U8" s="34"/>
      <c r="V8" s="34"/>
      <c r="W8" s="34">
        <v>45770</v>
      </c>
      <c r="X8" s="33" t="s">
        <v>43</v>
      </c>
      <c r="Y8" s="35" t="str">
        <f>IF(Tabela2[[#This Row],[SIGLA]]="","",VLOOKUP(Tabela2[[#This Row],[SIGLA]],Tabela1[[#All],[Sigla Arte]:[Crédito]],2,0))</f>
        <v>GUILHERME RODRIGUES/ARQUIVO DA EDITORA</v>
      </c>
      <c r="Z8" s="31" t="s">
        <v>38</v>
      </c>
      <c r="AA8" s="31" t="str">
        <f>Tabela2[[#This Row],[ILUSTRADOR CRIAÇÃO]]</f>
        <v>GUILHERME RODRIGUES/ARQUIVO DA EDITORA</v>
      </c>
      <c r="AB8" s="33">
        <v>14</v>
      </c>
      <c r="AC8" s="16" t="s">
        <v>44</v>
      </c>
      <c r="AD8" s="16" t="s">
        <v>40</v>
      </c>
      <c r="AE8" s="35" t="str">
        <f t="shared" si="0"/>
        <v>EF1 E002 Mat</v>
      </c>
    </row>
    <row r="9" spans="1:31" s="36" customFormat="1" ht="30" x14ac:dyDescent="0.25">
      <c r="A9" s="31" t="s">
        <v>57</v>
      </c>
      <c r="B9" s="16" t="s">
        <v>32</v>
      </c>
      <c r="C9" s="16" t="s">
        <v>33</v>
      </c>
      <c r="D9" s="33" t="s">
        <v>34</v>
      </c>
      <c r="E9" s="33">
        <v>59</v>
      </c>
      <c r="F9" s="33">
        <v>1</v>
      </c>
      <c r="G9" s="33">
        <v>2</v>
      </c>
      <c r="H9" s="33"/>
      <c r="I9" s="31" t="s">
        <v>46</v>
      </c>
      <c r="J9" s="31"/>
      <c r="K9" s="33"/>
      <c r="L9" s="33"/>
      <c r="M9" s="31"/>
      <c r="N9" s="31"/>
      <c r="O9" s="16" t="s">
        <v>58</v>
      </c>
      <c r="P9" s="16"/>
      <c r="Q9" s="16"/>
      <c r="R9" s="33"/>
      <c r="S9" s="34"/>
      <c r="T9" s="34"/>
      <c r="U9" s="34"/>
      <c r="V9" s="34"/>
      <c r="W9" s="34"/>
      <c r="X9" s="33" t="s">
        <v>43</v>
      </c>
      <c r="Y9" s="35" t="str">
        <f>IF(Tabela2[[#This Row],[SIGLA]]="","",VLOOKUP(Tabela2[[#This Row],[SIGLA]],Tabela1[[#All],[Sigla Arte]:[Crédito]],2,0))</f>
        <v>GUILHERME RODRIGUES/ARQUIVO DA EDITORA</v>
      </c>
      <c r="Z9" s="31"/>
      <c r="AA9" s="31" t="str">
        <f>Tabela2[[#This Row],[ILUSTRADOR CRIAÇÃO]]</f>
        <v>GUILHERME RODRIGUES/ARQUIVO DA EDITORA</v>
      </c>
      <c r="AB9" s="33"/>
      <c r="AC9" s="16"/>
      <c r="AD9" s="16"/>
      <c r="AE9" s="35" t="str">
        <f t="shared" si="0"/>
        <v>EF1 E002 Mat</v>
      </c>
    </row>
    <row r="10" spans="1:31" s="36" customFormat="1" ht="45" x14ac:dyDescent="0.25">
      <c r="A10" s="31" t="s">
        <v>59</v>
      </c>
      <c r="B10" s="16" t="s">
        <v>32</v>
      </c>
      <c r="C10" s="16" t="s">
        <v>33</v>
      </c>
      <c r="D10" s="33" t="s">
        <v>34</v>
      </c>
      <c r="E10" s="33">
        <v>59</v>
      </c>
      <c r="F10" s="33">
        <v>1</v>
      </c>
      <c r="G10" s="33">
        <v>2</v>
      </c>
      <c r="H10" s="33"/>
      <c r="I10" s="31" t="s">
        <v>46</v>
      </c>
      <c r="J10" s="31"/>
      <c r="K10" s="33"/>
      <c r="L10" s="33"/>
      <c r="M10" s="31"/>
      <c r="N10" s="31"/>
      <c r="O10" s="16" t="s">
        <v>60</v>
      </c>
      <c r="P10" s="16"/>
      <c r="Q10" s="16"/>
      <c r="R10" s="33"/>
      <c r="S10" s="34"/>
      <c r="T10" s="34"/>
      <c r="U10" s="34"/>
      <c r="V10" s="34"/>
      <c r="W10" s="34"/>
      <c r="X10" s="33" t="s">
        <v>43</v>
      </c>
      <c r="Y10" s="35" t="str">
        <f>IF(Tabela2[[#This Row],[SIGLA]]="","",VLOOKUP(Tabela2[[#This Row],[SIGLA]],Tabela1[[#All],[Sigla Arte]:[Crédito]],2,0))</f>
        <v>GUILHERME RODRIGUES/ARQUIVO DA EDITORA</v>
      </c>
      <c r="Z10" s="31"/>
      <c r="AA10" s="31" t="str">
        <f>Tabela2[[#This Row],[ILUSTRADOR CRIAÇÃO]]</f>
        <v>GUILHERME RODRIGUES/ARQUIVO DA EDITORA</v>
      </c>
      <c r="AB10" s="33"/>
      <c r="AC10" s="16"/>
      <c r="AD10" s="16"/>
      <c r="AE10" s="35" t="str">
        <f t="shared" si="0"/>
        <v>EF1 E002 Mat</v>
      </c>
    </row>
    <row r="11" spans="1:31" s="36" customFormat="1" ht="30" x14ac:dyDescent="0.25">
      <c r="A11" s="31" t="s">
        <v>61</v>
      </c>
      <c r="B11" s="16" t="s">
        <v>32</v>
      </c>
      <c r="C11" s="16" t="s">
        <v>33</v>
      </c>
      <c r="D11" s="33" t="s">
        <v>34</v>
      </c>
      <c r="E11" s="33">
        <v>59</v>
      </c>
      <c r="F11" s="33">
        <v>1</v>
      </c>
      <c r="G11" s="33">
        <v>2</v>
      </c>
      <c r="H11" s="33"/>
      <c r="I11" s="31" t="s">
        <v>46</v>
      </c>
      <c r="J11" s="31"/>
      <c r="K11" s="33"/>
      <c r="L11" s="33"/>
      <c r="M11" s="31"/>
      <c r="N11" s="31"/>
      <c r="O11" s="16" t="s">
        <v>62</v>
      </c>
      <c r="P11" s="16"/>
      <c r="Q11" s="16"/>
      <c r="R11" s="33"/>
      <c r="S11" s="34"/>
      <c r="T11" s="34"/>
      <c r="U11" s="34"/>
      <c r="V11" s="34"/>
      <c r="W11" s="34"/>
      <c r="X11" s="33" t="s">
        <v>43</v>
      </c>
      <c r="Y11" s="35" t="str">
        <f>IF(Tabela2[[#This Row],[SIGLA]]="","",VLOOKUP(Tabela2[[#This Row],[SIGLA]],Tabela1[[#All],[Sigla Arte]:[Crédito]],2,0))</f>
        <v>GUILHERME RODRIGUES/ARQUIVO DA EDITORA</v>
      </c>
      <c r="Z11" s="31"/>
      <c r="AA11" s="31" t="str">
        <f>Tabela2[[#This Row],[ILUSTRADOR CRIAÇÃO]]</f>
        <v>GUILHERME RODRIGUES/ARQUIVO DA EDITORA</v>
      </c>
      <c r="AB11" s="33"/>
      <c r="AC11" s="16"/>
      <c r="AD11" s="16"/>
      <c r="AE11" s="35" t="str">
        <f t="shared" si="0"/>
        <v>EF1 E002 Mat</v>
      </c>
    </row>
    <row r="12" spans="1:31" s="36" customFormat="1" ht="75" x14ac:dyDescent="0.25">
      <c r="A12" s="31" t="s">
        <v>63</v>
      </c>
      <c r="B12" s="16" t="s">
        <v>32</v>
      </c>
      <c r="C12" s="16" t="s">
        <v>33</v>
      </c>
      <c r="D12" s="33" t="s">
        <v>34</v>
      </c>
      <c r="E12" s="33">
        <v>59</v>
      </c>
      <c r="F12" s="33">
        <v>1</v>
      </c>
      <c r="G12" s="33">
        <v>2</v>
      </c>
      <c r="H12" s="33"/>
      <c r="I12" s="31" t="s">
        <v>35</v>
      </c>
      <c r="J12" s="31"/>
      <c r="K12" s="33"/>
      <c r="L12" s="33"/>
      <c r="M12" s="31"/>
      <c r="N12" s="31"/>
      <c r="O12" s="16" t="s">
        <v>64</v>
      </c>
      <c r="P12" s="16"/>
      <c r="Q12" s="16"/>
      <c r="R12" s="33">
        <v>29</v>
      </c>
      <c r="S12" s="34">
        <v>45764</v>
      </c>
      <c r="T12" s="34">
        <v>45764</v>
      </c>
      <c r="U12" s="34"/>
      <c r="V12" s="34"/>
      <c r="W12" s="34">
        <v>45770</v>
      </c>
      <c r="X12" s="33" t="s">
        <v>43</v>
      </c>
      <c r="Y12" s="35" t="str">
        <f>IF(Tabela2[[#This Row],[SIGLA]]="","",VLOOKUP(Tabela2[[#This Row],[SIGLA]],Tabela1[[#All],[Sigla Arte]:[Crédito]],2,0))</f>
        <v>GUILHERME RODRIGUES/ARQUIVO DA EDITORA</v>
      </c>
      <c r="Z12" s="31" t="s">
        <v>38</v>
      </c>
      <c r="AA12" s="31" t="str">
        <f>Tabela2[[#This Row],[ILUSTRADOR CRIAÇÃO]]</f>
        <v>GUILHERME RODRIGUES/ARQUIVO DA EDITORA</v>
      </c>
      <c r="AB12" s="33">
        <v>14</v>
      </c>
      <c r="AC12" s="16" t="s">
        <v>44</v>
      </c>
      <c r="AD12" s="16" t="s">
        <v>40</v>
      </c>
      <c r="AE12" s="35" t="str">
        <f t="shared" si="0"/>
        <v>EF1 E002 Mat</v>
      </c>
    </row>
    <row r="13" spans="1:31" s="36" customFormat="1" ht="45" x14ac:dyDescent="0.25">
      <c r="A13" s="31" t="s">
        <v>65</v>
      </c>
      <c r="B13" s="16" t="s">
        <v>32</v>
      </c>
      <c r="C13" s="16" t="s">
        <v>33</v>
      </c>
      <c r="D13" s="33" t="s">
        <v>34</v>
      </c>
      <c r="E13" s="33">
        <v>59</v>
      </c>
      <c r="F13" s="33">
        <v>1</v>
      </c>
      <c r="G13" s="33">
        <v>2</v>
      </c>
      <c r="H13" s="33"/>
      <c r="I13" s="31" t="s">
        <v>46</v>
      </c>
      <c r="J13" s="31"/>
      <c r="K13" s="33"/>
      <c r="L13" s="33"/>
      <c r="M13" s="31"/>
      <c r="N13" s="31"/>
      <c r="O13" s="16" t="s">
        <v>66</v>
      </c>
      <c r="P13" s="16"/>
      <c r="Q13" s="16"/>
      <c r="R13" s="33"/>
      <c r="S13" s="34"/>
      <c r="T13" s="34"/>
      <c r="U13" s="34"/>
      <c r="V13" s="34"/>
      <c r="W13" s="34"/>
      <c r="X13" s="33" t="s">
        <v>43</v>
      </c>
      <c r="Y13" s="35" t="str">
        <f>IF(Tabela2[[#This Row],[SIGLA]]="","",VLOOKUP(Tabela2[[#This Row],[SIGLA]],Tabela1[[#All],[Sigla Arte]:[Crédito]],2,0))</f>
        <v>GUILHERME RODRIGUES/ARQUIVO DA EDITORA</v>
      </c>
      <c r="Z13" s="31"/>
      <c r="AA13" s="31" t="str">
        <f>Tabela2[[#This Row],[ILUSTRADOR CRIAÇÃO]]</f>
        <v>GUILHERME RODRIGUES/ARQUIVO DA EDITORA</v>
      </c>
      <c r="AB13" s="33"/>
      <c r="AC13" s="16"/>
      <c r="AD13" s="16"/>
      <c r="AE13" s="35" t="str">
        <f t="shared" si="0"/>
        <v>EF1 E002 Mat</v>
      </c>
    </row>
    <row r="14" spans="1:31" s="36" customFormat="1" ht="45" x14ac:dyDescent="0.25">
      <c r="A14" s="31" t="s">
        <v>67</v>
      </c>
      <c r="B14" s="16" t="s">
        <v>32</v>
      </c>
      <c r="C14" s="16" t="s">
        <v>33</v>
      </c>
      <c r="D14" s="33" t="s">
        <v>34</v>
      </c>
      <c r="E14" s="33">
        <v>59</v>
      </c>
      <c r="F14" s="33">
        <v>1</v>
      </c>
      <c r="G14" s="33">
        <v>2</v>
      </c>
      <c r="H14" s="33"/>
      <c r="I14" s="31" t="s">
        <v>46</v>
      </c>
      <c r="J14" s="31"/>
      <c r="K14" s="33"/>
      <c r="L14" s="33"/>
      <c r="M14" s="31"/>
      <c r="N14" s="31"/>
      <c r="O14" s="16" t="s">
        <v>68</v>
      </c>
      <c r="P14" s="16"/>
      <c r="Q14" s="16"/>
      <c r="R14" s="33"/>
      <c r="S14" s="34"/>
      <c r="T14" s="34"/>
      <c r="U14" s="34"/>
      <c r="V14" s="34"/>
      <c r="W14" s="34"/>
      <c r="X14" s="33" t="s">
        <v>43</v>
      </c>
      <c r="Y14" s="35" t="str">
        <f>IF(Tabela2[[#This Row],[SIGLA]]="","",VLOOKUP(Tabela2[[#This Row],[SIGLA]],Tabela1[[#All],[Sigla Arte]:[Crédito]],2,0))</f>
        <v>GUILHERME RODRIGUES/ARQUIVO DA EDITORA</v>
      </c>
      <c r="Z14" s="31"/>
      <c r="AA14" s="31" t="str">
        <f>Tabela2[[#This Row],[ILUSTRADOR CRIAÇÃO]]</f>
        <v>GUILHERME RODRIGUES/ARQUIVO DA EDITORA</v>
      </c>
      <c r="AB14" s="33"/>
      <c r="AC14" s="16"/>
      <c r="AD14" s="16"/>
      <c r="AE14" s="35" t="str">
        <f t="shared" si="0"/>
        <v>EF1 E002 Mat</v>
      </c>
    </row>
    <row r="15" spans="1:31" s="36" customFormat="1" ht="45" x14ac:dyDescent="0.25">
      <c r="A15" s="31" t="s">
        <v>69</v>
      </c>
      <c r="B15" s="16" t="s">
        <v>32</v>
      </c>
      <c r="C15" s="16" t="s">
        <v>33</v>
      </c>
      <c r="D15" s="33" t="s">
        <v>34</v>
      </c>
      <c r="E15" s="33">
        <v>59</v>
      </c>
      <c r="F15" s="33">
        <v>1</v>
      </c>
      <c r="G15" s="33">
        <v>2</v>
      </c>
      <c r="H15" s="33"/>
      <c r="I15" s="31" t="s">
        <v>46</v>
      </c>
      <c r="J15" s="31"/>
      <c r="K15" s="33"/>
      <c r="L15" s="33"/>
      <c r="M15" s="31"/>
      <c r="N15" s="31"/>
      <c r="O15" s="16" t="s">
        <v>70</v>
      </c>
      <c r="P15" s="16"/>
      <c r="Q15" s="16"/>
      <c r="R15" s="33"/>
      <c r="S15" s="34"/>
      <c r="T15" s="34"/>
      <c r="U15" s="34"/>
      <c r="V15" s="34"/>
      <c r="W15" s="34"/>
      <c r="X15" s="33" t="s">
        <v>43</v>
      </c>
      <c r="Y15" s="35" t="str">
        <f>IF(Tabela2[[#This Row],[SIGLA]]="","",VLOOKUP(Tabela2[[#This Row],[SIGLA]],Tabela1[[#All],[Sigla Arte]:[Crédito]],2,0))</f>
        <v>GUILHERME RODRIGUES/ARQUIVO DA EDITORA</v>
      </c>
      <c r="Z15" s="31"/>
      <c r="AA15" s="31" t="str">
        <f>Tabela2[[#This Row],[ILUSTRADOR CRIAÇÃO]]</f>
        <v>GUILHERME RODRIGUES/ARQUIVO DA EDITORA</v>
      </c>
      <c r="AB15" s="33"/>
      <c r="AC15" s="16"/>
      <c r="AD15" s="16"/>
      <c r="AE15" s="35" t="str">
        <f t="shared" si="0"/>
        <v>EF1 E002 Mat</v>
      </c>
    </row>
    <row r="16" spans="1:31" s="36" customFormat="1" ht="45" x14ac:dyDescent="0.25">
      <c r="A16" s="31" t="s">
        <v>71</v>
      </c>
      <c r="B16" s="16" t="s">
        <v>32</v>
      </c>
      <c r="C16" s="16" t="s">
        <v>33</v>
      </c>
      <c r="D16" s="33" t="s">
        <v>34</v>
      </c>
      <c r="E16" s="33">
        <v>60</v>
      </c>
      <c r="F16" s="33">
        <v>1</v>
      </c>
      <c r="G16" s="33">
        <v>2</v>
      </c>
      <c r="H16" s="33"/>
      <c r="I16" s="31" t="s">
        <v>46</v>
      </c>
      <c r="J16" s="31"/>
      <c r="K16" s="33"/>
      <c r="L16" s="33"/>
      <c r="M16" s="31"/>
      <c r="N16" s="31"/>
      <c r="O16" s="16" t="s">
        <v>72</v>
      </c>
      <c r="P16" s="16"/>
      <c r="Q16" s="16"/>
      <c r="R16" s="33"/>
      <c r="S16" s="34"/>
      <c r="T16" s="34"/>
      <c r="U16" s="34"/>
      <c r="V16" s="34"/>
      <c r="W16" s="34"/>
      <c r="X16" s="33" t="s">
        <v>43</v>
      </c>
      <c r="Y16" s="35" t="str">
        <f>IF(Tabela2[[#This Row],[SIGLA]]="","",VLOOKUP(Tabela2[[#This Row],[SIGLA]],Tabela1[[#All],[Sigla Arte]:[Crédito]],2,0))</f>
        <v>GUILHERME RODRIGUES/ARQUIVO DA EDITORA</v>
      </c>
      <c r="Z16" s="31"/>
      <c r="AA16" s="31" t="str">
        <f>Tabela2[[#This Row],[ILUSTRADOR CRIAÇÃO]]</f>
        <v>GUILHERME RODRIGUES/ARQUIVO DA EDITORA</v>
      </c>
      <c r="AB16" s="33"/>
      <c r="AC16" s="16"/>
      <c r="AD16" s="16"/>
      <c r="AE16" s="35" t="str">
        <f t="shared" si="0"/>
        <v>EF1 E002 Mat</v>
      </c>
    </row>
    <row r="17" spans="1:31" s="36" customFormat="1" ht="30" x14ac:dyDescent="0.25">
      <c r="A17" s="31" t="s">
        <v>73</v>
      </c>
      <c r="B17" s="16" t="s">
        <v>32</v>
      </c>
      <c r="C17" s="16" t="s">
        <v>33</v>
      </c>
      <c r="D17" s="33" t="s">
        <v>34</v>
      </c>
      <c r="E17" s="33">
        <v>60</v>
      </c>
      <c r="F17" s="33">
        <v>1</v>
      </c>
      <c r="G17" s="33">
        <v>2</v>
      </c>
      <c r="H17" s="33"/>
      <c r="I17" s="31" t="s">
        <v>46</v>
      </c>
      <c r="J17" s="31"/>
      <c r="K17" s="33"/>
      <c r="L17" s="33"/>
      <c r="M17" s="31"/>
      <c r="N17" s="31"/>
      <c r="O17" s="16" t="s">
        <v>74</v>
      </c>
      <c r="P17" s="16"/>
      <c r="Q17" s="16"/>
      <c r="R17" s="33"/>
      <c r="S17" s="34"/>
      <c r="T17" s="34"/>
      <c r="U17" s="34"/>
      <c r="V17" s="34"/>
      <c r="W17" s="34"/>
      <c r="X17" s="33" t="s">
        <v>48</v>
      </c>
      <c r="Y17" s="35" t="str">
        <f>IF(Tabela2[[#This Row],[SIGLA]]="","",VLOOKUP(Tabela2[[#This Row],[SIGLA]],Tabela1[[#All],[Sigla Arte]:[Crédito]],2,0))</f>
        <v>SERGIO LIMA/ARQUIVO DA EDITORA</v>
      </c>
      <c r="Z17" s="31"/>
      <c r="AA17" s="31" t="str">
        <f>Tabela2[[#This Row],[ILUSTRADOR CRIAÇÃO]]</f>
        <v>SERGIO LIMA/ARQUIVO DA EDITORA</v>
      </c>
      <c r="AB17" s="33"/>
      <c r="AC17" s="16"/>
      <c r="AD17" s="16"/>
      <c r="AE17" s="35" t="str">
        <f t="shared" si="0"/>
        <v>EF1 E002 Mat</v>
      </c>
    </row>
    <row r="18" spans="1:31" s="36" customFormat="1" ht="45" x14ac:dyDescent="0.25">
      <c r="A18" s="31" t="s">
        <v>75</v>
      </c>
      <c r="B18" s="16" t="s">
        <v>32</v>
      </c>
      <c r="C18" s="16" t="s">
        <v>33</v>
      </c>
      <c r="D18" s="33" t="s">
        <v>34</v>
      </c>
      <c r="E18" s="33">
        <v>60</v>
      </c>
      <c r="F18" s="33">
        <v>1</v>
      </c>
      <c r="G18" s="33">
        <v>2</v>
      </c>
      <c r="H18" s="33"/>
      <c r="I18" s="31" t="s">
        <v>46</v>
      </c>
      <c r="J18" s="31"/>
      <c r="K18" s="33"/>
      <c r="L18" s="33"/>
      <c r="M18" s="31"/>
      <c r="N18" s="31"/>
      <c r="O18" s="16" t="s">
        <v>76</v>
      </c>
      <c r="P18" s="16"/>
      <c r="Q18" s="16"/>
      <c r="R18" s="33"/>
      <c r="S18" s="34"/>
      <c r="T18" s="34"/>
      <c r="U18" s="34"/>
      <c r="V18" s="34"/>
      <c r="W18" s="34"/>
      <c r="X18" s="33" t="s">
        <v>48</v>
      </c>
      <c r="Y18" s="35" t="str">
        <f>IF(Tabela2[[#This Row],[SIGLA]]="","",VLOOKUP(Tabela2[[#This Row],[SIGLA]],Tabela1[[#All],[Sigla Arte]:[Crédito]],2,0))</f>
        <v>SERGIO LIMA/ARQUIVO DA EDITORA</v>
      </c>
      <c r="Z18" s="31"/>
      <c r="AA18" s="31" t="str">
        <f>Tabela2[[#This Row],[ILUSTRADOR CRIAÇÃO]]</f>
        <v>SERGIO LIMA/ARQUIVO DA EDITORA</v>
      </c>
      <c r="AB18" s="33"/>
      <c r="AC18" s="16"/>
      <c r="AD18" s="16"/>
      <c r="AE18" s="35" t="str">
        <f t="shared" si="0"/>
        <v>EF1 E002 Mat</v>
      </c>
    </row>
    <row r="19" spans="1:31" s="36" customFormat="1" ht="30" x14ac:dyDescent="0.25">
      <c r="A19" s="31" t="s">
        <v>77</v>
      </c>
      <c r="B19" s="16" t="s">
        <v>32</v>
      </c>
      <c r="C19" s="16" t="s">
        <v>33</v>
      </c>
      <c r="D19" s="33" t="s">
        <v>34</v>
      </c>
      <c r="E19" s="33">
        <v>60</v>
      </c>
      <c r="F19" s="33">
        <v>1</v>
      </c>
      <c r="G19" s="33">
        <v>2</v>
      </c>
      <c r="H19" s="33"/>
      <c r="I19" s="31" t="s">
        <v>46</v>
      </c>
      <c r="J19" s="31"/>
      <c r="K19" s="33"/>
      <c r="L19" s="33"/>
      <c r="M19" s="31"/>
      <c r="N19" s="31"/>
      <c r="O19" s="16" t="s">
        <v>78</v>
      </c>
      <c r="P19" s="16"/>
      <c r="Q19" s="16"/>
      <c r="R19" s="33"/>
      <c r="S19" s="34"/>
      <c r="T19" s="34"/>
      <c r="U19" s="34"/>
      <c r="V19" s="34"/>
      <c r="W19" s="34"/>
      <c r="X19" s="33" t="s">
        <v>48</v>
      </c>
      <c r="Y19" s="35" t="str">
        <f>IF(Tabela2[[#This Row],[SIGLA]]="","",VLOOKUP(Tabela2[[#This Row],[SIGLA]],Tabela1[[#All],[Sigla Arte]:[Crédito]],2,0))</f>
        <v>SERGIO LIMA/ARQUIVO DA EDITORA</v>
      </c>
      <c r="Z19" s="31"/>
      <c r="AA19" s="31" t="str">
        <f>Tabela2[[#This Row],[ILUSTRADOR CRIAÇÃO]]</f>
        <v>SERGIO LIMA/ARQUIVO DA EDITORA</v>
      </c>
      <c r="AB19" s="33"/>
      <c r="AC19" s="16"/>
      <c r="AD19" s="16"/>
      <c r="AE19" s="35" t="str">
        <f t="shared" si="0"/>
        <v>EF1 E002 Mat</v>
      </c>
    </row>
    <row r="20" spans="1:31" s="36" customFormat="1" ht="30" x14ac:dyDescent="0.25">
      <c r="A20" s="31" t="s">
        <v>79</v>
      </c>
      <c r="B20" s="16" t="s">
        <v>32</v>
      </c>
      <c r="C20" s="16" t="s">
        <v>33</v>
      </c>
      <c r="D20" s="33" t="s">
        <v>34</v>
      </c>
      <c r="E20" s="33">
        <v>60</v>
      </c>
      <c r="F20" s="33">
        <v>1</v>
      </c>
      <c r="G20" s="33">
        <v>2</v>
      </c>
      <c r="H20" s="33"/>
      <c r="I20" s="31" t="s">
        <v>46</v>
      </c>
      <c r="J20" s="31"/>
      <c r="K20" s="33"/>
      <c r="L20" s="33"/>
      <c r="M20" s="31"/>
      <c r="N20" s="31"/>
      <c r="O20" s="16" t="s">
        <v>80</v>
      </c>
      <c r="P20" s="16"/>
      <c r="Q20" s="16"/>
      <c r="R20" s="33"/>
      <c r="S20" s="34"/>
      <c r="T20" s="34"/>
      <c r="U20" s="34"/>
      <c r="V20" s="34"/>
      <c r="W20" s="34"/>
      <c r="X20" s="33" t="s">
        <v>48</v>
      </c>
      <c r="Y20" s="35" t="str">
        <f>IF(Tabela2[[#This Row],[SIGLA]]="","",VLOOKUP(Tabela2[[#This Row],[SIGLA]],Tabela1[[#All],[Sigla Arte]:[Crédito]],2,0))</f>
        <v>SERGIO LIMA/ARQUIVO DA EDITORA</v>
      </c>
      <c r="Z20" s="31"/>
      <c r="AA20" s="31" t="str">
        <f>Tabela2[[#This Row],[ILUSTRADOR CRIAÇÃO]]</f>
        <v>SERGIO LIMA/ARQUIVO DA EDITORA</v>
      </c>
      <c r="AB20" s="33"/>
      <c r="AC20" s="16"/>
      <c r="AD20" s="16"/>
      <c r="AE20" s="35" t="str">
        <f t="shared" si="0"/>
        <v>EF1 E002 Mat</v>
      </c>
    </row>
    <row r="21" spans="1:31" s="36" customFormat="1" ht="30" x14ac:dyDescent="0.25">
      <c r="A21" s="31" t="s">
        <v>81</v>
      </c>
      <c r="B21" s="16" t="s">
        <v>32</v>
      </c>
      <c r="C21" s="16" t="s">
        <v>33</v>
      </c>
      <c r="D21" s="33" t="s">
        <v>34</v>
      </c>
      <c r="E21" s="33">
        <v>60</v>
      </c>
      <c r="F21" s="33">
        <v>1</v>
      </c>
      <c r="G21" s="33">
        <v>2</v>
      </c>
      <c r="H21" s="33"/>
      <c r="I21" s="31" t="s">
        <v>46</v>
      </c>
      <c r="J21" s="31"/>
      <c r="K21" s="33"/>
      <c r="L21" s="33"/>
      <c r="M21" s="31"/>
      <c r="N21" s="31"/>
      <c r="O21" s="16" t="s">
        <v>82</v>
      </c>
      <c r="P21" s="16"/>
      <c r="Q21" s="16"/>
      <c r="R21" s="33"/>
      <c r="S21" s="34"/>
      <c r="T21" s="34"/>
      <c r="U21" s="34"/>
      <c r="V21" s="34"/>
      <c r="W21" s="34"/>
      <c r="X21" s="33" t="s">
        <v>48</v>
      </c>
      <c r="Y21" s="35" t="str">
        <f>IF(Tabela2[[#This Row],[SIGLA]]="","",VLOOKUP(Tabela2[[#This Row],[SIGLA]],Tabela1[[#All],[Sigla Arte]:[Crédito]],2,0))</f>
        <v>SERGIO LIMA/ARQUIVO DA EDITORA</v>
      </c>
      <c r="Z21" s="31"/>
      <c r="AA21" s="31" t="str">
        <f>Tabela2[[#This Row],[ILUSTRADOR CRIAÇÃO]]</f>
        <v>SERGIO LIMA/ARQUIVO DA EDITORA</v>
      </c>
      <c r="AB21" s="33"/>
      <c r="AC21" s="16"/>
      <c r="AD21" s="16"/>
      <c r="AE21" s="35" t="str">
        <f t="shared" si="0"/>
        <v>EF1 E002 Mat</v>
      </c>
    </row>
    <row r="22" spans="1:31" s="36" customFormat="1" ht="45" x14ac:dyDescent="0.25">
      <c r="A22" s="31" t="s">
        <v>83</v>
      </c>
      <c r="B22" s="16" t="s">
        <v>32</v>
      </c>
      <c r="C22" s="16" t="s">
        <v>33</v>
      </c>
      <c r="D22" s="33" t="s">
        <v>34</v>
      </c>
      <c r="E22" s="33">
        <v>60</v>
      </c>
      <c r="F22" s="33">
        <v>1</v>
      </c>
      <c r="G22" s="33">
        <v>2</v>
      </c>
      <c r="H22" s="33"/>
      <c r="I22" s="31" t="s">
        <v>46</v>
      </c>
      <c r="J22" s="31"/>
      <c r="K22" s="33"/>
      <c r="L22" s="33"/>
      <c r="M22" s="31"/>
      <c r="N22" s="31"/>
      <c r="O22" s="16" t="s">
        <v>84</v>
      </c>
      <c r="P22" s="16"/>
      <c r="Q22" s="16"/>
      <c r="R22" s="33"/>
      <c r="S22" s="34"/>
      <c r="T22" s="34"/>
      <c r="U22" s="34"/>
      <c r="V22" s="34"/>
      <c r="W22" s="34"/>
      <c r="X22" s="33" t="s">
        <v>85</v>
      </c>
      <c r="Y22" s="35" t="str">
        <f>IF(Tabela2[[#This Row],[SIGLA]]="","",VLOOKUP(Tabela2[[#This Row],[SIGLA]],Tabela1[[#All],[Sigla Arte]:[Crédito]],2,0))</f>
        <v>HELOÍSA PINTARELLI/ARQUIVO DA EDITORA</v>
      </c>
      <c r="Z22" s="31"/>
      <c r="AA22" s="31" t="str">
        <f>Tabela2[[#This Row],[ILUSTRADOR CRIAÇÃO]]</f>
        <v>HELOÍSA PINTARELLI/ARQUIVO DA EDITORA</v>
      </c>
      <c r="AB22" s="33"/>
      <c r="AC22" s="16"/>
      <c r="AD22" s="16"/>
      <c r="AE22" s="35" t="str">
        <f t="shared" si="0"/>
        <v>EF1 E002 Mat</v>
      </c>
    </row>
    <row r="23" spans="1:31" s="36" customFormat="1" ht="45" x14ac:dyDescent="0.25">
      <c r="A23" s="31" t="s">
        <v>86</v>
      </c>
      <c r="B23" s="16" t="s">
        <v>32</v>
      </c>
      <c r="C23" s="16" t="s">
        <v>33</v>
      </c>
      <c r="D23" s="33" t="s">
        <v>34</v>
      </c>
      <c r="E23" s="33">
        <v>60</v>
      </c>
      <c r="F23" s="33">
        <v>1</v>
      </c>
      <c r="G23" s="33">
        <v>2</v>
      </c>
      <c r="H23" s="33"/>
      <c r="I23" s="31" t="s">
        <v>35</v>
      </c>
      <c r="J23" s="31"/>
      <c r="K23" s="33"/>
      <c r="L23" s="33"/>
      <c r="M23" s="31"/>
      <c r="N23" s="31"/>
      <c r="O23" s="16" t="s">
        <v>87</v>
      </c>
      <c r="P23" s="16"/>
      <c r="Q23" s="16"/>
      <c r="R23" s="33">
        <v>165</v>
      </c>
      <c r="S23" s="34">
        <v>45916</v>
      </c>
      <c r="T23" s="34">
        <v>45916</v>
      </c>
      <c r="U23" s="34"/>
      <c r="V23" s="34"/>
      <c r="W23" s="34">
        <v>45916</v>
      </c>
      <c r="X23" s="33" t="s">
        <v>85</v>
      </c>
      <c r="Y23" s="35" t="str">
        <f>IF(Tabela2[[#This Row],[SIGLA]]="","",VLOOKUP(Tabela2[[#This Row],[SIGLA]],Tabela1[[#All],[Sigla Arte]:[Crédito]],2,0))</f>
        <v>HELOÍSA PINTARELLI/ARQUIVO DA EDITORA</v>
      </c>
      <c r="Z23" s="31" t="s">
        <v>88</v>
      </c>
      <c r="AA23" s="31" t="str">
        <f>Tabela2[[#This Row],[ILUSTRADOR CRIAÇÃO]]</f>
        <v>HELOÍSA PINTARELLI/ARQUIVO DA EDITORA</v>
      </c>
      <c r="AB23" s="33">
        <v>13</v>
      </c>
      <c r="AC23" s="16" t="s">
        <v>89</v>
      </c>
      <c r="AD23" s="16" t="s">
        <v>40</v>
      </c>
      <c r="AE23" s="35" t="str">
        <f t="shared" si="0"/>
        <v>EF1 E002 Mat</v>
      </c>
    </row>
    <row r="24" spans="1:31" s="36" customFormat="1" ht="30" x14ac:dyDescent="0.25">
      <c r="A24" s="31" t="s">
        <v>90</v>
      </c>
      <c r="B24" s="16" t="s">
        <v>32</v>
      </c>
      <c r="C24" s="16" t="s">
        <v>33</v>
      </c>
      <c r="D24" s="33" t="s">
        <v>34</v>
      </c>
      <c r="E24" s="33">
        <v>60</v>
      </c>
      <c r="F24" s="33">
        <v>1</v>
      </c>
      <c r="G24" s="33">
        <v>2</v>
      </c>
      <c r="H24" s="33"/>
      <c r="I24" s="31" t="s">
        <v>46</v>
      </c>
      <c r="J24" s="31"/>
      <c r="K24" s="33"/>
      <c r="L24" s="33"/>
      <c r="M24" s="31"/>
      <c r="N24" s="31"/>
      <c r="O24" s="16" t="s">
        <v>91</v>
      </c>
      <c r="P24" s="16"/>
      <c r="Q24" s="16"/>
      <c r="R24" s="33"/>
      <c r="S24" s="34"/>
      <c r="T24" s="34"/>
      <c r="U24" s="34"/>
      <c r="V24" s="34"/>
      <c r="W24" s="34"/>
      <c r="X24" s="33" t="s">
        <v>85</v>
      </c>
      <c r="Y24" s="35" t="str">
        <f>IF(Tabela2[[#This Row],[SIGLA]]="","",VLOOKUP(Tabela2[[#This Row],[SIGLA]],Tabela1[[#All],[Sigla Arte]:[Crédito]],2,0))</f>
        <v>HELOÍSA PINTARELLI/ARQUIVO DA EDITORA</v>
      </c>
      <c r="Z24" s="31"/>
      <c r="AA24" s="31" t="str">
        <f>Tabela2[[#This Row],[ILUSTRADOR CRIAÇÃO]]</f>
        <v>HELOÍSA PINTARELLI/ARQUIVO DA EDITORA</v>
      </c>
      <c r="AB24" s="33"/>
      <c r="AC24" s="16"/>
      <c r="AD24" s="16"/>
      <c r="AE24" s="35" t="str">
        <f t="shared" si="0"/>
        <v>EF1 E002 Mat</v>
      </c>
    </row>
    <row r="25" spans="1:31" s="36" customFormat="1" ht="45" x14ac:dyDescent="0.25">
      <c r="A25" s="31" t="s">
        <v>92</v>
      </c>
      <c r="B25" s="16" t="s">
        <v>32</v>
      </c>
      <c r="C25" s="16" t="s">
        <v>33</v>
      </c>
      <c r="D25" s="33" t="s">
        <v>34</v>
      </c>
      <c r="E25" s="33">
        <v>60</v>
      </c>
      <c r="F25" s="33">
        <v>1</v>
      </c>
      <c r="G25" s="33">
        <v>2</v>
      </c>
      <c r="H25" s="33"/>
      <c r="I25" s="31" t="s">
        <v>46</v>
      </c>
      <c r="J25" s="31"/>
      <c r="K25" s="33"/>
      <c r="L25" s="33"/>
      <c r="M25" s="31"/>
      <c r="N25" s="31"/>
      <c r="O25" s="16" t="s">
        <v>93</v>
      </c>
      <c r="P25" s="16"/>
      <c r="Q25" s="16"/>
      <c r="R25" s="33"/>
      <c r="S25" s="34"/>
      <c r="T25" s="34"/>
      <c r="U25" s="34"/>
      <c r="V25" s="34"/>
      <c r="W25" s="34"/>
      <c r="X25" s="33" t="s">
        <v>85</v>
      </c>
      <c r="Y25" s="35" t="str">
        <f>IF(Tabela2[[#This Row],[SIGLA]]="","",VLOOKUP(Tabela2[[#This Row],[SIGLA]],Tabela1[[#All],[Sigla Arte]:[Crédito]],2,0))</f>
        <v>HELOÍSA PINTARELLI/ARQUIVO DA EDITORA</v>
      </c>
      <c r="Z25" s="31"/>
      <c r="AA25" s="31" t="str">
        <f>Tabela2[[#This Row],[ILUSTRADOR CRIAÇÃO]]</f>
        <v>HELOÍSA PINTARELLI/ARQUIVO DA EDITORA</v>
      </c>
      <c r="AB25" s="33"/>
      <c r="AC25" s="16"/>
      <c r="AD25" s="16"/>
      <c r="AE25" s="35" t="str">
        <f t="shared" si="0"/>
        <v>EF1 E002 Mat</v>
      </c>
    </row>
    <row r="26" spans="1:31" s="36" customFormat="1" ht="45" x14ac:dyDescent="0.25">
      <c r="A26" s="31" t="s">
        <v>94</v>
      </c>
      <c r="B26" s="16" t="s">
        <v>32</v>
      </c>
      <c r="C26" s="16" t="s">
        <v>33</v>
      </c>
      <c r="D26" s="33" t="s">
        <v>34</v>
      </c>
      <c r="E26" s="33">
        <v>60</v>
      </c>
      <c r="F26" s="33">
        <v>1</v>
      </c>
      <c r="G26" s="33">
        <v>2</v>
      </c>
      <c r="H26" s="33"/>
      <c r="I26" s="31" t="s">
        <v>46</v>
      </c>
      <c r="J26" s="31"/>
      <c r="K26" s="33"/>
      <c r="L26" s="33"/>
      <c r="M26" s="31"/>
      <c r="N26" s="31"/>
      <c r="O26" s="16" t="s">
        <v>95</v>
      </c>
      <c r="P26" s="16"/>
      <c r="Q26" s="16"/>
      <c r="R26" s="33"/>
      <c r="S26" s="34"/>
      <c r="T26" s="34"/>
      <c r="U26" s="34"/>
      <c r="V26" s="34"/>
      <c r="W26" s="34"/>
      <c r="X26" s="33" t="s">
        <v>85</v>
      </c>
      <c r="Y26" s="35" t="str">
        <f>IF(Tabela2[[#This Row],[SIGLA]]="","",VLOOKUP(Tabela2[[#This Row],[SIGLA]],Tabela1[[#All],[Sigla Arte]:[Crédito]],2,0))</f>
        <v>HELOÍSA PINTARELLI/ARQUIVO DA EDITORA</v>
      </c>
      <c r="Z26" s="31"/>
      <c r="AA26" s="31" t="str">
        <f>Tabela2[[#This Row],[ILUSTRADOR CRIAÇÃO]]</f>
        <v>HELOÍSA PINTARELLI/ARQUIVO DA EDITORA</v>
      </c>
      <c r="AB26" s="33"/>
      <c r="AC26" s="16"/>
      <c r="AD26" s="16"/>
      <c r="AE26" s="35" t="str">
        <f t="shared" si="0"/>
        <v>EF1 E002 Mat</v>
      </c>
    </row>
    <row r="27" spans="1:31" s="36" customFormat="1" ht="45" x14ac:dyDescent="0.25">
      <c r="A27" s="31" t="s">
        <v>96</v>
      </c>
      <c r="B27" s="16" t="s">
        <v>97</v>
      </c>
      <c r="C27" s="16" t="s">
        <v>33</v>
      </c>
      <c r="D27" s="33" t="s">
        <v>34</v>
      </c>
      <c r="E27" s="33">
        <v>61</v>
      </c>
      <c r="F27" s="33">
        <v>1</v>
      </c>
      <c r="G27" s="33">
        <v>2</v>
      </c>
      <c r="H27" s="33"/>
      <c r="I27" s="31" t="s">
        <v>35</v>
      </c>
      <c r="J27" s="31"/>
      <c r="K27" s="33"/>
      <c r="L27" s="33"/>
      <c r="M27" s="31"/>
      <c r="N27" s="31"/>
      <c r="O27" s="16" t="s">
        <v>98</v>
      </c>
      <c r="P27" s="16"/>
      <c r="Q27" s="16"/>
      <c r="R27" s="33">
        <v>96</v>
      </c>
      <c r="S27" s="34" t="s">
        <v>99</v>
      </c>
      <c r="T27" s="34">
        <v>45873</v>
      </c>
      <c r="U27" s="34"/>
      <c r="V27" s="34"/>
      <c r="W27" s="34">
        <v>45873</v>
      </c>
      <c r="X27" s="33" t="s">
        <v>100</v>
      </c>
      <c r="Y27" s="35" t="str">
        <f>IF(Tabela2[[#This Row],[SIGLA]]="","",VLOOKUP(Tabela2[[#This Row],[SIGLA]],Tabela1[[#All],[Sigla Arte]:[Crédito]],2,0))</f>
        <v>DANIEL WU/ARQUIVO DA EDITORA</v>
      </c>
      <c r="Z27" s="31" t="s">
        <v>101</v>
      </c>
      <c r="AA27" s="31" t="str">
        <f>Tabela2[[#This Row],[ILUSTRADOR CRIAÇÃO]]</f>
        <v>DANIEL WU/ARQUIVO DA EDITORA</v>
      </c>
      <c r="AB27" s="33">
        <v>14</v>
      </c>
      <c r="AC27" s="16" t="s">
        <v>102</v>
      </c>
      <c r="AD27" s="16" t="s">
        <v>40</v>
      </c>
      <c r="AE27" s="35" t="str">
        <f t="shared" si="0"/>
        <v>EF1 E002 Mat</v>
      </c>
    </row>
    <row r="28" spans="1:31" s="36" customFormat="1" ht="30" x14ac:dyDescent="0.25">
      <c r="A28" s="31" t="s">
        <v>103</v>
      </c>
      <c r="B28" s="16" t="s">
        <v>32</v>
      </c>
      <c r="C28" s="16" t="s">
        <v>33</v>
      </c>
      <c r="D28" s="33" t="s">
        <v>34</v>
      </c>
      <c r="E28" s="33">
        <v>61</v>
      </c>
      <c r="F28" s="33">
        <v>1</v>
      </c>
      <c r="G28" s="33">
        <v>2</v>
      </c>
      <c r="H28" s="33"/>
      <c r="I28" s="31" t="s">
        <v>46</v>
      </c>
      <c r="J28" s="31"/>
      <c r="K28" s="33"/>
      <c r="L28" s="33"/>
      <c r="M28" s="31"/>
      <c r="N28" s="31"/>
      <c r="O28" s="16" t="s">
        <v>104</v>
      </c>
      <c r="P28" s="16"/>
      <c r="Q28" s="16"/>
      <c r="R28" s="33"/>
      <c r="S28" s="34"/>
      <c r="T28" s="34"/>
      <c r="U28" s="34"/>
      <c r="V28" s="34"/>
      <c r="W28" s="34"/>
      <c r="X28" s="33" t="s">
        <v>48</v>
      </c>
      <c r="Y28" s="35" t="str">
        <f>IF(Tabela2[[#This Row],[SIGLA]]="","",VLOOKUP(Tabela2[[#This Row],[SIGLA]],Tabela1[[#All],[Sigla Arte]:[Crédito]],2,0))</f>
        <v>SERGIO LIMA/ARQUIVO DA EDITORA</v>
      </c>
      <c r="Z28" s="31"/>
      <c r="AA28" s="31" t="str">
        <f>Tabela2[[#This Row],[ILUSTRADOR CRIAÇÃO]]</f>
        <v>SERGIO LIMA/ARQUIVO DA EDITORA</v>
      </c>
      <c r="AB28" s="33"/>
      <c r="AC28" s="16"/>
      <c r="AD28" s="16"/>
      <c r="AE28" s="35" t="str">
        <f t="shared" si="0"/>
        <v>EF1 E002 Mat</v>
      </c>
    </row>
    <row r="29" spans="1:31" s="36" customFormat="1" ht="30" x14ac:dyDescent="0.25">
      <c r="A29" s="31" t="s">
        <v>105</v>
      </c>
      <c r="B29" s="16" t="s">
        <v>32</v>
      </c>
      <c r="C29" s="16" t="s">
        <v>33</v>
      </c>
      <c r="D29" s="33" t="s">
        <v>34</v>
      </c>
      <c r="E29" s="33">
        <v>61</v>
      </c>
      <c r="F29" s="33">
        <v>1</v>
      </c>
      <c r="G29" s="33">
        <v>2</v>
      </c>
      <c r="H29" s="33"/>
      <c r="I29" s="31" t="s">
        <v>46</v>
      </c>
      <c r="J29" s="31"/>
      <c r="K29" s="33"/>
      <c r="L29" s="33"/>
      <c r="M29" s="31"/>
      <c r="N29" s="31"/>
      <c r="O29" s="16" t="s">
        <v>106</v>
      </c>
      <c r="P29" s="16"/>
      <c r="Q29" s="16"/>
      <c r="R29" s="33"/>
      <c r="S29" s="34"/>
      <c r="T29" s="34"/>
      <c r="U29" s="34"/>
      <c r="V29" s="34"/>
      <c r="W29" s="34"/>
      <c r="X29" s="33" t="s">
        <v>48</v>
      </c>
      <c r="Y29" s="35" t="str">
        <f>IF(Tabela2[[#This Row],[SIGLA]]="","",VLOOKUP(Tabela2[[#This Row],[SIGLA]],Tabela1[[#All],[Sigla Arte]:[Crédito]],2,0))</f>
        <v>SERGIO LIMA/ARQUIVO DA EDITORA</v>
      </c>
      <c r="Z29" s="31"/>
      <c r="AA29" s="31" t="str">
        <f>Tabela2[[#This Row],[ILUSTRADOR CRIAÇÃO]]</f>
        <v>SERGIO LIMA/ARQUIVO DA EDITORA</v>
      </c>
      <c r="AB29" s="33"/>
      <c r="AC29" s="16"/>
      <c r="AD29" s="16"/>
      <c r="AE29" s="35" t="str">
        <f t="shared" si="0"/>
        <v>EF1 E002 Mat</v>
      </c>
    </row>
    <row r="30" spans="1:31" s="36" customFormat="1" ht="30" x14ac:dyDescent="0.25">
      <c r="A30" s="31" t="s">
        <v>107</v>
      </c>
      <c r="B30" s="16" t="s">
        <v>32</v>
      </c>
      <c r="C30" s="16" t="s">
        <v>33</v>
      </c>
      <c r="D30" s="33" t="s">
        <v>34</v>
      </c>
      <c r="E30" s="33">
        <v>61</v>
      </c>
      <c r="F30" s="33">
        <v>1</v>
      </c>
      <c r="G30" s="33">
        <v>2</v>
      </c>
      <c r="H30" s="33"/>
      <c r="I30" s="31" t="s">
        <v>46</v>
      </c>
      <c r="J30" s="31"/>
      <c r="K30" s="33"/>
      <c r="L30" s="33"/>
      <c r="M30" s="31"/>
      <c r="N30" s="31"/>
      <c r="O30" s="16" t="s">
        <v>108</v>
      </c>
      <c r="P30" s="16"/>
      <c r="Q30" s="16"/>
      <c r="R30" s="33"/>
      <c r="S30" s="34"/>
      <c r="T30" s="34"/>
      <c r="U30" s="34"/>
      <c r="V30" s="34"/>
      <c r="W30" s="34"/>
      <c r="X30" s="33" t="s">
        <v>48</v>
      </c>
      <c r="Y30" s="35" t="str">
        <f>IF(Tabela2[[#This Row],[SIGLA]]="","",VLOOKUP(Tabela2[[#This Row],[SIGLA]],Tabela1[[#All],[Sigla Arte]:[Crédito]],2,0))</f>
        <v>SERGIO LIMA/ARQUIVO DA EDITORA</v>
      </c>
      <c r="Z30" s="31"/>
      <c r="AA30" s="31" t="str">
        <f>Tabela2[[#This Row],[ILUSTRADOR CRIAÇÃO]]</f>
        <v>SERGIO LIMA/ARQUIVO DA EDITORA</v>
      </c>
      <c r="AB30" s="33"/>
      <c r="AC30" s="16"/>
      <c r="AD30" s="16"/>
      <c r="AE30" s="35" t="str">
        <f t="shared" si="0"/>
        <v>EF1 E002 Mat</v>
      </c>
    </row>
    <row r="31" spans="1:31" s="36" customFormat="1" ht="30" x14ac:dyDescent="0.25">
      <c r="A31" s="31" t="s">
        <v>109</v>
      </c>
      <c r="B31" s="16" t="s">
        <v>32</v>
      </c>
      <c r="C31" s="16" t="s">
        <v>33</v>
      </c>
      <c r="D31" s="33" t="s">
        <v>34</v>
      </c>
      <c r="E31" s="33">
        <v>61</v>
      </c>
      <c r="F31" s="33">
        <v>1</v>
      </c>
      <c r="G31" s="33">
        <v>2</v>
      </c>
      <c r="H31" s="33"/>
      <c r="I31" s="31" t="s">
        <v>46</v>
      </c>
      <c r="J31" s="31"/>
      <c r="K31" s="33"/>
      <c r="L31" s="33"/>
      <c r="M31" s="31"/>
      <c r="N31" s="31"/>
      <c r="O31" s="16" t="s">
        <v>110</v>
      </c>
      <c r="P31" s="16"/>
      <c r="Q31" s="16"/>
      <c r="R31" s="33"/>
      <c r="S31" s="34"/>
      <c r="T31" s="34"/>
      <c r="U31" s="34"/>
      <c r="V31" s="34"/>
      <c r="W31" s="34"/>
      <c r="X31" s="33" t="s">
        <v>48</v>
      </c>
      <c r="Y31" s="35" t="str">
        <f>IF(Tabela2[[#This Row],[SIGLA]]="","",VLOOKUP(Tabela2[[#This Row],[SIGLA]],Tabela1[[#All],[Sigla Arte]:[Crédito]],2,0))</f>
        <v>SERGIO LIMA/ARQUIVO DA EDITORA</v>
      </c>
      <c r="Z31" s="31"/>
      <c r="AA31" s="31" t="str">
        <f>Tabela2[[#This Row],[ILUSTRADOR CRIAÇÃO]]</f>
        <v>SERGIO LIMA/ARQUIVO DA EDITORA</v>
      </c>
      <c r="AB31" s="33"/>
      <c r="AC31" s="16"/>
      <c r="AD31" s="16"/>
      <c r="AE31" s="35" t="str">
        <f t="shared" si="0"/>
        <v>EF1 E002 Mat</v>
      </c>
    </row>
    <row r="32" spans="1:31" s="36" customFormat="1" ht="30" x14ac:dyDescent="0.25">
      <c r="A32" s="31" t="s">
        <v>111</v>
      </c>
      <c r="B32" s="16" t="s">
        <v>32</v>
      </c>
      <c r="C32" s="16" t="s">
        <v>33</v>
      </c>
      <c r="D32" s="33" t="s">
        <v>34</v>
      </c>
      <c r="E32" s="33">
        <v>61</v>
      </c>
      <c r="F32" s="33">
        <v>1</v>
      </c>
      <c r="G32" s="33">
        <v>2</v>
      </c>
      <c r="H32" s="33"/>
      <c r="I32" s="31" t="s">
        <v>46</v>
      </c>
      <c r="J32" s="31"/>
      <c r="K32" s="33"/>
      <c r="L32" s="33"/>
      <c r="M32" s="31"/>
      <c r="N32" s="31"/>
      <c r="O32" s="16" t="s">
        <v>112</v>
      </c>
      <c r="P32" s="16"/>
      <c r="Q32" s="16"/>
      <c r="R32" s="33"/>
      <c r="S32" s="34"/>
      <c r="T32" s="34"/>
      <c r="U32" s="34"/>
      <c r="V32" s="34"/>
      <c r="W32" s="34"/>
      <c r="X32" s="33" t="s">
        <v>48</v>
      </c>
      <c r="Y32" s="35" t="str">
        <f>IF(Tabela2[[#This Row],[SIGLA]]="","",VLOOKUP(Tabela2[[#This Row],[SIGLA]],Tabela1[[#All],[Sigla Arte]:[Crédito]],2,0))</f>
        <v>SERGIO LIMA/ARQUIVO DA EDITORA</v>
      </c>
      <c r="Z32" s="31"/>
      <c r="AA32" s="31" t="str">
        <f>Tabela2[[#This Row],[ILUSTRADOR CRIAÇÃO]]</f>
        <v>SERGIO LIMA/ARQUIVO DA EDITORA</v>
      </c>
      <c r="AB32" s="33"/>
      <c r="AC32" s="16"/>
      <c r="AD32" s="16"/>
      <c r="AE32" s="35" t="str">
        <f t="shared" si="0"/>
        <v>EF1 E002 Mat</v>
      </c>
    </row>
    <row r="33" spans="1:31" s="36" customFormat="1" ht="30" x14ac:dyDescent="0.25">
      <c r="A33" s="31" t="s">
        <v>113</v>
      </c>
      <c r="B33" s="16" t="s">
        <v>32</v>
      </c>
      <c r="C33" s="16" t="s">
        <v>33</v>
      </c>
      <c r="D33" s="33" t="s">
        <v>34</v>
      </c>
      <c r="E33" s="33">
        <v>62</v>
      </c>
      <c r="F33" s="33">
        <v>1</v>
      </c>
      <c r="G33" s="33">
        <v>2</v>
      </c>
      <c r="H33" s="33"/>
      <c r="I33" s="31" t="s">
        <v>46</v>
      </c>
      <c r="J33" s="31"/>
      <c r="K33" s="33"/>
      <c r="L33" s="33"/>
      <c r="M33" s="31"/>
      <c r="N33" s="31"/>
      <c r="O33" s="16" t="s">
        <v>114</v>
      </c>
      <c r="P33" s="16"/>
      <c r="Q33" s="16"/>
      <c r="R33" s="33"/>
      <c r="S33" s="34"/>
      <c r="T33" s="34"/>
      <c r="U33" s="34"/>
      <c r="V33" s="34"/>
      <c r="W33" s="34"/>
      <c r="X33" s="33" t="s">
        <v>48</v>
      </c>
      <c r="Y33" s="35" t="str">
        <f>IF(Tabela2[[#This Row],[SIGLA]]="","",VLOOKUP(Tabela2[[#This Row],[SIGLA]],Tabela1[[#All],[Sigla Arte]:[Crédito]],2,0))</f>
        <v>SERGIO LIMA/ARQUIVO DA EDITORA</v>
      </c>
      <c r="Z33" s="31"/>
      <c r="AA33" s="31" t="str">
        <f>Tabela2[[#This Row],[ILUSTRADOR CRIAÇÃO]]</f>
        <v>SERGIO LIMA/ARQUIVO DA EDITORA</v>
      </c>
      <c r="AB33" s="33"/>
      <c r="AC33" s="16"/>
      <c r="AD33" s="16"/>
      <c r="AE33" s="35" t="str">
        <f t="shared" si="0"/>
        <v>EF1 E002 Mat</v>
      </c>
    </row>
    <row r="34" spans="1:31" s="36" customFormat="1" ht="30" x14ac:dyDescent="0.25">
      <c r="A34" s="31" t="s">
        <v>115</v>
      </c>
      <c r="B34" s="16" t="s">
        <v>32</v>
      </c>
      <c r="C34" s="16" t="s">
        <v>33</v>
      </c>
      <c r="D34" s="33" t="s">
        <v>34</v>
      </c>
      <c r="E34" s="33">
        <v>62</v>
      </c>
      <c r="F34" s="33">
        <v>1</v>
      </c>
      <c r="G34" s="33">
        <v>2</v>
      </c>
      <c r="H34" s="33"/>
      <c r="I34" s="31" t="s">
        <v>46</v>
      </c>
      <c r="J34" s="31"/>
      <c r="K34" s="33"/>
      <c r="L34" s="33"/>
      <c r="M34" s="31"/>
      <c r="N34" s="31"/>
      <c r="O34" s="16" t="s">
        <v>116</v>
      </c>
      <c r="P34" s="16"/>
      <c r="Q34" s="16"/>
      <c r="R34" s="33"/>
      <c r="S34" s="34"/>
      <c r="T34" s="34"/>
      <c r="U34" s="34"/>
      <c r="V34" s="34"/>
      <c r="W34" s="34"/>
      <c r="X34" s="33" t="s">
        <v>48</v>
      </c>
      <c r="Y34" s="35" t="str">
        <f>IF(Tabela2[[#This Row],[SIGLA]]="","",VLOOKUP(Tabela2[[#This Row],[SIGLA]],Tabela1[[#All],[Sigla Arte]:[Crédito]],2,0))</f>
        <v>SERGIO LIMA/ARQUIVO DA EDITORA</v>
      </c>
      <c r="Z34" s="31"/>
      <c r="AA34" s="31" t="str">
        <f>Tabela2[[#This Row],[ILUSTRADOR CRIAÇÃO]]</f>
        <v>SERGIO LIMA/ARQUIVO DA EDITORA</v>
      </c>
      <c r="AB34" s="33"/>
      <c r="AC34" s="16"/>
      <c r="AD34" s="16"/>
      <c r="AE34" s="35" t="str">
        <f t="shared" si="0"/>
        <v>EF1 E002 Mat</v>
      </c>
    </row>
    <row r="35" spans="1:31" s="36" customFormat="1" ht="45" x14ac:dyDescent="0.25">
      <c r="A35" s="31" t="s">
        <v>117</v>
      </c>
      <c r="B35" s="16" t="s">
        <v>32</v>
      </c>
      <c r="C35" s="16" t="s">
        <v>33</v>
      </c>
      <c r="D35" s="33" t="s">
        <v>34</v>
      </c>
      <c r="E35" s="33">
        <v>62</v>
      </c>
      <c r="F35" s="33">
        <v>1</v>
      </c>
      <c r="G35" s="33">
        <v>2</v>
      </c>
      <c r="H35" s="33"/>
      <c r="I35" s="31" t="s">
        <v>46</v>
      </c>
      <c r="J35" s="31"/>
      <c r="K35" s="33"/>
      <c r="L35" s="33"/>
      <c r="M35" s="31"/>
      <c r="N35" s="31"/>
      <c r="O35" s="16" t="s">
        <v>118</v>
      </c>
      <c r="P35" s="16"/>
      <c r="Q35" s="16"/>
      <c r="R35" s="33"/>
      <c r="S35" s="34"/>
      <c r="T35" s="34"/>
      <c r="U35" s="34"/>
      <c r="V35" s="34"/>
      <c r="W35" s="34"/>
      <c r="X35" s="33" t="s">
        <v>48</v>
      </c>
      <c r="Y35" s="35" t="str">
        <f>IF(Tabela2[[#This Row],[SIGLA]]="","",VLOOKUP(Tabela2[[#This Row],[SIGLA]],Tabela1[[#All],[Sigla Arte]:[Crédito]],2,0))</f>
        <v>SERGIO LIMA/ARQUIVO DA EDITORA</v>
      </c>
      <c r="Z35" s="31"/>
      <c r="AA35" s="31" t="str">
        <f>Tabela2[[#This Row],[ILUSTRADOR CRIAÇÃO]]</f>
        <v>SERGIO LIMA/ARQUIVO DA EDITORA</v>
      </c>
      <c r="AB35" s="33"/>
      <c r="AC35" s="16"/>
      <c r="AD35" s="16"/>
      <c r="AE35" s="35" t="str">
        <f t="shared" si="0"/>
        <v>EF1 E002 Mat</v>
      </c>
    </row>
    <row r="36" spans="1:31" s="36" customFormat="1" ht="30" x14ac:dyDescent="0.25">
      <c r="A36" s="31" t="s">
        <v>119</v>
      </c>
      <c r="B36" s="16" t="s">
        <v>32</v>
      </c>
      <c r="C36" s="16" t="s">
        <v>33</v>
      </c>
      <c r="D36" s="33" t="s">
        <v>34</v>
      </c>
      <c r="E36" s="33">
        <v>62</v>
      </c>
      <c r="F36" s="33">
        <v>1</v>
      </c>
      <c r="G36" s="33">
        <v>2</v>
      </c>
      <c r="H36" s="33"/>
      <c r="I36" s="31" t="s">
        <v>46</v>
      </c>
      <c r="J36" s="31"/>
      <c r="K36" s="33"/>
      <c r="L36" s="33"/>
      <c r="M36" s="31"/>
      <c r="N36" s="31"/>
      <c r="O36" s="16" t="s">
        <v>120</v>
      </c>
      <c r="P36" s="16"/>
      <c r="Q36" s="16"/>
      <c r="R36" s="33"/>
      <c r="S36" s="34"/>
      <c r="T36" s="34"/>
      <c r="U36" s="34"/>
      <c r="V36" s="34"/>
      <c r="W36" s="34"/>
      <c r="X36" s="33" t="s">
        <v>48</v>
      </c>
      <c r="Y36" s="35" t="str">
        <f>IF(Tabela2[[#This Row],[SIGLA]]="","",VLOOKUP(Tabela2[[#This Row],[SIGLA]],Tabela1[[#All],[Sigla Arte]:[Crédito]],2,0))</f>
        <v>SERGIO LIMA/ARQUIVO DA EDITORA</v>
      </c>
      <c r="Z36" s="31"/>
      <c r="AA36" s="31" t="str">
        <f>Tabela2[[#This Row],[ILUSTRADOR CRIAÇÃO]]</f>
        <v>SERGIO LIMA/ARQUIVO DA EDITORA</v>
      </c>
      <c r="AB36" s="33"/>
      <c r="AC36" s="16"/>
      <c r="AD36" s="16"/>
      <c r="AE36" s="35" t="str">
        <f t="shared" si="0"/>
        <v>EF1 E002 Mat</v>
      </c>
    </row>
    <row r="37" spans="1:31" s="36" customFormat="1" ht="45" x14ac:dyDescent="0.25">
      <c r="A37" s="31" t="s">
        <v>121</v>
      </c>
      <c r="B37" s="16" t="s">
        <v>32</v>
      </c>
      <c r="C37" s="16" t="s">
        <v>33</v>
      </c>
      <c r="D37" s="33" t="s">
        <v>34</v>
      </c>
      <c r="E37" s="33">
        <v>62</v>
      </c>
      <c r="F37" s="33">
        <v>1</v>
      </c>
      <c r="G37" s="33">
        <v>2</v>
      </c>
      <c r="H37" s="33"/>
      <c r="I37" s="31" t="s">
        <v>35</v>
      </c>
      <c r="J37" s="31"/>
      <c r="K37" s="33"/>
      <c r="L37" s="33"/>
      <c r="M37" s="31"/>
      <c r="N37" s="31"/>
      <c r="O37" s="16" t="s">
        <v>122</v>
      </c>
      <c r="P37" s="16"/>
      <c r="Q37" s="16"/>
      <c r="R37" s="33">
        <v>1</v>
      </c>
      <c r="S37" s="34">
        <v>45729</v>
      </c>
      <c r="T37" s="34">
        <v>45729</v>
      </c>
      <c r="U37" s="34"/>
      <c r="V37" s="34"/>
      <c r="W37" s="34">
        <v>45729</v>
      </c>
      <c r="X37" s="33" t="s">
        <v>48</v>
      </c>
      <c r="Y37" s="35" t="str">
        <f>IF(Tabela2[[#This Row],[SIGLA]]="","",VLOOKUP(Tabela2[[#This Row],[SIGLA]],Tabela1[[#All],[Sigla Arte]:[Crédito]],2,0))</f>
        <v>SERGIO LIMA/ARQUIVO DA EDITORA</v>
      </c>
      <c r="Z37" s="31" t="s">
        <v>38</v>
      </c>
      <c r="AA37" s="31" t="str">
        <f>Tabela2[[#This Row],[ILUSTRADOR CRIAÇÃO]]</f>
        <v>SERGIO LIMA/ARQUIVO DA EDITORA</v>
      </c>
      <c r="AB37" s="33">
        <v>14</v>
      </c>
      <c r="AC37" s="16" t="s">
        <v>39</v>
      </c>
      <c r="AD37" s="16" t="s">
        <v>40</v>
      </c>
      <c r="AE37" s="35" t="str">
        <f t="shared" si="0"/>
        <v>EF1 E002 Mat</v>
      </c>
    </row>
    <row r="38" spans="1:31" s="36" customFormat="1" ht="45" x14ac:dyDescent="0.25">
      <c r="A38" s="31" t="s">
        <v>123</v>
      </c>
      <c r="B38" s="16" t="s">
        <v>32</v>
      </c>
      <c r="C38" s="16" t="s">
        <v>33</v>
      </c>
      <c r="D38" s="33" t="s">
        <v>34</v>
      </c>
      <c r="E38" s="33">
        <v>62</v>
      </c>
      <c r="F38" s="33">
        <v>1</v>
      </c>
      <c r="G38" s="33">
        <v>2</v>
      </c>
      <c r="H38" s="33"/>
      <c r="I38" s="31" t="s">
        <v>35</v>
      </c>
      <c r="J38" s="31"/>
      <c r="K38" s="33"/>
      <c r="L38" s="33"/>
      <c r="M38" s="31"/>
      <c r="N38" s="31"/>
      <c r="O38" s="16" t="s">
        <v>124</v>
      </c>
      <c r="P38" s="16"/>
      <c r="Q38" s="16"/>
      <c r="R38" s="33">
        <v>1</v>
      </c>
      <c r="S38" s="34">
        <v>45729</v>
      </c>
      <c r="T38" s="34">
        <v>45729</v>
      </c>
      <c r="U38" s="34"/>
      <c r="V38" s="34"/>
      <c r="W38" s="34">
        <v>45729</v>
      </c>
      <c r="X38" s="33" t="s">
        <v>48</v>
      </c>
      <c r="Y38" s="35" t="str">
        <f>IF(Tabela2[[#This Row],[SIGLA]]="","",VLOOKUP(Tabela2[[#This Row],[SIGLA]],Tabela1[[#All],[Sigla Arte]:[Crédito]],2,0))</f>
        <v>SERGIO LIMA/ARQUIVO DA EDITORA</v>
      </c>
      <c r="Z38" s="31" t="s">
        <v>38</v>
      </c>
      <c r="AA38" s="31" t="str">
        <f>Tabela2[[#This Row],[ILUSTRADOR CRIAÇÃO]]</f>
        <v>SERGIO LIMA/ARQUIVO DA EDITORA</v>
      </c>
      <c r="AB38" s="33">
        <v>14</v>
      </c>
      <c r="AC38" s="16" t="s">
        <v>39</v>
      </c>
      <c r="AD38" s="16" t="s">
        <v>40</v>
      </c>
      <c r="AE38" s="35" t="str">
        <f t="shared" si="0"/>
        <v>EF1 E002 Mat</v>
      </c>
    </row>
    <row r="39" spans="1:31" s="36" customFormat="1" ht="60" x14ac:dyDescent="0.25">
      <c r="A39" s="31" t="s">
        <v>125</v>
      </c>
      <c r="B39" s="16" t="s">
        <v>32</v>
      </c>
      <c r="C39" s="16" t="s">
        <v>33</v>
      </c>
      <c r="D39" s="33" t="s">
        <v>34</v>
      </c>
      <c r="E39" s="33">
        <v>62</v>
      </c>
      <c r="F39" s="33">
        <v>1</v>
      </c>
      <c r="G39" s="33">
        <v>2</v>
      </c>
      <c r="H39" s="33"/>
      <c r="I39" s="31" t="s">
        <v>35</v>
      </c>
      <c r="J39" s="31"/>
      <c r="K39" s="33"/>
      <c r="L39" s="33"/>
      <c r="M39" s="31"/>
      <c r="N39" s="31"/>
      <c r="O39" s="16" t="s">
        <v>126</v>
      </c>
      <c r="P39" s="16"/>
      <c r="Q39" s="16"/>
      <c r="R39" s="33">
        <v>1</v>
      </c>
      <c r="S39" s="34">
        <v>45729</v>
      </c>
      <c r="T39" s="34">
        <v>45729</v>
      </c>
      <c r="U39" s="34"/>
      <c r="V39" s="34"/>
      <c r="W39" s="34">
        <v>45729</v>
      </c>
      <c r="X39" s="33" t="s">
        <v>48</v>
      </c>
      <c r="Y39" s="35" t="str">
        <f>IF(Tabela2[[#This Row],[SIGLA]]="","",VLOOKUP(Tabela2[[#This Row],[SIGLA]],Tabela1[[#All],[Sigla Arte]:[Crédito]],2,0))</f>
        <v>SERGIO LIMA/ARQUIVO DA EDITORA</v>
      </c>
      <c r="Z39" s="31" t="s">
        <v>38</v>
      </c>
      <c r="AA39" s="31" t="str">
        <f>Tabela2[[#This Row],[ILUSTRADOR CRIAÇÃO]]</f>
        <v>SERGIO LIMA/ARQUIVO DA EDITORA</v>
      </c>
      <c r="AB39" s="33">
        <v>14</v>
      </c>
      <c r="AC39" s="16" t="s">
        <v>39</v>
      </c>
      <c r="AD39" s="16" t="s">
        <v>40</v>
      </c>
      <c r="AE39" s="35" t="str">
        <f t="shared" si="0"/>
        <v>EF1 E002 Mat</v>
      </c>
    </row>
    <row r="40" spans="1:31" s="36" customFormat="1" ht="45" x14ac:dyDescent="0.25">
      <c r="A40" s="31" t="s">
        <v>127</v>
      </c>
      <c r="B40" s="16" t="s">
        <v>32</v>
      </c>
      <c r="C40" s="16" t="s">
        <v>33</v>
      </c>
      <c r="D40" s="33" t="s">
        <v>34</v>
      </c>
      <c r="E40" s="33">
        <v>62</v>
      </c>
      <c r="F40" s="33">
        <v>1</v>
      </c>
      <c r="G40" s="33">
        <v>2</v>
      </c>
      <c r="H40" s="33"/>
      <c r="I40" s="31" t="s">
        <v>35</v>
      </c>
      <c r="J40" s="31"/>
      <c r="K40" s="33"/>
      <c r="L40" s="33"/>
      <c r="M40" s="31"/>
      <c r="N40" s="31"/>
      <c r="O40" s="16" t="s">
        <v>128</v>
      </c>
      <c r="P40" s="16"/>
      <c r="Q40" s="16"/>
      <c r="R40" s="33">
        <v>1</v>
      </c>
      <c r="S40" s="34">
        <v>45729</v>
      </c>
      <c r="T40" s="34">
        <v>45729</v>
      </c>
      <c r="U40" s="34"/>
      <c r="V40" s="34"/>
      <c r="W40" s="34">
        <v>45729</v>
      </c>
      <c r="X40" s="33" t="s">
        <v>48</v>
      </c>
      <c r="Y40" s="35" t="str">
        <f>IF(Tabela2[[#This Row],[SIGLA]]="","",VLOOKUP(Tabela2[[#This Row],[SIGLA]],Tabela1[[#All],[Sigla Arte]:[Crédito]],2,0))</f>
        <v>SERGIO LIMA/ARQUIVO DA EDITORA</v>
      </c>
      <c r="Z40" s="31" t="s">
        <v>38</v>
      </c>
      <c r="AA40" s="31" t="str">
        <f>Tabela2[[#This Row],[ILUSTRADOR CRIAÇÃO]]</f>
        <v>SERGIO LIMA/ARQUIVO DA EDITORA</v>
      </c>
      <c r="AB40" s="33">
        <v>14</v>
      </c>
      <c r="AC40" s="16" t="s">
        <v>39</v>
      </c>
      <c r="AD40" s="16" t="s">
        <v>40</v>
      </c>
      <c r="AE40" s="35" t="str">
        <f t="shared" si="0"/>
        <v>EF1 E002 Mat</v>
      </c>
    </row>
    <row r="41" spans="1:31" s="36" customFormat="1" ht="60" x14ac:dyDescent="0.25">
      <c r="A41" s="31" t="s">
        <v>129</v>
      </c>
      <c r="B41" s="16" t="s">
        <v>32</v>
      </c>
      <c r="C41" s="16" t="s">
        <v>33</v>
      </c>
      <c r="D41" s="33" t="s">
        <v>34</v>
      </c>
      <c r="E41" s="33">
        <v>62</v>
      </c>
      <c r="F41" s="33">
        <v>1</v>
      </c>
      <c r="G41" s="33">
        <v>2</v>
      </c>
      <c r="H41" s="33"/>
      <c r="I41" s="31" t="s">
        <v>35</v>
      </c>
      <c r="J41" s="31"/>
      <c r="K41" s="33"/>
      <c r="L41" s="33"/>
      <c r="M41" s="31"/>
      <c r="N41" s="31"/>
      <c r="O41" s="16" t="s">
        <v>130</v>
      </c>
      <c r="P41" s="16"/>
      <c r="Q41" s="16"/>
      <c r="R41" s="33">
        <v>1</v>
      </c>
      <c r="S41" s="34">
        <v>45729</v>
      </c>
      <c r="T41" s="34">
        <v>45729</v>
      </c>
      <c r="U41" s="34"/>
      <c r="V41" s="34"/>
      <c r="W41" s="34">
        <v>45729</v>
      </c>
      <c r="X41" s="33" t="s">
        <v>48</v>
      </c>
      <c r="Y41" s="35" t="str">
        <f>IF(Tabela2[[#This Row],[SIGLA]]="","",VLOOKUP(Tabela2[[#This Row],[SIGLA]],Tabela1[[#All],[Sigla Arte]:[Crédito]],2,0))</f>
        <v>SERGIO LIMA/ARQUIVO DA EDITORA</v>
      </c>
      <c r="Z41" s="31" t="s">
        <v>38</v>
      </c>
      <c r="AA41" s="31" t="str">
        <f>Tabela2[[#This Row],[ILUSTRADOR CRIAÇÃO]]</f>
        <v>SERGIO LIMA/ARQUIVO DA EDITORA</v>
      </c>
      <c r="AB41" s="33">
        <v>14</v>
      </c>
      <c r="AC41" s="16" t="s">
        <v>39</v>
      </c>
      <c r="AD41" s="16" t="s">
        <v>40</v>
      </c>
      <c r="AE41" s="35" t="str">
        <f t="shared" si="0"/>
        <v>EF1 E002 Mat</v>
      </c>
    </row>
    <row r="42" spans="1:31" s="36" customFormat="1" ht="75" x14ac:dyDescent="0.25">
      <c r="A42" s="31" t="s">
        <v>131</v>
      </c>
      <c r="B42" s="16" t="s">
        <v>32</v>
      </c>
      <c r="C42" s="16" t="s">
        <v>33</v>
      </c>
      <c r="D42" s="33" t="s">
        <v>34</v>
      </c>
      <c r="E42" s="33">
        <v>62</v>
      </c>
      <c r="F42" s="33">
        <v>1</v>
      </c>
      <c r="G42" s="33">
        <v>2</v>
      </c>
      <c r="H42" s="33"/>
      <c r="I42" s="31" t="s">
        <v>35</v>
      </c>
      <c r="J42" s="31"/>
      <c r="K42" s="33"/>
      <c r="L42" s="33"/>
      <c r="M42" s="31"/>
      <c r="N42" s="31"/>
      <c r="O42" s="16" t="s">
        <v>132</v>
      </c>
      <c r="P42" s="16"/>
      <c r="Q42" s="16"/>
      <c r="R42" s="33">
        <v>1</v>
      </c>
      <c r="S42" s="34">
        <v>45729</v>
      </c>
      <c r="T42" s="34">
        <v>45729</v>
      </c>
      <c r="U42" s="34"/>
      <c r="V42" s="34"/>
      <c r="W42" s="34">
        <v>45729</v>
      </c>
      <c r="X42" s="33" t="s">
        <v>48</v>
      </c>
      <c r="Y42" s="35" t="str">
        <f>IF(Tabela2[[#This Row],[SIGLA]]="","",VLOOKUP(Tabela2[[#This Row],[SIGLA]],Tabela1[[#All],[Sigla Arte]:[Crédito]],2,0))</f>
        <v>SERGIO LIMA/ARQUIVO DA EDITORA</v>
      </c>
      <c r="Z42" s="31" t="s">
        <v>38</v>
      </c>
      <c r="AA42" s="31" t="str">
        <f>Tabela2[[#This Row],[ILUSTRADOR CRIAÇÃO]]</f>
        <v>SERGIO LIMA/ARQUIVO DA EDITORA</v>
      </c>
      <c r="AB42" s="33">
        <v>14</v>
      </c>
      <c r="AC42" s="16" t="s">
        <v>39</v>
      </c>
      <c r="AD42" s="16" t="s">
        <v>40</v>
      </c>
      <c r="AE42" s="35" t="str">
        <f t="shared" si="0"/>
        <v>EF1 E002 Mat</v>
      </c>
    </row>
    <row r="43" spans="1:31" s="36" customFormat="1" ht="60" x14ac:dyDescent="0.25">
      <c r="A43" s="31" t="s">
        <v>133</v>
      </c>
      <c r="B43" s="16" t="s">
        <v>32</v>
      </c>
      <c r="C43" s="16" t="s">
        <v>33</v>
      </c>
      <c r="D43" s="33" t="s">
        <v>34</v>
      </c>
      <c r="E43" s="33">
        <v>62</v>
      </c>
      <c r="F43" s="33">
        <v>1</v>
      </c>
      <c r="G43" s="33">
        <v>2</v>
      </c>
      <c r="H43" s="33"/>
      <c r="I43" s="31" t="s">
        <v>35</v>
      </c>
      <c r="J43" s="31"/>
      <c r="K43" s="33"/>
      <c r="L43" s="33"/>
      <c r="M43" s="31"/>
      <c r="N43" s="31"/>
      <c r="O43" s="16" t="s">
        <v>134</v>
      </c>
      <c r="P43" s="16"/>
      <c r="Q43" s="16"/>
      <c r="R43" s="33">
        <v>1</v>
      </c>
      <c r="S43" s="34">
        <v>45729</v>
      </c>
      <c r="T43" s="34">
        <v>45729</v>
      </c>
      <c r="U43" s="34"/>
      <c r="V43" s="34"/>
      <c r="W43" s="34">
        <v>45729</v>
      </c>
      <c r="X43" s="33" t="s">
        <v>48</v>
      </c>
      <c r="Y43" s="35" t="str">
        <f>IF(Tabela2[[#This Row],[SIGLA]]="","",VLOOKUP(Tabela2[[#This Row],[SIGLA]],Tabela1[[#All],[Sigla Arte]:[Crédito]],2,0))</f>
        <v>SERGIO LIMA/ARQUIVO DA EDITORA</v>
      </c>
      <c r="Z43" s="31" t="s">
        <v>38</v>
      </c>
      <c r="AA43" s="31" t="str">
        <f>Tabela2[[#This Row],[ILUSTRADOR CRIAÇÃO]]</f>
        <v>SERGIO LIMA/ARQUIVO DA EDITORA</v>
      </c>
      <c r="AB43" s="33">
        <v>14</v>
      </c>
      <c r="AC43" s="16" t="s">
        <v>39</v>
      </c>
      <c r="AD43" s="16" t="s">
        <v>40</v>
      </c>
      <c r="AE43" s="35" t="str">
        <f t="shared" si="0"/>
        <v>EF1 E002 Mat</v>
      </c>
    </row>
    <row r="44" spans="1:31" s="36" customFormat="1" ht="30" x14ac:dyDescent="0.25">
      <c r="A44" s="31" t="s">
        <v>135</v>
      </c>
      <c r="B44" s="16" t="s">
        <v>32</v>
      </c>
      <c r="C44" s="16" t="s">
        <v>33</v>
      </c>
      <c r="D44" s="33" t="s">
        <v>34</v>
      </c>
      <c r="E44" s="33">
        <v>26</v>
      </c>
      <c r="F44" s="33">
        <v>1</v>
      </c>
      <c r="G44" s="33">
        <v>1</v>
      </c>
      <c r="H44" s="33"/>
      <c r="I44" s="31" t="s">
        <v>46</v>
      </c>
      <c r="J44" s="31"/>
      <c r="K44" s="33"/>
      <c r="L44" s="33"/>
      <c r="M44" s="31"/>
      <c r="N44" s="31"/>
      <c r="O44" s="16" t="s">
        <v>136</v>
      </c>
      <c r="P44" s="16"/>
      <c r="Q44" s="16"/>
      <c r="R44" s="33">
        <v>2</v>
      </c>
      <c r="S44" s="34">
        <v>45733</v>
      </c>
      <c r="T44" s="34"/>
      <c r="U44" s="34"/>
      <c r="V44" s="34"/>
      <c r="W44" s="34"/>
      <c r="X44" s="33" t="s">
        <v>137</v>
      </c>
      <c r="Y44" s="35" t="str">
        <f>IF(Tabela2[[#This Row],[SIGLA]]="","",VLOOKUP(Tabela2[[#This Row],[SIGLA]],Tabela1[[#All],[Sigla Arte]:[Crédito]],2,0))</f>
        <v>FERNANDA MONTEIRO/ARQUIVO DA EDITORA</v>
      </c>
      <c r="Z44" s="31"/>
      <c r="AA44" s="31" t="str">
        <f>Tabela2[[#This Row],[ILUSTRADOR CRIAÇÃO]]</f>
        <v>FERNANDA MONTEIRO/ARQUIVO DA EDITORA</v>
      </c>
      <c r="AB44" s="33"/>
      <c r="AC44" s="16"/>
      <c r="AD44" s="16"/>
      <c r="AE44" s="35" t="str">
        <f t="shared" si="0"/>
        <v>EF1 E002 Mat</v>
      </c>
    </row>
    <row r="45" spans="1:31" s="36" customFormat="1" ht="135" x14ac:dyDescent="0.25">
      <c r="A45" s="31" t="s">
        <v>138</v>
      </c>
      <c r="B45" s="16" t="s">
        <v>32</v>
      </c>
      <c r="C45" s="16" t="s">
        <v>33</v>
      </c>
      <c r="D45" s="38" t="s">
        <v>34</v>
      </c>
      <c r="E45" s="33">
        <v>26</v>
      </c>
      <c r="F45" s="33">
        <v>1</v>
      </c>
      <c r="G45" s="33">
        <v>1</v>
      </c>
      <c r="H45" s="33"/>
      <c r="I45" s="31" t="s">
        <v>35</v>
      </c>
      <c r="J45" s="31"/>
      <c r="K45" s="33"/>
      <c r="L45" s="33"/>
      <c r="M45" s="31"/>
      <c r="N45" s="31"/>
      <c r="O45" s="16" t="s">
        <v>139</v>
      </c>
      <c r="P45" s="16"/>
      <c r="Q45" s="16"/>
      <c r="R45" s="33">
        <v>2</v>
      </c>
      <c r="S45" s="34">
        <v>45733</v>
      </c>
      <c r="T45" s="34"/>
      <c r="U45" s="34"/>
      <c r="V45" s="34"/>
      <c r="W45" s="34">
        <v>45734</v>
      </c>
      <c r="X45" s="33" t="s">
        <v>137</v>
      </c>
      <c r="Y45" s="35" t="str">
        <f>IF(Tabela2[[#This Row],[SIGLA]]="","",VLOOKUP(Tabela2[[#This Row],[SIGLA]],Tabela1[[#All],[Sigla Arte]:[Crédito]],2,0))</f>
        <v>FERNANDA MONTEIRO/ARQUIVO DA EDITORA</v>
      </c>
      <c r="Z45" s="31" t="s">
        <v>140</v>
      </c>
      <c r="AA45" s="31" t="str">
        <f>Tabela2[[#This Row],[ILUSTRADOR CRIAÇÃO]]</f>
        <v>FERNANDA MONTEIRO/ARQUIVO DA EDITORA</v>
      </c>
      <c r="AB45" s="33"/>
      <c r="AC45" s="16"/>
      <c r="AD45" s="16" t="s">
        <v>40</v>
      </c>
      <c r="AE45" s="35" t="str">
        <f t="shared" si="0"/>
        <v>EF1 E002 Mat</v>
      </c>
    </row>
    <row r="46" spans="1:31" s="36" customFormat="1" ht="30" x14ac:dyDescent="0.25">
      <c r="A46" s="31" t="s">
        <v>141</v>
      </c>
      <c r="B46" s="16" t="s">
        <v>32</v>
      </c>
      <c r="C46" s="16" t="s">
        <v>33</v>
      </c>
      <c r="D46" s="38" t="s">
        <v>34</v>
      </c>
      <c r="E46" s="33">
        <v>26</v>
      </c>
      <c r="F46" s="33">
        <v>1</v>
      </c>
      <c r="G46" s="33">
        <v>1</v>
      </c>
      <c r="H46" s="33"/>
      <c r="I46" s="31" t="s">
        <v>46</v>
      </c>
      <c r="J46" s="31"/>
      <c r="K46" s="33"/>
      <c r="L46" s="33"/>
      <c r="M46" s="31"/>
      <c r="N46" s="31"/>
      <c r="O46" s="16" t="s">
        <v>142</v>
      </c>
      <c r="P46" s="16"/>
      <c r="Q46" s="16"/>
      <c r="R46" s="33"/>
      <c r="S46" s="34"/>
      <c r="T46" s="34"/>
      <c r="U46" s="34"/>
      <c r="V46" s="34"/>
      <c r="W46" s="34"/>
      <c r="X46" s="33" t="s">
        <v>137</v>
      </c>
      <c r="Y46" s="35" t="str">
        <f>IF(Tabela2[[#This Row],[SIGLA]]="","",VLOOKUP(Tabela2[[#This Row],[SIGLA]],Tabela1[[#All],[Sigla Arte]:[Crédito]],2,0))</f>
        <v>FERNANDA MONTEIRO/ARQUIVO DA EDITORA</v>
      </c>
      <c r="Z46" s="31"/>
      <c r="AA46" s="31" t="str">
        <f>Tabela2[[#This Row],[ILUSTRADOR CRIAÇÃO]]</f>
        <v>FERNANDA MONTEIRO/ARQUIVO DA EDITORA</v>
      </c>
      <c r="AB46" s="33"/>
      <c r="AC46" s="16"/>
      <c r="AD46" s="16"/>
      <c r="AE46" s="35" t="str">
        <f t="shared" si="0"/>
        <v>EF1 E002 Mat</v>
      </c>
    </row>
    <row r="47" spans="1:31" s="36" customFormat="1" ht="30" x14ac:dyDescent="0.25">
      <c r="A47" s="31" t="s">
        <v>143</v>
      </c>
      <c r="B47" s="16" t="s">
        <v>32</v>
      </c>
      <c r="C47" s="16" t="s">
        <v>33</v>
      </c>
      <c r="D47" s="38" t="s">
        <v>34</v>
      </c>
      <c r="E47" s="33">
        <v>26</v>
      </c>
      <c r="F47" s="33">
        <v>1</v>
      </c>
      <c r="G47" s="33">
        <v>1</v>
      </c>
      <c r="H47" s="33"/>
      <c r="I47" s="31" t="s">
        <v>46</v>
      </c>
      <c r="J47" s="31"/>
      <c r="K47" s="33"/>
      <c r="L47" s="33"/>
      <c r="M47" s="31"/>
      <c r="N47" s="31"/>
      <c r="O47" s="16" t="s">
        <v>144</v>
      </c>
      <c r="P47" s="16"/>
      <c r="Q47" s="16"/>
      <c r="R47" s="33"/>
      <c r="S47" s="34"/>
      <c r="T47" s="34"/>
      <c r="U47" s="34"/>
      <c r="V47" s="34"/>
      <c r="W47" s="34"/>
      <c r="X47" s="33" t="s">
        <v>137</v>
      </c>
      <c r="Y47" s="35" t="str">
        <f>IF(Tabela2[[#This Row],[SIGLA]]="","",VLOOKUP(Tabela2[[#This Row],[SIGLA]],Tabela1[[#All],[Sigla Arte]:[Crédito]],2,0))</f>
        <v>FERNANDA MONTEIRO/ARQUIVO DA EDITORA</v>
      </c>
      <c r="Z47" s="31"/>
      <c r="AA47" s="31" t="str">
        <f>Tabela2[[#This Row],[ILUSTRADOR CRIAÇÃO]]</f>
        <v>FERNANDA MONTEIRO/ARQUIVO DA EDITORA</v>
      </c>
      <c r="AB47" s="33"/>
      <c r="AC47" s="16"/>
      <c r="AD47" s="16"/>
      <c r="AE47" s="35" t="str">
        <f t="shared" si="0"/>
        <v>EF1 E002 Mat</v>
      </c>
    </row>
    <row r="48" spans="1:31" s="36" customFormat="1" ht="45" x14ac:dyDescent="0.25">
      <c r="A48" s="31" t="s">
        <v>145</v>
      </c>
      <c r="B48" s="16" t="s">
        <v>32</v>
      </c>
      <c r="C48" s="16" t="s">
        <v>33</v>
      </c>
      <c r="D48" s="33" t="s">
        <v>34</v>
      </c>
      <c r="E48" s="33">
        <v>17</v>
      </c>
      <c r="F48" s="33">
        <v>1</v>
      </c>
      <c r="G48" s="33">
        <v>1</v>
      </c>
      <c r="H48" s="33"/>
      <c r="I48" s="31" t="s">
        <v>35</v>
      </c>
      <c r="J48" s="31"/>
      <c r="K48" s="33"/>
      <c r="L48" s="33"/>
      <c r="M48" s="31"/>
      <c r="N48" s="31"/>
      <c r="O48" s="16" t="s">
        <v>146</v>
      </c>
      <c r="P48" s="16"/>
      <c r="Q48" s="16"/>
      <c r="R48" s="33">
        <v>60</v>
      </c>
      <c r="S48" s="34">
        <v>45825</v>
      </c>
      <c r="T48" s="34">
        <v>45825</v>
      </c>
      <c r="U48" s="34"/>
      <c r="V48" s="34"/>
      <c r="W48" s="34">
        <v>45825</v>
      </c>
      <c r="X48" s="33" t="s">
        <v>137</v>
      </c>
      <c r="Y48" s="35" t="str">
        <f>IF(Tabela2[[#This Row],[SIGLA]]="","",VLOOKUP(Tabela2[[#This Row],[SIGLA]],Tabela1[[#All],[Sigla Arte]:[Crédito]],2,0))</f>
        <v>FERNANDA MONTEIRO/ARQUIVO DA EDITORA</v>
      </c>
      <c r="Z48" s="31" t="s">
        <v>38</v>
      </c>
      <c r="AA48" s="31" t="str">
        <f>Tabela2[[#This Row],[ILUSTRADOR CRIAÇÃO]]</f>
        <v>FERNANDA MONTEIRO/ARQUIVO DA EDITORA</v>
      </c>
      <c r="AB48" s="33">
        <v>14</v>
      </c>
      <c r="AC48" s="16" t="s">
        <v>39</v>
      </c>
      <c r="AD48" s="16" t="s">
        <v>40</v>
      </c>
      <c r="AE48" s="35" t="str">
        <f t="shared" si="0"/>
        <v>EF1 E002 Mat</v>
      </c>
    </row>
    <row r="49" spans="1:31" s="36" customFormat="1" ht="30" x14ac:dyDescent="0.25">
      <c r="A49" s="31" t="s">
        <v>147</v>
      </c>
      <c r="B49" s="16" t="s">
        <v>32</v>
      </c>
      <c r="C49" s="16" t="s">
        <v>33</v>
      </c>
      <c r="D49" s="38" t="s">
        <v>34</v>
      </c>
      <c r="E49" s="33">
        <v>26</v>
      </c>
      <c r="F49" s="33">
        <v>1</v>
      </c>
      <c r="G49" s="33">
        <v>1</v>
      </c>
      <c r="H49" s="33"/>
      <c r="I49" s="31" t="s">
        <v>46</v>
      </c>
      <c r="J49" s="31"/>
      <c r="K49" s="33"/>
      <c r="L49" s="33"/>
      <c r="M49" s="31"/>
      <c r="N49" s="31"/>
      <c r="O49" s="16" t="s">
        <v>148</v>
      </c>
      <c r="P49" s="16"/>
      <c r="Q49" s="16"/>
      <c r="R49" s="33"/>
      <c r="S49" s="34"/>
      <c r="T49" s="34"/>
      <c r="U49" s="34"/>
      <c r="V49" s="34"/>
      <c r="W49" s="34"/>
      <c r="X49" s="33" t="s">
        <v>137</v>
      </c>
      <c r="Y49" s="35" t="str">
        <f>IF(Tabela2[[#This Row],[SIGLA]]="","",VLOOKUP(Tabela2[[#This Row],[SIGLA]],Tabela1[[#All],[Sigla Arte]:[Crédito]],2,0))</f>
        <v>FERNANDA MONTEIRO/ARQUIVO DA EDITORA</v>
      </c>
      <c r="Z49" s="31"/>
      <c r="AA49" s="31" t="str">
        <f>Tabela2[[#This Row],[ILUSTRADOR CRIAÇÃO]]</f>
        <v>FERNANDA MONTEIRO/ARQUIVO DA EDITORA</v>
      </c>
      <c r="AB49" s="33"/>
      <c r="AC49" s="16"/>
      <c r="AD49" s="16"/>
      <c r="AE49" s="35" t="str">
        <f t="shared" si="0"/>
        <v>EF1 E002 Mat</v>
      </c>
    </row>
    <row r="50" spans="1:31" s="36" customFormat="1" ht="75" x14ac:dyDescent="0.25">
      <c r="A50" s="31" t="s">
        <v>149</v>
      </c>
      <c r="B50" s="16" t="s">
        <v>32</v>
      </c>
      <c r="C50" s="16" t="s">
        <v>33</v>
      </c>
      <c r="D50" s="38" t="s">
        <v>34</v>
      </c>
      <c r="E50" s="33">
        <v>27</v>
      </c>
      <c r="F50" s="33">
        <v>1</v>
      </c>
      <c r="G50" s="33">
        <v>1</v>
      </c>
      <c r="H50" s="33"/>
      <c r="I50" s="31" t="s">
        <v>35</v>
      </c>
      <c r="J50" s="31"/>
      <c r="K50" s="33"/>
      <c r="L50" s="33"/>
      <c r="M50" s="31"/>
      <c r="N50" s="31"/>
      <c r="O50" s="16" t="s">
        <v>150</v>
      </c>
      <c r="P50" s="16"/>
      <c r="Q50" s="16"/>
      <c r="R50" s="33">
        <v>42</v>
      </c>
      <c r="S50" s="34">
        <v>45792</v>
      </c>
      <c r="T50" s="34">
        <v>45796</v>
      </c>
      <c r="U50" s="34"/>
      <c r="V50" s="34"/>
      <c r="W50" s="34">
        <v>45797</v>
      </c>
      <c r="X50" s="33" t="s">
        <v>43</v>
      </c>
      <c r="Y50" s="35" t="str">
        <f>IF(Tabela2[[#This Row],[SIGLA]]="","",VLOOKUP(Tabela2[[#This Row],[SIGLA]],Tabela1[[#All],[Sigla Arte]:[Crédito]],2,0))</f>
        <v>GUILHERME RODRIGUES/ARQUIVO DA EDITORA</v>
      </c>
      <c r="Z50" s="31" t="s">
        <v>38</v>
      </c>
      <c r="AA50" s="31" t="str">
        <f>Tabela2[[#This Row],[ILUSTRADOR CRIAÇÃO]]</f>
        <v>GUILHERME RODRIGUES/ARQUIVO DA EDITORA</v>
      </c>
      <c r="AB50" s="33">
        <v>14</v>
      </c>
      <c r="AC50" s="16" t="s">
        <v>39</v>
      </c>
      <c r="AD50" s="16" t="s">
        <v>40</v>
      </c>
      <c r="AE50" s="35" t="str">
        <f t="shared" si="0"/>
        <v>EF1 E002 Mat</v>
      </c>
    </row>
    <row r="51" spans="1:31" s="36" customFormat="1" ht="45" x14ac:dyDescent="0.25">
      <c r="A51" s="31" t="s">
        <v>151</v>
      </c>
      <c r="B51" s="16" t="s">
        <v>32</v>
      </c>
      <c r="C51" s="16" t="s">
        <v>33</v>
      </c>
      <c r="D51" s="38" t="s">
        <v>34</v>
      </c>
      <c r="E51" s="33">
        <v>28</v>
      </c>
      <c r="F51" s="33">
        <v>1</v>
      </c>
      <c r="G51" s="33">
        <v>1</v>
      </c>
      <c r="H51" s="33"/>
      <c r="I51" s="31" t="s">
        <v>35</v>
      </c>
      <c r="J51" s="31"/>
      <c r="K51" s="33"/>
      <c r="L51" s="33"/>
      <c r="M51" s="31"/>
      <c r="N51" s="31"/>
      <c r="O51" s="16" t="s">
        <v>152</v>
      </c>
      <c r="P51" s="16"/>
      <c r="Q51" s="16"/>
      <c r="R51" s="33">
        <v>161</v>
      </c>
      <c r="S51" s="34">
        <v>45916</v>
      </c>
      <c r="T51" s="34">
        <v>45916</v>
      </c>
      <c r="U51" s="34"/>
      <c r="V51" s="34"/>
      <c r="W51" s="34">
        <v>45916</v>
      </c>
      <c r="X51" s="33" t="s">
        <v>43</v>
      </c>
      <c r="Y51" s="35" t="str">
        <f>IF(Tabela2[[#This Row],[SIGLA]]="","",VLOOKUP(Tabela2[[#This Row],[SIGLA]],Tabela1[[#All],[Sigla Arte]:[Crédito]],2,0))</f>
        <v>GUILHERME RODRIGUES/ARQUIVO DA EDITORA</v>
      </c>
      <c r="Z51" s="31" t="s">
        <v>153</v>
      </c>
      <c r="AA51" s="31" t="str">
        <f>Tabela2[[#This Row],[ILUSTRADOR CRIAÇÃO]]</f>
        <v>GUILHERME RODRIGUES/ARQUIVO DA EDITORA</v>
      </c>
      <c r="AB51" s="33">
        <v>13</v>
      </c>
      <c r="AC51" s="16" t="s">
        <v>44</v>
      </c>
      <c r="AD51" s="16" t="s">
        <v>40</v>
      </c>
      <c r="AE51" s="35" t="str">
        <f t="shared" si="0"/>
        <v>EF1 E002 Mat</v>
      </c>
    </row>
    <row r="52" spans="1:31" s="36" customFormat="1" ht="30" x14ac:dyDescent="0.25">
      <c r="A52" s="31" t="s">
        <v>154</v>
      </c>
      <c r="B52" s="16" t="s">
        <v>32</v>
      </c>
      <c r="C52" s="16" t="s">
        <v>33</v>
      </c>
      <c r="D52" s="38" t="s">
        <v>34</v>
      </c>
      <c r="E52" s="33">
        <v>30</v>
      </c>
      <c r="F52" s="33">
        <v>1</v>
      </c>
      <c r="G52" s="33">
        <v>1</v>
      </c>
      <c r="H52" s="33"/>
      <c r="I52" s="31" t="s">
        <v>46</v>
      </c>
      <c r="J52" s="31"/>
      <c r="K52" s="33"/>
      <c r="L52" s="33"/>
      <c r="M52" s="31"/>
      <c r="N52" s="31"/>
      <c r="O52" s="16" t="s">
        <v>155</v>
      </c>
      <c r="P52" s="16"/>
      <c r="Q52" s="16"/>
      <c r="R52" s="33"/>
      <c r="S52" s="34"/>
      <c r="T52" s="34"/>
      <c r="U52" s="34"/>
      <c r="V52" s="34"/>
      <c r="W52" s="34"/>
      <c r="X52" s="33" t="s">
        <v>43</v>
      </c>
      <c r="Y52" s="35" t="str">
        <f>IF(Tabela2[[#This Row],[SIGLA]]="","",VLOOKUP(Tabela2[[#This Row],[SIGLA]],Tabela1[[#All],[Sigla Arte]:[Crédito]],2,0))</f>
        <v>GUILHERME RODRIGUES/ARQUIVO DA EDITORA</v>
      </c>
      <c r="Z52" s="31"/>
      <c r="AA52" s="31" t="str">
        <f>Tabela2[[#This Row],[ILUSTRADOR CRIAÇÃO]]</f>
        <v>GUILHERME RODRIGUES/ARQUIVO DA EDITORA</v>
      </c>
      <c r="AB52" s="33"/>
      <c r="AC52" s="16"/>
      <c r="AD52" s="16"/>
      <c r="AE52" s="35" t="str">
        <f t="shared" si="0"/>
        <v>EF1 E002 Mat</v>
      </c>
    </row>
    <row r="53" spans="1:31" s="36" customFormat="1" ht="30" x14ac:dyDescent="0.25">
      <c r="A53" s="31" t="s">
        <v>156</v>
      </c>
      <c r="B53" s="16" t="s">
        <v>32</v>
      </c>
      <c r="C53" s="16" t="s">
        <v>33</v>
      </c>
      <c r="D53" s="38" t="s">
        <v>34</v>
      </c>
      <c r="E53" s="33">
        <v>31</v>
      </c>
      <c r="F53" s="33">
        <v>1</v>
      </c>
      <c r="G53" s="33">
        <v>1</v>
      </c>
      <c r="H53" s="33"/>
      <c r="I53" s="31" t="s">
        <v>46</v>
      </c>
      <c r="J53" s="31"/>
      <c r="K53" s="33"/>
      <c r="L53" s="33"/>
      <c r="M53" s="31"/>
      <c r="N53" s="31"/>
      <c r="O53" s="16" t="s">
        <v>157</v>
      </c>
      <c r="P53" s="16"/>
      <c r="Q53" s="16"/>
      <c r="R53" s="33"/>
      <c r="S53" s="34"/>
      <c r="T53" s="34"/>
      <c r="U53" s="34"/>
      <c r="V53" s="34"/>
      <c r="W53" s="34"/>
      <c r="X53" s="33" t="s">
        <v>43</v>
      </c>
      <c r="Y53" s="35" t="str">
        <f>IF(Tabela2[[#This Row],[SIGLA]]="","",VLOOKUP(Tabela2[[#This Row],[SIGLA]],Tabela1[[#All],[Sigla Arte]:[Crédito]],2,0))</f>
        <v>GUILHERME RODRIGUES/ARQUIVO DA EDITORA</v>
      </c>
      <c r="Z53" s="31"/>
      <c r="AA53" s="31" t="str">
        <f>Tabela2[[#This Row],[ILUSTRADOR CRIAÇÃO]]</f>
        <v>GUILHERME RODRIGUES/ARQUIVO DA EDITORA</v>
      </c>
      <c r="AB53" s="33"/>
      <c r="AC53" s="16"/>
      <c r="AD53" s="16"/>
      <c r="AE53" s="35" t="str">
        <f t="shared" si="0"/>
        <v>EF1 E002 Mat</v>
      </c>
    </row>
    <row r="54" spans="1:31" s="36" customFormat="1" ht="30" x14ac:dyDescent="0.25">
      <c r="A54" s="31" t="s">
        <v>158</v>
      </c>
      <c r="B54" s="16" t="s">
        <v>32</v>
      </c>
      <c r="C54" s="16" t="s">
        <v>33</v>
      </c>
      <c r="D54" s="38" t="s">
        <v>34</v>
      </c>
      <c r="E54" s="33">
        <v>31</v>
      </c>
      <c r="F54" s="33">
        <v>1</v>
      </c>
      <c r="G54" s="33">
        <v>1</v>
      </c>
      <c r="H54" s="33"/>
      <c r="I54" s="31" t="s">
        <v>46</v>
      </c>
      <c r="J54" s="31"/>
      <c r="K54" s="33"/>
      <c r="L54" s="33"/>
      <c r="M54" s="31"/>
      <c r="N54" s="31"/>
      <c r="O54" s="16" t="s">
        <v>159</v>
      </c>
      <c r="P54" s="16"/>
      <c r="Q54" s="16"/>
      <c r="R54" s="33"/>
      <c r="S54" s="34"/>
      <c r="T54" s="34"/>
      <c r="U54" s="34"/>
      <c r="V54" s="34"/>
      <c r="W54" s="34"/>
      <c r="X54" s="33" t="s">
        <v>43</v>
      </c>
      <c r="Y54" s="35" t="str">
        <f>IF(Tabela2[[#This Row],[SIGLA]]="","",VLOOKUP(Tabela2[[#This Row],[SIGLA]],Tabela1[[#All],[Sigla Arte]:[Crédito]],2,0))</f>
        <v>GUILHERME RODRIGUES/ARQUIVO DA EDITORA</v>
      </c>
      <c r="Z54" s="31"/>
      <c r="AA54" s="31" t="str">
        <f>Tabela2[[#This Row],[ILUSTRADOR CRIAÇÃO]]</f>
        <v>GUILHERME RODRIGUES/ARQUIVO DA EDITORA</v>
      </c>
      <c r="AB54" s="33"/>
      <c r="AC54" s="16"/>
      <c r="AD54" s="16"/>
      <c r="AE54" s="35" t="str">
        <f t="shared" si="0"/>
        <v>EF1 E002 Mat</v>
      </c>
    </row>
    <row r="55" spans="1:31" s="36" customFormat="1" ht="195" x14ac:dyDescent="0.25">
      <c r="A55" s="31" t="s">
        <v>160</v>
      </c>
      <c r="B55" s="16" t="s">
        <v>32</v>
      </c>
      <c r="C55" s="16" t="s">
        <v>33</v>
      </c>
      <c r="D55" s="38" t="s">
        <v>34</v>
      </c>
      <c r="E55" s="33">
        <v>32</v>
      </c>
      <c r="F55" s="33">
        <v>1</v>
      </c>
      <c r="G55" s="33">
        <v>1</v>
      </c>
      <c r="H55" s="33"/>
      <c r="I55" s="31" t="s">
        <v>35</v>
      </c>
      <c r="J55" s="31"/>
      <c r="K55" s="33"/>
      <c r="L55" s="33"/>
      <c r="M55" s="31"/>
      <c r="N55" s="31"/>
      <c r="O55" s="16" t="s">
        <v>161</v>
      </c>
      <c r="P55" s="16"/>
      <c r="Q55" s="16"/>
      <c r="R55" s="33">
        <v>2</v>
      </c>
      <c r="S55" s="34">
        <v>45733</v>
      </c>
      <c r="T55" s="34"/>
      <c r="U55" s="34"/>
      <c r="V55" s="34"/>
      <c r="W55" s="34">
        <v>45734</v>
      </c>
      <c r="X55" s="33" t="s">
        <v>162</v>
      </c>
      <c r="Y55" s="35" t="str">
        <f>IF(Tabela2[[#This Row],[SIGLA]]="","",VLOOKUP(Tabela2[[#This Row],[SIGLA]],Tabela1[[#All],[Sigla Arte]:[Crédito]],2,0))</f>
        <v>IVY NUNES/ARQUIVO DA EDITORA</v>
      </c>
      <c r="Z55" s="31" t="s">
        <v>140</v>
      </c>
      <c r="AA55" s="31" t="str">
        <f>Tabela2[[#This Row],[ILUSTRADOR CRIAÇÃO]]</f>
        <v>IVY NUNES/ARQUIVO DA EDITORA</v>
      </c>
      <c r="AB55" s="33"/>
      <c r="AC55" s="16"/>
      <c r="AD55" s="16" t="s">
        <v>40</v>
      </c>
      <c r="AE55" s="35" t="str">
        <f t="shared" si="0"/>
        <v>EF1 E002 Mat</v>
      </c>
    </row>
    <row r="56" spans="1:31" s="36" customFormat="1" ht="30" x14ac:dyDescent="0.25">
      <c r="A56" s="31" t="s">
        <v>163</v>
      </c>
      <c r="B56" s="16" t="s">
        <v>32</v>
      </c>
      <c r="C56" s="16" t="s">
        <v>164</v>
      </c>
      <c r="D56" s="38" t="s">
        <v>34</v>
      </c>
      <c r="E56" s="33">
        <v>34</v>
      </c>
      <c r="F56" s="33">
        <v>1</v>
      </c>
      <c r="G56" s="33">
        <v>1</v>
      </c>
      <c r="H56" s="33"/>
      <c r="I56" s="31" t="s">
        <v>46</v>
      </c>
      <c r="J56" s="31"/>
      <c r="K56" s="33"/>
      <c r="L56" s="33"/>
      <c r="M56" s="31"/>
      <c r="N56" s="31"/>
      <c r="O56" s="16" t="s">
        <v>165</v>
      </c>
      <c r="P56" s="16"/>
      <c r="Q56" s="16"/>
      <c r="R56" s="33"/>
      <c r="S56" s="34"/>
      <c r="T56" s="34"/>
      <c r="U56" s="34"/>
      <c r="V56" s="34"/>
      <c r="W56" s="34"/>
      <c r="X56" s="33" t="s">
        <v>85</v>
      </c>
      <c r="Y56" s="35" t="str">
        <f>IF(Tabela2[[#This Row],[SIGLA]]="","",VLOOKUP(Tabela2[[#This Row],[SIGLA]],Tabela1[[#All],[Sigla Arte]:[Crédito]],2,0))</f>
        <v>HELOÍSA PINTARELLI/ARQUIVO DA EDITORA</v>
      </c>
      <c r="Z56" s="31"/>
      <c r="AA56" s="31" t="str">
        <f>Tabela2[[#This Row],[ILUSTRADOR CRIAÇÃO]]</f>
        <v>HELOÍSA PINTARELLI/ARQUIVO DA EDITORA</v>
      </c>
      <c r="AB56" s="33"/>
      <c r="AC56" s="16"/>
      <c r="AD56" s="16"/>
      <c r="AE56" s="35" t="str">
        <f t="shared" si="0"/>
        <v>EF1 E002 Mat</v>
      </c>
    </row>
    <row r="57" spans="1:31" s="36" customFormat="1" ht="30" x14ac:dyDescent="0.25">
      <c r="A57" s="31" t="s">
        <v>166</v>
      </c>
      <c r="B57" s="16" t="s">
        <v>32</v>
      </c>
      <c r="C57" s="16" t="s">
        <v>164</v>
      </c>
      <c r="D57" s="38" t="s">
        <v>34</v>
      </c>
      <c r="E57" s="33">
        <v>34</v>
      </c>
      <c r="F57" s="33">
        <v>1</v>
      </c>
      <c r="G57" s="33">
        <v>1</v>
      </c>
      <c r="H57" s="33"/>
      <c r="I57" s="31" t="s">
        <v>46</v>
      </c>
      <c r="J57" s="31"/>
      <c r="K57" s="33"/>
      <c r="L57" s="33"/>
      <c r="M57" s="31"/>
      <c r="N57" s="31"/>
      <c r="O57" s="16" t="s">
        <v>167</v>
      </c>
      <c r="P57" s="16"/>
      <c r="Q57" s="16"/>
      <c r="R57" s="33"/>
      <c r="S57" s="34"/>
      <c r="T57" s="34"/>
      <c r="U57" s="34"/>
      <c r="V57" s="34"/>
      <c r="W57" s="34"/>
      <c r="X57" s="33" t="s">
        <v>85</v>
      </c>
      <c r="Y57" s="35" t="str">
        <f>IF(Tabela2[[#This Row],[SIGLA]]="","",VLOOKUP(Tabela2[[#This Row],[SIGLA]],Tabela1[[#All],[Sigla Arte]:[Crédito]],2,0))</f>
        <v>HELOÍSA PINTARELLI/ARQUIVO DA EDITORA</v>
      </c>
      <c r="Z57" s="31"/>
      <c r="AA57" s="31" t="str">
        <f>Tabela2[[#This Row],[ILUSTRADOR CRIAÇÃO]]</f>
        <v>HELOÍSA PINTARELLI/ARQUIVO DA EDITORA</v>
      </c>
      <c r="AB57" s="33"/>
      <c r="AC57" s="16"/>
      <c r="AD57" s="16"/>
      <c r="AE57" s="35" t="str">
        <f t="shared" si="0"/>
        <v>EF1 E002 Mat</v>
      </c>
    </row>
    <row r="58" spans="1:31" s="36" customFormat="1" ht="30" x14ac:dyDescent="0.25">
      <c r="A58" s="31" t="s">
        <v>168</v>
      </c>
      <c r="B58" s="16" t="s">
        <v>32</v>
      </c>
      <c r="C58" s="16" t="s">
        <v>164</v>
      </c>
      <c r="D58" s="38" t="s">
        <v>34</v>
      </c>
      <c r="E58" s="33">
        <v>34</v>
      </c>
      <c r="F58" s="33">
        <v>1</v>
      </c>
      <c r="G58" s="33">
        <v>1</v>
      </c>
      <c r="H58" s="33"/>
      <c r="I58" s="31" t="s">
        <v>46</v>
      </c>
      <c r="J58" s="31"/>
      <c r="K58" s="33"/>
      <c r="L58" s="33"/>
      <c r="M58" s="31"/>
      <c r="N58" s="31"/>
      <c r="O58" s="16" t="s">
        <v>169</v>
      </c>
      <c r="P58" s="16"/>
      <c r="Q58" s="16"/>
      <c r="R58" s="33"/>
      <c r="S58" s="34"/>
      <c r="T58" s="34"/>
      <c r="U58" s="34"/>
      <c r="V58" s="34"/>
      <c r="W58" s="34"/>
      <c r="X58" s="33" t="s">
        <v>85</v>
      </c>
      <c r="Y58" s="35" t="str">
        <f>IF(Tabela2[[#This Row],[SIGLA]]="","",VLOOKUP(Tabela2[[#This Row],[SIGLA]],Tabela1[[#All],[Sigla Arte]:[Crédito]],2,0))</f>
        <v>HELOÍSA PINTARELLI/ARQUIVO DA EDITORA</v>
      </c>
      <c r="Z58" s="31"/>
      <c r="AA58" s="31" t="str">
        <f>Tabela2[[#This Row],[ILUSTRADOR CRIAÇÃO]]</f>
        <v>HELOÍSA PINTARELLI/ARQUIVO DA EDITORA</v>
      </c>
      <c r="AB58" s="33"/>
      <c r="AC58" s="16"/>
      <c r="AD58" s="16"/>
      <c r="AE58" s="35" t="str">
        <f t="shared" si="0"/>
        <v>EF1 E002 Mat</v>
      </c>
    </row>
    <row r="59" spans="1:31" s="36" customFormat="1" ht="30" x14ac:dyDescent="0.25">
      <c r="A59" s="31" t="s">
        <v>170</v>
      </c>
      <c r="B59" s="16" t="s">
        <v>32</v>
      </c>
      <c r="C59" s="16" t="s">
        <v>164</v>
      </c>
      <c r="D59" s="38" t="s">
        <v>34</v>
      </c>
      <c r="E59" s="33">
        <v>34</v>
      </c>
      <c r="F59" s="33">
        <v>1</v>
      </c>
      <c r="G59" s="33">
        <v>1</v>
      </c>
      <c r="H59" s="33"/>
      <c r="I59" s="31" t="s">
        <v>46</v>
      </c>
      <c r="J59" s="31"/>
      <c r="K59" s="33"/>
      <c r="L59" s="33"/>
      <c r="M59" s="31"/>
      <c r="N59" s="31"/>
      <c r="O59" s="16" t="s">
        <v>171</v>
      </c>
      <c r="P59" s="16"/>
      <c r="Q59" s="16"/>
      <c r="R59" s="33"/>
      <c r="S59" s="34"/>
      <c r="T59" s="34"/>
      <c r="U59" s="34"/>
      <c r="V59" s="34"/>
      <c r="W59" s="34"/>
      <c r="X59" s="33" t="s">
        <v>85</v>
      </c>
      <c r="Y59" s="35" t="str">
        <f>IF(Tabela2[[#This Row],[SIGLA]]="","",VLOOKUP(Tabela2[[#This Row],[SIGLA]],Tabela1[[#All],[Sigla Arte]:[Crédito]],2,0))</f>
        <v>HELOÍSA PINTARELLI/ARQUIVO DA EDITORA</v>
      </c>
      <c r="Z59" s="31"/>
      <c r="AA59" s="31" t="str">
        <f>Tabela2[[#This Row],[ILUSTRADOR CRIAÇÃO]]</f>
        <v>HELOÍSA PINTARELLI/ARQUIVO DA EDITORA</v>
      </c>
      <c r="AB59" s="33"/>
      <c r="AC59" s="16"/>
      <c r="AD59" s="16"/>
      <c r="AE59" s="35" t="str">
        <f t="shared" si="0"/>
        <v>EF1 E002 Mat</v>
      </c>
    </row>
    <row r="60" spans="1:31" s="36" customFormat="1" ht="45" x14ac:dyDescent="0.25">
      <c r="A60" s="31" t="s">
        <v>172</v>
      </c>
      <c r="B60" s="16" t="s">
        <v>32</v>
      </c>
      <c r="C60" s="16" t="s">
        <v>164</v>
      </c>
      <c r="D60" s="38" t="s">
        <v>34</v>
      </c>
      <c r="E60" s="33">
        <v>34</v>
      </c>
      <c r="F60" s="33">
        <v>1</v>
      </c>
      <c r="G60" s="33">
        <v>1</v>
      </c>
      <c r="H60" s="33"/>
      <c r="I60" s="31" t="s">
        <v>46</v>
      </c>
      <c r="J60" s="31"/>
      <c r="K60" s="33"/>
      <c r="L60" s="33"/>
      <c r="M60" s="31"/>
      <c r="N60" s="31"/>
      <c r="O60" s="16" t="s">
        <v>173</v>
      </c>
      <c r="P60" s="16"/>
      <c r="Q60" s="16"/>
      <c r="R60" s="33"/>
      <c r="S60" s="34"/>
      <c r="T60" s="34"/>
      <c r="U60" s="34"/>
      <c r="V60" s="34"/>
      <c r="W60" s="34"/>
      <c r="X60" s="33" t="s">
        <v>85</v>
      </c>
      <c r="Y60" s="35" t="str">
        <f>IF(Tabela2[[#This Row],[SIGLA]]="","",VLOOKUP(Tabela2[[#This Row],[SIGLA]],Tabela1[[#All],[Sigla Arte]:[Crédito]],2,0))</f>
        <v>HELOÍSA PINTARELLI/ARQUIVO DA EDITORA</v>
      </c>
      <c r="Z60" s="31"/>
      <c r="AA60" s="31" t="str">
        <f>Tabela2[[#This Row],[ILUSTRADOR CRIAÇÃO]]</f>
        <v>HELOÍSA PINTARELLI/ARQUIVO DA EDITORA</v>
      </c>
      <c r="AB60" s="33"/>
      <c r="AC60" s="16"/>
      <c r="AD60" s="16"/>
      <c r="AE60" s="35" t="str">
        <f t="shared" si="0"/>
        <v>EF1 E002 Mat</v>
      </c>
    </row>
    <row r="61" spans="1:31" s="36" customFormat="1" ht="60" x14ac:dyDescent="0.25">
      <c r="A61" s="31" t="s">
        <v>174</v>
      </c>
      <c r="B61" s="16" t="s">
        <v>32</v>
      </c>
      <c r="C61" s="16" t="s">
        <v>164</v>
      </c>
      <c r="D61" s="38" t="s">
        <v>34</v>
      </c>
      <c r="E61" s="33">
        <v>36</v>
      </c>
      <c r="F61" s="33">
        <v>1</v>
      </c>
      <c r="G61" s="33">
        <v>1</v>
      </c>
      <c r="H61" s="33"/>
      <c r="I61" s="31" t="s">
        <v>46</v>
      </c>
      <c r="J61" s="31"/>
      <c r="K61" s="33"/>
      <c r="L61" s="33"/>
      <c r="M61" s="31"/>
      <c r="N61" s="31"/>
      <c r="O61" s="16" t="s">
        <v>175</v>
      </c>
      <c r="P61" s="16"/>
      <c r="Q61" s="16"/>
      <c r="R61" s="33"/>
      <c r="S61" s="34"/>
      <c r="T61" s="34"/>
      <c r="U61" s="34"/>
      <c r="V61" s="34"/>
      <c r="W61" s="34"/>
      <c r="X61" s="33" t="s">
        <v>85</v>
      </c>
      <c r="Y61" s="35" t="str">
        <f>IF(Tabela2[[#This Row],[SIGLA]]="","",VLOOKUP(Tabela2[[#This Row],[SIGLA]],Tabela1[[#All],[Sigla Arte]:[Crédito]],2,0))</f>
        <v>HELOÍSA PINTARELLI/ARQUIVO DA EDITORA</v>
      </c>
      <c r="Z61" s="31"/>
      <c r="AA61" s="31" t="str">
        <f>Tabela2[[#This Row],[ILUSTRADOR CRIAÇÃO]]</f>
        <v>HELOÍSA PINTARELLI/ARQUIVO DA EDITORA</v>
      </c>
      <c r="AB61" s="33"/>
      <c r="AC61" s="16"/>
      <c r="AD61" s="16"/>
      <c r="AE61" s="35" t="str">
        <f t="shared" si="0"/>
        <v>EF1 E002 Mat</v>
      </c>
    </row>
    <row r="62" spans="1:31" s="36" customFormat="1" ht="30" x14ac:dyDescent="0.25">
      <c r="A62" s="31" t="s">
        <v>176</v>
      </c>
      <c r="B62" s="16" t="s">
        <v>32</v>
      </c>
      <c r="C62" s="16" t="s">
        <v>33</v>
      </c>
      <c r="D62" s="38" t="s">
        <v>34</v>
      </c>
      <c r="E62" s="33">
        <v>37</v>
      </c>
      <c r="F62" s="33">
        <v>1</v>
      </c>
      <c r="G62" s="33">
        <v>1</v>
      </c>
      <c r="H62" s="33"/>
      <c r="I62" s="31" t="s">
        <v>46</v>
      </c>
      <c r="J62" s="31"/>
      <c r="K62" s="33"/>
      <c r="L62" s="33"/>
      <c r="M62" s="31"/>
      <c r="N62" s="31"/>
      <c r="O62" s="16" t="s">
        <v>177</v>
      </c>
      <c r="P62" s="16"/>
      <c r="Q62" s="16"/>
      <c r="R62" s="33"/>
      <c r="S62" s="34"/>
      <c r="T62" s="34"/>
      <c r="U62" s="34"/>
      <c r="V62" s="34"/>
      <c r="W62" s="34"/>
      <c r="X62" s="33" t="s">
        <v>85</v>
      </c>
      <c r="Y62" s="35" t="str">
        <f>IF(Tabela2[[#This Row],[SIGLA]]="","",VLOOKUP(Tabela2[[#This Row],[SIGLA]],Tabela1[[#All],[Sigla Arte]:[Crédito]],2,0))</f>
        <v>HELOÍSA PINTARELLI/ARQUIVO DA EDITORA</v>
      </c>
      <c r="Z62" s="31"/>
      <c r="AA62" s="31" t="str">
        <f>Tabela2[[#This Row],[ILUSTRADOR CRIAÇÃO]]</f>
        <v>HELOÍSA PINTARELLI/ARQUIVO DA EDITORA</v>
      </c>
      <c r="AB62" s="33"/>
      <c r="AC62" s="16"/>
      <c r="AD62" s="16"/>
      <c r="AE62" s="35" t="str">
        <f t="shared" si="0"/>
        <v>EF1 E002 Mat</v>
      </c>
    </row>
    <row r="63" spans="1:31" s="36" customFormat="1" ht="30" x14ac:dyDescent="0.25">
      <c r="A63" s="31" t="s">
        <v>178</v>
      </c>
      <c r="B63" s="16" t="s">
        <v>32</v>
      </c>
      <c r="C63" s="16" t="s">
        <v>33</v>
      </c>
      <c r="D63" s="38" t="s">
        <v>34</v>
      </c>
      <c r="E63" s="33">
        <v>38</v>
      </c>
      <c r="F63" s="33">
        <v>1</v>
      </c>
      <c r="G63" s="33">
        <v>1</v>
      </c>
      <c r="H63" s="33"/>
      <c r="I63" s="31" t="s">
        <v>46</v>
      </c>
      <c r="J63" s="31"/>
      <c r="K63" s="33"/>
      <c r="L63" s="33"/>
      <c r="M63" s="31"/>
      <c r="N63" s="31"/>
      <c r="O63" s="16" t="s">
        <v>179</v>
      </c>
      <c r="P63" s="16"/>
      <c r="Q63" s="16"/>
      <c r="R63" s="33"/>
      <c r="S63" s="34"/>
      <c r="T63" s="34"/>
      <c r="U63" s="34"/>
      <c r="V63" s="34"/>
      <c r="W63" s="34"/>
      <c r="X63" s="33" t="s">
        <v>162</v>
      </c>
      <c r="Y63" s="35" t="str">
        <f>IF(Tabela2[[#This Row],[SIGLA]]="","",VLOOKUP(Tabela2[[#This Row],[SIGLA]],Tabela1[[#All],[Sigla Arte]:[Crédito]],2,0))</f>
        <v>IVY NUNES/ARQUIVO DA EDITORA</v>
      </c>
      <c r="Z63" s="31"/>
      <c r="AA63" s="31" t="str">
        <f>Tabela2[[#This Row],[ILUSTRADOR CRIAÇÃO]]</f>
        <v>IVY NUNES/ARQUIVO DA EDITORA</v>
      </c>
      <c r="AB63" s="33"/>
      <c r="AC63" s="16"/>
      <c r="AD63" s="16"/>
      <c r="AE63" s="35" t="str">
        <f t="shared" si="0"/>
        <v>EF1 E002 Mat</v>
      </c>
    </row>
    <row r="64" spans="1:31" s="36" customFormat="1" ht="30" x14ac:dyDescent="0.25">
      <c r="A64" s="31" t="s">
        <v>180</v>
      </c>
      <c r="B64" s="16" t="s">
        <v>32</v>
      </c>
      <c r="C64" s="16" t="s">
        <v>33</v>
      </c>
      <c r="D64" s="38" t="s">
        <v>34</v>
      </c>
      <c r="E64" s="33">
        <v>39</v>
      </c>
      <c r="F64" s="33">
        <v>1</v>
      </c>
      <c r="G64" s="33">
        <v>1</v>
      </c>
      <c r="H64" s="33"/>
      <c r="I64" s="31" t="s">
        <v>46</v>
      </c>
      <c r="J64" s="31"/>
      <c r="K64" s="33"/>
      <c r="L64" s="33"/>
      <c r="M64" s="31"/>
      <c r="N64" s="31"/>
      <c r="O64" s="16" t="s">
        <v>181</v>
      </c>
      <c r="P64" s="16"/>
      <c r="Q64" s="16"/>
      <c r="R64" s="33"/>
      <c r="S64" s="34"/>
      <c r="T64" s="34"/>
      <c r="U64" s="34"/>
      <c r="V64" s="34"/>
      <c r="W64" s="34"/>
      <c r="X64" s="33" t="s">
        <v>43</v>
      </c>
      <c r="Y64" s="35" t="str">
        <f>IF(Tabela2[[#This Row],[SIGLA]]="","",VLOOKUP(Tabela2[[#This Row],[SIGLA]],Tabela1[[#All],[Sigla Arte]:[Crédito]],2,0))</f>
        <v>GUILHERME RODRIGUES/ARQUIVO DA EDITORA</v>
      </c>
      <c r="Z64" s="31"/>
      <c r="AA64" s="31" t="str">
        <f>Tabela2[[#This Row],[ILUSTRADOR CRIAÇÃO]]</f>
        <v>GUILHERME RODRIGUES/ARQUIVO DA EDITORA</v>
      </c>
      <c r="AB64" s="33"/>
      <c r="AC64" s="16"/>
      <c r="AD64" s="16"/>
      <c r="AE64" s="35" t="str">
        <f t="shared" si="0"/>
        <v>EF1 E002 Mat</v>
      </c>
    </row>
    <row r="65" spans="1:31" s="36" customFormat="1" ht="30" x14ac:dyDescent="0.25">
      <c r="A65" s="31" t="s">
        <v>182</v>
      </c>
      <c r="B65" s="16" t="s">
        <v>32</v>
      </c>
      <c r="C65" s="16" t="s">
        <v>164</v>
      </c>
      <c r="D65" s="38" t="s">
        <v>34</v>
      </c>
      <c r="E65" s="33">
        <v>40</v>
      </c>
      <c r="F65" s="33">
        <v>1</v>
      </c>
      <c r="G65" s="33">
        <v>1</v>
      </c>
      <c r="H65" s="33"/>
      <c r="I65" s="31" t="s">
        <v>46</v>
      </c>
      <c r="J65" s="31"/>
      <c r="K65" s="33"/>
      <c r="L65" s="33"/>
      <c r="M65" s="31"/>
      <c r="N65" s="31"/>
      <c r="O65" s="16" t="s">
        <v>183</v>
      </c>
      <c r="P65" s="16"/>
      <c r="Q65" s="16"/>
      <c r="R65" s="33"/>
      <c r="S65" s="34"/>
      <c r="T65" s="34"/>
      <c r="U65" s="34"/>
      <c r="V65" s="34"/>
      <c r="W65" s="34"/>
      <c r="X65" s="33" t="s">
        <v>184</v>
      </c>
      <c r="Y65" s="35" t="str">
        <f>IF(Tabela2[[#This Row],[SIGLA]]="","",VLOOKUP(Tabela2[[#This Row],[SIGLA]],Tabela1[[#All],[Sigla Arte]:[Crédito]],2,0))</f>
        <v>VER DOCUMENTO DE ILS. TÉCNICAS</v>
      </c>
      <c r="Z65" s="31"/>
      <c r="AA65" s="46" t="s">
        <v>185</v>
      </c>
      <c r="AB65" s="33"/>
      <c r="AC65" s="16"/>
      <c r="AD65" s="16"/>
      <c r="AE65" s="35" t="str">
        <f t="shared" si="0"/>
        <v>EF1 E002 Mat</v>
      </c>
    </row>
    <row r="66" spans="1:31" s="36" customFormat="1" ht="30" x14ac:dyDescent="0.25">
      <c r="A66" s="31" t="s">
        <v>186</v>
      </c>
      <c r="B66" s="16" t="s">
        <v>32</v>
      </c>
      <c r="C66" s="16" t="s">
        <v>164</v>
      </c>
      <c r="D66" s="38" t="s">
        <v>34</v>
      </c>
      <c r="E66" s="33">
        <v>40</v>
      </c>
      <c r="F66" s="33">
        <v>1</v>
      </c>
      <c r="G66" s="33">
        <v>1</v>
      </c>
      <c r="H66" s="33"/>
      <c r="I66" s="31" t="s">
        <v>46</v>
      </c>
      <c r="J66" s="31"/>
      <c r="K66" s="33"/>
      <c r="L66" s="33"/>
      <c r="M66" s="31"/>
      <c r="N66" s="31"/>
      <c r="O66" s="16" t="s">
        <v>187</v>
      </c>
      <c r="P66" s="16"/>
      <c r="Q66" s="16"/>
      <c r="R66" s="33"/>
      <c r="S66" s="34"/>
      <c r="T66" s="34"/>
      <c r="U66" s="34"/>
      <c r="V66" s="34"/>
      <c r="W66" s="34"/>
      <c r="X66" s="33" t="s">
        <v>184</v>
      </c>
      <c r="Y66" s="35" t="str">
        <f>IF(Tabela2[[#This Row],[SIGLA]]="","",VLOOKUP(Tabela2[[#This Row],[SIGLA]],Tabela1[[#All],[Sigla Arte]:[Crédito]],2,0))</f>
        <v>VER DOCUMENTO DE ILS. TÉCNICAS</v>
      </c>
      <c r="Z66" s="31"/>
      <c r="AA66" s="46" t="s">
        <v>185</v>
      </c>
      <c r="AB66" s="33"/>
      <c r="AC66" s="16"/>
      <c r="AD66" s="16"/>
      <c r="AE66" s="35" t="str">
        <f t="shared" ref="AE66:AE129" si="1">"EF1 E002 Mat"</f>
        <v>EF1 E002 Mat</v>
      </c>
    </row>
    <row r="67" spans="1:31" s="36" customFormat="1" ht="90" x14ac:dyDescent="0.25">
      <c r="A67" s="31" t="s">
        <v>188</v>
      </c>
      <c r="B67" s="16" t="s">
        <v>32</v>
      </c>
      <c r="C67" s="16" t="s">
        <v>33</v>
      </c>
      <c r="D67" s="38" t="s">
        <v>34</v>
      </c>
      <c r="E67" s="33" t="s">
        <v>189</v>
      </c>
      <c r="F67" s="33">
        <v>1</v>
      </c>
      <c r="G67" s="33">
        <v>1</v>
      </c>
      <c r="H67" s="33"/>
      <c r="I67" s="31" t="s">
        <v>35</v>
      </c>
      <c r="J67" s="31"/>
      <c r="K67" s="33"/>
      <c r="L67" s="33"/>
      <c r="M67" s="31"/>
      <c r="N67" s="31"/>
      <c r="O67" s="16" t="s">
        <v>190</v>
      </c>
      <c r="P67" s="16"/>
      <c r="Q67" s="16"/>
      <c r="R67" s="33">
        <v>59</v>
      </c>
      <c r="S67" s="34">
        <v>45824</v>
      </c>
      <c r="T67" s="34">
        <v>45824</v>
      </c>
      <c r="U67" s="34"/>
      <c r="V67" s="34"/>
      <c r="W67" s="34">
        <v>45824</v>
      </c>
      <c r="X67" s="33" t="s">
        <v>184</v>
      </c>
      <c r="Y67" s="35" t="str">
        <f>IF(Tabela2[[#This Row],[SIGLA]]="","",VLOOKUP(Tabela2[[#This Row],[SIGLA]],Tabela1[[#All],[Sigla Arte]:[Crédito]],2,0))</f>
        <v>VER DOCUMENTO DE ILS. TÉCNICAS</v>
      </c>
      <c r="Z67" s="31" t="s">
        <v>38</v>
      </c>
      <c r="AA67" s="46" t="s">
        <v>191</v>
      </c>
      <c r="AB67" s="33">
        <v>14</v>
      </c>
      <c r="AC67" s="16" t="s">
        <v>39</v>
      </c>
      <c r="AD67" s="16" t="s">
        <v>40</v>
      </c>
      <c r="AE67" s="35" t="str">
        <f t="shared" si="1"/>
        <v>EF1 E002 Mat</v>
      </c>
    </row>
    <row r="68" spans="1:31" s="36" customFormat="1" ht="45" x14ac:dyDescent="0.25">
      <c r="A68" s="31" t="s">
        <v>192</v>
      </c>
      <c r="B68" s="16" t="s">
        <v>32</v>
      </c>
      <c r="C68" s="16" t="s">
        <v>33</v>
      </c>
      <c r="D68" s="38" t="s">
        <v>34</v>
      </c>
      <c r="E68" s="33" t="s">
        <v>189</v>
      </c>
      <c r="F68" s="33">
        <v>1</v>
      </c>
      <c r="G68" s="33">
        <v>1</v>
      </c>
      <c r="H68" s="33"/>
      <c r="I68" s="31" t="s">
        <v>46</v>
      </c>
      <c r="J68" s="31"/>
      <c r="K68" s="33"/>
      <c r="L68" s="33"/>
      <c r="M68" s="31"/>
      <c r="N68" s="31"/>
      <c r="O68" s="16" t="s">
        <v>193</v>
      </c>
      <c r="P68" s="16"/>
      <c r="Q68" s="16"/>
      <c r="R68" s="33"/>
      <c r="S68" s="34"/>
      <c r="T68" s="34"/>
      <c r="U68" s="34"/>
      <c r="V68" s="34"/>
      <c r="W68" s="34"/>
      <c r="X68" s="33" t="s">
        <v>194</v>
      </c>
      <c r="Y68" s="35" t="str">
        <f>IF(Tabela2[[#This Row],[SIGLA]]="","",VLOOKUP(Tabela2[[#This Row],[SIGLA]],Tabela1[[#All],[Sigla Arte]:[Crédito]],2,0))</f>
        <v>LEANDRO LASSMAR/ARQUIVO DA EDITORA</v>
      </c>
      <c r="Z68" s="31"/>
      <c r="AA68" s="31" t="str">
        <f>Tabela2[[#This Row],[ILUSTRADOR CRIAÇÃO]]</f>
        <v>LEANDRO LASSMAR/ARQUIVO DA EDITORA</v>
      </c>
      <c r="AB68" s="33"/>
      <c r="AC68" s="16"/>
      <c r="AD68" s="16"/>
      <c r="AE68" s="35" t="str">
        <f t="shared" si="1"/>
        <v>EF1 E002 Mat</v>
      </c>
    </row>
    <row r="69" spans="1:31" s="36" customFormat="1" ht="60" x14ac:dyDescent="0.25">
      <c r="A69" s="31" t="s">
        <v>195</v>
      </c>
      <c r="B69" s="16" t="s">
        <v>32</v>
      </c>
      <c r="C69" s="16" t="s">
        <v>164</v>
      </c>
      <c r="D69" s="38" t="s">
        <v>34</v>
      </c>
      <c r="E69" s="33" t="s">
        <v>189</v>
      </c>
      <c r="F69" s="33">
        <v>1</v>
      </c>
      <c r="G69" s="33">
        <v>1</v>
      </c>
      <c r="H69" s="33"/>
      <c r="I69" s="31" t="s">
        <v>46</v>
      </c>
      <c r="J69" s="31"/>
      <c r="K69" s="33"/>
      <c r="L69" s="33"/>
      <c r="M69" s="31"/>
      <c r="N69" s="31"/>
      <c r="O69" s="16" t="s">
        <v>196</v>
      </c>
      <c r="P69" s="16"/>
      <c r="Q69" s="16"/>
      <c r="R69" s="33"/>
      <c r="S69" s="34"/>
      <c r="T69" s="34"/>
      <c r="U69" s="34"/>
      <c r="V69" s="34"/>
      <c r="W69" s="34"/>
      <c r="X69" s="33" t="s">
        <v>194</v>
      </c>
      <c r="Y69" s="35" t="str">
        <f>IF(Tabela2[[#This Row],[SIGLA]]="","",VLOOKUP(Tabela2[[#This Row],[SIGLA]],Tabela1[[#All],[Sigla Arte]:[Crédito]],2,0))</f>
        <v>LEANDRO LASSMAR/ARQUIVO DA EDITORA</v>
      </c>
      <c r="Z69" s="31"/>
      <c r="AA69" s="31" t="str">
        <f>Tabela2[[#This Row],[ILUSTRADOR CRIAÇÃO]]</f>
        <v>LEANDRO LASSMAR/ARQUIVO DA EDITORA</v>
      </c>
      <c r="AB69" s="33"/>
      <c r="AC69" s="16"/>
      <c r="AD69" s="16"/>
      <c r="AE69" s="35" t="str">
        <f t="shared" si="1"/>
        <v>EF1 E002 Mat</v>
      </c>
    </row>
    <row r="70" spans="1:31" s="36" customFormat="1" ht="45" x14ac:dyDescent="0.25">
      <c r="A70" s="31" t="s">
        <v>197</v>
      </c>
      <c r="B70" s="16" t="s">
        <v>32</v>
      </c>
      <c r="C70" s="16" t="s">
        <v>164</v>
      </c>
      <c r="D70" s="38" t="s">
        <v>34</v>
      </c>
      <c r="E70" s="33" t="s">
        <v>189</v>
      </c>
      <c r="F70" s="33">
        <v>1</v>
      </c>
      <c r="G70" s="33">
        <v>1</v>
      </c>
      <c r="H70" s="33"/>
      <c r="I70" s="31" t="s">
        <v>46</v>
      </c>
      <c r="J70" s="31"/>
      <c r="K70" s="33"/>
      <c r="L70" s="33"/>
      <c r="M70" s="31"/>
      <c r="N70" s="31"/>
      <c r="O70" s="16" t="s">
        <v>198</v>
      </c>
      <c r="P70" s="16"/>
      <c r="Q70" s="16"/>
      <c r="R70" s="33"/>
      <c r="S70" s="34"/>
      <c r="T70" s="34"/>
      <c r="U70" s="34"/>
      <c r="V70" s="34"/>
      <c r="W70" s="34"/>
      <c r="X70" s="33" t="s">
        <v>194</v>
      </c>
      <c r="Y70" s="35" t="str">
        <f>IF(Tabela2[[#This Row],[SIGLA]]="","",VLOOKUP(Tabela2[[#This Row],[SIGLA]],Tabela1[[#All],[Sigla Arte]:[Crédito]],2,0))</f>
        <v>LEANDRO LASSMAR/ARQUIVO DA EDITORA</v>
      </c>
      <c r="Z70" s="31"/>
      <c r="AA70" s="31" t="str">
        <f>Tabela2[[#This Row],[ILUSTRADOR CRIAÇÃO]]</f>
        <v>LEANDRO LASSMAR/ARQUIVO DA EDITORA</v>
      </c>
      <c r="AB70" s="33"/>
      <c r="AC70" s="16"/>
      <c r="AD70" s="16"/>
      <c r="AE70" s="35" t="str">
        <f t="shared" si="1"/>
        <v>EF1 E002 Mat</v>
      </c>
    </row>
    <row r="71" spans="1:31" s="36" customFormat="1" ht="45" x14ac:dyDescent="0.25">
      <c r="A71" s="31" t="s">
        <v>199</v>
      </c>
      <c r="B71" s="16" t="s">
        <v>32</v>
      </c>
      <c r="C71" s="16" t="s">
        <v>164</v>
      </c>
      <c r="D71" s="38" t="s">
        <v>34</v>
      </c>
      <c r="E71" s="33" t="s">
        <v>189</v>
      </c>
      <c r="F71" s="33">
        <v>1</v>
      </c>
      <c r="G71" s="33">
        <v>1</v>
      </c>
      <c r="H71" s="33"/>
      <c r="I71" s="31" t="s">
        <v>46</v>
      </c>
      <c r="J71" s="31"/>
      <c r="K71" s="33"/>
      <c r="L71" s="33"/>
      <c r="M71" s="31"/>
      <c r="N71" s="31"/>
      <c r="O71" s="16" t="s">
        <v>200</v>
      </c>
      <c r="P71" s="16"/>
      <c r="Q71" s="16"/>
      <c r="R71" s="33"/>
      <c r="S71" s="34"/>
      <c r="T71" s="34"/>
      <c r="U71" s="34"/>
      <c r="V71" s="34"/>
      <c r="W71" s="34"/>
      <c r="X71" s="33" t="s">
        <v>194</v>
      </c>
      <c r="Y71" s="35" t="str">
        <f>IF(Tabela2[[#This Row],[SIGLA]]="","",VLOOKUP(Tabela2[[#This Row],[SIGLA]],Tabela1[[#All],[Sigla Arte]:[Crédito]],2,0))</f>
        <v>LEANDRO LASSMAR/ARQUIVO DA EDITORA</v>
      </c>
      <c r="Z71" s="31"/>
      <c r="AA71" s="31" t="str">
        <f>Tabela2[[#This Row],[ILUSTRADOR CRIAÇÃO]]</f>
        <v>LEANDRO LASSMAR/ARQUIVO DA EDITORA</v>
      </c>
      <c r="AB71" s="33"/>
      <c r="AC71" s="16"/>
      <c r="AD71" s="16"/>
      <c r="AE71" s="35" t="str">
        <f t="shared" si="1"/>
        <v>EF1 E002 Mat</v>
      </c>
    </row>
    <row r="72" spans="1:31" s="36" customFormat="1" ht="45" x14ac:dyDescent="0.25">
      <c r="A72" s="31" t="s">
        <v>201</v>
      </c>
      <c r="B72" s="16" t="s">
        <v>32</v>
      </c>
      <c r="C72" s="16" t="s">
        <v>164</v>
      </c>
      <c r="D72" s="38" t="s">
        <v>34</v>
      </c>
      <c r="E72" s="33" t="s">
        <v>189</v>
      </c>
      <c r="F72" s="33">
        <v>1</v>
      </c>
      <c r="G72" s="33">
        <v>1</v>
      </c>
      <c r="H72" s="33"/>
      <c r="I72" s="31" t="s">
        <v>46</v>
      </c>
      <c r="J72" s="31"/>
      <c r="K72" s="33"/>
      <c r="L72" s="33"/>
      <c r="M72" s="31"/>
      <c r="N72" s="31"/>
      <c r="O72" s="16" t="s">
        <v>202</v>
      </c>
      <c r="P72" s="16"/>
      <c r="Q72" s="16"/>
      <c r="R72" s="33"/>
      <c r="S72" s="34"/>
      <c r="T72" s="34"/>
      <c r="U72" s="34"/>
      <c r="V72" s="34"/>
      <c r="W72" s="34"/>
      <c r="X72" s="33" t="s">
        <v>194</v>
      </c>
      <c r="Y72" s="35" t="str">
        <f>IF(Tabela2[[#This Row],[SIGLA]]="","",VLOOKUP(Tabela2[[#This Row],[SIGLA]],Tabela1[[#All],[Sigla Arte]:[Crédito]],2,0))</f>
        <v>LEANDRO LASSMAR/ARQUIVO DA EDITORA</v>
      </c>
      <c r="Z72" s="31"/>
      <c r="AA72" s="31" t="str">
        <f>Tabela2[[#This Row],[ILUSTRADOR CRIAÇÃO]]</f>
        <v>LEANDRO LASSMAR/ARQUIVO DA EDITORA</v>
      </c>
      <c r="AB72" s="33"/>
      <c r="AC72" s="16"/>
      <c r="AD72" s="16"/>
      <c r="AE72" s="35" t="str">
        <f t="shared" si="1"/>
        <v>EF1 E002 Mat</v>
      </c>
    </row>
    <row r="73" spans="1:31" s="36" customFormat="1" ht="45" x14ac:dyDescent="0.25">
      <c r="A73" s="31" t="s">
        <v>203</v>
      </c>
      <c r="B73" s="16" t="s">
        <v>32</v>
      </c>
      <c r="C73" s="16" t="s">
        <v>33</v>
      </c>
      <c r="D73" s="38" t="s">
        <v>34</v>
      </c>
      <c r="E73" s="33" t="s">
        <v>189</v>
      </c>
      <c r="F73" s="33">
        <v>1</v>
      </c>
      <c r="G73" s="33">
        <v>1</v>
      </c>
      <c r="H73" s="33"/>
      <c r="I73" s="31" t="s">
        <v>46</v>
      </c>
      <c r="J73" s="31"/>
      <c r="K73" s="33"/>
      <c r="L73" s="33"/>
      <c r="M73" s="31"/>
      <c r="N73" s="31"/>
      <c r="O73" s="16" t="s">
        <v>204</v>
      </c>
      <c r="P73" s="16"/>
      <c r="Q73" s="16"/>
      <c r="R73" s="33"/>
      <c r="S73" s="34"/>
      <c r="T73" s="34"/>
      <c r="U73" s="34"/>
      <c r="V73" s="34"/>
      <c r="W73" s="34"/>
      <c r="X73" s="33" t="s">
        <v>194</v>
      </c>
      <c r="Y73" s="35" t="str">
        <f>IF(Tabela2[[#This Row],[SIGLA]]="","",VLOOKUP(Tabela2[[#This Row],[SIGLA]],Tabela1[[#All],[Sigla Arte]:[Crédito]],2,0))</f>
        <v>LEANDRO LASSMAR/ARQUIVO DA EDITORA</v>
      </c>
      <c r="Z73" s="31"/>
      <c r="AA73" s="31" t="str">
        <f>Tabela2[[#This Row],[ILUSTRADOR CRIAÇÃO]]</f>
        <v>LEANDRO LASSMAR/ARQUIVO DA EDITORA</v>
      </c>
      <c r="AB73" s="33"/>
      <c r="AC73" s="16"/>
      <c r="AD73" s="16"/>
      <c r="AE73" s="35" t="str">
        <f t="shared" si="1"/>
        <v>EF1 E002 Mat</v>
      </c>
    </row>
    <row r="74" spans="1:31" s="36" customFormat="1" ht="60" x14ac:dyDescent="0.25">
      <c r="A74" s="31" t="s">
        <v>205</v>
      </c>
      <c r="B74" s="16" t="s">
        <v>32</v>
      </c>
      <c r="C74" s="16" t="s">
        <v>164</v>
      </c>
      <c r="D74" s="38" t="s">
        <v>34</v>
      </c>
      <c r="E74" s="33" t="s">
        <v>189</v>
      </c>
      <c r="F74" s="33">
        <v>1</v>
      </c>
      <c r="G74" s="33">
        <v>1</v>
      </c>
      <c r="H74" s="33"/>
      <c r="I74" s="31" t="s">
        <v>46</v>
      </c>
      <c r="J74" s="31"/>
      <c r="K74" s="33"/>
      <c r="L74" s="33"/>
      <c r="M74" s="31"/>
      <c r="N74" s="31"/>
      <c r="O74" s="16" t="s">
        <v>206</v>
      </c>
      <c r="P74" s="16"/>
      <c r="Q74" s="16"/>
      <c r="R74" s="33"/>
      <c r="S74" s="34"/>
      <c r="T74" s="34"/>
      <c r="U74" s="34"/>
      <c r="V74" s="34"/>
      <c r="W74" s="34"/>
      <c r="X74" s="33" t="s">
        <v>194</v>
      </c>
      <c r="Y74" s="35" t="str">
        <f>IF(Tabela2[[#This Row],[SIGLA]]="","",VLOOKUP(Tabela2[[#This Row],[SIGLA]],Tabela1[[#All],[Sigla Arte]:[Crédito]],2,0))</f>
        <v>LEANDRO LASSMAR/ARQUIVO DA EDITORA</v>
      </c>
      <c r="Z74" s="31"/>
      <c r="AA74" s="31" t="str">
        <f>Tabela2[[#This Row],[ILUSTRADOR CRIAÇÃO]]</f>
        <v>LEANDRO LASSMAR/ARQUIVO DA EDITORA</v>
      </c>
      <c r="AB74" s="33"/>
      <c r="AC74" s="16"/>
      <c r="AD74" s="16"/>
      <c r="AE74" s="35" t="str">
        <f t="shared" si="1"/>
        <v>EF1 E002 Mat</v>
      </c>
    </row>
    <row r="75" spans="1:31" s="36" customFormat="1" ht="60" x14ac:dyDescent="0.25">
      <c r="A75" s="31" t="s">
        <v>207</v>
      </c>
      <c r="B75" s="16" t="s">
        <v>32</v>
      </c>
      <c r="C75" s="16" t="s">
        <v>164</v>
      </c>
      <c r="D75" s="38" t="s">
        <v>34</v>
      </c>
      <c r="E75" s="33" t="s">
        <v>189</v>
      </c>
      <c r="F75" s="33">
        <v>1</v>
      </c>
      <c r="G75" s="33">
        <v>1</v>
      </c>
      <c r="H75" s="33"/>
      <c r="I75" s="31" t="s">
        <v>46</v>
      </c>
      <c r="J75" s="31"/>
      <c r="K75" s="33"/>
      <c r="L75" s="33"/>
      <c r="M75" s="31"/>
      <c r="N75" s="31"/>
      <c r="O75" s="16" t="s">
        <v>208</v>
      </c>
      <c r="P75" s="16"/>
      <c r="Q75" s="16"/>
      <c r="R75" s="33"/>
      <c r="S75" s="34"/>
      <c r="T75" s="34"/>
      <c r="U75" s="34"/>
      <c r="V75" s="34"/>
      <c r="W75" s="34"/>
      <c r="X75" s="33" t="s">
        <v>194</v>
      </c>
      <c r="Y75" s="35" t="str">
        <f>IF(Tabela2[[#This Row],[SIGLA]]="","",VLOOKUP(Tabela2[[#This Row],[SIGLA]],Tabela1[[#All],[Sigla Arte]:[Crédito]],2,0))</f>
        <v>LEANDRO LASSMAR/ARQUIVO DA EDITORA</v>
      </c>
      <c r="Z75" s="31"/>
      <c r="AA75" s="31" t="str">
        <f>Tabela2[[#This Row],[ILUSTRADOR CRIAÇÃO]]</f>
        <v>LEANDRO LASSMAR/ARQUIVO DA EDITORA</v>
      </c>
      <c r="AB75" s="33"/>
      <c r="AC75" s="16"/>
      <c r="AD75" s="16"/>
      <c r="AE75" s="35" t="str">
        <f t="shared" si="1"/>
        <v>EF1 E002 Mat</v>
      </c>
    </row>
    <row r="76" spans="1:31" s="36" customFormat="1" ht="60" x14ac:dyDescent="0.25">
      <c r="A76" s="31" t="s">
        <v>209</v>
      </c>
      <c r="B76" s="16" t="s">
        <v>32</v>
      </c>
      <c r="C76" s="16" t="s">
        <v>164</v>
      </c>
      <c r="D76" s="38" t="s">
        <v>34</v>
      </c>
      <c r="E76" s="33" t="s">
        <v>189</v>
      </c>
      <c r="F76" s="33">
        <v>1</v>
      </c>
      <c r="G76" s="33">
        <v>1</v>
      </c>
      <c r="H76" s="33"/>
      <c r="I76" s="31" t="s">
        <v>46</v>
      </c>
      <c r="J76" s="31"/>
      <c r="K76" s="33"/>
      <c r="L76" s="33"/>
      <c r="M76" s="31"/>
      <c r="N76" s="31"/>
      <c r="O76" s="16" t="s">
        <v>210</v>
      </c>
      <c r="P76" s="16"/>
      <c r="Q76" s="16"/>
      <c r="R76" s="33"/>
      <c r="S76" s="34"/>
      <c r="T76" s="34"/>
      <c r="U76" s="34"/>
      <c r="V76" s="34"/>
      <c r="W76" s="34"/>
      <c r="X76" s="33" t="s">
        <v>194</v>
      </c>
      <c r="Y76" s="35" t="str">
        <f>IF(Tabela2[[#This Row],[SIGLA]]="","",VLOOKUP(Tabela2[[#This Row],[SIGLA]],Tabela1[[#All],[Sigla Arte]:[Crédito]],2,0))</f>
        <v>LEANDRO LASSMAR/ARQUIVO DA EDITORA</v>
      </c>
      <c r="Z76" s="31"/>
      <c r="AA76" s="31" t="str">
        <f>Tabela2[[#This Row],[ILUSTRADOR CRIAÇÃO]]</f>
        <v>LEANDRO LASSMAR/ARQUIVO DA EDITORA</v>
      </c>
      <c r="AB76" s="33"/>
      <c r="AC76" s="16"/>
      <c r="AD76" s="16"/>
      <c r="AE76" s="35" t="str">
        <f t="shared" si="1"/>
        <v>EF1 E002 Mat</v>
      </c>
    </row>
    <row r="77" spans="1:31" s="36" customFormat="1" ht="120" x14ac:dyDescent="0.25">
      <c r="A77" s="31" t="s">
        <v>211</v>
      </c>
      <c r="B77" s="16" t="s">
        <v>32</v>
      </c>
      <c r="C77" s="16" t="s">
        <v>164</v>
      </c>
      <c r="D77" s="38" t="s">
        <v>34</v>
      </c>
      <c r="E77" s="33" t="s">
        <v>189</v>
      </c>
      <c r="F77" s="33">
        <v>1</v>
      </c>
      <c r="G77" s="33">
        <v>1</v>
      </c>
      <c r="H77" s="33"/>
      <c r="I77" s="31" t="s">
        <v>46</v>
      </c>
      <c r="J77" s="31"/>
      <c r="K77" s="33"/>
      <c r="L77" s="33"/>
      <c r="M77" s="31"/>
      <c r="N77" s="31"/>
      <c r="O77" s="16" t="s">
        <v>212</v>
      </c>
      <c r="P77" s="16"/>
      <c r="Q77" s="16"/>
      <c r="R77" s="33"/>
      <c r="S77" s="34"/>
      <c r="T77" s="34"/>
      <c r="U77" s="34"/>
      <c r="V77" s="34"/>
      <c r="W77" s="34"/>
      <c r="X77" s="33" t="s">
        <v>194</v>
      </c>
      <c r="Y77" s="35" t="str">
        <f>IF(Tabela2[[#This Row],[SIGLA]]="","",VLOOKUP(Tabela2[[#This Row],[SIGLA]],Tabela1[[#All],[Sigla Arte]:[Crédito]],2,0))</f>
        <v>LEANDRO LASSMAR/ARQUIVO DA EDITORA</v>
      </c>
      <c r="Z77" s="31"/>
      <c r="AA77" s="31" t="str">
        <f>Tabela2[[#This Row],[ILUSTRADOR CRIAÇÃO]]</f>
        <v>LEANDRO LASSMAR/ARQUIVO DA EDITORA</v>
      </c>
      <c r="AB77" s="33"/>
      <c r="AC77" s="16"/>
      <c r="AD77" s="16"/>
      <c r="AE77" s="35" t="str">
        <f t="shared" si="1"/>
        <v>EF1 E002 Mat</v>
      </c>
    </row>
    <row r="78" spans="1:31" s="36" customFormat="1" ht="75" x14ac:dyDescent="0.25">
      <c r="A78" s="31" t="s">
        <v>213</v>
      </c>
      <c r="B78" s="16" t="s">
        <v>32</v>
      </c>
      <c r="C78" s="16" t="s">
        <v>33</v>
      </c>
      <c r="D78" s="38" t="s">
        <v>34</v>
      </c>
      <c r="E78" s="33">
        <v>30</v>
      </c>
      <c r="F78" s="33">
        <v>1</v>
      </c>
      <c r="G78" s="33">
        <v>1</v>
      </c>
      <c r="H78" s="33"/>
      <c r="I78" s="31" t="s">
        <v>35</v>
      </c>
      <c r="J78" s="31"/>
      <c r="K78" s="33"/>
      <c r="L78" s="33"/>
      <c r="M78" s="31"/>
      <c r="N78" s="31"/>
      <c r="O78" s="16" t="s">
        <v>214</v>
      </c>
      <c r="P78" s="16"/>
      <c r="Q78" s="16"/>
      <c r="R78" s="33">
        <v>60</v>
      </c>
      <c r="S78" s="34">
        <v>45825</v>
      </c>
      <c r="T78" s="34">
        <v>45825</v>
      </c>
      <c r="U78" s="34"/>
      <c r="V78" s="34"/>
      <c r="W78" s="34">
        <v>45825</v>
      </c>
      <c r="X78" s="33" t="s">
        <v>48</v>
      </c>
      <c r="Y78" s="35" t="str">
        <f>IF(Tabela2[[#This Row],[SIGLA]]="","",VLOOKUP(Tabela2[[#This Row],[SIGLA]],Tabela1[[#All],[Sigla Arte]:[Crédito]],2,0))</f>
        <v>SERGIO LIMA/ARQUIVO DA EDITORA</v>
      </c>
      <c r="Z78" s="31" t="s">
        <v>38</v>
      </c>
      <c r="AA78" s="31" t="str">
        <f>Tabela2[[#This Row],[ILUSTRADOR CRIAÇÃO]]</f>
        <v>SERGIO LIMA/ARQUIVO DA EDITORA</v>
      </c>
      <c r="AB78" s="33">
        <v>14</v>
      </c>
      <c r="AC78" s="16" t="s">
        <v>39</v>
      </c>
      <c r="AD78" s="16" t="s">
        <v>40</v>
      </c>
      <c r="AE78" s="35" t="str">
        <f t="shared" si="1"/>
        <v>EF1 E002 Mat</v>
      </c>
    </row>
    <row r="79" spans="1:31" s="36" customFormat="1" ht="75" x14ac:dyDescent="0.25">
      <c r="A79" s="31" t="s">
        <v>215</v>
      </c>
      <c r="B79" s="16" t="s">
        <v>32</v>
      </c>
      <c r="C79" s="16" t="s">
        <v>33</v>
      </c>
      <c r="D79" s="38" t="s">
        <v>34</v>
      </c>
      <c r="E79" s="33" t="s">
        <v>189</v>
      </c>
      <c r="F79" s="33">
        <v>1</v>
      </c>
      <c r="G79" s="33">
        <v>1</v>
      </c>
      <c r="H79" s="33"/>
      <c r="I79" s="31" t="s">
        <v>46</v>
      </c>
      <c r="J79" s="31"/>
      <c r="K79" s="33"/>
      <c r="L79" s="33"/>
      <c r="M79" s="31"/>
      <c r="N79" s="31"/>
      <c r="O79" s="16" t="s">
        <v>216</v>
      </c>
      <c r="P79" s="16"/>
      <c r="Q79" s="16"/>
      <c r="R79" s="33"/>
      <c r="S79" s="34"/>
      <c r="T79" s="34"/>
      <c r="U79" s="34"/>
      <c r="V79" s="34"/>
      <c r="W79" s="34"/>
      <c r="X79" s="33" t="s">
        <v>194</v>
      </c>
      <c r="Y79" s="35" t="str">
        <f>IF(Tabela2[[#This Row],[SIGLA]]="","",VLOOKUP(Tabela2[[#This Row],[SIGLA]],Tabela1[[#All],[Sigla Arte]:[Crédito]],2,0))</f>
        <v>LEANDRO LASSMAR/ARQUIVO DA EDITORA</v>
      </c>
      <c r="Z79" s="31"/>
      <c r="AA79" s="31" t="str">
        <f>Tabela2[[#This Row],[ILUSTRADOR CRIAÇÃO]]</f>
        <v>LEANDRO LASSMAR/ARQUIVO DA EDITORA</v>
      </c>
      <c r="AB79" s="33"/>
      <c r="AC79" s="16"/>
      <c r="AD79" s="16"/>
      <c r="AE79" s="35" t="str">
        <f t="shared" si="1"/>
        <v>EF1 E002 Mat</v>
      </c>
    </row>
    <row r="80" spans="1:31" s="36" customFormat="1" ht="60" x14ac:dyDescent="0.25">
      <c r="A80" s="31" t="s">
        <v>217</v>
      </c>
      <c r="B80" s="16" t="s">
        <v>32</v>
      </c>
      <c r="C80" s="16" t="s">
        <v>164</v>
      </c>
      <c r="D80" s="38" t="s">
        <v>34</v>
      </c>
      <c r="E80" s="33" t="s">
        <v>189</v>
      </c>
      <c r="F80" s="33">
        <v>1</v>
      </c>
      <c r="G80" s="33">
        <v>1</v>
      </c>
      <c r="H80" s="33"/>
      <c r="I80" s="31" t="s">
        <v>35</v>
      </c>
      <c r="J80" s="31"/>
      <c r="K80" s="33"/>
      <c r="L80" s="33"/>
      <c r="M80" s="31"/>
      <c r="N80" s="31"/>
      <c r="O80" s="16" t="s">
        <v>218</v>
      </c>
      <c r="P80" s="16"/>
      <c r="Q80" s="16"/>
      <c r="R80" s="33"/>
      <c r="S80" s="34"/>
      <c r="T80" s="34">
        <v>45825</v>
      </c>
      <c r="U80" s="34"/>
      <c r="V80" s="34"/>
      <c r="W80" s="34">
        <v>45825</v>
      </c>
      <c r="X80" s="33" t="s">
        <v>184</v>
      </c>
      <c r="Y80" s="35" t="str">
        <f>IF(Tabela2[[#This Row],[SIGLA]]="","",VLOOKUP(Tabela2[[#This Row],[SIGLA]],Tabela1[[#All],[Sigla Arte]:[Crédito]],2,0))</f>
        <v>VER DOCUMENTO DE ILS. TÉCNICAS</v>
      </c>
      <c r="Z80" s="31" t="s">
        <v>38</v>
      </c>
      <c r="AA80" s="46" t="s">
        <v>191</v>
      </c>
      <c r="AB80" s="33">
        <v>14</v>
      </c>
      <c r="AC80" s="16" t="s">
        <v>39</v>
      </c>
      <c r="AD80" s="16" t="s">
        <v>40</v>
      </c>
      <c r="AE80" s="35" t="str">
        <f t="shared" si="1"/>
        <v>EF1 E002 Mat</v>
      </c>
    </row>
    <row r="81" spans="1:31" s="36" customFormat="1" ht="60" x14ac:dyDescent="0.25">
      <c r="A81" s="31" t="s">
        <v>219</v>
      </c>
      <c r="B81" s="16" t="s">
        <v>32</v>
      </c>
      <c r="C81" s="16" t="s">
        <v>164</v>
      </c>
      <c r="D81" s="38" t="s">
        <v>34</v>
      </c>
      <c r="E81" s="33" t="s">
        <v>189</v>
      </c>
      <c r="F81" s="33">
        <v>1</v>
      </c>
      <c r="G81" s="33">
        <v>1</v>
      </c>
      <c r="H81" s="33"/>
      <c r="I81" s="31" t="s">
        <v>35</v>
      </c>
      <c r="J81" s="31"/>
      <c r="K81" s="33"/>
      <c r="L81" s="33"/>
      <c r="M81" s="31"/>
      <c r="N81" s="31"/>
      <c r="O81" s="16" t="s">
        <v>220</v>
      </c>
      <c r="P81" s="16"/>
      <c r="Q81" s="16"/>
      <c r="R81" s="33">
        <v>99</v>
      </c>
      <c r="S81" s="34">
        <v>45873</v>
      </c>
      <c r="T81" s="34">
        <v>45873</v>
      </c>
      <c r="U81" s="34"/>
      <c r="V81" s="34"/>
      <c r="W81" s="34">
        <v>45873</v>
      </c>
      <c r="X81" s="33" t="s">
        <v>184</v>
      </c>
      <c r="Y81" s="35" t="str">
        <f>IF(Tabela2[[#This Row],[SIGLA]]="","",VLOOKUP(Tabela2[[#This Row],[SIGLA]],Tabela1[[#All],[Sigla Arte]:[Crédito]],2,0))</f>
        <v>VER DOCUMENTO DE ILS. TÉCNICAS</v>
      </c>
      <c r="Z81" s="31" t="s">
        <v>221</v>
      </c>
      <c r="AA81" s="46" t="s">
        <v>191</v>
      </c>
      <c r="AB81" s="33">
        <v>13</v>
      </c>
      <c r="AC81" s="16" t="s">
        <v>222</v>
      </c>
      <c r="AD81" s="16" t="s">
        <v>40</v>
      </c>
      <c r="AE81" s="35" t="str">
        <f t="shared" si="1"/>
        <v>EF1 E002 Mat</v>
      </c>
    </row>
    <row r="82" spans="1:31" s="36" customFormat="1" ht="45" x14ac:dyDescent="0.25">
      <c r="A82" s="31" t="s">
        <v>223</v>
      </c>
      <c r="B82" s="16" t="s">
        <v>32</v>
      </c>
      <c r="C82" s="16" t="s">
        <v>33</v>
      </c>
      <c r="D82" s="38" t="s">
        <v>34</v>
      </c>
      <c r="E82" s="33">
        <v>41</v>
      </c>
      <c r="F82" s="33">
        <v>1</v>
      </c>
      <c r="G82" s="33">
        <v>1</v>
      </c>
      <c r="H82" s="33"/>
      <c r="I82" s="31" t="s">
        <v>46</v>
      </c>
      <c r="J82" s="31"/>
      <c r="K82" s="33"/>
      <c r="L82" s="33"/>
      <c r="M82" s="31"/>
      <c r="N82" s="31"/>
      <c r="O82" s="32" t="s">
        <v>224</v>
      </c>
      <c r="P82" s="16"/>
      <c r="Q82" s="16"/>
      <c r="R82" s="33"/>
      <c r="S82" s="34"/>
      <c r="T82" s="34"/>
      <c r="U82" s="34"/>
      <c r="V82" s="34"/>
      <c r="W82" s="34"/>
      <c r="X82" s="33" t="s">
        <v>85</v>
      </c>
      <c r="Y82" s="35" t="str">
        <f>IF(Tabela2[[#This Row],[SIGLA]]="","",VLOOKUP(Tabela2[[#This Row],[SIGLA]],Tabela1[[#All],[Sigla Arte]:[Crédito]],2,0))</f>
        <v>HELOÍSA PINTARELLI/ARQUIVO DA EDITORA</v>
      </c>
      <c r="Z82" s="31"/>
      <c r="AA82" s="31" t="str">
        <f>Tabela2[[#This Row],[ILUSTRADOR CRIAÇÃO]]</f>
        <v>HELOÍSA PINTARELLI/ARQUIVO DA EDITORA</v>
      </c>
      <c r="AB82" s="33"/>
      <c r="AC82" s="16"/>
      <c r="AD82" s="16"/>
      <c r="AE82" s="35" t="str">
        <f t="shared" si="1"/>
        <v>EF1 E002 Mat</v>
      </c>
    </row>
    <row r="83" spans="1:31" s="36" customFormat="1" ht="30" x14ac:dyDescent="0.25">
      <c r="A83" s="31" t="s">
        <v>225</v>
      </c>
      <c r="B83" s="16" t="s">
        <v>32</v>
      </c>
      <c r="C83" s="16" t="s">
        <v>164</v>
      </c>
      <c r="D83" s="38" t="s">
        <v>34</v>
      </c>
      <c r="E83" s="33">
        <v>41</v>
      </c>
      <c r="F83" s="33">
        <v>1</v>
      </c>
      <c r="G83" s="33">
        <v>1</v>
      </c>
      <c r="H83" s="33"/>
      <c r="I83" s="31" t="s">
        <v>46</v>
      </c>
      <c r="J83" s="31"/>
      <c r="K83" s="33"/>
      <c r="L83" s="33"/>
      <c r="M83" s="31"/>
      <c r="N83" s="31"/>
      <c r="O83" s="16" t="s">
        <v>226</v>
      </c>
      <c r="P83" s="16"/>
      <c r="Q83" s="16"/>
      <c r="R83" s="33"/>
      <c r="S83" s="34"/>
      <c r="T83" s="34"/>
      <c r="U83" s="34"/>
      <c r="V83" s="34"/>
      <c r="W83" s="34"/>
      <c r="X83" s="33" t="s">
        <v>85</v>
      </c>
      <c r="Y83" s="35" t="str">
        <f>IF(Tabela2[[#This Row],[SIGLA]]="","",VLOOKUP(Tabela2[[#This Row],[SIGLA]],Tabela1[[#All],[Sigla Arte]:[Crédito]],2,0))</f>
        <v>HELOÍSA PINTARELLI/ARQUIVO DA EDITORA</v>
      </c>
      <c r="Z83" s="31"/>
      <c r="AA83" s="31" t="str">
        <f>Tabela2[[#This Row],[ILUSTRADOR CRIAÇÃO]]</f>
        <v>HELOÍSA PINTARELLI/ARQUIVO DA EDITORA</v>
      </c>
      <c r="AB83" s="33"/>
      <c r="AC83" s="16"/>
      <c r="AD83" s="16"/>
      <c r="AE83" s="35" t="str">
        <f t="shared" si="1"/>
        <v>EF1 E002 Mat</v>
      </c>
    </row>
    <row r="84" spans="1:31" s="36" customFormat="1" ht="30" x14ac:dyDescent="0.25">
      <c r="A84" s="31" t="s">
        <v>227</v>
      </c>
      <c r="B84" s="16" t="s">
        <v>32</v>
      </c>
      <c r="C84" s="16" t="s">
        <v>164</v>
      </c>
      <c r="D84" s="38" t="s">
        <v>34</v>
      </c>
      <c r="E84" s="33">
        <v>41</v>
      </c>
      <c r="F84" s="33">
        <v>1</v>
      </c>
      <c r="G84" s="33">
        <v>1</v>
      </c>
      <c r="H84" s="33"/>
      <c r="I84" s="31" t="s">
        <v>46</v>
      </c>
      <c r="J84" s="31"/>
      <c r="K84" s="33"/>
      <c r="L84" s="33"/>
      <c r="M84" s="31"/>
      <c r="N84" s="31"/>
      <c r="O84" s="16" t="s">
        <v>228</v>
      </c>
      <c r="P84" s="16"/>
      <c r="Q84" s="16"/>
      <c r="R84" s="33"/>
      <c r="S84" s="34"/>
      <c r="T84" s="34"/>
      <c r="U84" s="34"/>
      <c r="V84" s="34"/>
      <c r="W84" s="34"/>
      <c r="X84" s="33" t="s">
        <v>85</v>
      </c>
      <c r="Y84" s="35" t="str">
        <f>IF(Tabela2[[#This Row],[SIGLA]]="","",VLOOKUP(Tabela2[[#This Row],[SIGLA]],Tabela1[[#All],[Sigla Arte]:[Crédito]],2,0))</f>
        <v>HELOÍSA PINTARELLI/ARQUIVO DA EDITORA</v>
      </c>
      <c r="Z84" s="31"/>
      <c r="AA84" s="31" t="str">
        <f>Tabela2[[#This Row],[ILUSTRADOR CRIAÇÃO]]</f>
        <v>HELOÍSA PINTARELLI/ARQUIVO DA EDITORA</v>
      </c>
      <c r="AB84" s="33"/>
      <c r="AC84" s="16"/>
      <c r="AD84" s="16"/>
      <c r="AE84" s="35" t="str">
        <f t="shared" si="1"/>
        <v>EF1 E002 Mat</v>
      </c>
    </row>
    <row r="85" spans="1:31" s="36" customFormat="1" ht="30" x14ac:dyDescent="0.25">
      <c r="A85" s="31" t="s">
        <v>229</v>
      </c>
      <c r="B85" s="16" t="s">
        <v>32</v>
      </c>
      <c r="C85" s="16" t="s">
        <v>164</v>
      </c>
      <c r="D85" s="38" t="s">
        <v>34</v>
      </c>
      <c r="E85" s="33">
        <v>41</v>
      </c>
      <c r="F85" s="33">
        <v>1</v>
      </c>
      <c r="G85" s="33">
        <v>1</v>
      </c>
      <c r="H85" s="33"/>
      <c r="I85" s="31" t="s">
        <v>46</v>
      </c>
      <c r="J85" s="31"/>
      <c r="K85" s="33"/>
      <c r="L85" s="33"/>
      <c r="M85" s="31"/>
      <c r="N85" s="31"/>
      <c r="O85" s="16" t="s">
        <v>230</v>
      </c>
      <c r="P85" s="16"/>
      <c r="Q85" s="16"/>
      <c r="R85" s="33"/>
      <c r="S85" s="34"/>
      <c r="T85" s="34"/>
      <c r="U85" s="34"/>
      <c r="V85" s="34"/>
      <c r="W85" s="34"/>
      <c r="X85" s="33" t="s">
        <v>48</v>
      </c>
      <c r="Y85" s="35" t="str">
        <f>IF(Tabela2[[#This Row],[SIGLA]]="","",VLOOKUP(Tabela2[[#This Row],[SIGLA]],Tabela1[[#All],[Sigla Arte]:[Crédito]],2,0))</f>
        <v>SERGIO LIMA/ARQUIVO DA EDITORA</v>
      </c>
      <c r="Z85" s="31"/>
      <c r="AA85" s="31" t="str">
        <f>Tabela2[[#This Row],[ILUSTRADOR CRIAÇÃO]]</f>
        <v>SERGIO LIMA/ARQUIVO DA EDITORA</v>
      </c>
      <c r="AB85" s="33"/>
      <c r="AC85" s="16"/>
      <c r="AD85" s="16"/>
      <c r="AE85" s="35" t="str">
        <f t="shared" si="1"/>
        <v>EF1 E002 Mat</v>
      </c>
    </row>
    <row r="86" spans="1:31" s="36" customFormat="1" ht="60" x14ac:dyDescent="0.25">
      <c r="A86" s="31" t="s">
        <v>231</v>
      </c>
      <c r="B86" s="16" t="s">
        <v>32</v>
      </c>
      <c r="C86" s="16" t="s">
        <v>164</v>
      </c>
      <c r="D86" s="38" t="s">
        <v>34</v>
      </c>
      <c r="E86" s="33">
        <v>41</v>
      </c>
      <c r="F86" s="33">
        <v>1</v>
      </c>
      <c r="G86" s="33">
        <v>1</v>
      </c>
      <c r="H86" s="33"/>
      <c r="I86" s="31" t="s">
        <v>46</v>
      </c>
      <c r="J86" s="31"/>
      <c r="K86" s="33"/>
      <c r="L86" s="33"/>
      <c r="M86" s="31"/>
      <c r="N86" s="31"/>
      <c r="O86" s="16" t="s">
        <v>232</v>
      </c>
      <c r="P86" s="16"/>
      <c r="Q86" s="16"/>
      <c r="R86" s="33"/>
      <c r="S86" s="34"/>
      <c r="T86" s="34"/>
      <c r="U86" s="34"/>
      <c r="V86" s="34"/>
      <c r="W86" s="34"/>
      <c r="X86" s="33" t="s">
        <v>48</v>
      </c>
      <c r="Y86" s="35" t="str">
        <f>IF(Tabela2[[#This Row],[SIGLA]]="","",VLOOKUP(Tabela2[[#This Row],[SIGLA]],Tabela1[[#All],[Sigla Arte]:[Crédito]],2,0))</f>
        <v>SERGIO LIMA/ARQUIVO DA EDITORA</v>
      </c>
      <c r="Z86" s="31"/>
      <c r="AA86" s="31" t="str">
        <f>Tabela2[[#This Row],[ILUSTRADOR CRIAÇÃO]]</f>
        <v>SERGIO LIMA/ARQUIVO DA EDITORA</v>
      </c>
      <c r="AB86" s="33"/>
      <c r="AC86" s="16"/>
      <c r="AD86" s="16"/>
      <c r="AE86" s="35" t="str">
        <f t="shared" si="1"/>
        <v>EF1 E002 Mat</v>
      </c>
    </row>
    <row r="87" spans="1:31" s="36" customFormat="1" ht="60" x14ac:dyDescent="0.25">
      <c r="A87" s="31" t="s">
        <v>233</v>
      </c>
      <c r="B87" s="16" t="s">
        <v>32</v>
      </c>
      <c r="C87" s="16" t="s">
        <v>164</v>
      </c>
      <c r="D87" s="38" t="s">
        <v>34</v>
      </c>
      <c r="E87" s="33">
        <v>41</v>
      </c>
      <c r="F87" s="33">
        <v>1</v>
      </c>
      <c r="G87" s="33">
        <v>1</v>
      </c>
      <c r="H87" s="33"/>
      <c r="I87" s="31" t="s">
        <v>46</v>
      </c>
      <c r="J87" s="31"/>
      <c r="K87" s="33"/>
      <c r="L87" s="33"/>
      <c r="M87" s="31"/>
      <c r="N87" s="31"/>
      <c r="O87" s="16" t="s">
        <v>234</v>
      </c>
      <c r="P87" s="16"/>
      <c r="Q87" s="16"/>
      <c r="R87" s="33"/>
      <c r="S87" s="34"/>
      <c r="T87" s="34"/>
      <c r="U87" s="34"/>
      <c r="V87" s="34"/>
      <c r="W87" s="34"/>
      <c r="X87" s="33" t="s">
        <v>48</v>
      </c>
      <c r="Y87" s="35" t="str">
        <f>IF(Tabela2[[#This Row],[SIGLA]]="","",VLOOKUP(Tabela2[[#This Row],[SIGLA]],Tabela1[[#All],[Sigla Arte]:[Crédito]],2,0))</f>
        <v>SERGIO LIMA/ARQUIVO DA EDITORA</v>
      </c>
      <c r="Z87" s="31"/>
      <c r="AA87" s="31" t="str">
        <f>Tabela2[[#This Row],[ILUSTRADOR CRIAÇÃO]]</f>
        <v>SERGIO LIMA/ARQUIVO DA EDITORA</v>
      </c>
      <c r="AB87" s="33"/>
      <c r="AC87" s="16"/>
      <c r="AD87" s="16"/>
      <c r="AE87" s="35" t="str">
        <f t="shared" si="1"/>
        <v>EF1 E002 Mat</v>
      </c>
    </row>
    <row r="88" spans="1:31" s="36" customFormat="1" ht="60" x14ac:dyDescent="0.25">
      <c r="A88" s="31" t="s">
        <v>235</v>
      </c>
      <c r="B88" s="16" t="s">
        <v>32</v>
      </c>
      <c r="C88" s="16" t="s">
        <v>164</v>
      </c>
      <c r="D88" s="38" t="s">
        <v>34</v>
      </c>
      <c r="E88" s="33">
        <v>41</v>
      </c>
      <c r="F88" s="33">
        <v>1</v>
      </c>
      <c r="G88" s="33">
        <v>1</v>
      </c>
      <c r="H88" s="33"/>
      <c r="I88" s="31" t="s">
        <v>46</v>
      </c>
      <c r="J88" s="31"/>
      <c r="K88" s="33"/>
      <c r="L88" s="33"/>
      <c r="M88" s="31"/>
      <c r="N88" s="31"/>
      <c r="O88" s="16" t="s">
        <v>236</v>
      </c>
      <c r="P88" s="16"/>
      <c r="Q88" s="16"/>
      <c r="R88" s="33"/>
      <c r="S88" s="34"/>
      <c r="T88" s="34"/>
      <c r="U88" s="34"/>
      <c r="V88" s="34"/>
      <c r="W88" s="34"/>
      <c r="X88" s="33" t="s">
        <v>48</v>
      </c>
      <c r="Y88" s="35" t="str">
        <f>IF(Tabela2[[#This Row],[SIGLA]]="","",VLOOKUP(Tabela2[[#This Row],[SIGLA]],Tabela1[[#All],[Sigla Arte]:[Crédito]],2,0))</f>
        <v>SERGIO LIMA/ARQUIVO DA EDITORA</v>
      </c>
      <c r="Z88" s="31"/>
      <c r="AA88" s="31" t="str">
        <f>Tabela2[[#This Row],[ILUSTRADOR CRIAÇÃO]]</f>
        <v>SERGIO LIMA/ARQUIVO DA EDITORA</v>
      </c>
      <c r="AB88" s="33"/>
      <c r="AC88" s="16"/>
      <c r="AD88" s="16"/>
      <c r="AE88" s="35" t="str">
        <f t="shared" si="1"/>
        <v>EF1 E002 Mat</v>
      </c>
    </row>
    <row r="89" spans="1:31" s="36" customFormat="1" ht="60" x14ac:dyDescent="0.25">
      <c r="A89" s="31" t="s">
        <v>237</v>
      </c>
      <c r="B89" s="16" t="s">
        <v>32</v>
      </c>
      <c r="C89" s="16" t="s">
        <v>164</v>
      </c>
      <c r="D89" s="38" t="s">
        <v>34</v>
      </c>
      <c r="E89" s="33">
        <v>41</v>
      </c>
      <c r="F89" s="33">
        <v>1</v>
      </c>
      <c r="G89" s="33">
        <v>1</v>
      </c>
      <c r="H89" s="33"/>
      <c r="I89" s="31" t="s">
        <v>46</v>
      </c>
      <c r="J89" s="31"/>
      <c r="K89" s="33"/>
      <c r="L89" s="33"/>
      <c r="M89" s="31"/>
      <c r="N89" s="31"/>
      <c r="O89" s="16" t="s">
        <v>238</v>
      </c>
      <c r="P89" s="16"/>
      <c r="Q89" s="16"/>
      <c r="R89" s="33"/>
      <c r="S89" s="34"/>
      <c r="T89" s="34"/>
      <c r="U89" s="34"/>
      <c r="V89" s="34"/>
      <c r="W89" s="34"/>
      <c r="X89" s="33" t="s">
        <v>48</v>
      </c>
      <c r="Y89" s="35" t="str">
        <f>IF(Tabela2[[#This Row],[SIGLA]]="","",VLOOKUP(Tabela2[[#This Row],[SIGLA]],Tabela1[[#All],[Sigla Arte]:[Crédito]],2,0))</f>
        <v>SERGIO LIMA/ARQUIVO DA EDITORA</v>
      </c>
      <c r="Z89" s="31"/>
      <c r="AA89" s="31" t="str">
        <f>Tabela2[[#This Row],[ILUSTRADOR CRIAÇÃO]]</f>
        <v>SERGIO LIMA/ARQUIVO DA EDITORA</v>
      </c>
      <c r="AB89" s="33"/>
      <c r="AC89" s="16"/>
      <c r="AD89" s="16"/>
      <c r="AE89" s="35" t="str">
        <f t="shared" si="1"/>
        <v>EF1 E002 Mat</v>
      </c>
    </row>
    <row r="90" spans="1:31" s="36" customFormat="1" ht="90" x14ac:dyDescent="0.25">
      <c r="A90" s="31" t="s">
        <v>239</v>
      </c>
      <c r="B90" s="16" t="s">
        <v>32</v>
      </c>
      <c r="C90" s="16" t="s">
        <v>164</v>
      </c>
      <c r="D90" s="38" t="s">
        <v>34</v>
      </c>
      <c r="E90" s="33">
        <v>41</v>
      </c>
      <c r="F90" s="33">
        <v>1</v>
      </c>
      <c r="G90" s="33">
        <v>1</v>
      </c>
      <c r="H90" s="33"/>
      <c r="I90" s="31" t="s">
        <v>46</v>
      </c>
      <c r="J90" s="31"/>
      <c r="K90" s="33"/>
      <c r="L90" s="33"/>
      <c r="M90" s="31"/>
      <c r="N90" s="31"/>
      <c r="O90" s="16" t="s">
        <v>240</v>
      </c>
      <c r="P90" s="16"/>
      <c r="Q90" s="16"/>
      <c r="R90" s="33"/>
      <c r="S90" s="34"/>
      <c r="T90" s="34"/>
      <c r="U90" s="34"/>
      <c r="V90" s="34"/>
      <c r="W90" s="34"/>
      <c r="X90" s="33" t="s">
        <v>48</v>
      </c>
      <c r="Y90" s="35" t="str">
        <f>IF(Tabela2[[#This Row],[SIGLA]]="","",VLOOKUP(Tabela2[[#This Row],[SIGLA]],Tabela1[[#All],[Sigla Arte]:[Crédito]],2,0))</f>
        <v>SERGIO LIMA/ARQUIVO DA EDITORA</v>
      </c>
      <c r="Z90" s="31"/>
      <c r="AA90" s="31" t="str">
        <f>Tabela2[[#This Row],[ILUSTRADOR CRIAÇÃO]]</f>
        <v>SERGIO LIMA/ARQUIVO DA EDITORA</v>
      </c>
      <c r="AB90" s="33"/>
      <c r="AC90" s="16"/>
      <c r="AD90" s="16"/>
      <c r="AE90" s="35" t="str">
        <f t="shared" si="1"/>
        <v>EF1 E002 Mat</v>
      </c>
    </row>
    <row r="91" spans="1:31" s="36" customFormat="1" ht="75" x14ac:dyDescent="0.25">
      <c r="A91" s="31" t="s">
        <v>241</v>
      </c>
      <c r="B91" s="16" t="s">
        <v>32</v>
      </c>
      <c r="C91" s="16" t="s">
        <v>164</v>
      </c>
      <c r="D91" s="38" t="s">
        <v>34</v>
      </c>
      <c r="E91" s="33">
        <v>41</v>
      </c>
      <c r="F91" s="33">
        <v>1</v>
      </c>
      <c r="G91" s="33">
        <v>1</v>
      </c>
      <c r="H91" s="33"/>
      <c r="I91" s="31" t="s">
        <v>35</v>
      </c>
      <c r="J91" s="31"/>
      <c r="K91" s="33"/>
      <c r="L91" s="33"/>
      <c r="M91" s="31"/>
      <c r="N91" s="31"/>
      <c r="O91" s="16" t="s">
        <v>242</v>
      </c>
      <c r="P91" s="16"/>
      <c r="Q91" s="16"/>
      <c r="R91" s="33">
        <v>99</v>
      </c>
      <c r="S91" s="34">
        <v>40825</v>
      </c>
      <c r="T91" s="34">
        <v>45873</v>
      </c>
      <c r="U91" s="34"/>
      <c r="V91" s="34"/>
      <c r="W91" s="34">
        <v>45873</v>
      </c>
      <c r="X91" s="33" t="s">
        <v>48</v>
      </c>
      <c r="Y91" s="35" t="str">
        <f>IF(Tabela2[[#This Row],[SIGLA]]="","",VLOOKUP(Tabela2[[#This Row],[SIGLA]],Tabela1[[#All],[Sigla Arte]:[Crédito]],2,0))</f>
        <v>SERGIO LIMA/ARQUIVO DA EDITORA</v>
      </c>
      <c r="Z91" s="31" t="s">
        <v>221</v>
      </c>
      <c r="AA91" s="31" t="str">
        <f>Tabela2[[#This Row],[ILUSTRADOR CRIAÇÃO]]</f>
        <v>SERGIO LIMA/ARQUIVO DA EDITORA</v>
      </c>
      <c r="AB91" s="33">
        <v>13</v>
      </c>
      <c r="AC91" s="16" t="s">
        <v>222</v>
      </c>
      <c r="AD91" s="16" t="s">
        <v>40</v>
      </c>
      <c r="AE91" s="35" t="str">
        <f t="shared" si="1"/>
        <v>EF1 E002 Mat</v>
      </c>
    </row>
    <row r="92" spans="1:31" s="36" customFormat="1" ht="60" x14ac:dyDescent="0.25">
      <c r="A92" s="31" t="s">
        <v>243</v>
      </c>
      <c r="B92" s="16" t="s">
        <v>32</v>
      </c>
      <c r="C92" s="16" t="s">
        <v>33</v>
      </c>
      <c r="D92" s="38" t="s">
        <v>34</v>
      </c>
      <c r="E92" s="33" t="s">
        <v>189</v>
      </c>
      <c r="F92" s="33">
        <v>1</v>
      </c>
      <c r="G92" s="33">
        <v>1</v>
      </c>
      <c r="H92" s="33"/>
      <c r="I92" s="31" t="s">
        <v>46</v>
      </c>
      <c r="J92" s="31"/>
      <c r="K92" s="33"/>
      <c r="L92" s="33"/>
      <c r="M92" s="31"/>
      <c r="N92" s="31"/>
      <c r="O92" s="16" t="s">
        <v>244</v>
      </c>
      <c r="P92" s="16"/>
      <c r="Q92" s="16"/>
      <c r="R92" s="33"/>
      <c r="S92" s="34"/>
      <c r="T92" s="34"/>
      <c r="U92" s="34"/>
      <c r="V92" s="34"/>
      <c r="W92" s="34"/>
      <c r="X92" s="33" t="s">
        <v>194</v>
      </c>
      <c r="Y92" s="35" t="str">
        <f>IF(Tabela2[[#This Row],[SIGLA]]="","",VLOOKUP(Tabela2[[#This Row],[SIGLA]],Tabela1[[#All],[Sigla Arte]:[Crédito]],2,0))</f>
        <v>LEANDRO LASSMAR/ARQUIVO DA EDITORA</v>
      </c>
      <c r="Z92" s="31"/>
      <c r="AA92" s="31" t="str">
        <f>Tabela2[[#This Row],[ILUSTRADOR CRIAÇÃO]]</f>
        <v>LEANDRO LASSMAR/ARQUIVO DA EDITORA</v>
      </c>
      <c r="AB92" s="33"/>
      <c r="AC92" s="16"/>
      <c r="AD92" s="16"/>
      <c r="AE92" s="35" t="str">
        <f t="shared" si="1"/>
        <v>EF1 E002 Mat</v>
      </c>
    </row>
    <row r="93" spans="1:31" s="36" customFormat="1" ht="30" x14ac:dyDescent="0.25">
      <c r="A93" s="31" t="s">
        <v>245</v>
      </c>
      <c r="B93" s="16" t="s">
        <v>32</v>
      </c>
      <c r="C93" s="16" t="s">
        <v>33</v>
      </c>
      <c r="D93" s="38" t="s">
        <v>34</v>
      </c>
      <c r="E93" s="33">
        <v>42</v>
      </c>
      <c r="F93" s="33">
        <v>1</v>
      </c>
      <c r="G93" s="33">
        <v>1</v>
      </c>
      <c r="H93" s="33"/>
      <c r="I93" s="31" t="s">
        <v>46</v>
      </c>
      <c r="J93" s="31"/>
      <c r="K93" s="33"/>
      <c r="L93" s="33"/>
      <c r="M93" s="31"/>
      <c r="N93" s="31"/>
      <c r="O93" s="16" t="s">
        <v>246</v>
      </c>
      <c r="P93" s="16"/>
      <c r="Q93" s="16"/>
      <c r="R93" s="33"/>
      <c r="S93" s="34"/>
      <c r="T93" s="34"/>
      <c r="U93" s="34"/>
      <c r="V93" s="34"/>
      <c r="W93" s="34"/>
      <c r="X93" s="33" t="s">
        <v>247</v>
      </c>
      <c r="Y93" s="35" t="str">
        <f>IF(Tabela2[[#This Row],[SIGLA]]="","",VLOOKUP(Tabela2[[#This Row],[SIGLA]],Tabela1[[#All],[Sigla Arte]:[Crédito]],2,0))</f>
        <v>THAIS CASTRO/ARQUIVO DA EDITORA</v>
      </c>
      <c r="Z93" s="31"/>
      <c r="AA93" s="31" t="str">
        <f>Tabela2[[#This Row],[ILUSTRADOR CRIAÇÃO]]</f>
        <v>THAIS CASTRO/ARQUIVO DA EDITORA</v>
      </c>
      <c r="AB93" s="33"/>
      <c r="AC93" s="16"/>
      <c r="AD93" s="16"/>
      <c r="AE93" s="35" t="str">
        <f t="shared" si="1"/>
        <v>EF1 E002 Mat</v>
      </c>
    </row>
    <row r="94" spans="1:31" s="36" customFormat="1" ht="30" x14ac:dyDescent="0.25">
      <c r="A94" s="31" t="s">
        <v>248</v>
      </c>
      <c r="B94" s="16" t="s">
        <v>32</v>
      </c>
      <c r="C94" s="16" t="s">
        <v>33</v>
      </c>
      <c r="D94" s="38" t="s">
        <v>34</v>
      </c>
      <c r="E94" s="33">
        <v>42</v>
      </c>
      <c r="F94" s="33">
        <v>1</v>
      </c>
      <c r="G94" s="33">
        <v>1</v>
      </c>
      <c r="H94" s="33"/>
      <c r="I94" s="31" t="s">
        <v>46</v>
      </c>
      <c r="J94" s="31"/>
      <c r="K94" s="33"/>
      <c r="L94" s="33"/>
      <c r="M94" s="31"/>
      <c r="N94" s="31"/>
      <c r="O94" s="16" t="s">
        <v>249</v>
      </c>
      <c r="P94" s="16"/>
      <c r="Q94" s="16"/>
      <c r="R94" s="33"/>
      <c r="S94" s="34"/>
      <c r="T94" s="34"/>
      <c r="U94" s="34"/>
      <c r="V94" s="34"/>
      <c r="W94" s="34"/>
      <c r="X94" s="33" t="s">
        <v>247</v>
      </c>
      <c r="Y94" s="35" t="str">
        <f>IF(Tabela2[[#This Row],[SIGLA]]="","",VLOOKUP(Tabela2[[#This Row],[SIGLA]],Tabela1[[#All],[Sigla Arte]:[Crédito]],2,0))</f>
        <v>THAIS CASTRO/ARQUIVO DA EDITORA</v>
      </c>
      <c r="Z94" s="31"/>
      <c r="AA94" s="31" t="str">
        <f>Tabela2[[#This Row],[ILUSTRADOR CRIAÇÃO]]</f>
        <v>THAIS CASTRO/ARQUIVO DA EDITORA</v>
      </c>
      <c r="AB94" s="33"/>
      <c r="AC94" s="16"/>
      <c r="AD94" s="16"/>
      <c r="AE94" s="35" t="str">
        <f t="shared" si="1"/>
        <v>EF1 E002 Mat</v>
      </c>
    </row>
    <row r="95" spans="1:31" s="36" customFormat="1" ht="60" x14ac:dyDescent="0.25">
      <c r="A95" s="31" t="s">
        <v>250</v>
      </c>
      <c r="B95" s="16" t="s">
        <v>32</v>
      </c>
      <c r="C95" s="16" t="s">
        <v>164</v>
      </c>
      <c r="D95" s="38" t="s">
        <v>34</v>
      </c>
      <c r="E95" s="33">
        <v>42</v>
      </c>
      <c r="F95" s="33">
        <v>1</v>
      </c>
      <c r="G95" s="33">
        <v>1</v>
      </c>
      <c r="H95" s="33"/>
      <c r="I95" s="31" t="s">
        <v>35</v>
      </c>
      <c r="J95" s="31"/>
      <c r="K95" s="33"/>
      <c r="L95" s="33"/>
      <c r="M95" s="31"/>
      <c r="N95" s="31"/>
      <c r="O95" s="16" t="s">
        <v>251</v>
      </c>
      <c r="P95" s="16"/>
      <c r="Q95" s="16"/>
      <c r="R95" s="33">
        <v>42</v>
      </c>
      <c r="S95" s="34">
        <v>45792</v>
      </c>
      <c r="T95" s="34">
        <v>45796</v>
      </c>
      <c r="U95" s="34"/>
      <c r="V95" s="34"/>
      <c r="W95" s="34">
        <v>45797</v>
      </c>
      <c r="X95" s="33" t="s">
        <v>247</v>
      </c>
      <c r="Y95" s="35" t="str">
        <f>IF(Tabela2[[#This Row],[SIGLA]]="","",VLOOKUP(Tabela2[[#This Row],[SIGLA]],Tabela1[[#All],[Sigla Arte]:[Crédito]],2,0))</f>
        <v>THAIS CASTRO/ARQUIVO DA EDITORA</v>
      </c>
      <c r="Z95" s="31" t="s">
        <v>38</v>
      </c>
      <c r="AA95" s="31" t="str">
        <f>Tabela2[[#This Row],[ILUSTRADOR CRIAÇÃO]]</f>
        <v>THAIS CASTRO/ARQUIVO DA EDITORA</v>
      </c>
      <c r="AB95" s="33">
        <v>14</v>
      </c>
      <c r="AC95" s="16" t="s">
        <v>39</v>
      </c>
      <c r="AD95" s="16" t="s">
        <v>40</v>
      </c>
      <c r="AE95" s="35" t="str">
        <f t="shared" si="1"/>
        <v>EF1 E002 Mat</v>
      </c>
    </row>
    <row r="96" spans="1:31" s="36" customFormat="1" ht="60" x14ac:dyDescent="0.25">
      <c r="A96" s="31" t="s">
        <v>252</v>
      </c>
      <c r="B96" s="16" t="s">
        <v>32</v>
      </c>
      <c r="C96" s="16" t="s">
        <v>164</v>
      </c>
      <c r="D96" s="38" t="s">
        <v>34</v>
      </c>
      <c r="E96" s="33">
        <v>42</v>
      </c>
      <c r="F96" s="33">
        <v>1</v>
      </c>
      <c r="G96" s="33">
        <v>1</v>
      </c>
      <c r="H96" s="33"/>
      <c r="I96" s="31" t="s">
        <v>35</v>
      </c>
      <c r="J96" s="31"/>
      <c r="K96" s="33"/>
      <c r="L96" s="33"/>
      <c r="M96" s="31"/>
      <c r="N96" s="31"/>
      <c r="O96" s="16" t="s">
        <v>253</v>
      </c>
      <c r="P96" s="16"/>
      <c r="Q96" s="16"/>
      <c r="R96" s="33">
        <v>42</v>
      </c>
      <c r="S96" s="34">
        <v>45792</v>
      </c>
      <c r="T96" s="34">
        <v>45796</v>
      </c>
      <c r="U96" s="34"/>
      <c r="V96" s="34"/>
      <c r="W96" s="34">
        <v>45797</v>
      </c>
      <c r="X96" s="33" t="s">
        <v>247</v>
      </c>
      <c r="Y96" s="35" t="str">
        <f>IF(Tabela2[[#This Row],[SIGLA]]="","",VLOOKUP(Tabela2[[#This Row],[SIGLA]],Tabela1[[#All],[Sigla Arte]:[Crédito]],2,0))</f>
        <v>THAIS CASTRO/ARQUIVO DA EDITORA</v>
      </c>
      <c r="Z96" s="31" t="s">
        <v>38</v>
      </c>
      <c r="AA96" s="31" t="str">
        <f>Tabela2[[#This Row],[ILUSTRADOR CRIAÇÃO]]</f>
        <v>THAIS CASTRO/ARQUIVO DA EDITORA</v>
      </c>
      <c r="AB96" s="33">
        <v>14</v>
      </c>
      <c r="AC96" s="16" t="s">
        <v>39</v>
      </c>
      <c r="AD96" s="16" t="s">
        <v>40</v>
      </c>
      <c r="AE96" s="35" t="str">
        <f t="shared" si="1"/>
        <v>EF1 E002 Mat</v>
      </c>
    </row>
    <row r="97" spans="1:31" s="36" customFormat="1" ht="60" x14ac:dyDescent="0.25">
      <c r="A97" s="31" t="s">
        <v>254</v>
      </c>
      <c r="B97" s="16" t="s">
        <v>32</v>
      </c>
      <c r="C97" s="16" t="s">
        <v>164</v>
      </c>
      <c r="D97" s="38" t="s">
        <v>34</v>
      </c>
      <c r="E97" s="33">
        <v>42</v>
      </c>
      <c r="F97" s="33">
        <v>1</v>
      </c>
      <c r="G97" s="33">
        <v>1</v>
      </c>
      <c r="H97" s="33"/>
      <c r="I97" s="31" t="s">
        <v>35</v>
      </c>
      <c r="J97" s="31"/>
      <c r="K97" s="33"/>
      <c r="L97" s="33"/>
      <c r="M97" s="31"/>
      <c r="N97" s="31"/>
      <c r="O97" s="16" t="s">
        <v>255</v>
      </c>
      <c r="P97" s="16"/>
      <c r="Q97" s="16"/>
      <c r="R97" s="33">
        <v>42</v>
      </c>
      <c r="S97" s="34">
        <v>45792</v>
      </c>
      <c r="T97" s="34">
        <v>45796</v>
      </c>
      <c r="U97" s="34"/>
      <c r="V97" s="34"/>
      <c r="W97" s="34">
        <v>45797</v>
      </c>
      <c r="X97" s="33" t="s">
        <v>247</v>
      </c>
      <c r="Y97" s="35" t="str">
        <f>IF(Tabela2[[#This Row],[SIGLA]]="","",VLOOKUP(Tabela2[[#This Row],[SIGLA]],Tabela1[[#All],[Sigla Arte]:[Crédito]],2,0))</f>
        <v>THAIS CASTRO/ARQUIVO DA EDITORA</v>
      </c>
      <c r="Z97" s="31" t="s">
        <v>38</v>
      </c>
      <c r="AA97" s="31" t="str">
        <f>Tabela2[[#This Row],[ILUSTRADOR CRIAÇÃO]]</f>
        <v>THAIS CASTRO/ARQUIVO DA EDITORA</v>
      </c>
      <c r="AB97" s="33">
        <v>14</v>
      </c>
      <c r="AC97" s="16" t="s">
        <v>39</v>
      </c>
      <c r="AD97" s="16" t="s">
        <v>40</v>
      </c>
      <c r="AE97" s="35" t="str">
        <f t="shared" si="1"/>
        <v>EF1 E002 Mat</v>
      </c>
    </row>
    <row r="98" spans="1:31" s="36" customFormat="1" ht="30" x14ac:dyDescent="0.25">
      <c r="A98" s="31" t="s">
        <v>256</v>
      </c>
      <c r="B98" s="16" t="s">
        <v>32</v>
      </c>
      <c r="C98" s="16" t="s">
        <v>164</v>
      </c>
      <c r="D98" s="38" t="s">
        <v>34</v>
      </c>
      <c r="E98" s="33">
        <v>42</v>
      </c>
      <c r="F98" s="33">
        <v>1</v>
      </c>
      <c r="G98" s="33">
        <v>1</v>
      </c>
      <c r="H98" s="33"/>
      <c r="I98" s="31" t="s">
        <v>46</v>
      </c>
      <c r="J98" s="31"/>
      <c r="K98" s="33"/>
      <c r="L98" s="33"/>
      <c r="M98" s="31"/>
      <c r="N98" s="31"/>
      <c r="O98" s="16" t="s">
        <v>257</v>
      </c>
      <c r="P98" s="16"/>
      <c r="Q98" s="16"/>
      <c r="R98" s="33"/>
      <c r="S98" s="34"/>
      <c r="T98" s="34"/>
      <c r="U98" s="34"/>
      <c r="V98" s="34"/>
      <c r="W98" s="34"/>
      <c r="X98" s="33" t="s">
        <v>247</v>
      </c>
      <c r="Y98" s="35" t="str">
        <f>IF(Tabela2[[#This Row],[SIGLA]]="","",VLOOKUP(Tabela2[[#This Row],[SIGLA]],Tabela1[[#All],[Sigla Arte]:[Crédito]],2,0))</f>
        <v>THAIS CASTRO/ARQUIVO DA EDITORA</v>
      </c>
      <c r="Z98" s="31"/>
      <c r="AA98" s="31" t="str">
        <f>Tabela2[[#This Row],[ILUSTRADOR CRIAÇÃO]]</f>
        <v>THAIS CASTRO/ARQUIVO DA EDITORA</v>
      </c>
      <c r="AB98" s="33"/>
      <c r="AC98" s="16"/>
      <c r="AD98" s="16"/>
      <c r="AE98" s="35" t="str">
        <f t="shared" si="1"/>
        <v>EF1 E002 Mat</v>
      </c>
    </row>
    <row r="99" spans="1:31" s="36" customFormat="1" ht="60" x14ac:dyDescent="0.25">
      <c r="A99" s="31" t="s">
        <v>258</v>
      </c>
      <c r="B99" s="16" t="s">
        <v>32</v>
      </c>
      <c r="C99" s="16" t="s">
        <v>164</v>
      </c>
      <c r="D99" s="38" t="s">
        <v>34</v>
      </c>
      <c r="E99" s="33">
        <v>42</v>
      </c>
      <c r="F99" s="33">
        <v>1</v>
      </c>
      <c r="G99" s="33">
        <v>1</v>
      </c>
      <c r="H99" s="33"/>
      <c r="I99" s="31" t="s">
        <v>35</v>
      </c>
      <c r="J99" s="31"/>
      <c r="K99" s="33"/>
      <c r="L99" s="33"/>
      <c r="M99" s="31"/>
      <c r="N99" s="31"/>
      <c r="O99" s="16" t="s">
        <v>259</v>
      </c>
      <c r="P99" s="16"/>
      <c r="Q99" s="16"/>
      <c r="R99" s="33">
        <v>42</v>
      </c>
      <c r="S99" s="34">
        <v>45792</v>
      </c>
      <c r="T99" s="34">
        <v>45796</v>
      </c>
      <c r="U99" s="34"/>
      <c r="V99" s="34"/>
      <c r="W99" s="34">
        <v>45797</v>
      </c>
      <c r="X99" s="33" t="s">
        <v>247</v>
      </c>
      <c r="Y99" s="35" t="str">
        <f>IF(Tabela2[[#This Row],[SIGLA]]="","",VLOOKUP(Tabela2[[#This Row],[SIGLA]],Tabela1[[#All],[Sigla Arte]:[Crédito]],2,0))</f>
        <v>THAIS CASTRO/ARQUIVO DA EDITORA</v>
      </c>
      <c r="Z99" s="31" t="s">
        <v>38</v>
      </c>
      <c r="AA99" s="31" t="str">
        <f>Tabela2[[#This Row],[ILUSTRADOR CRIAÇÃO]]</f>
        <v>THAIS CASTRO/ARQUIVO DA EDITORA</v>
      </c>
      <c r="AB99" s="33">
        <v>14</v>
      </c>
      <c r="AC99" s="16" t="s">
        <v>39</v>
      </c>
      <c r="AD99" s="16" t="s">
        <v>40</v>
      </c>
      <c r="AE99" s="35" t="str">
        <f t="shared" si="1"/>
        <v>EF1 E002 Mat</v>
      </c>
    </row>
    <row r="100" spans="1:31" s="36" customFormat="1" ht="60" x14ac:dyDescent="0.25">
      <c r="A100" s="31" t="s">
        <v>260</v>
      </c>
      <c r="B100" s="16" t="s">
        <v>32</v>
      </c>
      <c r="C100" s="16" t="s">
        <v>164</v>
      </c>
      <c r="D100" s="38" t="s">
        <v>34</v>
      </c>
      <c r="E100" s="33">
        <v>42</v>
      </c>
      <c r="F100" s="33">
        <v>1</v>
      </c>
      <c r="G100" s="33">
        <v>1</v>
      </c>
      <c r="H100" s="33"/>
      <c r="I100" s="31" t="s">
        <v>35</v>
      </c>
      <c r="J100" s="31"/>
      <c r="K100" s="33"/>
      <c r="L100" s="33"/>
      <c r="M100" s="31"/>
      <c r="N100" s="31"/>
      <c r="O100" s="16" t="s">
        <v>261</v>
      </c>
      <c r="P100" s="16"/>
      <c r="Q100" s="16"/>
      <c r="R100" s="33">
        <v>42</v>
      </c>
      <c r="S100" s="34">
        <v>45792</v>
      </c>
      <c r="T100" s="34">
        <v>45796</v>
      </c>
      <c r="U100" s="34"/>
      <c r="V100" s="34"/>
      <c r="W100" s="34">
        <v>45797</v>
      </c>
      <c r="X100" s="33" t="s">
        <v>247</v>
      </c>
      <c r="Y100" s="35" t="str">
        <f>IF(Tabela2[[#This Row],[SIGLA]]="","",VLOOKUP(Tabela2[[#This Row],[SIGLA]],Tabela1[[#All],[Sigla Arte]:[Crédito]],2,0))</f>
        <v>THAIS CASTRO/ARQUIVO DA EDITORA</v>
      </c>
      <c r="Z100" s="31" t="s">
        <v>38</v>
      </c>
      <c r="AA100" s="31" t="str">
        <f>Tabela2[[#This Row],[ILUSTRADOR CRIAÇÃO]]</f>
        <v>THAIS CASTRO/ARQUIVO DA EDITORA</v>
      </c>
      <c r="AB100" s="33">
        <v>14</v>
      </c>
      <c r="AC100" s="16" t="s">
        <v>39</v>
      </c>
      <c r="AD100" s="16" t="s">
        <v>40</v>
      </c>
      <c r="AE100" s="35" t="str">
        <f t="shared" si="1"/>
        <v>EF1 E002 Mat</v>
      </c>
    </row>
    <row r="101" spans="1:31" s="36" customFormat="1" ht="60" x14ac:dyDescent="0.25">
      <c r="A101" s="31" t="s">
        <v>262</v>
      </c>
      <c r="B101" s="16" t="s">
        <v>32</v>
      </c>
      <c r="C101" s="16" t="s">
        <v>164</v>
      </c>
      <c r="D101" s="38" t="s">
        <v>34</v>
      </c>
      <c r="E101" s="33">
        <v>42</v>
      </c>
      <c r="F101" s="33">
        <v>1</v>
      </c>
      <c r="G101" s="33">
        <v>1</v>
      </c>
      <c r="H101" s="33"/>
      <c r="I101" s="31" t="s">
        <v>35</v>
      </c>
      <c r="J101" s="31"/>
      <c r="K101" s="33"/>
      <c r="L101" s="33"/>
      <c r="M101" s="31"/>
      <c r="N101" s="31"/>
      <c r="O101" s="16" t="s">
        <v>263</v>
      </c>
      <c r="P101" s="16"/>
      <c r="Q101" s="16"/>
      <c r="R101" s="33">
        <v>42</v>
      </c>
      <c r="S101" s="34">
        <v>45792</v>
      </c>
      <c r="T101" s="34">
        <v>45796</v>
      </c>
      <c r="U101" s="34"/>
      <c r="V101" s="34"/>
      <c r="W101" s="34">
        <v>45797</v>
      </c>
      <c r="X101" s="33" t="s">
        <v>247</v>
      </c>
      <c r="Y101" s="35" t="str">
        <f>IF(Tabela2[[#This Row],[SIGLA]]="","",VLOOKUP(Tabela2[[#This Row],[SIGLA]],Tabela1[[#All],[Sigla Arte]:[Crédito]],2,0))</f>
        <v>THAIS CASTRO/ARQUIVO DA EDITORA</v>
      </c>
      <c r="Z101" s="31" t="s">
        <v>38</v>
      </c>
      <c r="AA101" s="31" t="str">
        <f>Tabela2[[#This Row],[ILUSTRADOR CRIAÇÃO]]</f>
        <v>THAIS CASTRO/ARQUIVO DA EDITORA</v>
      </c>
      <c r="AB101" s="33">
        <v>14</v>
      </c>
      <c r="AC101" s="16" t="s">
        <v>39</v>
      </c>
      <c r="AD101" s="16" t="s">
        <v>40</v>
      </c>
      <c r="AE101" s="35" t="str">
        <f t="shared" si="1"/>
        <v>EF1 E002 Mat</v>
      </c>
    </row>
    <row r="102" spans="1:31" s="36" customFormat="1" ht="60" x14ac:dyDescent="0.25">
      <c r="A102" s="31" t="s">
        <v>264</v>
      </c>
      <c r="B102" s="16" t="s">
        <v>32</v>
      </c>
      <c r="C102" s="16" t="s">
        <v>164</v>
      </c>
      <c r="D102" s="38" t="s">
        <v>34</v>
      </c>
      <c r="E102" s="33">
        <v>42</v>
      </c>
      <c r="F102" s="33">
        <v>1</v>
      </c>
      <c r="G102" s="33">
        <v>1</v>
      </c>
      <c r="H102" s="33"/>
      <c r="I102" s="31" t="s">
        <v>35</v>
      </c>
      <c r="J102" s="31"/>
      <c r="K102" s="33"/>
      <c r="L102" s="33"/>
      <c r="M102" s="31"/>
      <c r="N102" s="31"/>
      <c r="O102" s="16" t="s">
        <v>265</v>
      </c>
      <c r="P102" s="16"/>
      <c r="Q102" s="16"/>
      <c r="R102" s="33">
        <v>42</v>
      </c>
      <c r="S102" s="34">
        <v>45792</v>
      </c>
      <c r="T102" s="34">
        <v>45796</v>
      </c>
      <c r="U102" s="34"/>
      <c r="V102" s="34"/>
      <c r="W102" s="34">
        <v>45797</v>
      </c>
      <c r="X102" s="33" t="s">
        <v>247</v>
      </c>
      <c r="Y102" s="35" t="str">
        <f>IF(Tabela2[[#This Row],[SIGLA]]="","",VLOOKUP(Tabela2[[#This Row],[SIGLA]],Tabela1[[#All],[Sigla Arte]:[Crédito]],2,0))</f>
        <v>THAIS CASTRO/ARQUIVO DA EDITORA</v>
      </c>
      <c r="Z102" s="31" t="s">
        <v>38</v>
      </c>
      <c r="AA102" s="31" t="str">
        <f>Tabela2[[#This Row],[ILUSTRADOR CRIAÇÃO]]</f>
        <v>THAIS CASTRO/ARQUIVO DA EDITORA</v>
      </c>
      <c r="AB102" s="33">
        <v>14</v>
      </c>
      <c r="AC102" s="16" t="s">
        <v>39</v>
      </c>
      <c r="AD102" s="16" t="s">
        <v>40</v>
      </c>
      <c r="AE102" s="35" t="str">
        <f t="shared" si="1"/>
        <v>EF1 E002 Mat</v>
      </c>
    </row>
    <row r="103" spans="1:31" s="36" customFormat="1" ht="60" x14ac:dyDescent="0.25">
      <c r="A103" s="31" t="s">
        <v>266</v>
      </c>
      <c r="B103" s="16" t="s">
        <v>32</v>
      </c>
      <c r="C103" s="16" t="s">
        <v>164</v>
      </c>
      <c r="D103" s="38" t="s">
        <v>34</v>
      </c>
      <c r="E103" s="33">
        <v>42</v>
      </c>
      <c r="F103" s="33">
        <v>1</v>
      </c>
      <c r="G103" s="33">
        <v>1</v>
      </c>
      <c r="H103" s="33"/>
      <c r="I103" s="31" t="s">
        <v>35</v>
      </c>
      <c r="J103" s="31"/>
      <c r="K103" s="33"/>
      <c r="L103" s="33"/>
      <c r="M103" s="31"/>
      <c r="N103" s="31"/>
      <c r="O103" s="16" t="s">
        <v>267</v>
      </c>
      <c r="P103" s="16"/>
      <c r="Q103" s="16"/>
      <c r="R103" s="33">
        <v>42</v>
      </c>
      <c r="S103" s="34">
        <v>45792</v>
      </c>
      <c r="T103" s="34">
        <v>45796</v>
      </c>
      <c r="U103" s="34"/>
      <c r="V103" s="34"/>
      <c r="W103" s="34">
        <v>45797</v>
      </c>
      <c r="X103" s="33" t="s">
        <v>247</v>
      </c>
      <c r="Y103" s="35" t="str">
        <f>IF(Tabela2[[#This Row],[SIGLA]]="","",VLOOKUP(Tabela2[[#This Row],[SIGLA]],Tabela1[[#All],[Sigla Arte]:[Crédito]],2,0))</f>
        <v>THAIS CASTRO/ARQUIVO DA EDITORA</v>
      </c>
      <c r="Z103" s="31" t="s">
        <v>38</v>
      </c>
      <c r="AA103" s="31" t="str">
        <f>Tabela2[[#This Row],[ILUSTRADOR CRIAÇÃO]]</f>
        <v>THAIS CASTRO/ARQUIVO DA EDITORA</v>
      </c>
      <c r="AB103" s="33">
        <v>14</v>
      </c>
      <c r="AC103" s="16" t="s">
        <v>39</v>
      </c>
      <c r="AD103" s="16" t="s">
        <v>40</v>
      </c>
      <c r="AE103" s="35" t="str">
        <f t="shared" si="1"/>
        <v>EF1 E002 Mat</v>
      </c>
    </row>
    <row r="104" spans="1:31" s="36" customFormat="1" ht="30" x14ac:dyDescent="0.25">
      <c r="A104" s="31" t="s">
        <v>268</v>
      </c>
      <c r="B104" s="16" t="s">
        <v>32</v>
      </c>
      <c r="C104" s="16" t="s">
        <v>164</v>
      </c>
      <c r="D104" s="38" t="s">
        <v>34</v>
      </c>
      <c r="E104" s="33">
        <v>42</v>
      </c>
      <c r="F104" s="33">
        <v>1</v>
      </c>
      <c r="G104" s="33">
        <v>1</v>
      </c>
      <c r="H104" s="33"/>
      <c r="I104" s="31" t="s">
        <v>46</v>
      </c>
      <c r="J104" s="31"/>
      <c r="K104" s="33"/>
      <c r="L104" s="33"/>
      <c r="M104" s="31"/>
      <c r="N104" s="31"/>
      <c r="O104" s="16" t="s">
        <v>269</v>
      </c>
      <c r="P104" s="16"/>
      <c r="Q104" s="16"/>
      <c r="R104" s="33"/>
      <c r="S104" s="34"/>
      <c r="T104" s="34"/>
      <c r="U104" s="34"/>
      <c r="V104" s="34"/>
      <c r="W104" s="34"/>
      <c r="X104" s="33" t="s">
        <v>247</v>
      </c>
      <c r="Y104" s="35" t="str">
        <f>IF(Tabela2[[#This Row],[SIGLA]]="","",VLOOKUP(Tabela2[[#This Row],[SIGLA]],Tabela1[[#All],[Sigla Arte]:[Crédito]],2,0))</f>
        <v>THAIS CASTRO/ARQUIVO DA EDITORA</v>
      </c>
      <c r="Z104" s="31"/>
      <c r="AA104" s="31" t="str">
        <f>Tabela2[[#This Row],[ILUSTRADOR CRIAÇÃO]]</f>
        <v>THAIS CASTRO/ARQUIVO DA EDITORA</v>
      </c>
      <c r="AB104" s="33"/>
      <c r="AC104" s="16"/>
      <c r="AD104" s="16"/>
      <c r="AE104" s="35" t="str">
        <f t="shared" si="1"/>
        <v>EF1 E002 Mat</v>
      </c>
    </row>
    <row r="105" spans="1:31" s="36" customFormat="1" ht="60" x14ac:dyDescent="0.25">
      <c r="A105" s="31" t="s">
        <v>270</v>
      </c>
      <c r="B105" s="16" t="s">
        <v>32</v>
      </c>
      <c r="C105" s="16" t="s">
        <v>33</v>
      </c>
      <c r="D105" s="38" t="s">
        <v>34</v>
      </c>
      <c r="E105" s="33">
        <v>42</v>
      </c>
      <c r="F105" s="33">
        <v>1</v>
      </c>
      <c r="G105" s="33">
        <v>1</v>
      </c>
      <c r="H105" s="33"/>
      <c r="I105" s="31" t="s">
        <v>35</v>
      </c>
      <c r="J105" s="31"/>
      <c r="K105" s="33"/>
      <c r="L105" s="33"/>
      <c r="M105" s="31"/>
      <c r="N105" s="31"/>
      <c r="O105" s="16" t="s">
        <v>271</v>
      </c>
      <c r="P105" s="16"/>
      <c r="Q105" s="16"/>
      <c r="R105" s="33">
        <v>42</v>
      </c>
      <c r="S105" s="34">
        <v>45792</v>
      </c>
      <c r="T105" s="34">
        <v>45796</v>
      </c>
      <c r="U105" s="34"/>
      <c r="V105" s="34"/>
      <c r="W105" s="34">
        <v>45797</v>
      </c>
      <c r="X105" s="33" t="s">
        <v>247</v>
      </c>
      <c r="Y105" s="35" t="str">
        <f>IF(Tabela2[[#This Row],[SIGLA]]="","",VLOOKUP(Tabela2[[#This Row],[SIGLA]],Tabela1[[#All],[Sigla Arte]:[Crédito]],2,0))</f>
        <v>THAIS CASTRO/ARQUIVO DA EDITORA</v>
      </c>
      <c r="Z105" s="31" t="s">
        <v>38</v>
      </c>
      <c r="AA105" s="31" t="str">
        <f>Tabela2[[#This Row],[ILUSTRADOR CRIAÇÃO]]</f>
        <v>THAIS CASTRO/ARQUIVO DA EDITORA</v>
      </c>
      <c r="AB105" s="33">
        <v>14</v>
      </c>
      <c r="AC105" s="16" t="s">
        <v>39</v>
      </c>
      <c r="AD105" s="16" t="s">
        <v>40</v>
      </c>
      <c r="AE105" s="35" t="str">
        <f t="shared" si="1"/>
        <v>EF1 E002 Mat</v>
      </c>
    </row>
    <row r="106" spans="1:31" s="36" customFormat="1" ht="30" x14ac:dyDescent="0.25">
      <c r="A106" s="31" t="s">
        <v>272</v>
      </c>
      <c r="B106" s="16" t="s">
        <v>32</v>
      </c>
      <c r="C106" s="16" t="s">
        <v>164</v>
      </c>
      <c r="D106" s="38" t="s">
        <v>34</v>
      </c>
      <c r="E106" s="33">
        <v>43</v>
      </c>
      <c r="F106" s="33">
        <v>1</v>
      </c>
      <c r="G106" s="33">
        <v>1</v>
      </c>
      <c r="H106" s="33"/>
      <c r="I106" s="31" t="s">
        <v>46</v>
      </c>
      <c r="J106" s="31"/>
      <c r="K106" s="33"/>
      <c r="L106" s="33"/>
      <c r="M106" s="31"/>
      <c r="N106" s="31"/>
      <c r="O106" s="16" t="s">
        <v>273</v>
      </c>
      <c r="P106" s="16"/>
      <c r="Q106" s="16"/>
      <c r="R106" s="33"/>
      <c r="S106" s="34"/>
      <c r="T106" s="34"/>
      <c r="U106" s="34"/>
      <c r="V106" s="34"/>
      <c r="W106" s="34"/>
      <c r="X106" s="33" t="s">
        <v>85</v>
      </c>
      <c r="Y106" s="35" t="str">
        <f>IF(Tabela2[[#This Row],[SIGLA]]="","",VLOOKUP(Tabela2[[#This Row],[SIGLA]],Tabela1[[#All],[Sigla Arte]:[Crédito]],2,0))</f>
        <v>HELOÍSA PINTARELLI/ARQUIVO DA EDITORA</v>
      </c>
      <c r="Z106" s="31"/>
      <c r="AA106" s="31" t="str">
        <f>Tabela2[[#This Row],[ILUSTRADOR CRIAÇÃO]]</f>
        <v>HELOÍSA PINTARELLI/ARQUIVO DA EDITORA</v>
      </c>
      <c r="AB106" s="33"/>
      <c r="AC106" s="16"/>
      <c r="AD106" s="16"/>
      <c r="AE106" s="35" t="str">
        <f t="shared" si="1"/>
        <v>EF1 E002 Mat</v>
      </c>
    </row>
    <row r="107" spans="1:31" s="36" customFormat="1" ht="45" x14ac:dyDescent="0.25">
      <c r="A107" s="31" t="s">
        <v>274</v>
      </c>
      <c r="B107" s="16" t="s">
        <v>32</v>
      </c>
      <c r="C107" s="16" t="s">
        <v>33</v>
      </c>
      <c r="D107" s="38" t="s">
        <v>34</v>
      </c>
      <c r="E107" s="33">
        <v>43</v>
      </c>
      <c r="F107" s="33">
        <v>1</v>
      </c>
      <c r="G107" s="33">
        <v>1</v>
      </c>
      <c r="H107" s="33"/>
      <c r="I107" s="31" t="s">
        <v>46</v>
      </c>
      <c r="J107" s="31"/>
      <c r="K107" s="33"/>
      <c r="L107" s="33"/>
      <c r="M107" s="31"/>
      <c r="N107" s="31"/>
      <c r="O107" s="16" t="s">
        <v>275</v>
      </c>
      <c r="P107" s="16"/>
      <c r="Q107" s="16"/>
      <c r="R107" s="33"/>
      <c r="S107" s="34"/>
      <c r="T107" s="34"/>
      <c r="U107" s="34"/>
      <c r="V107" s="34"/>
      <c r="W107" s="34"/>
      <c r="X107" s="33" t="s">
        <v>247</v>
      </c>
      <c r="Y107" s="35" t="str">
        <f>IF(Tabela2[[#This Row],[SIGLA]]="","",VLOOKUP(Tabela2[[#This Row],[SIGLA]],Tabela1[[#All],[Sigla Arte]:[Crédito]],2,0))</f>
        <v>THAIS CASTRO/ARQUIVO DA EDITORA</v>
      </c>
      <c r="Z107" s="31"/>
      <c r="AA107" s="31" t="str">
        <f>Tabela2[[#This Row],[ILUSTRADOR CRIAÇÃO]]</f>
        <v>THAIS CASTRO/ARQUIVO DA EDITORA</v>
      </c>
      <c r="AB107" s="33"/>
      <c r="AC107" s="16"/>
      <c r="AD107" s="16"/>
      <c r="AE107" s="35" t="str">
        <f t="shared" si="1"/>
        <v>EF1 E002 Mat</v>
      </c>
    </row>
    <row r="108" spans="1:31" s="36" customFormat="1" ht="60" x14ac:dyDescent="0.25">
      <c r="A108" s="39" t="s">
        <v>276</v>
      </c>
      <c r="B108" s="16" t="s">
        <v>32</v>
      </c>
      <c r="C108" s="16" t="s">
        <v>33</v>
      </c>
      <c r="D108" s="38" t="s">
        <v>34</v>
      </c>
      <c r="E108" s="33">
        <v>43</v>
      </c>
      <c r="F108" s="33">
        <v>1</v>
      </c>
      <c r="G108" s="33">
        <v>1</v>
      </c>
      <c r="H108" s="33"/>
      <c r="I108" s="31" t="s">
        <v>46</v>
      </c>
      <c r="J108" s="31"/>
      <c r="K108" s="33"/>
      <c r="L108" s="33"/>
      <c r="M108" s="31"/>
      <c r="N108" s="31"/>
      <c r="O108" s="16" t="s">
        <v>277</v>
      </c>
      <c r="P108" s="16"/>
      <c r="Q108" s="16"/>
      <c r="R108" s="33"/>
      <c r="S108" s="34"/>
      <c r="T108" s="34"/>
      <c r="U108" s="34"/>
      <c r="V108" s="34"/>
      <c r="W108" s="34"/>
      <c r="X108" s="33" t="s">
        <v>247</v>
      </c>
      <c r="Y108" s="35" t="str">
        <f>IF(Tabela2[[#This Row],[SIGLA]]="","",VLOOKUP(Tabela2[[#This Row],[SIGLA]],Tabela1[[#All],[Sigla Arte]:[Crédito]],2,0))</f>
        <v>THAIS CASTRO/ARQUIVO DA EDITORA</v>
      </c>
      <c r="Z108" s="31"/>
      <c r="AA108" s="31" t="str">
        <f>Tabela2[[#This Row],[ILUSTRADOR CRIAÇÃO]]</f>
        <v>THAIS CASTRO/ARQUIVO DA EDITORA</v>
      </c>
      <c r="AB108" s="33"/>
      <c r="AC108" s="16"/>
      <c r="AD108" s="16"/>
      <c r="AE108" s="35" t="str">
        <f t="shared" si="1"/>
        <v>EF1 E002 Mat</v>
      </c>
    </row>
    <row r="109" spans="1:31" s="36" customFormat="1" ht="45" x14ac:dyDescent="0.25">
      <c r="A109" s="31" t="s">
        <v>278</v>
      </c>
      <c r="B109" s="16" t="s">
        <v>32</v>
      </c>
      <c r="C109" s="16" t="s">
        <v>33</v>
      </c>
      <c r="D109" s="38" t="s">
        <v>34</v>
      </c>
      <c r="E109" s="33">
        <v>44</v>
      </c>
      <c r="F109" s="33">
        <v>1</v>
      </c>
      <c r="G109" s="33">
        <v>1</v>
      </c>
      <c r="H109" s="33"/>
      <c r="I109" s="31" t="s">
        <v>35</v>
      </c>
      <c r="J109" s="31"/>
      <c r="K109" s="33"/>
      <c r="L109" s="33"/>
      <c r="M109" s="31"/>
      <c r="N109" s="31"/>
      <c r="O109" s="16" t="s">
        <v>279</v>
      </c>
      <c r="P109" s="16"/>
      <c r="Q109" s="16"/>
      <c r="R109" s="33">
        <v>99</v>
      </c>
      <c r="S109" s="34">
        <v>45873</v>
      </c>
      <c r="T109" s="34">
        <v>45873</v>
      </c>
      <c r="U109" s="34"/>
      <c r="V109" s="34"/>
      <c r="W109" s="34">
        <v>45873</v>
      </c>
      <c r="X109" s="33" t="s">
        <v>43</v>
      </c>
      <c r="Y109" s="35" t="str">
        <f>IF(Tabela2[[#This Row],[SIGLA]]="","",VLOOKUP(Tabela2[[#This Row],[SIGLA]],Tabela1[[#All],[Sigla Arte]:[Crédito]],2,0))</f>
        <v>GUILHERME RODRIGUES/ARQUIVO DA EDITORA</v>
      </c>
      <c r="Z109" s="31" t="s">
        <v>221</v>
      </c>
      <c r="AA109" s="31" t="str">
        <f>Tabela2[[#This Row],[ILUSTRADOR CRIAÇÃO]]</f>
        <v>GUILHERME RODRIGUES/ARQUIVO DA EDITORA</v>
      </c>
      <c r="AB109" s="33">
        <v>13</v>
      </c>
      <c r="AC109" s="16" t="s">
        <v>222</v>
      </c>
      <c r="AD109" s="16" t="s">
        <v>40</v>
      </c>
      <c r="AE109" s="35" t="str">
        <f t="shared" si="1"/>
        <v>EF1 E002 Mat</v>
      </c>
    </row>
    <row r="110" spans="1:31" s="36" customFormat="1" ht="30" x14ac:dyDescent="0.25">
      <c r="A110" s="31" t="s">
        <v>280</v>
      </c>
      <c r="B110" s="16" t="s">
        <v>32</v>
      </c>
      <c r="C110" s="16" t="s">
        <v>164</v>
      </c>
      <c r="D110" s="38" t="s">
        <v>34</v>
      </c>
      <c r="E110" s="33">
        <v>45</v>
      </c>
      <c r="F110" s="33">
        <v>1</v>
      </c>
      <c r="G110" s="33">
        <v>1</v>
      </c>
      <c r="H110" s="33"/>
      <c r="I110" s="31" t="s">
        <v>46</v>
      </c>
      <c r="J110" s="31"/>
      <c r="K110" s="33"/>
      <c r="L110" s="33"/>
      <c r="M110" s="31"/>
      <c r="N110" s="31"/>
      <c r="O110" s="16" t="s">
        <v>281</v>
      </c>
      <c r="P110" s="16"/>
      <c r="Q110" s="16"/>
      <c r="R110" s="33"/>
      <c r="S110" s="34"/>
      <c r="T110" s="34"/>
      <c r="U110" s="34"/>
      <c r="V110" s="34"/>
      <c r="W110" s="34"/>
      <c r="X110" s="33" t="s">
        <v>85</v>
      </c>
      <c r="Y110" s="35" t="str">
        <f>IF(Tabela2[[#This Row],[SIGLA]]="","",VLOOKUP(Tabela2[[#This Row],[SIGLA]],Tabela1[[#All],[Sigla Arte]:[Crédito]],2,0))</f>
        <v>HELOÍSA PINTARELLI/ARQUIVO DA EDITORA</v>
      </c>
      <c r="Z110" s="31"/>
      <c r="AA110" s="31" t="str">
        <f>Tabela2[[#This Row],[ILUSTRADOR CRIAÇÃO]]</f>
        <v>HELOÍSA PINTARELLI/ARQUIVO DA EDITORA</v>
      </c>
      <c r="AB110" s="33"/>
      <c r="AC110" s="16"/>
      <c r="AD110" s="16"/>
      <c r="AE110" s="35" t="str">
        <f t="shared" si="1"/>
        <v>EF1 E002 Mat</v>
      </c>
    </row>
    <row r="111" spans="1:31" s="36" customFormat="1" ht="30" x14ac:dyDescent="0.25">
      <c r="A111" s="31" t="s">
        <v>282</v>
      </c>
      <c r="B111" s="16" t="s">
        <v>32</v>
      </c>
      <c r="C111" s="16" t="s">
        <v>164</v>
      </c>
      <c r="D111" s="38" t="s">
        <v>34</v>
      </c>
      <c r="E111" s="33">
        <v>45</v>
      </c>
      <c r="F111" s="33">
        <v>1</v>
      </c>
      <c r="G111" s="33">
        <v>1</v>
      </c>
      <c r="H111" s="33"/>
      <c r="I111" s="31" t="s">
        <v>46</v>
      </c>
      <c r="J111" s="31"/>
      <c r="K111" s="33"/>
      <c r="L111" s="33"/>
      <c r="M111" s="31"/>
      <c r="N111" s="31"/>
      <c r="O111" s="16" t="s">
        <v>283</v>
      </c>
      <c r="P111" s="16"/>
      <c r="Q111" s="16"/>
      <c r="R111" s="33"/>
      <c r="S111" s="34"/>
      <c r="T111" s="34"/>
      <c r="U111" s="34"/>
      <c r="V111" s="34"/>
      <c r="W111" s="34"/>
      <c r="X111" s="33" t="s">
        <v>85</v>
      </c>
      <c r="Y111" s="35" t="str">
        <f>IF(Tabela2[[#This Row],[SIGLA]]="","",VLOOKUP(Tabela2[[#This Row],[SIGLA]],Tabela1[[#All],[Sigla Arte]:[Crédito]],2,0))</f>
        <v>HELOÍSA PINTARELLI/ARQUIVO DA EDITORA</v>
      </c>
      <c r="Z111" s="31"/>
      <c r="AA111" s="31" t="str">
        <f>Tabela2[[#This Row],[ILUSTRADOR CRIAÇÃO]]</f>
        <v>HELOÍSA PINTARELLI/ARQUIVO DA EDITORA</v>
      </c>
      <c r="AB111" s="33"/>
      <c r="AC111" s="16"/>
      <c r="AD111" s="16"/>
      <c r="AE111" s="35" t="str">
        <f t="shared" si="1"/>
        <v>EF1 E002 Mat</v>
      </c>
    </row>
    <row r="112" spans="1:31" s="36" customFormat="1" ht="30" x14ac:dyDescent="0.25">
      <c r="A112" s="31" t="s">
        <v>284</v>
      </c>
      <c r="B112" s="16" t="s">
        <v>32</v>
      </c>
      <c r="C112" s="16" t="s">
        <v>164</v>
      </c>
      <c r="D112" s="38" t="s">
        <v>34</v>
      </c>
      <c r="E112" s="33">
        <v>45</v>
      </c>
      <c r="F112" s="33">
        <v>1</v>
      </c>
      <c r="G112" s="33">
        <v>1</v>
      </c>
      <c r="H112" s="33"/>
      <c r="I112" s="31" t="s">
        <v>46</v>
      </c>
      <c r="J112" s="31"/>
      <c r="K112" s="33"/>
      <c r="L112" s="33"/>
      <c r="M112" s="31"/>
      <c r="N112" s="31"/>
      <c r="O112" s="16" t="s">
        <v>285</v>
      </c>
      <c r="P112" s="16"/>
      <c r="Q112" s="16"/>
      <c r="R112" s="33"/>
      <c r="S112" s="34"/>
      <c r="T112" s="34"/>
      <c r="U112" s="34"/>
      <c r="V112" s="34"/>
      <c r="W112" s="34"/>
      <c r="X112" s="33" t="s">
        <v>85</v>
      </c>
      <c r="Y112" s="35" t="str">
        <f>IF(Tabela2[[#This Row],[SIGLA]]="","",VLOOKUP(Tabela2[[#This Row],[SIGLA]],Tabela1[[#All],[Sigla Arte]:[Crédito]],2,0))</f>
        <v>HELOÍSA PINTARELLI/ARQUIVO DA EDITORA</v>
      </c>
      <c r="Z112" s="31"/>
      <c r="AA112" s="31" t="str">
        <f>Tabela2[[#This Row],[ILUSTRADOR CRIAÇÃO]]</f>
        <v>HELOÍSA PINTARELLI/ARQUIVO DA EDITORA</v>
      </c>
      <c r="AB112" s="33"/>
      <c r="AC112" s="16"/>
      <c r="AD112" s="16"/>
      <c r="AE112" s="35" t="str">
        <f t="shared" si="1"/>
        <v>EF1 E002 Mat</v>
      </c>
    </row>
    <row r="113" spans="1:31" s="36" customFormat="1" ht="30" x14ac:dyDescent="0.25">
      <c r="A113" s="31" t="s">
        <v>286</v>
      </c>
      <c r="B113" s="16" t="s">
        <v>32</v>
      </c>
      <c r="C113" s="16" t="s">
        <v>164</v>
      </c>
      <c r="D113" s="38" t="s">
        <v>34</v>
      </c>
      <c r="E113" s="33">
        <v>45</v>
      </c>
      <c r="F113" s="33">
        <v>1</v>
      </c>
      <c r="G113" s="33">
        <v>1</v>
      </c>
      <c r="H113" s="33"/>
      <c r="I113" s="31" t="s">
        <v>46</v>
      </c>
      <c r="J113" s="31"/>
      <c r="K113" s="33"/>
      <c r="L113" s="33"/>
      <c r="M113" s="31"/>
      <c r="N113" s="31"/>
      <c r="O113" s="32" t="s">
        <v>287</v>
      </c>
      <c r="P113" s="16"/>
      <c r="Q113" s="16"/>
      <c r="R113" s="33"/>
      <c r="S113" s="34"/>
      <c r="T113" s="34"/>
      <c r="U113" s="34"/>
      <c r="V113" s="34"/>
      <c r="W113" s="34"/>
      <c r="X113" s="33" t="s">
        <v>85</v>
      </c>
      <c r="Y113" s="35" t="str">
        <f>IF(Tabela2[[#This Row],[SIGLA]]="","",VLOOKUP(Tabela2[[#This Row],[SIGLA]],Tabela1[[#All],[Sigla Arte]:[Crédito]],2,0))</f>
        <v>HELOÍSA PINTARELLI/ARQUIVO DA EDITORA</v>
      </c>
      <c r="Z113" s="31"/>
      <c r="AA113" s="31" t="str">
        <f>Tabela2[[#This Row],[ILUSTRADOR CRIAÇÃO]]</f>
        <v>HELOÍSA PINTARELLI/ARQUIVO DA EDITORA</v>
      </c>
      <c r="AB113" s="33"/>
      <c r="AC113" s="16"/>
      <c r="AD113" s="16"/>
      <c r="AE113" s="35" t="str">
        <f t="shared" si="1"/>
        <v>EF1 E002 Mat</v>
      </c>
    </row>
    <row r="114" spans="1:31" s="36" customFormat="1" ht="30" x14ac:dyDescent="0.25">
      <c r="A114" s="31" t="s">
        <v>288</v>
      </c>
      <c r="B114" s="16" t="s">
        <v>32</v>
      </c>
      <c r="C114" s="16" t="s">
        <v>164</v>
      </c>
      <c r="D114" s="38" t="s">
        <v>34</v>
      </c>
      <c r="E114" s="33">
        <v>46</v>
      </c>
      <c r="F114" s="33">
        <v>1</v>
      </c>
      <c r="G114" s="33">
        <v>1</v>
      </c>
      <c r="H114" s="33"/>
      <c r="I114" s="31" t="s">
        <v>46</v>
      </c>
      <c r="J114" s="31"/>
      <c r="K114" s="33"/>
      <c r="L114" s="33"/>
      <c r="M114" s="31"/>
      <c r="N114" s="31"/>
      <c r="O114" s="16" t="s">
        <v>289</v>
      </c>
      <c r="P114" s="16"/>
      <c r="Q114" s="16"/>
      <c r="R114" s="33"/>
      <c r="S114" s="34"/>
      <c r="T114" s="34"/>
      <c r="U114" s="34"/>
      <c r="V114" s="34"/>
      <c r="W114" s="34"/>
      <c r="X114" s="33" t="s">
        <v>85</v>
      </c>
      <c r="Y114" s="35" t="str">
        <f>IF(Tabela2[[#This Row],[SIGLA]]="","",VLOOKUP(Tabela2[[#This Row],[SIGLA]],Tabela1[[#All],[Sigla Arte]:[Crédito]],2,0))</f>
        <v>HELOÍSA PINTARELLI/ARQUIVO DA EDITORA</v>
      </c>
      <c r="Z114" s="31"/>
      <c r="AA114" s="31" t="str">
        <f>Tabela2[[#This Row],[ILUSTRADOR CRIAÇÃO]]</f>
        <v>HELOÍSA PINTARELLI/ARQUIVO DA EDITORA</v>
      </c>
      <c r="AB114" s="33"/>
      <c r="AC114" s="16"/>
      <c r="AD114" s="16"/>
      <c r="AE114" s="35" t="str">
        <f t="shared" si="1"/>
        <v>EF1 E002 Mat</v>
      </c>
    </row>
    <row r="115" spans="1:31" s="36" customFormat="1" ht="30" x14ac:dyDescent="0.25">
      <c r="A115" s="31" t="s">
        <v>290</v>
      </c>
      <c r="B115" s="16" t="s">
        <v>32</v>
      </c>
      <c r="C115" s="16" t="s">
        <v>164</v>
      </c>
      <c r="D115" s="38" t="s">
        <v>34</v>
      </c>
      <c r="E115" s="33">
        <v>46</v>
      </c>
      <c r="F115" s="33">
        <v>1</v>
      </c>
      <c r="G115" s="33">
        <v>1</v>
      </c>
      <c r="H115" s="33"/>
      <c r="I115" s="31" t="s">
        <v>46</v>
      </c>
      <c r="J115" s="31"/>
      <c r="K115" s="33"/>
      <c r="L115" s="33"/>
      <c r="M115" s="31"/>
      <c r="N115" s="31"/>
      <c r="O115" s="16" t="s">
        <v>291</v>
      </c>
      <c r="P115" s="16"/>
      <c r="Q115" s="16"/>
      <c r="R115" s="33"/>
      <c r="S115" s="34"/>
      <c r="T115" s="34"/>
      <c r="U115" s="34"/>
      <c r="V115" s="34"/>
      <c r="W115" s="34"/>
      <c r="X115" s="33" t="s">
        <v>85</v>
      </c>
      <c r="Y115" s="35" t="str">
        <f>IF(Tabela2[[#This Row],[SIGLA]]="","",VLOOKUP(Tabela2[[#This Row],[SIGLA]],Tabela1[[#All],[Sigla Arte]:[Crédito]],2,0))</f>
        <v>HELOÍSA PINTARELLI/ARQUIVO DA EDITORA</v>
      </c>
      <c r="Z115" s="31"/>
      <c r="AA115" s="31" t="str">
        <f>Tabela2[[#This Row],[ILUSTRADOR CRIAÇÃO]]</f>
        <v>HELOÍSA PINTARELLI/ARQUIVO DA EDITORA</v>
      </c>
      <c r="AB115" s="33"/>
      <c r="AC115" s="16"/>
      <c r="AD115" s="16"/>
      <c r="AE115" s="35" t="str">
        <f t="shared" si="1"/>
        <v>EF1 E002 Mat</v>
      </c>
    </row>
    <row r="116" spans="1:31" s="36" customFormat="1" ht="30" x14ac:dyDescent="0.25">
      <c r="A116" s="31" t="s">
        <v>292</v>
      </c>
      <c r="B116" s="16" t="s">
        <v>32</v>
      </c>
      <c r="C116" s="16" t="s">
        <v>164</v>
      </c>
      <c r="D116" s="38" t="s">
        <v>34</v>
      </c>
      <c r="E116" s="33">
        <v>46</v>
      </c>
      <c r="F116" s="33">
        <v>1</v>
      </c>
      <c r="G116" s="33">
        <v>1</v>
      </c>
      <c r="H116" s="33"/>
      <c r="I116" s="31" t="s">
        <v>46</v>
      </c>
      <c r="J116" s="31"/>
      <c r="K116" s="33"/>
      <c r="L116" s="33"/>
      <c r="M116" s="31"/>
      <c r="N116" s="31"/>
      <c r="O116" s="16" t="s">
        <v>293</v>
      </c>
      <c r="P116" s="16"/>
      <c r="Q116" s="16"/>
      <c r="R116" s="33"/>
      <c r="S116" s="34"/>
      <c r="T116" s="34"/>
      <c r="U116" s="34"/>
      <c r="V116" s="34"/>
      <c r="W116" s="34"/>
      <c r="X116" s="33" t="s">
        <v>85</v>
      </c>
      <c r="Y116" s="35" t="str">
        <f>IF(Tabela2[[#This Row],[SIGLA]]="","",VLOOKUP(Tabela2[[#This Row],[SIGLA]],Tabela1[[#All],[Sigla Arte]:[Crédito]],2,0))</f>
        <v>HELOÍSA PINTARELLI/ARQUIVO DA EDITORA</v>
      </c>
      <c r="Z116" s="31"/>
      <c r="AA116" s="31" t="str">
        <f>Tabela2[[#This Row],[ILUSTRADOR CRIAÇÃO]]</f>
        <v>HELOÍSA PINTARELLI/ARQUIVO DA EDITORA</v>
      </c>
      <c r="AB116" s="33"/>
      <c r="AC116" s="16"/>
      <c r="AD116" s="16"/>
      <c r="AE116" s="35" t="str">
        <f t="shared" si="1"/>
        <v>EF1 E002 Mat</v>
      </c>
    </row>
    <row r="117" spans="1:31" s="36" customFormat="1" ht="30" x14ac:dyDescent="0.25">
      <c r="A117" s="31" t="s">
        <v>294</v>
      </c>
      <c r="B117" s="16" t="s">
        <v>32</v>
      </c>
      <c r="C117" s="16" t="s">
        <v>164</v>
      </c>
      <c r="D117" s="38" t="s">
        <v>34</v>
      </c>
      <c r="E117" s="33">
        <v>46</v>
      </c>
      <c r="F117" s="33">
        <v>1</v>
      </c>
      <c r="G117" s="33">
        <v>1</v>
      </c>
      <c r="H117" s="33"/>
      <c r="I117" s="31" t="s">
        <v>46</v>
      </c>
      <c r="J117" s="31"/>
      <c r="K117" s="33"/>
      <c r="L117" s="33"/>
      <c r="M117" s="31"/>
      <c r="N117" s="31"/>
      <c r="O117" s="16" t="s">
        <v>295</v>
      </c>
      <c r="P117" s="16"/>
      <c r="Q117" s="16"/>
      <c r="R117" s="33"/>
      <c r="S117" s="34"/>
      <c r="T117" s="34"/>
      <c r="U117" s="34"/>
      <c r="V117" s="34"/>
      <c r="W117" s="34"/>
      <c r="X117" s="33" t="s">
        <v>85</v>
      </c>
      <c r="Y117" s="35" t="str">
        <f>IF(Tabela2[[#This Row],[SIGLA]]="","",VLOOKUP(Tabela2[[#This Row],[SIGLA]],Tabela1[[#All],[Sigla Arte]:[Crédito]],2,0))</f>
        <v>HELOÍSA PINTARELLI/ARQUIVO DA EDITORA</v>
      </c>
      <c r="Z117" s="31"/>
      <c r="AA117" s="31" t="str">
        <f>Tabela2[[#This Row],[ILUSTRADOR CRIAÇÃO]]</f>
        <v>HELOÍSA PINTARELLI/ARQUIVO DA EDITORA</v>
      </c>
      <c r="AB117" s="33"/>
      <c r="AC117" s="16"/>
      <c r="AD117" s="16"/>
      <c r="AE117" s="35" t="str">
        <f t="shared" si="1"/>
        <v>EF1 E002 Mat</v>
      </c>
    </row>
    <row r="118" spans="1:31" s="36" customFormat="1" ht="30" x14ac:dyDescent="0.25">
      <c r="A118" s="31" t="s">
        <v>296</v>
      </c>
      <c r="B118" s="16" t="s">
        <v>32</v>
      </c>
      <c r="C118" s="16" t="s">
        <v>164</v>
      </c>
      <c r="D118" s="38" t="s">
        <v>34</v>
      </c>
      <c r="E118" s="33">
        <v>46</v>
      </c>
      <c r="F118" s="33">
        <v>1</v>
      </c>
      <c r="G118" s="33">
        <v>1</v>
      </c>
      <c r="H118" s="33"/>
      <c r="I118" s="31" t="s">
        <v>46</v>
      </c>
      <c r="J118" s="31"/>
      <c r="K118" s="33"/>
      <c r="L118" s="33"/>
      <c r="M118" s="31"/>
      <c r="N118" s="31"/>
      <c r="O118" s="16" t="s">
        <v>297</v>
      </c>
      <c r="P118" s="16"/>
      <c r="Q118" s="16"/>
      <c r="R118" s="33"/>
      <c r="S118" s="34"/>
      <c r="T118" s="34"/>
      <c r="U118" s="34"/>
      <c r="V118" s="34"/>
      <c r="W118" s="34"/>
      <c r="X118" s="33" t="s">
        <v>85</v>
      </c>
      <c r="Y118" s="35" t="str">
        <f>IF(Tabela2[[#This Row],[SIGLA]]="","",VLOOKUP(Tabela2[[#This Row],[SIGLA]],Tabela1[[#All],[Sigla Arte]:[Crédito]],2,0))</f>
        <v>HELOÍSA PINTARELLI/ARQUIVO DA EDITORA</v>
      </c>
      <c r="Z118" s="31"/>
      <c r="AA118" s="31" t="str">
        <f>Tabela2[[#This Row],[ILUSTRADOR CRIAÇÃO]]</f>
        <v>HELOÍSA PINTARELLI/ARQUIVO DA EDITORA</v>
      </c>
      <c r="AB118" s="33"/>
      <c r="AC118" s="16"/>
      <c r="AD118" s="16"/>
      <c r="AE118" s="35" t="str">
        <f t="shared" si="1"/>
        <v>EF1 E002 Mat</v>
      </c>
    </row>
    <row r="119" spans="1:31" s="36" customFormat="1" ht="45" x14ac:dyDescent="0.25">
      <c r="A119" s="31" t="s">
        <v>298</v>
      </c>
      <c r="B119" s="16" t="s">
        <v>32</v>
      </c>
      <c r="C119" s="16" t="s">
        <v>33</v>
      </c>
      <c r="D119" s="38" t="s">
        <v>34</v>
      </c>
      <c r="E119" s="33">
        <v>47</v>
      </c>
      <c r="F119" s="33">
        <v>1</v>
      </c>
      <c r="G119" s="33">
        <v>1</v>
      </c>
      <c r="H119" s="33"/>
      <c r="I119" s="31" t="s">
        <v>46</v>
      </c>
      <c r="J119" s="31"/>
      <c r="K119" s="33"/>
      <c r="L119" s="33"/>
      <c r="M119" s="31"/>
      <c r="N119" s="31"/>
      <c r="O119" s="16" t="s">
        <v>299</v>
      </c>
      <c r="P119" s="16"/>
      <c r="Q119" s="16"/>
      <c r="R119" s="33"/>
      <c r="S119" s="34"/>
      <c r="T119" s="34"/>
      <c r="U119" s="34"/>
      <c r="V119" s="34"/>
      <c r="W119" s="34"/>
      <c r="X119" s="33" t="s">
        <v>43</v>
      </c>
      <c r="Y119" s="35" t="str">
        <f>IF(Tabela2[[#This Row],[SIGLA]]="","",VLOOKUP(Tabela2[[#This Row],[SIGLA]],Tabela1[[#All],[Sigla Arte]:[Crédito]],2,0))</f>
        <v>GUILHERME RODRIGUES/ARQUIVO DA EDITORA</v>
      </c>
      <c r="Z119" s="31"/>
      <c r="AA119" s="31" t="str">
        <f>Tabela2[[#This Row],[ILUSTRADOR CRIAÇÃO]]</f>
        <v>GUILHERME RODRIGUES/ARQUIVO DA EDITORA</v>
      </c>
      <c r="AB119" s="33"/>
      <c r="AC119" s="16"/>
      <c r="AD119" s="16"/>
      <c r="AE119" s="35" t="str">
        <f t="shared" si="1"/>
        <v>EF1 E002 Mat</v>
      </c>
    </row>
    <row r="120" spans="1:31" s="36" customFormat="1" ht="45" x14ac:dyDescent="0.25">
      <c r="A120" s="31" t="s">
        <v>300</v>
      </c>
      <c r="B120" s="16" t="s">
        <v>32</v>
      </c>
      <c r="C120" s="16" t="s">
        <v>33</v>
      </c>
      <c r="D120" s="38" t="s">
        <v>34</v>
      </c>
      <c r="E120" s="33">
        <v>48</v>
      </c>
      <c r="F120" s="33">
        <v>1</v>
      </c>
      <c r="G120" s="33">
        <v>1</v>
      </c>
      <c r="H120" s="33"/>
      <c r="I120" s="31" t="s">
        <v>46</v>
      </c>
      <c r="J120" s="31"/>
      <c r="K120" s="33"/>
      <c r="L120" s="33"/>
      <c r="M120" s="31"/>
      <c r="N120" s="31"/>
      <c r="O120" s="16" t="s">
        <v>301</v>
      </c>
      <c r="P120" s="16"/>
      <c r="Q120" s="16"/>
      <c r="R120" s="33"/>
      <c r="S120" s="34"/>
      <c r="T120" s="34"/>
      <c r="U120" s="34"/>
      <c r="V120" s="34"/>
      <c r="W120" s="34"/>
      <c r="X120" s="33" t="s">
        <v>194</v>
      </c>
      <c r="Y120" s="35" t="str">
        <f>IF(Tabela2[[#This Row],[SIGLA]]="","",VLOOKUP(Tabela2[[#This Row],[SIGLA]],Tabela1[[#All],[Sigla Arte]:[Crédito]],2,0))</f>
        <v>LEANDRO LASSMAR/ARQUIVO DA EDITORA</v>
      </c>
      <c r="Z120" s="31"/>
      <c r="AA120" s="31" t="str">
        <f>Tabela2[[#This Row],[ILUSTRADOR CRIAÇÃO]]</f>
        <v>LEANDRO LASSMAR/ARQUIVO DA EDITORA</v>
      </c>
      <c r="AB120" s="33"/>
      <c r="AC120" s="16"/>
      <c r="AD120" s="16"/>
      <c r="AE120" s="35" t="str">
        <f t="shared" si="1"/>
        <v>EF1 E002 Mat</v>
      </c>
    </row>
    <row r="121" spans="1:31" s="36" customFormat="1" ht="60" x14ac:dyDescent="0.25">
      <c r="A121" s="31" t="s">
        <v>302</v>
      </c>
      <c r="B121" s="16" t="s">
        <v>32</v>
      </c>
      <c r="C121" s="16" t="s">
        <v>33</v>
      </c>
      <c r="D121" s="38" t="s">
        <v>34</v>
      </c>
      <c r="E121" s="33">
        <v>49</v>
      </c>
      <c r="F121" s="33">
        <v>1</v>
      </c>
      <c r="G121" s="33">
        <v>1</v>
      </c>
      <c r="H121" s="33"/>
      <c r="I121" s="31" t="s">
        <v>35</v>
      </c>
      <c r="J121" s="31"/>
      <c r="K121" s="33"/>
      <c r="L121" s="33"/>
      <c r="M121" s="31"/>
      <c r="N121" s="31"/>
      <c r="O121" s="16" t="s">
        <v>303</v>
      </c>
      <c r="P121" s="16"/>
      <c r="Q121" s="16"/>
      <c r="R121" s="33">
        <v>42</v>
      </c>
      <c r="S121" s="34">
        <v>45792</v>
      </c>
      <c r="T121" s="34">
        <v>45796</v>
      </c>
      <c r="U121" s="34"/>
      <c r="V121" s="34"/>
      <c r="W121" s="34">
        <v>45797</v>
      </c>
      <c r="X121" s="33" t="s">
        <v>194</v>
      </c>
      <c r="Y121" s="35" t="str">
        <f>IF(Tabela2[[#This Row],[SIGLA]]="","",VLOOKUP(Tabela2[[#This Row],[SIGLA]],Tabela1[[#All],[Sigla Arte]:[Crédito]],2,0))</f>
        <v>LEANDRO LASSMAR/ARQUIVO DA EDITORA</v>
      </c>
      <c r="Z121" s="31" t="s">
        <v>38</v>
      </c>
      <c r="AA121" s="31" t="str">
        <f>Tabela2[[#This Row],[ILUSTRADOR CRIAÇÃO]]</f>
        <v>LEANDRO LASSMAR/ARQUIVO DA EDITORA</v>
      </c>
      <c r="AB121" s="33">
        <v>14</v>
      </c>
      <c r="AC121" s="16" t="s">
        <v>39</v>
      </c>
      <c r="AD121" s="16" t="s">
        <v>40</v>
      </c>
      <c r="AE121" s="35" t="str">
        <f t="shared" si="1"/>
        <v>EF1 E002 Mat</v>
      </c>
    </row>
    <row r="122" spans="1:31" s="36" customFormat="1" ht="30" x14ac:dyDescent="0.25">
      <c r="A122" s="31" t="s">
        <v>304</v>
      </c>
      <c r="B122" s="16" t="s">
        <v>32</v>
      </c>
      <c r="C122" s="16" t="s">
        <v>164</v>
      </c>
      <c r="D122" s="38" t="s">
        <v>34</v>
      </c>
      <c r="E122" s="33">
        <v>50</v>
      </c>
      <c r="F122" s="33">
        <v>1</v>
      </c>
      <c r="G122" s="33">
        <v>1</v>
      </c>
      <c r="H122" s="33"/>
      <c r="I122" s="31" t="s">
        <v>46</v>
      </c>
      <c r="J122" s="31"/>
      <c r="K122" s="33"/>
      <c r="L122" s="33"/>
      <c r="M122" s="31"/>
      <c r="N122" s="31"/>
      <c r="O122" s="16" t="s">
        <v>305</v>
      </c>
      <c r="P122" s="16"/>
      <c r="Q122" s="16"/>
      <c r="R122" s="33"/>
      <c r="S122" s="34"/>
      <c r="T122" s="34"/>
      <c r="U122" s="34"/>
      <c r="V122" s="34"/>
      <c r="W122" s="34"/>
      <c r="X122" s="33" t="s">
        <v>184</v>
      </c>
      <c r="Y122" s="35" t="str">
        <f>IF(Tabela2[[#This Row],[SIGLA]]="","",VLOOKUP(Tabela2[[#This Row],[SIGLA]],Tabela1[[#All],[Sigla Arte]:[Crédito]],2,0))</f>
        <v>VER DOCUMENTO DE ILS. TÉCNICAS</v>
      </c>
      <c r="Z122" s="31"/>
      <c r="AA122" s="46" t="s">
        <v>191</v>
      </c>
      <c r="AB122" s="33"/>
      <c r="AC122" s="16"/>
      <c r="AD122" s="16"/>
      <c r="AE122" s="35" t="str">
        <f t="shared" si="1"/>
        <v>EF1 E002 Mat</v>
      </c>
    </row>
    <row r="123" spans="1:31" s="36" customFormat="1" ht="30" x14ac:dyDescent="0.25">
      <c r="A123" s="31" t="s">
        <v>306</v>
      </c>
      <c r="B123" s="16" t="s">
        <v>32</v>
      </c>
      <c r="C123" s="16" t="s">
        <v>164</v>
      </c>
      <c r="D123" s="38" t="s">
        <v>34</v>
      </c>
      <c r="E123" s="33">
        <v>50</v>
      </c>
      <c r="F123" s="33">
        <v>1</v>
      </c>
      <c r="G123" s="33">
        <v>1</v>
      </c>
      <c r="H123" s="33"/>
      <c r="I123" s="31" t="s">
        <v>46</v>
      </c>
      <c r="J123" s="31"/>
      <c r="K123" s="33"/>
      <c r="L123" s="33"/>
      <c r="M123" s="31"/>
      <c r="N123" s="31"/>
      <c r="O123" s="16" t="s">
        <v>307</v>
      </c>
      <c r="P123" s="16"/>
      <c r="Q123" s="16"/>
      <c r="R123" s="33"/>
      <c r="S123" s="34"/>
      <c r="T123" s="34"/>
      <c r="U123" s="34"/>
      <c r="V123" s="34"/>
      <c r="W123" s="34"/>
      <c r="X123" s="33" t="s">
        <v>184</v>
      </c>
      <c r="Y123" s="35" t="str">
        <f>IF(Tabela2[[#This Row],[SIGLA]]="","",VLOOKUP(Tabela2[[#This Row],[SIGLA]],Tabela1[[#All],[Sigla Arte]:[Crédito]],2,0))</f>
        <v>VER DOCUMENTO DE ILS. TÉCNICAS</v>
      </c>
      <c r="Z123" s="31"/>
      <c r="AA123" s="46" t="s">
        <v>191</v>
      </c>
      <c r="AB123" s="33"/>
      <c r="AC123" s="16"/>
      <c r="AD123" s="16"/>
      <c r="AE123" s="35" t="str">
        <f t="shared" si="1"/>
        <v>EF1 E002 Mat</v>
      </c>
    </row>
    <row r="124" spans="1:31" s="36" customFormat="1" ht="30" x14ac:dyDescent="0.25">
      <c r="A124" s="31" t="s">
        <v>308</v>
      </c>
      <c r="B124" s="16" t="s">
        <v>32</v>
      </c>
      <c r="C124" s="16" t="s">
        <v>164</v>
      </c>
      <c r="D124" s="38" t="s">
        <v>34</v>
      </c>
      <c r="E124" s="33">
        <v>50</v>
      </c>
      <c r="F124" s="33">
        <v>1</v>
      </c>
      <c r="G124" s="33">
        <v>1</v>
      </c>
      <c r="H124" s="33"/>
      <c r="I124" s="31" t="s">
        <v>46</v>
      </c>
      <c r="J124" s="31"/>
      <c r="K124" s="33"/>
      <c r="L124" s="33"/>
      <c r="M124" s="31"/>
      <c r="N124" s="31"/>
      <c r="O124" s="16" t="s">
        <v>309</v>
      </c>
      <c r="P124" s="16"/>
      <c r="Q124" s="16"/>
      <c r="R124" s="33"/>
      <c r="S124" s="34"/>
      <c r="T124" s="34"/>
      <c r="U124" s="34"/>
      <c r="V124" s="34"/>
      <c r="W124" s="34"/>
      <c r="X124" s="33" t="s">
        <v>184</v>
      </c>
      <c r="Y124" s="35" t="str">
        <f>IF(Tabela2[[#This Row],[SIGLA]]="","",VLOOKUP(Tabela2[[#This Row],[SIGLA]],Tabela1[[#All],[Sigla Arte]:[Crédito]],2,0))</f>
        <v>VER DOCUMENTO DE ILS. TÉCNICAS</v>
      </c>
      <c r="Z124" s="31"/>
      <c r="AA124" s="46" t="s">
        <v>191</v>
      </c>
      <c r="AB124" s="33"/>
      <c r="AC124" s="16"/>
      <c r="AD124" s="16"/>
      <c r="AE124" s="35" t="str">
        <f t="shared" si="1"/>
        <v>EF1 E002 Mat</v>
      </c>
    </row>
    <row r="125" spans="1:31" s="36" customFormat="1" ht="30" x14ac:dyDescent="0.25">
      <c r="A125" s="31" t="s">
        <v>310</v>
      </c>
      <c r="B125" s="16" t="s">
        <v>32</v>
      </c>
      <c r="C125" s="16" t="s">
        <v>164</v>
      </c>
      <c r="D125" s="38" t="s">
        <v>34</v>
      </c>
      <c r="E125" s="33">
        <v>50</v>
      </c>
      <c r="F125" s="33">
        <v>1</v>
      </c>
      <c r="G125" s="33">
        <v>1</v>
      </c>
      <c r="H125" s="33"/>
      <c r="I125" s="31" t="s">
        <v>46</v>
      </c>
      <c r="J125" s="31"/>
      <c r="K125" s="33"/>
      <c r="L125" s="33"/>
      <c r="M125" s="31"/>
      <c r="N125" s="31"/>
      <c r="O125" s="16" t="s">
        <v>311</v>
      </c>
      <c r="P125" s="16"/>
      <c r="Q125" s="16"/>
      <c r="R125" s="33"/>
      <c r="S125" s="34"/>
      <c r="T125" s="34"/>
      <c r="U125" s="34"/>
      <c r="V125" s="34"/>
      <c r="W125" s="34"/>
      <c r="X125" s="33" t="s">
        <v>184</v>
      </c>
      <c r="Y125" s="35" t="str">
        <f>IF(Tabela2[[#This Row],[SIGLA]]="","",VLOOKUP(Tabela2[[#This Row],[SIGLA]],Tabela1[[#All],[Sigla Arte]:[Crédito]],2,0))</f>
        <v>VER DOCUMENTO DE ILS. TÉCNICAS</v>
      </c>
      <c r="Z125" s="31"/>
      <c r="AA125" s="46" t="s">
        <v>191</v>
      </c>
      <c r="AB125" s="33"/>
      <c r="AC125" s="16"/>
      <c r="AD125" s="16"/>
      <c r="AE125" s="35" t="str">
        <f t="shared" si="1"/>
        <v>EF1 E002 Mat</v>
      </c>
    </row>
    <row r="126" spans="1:31" s="36" customFormat="1" ht="30" x14ac:dyDescent="0.25">
      <c r="A126" s="31" t="s">
        <v>312</v>
      </c>
      <c r="B126" s="16" t="s">
        <v>32</v>
      </c>
      <c r="C126" s="16" t="s">
        <v>164</v>
      </c>
      <c r="D126" s="38" t="s">
        <v>34</v>
      </c>
      <c r="E126" s="33">
        <v>50</v>
      </c>
      <c r="F126" s="33">
        <v>1</v>
      </c>
      <c r="G126" s="33">
        <v>1</v>
      </c>
      <c r="H126" s="33"/>
      <c r="I126" s="31" t="s">
        <v>46</v>
      </c>
      <c r="J126" s="31"/>
      <c r="K126" s="33"/>
      <c r="L126" s="33"/>
      <c r="M126" s="31"/>
      <c r="N126" s="31"/>
      <c r="O126" s="16" t="s">
        <v>313</v>
      </c>
      <c r="P126" s="16"/>
      <c r="Q126" s="16"/>
      <c r="R126" s="33"/>
      <c r="S126" s="34"/>
      <c r="T126" s="34"/>
      <c r="U126" s="34"/>
      <c r="V126" s="34"/>
      <c r="W126" s="34"/>
      <c r="X126" s="33" t="s">
        <v>184</v>
      </c>
      <c r="Y126" s="35" t="str">
        <f>IF(Tabela2[[#This Row],[SIGLA]]="","",VLOOKUP(Tabela2[[#This Row],[SIGLA]],Tabela1[[#All],[Sigla Arte]:[Crédito]],2,0))</f>
        <v>VER DOCUMENTO DE ILS. TÉCNICAS</v>
      </c>
      <c r="Z126" s="31"/>
      <c r="AA126" s="46" t="s">
        <v>191</v>
      </c>
      <c r="AB126" s="33"/>
      <c r="AC126" s="16"/>
      <c r="AD126" s="16"/>
      <c r="AE126" s="35" t="str">
        <f t="shared" si="1"/>
        <v>EF1 E002 Mat</v>
      </c>
    </row>
    <row r="127" spans="1:31" s="36" customFormat="1" ht="30" x14ac:dyDescent="0.25">
      <c r="A127" s="31" t="s">
        <v>314</v>
      </c>
      <c r="B127" s="16" t="s">
        <v>32</v>
      </c>
      <c r="C127" s="16" t="s">
        <v>164</v>
      </c>
      <c r="D127" s="38" t="s">
        <v>34</v>
      </c>
      <c r="E127" s="33">
        <v>50</v>
      </c>
      <c r="F127" s="33">
        <v>1</v>
      </c>
      <c r="G127" s="33">
        <v>1</v>
      </c>
      <c r="H127" s="33"/>
      <c r="I127" s="31" t="s">
        <v>46</v>
      </c>
      <c r="J127" s="31"/>
      <c r="K127" s="33"/>
      <c r="L127" s="33"/>
      <c r="M127" s="31"/>
      <c r="N127" s="31"/>
      <c r="O127" s="16" t="s">
        <v>315</v>
      </c>
      <c r="P127" s="16"/>
      <c r="Q127" s="16"/>
      <c r="R127" s="33"/>
      <c r="S127" s="34"/>
      <c r="T127" s="34"/>
      <c r="U127" s="34"/>
      <c r="V127" s="34"/>
      <c r="W127" s="34"/>
      <c r="X127" s="33" t="s">
        <v>184</v>
      </c>
      <c r="Y127" s="35" t="str">
        <f>IF(Tabela2[[#This Row],[SIGLA]]="","",VLOOKUP(Tabela2[[#This Row],[SIGLA]],Tabela1[[#All],[Sigla Arte]:[Crédito]],2,0))</f>
        <v>VER DOCUMENTO DE ILS. TÉCNICAS</v>
      </c>
      <c r="Z127" s="31"/>
      <c r="AA127" s="46" t="s">
        <v>191</v>
      </c>
      <c r="AB127" s="33"/>
      <c r="AC127" s="16"/>
      <c r="AD127" s="16"/>
      <c r="AE127" s="35" t="str">
        <f t="shared" si="1"/>
        <v>EF1 E002 Mat</v>
      </c>
    </row>
    <row r="128" spans="1:31" s="36" customFormat="1" ht="30" x14ac:dyDescent="0.25">
      <c r="A128" s="31" t="s">
        <v>316</v>
      </c>
      <c r="B128" s="16" t="s">
        <v>32</v>
      </c>
      <c r="C128" s="16" t="s">
        <v>164</v>
      </c>
      <c r="D128" s="38" t="s">
        <v>34</v>
      </c>
      <c r="E128" s="33">
        <v>50</v>
      </c>
      <c r="F128" s="33">
        <v>1</v>
      </c>
      <c r="G128" s="33">
        <v>1</v>
      </c>
      <c r="H128" s="33"/>
      <c r="I128" s="31" t="s">
        <v>46</v>
      </c>
      <c r="J128" s="31"/>
      <c r="K128" s="33"/>
      <c r="L128" s="33"/>
      <c r="M128" s="31"/>
      <c r="N128" s="31"/>
      <c r="O128" s="16" t="s">
        <v>317</v>
      </c>
      <c r="P128" s="16"/>
      <c r="Q128" s="16"/>
      <c r="R128" s="33"/>
      <c r="S128" s="34"/>
      <c r="T128" s="34"/>
      <c r="U128" s="34"/>
      <c r="V128" s="34"/>
      <c r="W128" s="34"/>
      <c r="X128" s="33" t="s">
        <v>184</v>
      </c>
      <c r="Y128" s="35" t="str">
        <f>IF(Tabela2[[#This Row],[SIGLA]]="","",VLOOKUP(Tabela2[[#This Row],[SIGLA]],Tabela1[[#All],[Sigla Arte]:[Crédito]],2,0))</f>
        <v>VER DOCUMENTO DE ILS. TÉCNICAS</v>
      </c>
      <c r="Z128" s="31"/>
      <c r="AA128" s="46" t="s">
        <v>191</v>
      </c>
      <c r="AB128" s="33"/>
      <c r="AC128" s="16"/>
      <c r="AD128" s="16"/>
      <c r="AE128" s="35" t="str">
        <f t="shared" si="1"/>
        <v>EF1 E002 Mat</v>
      </c>
    </row>
    <row r="129" spans="1:31" s="36" customFormat="1" ht="30" x14ac:dyDescent="0.25">
      <c r="A129" s="31" t="s">
        <v>318</v>
      </c>
      <c r="B129" s="16" t="s">
        <v>32</v>
      </c>
      <c r="C129" s="16" t="s">
        <v>164</v>
      </c>
      <c r="D129" s="38" t="s">
        <v>34</v>
      </c>
      <c r="E129" s="33">
        <v>50</v>
      </c>
      <c r="F129" s="33">
        <v>1</v>
      </c>
      <c r="G129" s="33">
        <v>1</v>
      </c>
      <c r="H129" s="33"/>
      <c r="I129" s="31" t="s">
        <v>46</v>
      </c>
      <c r="J129" s="31"/>
      <c r="K129" s="33"/>
      <c r="L129" s="33"/>
      <c r="M129" s="31"/>
      <c r="N129" s="31"/>
      <c r="O129" s="16" t="s">
        <v>319</v>
      </c>
      <c r="P129" s="16"/>
      <c r="Q129" s="16"/>
      <c r="R129" s="33"/>
      <c r="S129" s="34"/>
      <c r="T129" s="34"/>
      <c r="U129" s="34"/>
      <c r="V129" s="34"/>
      <c r="W129" s="34"/>
      <c r="X129" s="33" t="s">
        <v>184</v>
      </c>
      <c r="Y129" s="35" t="str">
        <f>IF(Tabela2[[#This Row],[SIGLA]]="","",VLOOKUP(Tabela2[[#This Row],[SIGLA]],Tabela1[[#All],[Sigla Arte]:[Crédito]],2,0))</f>
        <v>VER DOCUMENTO DE ILS. TÉCNICAS</v>
      </c>
      <c r="Z129" s="31"/>
      <c r="AA129" s="46" t="s">
        <v>191</v>
      </c>
      <c r="AB129" s="33"/>
      <c r="AC129" s="16"/>
      <c r="AD129" s="16"/>
      <c r="AE129" s="35" t="str">
        <f t="shared" si="1"/>
        <v>EF1 E002 Mat</v>
      </c>
    </row>
    <row r="130" spans="1:31" s="36" customFormat="1" ht="30" x14ac:dyDescent="0.25">
      <c r="A130" s="31" t="s">
        <v>320</v>
      </c>
      <c r="B130" s="16" t="s">
        <v>32</v>
      </c>
      <c r="C130" s="16" t="s">
        <v>164</v>
      </c>
      <c r="D130" s="38" t="s">
        <v>34</v>
      </c>
      <c r="E130" s="33">
        <v>50</v>
      </c>
      <c r="F130" s="33">
        <v>1</v>
      </c>
      <c r="G130" s="33">
        <v>1</v>
      </c>
      <c r="H130" s="33"/>
      <c r="I130" s="31" t="s">
        <v>46</v>
      </c>
      <c r="J130" s="31"/>
      <c r="K130" s="33"/>
      <c r="L130" s="33"/>
      <c r="M130" s="31"/>
      <c r="N130" s="31"/>
      <c r="O130" s="16" t="s">
        <v>321</v>
      </c>
      <c r="P130" s="16"/>
      <c r="Q130" s="16"/>
      <c r="R130" s="33"/>
      <c r="S130" s="34"/>
      <c r="T130" s="34"/>
      <c r="U130" s="34"/>
      <c r="V130" s="34"/>
      <c r="W130" s="34"/>
      <c r="X130" s="33" t="s">
        <v>184</v>
      </c>
      <c r="Y130" s="35" t="str">
        <f>IF(Tabela2[[#This Row],[SIGLA]]="","",VLOOKUP(Tabela2[[#This Row],[SIGLA]],Tabela1[[#All],[Sigla Arte]:[Crédito]],2,0))</f>
        <v>VER DOCUMENTO DE ILS. TÉCNICAS</v>
      </c>
      <c r="Z130" s="31"/>
      <c r="AA130" s="46" t="s">
        <v>191</v>
      </c>
      <c r="AB130" s="33"/>
      <c r="AC130" s="16"/>
      <c r="AD130" s="16"/>
      <c r="AE130" s="35" t="str">
        <f t="shared" ref="AE130:AE193" si="2">"EF1 E002 Mat"</f>
        <v>EF1 E002 Mat</v>
      </c>
    </row>
    <row r="131" spans="1:31" s="36" customFormat="1" ht="45" x14ac:dyDescent="0.25">
      <c r="A131" s="31" t="s">
        <v>322</v>
      </c>
      <c r="B131" s="16" t="s">
        <v>32</v>
      </c>
      <c r="C131" s="16" t="s">
        <v>164</v>
      </c>
      <c r="D131" s="38" t="s">
        <v>34</v>
      </c>
      <c r="E131" s="33">
        <v>47</v>
      </c>
      <c r="F131" s="33">
        <v>1</v>
      </c>
      <c r="G131" s="33">
        <v>1</v>
      </c>
      <c r="H131" s="33"/>
      <c r="I131" s="31" t="s">
        <v>46</v>
      </c>
      <c r="J131" s="31"/>
      <c r="K131" s="33"/>
      <c r="L131" s="33"/>
      <c r="M131" s="31"/>
      <c r="N131" s="31"/>
      <c r="O131" s="16" t="s">
        <v>323</v>
      </c>
      <c r="P131" s="16"/>
      <c r="Q131" s="16"/>
      <c r="R131" s="33"/>
      <c r="S131" s="34"/>
      <c r="T131" s="34"/>
      <c r="U131" s="34"/>
      <c r="V131" s="34"/>
      <c r="W131" s="34"/>
      <c r="X131" s="33" t="s">
        <v>48</v>
      </c>
      <c r="Y131" s="35" t="str">
        <f>IF(Tabela2[[#This Row],[SIGLA]]="","",VLOOKUP(Tabela2[[#This Row],[SIGLA]],Tabela1[[#All],[Sigla Arte]:[Crédito]],2,0))</f>
        <v>SERGIO LIMA/ARQUIVO DA EDITORA</v>
      </c>
      <c r="Z131" s="31"/>
      <c r="AA131" s="31" t="str">
        <f>Tabela2[[#This Row],[ILUSTRADOR CRIAÇÃO]]</f>
        <v>SERGIO LIMA/ARQUIVO DA EDITORA</v>
      </c>
      <c r="AB131" s="33"/>
      <c r="AC131" s="16"/>
      <c r="AD131" s="16"/>
      <c r="AE131" s="35" t="str">
        <f t="shared" si="2"/>
        <v>EF1 E002 Mat</v>
      </c>
    </row>
    <row r="132" spans="1:31" s="36" customFormat="1" ht="60" x14ac:dyDescent="0.25">
      <c r="A132" s="31" t="s">
        <v>324</v>
      </c>
      <c r="B132" s="16" t="s">
        <v>32</v>
      </c>
      <c r="C132" s="16" t="s">
        <v>33</v>
      </c>
      <c r="D132" s="38" t="s">
        <v>34</v>
      </c>
      <c r="E132" s="33">
        <v>47</v>
      </c>
      <c r="F132" s="33">
        <v>1</v>
      </c>
      <c r="G132" s="33">
        <v>1</v>
      </c>
      <c r="H132" s="33"/>
      <c r="I132" s="31" t="s">
        <v>46</v>
      </c>
      <c r="J132" s="31"/>
      <c r="K132" s="33"/>
      <c r="L132" s="33"/>
      <c r="M132" s="31"/>
      <c r="N132" s="31"/>
      <c r="O132" s="16" t="s">
        <v>325</v>
      </c>
      <c r="P132" s="16"/>
      <c r="Q132" s="16"/>
      <c r="R132" s="33"/>
      <c r="S132" s="34"/>
      <c r="T132" s="34"/>
      <c r="U132" s="34"/>
      <c r="V132" s="34"/>
      <c r="W132" s="34"/>
      <c r="X132" s="33" t="s">
        <v>48</v>
      </c>
      <c r="Y132" s="35" t="str">
        <f>IF(Tabela2[[#This Row],[SIGLA]]="","",VLOOKUP(Tabela2[[#This Row],[SIGLA]],Tabela1[[#All],[Sigla Arte]:[Crédito]],2,0))</f>
        <v>SERGIO LIMA/ARQUIVO DA EDITORA</v>
      </c>
      <c r="Z132" s="31"/>
      <c r="AA132" s="31" t="str">
        <f>Tabela2[[#This Row],[ILUSTRADOR CRIAÇÃO]]</f>
        <v>SERGIO LIMA/ARQUIVO DA EDITORA</v>
      </c>
      <c r="AB132" s="33"/>
      <c r="AC132" s="16"/>
      <c r="AD132" s="16"/>
      <c r="AE132" s="35" t="str">
        <f t="shared" si="2"/>
        <v>EF1 E002 Mat</v>
      </c>
    </row>
    <row r="133" spans="1:31" s="36" customFormat="1" ht="105" x14ac:dyDescent="0.25">
      <c r="A133" s="31" t="s">
        <v>326</v>
      </c>
      <c r="B133" s="16" t="s">
        <v>32</v>
      </c>
      <c r="C133" s="16" t="s">
        <v>327</v>
      </c>
      <c r="D133" s="38" t="s">
        <v>34</v>
      </c>
      <c r="E133" s="33">
        <v>47</v>
      </c>
      <c r="F133" s="33">
        <v>1</v>
      </c>
      <c r="G133" s="33">
        <v>1</v>
      </c>
      <c r="H133" s="33"/>
      <c r="I133" s="31" t="s">
        <v>35</v>
      </c>
      <c r="J133" s="31"/>
      <c r="K133" s="33"/>
      <c r="L133" s="33"/>
      <c r="M133" s="31"/>
      <c r="N133" s="31"/>
      <c r="O133" s="16" t="s">
        <v>328</v>
      </c>
      <c r="P133" s="16"/>
      <c r="Q133" s="16"/>
      <c r="R133" s="33">
        <v>42</v>
      </c>
      <c r="S133" s="34">
        <v>45792</v>
      </c>
      <c r="T133" s="34">
        <v>45796</v>
      </c>
      <c r="U133" s="34"/>
      <c r="V133" s="34"/>
      <c r="W133" s="34">
        <v>45797</v>
      </c>
      <c r="X133" s="33" t="s">
        <v>48</v>
      </c>
      <c r="Y133" s="35" t="str">
        <f>IF(Tabela2[[#This Row],[SIGLA]]="","",VLOOKUP(Tabela2[[#This Row],[SIGLA]],Tabela1[[#All],[Sigla Arte]:[Crédito]],2,0))</f>
        <v>SERGIO LIMA/ARQUIVO DA EDITORA</v>
      </c>
      <c r="Z133" s="31" t="s">
        <v>38</v>
      </c>
      <c r="AA133" s="31" t="str">
        <f>Tabela2[[#This Row],[ILUSTRADOR CRIAÇÃO]]</f>
        <v>SERGIO LIMA/ARQUIVO DA EDITORA</v>
      </c>
      <c r="AB133" s="33">
        <v>14</v>
      </c>
      <c r="AC133" s="16" t="s">
        <v>39</v>
      </c>
      <c r="AD133" s="16" t="s">
        <v>40</v>
      </c>
      <c r="AE133" s="35" t="str">
        <f t="shared" si="2"/>
        <v>EF1 E002 Mat</v>
      </c>
    </row>
    <row r="134" spans="1:31" s="36" customFormat="1" ht="45" x14ac:dyDescent="0.25">
      <c r="A134" s="31" t="s">
        <v>329</v>
      </c>
      <c r="B134" s="16" t="s">
        <v>32</v>
      </c>
      <c r="C134" s="16" t="s">
        <v>33</v>
      </c>
      <c r="D134" s="38" t="s">
        <v>34</v>
      </c>
      <c r="E134" s="33">
        <v>51</v>
      </c>
      <c r="F134" s="33">
        <v>1</v>
      </c>
      <c r="G134" s="33">
        <v>1</v>
      </c>
      <c r="H134" s="33"/>
      <c r="I134" s="31" t="s">
        <v>46</v>
      </c>
      <c r="J134" s="31"/>
      <c r="K134" s="33"/>
      <c r="L134" s="33"/>
      <c r="M134" s="31"/>
      <c r="N134" s="31"/>
      <c r="O134" s="16" t="s">
        <v>330</v>
      </c>
      <c r="P134" s="16"/>
      <c r="Q134" s="16"/>
      <c r="R134" s="33"/>
      <c r="S134" s="34"/>
      <c r="T134" s="34"/>
      <c r="U134" s="34"/>
      <c r="V134" s="34"/>
      <c r="W134" s="34"/>
      <c r="X134" s="33" t="s">
        <v>247</v>
      </c>
      <c r="Y134" s="35" t="str">
        <f>IF(Tabela2[[#This Row],[SIGLA]]="","",VLOOKUP(Tabela2[[#This Row],[SIGLA]],Tabela1[[#All],[Sigla Arte]:[Crédito]],2,0))</f>
        <v>THAIS CASTRO/ARQUIVO DA EDITORA</v>
      </c>
      <c r="Z134" s="31"/>
      <c r="AA134" s="31" t="str">
        <f>Tabela2[[#This Row],[ILUSTRADOR CRIAÇÃO]]</f>
        <v>THAIS CASTRO/ARQUIVO DA EDITORA</v>
      </c>
      <c r="AB134" s="33"/>
      <c r="AC134" s="16"/>
      <c r="AD134" s="16"/>
      <c r="AE134" s="35" t="str">
        <f t="shared" si="2"/>
        <v>EF1 E002 Mat</v>
      </c>
    </row>
    <row r="135" spans="1:31" s="36" customFormat="1" ht="90" x14ac:dyDescent="0.25">
      <c r="A135" s="31" t="s">
        <v>331</v>
      </c>
      <c r="B135" s="16" t="s">
        <v>32</v>
      </c>
      <c r="C135" s="16" t="s">
        <v>33</v>
      </c>
      <c r="D135" s="38" t="s">
        <v>34</v>
      </c>
      <c r="E135" s="33">
        <v>52</v>
      </c>
      <c r="F135" s="33">
        <v>1</v>
      </c>
      <c r="G135" s="33">
        <v>1</v>
      </c>
      <c r="H135" s="33"/>
      <c r="I135" s="31" t="s">
        <v>35</v>
      </c>
      <c r="J135" s="31"/>
      <c r="K135" s="33"/>
      <c r="L135" s="33"/>
      <c r="M135" s="31"/>
      <c r="N135" s="31"/>
      <c r="O135" s="16" t="s">
        <v>332</v>
      </c>
      <c r="P135" s="16"/>
      <c r="Q135" s="16"/>
      <c r="R135" s="33">
        <v>2</v>
      </c>
      <c r="S135" s="34">
        <v>45733</v>
      </c>
      <c r="T135" s="34"/>
      <c r="U135" s="34"/>
      <c r="V135" s="34"/>
      <c r="W135" s="34">
        <v>45734</v>
      </c>
      <c r="X135" s="33" t="s">
        <v>333</v>
      </c>
      <c r="Y135" s="35" t="str">
        <f>IF(Tabela2[[#This Row],[SIGLA]]="","",VLOOKUP(Tabela2[[#This Row],[SIGLA]],Tabela1[[#All],[Sigla Arte]:[Crédito]],2,0))</f>
        <v>LISLLEY GOMES FEIGE/ARQUIVO DA EDITORA</v>
      </c>
      <c r="Z135" s="31" t="s">
        <v>140</v>
      </c>
      <c r="AA135" s="31" t="str">
        <f>Tabela2[[#This Row],[ILUSTRADOR CRIAÇÃO]]</f>
        <v>LISLLEY GOMES FEIGE/ARQUIVO DA EDITORA</v>
      </c>
      <c r="AB135" s="33"/>
      <c r="AC135" s="16"/>
      <c r="AD135" s="16" t="s">
        <v>40</v>
      </c>
      <c r="AE135" s="35" t="str">
        <f t="shared" si="2"/>
        <v>EF1 E002 Mat</v>
      </c>
    </row>
    <row r="136" spans="1:31" s="36" customFormat="1" ht="30" x14ac:dyDescent="0.25">
      <c r="A136" s="31" t="s">
        <v>334</v>
      </c>
      <c r="B136" s="16" t="s">
        <v>32</v>
      </c>
      <c r="C136" s="16" t="s">
        <v>33</v>
      </c>
      <c r="D136" s="38" t="s">
        <v>34</v>
      </c>
      <c r="E136" s="33">
        <v>52</v>
      </c>
      <c r="F136" s="33">
        <v>1</v>
      </c>
      <c r="G136" s="33">
        <v>1</v>
      </c>
      <c r="H136" s="33"/>
      <c r="I136" s="31" t="s">
        <v>46</v>
      </c>
      <c r="J136" s="31"/>
      <c r="K136" s="33"/>
      <c r="L136" s="33"/>
      <c r="M136" s="31"/>
      <c r="N136" s="31"/>
      <c r="O136" s="16" t="s">
        <v>335</v>
      </c>
      <c r="P136" s="16"/>
      <c r="Q136" s="16"/>
      <c r="R136" s="33"/>
      <c r="S136" s="34"/>
      <c r="T136" s="34"/>
      <c r="U136" s="34"/>
      <c r="V136" s="34"/>
      <c r="W136" s="34"/>
      <c r="X136" s="33" t="s">
        <v>247</v>
      </c>
      <c r="Y136" s="35" t="str">
        <f>IF(Tabela2[[#This Row],[SIGLA]]="","",VLOOKUP(Tabela2[[#This Row],[SIGLA]],Tabela1[[#All],[Sigla Arte]:[Crédito]],2,0))</f>
        <v>THAIS CASTRO/ARQUIVO DA EDITORA</v>
      </c>
      <c r="Z136" s="31"/>
      <c r="AA136" s="31" t="str">
        <f>Tabela2[[#This Row],[ILUSTRADOR CRIAÇÃO]]</f>
        <v>THAIS CASTRO/ARQUIVO DA EDITORA</v>
      </c>
      <c r="AB136" s="33"/>
      <c r="AC136" s="16"/>
      <c r="AD136" s="16"/>
      <c r="AE136" s="35" t="str">
        <f t="shared" si="2"/>
        <v>EF1 E002 Mat</v>
      </c>
    </row>
    <row r="137" spans="1:31" s="36" customFormat="1" ht="30" x14ac:dyDescent="0.25">
      <c r="A137" s="31" t="s">
        <v>336</v>
      </c>
      <c r="B137" s="16" t="s">
        <v>32</v>
      </c>
      <c r="C137" s="16" t="s">
        <v>33</v>
      </c>
      <c r="D137" s="38" t="s">
        <v>34</v>
      </c>
      <c r="E137" s="33">
        <v>53</v>
      </c>
      <c r="F137" s="33">
        <v>1</v>
      </c>
      <c r="G137" s="33">
        <v>1</v>
      </c>
      <c r="H137" s="33"/>
      <c r="I137" s="31" t="s">
        <v>35</v>
      </c>
      <c r="J137" s="31"/>
      <c r="K137" s="33"/>
      <c r="L137" s="33"/>
      <c r="M137" s="31"/>
      <c r="N137" s="31"/>
      <c r="O137" s="16" t="s">
        <v>337</v>
      </c>
      <c r="P137" s="16"/>
      <c r="Q137" s="16"/>
      <c r="R137" s="33">
        <v>161</v>
      </c>
      <c r="S137" s="34" t="s">
        <v>338</v>
      </c>
      <c r="T137" s="34">
        <v>45916</v>
      </c>
      <c r="U137" s="34"/>
      <c r="V137" s="34"/>
      <c r="W137" s="34">
        <v>45916</v>
      </c>
      <c r="X137" s="33" t="s">
        <v>162</v>
      </c>
      <c r="Y137" s="35" t="str">
        <f>IF(Tabela2[[#This Row],[SIGLA]]="","",VLOOKUP(Tabela2[[#This Row],[SIGLA]],Tabela1[[#All],[Sigla Arte]:[Crédito]],2,0))</f>
        <v>IVY NUNES/ARQUIVO DA EDITORA</v>
      </c>
      <c r="Z137" s="31" t="s">
        <v>153</v>
      </c>
      <c r="AA137" s="31" t="str">
        <f>Tabela2[[#This Row],[ILUSTRADOR CRIAÇÃO]]</f>
        <v>IVY NUNES/ARQUIVO DA EDITORA</v>
      </c>
      <c r="AB137" s="33">
        <v>13</v>
      </c>
      <c r="AC137" s="16" t="s">
        <v>44</v>
      </c>
      <c r="AD137" s="16" t="s">
        <v>40</v>
      </c>
      <c r="AE137" s="35" t="str">
        <f t="shared" si="2"/>
        <v>EF1 E002 Mat</v>
      </c>
    </row>
    <row r="138" spans="1:31" s="36" customFormat="1" ht="75" x14ac:dyDescent="0.25">
      <c r="A138" s="31" t="s">
        <v>339</v>
      </c>
      <c r="B138" s="16" t="s">
        <v>32</v>
      </c>
      <c r="C138" s="16" t="s">
        <v>33</v>
      </c>
      <c r="D138" s="38" t="s">
        <v>34</v>
      </c>
      <c r="E138" s="33">
        <v>53</v>
      </c>
      <c r="F138" s="33">
        <v>1</v>
      </c>
      <c r="G138" s="33">
        <v>1</v>
      </c>
      <c r="H138" s="33"/>
      <c r="I138" s="31" t="s">
        <v>35</v>
      </c>
      <c r="J138" s="31"/>
      <c r="K138" s="33"/>
      <c r="L138" s="33"/>
      <c r="M138" s="31"/>
      <c r="N138" s="31"/>
      <c r="O138" s="16" t="s">
        <v>340</v>
      </c>
      <c r="P138" s="16"/>
      <c r="Q138" s="16"/>
      <c r="R138" s="33">
        <v>2</v>
      </c>
      <c r="S138" s="34">
        <v>45733</v>
      </c>
      <c r="T138" s="34"/>
      <c r="U138" s="34"/>
      <c r="V138" s="34"/>
      <c r="W138" s="34">
        <v>45734</v>
      </c>
      <c r="X138" s="33" t="s">
        <v>333</v>
      </c>
      <c r="Y138" s="35" t="str">
        <f>IF(Tabela2[[#This Row],[SIGLA]]="","",VLOOKUP(Tabela2[[#This Row],[SIGLA]],Tabela1[[#All],[Sigla Arte]:[Crédito]],2,0))</f>
        <v>LISLLEY GOMES FEIGE/ARQUIVO DA EDITORA</v>
      </c>
      <c r="Z138" s="31" t="s">
        <v>140</v>
      </c>
      <c r="AA138" s="31" t="str">
        <f>Tabela2[[#This Row],[ILUSTRADOR CRIAÇÃO]]</f>
        <v>LISLLEY GOMES FEIGE/ARQUIVO DA EDITORA</v>
      </c>
      <c r="AB138" s="33"/>
      <c r="AC138" s="16"/>
      <c r="AD138" s="16" t="s">
        <v>40</v>
      </c>
      <c r="AE138" s="35" t="str">
        <f t="shared" si="2"/>
        <v>EF1 E002 Mat</v>
      </c>
    </row>
    <row r="139" spans="1:31" s="36" customFormat="1" ht="75" x14ac:dyDescent="0.25">
      <c r="A139" s="31" t="s">
        <v>341</v>
      </c>
      <c r="B139" s="16" t="s">
        <v>32</v>
      </c>
      <c r="C139" s="16" t="s">
        <v>33</v>
      </c>
      <c r="D139" s="38" t="s">
        <v>34</v>
      </c>
      <c r="E139" s="33">
        <v>53</v>
      </c>
      <c r="F139" s="33">
        <v>1</v>
      </c>
      <c r="G139" s="33">
        <v>1</v>
      </c>
      <c r="H139" s="33"/>
      <c r="I139" s="31" t="s">
        <v>35</v>
      </c>
      <c r="J139" s="31"/>
      <c r="K139" s="33"/>
      <c r="L139" s="33"/>
      <c r="M139" s="31"/>
      <c r="N139" s="31"/>
      <c r="O139" s="16" t="s">
        <v>342</v>
      </c>
      <c r="P139" s="16"/>
      <c r="Q139" s="16"/>
      <c r="R139" s="33">
        <v>2</v>
      </c>
      <c r="S139" s="34">
        <v>45733</v>
      </c>
      <c r="T139" s="34"/>
      <c r="U139" s="34"/>
      <c r="V139" s="34"/>
      <c r="W139" s="34">
        <v>45734</v>
      </c>
      <c r="X139" s="33" t="s">
        <v>333</v>
      </c>
      <c r="Y139" s="35" t="str">
        <f>IF(Tabela2[[#This Row],[SIGLA]]="","",VLOOKUP(Tabela2[[#This Row],[SIGLA]],Tabela1[[#All],[Sigla Arte]:[Crédito]],2,0))</f>
        <v>LISLLEY GOMES FEIGE/ARQUIVO DA EDITORA</v>
      </c>
      <c r="Z139" s="31" t="s">
        <v>140</v>
      </c>
      <c r="AA139" s="31" t="str">
        <f>Tabela2[[#This Row],[ILUSTRADOR CRIAÇÃO]]</f>
        <v>LISLLEY GOMES FEIGE/ARQUIVO DA EDITORA</v>
      </c>
      <c r="AB139" s="33"/>
      <c r="AC139" s="16"/>
      <c r="AD139" s="16" t="s">
        <v>40</v>
      </c>
      <c r="AE139" s="35" t="str">
        <f t="shared" si="2"/>
        <v>EF1 E002 Mat</v>
      </c>
    </row>
    <row r="140" spans="1:31" s="36" customFormat="1" ht="90" x14ac:dyDescent="0.25">
      <c r="A140" s="31" t="s">
        <v>343</v>
      </c>
      <c r="B140" s="16" t="s">
        <v>32</v>
      </c>
      <c r="C140" s="16" t="s">
        <v>33</v>
      </c>
      <c r="D140" s="38" t="s">
        <v>34</v>
      </c>
      <c r="E140" s="33">
        <v>53</v>
      </c>
      <c r="F140" s="33">
        <v>1</v>
      </c>
      <c r="G140" s="33">
        <v>1</v>
      </c>
      <c r="H140" s="33"/>
      <c r="I140" s="31" t="s">
        <v>35</v>
      </c>
      <c r="J140" s="31"/>
      <c r="K140" s="33"/>
      <c r="L140" s="33"/>
      <c r="M140" s="31"/>
      <c r="N140" s="31"/>
      <c r="O140" s="16" t="s">
        <v>344</v>
      </c>
      <c r="P140" s="16"/>
      <c r="Q140" s="16"/>
      <c r="R140" s="33">
        <v>2</v>
      </c>
      <c r="S140" s="34">
        <v>45733</v>
      </c>
      <c r="T140" s="34"/>
      <c r="U140" s="34"/>
      <c r="V140" s="34"/>
      <c r="W140" s="34">
        <v>45734</v>
      </c>
      <c r="X140" s="33" t="s">
        <v>333</v>
      </c>
      <c r="Y140" s="35" t="str">
        <f>IF(Tabela2[[#This Row],[SIGLA]]="","",VLOOKUP(Tabela2[[#This Row],[SIGLA]],Tabela1[[#All],[Sigla Arte]:[Crédito]],2,0))</f>
        <v>LISLLEY GOMES FEIGE/ARQUIVO DA EDITORA</v>
      </c>
      <c r="Z140" s="31" t="s">
        <v>140</v>
      </c>
      <c r="AA140" s="31" t="str">
        <f>Tabela2[[#This Row],[ILUSTRADOR CRIAÇÃO]]</f>
        <v>LISLLEY GOMES FEIGE/ARQUIVO DA EDITORA</v>
      </c>
      <c r="AB140" s="33"/>
      <c r="AC140" s="16"/>
      <c r="AD140" s="16" t="s">
        <v>40</v>
      </c>
      <c r="AE140" s="35" t="str">
        <f t="shared" si="2"/>
        <v>EF1 E002 Mat</v>
      </c>
    </row>
    <row r="141" spans="1:31" s="36" customFormat="1" ht="90" x14ac:dyDescent="0.25">
      <c r="A141" s="31" t="s">
        <v>345</v>
      </c>
      <c r="B141" s="16" t="s">
        <v>32</v>
      </c>
      <c r="C141" s="16" t="s">
        <v>33</v>
      </c>
      <c r="D141" s="38" t="s">
        <v>34</v>
      </c>
      <c r="E141" s="33">
        <v>53</v>
      </c>
      <c r="F141" s="33">
        <v>1</v>
      </c>
      <c r="G141" s="33">
        <v>1</v>
      </c>
      <c r="H141" s="33"/>
      <c r="I141" s="31" t="s">
        <v>35</v>
      </c>
      <c r="J141" s="31"/>
      <c r="K141" s="33"/>
      <c r="L141" s="33"/>
      <c r="M141" s="31"/>
      <c r="N141" s="31"/>
      <c r="O141" s="16" t="s">
        <v>346</v>
      </c>
      <c r="P141" s="16"/>
      <c r="Q141" s="16"/>
      <c r="R141" s="33">
        <v>2</v>
      </c>
      <c r="S141" s="34">
        <v>45733</v>
      </c>
      <c r="T141" s="34">
        <v>45734</v>
      </c>
      <c r="U141" s="34"/>
      <c r="V141" s="34"/>
      <c r="W141" s="34">
        <v>45734</v>
      </c>
      <c r="X141" s="33" t="s">
        <v>333</v>
      </c>
      <c r="Y141" s="35" t="str">
        <f>IF(Tabela2[[#This Row],[SIGLA]]="","",VLOOKUP(Tabela2[[#This Row],[SIGLA]],Tabela1[[#All],[Sigla Arte]:[Crédito]],2,0))</f>
        <v>LISLLEY GOMES FEIGE/ARQUIVO DA EDITORA</v>
      </c>
      <c r="Z141" s="31" t="s">
        <v>140</v>
      </c>
      <c r="AA141" s="31" t="str">
        <f>Tabela2[[#This Row],[ILUSTRADOR CRIAÇÃO]]</f>
        <v>LISLLEY GOMES FEIGE/ARQUIVO DA EDITORA</v>
      </c>
      <c r="AB141" s="33"/>
      <c r="AC141" s="16"/>
      <c r="AD141" s="16" t="s">
        <v>40</v>
      </c>
      <c r="AE141" s="35" t="str">
        <f t="shared" si="2"/>
        <v>EF1 E002 Mat</v>
      </c>
    </row>
    <row r="142" spans="1:31" s="36" customFormat="1" ht="225" x14ac:dyDescent="0.25">
      <c r="A142" s="31" t="s">
        <v>347</v>
      </c>
      <c r="B142" s="16" t="s">
        <v>32</v>
      </c>
      <c r="C142" s="16" t="s">
        <v>33</v>
      </c>
      <c r="D142" s="38" t="s">
        <v>34</v>
      </c>
      <c r="E142" s="33">
        <v>54</v>
      </c>
      <c r="F142" s="33">
        <v>1</v>
      </c>
      <c r="G142" s="33">
        <v>1</v>
      </c>
      <c r="H142" s="33"/>
      <c r="I142" s="31" t="s">
        <v>35</v>
      </c>
      <c r="J142" s="31"/>
      <c r="K142" s="33"/>
      <c r="L142" s="33"/>
      <c r="M142" s="31"/>
      <c r="N142" s="31"/>
      <c r="O142" s="16" t="s">
        <v>348</v>
      </c>
      <c r="P142" s="16"/>
      <c r="Q142" s="16"/>
      <c r="R142" s="33">
        <v>2</v>
      </c>
      <c r="S142" s="34">
        <v>45733</v>
      </c>
      <c r="T142" s="34">
        <v>45734</v>
      </c>
      <c r="U142" s="34"/>
      <c r="V142" s="34"/>
      <c r="W142" s="34">
        <v>45734</v>
      </c>
      <c r="X142" s="33" t="s">
        <v>247</v>
      </c>
      <c r="Y142" s="35" t="str">
        <f>IF(Tabela2[[#This Row],[SIGLA]]="","",VLOOKUP(Tabela2[[#This Row],[SIGLA]],Tabela1[[#All],[Sigla Arte]:[Crédito]],2,0))</f>
        <v>THAIS CASTRO/ARQUIVO DA EDITORA</v>
      </c>
      <c r="Z142" s="31" t="s">
        <v>140</v>
      </c>
      <c r="AA142" s="31" t="str">
        <f>Tabela2[[#This Row],[ILUSTRADOR CRIAÇÃO]]</f>
        <v>THAIS CASTRO/ARQUIVO DA EDITORA</v>
      </c>
      <c r="AB142" s="33"/>
      <c r="AC142" s="16"/>
      <c r="AD142" s="16" t="s">
        <v>40</v>
      </c>
      <c r="AE142" s="35" t="str">
        <f t="shared" si="2"/>
        <v>EF1 E002 Mat</v>
      </c>
    </row>
    <row r="143" spans="1:31" s="36" customFormat="1" ht="75" x14ac:dyDescent="0.25">
      <c r="A143" s="31" t="s">
        <v>349</v>
      </c>
      <c r="B143" s="16" t="s">
        <v>32</v>
      </c>
      <c r="C143" s="16" t="s">
        <v>33</v>
      </c>
      <c r="D143" s="38" t="s">
        <v>34</v>
      </c>
      <c r="E143" s="33">
        <v>108</v>
      </c>
      <c r="F143" s="33">
        <v>1</v>
      </c>
      <c r="G143" s="33">
        <v>4</v>
      </c>
      <c r="H143" s="33"/>
      <c r="I143" s="31" t="s">
        <v>35</v>
      </c>
      <c r="J143" s="31"/>
      <c r="K143" s="33"/>
      <c r="L143" s="33"/>
      <c r="M143" s="31"/>
      <c r="N143" s="31"/>
      <c r="O143" s="16" t="s">
        <v>350</v>
      </c>
      <c r="P143" s="16"/>
      <c r="Q143" s="16"/>
      <c r="R143" s="33">
        <v>45</v>
      </c>
      <c r="S143" s="34">
        <v>45796</v>
      </c>
      <c r="T143" s="34"/>
      <c r="U143" s="34"/>
      <c r="V143" s="34"/>
      <c r="W143" s="34">
        <v>45797</v>
      </c>
      <c r="X143" s="33" t="s">
        <v>351</v>
      </c>
      <c r="Y143" s="35" t="str">
        <f>IF(Tabela2[[#This Row],[SIGLA]]="","",VLOOKUP(Tabela2[[#This Row],[SIGLA]],Tabela1[[#All],[Sigla Arte]:[Crédito]],2,0))</f>
        <v>RAITAN OHI/ARQUIVO DA EDITORA</v>
      </c>
      <c r="Z143" s="31" t="s">
        <v>352</v>
      </c>
      <c r="AA143" s="31" t="str">
        <f>Tabela2[[#This Row],[ILUSTRADOR CRIAÇÃO]]</f>
        <v>RAITAN OHI/ARQUIVO DA EDITORA</v>
      </c>
      <c r="AB143" s="33">
        <v>13</v>
      </c>
      <c r="AC143" s="16" t="s">
        <v>39</v>
      </c>
      <c r="AD143" s="16" t="s">
        <v>40</v>
      </c>
      <c r="AE143" s="35" t="str">
        <f t="shared" si="2"/>
        <v>EF1 E002 Mat</v>
      </c>
    </row>
    <row r="144" spans="1:31" s="36" customFormat="1" ht="60" x14ac:dyDescent="0.25">
      <c r="A144" s="31" t="s">
        <v>353</v>
      </c>
      <c r="B144" s="16" t="s">
        <v>32</v>
      </c>
      <c r="C144" s="16" t="s">
        <v>33</v>
      </c>
      <c r="D144" s="38" t="s">
        <v>34</v>
      </c>
      <c r="E144" s="33">
        <v>19</v>
      </c>
      <c r="F144" s="33">
        <v>1</v>
      </c>
      <c r="G144" s="33">
        <v>4</v>
      </c>
      <c r="H144" s="33"/>
      <c r="I144" s="31" t="s">
        <v>46</v>
      </c>
      <c r="J144" s="31"/>
      <c r="K144" s="33"/>
      <c r="L144" s="33"/>
      <c r="M144" s="31"/>
      <c r="N144" s="31"/>
      <c r="O144" s="16" t="s">
        <v>354</v>
      </c>
      <c r="P144" s="16"/>
      <c r="Q144" s="16"/>
      <c r="R144" s="33"/>
      <c r="S144" s="34"/>
      <c r="T144" s="34"/>
      <c r="U144" s="34"/>
      <c r="V144" s="34"/>
      <c r="W144" s="34"/>
      <c r="X144" s="33" t="s">
        <v>351</v>
      </c>
      <c r="Y144" s="35" t="str">
        <f>IF(Tabela2[[#This Row],[SIGLA]]="","",VLOOKUP(Tabela2[[#This Row],[SIGLA]],Tabela1[[#All],[Sigla Arte]:[Crédito]],2,0))</f>
        <v>RAITAN OHI/ARQUIVO DA EDITORA</v>
      </c>
      <c r="Z144" s="31"/>
      <c r="AA144" s="31" t="str">
        <f>Tabela2[[#This Row],[ILUSTRADOR CRIAÇÃO]]</f>
        <v>RAITAN OHI/ARQUIVO DA EDITORA</v>
      </c>
      <c r="AB144" s="33"/>
      <c r="AC144" s="16"/>
      <c r="AD144" s="16"/>
      <c r="AE144" s="35" t="str">
        <f t="shared" si="2"/>
        <v>EF1 E002 Mat</v>
      </c>
    </row>
    <row r="145" spans="1:31" s="36" customFormat="1" ht="75" x14ac:dyDescent="0.25">
      <c r="A145" s="31" t="s">
        <v>355</v>
      </c>
      <c r="B145" s="16" t="s">
        <v>32</v>
      </c>
      <c r="C145" s="16" t="s">
        <v>33</v>
      </c>
      <c r="D145" s="38" t="s">
        <v>34</v>
      </c>
      <c r="E145" s="33">
        <v>19</v>
      </c>
      <c r="F145" s="33">
        <v>1</v>
      </c>
      <c r="G145" s="33">
        <v>4</v>
      </c>
      <c r="H145" s="33"/>
      <c r="I145" s="31" t="s">
        <v>46</v>
      </c>
      <c r="J145" s="31"/>
      <c r="K145" s="33"/>
      <c r="L145" s="33"/>
      <c r="M145" s="31"/>
      <c r="N145" s="31"/>
      <c r="O145" s="16" t="s">
        <v>356</v>
      </c>
      <c r="P145" s="16"/>
      <c r="Q145" s="16"/>
      <c r="R145" s="33"/>
      <c r="S145" s="34"/>
      <c r="T145" s="34"/>
      <c r="U145" s="34"/>
      <c r="V145" s="34"/>
      <c r="W145" s="34"/>
      <c r="X145" s="33" t="s">
        <v>351</v>
      </c>
      <c r="Y145" s="35" t="str">
        <f>IF(Tabela2[[#This Row],[SIGLA]]="","",VLOOKUP(Tabela2[[#This Row],[SIGLA]],Tabela1[[#All],[Sigla Arte]:[Crédito]],2,0))</f>
        <v>RAITAN OHI/ARQUIVO DA EDITORA</v>
      </c>
      <c r="Z145" s="31"/>
      <c r="AA145" s="31" t="str">
        <f>Tabela2[[#This Row],[ILUSTRADOR CRIAÇÃO]]</f>
        <v>RAITAN OHI/ARQUIVO DA EDITORA</v>
      </c>
      <c r="AB145" s="33"/>
      <c r="AC145" s="16"/>
      <c r="AD145" s="16"/>
      <c r="AE145" s="35" t="str">
        <f t="shared" si="2"/>
        <v>EF1 E002 Mat</v>
      </c>
    </row>
    <row r="146" spans="1:31" s="36" customFormat="1" ht="60" x14ac:dyDescent="0.25">
      <c r="A146" s="31" t="s">
        <v>357</v>
      </c>
      <c r="B146" s="16" t="s">
        <v>32</v>
      </c>
      <c r="C146" s="16" t="s">
        <v>164</v>
      </c>
      <c r="D146" s="38" t="s">
        <v>34</v>
      </c>
      <c r="E146" s="33">
        <v>19</v>
      </c>
      <c r="F146" s="33">
        <v>1</v>
      </c>
      <c r="G146" s="33">
        <v>4</v>
      </c>
      <c r="H146" s="33"/>
      <c r="I146" s="31" t="s">
        <v>46</v>
      </c>
      <c r="J146" s="31"/>
      <c r="K146" s="33"/>
      <c r="L146" s="33"/>
      <c r="M146" s="31"/>
      <c r="N146" s="31"/>
      <c r="O146" s="16" t="s">
        <v>358</v>
      </c>
      <c r="P146" s="16"/>
      <c r="Q146" s="16"/>
      <c r="R146" s="33"/>
      <c r="S146" s="34"/>
      <c r="T146" s="34"/>
      <c r="U146" s="34"/>
      <c r="V146" s="34"/>
      <c r="W146" s="34"/>
      <c r="X146" s="33" t="s">
        <v>351</v>
      </c>
      <c r="Y146" s="35" t="str">
        <f>IF(Tabela2[[#This Row],[SIGLA]]="","",VLOOKUP(Tabela2[[#This Row],[SIGLA]],Tabela1[[#All],[Sigla Arte]:[Crédito]],2,0))</f>
        <v>RAITAN OHI/ARQUIVO DA EDITORA</v>
      </c>
      <c r="Z146" s="31"/>
      <c r="AA146" s="31" t="str">
        <f>Tabela2[[#This Row],[ILUSTRADOR CRIAÇÃO]]</f>
        <v>RAITAN OHI/ARQUIVO DA EDITORA</v>
      </c>
      <c r="AB146" s="33"/>
      <c r="AC146" s="16"/>
      <c r="AD146" s="16"/>
      <c r="AE146" s="35" t="str">
        <f t="shared" si="2"/>
        <v>EF1 E002 Mat</v>
      </c>
    </row>
    <row r="147" spans="1:31" s="36" customFormat="1" ht="60" x14ac:dyDescent="0.25">
      <c r="A147" s="31" t="s">
        <v>359</v>
      </c>
      <c r="B147" s="16" t="s">
        <v>32</v>
      </c>
      <c r="C147" s="16" t="s">
        <v>164</v>
      </c>
      <c r="D147" s="38" t="s">
        <v>34</v>
      </c>
      <c r="E147" s="33">
        <v>19</v>
      </c>
      <c r="F147" s="33">
        <v>1</v>
      </c>
      <c r="G147" s="33">
        <v>4</v>
      </c>
      <c r="H147" s="33"/>
      <c r="I147" s="31" t="s">
        <v>46</v>
      </c>
      <c r="J147" s="31"/>
      <c r="K147" s="33"/>
      <c r="L147" s="33"/>
      <c r="M147" s="31"/>
      <c r="N147" s="31"/>
      <c r="O147" s="16" t="s">
        <v>360</v>
      </c>
      <c r="P147" s="16"/>
      <c r="Q147" s="16"/>
      <c r="R147" s="33"/>
      <c r="S147" s="34"/>
      <c r="T147" s="34"/>
      <c r="U147" s="34"/>
      <c r="V147" s="34"/>
      <c r="W147" s="34"/>
      <c r="X147" s="33" t="s">
        <v>351</v>
      </c>
      <c r="Y147" s="35" t="str">
        <f>IF(Tabela2[[#This Row],[SIGLA]]="","",VLOOKUP(Tabela2[[#This Row],[SIGLA]],Tabela1[[#All],[Sigla Arte]:[Crédito]],2,0))</f>
        <v>RAITAN OHI/ARQUIVO DA EDITORA</v>
      </c>
      <c r="Z147" s="31"/>
      <c r="AA147" s="31" t="str">
        <f>Tabela2[[#This Row],[ILUSTRADOR CRIAÇÃO]]</f>
        <v>RAITAN OHI/ARQUIVO DA EDITORA</v>
      </c>
      <c r="AB147" s="33"/>
      <c r="AC147" s="16"/>
      <c r="AD147" s="16"/>
      <c r="AE147" s="35" t="str">
        <f t="shared" si="2"/>
        <v>EF1 E002 Mat</v>
      </c>
    </row>
    <row r="148" spans="1:31" s="36" customFormat="1" ht="60" x14ac:dyDescent="0.25">
      <c r="A148" s="31" t="s">
        <v>361</v>
      </c>
      <c r="B148" s="16" t="s">
        <v>32</v>
      </c>
      <c r="C148" s="16" t="s">
        <v>164</v>
      </c>
      <c r="D148" s="38" t="s">
        <v>34</v>
      </c>
      <c r="E148" s="33">
        <v>19</v>
      </c>
      <c r="F148" s="33">
        <v>1</v>
      </c>
      <c r="G148" s="33">
        <v>4</v>
      </c>
      <c r="H148" s="33"/>
      <c r="I148" s="31" t="s">
        <v>46</v>
      </c>
      <c r="J148" s="31"/>
      <c r="K148" s="33"/>
      <c r="L148" s="33"/>
      <c r="M148" s="31"/>
      <c r="N148" s="31"/>
      <c r="O148" s="16" t="s">
        <v>362</v>
      </c>
      <c r="P148" s="16"/>
      <c r="Q148" s="16"/>
      <c r="R148" s="33"/>
      <c r="S148" s="34"/>
      <c r="T148" s="34"/>
      <c r="U148" s="34"/>
      <c r="V148" s="34"/>
      <c r="W148" s="34"/>
      <c r="X148" s="33" t="s">
        <v>351</v>
      </c>
      <c r="Y148" s="35" t="str">
        <f>IF(Tabela2[[#This Row],[SIGLA]]="","",VLOOKUP(Tabela2[[#This Row],[SIGLA]],Tabela1[[#All],[Sigla Arte]:[Crédito]],2,0))</f>
        <v>RAITAN OHI/ARQUIVO DA EDITORA</v>
      </c>
      <c r="Z148" s="31"/>
      <c r="AA148" s="31" t="str">
        <f>Tabela2[[#This Row],[ILUSTRADOR CRIAÇÃO]]</f>
        <v>RAITAN OHI/ARQUIVO DA EDITORA</v>
      </c>
      <c r="AB148" s="33"/>
      <c r="AC148" s="16"/>
      <c r="AD148" s="16"/>
      <c r="AE148" s="35" t="str">
        <f t="shared" si="2"/>
        <v>EF1 E002 Mat</v>
      </c>
    </row>
    <row r="149" spans="1:31" s="36" customFormat="1" ht="60" x14ac:dyDescent="0.25">
      <c r="A149" s="31" t="s">
        <v>363</v>
      </c>
      <c r="B149" s="16" t="s">
        <v>32</v>
      </c>
      <c r="C149" s="16" t="s">
        <v>164</v>
      </c>
      <c r="D149" s="38" t="s">
        <v>34</v>
      </c>
      <c r="E149" s="33">
        <v>19</v>
      </c>
      <c r="F149" s="33">
        <v>1</v>
      </c>
      <c r="G149" s="33">
        <v>4</v>
      </c>
      <c r="H149" s="33"/>
      <c r="I149" s="31" t="s">
        <v>46</v>
      </c>
      <c r="J149" s="31"/>
      <c r="K149" s="33"/>
      <c r="L149" s="33"/>
      <c r="M149" s="31"/>
      <c r="N149" s="31"/>
      <c r="O149" s="16" t="s">
        <v>364</v>
      </c>
      <c r="P149" s="16"/>
      <c r="Q149" s="16"/>
      <c r="R149" s="33"/>
      <c r="S149" s="34"/>
      <c r="T149" s="34"/>
      <c r="U149" s="34"/>
      <c r="V149" s="34"/>
      <c r="W149" s="34"/>
      <c r="X149" s="33" t="s">
        <v>351</v>
      </c>
      <c r="Y149" s="35" t="str">
        <f>IF(Tabela2[[#This Row],[SIGLA]]="","",VLOOKUP(Tabela2[[#This Row],[SIGLA]],Tabela1[[#All],[Sigla Arte]:[Crédito]],2,0))</f>
        <v>RAITAN OHI/ARQUIVO DA EDITORA</v>
      </c>
      <c r="Z149" s="31"/>
      <c r="AA149" s="31" t="str">
        <f>Tabela2[[#This Row],[ILUSTRADOR CRIAÇÃO]]</f>
        <v>RAITAN OHI/ARQUIVO DA EDITORA</v>
      </c>
      <c r="AB149" s="33"/>
      <c r="AC149" s="16"/>
      <c r="AD149" s="16"/>
      <c r="AE149" s="35" t="str">
        <f t="shared" si="2"/>
        <v>EF1 E002 Mat</v>
      </c>
    </row>
    <row r="150" spans="1:31" s="36" customFormat="1" ht="75" x14ac:dyDescent="0.25">
      <c r="A150" s="31" t="s">
        <v>365</v>
      </c>
      <c r="B150" s="16" t="s">
        <v>32</v>
      </c>
      <c r="C150" s="16" t="s">
        <v>33</v>
      </c>
      <c r="D150" s="38" t="s">
        <v>34</v>
      </c>
      <c r="E150" s="33">
        <v>20</v>
      </c>
      <c r="F150" s="33">
        <v>1</v>
      </c>
      <c r="G150" s="33">
        <v>4</v>
      </c>
      <c r="H150" s="33"/>
      <c r="I150" s="31" t="s">
        <v>35</v>
      </c>
      <c r="J150" s="31"/>
      <c r="K150" s="33"/>
      <c r="L150" s="33"/>
      <c r="M150" s="31"/>
      <c r="N150" s="31"/>
      <c r="O150" s="16" t="s">
        <v>366</v>
      </c>
      <c r="P150" s="16"/>
      <c r="Q150" s="16"/>
      <c r="R150" s="33">
        <v>95</v>
      </c>
      <c r="S150" s="34">
        <v>45870</v>
      </c>
      <c r="T150" s="34">
        <v>45870</v>
      </c>
      <c r="U150" s="34"/>
      <c r="V150" s="34"/>
      <c r="W150" s="34">
        <v>45870</v>
      </c>
      <c r="X150" s="33" t="s">
        <v>367</v>
      </c>
      <c r="Y150" s="35" t="str">
        <f>IF(Tabela2[[#This Row],[SIGLA]]="","",VLOOKUP(Tabela2[[#This Row],[SIGLA]],Tabela1[[#All],[Sigla Arte]:[Crédito]],2,0))</f>
        <v>LAÍS BICUDO/ARQUIVO DA EDITORA</v>
      </c>
      <c r="Z150" s="31" t="s">
        <v>368</v>
      </c>
      <c r="AA150" s="31" t="str">
        <f>Tabela2[[#This Row],[ILUSTRADOR CRIAÇÃO]]</f>
        <v>LAÍS BICUDO/ARQUIVO DA EDITORA</v>
      </c>
      <c r="AB150" s="33">
        <v>13</v>
      </c>
      <c r="AC150" s="16" t="s">
        <v>39</v>
      </c>
      <c r="AD150" s="16" t="s">
        <v>40</v>
      </c>
      <c r="AE150" s="35" t="str">
        <f t="shared" si="2"/>
        <v>EF1 E002 Mat</v>
      </c>
    </row>
    <row r="151" spans="1:31" s="36" customFormat="1" ht="60" x14ac:dyDescent="0.25">
      <c r="A151" s="31" t="s">
        <v>369</v>
      </c>
      <c r="B151" s="16" t="s">
        <v>32</v>
      </c>
      <c r="C151" s="38" t="s">
        <v>33</v>
      </c>
      <c r="D151" s="38" t="s">
        <v>34</v>
      </c>
      <c r="E151" s="33">
        <v>20</v>
      </c>
      <c r="F151" s="33">
        <v>1</v>
      </c>
      <c r="G151" s="33">
        <v>4</v>
      </c>
      <c r="H151" s="33"/>
      <c r="I151" s="31" t="s">
        <v>35</v>
      </c>
      <c r="J151" s="31"/>
      <c r="K151" s="33"/>
      <c r="L151" s="33"/>
      <c r="M151" s="31"/>
      <c r="N151" s="31"/>
      <c r="O151" s="16" t="s">
        <v>370</v>
      </c>
      <c r="P151" s="16"/>
      <c r="Q151" s="16"/>
      <c r="R151" s="33">
        <v>95</v>
      </c>
      <c r="S151" s="34">
        <v>45870</v>
      </c>
      <c r="T151" s="34">
        <v>45870</v>
      </c>
      <c r="U151" s="34"/>
      <c r="V151" s="34"/>
      <c r="W151" s="34">
        <v>45870</v>
      </c>
      <c r="X151" s="33" t="s">
        <v>367</v>
      </c>
      <c r="Y151" s="35" t="str">
        <f>IF(Tabela2[[#This Row],[SIGLA]]="","",VLOOKUP(Tabela2[[#This Row],[SIGLA]],Tabela1[[#All],[Sigla Arte]:[Crédito]],2,0))</f>
        <v>LAÍS BICUDO/ARQUIVO DA EDITORA</v>
      </c>
      <c r="Z151" s="31" t="s">
        <v>368</v>
      </c>
      <c r="AA151" s="31" t="str">
        <f>Tabela2[[#This Row],[ILUSTRADOR CRIAÇÃO]]</f>
        <v>LAÍS BICUDO/ARQUIVO DA EDITORA</v>
      </c>
      <c r="AB151" s="33">
        <v>13</v>
      </c>
      <c r="AC151" s="16" t="s">
        <v>39</v>
      </c>
      <c r="AD151" s="16" t="s">
        <v>40</v>
      </c>
      <c r="AE151" s="35" t="str">
        <f t="shared" si="2"/>
        <v>EF1 E002 Mat</v>
      </c>
    </row>
    <row r="152" spans="1:31" s="36" customFormat="1" ht="60" x14ac:dyDescent="0.25">
      <c r="A152" s="31" t="s">
        <v>371</v>
      </c>
      <c r="B152" s="16" t="s">
        <v>32</v>
      </c>
      <c r="C152" s="16" t="s">
        <v>33</v>
      </c>
      <c r="D152" s="38" t="s">
        <v>34</v>
      </c>
      <c r="E152" s="33">
        <v>20</v>
      </c>
      <c r="F152" s="33">
        <v>1</v>
      </c>
      <c r="G152" s="33">
        <v>4</v>
      </c>
      <c r="H152" s="33"/>
      <c r="I152" s="31" t="s">
        <v>35</v>
      </c>
      <c r="J152" s="31"/>
      <c r="K152" s="33"/>
      <c r="L152" s="33"/>
      <c r="M152" s="31"/>
      <c r="N152" s="31"/>
      <c r="O152" s="16" t="s">
        <v>372</v>
      </c>
      <c r="P152" s="16"/>
      <c r="Q152" s="16"/>
      <c r="R152" s="33">
        <v>95</v>
      </c>
      <c r="S152" s="34">
        <v>45870</v>
      </c>
      <c r="T152" s="34">
        <v>45870</v>
      </c>
      <c r="U152" s="34"/>
      <c r="V152" s="34"/>
      <c r="W152" s="34">
        <v>45870</v>
      </c>
      <c r="X152" s="33" t="s">
        <v>367</v>
      </c>
      <c r="Y152" s="35" t="str">
        <f>IF(Tabela2[[#This Row],[SIGLA]]="","",VLOOKUP(Tabela2[[#This Row],[SIGLA]],Tabela1[[#All],[Sigla Arte]:[Crédito]],2,0))</f>
        <v>LAÍS BICUDO/ARQUIVO DA EDITORA</v>
      </c>
      <c r="Z152" s="31" t="s">
        <v>368</v>
      </c>
      <c r="AA152" s="31" t="str">
        <f>Tabela2[[#This Row],[ILUSTRADOR CRIAÇÃO]]</f>
        <v>LAÍS BICUDO/ARQUIVO DA EDITORA</v>
      </c>
      <c r="AB152" s="33">
        <v>13</v>
      </c>
      <c r="AC152" s="16" t="s">
        <v>39</v>
      </c>
      <c r="AD152" s="16" t="s">
        <v>40</v>
      </c>
      <c r="AE152" s="35" t="str">
        <f t="shared" si="2"/>
        <v>EF1 E002 Mat</v>
      </c>
    </row>
    <row r="153" spans="1:31" s="36" customFormat="1" ht="60" x14ac:dyDescent="0.25">
      <c r="A153" s="31" t="s">
        <v>373</v>
      </c>
      <c r="B153" s="16" t="s">
        <v>32</v>
      </c>
      <c r="C153" s="16" t="s">
        <v>33</v>
      </c>
      <c r="D153" s="38" t="s">
        <v>34</v>
      </c>
      <c r="E153" s="33">
        <v>21</v>
      </c>
      <c r="F153" s="33">
        <v>1</v>
      </c>
      <c r="G153" s="33">
        <v>4</v>
      </c>
      <c r="H153" s="33"/>
      <c r="I153" s="31" t="s">
        <v>46</v>
      </c>
      <c r="J153" s="31"/>
      <c r="K153" s="33"/>
      <c r="L153" s="33"/>
      <c r="M153" s="31"/>
      <c r="N153" s="31"/>
      <c r="O153" s="16" t="s">
        <v>374</v>
      </c>
      <c r="P153" s="16"/>
      <c r="Q153" s="16"/>
      <c r="R153" s="33"/>
      <c r="S153" s="34"/>
      <c r="T153" s="34"/>
      <c r="U153" s="34"/>
      <c r="V153" s="34"/>
      <c r="W153" s="34"/>
      <c r="X153" s="33" t="s">
        <v>367</v>
      </c>
      <c r="Y153" s="35" t="str">
        <f>IF(Tabela2[[#This Row],[SIGLA]]="","",VLOOKUP(Tabela2[[#This Row],[SIGLA]],Tabela1[[#All],[Sigla Arte]:[Crédito]],2,0))</f>
        <v>LAÍS BICUDO/ARQUIVO DA EDITORA</v>
      </c>
      <c r="Z153" s="31"/>
      <c r="AA153" s="31" t="str">
        <f>Tabela2[[#This Row],[ILUSTRADOR CRIAÇÃO]]</f>
        <v>LAÍS BICUDO/ARQUIVO DA EDITORA</v>
      </c>
      <c r="AB153" s="33"/>
      <c r="AC153" s="16"/>
      <c r="AD153" s="16"/>
      <c r="AE153" s="35" t="str">
        <f t="shared" si="2"/>
        <v>EF1 E002 Mat</v>
      </c>
    </row>
    <row r="154" spans="1:31" s="36" customFormat="1" ht="60" x14ac:dyDescent="0.25">
      <c r="A154" s="31" t="s">
        <v>375</v>
      </c>
      <c r="B154" s="16" t="s">
        <v>32</v>
      </c>
      <c r="C154" s="16" t="s">
        <v>33</v>
      </c>
      <c r="D154" s="38" t="s">
        <v>34</v>
      </c>
      <c r="E154" s="33">
        <v>21</v>
      </c>
      <c r="F154" s="33">
        <v>1</v>
      </c>
      <c r="G154" s="33">
        <v>4</v>
      </c>
      <c r="H154" s="33"/>
      <c r="I154" s="31" t="s">
        <v>46</v>
      </c>
      <c r="J154" s="31"/>
      <c r="K154" s="33"/>
      <c r="L154" s="33"/>
      <c r="M154" s="31"/>
      <c r="N154" s="31"/>
      <c r="O154" s="16" t="s">
        <v>376</v>
      </c>
      <c r="P154" s="16"/>
      <c r="Q154" s="16"/>
      <c r="R154" s="33"/>
      <c r="S154" s="34"/>
      <c r="T154" s="34"/>
      <c r="U154" s="34"/>
      <c r="V154" s="34"/>
      <c r="W154" s="34"/>
      <c r="X154" s="33" t="s">
        <v>367</v>
      </c>
      <c r="Y154" s="35" t="str">
        <f>IF(Tabela2[[#This Row],[SIGLA]]="","",VLOOKUP(Tabela2[[#This Row],[SIGLA]],Tabela1[[#All],[Sigla Arte]:[Crédito]],2,0))</f>
        <v>LAÍS BICUDO/ARQUIVO DA EDITORA</v>
      </c>
      <c r="Z154" s="31"/>
      <c r="AA154" s="31" t="str">
        <f>Tabela2[[#This Row],[ILUSTRADOR CRIAÇÃO]]</f>
        <v>LAÍS BICUDO/ARQUIVO DA EDITORA</v>
      </c>
      <c r="AB154" s="33"/>
      <c r="AC154" s="16"/>
      <c r="AD154" s="16"/>
      <c r="AE154" s="35" t="str">
        <f t="shared" si="2"/>
        <v>EF1 E002 Mat</v>
      </c>
    </row>
    <row r="155" spans="1:31" s="36" customFormat="1" ht="60" x14ac:dyDescent="0.25">
      <c r="A155" s="31" t="s">
        <v>377</v>
      </c>
      <c r="B155" s="16" t="s">
        <v>32</v>
      </c>
      <c r="C155" s="16" t="s">
        <v>33</v>
      </c>
      <c r="D155" s="38" t="s">
        <v>34</v>
      </c>
      <c r="E155" s="33">
        <v>21</v>
      </c>
      <c r="F155" s="33">
        <v>1</v>
      </c>
      <c r="G155" s="33">
        <v>4</v>
      </c>
      <c r="H155" s="33"/>
      <c r="I155" s="31" t="s">
        <v>46</v>
      </c>
      <c r="J155" s="31"/>
      <c r="K155" s="33"/>
      <c r="L155" s="33"/>
      <c r="M155" s="31"/>
      <c r="N155" s="31"/>
      <c r="O155" s="16" t="s">
        <v>378</v>
      </c>
      <c r="P155" s="16"/>
      <c r="Q155" s="16"/>
      <c r="R155" s="33"/>
      <c r="S155" s="34"/>
      <c r="T155" s="34"/>
      <c r="U155" s="34"/>
      <c r="V155" s="34"/>
      <c r="W155" s="34"/>
      <c r="X155" s="33" t="s">
        <v>367</v>
      </c>
      <c r="Y155" s="35" t="str">
        <f>IF(Tabela2[[#This Row],[SIGLA]]="","",VLOOKUP(Tabela2[[#This Row],[SIGLA]],Tabela1[[#All],[Sigla Arte]:[Crédito]],2,0))</f>
        <v>LAÍS BICUDO/ARQUIVO DA EDITORA</v>
      </c>
      <c r="Z155" s="31"/>
      <c r="AA155" s="31" t="str">
        <f>Tabela2[[#This Row],[ILUSTRADOR CRIAÇÃO]]</f>
        <v>LAÍS BICUDO/ARQUIVO DA EDITORA</v>
      </c>
      <c r="AB155" s="33"/>
      <c r="AC155" s="16"/>
      <c r="AD155" s="16"/>
      <c r="AE155" s="35" t="str">
        <f t="shared" si="2"/>
        <v>EF1 E002 Mat</v>
      </c>
    </row>
    <row r="156" spans="1:31" s="36" customFormat="1" ht="45" x14ac:dyDescent="0.25">
      <c r="A156" s="31" t="s">
        <v>379</v>
      </c>
      <c r="B156" s="16" t="s">
        <v>32</v>
      </c>
      <c r="C156" s="16" t="s">
        <v>33</v>
      </c>
      <c r="D156" s="38" t="s">
        <v>34</v>
      </c>
      <c r="E156" s="33">
        <v>172</v>
      </c>
      <c r="F156" s="33">
        <v>1</v>
      </c>
      <c r="G156" s="33">
        <v>4</v>
      </c>
      <c r="H156" s="33"/>
      <c r="I156" s="31" t="s">
        <v>46</v>
      </c>
      <c r="J156" s="31"/>
      <c r="K156" s="33"/>
      <c r="L156" s="33"/>
      <c r="M156" s="31"/>
      <c r="N156" s="31"/>
      <c r="O156" s="16" t="s">
        <v>380</v>
      </c>
      <c r="P156" s="16"/>
      <c r="Q156" s="16"/>
      <c r="R156" s="33"/>
      <c r="S156" s="34"/>
      <c r="T156" s="34"/>
      <c r="U156" s="34"/>
      <c r="V156" s="34"/>
      <c r="W156" s="34"/>
      <c r="X156" s="33" t="s">
        <v>162</v>
      </c>
      <c r="Y156" s="35" t="str">
        <f>IF(Tabela2[[#This Row],[SIGLA]]="","",VLOOKUP(Tabela2[[#This Row],[SIGLA]],Tabela1[[#All],[Sigla Arte]:[Crédito]],2,0))</f>
        <v>IVY NUNES/ARQUIVO DA EDITORA</v>
      </c>
      <c r="Z156" s="31"/>
      <c r="AA156" s="31" t="str">
        <f>Tabela2[[#This Row],[ILUSTRADOR CRIAÇÃO]]</f>
        <v>IVY NUNES/ARQUIVO DA EDITORA</v>
      </c>
      <c r="AB156" s="33"/>
      <c r="AC156" s="16"/>
      <c r="AD156" s="16"/>
      <c r="AE156" s="35" t="str">
        <f t="shared" si="2"/>
        <v>EF1 E002 Mat</v>
      </c>
    </row>
    <row r="157" spans="1:31" s="36" customFormat="1" ht="45" x14ac:dyDescent="0.25">
      <c r="A157" s="31" t="s">
        <v>381</v>
      </c>
      <c r="B157" s="16" t="s">
        <v>32</v>
      </c>
      <c r="C157" s="16" t="s">
        <v>33</v>
      </c>
      <c r="D157" s="38" t="s">
        <v>34</v>
      </c>
      <c r="E157" s="33">
        <v>172</v>
      </c>
      <c r="F157" s="33">
        <v>1</v>
      </c>
      <c r="G157" s="33">
        <v>4</v>
      </c>
      <c r="H157" s="33"/>
      <c r="I157" s="31" t="s">
        <v>46</v>
      </c>
      <c r="J157" s="31"/>
      <c r="K157" s="33"/>
      <c r="L157" s="33"/>
      <c r="M157" s="31"/>
      <c r="N157" s="31"/>
      <c r="O157" s="16" t="s">
        <v>382</v>
      </c>
      <c r="P157" s="16"/>
      <c r="Q157" s="16"/>
      <c r="R157" s="33">
        <v>5</v>
      </c>
      <c r="S157" s="34">
        <v>45735</v>
      </c>
      <c r="T157" s="34">
        <v>45735</v>
      </c>
      <c r="U157" s="34"/>
      <c r="V157" s="34"/>
      <c r="W157" s="34"/>
      <c r="X157" s="33" t="s">
        <v>162</v>
      </c>
      <c r="Y157" s="35" t="str">
        <f>IF(Tabela2[[#This Row],[SIGLA]]="","",VLOOKUP(Tabela2[[#This Row],[SIGLA]],Tabela1[[#All],[Sigla Arte]:[Crédito]],2,0))</f>
        <v>IVY NUNES/ARQUIVO DA EDITORA</v>
      </c>
      <c r="Z157" s="31" t="s">
        <v>383</v>
      </c>
      <c r="AA157" s="31" t="str">
        <f>Tabela2[[#This Row],[ILUSTRADOR CRIAÇÃO]]</f>
        <v>IVY NUNES/ARQUIVO DA EDITORA</v>
      </c>
      <c r="AB157" s="33">
        <v>13</v>
      </c>
      <c r="AC157" s="16" t="s">
        <v>384</v>
      </c>
      <c r="AD157" s="16" t="s">
        <v>385</v>
      </c>
      <c r="AE157" s="35" t="str">
        <f t="shared" si="2"/>
        <v>EF1 E002 Mat</v>
      </c>
    </row>
    <row r="158" spans="1:31" s="36" customFormat="1" ht="45" x14ac:dyDescent="0.25">
      <c r="A158" s="31" t="s">
        <v>386</v>
      </c>
      <c r="B158" s="16" t="s">
        <v>32</v>
      </c>
      <c r="C158" s="16" t="s">
        <v>33</v>
      </c>
      <c r="D158" s="38" t="s">
        <v>34</v>
      </c>
      <c r="E158" s="33">
        <v>172</v>
      </c>
      <c r="F158" s="33">
        <v>1</v>
      </c>
      <c r="G158" s="33">
        <v>4</v>
      </c>
      <c r="H158" s="33"/>
      <c r="I158" s="31" t="s">
        <v>46</v>
      </c>
      <c r="J158" s="31"/>
      <c r="K158" s="33"/>
      <c r="L158" s="33"/>
      <c r="M158" s="31"/>
      <c r="N158" s="31"/>
      <c r="O158" s="16" t="s">
        <v>387</v>
      </c>
      <c r="P158" s="16"/>
      <c r="Q158" s="16"/>
      <c r="R158" s="33"/>
      <c r="S158" s="34"/>
      <c r="T158" s="34"/>
      <c r="U158" s="34"/>
      <c r="V158" s="34"/>
      <c r="W158" s="34"/>
      <c r="X158" s="33" t="s">
        <v>162</v>
      </c>
      <c r="Y158" s="35" t="str">
        <f>IF(Tabela2[[#This Row],[SIGLA]]="","",VLOOKUP(Tabela2[[#This Row],[SIGLA]],Tabela1[[#All],[Sigla Arte]:[Crédito]],2,0))</f>
        <v>IVY NUNES/ARQUIVO DA EDITORA</v>
      </c>
      <c r="Z158" s="31"/>
      <c r="AA158" s="31" t="str">
        <f>Tabela2[[#This Row],[ILUSTRADOR CRIAÇÃO]]</f>
        <v>IVY NUNES/ARQUIVO DA EDITORA</v>
      </c>
      <c r="AB158" s="33"/>
      <c r="AC158" s="16"/>
      <c r="AD158" s="16"/>
      <c r="AE158" s="35" t="str">
        <f t="shared" si="2"/>
        <v>EF1 E002 Mat</v>
      </c>
    </row>
    <row r="159" spans="1:31" s="36" customFormat="1" ht="30" x14ac:dyDescent="0.25">
      <c r="A159" s="31" t="s">
        <v>388</v>
      </c>
      <c r="B159" s="16" t="s">
        <v>32</v>
      </c>
      <c r="C159" s="16" t="s">
        <v>33</v>
      </c>
      <c r="D159" s="38" t="s">
        <v>34</v>
      </c>
      <c r="E159" s="33">
        <v>173</v>
      </c>
      <c r="F159" s="33">
        <v>1</v>
      </c>
      <c r="G159" s="33">
        <v>4</v>
      </c>
      <c r="H159" s="33"/>
      <c r="I159" s="31" t="s">
        <v>46</v>
      </c>
      <c r="J159" s="31"/>
      <c r="K159" s="33"/>
      <c r="L159" s="33"/>
      <c r="M159" s="31"/>
      <c r="N159" s="31"/>
      <c r="O159" s="16" t="s">
        <v>389</v>
      </c>
      <c r="P159" s="16"/>
      <c r="Q159" s="16"/>
      <c r="R159" s="33"/>
      <c r="S159" s="34"/>
      <c r="T159" s="34"/>
      <c r="U159" s="34"/>
      <c r="V159" s="34"/>
      <c r="W159" s="34"/>
      <c r="X159" s="33" t="s">
        <v>162</v>
      </c>
      <c r="Y159" s="35" t="str">
        <f>IF(Tabela2[[#This Row],[SIGLA]]="","",VLOOKUP(Tabela2[[#This Row],[SIGLA]],Tabela1[[#All],[Sigla Arte]:[Crédito]],2,0))</f>
        <v>IVY NUNES/ARQUIVO DA EDITORA</v>
      </c>
      <c r="Z159" s="31"/>
      <c r="AA159" s="31" t="str">
        <f>Tabela2[[#This Row],[ILUSTRADOR CRIAÇÃO]]</f>
        <v>IVY NUNES/ARQUIVO DA EDITORA</v>
      </c>
      <c r="AB159" s="33"/>
      <c r="AC159" s="16"/>
      <c r="AD159" s="16"/>
      <c r="AE159" s="35" t="str">
        <f t="shared" si="2"/>
        <v>EF1 E002 Mat</v>
      </c>
    </row>
    <row r="160" spans="1:31" s="36" customFormat="1" ht="30" x14ac:dyDescent="0.25">
      <c r="A160" s="31" t="s">
        <v>390</v>
      </c>
      <c r="B160" s="16" t="s">
        <v>32</v>
      </c>
      <c r="C160" s="16" t="s">
        <v>33</v>
      </c>
      <c r="D160" s="38" t="s">
        <v>34</v>
      </c>
      <c r="E160" s="33">
        <v>173</v>
      </c>
      <c r="F160" s="33">
        <v>1</v>
      </c>
      <c r="G160" s="33">
        <v>4</v>
      </c>
      <c r="H160" s="33"/>
      <c r="I160" s="31" t="s">
        <v>46</v>
      </c>
      <c r="J160" s="31"/>
      <c r="K160" s="33"/>
      <c r="L160" s="33"/>
      <c r="M160" s="31"/>
      <c r="N160" s="31"/>
      <c r="O160" s="16" t="s">
        <v>391</v>
      </c>
      <c r="P160" s="16"/>
      <c r="Q160" s="16"/>
      <c r="R160" s="33"/>
      <c r="S160" s="34"/>
      <c r="T160" s="34"/>
      <c r="U160" s="34"/>
      <c r="V160" s="34"/>
      <c r="W160" s="34"/>
      <c r="X160" s="33" t="s">
        <v>162</v>
      </c>
      <c r="Y160" s="35" t="str">
        <f>IF(Tabela2[[#This Row],[SIGLA]]="","",VLOOKUP(Tabela2[[#This Row],[SIGLA]],Tabela1[[#All],[Sigla Arte]:[Crédito]],2,0))</f>
        <v>IVY NUNES/ARQUIVO DA EDITORA</v>
      </c>
      <c r="Z160" s="31"/>
      <c r="AA160" s="31" t="str">
        <f>Tabela2[[#This Row],[ILUSTRADOR CRIAÇÃO]]</f>
        <v>IVY NUNES/ARQUIVO DA EDITORA</v>
      </c>
      <c r="AB160" s="33"/>
      <c r="AC160" s="16"/>
      <c r="AD160" s="16"/>
      <c r="AE160" s="35" t="str">
        <f t="shared" si="2"/>
        <v>EF1 E002 Mat</v>
      </c>
    </row>
    <row r="161" spans="1:31" s="36" customFormat="1" ht="30" x14ac:dyDescent="0.25">
      <c r="A161" s="31" t="s">
        <v>392</v>
      </c>
      <c r="B161" s="16" t="s">
        <v>32</v>
      </c>
      <c r="C161" s="16" t="s">
        <v>33</v>
      </c>
      <c r="D161" s="38" t="s">
        <v>34</v>
      </c>
      <c r="E161" s="33">
        <v>173</v>
      </c>
      <c r="F161" s="33">
        <v>1</v>
      </c>
      <c r="G161" s="33">
        <v>4</v>
      </c>
      <c r="H161" s="33"/>
      <c r="I161" s="31" t="s">
        <v>46</v>
      </c>
      <c r="J161" s="31"/>
      <c r="K161" s="33"/>
      <c r="L161" s="33"/>
      <c r="M161" s="31"/>
      <c r="N161" s="31"/>
      <c r="O161" s="16" t="s">
        <v>393</v>
      </c>
      <c r="P161" s="16"/>
      <c r="Q161" s="16"/>
      <c r="R161" s="33"/>
      <c r="S161" s="34"/>
      <c r="T161" s="34"/>
      <c r="U161" s="34"/>
      <c r="V161" s="34"/>
      <c r="W161" s="34"/>
      <c r="X161" s="33" t="s">
        <v>162</v>
      </c>
      <c r="Y161" s="35" t="str">
        <f>IF(Tabela2[[#This Row],[SIGLA]]="","",VLOOKUP(Tabela2[[#This Row],[SIGLA]],Tabela1[[#All],[Sigla Arte]:[Crédito]],2,0))</f>
        <v>IVY NUNES/ARQUIVO DA EDITORA</v>
      </c>
      <c r="Z161" s="31"/>
      <c r="AA161" s="31" t="str">
        <f>Tabela2[[#This Row],[ILUSTRADOR CRIAÇÃO]]</f>
        <v>IVY NUNES/ARQUIVO DA EDITORA</v>
      </c>
      <c r="AB161" s="33"/>
      <c r="AC161" s="16"/>
      <c r="AD161" s="16"/>
      <c r="AE161" s="35" t="str">
        <f t="shared" si="2"/>
        <v>EF1 E002 Mat</v>
      </c>
    </row>
    <row r="162" spans="1:31" s="36" customFormat="1" ht="30" x14ac:dyDescent="0.25">
      <c r="A162" s="31" t="s">
        <v>394</v>
      </c>
      <c r="B162" s="16" t="s">
        <v>32</v>
      </c>
      <c r="C162" s="16" t="s">
        <v>33</v>
      </c>
      <c r="D162" s="38" t="s">
        <v>34</v>
      </c>
      <c r="E162" s="33">
        <v>173</v>
      </c>
      <c r="F162" s="33">
        <v>1</v>
      </c>
      <c r="G162" s="33">
        <v>4</v>
      </c>
      <c r="H162" s="33"/>
      <c r="I162" s="31" t="s">
        <v>46</v>
      </c>
      <c r="J162" s="31"/>
      <c r="K162" s="33"/>
      <c r="L162" s="33"/>
      <c r="M162" s="31"/>
      <c r="N162" s="31"/>
      <c r="O162" s="16" t="s">
        <v>395</v>
      </c>
      <c r="P162" s="16"/>
      <c r="Q162" s="16"/>
      <c r="R162" s="33"/>
      <c r="S162" s="34"/>
      <c r="T162" s="34"/>
      <c r="U162" s="34"/>
      <c r="V162" s="34"/>
      <c r="W162" s="34"/>
      <c r="X162" s="33" t="s">
        <v>162</v>
      </c>
      <c r="Y162" s="35" t="str">
        <f>IF(Tabela2[[#This Row],[SIGLA]]="","",VLOOKUP(Tabela2[[#This Row],[SIGLA]],Tabela1[[#All],[Sigla Arte]:[Crédito]],2,0))</f>
        <v>IVY NUNES/ARQUIVO DA EDITORA</v>
      </c>
      <c r="Z162" s="31"/>
      <c r="AA162" s="31" t="str">
        <f>Tabela2[[#This Row],[ILUSTRADOR CRIAÇÃO]]</f>
        <v>IVY NUNES/ARQUIVO DA EDITORA</v>
      </c>
      <c r="AB162" s="33"/>
      <c r="AC162" s="16"/>
      <c r="AD162" s="16"/>
      <c r="AE162" s="35" t="str">
        <f t="shared" si="2"/>
        <v>EF1 E002 Mat</v>
      </c>
    </row>
    <row r="163" spans="1:31" s="36" customFormat="1" ht="45" x14ac:dyDescent="0.25">
      <c r="A163" s="31" t="s">
        <v>396</v>
      </c>
      <c r="B163" s="16" t="s">
        <v>397</v>
      </c>
      <c r="C163" s="16" t="s">
        <v>33</v>
      </c>
      <c r="D163" s="38" t="s">
        <v>34</v>
      </c>
      <c r="E163" s="33">
        <v>174</v>
      </c>
      <c r="F163" s="33">
        <v>1</v>
      </c>
      <c r="G163" s="33">
        <v>4</v>
      </c>
      <c r="H163" s="33"/>
      <c r="I163" s="31" t="s">
        <v>35</v>
      </c>
      <c r="J163" s="31"/>
      <c r="K163" s="33"/>
      <c r="L163" s="33"/>
      <c r="M163" s="31"/>
      <c r="N163" s="31"/>
      <c r="O163" s="16" t="s">
        <v>398</v>
      </c>
      <c r="P163" s="16"/>
      <c r="Q163" s="16"/>
      <c r="R163" s="33">
        <v>93</v>
      </c>
      <c r="S163" s="34">
        <v>45869</v>
      </c>
      <c r="T163" s="34">
        <v>45870</v>
      </c>
      <c r="U163" s="34"/>
      <c r="V163" s="34"/>
      <c r="W163" s="34">
        <v>45870</v>
      </c>
      <c r="X163" s="33" t="s">
        <v>399</v>
      </c>
      <c r="Y163" s="35" t="str">
        <f>IF(Tabela2[[#This Row],[SIGLA]]="","",VLOOKUP(Tabela2[[#This Row],[SIGLA]],Tabela1[[#All],[Sigla Arte]:[Crédito]],2,0))</f>
        <v>MÁRCIO GUERRA/ARQUIVO DA EDITORA</v>
      </c>
      <c r="Z163" s="31" t="s">
        <v>383</v>
      </c>
      <c r="AA163" s="31" t="str">
        <f>Tabela2[[#This Row],[ILUSTRADOR CRIAÇÃO]]</f>
        <v>MÁRCIO GUERRA/ARQUIVO DA EDITORA</v>
      </c>
      <c r="AB163" s="33">
        <v>13</v>
      </c>
      <c r="AC163" s="16" t="s">
        <v>46</v>
      </c>
      <c r="AD163" s="16" t="s">
        <v>40</v>
      </c>
      <c r="AE163" s="35" t="str">
        <f t="shared" si="2"/>
        <v>EF1 E002 Mat</v>
      </c>
    </row>
    <row r="164" spans="1:31" s="36" customFormat="1" ht="30" x14ac:dyDescent="0.25">
      <c r="A164" s="31" t="s">
        <v>400</v>
      </c>
      <c r="B164" s="16" t="s">
        <v>401</v>
      </c>
      <c r="C164" s="16" t="s">
        <v>33</v>
      </c>
      <c r="D164" s="38" t="s">
        <v>34</v>
      </c>
      <c r="E164" s="33">
        <v>174</v>
      </c>
      <c r="F164" s="33">
        <v>1</v>
      </c>
      <c r="G164" s="33">
        <v>4</v>
      </c>
      <c r="H164" s="33"/>
      <c r="I164" s="31" t="s">
        <v>46</v>
      </c>
      <c r="J164" s="31"/>
      <c r="K164" s="33"/>
      <c r="L164" s="33"/>
      <c r="M164" s="31"/>
      <c r="N164" s="31"/>
      <c r="O164" s="16" t="s">
        <v>402</v>
      </c>
      <c r="P164" s="16"/>
      <c r="Q164" s="16"/>
      <c r="R164" s="33"/>
      <c r="S164" s="34"/>
      <c r="T164" s="34"/>
      <c r="U164" s="34"/>
      <c r="V164" s="34"/>
      <c r="W164" s="34"/>
      <c r="X164" s="33" t="s">
        <v>399</v>
      </c>
      <c r="Y164" s="35" t="str">
        <f>IF(Tabela2[[#This Row],[SIGLA]]="","",VLOOKUP(Tabela2[[#This Row],[SIGLA]],Tabela1[[#All],[Sigla Arte]:[Crédito]],2,0))</f>
        <v>MÁRCIO GUERRA/ARQUIVO DA EDITORA</v>
      </c>
      <c r="Z164" s="31"/>
      <c r="AA164" s="31" t="str">
        <f>Tabela2[[#This Row],[ILUSTRADOR CRIAÇÃO]]</f>
        <v>MÁRCIO GUERRA/ARQUIVO DA EDITORA</v>
      </c>
      <c r="AB164" s="33"/>
      <c r="AC164" s="16"/>
      <c r="AD164" s="16"/>
      <c r="AE164" s="35" t="str">
        <f t="shared" si="2"/>
        <v>EF1 E002 Mat</v>
      </c>
    </row>
    <row r="165" spans="1:31" s="36" customFormat="1" ht="45" x14ac:dyDescent="0.25">
      <c r="A165" s="31" t="s">
        <v>403</v>
      </c>
      <c r="B165" s="16" t="s">
        <v>97</v>
      </c>
      <c r="C165" s="16" t="s">
        <v>33</v>
      </c>
      <c r="D165" s="38" t="s">
        <v>34</v>
      </c>
      <c r="E165" s="33">
        <v>175</v>
      </c>
      <c r="F165" s="33">
        <v>1</v>
      </c>
      <c r="G165" s="33">
        <v>4</v>
      </c>
      <c r="H165" s="33"/>
      <c r="I165" s="31" t="s">
        <v>35</v>
      </c>
      <c r="J165" s="31"/>
      <c r="K165" s="33"/>
      <c r="L165" s="33"/>
      <c r="M165" s="31"/>
      <c r="N165" s="31"/>
      <c r="O165" s="16" t="s">
        <v>404</v>
      </c>
      <c r="P165" s="16"/>
      <c r="Q165" s="16"/>
      <c r="R165" s="33">
        <v>172</v>
      </c>
      <c r="S165" s="34">
        <v>45917</v>
      </c>
      <c r="T165" s="34">
        <v>45917</v>
      </c>
      <c r="U165" s="34"/>
      <c r="V165" s="34"/>
      <c r="W165" s="34">
        <v>45917</v>
      </c>
      <c r="X165" s="33" t="s">
        <v>399</v>
      </c>
      <c r="Y165" s="35" t="str">
        <f>IF(Tabela2[[#This Row],[SIGLA]]="","",VLOOKUP(Tabela2[[#This Row],[SIGLA]],Tabela1[[#All],[Sigla Arte]:[Crédito]],2,0))</f>
        <v>MÁRCIO GUERRA/ARQUIVO DA EDITORA</v>
      </c>
      <c r="Z165" s="31" t="s">
        <v>383</v>
      </c>
      <c r="AA165" s="31" t="str">
        <f>Tabela2[[#This Row],[ILUSTRADOR CRIAÇÃO]]</f>
        <v>MÁRCIO GUERRA/ARQUIVO DA EDITORA</v>
      </c>
      <c r="AB165" s="33">
        <v>13</v>
      </c>
      <c r="AC165" s="16" t="s">
        <v>405</v>
      </c>
      <c r="AD165" s="16" t="s">
        <v>40</v>
      </c>
      <c r="AE165" s="35" t="str">
        <f t="shared" si="2"/>
        <v>EF1 E002 Mat</v>
      </c>
    </row>
    <row r="166" spans="1:31" s="36" customFormat="1" ht="30" x14ac:dyDescent="0.25">
      <c r="A166" s="31" t="s">
        <v>406</v>
      </c>
      <c r="B166" s="16" t="s">
        <v>32</v>
      </c>
      <c r="C166" s="16" t="s">
        <v>164</v>
      </c>
      <c r="D166" s="38" t="s">
        <v>34</v>
      </c>
      <c r="E166" s="33">
        <v>177</v>
      </c>
      <c r="F166" s="33">
        <v>1</v>
      </c>
      <c r="G166" s="33">
        <v>4</v>
      </c>
      <c r="H166" s="33"/>
      <c r="I166" s="31" t="s">
        <v>46</v>
      </c>
      <c r="J166" s="31"/>
      <c r="K166" s="33"/>
      <c r="L166" s="33"/>
      <c r="M166" s="31"/>
      <c r="N166" s="31"/>
      <c r="O166" s="16" t="s">
        <v>407</v>
      </c>
      <c r="P166" s="16"/>
      <c r="Q166" s="16"/>
      <c r="R166" s="33"/>
      <c r="S166" s="34"/>
      <c r="T166" s="34"/>
      <c r="U166" s="34"/>
      <c r="V166" s="34"/>
      <c r="W166" s="34"/>
      <c r="X166" s="33" t="s">
        <v>37</v>
      </c>
      <c r="Y166" s="35" t="str">
        <f>IF(Tabela2[[#This Row],[SIGLA]]="","",VLOOKUP(Tabela2[[#This Row],[SIGLA]],Tabela1[[#All],[Sigla Arte]:[Crédito]],2,0))</f>
        <v>CAIO TANAKA/ARQUIVO DA EDITORA</v>
      </c>
      <c r="Z166" s="31"/>
      <c r="AA166" s="31" t="str">
        <f>Tabela2[[#This Row],[ILUSTRADOR CRIAÇÃO]]</f>
        <v>CAIO TANAKA/ARQUIVO DA EDITORA</v>
      </c>
      <c r="AB166" s="33"/>
      <c r="AC166" s="16"/>
      <c r="AD166" s="16"/>
      <c r="AE166" s="35" t="str">
        <f t="shared" si="2"/>
        <v>EF1 E002 Mat</v>
      </c>
    </row>
    <row r="167" spans="1:31" s="36" customFormat="1" ht="30" x14ac:dyDescent="0.25">
      <c r="A167" s="31" t="s">
        <v>408</v>
      </c>
      <c r="B167" s="16" t="s">
        <v>32</v>
      </c>
      <c r="C167" s="16" t="s">
        <v>164</v>
      </c>
      <c r="D167" s="38" t="s">
        <v>34</v>
      </c>
      <c r="E167" s="33">
        <v>177</v>
      </c>
      <c r="F167" s="33">
        <v>1</v>
      </c>
      <c r="G167" s="33">
        <v>4</v>
      </c>
      <c r="H167" s="33"/>
      <c r="I167" s="31" t="s">
        <v>46</v>
      </c>
      <c r="J167" s="31"/>
      <c r="K167" s="33"/>
      <c r="L167" s="33"/>
      <c r="M167" s="31"/>
      <c r="N167" s="31"/>
      <c r="O167" s="16" t="s">
        <v>409</v>
      </c>
      <c r="P167" s="16"/>
      <c r="Q167" s="16"/>
      <c r="R167" s="33"/>
      <c r="S167" s="34"/>
      <c r="T167" s="34"/>
      <c r="U167" s="34"/>
      <c r="V167" s="34"/>
      <c r="W167" s="34"/>
      <c r="X167" s="33" t="s">
        <v>37</v>
      </c>
      <c r="Y167" s="35" t="str">
        <f>IF(Tabela2[[#This Row],[SIGLA]]="","",VLOOKUP(Tabela2[[#This Row],[SIGLA]],Tabela1[[#All],[Sigla Arte]:[Crédito]],2,0))</f>
        <v>CAIO TANAKA/ARQUIVO DA EDITORA</v>
      </c>
      <c r="Z167" s="31"/>
      <c r="AA167" s="31" t="str">
        <f>Tabela2[[#This Row],[ILUSTRADOR CRIAÇÃO]]</f>
        <v>CAIO TANAKA/ARQUIVO DA EDITORA</v>
      </c>
      <c r="AB167" s="33"/>
      <c r="AC167" s="16"/>
      <c r="AD167" s="16"/>
      <c r="AE167" s="35" t="str">
        <f t="shared" si="2"/>
        <v>EF1 E002 Mat</v>
      </c>
    </row>
    <row r="168" spans="1:31" s="36" customFormat="1" ht="30" x14ac:dyDescent="0.25">
      <c r="A168" s="31" t="s">
        <v>410</v>
      </c>
      <c r="B168" s="16" t="s">
        <v>32</v>
      </c>
      <c r="C168" s="16" t="s">
        <v>164</v>
      </c>
      <c r="D168" s="38" t="s">
        <v>34</v>
      </c>
      <c r="E168" s="33">
        <v>177</v>
      </c>
      <c r="F168" s="33">
        <v>1</v>
      </c>
      <c r="G168" s="33">
        <v>4</v>
      </c>
      <c r="H168" s="33"/>
      <c r="I168" s="31" t="s">
        <v>46</v>
      </c>
      <c r="J168" s="31"/>
      <c r="K168" s="33"/>
      <c r="L168" s="33"/>
      <c r="M168" s="31"/>
      <c r="N168" s="31"/>
      <c r="O168" s="16" t="s">
        <v>411</v>
      </c>
      <c r="P168" s="16"/>
      <c r="Q168" s="16"/>
      <c r="R168" s="33"/>
      <c r="S168" s="34"/>
      <c r="T168" s="34"/>
      <c r="U168" s="34"/>
      <c r="V168" s="34"/>
      <c r="W168" s="34"/>
      <c r="X168" s="33" t="s">
        <v>37</v>
      </c>
      <c r="Y168" s="35" t="str">
        <f>IF(Tabela2[[#This Row],[SIGLA]]="","",VLOOKUP(Tabela2[[#This Row],[SIGLA]],Tabela1[[#All],[Sigla Arte]:[Crédito]],2,0))</f>
        <v>CAIO TANAKA/ARQUIVO DA EDITORA</v>
      </c>
      <c r="Z168" s="31"/>
      <c r="AA168" s="31" t="str">
        <f>Tabela2[[#This Row],[ILUSTRADOR CRIAÇÃO]]</f>
        <v>CAIO TANAKA/ARQUIVO DA EDITORA</v>
      </c>
      <c r="AB168" s="33"/>
      <c r="AC168" s="16"/>
      <c r="AD168" s="16"/>
      <c r="AE168" s="35" t="str">
        <f t="shared" si="2"/>
        <v>EF1 E002 Mat</v>
      </c>
    </row>
    <row r="169" spans="1:31" s="36" customFormat="1" ht="105" x14ac:dyDescent="0.25">
      <c r="A169" s="31" t="s">
        <v>412</v>
      </c>
      <c r="B169" s="16" t="s">
        <v>32</v>
      </c>
      <c r="C169" s="16" t="s">
        <v>164</v>
      </c>
      <c r="D169" s="38" t="s">
        <v>34</v>
      </c>
      <c r="E169" s="33">
        <v>177</v>
      </c>
      <c r="F169" s="33">
        <v>1</v>
      </c>
      <c r="G169" s="33">
        <v>4</v>
      </c>
      <c r="H169" s="33"/>
      <c r="I169" s="31" t="s">
        <v>35</v>
      </c>
      <c r="J169" s="31"/>
      <c r="K169" s="33"/>
      <c r="L169" s="33"/>
      <c r="M169" s="31"/>
      <c r="N169" s="31"/>
      <c r="O169" s="16" t="s">
        <v>413</v>
      </c>
      <c r="P169" s="16"/>
      <c r="Q169" s="16"/>
      <c r="R169" s="33">
        <v>26</v>
      </c>
      <c r="S169" s="34">
        <v>45762</v>
      </c>
      <c r="T169" s="34">
        <v>45762</v>
      </c>
      <c r="U169" s="34"/>
      <c r="V169" s="34"/>
      <c r="W169" s="34">
        <v>45764</v>
      </c>
      <c r="X169" s="33" t="s">
        <v>37</v>
      </c>
      <c r="Y169" s="35" t="str">
        <f>IF(Tabela2[[#This Row],[SIGLA]]="","",VLOOKUP(Tabela2[[#This Row],[SIGLA]],Tabela1[[#All],[Sigla Arte]:[Crédito]],2,0))</f>
        <v>CAIO TANAKA/ARQUIVO DA EDITORA</v>
      </c>
      <c r="Z169" s="31" t="s">
        <v>38</v>
      </c>
      <c r="AA169" s="31" t="str">
        <f>Tabela2[[#This Row],[ILUSTRADOR CRIAÇÃO]]</f>
        <v>CAIO TANAKA/ARQUIVO DA EDITORA</v>
      </c>
      <c r="AB169" s="33">
        <v>14</v>
      </c>
      <c r="AC169" s="16"/>
      <c r="AD169" s="16" t="s">
        <v>40</v>
      </c>
      <c r="AE169" s="35" t="str">
        <f t="shared" si="2"/>
        <v>EF1 E002 Mat</v>
      </c>
    </row>
    <row r="170" spans="1:31" s="36" customFormat="1" ht="60" x14ac:dyDescent="0.25">
      <c r="A170" s="31" t="s">
        <v>414</v>
      </c>
      <c r="B170" s="16" t="s">
        <v>32</v>
      </c>
      <c r="C170" s="16" t="s">
        <v>33</v>
      </c>
      <c r="D170" s="38" t="s">
        <v>34</v>
      </c>
      <c r="E170" s="33">
        <v>177</v>
      </c>
      <c r="F170" s="33">
        <v>1</v>
      </c>
      <c r="G170" s="33">
        <v>4</v>
      </c>
      <c r="H170" s="33"/>
      <c r="I170" s="31" t="s">
        <v>46</v>
      </c>
      <c r="J170" s="31"/>
      <c r="K170" s="33"/>
      <c r="L170" s="33"/>
      <c r="M170" s="31"/>
      <c r="N170" s="31"/>
      <c r="O170" s="16" t="s">
        <v>415</v>
      </c>
      <c r="P170" s="16"/>
      <c r="Q170" s="16"/>
      <c r="R170" s="33"/>
      <c r="S170" s="34"/>
      <c r="T170" s="34"/>
      <c r="U170" s="34"/>
      <c r="V170" s="34"/>
      <c r="W170" s="34"/>
      <c r="X170" s="33" t="s">
        <v>399</v>
      </c>
      <c r="Y170" s="35" t="str">
        <f>IF(Tabela2[[#This Row],[SIGLA]]="","",VLOOKUP(Tabela2[[#This Row],[SIGLA]],Tabela1[[#All],[Sigla Arte]:[Crédito]],2,0))</f>
        <v>MÁRCIO GUERRA/ARQUIVO DA EDITORA</v>
      </c>
      <c r="Z170" s="31"/>
      <c r="AA170" s="31" t="str">
        <f>Tabela2[[#This Row],[ILUSTRADOR CRIAÇÃO]]</f>
        <v>MÁRCIO GUERRA/ARQUIVO DA EDITORA</v>
      </c>
      <c r="AB170" s="33"/>
      <c r="AC170" s="16"/>
      <c r="AD170" s="16"/>
      <c r="AE170" s="35" t="str">
        <f t="shared" si="2"/>
        <v>EF1 E002 Mat</v>
      </c>
    </row>
    <row r="171" spans="1:31" s="36" customFormat="1" ht="45" x14ac:dyDescent="0.25">
      <c r="A171" s="31" t="s">
        <v>416</v>
      </c>
      <c r="B171" s="16" t="s">
        <v>32</v>
      </c>
      <c r="C171" s="16" t="s">
        <v>33</v>
      </c>
      <c r="D171" s="38" t="s">
        <v>34</v>
      </c>
      <c r="E171" s="33">
        <v>178</v>
      </c>
      <c r="F171" s="33">
        <v>1</v>
      </c>
      <c r="G171" s="33">
        <v>4</v>
      </c>
      <c r="H171" s="33"/>
      <c r="I171" s="31" t="s">
        <v>46</v>
      </c>
      <c r="J171" s="31"/>
      <c r="K171" s="33"/>
      <c r="L171" s="33"/>
      <c r="M171" s="31"/>
      <c r="N171" s="31"/>
      <c r="O171" s="16" t="s">
        <v>417</v>
      </c>
      <c r="P171" s="16"/>
      <c r="Q171" s="16"/>
      <c r="R171" s="33"/>
      <c r="S171" s="34"/>
      <c r="T171" s="34"/>
      <c r="U171" s="34"/>
      <c r="V171" s="34"/>
      <c r="W171" s="34"/>
      <c r="X171" s="33" t="s">
        <v>85</v>
      </c>
      <c r="Y171" s="35" t="str">
        <f>IF(Tabela2[[#This Row],[SIGLA]]="","",VLOOKUP(Tabela2[[#This Row],[SIGLA]],Tabela1[[#All],[Sigla Arte]:[Crédito]],2,0))</f>
        <v>HELOÍSA PINTARELLI/ARQUIVO DA EDITORA</v>
      </c>
      <c r="Z171" s="31"/>
      <c r="AA171" s="31" t="str">
        <f>Tabela2[[#This Row],[ILUSTRADOR CRIAÇÃO]]</f>
        <v>HELOÍSA PINTARELLI/ARQUIVO DA EDITORA</v>
      </c>
      <c r="AB171" s="33"/>
      <c r="AC171" s="16"/>
      <c r="AD171" s="16"/>
      <c r="AE171" s="35" t="str">
        <f t="shared" si="2"/>
        <v>EF1 E002 Mat</v>
      </c>
    </row>
    <row r="172" spans="1:31" s="36" customFormat="1" ht="30" x14ac:dyDescent="0.25">
      <c r="A172" s="31" t="s">
        <v>418</v>
      </c>
      <c r="B172" s="16" t="s">
        <v>32</v>
      </c>
      <c r="C172" s="16" t="s">
        <v>164</v>
      </c>
      <c r="D172" s="38" t="s">
        <v>34</v>
      </c>
      <c r="E172" s="33">
        <v>178</v>
      </c>
      <c r="F172" s="33">
        <v>1</v>
      </c>
      <c r="G172" s="33">
        <v>4</v>
      </c>
      <c r="H172" s="33"/>
      <c r="I172" s="31" t="s">
        <v>46</v>
      </c>
      <c r="J172" s="31"/>
      <c r="K172" s="33"/>
      <c r="L172" s="33"/>
      <c r="M172" s="31"/>
      <c r="N172" s="31"/>
      <c r="O172" s="16" t="s">
        <v>407</v>
      </c>
      <c r="P172" s="16"/>
      <c r="Q172" s="16"/>
      <c r="R172" s="33"/>
      <c r="S172" s="34"/>
      <c r="T172" s="34"/>
      <c r="U172" s="34"/>
      <c r="V172" s="34"/>
      <c r="W172" s="34"/>
      <c r="X172" s="33" t="s">
        <v>37</v>
      </c>
      <c r="Y172" s="35" t="str">
        <f>IF(Tabela2[[#This Row],[SIGLA]]="","",VLOOKUP(Tabela2[[#This Row],[SIGLA]],Tabela1[[#All],[Sigla Arte]:[Crédito]],2,0))</f>
        <v>CAIO TANAKA/ARQUIVO DA EDITORA</v>
      </c>
      <c r="Z172" s="31"/>
      <c r="AA172" s="31" t="str">
        <f>Tabela2[[#This Row],[ILUSTRADOR CRIAÇÃO]]</f>
        <v>CAIO TANAKA/ARQUIVO DA EDITORA</v>
      </c>
      <c r="AB172" s="33"/>
      <c r="AC172" s="16"/>
      <c r="AD172" s="16"/>
      <c r="AE172" s="35" t="str">
        <f t="shared" si="2"/>
        <v>EF1 E002 Mat</v>
      </c>
    </row>
    <row r="173" spans="1:31" s="36" customFormat="1" ht="30" x14ac:dyDescent="0.25">
      <c r="A173" s="31" t="s">
        <v>419</v>
      </c>
      <c r="B173" s="16" t="s">
        <v>32</v>
      </c>
      <c r="C173" s="16" t="s">
        <v>164</v>
      </c>
      <c r="D173" s="38" t="s">
        <v>34</v>
      </c>
      <c r="E173" s="33">
        <v>178</v>
      </c>
      <c r="F173" s="33">
        <v>1</v>
      </c>
      <c r="G173" s="33">
        <v>4</v>
      </c>
      <c r="H173" s="33"/>
      <c r="I173" s="31" t="s">
        <v>46</v>
      </c>
      <c r="J173" s="31"/>
      <c r="K173" s="33"/>
      <c r="L173" s="33"/>
      <c r="M173" s="31"/>
      <c r="N173" s="31"/>
      <c r="O173" s="16" t="s">
        <v>409</v>
      </c>
      <c r="P173" s="16"/>
      <c r="Q173" s="16"/>
      <c r="R173" s="33"/>
      <c r="S173" s="34"/>
      <c r="T173" s="34"/>
      <c r="U173" s="34"/>
      <c r="V173" s="34"/>
      <c r="W173" s="34"/>
      <c r="X173" s="33" t="s">
        <v>37</v>
      </c>
      <c r="Y173" s="35" t="str">
        <f>IF(Tabela2[[#This Row],[SIGLA]]="","",VLOOKUP(Tabela2[[#This Row],[SIGLA]],Tabela1[[#All],[Sigla Arte]:[Crédito]],2,0))</f>
        <v>CAIO TANAKA/ARQUIVO DA EDITORA</v>
      </c>
      <c r="Z173" s="31"/>
      <c r="AA173" s="31" t="str">
        <f>Tabela2[[#This Row],[ILUSTRADOR CRIAÇÃO]]</f>
        <v>CAIO TANAKA/ARQUIVO DA EDITORA</v>
      </c>
      <c r="AB173" s="33"/>
      <c r="AC173" s="16"/>
      <c r="AD173" s="16"/>
      <c r="AE173" s="35" t="str">
        <f t="shared" si="2"/>
        <v>EF1 E002 Mat</v>
      </c>
    </row>
    <row r="174" spans="1:31" s="36" customFormat="1" ht="30" x14ac:dyDescent="0.25">
      <c r="A174" s="31" t="s">
        <v>420</v>
      </c>
      <c r="B174" s="16" t="s">
        <v>32</v>
      </c>
      <c r="C174" s="16" t="s">
        <v>164</v>
      </c>
      <c r="D174" s="38" t="s">
        <v>34</v>
      </c>
      <c r="E174" s="33">
        <v>178</v>
      </c>
      <c r="F174" s="33">
        <v>1</v>
      </c>
      <c r="G174" s="33">
        <v>4</v>
      </c>
      <c r="H174" s="33"/>
      <c r="I174" s="31" t="s">
        <v>46</v>
      </c>
      <c r="J174" s="31"/>
      <c r="K174" s="33"/>
      <c r="L174" s="33"/>
      <c r="M174" s="31"/>
      <c r="N174" s="31"/>
      <c r="O174" s="16" t="s">
        <v>411</v>
      </c>
      <c r="P174" s="16"/>
      <c r="Q174" s="16"/>
      <c r="R174" s="33"/>
      <c r="S174" s="34"/>
      <c r="T174" s="34"/>
      <c r="U174" s="34"/>
      <c r="V174" s="34"/>
      <c r="W174" s="34"/>
      <c r="X174" s="33" t="s">
        <v>37</v>
      </c>
      <c r="Y174" s="35" t="str">
        <f>IF(Tabela2[[#This Row],[SIGLA]]="","",VLOOKUP(Tabela2[[#This Row],[SIGLA]],Tabela1[[#All],[Sigla Arte]:[Crédito]],2,0))</f>
        <v>CAIO TANAKA/ARQUIVO DA EDITORA</v>
      </c>
      <c r="Z174" s="31"/>
      <c r="AA174" s="31" t="str">
        <f>Tabela2[[#This Row],[ILUSTRADOR CRIAÇÃO]]</f>
        <v>CAIO TANAKA/ARQUIVO DA EDITORA</v>
      </c>
      <c r="AB174" s="33"/>
      <c r="AC174" s="16"/>
      <c r="AD174" s="16"/>
      <c r="AE174" s="35" t="str">
        <f t="shared" si="2"/>
        <v>EF1 E002 Mat</v>
      </c>
    </row>
    <row r="175" spans="1:31" s="36" customFormat="1" ht="105" x14ac:dyDescent="0.25">
      <c r="A175" s="31" t="s">
        <v>421</v>
      </c>
      <c r="B175" s="16" t="s">
        <v>32</v>
      </c>
      <c r="C175" s="16" t="s">
        <v>164</v>
      </c>
      <c r="D175" s="38" t="s">
        <v>34</v>
      </c>
      <c r="E175" s="33">
        <v>178</v>
      </c>
      <c r="F175" s="33">
        <v>1</v>
      </c>
      <c r="G175" s="33">
        <v>4</v>
      </c>
      <c r="H175" s="33"/>
      <c r="I175" s="31" t="s">
        <v>35</v>
      </c>
      <c r="J175" s="31"/>
      <c r="K175" s="33"/>
      <c r="L175" s="33"/>
      <c r="M175" s="31"/>
      <c r="N175" s="31"/>
      <c r="O175" s="16" t="s">
        <v>422</v>
      </c>
      <c r="P175" s="16"/>
      <c r="Q175" s="16"/>
      <c r="R175" s="33">
        <v>26</v>
      </c>
      <c r="S175" s="34">
        <v>45762</v>
      </c>
      <c r="T175" s="34">
        <v>45762</v>
      </c>
      <c r="U175" s="34"/>
      <c r="V175" s="34"/>
      <c r="W175" s="34">
        <v>45764</v>
      </c>
      <c r="X175" s="33" t="s">
        <v>37</v>
      </c>
      <c r="Y175" s="35" t="str">
        <f>IF(Tabela2[[#This Row],[SIGLA]]="","",VLOOKUP(Tabela2[[#This Row],[SIGLA]],Tabela1[[#All],[Sigla Arte]:[Crédito]],2,0))</f>
        <v>CAIO TANAKA/ARQUIVO DA EDITORA</v>
      </c>
      <c r="Z175" s="31" t="s">
        <v>38</v>
      </c>
      <c r="AA175" s="31" t="str">
        <f>Tabela2[[#This Row],[ILUSTRADOR CRIAÇÃO]]</f>
        <v>CAIO TANAKA/ARQUIVO DA EDITORA</v>
      </c>
      <c r="AB175" s="33">
        <v>14</v>
      </c>
      <c r="AC175" s="16"/>
      <c r="AD175" s="16" t="s">
        <v>40</v>
      </c>
      <c r="AE175" s="35" t="str">
        <f t="shared" si="2"/>
        <v>EF1 E002 Mat</v>
      </c>
    </row>
    <row r="176" spans="1:31" s="36" customFormat="1" ht="105" x14ac:dyDescent="0.25">
      <c r="A176" s="31" t="s">
        <v>423</v>
      </c>
      <c r="B176" s="16" t="s">
        <v>32</v>
      </c>
      <c r="C176" s="16" t="s">
        <v>164</v>
      </c>
      <c r="D176" s="38" t="s">
        <v>34</v>
      </c>
      <c r="E176" s="33">
        <v>178</v>
      </c>
      <c r="F176" s="33">
        <v>1</v>
      </c>
      <c r="G176" s="33">
        <v>4</v>
      </c>
      <c r="H176" s="33"/>
      <c r="I176" s="31" t="s">
        <v>35</v>
      </c>
      <c r="J176" s="31"/>
      <c r="K176" s="33"/>
      <c r="L176" s="33"/>
      <c r="M176" s="31"/>
      <c r="N176" s="31"/>
      <c r="O176" s="16" t="s">
        <v>424</v>
      </c>
      <c r="P176" s="16"/>
      <c r="Q176" s="16"/>
      <c r="R176" s="33">
        <v>26</v>
      </c>
      <c r="S176" s="34">
        <v>45762</v>
      </c>
      <c r="T176" s="34">
        <v>45762</v>
      </c>
      <c r="U176" s="34"/>
      <c r="V176" s="34"/>
      <c r="W176" s="34">
        <v>45764</v>
      </c>
      <c r="X176" s="33" t="s">
        <v>37</v>
      </c>
      <c r="Y176" s="35" t="str">
        <f>IF(Tabela2[[#This Row],[SIGLA]]="","",VLOOKUP(Tabela2[[#This Row],[SIGLA]],Tabela1[[#All],[Sigla Arte]:[Crédito]],2,0))</f>
        <v>CAIO TANAKA/ARQUIVO DA EDITORA</v>
      </c>
      <c r="Z176" s="31" t="s">
        <v>38</v>
      </c>
      <c r="AA176" s="31" t="str">
        <f>Tabela2[[#This Row],[ILUSTRADOR CRIAÇÃO]]</f>
        <v>CAIO TANAKA/ARQUIVO DA EDITORA</v>
      </c>
      <c r="AB176" s="33">
        <v>14</v>
      </c>
      <c r="AC176" s="16"/>
      <c r="AD176" s="16" t="s">
        <v>40</v>
      </c>
      <c r="AE176" s="35" t="str">
        <f t="shared" si="2"/>
        <v>EF1 E002 Mat</v>
      </c>
    </row>
    <row r="177" spans="1:31" s="36" customFormat="1" ht="105" x14ac:dyDescent="0.25">
      <c r="A177" s="31" t="s">
        <v>425</v>
      </c>
      <c r="B177" s="16" t="s">
        <v>32</v>
      </c>
      <c r="C177" s="16" t="s">
        <v>164</v>
      </c>
      <c r="D177" s="38" t="s">
        <v>34</v>
      </c>
      <c r="E177" s="33">
        <v>178</v>
      </c>
      <c r="F177" s="33">
        <v>1</v>
      </c>
      <c r="G177" s="33">
        <v>4</v>
      </c>
      <c r="H177" s="33"/>
      <c r="I177" s="31" t="s">
        <v>35</v>
      </c>
      <c r="J177" s="31"/>
      <c r="K177" s="33"/>
      <c r="L177" s="33"/>
      <c r="M177" s="31"/>
      <c r="N177" s="31"/>
      <c r="O177" s="16" t="s">
        <v>426</v>
      </c>
      <c r="P177" s="16"/>
      <c r="Q177" s="16"/>
      <c r="R177" s="33">
        <v>26</v>
      </c>
      <c r="S177" s="34">
        <v>45762</v>
      </c>
      <c r="T177" s="34">
        <v>45762</v>
      </c>
      <c r="U177" s="34"/>
      <c r="V177" s="34"/>
      <c r="W177" s="34">
        <v>45764</v>
      </c>
      <c r="X177" s="33" t="s">
        <v>37</v>
      </c>
      <c r="Y177" s="35" t="str">
        <f>IF(Tabela2[[#This Row],[SIGLA]]="","",VLOOKUP(Tabela2[[#This Row],[SIGLA]],Tabela1[[#All],[Sigla Arte]:[Crédito]],2,0))</f>
        <v>CAIO TANAKA/ARQUIVO DA EDITORA</v>
      </c>
      <c r="Z177" s="31" t="s">
        <v>38</v>
      </c>
      <c r="AA177" s="31" t="str">
        <f>Tabela2[[#This Row],[ILUSTRADOR CRIAÇÃO]]</f>
        <v>CAIO TANAKA/ARQUIVO DA EDITORA</v>
      </c>
      <c r="AB177" s="33">
        <v>14</v>
      </c>
      <c r="AC177" s="16"/>
      <c r="AD177" s="16" t="s">
        <v>40</v>
      </c>
      <c r="AE177" s="35" t="str">
        <f t="shared" si="2"/>
        <v>EF1 E002 Mat</v>
      </c>
    </row>
    <row r="178" spans="1:31" s="36" customFormat="1" ht="30" x14ac:dyDescent="0.25">
      <c r="A178" s="31" t="s">
        <v>427</v>
      </c>
      <c r="B178" s="16" t="s">
        <v>32</v>
      </c>
      <c r="C178" s="16" t="s">
        <v>164</v>
      </c>
      <c r="D178" s="38" t="s">
        <v>34</v>
      </c>
      <c r="E178" s="33">
        <v>179</v>
      </c>
      <c r="F178" s="33">
        <v>1</v>
      </c>
      <c r="G178" s="33">
        <v>4</v>
      </c>
      <c r="H178" s="33"/>
      <c r="I178" s="31" t="s">
        <v>46</v>
      </c>
      <c r="J178" s="31"/>
      <c r="K178" s="33"/>
      <c r="L178" s="33"/>
      <c r="M178" s="31"/>
      <c r="N178" s="31"/>
      <c r="O178" s="16" t="s">
        <v>407</v>
      </c>
      <c r="P178" s="16"/>
      <c r="Q178" s="16"/>
      <c r="R178" s="33"/>
      <c r="S178" s="34"/>
      <c r="T178" s="34"/>
      <c r="U178" s="34"/>
      <c r="V178" s="34"/>
      <c r="W178" s="34"/>
      <c r="X178" s="33" t="s">
        <v>37</v>
      </c>
      <c r="Y178" s="35" t="str">
        <f>IF(Tabela2[[#This Row],[SIGLA]]="","",VLOOKUP(Tabela2[[#This Row],[SIGLA]],Tabela1[[#All],[Sigla Arte]:[Crédito]],2,0))</f>
        <v>CAIO TANAKA/ARQUIVO DA EDITORA</v>
      </c>
      <c r="Z178" s="31"/>
      <c r="AA178" s="31" t="str">
        <f>Tabela2[[#This Row],[ILUSTRADOR CRIAÇÃO]]</f>
        <v>CAIO TANAKA/ARQUIVO DA EDITORA</v>
      </c>
      <c r="AB178" s="33"/>
      <c r="AC178" s="16"/>
      <c r="AD178" s="16"/>
      <c r="AE178" s="35" t="str">
        <f t="shared" si="2"/>
        <v>EF1 E002 Mat</v>
      </c>
    </row>
    <row r="179" spans="1:31" s="36" customFormat="1" ht="30" x14ac:dyDescent="0.25">
      <c r="A179" s="31" t="s">
        <v>428</v>
      </c>
      <c r="B179" s="16" t="s">
        <v>32</v>
      </c>
      <c r="C179" s="16" t="s">
        <v>164</v>
      </c>
      <c r="D179" s="38" t="s">
        <v>34</v>
      </c>
      <c r="E179" s="33">
        <v>179</v>
      </c>
      <c r="F179" s="33">
        <v>1</v>
      </c>
      <c r="G179" s="33">
        <v>4</v>
      </c>
      <c r="H179" s="33"/>
      <c r="I179" s="31" t="s">
        <v>46</v>
      </c>
      <c r="J179" s="31"/>
      <c r="K179" s="33"/>
      <c r="L179" s="33"/>
      <c r="M179" s="31"/>
      <c r="N179" s="31"/>
      <c r="O179" s="16" t="s">
        <v>409</v>
      </c>
      <c r="P179" s="16"/>
      <c r="Q179" s="16"/>
      <c r="R179" s="33"/>
      <c r="S179" s="34"/>
      <c r="T179" s="34"/>
      <c r="U179" s="34"/>
      <c r="V179" s="34"/>
      <c r="W179" s="34"/>
      <c r="X179" s="33" t="s">
        <v>37</v>
      </c>
      <c r="Y179" s="35" t="str">
        <f>IF(Tabela2[[#This Row],[SIGLA]]="","",VLOOKUP(Tabela2[[#This Row],[SIGLA]],Tabela1[[#All],[Sigla Arte]:[Crédito]],2,0))</f>
        <v>CAIO TANAKA/ARQUIVO DA EDITORA</v>
      </c>
      <c r="Z179" s="31"/>
      <c r="AA179" s="31" t="str">
        <f>Tabela2[[#This Row],[ILUSTRADOR CRIAÇÃO]]</f>
        <v>CAIO TANAKA/ARQUIVO DA EDITORA</v>
      </c>
      <c r="AB179" s="33"/>
      <c r="AC179" s="16"/>
      <c r="AD179" s="16"/>
      <c r="AE179" s="35" t="str">
        <f t="shared" si="2"/>
        <v>EF1 E002 Mat</v>
      </c>
    </row>
    <row r="180" spans="1:31" s="36" customFormat="1" ht="30" x14ac:dyDescent="0.25">
      <c r="A180" s="31" t="s">
        <v>429</v>
      </c>
      <c r="B180" s="16" t="s">
        <v>32</v>
      </c>
      <c r="C180" s="16" t="s">
        <v>164</v>
      </c>
      <c r="D180" s="38" t="s">
        <v>34</v>
      </c>
      <c r="E180" s="33">
        <v>179</v>
      </c>
      <c r="F180" s="33">
        <v>1</v>
      </c>
      <c r="G180" s="33">
        <v>4</v>
      </c>
      <c r="H180" s="33"/>
      <c r="I180" s="31" t="s">
        <v>46</v>
      </c>
      <c r="J180" s="31"/>
      <c r="K180" s="33"/>
      <c r="L180" s="33"/>
      <c r="M180" s="31"/>
      <c r="N180" s="31"/>
      <c r="O180" s="16" t="s">
        <v>411</v>
      </c>
      <c r="P180" s="16"/>
      <c r="Q180" s="16"/>
      <c r="R180" s="33"/>
      <c r="S180" s="34"/>
      <c r="T180" s="34"/>
      <c r="U180" s="34"/>
      <c r="V180" s="34"/>
      <c r="W180" s="34"/>
      <c r="X180" s="33" t="s">
        <v>37</v>
      </c>
      <c r="Y180" s="35" t="str">
        <f>IF(Tabela2[[#This Row],[SIGLA]]="","",VLOOKUP(Tabela2[[#This Row],[SIGLA]],Tabela1[[#All],[Sigla Arte]:[Crédito]],2,0))</f>
        <v>CAIO TANAKA/ARQUIVO DA EDITORA</v>
      </c>
      <c r="Z180" s="31"/>
      <c r="AA180" s="31" t="str">
        <f>Tabela2[[#This Row],[ILUSTRADOR CRIAÇÃO]]</f>
        <v>CAIO TANAKA/ARQUIVO DA EDITORA</v>
      </c>
      <c r="AB180" s="33"/>
      <c r="AC180" s="16"/>
      <c r="AD180" s="16"/>
      <c r="AE180" s="35" t="str">
        <f t="shared" si="2"/>
        <v>EF1 E002 Mat</v>
      </c>
    </row>
    <row r="181" spans="1:31" s="36" customFormat="1" ht="105" x14ac:dyDescent="0.25">
      <c r="A181" s="31" t="s">
        <v>430</v>
      </c>
      <c r="B181" s="16" t="s">
        <v>32</v>
      </c>
      <c r="C181" s="16" t="s">
        <v>164</v>
      </c>
      <c r="D181" s="38" t="s">
        <v>34</v>
      </c>
      <c r="E181" s="33">
        <v>179</v>
      </c>
      <c r="F181" s="33">
        <v>1</v>
      </c>
      <c r="G181" s="33">
        <v>4</v>
      </c>
      <c r="H181" s="33"/>
      <c r="I181" s="31" t="s">
        <v>35</v>
      </c>
      <c r="J181" s="31"/>
      <c r="K181" s="33"/>
      <c r="L181" s="33"/>
      <c r="M181" s="31"/>
      <c r="N181" s="31"/>
      <c r="O181" s="16" t="s">
        <v>431</v>
      </c>
      <c r="P181" s="16"/>
      <c r="Q181" s="16"/>
      <c r="R181" s="33">
        <v>26</v>
      </c>
      <c r="S181" s="34">
        <v>45762</v>
      </c>
      <c r="T181" s="34">
        <v>45762</v>
      </c>
      <c r="U181" s="34"/>
      <c r="V181" s="34"/>
      <c r="W181" s="34">
        <v>45764</v>
      </c>
      <c r="X181" s="33" t="s">
        <v>37</v>
      </c>
      <c r="Y181" s="35" t="str">
        <f>IF(Tabela2[[#This Row],[SIGLA]]="","",VLOOKUP(Tabela2[[#This Row],[SIGLA]],Tabela1[[#All],[Sigla Arte]:[Crédito]],2,0))</f>
        <v>CAIO TANAKA/ARQUIVO DA EDITORA</v>
      </c>
      <c r="Z181" s="31" t="s">
        <v>38</v>
      </c>
      <c r="AA181" s="31" t="str">
        <f>Tabela2[[#This Row],[ILUSTRADOR CRIAÇÃO]]</f>
        <v>CAIO TANAKA/ARQUIVO DA EDITORA</v>
      </c>
      <c r="AB181" s="33">
        <v>14</v>
      </c>
      <c r="AC181" s="16"/>
      <c r="AD181" s="16" t="s">
        <v>40</v>
      </c>
      <c r="AE181" s="35" t="str">
        <f t="shared" si="2"/>
        <v>EF1 E002 Mat</v>
      </c>
    </row>
    <row r="182" spans="1:31" s="36" customFormat="1" ht="45" x14ac:dyDescent="0.25">
      <c r="A182" s="31" t="s">
        <v>432</v>
      </c>
      <c r="B182" s="16" t="s">
        <v>32</v>
      </c>
      <c r="C182" s="16" t="s">
        <v>33</v>
      </c>
      <c r="D182" s="38" t="s">
        <v>34</v>
      </c>
      <c r="E182" s="33">
        <v>179</v>
      </c>
      <c r="F182" s="33">
        <v>1</v>
      </c>
      <c r="G182" s="33">
        <v>4</v>
      </c>
      <c r="H182" s="33"/>
      <c r="I182" s="31" t="s">
        <v>46</v>
      </c>
      <c r="J182" s="31"/>
      <c r="K182" s="33"/>
      <c r="L182" s="33"/>
      <c r="M182" s="31"/>
      <c r="N182" s="31"/>
      <c r="O182" s="16" t="s">
        <v>433</v>
      </c>
      <c r="P182" s="16"/>
      <c r="Q182" s="16"/>
      <c r="R182" s="33"/>
      <c r="S182" s="34"/>
      <c r="T182" s="34"/>
      <c r="U182" s="34"/>
      <c r="V182" s="34"/>
      <c r="W182" s="34"/>
      <c r="X182" s="33" t="s">
        <v>399</v>
      </c>
      <c r="Y182" s="35" t="str">
        <f>IF(Tabela2[[#This Row],[SIGLA]]="","",VLOOKUP(Tabela2[[#This Row],[SIGLA]],Tabela1[[#All],[Sigla Arte]:[Crédito]],2,0))</f>
        <v>MÁRCIO GUERRA/ARQUIVO DA EDITORA</v>
      </c>
      <c r="Z182" s="31"/>
      <c r="AA182" s="31" t="str">
        <f>Tabela2[[#This Row],[ILUSTRADOR CRIAÇÃO]]</f>
        <v>MÁRCIO GUERRA/ARQUIVO DA EDITORA</v>
      </c>
      <c r="AB182" s="33"/>
      <c r="AC182" s="16"/>
      <c r="AD182" s="16"/>
      <c r="AE182" s="35" t="str">
        <f t="shared" si="2"/>
        <v>EF1 E002 Mat</v>
      </c>
    </row>
    <row r="183" spans="1:31" s="36" customFormat="1" ht="60" x14ac:dyDescent="0.25">
      <c r="A183" s="31" t="s">
        <v>434</v>
      </c>
      <c r="B183" s="16" t="s">
        <v>32</v>
      </c>
      <c r="C183" s="16" t="s">
        <v>33</v>
      </c>
      <c r="D183" s="38" t="s">
        <v>34</v>
      </c>
      <c r="E183" s="33">
        <v>149</v>
      </c>
      <c r="F183" s="33">
        <v>1</v>
      </c>
      <c r="G183" s="33">
        <v>6</v>
      </c>
      <c r="H183" s="33"/>
      <c r="I183" s="31" t="s">
        <v>46</v>
      </c>
      <c r="J183" s="31"/>
      <c r="K183" s="33"/>
      <c r="L183" s="33"/>
      <c r="M183" s="31"/>
      <c r="N183" s="31"/>
      <c r="O183" s="16" t="s">
        <v>435</v>
      </c>
      <c r="P183" s="16"/>
      <c r="Q183" s="16"/>
      <c r="R183" s="33"/>
      <c r="S183" s="34"/>
      <c r="T183" s="34"/>
      <c r="U183" s="34"/>
      <c r="V183" s="34"/>
      <c r="W183" s="34"/>
      <c r="X183" s="33" t="s">
        <v>162</v>
      </c>
      <c r="Y183" s="35" t="str">
        <f>IF(Tabela2[[#This Row],[SIGLA]]="","",VLOOKUP(Tabela2[[#This Row],[SIGLA]],Tabela1[[#All],[Sigla Arte]:[Crédito]],2,0))</f>
        <v>IVY NUNES/ARQUIVO DA EDITORA</v>
      </c>
      <c r="Z183" s="31"/>
      <c r="AA183" s="31" t="str">
        <f>Tabela2[[#This Row],[ILUSTRADOR CRIAÇÃO]]</f>
        <v>IVY NUNES/ARQUIVO DA EDITORA</v>
      </c>
      <c r="AB183" s="33"/>
      <c r="AC183" s="16"/>
      <c r="AD183" s="16"/>
      <c r="AE183" s="35" t="str">
        <f t="shared" si="2"/>
        <v>EF1 E002 Mat</v>
      </c>
    </row>
    <row r="184" spans="1:31" s="36" customFormat="1" ht="90" x14ac:dyDescent="0.25">
      <c r="A184" s="31" t="s">
        <v>436</v>
      </c>
      <c r="B184" s="16" t="s">
        <v>32</v>
      </c>
      <c r="C184" s="16" t="s">
        <v>33</v>
      </c>
      <c r="D184" s="38" t="s">
        <v>34</v>
      </c>
      <c r="E184" s="33">
        <v>149</v>
      </c>
      <c r="F184" s="33">
        <v>1</v>
      </c>
      <c r="G184" s="33">
        <v>6</v>
      </c>
      <c r="H184" s="33"/>
      <c r="I184" s="31" t="s">
        <v>35</v>
      </c>
      <c r="J184" s="31"/>
      <c r="K184" s="33"/>
      <c r="L184" s="33"/>
      <c r="M184" s="31"/>
      <c r="N184" s="31"/>
      <c r="O184" s="16" t="s">
        <v>437</v>
      </c>
      <c r="P184" s="16"/>
      <c r="Q184" s="16"/>
      <c r="R184" s="33">
        <v>30</v>
      </c>
      <c r="S184" s="34">
        <v>45771</v>
      </c>
      <c r="T184" s="34">
        <v>45782</v>
      </c>
      <c r="U184" s="34"/>
      <c r="V184" s="34"/>
      <c r="W184" s="34">
        <v>45783</v>
      </c>
      <c r="X184" s="33" t="s">
        <v>162</v>
      </c>
      <c r="Y184" s="35" t="str">
        <f>IF(Tabela2[[#This Row],[SIGLA]]="","",VLOOKUP(Tabela2[[#This Row],[SIGLA]],Tabela1[[#All],[Sigla Arte]:[Crédito]],2,0))</f>
        <v>IVY NUNES/ARQUIVO DA EDITORA</v>
      </c>
      <c r="Z184" s="31" t="s">
        <v>438</v>
      </c>
      <c r="AA184" s="31" t="str">
        <f>Tabela2[[#This Row],[ILUSTRADOR CRIAÇÃO]]</f>
        <v>IVY NUNES/ARQUIVO DA EDITORA</v>
      </c>
      <c r="AB184" s="33">
        <v>13</v>
      </c>
      <c r="AC184" s="16" t="s">
        <v>439</v>
      </c>
      <c r="AD184" s="16" t="s">
        <v>40</v>
      </c>
      <c r="AE184" s="35" t="str">
        <f t="shared" si="2"/>
        <v>EF1 E002 Mat</v>
      </c>
    </row>
    <row r="185" spans="1:31" s="36" customFormat="1" ht="60" x14ac:dyDescent="0.25">
      <c r="A185" s="31" t="s">
        <v>440</v>
      </c>
      <c r="B185" s="16" t="s">
        <v>32</v>
      </c>
      <c r="C185" s="16" t="s">
        <v>33</v>
      </c>
      <c r="D185" s="38" t="s">
        <v>34</v>
      </c>
      <c r="E185" s="33">
        <v>149</v>
      </c>
      <c r="F185" s="33">
        <v>1</v>
      </c>
      <c r="G185" s="33">
        <v>6</v>
      </c>
      <c r="H185" s="33"/>
      <c r="I185" s="31" t="s">
        <v>46</v>
      </c>
      <c r="J185" s="31"/>
      <c r="K185" s="33"/>
      <c r="L185" s="33"/>
      <c r="M185" s="31"/>
      <c r="N185" s="31"/>
      <c r="O185" s="16" t="s">
        <v>441</v>
      </c>
      <c r="P185" s="16"/>
      <c r="Q185" s="16"/>
      <c r="R185" s="33"/>
      <c r="S185" s="34"/>
      <c r="T185" s="34"/>
      <c r="U185" s="34"/>
      <c r="V185" s="34"/>
      <c r="W185" s="34"/>
      <c r="X185" s="33" t="s">
        <v>162</v>
      </c>
      <c r="Y185" s="35" t="str">
        <f>IF(Tabela2[[#This Row],[SIGLA]]="","",VLOOKUP(Tabela2[[#This Row],[SIGLA]],Tabela1[[#All],[Sigla Arte]:[Crédito]],2,0))</f>
        <v>IVY NUNES/ARQUIVO DA EDITORA</v>
      </c>
      <c r="Z185" s="31"/>
      <c r="AA185" s="31" t="str">
        <f>Tabela2[[#This Row],[ILUSTRADOR CRIAÇÃO]]</f>
        <v>IVY NUNES/ARQUIVO DA EDITORA</v>
      </c>
      <c r="AB185" s="33"/>
      <c r="AC185" s="16"/>
      <c r="AD185" s="16"/>
      <c r="AE185" s="35" t="str">
        <f t="shared" si="2"/>
        <v>EF1 E002 Mat</v>
      </c>
    </row>
    <row r="186" spans="1:31" s="36" customFormat="1" ht="105" x14ac:dyDescent="0.25">
      <c r="A186" s="31" t="s">
        <v>442</v>
      </c>
      <c r="B186" s="16" t="s">
        <v>32</v>
      </c>
      <c r="C186" s="16" t="s">
        <v>33</v>
      </c>
      <c r="D186" s="38" t="s">
        <v>34</v>
      </c>
      <c r="E186" s="33">
        <v>149</v>
      </c>
      <c r="F186" s="33">
        <v>1</v>
      </c>
      <c r="G186" s="33">
        <v>6</v>
      </c>
      <c r="H186" s="33"/>
      <c r="I186" s="31" t="s">
        <v>35</v>
      </c>
      <c r="J186" s="31"/>
      <c r="K186" s="33"/>
      <c r="L186" s="33"/>
      <c r="M186" s="31"/>
      <c r="N186" s="31"/>
      <c r="O186" s="16" t="s">
        <v>443</v>
      </c>
      <c r="P186" s="16"/>
      <c r="Q186" s="16"/>
      <c r="R186" s="33">
        <v>3</v>
      </c>
      <c r="S186" s="34">
        <v>45734</v>
      </c>
      <c r="T186" s="34">
        <v>45734</v>
      </c>
      <c r="U186" s="34"/>
      <c r="V186" s="34"/>
      <c r="W186" s="34">
        <v>45735</v>
      </c>
      <c r="X186" s="33" t="s">
        <v>162</v>
      </c>
      <c r="Y186" s="35" t="str">
        <f>IF(Tabela2[[#This Row],[SIGLA]]="","",VLOOKUP(Tabela2[[#This Row],[SIGLA]],Tabela1[[#All],[Sigla Arte]:[Crédito]],2,0))</f>
        <v>IVY NUNES/ARQUIVO DA EDITORA</v>
      </c>
      <c r="Z186" s="31" t="s">
        <v>38</v>
      </c>
      <c r="AA186" s="31" t="str">
        <f>Tabela2[[#This Row],[ILUSTRADOR CRIAÇÃO]]</f>
        <v>IVY NUNES/ARQUIVO DA EDITORA</v>
      </c>
      <c r="AB186" s="33">
        <v>13</v>
      </c>
      <c r="AC186" s="16" t="s">
        <v>39</v>
      </c>
      <c r="AD186" s="16" t="s">
        <v>40</v>
      </c>
      <c r="AE186" s="35" t="str">
        <f t="shared" si="2"/>
        <v>EF1 E002 Mat</v>
      </c>
    </row>
    <row r="187" spans="1:31" s="36" customFormat="1" ht="120" x14ac:dyDescent="0.25">
      <c r="A187" s="31" t="s">
        <v>444</v>
      </c>
      <c r="B187" s="16" t="s">
        <v>32</v>
      </c>
      <c r="C187" s="16" t="s">
        <v>33</v>
      </c>
      <c r="D187" s="38" t="s">
        <v>34</v>
      </c>
      <c r="E187" s="33">
        <v>149</v>
      </c>
      <c r="F187" s="33">
        <v>1</v>
      </c>
      <c r="G187" s="33">
        <v>6</v>
      </c>
      <c r="H187" s="33"/>
      <c r="I187" s="31" t="s">
        <v>35</v>
      </c>
      <c r="J187" s="31"/>
      <c r="K187" s="33"/>
      <c r="L187" s="33"/>
      <c r="M187" s="31"/>
      <c r="N187" s="31"/>
      <c r="O187" s="16" t="s">
        <v>445</v>
      </c>
      <c r="P187" s="16"/>
      <c r="Q187" s="16"/>
      <c r="R187" s="33">
        <v>3</v>
      </c>
      <c r="S187" s="34">
        <v>45734</v>
      </c>
      <c r="T187" s="34">
        <v>45734</v>
      </c>
      <c r="U187" s="34"/>
      <c r="V187" s="34"/>
      <c r="W187" s="34">
        <v>45735</v>
      </c>
      <c r="X187" s="33" t="s">
        <v>162</v>
      </c>
      <c r="Y187" s="35" t="str">
        <f>IF(Tabela2[[#This Row],[SIGLA]]="","",VLOOKUP(Tabela2[[#This Row],[SIGLA]],Tabela1[[#All],[Sigla Arte]:[Crédito]],2,0))</f>
        <v>IVY NUNES/ARQUIVO DA EDITORA</v>
      </c>
      <c r="Z187" s="31" t="s">
        <v>38</v>
      </c>
      <c r="AA187" s="31" t="str">
        <f>Tabela2[[#This Row],[ILUSTRADOR CRIAÇÃO]]</f>
        <v>IVY NUNES/ARQUIVO DA EDITORA</v>
      </c>
      <c r="AB187" s="33">
        <v>13</v>
      </c>
      <c r="AC187" s="16" t="s">
        <v>39</v>
      </c>
      <c r="AD187" s="16" t="s">
        <v>40</v>
      </c>
      <c r="AE187" s="35" t="str">
        <f t="shared" si="2"/>
        <v>EF1 E002 Mat</v>
      </c>
    </row>
    <row r="188" spans="1:31" s="36" customFormat="1" ht="90" x14ac:dyDescent="0.25">
      <c r="A188" s="31" t="s">
        <v>446</v>
      </c>
      <c r="B188" s="16" t="s">
        <v>32</v>
      </c>
      <c r="C188" s="16" t="s">
        <v>33</v>
      </c>
      <c r="D188" s="38" t="s">
        <v>34</v>
      </c>
      <c r="E188" s="33">
        <v>150</v>
      </c>
      <c r="F188" s="33">
        <v>1</v>
      </c>
      <c r="G188" s="33">
        <v>6</v>
      </c>
      <c r="H188" s="33"/>
      <c r="I188" s="31" t="s">
        <v>35</v>
      </c>
      <c r="J188" s="31"/>
      <c r="K188" s="33"/>
      <c r="L188" s="33"/>
      <c r="M188" s="31"/>
      <c r="N188" s="31"/>
      <c r="O188" s="16" t="s">
        <v>447</v>
      </c>
      <c r="P188" s="16"/>
      <c r="Q188" s="16"/>
      <c r="R188" s="33">
        <v>30</v>
      </c>
      <c r="S188" s="34">
        <v>45771</v>
      </c>
      <c r="T188" s="34">
        <v>45782</v>
      </c>
      <c r="U188" s="34"/>
      <c r="V188" s="34"/>
      <c r="W188" s="34">
        <v>45783</v>
      </c>
      <c r="X188" s="33" t="s">
        <v>85</v>
      </c>
      <c r="Y188" s="35" t="str">
        <f>IF(Tabela2[[#This Row],[SIGLA]]="","",VLOOKUP(Tabela2[[#This Row],[SIGLA]],Tabela1[[#All],[Sigla Arte]:[Crédito]],2,0))</f>
        <v>HELOÍSA PINTARELLI/ARQUIVO DA EDITORA</v>
      </c>
      <c r="Z188" s="31" t="s">
        <v>438</v>
      </c>
      <c r="AA188" s="31" t="str">
        <f>Tabela2[[#This Row],[ILUSTRADOR CRIAÇÃO]]</f>
        <v>HELOÍSA PINTARELLI/ARQUIVO DA EDITORA</v>
      </c>
      <c r="AB188" s="33">
        <v>13</v>
      </c>
      <c r="AC188" s="16" t="s">
        <v>439</v>
      </c>
      <c r="AD188" s="16" t="s">
        <v>40</v>
      </c>
      <c r="AE188" s="35" t="str">
        <f t="shared" si="2"/>
        <v>EF1 E002 Mat</v>
      </c>
    </row>
    <row r="189" spans="1:31" s="36" customFormat="1" ht="120" x14ac:dyDescent="0.25">
      <c r="A189" s="31" t="s">
        <v>448</v>
      </c>
      <c r="B189" s="16" t="s">
        <v>32</v>
      </c>
      <c r="C189" s="16" t="s">
        <v>33</v>
      </c>
      <c r="D189" s="38" t="s">
        <v>34</v>
      </c>
      <c r="E189" s="33">
        <v>152</v>
      </c>
      <c r="F189" s="33">
        <v>1</v>
      </c>
      <c r="G189" s="33">
        <v>6</v>
      </c>
      <c r="H189" s="33"/>
      <c r="I189" s="31" t="s">
        <v>35</v>
      </c>
      <c r="J189" s="31"/>
      <c r="K189" s="33"/>
      <c r="L189" s="33"/>
      <c r="M189" s="31"/>
      <c r="N189" s="31"/>
      <c r="O189" s="16" t="s">
        <v>449</v>
      </c>
      <c r="P189" s="16"/>
      <c r="Q189" s="16"/>
      <c r="R189" s="33">
        <v>3</v>
      </c>
      <c r="S189" s="34">
        <v>45734</v>
      </c>
      <c r="T189" s="34">
        <v>45734</v>
      </c>
      <c r="U189" s="34"/>
      <c r="V189" s="34"/>
      <c r="W189" s="34">
        <v>45735</v>
      </c>
      <c r="X189" s="33" t="s">
        <v>333</v>
      </c>
      <c r="Y189" s="35" t="str">
        <f>IF(Tabela2[[#This Row],[SIGLA]]="","",VLOOKUP(Tabela2[[#This Row],[SIGLA]],Tabela1[[#All],[Sigla Arte]:[Crédito]],2,0))</f>
        <v>LISLLEY GOMES FEIGE/ARQUIVO DA EDITORA</v>
      </c>
      <c r="Z189" s="31" t="s">
        <v>38</v>
      </c>
      <c r="AA189" s="31" t="str">
        <f>Tabela2[[#This Row],[ILUSTRADOR CRIAÇÃO]]</f>
        <v>LISLLEY GOMES FEIGE/ARQUIVO DA EDITORA</v>
      </c>
      <c r="AB189" s="33">
        <v>14</v>
      </c>
      <c r="AC189" s="16" t="s">
        <v>39</v>
      </c>
      <c r="AD189" s="16" t="s">
        <v>40</v>
      </c>
      <c r="AE189" s="35" t="str">
        <f t="shared" si="2"/>
        <v>EF1 E002 Mat</v>
      </c>
    </row>
    <row r="190" spans="1:31" s="36" customFormat="1" ht="120" x14ac:dyDescent="0.25">
      <c r="A190" s="31" t="s">
        <v>450</v>
      </c>
      <c r="B190" s="16" t="s">
        <v>32</v>
      </c>
      <c r="C190" s="16" t="s">
        <v>33</v>
      </c>
      <c r="D190" s="38" t="s">
        <v>34</v>
      </c>
      <c r="E190" s="33">
        <v>152</v>
      </c>
      <c r="F190" s="33">
        <v>1</v>
      </c>
      <c r="G190" s="33">
        <v>6</v>
      </c>
      <c r="H190" s="33"/>
      <c r="I190" s="31" t="s">
        <v>35</v>
      </c>
      <c r="J190" s="31"/>
      <c r="K190" s="33"/>
      <c r="L190" s="33"/>
      <c r="M190" s="31"/>
      <c r="N190" s="31"/>
      <c r="O190" s="16" t="s">
        <v>451</v>
      </c>
      <c r="P190" s="16"/>
      <c r="Q190" s="16"/>
      <c r="R190" s="33">
        <v>3</v>
      </c>
      <c r="S190" s="34">
        <v>45734</v>
      </c>
      <c r="T190" s="34">
        <v>45734</v>
      </c>
      <c r="U190" s="34"/>
      <c r="V190" s="34"/>
      <c r="W190" s="34">
        <v>45735</v>
      </c>
      <c r="X190" s="33" t="s">
        <v>333</v>
      </c>
      <c r="Y190" s="35" t="str">
        <f>IF(Tabela2[[#This Row],[SIGLA]]="","",VLOOKUP(Tabela2[[#This Row],[SIGLA]],Tabela1[[#All],[Sigla Arte]:[Crédito]],2,0))</f>
        <v>LISLLEY GOMES FEIGE/ARQUIVO DA EDITORA</v>
      </c>
      <c r="Z190" s="31" t="s">
        <v>38</v>
      </c>
      <c r="AA190" s="31" t="str">
        <f>Tabela2[[#This Row],[ILUSTRADOR CRIAÇÃO]]</f>
        <v>LISLLEY GOMES FEIGE/ARQUIVO DA EDITORA</v>
      </c>
      <c r="AB190" s="33">
        <v>14</v>
      </c>
      <c r="AC190" s="16" t="s">
        <v>39</v>
      </c>
      <c r="AD190" s="16" t="s">
        <v>40</v>
      </c>
      <c r="AE190" s="35" t="str">
        <f t="shared" si="2"/>
        <v>EF1 E002 Mat</v>
      </c>
    </row>
    <row r="191" spans="1:31" s="36" customFormat="1" ht="60" x14ac:dyDescent="0.25">
      <c r="A191" s="31" t="s">
        <v>452</v>
      </c>
      <c r="B191" s="16" t="s">
        <v>401</v>
      </c>
      <c r="C191" s="16" t="s">
        <v>33</v>
      </c>
      <c r="D191" s="38" t="s">
        <v>34</v>
      </c>
      <c r="E191" s="33">
        <v>153</v>
      </c>
      <c r="F191" s="33">
        <v>1</v>
      </c>
      <c r="G191" s="33">
        <v>6</v>
      </c>
      <c r="H191" s="33"/>
      <c r="I191" s="31" t="s">
        <v>46</v>
      </c>
      <c r="J191" s="31"/>
      <c r="K191" s="33"/>
      <c r="L191" s="33"/>
      <c r="M191" s="31"/>
      <c r="N191" s="31"/>
      <c r="O191" s="16" t="s">
        <v>453</v>
      </c>
      <c r="P191" s="16"/>
      <c r="Q191" s="16"/>
      <c r="R191" s="33"/>
      <c r="S191" s="34"/>
      <c r="T191" s="34"/>
      <c r="U191" s="34"/>
      <c r="V191" s="34"/>
      <c r="W191" s="34"/>
      <c r="X191" s="33" t="s">
        <v>333</v>
      </c>
      <c r="Y191" s="35" t="str">
        <f>IF(Tabela2[[#This Row],[SIGLA]]="","",VLOOKUP(Tabela2[[#This Row],[SIGLA]],Tabela1[[#All],[Sigla Arte]:[Crédito]],2,0))</f>
        <v>LISLLEY GOMES FEIGE/ARQUIVO DA EDITORA</v>
      </c>
      <c r="Z191" s="31"/>
      <c r="AA191" s="31" t="str">
        <f>Tabela2[[#This Row],[ILUSTRADOR CRIAÇÃO]]</f>
        <v>LISLLEY GOMES FEIGE/ARQUIVO DA EDITORA</v>
      </c>
      <c r="AB191" s="33"/>
      <c r="AC191" s="16"/>
      <c r="AD191" s="16"/>
      <c r="AE191" s="35" t="str">
        <f t="shared" si="2"/>
        <v>EF1 E002 Mat</v>
      </c>
    </row>
    <row r="192" spans="1:31" s="36" customFormat="1" ht="45" x14ac:dyDescent="0.25">
      <c r="A192" s="31" t="s">
        <v>454</v>
      </c>
      <c r="B192" s="16" t="s">
        <v>32</v>
      </c>
      <c r="C192" s="16" t="s">
        <v>33</v>
      </c>
      <c r="D192" s="33" t="s">
        <v>34</v>
      </c>
      <c r="E192" s="33">
        <v>92</v>
      </c>
      <c r="F192" s="33">
        <v>1</v>
      </c>
      <c r="G192" s="33">
        <v>7</v>
      </c>
      <c r="H192" s="33"/>
      <c r="I192" s="31" t="s">
        <v>46</v>
      </c>
      <c r="J192" s="31"/>
      <c r="K192" s="33"/>
      <c r="L192" s="33"/>
      <c r="M192" s="31"/>
      <c r="N192" s="31"/>
      <c r="O192" s="16" t="s">
        <v>455</v>
      </c>
      <c r="P192" s="16"/>
      <c r="Q192" s="16"/>
      <c r="R192" s="33"/>
      <c r="S192" s="34"/>
      <c r="T192" s="34"/>
      <c r="U192" s="34"/>
      <c r="V192" s="34"/>
      <c r="W192" s="34"/>
      <c r="X192" s="33" t="s">
        <v>162</v>
      </c>
      <c r="Y192" s="35" t="str">
        <f>IF(Tabela2[[#This Row],[SIGLA]]="","",VLOOKUP(Tabela2[[#This Row],[SIGLA]],Tabela1[[#All],[Sigla Arte]:[Crédito]],2,0))</f>
        <v>IVY NUNES/ARQUIVO DA EDITORA</v>
      </c>
      <c r="Z192" s="31"/>
      <c r="AA192" s="31" t="str">
        <f>Tabela2[[#This Row],[ILUSTRADOR CRIAÇÃO]]</f>
        <v>IVY NUNES/ARQUIVO DA EDITORA</v>
      </c>
      <c r="AB192" s="33"/>
      <c r="AC192" s="16"/>
      <c r="AD192" s="16"/>
      <c r="AE192" s="35" t="str">
        <f t="shared" si="2"/>
        <v>EF1 E002 Mat</v>
      </c>
    </row>
    <row r="193" spans="1:31" s="36" customFormat="1" ht="45" x14ac:dyDescent="0.25">
      <c r="A193" s="31" t="s">
        <v>456</v>
      </c>
      <c r="B193" s="16" t="s">
        <v>32</v>
      </c>
      <c r="C193" s="16" t="s">
        <v>33</v>
      </c>
      <c r="D193" s="33" t="s">
        <v>34</v>
      </c>
      <c r="E193" s="33">
        <v>93</v>
      </c>
      <c r="F193" s="33">
        <v>1</v>
      </c>
      <c r="G193" s="33">
        <v>7</v>
      </c>
      <c r="H193" s="33"/>
      <c r="I193" s="31" t="s">
        <v>46</v>
      </c>
      <c r="J193" s="31"/>
      <c r="K193" s="33"/>
      <c r="L193" s="33"/>
      <c r="M193" s="31"/>
      <c r="N193" s="31"/>
      <c r="O193" s="16" t="s">
        <v>457</v>
      </c>
      <c r="P193" s="16"/>
      <c r="Q193" s="16"/>
      <c r="R193" s="33"/>
      <c r="S193" s="34"/>
      <c r="T193" s="34"/>
      <c r="U193" s="34"/>
      <c r="V193" s="34"/>
      <c r="W193" s="34"/>
      <c r="X193" s="33" t="s">
        <v>162</v>
      </c>
      <c r="Y193" s="35" t="str">
        <f>IF(Tabela2[[#This Row],[SIGLA]]="","",VLOOKUP(Tabela2[[#This Row],[SIGLA]],Tabela1[[#All],[Sigla Arte]:[Crédito]],2,0))</f>
        <v>IVY NUNES/ARQUIVO DA EDITORA</v>
      </c>
      <c r="Z193" s="31"/>
      <c r="AA193" s="31" t="str">
        <f>Tabela2[[#This Row],[ILUSTRADOR CRIAÇÃO]]</f>
        <v>IVY NUNES/ARQUIVO DA EDITORA</v>
      </c>
      <c r="AB193" s="33"/>
      <c r="AC193" s="16"/>
      <c r="AD193" s="16"/>
      <c r="AE193" s="35" t="str">
        <f t="shared" si="2"/>
        <v>EF1 E002 Mat</v>
      </c>
    </row>
    <row r="194" spans="1:31" s="36" customFormat="1" ht="45" x14ac:dyDescent="0.25">
      <c r="A194" s="31" t="s">
        <v>458</v>
      </c>
      <c r="B194" s="16" t="s">
        <v>32</v>
      </c>
      <c r="C194" s="16" t="s">
        <v>33</v>
      </c>
      <c r="D194" s="33" t="s">
        <v>34</v>
      </c>
      <c r="E194" s="33">
        <v>93</v>
      </c>
      <c r="F194" s="33">
        <v>1</v>
      </c>
      <c r="G194" s="33">
        <v>7</v>
      </c>
      <c r="H194" s="33"/>
      <c r="I194" s="31" t="s">
        <v>46</v>
      </c>
      <c r="J194" s="31"/>
      <c r="K194" s="33"/>
      <c r="L194" s="33"/>
      <c r="M194" s="31"/>
      <c r="N194" s="31"/>
      <c r="O194" s="16" t="s">
        <v>459</v>
      </c>
      <c r="P194" s="16"/>
      <c r="Q194" s="16"/>
      <c r="R194" s="33"/>
      <c r="S194" s="34"/>
      <c r="T194" s="34"/>
      <c r="U194" s="34"/>
      <c r="V194" s="34"/>
      <c r="W194" s="34"/>
      <c r="X194" s="33" t="s">
        <v>162</v>
      </c>
      <c r="Y194" s="35" t="str">
        <f>IF(Tabela2[[#This Row],[SIGLA]]="","",VLOOKUP(Tabela2[[#This Row],[SIGLA]],Tabela1[[#All],[Sigla Arte]:[Crédito]],2,0))</f>
        <v>IVY NUNES/ARQUIVO DA EDITORA</v>
      </c>
      <c r="Z194" s="31"/>
      <c r="AA194" s="31" t="str">
        <f>Tabela2[[#This Row],[ILUSTRADOR CRIAÇÃO]]</f>
        <v>IVY NUNES/ARQUIVO DA EDITORA</v>
      </c>
      <c r="AB194" s="33"/>
      <c r="AC194" s="16"/>
      <c r="AD194" s="16"/>
      <c r="AE194" s="35" t="str">
        <f t="shared" ref="AE194:AE257" si="3">"EF1 E002 Mat"</f>
        <v>EF1 E002 Mat</v>
      </c>
    </row>
    <row r="195" spans="1:31" s="36" customFormat="1" ht="60" x14ac:dyDescent="0.25">
      <c r="A195" s="31" t="s">
        <v>460</v>
      </c>
      <c r="B195" s="16" t="s">
        <v>32</v>
      </c>
      <c r="C195" s="16" t="s">
        <v>33</v>
      </c>
      <c r="D195" s="33" t="s">
        <v>34</v>
      </c>
      <c r="E195" s="33">
        <v>93</v>
      </c>
      <c r="F195" s="33">
        <v>1</v>
      </c>
      <c r="G195" s="33">
        <v>7</v>
      </c>
      <c r="H195" s="33"/>
      <c r="I195" s="31" t="s">
        <v>46</v>
      </c>
      <c r="J195" s="31"/>
      <c r="K195" s="33"/>
      <c r="L195" s="33"/>
      <c r="M195" s="31"/>
      <c r="N195" s="31"/>
      <c r="O195" s="16" t="s">
        <v>461</v>
      </c>
      <c r="P195" s="16"/>
      <c r="Q195" s="16"/>
      <c r="R195" s="33"/>
      <c r="S195" s="34"/>
      <c r="T195" s="34"/>
      <c r="U195" s="34"/>
      <c r="V195" s="34"/>
      <c r="W195" s="34"/>
      <c r="X195" s="33" t="s">
        <v>162</v>
      </c>
      <c r="Y195" s="35" t="str">
        <f>IF(Tabela2[[#This Row],[SIGLA]]="","",VLOOKUP(Tabela2[[#This Row],[SIGLA]],Tabela1[[#All],[Sigla Arte]:[Crédito]],2,0))</f>
        <v>IVY NUNES/ARQUIVO DA EDITORA</v>
      </c>
      <c r="Z195" s="31"/>
      <c r="AA195" s="31" t="str">
        <f>Tabela2[[#This Row],[ILUSTRADOR CRIAÇÃO]]</f>
        <v>IVY NUNES/ARQUIVO DA EDITORA</v>
      </c>
      <c r="AB195" s="33"/>
      <c r="AC195" s="16"/>
      <c r="AD195" s="16"/>
      <c r="AE195" s="35" t="str">
        <f t="shared" si="3"/>
        <v>EF1 E002 Mat</v>
      </c>
    </row>
    <row r="196" spans="1:31" s="36" customFormat="1" ht="45" x14ac:dyDescent="0.25">
      <c r="A196" s="31" t="s">
        <v>462</v>
      </c>
      <c r="B196" s="16" t="s">
        <v>32</v>
      </c>
      <c r="C196" s="16" t="s">
        <v>33</v>
      </c>
      <c r="D196" s="33" t="s">
        <v>34</v>
      </c>
      <c r="E196" s="33">
        <v>93</v>
      </c>
      <c r="F196" s="33">
        <v>1</v>
      </c>
      <c r="G196" s="33">
        <v>7</v>
      </c>
      <c r="H196" s="33"/>
      <c r="I196" s="31" t="s">
        <v>46</v>
      </c>
      <c r="J196" s="31"/>
      <c r="K196" s="33"/>
      <c r="L196" s="33"/>
      <c r="M196" s="31"/>
      <c r="N196" s="31"/>
      <c r="O196" s="16" t="s">
        <v>463</v>
      </c>
      <c r="P196" s="16"/>
      <c r="Q196" s="16"/>
      <c r="R196" s="33"/>
      <c r="S196" s="34"/>
      <c r="T196" s="34"/>
      <c r="U196" s="34"/>
      <c r="V196" s="34"/>
      <c r="W196" s="34"/>
      <c r="X196" s="33" t="s">
        <v>162</v>
      </c>
      <c r="Y196" s="35" t="str">
        <f>IF(Tabela2[[#This Row],[SIGLA]]="","",VLOOKUP(Tabela2[[#This Row],[SIGLA]],Tabela1[[#All],[Sigla Arte]:[Crédito]],2,0))</f>
        <v>IVY NUNES/ARQUIVO DA EDITORA</v>
      </c>
      <c r="Z196" s="31"/>
      <c r="AA196" s="31" t="str">
        <f>Tabela2[[#This Row],[ILUSTRADOR CRIAÇÃO]]</f>
        <v>IVY NUNES/ARQUIVO DA EDITORA</v>
      </c>
      <c r="AB196" s="33"/>
      <c r="AC196" s="16"/>
      <c r="AD196" s="16"/>
      <c r="AE196" s="35" t="str">
        <f t="shared" si="3"/>
        <v>EF1 E002 Mat</v>
      </c>
    </row>
    <row r="197" spans="1:31" s="36" customFormat="1" ht="45" x14ac:dyDescent="0.25">
      <c r="A197" s="31" t="s">
        <v>464</v>
      </c>
      <c r="B197" s="16" t="s">
        <v>32</v>
      </c>
      <c r="C197" s="16" t="s">
        <v>33</v>
      </c>
      <c r="D197" s="33" t="s">
        <v>34</v>
      </c>
      <c r="E197" s="33">
        <v>94</v>
      </c>
      <c r="F197" s="33">
        <v>1</v>
      </c>
      <c r="G197" s="33">
        <v>7</v>
      </c>
      <c r="H197" s="33"/>
      <c r="I197" s="31" t="s">
        <v>46</v>
      </c>
      <c r="J197" s="31"/>
      <c r="K197" s="33"/>
      <c r="L197" s="33"/>
      <c r="M197" s="31"/>
      <c r="N197" s="31"/>
      <c r="O197" s="16" t="s">
        <v>465</v>
      </c>
      <c r="P197" s="16"/>
      <c r="Q197" s="16"/>
      <c r="R197" s="33"/>
      <c r="S197" s="34"/>
      <c r="T197" s="34"/>
      <c r="U197" s="34"/>
      <c r="V197" s="34"/>
      <c r="W197" s="34"/>
      <c r="X197" s="33" t="s">
        <v>162</v>
      </c>
      <c r="Y197" s="35" t="str">
        <f>IF(Tabela2[[#This Row],[SIGLA]]="","",VLOOKUP(Tabela2[[#This Row],[SIGLA]],Tabela1[[#All],[Sigla Arte]:[Crédito]],2,0))</f>
        <v>IVY NUNES/ARQUIVO DA EDITORA</v>
      </c>
      <c r="Z197" s="31"/>
      <c r="AA197" s="31" t="str">
        <f>Tabela2[[#This Row],[ILUSTRADOR CRIAÇÃO]]</f>
        <v>IVY NUNES/ARQUIVO DA EDITORA</v>
      </c>
      <c r="AB197" s="33"/>
      <c r="AC197" s="16"/>
      <c r="AD197" s="16"/>
      <c r="AE197" s="35" t="str">
        <f t="shared" si="3"/>
        <v>EF1 E002 Mat</v>
      </c>
    </row>
    <row r="198" spans="1:31" s="36" customFormat="1" ht="45" x14ac:dyDescent="0.25">
      <c r="A198" s="31" t="s">
        <v>466</v>
      </c>
      <c r="B198" s="16" t="s">
        <v>32</v>
      </c>
      <c r="C198" s="16" t="s">
        <v>33</v>
      </c>
      <c r="D198" s="33" t="s">
        <v>34</v>
      </c>
      <c r="E198" s="33">
        <v>94</v>
      </c>
      <c r="F198" s="33">
        <v>1</v>
      </c>
      <c r="G198" s="33">
        <v>7</v>
      </c>
      <c r="H198" s="33"/>
      <c r="I198" s="31" t="s">
        <v>46</v>
      </c>
      <c r="J198" s="31"/>
      <c r="K198" s="33"/>
      <c r="L198" s="33"/>
      <c r="M198" s="31"/>
      <c r="N198" s="31"/>
      <c r="O198" s="16" t="s">
        <v>467</v>
      </c>
      <c r="P198" s="16"/>
      <c r="Q198" s="16"/>
      <c r="R198" s="33"/>
      <c r="S198" s="34"/>
      <c r="T198" s="34"/>
      <c r="U198" s="34"/>
      <c r="V198" s="34"/>
      <c r="W198" s="34"/>
      <c r="X198" s="33" t="s">
        <v>162</v>
      </c>
      <c r="Y198" s="35" t="str">
        <f>IF(Tabela2[[#This Row],[SIGLA]]="","",VLOOKUP(Tabela2[[#This Row],[SIGLA]],Tabela1[[#All],[Sigla Arte]:[Crédito]],2,0))</f>
        <v>IVY NUNES/ARQUIVO DA EDITORA</v>
      </c>
      <c r="Z198" s="31"/>
      <c r="AA198" s="31" t="str">
        <f>Tabela2[[#This Row],[ILUSTRADOR CRIAÇÃO]]</f>
        <v>IVY NUNES/ARQUIVO DA EDITORA</v>
      </c>
      <c r="AB198" s="33"/>
      <c r="AC198" s="16"/>
      <c r="AD198" s="16"/>
      <c r="AE198" s="35" t="str">
        <f t="shared" si="3"/>
        <v>EF1 E002 Mat</v>
      </c>
    </row>
    <row r="199" spans="1:31" s="36" customFormat="1" ht="60" x14ac:dyDescent="0.25">
      <c r="A199" s="31" t="s">
        <v>468</v>
      </c>
      <c r="B199" s="16" t="s">
        <v>32</v>
      </c>
      <c r="C199" s="16" t="s">
        <v>164</v>
      </c>
      <c r="D199" s="33" t="s">
        <v>34</v>
      </c>
      <c r="E199" s="33">
        <v>95</v>
      </c>
      <c r="F199" s="33">
        <v>1</v>
      </c>
      <c r="G199" s="33">
        <v>7</v>
      </c>
      <c r="H199" s="33"/>
      <c r="I199" s="31" t="s">
        <v>46</v>
      </c>
      <c r="J199" s="31"/>
      <c r="K199" s="33"/>
      <c r="L199" s="33"/>
      <c r="M199" s="31"/>
      <c r="N199" s="31"/>
      <c r="O199" s="16" t="s">
        <v>469</v>
      </c>
      <c r="P199" s="16"/>
      <c r="Q199" s="16"/>
      <c r="R199" s="33"/>
      <c r="S199" s="34"/>
      <c r="T199" s="34"/>
      <c r="U199" s="34"/>
      <c r="V199" s="34"/>
      <c r="W199" s="34"/>
      <c r="X199" s="33" t="s">
        <v>470</v>
      </c>
      <c r="Y199" s="35" t="str">
        <f>IF(Tabela2[[#This Row],[SIGLA]]="","",VLOOKUP(Tabela2[[#This Row],[SIGLA]],Tabela1[[#All],[Sigla Arte]:[Crédito]],2,0))</f>
        <v>RENAN FONSECA/ARQUIVO DA EDITORA</v>
      </c>
      <c r="Z199" s="31"/>
      <c r="AA199" s="31" t="str">
        <f>Tabela2[[#This Row],[ILUSTRADOR CRIAÇÃO]]</f>
        <v>RENAN FONSECA/ARQUIVO DA EDITORA</v>
      </c>
      <c r="AB199" s="33"/>
      <c r="AC199" s="16"/>
      <c r="AD199" s="16"/>
      <c r="AE199" s="35" t="str">
        <f t="shared" si="3"/>
        <v>EF1 E002 Mat</v>
      </c>
    </row>
    <row r="200" spans="1:31" s="36" customFormat="1" ht="45" x14ac:dyDescent="0.25">
      <c r="A200" s="31" t="s">
        <v>471</v>
      </c>
      <c r="B200" s="16" t="s">
        <v>32</v>
      </c>
      <c r="C200" s="16" t="s">
        <v>164</v>
      </c>
      <c r="D200" s="33" t="s">
        <v>34</v>
      </c>
      <c r="E200" s="33">
        <v>95</v>
      </c>
      <c r="F200" s="33">
        <v>1</v>
      </c>
      <c r="G200" s="33">
        <v>7</v>
      </c>
      <c r="H200" s="33"/>
      <c r="I200" s="31" t="s">
        <v>46</v>
      </c>
      <c r="J200" s="31"/>
      <c r="K200" s="33"/>
      <c r="L200" s="33"/>
      <c r="M200" s="31"/>
      <c r="N200" s="31"/>
      <c r="O200" s="16" t="s">
        <v>472</v>
      </c>
      <c r="P200" s="16"/>
      <c r="Q200" s="16"/>
      <c r="R200" s="33"/>
      <c r="S200" s="34"/>
      <c r="T200" s="34"/>
      <c r="U200" s="34"/>
      <c r="V200" s="34"/>
      <c r="W200" s="34"/>
      <c r="X200" s="33" t="s">
        <v>85</v>
      </c>
      <c r="Y200" s="35" t="str">
        <f>IF(Tabela2[[#This Row],[SIGLA]]="","",VLOOKUP(Tabela2[[#This Row],[SIGLA]],Tabela1[[#All],[Sigla Arte]:[Crédito]],2,0))</f>
        <v>HELOÍSA PINTARELLI/ARQUIVO DA EDITORA</v>
      </c>
      <c r="Z200" s="31"/>
      <c r="AA200" s="31" t="str">
        <f>Tabela2[[#This Row],[ILUSTRADOR CRIAÇÃO]]</f>
        <v>HELOÍSA PINTARELLI/ARQUIVO DA EDITORA</v>
      </c>
      <c r="AB200" s="33"/>
      <c r="AC200" s="16"/>
      <c r="AD200" s="16"/>
      <c r="AE200" s="35" t="str">
        <f t="shared" si="3"/>
        <v>EF1 E002 Mat</v>
      </c>
    </row>
    <row r="201" spans="1:31" s="36" customFormat="1" ht="90" x14ac:dyDescent="0.25">
      <c r="A201" s="31" t="s">
        <v>473</v>
      </c>
      <c r="B201" s="16" t="s">
        <v>32</v>
      </c>
      <c r="C201" s="16" t="s">
        <v>33</v>
      </c>
      <c r="D201" s="33" t="s">
        <v>34</v>
      </c>
      <c r="E201" s="33">
        <v>97</v>
      </c>
      <c r="F201" s="33">
        <v>1</v>
      </c>
      <c r="G201" s="33">
        <v>7</v>
      </c>
      <c r="H201" s="33"/>
      <c r="I201" s="31" t="s">
        <v>35</v>
      </c>
      <c r="J201" s="31"/>
      <c r="K201" s="33"/>
      <c r="L201" s="33"/>
      <c r="M201" s="31"/>
      <c r="N201" s="31"/>
      <c r="O201" s="16" t="s">
        <v>474</v>
      </c>
      <c r="P201" s="16"/>
      <c r="Q201" s="16"/>
      <c r="R201" s="33">
        <v>4</v>
      </c>
      <c r="S201" s="34">
        <v>45734</v>
      </c>
      <c r="T201" s="34">
        <v>45734</v>
      </c>
      <c r="U201" s="34"/>
      <c r="V201" s="34"/>
      <c r="W201" s="34">
        <v>45735</v>
      </c>
      <c r="X201" s="33" t="s">
        <v>162</v>
      </c>
      <c r="Y201" s="35" t="str">
        <f>IF(Tabela2[[#This Row],[SIGLA]]="","",VLOOKUP(Tabela2[[#This Row],[SIGLA]],Tabela1[[#All],[Sigla Arte]:[Crédito]],2,0))</f>
        <v>IVY NUNES/ARQUIVO DA EDITORA</v>
      </c>
      <c r="Z201" s="31" t="s">
        <v>475</v>
      </c>
      <c r="AA201" s="31" t="str">
        <f>Tabela2[[#This Row],[ILUSTRADOR CRIAÇÃO]]</f>
        <v>IVY NUNES/ARQUIVO DA EDITORA</v>
      </c>
      <c r="AB201" s="33">
        <v>14</v>
      </c>
      <c r="AC201" s="16"/>
      <c r="AD201" s="16" t="s">
        <v>40</v>
      </c>
      <c r="AE201" s="35" t="str">
        <f t="shared" si="3"/>
        <v>EF1 E002 Mat</v>
      </c>
    </row>
    <row r="202" spans="1:31" s="36" customFormat="1" ht="45" x14ac:dyDescent="0.25">
      <c r="A202" s="31" t="s">
        <v>476</v>
      </c>
      <c r="B202" s="16" t="s">
        <v>32</v>
      </c>
      <c r="C202" s="16" t="s">
        <v>33</v>
      </c>
      <c r="D202" s="33" t="s">
        <v>34</v>
      </c>
      <c r="E202" s="33">
        <v>98</v>
      </c>
      <c r="F202" s="33">
        <v>1</v>
      </c>
      <c r="G202" s="33">
        <v>7</v>
      </c>
      <c r="H202" s="33"/>
      <c r="I202" s="31" t="s">
        <v>46</v>
      </c>
      <c r="J202" s="31"/>
      <c r="K202" s="33"/>
      <c r="L202" s="33"/>
      <c r="M202" s="31"/>
      <c r="N202" s="31"/>
      <c r="O202" s="16" t="s">
        <v>477</v>
      </c>
      <c r="P202" s="16"/>
      <c r="Q202" s="16"/>
      <c r="R202" s="33"/>
      <c r="S202" s="34"/>
      <c r="T202" s="34"/>
      <c r="U202" s="34"/>
      <c r="V202" s="34"/>
      <c r="W202" s="34"/>
      <c r="X202" s="33" t="s">
        <v>43</v>
      </c>
      <c r="Y202" s="35" t="str">
        <f>IF(Tabela2[[#This Row],[SIGLA]]="","",VLOOKUP(Tabela2[[#This Row],[SIGLA]],Tabela1[[#All],[Sigla Arte]:[Crédito]],2,0))</f>
        <v>GUILHERME RODRIGUES/ARQUIVO DA EDITORA</v>
      </c>
      <c r="Z202" s="31"/>
      <c r="AA202" s="31" t="str">
        <f>Tabela2[[#This Row],[ILUSTRADOR CRIAÇÃO]]</f>
        <v>GUILHERME RODRIGUES/ARQUIVO DA EDITORA</v>
      </c>
      <c r="AB202" s="33"/>
      <c r="AC202" s="16"/>
      <c r="AD202" s="16"/>
      <c r="AE202" s="35" t="str">
        <f t="shared" si="3"/>
        <v>EF1 E002 Mat</v>
      </c>
    </row>
    <row r="203" spans="1:31" s="36" customFormat="1" ht="45" x14ac:dyDescent="0.25">
      <c r="A203" s="31" t="s">
        <v>478</v>
      </c>
      <c r="B203" s="16" t="s">
        <v>32</v>
      </c>
      <c r="C203" s="16" t="s">
        <v>33</v>
      </c>
      <c r="D203" s="33" t="s">
        <v>34</v>
      </c>
      <c r="E203" s="33">
        <v>98</v>
      </c>
      <c r="F203" s="33">
        <v>1</v>
      </c>
      <c r="G203" s="33">
        <v>7</v>
      </c>
      <c r="H203" s="33"/>
      <c r="I203" s="31" t="s">
        <v>46</v>
      </c>
      <c r="J203" s="31"/>
      <c r="K203" s="33"/>
      <c r="L203" s="33"/>
      <c r="M203" s="31"/>
      <c r="N203" s="31"/>
      <c r="O203" s="16" t="s">
        <v>479</v>
      </c>
      <c r="P203" s="16"/>
      <c r="Q203" s="16"/>
      <c r="R203" s="33"/>
      <c r="S203" s="34"/>
      <c r="T203" s="34"/>
      <c r="U203" s="34"/>
      <c r="V203" s="34"/>
      <c r="W203" s="34"/>
      <c r="X203" s="33" t="s">
        <v>43</v>
      </c>
      <c r="Y203" s="35" t="str">
        <f>IF(Tabela2[[#This Row],[SIGLA]]="","",VLOOKUP(Tabela2[[#This Row],[SIGLA]],Tabela1[[#All],[Sigla Arte]:[Crédito]],2,0))</f>
        <v>GUILHERME RODRIGUES/ARQUIVO DA EDITORA</v>
      </c>
      <c r="Z203" s="31"/>
      <c r="AA203" s="31" t="str">
        <f>Tabela2[[#This Row],[ILUSTRADOR CRIAÇÃO]]</f>
        <v>GUILHERME RODRIGUES/ARQUIVO DA EDITORA</v>
      </c>
      <c r="AB203" s="33"/>
      <c r="AC203" s="16"/>
      <c r="AD203" s="16"/>
      <c r="AE203" s="35" t="str">
        <f t="shared" si="3"/>
        <v>EF1 E002 Mat</v>
      </c>
    </row>
    <row r="204" spans="1:31" s="36" customFormat="1" ht="45" x14ac:dyDescent="0.25">
      <c r="A204" s="31" t="s">
        <v>480</v>
      </c>
      <c r="B204" s="16" t="s">
        <v>32</v>
      </c>
      <c r="C204" s="16" t="s">
        <v>164</v>
      </c>
      <c r="D204" s="33" t="s">
        <v>34</v>
      </c>
      <c r="E204" s="33">
        <v>99</v>
      </c>
      <c r="F204" s="33">
        <v>1</v>
      </c>
      <c r="G204" s="33">
        <v>7</v>
      </c>
      <c r="H204" s="33"/>
      <c r="I204" s="31" t="s">
        <v>35</v>
      </c>
      <c r="J204" s="31"/>
      <c r="K204" s="33"/>
      <c r="L204" s="33"/>
      <c r="M204" s="31"/>
      <c r="N204" s="31"/>
      <c r="O204" s="16" t="s">
        <v>481</v>
      </c>
      <c r="P204" s="16"/>
      <c r="Q204" s="16"/>
      <c r="R204" s="33">
        <v>100</v>
      </c>
      <c r="S204" s="34">
        <v>45874</v>
      </c>
      <c r="T204" s="34">
        <v>45874</v>
      </c>
      <c r="U204" s="34"/>
      <c r="V204" s="34"/>
      <c r="W204" s="34">
        <v>45874</v>
      </c>
      <c r="X204" s="33" t="s">
        <v>470</v>
      </c>
      <c r="Y204" s="35" t="str">
        <f>IF(Tabela2[[#This Row],[SIGLA]]="","",VLOOKUP(Tabela2[[#This Row],[SIGLA]],Tabela1[[#All],[Sigla Arte]:[Crédito]],2,0))</f>
        <v>RENAN FONSECA/ARQUIVO DA EDITORA</v>
      </c>
      <c r="Z204" s="31" t="s">
        <v>352</v>
      </c>
      <c r="AA204" s="31" t="str">
        <f>Tabela2[[#This Row],[ILUSTRADOR CRIAÇÃO]]</f>
        <v>RENAN FONSECA/ARQUIVO DA EDITORA</v>
      </c>
      <c r="AB204" s="33">
        <v>14</v>
      </c>
      <c r="AC204" s="16" t="s">
        <v>39</v>
      </c>
      <c r="AD204" s="16" t="s">
        <v>40</v>
      </c>
      <c r="AE204" s="35" t="str">
        <f t="shared" si="3"/>
        <v>EF1 E002 Mat</v>
      </c>
    </row>
    <row r="205" spans="1:31" s="36" customFormat="1" ht="45" x14ac:dyDescent="0.25">
      <c r="A205" s="31" t="s">
        <v>482</v>
      </c>
      <c r="B205" s="16" t="s">
        <v>32</v>
      </c>
      <c r="C205" s="16" t="s">
        <v>164</v>
      </c>
      <c r="D205" s="33" t="s">
        <v>34</v>
      </c>
      <c r="E205" s="33">
        <v>99</v>
      </c>
      <c r="F205" s="33">
        <v>1</v>
      </c>
      <c r="G205" s="33">
        <v>7</v>
      </c>
      <c r="H205" s="33"/>
      <c r="I205" s="31" t="s">
        <v>35</v>
      </c>
      <c r="J205" s="31"/>
      <c r="K205" s="33"/>
      <c r="L205" s="33"/>
      <c r="M205" s="31"/>
      <c r="N205" s="31"/>
      <c r="O205" s="16" t="s">
        <v>483</v>
      </c>
      <c r="P205" s="16"/>
      <c r="Q205" s="16"/>
      <c r="R205" s="33">
        <v>100</v>
      </c>
      <c r="S205" s="34">
        <v>45874</v>
      </c>
      <c r="T205" s="34">
        <v>45874</v>
      </c>
      <c r="U205" s="34"/>
      <c r="V205" s="34"/>
      <c r="W205" s="34">
        <v>45874</v>
      </c>
      <c r="X205" s="33" t="s">
        <v>470</v>
      </c>
      <c r="Y205" s="35" t="str">
        <f>IF(Tabela2[[#This Row],[SIGLA]]="","",VLOOKUP(Tabela2[[#This Row],[SIGLA]],Tabela1[[#All],[Sigla Arte]:[Crédito]],2,0))</f>
        <v>RENAN FONSECA/ARQUIVO DA EDITORA</v>
      </c>
      <c r="Z205" s="31" t="s">
        <v>352</v>
      </c>
      <c r="AA205" s="31" t="str">
        <f>Tabela2[[#This Row],[ILUSTRADOR CRIAÇÃO]]</f>
        <v>RENAN FONSECA/ARQUIVO DA EDITORA</v>
      </c>
      <c r="AB205" s="33">
        <v>14</v>
      </c>
      <c r="AC205" s="16" t="s">
        <v>39</v>
      </c>
      <c r="AD205" s="16" t="s">
        <v>40</v>
      </c>
      <c r="AE205" s="35" t="str">
        <f t="shared" si="3"/>
        <v>EF1 E002 Mat</v>
      </c>
    </row>
    <row r="206" spans="1:31" s="36" customFormat="1" ht="45" x14ac:dyDescent="0.25">
      <c r="A206" s="31" t="s">
        <v>484</v>
      </c>
      <c r="B206" s="16" t="s">
        <v>32</v>
      </c>
      <c r="C206" s="16" t="s">
        <v>164</v>
      </c>
      <c r="D206" s="33" t="s">
        <v>34</v>
      </c>
      <c r="E206" s="33">
        <v>99</v>
      </c>
      <c r="F206" s="33">
        <v>1</v>
      </c>
      <c r="G206" s="33">
        <v>7</v>
      </c>
      <c r="H206" s="33"/>
      <c r="I206" s="31" t="s">
        <v>35</v>
      </c>
      <c r="J206" s="31"/>
      <c r="K206" s="33"/>
      <c r="L206" s="33"/>
      <c r="M206" s="31"/>
      <c r="N206" s="31"/>
      <c r="O206" s="16" t="s">
        <v>485</v>
      </c>
      <c r="P206" s="16"/>
      <c r="Q206" s="16"/>
      <c r="R206" s="33">
        <v>100</v>
      </c>
      <c r="S206" s="34">
        <v>45874</v>
      </c>
      <c r="T206" s="34">
        <v>45874</v>
      </c>
      <c r="U206" s="34"/>
      <c r="V206" s="34"/>
      <c r="W206" s="34">
        <v>45874</v>
      </c>
      <c r="X206" s="33" t="s">
        <v>470</v>
      </c>
      <c r="Y206" s="35" t="str">
        <f>IF(Tabela2[[#This Row],[SIGLA]]="","",VLOOKUP(Tabela2[[#This Row],[SIGLA]],Tabela1[[#All],[Sigla Arte]:[Crédito]],2,0))</f>
        <v>RENAN FONSECA/ARQUIVO DA EDITORA</v>
      </c>
      <c r="Z206" s="31" t="s">
        <v>352</v>
      </c>
      <c r="AA206" s="31" t="str">
        <f>Tabela2[[#This Row],[ILUSTRADOR CRIAÇÃO]]</f>
        <v>RENAN FONSECA/ARQUIVO DA EDITORA</v>
      </c>
      <c r="AB206" s="33">
        <v>14</v>
      </c>
      <c r="AC206" s="16" t="s">
        <v>39</v>
      </c>
      <c r="AD206" s="16" t="s">
        <v>40</v>
      </c>
      <c r="AE206" s="35" t="str">
        <f t="shared" si="3"/>
        <v>EF1 E002 Mat</v>
      </c>
    </row>
    <row r="207" spans="1:31" s="36" customFormat="1" ht="45" x14ac:dyDescent="0.25">
      <c r="A207" s="31" t="s">
        <v>486</v>
      </c>
      <c r="B207" s="16" t="s">
        <v>32</v>
      </c>
      <c r="C207" s="16" t="s">
        <v>164</v>
      </c>
      <c r="D207" s="33" t="s">
        <v>34</v>
      </c>
      <c r="E207" s="33">
        <v>100</v>
      </c>
      <c r="F207" s="33">
        <v>1</v>
      </c>
      <c r="G207" s="33">
        <v>7</v>
      </c>
      <c r="H207" s="33"/>
      <c r="I207" s="31" t="s">
        <v>46</v>
      </c>
      <c r="J207" s="31"/>
      <c r="K207" s="33"/>
      <c r="L207" s="33"/>
      <c r="M207" s="31"/>
      <c r="N207" s="31"/>
      <c r="O207" s="16" t="s">
        <v>487</v>
      </c>
      <c r="P207" s="16"/>
      <c r="Q207" s="16"/>
      <c r="R207" s="33"/>
      <c r="S207" s="34"/>
      <c r="T207" s="34"/>
      <c r="U207" s="34"/>
      <c r="V207" s="34"/>
      <c r="W207" s="34"/>
      <c r="X207" s="33" t="s">
        <v>470</v>
      </c>
      <c r="Y207" s="35" t="str">
        <f>IF(Tabela2[[#This Row],[SIGLA]]="","",VLOOKUP(Tabela2[[#This Row],[SIGLA]],Tabela1[[#All],[Sigla Arte]:[Crédito]],2,0))</f>
        <v>RENAN FONSECA/ARQUIVO DA EDITORA</v>
      </c>
      <c r="Z207" s="31"/>
      <c r="AA207" s="31" t="str">
        <f>Tabela2[[#This Row],[ILUSTRADOR CRIAÇÃO]]</f>
        <v>RENAN FONSECA/ARQUIVO DA EDITORA</v>
      </c>
      <c r="AB207" s="33"/>
      <c r="AC207" s="16"/>
      <c r="AD207" s="16"/>
      <c r="AE207" s="35" t="str">
        <f t="shared" si="3"/>
        <v>EF1 E002 Mat</v>
      </c>
    </row>
    <row r="208" spans="1:31" s="36" customFormat="1" ht="45" x14ac:dyDescent="0.25">
      <c r="A208" s="31" t="s">
        <v>488</v>
      </c>
      <c r="B208" s="16" t="s">
        <v>32</v>
      </c>
      <c r="C208" s="16" t="s">
        <v>164</v>
      </c>
      <c r="D208" s="33" t="s">
        <v>34</v>
      </c>
      <c r="E208" s="33">
        <v>100</v>
      </c>
      <c r="F208" s="33">
        <v>1</v>
      </c>
      <c r="G208" s="33">
        <v>7</v>
      </c>
      <c r="H208" s="33"/>
      <c r="I208" s="31" t="s">
        <v>46</v>
      </c>
      <c r="J208" s="31"/>
      <c r="K208" s="33"/>
      <c r="L208" s="33"/>
      <c r="M208" s="31"/>
      <c r="N208" s="31"/>
      <c r="O208" s="16" t="s">
        <v>489</v>
      </c>
      <c r="P208" s="16"/>
      <c r="Q208" s="16"/>
      <c r="R208" s="33"/>
      <c r="S208" s="34"/>
      <c r="T208" s="34"/>
      <c r="U208" s="34"/>
      <c r="V208" s="34"/>
      <c r="W208" s="34"/>
      <c r="X208" s="33" t="s">
        <v>470</v>
      </c>
      <c r="Y208" s="35" t="str">
        <f>IF(Tabela2[[#This Row],[SIGLA]]="","",VLOOKUP(Tabela2[[#This Row],[SIGLA]],Tabela1[[#All],[Sigla Arte]:[Crédito]],2,0))</f>
        <v>RENAN FONSECA/ARQUIVO DA EDITORA</v>
      </c>
      <c r="Z208" s="31"/>
      <c r="AA208" s="31" t="str">
        <f>Tabela2[[#This Row],[ILUSTRADOR CRIAÇÃO]]</f>
        <v>RENAN FONSECA/ARQUIVO DA EDITORA</v>
      </c>
      <c r="AB208" s="33"/>
      <c r="AC208" s="16"/>
      <c r="AD208" s="16"/>
      <c r="AE208" s="35" t="str">
        <f t="shared" si="3"/>
        <v>EF1 E002 Mat</v>
      </c>
    </row>
    <row r="209" spans="1:31" s="36" customFormat="1" ht="45" x14ac:dyDescent="0.25">
      <c r="A209" s="31" t="s">
        <v>490</v>
      </c>
      <c r="B209" s="16" t="s">
        <v>32</v>
      </c>
      <c r="C209" s="16" t="s">
        <v>164</v>
      </c>
      <c r="D209" s="33" t="s">
        <v>34</v>
      </c>
      <c r="E209" s="33">
        <v>100</v>
      </c>
      <c r="F209" s="33">
        <v>1</v>
      </c>
      <c r="G209" s="33">
        <v>7</v>
      </c>
      <c r="H209" s="33"/>
      <c r="I209" s="31" t="s">
        <v>46</v>
      </c>
      <c r="J209" s="31"/>
      <c r="K209" s="33"/>
      <c r="L209" s="33"/>
      <c r="M209" s="31"/>
      <c r="N209" s="31"/>
      <c r="O209" s="16" t="s">
        <v>491</v>
      </c>
      <c r="P209" s="16"/>
      <c r="Q209" s="16"/>
      <c r="R209" s="33"/>
      <c r="S209" s="34"/>
      <c r="T209" s="34"/>
      <c r="U209" s="34"/>
      <c r="V209" s="34"/>
      <c r="W209" s="34"/>
      <c r="X209" s="33" t="s">
        <v>470</v>
      </c>
      <c r="Y209" s="35" t="str">
        <f>IF(Tabela2[[#This Row],[SIGLA]]="","",VLOOKUP(Tabela2[[#This Row],[SIGLA]],Tabela1[[#All],[Sigla Arte]:[Crédito]],2,0))</f>
        <v>RENAN FONSECA/ARQUIVO DA EDITORA</v>
      </c>
      <c r="Z209" s="31"/>
      <c r="AA209" s="31" t="str">
        <f>Tabela2[[#This Row],[ILUSTRADOR CRIAÇÃO]]</f>
        <v>RENAN FONSECA/ARQUIVO DA EDITORA</v>
      </c>
      <c r="AB209" s="33"/>
      <c r="AC209" s="16"/>
      <c r="AD209" s="16"/>
      <c r="AE209" s="35" t="str">
        <f t="shared" si="3"/>
        <v>EF1 E002 Mat</v>
      </c>
    </row>
    <row r="210" spans="1:31" s="36" customFormat="1" ht="45" x14ac:dyDescent="0.25">
      <c r="A210" s="31" t="s">
        <v>492</v>
      </c>
      <c r="B210" s="16" t="s">
        <v>32</v>
      </c>
      <c r="C210" s="16" t="s">
        <v>164</v>
      </c>
      <c r="D210" s="33" t="s">
        <v>34</v>
      </c>
      <c r="E210" s="33">
        <v>100</v>
      </c>
      <c r="F210" s="33">
        <v>1</v>
      </c>
      <c r="G210" s="33">
        <v>7</v>
      </c>
      <c r="H210" s="33"/>
      <c r="I210" s="31" t="s">
        <v>35</v>
      </c>
      <c r="J210" s="31"/>
      <c r="K210" s="33"/>
      <c r="L210" s="33"/>
      <c r="M210" s="31"/>
      <c r="N210" s="31"/>
      <c r="O210" s="16" t="s">
        <v>493</v>
      </c>
      <c r="P210" s="16"/>
      <c r="Q210" s="16"/>
      <c r="R210" s="33">
        <v>100</v>
      </c>
      <c r="S210" s="34">
        <v>45874</v>
      </c>
      <c r="T210" s="34">
        <v>45874</v>
      </c>
      <c r="U210" s="34"/>
      <c r="V210" s="34"/>
      <c r="W210" s="34">
        <v>45874</v>
      </c>
      <c r="X210" s="33" t="s">
        <v>470</v>
      </c>
      <c r="Y210" s="35" t="str">
        <f>IF(Tabela2[[#This Row],[SIGLA]]="","",VLOOKUP(Tabela2[[#This Row],[SIGLA]],Tabela1[[#All],[Sigla Arte]:[Crédito]],2,0))</f>
        <v>RENAN FONSECA/ARQUIVO DA EDITORA</v>
      </c>
      <c r="Z210" s="31" t="s">
        <v>352</v>
      </c>
      <c r="AA210" s="31" t="str">
        <f>Tabela2[[#This Row],[ILUSTRADOR CRIAÇÃO]]</f>
        <v>RENAN FONSECA/ARQUIVO DA EDITORA</v>
      </c>
      <c r="AB210" s="33">
        <v>14</v>
      </c>
      <c r="AC210" s="16" t="s">
        <v>39</v>
      </c>
      <c r="AD210" s="16" t="s">
        <v>40</v>
      </c>
      <c r="AE210" s="35" t="str">
        <f t="shared" si="3"/>
        <v>EF1 E002 Mat</v>
      </c>
    </row>
    <row r="211" spans="1:31" s="36" customFormat="1" ht="45" x14ac:dyDescent="0.25">
      <c r="A211" s="31" t="s">
        <v>494</v>
      </c>
      <c r="B211" s="16" t="s">
        <v>32</v>
      </c>
      <c r="C211" s="16" t="s">
        <v>164</v>
      </c>
      <c r="D211" s="33" t="s">
        <v>34</v>
      </c>
      <c r="E211" s="33">
        <v>100</v>
      </c>
      <c r="F211" s="33">
        <v>1</v>
      </c>
      <c r="G211" s="33">
        <v>7</v>
      </c>
      <c r="H211" s="33"/>
      <c r="I211" s="31" t="s">
        <v>35</v>
      </c>
      <c r="J211" s="31"/>
      <c r="K211" s="33"/>
      <c r="L211" s="33"/>
      <c r="M211" s="31"/>
      <c r="N211" s="31"/>
      <c r="O211" s="16" t="s">
        <v>495</v>
      </c>
      <c r="P211" s="16"/>
      <c r="Q211" s="16"/>
      <c r="R211" s="33">
        <v>100</v>
      </c>
      <c r="S211" s="34">
        <v>45874</v>
      </c>
      <c r="T211" s="34">
        <v>45874</v>
      </c>
      <c r="U211" s="34"/>
      <c r="V211" s="34"/>
      <c r="W211" s="34">
        <v>45874</v>
      </c>
      <c r="X211" s="33" t="s">
        <v>470</v>
      </c>
      <c r="Y211" s="35" t="str">
        <f>IF(Tabela2[[#This Row],[SIGLA]]="","",VLOOKUP(Tabela2[[#This Row],[SIGLA]],Tabela1[[#All],[Sigla Arte]:[Crédito]],2,0))</f>
        <v>RENAN FONSECA/ARQUIVO DA EDITORA</v>
      </c>
      <c r="Z211" s="31" t="s">
        <v>352</v>
      </c>
      <c r="AA211" s="31" t="str">
        <f>Tabela2[[#This Row],[ILUSTRADOR CRIAÇÃO]]</f>
        <v>RENAN FONSECA/ARQUIVO DA EDITORA</v>
      </c>
      <c r="AB211" s="33">
        <v>14</v>
      </c>
      <c r="AC211" s="16" t="s">
        <v>39</v>
      </c>
      <c r="AD211" s="16" t="s">
        <v>40</v>
      </c>
      <c r="AE211" s="35" t="str">
        <f t="shared" si="3"/>
        <v>EF1 E002 Mat</v>
      </c>
    </row>
    <row r="212" spans="1:31" s="36" customFormat="1" ht="45" x14ac:dyDescent="0.25">
      <c r="A212" s="31" t="s">
        <v>496</v>
      </c>
      <c r="B212" s="16" t="s">
        <v>32</v>
      </c>
      <c r="C212" s="16" t="s">
        <v>164</v>
      </c>
      <c r="D212" s="33" t="s">
        <v>34</v>
      </c>
      <c r="E212" s="33">
        <v>100</v>
      </c>
      <c r="F212" s="33">
        <v>1</v>
      </c>
      <c r="G212" s="33">
        <v>7</v>
      </c>
      <c r="H212" s="33"/>
      <c r="I212" s="31" t="s">
        <v>35</v>
      </c>
      <c r="J212" s="31"/>
      <c r="K212" s="33"/>
      <c r="L212" s="33"/>
      <c r="M212" s="31"/>
      <c r="N212" s="31"/>
      <c r="O212" s="16" t="s">
        <v>497</v>
      </c>
      <c r="P212" s="16"/>
      <c r="Q212" s="16"/>
      <c r="R212" s="33">
        <v>100</v>
      </c>
      <c r="S212" s="34">
        <v>45874</v>
      </c>
      <c r="T212" s="34">
        <v>45874</v>
      </c>
      <c r="U212" s="34"/>
      <c r="V212" s="34"/>
      <c r="W212" s="34">
        <v>45874</v>
      </c>
      <c r="X212" s="33" t="s">
        <v>470</v>
      </c>
      <c r="Y212" s="35" t="str">
        <f>IF(Tabela2[[#This Row],[SIGLA]]="","",VLOOKUP(Tabela2[[#This Row],[SIGLA]],Tabela1[[#All],[Sigla Arte]:[Crédito]],2,0))</f>
        <v>RENAN FONSECA/ARQUIVO DA EDITORA</v>
      </c>
      <c r="Z212" s="31" t="s">
        <v>352</v>
      </c>
      <c r="AA212" s="31" t="str">
        <f>Tabela2[[#This Row],[ILUSTRADOR CRIAÇÃO]]</f>
        <v>RENAN FONSECA/ARQUIVO DA EDITORA</v>
      </c>
      <c r="AB212" s="33">
        <v>14</v>
      </c>
      <c r="AC212" s="16" t="s">
        <v>39</v>
      </c>
      <c r="AD212" s="16" t="s">
        <v>40</v>
      </c>
      <c r="AE212" s="35" t="str">
        <f t="shared" si="3"/>
        <v>EF1 E002 Mat</v>
      </c>
    </row>
    <row r="213" spans="1:31" s="36" customFormat="1" ht="45" x14ac:dyDescent="0.25">
      <c r="A213" s="31" t="s">
        <v>498</v>
      </c>
      <c r="B213" s="16" t="s">
        <v>32</v>
      </c>
      <c r="C213" s="16" t="s">
        <v>164</v>
      </c>
      <c r="D213" s="33" t="s">
        <v>34</v>
      </c>
      <c r="E213" s="33">
        <v>100</v>
      </c>
      <c r="F213" s="33">
        <v>1</v>
      </c>
      <c r="G213" s="33">
        <v>7</v>
      </c>
      <c r="H213" s="33"/>
      <c r="I213" s="31" t="s">
        <v>35</v>
      </c>
      <c r="J213" s="31"/>
      <c r="K213" s="33"/>
      <c r="L213" s="33"/>
      <c r="M213" s="31"/>
      <c r="N213" s="31"/>
      <c r="O213" s="16" t="s">
        <v>499</v>
      </c>
      <c r="P213" s="16"/>
      <c r="Q213" s="16"/>
      <c r="R213" s="33">
        <v>100</v>
      </c>
      <c r="S213" s="34">
        <v>45874</v>
      </c>
      <c r="T213" s="34">
        <v>45874</v>
      </c>
      <c r="U213" s="34"/>
      <c r="V213" s="34"/>
      <c r="W213" s="34">
        <v>45874</v>
      </c>
      <c r="X213" s="33" t="s">
        <v>470</v>
      </c>
      <c r="Y213" s="35" t="str">
        <f>IF(Tabela2[[#This Row],[SIGLA]]="","",VLOOKUP(Tabela2[[#This Row],[SIGLA]],Tabela1[[#All],[Sigla Arte]:[Crédito]],2,0))</f>
        <v>RENAN FONSECA/ARQUIVO DA EDITORA</v>
      </c>
      <c r="Z213" s="31" t="s">
        <v>352</v>
      </c>
      <c r="AA213" s="31" t="str">
        <f>Tabela2[[#This Row],[ILUSTRADOR CRIAÇÃO]]</f>
        <v>RENAN FONSECA/ARQUIVO DA EDITORA</v>
      </c>
      <c r="AB213" s="33">
        <v>14</v>
      </c>
      <c r="AC213" s="16" t="s">
        <v>39</v>
      </c>
      <c r="AD213" s="16" t="s">
        <v>40</v>
      </c>
      <c r="AE213" s="35" t="str">
        <f t="shared" si="3"/>
        <v>EF1 E002 Mat</v>
      </c>
    </row>
    <row r="214" spans="1:31" s="36" customFormat="1" ht="45" x14ac:dyDescent="0.25">
      <c r="A214" s="31" t="s">
        <v>500</v>
      </c>
      <c r="B214" s="16" t="s">
        <v>32</v>
      </c>
      <c r="C214" s="16" t="s">
        <v>164</v>
      </c>
      <c r="D214" s="33" t="s">
        <v>34</v>
      </c>
      <c r="E214" s="33">
        <v>100</v>
      </c>
      <c r="F214" s="33">
        <v>1</v>
      </c>
      <c r="G214" s="33">
        <v>7</v>
      </c>
      <c r="H214" s="33"/>
      <c r="I214" s="31" t="s">
        <v>35</v>
      </c>
      <c r="J214" s="31"/>
      <c r="K214" s="33"/>
      <c r="L214" s="33"/>
      <c r="M214" s="31"/>
      <c r="N214" s="31"/>
      <c r="O214" s="16" t="s">
        <v>501</v>
      </c>
      <c r="P214" s="16"/>
      <c r="Q214" s="16"/>
      <c r="R214" s="33">
        <v>100</v>
      </c>
      <c r="S214" s="34">
        <v>45874</v>
      </c>
      <c r="T214" s="34">
        <v>45874</v>
      </c>
      <c r="U214" s="34"/>
      <c r="V214" s="34"/>
      <c r="W214" s="34">
        <v>45874</v>
      </c>
      <c r="X214" s="33" t="s">
        <v>470</v>
      </c>
      <c r="Y214" s="35" t="str">
        <f>IF(Tabela2[[#This Row],[SIGLA]]="","",VLOOKUP(Tabela2[[#This Row],[SIGLA]],Tabela1[[#All],[Sigla Arte]:[Crédito]],2,0))</f>
        <v>RENAN FONSECA/ARQUIVO DA EDITORA</v>
      </c>
      <c r="Z214" s="31" t="s">
        <v>352</v>
      </c>
      <c r="AA214" s="31" t="str">
        <f>Tabela2[[#This Row],[ILUSTRADOR CRIAÇÃO]]</f>
        <v>RENAN FONSECA/ARQUIVO DA EDITORA</v>
      </c>
      <c r="AB214" s="33">
        <v>14</v>
      </c>
      <c r="AC214" s="16" t="s">
        <v>39</v>
      </c>
      <c r="AD214" s="16" t="s">
        <v>40</v>
      </c>
      <c r="AE214" s="35" t="str">
        <f t="shared" si="3"/>
        <v>EF1 E002 Mat</v>
      </c>
    </row>
    <row r="215" spans="1:31" s="36" customFormat="1" ht="45" x14ac:dyDescent="0.25">
      <c r="A215" s="31" t="s">
        <v>502</v>
      </c>
      <c r="B215" s="16" t="s">
        <v>32</v>
      </c>
      <c r="C215" s="16" t="s">
        <v>164</v>
      </c>
      <c r="D215" s="33" t="s">
        <v>34</v>
      </c>
      <c r="E215" s="33">
        <v>100</v>
      </c>
      <c r="F215" s="33">
        <v>1</v>
      </c>
      <c r="G215" s="33">
        <v>7</v>
      </c>
      <c r="H215" s="33"/>
      <c r="I215" s="31" t="s">
        <v>35</v>
      </c>
      <c r="J215" s="31"/>
      <c r="K215" s="33"/>
      <c r="L215" s="33"/>
      <c r="M215" s="31"/>
      <c r="N215" s="31"/>
      <c r="O215" s="16" t="s">
        <v>503</v>
      </c>
      <c r="P215" s="16"/>
      <c r="Q215" s="16"/>
      <c r="R215" s="33">
        <v>100</v>
      </c>
      <c r="S215" s="34">
        <v>45874</v>
      </c>
      <c r="T215" s="34">
        <v>45874</v>
      </c>
      <c r="U215" s="34"/>
      <c r="V215" s="34"/>
      <c r="W215" s="34">
        <v>45874</v>
      </c>
      <c r="X215" s="33" t="s">
        <v>470</v>
      </c>
      <c r="Y215" s="35" t="str">
        <f>IF(Tabela2[[#This Row],[SIGLA]]="","",VLOOKUP(Tabela2[[#This Row],[SIGLA]],Tabela1[[#All],[Sigla Arte]:[Crédito]],2,0))</f>
        <v>RENAN FONSECA/ARQUIVO DA EDITORA</v>
      </c>
      <c r="Z215" s="31" t="s">
        <v>352</v>
      </c>
      <c r="AA215" s="31" t="str">
        <f>Tabela2[[#This Row],[ILUSTRADOR CRIAÇÃO]]</f>
        <v>RENAN FONSECA/ARQUIVO DA EDITORA</v>
      </c>
      <c r="AB215" s="33">
        <v>14</v>
      </c>
      <c r="AC215" s="16" t="s">
        <v>39</v>
      </c>
      <c r="AD215" s="16" t="s">
        <v>40</v>
      </c>
      <c r="AE215" s="35" t="str">
        <f t="shared" si="3"/>
        <v>EF1 E002 Mat</v>
      </c>
    </row>
    <row r="216" spans="1:31" s="36" customFormat="1" ht="45" x14ac:dyDescent="0.25">
      <c r="A216" s="31" t="s">
        <v>504</v>
      </c>
      <c r="B216" s="16" t="s">
        <v>32</v>
      </c>
      <c r="C216" s="16" t="s">
        <v>33</v>
      </c>
      <c r="D216" s="33" t="s">
        <v>34</v>
      </c>
      <c r="E216" s="33">
        <v>101</v>
      </c>
      <c r="F216" s="33">
        <v>1</v>
      </c>
      <c r="G216" s="33">
        <v>7</v>
      </c>
      <c r="H216" s="33"/>
      <c r="I216" s="31" t="s">
        <v>46</v>
      </c>
      <c r="J216" s="31"/>
      <c r="K216" s="33"/>
      <c r="L216" s="33"/>
      <c r="M216" s="31"/>
      <c r="N216" s="31"/>
      <c r="O216" s="16" t="s">
        <v>505</v>
      </c>
      <c r="P216" s="16"/>
      <c r="Q216" s="16"/>
      <c r="R216" s="33"/>
      <c r="S216" s="34"/>
      <c r="T216" s="34"/>
      <c r="U216" s="34"/>
      <c r="V216" s="34"/>
      <c r="W216" s="34"/>
      <c r="X216" s="33" t="s">
        <v>43</v>
      </c>
      <c r="Y216" s="35" t="str">
        <f>IF(Tabela2[[#This Row],[SIGLA]]="","",VLOOKUP(Tabela2[[#This Row],[SIGLA]],Tabela1[[#All],[Sigla Arte]:[Crédito]],2,0))</f>
        <v>GUILHERME RODRIGUES/ARQUIVO DA EDITORA</v>
      </c>
      <c r="Z216" s="31"/>
      <c r="AA216" s="31" t="str">
        <f>Tabela2[[#This Row],[ILUSTRADOR CRIAÇÃO]]</f>
        <v>GUILHERME RODRIGUES/ARQUIVO DA EDITORA</v>
      </c>
      <c r="AB216" s="33"/>
      <c r="AC216" s="16"/>
      <c r="AD216" s="16"/>
      <c r="AE216" s="35" t="str">
        <f t="shared" si="3"/>
        <v>EF1 E002 Mat</v>
      </c>
    </row>
    <row r="217" spans="1:31" s="36" customFormat="1" ht="60" x14ac:dyDescent="0.25">
      <c r="A217" s="31" t="s">
        <v>506</v>
      </c>
      <c r="B217" s="16" t="s">
        <v>32</v>
      </c>
      <c r="C217" s="16" t="s">
        <v>164</v>
      </c>
      <c r="D217" s="33" t="s">
        <v>34</v>
      </c>
      <c r="E217" s="33">
        <v>102</v>
      </c>
      <c r="F217" s="33">
        <v>1</v>
      </c>
      <c r="G217" s="33">
        <v>7</v>
      </c>
      <c r="H217" s="33"/>
      <c r="I217" s="31" t="s">
        <v>46</v>
      </c>
      <c r="J217" s="31"/>
      <c r="K217" s="33"/>
      <c r="L217" s="33"/>
      <c r="M217" s="31"/>
      <c r="N217" s="31"/>
      <c r="O217" s="16" t="s">
        <v>507</v>
      </c>
      <c r="P217" s="16"/>
      <c r="Q217" s="16"/>
      <c r="R217" s="33"/>
      <c r="S217" s="34"/>
      <c r="T217" s="34"/>
      <c r="U217" s="34"/>
      <c r="V217" s="34"/>
      <c r="W217" s="34"/>
      <c r="X217" s="33" t="s">
        <v>48</v>
      </c>
      <c r="Y217" s="35" t="str">
        <f>IF(Tabela2[[#This Row],[SIGLA]]="","",VLOOKUP(Tabela2[[#This Row],[SIGLA]],Tabela1[[#All],[Sigla Arte]:[Crédito]],2,0))</f>
        <v>SERGIO LIMA/ARQUIVO DA EDITORA</v>
      </c>
      <c r="Z217" s="31"/>
      <c r="AA217" s="31" t="str">
        <f>Tabela2[[#This Row],[ILUSTRADOR CRIAÇÃO]]</f>
        <v>SERGIO LIMA/ARQUIVO DA EDITORA</v>
      </c>
      <c r="AB217" s="33"/>
      <c r="AC217" s="16"/>
      <c r="AD217" s="16"/>
      <c r="AE217" s="35" t="str">
        <f t="shared" si="3"/>
        <v>EF1 E002 Mat</v>
      </c>
    </row>
    <row r="218" spans="1:31" s="36" customFormat="1" ht="60" x14ac:dyDescent="0.25">
      <c r="A218" s="31" t="s">
        <v>508</v>
      </c>
      <c r="B218" s="16" t="s">
        <v>32</v>
      </c>
      <c r="C218" s="16" t="s">
        <v>164</v>
      </c>
      <c r="D218" s="33" t="s">
        <v>34</v>
      </c>
      <c r="E218" s="33">
        <v>102</v>
      </c>
      <c r="F218" s="33">
        <v>1</v>
      </c>
      <c r="G218" s="33">
        <v>7</v>
      </c>
      <c r="H218" s="33"/>
      <c r="I218" s="31" t="s">
        <v>46</v>
      </c>
      <c r="J218" s="31"/>
      <c r="K218" s="33"/>
      <c r="L218" s="33"/>
      <c r="M218" s="31"/>
      <c r="N218" s="31"/>
      <c r="O218" s="16" t="s">
        <v>509</v>
      </c>
      <c r="P218" s="16"/>
      <c r="Q218" s="16"/>
      <c r="R218" s="33"/>
      <c r="S218" s="34"/>
      <c r="T218" s="34"/>
      <c r="U218" s="34"/>
      <c r="V218" s="34"/>
      <c r="W218" s="34"/>
      <c r="X218" s="33" t="s">
        <v>48</v>
      </c>
      <c r="Y218" s="35" t="str">
        <f>IF(Tabela2[[#This Row],[SIGLA]]="","",VLOOKUP(Tabela2[[#This Row],[SIGLA]],Tabela1[[#All],[Sigla Arte]:[Crédito]],2,0))</f>
        <v>SERGIO LIMA/ARQUIVO DA EDITORA</v>
      </c>
      <c r="Z218" s="31"/>
      <c r="AA218" s="31" t="str">
        <f>Tabela2[[#This Row],[ILUSTRADOR CRIAÇÃO]]</f>
        <v>SERGIO LIMA/ARQUIVO DA EDITORA</v>
      </c>
      <c r="AB218" s="33"/>
      <c r="AC218" s="16"/>
      <c r="AD218" s="16"/>
      <c r="AE218" s="35" t="str">
        <f t="shared" si="3"/>
        <v>EF1 E002 Mat</v>
      </c>
    </row>
    <row r="219" spans="1:31" s="36" customFormat="1" ht="90" x14ac:dyDescent="0.25">
      <c r="A219" s="31" t="s">
        <v>510</v>
      </c>
      <c r="B219" s="16" t="s">
        <v>32</v>
      </c>
      <c r="C219" s="16" t="s">
        <v>164</v>
      </c>
      <c r="D219" s="33" t="s">
        <v>34</v>
      </c>
      <c r="E219" s="33">
        <v>102</v>
      </c>
      <c r="F219" s="33">
        <v>1</v>
      </c>
      <c r="G219" s="33">
        <v>7</v>
      </c>
      <c r="H219" s="33"/>
      <c r="I219" s="31" t="s">
        <v>35</v>
      </c>
      <c r="J219" s="31"/>
      <c r="K219" s="33"/>
      <c r="L219" s="33"/>
      <c r="M219" s="31"/>
      <c r="N219" s="31"/>
      <c r="O219" s="16" t="s">
        <v>511</v>
      </c>
      <c r="P219" s="16"/>
      <c r="Q219" s="16"/>
      <c r="R219" s="33">
        <v>4</v>
      </c>
      <c r="S219" s="34">
        <v>45734</v>
      </c>
      <c r="T219" s="34">
        <v>45734</v>
      </c>
      <c r="U219" s="34"/>
      <c r="V219" s="34"/>
      <c r="W219" s="34">
        <v>45735</v>
      </c>
      <c r="X219" s="33" t="s">
        <v>48</v>
      </c>
      <c r="Y219" s="35" t="str">
        <f>IF(Tabela2[[#This Row],[SIGLA]]="","",VLOOKUP(Tabela2[[#This Row],[SIGLA]],Tabela1[[#All],[Sigla Arte]:[Crédito]],2,0))</f>
        <v>SERGIO LIMA/ARQUIVO DA EDITORA</v>
      </c>
      <c r="Z219" s="31" t="s">
        <v>475</v>
      </c>
      <c r="AA219" s="31" t="str">
        <f>Tabela2[[#This Row],[ILUSTRADOR CRIAÇÃO]]</f>
        <v>SERGIO LIMA/ARQUIVO DA EDITORA</v>
      </c>
      <c r="AB219" s="33">
        <v>14</v>
      </c>
      <c r="AC219" s="16"/>
      <c r="AD219" s="16" t="s">
        <v>40</v>
      </c>
      <c r="AE219" s="35" t="str">
        <f t="shared" si="3"/>
        <v>EF1 E002 Mat</v>
      </c>
    </row>
    <row r="220" spans="1:31" s="36" customFormat="1" ht="45" x14ac:dyDescent="0.25">
      <c r="A220" s="31" t="s">
        <v>512</v>
      </c>
      <c r="B220" s="16" t="s">
        <v>401</v>
      </c>
      <c r="C220" s="16" t="s">
        <v>33</v>
      </c>
      <c r="D220" s="33" t="s">
        <v>34</v>
      </c>
      <c r="E220" s="33">
        <v>105</v>
      </c>
      <c r="F220" s="33">
        <v>1</v>
      </c>
      <c r="G220" s="33">
        <v>8</v>
      </c>
      <c r="H220" s="33"/>
      <c r="I220" s="31" t="s">
        <v>46</v>
      </c>
      <c r="J220" s="31"/>
      <c r="K220" s="33"/>
      <c r="L220" s="33"/>
      <c r="M220" s="31"/>
      <c r="N220" s="31"/>
      <c r="O220" s="16" t="s">
        <v>513</v>
      </c>
      <c r="P220" s="16"/>
      <c r="Q220" s="16" t="s">
        <v>514</v>
      </c>
      <c r="R220" s="33"/>
      <c r="S220" s="34"/>
      <c r="T220" s="34"/>
      <c r="U220" s="34"/>
      <c r="V220" s="34"/>
      <c r="W220" s="34"/>
      <c r="X220" s="33" t="s">
        <v>43</v>
      </c>
      <c r="Y220" s="35" t="str">
        <f>IF(Tabela2[[#This Row],[SIGLA]]="","",VLOOKUP(Tabela2[[#This Row],[SIGLA]],Tabela1[[#All],[Sigla Arte]:[Crédito]],2,0))</f>
        <v>GUILHERME RODRIGUES/ARQUIVO DA EDITORA</v>
      </c>
      <c r="Z220" s="31"/>
      <c r="AA220" s="31" t="str">
        <f>Tabela2[[#This Row],[ILUSTRADOR CRIAÇÃO]]</f>
        <v>GUILHERME RODRIGUES/ARQUIVO DA EDITORA</v>
      </c>
      <c r="AB220" s="33"/>
      <c r="AC220" s="16"/>
      <c r="AD220" s="16"/>
      <c r="AE220" s="35" t="str">
        <f t="shared" si="3"/>
        <v>EF1 E002 Mat</v>
      </c>
    </row>
    <row r="221" spans="1:31" s="36" customFormat="1" ht="30" x14ac:dyDescent="0.25">
      <c r="A221" s="31" t="s">
        <v>515</v>
      </c>
      <c r="B221" s="16" t="s">
        <v>32</v>
      </c>
      <c r="C221" s="16" t="s">
        <v>33</v>
      </c>
      <c r="D221" s="33" t="s">
        <v>34</v>
      </c>
      <c r="E221" s="33">
        <v>106</v>
      </c>
      <c r="F221" s="33">
        <v>1</v>
      </c>
      <c r="G221" s="33">
        <v>8</v>
      </c>
      <c r="H221" s="33"/>
      <c r="I221" s="31" t="s">
        <v>46</v>
      </c>
      <c r="J221" s="31"/>
      <c r="K221" s="33"/>
      <c r="L221" s="33"/>
      <c r="M221" s="31"/>
      <c r="N221" s="31"/>
      <c r="O221" s="16" t="s">
        <v>516</v>
      </c>
      <c r="P221" s="16"/>
      <c r="Q221" s="16"/>
      <c r="R221" s="33"/>
      <c r="S221" s="34"/>
      <c r="T221" s="34"/>
      <c r="U221" s="34"/>
      <c r="V221" s="34"/>
      <c r="W221" s="34"/>
      <c r="X221" s="33" t="s">
        <v>85</v>
      </c>
      <c r="Y221" s="35" t="str">
        <f>IF(Tabela2[[#This Row],[SIGLA]]="","",VLOOKUP(Tabela2[[#This Row],[SIGLA]],Tabela1[[#All],[Sigla Arte]:[Crédito]],2,0))</f>
        <v>HELOÍSA PINTARELLI/ARQUIVO DA EDITORA</v>
      </c>
      <c r="Z221" s="31"/>
      <c r="AA221" s="31" t="str">
        <f>Tabela2[[#This Row],[ILUSTRADOR CRIAÇÃO]]</f>
        <v>HELOÍSA PINTARELLI/ARQUIVO DA EDITORA</v>
      </c>
      <c r="AB221" s="33"/>
      <c r="AC221" s="16"/>
      <c r="AD221" s="16"/>
      <c r="AE221" s="35" t="str">
        <f t="shared" si="3"/>
        <v>EF1 E002 Mat</v>
      </c>
    </row>
    <row r="222" spans="1:31" s="36" customFormat="1" ht="30" x14ac:dyDescent="0.25">
      <c r="A222" s="31" t="s">
        <v>517</v>
      </c>
      <c r="B222" s="16" t="s">
        <v>32</v>
      </c>
      <c r="C222" s="16" t="s">
        <v>33</v>
      </c>
      <c r="D222" s="33" t="s">
        <v>34</v>
      </c>
      <c r="E222" s="33">
        <v>106</v>
      </c>
      <c r="F222" s="33">
        <v>1</v>
      </c>
      <c r="G222" s="33">
        <v>8</v>
      </c>
      <c r="H222" s="33"/>
      <c r="I222" s="31" t="s">
        <v>35</v>
      </c>
      <c r="J222" s="31"/>
      <c r="K222" s="33"/>
      <c r="L222" s="33"/>
      <c r="M222" s="31"/>
      <c r="N222" s="31"/>
      <c r="O222" s="16" t="s">
        <v>518</v>
      </c>
      <c r="P222" s="16"/>
      <c r="Q222" s="16"/>
      <c r="R222" s="33"/>
      <c r="S222" s="34"/>
      <c r="T222" s="34">
        <v>45789</v>
      </c>
      <c r="U222" s="34"/>
      <c r="V222" s="34"/>
      <c r="W222" s="34">
        <v>45789</v>
      </c>
      <c r="X222" s="33" t="s">
        <v>85</v>
      </c>
      <c r="Y222" s="35" t="str">
        <f>IF(Tabela2[[#This Row],[SIGLA]]="","",VLOOKUP(Tabela2[[#This Row],[SIGLA]],Tabela1[[#All],[Sigla Arte]:[Crédito]],2,0))</f>
        <v>HELOÍSA PINTARELLI/ARQUIVO DA EDITORA</v>
      </c>
      <c r="Z222" s="31" t="s">
        <v>221</v>
      </c>
      <c r="AA222" s="31" t="str">
        <f>Tabela2[[#This Row],[ILUSTRADOR CRIAÇÃO]]</f>
        <v>HELOÍSA PINTARELLI/ARQUIVO DA EDITORA</v>
      </c>
      <c r="AB222" s="33">
        <v>13</v>
      </c>
      <c r="AC222" s="16" t="s">
        <v>39</v>
      </c>
      <c r="AD222" s="16" t="s">
        <v>40</v>
      </c>
      <c r="AE222" s="35" t="str">
        <f t="shared" si="3"/>
        <v>EF1 E002 Mat</v>
      </c>
    </row>
    <row r="223" spans="1:31" s="36" customFormat="1" ht="90" x14ac:dyDescent="0.25">
      <c r="A223" s="43" t="s">
        <v>519</v>
      </c>
      <c r="B223" s="16" t="s">
        <v>32</v>
      </c>
      <c r="C223" s="16" t="s">
        <v>33</v>
      </c>
      <c r="D223" s="33" t="s">
        <v>34</v>
      </c>
      <c r="E223" s="33">
        <v>106</v>
      </c>
      <c r="F223" s="33">
        <v>1</v>
      </c>
      <c r="G223" s="33">
        <v>8</v>
      </c>
      <c r="H223" s="33"/>
      <c r="I223" s="31" t="s">
        <v>46</v>
      </c>
      <c r="J223" s="31"/>
      <c r="K223" s="33"/>
      <c r="L223" s="33"/>
      <c r="M223" s="31"/>
      <c r="N223" s="31"/>
      <c r="O223" s="16" t="s">
        <v>520</v>
      </c>
      <c r="P223" s="16"/>
      <c r="Q223" s="16"/>
      <c r="R223" s="33">
        <v>39</v>
      </c>
      <c r="S223" s="34">
        <v>45786</v>
      </c>
      <c r="T223" s="34"/>
      <c r="U223" s="34"/>
      <c r="V223" s="34"/>
      <c r="W223" s="34"/>
      <c r="X223" s="33" t="s">
        <v>85</v>
      </c>
      <c r="Y223" s="35" t="str">
        <f>IF(Tabela2[[#This Row],[SIGLA]]="","",VLOOKUP(Tabela2[[#This Row],[SIGLA]],Tabela1[[#All],[Sigla Arte]:[Crédito]],2,0))</f>
        <v>HELOÍSA PINTARELLI/ARQUIVO DA EDITORA</v>
      </c>
      <c r="Z223" s="31"/>
      <c r="AA223" s="31" t="str">
        <f>Tabela2[[#This Row],[ILUSTRADOR CRIAÇÃO]]</f>
        <v>HELOÍSA PINTARELLI/ARQUIVO DA EDITORA</v>
      </c>
      <c r="AB223" s="33"/>
      <c r="AC223" s="16"/>
      <c r="AD223" s="16"/>
      <c r="AE223" s="35" t="str">
        <f t="shared" si="3"/>
        <v>EF1 E002 Mat</v>
      </c>
    </row>
    <row r="224" spans="1:31" s="36" customFormat="1" ht="30" x14ac:dyDescent="0.25">
      <c r="A224" s="31" t="s">
        <v>521</v>
      </c>
      <c r="B224" s="16" t="s">
        <v>32</v>
      </c>
      <c r="C224" s="16" t="s">
        <v>164</v>
      </c>
      <c r="D224" s="33" t="s">
        <v>34</v>
      </c>
      <c r="E224" s="33">
        <v>106</v>
      </c>
      <c r="F224" s="33">
        <v>1</v>
      </c>
      <c r="G224" s="33">
        <v>8</v>
      </c>
      <c r="H224" s="33"/>
      <c r="I224" s="31" t="s">
        <v>46</v>
      </c>
      <c r="J224" s="31"/>
      <c r="K224" s="33"/>
      <c r="L224" s="33"/>
      <c r="M224" s="31"/>
      <c r="N224" s="31"/>
      <c r="O224" s="16" t="s">
        <v>522</v>
      </c>
      <c r="P224" s="16"/>
      <c r="Q224" s="16"/>
      <c r="R224" s="33"/>
      <c r="S224" s="34"/>
      <c r="T224" s="34"/>
      <c r="U224" s="34"/>
      <c r="V224" s="34"/>
      <c r="W224" s="34"/>
      <c r="X224" s="33" t="s">
        <v>48</v>
      </c>
      <c r="Y224" s="35" t="str">
        <f>IF(Tabela2[[#This Row],[SIGLA]]="","",VLOOKUP(Tabela2[[#This Row],[SIGLA]],Tabela1[[#All],[Sigla Arte]:[Crédito]],2,0))</f>
        <v>SERGIO LIMA/ARQUIVO DA EDITORA</v>
      </c>
      <c r="Z224" s="31"/>
      <c r="AA224" s="31" t="str">
        <f>Tabela2[[#This Row],[ILUSTRADOR CRIAÇÃO]]</f>
        <v>SERGIO LIMA/ARQUIVO DA EDITORA</v>
      </c>
      <c r="AB224" s="33"/>
      <c r="AC224" s="16"/>
      <c r="AD224" s="16"/>
      <c r="AE224" s="35" t="str">
        <f t="shared" si="3"/>
        <v>EF1 E002 Mat</v>
      </c>
    </row>
    <row r="225" spans="1:31" s="36" customFormat="1" ht="30" x14ac:dyDescent="0.25">
      <c r="A225" s="31" t="s">
        <v>523</v>
      </c>
      <c r="B225" s="16" t="s">
        <v>32</v>
      </c>
      <c r="C225" s="16" t="s">
        <v>164</v>
      </c>
      <c r="D225" s="33" t="s">
        <v>34</v>
      </c>
      <c r="E225" s="33">
        <v>106</v>
      </c>
      <c r="F225" s="33">
        <v>1</v>
      </c>
      <c r="G225" s="33">
        <v>8</v>
      </c>
      <c r="H225" s="33"/>
      <c r="I225" s="31" t="s">
        <v>46</v>
      </c>
      <c r="J225" s="31"/>
      <c r="K225" s="33"/>
      <c r="L225" s="33"/>
      <c r="M225" s="31"/>
      <c r="N225" s="31"/>
      <c r="O225" s="16" t="s">
        <v>524</v>
      </c>
      <c r="P225" s="16"/>
      <c r="Q225" s="16"/>
      <c r="R225" s="33"/>
      <c r="S225" s="34"/>
      <c r="T225" s="34"/>
      <c r="U225" s="34"/>
      <c r="V225" s="34"/>
      <c r="W225" s="34"/>
      <c r="X225" s="33" t="s">
        <v>48</v>
      </c>
      <c r="Y225" s="35" t="str">
        <f>IF(Tabela2[[#This Row],[SIGLA]]="","",VLOOKUP(Tabela2[[#This Row],[SIGLA]],Tabela1[[#All],[Sigla Arte]:[Crédito]],2,0))</f>
        <v>SERGIO LIMA/ARQUIVO DA EDITORA</v>
      </c>
      <c r="Z225" s="31"/>
      <c r="AA225" s="31" t="str">
        <f>Tabela2[[#This Row],[ILUSTRADOR CRIAÇÃO]]</f>
        <v>SERGIO LIMA/ARQUIVO DA EDITORA</v>
      </c>
      <c r="AB225" s="33"/>
      <c r="AC225" s="16"/>
      <c r="AD225" s="16"/>
      <c r="AE225" s="35" t="str">
        <f t="shared" si="3"/>
        <v>EF1 E002 Mat</v>
      </c>
    </row>
    <row r="226" spans="1:31" s="36" customFormat="1" ht="30" x14ac:dyDescent="0.25">
      <c r="A226" s="31" t="s">
        <v>525</v>
      </c>
      <c r="B226" s="16" t="s">
        <v>32</v>
      </c>
      <c r="C226" s="16" t="s">
        <v>164</v>
      </c>
      <c r="D226" s="33" t="s">
        <v>34</v>
      </c>
      <c r="E226" s="33">
        <v>106</v>
      </c>
      <c r="F226" s="33">
        <v>1</v>
      </c>
      <c r="G226" s="33">
        <v>8</v>
      </c>
      <c r="H226" s="33"/>
      <c r="I226" s="31" t="s">
        <v>46</v>
      </c>
      <c r="J226" s="31"/>
      <c r="K226" s="33"/>
      <c r="L226" s="33"/>
      <c r="M226" s="31"/>
      <c r="N226" s="31"/>
      <c r="O226" s="16" t="s">
        <v>526</v>
      </c>
      <c r="P226" s="16"/>
      <c r="Q226" s="16"/>
      <c r="R226" s="33"/>
      <c r="S226" s="34"/>
      <c r="T226" s="34"/>
      <c r="U226" s="34"/>
      <c r="V226" s="34"/>
      <c r="W226" s="34"/>
      <c r="X226" s="33" t="s">
        <v>48</v>
      </c>
      <c r="Y226" s="35" t="str">
        <f>IF(Tabela2[[#This Row],[SIGLA]]="","",VLOOKUP(Tabela2[[#This Row],[SIGLA]],Tabela1[[#All],[Sigla Arte]:[Crédito]],2,0))</f>
        <v>SERGIO LIMA/ARQUIVO DA EDITORA</v>
      </c>
      <c r="Z226" s="31"/>
      <c r="AA226" s="31" t="str">
        <f>Tabela2[[#This Row],[ILUSTRADOR CRIAÇÃO]]</f>
        <v>SERGIO LIMA/ARQUIVO DA EDITORA</v>
      </c>
      <c r="AB226" s="33"/>
      <c r="AC226" s="16"/>
      <c r="AD226" s="16"/>
      <c r="AE226" s="35" t="str">
        <f t="shared" si="3"/>
        <v>EF1 E002 Mat</v>
      </c>
    </row>
    <row r="227" spans="1:31" s="36" customFormat="1" ht="30" x14ac:dyDescent="0.25">
      <c r="A227" s="31" t="s">
        <v>527</v>
      </c>
      <c r="B227" s="16" t="s">
        <v>32</v>
      </c>
      <c r="C227" s="16" t="s">
        <v>164</v>
      </c>
      <c r="D227" s="33" t="s">
        <v>34</v>
      </c>
      <c r="E227" s="33">
        <v>106</v>
      </c>
      <c r="F227" s="33">
        <v>1</v>
      </c>
      <c r="G227" s="33">
        <v>8</v>
      </c>
      <c r="H227" s="33"/>
      <c r="I227" s="31" t="s">
        <v>46</v>
      </c>
      <c r="J227" s="31"/>
      <c r="K227" s="33"/>
      <c r="L227" s="33"/>
      <c r="M227" s="31"/>
      <c r="N227" s="31"/>
      <c r="O227" s="16" t="s">
        <v>528</v>
      </c>
      <c r="P227" s="16"/>
      <c r="Q227" s="16"/>
      <c r="R227" s="33"/>
      <c r="S227" s="34"/>
      <c r="T227" s="34"/>
      <c r="U227" s="34"/>
      <c r="V227" s="34"/>
      <c r="W227" s="34"/>
      <c r="X227" s="33" t="s">
        <v>48</v>
      </c>
      <c r="Y227" s="35" t="str">
        <f>IF(Tabela2[[#This Row],[SIGLA]]="","",VLOOKUP(Tabela2[[#This Row],[SIGLA]],Tabela1[[#All],[Sigla Arte]:[Crédito]],2,0))</f>
        <v>SERGIO LIMA/ARQUIVO DA EDITORA</v>
      </c>
      <c r="Z227" s="31"/>
      <c r="AA227" s="31" t="str">
        <f>Tabela2[[#This Row],[ILUSTRADOR CRIAÇÃO]]</f>
        <v>SERGIO LIMA/ARQUIVO DA EDITORA</v>
      </c>
      <c r="AB227" s="33"/>
      <c r="AC227" s="16"/>
      <c r="AD227" s="16"/>
      <c r="AE227" s="35" t="str">
        <f t="shared" si="3"/>
        <v>EF1 E002 Mat</v>
      </c>
    </row>
    <row r="228" spans="1:31" s="36" customFormat="1" ht="75" x14ac:dyDescent="0.25">
      <c r="A228" s="31" t="s">
        <v>529</v>
      </c>
      <c r="B228" s="16" t="s">
        <v>32</v>
      </c>
      <c r="C228" s="16" t="s">
        <v>164</v>
      </c>
      <c r="D228" s="33" t="s">
        <v>34</v>
      </c>
      <c r="E228" s="33">
        <v>106</v>
      </c>
      <c r="F228" s="33">
        <v>1</v>
      </c>
      <c r="G228" s="33">
        <v>8</v>
      </c>
      <c r="H228" s="33"/>
      <c r="I228" s="31" t="s">
        <v>35</v>
      </c>
      <c r="J228" s="31"/>
      <c r="K228" s="33"/>
      <c r="L228" s="33"/>
      <c r="M228" s="31"/>
      <c r="N228" s="31"/>
      <c r="O228" s="16" t="s">
        <v>530</v>
      </c>
      <c r="P228" s="16"/>
      <c r="Q228" s="16"/>
      <c r="R228" s="33">
        <v>39</v>
      </c>
      <c r="S228" s="34">
        <v>45786</v>
      </c>
      <c r="T228" s="34">
        <v>45789</v>
      </c>
      <c r="U228" s="34"/>
      <c r="V228" s="34"/>
      <c r="W228" s="34">
        <v>45789</v>
      </c>
      <c r="X228" s="33" t="s">
        <v>48</v>
      </c>
      <c r="Y228" s="35" t="str">
        <f>IF(Tabela2[[#This Row],[SIGLA]]="","",VLOOKUP(Tabela2[[#This Row],[SIGLA]],Tabela1[[#All],[Sigla Arte]:[Crédito]],2,0))</f>
        <v>SERGIO LIMA/ARQUIVO DA EDITORA</v>
      </c>
      <c r="Z228" s="31" t="s">
        <v>221</v>
      </c>
      <c r="AA228" s="31" t="str">
        <f>Tabela2[[#This Row],[ILUSTRADOR CRIAÇÃO]]</f>
        <v>SERGIO LIMA/ARQUIVO DA EDITORA</v>
      </c>
      <c r="AB228" s="33">
        <v>13</v>
      </c>
      <c r="AC228" s="16" t="s">
        <v>39</v>
      </c>
      <c r="AD228" s="16" t="s">
        <v>40</v>
      </c>
      <c r="AE228" s="35" t="str">
        <f t="shared" si="3"/>
        <v>EF1 E002 Mat</v>
      </c>
    </row>
    <row r="229" spans="1:31" s="36" customFormat="1" ht="60" x14ac:dyDescent="0.25">
      <c r="A229" s="31" t="s">
        <v>531</v>
      </c>
      <c r="B229" s="16" t="s">
        <v>32</v>
      </c>
      <c r="C229" s="16" t="s">
        <v>164</v>
      </c>
      <c r="D229" s="33" t="s">
        <v>34</v>
      </c>
      <c r="E229" s="33">
        <v>106</v>
      </c>
      <c r="F229" s="33">
        <v>1</v>
      </c>
      <c r="G229" s="33">
        <v>8</v>
      </c>
      <c r="H229" s="33"/>
      <c r="I229" s="31" t="s">
        <v>35</v>
      </c>
      <c r="J229" s="31"/>
      <c r="K229" s="33"/>
      <c r="L229" s="33"/>
      <c r="M229" s="31"/>
      <c r="N229" s="31"/>
      <c r="O229" s="16" t="s">
        <v>532</v>
      </c>
      <c r="P229" s="16"/>
      <c r="Q229" s="16"/>
      <c r="R229" s="33">
        <v>39</v>
      </c>
      <c r="S229" s="34">
        <v>45786</v>
      </c>
      <c r="T229" s="34">
        <v>45789</v>
      </c>
      <c r="U229" s="34"/>
      <c r="V229" s="34"/>
      <c r="W229" s="34">
        <v>45789</v>
      </c>
      <c r="X229" s="33" t="s">
        <v>48</v>
      </c>
      <c r="Y229" s="35" t="str">
        <f>IF(Tabela2[[#This Row],[SIGLA]]="","",VLOOKUP(Tabela2[[#This Row],[SIGLA]],Tabela1[[#All],[Sigla Arte]:[Crédito]],2,0))</f>
        <v>SERGIO LIMA/ARQUIVO DA EDITORA</v>
      </c>
      <c r="Z229" s="31" t="s">
        <v>221</v>
      </c>
      <c r="AA229" s="31" t="str">
        <f>Tabela2[[#This Row],[ILUSTRADOR CRIAÇÃO]]</f>
        <v>SERGIO LIMA/ARQUIVO DA EDITORA</v>
      </c>
      <c r="AB229" s="33">
        <v>13</v>
      </c>
      <c r="AC229" s="16" t="s">
        <v>39</v>
      </c>
      <c r="AD229" s="16" t="s">
        <v>40</v>
      </c>
      <c r="AE229" s="35" t="str">
        <f t="shared" si="3"/>
        <v>EF1 E002 Mat</v>
      </c>
    </row>
    <row r="230" spans="1:31" s="36" customFormat="1" ht="60" x14ac:dyDescent="0.25">
      <c r="A230" s="31" t="s">
        <v>533</v>
      </c>
      <c r="B230" s="16" t="s">
        <v>32</v>
      </c>
      <c r="C230" s="16" t="s">
        <v>164</v>
      </c>
      <c r="D230" s="33" t="s">
        <v>34</v>
      </c>
      <c r="E230" s="33">
        <v>106</v>
      </c>
      <c r="F230" s="33">
        <v>1</v>
      </c>
      <c r="G230" s="33">
        <v>8</v>
      </c>
      <c r="H230" s="33"/>
      <c r="I230" s="31" t="s">
        <v>35</v>
      </c>
      <c r="J230" s="31"/>
      <c r="K230" s="33"/>
      <c r="L230" s="33"/>
      <c r="M230" s="31"/>
      <c r="N230" s="31"/>
      <c r="O230" s="16" t="s">
        <v>534</v>
      </c>
      <c r="P230" s="16"/>
      <c r="Q230" s="16"/>
      <c r="R230" s="33">
        <v>39</v>
      </c>
      <c r="S230" s="34">
        <v>45786</v>
      </c>
      <c r="T230" s="34">
        <v>45789</v>
      </c>
      <c r="U230" s="34"/>
      <c r="V230" s="34"/>
      <c r="W230" s="34">
        <v>45789</v>
      </c>
      <c r="X230" s="33" t="s">
        <v>48</v>
      </c>
      <c r="Y230" s="35" t="str">
        <f>IF(Tabela2[[#This Row],[SIGLA]]="","",VLOOKUP(Tabela2[[#This Row],[SIGLA]],Tabela1[[#All],[Sigla Arte]:[Crédito]],2,0))</f>
        <v>SERGIO LIMA/ARQUIVO DA EDITORA</v>
      </c>
      <c r="Z230" s="31" t="s">
        <v>221</v>
      </c>
      <c r="AA230" s="31" t="str">
        <f>Tabela2[[#This Row],[ILUSTRADOR CRIAÇÃO]]</f>
        <v>SERGIO LIMA/ARQUIVO DA EDITORA</v>
      </c>
      <c r="AB230" s="33">
        <v>13</v>
      </c>
      <c r="AC230" s="16" t="s">
        <v>39</v>
      </c>
      <c r="AD230" s="16" t="s">
        <v>40</v>
      </c>
      <c r="AE230" s="35" t="str">
        <f t="shared" si="3"/>
        <v>EF1 E002 Mat</v>
      </c>
    </row>
    <row r="231" spans="1:31" s="36" customFormat="1" ht="30" x14ac:dyDescent="0.25">
      <c r="A231" s="31" t="s">
        <v>535</v>
      </c>
      <c r="B231" s="16" t="s">
        <v>32</v>
      </c>
      <c r="C231" s="16" t="s">
        <v>164</v>
      </c>
      <c r="D231" s="33" t="s">
        <v>34</v>
      </c>
      <c r="E231" s="33">
        <v>107</v>
      </c>
      <c r="F231" s="33">
        <v>1</v>
      </c>
      <c r="G231" s="33">
        <v>8</v>
      </c>
      <c r="H231" s="33"/>
      <c r="I231" s="31" t="s">
        <v>46</v>
      </c>
      <c r="J231" s="31"/>
      <c r="K231" s="33"/>
      <c r="L231" s="33"/>
      <c r="M231" s="31"/>
      <c r="N231" s="31"/>
      <c r="O231" s="16" t="s">
        <v>536</v>
      </c>
      <c r="P231" s="16"/>
      <c r="Q231" s="16"/>
      <c r="R231" s="33"/>
      <c r="S231" s="34"/>
      <c r="T231" s="34"/>
      <c r="U231" s="34"/>
      <c r="V231" s="34"/>
      <c r="W231" s="34"/>
      <c r="X231" s="33" t="s">
        <v>48</v>
      </c>
      <c r="Y231" s="35" t="str">
        <f>IF(Tabela2[[#This Row],[SIGLA]]="","",VLOOKUP(Tabela2[[#This Row],[SIGLA]],Tabela1[[#All],[Sigla Arte]:[Crédito]],2,0))</f>
        <v>SERGIO LIMA/ARQUIVO DA EDITORA</v>
      </c>
      <c r="Z231" s="31"/>
      <c r="AA231" s="31" t="str">
        <f>Tabela2[[#This Row],[ILUSTRADOR CRIAÇÃO]]</f>
        <v>SERGIO LIMA/ARQUIVO DA EDITORA</v>
      </c>
      <c r="AB231" s="33"/>
      <c r="AC231" s="16"/>
      <c r="AD231" s="16"/>
      <c r="AE231" s="35" t="str">
        <f t="shared" si="3"/>
        <v>EF1 E002 Mat</v>
      </c>
    </row>
    <row r="232" spans="1:31" s="36" customFormat="1" ht="45" x14ac:dyDescent="0.25">
      <c r="A232" s="31" t="s">
        <v>537</v>
      </c>
      <c r="B232" s="16" t="s">
        <v>32</v>
      </c>
      <c r="C232" s="16" t="s">
        <v>164</v>
      </c>
      <c r="D232" s="33" t="s">
        <v>34</v>
      </c>
      <c r="E232" s="33">
        <v>107</v>
      </c>
      <c r="F232" s="33">
        <v>1</v>
      </c>
      <c r="G232" s="33">
        <v>8</v>
      </c>
      <c r="H232" s="33"/>
      <c r="I232" s="31" t="s">
        <v>35</v>
      </c>
      <c r="J232" s="31"/>
      <c r="K232" s="33"/>
      <c r="L232" s="33"/>
      <c r="M232" s="31"/>
      <c r="N232" s="31"/>
      <c r="O232" s="16" t="s">
        <v>538</v>
      </c>
      <c r="P232" s="16"/>
      <c r="Q232" s="16"/>
      <c r="R232" s="33"/>
      <c r="S232" s="34"/>
      <c r="T232" s="34">
        <v>45877</v>
      </c>
      <c r="U232" s="34"/>
      <c r="V232" s="34"/>
      <c r="W232" s="34">
        <v>45877</v>
      </c>
      <c r="X232" s="33" t="s">
        <v>48</v>
      </c>
      <c r="Y232" s="35" t="str">
        <f>IF(Tabela2[[#This Row],[SIGLA]]="","",VLOOKUP(Tabela2[[#This Row],[SIGLA]],Tabela1[[#All],[Sigla Arte]:[Crédito]],2,0))</f>
        <v>SERGIO LIMA/ARQUIVO DA EDITORA</v>
      </c>
      <c r="Z232" s="31" t="s">
        <v>539</v>
      </c>
      <c r="AA232" s="31" t="str">
        <f>Tabela2[[#This Row],[ILUSTRADOR CRIAÇÃO]]</f>
        <v>SERGIO LIMA/ARQUIVO DA EDITORA</v>
      </c>
      <c r="AB232" s="33">
        <v>13</v>
      </c>
      <c r="AC232" s="16" t="s">
        <v>89</v>
      </c>
      <c r="AD232" s="16" t="s">
        <v>40</v>
      </c>
      <c r="AE232" s="35" t="str">
        <f t="shared" si="3"/>
        <v>EF1 E002 Mat</v>
      </c>
    </row>
    <row r="233" spans="1:31" s="36" customFormat="1" ht="45" x14ac:dyDescent="0.25">
      <c r="A233" s="31" t="s">
        <v>540</v>
      </c>
      <c r="B233" s="16" t="s">
        <v>32</v>
      </c>
      <c r="C233" s="16" t="s">
        <v>164</v>
      </c>
      <c r="D233" s="33" t="s">
        <v>34</v>
      </c>
      <c r="E233" s="33">
        <v>107</v>
      </c>
      <c r="F233" s="33">
        <v>1</v>
      </c>
      <c r="G233" s="33">
        <v>8</v>
      </c>
      <c r="H233" s="33"/>
      <c r="I233" s="31" t="s">
        <v>46</v>
      </c>
      <c r="J233" s="31"/>
      <c r="K233" s="33"/>
      <c r="L233" s="33"/>
      <c r="M233" s="31"/>
      <c r="N233" s="31"/>
      <c r="O233" s="16" t="s">
        <v>541</v>
      </c>
      <c r="P233" s="16"/>
      <c r="Q233" s="16"/>
      <c r="R233" s="33"/>
      <c r="S233" s="34"/>
      <c r="T233" s="34"/>
      <c r="U233" s="34"/>
      <c r="V233" s="34"/>
      <c r="W233" s="34"/>
      <c r="X233" s="33" t="s">
        <v>48</v>
      </c>
      <c r="Y233" s="35" t="str">
        <f>IF(Tabela2[[#This Row],[SIGLA]]="","",VLOOKUP(Tabela2[[#This Row],[SIGLA]],Tabela1[[#All],[Sigla Arte]:[Crédito]],2,0))</f>
        <v>SERGIO LIMA/ARQUIVO DA EDITORA</v>
      </c>
      <c r="Z233" s="31"/>
      <c r="AA233" s="31" t="str">
        <f>Tabela2[[#This Row],[ILUSTRADOR CRIAÇÃO]]</f>
        <v>SERGIO LIMA/ARQUIVO DA EDITORA</v>
      </c>
      <c r="AB233" s="33"/>
      <c r="AC233" s="16"/>
      <c r="AD233" s="16"/>
      <c r="AE233" s="35" t="str">
        <f t="shared" si="3"/>
        <v>EF1 E002 Mat</v>
      </c>
    </row>
    <row r="234" spans="1:31" s="36" customFormat="1" ht="45" x14ac:dyDescent="0.25">
      <c r="A234" s="31" t="s">
        <v>542</v>
      </c>
      <c r="B234" s="16" t="s">
        <v>32</v>
      </c>
      <c r="C234" s="16" t="s">
        <v>164</v>
      </c>
      <c r="D234" s="33" t="s">
        <v>34</v>
      </c>
      <c r="E234" s="33">
        <v>107</v>
      </c>
      <c r="F234" s="33">
        <v>1</v>
      </c>
      <c r="G234" s="33">
        <v>8</v>
      </c>
      <c r="H234" s="33"/>
      <c r="I234" s="31" t="s">
        <v>46</v>
      </c>
      <c r="J234" s="31"/>
      <c r="K234" s="33"/>
      <c r="L234" s="33"/>
      <c r="M234" s="31"/>
      <c r="N234" s="31"/>
      <c r="O234" s="16" t="s">
        <v>543</v>
      </c>
      <c r="P234" s="16"/>
      <c r="Q234" s="16"/>
      <c r="R234" s="33"/>
      <c r="S234" s="34"/>
      <c r="T234" s="34"/>
      <c r="U234" s="34"/>
      <c r="V234" s="34"/>
      <c r="W234" s="34"/>
      <c r="X234" s="33" t="s">
        <v>48</v>
      </c>
      <c r="Y234" s="35" t="str">
        <f>IF(Tabela2[[#This Row],[SIGLA]]="","",VLOOKUP(Tabela2[[#This Row],[SIGLA]],Tabela1[[#All],[Sigla Arte]:[Crédito]],2,0))</f>
        <v>SERGIO LIMA/ARQUIVO DA EDITORA</v>
      </c>
      <c r="Z234" s="31"/>
      <c r="AA234" s="31" t="str">
        <f>Tabela2[[#This Row],[ILUSTRADOR CRIAÇÃO]]</f>
        <v>SERGIO LIMA/ARQUIVO DA EDITORA</v>
      </c>
      <c r="AB234" s="33"/>
      <c r="AC234" s="16"/>
      <c r="AD234" s="16"/>
      <c r="AE234" s="35" t="str">
        <f t="shared" si="3"/>
        <v>EF1 E002 Mat</v>
      </c>
    </row>
    <row r="235" spans="1:31" s="36" customFormat="1" ht="30" x14ac:dyDescent="0.25">
      <c r="A235" s="31" t="s">
        <v>544</v>
      </c>
      <c r="B235" s="16" t="s">
        <v>32</v>
      </c>
      <c r="C235" s="16" t="s">
        <v>164</v>
      </c>
      <c r="D235" s="33" t="s">
        <v>34</v>
      </c>
      <c r="E235" s="33">
        <v>107</v>
      </c>
      <c r="F235" s="33">
        <v>1</v>
      </c>
      <c r="G235" s="33">
        <v>8</v>
      </c>
      <c r="H235" s="33"/>
      <c r="I235" s="31" t="s">
        <v>46</v>
      </c>
      <c r="J235" s="31"/>
      <c r="K235" s="33"/>
      <c r="L235" s="33"/>
      <c r="M235" s="31"/>
      <c r="N235" s="31"/>
      <c r="O235" s="16" t="s">
        <v>545</v>
      </c>
      <c r="P235" s="16"/>
      <c r="Q235" s="16"/>
      <c r="R235" s="33"/>
      <c r="S235" s="34"/>
      <c r="T235" s="34"/>
      <c r="U235" s="34"/>
      <c r="V235" s="34"/>
      <c r="W235" s="34"/>
      <c r="X235" s="33" t="s">
        <v>48</v>
      </c>
      <c r="Y235" s="35" t="str">
        <f>IF(Tabela2[[#This Row],[SIGLA]]="","",VLOOKUP(Tabela2[[#This Row],[SIGLA]],Tabela1[[#All],[Sigla Arte]:[Crédito]],2,0))</f>
        <v>SERGIO LIMA/ARQUIVO DA EDITORA</v>
      </c>
      <c r="Z235" s="31"/>
      <c r="AA235" s="31" t="str">
        <f>Tabela2[[#This Row],[ILUSTRADOR CRIAÇÃO]]</f>
        <v>SERGIO LIMA/ARQUIVO DA EDITORA</v>
      </c>
      <c r="AB235" s="33"/>
      <c r="AC235" s="16"/>
      <c r="AD235" s="16"/>
      <c r="AE235" s="35" t="str">
        <f t="shared" si="3"/>
        <v>EF1 E002 Mat</v>
      </c>
    </row>
    <row r="236" spans="1:31" s="36" customFormat="1" ht="30" x14ac:dyDescent="0.25">
      <c r="A236" s="31" t="s">
        <v>546</v>
      </c>
      <c r="B236" s="16" t="s">
        <v>32</v>
      </c>
      <c r="C236" s="16" t="s">
        <v>164</v>
      </c>
      <c r="D236" s="33" t="s">
        <v>34</v>
      </c>
      <c r="E236" s="33">
        <v>107</v>
      </c>
      <c r="F236" s="33">
        <v>1</v>
      </c>
      <c r="G236" s="33">
        <v>8</v>
      </c>
      <c r="H236" s="33"/>
      <c r="I236" s="31" t="s">
        <v>46</v>
      </c>
      <c r="J236" s="31"/>
      <c r="K236" s="33"/>
      <c r="L236" s="33"/>
      <c r="M236" s="31"/>
      <c r="N236" s="31"/>
      <c r="O236" s="16" t="s">
        <v>547</v>
      </c>
      <c r="P236" s="16"/>
      <c r="Q236" s="16"/>
      <c r="R236" s="33"/>
      <c r="S236" s="34"/>
      <c r="T236" s="34"/>
      <c r="U236" s="34"/>
      <c r="V236" s="34"/>
      <c r="W236" s="34"/>
      <c r="X236" s="33" t="s">
        <v>48</v>
      </c>
      <c r="Y236" s="35" t="str">
        <f>IF(Tabela2[[#This Row],[SIGLA]]="","",VLOOKUP(Tabela2[[#This Row],[SIGLA]],Tabela1[[#All],[Sigla Arte]:[Crédito]],2,0))</f>
        <v>SERGIO LIMA/ARQUIVO DA EDITORA</v>
      </c>
      <c r="Z236" s="31"/>
      <c r="AA236" s="31" t="str">
        <f>Tabela2[[#This Row],[ILUSTRADOR CRIAÇÃO]]</f>
        <v>SERGIO LIMA/ARQUIVO DA EDITORA</v>
      </c>
      <c r="AB236" s="33"/>
      <c r="AC236" s="16"/>
      <c r="AD236" s="16"/>
      <c r="AE236" s="35" t="str">
        <f t="shared" si="3"/>
        <v>EF1 E002 Mat</v>
      </c>
    </row>
    <row r="237" spans="1:31" s="36" customFormat="1" ht="30" x14ac:dyDescent="0.25">
      <c r="A237" s="31" t="s">
        <v>548</v>
      </c>
      <c r="B237" s="16" t="s">
        <v>32</v>
      </c>
      <c r="C237" s="16" t="s">
        <v>164</v>
      </c>
      <c r="D237" s="33" t="s">
        <v>34</v>
      </c>
      <c r="E237" s="33">
        <v>107</v>
      </c>
      <c r="F237" s="33">
        <v>1</v>
      </c>
      <c r="G237" s="33">
        <v>8</v>
      </c>
      <c r="H237" s="33"/>
      <c r="I237" s="31" t="s">
        <v>46</v>
      </c>
      <c r="J237" s="31"/>
      <c r="K237" s="33"/>
      <c r="L237" s="33"/>
      <c r="M237" s="31"/>
      <c r="N237" s="31"/>
      <c r="O237" s="16" t="s">
        <v>549</v>
      </c>
      <c r="P237" s="16"/>
      <c r="Q237" s="16"/>
      <c r="R237" s="33"/>
      <c r="S237" s="34"/>
      <c r="T237" s="34"/>
      <c r="U237" s="34"/>
      <c r="V237" s="34"/>
      <c r="W237" s="34"/>
      <c r="X237" s="33" t="s">
        <v>48</v>
      </c>
      <c r="Y237" s="35" t="str">
        <f>IF(Tabela2[[#This Row],[SIGLA]]="","",VLOOKUP(Tabela2[[#This Row],[SIGLA]],Tabela1[[#All],[Sigla Arte]:[Crédito]],2,0))</f>
        <v>SERGIO LIMA/ARQUIVO DA EDITORA</v>
      </c>
      <c r="Z237" s="31"/>
      <c r="AA237" s="31" t="str">
        <f>Tabela2[[#This Row],[ILUSTRADOR CRIAÇÃO]]</f>
        <v>SERGIO LIMA/ARQUIVO DA EDITORA</v>
      </c>
      <c r="AB237" s="33"/>
      <c r="AC237" s="16"/>
      <c r="AD237" s="16"/>
      <c r="AE237" s="35" t="str">
        <f t="shared" si="3"/>
        <v>EF1 E002 Mat</v>
      </c>
    </row>
    <row r="238" spans="1:31" s="36" customFormat="1" ht="45" x14ac:dyDescent="0.25">
      <c r="A238" s="31" t="s">
        <v>550</v>
      </c>
      <c r="B238" s="16" t="s">
        <v>401</v>
      </c>
      <c r="C238" s="16" t="s">
        <v>164</v>
      </c>
      <c r="D238" s="33" t="s">
        <v>34</v>
      </c>
      <c r="E238" s="33">
        <v>107</v>
      </c>
      <c r="F238" s="33">
        <v>1</v>
      </c>
      <c r="G238" s="33">
        <v>8</v>
      </c>
      <c r="H238" s="33"/>
      <c r="I238" s="31" t="s">
        <v>46</v>
      </c>
      <c r="J238" s="31"/>
      <c r="K238" s="33"/>
      <c r="L238" s="33"/>
      <c r="M238" s="31"/>
      <c r="N238" s="31"/>
      <c r="O238" s="16" t="s">
        <v>551</v>
      </c>
      <c r="P238" s="16"/>
      <c r="Q238" s="16"/>
      <c r="R238" s="33"/>
      <c r="S238" s="34"/>
      <c r="T238" s="34"/>
      <c r="U238" s="34"/>
      <c r="V238" s="34"/>
      <c r="W238" s="34"/>
      <c r="X238" s="33" t="s">
        <v>48</v>
      </c>
      <c r="Y238" s="35" t="str">
        <f>IF(Tabela2[[#This Row],[SIGLA]]="","",VLOOKUP(Tabela2[[#This Row],[SIGLA]],Tabela1[[#All],[Sigla Arte]:[Crédito]],2,0))</f>
        <v>SERGIO LIMA/ARQUIVO DA EDITORA</v>
      </c>
      <c r="Z238" s="31"/>
      <c r="AA238" s="31" t="str">
        <f>Tabela2[[#This Row],[ILUSTRADOR CRIAÇÃO]]</f>
        <v>SERGIO LIMA/ARQUIVO DA EDITORA</v>
      </c>
      <c r="AB238" s="33"/>
      <c r="AC238" s="16"/>
      <c r="AD238" s="16"/>
      <c r="AE238" s="35" t="str">
        <f t="shared" si="3"/>
        <v>EF1 E002 Mat</v>
      </c>
    </row>
    <row r="239" spans="1:31" s="36" customFormat="1" ht="45" x14ac:dyDescent="0.25">
      <c r="A239" s="31" t="s">
        <v>552</v>
      </c>
      <c r="B239" s="16" t="s">
        <v>401</v>
      </c>
      <c r="C239" s="16" t="s">
        <v>164</v>
      </c>
      <c r="D239" s="33" t="s">
        <v>34</v>
      </c>
      <c r="E239" s="33">
        <v>107</v>
      </c>
      <c r="F239" s="33">
        <v>1</v>
      </c>
      <c r="G239" s="33">
        <v>8</v>
      </c>
      <c r="H239" s="33"/>
      <c r="I239" s="31" t="s">
        <v>46</v>
      </c>
      <c r="J239" s="31"/>
      <c r="K239" s="33"/>
      <c r="L239" s="33"/>
      <c r="M239" s="31"/>
      <c r="N239" s="31"/>
      <c r="O239" s="16" t="s">
        <v>553</v>
      </c>
      <c r="P239" s="16"/>
      <c r="Q239" s="16"/>
      <c r="R239" s="33"/>
      <c r="S239" s="34"/>
      <c r="T239" s="34"/>
      <c r="U239" s="34"/>
      <c r="V239" s="34"/>
      <c r="W239" s="34"/>
      <c r="X239" s="33" t="s">
        <v>48</v>
      </c>
      <c r="Y239" s="35" t="str">
        <f>IF(Tabela2[[#This Row],[SIGLA]]="","",VLOOKUP(Tabela2[[#This Row],[SIGLA]],Tabela1[[#All],[Sigla Arte]:[Crédito]],2,0))</f>
        <v>SERGIO LIMA/ARQUIVO DA EDITORA</v>
      </c>
      <c r="Z239" s="31"/>
      <c r="AA239" s="31" t="str">
        <f>Tabela2[[#This Row],[ILUSTRADOR CRIAÇÃO]]</f>
        <v>SERGIO LIMA/ARQUIVO DA EDITORA</v>
      </c>
      <c r="AB239" s="33"/>
      <c r="AC239" s="16"/>
      <c r="AD239" s="16"/>
      <c r="AE239" s="35" t="str">
        <f t="shared" si="3"/>
        <v>EF1 E002 Mat</v>
      </c>
    </row>
    <row r="240" spans="1:31" s="36" customFormat="1" ht="30" x14ac:dyDescent="0.25">
      <c r="A240" s="31" t="s">
        <v>554</v>
      </c>
      <c r="B240" s="16" t="s">
        <v>401</v>
      </c>
      <c r="C240" s="16" t="s">
        <v>164</v>
      </c>
      <c r="D240" s="33" t="s">
        <v>34</v>
      </c>
      <c r="E240" s="33">
        <v>107</v>
      </c>
      <c r="F240" s="33">
        <v>1</v>
      </c>
      <c r="G240" s="33">
        <v>8</v>
      </c>
      <c r="H240" s="33"/>
      <c r="I240" s="31" t="s">
        <v>46</v>
      </c>
      <c r="J240" s="31"/>
      <c r="K240" s="33"/>
      <c r="L240" s="33"/>
      <c r="M240" s="31"/>
      <c r="N240" s="31"/>
      <c r="O240" s="16" t="s">
        <v>547</v>
      </c>
      <c r="P240" s="16"/>
      <c r="Q240" s="16"/>
      <c r="R240" s="33"/>
      <c r="S240" s="34"/>
      <c r="T240" s="34"/>
      <c r="U240" s="34"/>
      <c r="V240" s="34"/>
      <c r="W240" s="34"/>
      <c r="X240" s="33" t="s">
        <v>48</v>
      </c>
      <c r="Y240" s="35" t="str">
        <f>IF(Tabela2[[#This Row],[SIGLA]]="","",VLOOKUP(Tabela2[[#This Row],[SIGLA]],Tabela1[[#All],[Sigla Arte]:[Crédito]],2,0))</f>
        <v>SERGIO LIMA/ARQUIVO DA EDITORA</v>
      </c>
      <c r="Z240" s="31"/>
      <c r="AA240" s="31" t="str">
        <f>Tabela2[[#This Row],[ILUSTRADOR CRIAÇÃO]]</f>
        <v>SERGIO LIMA/ARQUIVO DA EDITORA</v>
      </c>
      <c r="AB240" s="33"/>
      <c r="AC240" s="16"/>
      <c r="AD240" s="16"/>
      <c r="AE240" s="35" t="str">
        <f t="shared" si="3"/>
        <v>EF1 E002 Mat</v>
      </c>
    </row>
    <row r="241" spans="1:31" s="36" customFormat="1" ht="30" x14ac:dyDescent="0.25">
      <c r="A241" s="31" t="s">
        <v>555</v>
      </c>
      <c r="B241" s="16" t="s">
        <v>401</v>
      </c>
      <c r="C241" s="16" t="s">
        <v>164</v>
      </c>
      <c r="D241" s="33" t="s">
        <v>34</v>
      </c>
      <c r="E241" s="33">
        <v>107</v>
      </c>
      <c r="F241" s="33">
        <v>1</v>
      </c>
      <c r="G241" s="33">
        <v>8</v>
      </c>
      <c r="H241" s="33"/>
      <c r="I241" s="31" t="s">
        <v>46</v>
      </c>
      <c r="J241" s="31"/>
      <c r="K241" s="33"/>
      <c r="L241" s="33"/>
      <c r="M241" s="31"/>
      <c r="N241" s="31"/>
      <c r="O241" s="32" t="s">
        <v>545</v>
      </c>
      <c r="P241" s="16"/>
      <c r="Q241" s="16"/>
      <c r="R241" s="33"/>
      <c r="S241" s="34"/>
      <c r="T241" s="34"/>
      <c r="U241" s="34"/>
      <c r="V241" s="34"/>
      <c r="W241" s="34"/>
      <c r="X241" s="33" t="s">
        <v>48</v>
      </c>
      <c r="Y241" s="35" t="str">
        <f>IF(Tabela2[[#This Row],[SIGLA]]="","",VLOOKUP(Tabela2[[#This Row],[SIGLA]],Tabela1[[#All],[Sigla Arte]:[Crédito]],2,0))</f>
        <v>SERGIO LIMA/ARQUIVO DA EDITORA</v>
      </c>
      <c r="Z241" s="31"/>
      <c r="AA241" s="31" t="str">
        <f>Tabela2[[#This Row],[ILUSTRADOR CRIAÇÃO]]</f>
        <v>SERGIO LIMA/ARQUIVO DA EDITORA</v>
      </c>
      <c r="AB241" s="33"/>
      <c r="AC241" s="16"/>
      <c r="AD241" s="16"/>
      <c r="AE241" s="35" t="str">
        <f t="shared" si="3"/>
        <v>EF1 E002 Mat</v>
      </c>
    </row>
    <row r="242" spans="1:31" s="36" customFormat="1" ht="30" x14ac:dyDescent="0.25">
      <c r="A242" s="31" t="s">
        <v>556</v>
      </c>
      <c r="B242" s="16" t="s">
        <v>32</v>
      </c>
      <c r="C242" s="16" t="s">
        <v>164</v>
      </c>
      <c r="D242" s="33" t="s">
        <v>34</v>
      </c>
      <c r="E242" s="33">
        <v>107</v>
      </c>
      <c r="F242" s="33">
        <v>1</v>
      </c>
      <c r="G242" s="33">
        <v>8</v>
      </c>
      <c r="H242" s="33"/>
      <c r="I242" s="31" t="s">
        <v>46</v>
      </c>
      <c r="J242" s="31"/>
      <c r="K242" s="33"/>
      <c r="L242" s="33"/>
      <c r="M242" s="31"/>
      <c r="N242" s="31"/>
      <c r="O242" s="16" t="s">
        <v>557</v>
      </c>
      <c r="P242" s="16"/>
      <c r="Q242" s="16"/>
      <c r="R242" s="33"/>
      <c r="S242" s="34"/>
      <c r="T242" s="34"/>
      <c r="U242" s="34"/>
      <c r="V242" s="34"/>
      <c r="W242" s="34"/>
      <c r="X242" s="33" t="s">
        <v>48</v>
      </c>
      <c r="Y242" s="35" t="str">
        <f>IF(Tabela2[[#This Row],[SIGLA]]="","",VLOOKUP(Tabela2[[#This Row],[SIGLA]],Tabela1[[#All],[Sigla Arte]:[Crédito]],2,0))</f>
        <v>SERGIO LIMA/ARQUIVO DA EDITORA</v>
      </c>
      <c r="Z242" s="31"/>
      <c r="AA242" s="31" t="str">
        <f>Tabela2[[#This Row],[ILUSTRADOR CRIAÇÃO]]</f>
        <v>SERGIO LIMA/ARQUIVO DA EDITORA</v>
      </c>
      <c r="AB242" s="33"/>
      <c r="AC242" s="16"/>
      <c r="AD242" s="16"/>
      <c r="AE242" s="35" t="str">
        <f t="shared" si="3"/>
        <v>EF1 E002 Mat</v>
      </c>
    </row>
    <row r="243" spans="1:31" s="36" customFormat="1" ht="45" x14ac:dyDescent="0.25">
      <c r="A243" s="31" t="s">
        <v>558</v>
      </c>
      <c r="B243" s="16" t="s">
        <v>401</v>
      </c>
      <c r="C243" s="16" t="s">
        <v>164</v>
      </c>
      <c r="D243" s="33" t="s">
        <v>34</v>
      </c>
      <c r="E243" s="33">
        <v>107</v>
      </c>
      <c r="F243" s="33">
        <v>1</v>
      </c>
      <c r="G243" s="33">
        <v>8</v>
      </c>
      <c r="H243" s="33"/>
      <c r="I243" s="31" t="s">
        <v>46</v>
      </c>
      <c r="J243" s="31"/>
      <c r="K243" s="33"/>
      <c r="L243" s="33"/>
      <c r="M243" s="31"/>
      <c r="N243" s="31"/>
      <c r="O243" s="16" t="s">
        <v>551</v>
      </c>
      <c r="P243" s="16"/>
      <c r="Q243" s="16"/>
      <c r="R243" s="33"/>
      <c r="S243" s="34"/>
      <c r="T243" s="34"/>
      <c r="U243" s="34"/>
      <c r="V243" s="34"/>
      <c r="W243" s="34"/>
      <c r="X243" s="33" t="s">
        <v>48</v>
      </c>
      <c r="Y243" s="35" t="str">
        <f>IF(Tabela2[[#This Row],[SIGLA]]="","",VLOOKUP(Tabela2[[#This Row],[SIGLA]],Tabela1[[#All],[Sigla Arte]:[Crédito]],2,0))</f>
        <v>SERGIO LIMA/ARQUIVO DA EDITORA</v>
      </c>
      <c r="Z243" s="31"/>
      <c r="AA243" s="31" t="str">
        <f>Tabela2[[#This Row],[ILUSTRADOR CRIAÇÃO]]</f>
        <v>SERGIO LIMA/ARQUIVO DA EDITORA</v>
      </c>
      <c r="AB243" s="33"/>
      <c r="AC243" s="16"/>
      <c r="AD243" s="16"/>
      <c r="AE243" s="35" t="str">
        <f t="shared" si="3"/>
        <v>EF1 E002 Mat</v>
      </c>
    </row>
    <row r="244" spans="1:31" s="36" customFormat="1" ht="45" x14ac:dyDescent="0.25">
      <c r="A244" s="31" t="s">
        <v>559</v>
      </c>
      <c r="B244" s="16" t="s">
        <v>401</v>
      </c>
      <c r="C244" s="16" t="s">
        <v>164</v>
      </c>
      <c r="D244" s="33" t="s">
        <v>34</v>
      </c>
      <c r="E244" s="33">
        <v>107</v>
      </c>
      <c r="F244" s="33">
        <v>1</v>
      </c>
      <c r="G244" s="33">
        <v>8</v>
      </c>
      <c r="H244" s="33"/>
      <c r="I244" s="31" t="s">
        <v>46</v>
      </c>
      <c r="J244" s="31"/>
      <c r="K244" s="33"/>
      <c r="L244" s="33"/>
      <c r="M244" s="31"/>
      <c r="N244" s="31"/>
      <c r="O244" s="16" t="s">
        <v>541</v>
      </c>
      <c r="P244" s="16"/>
      <c r="Q244" s="16"/>
      <c r="R244" s="33"/>
      <c r="S244" s="34"/>
      <c r="T244" s="34"/>
      <c r="U244" s="34"/>
      <c r="V244" s="34"/>
      <c r="W244" s="34"/>
      <c r="X244" s="33" t="s">
        <v>48</v>
      </c>
      <c r="Y244" s="35" t="str">
        <f>IF(Tabela2[[#This Row],[SIGLA]]="","",VLOOKUP(Tabela2[[#This Row],[SIGLA]],Tabela1[[#All],[Sigla Arte]:[Crédito]],2,0))</f>
        <v>SERGIO LIMA/ARQUIVO DA EDITORA</v>
      </c>
      <c r="Z244" s="31"/>
      <c r="AA244" s="31" t="str">
        <f>Tabela2[[#This Row],[ILUSTRADOR CRIAÇÃO]]</f>
        <v>SERGIO LIMA/ARQUIVO DA EDITORA</v>
      </c>
      <c r="AB244" s="33"/>
      <c r="AC244" s="16"/>
      <c r="AD244" s="16"/>
      <c r="AE244" s="35" t="str">
        <f t="shared" si="3"/>
        <v>EF1 E002 Mat</v>
      </c>
    </row>
    <row r="245" spans="1:31" s="36" customFormat="1" ht="30" x14ac:dyDescent="0.25">
      <c r="A245" s="31" t="s">
        <v>560</v>
      </c>
      <c r="B245" s="16" t="s">
        <v>401</v>
      </c>
      <c r="C245" s="16" t="s">
        <v>164</v>
      </c>
      <c r="D245" s="33" t="s">
        <v>34</v>
      </c>
      <c r="E245" s="33">
        <v>107</v>
      </c>
      <c r="F245" s="33">
        <v>1</v>
      </c>
      <c r="G245" s="33">
        <v>8</v>
      </c>
      <c r="H245" s="33"/>
      <c r="I245" s="31" t="s">
        <v>46</v>
      </c>
      <c r="J245" s="31"/>
      <c r="K245" s="33"/>
      <c r="L245" s="33"/>
      <c r="M245" s="31"/>
      <c r="N245" s="31"/>
      <c r="O245" s="16" t="s">
        <v>561</v>
      </c>
      <c r="P245" s="16"/>
      <c r="Q245" s="16"/>
      <c r="R245" s="33"/>
      <c r="S245" s="34"/>
      <c r="T245" s="34"/>
      <c r="U245" s="34"/>
      <c r="V245" s="34"/>
      <c r="W245" s="34"/>
      <c r="X245" s="33" t="s">
        <v>48</v>
      </c>
      <c r="Y245" s="35" t="str">
        <f>IF(Tabela2[[#This Row],[SIGLA]]="","",VLOOKUP(Tabela2[[#This Row],[SIGLA]],Tabela1[[#All],[Sigla Arte]:[Crédito]],2,0))</f>
        <v>SERGIO LIMA/ARQUIVO DA EDITORA</v>
      </c>
      <c r="Z245" s="31"/>
      <c r="AA245" s="31" t="str">
        <f>Tabela2[[#This Row],[ILUSTRADOR CRIAÇÃO]]</f>
        <v>SERGIO LIMA/ARQUIVO DA EDITORA</v>
      </c>
      <c r="AB245" s="33"/>
      <c r="AC245" s="16"/>
      <c r="AD245" s="16"/>
      <c r="AE245" s="35" t="str">
        <f t="shared" si="3"/>
        <v>EF1 E002 Mat</v>
      </c>
    </row>
    <row r="246" spans="1:31" s="36" customFormat="1" ht="30" x14ac:dyDescent="0.25">
      <c r="A246" s="31" t="s">
        <v>562</v>
      </c>
      <c r="B246" s="16" t="s">
        <v>401</v>
      </c>
      <c r="C246" s="16" t="s">
        <v>164</v>
      </c>
      <c r="D246" s="33" t="s">
        <v>34</v>
      </c>
      <c r="E246" s="33">
        <v>107</v>
      </c>
      <c r="F246" s="33">
        <v>1</v>
      </c>
      <c r="G246" s="33">
        <v>8</v>
      </c>
      <c r="H246" s="33"/>
      <c r="I246" s="31" t="s">
        <v>46</v>
      </c>
      <c r="J246" s="31"/>
      <c r="K246" s="33"/>
      <c r="L246" s="33"/>
      <c r="M246" s="31"/>
      <c r="N246" s="31"/>
      <c r="O246" s="16" t="s">
        <v>545</v>
      </c>
      <c r="P246" s="16"/>
      <c r="Q246" s="16"/>
      <c r="R246" s="33"/>
      <c r="S246" s="34"/>
      <c r="T246" s="34"/>
      <c r="U246" s="34"/>
      <c r="V246" s="34"/>
      <c r="W246" s="34"/>
      <c r="X246" s="33" t="s">
        <v>48</v>
      </c>
      <c r="Y246" s="35" t="str">
        <f>IF(Tabela2[[#This Row],[SIGLA]]="","",VLOOKUP(Tabela2[[#This Row],[SIGLA]],Tabela1[[#All],[Sigla Arte]:[Crédito]],2,0))</f>
        <v>SERGIO LIMA/ARQUIVO DA EDITORA</v>
      </c>
      <c r="Z246" s="31"/>
      <c r="AA246" s="31" t="str">
        <f>Tabela2[[#This Row],[ILUSTRADOR CRIAÇÃO]]</f>
        <v>SERGIO LIMA/ARQUIVO DA EDITORA</v>
      </c>
      <c r="AB246" s="33"/>
      <c r="AC246" s="16"/>
      <c r="AD246" s="16"/>
      <c r="AE246" s="35" t="str">
        <f t="shared" si="3"/>
        <v>EF1 E002 Mat</v>
      </c>
    </row>
    <row r="247" spans="1:31" s="36" customFormat="1" ht="30" x14ac:dyDescent="0.25">
      <c r="A247" s="31" t="s">
        <v>563</v>
      </c>
      <c r="B247" s="16" t="s">
        <v>32</v>
      </c>
      <c r="C247" s="16" t="s">
        <v>164</v>
      </c>
      <c r="D247" s="33" t="s">
        <v>34</v>
      </c>
      <c r="E247" s="33">
        <v>107</v>
      </c>
      <c r="F247" s="33">
        <v>1</v>
      </c>
      <c r="G247" s="33">
        <v>8</v>
      </c>
      <c r="H247" s="33"/>
      <c r="I247" s="31" t="s">
        <v>46</v>
      </c>
      <c r="J247" s="31"/>
      <c r="K247" s="33"/>
      <c r="L247" s="33"/>
      <c r="M247" s="31"/>
      <c r="N247" s="31"/>
      <c r="O247" s="16" t="s">
        <v>564</v>
      </c>
      <c r="P247" s="16"/>
      <c r="Q247" s="16"/>
      <c r="R247" s="33"/>
      <c r="S247" s="34"/>
      <c r="T247" s="34"/>
      <c r="U247" s="34"/>
      <c r="V247" s="34"/>
      <c r="W247" s="34"/>
      <c r="X247" s="33" t="s">
        <v>48</v>
      </c>
      <c r="Y247" s="35" t="str">
        <f>IF(Tabela2[[#This Row],[SIGLA]]="","",VLOOKUP(Tabela2[[#This Row],[SIGLA]],Tabela1[[#All],[Sigla Arte]:[Crédito]],2,0))</f>
        <v>SERGIO LIMA/ARQUIVO DA EDITORA</v>
      </c>
      <c r="Z247" s="31"/>
      <c r="AA247" s="31" t="str">
        <f>Tabela2[[#This Row],[ILUSTRADOR CRIAÇÃO]]</f>
        <v>SERGIO LIMA/ARQUIVO DA EDITORA</v>
      </c>
      <c r="AB247" s="33"/>
      <c r="AC247" s="16"/>
      <c r="AD247" s="16"/>
      <c r="AE247" s="35" t="str">
        <f t="shared" si="3"/>
        <v>EF1 E002 Mat</v>
      </c>
    </row>
    <row r="248" spans="1:31" s="36" customFormat="1" ht="45" x14ac:dyDescent="0.25">
      <c r="A248" s="31" t="s">
        <v>565</v>
      </c>
      <c r="B248" s="16" t="s">
        <v>401</v>
      </c>
      <c r="C248" s="16" t="s">
        <v>164</v>
      </c>
      <c r="D248" s="33" t="s">
        <v>34</v>
      </c>
      <c r="E248" s="33">
        <v>107</v>
      </c>
      <c r="F248" s="33">
        <v>1</v>
      </c>
      <c r="G248" s="33">
        <v>8</v>
      </c>
      <c r="H248" s="33"/>
      <c r="I248" s="31" t="s">
        <v>46</v>
      </c>
      <c r="J248" s="31"/>
      <c r="K248" s="33"/>
      <c r="L248" s="33"/>
      <c r="M248" s="31"/>
      <c r="N248" s="31"/>
      <c r="O248" s="16" t="s">
        <v>551</v>
      </c>
      <c r="P248" s="16"/>
      <c r="Q248" s="16"/>
      <c r="R248" s="33"/>
      <c r="S248" s="34"/>
      <c r="T248" s="34"/>
      <c r="U248" s="34"/>
      <c r="V248" s="34"/>
      <c r="W248" s="34"/>
      <c r="X248" s="33" t="s">
        <v>48</v>
      </c>
      <c r="Y248" s="35" t="str">
        <f>IF(Tabela2[[#This Row],[SIGLA]]="","",VLOOKUP(Tabela2[[#This Row],[SIGLA]],Tabela1[[#All],[Sigla Arte]:[Crédito]],2,0))</f>
        <v>SERGIO LIMA/ARQUIVO DA EDITORA</v>
      </c>
      <c r="Z248" s="31"/>
      <c r="AA248" s="31" t="str">
        <f>Tabela2[[#This Row],[ILUSTRADOR CRIAÇÃO]]</f>
        <v>SERGIO LIMA/ARQUIVO DA EDITORA</v>
      </c>
      <c r="AB248" s="33"/>
      <c r="AC248" s="16"/>
      <c r="AD248" s="16"/>
      <c r="AE248" s="35" t="str">
        <f t="shared" si="3"/>
        <v>EF1 E002 Mat</v>
      </c>
    </row>
    <row r="249" spans="1:31" s="36" customFormat="1" ht="45" x14ac:dyDescent="0.25">
      <c r="A249" s="31" t="s">
        <v>566</v>
      </c>
      <c r="B249" s="16" t="s">
        <v>401</v>
      </c>
      <c r="C249" s="16" t="s">
        <v>164</v>
      </c>
      <c r="D249" s="33" t="s">
        <v>34</v>
      </c>
      <c r="E249" s="33">
        <v>107</v>
      </c>
      <c r="F249" s="33">
        <v>1</v>
      </c>
      <c r="G249" s="33">
        <v>8</v>
      </c>
      <c r="H249" s="33"/>
      <c r="I249" s="31" t="s">
        <v>46</v>
      </c>
      <c r="J249" s="31"/>
      <c r="K249" s="33"/>
      <c r="L249" s="33"/>
      <c r="M249" s="31"/>
      <c r="N249" s="31"/>
      <c r="O249" s="16" t="s">
        <v>541</v>
      </c>
      <c r="P249" s="16"/>
      <c r="Q249" s="16"/>
      <c r="R249" s="33"/>
      <c r="S249" s="34"/>
      <c r="T249" s="34"/>
      <c r="U249" s="34"/>
      <c r="V249" s="34"/>
      <c r="W249" s="34"/>
      <c r="X249" s="33" t="s">
        <v>48</v>
      </c>
      <c r="Y249" s="35" t="str">
        <f>IF(Tabela2[[#This Row],[SIGLA]]="","",VLOOKUP(Tabela2[[#This Row],[SIGLA]],Tabela1[[#All],[Sigla Arte]:[Crédito]],2,0))</f>
        <v>SERGIO LIMA/ARQUIVO DA EDITORA</v>
      </c>
      <c r="Z249" s="31"/>
      <c r="AA249" s="31" t="str">
        <f>Tabela2[[#This Row],[ILUSTRADOR CRIAÇÃO]]</f>
        <v>SERGIO LIMA/ARQUIVO DA EDITORA</v>
      </c>
      <c r="AB249" s="33"/>
      <c r="AC249" s="16"/>
      <c r="AD249" s="16"/>
      <c r="AE249" s="35" t="str">
        <f t="shared" si="3"/>
        <v>EF1 E002 Mat</v>
      </c>
    </row>
    <row r="250" spans="1:31" s="36" customFormat="1" ht="60" x14ac:dyDescent="0.25">
      <c r="A250" s="31" t="s">
        <v>567</v>
      </c>
      <c r="B250" s="16" t="s">
        <v>401</v>
      </c>
      <c r="C250" s="16" t="s">
        <v>164</v>
      </c>
      <c r="D250" s="33" t="s">
        <v>34</v>
      </c>
      <c r="E250" s="33">
        <v>107</v>
      </c>
      <c r="F250" s="33">
        <v>1</v>
      </c>
      <c r="G250" s="33">
        <v>8</v>
      </c>
      <c r="H250" s="33"/>
      <c r="I250" s="31" t="s">
        <v>46</v>
      </c>
      <c r="J250" s="31"/>
      <c r="K250" s="33"/>
      <c r="L250" s="33"/>
      <c r="M250" s="31"/>
      <c r="N250" s="31"/>
      <c r="O250" s="16" t="s">
        <v>568</v>
      </c>
      <c r="P250" s="16"/>
      <c r="Q250" s="16"/>
      <c r="R250" s="33"/>
      <c r="S250" s="34"/>
      <c r="T250" s="34"/>
      <c r="U250" s="34"/>
      <c r="V250" s="34"/>
      <c r="W250" s="34"/>
      <c r="X250" s="33" t="s">
        <v>48</v>
      </c>
      <c r="Y250" s="35" t="str">
        <f>IF(Tabela2[[#This Row],[SIGLA]]="","",VLOOKUP(Tabela2[[#This Row],[SIGLA]],Tabela1[[#All],[Sigla Arte]:[Crédito]],2,0))</f>
        <v>SERGIO LIMA/ARQUIVO DA EDITORA</v>
      </c>
      <c r="Z250" s="31"/>
      <c r="AA250" s="31" t="str">
        <f>Tabela2[[#This Row],[ILUSTRADOR CRIAÇÃO]]</f>
        <v>SERGIO LIMA/ARQUIVO DA EDITORA</v>
      </c>
      <c r="AB250" s="33"/>
      <c r="AC250" s="16"/>
      <c r="AD250" s="16"/>
      <c r="AE250" s="35" t="str">
        <f t="shared" si="3"/>
        <v>EF1 E002 Mat</v>
      </c>
    </row>
    <row r="251" spans="1:31" s="36" customFormat="1" ht="30" x14ac:dyDescent="0.25">
      <c r="A251" s="31" t="s">
        <v>569</v>
      </c>
      <c r="B251" s="16" t="s">
        <v>401</v>
      </c>
      <c r="C251" s="16" t="s">
        <v>164</v>
      </c>
      <c r="D251" s="33" t="s">
        <v>34</v>
      </c>
      <c r="E251" s="33">
        <v>107</v>
      </c>
      <c r="F251" s="33">
        <v>1</v>
      </c>
      <c r="G251" s="33">
        <v>8</v>
      </c>
      <c r="H251" s="33"/>
      <c r="I251" s="31" t="s">
        <v>46</v>
      </c>
      <c r="J251" s="31"/>
      <c r="K251" s="33"/>
      <c r="L251" s="33"/>
      <c r="M251" s="31"/>
      <c r="N251" s="31"/>
      <c r="O251" s="16" t="s">
        <v>545</v>
      </c>
      <c r="P251" s="16"/>
      <c r="Q251" s="16"/>
      <c r="R251" s="33"/>
      <c r="S251" s="34"/>
      <c r="T251" s="34"/>
      <c r="U251" s="34"/>
      <c r="V251" s="34"/>
      <c r="W251" s="34"/>
      <c r="X251" s="33" t="s">
        <v>48</v>
      </c>
      <c r="Y251" s="35" t="str">
        <f>IF(Tabela2[[#This Row],[SIGLA]]="","",VLOOKUP(Tabela2[[#This Row],[SIGLA]],Tabela1[[#All],[Sigla Arte]:[Crédito]],2,0))</f>
        <v>SERGIO LIMA/ARQUIVO DA EDITORA</v>
      </c>
      <c r="Z251" s="31"/>
      <c r="AA251" s="31" t="str">
        <f>Tabela2[[#This Row],[ILUSTRADOR CRIAÇÃO]]</f>
        <v>SERGIO LIMA/ARQUIVO DA EDITORA</v>
      </c>
      <c r="AB251" s="33"/>
      <c r="AC251" s="16"/>
      <c r="AD251" s="16"/>
      <c r="AE251" s="35" t="str">
        <f t="shared" si="3"/>
        <v>EF1 E002 Mat</v>
      </c>
    </row>
    <row r="252" spans="1:31" s="36" customFormat="1" ht="30" x14ac:dyDescent="0.25">
      <c r="A252" s="31" t="s">
        <v>570</v>
      </c>
      <c r="B252" s="16" t="s">
        <v>32</v>
      </c>
      <c r="C252" s="16" t="s">
        <v>33</v>
      </c>
      <c r="D252" s="33" t="s">
        <v>34</v>
      </c>
      <c r="E252" s="33">
        <v>108</v>
      </c>
      <c r="F252" s="33">
        <v>1</v>
      </c>
      <c r="G252" s="33">
        <v>8</v>
      </c>
      <c r="H252" s="33"/>
      <c r="I252" s="31" t="s">
        <v>35</v>
      </c>
      <c r="J252" s="31"/>
      <c r="K252" s="33"/>
      <c r="L252" s="33"/>
      <c r="M252" s="31"/>
      <c r="N252" s="31"/>
      <c r="O252" s="16" t="s">
        <v>571</v>
      </c>
      <c r="P252" s="16"/>
      <c r="Q252" s="16"/>
      <c r="R252" s="33">
        <v>175</v>
      </c>
      <c r="S252" s="34">
        <v>45922</v>
      </c>
      <c r="T252" s="34">
        <v>45922</v>
      </c>
      <c r="U252" s="34"/>
      <c r="V252" s="34"/>
      <c r="W252" s="34">
        <v>45922</v>
      </c>
      <c r="X252" s="33" t="s">
        <v>43</v>
      </c>
      <c r="Y252" s="35" t="str">
        <f>IF(Tabela2[[#This Row],[SIGLA]]="","",VLOOKUP(Tabela2[[#This Row],[SIGLA]],Tabela1[[#All],[Sigla Arte]:[Crédito]],2,0))</f>
        <v>GUILHERME RODRIGUES/ARQUIVO DA EDITORA</v>
      </c>
      <c r="Z252" s="31" t="s">
        <v>572</v>
      </c>
      <c r="AA252" s="31" t="str">
        <f>Tabela2[[#This Row],[ILUSTRADOR CRIAÇÃO]]</f>
        <v>GUILHERME RODRIGUES/ARQUIVO DA EDITORA</v>
      </c>
      <c r="AB252" s="33">
        <v>13</v>
      </c>
      <c r="AC252" s="16" t="s">
        <v>44</v>
      </c>
      <c r="AD252" s="16" t="s">
        <v>40</v>
      </c>
      <c r="AE252" s="35" t="str">
        <f t="shared" si="3"/>
        <v>EF1 E002 Mat</v>
      </c>
    </row>
    <row r="253" spans="1:31" s="36" customFormat="1" ht="30" x14ac:dyDescent="0.25">
      <c r="A253" s="31" t="s">
        <v>573</v>
      </c>
      <c r="B253" s="16" t="s">
        <v>32</v>
      </c>
      <c r="C253" s="16" t="s">
        <v>164</v>
      </c>
      <c r="D253" s="33" t="s">
        <v>34</v>
      </c>
      <c r="E253" s="33">
        <v>109</v>
      </c>
      <c r="F253" s="33">
        <v>1</v>
      </c>
      <c r="G253" s="33">
        <v>8</v>
      </c>
      <c r="H253" s="33"/>
      <c r="I253" s="31" t="s">
        <v>46</v>
      </c>
      <c r="J253" s="31"/>
      <c r="K253" s="33"/>
      <c r="L253" s="33"/>
      <c r="M253" s="31"/>
      <c r="N253" s="31"/>
      <c r="O253" s="16" t="s">
        <v>574</v>
      </c>
      <c r="P253" s="16"/>
      <c r="Q253" s="16"/>
      <c r="R253" s="33"/>
      <c r="S253" s="34"/>
      <c r="T253" s="34"/>
      <c r="U253" s="34"/>
      <c r="V253" s="34"/>
      <c r="W253" s="34"/>
      <c r="X253" s="33" t="s">
        <v>48</v>
      </c>
      <c r="Y253" s="35" t="str">
        <f>IF(Tabela2[[#This Row],[SIGLA]]="","",VLOOKUP(Tabela2[[#This Row],[SIGLA]],Tabela1[[#All],[Sigla Arte]:[Crédito]],2,0))</f>
        <v>SERGIO LIMA/ARQUIVO DA EDITORA</v>
      </c>
      <c r="Z253" s="31"/>
      <c r="AA253" s="31" t="str">
        <f>Tabela2[[#This Row],[ILUSTRADOR CRIAÇÃO]]</f>
        <v>SERGIO LIMA/ARQUIVO DA EDITORA</v>
      </c>
      <c r="AB253" s="33"/>
      <c r="AC253" s="16"/>
      <c r="AD253" s="16"/>
      <c r="AE253" s="35" t="str">
        <f t="shared" si="3"/>
        <v>EF1 E002 Mat</v>
      </c>
    </row>
    <row r="254" spans="1:31" s="36" customFormat="1" ht="30" x14ac:dyDescent="0.25">
      <c r="A254" s="31" t="s">
        <v>575</v>
      </c>
      <c r="B254" s="16" t="s">
        <v>32</v>
      </c>
      <c r="C254" s="16" t="s">
        <v>164</v>
      </c>
      <c r="D254" s="33" t="s">
        <v>34</v>
      </c>
      <c r="E254" s="33">
        <v>109</v>
      </c>
      <c r="F254" s="33">
        <v>1</v>
      </c>
      <c r="G254" s="33">
        <v>8</v>
      </c>
      <c r="H254" s="33"/>
      <c r="I254" s="31" t="s">
        <v>46</v>
      </c>
      <c r="J254" s="31"/>
      <c r="K254" s="33"/>
      <c r="L254" s="33"/>
      <c r="M254" s="31"/>
      <c r="N254" s="31"/>
      <c r="O254" s="16" t="s">
        <v>576</v>
      </c>
      <c r="P254" s="16"/>
      <c r="Q254" s="16"/>
      <c r="R254" s="33"/>
      <c r="S254" s="34"/>
      <c r="T254" s="34"/>
      <c r="U254" s="34"/>
      <c r="V254" s="34"/>
      <c r="W254" s="34"/>
      <c r="X254" s="33" t="s">
        <v>48</v>
      </c>
      <c r="Y254" s="35" t="str">
        <f>IF(Tabela2[[#This Row],[SIGLA]]="","",VLOOKUP(Tabela2[[#This Row],[SIGLA]],Tabela1[[#All],[Sigla Arte]:[Crédito]],2,0))</f>
        <v>SERGIO LIMA/ARQUIVO DA EDITORA</v>
      </c>
      <c r="Z254" s="31"/>
      <c r="AA254" s="31" t="str">
        <f>Tabela2[[#This Row],[ILUSTRADOR CRIAÇÃO]]</f>
        <v>SERGIO LIMA/ARQUIVO DA EDITORA</v>
      </c>
      <c r="AB254" s="33"/>
      <c r="AC254" s="16"/>
      <c r="AD254" s="16"/>
      <c r="AE254" s="35" t="str">
        <f t="shared" si="3"/>
        <v>EF1 E002 Mat</v>
      </c>
    </row>
    <row r="255" spans="1:31" s="36" customFormat="1" ht="30" x14ac:dyDescent="0.25">
      <c r="A255" s="31" t="s">
        <v>577</v>
      </c>
      <c r="B255" s="16" t="s">
        <v>32</v>
      </c>
      <c r="C255" s="16" t="s">
        <v>164</v>
      </c>
      <c r="D255" s="33" t="s">
        <v>34</v>
      </c>
      <c r="E255" s="33">
        <v>109</v>
      </c>
      <c r="F255" s="33">
        <v>1</v>
      </c>
      <c r="G255" s="33">
        <v>8</v>
      </c>
      <c r="H255" s="33"/>
      <c r="I255" s="31" t="s">
        <v>46</v>
      </c>
      <c r="J255" s="31"/>
      <c r="K255" s="33"/>
      <c r="L255" s="33"/>
      <c r="M255" s="31"/>
      <c r="N255" s="31"/>
      <c r="O255" s="16" t="s">
        <v>578</v>
      </c>
      <c r="P255" s="16"/>
      <c r="Q255" s="16"/>
      <c r="R255" s="33"/>
      <c r="S255" s="34"/>
      <c r="T255" s="34"/>
      <c r="U255" s="34"/>
      <c r="V255" s="34"/>
      <c r="W255" s="34"/>
      <c r="X255" s="33" t="s">
        <v>48</v>
      </c>
      <c r="Y255" s="35" t="str">
        <f>IF(Tabela2[[#This Row],[SIGLA]]="","",VLOOKUP(Tabela2[[#This Row],[SIGLA]],Tabela1[[#All],[Sigla Arte]:[Crédito]],2,0))</f>
        <v>SERGIO LIMA/ARQUIVO DA EDITORA</v>
      </c>
      <c r="Z255" s="31"/>
      <c r="AA255" s="31" t="str">
        <f>Tabela2[[#This Row],[ILUSTRADOR CRIAÇÃO]]</f>
        <v>SERGIO LIMA/ARQUIVO DA EDITORA</v>
      </c>
      <c r="AB255" s="33"/>
      <c r="AC255" s="16"/>
      <c r="AD255" s="16"/>
      <c r="AE255" s="35" t="str">
        <f t="shared" si="3"/>
        <v>EF1 E002 Mat</v>
      </c>
    </row>
    <row r="256" spans="1:31" s="36" customFormat="1" ht="30" x14ac:dyDescent="0.25">
      <c r="A256" s="31" t="s">
        <v>579</v>
      </c>
      <c r="B256" s="16" t="s">
        <v>32</v>
      </c>
      <c r="C256" s="16" t="s">
        <v>164</v>
      </c>
      <c r="D256" s="33" t="s">
        <v>34</v>
      </c>
      <c r="E256" s="33">
        <v>109</v>
      </c>
      <c r="F256" s="33">
        <v>1</v>
      </c>
      <c r="G256" s="33">
        <v>8</v>
      </c>
      <c r="H256" s="33"/>
      <c r="I256" s="31" t="s">
        <v>46</v>
      </c>
      <c r="J256" s="31"/>
      <c r="K256" s="33"/>
      <c r="L256" s="33"/>
      <c r="M256" s="31"/>
      <c r="N256" s="31"/>
      <c r="O256" s="16" t="s">
        <v>580</v>
      </c>
      <c r="P256" s="16"/>
      <c r="Q256" s="16"/>
      <c r="R256" s="33"/>
      <c r="S256" s="34"/>
      <c r="T256" s="34"/>
      <c r="U256" s="34"/>
      <c r="V256" s="34"/>
      <c r="W256" s="34"/>
      <c r="X256" s="33" t="s">
        <v>48</v>
      </c>
      <c r="Y256" s="35" t="str">
        <f>IF(Tabela2[[#This Row],[SIGLA]]="","",VLOOKUP(Tabela2[[#This Row],[SIGLA]],Tabela1[[#All],[Sigla Arte]:[Crédito]],2,0))</f>
        <v>SERGIO LIMA/ARQUIVO DA EDITORA</v>
      </c>
      <c r="Z256" s="31"/>
      <c r="AA256" s="31" t="str">
        <f>Tabela2[[#This Row],[ILUSTRADOR CRIAÇÃO]]</f>
        <v>SERGIO LIMA/ARQUIVO DA EDITORA</v>
      </c>
      <c r="AB256" s="33"/>
      <c r="AC256" s="16"/>
      <c r="AD256" s="16"/>
      <c r="AE256" s="35" t="str">
        <f t="shared" si="3"/>
        <v>EF1 E002 Mat</v>
      </c>
    </row>
    <row r="257" spans="1:31" s="36" customFormat="1" ht="30" x14ac:dyDescent="0.25">
      <c r="A257" s="31" t="s">
        <v>581</v>
      </c>
      <c r="B257" s="16" t="s">
        <v>32</v>
      </c>
      <c r="C257" s="16" t="s">
        <v>164</v>
      </c>
      <c r="D257" s="33" t="s">
        <v>34</v>
      </c>
      <c r="E257" s="33">
        <v>109</v>
      </c>
      <c r="F257" s="33">
        <v>1</v>
      </c>
      <c r="G257" s="33">
        <v>8</v>
      </c>
      <c r="H257" s="33"/>
      <c r="I257" s="31" t="s">
        <v>46</v>
      </c>
      <c r="J257" s="31"/>
      <c r="K257" s="33"/>
      <c r="L257" s="33"/>
      <c r="M257" s="31"/>
      <c r="N257" s="31"/>
      <c r="O257" s="16" t="s">
        <v>582</v>
      </c>
      <c r="P257" s="16"/>
      <c r="Q257" s="16"/>
      <c r="R257" s="33"/>
      <c r="S257" s="34"/>
      <c r="T257" s="34"/>
      <c r="U257" s="34"/>
      <c r="V257" s="34"/>
      <c r="W257" s="34"/>
      <c r="X257" s="33" t="s">
        <v>48</v>
      </c>
      <c r="Y257" s="35" t="str">
        <f>IF(Tabela2[[#This Row],[SIGLA]]="","",VLOOKUP(Tabela2[[#This Row],[SIGLA]],Tabela1[[#All],[Sigla Arte]:[Crédito]],2,0))</f>
        <v>SERGIO LIMA/ARQUIVO DA EDITORA</v>
      </c>
      <c r="Z257" s="31"/>
      <c r="AA257" s="31" t="str">
        <f>Tabela2[[#This Row],[ILUSTRADOR CRIAÇÃO]]</f>
        <v>SERGIO LIMA/ARQUIVO DA EDITORA</v>
      </c>
      <c r="AB257" s="33"/>
      <c r="AC257" s="16"/>
      <c r="AD257" s="16"/>
      <c r="AE257" s="35" t="str">
        <f t="shared" si="3"/>
        <v>EF1 E002 Mat</v>
      </c>
    </row>
    <row r="258" spans="1:31" s="36" customFormat="1" ht="30" x14ac:dyDescent="0.25">
      <c r="A258" s="31" t="s">
        <v>583</v>
      </c>
      <c r="B258" s="16" t="s">
        <v>32</v>
      </c>
      <c r="C258" s="16" t="s">
        <v>164</v>
      </c>
      <c r="D258" s="33" t="s">
        <v>34</v>
      </c>
      <c r="E258" s="33">
        <v>109</v>
      </c>
      <c r="F258" s="33">
        <v>1</v>
      </c>
      <c r="G258" s="33">
        <v>8</v>
      </c>
      <c r="H258" s="33"/>
      <c r="I258" s="31" t="s">
        <v>46</v>
      </c>
      <c r="J258" s="31"/>
      <c r="K258" s="33"/>
      <c r="L258" s="33"/>
      <c r="M258" s="31"/>
      <c r="N258" s="31"/>
      <c r="O258" s="16" t="s">
        <v>584</v>
      </c>
      <c r="P258" s="16"/>
      <c r="Q258" s="16"/>
      <c r="R258" s="33"/>
      <c r="S258" s="34"/>
      <c r="T258" s="34"/>
      <c r="U258" s="34"/>
      <c r="V258" s="34"/>
      <c r="W258" s="34"/>
      <c r="X258" s="33" t="s">
        <v>48</v>
      </c>
      <c r="Y258" s="35" t="str">
        <f>IF(Tabela2[[#This Row],[SIGLA]]="","",VLOOKUP(Tabela2[[#This Row],[SIGLA]],Tabela1[[#All],[Sigla Arte]:[Crédito]],2,0))</f>
        <v>SERGIO LIMA/ARQUIVO DA EDITORA</v>
      </c>
      <c r="Z258" s="31"/>
      <c r="AA258" s="31" t="str">
        <f>Tabela2[[#This Row],[ILUSTRADOR CRIAÇÃO]]</f>
        <v>SERGIO LIMA/ARQUIVO DA EDITORA</v>
      </c>
      <c r="AB258" s="33"/>
      <c r="AC258" s="16"/>
      <c r="AD258" s="16"/>
      <c r="AE258" s="35" t="str">
        <f t="shared" ref="AE258:AE321" si="4">"EF1 E002 Mat"</f>
        <v>EF1 E002 Mat</v>
      </c>
    </row>
    <row r="259" spans="1:31" s="36" customFormat="1" ht="45" x14ac:dyDescent="0.25">
      <c r="A259" s="31" t="s">
        <v>585</v>
      </c>
      <c r="B259" s="16" t="s">
        <v>32</v>
      </c>
      <c r="C259" s="16" t="s">
        <v>33</v>
      </c>
      <c r="D259" s="33" t="s">
        <v>34</v>
      </c>
      <c r="E259" s="33">
        <v>110</v>
      </c>
      <c r="F259" s="33">
        <v>1</v>
      </c>
      <c r="G259" s="33">
        <v>8</v>
      </c>
      <c r="H259" s="33"/>
      <c r="I259" s="31" t="s">
        <v>35</v>
      </c>
      <c r="J259" s="31"/>
      <c r="K259" s="33"/>
      <c r="L259" s="33"/>
      <c r="M259" s="31"/>
      <c r="N259" s="31"/>
      <c r="O259" s="16" t="s">
        <v>586</v>
      </c>
      <c r="P259" s="16"/>
      <c r="Q259" s="16"/>
      <c r="R259" s="33">
        <v>70</v>
      </c>
      <c r="S259" s="34">
        <v>45840</v>
      </c>
      <c r="T259" s="34">
        <v>45840</v>
      </c>
      <c r="U259" s="34"/>
      <c r="V259" s="34"/>
      <c r="W259" s="34">
        <v>45840</v>
      </c>
      <c r="X259" s="33" t="s">
        <v>85</v>
      </c>
      <c r="Y259" s="35" t="str">
        <f>IF(Tabela2[[#This Row],[SIGLA]]="","",VLOOKUP(Tabela2[[#This Row],[SIGLA]],Tabela1[[#All],[Sigla Arte]:[Crédito]],2,0))</f>
        <v>HELOÍSA PINTARELLI/ARQUIVO DA EDITORA</v>
      </c>
      <c r="Z259" s="31" t="s">
        <v>539</v>
      </c>
      <c r="AA259" s="31" t="str">
        <f>Tabela2[[#This Row],[ILUSTRADOR CRIAÇÃO]]</f>
        <v>HELOÍSA PINTARELLI/ARQUIVO DA EDITORA</v>
      </c>
      <c r="AB259" s="33">
        <v>14</v>
      </c>
      <c r="AC259" s="16" t="s">
        <v>89</v>
      </c>
      <c r="AD259" s="16" t="s">
        <v>40</v>
      </c>
      <c r="AE259" s="35" t="str">
        <f t="shared" si="4"/>
        <v>EF1 E002 Mat</v>
      </c>
    </row>
    <row r="260" spans="1:31" s="36" customFormat="1" ht="30" x14ac:dyDescent="0.25">
      <c r="A260" s="31" t="s">
        <v>587</v>
      </c>
      <c r="B260" s="16" t="s">
        <v>32</v>
      </c>
      <c r="C260" s="16" t="s">
        <v>33</v>
      </c>
      <c r="D260" s="33" t="s">
        <v>34</v>
      </c>
      <c r="E260" s="33">
        <v>110</v>
      </c>
      <c r="F260" s="33">
        <v>1</v>
      </c>
      <c r="G260" s="33">
        <v>8</v>
      </c>
      <c r="H260" s="33"/>
      <c r="I260" s="31" t="s">
        <v>35</v>
      </c>
      <c r="J260" s="31"/>
      <c r="K260" s="33"/>
      <c r="L260" s="33"/>
      <c r="M260" s="31"/>
      <c r="N260" s="31"/>
      <c r="O260" s="16" t="s">
        <v>588</v>
      </c>
      <c r="P260" s="16"/>
      <c r="Q260" s="16"/>
      <c r="R260" s="33">
        <v>70</v>
      </c>
      <c r="S260" s="34">
        <v>45840</v>
      </c>
      <c r="T260" s="34">
        <v>45840</v>
      </c>
      <c r="U260" s="34"/>
      <c r="V260" s="34"/>
      <c r="W260" s="34">
        <v>45840</v>
      </c>
      <c r="X260" s="33" t="s">
        <v>85</v>
      </c>
      <c r="Y260" s="35" t="str">
        <f>IF(Tabela2[[#This Row],[SIGLA]]="","",VLOOKUP(Tabela2[[#This Row],[SIGLA]],Tabela1[[#All],[Sigla Arte]:[Crédito]],2,0))</f>
        <v>HELOÍSA PINTARELLI/ARQUIVO DA EDITORA</v>
      </c>
      <c r="Z260" s="31" t="s">
        <v>539</v>
      </c>
      <c r="AA260" s="31" t="str">
        <f>Tabela2[[#This Row],[ILUSTRADOR CRIAÇÃO]]</f>
        <v>HELOÍSA PINTARELLI/ARQUIVO DA EDITORA</v>
      </c>
      <c r="AB260" s="33">
        <v>14</v>
      </c>
      <c r="AC260" s="16" t="s">
        <v>89</v>
      </c>
      <c r="AD260" s="16" t="s">
        <v>40</v>
      </c>
      <c r="AE260" s="35" t="str">
        <f t="shared" si="4"/>
        <v>EF1 E002 Mat</v>
      </c>
    </row>
    <row r="261" spans="1:31" s="36" customFormat="1" ht="30" x14ac:dyDescent="0.25">
      <c r="A261" s="31" t="s">
        <v>589</v>
      </c>
      <c r="B261" s="16" t="s">
        <v>32</v>
      </c>
      <c r="C261" s="16" t="s">
        <v>164</v>
      </c>
      <c r="D261" s="33" t="s">
        <v>34</v>
      </c>
      <c r="E261" s="33">
        <v>111</v>
      </c>
      <c r="F261" s="33">
        <v>1</v>
      </c>
      <c r="G261" s="33">
        <v>8</v>
      </c>
      <c r="H261" s="33"/>
      <c r="I261" s="31" t="s">
        <v>46</v>
      </c>
      <c r="J261" s="31"/>
      <c r="K261" s="33"/>
      <c r="L261" s="33"/>
      <c r="M261" s="31"/>
      <c r="N261" s="31"/>
      <c r="O261" s="16" t="s">
        <v>590</v>
      </c>
      <c r="P261" s="16"/>
      <c r="Q261" s="16"/>
      <c r="R261" s="33"/>
      <c r="S261" s="34"/>
      <c r="T261" s="34"/>
      <c r="U261" s="34"/>
      <c r="V261" s="34"/>
      <c r="W261" s="34"/>
      <c r="X261" s="33" t="s">
        <v>48</v>
      </c>
      <c r="Y261" s="35" t="str">
        <f>IF(Tabela2[[#This Row],[SIGLA]]="","",VLOOKUP(Tabela2[[#This Row],[SIGLA]],Tabela1[[#All],[Sigla Arte]:[Crédito]],2,0))</f>
        <v>SERGIO LIMA/ARQUIVO DA EDITORA</v>
      </c>
      <c r="Z261" s="31"/>
      <c r="AA261" s="31" t="str">
        <f>Tabela2[[#This Row],[ILUSTRADOR CRIAÇÃO]]</f>
        <v>SERGIO LIMA/ARQUIVO DA EDITORA</v>
      </c>
      <c r="AB261" s="33"/>
      <c r="AC261" s="16"/>
      <c r="AD261" s="16"/>
      <c r="AE261" s="35" t="str">
        <f t="shared" si="4"/>
        <v>EF1 E002 Mat</v>
      </c>
    </row>
    <row r="262" spans="1:31" s="36" customFormat="1" ht="30" x14ac:dyDescent="0.25">
      <c r="A262" s="31" t="s">
        <v>591</v>
      </c>
      <c r="B262" s="16" t="s">
        <v>32</v>
      </c>
      <c r="C262" s="16" t="s">
        <v>164</v>
      </c>
      <c r="D262" s="33" t="s">
        <v>34</v>
      </c>
      <c r="E262" s="33">
        <v>111</v>
      </c>
      <c r="F262" s="33">
        <v>1</v>
      </c>
      <c r="G262" s="33">
        <v>8</v>
      </c>
      <c r="H262" s="33"/>
      <c r="I262" s="31" t="s">
        <v>46</v>
      </c>
      <c r="J262" s="31"/>
      <c r="K262" s="33"/>
      <c r="L262" s="33"/>
      <c r="M262" s="31"/>
      <c r="N262" s="31"/>
      <c r="O262" s="16" t="s">
        <v>592</v>
      </c>
      <c r="P262" s="16"/>
      <c r="Q262" s="16"/>
      <c r="R262" s="33"/>
      <c r="S262" s="34"/>
      <c r="T262" s="34"/>
      <c r="U262" s="34"/>
      <c r="V262" s="34"/>
      <c r="W262" s="34"/>
      <c r="X262" s="33" t="s">
        <v>48</v>
      </c>
      <c r="Y262" s="35" t="str">
        <f>IF(Tabela2[[#This Row],[SIGLA]]="","",VLOOKUP(Tabela2[[#This Row],[SIGLA]],Tabela1[[#All],[Sigla Arte]:[Crédito]],2,0))</f>
        <v>SERGIO LIMA/ARQUIVO DA EDITORA</v>
      </c>
      <c r="Z262" s="31"/>
      <c r="AA262" s="31" t="str">
        <f>Tabela2[[#This Row],[ILUSTRADOR CRIAÇÃO]]</f>
        <v>SERGIO LIMA/ARQUIVO DA EDITORA</v>
      </c>
      <c r="AB262" s="33"/>
      <c r="AC262" s="16"/>
      <c r="AD262" s="16"/>
      <c r="AE262" s="35" t="str">
        <f t="shared" si="4"/>
        <v>EF1 E002 Mat</v>
      </c>
    </row>
    <row r="263" spans="1:31" s="36" customFormat="1" ht="30" x14ac:dyDescent="0.25">
      <c r="A263" s="31" t="s">
        <v>593</v>
      </c>
      <c r="B263" s="16" t="s">
        <v>32</v>
      </c>
      <c r="C263" s="16" t="s">
        <v>164</v>
      </c>
      <c r="D263" s="33" t="s">
        <v>34</v>
      </c>
      <c r="E263" s="33">
        <v>111</v>
      </c>
      <c r="F263" s="33">
        <v>1</v>
      </c>
      <c r="G263" s="33">
        <v>8</v>
      </c>
      <c r="H263" s="33"/>
      <c r="I263" s="31" t="s">
        <v>46</v>
      </c>
      <c r="J263" s="31"/>
      <c r="K263" s="33"/>
      <c r="L263" s="33"/>
      <c r="M263" s="31"/>
      <c r="N263" s="31"/>
      <c r="O263" s="16" t="s">
        <v>594</v>
      </c>
      <c r="P263" s="16"/>
      <c r="Q263" s="16"/>
      <c r="R263" s="33"/>
      <c r="S263" s="34"/>
      <c r="T263" s="34"/>
      <c r="U263" s="34"/>
      <c r="V263" s="34"/>
      <c r="W263" s="34"/>
      <c r="X263" s="33" t="s">
        <v>48</v>
      </c>
      <c r="Y263" s="35" t="str">
        <f>IF(Tabela2[[#This Row],[SIGLA]]="","",VLOOKUP(Tabela2[[#This Row],[SIGLA]],Tabela1[[#All],[Sigla Arte]:[Crédito]],2,0))</f>
        <v>SERGIO LIMA/ARQUIVO DA EDITORA</v>
      </c>
      <c r="Z263" s="31"/>
      <c r="AA263" s="31" t="str">
        <f>Tabela2[[#This Row],[ILUSTRADOR CRIAÇÃO]]</f>
        <v>SERGIO LIMA/ARQUIVO DA EDITORA</v>
      </c>
      <c r="AB263" s="33"/>
      <c r="AC263" s="16"/>
      <c r="AD263" s="16"/>
      <c r="AE263" s="35" t="str">
        <f t="shared" si="4"/>
        <v>EF1 E002 Mat</v>
      </c>
    </row>
    <row r="264" spans="1:31" s="36" customFormat="1" ht="30" x14ac:dyDescent="0.25">
      <c r="A264" s="31" t="s">
        <v>595</v>
      </c>
      <c r="B264" s="16" t="s">
        <v>32</v>
      </c>
      <c r="C264" s="16" t="s">
        <v>164</v>
      </c>
      <c r="D264" s="33" t="s">
        <v>34</v>
      </c>
      <c r="E264" s="33">
        <v>111</v>
      </c>
      <c r="F264" s="33">
        <v>1</v>
      </c>
      <c r="G264" s="33">
        <v>8</v>
      </c>
      <c r="H264" s="33"/>
      <c r="I264" s="31" t="s">
        <v>46</v>
      </c>
      <c r="J264" s="31"/>
      <c r="K264" s="33"/>
      <c r="L264" s="33"/>
      <c r="M264" s="31"/>
      <c r="N264" s="31"/>
      <c r="O264" s="16" t="s">
        <v>596</v>
      </c>
      <c r="P264" s="16"/>
      <c r="Q264" s="16"/>
      <c r="R264" s="33"/>
      <c r="S264" s="34"/>
      <c r="T264" s="34"/>
      <c r="U264" s="34"/>
      <c r="V264" s="34"/>
      <c r="W264" s="34"/>
      <c r="X264" s="33" t="s">
        <v>48</v>
      </c>
      <c r="Y264" s="35" t="str">
        <f>IF(Tabela2[[#This Row],[SIGLA]]="","",VLOOKUP(Tabela2[[#This Row],[SIGLA]],Tabela1[[#All],[Sigla Arte]:[Crédito]],2,0))</f>
        <v>SERGIO LIMA/ARQUIVO DA EDITORA</v>
      </c>
      <c r="Z264" s="31"/>
      <c r="AA264" s="31" t="str">
        <f>Tabela2[[#This Row],[ILUSTRADOR CRIAÇÃO]]</f>
        <v>SERGIO LIMA/ARQUIVO DA EDITORA</v>
      </c>
      <c r="AB264" s="33"/>
      <c r="AC264" s="16"/>
      <c r="AD264" s="16"/>
      <c r="AE264" s="35" t="str">
        <f t="shared" si="4"/>
        <v>EF1 E002 Mat</v>
      </c>
    </row>
    <row r="265" spans="1:31" s="36" customFormat="1" ht="30" x14ac:dyDescent="0.25">
      <c r="A265" s="31" t="s">
        <v>597</v>
      </c>
      <c r="B265" s="16" t="s">
        <v>32</v>
      </c>
      <c r="C265" s="16" t="s">
        <v>164</v>
      </c>
      <c r="D265" s="33" t="s">
        <v>34</v>
      </c>
      <c r="E265" s="33">
        <v>111</v>
      </c>
      <c r="F265" s="33">
        <v>1</v>
      </c>
      <c r="G265" s="33">
        <v>8</v>
      </c>
      <c r="H265" s="33"/>
      <c r="I265" s="31" t="s">
        <v>46</v>
      </c>
      <c r="J265" s="31"/>
      <c r="K265" s="33"/>
      <c r="L265" s="33"/>
      <c r="M265" s="31"/>
      <c r="N265" s="31"/>
      <c r="O265" s="16" t="s">
        <v>598</v>
      </c>
      <c r="P265" s="16"/>
      <c r="Q265" s="16"/>
      <c r="R265" s="33"/>
      <c r="S265" s="34"/>
      <c r="T265" s="34"/>
      <c r="U265" s="34"/>
      <c r="V265" s="34"/>
      <c r="W265" s="34"/>
      <c r="X265" s="33" t="s">
        <v>85</v>
      </c>
      <c r="Y265" s="35" t="str">
        <f>IF(Tabela2[[#This Row],[SIGLA]]="","",VLOOKUP(Tabela2[[#This Row],[SIGLA]],Tabela1[[#All],[Sigla Arte]:[Crédito]],2,0))</f>
        <v>HELOÍSA PINTARELLI/ARQUIVO DA EDITORA</v>
      </c>
      <c r="Z265" s="31"/>
      <c r="AA265" s="31" t="str">
        <f>Tabela2[[#This Row],[ILUSTRADOR CRIAÇÃO]]</f>
        <v>HELOÍSA PINTARELLI/ARQUIVO DA EDITORA</v>
      </c>
      <c r="AB265" s="33"/>
      <c r="AC265" s="16"/>
      <c r="AD265" s="16"/>
      <c r="AE265" s="35" t="str">
        <f t="shared" si="4"/>
        <v>EF1 E002 Mat</v>
      </c>
    </row>
    <row r="266" spans="1:31" s="36" customFormat="1" ht="45" x14ac:dyDescent="0.25">
      <c r="A266" s="31" t="s">
        <v>599</v>
      </c>
      <c r="B266" s="16" t="s">
        <v>32</v>
      </c>
      <c r="C266" s="16" t="s">
        <v>33</v>
      </c>
      <c r="D266" s="33" t="s">
        <v>34</v>
      </c>
      <c r="E266" s="33">
        <v>111</v>
      </c>
      <c r="F266" s="33">
        <v>1</v>
      </c>
      <c r="G266" s="33">
        <v>8</v>
      </c>
      <c r="H266" s="33"/>
      <c r="I266" s="31" t="s">
        <v>46</v>
      </c>
      <c r="J266" s="31"/>
      <c r="K266" s="33"/>
      <c r="L266" s="33"/>
      <c r="M266" s="31"/>
      <c r="N266" s="31"/>
      <c r="O266" s="16" t="s">
        <v>600</v>
      </c>
      <c r="P266" s="16"/>
      <c r="Q266" s="16"/>
      <c r="R266" s="33"/>
      <c r="S266" s="34"/>
      <c r="T266" s="34"/>
      <c r="U266" s="34"/>
      <c r="V266" s="34"/>
      <c r="W266" s="34"/>
      <c r="X266" s="33" t="s">
        <v>85</v>
      </c>
      <c r="Y266" s="35" t="str">
        <f>IF(Tabela2[[#This Row],[SIGLA]]="","",VLOOKUP(Tabela2[[#This Row],[SIGLA]],Tabela1[[#All],[Sigla Arte]:[Crédito]],2,0))</f>
        <v>HELOÍSA PINTARELLI/ARQUIVO DA EDITORA</v>
      </c>
      <c r="Z266" s="31"/>
      <c r="AA266" s="31" t="str">
        <f>Tabela2[[#This Row],[ILUSTRADOR CRIAÇÃO]]</f>
        <v>HELOÍSA PINTARELLI/ARQUIVO DA EDITORA</v>
      </c>
      <c r="AB266" s="33"/>
      <c r="AC266" s="16"/>
      <c r="AD266" s="16"/>
      <c r="AE266" s="35" t="str">
        <f t="shared" si="4"/>
        <v>EF1 E002 Mat</v>
      </c>
    </row>
    <row r="267" spans="1:31" s="36" customFormat="1" ht="30" x14ac:dyDescent="0.25">
      <c r="A267" s="31" t="s">
        <v>601</v>
      </c>
      <c r="B267" s="16" t="s">
        <v>32</v>
      </c>
      <c r="C267" s="16" t="s">
        <v>164</v>
      </c>
      <c r="D267" s="33" t="s">
        <v>34</v>
      </c>
      <c r="E267" s="33">
        <v>109</v>
      </c>
      <c r="F267" s="33">
        <v>1</v>
      </c>
      <c r="G267" s="33">
        <v>8</v>
      </c>
      <c r="H267" s="33"/>
      <c r="I267" s="31" t="s">
        <v>46</v>
      </c>
      <c r="J267" s="31"/>
      <c r="K267" s="33"/>
      <c r="L267" s="33"/>
      <c r="M267" s="31"/>
      <c r="N267" s="31"/>
      <c r="O267" s="16" t="s">
        <v>602</v>
      </c>
      <c r="P267" s="16"/>
      <c r="Q267" s="16"/>
      <c r="R267" s="33"/>
      <c r="S267" s="34"/>
      <c r="T267" s="34"/>
      <c r="U267" s="34"/>
      <c r="V267" s="34"/>
      <c r="W267" s="34"/>
      <c r="X267" s="33" t="s">
        <v>48</v>
      </c>
      <c r="Y267" s="35" t="str">
        <f>IF(Tabela2[[#This Row],[SIGLA]]="","",VLOOKUP(Tabela2[[#This Row],[SIGLA]],Tabela1[[#All],[Sigla Arte]:[Crédito]],2,0))</f>
        <v>SERGIO LIMA/ARQUIVO DA EDITORA</v>
      </c>
      <c r="Z267" s="31"/>
      <c r="AA267" s="31" t="str">
        <f>Tabela2[[#This Row],[ILUSTRADOR CRIAÇÃO]]</f>
        <v>SERGIO LIMA/ARQUIVO DA EDITORA</v>
      </c>
      <c r="AB267" s="33"/>
      <c r="AC267" s="16"/>
      <c r="AD267" s="16"/>
      <c r="AE267" s="35" t="str">
        <f t="shared" si="4"/>
        <v>EF1 E002 Mat</v>
      </c>
    </row>
    <row r="268" spans="1:31" s="36" customFormat="1" ht="90" x14ac:dyDescent="0.25">
      <c r="A268" s="31" t="s">
        <v>603</v>
      </c>
      <c r="B268" s="16" t="s">
        <v>32</v>
      </c>
      <c r="C268" s="16" t="s">
        <v>33</v>
      </c>
      <c r="D268" s="33" t="s">
        <v>34</v>
      </c>
      <c r="E268" s="33">
        <v>116</v>
      </c>
      <c r="F268" s="33">
        <v>1</v>
      </c>
      <c r="G268" s="33">
        <v>9</v>
      </c>
      <c r="H268" s="33"/>
      <c r="I268" s="31" t="s">
        <v>35</v>
      </c>
      <c r="J268" s="31"/>
      <c r="K268" s="33"/>
      <c r="L268" s="33"/>
      <c r="M268" s="31"/>
      <c r="N268" s="31"/>
      <c r="O268" s="16" t="s">
        <v>604</v>
      </c>
      <c r="P268" s="16"/>
      <c r="Q268" s="16"/>
      <c r="R268" s="33">
        <v>5</v>
      </c>
      <c r="S268" s="34">
        <v>45735</v>
      </c>
      <c r="T268" s="34">
        <v>45735</v>
      </c>
      <c r="U268" s="34"/>
      <c r="V268" s="34"/>
      <c r="W268" s="34">
        <v>45735</v>
      </c>
      <c r="X268" s="33" t="s">
        <v>162</v>
      </c>
      <c r="Y268" s="35" t="str">
        <f>IF(Tabela2[[#This Row],[SIGLA]]="","",VLOOKUP(Tabela2[[#This Row],[SIGLA]],Tabela1[[#All],[Sigla Arte]:[Crédito]],2,0))</f>
        <v>IVY NUNES/ARQUIVO DA EDITORA</v>
      </c>
      <c r="Z268" s="31" t="s">
        <v>383</v>
      </c>
      <c r="AA268" s="31" t="str">
        <f>Tabela2[[#This Row],[ILUSTRADOR CRIAÇÃO]]</f>
        <v>IVY NUNES/ARQUIVO DA EDITORA</v>
      </c>
      <c r="AB268" s="33">
        <v>13</v>
      </c>
      <c r="AC268" s="16" t="s">
        <v>605</v>
      </c>
      <c r="AD268" s="16" t="s">
        <v>40</v>
      </c>
      <c r="AE268" s="35" t="str">
        <f t="shared" si="4"/>
        <v>EF1 E002 Mat</v>
      </c>
    </row>
    <row r="269" spans="1:31" s="36" customFormat="1" ht="45" x14ac:dyDescent="0.25">
      <c r="A269" s="31" t="s">
        <v>606</v>
      </c>
      <c r="B269" s="16" t="s">
        <v>32</v>
      </c>
      <c r="C269" s="16" t="s">
        <v>33</v>
      </c>
      <c r="D269" s="33" t="s">
        <v>34</v>
      </c>
      <c r="E269" s="33">
        <v>117</v>
      </c>
      <c r="F269" s="33">
        <v>1</v>
      </c>
      <c r="G269" s="33">
        <v>9</v>
      </c>
      <c r="H269" s="33"/>
      <c r="I269" s="31" t="s">
        <v>46</v>
      </c>
      <c r="J269" s="31"/>
      <c r="K269" s="33"/>
      <c r="L269" s="33"/>
      <c r="M269" s="31"/>
      <c r="N269" s="31"/>
      <c r="O269" s="16" t="s">
        <v>607</v>
      </c>
      <c r="P269" s="16"/>
      <c r="Q269" s="16"/>
      <c r="R269" s="33"/>
      <c r="S269" s="34"/>
      <c r="T269" s="34"/>
      <c r="U269" s="34"/>
      <c r="V269" s="34"/>
      <c r="W269" s="34"/>
      <c r="X269" s="33" t="s">
        <v>43</v>
      </c>
      <c r="Y269" s="35" t="str">
        <f>IF(Tabela2[[#This Row],[SIGLA]]="","",VLOOKUP(Tabela2[[#This Row],[SIGLA]],Tabela1[[#All],[Sigla Arte]:[Crédito]],2,0))</f>
        <v>GUILHERME RODRIGUES/ARQUIVO DA EDITORA</v>
      </c>
      <c r="Z269" s="31"/>
      <c r="AA269" s="31" t="str">
        <f>Tabela2[[#This Row],[ILUSTRADOR CRIAÇÃO]]</f>
        <v>GUILHERME RODRIGUES/ARQUIVO DA EDITORA</v>
      </c>
      <c r="AB269" s="33"/>
      <c r="AC269" s="16"/>
      <c r="AD269" s="16"/>
      <c r="AE269" s="35" t="str">
        <f t="shared" si="4"/>
        <v>EF1 E002 Mat</v>
      </c>
    </row>
    <row r="270" spans="1:31" s="36" customFormat="1" ht="45" x14ac:dyDescent="0.25">
      <c r="A270" s="31" t="s">
        <v>608</v>
      </c>
      <c r="B270" s="16" t="s">
        <v>32</v>
      </c>
      <c r="C270" s="16" t="s">
        <v>33</v>
      </c>
      <c r="D270" s="33" t="s">
        <v>34</v>
      </c>
      <c r="E270" s="33">
        <v>117</v>
      </c>
      <c r="F270" s="33">
        <v>1</v>
      </c>
      <c r="G270" s="33">
        <v>9</v>
      </c>
      <c r="H270" s="33"/>
      <c r="I270" s="31" t="s">
        <v>46</v>
      </c>
      <c r="J270" s="31"/>
      <c r="K270" s="33"/>
      <c r="L270" s="33"/>
      <c r="M270" s="31"/>
      <c r="N270" s="31"/>
      <c r="O270" s="16" t="s">
        <v>609</v>
      </c>
      <c r="P270" s="16"/>
      <c r="Q270" s="16"/>
      <c r="R270" s="33"/>
      <c r="S270" s="34"/>
      <c r="T270" s="34"/>
      <c r="U270" s="34"/>
      <c r="V270" s="34"/>
      <c r="W270" s="34"/>
      <c r="X270" s="33" t="s">
        <v>43</v>
      </c>
      <c r="Y270" s="35" t="str">
        <f>IF(Tabela2[[#This Row],[SIGLA]]="","",VLOOKUP(Tabela2[[#This Row],[SIGLA]],Tabela1[[#All],[Sigla Arte]:[Crédito]],2,0))</f>
        <v>GUILHERME RODRIGUES/ARQUIVO DA EDITORA</v>
      </c>
      <c r="Z270" s="31"/>
      <c r="AA270" s="31" t="str">
        <f>Tabela2[[#This Row],[ILUSTRADOR CRIAÇÃO]]</f>
        <v>GUILHERME RODRIGUES/ARQUIVO DA EDITORA</v>
      </c>
      <c r="AB270" s="33"/>
      <c r="AC270" s="16"/>
      <c r="AD270" s="16"/>
      <c r="AE270" s="35" t="str">
        <f t="shared" si="4"/>
        <v>EF1 E002 Mat</v>
      </c>
    </row>
    <row r="271" spans="1:31" s="36" customFormat="1" ht="60" x14ac:dyDescent="0.25">
      <c r="A271" s="31" t="s">
        <v>610</v>
      </c>
      <c r="B271" s="16" t="s">
        <v>32</v>
      </c>
      <c r="C271" s="16" t="s">
        <v>164</v>
      </c>
      <c r="D271" s="33" t="s">
        <v>34</v>
      </c>
      <c r="E271" s="33">
        <v>118</v>
      </c>
      <c r="F271" s="33">
        <v>1</v>
      </c>
      <c r="G271" s="33">
        <v>9</v>
      </c>
      <c r="H271" s="33"/>
      <c r="I271" s="31" t="s">
        <v>46</v>
      </c>
      <c r="J271" s="31"/>
      <c r="K271" s="33"/>
      <c r="L271" s="33"/>
      <c r="M271" s="31"/>
      <c r="N271" s="31"/>
      <c r="O271" s="16" t="s">
        <v>611</v>
      </c>
      <c r="P271" s="16"/>
      <c r="Q271" s="16"/>
      <c r="R271" s="33"/>
      <c r="S271" s="34"/>
      <c r="T271" s="34"/>
      <c r="U271" s="34"/>
      <c r="V271" s="34"/>
      <c r="W271" s="34"/>
      <c r="X271" s="33" t="s">
        <v>85</v>
      </c>
      <c r="Y271" s="35" t="str">
        <f>IF(Tabela2[[#This Row],[SIGLA]]="","",VLOOKUP(Tabela2[[#This Row],[SIGLA]],Tabela1[[#All],[Sigla Arte]:[Crédito]],2,0))</f>
        <v>HELOÍSA PINTARELLI/ARQUIVO DA EDITORA</v>
      </c>
      <c r="Z271" s="31"/>
      <c r="AA271" s="31" t="str">
        <f>Tabela2[[#This Row],[ILUSTRADOR CRIAÇÃO]]</f>
        <v>HELOÍSA PINTARELLI/ARQUIVO DA EDITORA</v>
      </c>
      <c r="AB271" s="33"/>
      <c r="AC271" s="16"/>
      <c r="AD271" s="16"/>
      <c r="AE271" s="35" t="str">
        <f t="shared" si="4"/>
        <v>EF1 E002 Mat</v>
      </c>
    </row>
    <row r="272" spans="1:31" s="36" customFormat="1" ht="45" x14ac:dyDescent="0.25">
      <c r="A272" s="31" t="s">
        <v>612</v>
      </c>
      <c r="B272" s="16" t="s">
        <v>32</v>
      </c>
      <c r="C272" s="16" t="s">
        <v>164</v>
      </c>
      <c r="D272" s="33" t="s">
        <v>34</v>
      </c>
      <c r="E272" s="33">
        <v>118</v>
      </c>
      <c r="F272" s="33">
        <v>1</v>
      </c>
      <c r="G272" s="33">
        <v>9</v>
      </c>
      <c r="H272" s="33"/>
      <c r="I272" s="31" t="s">
        <v>46</v>
      </c>
      <c r="J272" s="31"/>
      <c r="K272" s="33"/>
      <c r="L272" s="33"/>
      <c r="M272" s="31"/>
      <c r="N272" s="31"/>
      <c r="O272" s="16" t="s">
        <v>613</v>
      </c>
      <c r="P272" s="16"/>
      <c r="Q272" s="16"/>
      <c r="R272" s="33"/>
      <c r="S272" s="34"/>
      <c r="T272" s="34"/>
      <c r="U272" s="34"/>
      <c r="V272" s="34"/>
      <c r="W272" s="34"/>
      <c r="X272" s="33" t="s">
        <v>470</v>
      </c>
      <c r="Y272" s="35" t="str">
        <f>IF(Tabela2[[#This Row],[SIGLA]]="","",VLOOKUP(Tabela2[[#This Row],[SIGLA]],Tabela1[[#All],[Sigla Arte]:[Crédito]],2,0))</f>
        <v>RENAN FONSECA/ARQUIVO DA EDITORA</v>
      </c>
      <c r="Z272" s="31"/>
      <c r="AA272" s="31" t="str">
        <f>Tabela2[[#This Row],[ILUSTRADOR CRIAÇÃO]]</f>
        <v>RENAN FONSECA/ARQUIVO DA EDITORA</v>
      </c>
      <c r="AB272" s="33"/>
      <c r="AC272" s="16"/>
      <c r="AD272" s="16"/>
      <c r="AE272" s="35" t="str">
        <f t="shared" si="4"/>
        <v>EF1 E002 Mat</v>
      </c>
    </row>
    <row r="273" spans="1:31" s="36" customFormat="1" ht="75" x14ac:dyDescent="0.25">
      <c r="A273" s="31" t="s">
        <v>614</v>
      </c>
      <c r="B273" s="16" t="s">
        <v>32</v>
      </c>
      <c r="C273" s="16" t="s">
        <v>164</v>
      </c>
      <c r="D273" s="33" t="s">
        <v>34</v>
      </c>
      <c r="E273" s="33">
        <v>119</v>
      </c>
      <c r="F273" s="33">
        <v>1</v>
      </c>
      <c r="G273" s="33">
        <v>9</v>
      </c>
      <c r="H273" s="33"/>
      <c r="I273" s="31" t="s">
        <v>35</v>
      </c>
      <c r="J273" s="31"/>
      <c r="K273" s="33"/>
      <c r="L273" s="33"/>
      <c r="M273" s="31"/>
      <c r="N273" s="31"/>
      <c r="O273" s="16" t="s">
        <v>615</v>
      </c>
      <c r="P273" s="16"/>
      <c r="Q273" s="16"/>
      <c r="R273" s="33">
        <v>5</v>
      </c>
      <c r="S273" s="34">
        <v>45735</v>
      </c>
      <c r="T273" s="34">
        <v>45735</v>
      </c>
      <c r="U273" s="34"/>
      <c r="V273" s="34"/>
      <c r="W273" s="34">
        <v>45735</v>
      </c>
      <c r="X273" s="33" t="s">
        <v>48</v>
      </c>
      <c r="Y273" s="35" t="str">
        <f>IF(Tabela2[[#This Row],[SIGLA]]="","",VLOOKUP(Tabela2[[#This Row],[SIGLA]],Tabela1[[#All],[Sigla Arte]:[Crédito]],2,0))</f>
        <v>SERGIO LIMA/ARQUIVO DA EDITORA</v>
      </c>
      <c r="Z273" s="31" t="s">
        <v>383</v>
      </c>
      <c r="AA273" s="31" t="str">
        <f>Tabela2[[#This Row],[ILUSTRADOR CRIAÇÃO]]</f>
        <v>SERGIO LIMA/ARQUIVO DA EDITORA</v>
      </c>
      <c r="AB273" s="33">
        <v>13</v>
      </c>
      <c r="AC273" s="16" t="s">
        <v>616</v>
      </c>
      <c r="AD273" s="16" t="s">
        <v>40</v>
      </c>
      <c r="AE273" s="35" t="str">
        <f t="shared" si="4"/>
        <v>EF1 E002 Mat</v>
      </c>
    </row>
    <row r="274" spans="1:31" s="36" customFormat="1" ht="75" x14ac:dyDescent="0.25">
      <c r="A274" s="31" t="s">
        <v>617</v>
      </c>
      <c r="B274" s="16" t="s">
        <v>32</v>
      </c>
      <c r="C274" s="16" t="s">
        <v>164</v>
      </c>
      <c r="D274" s="33" t="s">
        <v>34</v>
      </c>
      <c r="E274" s="33">
        <v>119</v>
      </c>
      <c r="F274" s="33">
        <v>1</v>
      </c>
      <c r="G274" s="33">
        <v>9</v>
      </c>
      <c r="H274" s="33"/>
      <c r="I274" s="31" t="s">
        <v>35</v>
      </c>
      <c r="J274" s="31"/>
      <c r="K274" s="33"/>
      <c r="L274" s="33"/>
      <c r="M274" s="31"/>
      <c r="N274" s="31"/>
      <c r="O274" s="16" t="s">
        <v>618</v>
      </c>
      <c r="P274" s="16"/>
      <c r="Q274" s="16"/>
      <c r="R274" s="33">
        <v>5</v>
      </c>
      <c r="S274" s="34">
        <v>45735</v>
      </c>
      <c r="T274" s="34">
        <v>45735</v>
      </c>
      <c r="U274" s="34"/>
      <c r="V274" s="34"/>
      <c r="W274" s="34">
        <v>45735</v>
      </c>
      <c r="X274" s="33" t="s">
        <v>48</v>
      </c>
      <c r="Y274" s="35" t="str">
        <f>IF(Tabela2[[#This Row],[SIGLA]]="","",VLOOKUP(Tabela2[[#This Row],[SIGLA]],Tabela1[[#All],[Sigla Arte]:[Crédito]],2,0))</f>
        <v>SERGIO LIMA/ARQUIVO DA EDITORA</v>
      </c>
      <c r="Z274" s="31" t="s">
        <v>383</v>
      </c>
      <c r="AA274" s="31" t="str">
        <f>Tabela2[[#This Row],[ILUSTRADOR CRIAÇÃO]]</f>
        <v>SERGIO LIMA/ARQUIVO DA EDITORA</v>
      </c>
      <c r="AB274" s="33">
        <v>13</v>
      </c>
      <c r="AC274" s="16" t="s">
        <v>384</v>
      </c>
      <c r="AD274" s="16" t="s">
        <v>40</v>
      </c>
      <c r="AE274" s="35" t="str">
        <f t="shared" si="4"/>
        <v>EF1 E002 Mat</v>
      </c>
    </row>
    <row r="275" spans="1:31" s="36" customFormat="1" ht="45" x14ac:dyDescent="0.25">
      <c r="A275" s="31" t="s">
        <v>619</v>
      </c>
      <c r="B275" s="16" t="s">
        <v>32</v>
      </c>
      <c r="C275" s="16" t="s">
        <v>164</v>
      </c>
      <c r="D275" s="33" t="s">
        <v>34</v>
      </c>
      <c r="E275" s="33">
        <v>119</v>
      </c>
      <c r="F275" s="33">
        <v>1</v>
      </c>
      <c r="G275" s="33">
        <v>9</v>
      </c>
      <c r="H275" s="33"/>
      <c r="I275" s="31" t="s">
        <v>46</v>
      </c>
      <c r="J275" s="31"/>
      <c r="K275" s="33"/>
      <c r="L275" s="33"/>
      <c r="M275" s="31"/>
      <c r="N275" s="31"/>
      <c r="O275" s="16" t="s">
        <v>620</v>
      </c>
      <c r="P275" s="16"/>
      <c r="Q275" s="16"/>
      <c r="R275" s="33"/>
      <c r="S275" s="34"/>
      <c r="T275" s="34"/>
      <c r="U275" s="34"/>
      <c r="V275" s="34"/>
      <c r="W275" s="34"/>
      <c r="X275" s="33" t="s">
        <v>85</v>
      </c>
      <c r="Y275" s="35" t="str">
        <f>IF(Tabela2[[#This Row],[SIGLA]]="","",VLOOKUP(Tabela2[[#This Row],[SIGLA]],Tabela1[[#All],[Sigla Arte]:[Crédito]],2,0))</f>
        <v>HELOÍSA PINTARELLI/ARQUIVO DA EDITORA</v>
      </c>
      <c r="Z275" s="31"/>
      <c r="AA275" s="31" t="str">
        <f>Tabela2[[#This Row],[ILUSTRADOR CRIAÇÃO]]</f>
        <v>HELOÍSA PINTARELLI/ARQUIVO DA EDITORA</v>
      </c>
      <c r="AB275" s="33"/>
      <c r="AC275" s="16"/>
      <c r="AD275" s="16"/>
      <c r="AE275" s="35" t="str">
        <f t="shared" si="4"/>
        <v>EF1 E002 Mat</v>
      </c>
    </row>
    <row r="276" spans="1:31" s="36" customFormat="1" ht="150" x14ac:dyDescent="0.25">
      <c r="A276" s="31" t="s">
        <v>621</v>
      </c>
      <c r="B276" s="16" t="s">
        <v>32</v>
      </c>
      <c r="C276" s="16" t="s">
        <v>33</v>
      </c>
      <c r="D276" s="33" t="s">
        <v>34</v>
      </c>
      <c r="E276" s="33">
        <v>120</v>
      </c>
      <c r="F276" s="33">
        <v>1</v>
      </c>
      <c r="G276" s="33">
        <v>9</v>
      </c>
      <c r="H276" s="33"/>
      <c r="I276" s="31" t="s">
        <v>35</v>
      </c>
      <c r="J276" s="31"/>
      <c r="K276" s="33"/>
      <c r="L276" s="33"/>
      <c r="M276" s="31"/>
      <c r="N276" s="31"/>
      <c r="O276" s="16" t="s">
        <v>622</v>
      </c>
      <c r="P276" s="16"/>
      <c r="Q276" s="16"/>
      <c r="R276" s="33">
        <v>5</v>
      </c>
      <c r="S276" s="34">
        <v>45796</v>
      </c>
      <c r="T276" s="34">
        <v>45735</v>
      </c>
      <c r="U276" s="34"/>
      <c r="V276" s="34"/>
      <c r="W276" s="34">
        <v>45735</v>
      </c>
      <c r="X276" s="33" t="s">
        <v>162</v>
      </c>
      <c r="Y276" s="35" t="str">
        <f>IF(Tabela2[[#This Row],[SIGLA]]="","",VLOOKUP(Tabela2[[#This Row],[SIGLA]],Tabela1[[#All],[Sigla Arte]:[Crédito]],2,0))</f>
        <v>IVY NUNES/ARQUIVO DA EDITORA</v>
      </c>
      <c r="Z276" s="31" t="s">
        <v>383</v>
      </c>
      <c r="AA276" s="31" t="str">
        <f>Tabela2[[#This Row],[ILUSTRADOR CRIAÇÃO]]</f>
        <v>IVY NUNES/ARQUIVO DA EDITORA</v>
      </c>
      <c r="AB276" s="33">
        <v>13</v>
      </c>
      <c r="AC276" s="16" t="s">
        <v>623</v>
      </c>
      <c r="AD276" s="16" t="s">
        <v>40</v>
      </c>
      <c r="AE276" s="35" t="str">
        <f t="shared" si="4"/>
        <v>EF1 E002 Mat</v>
      </c>
    </row>
    <row r="277" spans="1:31" s="36" customFormat="1" ht="105" x14ac:dyDescent="0.25">
      <c r="A277" s="31" t="s">
        <v>624</v>
      </c>
      <c r="B277" s="16" t="s">
        <v>32</v>
      </c>
      <c r="C277" s="16" t="s">
        <v>33</v>
      </c>
      <c r="D277" s="33" t="s">
        <v>34</v>
      </c>
      <c r="E277" s="33">
        <v>120</v>
      </c>
      <c r="F277" s="33">
        <v>1</v>
      </c>
      <c r="G277" s="33">
        <v>9</v>
      </c>
      <c r="H277" s="33"/>
      <c r="I277" s="31" t="s">
        <v>35</v>
      </c>
      <c r="J277" s="31"/>
      <c r="K277" s="33"/>
      <c r="L277" s="33"/>
      <c r="M277" s="31"/>
      <c r="N277" s="31"/>
      <c r="O277" s="16" t="s">
        <v>625</v>
      </c>
      <c r="P277" s="16"/>
      <c r="Q277" s="16"/>
      <c r="R277" s="33">
        <v>5</v>
      </c>
      <c r="S277" s="34">
        <v>45796</v>
      </c>
      <c r="T277" s="34">
        <v>45735</v>
      </c>
      <c r="U277" s="34"/>
      <c r="V277" s="34"/>
      <c r="W277" s="34">
        <v>45735</v>
      </c>
      <c r="X277" s="33" t="s">
        <v>162</v>
      </c>
      <c r="Y277" s="35" t="str">
        <f>IF(Tabela2[[#This Row],[SIGLA]]="","",VLOOKUP(Tabela2[[#This Row],[SIGLA]],Tabela1[[#All],[Sigla Arte]:[Crédito]],2,0))</f>
        <v>IVY NUNES/ARQUIVO DA EDITORA</v>
      </c>
      <c r="Z277" s="31" t="s">
        <v>383</v>
      </c>
      <c r="AA277" s="31" t="str">
        <f>Tabela2[[#This Row],[ILUSTRADOR CRIAÇÃO]]</f>
        <v>IVY NUNES/ARQUIVO DA EDITORA</v>
      </c>
      <c r="AB277" s="33">
        <v>13</v>
      </c>
      <c r="AC277" s="16" t="s">
        <v>623</v>
      </c>
      <c r="AD277" s="16" t="s">
        <v>40</v>
      </c>
      <c r="AE277" s="35" t="str">
        <f t="shared" si="4"/>
        <v>EF1 E002 Mat</v>
      </c>
    </row>
    <row r="278" spans="1:31" s="36" customFormat="1" ht="60" x14ac:dyDescent="0.25">
      <c r="A278" s="31" t="s">
        <v>626</v>
      </c>
      <c r="B278" s="16" t="s">
        <v>97</v>
      </c>
      <c r="C278" s="16" t="s">
        <v>164</v>
      </c>
      <c r="D278" s="33" t="s">
        <v>34</v>
      </c>
      <c r="E278" s="33">
        <v>121</v>
      </c>
      <c r="F278" s="33">
        <v>1</v>
      </c>
      <c r="G278" s="33">
        <v>9</v>
      </c>
      <c r="H278" s="33"/>
      <c r="I278" s="31" t="s">
        <v>46</v>
      </c>
      <c r="J278" s="31"/>
      <c r="K278" s="33"/>
      <c r="L278" s="33"/>
      <c r="M278" s="31"/>
      <c r="N278" s="31"/>
      <c r="O278" s="16" t="s">
        <v>627</v>
      </c>
      <c r="P278" s="16"/>
      <c r="Q278" s="16"/>
      <c r="R278" s="33">
        <v>102</v>
      </c>
      <c r="S278" s="34">
        <v>45876</v>
      </c>
      <c r="T278" s="34"/>
      <c r="U278" s="34"/>
      <c r="V278" s="34"/>
      <c r="W278" s="34"/>
      <c r="X278" s="33" t="s">
        <v>470</v>
      </c>
      <c r="Y278" s="35" t="str">
        <f>IF(Tabela2[[#This Row],[SIGLA]]="","",VLOOKUP(Tabela2[[#This Row],[SIGLA]],Tabela1[[#All],[Sigla Arte]:[Crédito]],2,0))</f>
        <v>RENAN FONSECA/ARQUIVO DA EDITORA</v>
      </c>
      <c r="Z278" s="31"/>
      <c r="AA278" s="31" t="str">
        <f>Tabela2[[#This Row],[ILUSTRADOR CRIAÇÃO]]</f>
        <v>RENAN FONSECA/ARQUIVO DA EDITORA</v>
      </c>
      <c r="AB278" s="33"/>
      <c r="AC278" s="16"/>
      <c r="AD278" s="16"/>
      <c r="AE278" s="35" t="str">
        <f t="shared" si="4"/>
        <v>EF1 E002 Mat</v>
      </c>
    </row>
    <row r="279" spans="1:31" s="36" customFormat="1" ht="60" x14ac:dyDescent="0.25">
      <c r="A279" s="31" t="s">
        <v>628</v>
      </c>
      <c r="B279" s="16" t="s">
        <v>97</v>
      </c>
      <c r="C279" s="16" t="s">
        <v>164</v>
      </c>
      <c r="D279" s="33" t="s">
        <v>34</v>
      </c>
      <c r="E279" s="33">
        <v>121</v>
      </c>
      <c r="F279" s="33">
        <v>1</v>
      </c>
      <c r="G279" s="33">
        <v>9</v>
      </c>
      <c r="H279" s="33"/>
      <c r="I279" s="31" t="s">
        <v>46</v>
      </c>
      <c r="J279" s="31"/>
      <c r="K279" s="33"/>
      <c r="L279" s="33"/>
      <c r="M279" s="31"/>
      <c r="N279" s="31"/>
      <c r="O279" s="16" t="s">
        <v>629</v>
      </c>
      <c r="P279" s="16"/>
      <c r="Q279" s="16"/>
      <c r="R279" s="33">
        <v>102</v>
      </c>
      <c r="S279" s="34">
        <v>45876</v>
      </c>
      <c r="T279" s="34"/>
      <c r="U279" s="34"/>
      <c r="V279" s="34"/>
      <c r="W279" s="34"/>
      <c r="X279" s="33" t="s">
        <v>470</v>
      </c>
      <c r="Y279" s="35" t="str">
        <f>IF(Tabela2[[#This Row],[SIGLA]]="","",VLOOKUP(Tabela2[[#This Row],[SIGLA]],Tabela1[[#All],[Sigla Arte]:[Crédito]],2,0))</f>
        <v>RENAN FONSECA/ARQUIVO DA EDITORA</v>
      </c>
      <c r="Z279" s="31"/>
      <c r="AA279" s="31" t="str">
        <f>Tabela2[[#This Row],[ILUSTRADOR CRIAÇÃO]]</f>
        <v>RENAN FONSECA/ARQUIVO DA EDITORA</v>
      </c>
      <c r="AB279" s="33"/>
      <c r="AC279" s="16"/>
      <c r="AD279" s="16"/>
      <c r="AE279" s="35" t="str">
        <f t="shared" si="4"/>
        <v>EF1 E002 Mat</v>
      </c>
    </row>
    <row r="280" spans="1:31" s="36" customFormat="1" ht="60" x14ac:dyDescent="0.25">
      <c r="A280" s="31" t="s">
        <v>630</v>
      </c>
      <c r="B280" s="16" t="s">
        <v>97</v>
      </c>
      <c r="C280" s="16" t="s">
        <v>164</v>
      </c>
      <c r="D280" s="33" t="s">
        <v>34</v>
      </c>
      <c r="E280" s="33">
        <v>121</v>
      </c>
      <c r="F280" s="33">
        <v>1</v>
      </c>
      <c r="G280" s="33">
        <v>9</v>
      </c>
      <c r="H280" s="33"/>
      <c r="I280" s="31" t="s">
        <v>46</v>
      </c>
      <c r="J280" s="31"/>
      <c r="K280" s="33"/>
      <c r="L280" s="33"/>
      <c r="M280" s="31"/>
      <c r="N280" s="31"/>
      <c r="O280" s="16" t="s">
        <v>631</v>
      </c>
      <c r="P280" s="16"/>
      <c r="Q280" s="16"/>
      <c r="R280" s="33">
        <v>102</v>
      </c>
      <c r="S280" s="34">
        <v>45876</v>
      </c>
      <c r="T280" s="34"/>
      <c r="U280" s="34"/>
      <c r="V280" s="34"/>
      <c r="W280" s="34"/>
      <c r="X280" s="33" t="s">
        <v>470</v>
      </c>
      <c r="Y280" s="35" t="str">
        <f>IF(Tabela2[[#This Row],[SIGLA]]="","",VLOOKUP(Tabela2[[#This Row],[SIGLA]],Tabela1[[#All],[Sigla Arte]:[Crédito]],2,0))</f>
        <v>RENAN FONSECA/ARQUIVO DA EDITORA</v>
      </c>
      <c r="Z280" s="31"/>
      <c r="AA280" s="31" t="str">
        <f>Tabela2[[#This Row],[ILUSTRADOR CRIAÇÃO]]</f>
        <v>RENAN FONSECA/ARQUIVO DA EDITORA</v>
      </c>
      <c r="AB280" s="33"/>
      <c r="AC280" s="16"/>
      <c r="AD280" s="16"/>
      <c r="AE280" s="35" t="str">
        <f t="shared" si="4"/>
        <v>EF1 E002 Mat</v>
      </c>
    </row>
    <row r="281" spans="1:31" s="36" customFormat="1" ht="45" x14ac:dyDescent="0.25">
      <c r="A281" s="31" t="s">
        <v>632</v>
      </c>
      <c r="B281" s="16" t="s">
        <v>32</v>
      </c>
      <c r="C281" s="16" t="s">
        <v>33</v>
      </c>
      <c r="D281" s="33" t="s">
        <v>34</v>
      </c>
      <c r="E281" s="33">
        <v>122</v>
      </c>
      <c r="F281" s="33">
        <v>1</v>
      </c>
      <c r="G281" s="33">
        <v>9</v>
      </c>
      <c r="H281" s="33"/>
      <c r="I281" s="31" t="s">
        <v>46</v>
      </c>
      <c r="J281" s="31"/>
      <c r="K281" s="33"/>
      <c r="L281" s="33"/>
      <c r="M281" s="31"/>
      <c r="N281" s="31"/>
      <c r="O281" s="16" t="s">
        <v>633</v>
      </c>
      <c r="P281" s="16"/>
      <c r="Q281" s="16"/>
      <c r="R281" s="33"/>
      <c r="S281" s="34"/>
      <c r="T281" s="34"/>
      <c r="U281" s="34"/>
      <c r="V281" s="34"/>
      <c r="W281" s="34"/>
      <c r="X281" s="33" t="s">
        <v>43</v>
      </c>
      <c r="Y281" s="35" t="str">
        <f>IF(Tabela2[[#This Row],[SIGLA]]="","",VLOOKUP(Tabela2[[#This Row],[SIGLA]],Tabela1[[#All],[Sigla Arte]:[Crédito]],2,0))</f>
        <v>GUILHERME RODRIGUES/ARQUIVO DA EDITORA</v>
      </c>
      <c r="Z281" s="31"/>
      <c r="AA281" s="31" t="str">
        <f>Tabela2[[#This Row],[ILUSTRADOR CRIAÇÃO]]</f>
        <v>GUILHERME RODRIGUES/ARQUIVO DA EDITORA</v>
      </c>
      <c r="AB281" s="33"/>
      <c r="AC281" s="16"/>
      <c r="AD281" s="16"/>
      <c r="AE281" s="35" t="str">
        <f t="shared" si="4"/>
        <v>EF1 E002 Mat</v>
      </c>
    </row>
    <row r="282" spans="1:31" s="36" customFormat="1" ht="75" x14ac:dyDescent="0.25">
      <c r="A282" s="31" t="s">
        <v>634</v>
      </c>
      <c r="B282" s="16" t="s">
        <v>32</v>
      </c>
      <c r="C282" s="16" t="s">
        <v>33</v>
      </c>
      <c r="D282" s="33" t="s">
        <v>34</v>
      </c>
      <c r="E282" s="33">
        <v>122</v>
      </c>
      <c r="F282" s="33">
        <v>1</v>
      </c>
      <c r="G282" s="33">
        <v>9</v>
      </c>
      <c r="H282" s="33"/>
      <c r="I282" s="31" t="s">
        <v>46</v>
      </c>
      <c r="J282" s="31"/>
      <c r="K282" s="33"/>
      <c r="L282" s="33"/>
      <c r="M282" s="31"/>
      <c r="N282" s="31"/>
      <c r="O282" s="16" t="s">
        <v>635</v>
      </c>
      <c r="P282" s="16"/>
      <c r="Q282" s="16"/>
      <c r="R282" s="33"/>
      <c r="S282" s="34"/>
      <c r="T282" s="34"/>
      <c r="U282" s="34"/>
      <c r="V282" s="34"/>
      <c r="W282" s="34"/>
      <c r="X282" s="33" t="s">
        <v>43</v>
      </c>
      <c r="Y282" s="35" t="str">
        <f>IF(Tabela2[[#This Row],[SIGLA]]="","",VLOOKUP(Tabela2[[#This Row],[SIGLA]],Tabela1[[#All],[Sigla Arte]:[Crédito]],2,0))</f>
        <v>GUILHERME RODRIGUES/ARQUIVO DA EDITORA</v>
      </c>
      <c r="Z282" s="31"/>
      <c r="AA282" s="31" t="str">
        <f>Tabela2[[#This Row],[ILUSTRADOR CRIAÇÃO]]</f>
        <v>GUILHERME RODRIGUES/ARQUIVO DA EDITORA</v>
      </c>
      <c r="AB282" s="33"/>
      <c r="AC282" s="16"/>
      <c r="AD282" s="16"/>
      <c r="AE282" s="35" t="str">
        <f t="shared" si="4"/>
        <v>EF1 E002 Mat</v>
      </c>
    </row>
    <row r="283" spans="1:31" s="36" customFormat="1" ht="45" x14ac:dyDescent="0.25">
      <c r="A283" s="31" t="s">
        <v>636</v>
      </c>
      <c r="B283" s="16" t="s">
        <v>32</v>
      </c>
      <c r="C283" s="16" t="s">
        <v>33</v>
      </c>
      <c r="D283" s="33" t="s">
        <v>34</v>
      </c>
      <c r="E283" s="33">
        <v>122</v>
      </c>
      <c r="F283" s="33">
        <v>1</v>
      </c>
      <c r="G283" s="33">
        <v>9</v>
      </c>
      <c r="H283" s="33"/>
      <c r="I283" s="31" t="s">
        <v>46</v>
      </c>
      <c r="J283" s="31"/>
      <c r="K283" s="33"/>
      <c r="L283" s="33"/>
      <c r="M283" s="31"/>
      <c r="N283" s="31"/>
      <c r="O283" s="16" t="s">
        <v>637</v>
      </c>
      <c r="P283" s="16"/>
      <c r="Q283" s="16"/>
      <c r="R283" s="33"/>
      <c r="S283" s="34"/>
      <c r="T283" s="34"/>
      <c r="U283" s="34"/>
      <c r="V283" s="34"/>
      <c r="W283" s="34"/>
      <c r="X283" s="33" t="s">
        <v>43</v>
      </c>
      <c r="Y283" s="35" t="str">
        <f>IF(Tabela2[[#This Row],[SIGLA]]="","",VLOOKUP(Tabela2[[#This Row],[SIGLA]],Tabela1[[#All],[Sigla Arte]:[Crédito]],2,0))</f>
        <v>GUILHERME RODRIGUES/ARQUIVO DA EDITORA</v>
      </c>
      <c r="Z283" s="31"/>
      <c r="AA283" s="31" t="str">
        <f>Tabela2[[#This Row],[ILUSTRADOR CRIAÇÃO]]</f>
        <v>GUILHERME RODRIGUES/ARQUIVO DA EDITORA</v>
      </c>
      <c r="AB283" s="33"/>
      <c r="AC283" s="16"/>
      <c r="AD283" s="16"/>
      <c r="AE283" s="35" t="str">
        <f t="shared" si="4"/>
        <v>EF1 E002 Mat</v>
      </c>
    </row>
    <row r="284" spans="1:31" s="36" customFormat="1" ht="60" x14ac:dyDescent="0.25">
      <c r="A284" s="31" t="s">
        <v>638</v>
      </c>
      <c r="B284" s="16" t="s">
        <v>32</v>
      </c>
      <c r="C284" s="16" t="s">
        <v>33</v>
      </c>
      <c r="D284" s="33" t="s">
        <v>34</v>
      </c>
      <c r="E284" s="33">
        <v>122</v>
      </c>
      <c r="F284" s="33">
        <v>1</v>
      </c>
      <c r="G284" s="33">
        <v>9</v>
      </c>
      <c r="H284" s="33"/>
      <c r="I284" s="31" t="s">
        <v>46</v>
      </c>
      <c r="J284" s="31"/>
      <c r="K284" s="33"/>
      <c r="L284" s="33"/>
      <c r="M284" s="31"/>
      <c r="N284" s="31"/>
      <c r="O284" s="16" t="s">
        <v>639</v>
      </c>
      <c r="P284" s="16"/>
      <c r="Q284" s="16"/>
      <c r="R284" s="33"/>
      <c r="S284" s="34"/>
      <c r="T284" s="34"/>
      <c r="U284" s="34"/>
      <c r="V284" s="34"/>
      <c r="W284" s="34"/>
      <c r="X284" s="33" t="s">
        <v>43</v>
      </c>
      <c r="Y284" s="35" t="str">
        <f>IF(Tabela2[[#This Row],[SIGLA]]="","",VLOOKUP(Tabela2[[#This Row],[SIGLA]],Tabela1[[#All],[Sigla Arte]:[Crédito]],2,0))</f>
        <v>GUILHERME RODRIGUES/ARQUIVO DA EDITORA</v>
      </c>
      <c r="Z284" s="31"/>
      <c r="AA284" s="31" t="str">
        <f>Tabela2[[#This Row],[ILUSTRADOR CRIAÇÃO]]</f>
        <v>GUILHERME RODRIGUES/ARQUIVO DA EDITORA</v>
      </c>
      <c r="AB284" s="33"/>
      <c r="AC284" s="16"/>
      <c r="AD284" s="16"/>
      <c r="AE284" s="35" t="str">
        <f t="shared" si="4"/>
        <v>EF1 E002 Mat</v>
      </c>
    </row>
    <row r="285" spans="1:31" s="36" customFormat="1" ht="45" x14ac:dyDescent="0.25">
      <c r="A285" s="31" t="s">
        <v>640</v>
      </c>
      <c r="B285" s="16" t="s">
        <v>32</v>
      </c>
      <c r="C285" s="16" t="s">
        <v>164</v>
      </c>
      <c r="D285" s="33" t="s">
        <v>34</v>
      </c>
      <c r="E285" s="33">
        <v>123</v>
      </c>
      <c r="F285" s="33">
        <v>1</v>
      </c>
      <c r="G285" s="33">
        <v>9</v>
      </c>
      <c r="H285" s="33"/>
      <c r="I285" s="31" t="s">
        <v>46</v>
      </c>
      <c r="J285" s="31"/>
      <c r="K285" s="33"/>
      <c r="L285" s="33"/>
      <c r="M285" s="31"/>
      <c r="N285" s="31"/>
      <c r="O285" s="16" t="s">
        <v>641</v>
      </c>
      <c r="P285" s="16"/>
      <c r="Q285" s="16"/>
      <c r="R285" s="33"/>
      <c r="S285" s="34"/>
      <c r="T285" s="34"/>
      <c r="U285" s="34"/>
      <c r="V285" s="34"/>
      <c r="W285" s="34"/>
      <c r="X285" s="33" t="s">
        <v>48</v>
      </c>
      <c r="Y285" s="35" t="str">
        <f>IF(Tabela2[[#This Row],[SIGLA]]="","",VLOOKUP(Tabela2[[#This Row],[SIGLA]],Tabela1[[#All],[Sigla Arte]:[Crédito]],2,0))</f>
        <v>SERGIO LIMA/ARQUIVO DA EDITORA</v>
      </c>
      <c r="Z285" s="31"/>
      <c r="AA285" s="31" t="str">
        <f>Tabela2[[#This Row],[ILUSTRADOR CRIAÇÃO]]</f>
        <v>SERGIO LIMA/ARQUIVO DA EDITORA</v>
      </c>
      <c r="AB285" s="33"/>
      <c r="AC285" s="16"/>
      <c r="AD285" s="16"/>
      <c r="AE285" s="35" t="str">
        <f t="shared" si="4"/>
        <v>EF1 E002 Mat</v>
      </c>
    </row>
    <row r="286" spans="1:31" s="36" customFormat="1" ht="60" x14ac:dyDescent="0.25">
      <c r="A286" s="31" t="s">
        <v>642</v>
      </c>
      <c r="B286" s="16" t="s">
        <v>32</v>
      </c>
      <c r="C286" s="16" t="s">
        <v>164</v>
      </c>
      <c r="D286" s="33" t="s">
        <v>34</v>
      </c>
      <c r="E286" s="33">
        <v>123</v>
      </c>
      <c r="F286" s="33">
        <v>1</v>
      </c>
      <c r="G286" s="33">
        <v>9</v>
      </c>
      <c r="H286" s="33"/>
      <c r="I286" s="31" t="s">
        <v>46</v>
      </c>
      <c r="J286" s="31"/>
      <c r="K286" s="33"/>
      <c r="L286" s="33"/>
      <c r="M286" s="31"/>
      <c r="N286" s="31"/>
      <c r="O286" s="16" t="s">
        <v>643</v>
      </c>
      <c r="P286" s="16"/>
      <c r="Q286" s="16"/>
      <c r="R286" s="33"/>
      <c r="S286" s="34"/>
      <c r="T286" s="34"/>
      <c r="U286" s="34"/>
      <c r="V286" s="34"/>
      <c r="W286" s="34"/>
      <c r="X286" s="33" t="s">
        <v>48</v>
      </c>
      <c r="Y286" s="35" t="str">
        <f>IF(Tabela2[[#This Row],[SIGLA]]="","",VLOOKUP(Tabela2[[#This Row],[SIGLA]],Tabela1[[#All],[Sigla Arte]:[Crédito]],2,0))</f>
        <v>SERGIO LIMA/ARQUIVO DA EDITORA</v>
      </c>
      <c r="Z286" s="31"/>
      <c r="AA286" s="31" t="str">
        <f>Tabela2[[#This Row],[ILUSTRADOR CRIAÇÃO]]</f>
        <v>SERGIO LIMA/ARQUIVO DA EDITORA</v>
      </c>
      <c r="AB286" s="33"/>
      <c r="AC286" s="16"/>
      <c r="AD286" s="16"/>
      <c r="AE286" s="35" t="str">
        <f t="shared" si="4"/>
        <v>EF1 E002 Mat</v>
      </c>
    </row>
    <row r="287" spans="1:31" s="36" customFormat="1" ht="60" x14ac:dyDescent="0.25">
      <c r="A287" s="31" t="s">
        <v>644</v>
      </c>
      <c r="B287" s="16" t="s">
        <v>32</v>
      </c>
      <c r="C287" s="16" t="s">
        <v>164</v>
      </c>
      <c r="D287" s="33" t="s">
        <v>34</v>
      </c>
      <c r="E287" s="33">
        <v>123</v>
      </c>
      <c r="F287" s="33">
        <v>1</v>
      </c>
      <c r="G287" s="33">
        <v>9</v>
      </c>
      <c r="H287" s="33"/>
      <c r="I287" s="31" t="s">
        <v>46</v>
      </c>
      <c r="J287" s="31"/>
      <c r="K287" s="33"/>
      <c r="L287" s="33"/>
      <c r="M287" s="31"/>
      <c r="N287" s="31"/>
      <c r="O287" s="16" t="s">
        <v>645</v>
      </c>
      <c r="P287" s="16"/>
      <c r="Q287" s="16"/>
      <c r="R287" s="33"/>
      <c r="S287" s="34"/>
      <c r="T287" s="34"/>
      <c r="U287" s="34"/>
      <c r="V287" s="34"/>
      <c r="W287" s="34"/>
      <c r="X287" s="33" t="s">
        <v>48</v>
      </c>
      <c r="Y287" s="35" t="str">
        <f>IF(Tabela2[[#This Row],[SIGLA]]="","",VLOOKUP(Tabela2[[#This Row],[SIGLA]],Tabela1[[#All],[Sigla Arte]:[Crédito]],2,0))</f>
        <v>SERGIO LIMA/ARQUIVO DA EDITORA</v>
      </c>
      <c r="Z287" s="31"/>
      <c r="AA287" s="31" t="str">
        <f>Tabela2[[#This Row],[ILUSTRADOR CRIAÇÃO]]</f>
        <v>SERGIO LIMA/ARQUIVO DA EDITORA</v>
      </c>
      <c r="AB287" s="33"/>
      <c r="AC287" s="16"/>
      <c r="AD287" s="16"/>
      <c r="AE287" s="35" t="str">
        <f t="shared" si="4"/>
        <v>EF1 E002 Mat</v>
      </c>
    </row>
    <row r="288" spans="1:31" s="36" customFormat="1" ht="45" x14ac:dyDescent="0.25">
      <c r="A288" s="31" t="s">
        <v>646</v>
      </c>
      <c r="B288" s="16" t="s">
        <v>32</v>
      </c>
      <c r="C288" s="16" t="s">
        <v>164</v>
      </c>
      <c r="D288" s="33" t="s">
        <v>34</v>
      </c>
      <c r="E288" s="33">
        <v>124</v>
      </c>
      <c r="F288" s="33">
        <v>1</v>
      </c>
      <c r="G288" s="33">
        <v>9</v>
      </c>
      <c r="H288" s="33"/>
      <c r="I288" s="31" t="s">
        <v>46</v>
      </c>
      <c r="J288" s="31"/>
      <c r="K288" s="33"/>
      <c r="L288" s="33"/>
      <c r="M288" s="31"/>
      <c r="N288" s="31"/>
      <c r="O288" s="16" t="s">
        <v>647</v>
      </c>
      <c r="P288" s="16"/>
      <c r="Q288" s="16"/>
      <c r="R288" s="33"/>
      <c r="S288" s="34"/>
      <c r="T288" s="34"/>
      <c r="U288" s="34"/>
      <c r="V288" s="34"/>
      <c r="W288" s="34"/>
      <c r="X288" s="33" t="s">
        <v>470</v>
      </c>
      <c r="Y288" s="35" t="str">
        <f>IF(Tabela2[[#This Row],[SIGLA]]="","",VLOOKUP(Tabela2[[#This Row],[SIGLA]],Tabela1[[#All],[Sigla Arte]:[Crédito]],2,0))</f>
        <v>RENAN FONSECA/ARQUIVO DA EDITORA</v>
      </c>
      <c r="Z288" s="31"/>
      <c r="AA288" s="31" t="str">
        <f>Tabela2[[#This Row],[ILUSTRADOR CRIAÇÃO]]</f>
        <v>RENAN FONSECA/ARQUIVO DA EDITORA</v>
      </c>
      <c r="AB288" s="33"/>
      <c r="AC288" s="16"/>
      <c r="AD288" s="16"/>
      <c r="AE288" s="35" t="str">
        <f t="shared" si="4"/>
        <v>EF1 E002 Mat</v>
      </c>
    </row>
    <row r="289" spans="1:31" s="36" customFormat="1" ht="60" x14ac:dyDescent="0.25">
      <c r="A289" s="31" t="s">
        <v>648</v>
      </c>
      <c r="B289" s="16" t="s">
        <v>32</v>
      </c>
      <c r="C289" s="16" t="s">
        <v>164</v>
      </c>
      <c r="D289" s="33" t="s">
        <v>34</v>
      </c>
      <c r="E289" s="33">
        <v>124</v>
      </c>
      <c r="F289" s="33">
        <v>1</v>
      </c>
      <c r="G289" s="33">
        <v>9</v>
      </c>
      <c r="H289" s="33"/>
      <c r="I289" s="31" t="s">
        <v>46</v>
      </c>
      <c r="J289" s="31"/>
      <c r="K289" s="33"/>
      <c r="L289" s="33"/>
      <c r="M289" s="31"/>
      <c r="N289" s="31"/>
      <c r="O289" s="16" t="s">
        <v>649</v>
      </c>
      <c r="P289" s="16"/>
      <c r="Q289" s="16"/>
      <c r="R289" s="33"/>
      <c r="S289" s="34"/>
      <c r="T289" s="34"/>
      <c r="U289" s="34"/>
      <c r="V289" s="34"/>
      <c r="W289" s="34"/>
      <c r="X289" s="33" t="s">
        <v>470</v>
      </c>
      <c r="Y289" s="35" t="str">
        <f>IF(Tabela2[[#This Row],[SIGLA]]="","",VLOOKUP(Tabela2[[#This Row],[SIGLA]],Tabela1[[#All],[Sigla Arte]:[Crédito]],2,0))</f>
        <v>RENAN FONSECA/ARQUIVO DA EDITORA</v>
      </c>
      <c r="Z289" s="31"/>
      <c r="AA289" s="31" t="str">
        <f>Tabela2[[#This Row],[ILUSTRADOR CRIAÇÃO]]</f>
        <v>RENAN FONSECA/ARQUIVO DA EDITORA</v>
      </c>
      <c r="AB289" s="33"/>
      <c r="AC289" s="16"/>
      <c r="AD289" s="16"/>
      <c r="AE289" s="35" t="str">
        <f t="shared" si="4"/>
        <v>EF1 E002 Mat</v>
      </c>
    </row>
    <row r="290" spans="1:31" s="36" customFormat="1" ht="45" x14ac:dyDescent="0.25">
      <c r="A290" s="31" t="s">
        <v>650</v>
      </c>
      <c r="B290" s="16" t="s">
        <v>32</v>
      </c>
      <c r="C290" s="16" t="s">
        <v>33</v>
      </c>
      <c r="D290" s="33" t="s">
        <v>34</v>
      </c>
      <c r="E290" s="33">
        <v>125</v>
      </c>
      <c r="F290" s="33">
        <v>1</v>
      </c>
      <c r="G290" s="33">
        <v>9</v>
      </c>
      <c r="H290" s="33"/>
      <c r="I290" s="31" t="s">
        <v>46</v>
      </c>
      <c r="J290" s="31"/>
      <c r="K290" s="33"/>
      <c r="L290" s="33"/>
      <c r="M290" s="31"/>
      <c r="N290" s="31"/>
      <c r="O290" s="16" t="s">
        <v>651</v>
      </c>
      <c r="P290" s="16"/>
      <c r="Q290" s="16"/>
      <c r="R290" s="33"/>
      <c r="S290" s="34"/>
      <c r="T290" s="34"/>
      <c r="U290" s="34"/>
      <c r="V290" s="34"/>
      <c r="W290" s="34"/>
      <c r="X290" s="33" t="s">
        <v>652</v>
      </c>
      <c r="Y290" s="35" t="str">
        <f>IF(Tabela2[[#This Row],[SIGLA]]="","",VLOOKUP(Tabela2[[#This Row],[SIGLA]],Tabela1[[#All],[Sigla Arte]:[Crédito]],2,0))</f>
        <v>CAROLINE ANTUNES E SILVA/ARQUIVO DA EDITORA</v>
      </c>
      <c r="Z290" s="31"/>
      <c r="AA290" s="31" t="str">
        <f>Tabela2[[#This Row],[ILUSTRADOR CRIAÇÃO]]</f>
        <v>CAROLINE ANTUNES E SILVA/ARQUIVO DA EDITORA</v>
      </c>
      <c r="AB290" s="33"/>
      <c r="AC290" s="16"/>
      <c r="AD290" s="16"/>
      <c r="AE290" s="35" t="str">
        <f t="shared" si="4"/>
        <v>EF1 E002 Mat</v>
      </c>
    </row>
    <row r="291" spans="1:31" s="36" customFormat="1" ht="45" x14ac:dyDescent="0.25">
      <c r="A291" s="31" t="s">
        <v>653</v>
      </c>
      <c r="B291" s="16" t="s">
        <v>32</v>
      </c>
      <c r="C291" s="16" t="s">
        <v>164</v>
      </c>
      <c r="D291" s="33" t="s">
        <v>34</v>
      </c>
      <c r="E291" s="33">
        <v>127</v>
      </c>
      <c r="F291" s="33">
        <v>1</v>
      </c>
      <c r="G291" s="33">
        <v>9</v>
      </c>
      <c r="H291" s="33"/>
      <c r="I291" s="31" t="s">
        <v>46</v>
      </c>
      <c r="J291" s="31"/>
      <c r="K291" s="33"/>
      <c r="L291" s="33"/>
      <c r="M291" s="31"/>
      <c r="N291" s="31"/>
      <c r="O291" s="16" t="s">
        <v>654</v>
      </c>
      <c r="P291" s="16"/>
      <c r="Q291" s="16"/>
      <c r="R291" s="33"/>
      <c r="S291" s="34"/>
      <c r="T291" s="34"/>
      <c r="U291" s="34"/>
      <c r="V291" s="34"/>
      <c r="W291" s="34"/>
      <c r="X291" s="33" t="s">
        <v>85</v>
      </c>
      <c r="Y291" s="35" t="str">
        <f>IF(Tabela2[[#This Row],[SIGLA]]="","",VLOOKUP(Tabela2[[#This Row],[SIGLA]],Tabela1[[#All],[Sigla Arte]:[Crédito]],2,0))</f>
        <v>HELOÍSA PINTARELLI/ARQUIVO DA EDITORA</v>
      </c>
      <c r="Z291" s="31"/>
      <c r="AA291" s="31" t="str">
        <f>Tabela2[[#This Row],[ILUSTRADOR CRIAÇÃO]]</f>
        <v>HELOÍSA PINTARELLI/ARQUIVO DA EDITORA</v>
      </c>
      <c r="AB291" s="33"/>
      <c r="AC291" s="16"/>
      <c r="AD291" s="16"/>
      <c r="AE291" s="35" t="str">
        <f t="shared" si="4"/>
        <v>EF1 E002 Mat</v>
      </c>
    </row>
    <row r="292" spans="1:31" s="36" customFormat="1" ht="45" x14ac:dyDescent="0.25">
      <c r="A292" s="31" t="s">
        <v>655</v>
      </c>
      <c r="B292" s="16" t="s">
        <v>32</v>
      </c>
      <c r="C292" s="16" t="s">
        <v>164</v>
      </c>
      <c r="D292" s="33" t="s">
        <v>34</v>
      </c>
      <c r="E292" s="33">
        <v>127</v>
      </c>
      <c r="F292" s="33">
        <v>1</v>
      </c>
      <c r="G292" s="33">
        <v>9</v>
      </c>
      <c r="H292" s="33"/>
      <c r="I292" s="31" t="s">
        <v>46</v>
      </c>
      <c r="J292" s="31"/>
      <c r="K292" s="33"/>
      <c r="L292" s="33"/>
      <c r="M292" s="31"/>
      <c r="N292" s="31"/>
      <c r="O292" s="16" t="s">
        <v>656</v>
      </c>
      <c r="P292" s="16"/>
      <c r="Q292" s="16"/>
      <c r="R292" s="33"/>
      <c r="S292" s="34"/>
      <c r="T292" s="34"/>
      <c r="U292" s="34"/>
      <c r="V292" s="34"/>
      <c r="W292" s="34"/>
      <c r="X292" s="33" t="s">
        <v>85</v>
      </c>
      <c r="Y292" s="35" t="str">
        <f>IF(Tabela2[[#This Row],[SIGLA]]="","",VLOOKUP(Tabela2[[#This Row],[SIGLA]],Tabela1[[#All],[Sigla Arte]:[Crédito]],2,0))</f>
        <v>HELOÍSA PINTARELLI/ARQUIVO DA EDITORA</v>
      </c>
      <c r="Z292" s="31"/>
      <c r="AA292" s="31" t="str">
        <f>Tabela2[[#This Row],[ILUSTRADOR CRIAÇÃO]]</f>
        <v>HELOÍSA PINTARELLI/ARQUIVO DA EDITORA</v>
      </c>
      <c r="AB292" s="33"/>
      <c r="AC292" s="16"/>
      <c r="AD292" s="16"/>
      <c r="AE292" s="35" t="str">
        <f t="shared" si="4"/>
        <v>EF1 E002 Mat</v>
      </c>
    </row>
    <row r="293" spans="1:31" s="36" customFormat="1" ht="45" x14ac:dyDescent="0.25">
      <c r="A293" s="31" t="s">
        <v>657</v>
      </c>
      <c r="B293" s="16" t="s">
        <v>32</v>
      </c>
      <c r="C293" s="16" t="s">
        <v>33</v>
      </c>
      <c r="D293" s="33" t="s">
        <v>34</v>
      </c>
      <c r="E293" s="33">
        <v>129</v>
      </c>
      <c r="F293" s="33">
        <v>1</v>
      </c>
      <c r="G293" s="33">
        <v>9</v>
      </c>
      <c r="H293" s="33"/>
      <c r="I293" s="31" t="s">
        <v>46</v>
      </c>
      <c r="J293" s="31"/>
      <c r="K293" s="33"/>
      <c r="L293" s="33"/>
      <c r="M293" s="31"/>
      <c r="N293" s="31"/>
      <c r="O293" s="16" t="s">
        <v>658</v>
      </c>
      <c r="P293" s="16"/>
      <c r="Q293" s="16"/>
      <c r="R293" s="33"/>
      <c r="S293" s="34"/>
      <c r="T293" s="34"/>
      <c r="U293" s="34"/>
      <c r="V293" s="34"/>
      <c r="W293" s="34"/>
      <c r="X293" s="33" t="s">
        <v>162</v>
      </c>
      <c r="Y293" s="35" t="str">
        <f>IF(Tabela2[[#This Row],[SIGLA]]="","",VLOOKUP(Tabela2[[#This Row],[SIGLA]],Tabela1[[#All],[Sigla Arte]:[Crédito]],2,0))</f>
        <v>IVY NUNES/ARQUIVO DA EDITORA</v>
      </c>
      <c r="Z293" s="31"/>
      <c r="AA293" s="31" t="str">
        <f>Tabela2[[#This Row],[ILUSTRADOR CRIAÇÃO]]</f>
        <v>IVY NUNES/ARQUIVO DA EDITORA</v>
      </c>
      <c r="AB293" s="33"/>
      <c r="AC293" s="16"/>
      <c r="AD293" s="16"/>
      <c r="AE293" s="35" t="str">
        <f t="shared" si="4"/>
        <v>EF1 E002 Mat</v>
      </c>
    </row>
    <row r="294" spans="1:31" s="36" customFormat="1" ht="60" x14ac:dyDescent="0.25">
      <c r="A294" s="31" t="s">
        <v>659</v>
      </c>
      <c r="B294" s="16" t="s">
        <v>32</v>
      </c>
      <c r="C294" s="16" t="s">
        <v>33</v>
      </c>
      <c r="D294" s="33" t="s">
        <v>34</v>
      </c>
      <c r="E294" s="33">
        <v>129</v>
      </c>
      <c r="F294" s="33">
        <v>1</v>
      </c>
      <c r="G294" s="33">
        <v>9</v>
      </c>
      <c r="H294" s="33"/>
      <c r="I294" s="31" t="s">
        <v>46</v>
      </c>
      <c r="J294" s="31"/>
      <c r="K294" s="33"/>
      <c r="L294" s="33"/>
      <c r="M294" s="31"/>
      <c r="N294" s="31"/>
      <c r="O294" s="16" t="s">
        <v>660</v>
      </c>
      <c r="P294" s="16"/>
      <c r="Q294" s="16"/>
      <c r="R294" s="33"/>
      <c r="S294" s="34"/>
      <c r="T294" s="34"/>
      <c r="U294" s="34"/>
      <c r="V294" s="34"/>
      <c r="W294" s="34"/>
      <c r="X294" s="33" t="s">
        <v>162</v>
      </c>
      <c r="Y294" s="35" t="str">
        <f>IF(Tabela2[[#This Row],[SIGLA]]="","",VLOOKUP(Tabela2[[#This Row],[SIGLA]],Tabela1[[#All],[Sigla Arte]:[Crédito]],2,0))</f>
        <v>IVY NUNES/ARQUIVO DA EDITORA</v>
      </c>
      <c r="Z294" s="31"/>
      <c r="AA294" s="31" t="str">
        <f>Tabela2[[#This Row],[ILUSTRADOR CRIAÇÃO]]</f>
        <v>IVY NUNES/ARQUIVO DA EDITORA</v>
      </c>
      <c r="AB294" s="33"/>
      <c r="AC294" s="16"/>
      <c r="AD294" s="16"/>
      <c r="AE294" s="35" t="str">
        <f t="shared" si="4"/>
        <v>EF1 E002 Mat</v>
      </c>
    </row>
    <row r="295" spans="1:31" s="36" customFormat="1" ht="60" x14ac:dyDescent="0.25">
      <c r="A295" s="31" t="s">
        <v>661</v>
      </c>
      <c r="B295" s="16" t="s">
        <v>32</v>
      </c>
      <c r="C295" s="16" t="s">
        <v>33</v>
      </c>
      <c r="D295" s="33" t="s">
        <v>34</v>
      </c>
      <c r="E295" s="33">
        <v>129</v>
      </c>
      <c r="F295" s="33">
        <v>1</v>
      </c>
      <c r="G295" s="33">
        <v>9</v>
      </c>
      <c r="H295" s="33"/>
      <c r="I295" s="31" t="s">
        <v>46</v>
      </c>
      <c r="J295" s="31"/>
      <c r="K295" s="33"/>
      <c r="L295" s="33"/>
      <c r="M295" s="31"/>
      <c r="N295" s="31"/>
      <c r="O295" s="16" t="s">
        <v>662</v>
      </c>
      <c r="P295" s="16"/>
      <c r="Q295" s="16"/>
      <c r="R295" s="33"/>
      <c r="S295" s="34"/>
      <c r="T295" s="34"/>
      <c r="U295" s="34"/>
      <c r="V295" s="34"/>
      <c r="W295" s="34"/>
      <c r="X295" s="33" t="s">
        <v>162</v>
      </c>
      <c r="Y295" s="35" t="str">
        <f>IF(Tabela2[[#This Row],[SIGLA]]="","",VLOOKUP(Tabela2[[#This Row],[SIGLA]],Tabela1[[#All],[Sigla Arte]:[Crédito]],2,0))</f>
        <v>IVY NUNES/ARQUIVO DA EDITORA</v>
      </c>
      <c r="Z295" s="31"/>
      <c r="AA295" s="31" t="str">
        <f>Tabela2[[#This Row],[ILUSTRADOR CRIAÇÃO]]</f>
        <v>IVY NUNES/ARQUIVO DA EDITORA</v>
      </c>
      <c r="AB295" s="33"/>
      <c r="AC295" s="16"/>
      <c r="AD295" s="16"/>
      <c r="AE295" s="35" t="str">
        <f t="shared" si="4"/>
        <v>EF1 E002 Mat</v>
      </c>
    </row>
    <row r="296" spans="1:31" s="36" customFormat="1" ht="30" x14ac:dyDescent="0.25">
      <c r="A296" s="31" t="s">
        <v>663</v>
      </c>
      <c r="B296" s="16" t="s">
        <v>32</v>
      </c>
      <c r="C296" s="16" t="s">
        <v>33</v>
      </c>
      <c r="D296" s="33" t="s">
        <v>34</v>
      </c>
      <c r="E296" s="33">
        <v>182</v>
      </c>
      <c r="F296" s="33">
        <v>1</v>
      </c>
      <c r="G296" s="33">
        <v>10</v>
      </c>
      <c r="H296" s="33"/>
      <c r="I296" s="31" t="s">
        <v>46</v>
      </c>
      <c r="J296" s="31"/>
      <c r="K296" s="33"/>
      <c r="L296" s="33"/>
      <c r="M296" s="31"/>
      <c r="N296" s="31"/>
      <c r="O296" s="32" t="s">
        <v>664</v>
      </c>
      <c r="P296" s="16"/>
      <c r="Q296" s="16"/>
      <c r="R296" s="33"/>
      <c r="S296" s="34"/>
      <c r="T296" s="34"/>
      <c r="U296" s="34"/>
      <c r="V296" s="34"/>
      <c r="W296" s="34"/>
      <c r="X296" s="33" t="s">
        <v>247</v>
      </c>
      <c r="Y296" s="35" t="str">
        <f>IF(Tabela2[[#This Row],[SIGLA]]="","",VLOOKUP(Tabela2[[#This Row],[SIGLA]],Tabela1[[#All],[Sigla Arte]:[Crédito]],2,0))</f>
        <v>THAIS CASTRO/ARQUIVO DA EDITORA</v>
      </c>
      <c r="Z296" s="31"/>
      <c r="AA296" s="31" t="str">
        <f>Tabela2[[#This Row],[ILUSTRADOR CRIAÇÃO]]</f>
        <v>THAIS CASTRO/ARQUIVO DA EDITORA</v>
      </c>
      <c r="AB296" s="33"/>
      <c r="AC296" s="16"/>
      <c r="AD296" s="16"/>
      <c r="AE296" s="35" t="str">
        <f t="shared" si="4"/>
        <v>EF1 E002 Mat</v>
      </c>
    </row>
    <row r="297" spans="1:31" s="36" customFormat="1" ht="30" x14ac:dyDescent="0.25">
      <c r="A297" s="31" t="s">
        <v>665</v>
      </c>
      <c r="B297" s="16" t="s">
        <v>32</v>
      </c>
      <c r="C297" s="16" t="s">
        <v>33</v>
      </c>
      <c r="D297" s="33" t="s">
        <v>34</v>
      </c>
      <c r="E297" s="33">
        <v>182</v>
      </c>
      <c r="F297" s="33">
        <v>1</v>
      </c>
      <c r="G297" s="33">
        <v>10</v>
      </c>
      <c r="H297" s="33"/>
      <c r="I297" s="31" t="s">
        <v>46</v>
      </c>
      <c r="J297" s="31"/>
      <c r="K297" s="33"/>
      <c r="L297" s="33"/>
      <c r="M297" s="31"/>
      <c r="N297" s="31"/>
      <c r="O297" s="16" t="s">
        <v>666</v>
      </c>
      <c r="P297" s="16"/>
      <c r="Q297" s="16"/>
      <c r="R297" s="33"/>
      <c r="S297" s="34"/>
      <c r="T297" s="34"/>
      <c r="U297" s="34"/>
      <c r="V297" s="34"/>
      <c r="W297" s="34"/>
      <c r="X297" s="33" t="s">
        <v>247</v>
      </c>
      <c r="Y297" s="35" t="str">
        <f>IF(Tabela2[[#This Row],[SIGLA]]="","",VLOOKUP(Tabela2[[#This Row],[SIGLA]],Tabela1[[#All],[Sigla Arte]:[Crédito]],2,0))</f>
        <v>THAIS CASTRO/ARQUIVO DA EDITORA</v>
      </c>
      <c r="Z297" s="31"/>
      <c r="AA297" s="31" t="str">
        <f>Tabela2[[#This Row],[ILUSTRADOR CRIAÇÃO]]</f>
        <v>THAIS CASTRO/ARQUIVO DA EDITORA</v>
      </c>
      <c r="AB297" s="33"/>
      <c r="AC297" s="16"/>
      <c r="AD297" s="16"/>
      <c r="AE297" s="35" t="str">
        <f t="shared" si="4"/>
        <v>EF1 E002 Mat</v>
      </c>
    </row>
    <row r="298" spans="1:31" s="36" customFormat="1" ht="45" x14ac:dyDescent="0.25">
      <c r="A298" s="31" t="s">
        <v>667</v>
      </c>
      <c r="B298" s="16" t="s">
        <v>32</v>
      </c>
      <c r="C298" s="16" t="s">
        <v>33</v>
      </c>
      <c r="D298" s="33" t="s">
        <v>34</v>
      </c>
      <c r="E298" s="33">
        <v>183</v>
      </c>
      <c r="F298" s="33">
        <v>1</v>
      </c>
      <c r="G298" s="33">
        <v>10</v>
      </c>
      <c r="H298" s="33"/>
      <c r="I298" s="31" t="s">
        <v>46</v>
      </c>
      <c r="J298" s="31"/>
      <c r="K298" s="33"/>
      <c r="L298" s="33"/>
      <c r="M298" s="31"/>
      <c r="N298" s="31"/>
      <c r="O298" s="16" t="s">
        <v>668</v>
      </c>
      <c r="P298" s="16"/>
      <c r="Q298" s="16"/>
      <c r="R298" s="33"/>
      <c r="S298" s="34"/>
      <c r="T298" s="34"/>
      <c r="U298" s="34"/>
      <c r="V298" s="34"/>
      <c r="W298" s="34"/>
      <c r="X298" s="33" t="s">
        <v>48</v>
      </c>
      <c r="Y298" s="35" t="str">
        <f>IF(Tabela2[[#This Row],[SIGLA]]="","",VLOOKUP(Tabela2[[#This Row],[SIGLA]],Tabela1[[#All],[Sigla Arte]:[Crédito]],2,0))</f>
        <v>SERGIO LIMA/ARQUIVO DA EDITORA</v>
      </c>
      <c r="Z298" s="31"/>
      <c r="AA298" s="31" t="str">
        <f>Tabela2[[#This Row],[ILUSTRADOR CRIAÇÃO]]</f>
        <v>SERGIO LIMA/ARQUIVO DA EDITORA</v>
      </c>
      <c r="AB298" s="33"/>
      <c r="AC298" s="16"/>
      <c r="AD298" s="16"/>
      <c r="AE298" s="35" t="str">
        <f t="shared" si="4"/>
        <v>EF1 E002 Mat</v>
      </c>
    </row>
    <row r="299" spans="1:31" s="36" customFormat="1" ht="30" x14ac:dyDescent="0.25">
      <c r="A299" s="31" t="s">
        <v>669</v>
      </c>
      <c r="B299" s="16" t="s">
        <v>32</v>
      </c>
      <c r="C299" s="16" t="s">
        <v>33</v>
      </c>
      <c r="D299" s="33" t="s">
        <v>34</v>
      </c>
      <c r="E299" s="33">
        <v>183</v>
      </c>
      <c r="F299" s="33">
        <v>1</v>
      </c>
      <c r="G299" s="33">
        <v>10</v>
      </c>
      <c r="H299" s="33"/>
      <c r="I299" s="31" t="s">
        <v>46</v>
      </c>
      <c r="J299" s="31"/>
      <c r="K299" s="33"/>
      <c r="L299" s="33"/>
      <c r="M299" s="31"/>
      <c r="N299" s="31"/>
      <c r="O299" s="16" t="s">
        <v>670</v>
      </c>
      <c r="P299" s="16"/>
      <c r="Q299" s="16"/>
      <c r="R299" s="33"/>
      <c r="S299" s="34"/>
      <c r="T299" s="34"/>
      <c r="U299" s="34"/>
      <c r="V299" s="34"/>
      <c r="W299" s="34"/>
      <c r="X299" s="33" t="s">
        <v>48</v>
      </c>
      <c r="Y299" s="35" t="str">
        <f>IF(Tabela2[[#This Row],[SIGLA]]="","",VLOOKUP(Tabela2[[#This Row],[SIGLA]],Tabela1[[#All],[Sigla Arte]:[Crédito]],2,0))</f>
        <v>SERGIO LIMA/ARQUIVO DA EDITORA</v>
      </c>
      <c r="Z299" s="31"/>
      <c r="AA299" s="31" t="str">
        <f>Tabela2[[#This Row],[ILUSTRADOR CRIAÇÃO]]</f>
        <v>SERGIO LIMA/ARQUIVO DA EDITORA</v>
      </c>
      <c r="AB299" s="33"/>
      <c r="AC299" s="16"/>
      <c r="AD299" s="16"/>
      <c r="AE299" s="35" t="str">
        <f t="shared" si="4"/>
        <v>EF1 E002 Mat</v>
      </c>
    </row>
    <row r="300" spans="1:31" s="36" customFormat="1" ht="30" x14ac:dyDescent="0.25">
      <c r="A300" s="31" t="s">
        <v>671</v>
      </c>
      <c r="B300" s="16" t="s">
        <v>32</v>
      </c>
      <c r="C300" s="16" t="s">
        <v>33</v>
      </c>
      <c r="D300" s="33" t="s">
        <v>34</v>
      </c>
      <c r="E300" s="33">
        <v>184</v>
      </c>
      <c r="F300" s="33">
        <v>1</v>
      </c>
      <c r="G300" s="33">
        <v>10</v>
      </c>
      <c r="H300" s="33"/>
      <c r="I300" s="31" t="s">
        <v>46</v>
      </c>
      <c r="J300" s="31"/>
      <c r="K300" s="33"/>
      <c r="L300" s="33"/>
      <c r="M300" s="31"/>
      <c r="N300" s="31"/>
      <c r="O300" s="16" t="s">
        <v>672</v>
      </c>
      <c r="P300" s="16"/>
      <c r="Q300" s="16"/>
      <c r="R300" s="33"/>
      <c r="S300" s="34"/>
      <c r="T300" s="34"/>
      <c r="U300" s="34"/>
      <c r="V300" s="34"/>
      <c r="W300" s="34"/>
      <c r="X300" s="33" t="s">
        <v>85</v>
      </c>
      <c r="Y300" s="35" t="str">
        <f>IF(Tabela2[[#This Row],[SIGLA]]="","",VLOOKUP(Tabela2[[#This Row],[SIGLA]],Tabela1[[#All],[Sigla Arte]:[Crédito]],2,0))</f>
        <v>HELOÍSA PINTARELLI/ARQUIVO DA EDITORA</v>
      </c>
      <c r="Z300" s="31"/>
      <c r="AA300" s="31" t="str">
        <f>Tabela2[[#This Row],[ILUSTRADOR CRIAÇÃO]]</f>
        <v>HELOÍSA PINTARELLI/ARQUIVO DA EDITORA</v>
      </c>
      <c r="AB300" s="33"/>
      <c r="AC300" s="16"/>
      <c r="AD300" s="16"/>
      <c r="AE300" s="35" t="str">
        <f t="shared" si="4"/>
        <v>EF1 E002 Mat</v>
      </c>
    </row>
    <row r="301" spans="1:31" s="36" customFormat="1" ht="45" x14ac:dyDescent="0.25">
      <c r="A301" s="31" t="s">
        <v>673</v>
      </c>
      <c r="B301" s="16" t="s">
        <v>32</v>
      </c>
      <c r="C301" s="16" t="s">
        <v>33</v>
      </c>
      <c r="D301" s="33" t="s">
        <v>34</v>
      </c>
      <c r="E301" s="33">
        <v>184</v>
      </c>
      <c r="F301" s="33">
        <v>1</v>
      </c>
      <c r="G301" s="33">
        <v>10</v>
      </c>
      <c r="H301" s="33"/>
      <c r="I301" s="31" t="s">
        <v>35</v>
      </c>
      <c r="J301" s="31"/>
      <c r="K301" s="33"/>
      <c r="L301" s="33"/>
      <c r="M301" s="31"/>
      <c r="N301" s="31"/>
      <c r="O301" s="16" t="s">
        <v>674</v>
      </c>
      <c r="P301" s="16"/>
      <c r="Q301" s="16"/>
      <c r="R301" s="33">
        <v>50</v>
      </c>
      <c r="S301" s="34">
        <v>45804</v>
      </c>
      <c r="T301" s="34">
        <v>45805</v>
      </c>
      <c r="U301" s="34"/>
      <c r="V301" s="34"/>
      <c r="W301" s="34">
        <v>45805</v>
      </c>
      <c r="X301" s="33" t="s">
        <v>85</v>
      </c>
      <c r="Y301" s="35" t="str">
        <f>IF(Tabela2[[#This Row],[SIGLA]]="","",VLOOKUP(Tabela2[[#This Row],[SIGLA]],Tabela1[[#All],[Sigla Arte]:[Crédito]],2,0))</f>
        <v>HELOÍSA PINTARELLI/ARQUIVO DA EDITORA</v>
      </c>
      <c r="Z301" s="31" t="s">
        <v>221</v>
      </c>
      <c r="AA301" s="31" t="str">
        <f>Tabela2[[#This Row],[ILUSTRADOR CRIAÇÃO]]</f>
        <v>HELOÍSA PINTARELLI/ARQUIVO DA EDITORA</v>
      </c>
      <c r="AB301" s="33">
        <v>13</v>
      </c>
      <c r="AC301" s="16" t="s">
        <v>39</v>
      </c>
      <c r="AD301" s="16" t="s">
        <v>40</v>
      </c>
      <c r="AE301" s="35" t="str">
        <f t="shared" si="4"/>
        <v>EF1 E002 Mat</v>
      </c>
    </row>
    <row r="302" spans="1:31" s="36" customFormat="1" ht="45" x14ac:dyDescent="0.25">
      <c r="A302" s="31" t="s">
        <v>675</v>
      </c>
      <c r="B302" s="16" t="s">
        <v>32</v>
      </c>
      <c r="C302" s="16" t="s">
        <v>33</v>
      </c>
      <c r="D302" s="33" t="s">
        <v>34</v>
      </c>
      <c r="E302" s="33">
        <v>184</v>
      </c>
      <c r="F302" s="33">
        <v>1</v>
      </c>
      <c r="G302" s="33">
        <v>10</v>
      </c>
      <c r="H302" s="33"/>
      <c r="I302" s="31" t="s">
        <v>35</v>
      </c>
      <c r="J302" s="31"/>
      <c r="K302" s="33"/>
      <c r="L302" s="33"/>
      <c r="M302" s="31"/>
      <c r="N302" s="31"/>
      <c r="O302" s="16" t="s">
        <v>676</v>
      </c>
      <c r="P302" s="16"/>
      <c r="Q302" s="16"/>
      <c r="R302" s="33">
        <v>50</v>
      </c>
      <c r="S302" s="34">
        <v>45804</v>
      </c>
      <c r="T302" s="34">
        <v>45805</v>
      </c>
      <c r="U302" s="34"/>
      <c r="V302" s="34"/>
      <c r="W302" s="34">
        <v>45805</v>
      </c>
      <c r="X302" s="33" t="s">
        <v>85</v>
      </c>
      <c r="Y302" s="35" t="str">
        <f>IF(Tabela2[[#This Row],[SIGLA]]="","",VLOOKUP(Tabela2[[#This Row],[SIGLA]],Tabela1[[#All],[Sigla Arte]:[Crédito]],2,0))</f>
        <v>HELOÍSA PINTARELLI/ARQUIVO DA EDITORA</v>
      </c>
      <c r="Z302" s="31" t="s">
        <v>221</v>
      </c>
      <c r="AA302" s="31" t="str">
        <f>Tabela2[[#This Row],[ILUSTRADOR CRIAÇÃO]]</f>
        <v>HELOÍSA PINTARELLI/ARQUIVO DA EDITORA</v>
      </c>
      <c r="AB302" s="33">
        <v>13</v>
      </c>
      <c r="AC302" s="16" t="s">
        <v>39</v>
      </c>
      <c r="AD302" s="16" t="s">
        <v>40</v>
      </c>
      <c r="AE302" s="35" t="str">
        <f t="shared" si="4"/>
        <v>EF1 E002 Mat</v>
      </c>
    </row>
    <row r="303" spans="1:31" s="36" customFormat="1" ht="30" x14ac:dyDescent="0.25">
      <c r="A303" s="31" t="s">
        <v>677</v>
      </c>
      <c r="B303" s="16" t="s">
        <v>32</v>
      </c>
      <c r="C303" s="16" t="s">
        <v>33</v>
      </c>
      <c r="D303" s="33" t="s">
        <v>34</v>
      </c>
      <c r="E303" s="33">
        <v>184</v>
      </c>
      <c r="F303" s="33">
        <v>1</v>
      </c>
      <c r="G303" s="33">
        <v>10</v>
      </c>
      <c r="H303" s="33"/>
      <c r="I303" s="31" t="s">
        <v>46</v>
      </c>
      <c r="J303" s="31"/>
      <c r="K303" s="33"/>
      <c r="L303" s="33"/>
      <c r="M303" s="31"/>
      <c r="N303" s="31"/>
      <c r="O303" s="16" t="s">
        <v>678</v>
      </c>
      <c r="P303" s="16"/>
      <c r="Q303" s="16"/>
      <c r="R303" s="33"/>
      <c r="S303" s="34"/>
      <c r="T303" s="34"/>
      <c r="U303" s="34"/>
      <c r="V303" s="34"/>
      <c r="W303" s="34"/>
      <c r="X303" s="33" t="s">
        <v>85</v>
      </c>
      <c r="Y303" s="35" t="str">
        <f>IF(Tabela2[[#This Row],[SIGLA]]="","",VLOOKUP(Tabela2[[#This Row],[SIGLA]],Tabela1[[#All],[Sigla Arte]:[Crédito]],2,0))</f>
        <v>HELOÍSA PINTARELLI/ARQUIVO DA EDITORA</v>
      </c>
      <c r="Z303" s="31"/>
      <c r="AA303" s="31" t="str">
        <f>Tabela2[[#This Row],[ILUSTRADOR CRIAÇÃO]]</f>
        <v>HELOÍSA PINTARELLI/ARQUIVO DA EDITORA</v>
      </c>
      <c r="AB303" s="33"/>
      <c r="AC303" s="16"/>
      <c r="AD303" s="16"/>
      <c r="AE303" s="35" t="str">
        <f t="shared" si="4"/>
        <v>EF1 E002 Mat</v>
      </c>
    </row>
    <row r="304" spans="1:31" s="36" customFormat="1" ht="30" x14ac:dyDescent="0.25">
      <c r="A304" s="31" t="s">
        <v>679</v>
      </c>
      <c r="B304" s="16" t="s">
        <v>32</v>
      </c>
      <c r="C304" s="16" t="s">
        <v>33</v>
      </c>
      <c r="D304" s="33" t="s">
        <v>34</v>
      </c>
      <c r="E304" s="33">
        <v>185</v>
      </c>
      <c r="F304" s="33">
        <v>1</v>
      </c>
      <c r="G304" s="33">
        <v>10</v>
      </c>
      <c r="H304" s="33"/>
      <c r="I304" s="31" t="s">
        <v>35</v>
      </c>
      <c r="J304" s="31"/>
      <c r="K304" s="33"/>
      <c r="L304" s="33"/>
      <c r="M304" s="31"/>
      <c r="N304" s="31"/>
      <c r="O304" s="16" t="s">
        <v>680</v>
      </c>
      <c r="P304" s="16"/>
      <c r="Q304" s="16"/>
      <c r="R304" s="33">
        <v>176</v>
      </c>
      <c r="S304" s="34">
        <v>45922</v>
      </c>
      <c r="T304" s="34">
        <v>45922</v>
      </c>
      <c r="U304" s="34"/>
      <c r="V304" s="34"/>
      <c r="W304" s="34">
        <v>45923</v>
      </c>
      <c r="X304" s="33" t="s">
        <v>48</v>
      </c>
      <c r="Y304" s="35" t="str">
        <f>IF(Tabela2[[#This Row],[SIGLA]]="","",VLOOKUP(Tabela2[[#This Row],[SIGLA]],Tabela1[[#All],[Sigla Arte]:[Crédito]],2,0))</f>
        <v>SERGIO LIMA/ARQUIVO DA EDITORA</v>
      </c>
      <c r="Z304" s="31" t="s">
        <v>572</v>
      </c>
      <c r="AA304" s="31" t="str">
        <f>Tabela2[[#This Row],[ILUSTRADOR CRIAÇÃO]]</f>
        <v>SERGIO LIMA/ARQUIVO DA EDITORA</v>
      </c>
      <c r="AB304" s="33">
        <v>13</v>
      </c>
      <c r="AC304" s="16" t="s">
        <v>44</v>
      </c>
      <c r="AD304" s="16" t="s">
        <v>40</v>
      </c>
      <c r="AE304" s="35" t="str">
        <f t="shared" si="4"/>
        <v>EF1 E002 Mat</v>
      </c>
    </row>
    <row r="305" spans="1:31" s="36" customFormat="1" ht="30" x14ac:dyDescent="0.25">
      <c r="A305" s="31" t="s">
        <v>681</v>
      </c>
      <c r="B305" s="16" t="s">
        <v>32</v>
      </c>
      <c r="C305" s="16" t="s">
        <v>33</v>
      </c>
      <c r="D305" s="33" t="s">
        <v>34</v>
      </c>
      <c r="E305" s="33">
        <v>186</v>
      </c>
      <c r="F305" s="33">
        <v>1</v>
      </c>
      <c r="G305" s="33">
        <v>10</v>
      </c>
      <c r="H305" s="33"/>
      <c r="I305" s="31" t="s">
        <v>35</v>
      </c>
      <c r="J305" s="31"/>
      <c r="K305" s="33"/>
      <c r="L305" s="33"/>
      <c r="M305" s="31"/>
      <c r="N305" s="31"/>
      <c r="O305" s="16" t="s">
        <v>682</v>
      </c>
      <c r="P305" s="16"/>
      <c r="Q305" s="16"/>
      <c r="R305" s="33">
        <v>176</v>
      </c>
      <c r="S305" s="34">
        <v>45922</v>
      </c>
      <c r="T305" s="34">
        <v>45922</v>
      </c>
      <c r="U305" s="34"/>
      <c r="V305" s="34"/>
      <c r="W305" s="34">
        <v>45923</v>
      </c>
      <c r="X305" s="33" t="s">
        <v>247</v>
      </c>
      <c r="Y305" s="35" t="str">
        <f>IF(Tabela2[[#This Row],[SIGLA]]="","",VLOOKUP(Tabela2[[#This Row],[SIGLA]],Tabela1[[#All],[Sigla Arte]:[Crédito]],2,0))</f>
        <v>THAIS CASTRO/ARQUIVO DA EDITORA</v>
      </c>
      <c r="Z305" s="31" t="s">
        <v>572</v>
      </c>
      <c r="AA305" s="31" t="str">
        <f>Tabela2[[#This Row],[ILUSTRADOR CRIAÇÃO]]</f>
        <v>THAIS CASTRO/ARQUIVO DA EDITORA</v>
      </c>
      <c r="AB305" s="33">
        <v>13</v>
      </c>
      <c r="AC305" s="16" t="s">
        <v>44</v>
      </c>
      <c r="AD305" s="16" t="s">
        <v>40</v>
      </c>
      <c r="AE305" s="35" t="str">
        <f t="shared" si="4"/>
        <v>EF1 E002 Mat</v>
      </c>
    </row>
    <row r="306" spans="1:31" s="36" customFormat="1" ht="30" x14ac:dyDescent="0.25">
      <c r="A306" s="31" t="s">
        <v>683</v>
      </c>
      <c r="B306" s="16" t="s">
        <v>32</v>
      </c>
      <c r="C306" s="16" t="s">
        <v>33</v>
      </c>
      <c r="D306" s="33" t="s">
        <v>34</v>
      </c>
      <c r="E306" s="33">
        <v>187</v>
      </c>
      <c r="F306" s="33">
        <v>1</v>
      </c>
      <c r="G306" s="33">
        <v>10</v>
      </c>
      <c r="H306" s="33"/>
      <c r="I306" s="31" t="s">
        <v>46</v>
      </c>
      <c r="J306" s="31"/>
      <c r="K306" s="33"/>
      <c r="L306" s="33"/>
      <c r="M306" s="31"/>
      <c r="N306" s="31"/>
      <c r="O306" s="16" t="s">
        <v>684</v>
      </c>
      <c r="P306" s="16"/>
      <c r="Q306" s="16"/>
      <c r="R306" s="33"/>
      <c r="S306" s="34"/>
      <c r="T306" s="34"/>
      <c r="U306" s="34"/>
      <c r="V306" s="34"/>
      <c r="W306" s="34"/>
      <c r="X306" s="33" t="s">
        <v>85</v>
      </c>
      <c r="Y306" s="35" t="str">
        <f>IF(Tabela2[[#This Row],[SIGLA]]="","",VLOOKUP(Tabela2[[#This Row],[SIGLA]],Tabela1[[#All],[Sigla Arte]:[Crédito]],2,0))</f>
        <v>HELOÍSA PINTARELLI/ARQUIVO DA EDITORA</v>
      </c>
      <c r="Z306" s="31"/>
      <c r="AA306" s="31" t="str">
        <f>Tabela2[[#This Row],[ILUSTRADOR CRIAÇÃO]]</f>
        <v>HELOÍSA PINTARELLI/ARQUIVO DA EDITORA</v>
      </c>
      <c r="AB306" s="33"/>
      <c r="AC306" s="16"/>
      <c r="AD306" s="16"/>
      <c r="AE306" s="35" t="str">
        <f t="shared" si="4"/>
        <v>EF1 E002 Mat</v>
      </c>
    </row>
    <row r="307" spans="1:31" s="36" customFormat="1" ht="30" x14ac:dyDescent="0.25">
      <c r="A307" s="31" t="s">
        <v>685</v>
      </c>
      <c r="B307" s="16" t="s">
        <v>32</v>
      </c>
      <c r="C307" s="16" t="s">
        <v>33</v>
      </c>
      <c r="D307" s="33" t="s">
        <v>34</v>
      </c>
      <c r="E307" s="33">
        <v>187</v>
      </c>
      <c r="F307" s="33">
        <v>1</v>
      </c>
      <c r="G307" s="33">
        <v>10</v>
      </c>
      <c r="H307" s="33"/>
      <c r="I307" s="31" t="s">
        <v>46</v>
      </c>
      <c r="J307" s="31"/>
      <c r="K307" s="33"/>
      <c r="L307" s="33"/>
      <c r="M307" s="31"/>
      <c r="N307" s="31"/>
      <c r="O307" s="16" t="s">
        <v>686</v>
      </c>
      <c r="P307" s="16"/>
      <c r="Q307" s="16"/>
      <c r="R307" s="33"/>
      <c r="S307" s="34"/>
      <c r="T307" s="34"/>
      <c r="U307" s="34"/>
      <c r="V307" s="34"/>
      <c r="W307" s="34"/>
      <c r="X307" s="33" t="s">
        <v>85</v>
      </c>
      <c r="Y307" s="35" t="str">
        <f>IF(Tabela2[[#This Row],[SIGLA]]="","",VLOOKUP(Tabela2[[#This Row],[SIGLA]],Tabela1[[#All],[Sigla Arte]:[Crédito]],2,0))</f>
        <v>HELOÍSA PINTARELLI/ARQUIVO DA EDITORA</v>
      </c>
      <c r="Z307" s="31"/>
      <c r="AA307" s="31" t="str">
        <f>Tabela2[[#This Row],[ILUSTRADOR CRIAÇÃO]]</f>
        <v>HELOÍSA PINTARELLI/ARQUIVO DA EDITORA</v>
      </c>
      <c r="AB307" s="33"/>
      <c r="AC307" s="16"/>
      <c r="AD307" s="16"/>
      <c r="AE307" s="35" t="str">
        <f t="shared" si="4"/>
        <v>EF1 E002 Mat</v>
      </c>
    </row>
    <row r="308" spans="1:31" s="36" customFormat="1" ht="30" x14ac:dyDescent="0.25">
      <c r="A308" s="31" t="s">
        <v>687</v>
      </c>
      <c r="B308" s="16" t="s">
        <v>32</v>
      </c>
      <c r="C308" s="16" t="s">
        <v>33</v>
      </c>
      <c r="D308" s="33" t="s">
        <v>34</v>
      </c>
      <c r="E308" s="33">
        <v>188</v>
      </c>
      <c r="F308" s="33">
        <v>1</v>
      </c>
      <c r="G308" s="33">
        <v>10</v>
      </c>
      <c r="H308" s="33"/>
      <c r="I308" s="31" t="s">
        <v>46</v>
      </c>
      <c r="J308" s="31"/>
      <c r="K308" s="33"/>
      <c r="L308" s="33"/>
      <c r="M308" s="31"/>
      <c r="N308" s="31"/>
      <c r="O308" s="16" t="s">
        <v>688</v>
      </c>
      <c r="P308" s="16"/>
      <c r="Q308" s="16"/>
      <c r="R308" s="33"/>
      <c r="S308" s="34"/>
      <c r="T308" s="34"/>
      <c r="U308" s="34"/>
      <c r="V308" s="34"/>
      <c r="W308" s="34"/>
      <c r="X308" s="33" t="s">
        <v>652</v>
      </c>
      <c r="Y308" s="35" t="str">
        <f>IF(Tabela2[[#This Row],[SIGLA]]="","",VLOOKUP(Tabela2[[#This Row],[SIGLA]],Tabela1[[#All],[Sigla Arte]:[Crédito]],2,0))</f>
        <v>CAROLINE ANTUNES E SILVA/ARQUIVO DA EDITORA</v>
      </c>
      <c r="Z308" s="31"/>
      <c r="AA308" s="31" t="str">
        <f>Tabela2[[#This Row],[ILUSTRADOR CRIAÇÃO]]</f>
        <v>CAROLINE ANTUNES E SILVA/ARQUIVO DA EDITORA</v>
      </c>
      <c r="AB308" s="33"/>
      <c r="AC308" s="16"/>
      <c r="AD308" s="16"/>
      <c r="AE308" s="35" t="str">
        <f t="shared" si="4"/>
        <v>EF1 E002 Mat</v>
      </c>
    </row>
    <row r="309" spans="1:31" s="36" customFormat="1" ht="30" x14ac:dyDescent="0.25">
      <c r="A309" s="31" t="s">
        <v>689</v>
      </c>
      <c r="B309" s="16" t="s">
        <v>32</v>
      </c>
      <c r="C309" s="16" t="s">
        <v>33</v>
      </c>
      <c r="D309" s="33" t="s">
        <v>34</v>
      </c>
      <c r="E309" s="33">
        <v>188</v>
      </c>
      <c r="F309" s="33">
        <v>1</v>
      </c>
      <c r="G309" s="33">
        <v>10</v>
      </c>
      <c r="H309" s="33"/>
      <c r="I309" s="31" t="s">
        <v>46</v>
      </c>
      <c r="J309" s="31"/>
      <c r="K309" s="33"/>
      <c r="L309" s="33"/>
      <c r="M309" s="31"/>
      <c r="N309" s="31"/>
      <c r="O309" s="16" t="s">
        <v>690</v>
      </c>
      <c r="P309" s="16"/>
      <c r="Q309" s="16"/>
      <c r="R309" s="33"/>
      <c r="S309" s="34"/>
      <c r="T309" s="34"/>
      <c r="U309" s="34"/>
      <c r="V309" s="34"/>
      <c r="W309" s="34"/>
      <c r="X309" s="33" t="s">
        <v>652</v>
      </c>
      <c r="Y309" s="35" t="str">
        <f>IF(Tabela2[[#This Row],[SIGLA]]="","",VLOOKUP(Tabela2[[#This Row],[SIGLA]],Tabela1[[#All],[Sigla Arte]:[Crédito]],2,0))</f>
        <v>CAROLINE ANTUNES E SILVA/ARQUIVO DA EDITORA</v>
      </c>
      <c r="Z309" s="31"/>
      <c r="AA309" s="31" t="str">
        <f>Tabela2[[#This Row],[ILUSTRADOR CRIAÇÃO]]</f>
        <v>CAROLINE ANTUNES E SILVA/ARQUIVO DA EDITORA</v>
      </c>
      <c r="AB309" s="33"/>
      <c r="AC309" s="16"/>
      <c r="AD309" s="16"/>
      <c r="AE309" s="35" t="str">
        <f t="shared" si="4"/>
        <v>EF1 E002 Mat</v>
      </c>
    </row>
    <row r="310" spans="1:31" s="36" customFormat="1" ht="30" x14ac:dyDescent="0.25">
      <c r="A310" s="31" t="s">
        <v>691</v>
      </c>
      <c r="B310" s="16" t="s">
        <v>32</v>
      </c>
      <c r="C310" s="16" t="s">
        <v>33</v>
      </c>
      <c r="D310" s="33" t="s">
        <v>34</v>
      </c>
      <c r="E310" s="33">
        <v>188</v>
      </c>
      <c r="F310" s="33">
        <v>1</v>
      </c>
      <c r="G310" s="33">
        <v>10</v>
      </c>
      <c r="H310" s="33"/>
      <c r="I310" s="31" t="s">
        <v>46</v>
      </c>
      <c r="J310" s="31"/>
      <c r="K310" s="33"/>
      <c r="L310" s="33"/>
      <c r="M310" s="31"/>
      <c r="N310" s="31"/>
      <c r="O310" s="16" t="s">
        <v>692</v>
      </c>
      <c r="P310" s="16"/>
      <c r="Q310" s="16"/>
      <c r="R310" s="33"/>
      <c r="S310" s="34"/>
      <c r="T310" s="34"/>
      <c r="U310" s="34"/>
      <c r="V310" s="34"/>
      <c r="W310" s="34"/>
      <c r="X310" s="33" t="s">
        <v>652</v>
      </c>
      <c r="Y310" s="35" t="str">
        <f>IF(Tabela2[[#This Row],[SIGLA]]="","",VLOOKUP(Tabela2[[#This Row],[SIGLA]],Tabela1[[#All],[Sigla Arte]:[Crédito]],2,0))</f>
        <v>CAROLINE ANTUNES E SILVA/ARQUIVO DA EDITORA</v>
      </c>
      <c r="Z310" s="31"/>
      <c r="AA310" s="31" t="str">
        <f>Tabela2[[#This Row],[ILUSTRADOR CRIAÇÃO]]</f>
        <v>CAROLINE ANTUNES E SILVA/ARQUIVO DA EDITORA</v>
      </c>
      <c r="AB310" s="33"/>
      <c r="AC310" s="16"/>
      <c r="AD310" s="16"/>
      <c r="AE310" s="35" t="str">
        <f t="shared" si="4"/>
        <v>EF1 E002 Mat</v>
      </c>
    </row>
    <row r="311" spans="1:31" s="36" customFormat="1" ht="30" x14ac:dyDescent="0.25">
      <c r="A311" s="31" t="s">
        <v>693</v>
      </c>
      <c r="B311" s="16" t="s">
        <v>32</v>
      </c>
      <c r="C311" s="16" t="s">
        <v>33</v>
      </c>
      <c r="D311" s="33" t="s">
        <v>34</v>
      </c>
      <c r="E311" s="33">
        <v>189</v>
      </c>
      <c r="F311" s="33">
        <v>1</v>
      </c>
      <c r="G311" s="33">
        <v>10</v>
      </c>
      <c r="H311" s="33"/>
      <c r="I311" s="31" t="s">
        <v>46</v>
      </c>
      <c r="J311" s="31"/>
      <c r="K311" s="33"/>
      <c r="L311" s="33"/>
      <c r="M311" s="31"/>
      <c r="N311" s="31"/>
      <c r="O311" s="16" t="s">
        <v>694</v>
      </c>
      <c r="P311" s="16"/>
      <c r="Q311" s="16"/>
      <c r="R311" s="33"/>
      <c r="S311" s="34"/>
      <c r="T311" s="34"/>
      <c r="U311" s="34"/>
      <c r="V311" s="34"/>
      <c r="W311" s="34"/>
      <c r="X311" s="33" t="s">
        <v>652</v>
      </c>
      <c r="Y311" s="35" t="str">
        <f>IF(Tabela2[[#This Row],[SIGLA]]="","",VLOOKUP(Tabela2[[#This Row],[SIGLA]],Tabela1[[#All],[Sigla Arte]:[Crédito]],2,0))</f>
        <v>CAROLINE ANTUNES E SILVA/ARQUIVO DA EDITORA</v>
      </c>
      <c r="Z311" s="31"/>
      <c r="AA311" s="31" t="str">
        <f>Tabela2[[#This Row],[ILUSTRADOR CRIAÇÃO]]</f>
        <v>CAROLINE ANTUNES E SILVA/ARQUIVO DA EDITORA</v>
      </c>
      <c r="AB311" s="33"/>
      <c r="AC311" s="16"/>
      <c r="AD311" s="16"/>
      <c r="AE311" s="35" t="str">
        <f t="shared" si="4"/>
        <v>EF1 E002 Mat</v>
      </c>
    </row>
    <row r="312" spans="1:31" s="36" customFormat="1" ht="45" x14ac:dyDescent="0.25">
      <c r="A312" s="31" t="s">
        <v>695</v>
      </c>
      <c r="B312" s="16" t="s">
        <v>32</v>
      </c>
      <c r="C312" s="16" t="s">
        <v>33</v>
      </c>
      <c r="D312" s="33" t="s">
        <v>34</v>
      </c>
      <c r="E312" s="33">
        <v>189</v>
      </c>
      <c r="F312" s="33">
        <v>1</v>
      </c>
      <c r="G312" s="33">
        <v>10</v>
      </c>
      <c r="H312" s="33"/>
      <c r="I312" s="31" t="s">
        <v>46</v>
      </c>
      <c r="J312" s="31"/>
      <c r="K312" s="33"/>
      <c r="L312" s="33"/>
      <c r="M312" s="31"/>
      <c r="N312" s="31"/>
      <c r="O312" s="16" t="s">
        <v>696</v>
      </c>
      <c r="P312" s="16"/>
      <c r="Q312" s="16"/>
      <c r="R312" s="33"/>
      <c r="S312" s="34"/>
      <c r="T312" s="34"/>
      <c r="U312" s="34"/>
      <c r="V312" s="34"/>
      <c r="W312" s="34"/>
      <c r="X312" s="33" t="s">
        <v>652</v>
      </c>
      <c r="Y312" s="35" t="str">
        <f>IF(Tabela2[[#This Row],[SIGLA]]="","",VLOOKUP(Tabela2[[#This Row],[SIGLA]],Tabela1[[#All],[Sigla Arte]:[Crédito]],2,0))</f>
        <v>CAROLINE ANTUNES E SILVA/ARQUIVO DA EDITORA</v>
      </c>
      <c r="Z312" s="31"/>
      <c r="AA312" s="31" t="str">
        <f>Tabela2[[#This Row],[ILUSTRADOR CRIAÇÃO]]</f>
        <v>CAROLINE ANTUNES E SILVA/ARQUIVO DA EDITORA</v>
      </c>
      <c r="AB312" s="33"/>
      <c r="AC312" s="16"/>
      <c r="AD312" s="16"/>
      <c r="AE312" s="35" t="str">
        <f t="shared" si="4"/>
        <v>EF1 E002 Mat</v>
      </c>
    </row>
    <row r="313" spans="1:31" s="36" customFormat="1" ht="45" x14ac:dyDescent="0.25">
      <c r="A313" s="31" t="s">
        <v>697</v>
      </c>
      <c r="B313" s="16" t="s">
        <v>32</v>
      </c>
      <c r="C313" s="16" t="s">
        <v>33</v>
      </c>
      <c r="D313" s="33" t="s">
        <v>34</v>
      </c>
      <c r="E313" s="33">
        <v>190</v>
      </c>
      <c r="F313" s="33">
        <v>1</v>
      </c>
      <c r="G313" s="33">
        <v>10</v>
      </c>
      <c r="H313" s="33"/>
      <c r="I313" s="31" t="s">
        <v>46</v>
      </c>
      <c r="J313" s="31"/>
      <c r="K313" s="33"/>
      <c r="L313" s="33"/>
      <c r="M313" s="31"/>
      <c r="N313" s="31"/>
      <c r="O313" s="16" t="s">
        <v>698</v>
      </c>
      <c r="P313" s="16"/>
      <c r="Q313" s="16"/>
      <c r="R313" s="33"/>
      <c r="S313" s="34"/>
      <c r="T313" s="34"/>
      <c r="U313" s="34"/>
      <c r="V313" s="34"/>
      <c r="W313" s="34"/>
      <c r="X313" s="33" t="s">
        <v>652</v>
      </c>
      <c r="Y313" s="35" t="str">
        <f>IF(Tabela2[[#This Row],[SIGLA]]="","",VLOOKUP(Tabela2[[#This Row],[SIGLA]],Tabela1[[#All],[Sigla Arte]:[Crédito]],2,0))</f>
        <v>CAROLINE ANTUNES E SILVA/ARQUIVO DA EDITORA</v>
      </c>
      <c r="Z313" s="31"/>
      <c r="AA313" s="31" t="str">
        <f>Tabela2[[#This Row],[ILUSTRADOR CRIAÇÃO]]</f>
        <v>CAROLINE ANTUNES E SILVA/ARQUIVO DA EDITORA</v>
      </c>
      <c r="AB313" s="33"/>
      <c r="AC313" s="16"/>
      <c r="AD313" s="16"/>
      <c r="AE313" s="35" t="str">
        <f t="shared" si="4"/>
        <v>EF1 E002 Mat</v>
      </c>
    </row>
    <row r="314" spans="1:31" s="36" customFormat="1" ht="30" x14ac:dyDescent="0.25">
      <c r="A314" s="31" t="s">
        <v>699</v>
      </c>
      <c r="B314" s="16" t="s">
        <v>32</v>
      </c>
      <c r="C314" s="16" t="s">
        <v>33</v>
      </c>
      <c r="D314" s="33" t="s">
        <v>34</v>
      </c>
      <c r="E314" s="33">
        <v>192</v>
      </c>
      <c r="F314" s="33">
        <v>1</v>
      </c>
      <c r="G314" s="33">
        <v>10</v>
      </c>
      <c r="H314" s="33"/>
      <c r="I314" s="31" t="s">
        <v>46</v>
      </c>
      <c r="J314" s="31"/>
      <c r="K314" s="33"/>
      <c r="L314" s="33"/>
      <c r="M314" s="31"/>
      <c r="N314" s="31"/>
      <c r="O314" s="16" t="s">
        <v>700</v>
      </c>
      <c r="P314" s="16"/>
      <c r="Q314" s="16"/>
      <c r="R314" s="33"/>
      <c r="S314" s="34"/>
      <c r="T314" s="34"/>
      <c r="U314" s="34"/>
      <c r="V314" s="34"/>
      <c r="W314" s="34"/>
      <c r="X314" s="33" t="s">
        <v>652</v>
      </c>
      <c r="Y314" s="35" t="str">
        <f>IF(Tabela2[[#This Row],[SIGLA]]="","",VLOOKUP(Tabela2[[#This Row],[SIGLA]],Tabela1[[#All],[Sigla Arte]:[Crédito]],2,0))</f>
        <v>CAROLINE ANTUNES E SILVA/ARQUIVO DA EDITORA</v>
      </c>
      <c r="Z314" s="31"/>
      <c r="AA314" s="31" t="str">
        <f>Tabela2[[#This Row],[ILUSTRADOR CRIAÇÃO]]</f>
        <v>CAROLINE ANTUNES E SILVA/ARQUIVO DA EDITORA</v>
      </c>
      <c r="AB314" s="33"/>
      <c r="AC314" s="16"/>
      <c r="AD314" s="16"/>
      <c r="AE314" s="35" t="str">
        <f t="shared" si="4"/>
        <v>EF1 E002 Mat</v>
      </c>
    </row>
    <row r="315" spans="1:31" s="36" customFormat="1" ht="30" x14ac:dyDescent="0.25">
      <c r="A315" s="31" t="s">
        <v>701</v>
      </c>
      <c r="B315" s="16" t="s">
        <v>32</v>
      </c>
      <c r="C315" s="16" t="s">
        <v>33</v>
      </c>
      <c r="D315" s="33" t="s">
        <v>34</v>
      </c>
      <c r="E315" s="33">
        <v>193</v>
      </c>
      <c r="F315" s="33">
        <v>1</v>
      </c>
      <c r="G315" s="33">
        <v>10</v>
      </c>
      <c r="H315" s="33"/>
      <c r="I315" s="31" t="s">
        <v>46</v>
      </c>
      <c r="J315" s="31"/>
      <c r="K315" s="33"/>
      <c r="L315" s="33"/>
      <c r="M315" s="31"/>
      <c r="N315" s="31"/>
      <c r="O315" s="16" t="s">
        <v>702</v>
      </c>
      <c r="P315" s="16"/>
      <c r="Q315" s="16"/>
      <c r="R315" s="33"/>
      <c r="S315" s="34"/>
      <c r="T315" s="34"/>
      <c r="U315" s="34"/>
      <c r="V315" s="34"/>
      <c r="W315" s="34"/>
      <c r="X315" s="33" t="s">
        <v>703</v>
      </c>
      <c r="Y315" s="35" t="str">
        <f>IF(Tabela2[[#This Row],[SIGLA]]="","",VLOOKUP(Tabela2[[#This Row],[SIGLA]],Tabela1[[#All],[Sigla Arte]:[Crédito]],2,0))</f>
        <v>KLEBER MAURÍCIO COELHO/ARQUIVO DA EDITORA</v>
      </c>
      <c r="Z315" s="31"/>
      <c r="AA315" s="31" t="str">
        <f>Tabela2[[#This Row],[ILUSTRADOR CRIAÇÃO]]</f>
        <v>KLEBER MAURÍCIO COELHO/ARQUIVO DA EDITORA</v>
      </c>
      <c r="AB315" s="33"/>
      <c r="AC315" s="16"/>
      <c r="AD315" s="16"/>
      <c r="AE315" s="35" t="str">
        <f t="shared" si="4"/>
        <v>EF1 E002 Mat</v>
      </c>
    </row>
    <row r="316" spans="1:31" s="36" customFormat="1" ht="30" x14ac:dyDescent="0.25">
      <c r="A316" s="31" t="s">
        <v>704</v>
      </c>
      <c r="B316" s="16" t="s">
        <v>32</v>
      </c>
      <c r="C316" s="16" t="s">
        <v>33</v>
      </c>
      <c r="D316" s="33" t="s">
        <v>34</v>
      </c>
      <c r="E316" s="33">
        <v>193</v>
      </c>
      <c r="F316" s="33">
        <v>1</v>
      </c>
      <c r="G316" s="33">
        <v>10</v>
      </c>
      <c r="H316" s="33"/>
      <c r="I316" s="31" t="s">
        <v>46</v>
      </c>
      <c r="J316" s="31"/>
      <c r="K316" s="33"/>
      <c r="L316" s="33"/>
      <c r="M316" s="31"/>
      <c r="N316" s="31"/>
      <c r="O316" s="16" t="s">
        <v>705</v>
      </c>
      <c r="P316" s="16"/>
      <c r="Q316" s="16"/>
      <c r="R316" s="33"/>
      <c r="S316" s="34"/>
      <c r="T316" s="34"/>
      <c r="U316" s="34"/>
      <c r="V316" s="34"/>
      <c r="W316" s="34"/>
      <c r="X316" s="33" t="s">
        <v>85</v>
      </c>
      <c r="Y316" s="35" t="str">
        <f>IF(Tabela2[[#This Row],[SIGLA]]="","",VLOOKUP(Tabela2[[#This Row],[SIGLA]],Tabela1[[#All],[Sigla Arte]:[Crédito]],2,0))</f>
        <v>HELOÍSA PINTARELLI/ARQUIVO DA EDITORA</v>
      </c>
      <c r="Z316" s="31"/>
      <c r="AA316" s="31" t="str">
        <f>Tabela2[[#This Row],[ILUSTRADOR CRIAÇÃO]]</f>
        <v>HELOÍSA PINTARELLI/ARQUIVO DA EDITORA</v>
      </c>
      <c r="AB316" s="33"/>
      <c r="AC316" s="16"/>
      <c r="AD316" s="16"/>
      <c r="AE316" s="35" t="str">
        <f t="shared" si="4"/>
        <v>EF1 E002 Mat</v>
      </c>
    </row>
    <row r="317" spans="1:31" s="36" customFormat="1" ht="75" x14ac:dyDescent="0.25">
      <c r="A317" s="31" t="s">
        <v>706</v>
      </c>
      <c r="B317" s="16" t="s">
        <v>32</v>
      </c>
      <c r="C317" s="16" t="s">
        <v>33</v>
      </c>
      <c r="D317" s="33" t="s">
        <v>34</v>
      </c>
      <c r="E317" s="33">
        <v>12</v>
      </c>
      <c r="F317" s="33">
        <v>2</v>
      </c>
      <c r="G317" s="33">
        <v>1</v>
      </c>
      <c r="H317" s="33"/>
      <c r="I317" s="31" t="s">
        <v>35</v>
      </c>
      <c r="J317" s="31"/>
      <c r="K317" s="33"/>
      <c r="L317" s="33"/>
      <c r="M317" s="31"/>
      <c r="N317" s="31"/>
      <c r="O317" s="16" t="s">
        <v>707</v>
      </c>
      <c r="P317" s="16"/>
      <c r="Q317" s="16"/>
      <c r="R317" s="33">
        <v>6</v>
      </c>
      <c r="S317" s="34">
        <v>45736</v>
      </c>
      <c r="T317" s="34">
        <v>45736</v>
      </c>
      <c r="U317" s="34"/>
      <c r="V317" s="34"/>
      <c r="W317" s="34">
        <v>45737</v>
      </c>
      <c r="X317" s="33" t="s">
        <v>708</v>
      </c>
      <c r="Y317" s="35" t="str">
        <f>IF(Tabela2[[#This Row],[SIGLA]]="","",VLOOKUP(Tabela2[[#This Row],[SIGLA]],Tabela1[[#All],[Sigla Arte]:[Crédito]],2,0))</f>
        <v>KATHARINE FROTA/ARQUIVO DA EDITORA</v>
      </c>
      <c r="Z317" s="31" t="s">
        <v>88</v>
      </c>
      <c r="AA317" s="31" t="str">
        <f>Tabela2[[#This Row],[ILUSTRADOR CRIAÇÃO]]</f>
        <v>KATHARINE FROTA/ARQUIVO DA EDITORA</v>
      </c>
      <c r="AB317" s="33">
        <v>13</v>
      </c>
      <c r="AC317" s="16" t="s">
        <v>39</v>
      </c>
      <c r="AD317" s="16" t="s">
        <v>40</v>
      </c>
      <c r="AE317" s="35" t="str">
        <f t="shared" si="4"/>
        <v>EF1 E002 Mat</v>
      </c>
    </row>
    <row r="318" spans="1:31" s="36" customFormat="1" ht="75" x14ac:dyDescent="0.25">
      <c r="A318" s="31" t="s">
        <v>709</v>
      </c>
      <c r="B318" s="16" t="s">
        <v>32</v>
      </c>
      <c r="C318" s="16" t="s">
        <v>33</v>
      </c>
      <c r="D318" s="33" t="s">
        <v>34</v>
      </c>
      <c r="E318" s="33">
        <v>12</v>
      </c>
      <c r="F318" s="33">
        <v>2</v>
      </c>
      <c r="G318" s="33">
        <v>1</v>
      </c>
      <c r="H318" s="33"/>
      <c r="I318" s="31" t="s">
        <v>35</v>
      </c>
      <c r="J318" s="31"/>
      <c r="K318" s="33"/>
      <c r="L318" s="33"/>
      <c r="M318" s="31"/>
      <c r="N318" s="31"/>
      <c r="O318" s="16" t="s">
        <v>710</v>
      </c>
      <c r="P318" s="16"/>
      <c r="Q318" s="16"/>
      <c r="R318" s="33">
        <v>6</v>
      </c>
      <c r="S318" s="34">
        <v>45736</v>
      </c>
      <c r="T318" s="34">
        <v>45736</v>
      </c>
      <c r="U318" s="34"/>
      <c r="V318" s="34"/>
      <c r="W318" s="34">
        <v>45737</v>
      </c>
      <c r="X318" s="33" t="s">
        <v>708</v>
      </c>
      <c r="Y318" s="35" t="str">
        <f>IF(Tabela2[[#This Row],[SIGLA]]="","",VLOOKUP(Tabela2[[#This Row],[SIGLA]],Tabela1[[#All],[Sigla Arte]:[Crédito]],2,0))</f>
        <v>KATHARINE FROTA/ARQUIVO DA EDITORA</v>
      </c>
      <c r="Z318" s="31" t="s">
        <v>88</v>
      </c>
      <c r="AA318" s="31" t="str">
        <f>Tabela2[[#This Row],[ILUSTRADOR CRIAÇÃO]]</f>
        <v>KATHARINE FROTA/ARQUIVO DA EDITORA</v>
      </c>
      <c r="AB318" s="33">
        <v>13</v>
      </c>
      <c r="AC318" s="16" t="s">
        <v>39</v>
      </c>
      <c r="AD318" s="16" t="s">
        <v>40</v>
      </c>
      <c r="AE318" s="35" t="str">
        <f t="shared" si="4"/>
        <v>EF1 E002 Mat</v>
      </c>
    </row>
    <row r="319" spans="1:31" s="36" customFormat="1" ht="75" x14ac:dyDescent="0.25">
      <c r="A319" s="31" t="s">
        <v>711</v>
      </c>
      <c r="B319" s="16" t="s">
        <v>32</v>
      </c>
      <c r="C319" s="16" t="s">
        <v>33</v>
      </c>
      <c r="D319" s="33" t="s">
        <v>34</v>
      </c>
      <c r="E319" s="33">
        <v>12</v>
      </c>
      <c r="F319" s="33">
        <v>2</v>
      </c>
      <c r="G319" s="33">
        <v>1</v>
      </c>
      <c r="H319" s="33"/>
      <c r="I319" s="31" t="s">
        <v>35</v>
      </c>
      <c r="J319" s="31"/>
      <c r="K319" s="33"/>
      <c r="L319" s="33"/>
      <c r="M319" s="31"/>
      <c r="N319" s="31"/>
      <c r="O319" s="16" t="s">
        <v>712</v>
      </c>
      <c r="P319" s="16"/>
      <c r="Q319" s="16"/>
      <c r="R319" s="33">
        <v>6</v>
      </c>
      <c r="S319" s="34">
        <v>45736</v>
      </c>
      <c r="T319" s="34">
        <v>45736</v>
      </c>
      <c r="U319" s="34"/>
      <c r="V319" s="34"/>
      <c r="W319" s="34">
        <v>45737</v>
      </c>
      <c r="X319" s="33" t="s">
        <v>708</v>
      </c>
      <c r="Y319" s="35" t="str">
        <f>IF(Tabela2[[#This Row],[SIGLA]]="","",VLOOKUP(Tabela2[[#This Row],[SIGLA]],Tabela1[[#All],[Sigla Arte]:[Crédito]],2,0))</f>
        <v>KATHARINE FROTA/ARQUIVO DA EDITORA</v>
      </c>
      <c r="Z319" s="31" t="s">
        <v>88</v>
      </c>
      <c r="AA319" s="31" t="str">
        <f>Tabela2[[#This Row],[ILUSTRADOR CRIAÇÃO]]</f>
        <v>KATHARINE FROTA/ARQUIVO DA EDITORA</v>
      </c>
      <c r="AB319" s="33">
        <v>13</v>
      </c>
      <c r="AC319" s="16" t="s">
        <v>39</v>
      </c>
      <c r="AD319" s="16" t="s">
        <v>40</v>
      </c>
      <c r="AE319" s="35" t="str">
        <f t="shared" si="4"/>
        <v>EF1 E002 Mat</v>
      </c>
    </row>
    <row r="320" spans="1:31" s="36" customFormat="1" ht="45" x14ac:dyDescent="0.25">
      <c r="A320" s="31" t="s">
        <v>713</v>
      </c>
      <c r="B320" s="16" t="s">
        <v>32</v>
      </c>
      <c r="C320" s="16" t="s">
        <v>33</v>
      </c>
      <c r="D320" s="33" t="s">
        <v>34</v>
      </c>
      <c r="E320" s="33">
        <v>13</v>
      </c>
      <c r="F320" s="33">
        <v>2</v>
      </c>
      <c r="G320" s="33">
        <v>1</v>
      </c>
      <c r="H320" s="33"/>
      <c r="I320" s="31" t="s">
        <v>46</v>
      </c>
      <c r="J320" s="31"/>
      <c r="K320" s="33"/>
      <c r="L320" s="33"/>
      <c r="M320" s="31"/>
      <c r="N320" s="31"/>
      <c r="O320" s="16" t="s">
        <v>714</v>
      </c>
      <c r="P320" s="16"/>
      <c r="Q320" s="16"/>
      <c r="R320" s="33"/>
      <c r="S320" s="34"/>
      <c r="T320" s="34"/>
      <c r="U320" s="34"/>
      <c r="V320" s="34"/>
      <c r="W320" s="34"/>
      <c r="X320" s="33" t="s">
        <v>715</v>
      </c>
      <c r="Y320" s="35" t="str">
        <f>IF(Tabela2[[#This Row],[SIGLA]]="","",VLOOKUP(Tabela2[[#This Row],[SIGLA]],Tabela1[[#All],[Sigla Arte]:[Crédito]],2,0))</f>
        <v>RAFAELA H. PEREIRA/ARQUIVO DA EDITORA</v>
      </c>
      <c r="Z320" s="31"/>
      <c r="AA320" s="31" t="str">
        <f>Tabela2[[#This Row],[ILUSTRADOR CRIAÇÃO]]</f>
        <v>RAFAELA H. PEREIRA/ARQUIVO DA EDITORA</v>
      </c>
      <c r="AB320" s="33"/>
      <c r="AC320" s="16"/>
      <c r="AD320" s="16"/>
      <c r="AE320" s="35" t="str">
        <f t="shared" si="4"/>
        <v>EF1 E002 Mat</v>
      </c>
    </row>
    <row r="321" spans="1:31" s="36" customFormat="1" ht="30" x14ac:dyDescent="0.25">
      <c r="A321" s="31" t="s">
        <v>716</v>
      </c>
      <c r="B321" s="16" t="s">
        <v>32</v>
      </c>
      <c r="C321" s="16" t="s">
        <v>33</v>
      </c>
      <c r="D321" s="33" t="s">
        <v>34</v>
      </c>
      <c r="E321" s="33">
        <v>13</v>
      </c>
      <c r="F321" s="33">
        <v>2</v>
      </c>
      <c r="G321" s="33">
        <v>1</v>
      </c>
      <c r="H321" s="33"/>
      <c r="I321" s="31" t="s">
        <v>46</v>
      </c>
      <c r="J321" s="31"/>
      <c r="K321" s="33"/>
      <c r="L321" s="33"/>
      <c r="M321" s="31"/>
      <c r="N321" s="31"/>
      <c r="O321" s="16" t="s">
        <v>717</v>
      </c>
      <c r="P321" s="16"/>
      <c r="Q321" s="16"/>
      <c r="R321" s="33"/>
      <c r="S321" s="34"/>
      <c r="T321" s="34"/>
      <c r="U321" s="34"/>
      <c r="V321" s="34"/>
      <c r="W321" s="34"/>
      <c r="X321" s="33" t="s">
        <v>48</v>
      </c>
      <c r="Y321" s="35" t="str">
        <f>IF(Tabela2[[#This Row],[SIGLA]]="","",VLOOKUP(Tabela2[[#This Row],[SIGLA]],Tabela1[[#All],[Sigla Arte]:[Crédito]],2,0))</f>
        <v>SERGIO LIMA/ARQUIVO DA EDITORA</v>
      </c>
      <c r="Z321" s="31"/>
      <c r="AA321" s="31" t="str">
        <f>Tabela2[[#This Row],[ILUSTRADOR CRIAÇÃO]]</f>
        <v>SERGIO LIMA/ARQUIVO DA EDITORA</v>
      </c>
      <c r="AB321" s="33"/>
      <c r="AC321" s="16"/>
      <c r="AD321" s="16"/>
      <c r="AE321" s="35" t="str">
        <f t="shared" si="4"/>
        <v>EF1 E002 Mat</v>
      </c>
    </row>
    <row r="322" spans="1:31" s="36" customFormat="1" ht="30" x14ac:dyDescent="0.25">
      <c r="A322" s="31" t="s">
        <v>718</v>
      </c>
      <c r="B322" s="16" t="s">
        <v>32</v>
      </c>
      <c r="C322" s="16" t="s">
        <v>33</v>
      </c>
      <c r="D322" s="33" t="s">
        <v>34</v>
      </c>
      <c r="E322" s="33">
        <v>13</v>
      </c>
      <c r="F322" s="33">
        <v>2</v>
      </c>
      <c r="G322" s="33">
        <v>1</v>
      </c>
      <c r="H322" s="33"/>
      <c r="I322" s="31" t="s">
        <v>46</v>
      </c>
      <c r="J322" s="31"/>
      <c r="K322" s="33"/>
      <c r="L322" s="33"/>
      <c r="M322" s="31"/>
      <c r="N322" s="31"/>
      <c r="O322" s="16" t="s">
        <v>719</v>
      </c>
      <c r="P322" s="16"/>
      <c r="Q322" s="16"/>
      <c r="R322" s="33"/>
      <c r="S322" s="34"/>
      <c r="T322" s="34"/>
      <c r="U322" s="34"/>
      <c r="V322" s="34"/>
      <c r="W322" s="34"/>
      <c r="X322" s="33" t="s">
        <v>48</v>
      </c>
      <c r="Y322" s="35" t="str">
        <f>IF(Tabela2[[#This Row],[SIGLA]]="","",VLOOKUP(Tabela2[[#This Row],[SIGLA]],Tabela1[[#All],[Sigla Arte]:[Crédito]],2,0))</f>
        <v>SERGIO LIMA/ARQUIVO DA EDITORA</v>
      </c>
      <c r="Z322" s="31"/>
      <c r="AA322" s="31" t="str">
        <f>Tabela2[[#This Row],[ILUSTRADOR CRIAÇÃO]]</f>
        <v>SERGIO LIMA/ARQUIVO DA EDITORA</v>
      </c>
      <c r="AB322" s="33"/>
      <c r="AC322" s="16"/>
      <c r="AD322" s="16"/>
      <c r="AE322" s="35" t="str">
        <f t="shared" ref="AE322:AE385" si="5">"EF1 E002 Mat"</f>
        <v>EF1 E002 Mat</v>
      </c>
    </row>
    <row r="323" spans="1:31" s="36" customFormat="1" ht="60" x14ac:dyDescent="0.25">
      <c r="A323" s="31" t="s">
        <v>720</v>
      </c>
      <c r="B323" s="16" t="s">
        <v>32</v>
      </c>
      <c r="C323" s="16" t="s">
        <v>33</v>
      </c>
      <c r="D323" s="33" t="s">
        <v>34</v>
      </c>
      <c r="E323" s="33">
        <v>13</v>
      </c>
      <c r="F323" s="33">
        <v>2</v>
      </c>
      <c r="G323" s="33">
        <v>1</v>
      </c>
      <c r="H323" s="33"/>
      <c r="I323" s="31" t="s">
        <v>35</v>
      </c>
      <c r="J323" s="31"/>
      <c r="K323" s="33"/>
      <c r="L323" s="33"/>
      <c r="M323" s="31"/>
      <c r="N323" s="31"/>
      <c r="O323" s="16" t="s">
        <v>721</v>
      </c>
      <c r="P323" s="16"/>
      <c r="Q323" s="16"/>
      <c r="R323" s="33">
        <v>6</v>
      </c>
      <c r="S323" s="34">
        <v>45736</v>
      </c>
      <c r="T323" s="34">
        <v>45736</v>
      </c>
      <c r="U323" s="34"/>
      <c r="V323" s="34"/>
      <c r="W323" s="34">
        <v>45737</v>
      </c>
      <c r="X323" s="33" t="s">
        <v>708</v>
      </c>
      <c r="Y323" s="35" t="str">
        <f>IF(Tabela2[[#This Row],[SIGLA]]="","",VLOOKUP(Tabela2[[#This Row],[SIGLA]],Tabela1[[#All],[Sigla Arte]:[Crédito]],2,0))</f>
        <v>KATHARINE FROTA/ARQUIVO DA EDITORA</v>
      </c>
      <c r="Z323" s="31" t="s">
        <v>88</v>
      </c>
      <c r="AA323" s="31" t="str">
        <f>Tabela2[[#This Row],[ILUSTRADOR CRIAÇÃO]]</f>
        <v>KATHARINE FROTA/ARQUIVO DA EDITORA</v>
      </c>
      <c r="AB323" s="33">
        <v>14</v>
      </c>
      <c r="AC323" s="16" t="s">
        <v>39</v>
      </c>
      <c r="AD323" s="16" t="s">
        <v>40</v>
      </c>
      <c r="AE323" s="35" t="str">
        <f t="shared" si="5"/>
        <v>EF1 E002 Mat</v>
      </c>
    </row>
    <row r="324" spans="1:31" s="36" customFormat="1" ht="60" x14ac:dyDescent="0.25">
      <c r="A324" s="31" t="s">
        <v>722</v>
      </c>
      <c r="B324" s="16" t="s">
        <v>32</v>
      </c>
      <c r="C324" s="16" t="s">
        <v>33</v>
      </c>
      <c r="D324" s="33" t="s">
        <v>34</v>
      </c>
      <c r="E324" s="33">
        <v>13</v>
      </c>
      <c r="F324" s="33">
        <v>2</v>
      </c>
      <c r="G324" s="33">
        <v>1</v>
      </c>
      <c r="H324" s="33"/>
      <c r="I324" s="31" t="s">
        <v>35</v>
      </c>
      <c r="J324" s="31"/>
      <c r="K324" s="33"/>
      <c r="L324" s="33"/>
      <c r="M324" s="31"/>
      <c r="N324" s="31"/>
      <c r="O324" s="16" t="s">
        <v>723</v>
      </c>
      <c r="P324" s="16"/>
      <c r="Q324" s="16"/>
      <c r="R324" s="33">
        <v>6</v>
      </c>
      <c r="S324" s="34">
        <v>45736</v>
      </c>
      <c r="T324" s="34">
        <v>45736</v>
      </c>
      <c r="U324" s="34"/>
      <c r="V324" s="34"/>
      <c r="W324" s="34">
        <v>45737</v>
      </c>
      <c r="X324" s="33" t="s">
        <v>708</v>
      </c>
      <c r="Y324" s="35" t="str">
        <f>IF(Tabela2[[#This Row],[SIGLA]]="","",VLOOKUP(Tabela2[[#This Row],[SIGLA]],Tabela1[[#All],[Sigla Arte]:[Crédito]],2,0))</f>
        <v>KATHARINE FROTA/ARQUIVO DA EDITORA</v>
      </c>
      <c r="Z324" s="31" t="s">
        <v>88</v>
      </c>
      <c r="AA324" s="31" t="str">
        <f>Tabela2[[#This Row],[ILUSTRADOR CRIAÇÃO]]</f>
        <v>KATHARINE FROTA/ARQUIVO DA EDITORA</v>
      </c>
      <c r="AB324" s="33">
        <v>14</v>
      </c>
      <c r="AC324" s="16" t="s">
        <v>39</v>
      </c>
      <c r="AD324" s="16" t="s">
        <v>40</v>
      </c>
      <c r="AE324" s="35" t="str">
        <f t="shared" si="5"/>
        <v>EF1 E002 Mat</v>
      </c>
    </row>
    <row r="325" spans="1:31" s="36" customFormat="1" ht="60" x14ac:dyDescent="0.25">
      <c r="A325" s="31" t="s">
        <v>724</v>
      </c>
      <c r="B325" s="16" t="s">
        <v>32</v>
      </c>
      <c r="C325" s="16" t="s">
        <v>33</v>
      </c>
      <c r="D325" s="33" t="s">
        <v>34</v>
      </c>
      <c r="E325" s="33">
        <v>13</v>
      </c>
      <c r="F325" s="33">
        <v>2</v>
      </c>
      <c r="G325" s="33">
        <v>1</v>
      </c>
      <c r="H325" s="33"/>
      <c r="I325" s="31" t="s">
        <v>35</v>
      </c>
      <c r="J325" s="31"/>
      <c r="K325" s="33"/>
      <c r="L325" s="33"/>
      <c r="M325" s="31"/>
      <c r="N325" s="31"/>
      <c r="O325" s="16" t="s">
        <v>725</v>
      </c>
      <c r="P325" s="16"/>
      <c r="Q325" s="16"/>
      <c r="R325" s="33">
        <v>6</v>
      </c>
      <c r="S325" s="34">
        <v>45736</v>
      </c>
      <c r="T325" s="34">
        <v>45736</v>
      </c>
      <c r="U325" s="34"/>
      <c r="V325" s="34"/>
      <c r="W325" s="34">
        <v>45737</v>
      </c>
      <c r="X325" s="33" t="s">
        <v>708</v>
      </c>
      <c r="Y325" s="35" t="str">
        <f>IF(Tabela2[[#This Row],[SIGLA]]="","",VLOOKUP(Tabela2[[#This Row],[SIGLA]],Tabela1[[#All],[Sigla Arte]:[Crédito]],2,0))</f>
        <v>KATHARINE FROTA/ARQUIVO DA EDITORA</v>
      </c>
      <c r="Z325" s="31" t="s">
        <v>88</v>
      </c>
      <c r="AA325" s="31" t="str">
        <f>Tabela2[[#This Row],[ILUSTRADOR CRIAÇÃO]]</f>
        <v>KATHARINE FROTA/ARQUIVO DA EDITORA</v>
      </c>
      <c r="AB325" s="33">
        <v>14</v>
      </c>
      <c r="AC325" s="16" t="s">
        <v>39</v>
      </c>
      <c r="AD325" s="16" t="s">
        <v>40</v>
      </c>
      <c r="AE325" s="35" t="str">
        <f t="shared" si="5"/>
        <v>EF1 E002 Mat</v>
      </c>
    </row>
    <row r="326" spans="1:31" s="36" customFormat="1" ht="60" x14ac:dyDescent="0.25">
      <c r="A326" s="31" t="s">
        <v>726</v>
      </c>
      <c r="B326" s="16" t="s">
        <v>32</v>
      </c>
      <c r="C326" s="16" t="s">
        <v>33</v>
      </c>
      <c r="D326" s="33" t="s">
        <v>34</v>
      </c>
      <c r="E326" s="33">
        <v>13</v>
      </c>
      <c r="F326" s="33">
        <v>2</v>
      </c>
      <c r="G326" s="33">
        <v>1</v>
      </c>
      <c r="H326" s="33"/>
      <c r="I326" s="31" t="s">
        <v>35</v>
      </c>
      <c r="J326" s="31"/>
      <c r="K326" s="33"/>
      <c r="L326" s="33"/>
      <c r="M326" s="31"/>
      <c r="N326" s="31"/>
      <c r="O326" s="16" t="s">
        <v>727</v>
      </c>
      <c r="P326" s="16"/>
      <c r="Q326" s="16"/>
      <c r="R326" s="33">
        <v>6</v>
      </c>
      <c r="S326" s="34">
        <v>45736</v>
      </c>
      <c r="T326" s="34">
        <v>45736</v>
      </c>
      <c r="U326" s="34"/>
      <c r="V326" s="34"/>
      <c r="W326" s="34">
        <v>45737</v>
      </c>
      <c r="X326" s="33" t="s">
        <v>708</v>
      </c>
      <c r="Y326" s="35" t="str">
        <f>IF(Tabela2[[#This Row],[SIGLA]]="","",VLOOKUP(Tabela2[[#This Row],[SIGLA]],Tabela1[[#All],[Sigla Arte]:[Crédito]],2,0))</f>
        <v>KATHARINE FROTA/ARQUIVO DA EDITORA</v>
      </c>
      <c r="Z326" s="31" t="s">
        <v>88</v>
      </c>
      <c r="AA326" s="31" t="str">
        <f>Tabela2[[#This Row],[ILUSTRADOR CRIAÇÃO]]</f>
        <v>KATHARINE FROTA/ARQUIVO DA EDITORA</v>
      </c>
      <c r="AB326" s="33">
        <v>14</v>
      </c>
      <c r="AC326" s="16" t="s">
        <v>39</v>
      </c>
      <c r="AD326" s="16" t="s">
        <v>40</v>
      </c>
      <c r="AE326" s="35" t="str">
        <f t="shared" si="5"/>
        <v>EF1 E002 Mat</v>
      </c>
    </row>
    <row r="327" spans="1:31" s="36" customFormat="1" ht="60" x14ac:dyDescent="0.25">
      <c r="A327" s="31" t="s">
        <v>728</v>
      </c>
      <c r="B327" s="16" t="s">
        <v>32</v>
      </c>
      <c r="C327" s="16" t="s">
        <v>33</v>
      </c>
      <c r="D327" s="33" t="s">
        <v>34</v>
      </c>
      <c r="E327" s="33">
        <v>13</v>
      </c>
      <c r="F327" s="33">
        <v>2</v>
      </c>
      <c r="G327" s="33">
        <v>1</v>
      </c>
      <c r="H327" s="33"/>
      <c r="I327" s="31" t="s">
        <v>35</v>
      </c>
      <c r="J327" s="31"/>
      <c r="K327" s="33"/>
      <c r="L327" s="33"/>
      <c r="M327" s="31"/>
      <c r="N327" s="31"/>
      <c r="O327" s="16" t="s">
        <v>729</v>
      </c>
      <c r="P327" s="16"/>
      <c r="Q327" s="16"/>
      <c r="R327" s="33">
        <v>6</v>
      </c>
      <c r="S327" s="34">
        <v>45736</v>
      </c>
      <c r="T327" s="34">
        <v>45736</v>
      </c>
      <c r="U327" s="34"/>
      <c r="V327" s="34"/>
      <c r="W327" s="34">
        <v>45737</v>
      </c>
      <c r="X327" s="33" t="s">
        <v>708</v>
      </c>
      <c r="Y327" s="35" t="str">
        <f>IF(Tabela2[[#This Row],[SIGLA]]="","",VLOOKUP(Tabela2[[#This Row],[SIGLA]],Tabela1[[#All],[Sigla Arte]:[Crédito]],2,0))</f>
        <v>KATHARINE FROTA/ARQUIVO DA EDITORA</v>
      </c>
      <c r="Z327" s="31" t="s">
        <v>88</v>
      </c>
      <c r="AA327" s="31" t="str">
        <f>Tabela2[[#This Row],[ILUSTRADOR CRIAÇÃO]]</f>
        <v>KATHARINE FROTA/ARQUIVO DA EDITORA</v>
      </c>
      <c r="AB327" s="33">
        <v>14</v>
      </c>
      <c r="AC327" s="16" t="s">
        <v>39</v>
      </c>
      <c r="AD327" s="16" t="s">
        <v>40</v>
      </c>
      <c r="AE327" s="35" t="str">
        <f t="shared" si="5"/>
        <v>EF1 E002 Mat</v>
      </c>
    </row>
    <row r="328" spans="1:31" s="36" customFormat="1" ht="90" x14ac:dyDescent="0.25">
      <c r="A328" s="31" t="s">
        <v>730</v>
      </c>
      <c r="B328" s="16" t="s">
        <v>32</v>
      </c>
      <c r="C328" s="16" t="s">
        <v>33</v>
      </c>
      <c r="D328" s="33" t="s">
        <v>34</v>
      </c>
      <c r="E328" s="33">
        <v>14</v>
      </c>
      <c r="F328" s="33">
        <v>2</v>
      </c>
      <c r="G328" s="33">
        <v>1</v>
      </c>
      <c r="H328" s="33"/>
      <c r="I328" s="31" t="s">
        <v>35</v>
      </c>
      <c r="J328" s="31"/>
      <c r="K328" s="33"/>
      <c r="L328" s="33"/>
      <c r="M328" s="31"/>
      <c r="N328" s="31"/>
      <c r="O328" s="16" t="s">
        <v>731</v>
      </c>
      <c r="P328" s="16"/>
      <c r="Q328" s="16"/>
      <c r="R328" s="33">
        <v>6</v>
      </c>
      <c r="S328" s="34">
        <v>45736</v>
      </c>
      <c r="T328" s="34">
        <v>45736</v>
      </c>
      <c r="U328" s="34"/>
      <c r="V328" s="34"/>
      <c r="W328" s="34">
        <v>45737</v>
      </c>
      <c r="X328" s="33" t="s">
        <v>708</v>
      </c>
      <c r="Y328" s="35" t="str">
        <f>IF(Tabela2[[#This Row],[SIGLA]]="","",VLOOKUP(Tabela2[[#This Row],[SIGLA]],Tabela1[[#All],[Sigla Arte]:[Crédito]],2,0))</f>
        <v>KATHARINE FROTA/ARQUIVO DA EDITORA</v>
      </c>
      <c r="Z328" s="31" t="s">
        <v>88</v>
      </c>
      <c r="AA328" s="31" t="str">
        <f>Tabela2[[#This Row],[ILUSTRADOR CRIAÇÃO]]</f>
        <v>KATHARINE FROTA/ARQUIVO DA EDITORA</v>
      </c>
      <c r="AB328" s="33">
        <v>14</v>
      </c>
      <c r="AC328" s="16" t="s">
        <v>39</v>
      </c>
      <c r="AD328" s="16" t="s">
        <v>40</v>
      </c>
      <c r="AE328" s="35" t="str">
        <f t="shared" si="5"/>
        <v>EF1 E002 Mat</v>
      </c>
    </row>
    <row r="329" spans="1:31" s="36" customFormat="1" ht="90" x14ac:dyDescent="0.25">
      <c r="A329" s="31" t="s">
        <v>732</v>
      </c>
      <c r="B329" s="16" t="s">
        <v>32</v>
      </c>
      <c r="C329" s="16" t="s">
        <v>33</v>
      </c>
      <c r="D329" s="33" t="s">
        <v>34</v>
      </c>
      <c r="E329" s="33">
        <v>14</v>
      </c>
      <c r="F329" s="33">
        <v>2</v>
      </c>
      <c r="G329" s="33">
        <v>1</v>
      </c>
      <c r="H329" s="33"/>
      <c r="I329" s="31" t="s">
        <v>35</v>
      </c>
      <c r="J329" s="31"/>
      <c r="K329" s="33"/>
      <c r="L329" s="33"/>
      <c r="M329" s="31"/>
      <c r="N329" s="31"/>
      <c r="O329" s="16" t="s">
        <v>733</v>
      </c>
      <c r="P329" s="16"/>
      <c r="Q329" s="16"/>
      <c r="R329" s="33">
        <v>6</v>
      </c>
      <c r="S329" s="34">
        <v>45736</v>
      </c>
      <c r="T329" s="34">
        <v>45736</v>
      </c>
      <c r="U329" s="34"/>
      <c r="V329" s="34"/>
      <c r="W329" s="34">
        <v>45737</v>
      </c>
      <c r="X329" s="33" t="s">
        <v>708</v>
      </c>
      <c r="Y329" s="35" t="str">
        <f>IF(Tabela2[[#This Row],[SIGLA]]="","",VLOOKUP(Tabela2[[#This Row],[SIGLA]],Tabela1[[#All],[Sigla Arte]:[Crédito]],2,0))</f>
        <v>KATHARINE FROTA/ARQUIVO DA EDITORA</v>
      </c>
      <c r="Z329" s="31" t="s">
        <v>88</v>
      </c>
      <c r="AA329" s="31" t="str">
        <f>Tabela2[[#This Row],[ILUSTRADOR CRIAÇÃO]]</f>
        <v>KATHARINE FROTA/ARQUIVO DA EDITORA</v>
      </c>
      <c r="AB329" s="33">
        <v>14</v>
      </c>
      <c r="AC329" s="16" t="s">
        <v>39</v>
      </c>
      <c r="AD329" s="16" t="s">
        <v>40</v>
      </c>
      <c r="AE329" s="35" t="str">
        <f t="shared" si="5"/>
        <v>EF1 E002 Mat</v>
      </c>
    </row>
    <row r="330" spans="1:31" s="36" customFormat="1" ht="90" x14ac:dyDescent="0.25">
      <c r="A330" s="31" t="s">
        <v>734</v>
      </c>
      <c r="B330" s="16" t="s">
        <v>32</v>
      </c>
      <c r="C330" s="16" t="s">
        <v>33</v>
      </c>
      <c r="D330" s="33" t="s">
        <v>34</v>
      </c>
      <c r="E330" s="33">
        <v>14</v>
      </c>
      <c r="F330" s="33">
        <v>2</v>
      </c>
      <c r="G330" s="33">
        <v>1</v>
      </c>
      <c r="H330" s="33"/>
      <c r="I330" s="31" t="s">
        <v>35</v>
      </c>
      <c r="J330" s="31"/>
      <c r="K330" s="33"/>
      <c r="L330" s="33"/>
      <c r="M330" s="31"/>
      <c r="N330" s="31"/>
      <c r="O330" s="16" t="s">
        <v>735</v>
      </c>
      <c r="P330" s="16"/>
      <c r="Q330" s="16"/>
      <c r="R330" s="33">
        <v>6</v>
      </c>
      <c r="S330" s="34">
        <v>45736</v>
      </c>
      <c r="T330" s="34">
        <v>45736</v>
      </c>
      <c r="U330" s="34"/>
      <c r="V330" s="34"/>
      <c r="W330" s="34">
        <v>45737</v>
      </c>
      <c r="X330" s="33" t="s">
        <v>708</v>
      </c>
      <c r="Y330" s="35" t="str">
        <f>IF(Tabela2[[#This Row],[SIGLA]]="","",VLOOKUP(Tabela2[[#This Row],[SIGLA]],Tabela1[[#All],[Sigla Arte]:[Crédito]],2,0))</f>
        <v>KATHARINE FROTA/ARQUIVO DA EDITORA</v>
      </c>
      <c r="Z330" s="31" t="s">
        <v>88</v>
      </c>
      <c r="AA330" s="31" t="str">
        <f>Tabela2[[#This Row],[ILUSTRADOR CRIAÇÃO]]</f>
        <v>KATHARINE FROTA/ARQUIVO DA EDITORA</v>
      </c>
      <c r="AB330" s="33">
        <v>14</v>
      </c>
      <c r="AC330" s="16" t="s">
        <v>39</v>
      </c>
      <c r="AD330" s="16" t="s">
        <v>40</v>
      </c>
      <c r="AE330" s="35" t="str">
        <f t="shared" si="5"/>
        <v>EF1 E002 Mat</v>
      </c>
    </row>
    <row r="331" spans="1:31" s="36" customFormat="1" ht="90" x14ac:dyDescent="0.25">
      <c r="A331" s="31" t="s">
        <v>736</v>
      </c>
      <c r="B331" s="16" t="s">
        <v>32</v>
      </c>
      <c r="C331" s="16" t="s">
        <v>33</v>
      </c>
      <c r="D331" s="33" t="s">
        <v>34</v>
      </c>
      <c r="E331" s="33">
        <v>14</v>
      </c>
      <c r="F331" s="33">
        <v>2</v>
      </c>
      <c r="G331" s="33">
        <v>1</v>
      </c>
      <c r="H331" s="33"/>
      <c r="I331" s="31" t="s">
        <v>35</v>
      </c>
      <c r="J331" s="31"/>
      <c r="K331" s="33"/>
      <c r="L331" s="33"/>
      <c r="M331" s="31"/>
      <c r="N331" s="31"/>
      <c r="O331" s="16" t="s">
        <v>737</v>
      </c>
      <c r="P331" s="16"/>
      <c r="Q331" s="16"/>
      <c r="R331" s="33">
        <v>6</v>
      </c>
      <c r="S331" s="34">
        <v>45736</v>
      </c>
      <c r="T331" s="34">
        <v>45736</v>
      </c>
      <c r="U331" s="34"/>
      <c r="V331" s="34"/>
      <c r="W331" s="34">
        <v>45737</v>
      </c>
      <c r="X331" s="33" t="s">
        <v>708</v>
      </c>
      <c r="Y331" s="35" t="str">
        <f>IF(Tabela2[[#This Row],[SIGLA]]="","",VLOOKUP(Tabela2[[#This Row],[SIGLA]],Tabela1[[#All],[Sigla Arte]:[Crédito]],2,0))</f>
        <v>KATHARINE FROTA/ARQUIVO DA EDITORA</v>
      </c>
      <c r="Z331" s="31" t="s">
        <v>88</v>
      </c>
      <c r="AA331" s="31" t="str">
        <f>Tabela2[[#This Row],[ILUSTRADOR CRIAÇÃO]]</f>
        <v>KATHARINE FROTA/ARQUIVO DA EDITORA</v>
      </c>
      <c r="AB331" s="33">
        <v>14</v>
      </c>
      <c r="AC331" s="16" t="s">
        <v>39</v>
      </c>
      <c r="AD331" s="16" t="s">
        <v>40</v>
      </c>
      <c r="AE331" s="35" t="str">
        <f t="shared" si="5"/>
        <v>EF1 E002 Mat</v>
      </c>
    </row>
    <row r="332" spans="1:31" s="36" customFormat="1" ht="90" x14ac:dyDescent="0.25">
      <c r="A332" s="31" t="s">
        <v>738</v>
      </c>
      <c r="B332" s="16" t="s">
        <v>32</v>
      </c>
      <c r="C332" s="16" t="s">
        <v>33</v>
      </c>
      <c r="D332" s="33" t="s">
        <v>34</v>
      </c>
      <c r="E332" s="33">
        <v>14</v>
      </c>
      <c r="F332" s="33">
        <v>2</v>
      </c>
      <c r="G332" s="33">
        <v>1</v>
      </c>
      <c r="H332" s="33"/>
      <c r="I332" s="31" t="s">
        <v>35</v>
      </c>
      <c r="J332" s="31"/>
      <c r="K332" s="33"/>
      <c r="L332" s="33"/>
      <c r="M332" s="31"/>
      <c r="N332" s="31"/>
      <c r="O332" s="16" t="s">
        <v>739</v>
      </c>
      <c r="P332" s="16"/>
      <c r="Q332" s="16"/>
      <c r="R332" s="33">
        <v>6</v>
      </c>
      <c r="S332" s="34">
        <v>45736</v>
      </c>
      <c r="T332" s="34">
        <v>45736</v>
      </c>
      <c r="U332" s="34"/>
      <c r="V332" s="34"/>
      <c r="W332" s="34">
        <v>45737</v>
      </c>
      <c r="X332" s="33" t="s">
        <v>708</v>
      </c>
      <c r="Y332" s="35" t="str">
        <f>IF(Tabela2[[#This Row],[SIGLA]]="","",VLOOKUP(Tabela2[[#This Row],[SIGLA]],Tabela1[[#All],[Sigla Arte]:[Crédito]],2,0))</f>
        <v>KATHARINE FROTA/ARQUIVO DA EDITORA</v>
      </c>
      <c r="Z332" s="31" t="s">
        <v>88</v>
      </c>
      <c r="AA332" s="31" t="str">
        <f>Tabela2[[#This Row],[ILUSTRADOR CRIAÇÃO]]</f>
        <v>KATHARINE FROTA/ARQUIVO DA EDITORA</v>
      </c>
      <c r="AB332" s="33">
        <v>14</v>
      </c>
      <c r="AC332" s="16" t="s">
        <v>39</v>
      </c>
      <c r="AD332" s="16" t="s">
        <v>40</v>
      </c>
      <c r="AE332" s="35" t="str">
        <f t="shared" si="5"/>
        <v>EF1 E002 Mat</v>
      </c>
    </row>
    <row r="333" spans="1:31" s="36" customFormat="1" ht="90" x14ac:dyDescent="0.25">
      <c r="A333" s="31" t="s">
        <v>740</v>
      </c>
      <c r="B333" s="16" t="s">
        <v>32</v>
      </c>
      <c r="C333" s="16" t="s">
        <v>33</v>
      </c>
      <c r="D333" s="33" t="s">
        <v>34</v>
      </c>
      <c r="E333" s="33">
        <v>14</v>
      </c>
      <c r="F333" s="33">
        <v>2</v>
      </c>
      <c r="G333" s="33">
        <v>1</v>
      </c>
      <c r="H333" s="33"/>
      <c r="I333" s="31" t="s">
        <v>35</v>
      </c>
      <c r="J333" s="31"/>
      <c r="K333" s="33"/>
      <c r="L333" s="33"/>
      <c r="M333" s="31"/>
      <c r="N333" s="31"/>
      <c r="O333" s="16" t="s">
        <v>741</v>
      </c>
      <c r="P333" s="16"/>
      <c r="Q333" s="16"/>
      <c r="R333" s="33">
        <v>6</v>
      </c>
      <c r="S333" s="34">
        <v>45736</v>
      </c>
      <c r="T333" s="34">
        <v>45736</v>
      </c>
      <c r="U333" s="34"/>
      <c r="V333" s="34"/>
      <c r="W333" s="34">
        <v>45737</v>
      </c>
      <c r="X333" s="33" t="s">
        <v>708</v>
      </c>
      <c r="Y333" s="35" t="str">
        <f>IF(Tabela2[[#This Row],[SIGLA]]="","",VLOOKUP(Tabela2[[#This Row],[SIGLA]],Tabela1[[#All],[Sigla Arte]:[Crédito]],2,0))</f>
        <v>KATHARINE FROTA/ARQUIVO DA EDITORA</v>
      </c>
      <c r="Z333" s="31" t="s">
        <v>88</v>
      </c>
      <c r="AA333" s="31" t="str">
        <f>Tabela2[[#This Row],[ILUSTRADOR CRIAÇÃO]]</f>
        <v>KATHARINE FROTA/ARQUIVO DA EDITORA</v>
      </c>
      <c r="AB333" s="33">
        <v>14</v>
      </c>
      <c r="AC333" s="16" t="s">
        <v>39</v>
      </c>
      <c r="AD333" s="16" t="s">
        <v>40</v>
      </c>
      <c r="AE333" s="35" t="str">
        <f t="shared" si="5"/>
        <v>EF1 E002 Mat</v>
      </c>
    </row>
    <row r="334" spans="1:31" s="36" customFormat="1" ht="90" x14ac:dyDescent="0.25">
      <c r="A334" s="31" t="s">
        <v>742</v>
      </c>
      <c r="B334" s="16" t="s">
        <v>32</v>
      </c>
      <c r="C334" s="16" t="s">
        <v>33</v>
      </c>
      <c r="D334" s="33" t="s">
        <v>34</v>
      </c>
      <c r="E334" s="33">
        <v>14</v>
      </c>
      <c r="F334" s="33">
        <v>2</v>
      </c>
      <c r="G334" s="33">
        <v>1</v>
      </c>
      <c r="H334" s="33"/>
      <c r="I334" s="31" t="s">
        <v>35</v>
      </c>
      <c r="J334" s="31"/>
      <c r="K334" s="33"/>
      <c r="L334" s="33"/>
      <c r="M334" s="31"/>
      <c r="N334" s="31"/>
      <c r="O334" s="16" t="s">
        <v>743</v>
      </c>
      <c r="P334" s="16"/>
      <c r="Q334" s="16"/>
      <c r="R334" s="33">
        <v>6</v>
      </c>
      <c r="S334" s="34">
        <v>45736</v>
      </c>
      <c r="T334" s="34">
        <v>45736</v>
      </c>
      <c r="U334" s="34"/>
      <c r="V334" s="34"/>
      <c r="W334" s="34">
        <v>45737</v>
      </c>
      <c r="X334" s="33" t="s">
        <v>708</v>
      </c>
      <c r="Y334" s="35" t="str">
        <f>IF(Tabela2[[#This Row],[SIGLA]]="","",VLOOKUP(Tabela2[[#This Row],[SIGLA]],Tabela1[[#All],[Sigla Arte]:[Crédito]],2,0))</f>
        <v>KATHARINE FROTA/ARQUIVO DA EDITORA</v>
      </c>
      <c r="Z334" s="31" t="s">
        <v>88</v>
      </c>
      <c r="AA334" s="31" t="str">
        <f>Tabela2[[#This Row],[ILUSTRADOR CRIAÇÃO]]</f>
        <v>KATHARINE FROTA/ARQUIVO DA EDITORA</v>
      </c>
      <c r="AB334" s="33">
        <v>14</v>
      </c>
      <c r="AC334" s="16" t="s">
        <v>39</v>
      </c>
      <c r="AD334" s="16" t="s">
        <v>40</v>
      </c>
      <c r="AE334" s="35" t="str">
        <f t="shared" si="5"/>
        <v>EF1 E002 Mat</v>
      </c>
    </row>
    <row r="335" spans="1:31" s="36" customFormat="1" ht="90" x14ac:dyDescent="0.25">
      <c r="A335" s="31" t="s">
        <v>744</v>
      </c>
      <c r="B335" s="16" t="s">
        <v>32</v>
      </c>
      <c r="C335" s="16" t="s">
        <v>33</v>
      </c>
      <c r="D335" s="33" t="s">
        <v>34</v>
      </c>
      <c r="E335" s="33">
        <v>14</v>
      </c>
      <c r="F335" s="33">
        <v>2</v>
      </c>
      <c r="G335" s="33">
        <v>1</v>
      </c>
      <c r="H335" s="33"/>
      <c r="I335" s="31" t="s">
        <v>35</v>
      </c>
      <c r="J335" s="31"/>
      <c r="K335" s="33"/>
      <c r="L335" s="33"/>
      <c r="M335" s="31"/>
      <c r="N335" s="31"/>
      <c r="O335" s="16" t="s">
        <v>745</v>
      </c>
      <c r="P335" s="16"/>
      <c r="Q335" s="16"/>
      <c r="R335" s="33">
        <v>6</v>
      </c>
      <c r="S335" s="34">
        <v>45736</v>
      </c>
      <c r="T335" s="34">
        <v>45736</v>
      </c>
      <c r="U335" s="34"/>
      <c r="V335" s="34"/>
      <c r="W335" s="34">
        <v>45737</v>
      </c>
      <c r="X335" s="33" t="s">
        <v>708</v>
      </c>
      <c r="Y335" s="35" t="str">
        <f>IF(Tabela2[[#This Row],[SIGLA]]="","",VLOOKUP(Tabela2[[#This Row],[SIGLA]],Tabela1[[#All],[Sigla Arte]:[Crédito]],2,0))</f>
        <v>KATHARINE FROTA/ARQUIVO DA EDITORA</v>
      </c>
      <c r="Z335" s="31" t="s">
        <v>88</v>
      </c>
      <c r="AA335" s="31" t="str">
        <f>Tabela2[[#This Row],[ILUSTRADOR CRIAÇÃO]]</f>
        <v>KATHARINE FROTA/ARQUIVO DA EDITORA</v>
      </c>
      <c r="AB335" s="33">
        <v>14</v>
      </c>
      <c r="AC335" s="16" t="s">
        <v>39</v>
      </c>
      <c r="AD335" s="16" t="s">
        <v>40</v>
      </c>
      <c r="AE335" s="35" t="str">
        <f t="shared" si="5"/>
        <v>EF1 E002 Mat</v>
      </c>
    </row>
    <row r="336" spans="1:31" s="36" customFormat="1" ht="90" x14ac:dyDescent="0.25">
      <c r="A336" s="31" t="s">
        <v>746</v>
      </c>
      <c r="B336" s="16" t="s">
        <v>32</v>
      </c>
      <c r="C336" s="16" t="s">
        <v>33</v>
      </c>
      <c r="D336" s="33" t="s">
        <v>34</v>
      </c>
      <c r="E336" s="33">
        <v>14</v>
      </c>
      <c r="F336" s="33">
        <v>2</v>
      </c>
      <c r="G336" s="33">
        <v>1</v>
      </c>
      <c r="H336" s="33"/>
      <c r="I336" s="31" t="s">
        <v>35</v>
      </c>
      <c r="J336" s="31"/>
      <c r="K336" s="33"/>
      <c r="L336" s="33"/>
      <c r="M336" s="31"/>
      <c r="N336" s="31"/>
      <c r="O336" s="16" t="s">
        <v>747</v>
      </c>
      <c r="P336" s="16"/>
      <c r="Q336" s="16"/>
      <c r="R336" s="33">
        <v>6</v>
      </c>
      <c r="S336" s="34">
        <v>45736</v>
      </c>
      <c r="T336" s="34">
        <v>45736</v>
      </c>
      <c r="U336" s="34"/>
      <c r="V336" s="34"/>
      <c r="W336" s="34">
        <v>45737</v>
      </c>
      <c r="X336" s="33" t="s">
        <v>708</v>
      </c>
      <c r="Y336" s="35" t="str">
        <f>IF(Tabela2[[#This Row],[SIGLA]]="","",VLOOKUP(Tabela2[[#This Row],[SIGLA]],Tabela1[[#All],[Sigla Arte]:[Crédito]],2,0))</f>
        <v>KATHARINE FROTA/ARQUIVO DA EDITORA</v>
      </c>
      <c r="Z336" s="31" t="s">
        <v>88</v>
      </c>
      <c r="AA336" s="31" t="str">
        <f>Tabela2[[#This Row],[ILUSTRADOR CRIAÇÃO]]</f>
        <v>KATHARINE FROTA/ARQUIVO DA EDITORA</v>
      </c>
      <c r="AB336" s="33">
        <v>14</v>
      </c>
      <c r="AC336" s="16" t="s">
        <v>39</v>
      </c>
      <c r="AD336" s="16" t="s">
        <v>40</v>
      </c>
      <c r="AE336" s="35" t="str">
        <f t="shared" si="5"/>
        <v>EF1 E002 Mat</v>
      </c>
    </row>
    <row r="337" spans="1:31" s="36" customFormat="1" ht="90" x14ac:dyDescent="0.25">
      <c r="A337" s="31" t="s">
        <v>748</v>
      </c>
      <c r="B337" s="16" t="s">
        <v>32</v>
      </c>
      <c r="C337" s="16" t="s">
        <v>33</v>
      </c>
      <c r="D337" s="33" t="s">
        <v>34</v>
      </c>
      <c r="E337" s="33">
        <v>14</v>
      </c>
      <c r="F337" s="33">
        <v>2</v>
      </c>
      <c r="G337" s="33">
        <v>1</v>
      </c>
      <c r="H337" s="33"/>
      <c r="I337" s="31" t="s">
        <v>35</v>
      </c>
      <c r="J337" s="31"/>
      <c r="K337" s="33"/>
      <c r="L337" s="33"/>
      <c r="M337" s="31"/>
      <c r="N337" s="31"/>
      <c r="O337" s="16" t="s">
        <v>749</v>
      </c>
      <c r="P337" s="16"/>
      <c r="Q337" s="16"/>
      <c r="R337" s="33">
        <v>6</v>
      </c>
      <c r="S337" s="34">
        <v>45736</v>
      </c>
      <c r="T337" s="34">
        <v>45736</v>
      </c>
      <c r="U337" s="34"/>
      <c r="V337" s="34"/>
      <c r="W337" s="34">
        <v>45737</v>
      </c>
      <c r="X337" s="33" t="s">
        <v>708</v>
      </c>
      <c r="Y337" s="35" t="str">
        <f>IF(Tabela2[[#This Row],[SIGLA]]="","",VLOOKUP(Tabela2[[#This Row],[SIGLA]],Tabela1[[#All],[Sigla Arte]:[Crédito]],2,0))</f>
        <v>KATHARINE FROTA/ARQUIVO DA EDITORA</v>
      </c>
      <c r="Z337" s="31" t="s">
        <v>88</v>
      </c>
      <c r="AA337" s="31" t="str">
        <f>Tabela2[[#This Row],[ILUSTRADOR CRIAÇÃO]]</f>
        <v>KATHARINE FROTA/ARQUIVO DA EDITORA</v>
      </c>
      <c r="AB337" s="33">
        <v>14</v>
      </c>
      <c r="AC337" s="16" t="s">
        <v>39</v>
      </c>
      <c r="AD337" s="16" t="s">
        <v>40</v>
      </c>
      <c r="AE337" s="35" t="str">
        <f t="shared" si="5"/>
        <v>EF1 E002 Mat</v>
      </c>
    </row>
    <row r="338" spans="1:31" s="36" customFormat="1" ht="120" x14ac:dyDescent="0.25">
      <c r="A338" s="31" t="s">
        <v>750</v>
      </c>
      <c r="B338" s="16" t="s">
        <v>32</v>
      </c>
      <c r="C338" s="16" t="s">
        <v>33</v>
      </c>
      <c r="D338" s="33" t="s">
        <v>34</v>
      </c>
      <c r="E338" s="33">
        <v>15</v>
      </c>
      <c r="F338" s="33">
        <v>2</v>
      </c>
      <c r="G338" s="33">
        <v>1</v>
      </c>
      <c r="H338" s="33"/>
      <c r="I338" s="31" t="s">
        <v>35</v>
      </c>
      <c r="J338" s="31"/>
      <c r="K338" s="33"/>
      <c r="L338" s="33"/>
      <c r="M338" s="31"/>
      <c r="N338" s="31"/>
      <c r="O338" s="16" t="s">
        <v>751</v>
      </c>
      <c r="P338" s="16"/>
      <c r="Q338" s="16"/>
      <c r="R338" s="33">
        <v>6</v>
      </c>
      <c r="S338" s="34">
        <v>45736</v>
      </c>
      <c r="T338" s="34">
        <v>45736</v>
      </c>
      <c r="U338" s="34"/>
      <c r="V338" s="34"/>
      <c r="W338" s="34">
        <v>45737</v>
      </c>
      <c r="X338" s="33" t="s">
        <v>708</v>
      </c>
      <c r="Y338" s="35" t="str">
        <f>IF(Tabela2[[#This Row],[SIGLA]]="","",VLOOKUP(Tabela2[[#This Row],[SIGLA]],Tabela1[[#All],[Sigla Arte]:[Crédito]],2,0))</f>
        <v>KATHARINE FROTA/ARQUIVO DA EDITORA</v>
      </c>
      <c r="Z338" s="31" t="s">
        <v>88</v>
      </c>
      <c r="AA338" s="31" t="str">
        <f>Tabela2[[#This Row],[ILUSTRADOR CRIAÇÃO]]</f>
        <v>KATHARINE FROTA/ARQUIVO DA EDITORA</v>
      </c>
      <c r="AB338" s="33">
        <v>14</v>
      </c>
      <c r="AC338" s="16" t="s">
        <v>39</v>
      </c>
      <c r="AD338" s="16" t="s">
        <v>40</v>
      </c>
      <c r="AE338" s="35" t="str">
        <f t="shared" si="5"/>
        <v>EF1 E002 Mat</v>
      </c>
    </row>
    <row r="339" spans="1:31" s="36" customFormat="1" ht="30" x14ac:dyDescent="0.25">
      <c r="A339" s="31" t="s">
        <v>752</v>
      </c>
      <c r="B339" s="16" t="s">
        <v>401</v>
      </c>
      <c r="C339" s="16" t="s">
        <v>33</v>
      </c>
      <c r="D339" s="33" t="s">
        <v>34</v>
      </c>
      <c r="E339" s="33">
        <v>15</v>
      </c>
      <c r="F339" s="33">
        <v>2</v>
      </c>
      <c r="G339" s="33">
        <v>1</v>
      </c>
      <c r="H339" s="33"/>
      <c r="I339" s="31" t="s">
        <v>46</v>
      </c>
      <c r="J339" s="31"/>
      <c r="K339" s="33"/>
      <c r="L339" s="33"/>
      <c r="M339" s="31"/>
      <c r="N339" s="31"/>
      <c r="O339" s="16" t="s">
        <v>753</v>
      </c>
      <c r="P339" s="16"/>
      <c r="Q339" s="16"/>
      <c r="R339" s="33"/>
      <c r="S339" s="34"/>
      <c r="T339" s="34"/>
      <c r="U339" s="34"/>
      <c r="V339" s="34"/>
      <c r="W339" s="34"/>
      <c r="X339" s="33" t="s">
        <v>708</v>
      </c>
      <c r="Y339" s="35" t="str">
        <f>IF(Tabela2[[#This Row],[SIGLA]]="","",VLOOKUP(Tabela2[[#This Row],[SIGLA]],Tabela1[[#All],[Sigla Arte]:[Crédito]],2,0))</f>
        <v>KATHARINE FROTA/ARQUIVO DA EDITORA</v>
      </c>
      <c r="Z339" s="31"/>
      <c r="AA339" s="31" t="str">
        <f>Tabela2[[#This Row],[ILUSTRADOR CRIAÇÃO]]</f>
        <v>KATHARINE FROTA/ARQUIVO DA EDITORA</v>
      </c>
      <c r="AB339" s="33"/>
      <c r="AC339" s="16"/>
      <c r="AD339" s="16"/>
      <c r="AE339" s="35" t="str">
        <f t="shared" si="5"/>
        <v>EF1 E002 Mat</v>
      </c>
    </row>
    <row r="340" spans="1:31" s="36" customFormat="1" ht="45" x14ac:dyDescent="0.25">
      <c r="A340" s="31" t="s">
        <v>754</v>
      </c>
      <c r="B340" s="16" t="s">
        <v>32</v>
      </c>
      <c r="C340" s="16" t="s">
        <v>33</v>
      </c>
      <c r="D340" s="33" t="s">
        <v>34</v>
      </c>
      <c r="E340" s="33">
        <v>16</v>
      </c>
      <c r="F340" s="33">
        <v>2</v>
      </c>
      <c r="G340" s="33">
        <v>1</v>
      </c>
      <c r="H340" s="33"/>
      <c r="I340" s="31" t="s">
        <v>46</v>
      </c>
      <c r="J340" s="31"/>
      <c r="K340" s="33"/>
      <c r="L340" s="33"/>
      <c r="M340" s="31"/>
      <c r="N340" s="31"/>
      <c r="O340" s="16" t="s">
        <v>755</v>
      </c>
      <c r="P340" s="16"/>
      <c r="Q340" s="16"/>
      <c r="R340" s="33"/>
      <c r="S340" s="34"/>
      <c r="T340" s="34"/>
      <c r="U340" s="34"/>
      <c r="V340" s="34"/>
      <c r="W340" s="34"/>
      <c r="X340" s="33" t="s">
        <v>708</v>
      </c>
      <c r="Y340" s="35" t="str">
        <f>IF(Tabela2[[#This Row],[SIGLA]]="","",VLOOKUP(Tabela2[[#This Row],[SIGLA]],Tabela1[[#All],[Sigla Arte]:[Crédito]],2,0))</f>
        <v>KATHARINE FROTA/ARQUIVO DA EDITORA</v>
      </c>
      <c r="Z340" s="31"/>
      <c r="AA340" s="31" t="str">
        <f>Tabela2[[#This Row],[ILUSTRADOR CRIAÇÃO]]</f>
        <v>KATHARINE FROTA/ARQUIVO DA EDITORA</v>
      </c>
      <c r="AB340" s="33"/>
      <c r="AC340" s="16"/>
      <c r="AD340" s="16"/>
      <c r="AE340" s="35" t="str">
        <f t="shared" si="5"/>
        <v>EF1 E002 Mat</v>
      </c>
    </row>
    <row r="341" spans="1:31" s="36" customFormat="1" ht="105" x14ac:dyDescent="0.25">
      <c r="A341" s="31" t="s">
        <v>756</v>
      </c>
      <c r="B341" s="16" t="s">
        <v>32</v>
      </c>
      <c r="C341" s="16" t="s">
        <v>33</v>
      </c>
      <c r="D341" s="33" t="s">
        <v>34</v>
      </c>
      <c r="E341" s="33">
        <v>16</v>
      </c>
      <c r="F341" s="33">
        <v>2</v>
      </c>
      <c r="G341" s="33">
        <v>1</v>
      </c>
      <c r="H341" s="33"/>
      <c r="I341" s="31" t="s">
        <v>35</v>
      </c>
      <c r="J341" s="31"/>
      <c r="K341" s="33"/>
      <c r="L341" s="33"/>
      <c r="M341" s="31"/>
      <c r="N341" s="31"/>
      <c r="O341" s="16" t="s">
        <v>757</v>
      </c>
      <c r="P341" s="16"/>
      <c r="Q341" s="16"/>
      <c r="R341" s="33">
        <v>6</v>
      </c>
      <c r="S341" s="34">
        <v>45736</v>
      </c>
      <c r="T341" s="34">
        <v>45736</v>
      </c>
      <c r="U341" s="34"/>
      <c r="V341" s="34"/>
      <c r="W341" s="34">
        <v>45737</v>
      </c>
      <c r="X341" s="33" t="s">
        <v>85</v>
      </c>
      <c r="Y341" s="35" t="str">
        <f>IF(Tabela2[[#This Row],[SIGLA]]="","",VLOOKUP(Tabela2[[#This Row],[SIGLA]],Tabela1[[#All],[Sigla Arte]:[Crédito]],2,0))</f>
        <v>HELOÍSA PINTARELLI/ARQUIVO DA EDITORA</v>
      </c>
      <c r="Z341" s="31" t="s">
        <v>88</v>
      </c>
      <c r="AA341" s="31" t="str">
        <f>Tabela2[[#This Row],[ILUSTRADOR CRIAÇÃO]]</f>
        <v>HELOÍSA PINTARELLI/ARQUIVO DA EDITORA</v>
      </c>
      <c r="AB341" s="33">
        <v>14</v>
      </c>
      <c r="AC341" s="16" t="s">
        <v>39</v>
      </c>
      <c r="AD341" s="16" t="s">
        <v>40</v>
      </c>
      <c r="AE341" s="35" t="str">
        <f t="shared" si="5"/>
        <v>EF1 E002 Mat</v>
      </c>
    </row>
    <row r="342" spans="1:31" s="36" customFormat="1" ht="60" x14ac:dyDescent="0.25">
      <c r="A342" s="31" t="s">
        <v>758</v>
      </c>
      <c r="B342" s="16" t="s">
        <v>32</v>
      </c>
      <c r="C342" s="16" t="s">
        <v>164</v>
      </c>
      <c r="D342" s="33" t="s">
        <v>34</v>
      </c>
      <c r="E342" s="33">
        <v>17</v>
      </c>
      <c r="F342" s="33">
        <v>2</v>
      </c>
      <c r="G342" s="33">
        <v>1</v>
      </c>
      <c r="H342" s="33"/>
      <c r="I342" s="31" t="s">
        <v>35</v>
      </c>
      <c r="J342" s="31"/>
      <c r="K342" s="33"/>
      <c r="L342" s="33"/>
      <c r="M342" s="31"/>
      <c r="N342" s="31"/>
      <c r="O342" s="16" t="s">
        <v>759</v>
      </c>
      <c r="P342" s="16"/>
      <c r="Q342" s="16"/>
      <c r="R342" s="33">
        <v>134</v>
      </c>
      <c r="S342" s="34">
        <v>45898</v>
      </c>
      <c r="T342" s="34">
        <v>45898</v>
      </c>
      <c r="U342" s="34"/>
      <c r="V342" s="34"/>
      <c r="W342" s="34">
        <v>45898</v>
      </c>
      <c r="X342" s="33" t="s">
        <v>85</v>
      </c>
      <c r="Y342" s="35" t="str">
        <f>IF(Tabela2[[#This Row],[SIGLA]]="","",VLOOKUP(Tabela2[[#This Row],[SIGLA]],Tabela1[[#All],[Sigla Arte]:[Crédito]],2,0))</f>
        <v>HELOÍSA PINTARELLI/ARQUIVO DA EDITORA</v>
      </c>
      <c r="Z342" s="31" t="s">
        <v>101</v>
      </c>
      <c r="AA342" s="31" t="str">
        <f>Tabela2[[#This Row],[ILUSTRADOR CRIAÇÃO]]</f>
        <v>HELOÍSA PINTARELLI/ARQUIVO DA EDITORA</v>
      </c>
      <c r="AB342" s="33">
        <v>14</v>
      </c>
      <c r="AC342" s="16" t="s">
        <v>102</v>
      </c>
      <c r="AD342" s="16" t="s">
        <v>40</v>
      </c>
      <c r="AE342" s="35" t="str">
        <f t="shared" si="5"/>
        <v>EF1 E002 Mat</v>
      </c>
    </row>
    <row r="343" spans="1:31" s="36" customFormat="1" ht="30" x14ac:dyDescent="0.25">
      <c r="A343" s="31" t="s">
        <v>760</v>
      </c>
      <c r="B343" s="16" t="s">
        <v>32</v>
      </c>
      <c r="C343" s="16" t="s">
        <v>164</v>
      </c>
      <c r="D343" s="33" t="s">
        <v>34</v>
      </c>
      <c r="E343" s="33">
        <v>17</v>
      </c>
      <c r="F343" s="33">
        <v>2</v>
      </c>
      <c r="G343" s="33">
        <v>1</v>
      </c>
      <c r="H343" s="33"/>
      <c r="I343" s="31" t="s">
        <v>35</v>
      </c>
      <c r="J343" s="31"/>
      <c r="K343" s="33"/>
      <c r="L343" s="33"/>
      <c r="M343" s="31"/>
      <c r="N343" s="31"/>
      <c r="O343" s="16" t="s">
        <v>761</v>
      </c>
      <c r="P343" s="16"/>
      <c r="Q343" s="16"/>
      <c r="R343" s="33">
        <v>134</v>
      </c>
      <c r="S343" s="34">
        <v>45898</v>
      </c>
      <c r="T343" s="34">
        <v>45898</v>
      </c>
      <c r="U343" s="34"/>
      <c r="V343" s="34"/>
      <c r="W343" s="34">
        <v>45898</v>
      </c>
      <c r="X343" s="33" t="s">
        <v>85</v>
      </c>
      <c r="Y343" s="35" t="str">
        <f>IF(Tabela2[[#This Row],[SIGLA]]="","",VLOOKUP(Tabela2[[#This Row],[SIGLA]],Tabela1[[#All],[Sigla Arte]:[Crédito]],2,0))</f>
        <v>HELOÍSA PINTARELLI/ARQUIVO DA EDITORA</v>
      </c>
      <c r="Z343" s="31" t="s">
        <v>101</v>
      </c>
      <c r="AA343" s="31" t="str">
        <f>Tabela2[[#This Row],[ILUSTRADOR CRIAÇÃO]]</f>
        <v>HELOÍSA PINTARELLI/ARQUIVO DA EDITORA</v>
      </c>
      <c r="AB343" s="33">
        <v>14</v>
      </c>
      <c r="AC343" s="16" t="s">
        <v>102</v>
      </c>
      <c r="AD343" s="16" t="s">
        <v>40</v>
      </c>
      <c r="AE343" s="35" t="str">
        <f t="shared" si="5"/>
        <v>EF1 E002 Mat</v>
      </c>
    </row>
    <row r="344" spans="1:31" s="36" customFormat="1" ht="105" x14ac:dyDescent="0.25">
      <c r="A344" s="31" t="s">
        <v>762</v>
      </c>
      <c r="B344" s="16" t="s">
        <v>32</v>
      </c>
      <c r="C344" s="16" t="s">
        <v>164</v>
      </c>
      <c r="D344" s="33" t="s">
        <v>34</v>
      </c>
      <c r="E344" s="33">
        <v>17</v>
      </c>
      <c r="F344" s="33">
        <v>2</v>
      </c>
      <c r="G344" s="33">
        <v>1</v>
      </c>
      <c r="H344" s="33"/>
      <c r="I344" s="31" t="s">
        <v>35</v>
      </c>
      <c r="J344" s="31"/>
      <c r="K344" s="33"/>
      <c r="L344" s="33"/>
      <c r="M344" s="31"/>
      <c r="N344" s="31"/>
      <c r="O344" s="16" t="s">
        <v>763</v>
      </c>
      <c r="P344" s="16"/>
      <c r="Q344" s="16"/>
      <c r="R344" s="33">
        <v>6</v>
      </c>
      <c r="S344" s="34">
        <v>45736</v>
      </c>
      <c r="T344" s="34">
        <v>45736</v>
      </c>
      <c r="U344" s="34"/>
      <c r="V344" s="34"/>
      <c r="W344" s="34">
        <v>45737</v>
      </c>
      <c r="X344" s="33" t="s">
        <v>85</v>
      </c>
      <c r="Y344" s="35" t="str">
        <f>IF(Tabela2[[#This Row],[SIGLA]]="","",VLOOKUP(Tabela2[[#This Row],[SIGLA]],Tabela1[[#All],[Sigla Arte]:[Crédito]],2,0))</f>
        <v>HELOÍSA PINTARELLI/ARQUIVO DA EDITORA</v>
      </c>
      <c r="Z344" s="31" t="s">
        <v>88</v>
      </c>
      <c r="AA344" s="31" t="str">
        <f>Tabela2[[#This Row],[ILUSTRADOR CRIAÇÃO]]</f>
        <v>HELOÍSA PINTARELLI/ARQUIVO DA EDITORA</v>
      </c>
      <c r="AB344" s="33">
        <v>14</v>
      </c>
      <c r="AC344" s="16" t="s">
        <v>39</v>
      </c>
      <c r="AD344" s="16" t="s">
        <v>40</v>
      </c>
      <c r="AE344" s="35" t="str">
        <f t="shared" si="5"/>
        <v>EF1 E002 Mat</v>
      </c>
    </row>
    <row r="345" spans="1:31" s="36" customFormat="1" ht="60" x14ac:dyDescent="0.25">
      <c r="A345" s="31" t="s">
        <v>764</v>
      </c>
      <c r="B345" s="16" t="s">
        <v>32</v>
      </c>
      <c r="C345" s="16" t="s">
        <v>33</v>
      </c>
      <c r="D345" s="33" t="s">
        <v>34</v>
      </c>
      <c r="E345" s="33" t="s">
        <v>189</v>
      </c>
      <c r="F345" s="33">
        <v>2</v>
      </c>
      <c r="G345" s="33">
        <v>1</v>
      </c>
      <c r="H345" s="33"/>
      <c r="I345" s="31" t="s">
        <v>46</v>
      </c>
      <c r="J345" s="31"/>
      <c r="K345" s="33"/>
      <c r="L345" s="33"/>
      <c r="M345" s="31"/>
      <c r="N345" s="31"/>
      <c r="O345" s="16" t="s">
        <v>765</v>
      </c>
      <c r="P345" s="16"/>
      <c r="Q345" s="16"/>
      <c r="R345" s="33"/>
      <c r="S345" s="34"/>
      <c r="T345" s="34"/>
      <c r="U345" s="34"/>
      <c r="V345" s="34"/>
      <c r="W345" s="34"/>
      <c r="X345" s="33" t="s">
        <v>703</v>
      </c>
      <c r="Y345" s="35" t="str">
        <f>IF(Tabela2[[#This Row],[SIGLA]]="","",VLOOKUP(Tabela2[[#This Row],[SIGLA]],Tabela1[[#All],[Sigla Arte]:[Crédito]],2,0))</f>
        <v>KLEBER MAURÍCIO COELHO/ARQUIVO DA EDITORA</v>
      </c>
      <c r="Z345" s="31"/>
      <c r="AA345" s="31" t="str">
        <f>Tabela2[[#This Row],[ILUSTRADOR CRIAÇÃO]]</f>
        <v>KLEBER MAURÍCIO COELHO/ARQUIVO DA EDITORA</v>
      </c>
      <c r="AB345" s="33"/>
      <c r="AC345" s="16"/>
      <c r="AD345" s="16"/>
      <c r="AE345" s="35" t="str">
        <f t="shared" si="5"/>
        <v>EF1 E002 Mat</v>
      </c>
    </row>
    <row r="346" spans="1:31" s="36" customFormat="1" ht="45" x14ac:dyDescent="0.25">
      <c r="A346" s="31" t="s">
        <v>766</v>
      </c>
      <c r="B346" s="16" t="s">
        <v>32</v>
      </c>
      <c r="C346" s="16" t="s">
        <v>33</v>
      </c>
      <c r="D346" s="33" t="s">
        <v>34</v>
      </c>
      <c r="E346" s="33">
        <v>18</v>
      </c>
      <c r="F346" s="33">
        <v>2</v>
      </c>
      <c r="G346" s="33">
        <v>1</v>
      </c>
      <c r="H346" s="33"/>
      <c r="I346" s="31" t="s">
        <v>46</v>
      </c>
      <c r="J346" s="31"/>
      <c r="K346" s="33"/>
      <c r="L346" s="33"/>
      <c r="M346" s="31"/>
      <c r="N346" s="31"/>
      <c r="O346" s="16" t="s">
        <v>767</v>
      </c>
      <c r="P346" s="16"/>
      <c r="Q346" s="16"/>
      <c r="R346" s="33"/>
      <c r="S346" s="34"/>
      <c r="T346" s="34"/>
      <c r="U346" s="34"/>
      <c r="V346" s="34"/>
      <c r="W346" s="34"/>
      <c r="X346" s="33" t="s">
        <v>708</v>
      </c>
      <c r="Y346" s="35" t="str">
        <f>IF(Tabela2[[#This Row],[SIGLA]]="","",VLOOKUP(Tabela2[[#This Row],[SIGLA]],Tabela1[[#All],[Sigla Arte]:[Crédito]],2,0))</f>
        <v>KATHARINE FROTA/ARQUIVO DA EDITORA</v>
      </c>
      <c r="Z346" s="31"/>
      <c r="AA346" s="31" t="str">
        <f>Tabela2[[#This Row],[ILUSTRADOR CRIAÇÃO]]</f>
        <v>KATHARINE FROTA/ARQUIVO DA EDITORA</v>
      </c>
      <c r="AB346" s="33"/>
      <c r="AC346" s="16"/>
      <c r="AD346" s="16"/>
      <c r="AE346" s="35" t="str">
        <f t="shared" si="5"/>
        <v>EF1 E002 Mat</v>
      </c>
    </row>
    <row r="347" spans="1:31" s="36" customFormat="1" ht="45" x14ac:dyDescent="0.25">
      <c r="A347" s="31" t="s">
        <v>768</v>
      </c>
      <c r="B347" s="16" t="s">
        <v>32</v>
      </c>
      <c r="C347" s="16" t="s">
        <v>33</v>
      </c>
      <c r="D347" s="33" t="s">
        <v>34</v>
      </c>
      <c r="E347" s="33">
        <v>19</v>
      </c>
      <c r="F347" s="33">
        <v>2</v>
      </c>
      <c r="G347" s="33">
        <v>1</v>
      </c>
      <c r="H347" s="33"/>
      <c r="I347" s="31" t="s">
        <v>46</v>
      </c>
      <c r="J347" s="31"/>
      <c r="K347" s="33"/>
      <c r="L347" s="33"/>
      <c r="M347" s="31"/>
      <c r="N347" s="31"/>
      <c r="O347" s="16" t="s">
        <v>769</v>
      </c>
      <c r="P347" s="16"/>
      <c r="Q347" s="16"/>
      <c r="R347" s="33"/>
      <c r="S347" s="34"/>
      <c r="T347" s="34"/>
      <c r="U347" s="34"/>
      <c r="V347" s="34"/>
      <c r="W347" s="34"/>
      <c r="X347" s="33" t="s">
        <v>708</v>
      </c>
      <c r="Y347" s="35" t="str">
        <f>IF(Tabela2[[#This Row],[SIGLA]]="","",VLOOKUP(Tabela2[[#This Row],[SIGLA]],Tabela1[[#All],[Sigla Arte]:[Crédito]],2,0))</f>
        <v>KATHARINE FROTA/ARQUIVO DA EDITORA</v>
      </c>
      <c r="Z347" s="31"/>
      <c r="AA347" s="31" t="str">
        <f>Tabela2[[#This Row],[ILUSTRADOR CRIAÇÃO]]</f>
        <v>KATHARINE FROTA/ARQUIVO DA EDITORA</v>
      </c>
      <c r="AB347" s="33"/>
      <c r="AC347" s="16"/>
      <c r="AD347" s="16"/>
      <c r="AE347" s="35" t="str">
        <f t="shared" si="5"/>
        <v>EF1 E002 Mat</v>
      </c>
    </row>
    <row r="348" spans="1:31" s="36" customFormat="1" ht="45" x14ac:dyDescent="0.25">
      <c r="A348" s="31" t="s">
        <v>770</v>
      </c>
      <c r="B348" s="16" t="s">
        <v>32</v>
      </c>
      <c r="C348" s="16" t="s">
        <v>164</v>
      </c>
      <c r="D348" s="33" t="s">
        <v>34</v>
      </c>
      <c r="E348" s="33">
        <v>20</v>
      </c>
      <c r="F348" s="33">
        <v>2</v>
      </c>
      <c r="G348" s="33">
        <v>1</v>
      </c>
      <c r="H348" s="33"/>
      <c r="I348" s="31" t="s">
        <v>46</v>
      </c>
      <c r="J348" s="31"/>
      <c r="K348" s="33"/>
      <c r="L348" s="33"/>
      <c r="M348" s="31"/>
      <c r="N348" s="31"/>
      <c r="O348" s="16" t="s">
        <v>771</v>
      </c>
      <c r="P348" s="16"/>
      <c r="Q348" s="16"/>
      <c r="R348" s="33"/>
      <c r="S348" s="34"/>
      <c r="T348" s="34"/>
      <c r="U348" s="34"/>
      <c r="V348" s="34"/>
      <c r="W348" s="34"/>
      <c r="X348" s="33" t="s">
        <v>708</v>
      </c>
      <c r="Y348" s="35" t="str">
        <f>IF(Tabela2[[#This Row],[SIGLA]]="","",VLOOKUP(Tabela2[[#This Row],[SIGLA]],Tabela1[[#All],[Sigla Arte]:[Crédito]],2,0))</f>
        <v>KATHARINE FROTA/ARQUIVO DA EDITORA</v>
      </c>
      <c r="Z348" s="31"/>
      <c r="AA348" s="31" t="str">
        <f>Tabela2[[#This Row],[ILUSTRADOR CRIAÇÃO]]</f>
        <v>KATHARINE FROTA/ARQUIVO DA EDITORA</v>
      </c>
      <c r="AB348" s="33"/>
      <c r="AC348" s="16"/>
      <c r="AD348" s="16"/>
      <c r="AE348" s="35" t="str">
        <f t="shared" si="5"/>
        <v>EF1 E002 Mat</v>
      </c>
    </row>
    <row r="349" spans="1:31" s="36" customFormat="1" ht="45" x14ac:dyDescent="0.25">
      <c r="A349" s="31" t="s">
        <v>772</v>
      </c>
      <c r="B349" s="16" t="s">
        <v>32</v>
      </c>
      <c r="C349" s="16" t="s">
        <v>164</v>
      </c>
      <c r="D349" s="33" t="s">
        <v>34</v>
      </c>
      <c r="E349" s="33">
        <v>20</v>
      </c>
      <c r="F349" s="33">
        <v>2</v>
      </c>
      <c r="G349" s="33">
        <v>1</v>
      </c>
      <c r="H349" s="33"/>
      <c r="I349" s="31" t="s">
        <v>46</v>
      </c>
      <c r="J349" s="31"/>
      <c r="K349" s="33"/>
      <c r="L349" s="33"/>
      <c r="M349" s="31"/>
      <c r="N349" s="31"/>
      <c r="O349" s="16" t="s">
        <v>773</v>
      </c>
      <c r="P349" s="16"/>
      <c r="Q349" s="16"/>
      <c r="R349" s="33"/>
      <c r="S349" s="34"/>
      <c r="T349" s="34"/>
      <c r="U349" s="34"/>
      <c r="V349" s="34"/>
      <c r="W349" s="34"/>
      <c r="X349" s="33" t="s">
        <v>708</v>
      </c>
      <c r="Y349" s="35" t="str">
        <f>IF(Tabela2[[#This Row],[SIGLA]]="","",VLOOKUP(Tabela2[[#This Row],[SIGLA]],Tabela1[[#All],[Sigla Arte]:[Crédito]],2,0))</f>
        <v>KATHARINE FROTA/ARQUIVO DA EDITORA</v>
      </c>
      <c r="Z349" s="31"/>
      <c r="AA349" s="31" t="str">
        <f>Tabela2[[#This Row],[ILUSTRADOR CRIAÇÃO]]</f>
        <v>KATHARINE FROTA/ARQUIVO DA EDITORA</v>
      </c>
      <c r="AB349" s="33"/>
      <c r="AC349" s="16"/>
      <c r="AD349" s="16"/>
      <c r="AE349" s="35" t="str">
        <f t="shared" si="5"/>
        <v>EF1 E002 Mat</v>
      </c>
    </row>
    <row r="350" spans="1:31" s="36" customFormat="1" ht="45" x14ac:dyDescent="0.25">
      <c r="A350" s="31" t="s">
        <v>774</v>
      </c>
      <c r="B350" s="16" t="s">
        <v>32</v>
      </c>
      <c r="C350" s="16" t="s">
        <v>164</v>
      </c>
      <c r="D350" s="33" t="s">
        <v>34</v>
      </c>
      <c r="E350" s="33">
        <v>20</v>
      </c>
      <c r="F350" s="33">
        <v>2</v>
      </c>
      <c r="G350" s="33">
        <v>1</v>
      </c>
      <c r="H350" s="33"/>
      <c r="I350" s="31" t="s">
        <v>46</v>
      </c>
      <c r="J350" s="31"/>
      <c r="K350" s="33"/>
      <c r="L350" s="33"/>
      <c r="M350" s="31"/>
      <c r="N350" s="31"/>
      <c r="O350" s="16" t="s">
        <v>775</v>
      </c>
      <c r="P350" s="16"/>
      <c r="Q350" s="16"/>
      <c r="R350" s="33"/>
      <c r="S350" s="34"/>
      <c r="T350" s="34"/>
      <c r="U350" s="34"/>
      <c r="V350" s="34"/>
      <c r="W350" s="34"/>
      <c r="X350" s="33" t="s">
        <v>247</v>
      </c>
      <c r="Y350" s="35" t="str">
        <f>IF(Tabela2[[#This Row],[SIGLA]]="","",VLOOKUP(Tabela2[[#This Row],[SIGLA]],Tabela1[[#All],[Sigla Arte]:[Crédito]],2,0))</f>
        <v>THAIS CASTRO/ARQUIVO DA EDITORA</v>
      </c>
      <c r="Z350" s="31"/>
      <c r="AA350" s="31" t="str">
        <f>Tabela2[[#This Row],[ILUSTRADOR CRIAÇÃO]]</f>
        <v>THAIS CASTRO/ARQUIVO DA EDITORA</v>
      </c>
      <c r="AB350" s="33"/>
      <c r="AC350" s="16"/>
      <c r="AD350" s="16"/>
      <c r="AE350" s="35" t="str">
        <f t="shared" si="5"/>
        <v>EF1 E002 Mat</v>
      </c>
    </row>
    <row r="351" spans="1:31" s="36" customFormat="1" ht="45" x14ac:dyDescent="0.25">
      <c r="A351" s="31" t="s">
        <v>776</v>
      </c>
      <c r="B351" s="16" t="s">
        <v>32</v>
      </c>
      <c r="C351" s="16" t="s">
        <v>164</v>
      </c>
      <c r="D351" s="33" t="s">
        <v>34</v>
      </c>
      <c r="E351" s="33">
        <v>21</v>
      </c>
      <c r="F351" s="33">
        <v>2</v>
      </c>
      <c r="G351" s="33">
        <v>1</v>
      </c>
      <c r="H351" s="33"/>
      <c r="I351" s="31" t="s">
        <v>46</v>
      </c>
      <c r="J351" s="31"/>
      <c r="K351" s="33"/>
      <c r="L351" s="33"/>
      <c r="M351" s="31"/>
      <c r="N351" s="31"/>
      <c r="O351" s="16" t="s">
        <v>777</v>
      </c>
      <c r="P351" s="16"/>
      <c r="Q351" s="16"/>
      <c r="R351" s="33"/>
      <c r="S351" s="34"/>
      <c r="T351" s="34"/>
      <c r="U351" s="34"/>
      <c r="V351" s="34"/>
      <c r="W351" s="34"/>
      <c r="X351" s="33" t="s">
        <v>470</v>
      </c>
      <c r="Y351" s="35" t="str">
        <f>IF(Tabela2[[#This Row],[SIGLA]]="","",VLOOKUP(Tabela2[[#This Row],[SIGLA]],Tabela1[[#All],[Sigla Arte]:[Crédito]],2,0))</f>
        <v>RENAN FONSECA/ARQUIVO DA EDITORA</v>
      </c>
      <c r="Z351" s="31"/>
      <c r="AA351" s="31" t="str">
        <f>Tabela2[[#This Row],[ILUSTRADOR CRIAÇÃO]]</f>
        <v>RENAN FONSECA/ARQUIVO DA EDITORA</v>
      </c>
      <c r="AB351" s="33"/>
      <c r="AC351" s="16"/>
      <c r="AD351" s="16"/>
      <c r="AE351" s="35" t="str">
        <f t="shared" si="5"/>
        <v>EF1 E002 Mat</v>
      </c>
    </row>
    <row r="352" spans="1:31" s="36" customFormat="1" ht="45" x14ac:dyDescent="0.25">
      <c r="A352" s="31" t="s">
        <v>778</v>
      </c>
      <c r="B352" s="16" t="s">
        <v>32</v>
      </c>
      <c r="C352" s="16" t="s">
        <v>33</v>
      </c>
      <c r="D352" s="33" t="s">
        <v>34</v>
      </c>
      <c r="E352" s="33">
        <v>21</v>
      </c>
      <c r="F352" s="33">
        <v>2</v>
      </c>
      <c r="G352" s="33">
        <v>1</v>
      </c>
      <c r="H352" s="33"/>
      <c r="I352" s="31" t="s">
        <v>35</v>
      </c>
      <c r="J352" s="31"/>
      <c r="K352" s="33"/>
      <c r="L352" s="33"/>
      <c r="M352" s="31"/>
      <c r="N352" s="31"/>
      <c r="O352" s="16" t="s">
        <v>779</v>
      </c>
      <c r="P352" s="16"/>
      <c r="Q352" s="16"/>
      <c r="R352" s="33">
        <v>82</v>
      </c>
      <c r="S352" s="34"/>
      <c r="T352" s="34">
        <v>45856</v>
      </c>
      <c r="U352" s="34"/>
      <c r="V352" s="34"/>
      <c r="W352" s="34">
        <v>45856</v>
      </c>
      <c r="X352" s="33" t="s">
        <v>708</v>
      </c>
      <c r="Y352" s="35" t="str">
        <f>IF(Tabela2[[#This Row],[SIGLA]]="","",VLOOKUP(Tabela2[[#This Row],[SIGLA]],Tabela1[[#All],[Sigla Arte]:[Crédito]],2,0))</f>
        <v>KATHARINE FROTA/ARQUIVO DA EDITORA</v>
      </c>
      <c r="Z352" s="31" t="s">
        <v>221</v>
      </c>
      <c r="AA352" s="31" t="str">
        <f>Tabela2[[#This Row],[ILUSTRADOR CRIAÇÃO]]</f>
        <v>KATHARINE FROTA/ARQUIVO DA EDITORA</v>
      </c>
      <c r="AB352" s="33">
        <v>13</v>
      </c>
      <c r="AC352" s="16" t="s">
        <v>39</v>
      </c>
      <c r="AD352" s="16" t="s">
        <v>40</v>
      </c>
      <c r="AE352" s="35" t="str">
        <f t="shared" si="5"/>
        <v>EF1 E002 Mat</v>
      </c>
    </row>
    <row r="353" spans="1:31" s="36" customFormat="1" ht="105" x14ac:dyDescent="0.25">
      <c r="A353" s="31" t="s">
        <v>780</v>
      </c>
      <c r="B353" s="16" t="s">
        <v>32</v>
      </c>
      <c r="C353" s="16" t="s">
        <v>33</v>
      </c>
      <c r="D353" s="33" t="s">
        <v>34</v>
      </c>
      <c r="E353" s="33">
        <v>22</v>
      </c>
      <c r="F353" s="33">
        <v>2</v>
      </c>
      <c r="G353" s="33">
        <v>1</v>
      </c>
      <c r="H353" s="33"/>
      <c r="I353" s="31" t="s">
        <v>35</v>
      </c>
      <c r="J353" s="31"/>
      <c r="K353" s="33"/>
      <c r="L353" s="33"/>
      <c r="M353" s="31"/>
      <c r="N353" s="31"/>
      <c r="O353" s="16" t="s">
        <v>781</v>
      </c>
      <c r="P353" s="16"/>
      <c r="Q353" s="16"/>
      <c r="R353" s="33">
        <v>6</v>
      </c>
      <c r="S353" s="34">
        <v>45736</v>
      </c>
      <c r="T353" s="34">
        <v>45736</v>
      </c>
      <c r="U353" s="34"/>
      <c r="V353" s="34"/>
      <c r="W353" s="34">
        <v>45737</v>
      </c>
      <c r="X353" s="33" t="s">
        <v>708</v>
      </c>
      <c r="Y353" s="35" t="str">
        <f>IF(Tabela2[[#This Row],[SIGLA]]="","",VLOOKUP(Tabela2[[#This Row],[SIGLA]],Tabela1[[#All],[Sigla Arte]:[Crédito]],2,0))</f>
        <v>KATHARINE FROTA/ARQUIVO DA EDITORA</v>
      </c>
      <c r="Z353" s="31" t="s">
        <v>88</v>
      </c>
      <c r="AA353" s="31" t="str">
        <f>Tabela2[[#This Row],[ILUSTRADOR CRIAÇÃO]]</f>
        <v>KATHARINE FROTA/ARQUIVO DA EDITORA</v>
      </c>
      <c r="AB353" s="33">
        <v>13</v>
      </c>
      <c r="AC353" s="16" t="s">
        <v>39</v>
      </c>
      <c r="AD353" s="16" t="s">
        <v>40</v>
      </c>
      <c r="AE353" s="35" t="str">
        <f t="shared" si="5"/>
        <v>EF1 E002 Mat</v>
      </c>
    </row>
    <row r="354" spans="1:31" s="36" customFormat="1" ht="30" x14ac:dyDescent="0.25">
      <c r="A354" s="31" t="s">
        <v>782</v>
      </c>
      <c r="B354" s="16" t="s">
        <v>32</v>
      </c>
      <c r="C354" s="16" t="s">
        <v>164</v>
      </c>
      <c r="D354" s="33" t="s">
        <v>34</v>
      </c>
      <c r="E354" s="33">
        <v>23</v>
      </c>
      <c r="F354" s="33">
        <v>2</v>
      </c>
      <c r="G354" s="33">
        <v>1</v>
      </c>
      <c r="H354" s="33"/>
      <c r="I354" s="31" t="s">
        <v>46</v>
      </c>
      <c r="J354" s="31"/>
      <c r="K354" s="33"/>
      <c r="L354" s="33"/>
      <c r="M354" s="31"/>
      <c r="N354" s="31"/>
      <c r="O354" s="16" t="s">
        <v>783</v>
      </c>
      <c r="P354" s="16"/>
      <c r="Q354" s="16"/>
      <c r="R354" s="33"/>
      <c r="S354" s="34"/>
      <c r="T354" s="34">
        <v>45898</v>
      </c>
      <c r="U354" s="34"/>
      <c r="V354" s="34"/>
      <c r="W354" s="34">
        <v>45898</v>
      </c>
      <c r="X354" s="33" t="s">
        <v>48</v>
      </c>
      <c r="Y354" s="35" t="str">
        <f>IF(Tabela2[[#This Row],[SIGLA]]="","",VLOOKUP(Tabela2[[#This Row],[SIGLA]],Tabela1[[#All],[Sigla Arte]:[Crédito]],2,0))</f>
        <v>SERGIO LIMA/ARQUIVO DA EDITORA</v>
      </c>
      <c r="Z354" s="31" t="s">
        <v>572</v>
      </c>
      <c r="AA354" s="31" t="str">
        <f>Tabela2[[#This Row],[ILUSTRADOR CRIAÇÃO]]</f>
        <v>SERGIO LIMA/ARQUIVO DA EDITORA</v>
      </c>
      <c r="AB354" s="33">
        <v>13</v>
      </c>
      <c r="AC354" s="16" t="s">
        <v>44</v>
      </c>
      <c r="AD354" s="16" t="s">
        <v>40</v>
      </c>
      <c r="AE354" s="35" t="str">
        <f t="shared" si="5"/>
        <v>EF1 E002 Mat</v>
      </c>
    </row>
    <row r="355" spans="1:31" s="36" customFormat="1" ht="45" x14ac:dyDescent="0.25">
      <c r="A355" s="31" t="s">
        <v>784</v>
      </c>
      <c r="B355" s="16" t="s">
        <v>32</v>
      </c>
      <c r="C355" s="16" t="s">
        <v>164</v>
      </c>
      <c r="D355" s="33" t="s">
        <v>34</v>
      </c>
      <c r="E355" s="33">
        <v>24</v>
      </c>
      <c r="F355" s="33">
        <v>2</v>
      </c>
      <c r="G355" s="33">
        <v>1</v>
      </c>
      <c r="H355" s="33"/>
      <c r="I355" s="31" t="s">
        <v>46</v>
      </c>
      <c r="J355" s="31"/>
      <c r="K355" s="33"/>
      <c r="L355" s="33"/>
      <c r="M355" s="31"/>
      <c r="N355" s="31"/>
      <c r="O355" s="16" t="s">
        <v>785</v>
      </c>
      <c r="P355" s="16"/>
      <c r="Q355" s="16"/>
      <c r="R355" s="33"/>
      <c r="S355" s="34"/>
      <c r="T355" s="34"/>
      <c r="U355" s="34"/>
      <c r="V355" s="34"/>
      <c r="W355" s="34"/>
      <c r="X355" s="33" t="s">
        <v>470</v>
      </c>
      <c r="Y355" s="35" t="str">
        <f>IF(Tabela2[[#This Row],[SIGLA]]="","",VLOOKUP(Tabela2[[#This Row],[SIGLA]],Tabela1[[#All],[Sigla Arte]:[Crédito]],2,0))</f>
        <v>RENAN FONSECA/ARQUIVO DA EDITORA</v>
      </c>
      <c r="Z355" s="31"/>
      <c r="AA355" s="31" t="str">
        <f>Tabela2[[#This Row],[ILUSTRADOR CRIAÇÃO]]</f>
        <v>RENAN FONSECA/ARQUIVO DA EDITORA</v>
      </c>
      <c r="AB355" s="33"/>
      <c r="AC355" s="16"/>
      <c r="AD355" s="16"/>
      <c r="AE355" s="35" t="str">
        <f t="shared" si="5"/>
        <v>EF1 E002 Mat</v>
      </c>
    </row>
    <row r="356" spans="1:31" s="36" customFormat="1" ht="45" x14ac:dyDescent="0.25">
      <c r="A356" s="31" t="s">
        <v>786</v>
      </c>
      <c r="B356" s="16" t="s">
        <v>32</v>
      </c>
      <c r="C356" s="16" t="s">
        <v>164</v>
      </c>
      <c r="D356" s="33" t="s">
        <v>34</v>
      </c>
      <c r="E356" s="33">
        <v>24</v>
      </c>
      <c r="F356" s="33">
        <v>2</v>
      </c>
      <c r="G356" s="33">
        <v>1</v>
      </c>
      <c r="H356" s="33"/>
      <c r="I356" s="31" t="s">
        <v>46</v>
      </c>
      <c r="J356" s="31"/>
      <c r="K356" s="33"/>
      <c r="L356" s="33"/>
      <c r="M356" s="31"/>
      <c r="N356" s="31"/>
      <c r="O356" s="16" t="s">
        <v>787</v>
      </c>
      <c r="P356" s="16"/>
      <c r="Q356" s="16"/>
      <c r="R356" s="33"/>
      <c r="S356" s="34"/>
      <c r="T356" s="34"/>
      <c r="U356" s="34"/>
      <c r="V356" s="34"/>
      <c r="W356" s="34"/>
      <c r="X356" s="33" t="s">
        <v>470</v>
      </c>
      <c r="Y356" s="35" t="str">
        <f>IF(Tabela2[[#This Row],[SIGLA]]="","",VLOOKUP(Tabela2[[#This Row],[SIGLA]],Tabela1[[#All],[Sigla Arte]:[Crédito]],2,0))</f>
        <v>RENAN FONSECA/ARQUIVO DA EDITORA</v>
      </c>
      <c r="Z356" s="31"/>
      <c r="AA356" s="31" t="str">
        <f>Tabela2[[#This Row],[ILUSTRADOR CRIAÇÃO]]</f>
        <v>RENAN FONSECA/ARQUIVO DA EDITORA</v>
      </c>
      <c r="AB356" s="33"/>
      <c r="AC356" s="16"/>
      <c r="AD356" s="16"/>
      <c r="AE356" s="35" t="str">
        <f t="shared" si="5"/>
        <v>EF1 E002 Mat</v>
      </c>
    </row>
    <row r="357" spans="1:31" s="36" customFormat="1" ht="45" x14ac:dyDescent="0.25">
      <c r="A357" s="31" t="s">
        <v>788</v>
      </c>
      <c r="B357" s="16" t="s">
        <v>32</v>
      </c>
      <c r="C357" s="16" t="s">
        <v>164</v>
      </c>
      <c r="D357" s="33" t="s">
        <v>34</v>
      </c>
      <c r="E357" s="33">
        <v>24</v>
      </c>
      <c r="F357" s="33">
        <v>2</v>
      </c>
      <c r="G357" s="33">
        <v>1</v>
      </c>
      <c r="H357" s="33"/>
      <c r="I357" s="31" t="s">
        <v>46</v>
      </c>
      <c r="J357" s="31"/>
      <c r="K357" s="33"/>
      <c r="L357" s="33"/>
      <c r="M357" s="31"/>
      <c r="N357" s="31"/>
      <c r="O357" s="16" t="s">
        <v>789</v>
      </c>
      <c r="P357" s="16"/>
      <c r="Q357" s="16"/>
      <c r="R357" s="33"/>
      <c r="S357" s="34"/>
      <c r="T357" s="34"/>
      <c r="U357" s="34"/>
      <c r="V357" s="34"/>
      <c r="W357" s="34"/>
      <c r="X357" s="33" t="s">
        <v>470</v>
      </c>
      <c r="Y357" s="35" t="str">
        <f>IF(Tabela2[[#This Row],[SIGLA]]="","",VLOOKUP(Tabela2[[#This Row],[SIGLA]],Tabela1[[#All],[Sigla Arte]:[Crédito]],2,0))</f>
        <v>RENAN FONSECA/ARQUIVO DA EDITORA</v>
      </c>
      <c r="Z357" s="31"/>
      <c r="AA357" s="31" t="str">
        <f>Tabela2[[#This Row],[ILUSTRADOR CRIAÇÃO]]</f>
        <v>RENAN FONSECA/ARQUIVO DA EDITORA</v>
      </c>
      <c r="AB357" s="33"/>
      <c r="AC357" s="16"/>
      <c r="AD357" s="16"/>
      <c r="AE357" s="35" t="str">
        <f t="shared" si="5"/>
        <v>EF1 E002 Mat</v>
      </c>
    </row>
    <row r="358" spans="1:31" s="36" customFormat="1" ht="45" x14ac:dyDescent="0.25">
      <c r="A358" s="31" t="s">
        <v>790</v>
      </c>
      <c r="B358" s="16" t="s">
        <v>32</v>
      </c>
      <c r="C358" s="16" t="s">
        <v>164</v>
      </c>
      <c r="D358" s="33" t="s">
        <v>34</v>
      </c>
      <c r="E358" s="33">
        <v>24</v>
      </c>
      <c r="F358" s="33">
        <v>2</v>
      </c>
      <c r="G358" s="33">
        <v>1</v>
      </c>
      <c r="H358" s="33"/>
      <c r="I358" s="31" t="s">
        <v>46</v>
      </c>
      <c r="J358" s="31"/>
      <c r="K358" s="33"/>
      <c r="L358" s="33"/>
      <c r="M358" s="31"/>
      <c r="N358" s="31"/>
      <c r="O358" s="16" t="s">
        <v>791</v>
      </c>
      <c r="P358" s="16"/>
      <c r="Q358" s="16"/>
      <c r="R358" s="33"/>
      <c r="S358" s="34"/>
      <c r="T358" s="34"/>
      <c r="U358" s="34"/>
      <c r="V358" s="34"/>
      <c r="W358" s="34"/>
      <c r="X358" s="33" t="s">
        <v>470</v>
      </c>
      <c r="Y358" s="35" t="str">
        <f>IF(Tabela2[[#This Row],[SIGLA]]="","",VLOOKUP(Tabela2[[#This Row],[SIGLA]],Tabela1[[#All],[Sigla Arte]:[Crédito]],2,0))</f>
        <v>RENAN FONSECA/ARQUIVO DA EDITORA</v>
      </c>
      <c r="Z358" s="31"/>
      <c r="AA358" s="31" t="str">
        <f>Tabela2[[#This Row],[ILUSTRADOR CRIAÇÃO]]</f>
        <v>RENAN FONSECA/ARQUIVO DA EDITORA</v>
      </c>
      <c r="AB358" s="33"/>
      <c r="AC358" s="16"/>
      <c r="AD358" s="16"/>
      <c r="AE358" s="35" t="str">
        <f t="shared" si="5"/>
        <v>EF1 E002 Mat</v>
      </c>
    </row>
    <row r="359" spans="1:31" s="36" customFormat="1" ht="45" x14ac:dyDescent="0.25">
      <c r="A359" s="31" t="s">
        <v>792</v>
      </c>
      <c r="B359" s="16" t="s">
        <v>32</v>
      </c>
      <c r="C359" s="16" t="s">
        <v>164</v>
      </c>
      <c r="D359" s="33" t="s">
        <v>34</v>
      </c>
      <c r="E359" s="33">
        <v>24</v>
      </c>
      <c r="F359" s="33">
        <v>2</v>
      </c>
      <c r="G359" s="33">
        <v>1</v>
      </c>
      <c r="H359" s="33"/>
      <c r="I359" s="31" t="s">
        <v>46</v>
      </c>
      <c r="J359" s="31"/>
      <c r="K359" s="33"/>
      <c r="L359" s="33"/>
      <c r="M359" s="31"/>
      <c r="N359" s="31"/>
      <c r="O359" s="16" t="s">
        <v>793</v>
      </c>
      <c r="P359" s="16"/>
      <c r="Q359" s="16"/>
      <c r="R359" s="33"/>
      <c r="S359" s="34"/>
      <c r="T359" s="34"/>
      <c r="U359" s="34"/>
      <c r="V359" s="34"/>
      <c r="W359" s="34"/>
      <c r="X359" s="33" t="s">
        <v>470</v>
      </c>
      <c r="Y359" s="35" t="str">
        <f>IF(Tabela2[[#This Row],[SIGLA]]="","",VLOOKUP(Tabela2[[#This Row],[SIGLA]],Tabela1[[#All],[Sigla Arte]:[Crédito]],2,0))</f>
        <v>RENAN FONSECA/ARQUIVO DA EDITORA</v>
      </c>
      <c r="Z359" s="31"/>
      <c r="AA359" s="31" t="str">
        <f>Tabela2[[#This Row],[ILUSTRADOR CRIAÇÃO]]</f>
        <v>RENAN FONSECA/ARQUIVO DA EDITORA</v>
      </c>
      <c r="AB359" s="33"/>
      <c r="AC359" s="16"/>
      <c r="AD359" s="16"/>
      <c r="AE359" s="35" t="str">
        <f t="shared" si="5"/>
        <v>EF1 E002 Mat</v>
      </c>
    </row>
    <row r="360" spans="1:31" s="36" customFormat="1" ht="45" x14ac:dyDescent="0.25">
      <c r="A360" s="31" t="s">
        <v>794</v>
      </c>
      <c r="B360" s="16" t="s">
        <v>32</v>
      </c>
      <c r="C360" s="16" t="s">
        <v>164</v>
      </c>
      <c r="D360" s="33" t="s">
        <v>34</v>
      </c>
      <c r="E360" s="33">
        <v>25</v>
      </c>
      <c r="F360" s="33">
        <v>2</v>
      </c>
      <c r="G360" s="33">
        <v>1</v>
      </c>
      <c r="H360" s="33"/>
      <c r="I360" s="31" t="s">
        <v>46</v>
      </c>
      <c r="J360" s="31"/>
      <c r="K360" s="33"/>
      <c r="L360" s="33"/>
      <c r="M360" s="31"/>
      <c r="N360" s="31"/>
      <c r="O360" s="16" t="s">
        <v>795</v>
      </c>
      <c r="P360" s="16"/>
      <c r="Q360" s="16"/>
      <c r="R360" s="33"/>
      <c r="S360" s="34"/>
      <c r="T360" s="34"/>
      <c r="U360" s="34"/>
      <c r="V360" s="34"/>
      <c r="W360" s="34"/>
      <c r="X360" s="33" t="s">
        <v>48</v>
      </c>
      <c r="Y360" s="35" t="str">
        <f>IF(Tabela2[[#This Row],[SIGLA]]="","",VLOOKUP(Tabela2[[#This Row],[SIGLA]],Tabela1[[#All],[Sigla Arte]:[Crédito]],2,0))</f>
        <v>SERGIO LIMA/ARQUIVO DA EDITORA</v>
      </c>
      <c r="Z360" s="31"/>
      <c r="AA360" s="31" t="str">
        <f>Tabela2[[#This Row],[ILUSTRADOR CRIAÇÃO]]</f>
        <v>SERGIO LIMA/ARQUIVO DA EDITORA</v>
      </c>
      <c r="AB360" s="33"/>
      <c r="AC360" s="16"/>
      <c r="AD360" s="16"/>
      <c r="AE360" s="35" t="str">
        <f t="shared" si="5"/>
        <v>EF1 E002 Mat</v>
      </c>
    </row>
    <row r="361" spans="1:31" s="36" customFormat="1" ht="45" x14ac:dyDescent="0.25">
      <c r="A361" s="31" t="s">
        <v>796</v>
      </c>
      <c r="B361" s="16" t="s">
        <v>32</v>
      </c>
      <c r="C361" s="16" t="s">
        <v>164</v>
      </c>
      <c r="D361" s="33" t="s">
        <v>34</v>
      </c>
      <c r="E361" s="33">
        <v>25</v>
      </c>
      <c r="F361" s="33">
        <v>2</v>
      </c>
      <c r="G361" s="33">
        <v>1</v>
      </c>
      <c r="H361" s="33"/>
      <c r="I361" s="31" t="s">
        <v>46</v>
      </c>
      <c r="J361" s="31"/>
      <c r="K361" s="33"/>
      <c r="L361" s="33"/>
      <c r="M361" s="31"/>
      <c r="N361" s="31"/>
      <c r="O361" s="16" t="s">
        <v>797</v>
      </c>
      <c r="P361" s="16"/>
      <c r="Q361" s="16"/>
      <c r="R361" s="33"/>
      <c r="S361" s="34"/>
      <c r="T361" s="34"/>
      <c r="U361" s="34"/>
      <c r="V361" s="34"/>
      <c r="W361" s="34"/>
      <c r="X361" s="33" t="s">
        <v>48</v>
      </c>
      <c r="Y361" s="35" t="str">
        <f>IF(Tabela2[[#This Row],[SIGLA]]="","",VLOOKUP(Tabela2[[#This Row],[SIGLA]],Tabela1[[#All],[Sigla Arte]:[Crédito]],2,0))</f>
        <v>SERGIO LIMA/ARQUIVO DA EDITORA</v>
      </c>
      <c r="Z361" s="31"/>
      <c r="AA361" s="31" t="str">
        <f>Tabela2[[#This Row],[ILUSTRADOR CRIAÇÃO]]</f>
        <v>SERGIO LIMA/ARQUIVO DA EDITORA</v>
      </c>
      <c r="AB361" s="33"/>
      <c r="AC361" s="16"/>
      <c r="AD361" s="16"/>
      <c r="AE361" s="35" t="str">
        <f t="shared" si="5"/>
        <v>EF1 E002 Mat</v>
      </c>
    </row>
    <row r="362" spans="1:31" s="36" customFormat="1" ht="45" x14ac:dyDescent="0.25">
      <c r="A362" s="31" t="s">
        <v>798</v>
      </c>
      <c r="B362" s="16" t="s">
        <v>32</v>
      </c>
      <c r="C362" s="16" t="s">
        <v>164</v>
      </c>
      <c r="D362" s="33" t="s">
        <v>34</v>
      </c>
      <c r="E362" s="33">
        <v>25</v>
      </c>
      <c r="F362" s="33">
        <v>2</v>
      </c>
      <c r="G362" s="33">
        <v>1</v>
      </c>
      <c r="H362" s="33"/>
      <c r="I362" s="31" t="s">
        <v>46</v>
      </c>
      <c r="J362" s="31"/>
      <c r="K362" s="33"/>
      <c r="L362" s="33"/>
      <c r="M362" s="31"/>
      <c r="N362" s="31"/>
      <c r="O362" s="16" t="s">
        <v>799</v>
      </c>
      <c r="P362" s="16"/>
      <c r="Q362" s="16"/>
      <c r="R362" s="33"/>
      <c r="S362" s="34"/>
      <c r="T362" s="34"/>
      <c r="U362" s="34"/>
      <c r="V362" s="34"/>
      <c r="W362" s="34"/>
      <c r="X362" s="33" t="s">
        <v>48</v>
      </c>
      <c r="Y362" s="35" t="str">
        <f>IF(Tabela2[[#This Row],[SIGLA]]="","",VLOOKUP(Tabela2[[#This Row],[SIGLA]],Tabela1[[#All],[Sigla Arte]:[Crédito]],2,0))</f>
        <v>SERGIO LIMA/ARQUIVO DA EDITORA</v>
      </c>
      <c r="Z362" s="31"/>
      <c r="AA362" s="31" t="str">
        <f>Tabela2[[#This Row],[ILUSTRADOR CRIAÇÃO]]</f>
        <v>SERGIO LIMA/ARQUIVO DA EDITORA</v>
      </c>
      <c r="AB362" s="33"/>
      <c r="AC362" s="16"/>
      <c r="AD362" s="16"/>
      <c r="AE362" s="35" t="str">
        <f t="shared" si="5"/>
        <v>EF1 E002 Mat</v>
      </c>
    </row>
    <row r="363" spans="1:31" s="36" customFormat="1" ht="45" x14ac:dyDescent="0.25">
      <c r="A363" s="31" t="s">
        <v>800</v>
      </c>
      <c r="B363" s="16" t="s">
        <v>32</v>
      </c>
      <c r="C363" s="16" t="s">
        <v>164</v>
      </c>
      <c r="D363" s="33" t="s">
        <v>34</v>
      </c>
      <c r="E363" s="33">
        <v>25</v>
      </c>
      <c r="F363" s="33">
        <v>2</v>
      </c>
      <c r="G363" s="33">
        <v>1</v>
      </c>
      <c r="H363" s="33"/>
      <c r="I363" s="31" t="s">
        <v>46</v>
      </c>
      <c r="J363" s="31"/>
      <c r="K363" s="33"/>
      <c r="L363" s="33"/>
      <c r="M363" s="31"/>
      <c r="N363" s="31"/>
      <c r="O363" s="16" t="s">
        <v>801</v>
      </c>
      <c r="P363" s="16"/>
      <c r="Q363" s="16"/>
      <c r="R363" s="33"/>
      <c r="S363" s="34"/>
      <c r="T363" s="34"/>
      <c r="U363" s="34"/>
      <c r="V363" s="34"/>
      <c r="W363" s="34"/>
      <c r="X363" s="33" t="s">
        <v>48</v>
      </c>
      <c r="Y363" s="35" t="str">
        <f>IF(Tabela2[[#This Row],[SIGLA]]="","",VLOOKUP(Tabela2[[#This Row],[SIGLA]],Tabela1[[#All],[Sigla Arte]:[Crédito]],2,0))</f>
        <v>SERGIO LIMA/ARQUIVO DA EDITORA</v>
      </c>
      <c r="Z363" s="31"/>
      <c r="AA363" s="31" t="str">
        <f>Tabela2[[#This Row],[ILUSTRADOR CRIAÇÃO]]</f>
        <v>SERGIO LIMA/ARQUIVO DA EDITORA</v>
      </c>
      <c r="AB363" s="33"/>
      <c r="AC363" s="16"/>
      <c r="AD363" s="16"/>
      <c r="AE363" s="35" t="str">
        <f t="shared" si="5"/>
        <v>EF1 E002 Mat</v>
      </c>
    </row>
    <row r="364" spans="1:31" s="36" customFormat="1" ht="75" x14ac:dyDescent="0.25">
      <c r="A364" s="31" t="s">
        <v>802</v>
      </c>
      <c r="B364" s="16" t="s">
        <v>32</v>
      </c>
      <c r="C364" s="16" t="s">
        <v>33</v>
      </c>
      <c r="D364" s="33" t="s">
        <v>34</v>
      </c>
      <c r="E364" s="33" t="s">
        <v>189</v>
      </c>
      <c r="F364" s="33">
        <v>2</v>
      </c>
      <c r="G364" s="33">
        <v>1</v>
      </c>
      <c r="H364" s="33"/>
      <c r="I364" s="31" t="s">
        <v>46</v>
      </c>
      <c r="J364" s="31"/>
      <c r="K364" s="33"/>
      <c r="L364" s="33"/>
      <c r="M364" s="31"/>
      <c r="N364" s="31"/>
      <c r="O364" s="16" t="s">
        <v>803</v>
      </c>
      <c r="P364" s="16"/>
      <c r="Q364" s="16"/>
      <c r="R364" s="33"/>
      <c r="S364" s="34"/>
      <c r="T364" s="34"/>
      <c r="U364" s="34"/>
      <c r="V364" s="34"/>
      <c r="W364" s="34"/>
      <c r="X364" s="33" t="s">
        <v>703</v>
      </c>
      <c r="Y364" s="35" t="str">
        <f>IF(Tabela2[[#This Row],[SIGLA]]="","",VLOOKUP(Tabela2[[#This Row],[SIGLA]],Tabela1[[#All],[Sigla Arte]:[Crédito]],2,0))</f>
        <v>KLEBER MAURÍCIO COELHO/ARQUIVO DA EDITORA</v>
      </c>
      <c r="Z364" s="31"/>
      <c r="AA364" s="31" t="str">
        <f>Tabela2[[#This Row],[ILUSTRADOR CRIAÇÃO]]</f>
        <v>KLEBER MAURÍCIO COELHO/ARQUIVO DA EDITORA</v>
      </c>
      <c r="AB364" s="33"/>
      <c r="AC364" s="16"/>
      <c r="AD364" s="16"/>
      <c r="AE364" s="35" t="str">
        <f t="shared" si="5"/>
        <v>EF1 E002 Mat</v>
      </c>
    </row>
    <row r="365" spans="1:31" s="36" customFormat="1" ht="45" x14ac:dyDescent="0.25">
      <c r="A365" s="31" t="s">
        <v>804</v>
      </c>
      <c r="B365" s="16" t="s">
        <v>32</v>
      </c>
      <c r="C365" s="16" t="s">
        <v>33</v>
      </c>
      <c r="D365" s="33" t="s">
        <v>34</v>
      </c>
      <c r="E365" s="33" t="s">
        <v>189</v>
      </c>
      <c r="F365" s="33">
        <v>2</v>
      </c>
      <c r="G365" s="33">
        <v>1</v>
      </c>
      <c r="H365" s="33"/>
      <c r="I365" s="31" t="s">
        <v>46</v>
      </c>
      <c r="J365" s="31"/>
      <c r="K365" s="33"/>
      <c r="L365" s="33"/>
      <c r="M365" s="31"/>
      <c r="N365" s="31"/>
      <c r="O365" s="16" t="s">
        <v>805</v>
      </c>
      <c r="P365" s="16"/>
      <c r="Q365" s="16"/>
      <c r="R365" s="33"/>
      <c r="S365" s="34"/>
      <c r="T365" s="34"/>
      <c r="U365" s="34"/>
      <c r="V365" s="34"/>
      <c r="W365" s="34"/>
      <c r="X365" s="33" t="s">
        <v>703</v>
      </c>
      <c r="Y365" s="35" t="str">
        <f>IF(Tabela2[[#This Row],[SIGLA]]="","",VLOOKUP(Tabela2[[#This Row],[SIGLA]],Tabela1[[#All],[Sigla Arte]:[Crédito]],2,0))</f>
        <v>KLEBER MAURÍCIO COELHO/ARQUIVO DA EDITORA</v>
      </c>
      <c r="Z365" s="31"/>
      <c r="AA365" s="31" t="str">
        <f>Tabela2[[#This Row],[ILUSTRADOR CRIAÇÃO]]</f>
        <v>KLEBER MAURÍCIO COELHO/ARQUIVO DA EDITORA</v>
      </c>
      <c r="AB365" s="33"/>
      <c r="AC365" s="16"/>
      <c r="AD365" s="16"/>
      <c r="AE365" s="35" t="str">
        <f t="shared" si="5"/>
        <v>EF1 E002 Mat</v>
      </c>
    </row>
    <row r="366" spans="1:31" s="36" customFormat="1" ht="30" x14ac:dyDescent="0.25">
      <c r="A366" s="31" t="s">
        <v>806</v>
      </c>
      <c r="B366" s="16" t="s">
        <v>32</v>
      </c>
      <c r="C366" s="16" t="s">
        <v>33</v>
      </c>
      <c r="D366" s="33" t="s">
        <v>34</v>
      </c>
      <c r="E366" s="33" t="s">
        <v>189</v>
      </c>
      <c r="F366" s="33">
        <v>2</v>
      </c>
      <c r="G366" s="33">
        <v>1</v>
      </c>
      <c r="H366" s="33"/>
      <c r="I366" s="31" t="s">
        <v>46</v>
      </c>
      <c r="J366" s="31"/>
      <c r="K366" s="33"/>
      <c r="L366" s="33"/>
      <c r="M366" s="31"/>
      <c r="N366" s="31"/>
      <c r="O366" s="16" t="s">
        <v>807</v>
      </c>
      <c r="P366" s="16"/>
      <c r="Q366" s="16"/>
      <c r="R366" s="33"/>
      <c r="S366" s="34"/>
      <c r="T366" s="34"/>
      <c r="U366" s="34"/>
      <c r="V366" s="34"/>
      <c r="W366" s="34"/>
      <c r="X366" s="33" t="s">
        <v>703</v>
      </c>
      <c r="Y366" s="35" t="str">
        <f>IF(Tabela2[[#This Row],[SIGLA]]="","",VLOOKUP(Tabela2[[#This Row],[SIGLA]],Tabela1[[#All],[Sigla Arte]:[Crédito]],2,0))</f>
        <v>KLEBER MAURÍCIO COELHO/ARQUIVO DA EDITORA</v>
      </c>
      <c r="Z366" s="31"/>
      <c r="AA366" s="31" t="str">
        <f>Tabela2[[#This Row],[ILUSTRADOR CRIAÇÃO]]</f>
        <v>KLEBER MAURÍCIO COELHO/ARQUIVO DA EDITORA</v>
      </c>
      <c r="AB366" s="33"/>
      <c r="AC366" s="16"/>
      <c r="AD366" s="16"/>
      <c r="AE366" s="35" t="str">
        <f t="shared" si="5"/>
        <v>EF1 E002 Mat</v>
      </c>
    </row>
    <row r="367" spans="1:31" s="36" customFormat="1" ht="30" x14ac:dyDescent="0.25">
      <c r="A367" s="31" t="s">
        <v>808</v>
      </c>
      <c r="B367" s="16" t="s">
        <v>32</v>
      </c>
      <c r="C367" s="16" t="s">
        <v>33</v>
      </c>
      <c r="D367" s="33" t="s">
        <v>34</v>
      </c>
      <c r="E367" s="33" t="s">
        <v>189</v>
      </c>
      <c r="F367" s="33">
        <v>2</v>
      </c>
      <c r="G367" s="33">
        <v>1</v>
      </c>
      <c r="H367" s="33"/>
      <c r="I367" s="31" t="s">
        <v>46</v>
      </c>
      <c r="J367" s="31"/>
      <c r="K367" s="33"/>
      <c r="L367" s="33"/>
      <c r="M367" s="31"/>
      <c r="N367" s="31"/>
      <c r="O367" s="16" t="s">
        <v>809</v>
      </c>
      <c r="P367" s="16"/>
      <c r="Q367" s="16"/>
      <c r="R367" s="33"/>
      <c r="S367" s="34"/>
      <c r="T367" s="34"/>
      <c r="U367" s="34"/>
      <c r="V367" s="34"/>
      <c r="W367" s="34"/>
      <c r="X367" s="33" t="s">
        <v>703</v>
      </c>
      <c r="Y367" s="35" t="str">
        <f>IF(Tabela2[[#This Row],[SIGLA]]="","",VLOOKUP(Tabela2[[#This Row],[SIGLA]],Tabela1[[#All],[Sigla Arte]:[Crédito]],2,0))</f>
        <v>KLEBER MAURÍCIO COELHO/ARQUIVO DA EDITORA</v>
      </c>
      <c r="Z367" s="31"/>
      <c r="AA367" s="31" t="str">
        <f>Tabela2[[#This Row],[ILUSTRADOR CRIAÇÃO]]</f>
        <v>KLEBER MAURÍCIO COELHO/ARQUIVO DA EDITORA</v>
      </c>
      <c r="AB367" s="33"/>
      <c r="AC367" s="16"/>
      <c r="AD367" s="16"/>
      <c r="AE367" s="35" t="str">
        <f t="shared" si="5"/>
        <v>EF1 E002 Mat</v>
      </c>
    </row>
    <row r="368" spans="1:31" s="36" customFormat="1" ht="45" x14ac:dyDescent="0.25">
      <c r="A368" s="31" t="s">
        <v>810</v>
      </c>
      <c r="B368" s="16" t="s">
        <v>32</v>
      </c>
      <c r="C368" s="16" t="s">
        <v>33</v>
      </c>
      <c r="D368" s="33" t="s">
        <v>34</v>
      </c>
      <c r="E368" s="33">
        <v>27</v>
      </c>
      <c r="F368" s="33">
        <v>2</v>
      </c>
      <c r="G368" s="33">
        <v>1</v>
      </c>
      <c r="H368" s="33"/>
      <c r="I368" s="31" t="s">
        <v>46</v>
      </c>
      <c r="J368" s="31"/>
      <c r="K368" s="33"/>
      <c r="L368" s="33"/>
      <c r="M368" s="31"/>
      <c r="N368" s="31"/>
      <c r="O368" s="16" t="s">
        <v>811</v>
      </c>
      <c r="P368" s="16"/>
      <c r="Q368" s="16"/>
      <c r="R368" s="33"/>
      <c r="S368" s="34"/>
      <c r="T368" s="34"/>
      <c r="U368" s="34"/>
      <c r="V368" s="34"/>
      <c r="W368" s="34"/>
      <c r="X368" s="33" t="s">
        <v>85</v>
      </c>
      <c r="Y368" s="35" t="str">
        <f>IF(Tabela2[[#This Row],[SIGLA]]="","",VLOOKUP(Tabela2[[#This Row],[SIGLA]],Tabela1[[#All],[Sigla Arte]:[Crédito]],2,0))</f>
        <v>HELOÍSA PINTARELLI/ARQUIVO DA EDITORA</v>
      </c>
      <c r="Z368" s="31"/>
      <c r="AA368" s="31" t="str">
        <f>Tabela2[[#This Row],[ILUSTRADOR CRIAÇÃO]]</f>
        <v>HELOÍSA PINTARELLI/ARQUIVO DA EDITORA</v>
      </c>
      <c r="AB368" s="33"/>
      <c r="AC368" s="16"/>
      <c r="AD368" s="16"/>
      <c r="AE368" s="35" t="str">
        <f t="shared" si="5"/>
        <v>EF1 E002 Mat</v>
      </c>
    </row>
    <row r="369" spans="1:31" s="36" customFormat="1" ht="45" x14ac:dyDescent="0.25">
      <c r="A369" s="31" t="s">
        <v>812</v>
      </c>
      <c r="B369" s="16" t="s">
        <v>32</v>
      </c>
      <c r="C369" s="16" t="s">
        <v>164</v>
      </c>
      <c r="D369" s="33" t="s">
        <v>34</v>
      </c>
      <c r="E369" s="33">
        <v>28</v>
      </c>
      <c r="F369" s="33">
        <v>2</v>
      </c>
      <c r="G369" s="33">
        <v>1</v>
      </c>
      <c r="H369" s="33"/>
      <c r="I369" s="31" t="s">
        <v>46</v>
      </c>
      <c r="J369" s="31"/>
      <c r="K369" s="33"/>
      <c r="L369" s="33"/>
      <c r="M369" s="31"/>
      <c r="N369" s="31"/>
      <c r="O369" s="16" t="s">
        <v>813</v>
      </c>
      <c r="P369" s="16"/>
      <c r="Q369" s="16"/>
      <c r="R369" s="33"/>
      <c r="S369" s="34"/>
      <c r="T369" s="34"/>
      <c r="U369" s="34"/>
      <c r="V369" s="34"/>
      <c r="W369" s="34"/>
      <c r="X369" s="33" t="s">
        <v>48</v>
      </c>
      <c r="Y369" s="35" t="str">
        <f>IF(Tabela2[[#This Row],[SIGLA]]="","",VLOOKUP(Tabela2[[#This Row],[SIGLA]],Tabela1[[#All],[Sigla Arte]:[Crédito]],2,0))</f>
        <v>SERGIO LIMA/ARQUIVO DA EDITORA</v>
      </c>
      <c r="Z369" s="31"/>
      <c r="AA369" s="31" t="str">
        <f>Tabela2[[#This Row],[ILUSTRADOR CRIAÇÃO]]</f>
        <v>SERGIO LIMA/ARQUIVO DA EDITORA</v>
      </c>
      <c r="AB369" s="33"/>
      <c r="AC369" s="16"/>
      <c r="AD369" s="16"/>
      <c r="AE369" s="35" t="str">
        <f t="shared" si="5"/>
        <v>EF1 E002 Mat</v>
      </c>
    </row>
    <row r="370" spans="1:31" s="36" customFormat="1" ht="45" x14ac:dyDescent="0.25">
      <c r="A370" s="31" t="s">
        <v>814</v>
      </c>
      <c r="B370" s="16" t="s">
        <v>32</v>
      </c>
      <c r="C370" s="16" t="s">
        <v>164</v>
      </c>
      <c r="D370" s="33" t="s">
        <v>34</v>
      </c>
      <c r="E370" s="33">
        <v>28</v>
      </c>
      <c r="F370" s="33">
        <v>2</v>
      </c>
      <c r="G370" s="33">
        <v>1</v>
      </c>
      <c r="H370" s="33"/>
      <c r="I370" s="31" t="s">
        <v>46</v>
      </c>
      <c r="J370" s="31"/>
      <c r="K370" s="33"/>
      <c r="L370" s="33"/>
      <c r="M370" s="31"/>
      <c r="N370" s="31"/>
      <c r="O370" s="16" t="s">
        <v>815</v>
      </c>
      <c r="P370" s="16"/>
      <c r="Q370" s="16"/>
      <c r="R370" s="33"/>
      <c r="S370" s="34"/>
      <c r="T370" s="34"/>
      <c r="U370" s="34"/>
      <c r="V370" s="34"/>
      <c r="W370" s="34"/>
      <c r="X370" s="33" t="s">
        <v>470</v>
      </c>
      <c r="Y370" s="35" t="str">
        <f>IF(Tabela2[[#This Row],[SIGLA]]="","",VLOOKUP(Tabela2[[#This Row],[SIGLA]],Tabela1[[#All],[Sigla Arte]:[Crédito]],2,0))</f>
        <v>RENAN FONSECA/ARQUIVO DA EDITORA</v>
      </c>
      <c r="Z370" s="31"/>
      <c r="AA370" s="31" t="str">
        <f>Tabela2[[#This Row],[ILUSTRADOR CRIAÇÃO]]</f>
        <v>RENAN FONSECA/ARQUIVO DA EDITORA</v>
      </c>
      <c r="AB370" s="33"/>
      <c r="AC370" s="16"/>
      <c r="AD370" s="16"/>
      <c r="AE370" s="35" t="str">
        <f t="shared" si="5"/>
        <v>EF1 E002 Mat</v>
      </c>
    </row>
    <row r="371" spans="1:31" s="36" customFormat="1" ht="30" x14ac:dyDescent="0.25">
      <c r="A371" s="31" t="s">
        <v>816</v>
      </c>
      <c r="B371" s="16" t="s">
        <v>32</v>
      </c>
      <c r="C371" s="16" t="s">
        <v>164</v>
      </c>
      <c r="D371" s="33" t="s">
        <v>34</v>
      </c>
      <c r="E371" s="33">
        <v>28</v>
      </c>
      <c r="F371" s="33">
        <v>2</v>
      </c>
      <c r="G371" s="33">
        <v>1</v>
      </c>
      <c r="H371" s="33"/>
      <c r="I371" s="31" t="s">
        <v>46</v>
      </c>
      <c r="J371" s="31"/>
      <c r="K371" s="33"/>
      <c r="L371" s="33"/>
      <c r="M371" s="31"/>
      <c r="N371" s="31"/>
      <c r="O371" s="16" t="s">
        <v>817</v>
      </c>
      <c r="P371" s="16"/>
      <c r="Q371" s="16"/>
      <c r="R371" s="33"/>
      <c r="S371" s="34"/>
      <c r="T371" s="34"/>
      <c r="U371" s="34"/>
      <c r="V371" s="34"/>
      <c r="W371" s="34"/>
      <c r="X371" s="33" t="s">
        <v>470</v>
      </c>
      <c r="Y371" s="35" t="str">
        <f>IF(Tabela2[[#This Row],[SIGLA]]="","",VLOOKUP(Tabela2[[#This Row],[SIGLA]],Tabela1[[#All],[Sigla Arte]:[Crédito]],2,0))</f>
        <v>RENAN FONSECA/ARQUIVO DA EDITORA</v>
      </c>
      <c r="Z371" s="31"/>
      <c r="AA371" s="31" t="str">
        <f>Tabela2[[#This Row],[ILUSTRADOR CRIAÇÃO]]</f>
        <v>RENAN FONSECA/ARQUIVO DA EDITORA</v>
      </c>
      <c r="AB371" s="33"/>
      <c r="AC371" s="16"/>
      <c r="AD371" s="16"/>
      <c r="AE371" s="35" t="str">
        <f t="shared" si="5"/>
        <v>EF1 E002 Mat</v>
      </c>
    </row>
    <row r="372" spans="1:31" s="36" customFormat="1" ht="45" x14ac:dyDescent="0.25">
      <c r="A372" s="31" t="s">
        <v>818</v>
      </c>
      <c r="B372" s="16" t="s">
        <v>32</v>
      </c>
      <c r="C372" s="16" t="s">
        <v>164</v>
      </c>
      <c r="D372" s="33" t="s">
        <v>34</v>
      </c>
      <c r="E372" s="33">
        <v>28</v>
      </c>
      <c r="F372" s="33">
        <v>2</v>
      </c>
      <c r="G372" s="33">
        <v>1</v>
      </c>
      <c r="H372" s="33"/>
      <c r="I372" s="31" t="s">
        <v>46</v>
      </c>
      <c r="J372" s="31"/>
      <c r="K372" s="33"/>
      <c r="L372" s="33"/>
      <c r="M372" s="31"/>
      <c r="N372" s="31"/>
      <c r="O372" s="16" t="s">
        <v>819</v>
      </c>
      <c r="P372" s="16"/>
      <c r="Q372" s="16"/>
      <c r="R372" s="33"/>
      <c r="S372" s="34"/>
      <c r="T372" s="34"/>
      <c r="U372" s="34"/>
      <c r="V372" s="34"/>
      <c r="W372" s="34"/>
      <c r="X372" s="33" t="s">
        <v>470</v>
      </c>
      <c r="Y372" s="35" t="str">
        <f>IF(Tabela2[[#This Row],[SIGLA]]="","",VLOOKUP(Tabela2[[#This Row],[SIGLA]],Tabela1[[#All],[Sigla Arte]:[Crédito]],2,0))</f>
        <v>RENAN FONSECA/ARQUIVO DA EDITORA</v>
      </c>
      <c r="Z372" s="31"/>
      <c r="AA372" s="31" t="str">
        <f>Tabela2[[#This Row],[ILUSTRADOR CRIAÇÃO]]</f>
        <v>RENAN FONSECA/ARQUIVO DA EDITORA</v>
      </c>
      <c r="AB372" s="33"/>
      <c r="AC372" s="16"/>
      <c r="AD372" s="16"/>
      <c r="AE372" s="35" t="str">
        <f t="shared" si="5"/>
        <v>EF1 E002 Mat</v>
      </c>
    </row>
    <row r="373" spans="1:31" s="36" customFormat="1" ht="45" x14ac:dyDescent="0.25">
      <c r="A373" s="31" t="s">
        <v>820</v>
      </c>
      <c r="B373" s="16" t="s">
        <v>32</v>
      </c>
      <c r="C373" s="16" t="s">
        <v>164</v>
      </c>
      <c r="D373" s="33" t="s">
        <v>34</v>
      </c>
      <c r="E373" s="33">
        <v>28</v>
      </c>
      <c r="F373" s="33">
        <v>2</v>
      </c>
      <c r="G373" s="33">
        <v>1</v>
      </c>
      <c r="H373" s="33"/>
      <c r="I373" s="31" t="s">
        <v>35</v>
      </c>
      <c r="J373" s="31"/>
      <c r="K373" s="33"/>
      <c r="L373" s="33"/>
      <c r="M373" s="31"/>
      <c r="N373" s="31"/>
      <c r="O373" s="16" t="s">
        <v>821</v>
      </c>
      <c r="P373" s="16"/>
      <c r="Q373" s="16"/>
      <c r="R373" s="33">
        <v>134</v>
      </c>
      <c r="S373" s="34">
        <v>45898</v>
      </c>
      <c r="T373" s="34">
        <v>45898</v>
      </c>
      <c r="U373" s="34"/>
      <c r="V373" s="34"/>
      <c r="W373" s="34">
        <v>45898</v>
      </c>
      <c r="X373" s="33" t="s">
        <v>470</v>
      </c>
      <c r="Y373" s="35" t="str">
        <f>IF(Tabela2[[#This Row],[SIGLA]]="","",VLOOKUP(Tabela2[[#This Row],[SIGLA]],Tabela1[[#All],[Sigla Arte]:[Crédito]],2,0))</f>
        <v>RENAN FONSECA/ARQUIVO DA EDITORA</v>
      </c>
      <c r="Z373" s="31" t="s">
        <v>101</v>
      </c>
      <c r="AA373" s="31" t="str">
        <f>Tabela2[[#This Row],[ILUSTRADOR CRIAÇÃO]]</f>
        <v>RENAN FONSECA/ARQUIVO DA EDITORA</v>
      </c>
      <c r="AB373" s="33">
        <v>14</v>
      </c>
      <c r="AC373" s="16" t="s">
        <v>102</v>
      </c>
      <c r="AD373" s="16" t="s">
        <v>40</v>
      </c>
      <c r="AE373" s="35" t="str">
        <f t="shared" si="5"/>
        <v>EF1 E002 Mat</v>
      </c>
    </row>
    <row r="374" spans="1:31" s="36" customFormat="1" ht="75" x14ac:dyDescent="0.25">
      <c r="A374" s="31" t="s">
        <v>822</v>
      </c>
      <c r="B374" s="16" t="s">
        <v>32</v>
      </c>
      <c r="C374" s="16" t="s">
        <v>33</v>
      </c>
      <c r="D374" s="33" t="s">
        <v>34</v>
      </c>
      <c r="E374" s="33">
        <v>29</v>
      </c>
      <c r="F374" s="33">
        <v>2</v>
      </c>
      <c r="G374" s="33">
        <v>1</v>
      </c>
      <c r="H374" s="33"/>
      <c r="I374" s="31" t="s">
        <v>46</v>
      </c>
      <c r="J374" s="31"/>
      <c r="K374" s="33"/>
      <c r="L374" s="33"/>
      <c r="M374" s="31"/>
      <c r="N374" s="31"/>
      <c r="O374" s="16" t="s">
        <v>823</v>
      </c>
      <c r="P374" s="16"/>
      <c r="Q374" s="16"/>
      <c r="R374" s="33"/>
      <c r="S374" s="34"/>
      <c r="T374" s="34"/>
      <c r="U374" s="34"/>
      <c r="V374" s="34"/>
      <c r="W374" s="34"/>
      <c r="X374" s="33" t="s">
        <v>48</v>
      </c>
      <c r="Y374" s="35" t="str">
        <f>IF(Tabela2[[#This Row],[SIGLA]]="","",VLOOKUP(Tabela2[[#This Row],[SIGLA]],Tabela1[[#All],[Sigla Arte]:[Crédito]],2,0))</f>
        <v>SERGIO LIMA/ARQUIVO DA EDITORA</v>
      </c>
      <c r="Z374" s="31"/>
      <c r="AA374" s="31" t="str">
        <f>Tabela2[[#This Row],[ILUSTRADOR CRIAÇÃO]]</f>
        <v>SERGIO LIMA/ARQUIVO DA EDITORA</v>
      </c>
      <c r="AB374" s="33"/>
      <c r="AC374" s="16"/>
      <c r="AD374" s="16"/>
      <c r="AE374" s="35" t="str">
        <f t="shared" si="5"/>
        <v>EF1 E002 Mat</v>
      </c>
    </row>
    <row r="375" spans="1:31" s="36" customFormat="1" ht="45" x14ac:dyDescent="0.25">
      <c r="A375" s="31" t="s">
        <v>824</v>
      </c>
      <c r="B375" s="16" t="s">
        <v>32</v>
      </c>
      <c r="C375" s="16" t="s">
        <v>164</v>
      </c>
      <c r="D375" s="33" t="s">
        <v>34</v>
      </c>
      <c r="E375" s="33">
        <v>30</v>
      </c>
      <c r="F375" s="33">
        <v>2</v>
      </c>
      <c r="G375" s="33">
        <v>1</v>
      </c>
      <c r="H375" s="33"/>
      <c r="I375" s="31" t="s">
        <v>46</v>
      </c>
      <c r="J375" s="31"/>
      <c r="K375" s="33"/>
      <c r="L375" s="33"/>
      <c r="M375" s="31"/>
      <c r="N375" s="31"/>
      <c r="O375" s="16" t="s">
        <v>825</v>
      </c>
      <c r="P375" s="16"/>
      <c r="Q375" s="16"/>
      <c r="R375" s="33"/>
      <c r="S375" s="34"/>
      <c r="T375" s="34"/>
      <c r="U375" s="34"/>
      <c r="V375" s="34"/>
      <c r="W375" s="34"/>
      <c r="X375" s="33" t="s">
        <v>48</v>
      </c>
      <c r="Y375" s="35" t="str">
        <f>IF(Tabela2[[#This Row],[SIGLA]]="","",VLOOKUP(Tabela2[[#This Row],[SIGLA]],Tabela1[[#All],[Sigla Arte]:[Crédito]],2,0))</f>
        <v>SERGIO LIMA/ARQUIVO DA EDITORA</v>
      </c>
      <c r="Z375" s="31"/>
      <c r="AA375" s="31" t="str">
        <f>Tabela2[[#This Row],[ILUSTRADOR CRIAÇÃO]]</f>
        <v>SERGIO LIMA/ARQUIVO DA EDITORA</v>
      </c>
      <c r="AB375" s="33"/>
      <c r="AC375" s="16"/>
      <c r="AD375" s="16"/>
      <c r="AE375" s="35" t="str">
        <f t="shared" si="5"/>
        <v>EF1 E002 Mat</v>
      </c>
    </row>
    <row r="376" spans="1:31" s="36" customFormat="1" ht="45" x14ac:dyDescent="0.25">
      <c r="A376" s="31" t="s">
        <v>826</v>
      </c>
      <c r="B376" s="16" t="s">
        <v>32</v>
      </c>
      <c r="C376" s="16" t="s">
        <v>164</v>
      </c>
      <c r="D376" s="33" t="s">
        <v>34</v>
      </c>
      <c r="E376" s="33">
        <v>30</v>
      </c>
      <c r="F376" s="33">
        <v>2</v>
      </c>
      <c r="G376" s="33">
        <v>1</v>
      </c>
      <c r="H376" s="33"/>
      <c r="I376" s="31" t="s">
        <v>46</v>
      </c>
      <c r="J376" s="31"/>
      <c r="K376" s="33"/>
      <c r="L376" s="33"/>
      <c r="M376" s="31"/>
      <c r="N376" s="31"/>
      <c r="O376" s="16" t="s">
        <v>827</v>
      </c>
      <c r="P376" s="16"/>
      <c r="Q376" s="16"/>
      <c r="R376" s="33"/>
      <c r="S376" s="34"/>
      <c r="T376" s="34"/>
      <c r="U376" s="34"/>
      <c r="V376" s="34"/>
      <c r="W376" s="34"/>
      <c r="X376" s="33" t="s">
        <v>48</v>
      </c>
      <c r="Y376" s="35" t="str">
        <f>IF(Tabela2[[#This Row],[SIGLA]]="","",VLOOKUP(Tabela2[[#This Row],[SIGLA]],Tabela1[[#All],[Sigla Arte]:[Crédito]],2,0))</f>
        <v>SERGIO LIMA/ARQUIVO DA EDITORA</v>
      </c>
      <c r="Z376" s="31"/>
      <c r="AA376" s="31" t="str">
        <f>Tabela2[[#This Row],[ILUSTRADOR CRIAÇÃO]]</f>
        <v>SERGIO LIMA/ARQUIVO DA EDITORA</v>
      </c>
      <c r="AB376" s="33"/>
      <c r="AC376" s="16"/>
      <c r="AD376" s="16"/>
      <c r="AE376" s="35" t="str">
        <f t="shared" si="5"/>
        <v>EF1 E002 Mat</v>
      </c>
    </row>
    <row r="377" spans="1:31" s="36" customFormat="1" ht="45" x14ac:dyDescent="0.25">
      <c r="A377" s="31" t="s">
        <v>828</v>
      </c>
      <c r="B377" s="16" t="s">
        <v>32</v>
      </c>
      <c r="C377" s="16" t="s">
        <v>164</v>
      </c>
      <c r="D377" s="33" t="s">
        <v>34</v>
      </c>
      <c r="E377" s="33">
        <v>30</v>
      </c>
      <c r="F377" s="33">
        <v>2</v>
      </c>
      <c r="G377" s="33">
        <v>1</v>
      </c>
      <c r="H377" s="33"/>
      <c r="I377" s="31" t="s">
        <v>46</v>
      </c>
      <c r="J377" s="31"/>
      <c r="K377" s="33"/>
      <c r="L377" s="33"/>
      <c r="M377" s="31"/>
      <c r="N377" s="31"/>
      <c r="O377" s="16" t="s">
        <v>829</v>
      </c>
      <c r="P377" s="16"/>
      <c r="Q377" s="16"/>
      <c r="R377" s="33"/>
      <c r="S377" s="34"/>
      <c r="T377" s="34"/>
      <c r="U377" s="34"/>
      <c r="V377" s="34"/>
      <c r="W377" s="34"/>
      <c r="X377" s="33" t="s">
        <v>48</v>
      </c>
      <c r="Y377" s="35" t="str">
        <f>IF(Tabela2[[#This Row],[SIGLA]]="","",VLOOKUP(Tabela2[[#This Row],[SIGLA]],Tabela1[[#All],[Sigla Arte]:[Crédito]],2,0))</f>
        <v>SERGIO LIMA/ARQUIVO DA EDITORA</v>
      </c>
      <c r="Z377" s="31"/>
      <c r="AA377" s="31" t="str">
        <f>Tabela2[[#This Row],[ILUSTRADOR CRIAÇÃO]]</f>
        <v>SERGIO LIMA/ARQUIVO DA EDITORA</v>
      </c>
      <c r="AB377" s="33"/>
      <c r="AC377" s="16"/>
      <c r="AD377" s="16"/>
      <c r="AE377" s="35" t="str">
        <f t="shared" si="5"/>
        <v>EF1 E002 Mat</v>
      </c>
    </row>
    <row r="378" spans="1:31" s="36" customFormat="1" ht="45" x14ac:dyDescent="0.25">
      <c r="A378" s="31" t="s">
        <v>830</v>
      </c>
      <c r="B378" s="16" t="s">
        <v>32</v>
      </c>
      <c r="C378" s="16" t="s">
        <v>33</v>
      </c>
      <c r="D378" s="33" t="s">
        <v>34</v>
      </c>
      <c r="E378" s="33">
        <v>33</v>
      </c>
      <c r="F378" s="33">
        <v>2</v>
      </c>
      <c r="G378" s="33">
        <v>1</v>
      </c>
      <c r="H378" s="33"/>
      <c r="I378" s="31" t="s">
        <v>46</v>
      </c>
      <c r="J378" s="31"/>
      <c r="K378" s="33"/>
      <c r="L378" s="33"/>
      <c r="M378" s="31"/>
      <c r="N378" s="31"/>
      <c r="O378" s="16" t="s">
        <v>831</v>
      </c>
      <c r="P378" s="16"/>
      <c r="Q378" s="16"/>
      <c r="R378" s="33"/>
      <c r="S378" s="34"/>
      <c r="T378" s="34"/>
      <c r="U378" s="34"/>
      <c r="V378" s="34"/>
      <c r="W378" s="34"/>
      <c r="X378" s="33" t="s">
        <v>708</v>
      </c>
      <c r="Y378" s="35" t="str">
        <f>IF(Tabela2[[#This Row],[SIGLA]]="","",VLOOKUP(Tabela2[[#This Row],[SIGLA]],Tabela1[[#All],[Sigla Arte]:[Crédito]],2,0))</f>
        <v>KATHARINE FROTA/ARQUIVO DA EDITORA</v>
      </c>
      <c r="Z378" s="31"/>
      <c r="AA378" s="31" t="str">
        <f>Tabela2[[#This Row],[ILUSTRADOR CRIAÇÃO]]</f>
        <v>KATHARINE FROTA/ARQUIVO DA EDITORA</v>
      </c>
      <c r="AB378" s="33"/>
      <c r="AC378" s="16"/>
      <c r="AD378" s="16"/>
      <c r="AE378" s="35" t="str">
        <f t="shared" si="5"/>
        <v>EF1 E002 Mat</v>
      </c>
    </row>
    <row r="379" spans="1:31" s="36" customFormat="1" ht="45" x14ac:dyDescent="0.25">
      <c r="A379" s="31" t="s">
        <v>832</v>
      </c>
      <c r="B379" s="16" t="s">
        <v>32</v>
      </c>
      <c r="C379" s="16" t="s">
        <v>33</v>
      </c>
      <c r="D379" s="33" t="s">
        <v>34</v>
      </c>
      <c r="E379" s="33">
        <v>33</v>
      </c>
      <c r="F379" s="33">
        <v>2</v>
      </c>
      <c r="G379" s="33">
        <v>1</v>
      </c>
      <c r="H379" s="33"/>
      <c r="I379" s="31" t="s">
        <v>46</v>
      </c>
      <c r="J379" s="31"/>
      <c r="K379" s="33"/>
      <c r="L379" s="33"/>
      <c r="M379" s="31"/>
      <c r="N379" s="31"/>
      <c r="O379" s="16" t="s">
        <v>833</v>
      </c>
      <c r="P379" s="16"/>
      <c r="Q379" s="16"/>
      <c r="R379" s="33"/>
      <c r="S379" s="34"/>
      <c r="T379" s="34"/>
      <c r="U379" s="34"/>
      <c r="V379" s="34"/>
      <c r="W379" s="34"/>
      <c r="X379" s="33" t="s">
        <v>708</v>
      </c>
      <c r="Y379" s="35" t="str">
        <f>IF(Tabela2[[#This Row],[SIGLA]]="","",VLOOKUP(Tabela2[[#This Row],[SIGLA]],Tabela1[[#All],[Sigla Arte]:[Crédito]],2,0))</f>
        <v>KATHARINE FROTA/ARQUIVO DA EDITORA</v>
      </c>
      <c r="Z379" s="31"/>
      <c r="AA379" s="31" t="str">
        <f>Tabela2[[#This Row],[ILUSTRADOR CRIAÇÃO]]</f>
        <v>KATHARINE FROTA/ARQUIVO DA EDITORA</v>
      </c>
      <c r="AB379" s="33"/>
      <c r="AC379" s="16"/>
      <c r="AD379" s="16"/>
      <c r="AE379" s="35" t="str">
        <f t="shared" si="5"/>
        <v>EF1 E002 Mat</v>
      </c>
    </row>
    <row r="380" spans="1:31" s="36" customFormat="1" ht="30" x14ac:dyDescent="0.25">
      <c r="A380" s="31" t="s">
        <v>834</v>
      </c>
      <c r="B380" s="16" t="s">
        <v>32</v>
      </c>
      <c r="C380" s="16" t="s">
        <v>33</v>
      </c>
      <c r="D380" s="33" t="s">
        <v>34</v>
      </c>
      <c r="E380" s="33">
        <v>37</v>
      </c>
      <c r="F380" s="33">
        <v>2</v>
      </c>
      <c r="G380" s="33">
        <v>1</v>
      </c>
      <c r="H380" s="33"/>
      <c r="I380" s="31" t="s">
        <v>35</v>
      </c>
      <c r="J380" s="31"/>
      <c r="K380" s="33"/>
      <c r="L380" s="33"/>
      <c r="M380" s="31"/>
      <c r="N380" s="31"/>
      <c r="O380" s="16" t="s">
        <v>835</v>
      </c>
      <c r="P380" s="16"/>
      <c r="Q380" s="16"/>
      <c r="R380" s="33">
        <v>82</v>
      </c>
      <c r="S380" s="34"/>
      <c r="T380" s="34">
        <v>45856</v>
      </c>
      <c r="U380" s="34"/>
      <c r="V380" s="34"/>
      <c r="W380" s="34">
        <v>45856</v>
      </c>
      <c r="X380" s="33" t="s">
        <v>708</v>
      </c>
      <c r="Y380" s="35" t="str">
        <f>IF(Tabela2[[#This Row],[SIGLA]]="","",VLOOKUP(Tabela2[[#This Row],[SIGLA]],Tabela1[[#All],[Sigla Arte]:[Crédito]],2,0))</f>
        <v>KATHARINE FROTA/ARQUIVO DA EDITORA</v>
      </c>
      <c r="Z380" s="31" t="s">
        <v>221</v>
      </c>
      <c r="AA380" s="31" t="str">
        <f>Tabela2[[#This Row],[ILUSTRADOR CRIAÇÃO]]</f>
        <v>KATHARINE FROTA/ARQUIVO DA EDITORA</v>
      </c>
      <c r="AB380" s="33">
        <v>13</v>
      </c>
      <c r="AC380" s="16"/>
      <c r="AD380" s="16" t="s">
        <v>40</v>
      </c>
      <c r="AE380" s="35" t="str">
        <f t="shared" si="5"/>
        <v>EF1 E002 Mat</v>
      </c>
    </row>
    <row r="381" spans="1:31" s="36" customFormat="1" ht="75" x14ac:dyDescent="0.25">
      <c r="A381" s="31" t="s">
        <v>836</v>
      </c>
      <c r="B381" s="16" t="s">
        <v>32</v>
      </c>
      <c r="C381" s="16" t="s">
        <v>33</v>
      </c>
      <c r="D381" s="33" t="s">
        <v>34</v>
      </c>
      <c r="E381" s="33">
        <v>18</v>
      </c>
      <c r="F381" s="33">
        <v>2</v>
      </c>
      <c r="G381" s="33">
        <v>1</v>
      </c>
      <c r="H381" s="33"/>
      <c r="I381" s="31" t="s">
        <v>35</v>
      </c>
      <c r="J381" s="31"/>
      <c r="K381" s="33"/>
      <c r="L381" s="33"/>
      <c r="M381" s="31"/>
      <c r="N381" s="31"/>
      <c r="O381" s="16" t="s">
        <v>837</v>
      </c>
      <c r="P381" s="16"/>
      <c r="Q381" s="16"/>
      <c r="R381" s="33">
        <v>6</v>
      </c>
      <c r="S381" s="34">
        <v>45736</v>
      </c>
      <c r="T381" s="34">
        <v>45736</v>
      </c>
      <c r="U381" s="34"/>
      <c r="V381" s="34"/>
      <c r="W381" s="34">
        <v>45737</v>
      </c>
      <c r="X381" s="33" t="s">
        <v>708</v>
      </c>
      <c r="Y381" s="35" t="str">
        <f>IF(Tabela2[[#This Row],[SIGLA]]="","",VLOOKUP(Tabela2[[#This Row],[SIGLA]],Tabela1[[#All],[Sigla Arte]:[Crédito]],2,0))</f>
        <v>KATHARINE FROTA/ARQUIVO DA EDITORA</v>
      </c>
      <c r="Z381" s="31" t="s">
        <v>88</v>
      </c>
      <c r="AA381" s="31" t="str">
        <f>Tabela2[[#This Row],[ILUSTRADOR CRIAÇÃO]]</f>
        <v>KATHARINE FROTA/ARQUIVO DA EDITORA</v>
      </c>
      <c r="AB381" s="33">
        <v>14</v>
      </c>
      <c r="AC381" s="16" t="s">
        <v>39</v>
      </c>
      <c r="AD381" s="16" t="s">
        <v>40</v>
      </c>
      <c r="AE381" s="35" t="str">
        <f t="shared" si="5"/>
        <v>EF1 E002 Mat</v>
      </c>
    </row>
    <row r="382" spans="1:31" s="36" customFormat="1" ht="45" x14ac:dyDescent="0.25">
      <c r="A382" s="31" t="s">
        <v>838</v>
      </c>
      <c r="B382" s="16" t="s">
        <v>32</v>
      </c>
      <c r="C382" s="16" t="s">
        <v>164</v>
      </c>
      <c r="D382" s="33" t="s">
        <v>34</v>
      </c>
      <c r="E382" s="33">
        <v>30</v>
      </c>
      <c r="F382" s="33">
        <v>2</v>
      </c>
      <c r="G382" s="33">
        <v>1</v>
      </c>
      <c r="H382" s="33"/>
      <c r="I382" s="31" t="s">
        <v>46</v>
      </c>
      <c r="J382" s="31"/>
      <c r="K382" s="33"/>
      <c r="L382" s="33"/>
      <c r="M382" s="31"/>
      <c r="N382" s="31"/>
      <c r="O382" s="16" t="s">
        <v>839</v>
      </c>
      <c r="P382" s="16"/>
      <c r="Q382" s="16"/>
      <c r="R382" s="33"/>
      <c r="S382" s="34"/>
      <c r="T382" s="34"/>
      <c r="U382" s="34"/>
      <c r="V382" s="34"/>
      <c r="W382" s="34"/>
      <c r="X382" s="33" t="s">
        <v>48</v>
      </c>
      <c r="Y382" s="35" t="str">
        <f>IF(Tabela2[[#This Row],[SIGLA]]="","",VLOOKUP(Tabela2[[#This Row],[SIGLA]],Tabela1[[#All],[Sigla Arte]:[Crédito]],2,0))</f>
        <v>SERGIO LIMA/ARQUIVO DA EDITORA</v>
      </c>
      <c r="Z382" s="31"/>
      <c r="AA382" s="31" t="str">
        <f>Tabela2[[#This Row],[ILUSTRADOR CRIAÇÃO]]</f>
        <v>SERGIO LIMA/ARQUIVO DA EDITORA</v>
      </c>
      <c r="AB382" s="33"/>
      <c r="AC382" s="16"/>
      <c r="AD382" s="16"/>
      <c r="AE382" s="35" t="str">
        <f t="shared" si="5"/>
        <v>EF1 E002 Mat</v>
      </c>
    </row>
    <row r="383" spans="1:31" s="36" customFormat="1" ht="45" x14ac:dyDescent="0.25">
      <c r="A383" s="31" t="s">
        <v>840</v>
      </c>
      <c r="B383" s="16" t="s">
        <v>32</v>
      </c>
      <c r="C383" s="16" t="s">
        <v>33</v>
      </c>
      <c r="D383" s="33" t="s">
        <v>34</v>
      </c>
      <c r="E383" s="33">
        <v>40</v>
      </c>
      <c r="F383" s="33">
        <v>2</v>
      </c>
      <c r="G383" s="33">
        <v>2</v>
      </c>
      <c r="H383" s="33"/>
      <c r="I383" s="31" t="s">
        <v>46</v>
      </c>
      <c r="J383" s="31"/>
      <c r="K383" s="33"/>
      <c r="L383" s="33"/>
      <c r="M383" s="31"/>
      <c r="N383" s="31"/>
      <c r="O383" s="16" t="s">
        <v>841</v>
      </c>
      <c r="P383" s="16"/>
      <c r="Q383" s="16"/>
      <c r="R383" s="33"/>
      <c r="S383" s="34"/>
      <c r="T383" s="34"/>
      <c r="U383" s="34"/>
      <c r="V383" s="34"/>
      <c r="W383" s="34"/>
      <c r="X383" s="33" t="s">
        <v>85</v>
      </c>
      <c r="Y383" s="35" t="str">
        <f>IF(Tabela2[[#This Row],[SIGLA]]="","",VLOOKUP(Tabela2[[#This Row],[SIGLA]],Tabela1[[#All],[Sigla Arte]:[Crédito]],2,0))</f>
        <v>HELOÍSA PINTARELLI/ARQUIVO DA EDITORA</v>
      </c>
      <c r="Z383" s="31"/>
      <c r="AA383" s="31" t="str">
        <f>Tabela2[[#This Row],[ILUSTRADOR CRIAÇÃO]]</f>
        <v>HELOÍSA PINTARELLI/ARQUIVO DA EDITORA</v>
      </c>
      <c r="AB383" s="33"/>
      <c r="AC383" s="16"/>
      <c r="AD383" s="16"/>
      <c r="AE383" s="35" t="str">
        <f t="shared" si="5"/>
        <v>EF1 E002 Mat</v>
      </c>
    </row>
    <row r="384" spans="1:31" s="36" customFormat="1" ht="30" x14ac:dyDescent="0.25">
      <c r="A384" s="31" t="s">
        <v>842</v>
      </c>
      <c r="B384" s="16" t="s">
        <v>32</v>
      </c>
      <c r="C384" s="16" t="s">
        <v>164</v>
      </c>
      <c r="D384" s="33" t="s">
        <v>34</v>
      </c>
      <c r="E384" s="33">
        <v>40</v>
      </c>
      <c r="F384" s="33">
        <v>2</v>
      </c>
      <c r="G384" s="33">
        <v>2</v>
      </c>
      <c r="H384" s="33"/>
      <c r="I384" s="31" t="s">
        <v>46</v>
      </c>
      <c r="J384" s="31"/>
      <c r="K384" s="33"/>
      <c r="L384" s="33"/>
      <c r="M384" s="31"/>
      <c r="N384" s="31"/>
      <c r="O384" s="16" t="s">
        <v>843</v>
      </c>
      <c r="P384" s="16"/>
      <c r="Q384" s="16"/>
      <c r="R384" s="33"/>
      <c r="S384" s="34"/>
      <c r="T384" s="34"/>
      <c r="U384" s="34"/>
      <c r="V384" s="34"/>
      <c r="W384" s="34"/>
      <c r="X384" s="33" t="s">
        <v>48</v>
      </c>
      <c r="Y384" s="35" t="str">
        <f>IF(Tabela2[[#This Row],[SIGLA]]="","",VLOOKUP(Tabela2[[#This Row],[SIGLA]],Tabela1[[#All],[Sigla Arte]:[Crédito]],2,0))</f>
        <v>SERGIO LIMA/ARQUIVO DA EDITORA</v>
      </c>
      <c r="Z384" s="31"/>
      <c r="AA384" s="31" t="str">
        <f>Tabela2[[#This Row],[ILUSTRADOR CRIAÇÃO]]</f>
        <v>SERGIO LIMA/ARQUIVO DA EDITORA</v>
      </c>
      <c r="AB384" s="33"/>
      <c r="AC384" s="16"/>
      <c r="AD384" s="16"/>
      <c r="AE384" s="35" t="str">
        <f t="shared" si="5"/>
        <v>EF1 E002 Mat</v>
      </c>
    </row>
    <row r="385" spans="1:31" s="36" customFormat="1" ht="30" x14ac:dyDescent="0.25">
      <c r="A385" s="31" t="s">
        <v>844</v>
      </c>
      <c r="B385" s="16" t="s">
        <v>32</v>
      </c>
      <c r="C385" s="16" t="s">
        <v>164</v>
      </c>
      <c r="D385" s="33" t="s">
        <v>34</v>
      </c>
      <c r="E385" s="33">
        <v>40</v>
      </c>
      <c r="F385" s="33">
        <v>2</v>
      </c>
      <c r="G385" s="33">
        <v>2</v>
      </c>
      <c r="H385" s="33"/>
      <c r="I385" s="31" t="s">
        <v>46</v>
      </c>
      <c r="J385" s="31"/>
      <c r="K385" s="33"/>
      <c r="L385" s="33"/>
      <c r="M385" s="31"/>
      <c r="N385" s="31"/>
      <c r="O385" s="16" t="s">
        <v>845</v>
      </c>
      <c r="P385" s="16"/>
      <c r="Q385" s="16"/>
      <c r="R385" s="33"/>
      <c r="S385" s="34"/>
      <c r="T385" s="34"/>
      <c r="U385" s="34"/>
      <c r="V385" s="34"/>
      <c r="W385" s="34"/>
      <c r="X385" s="33" t="s">
        <v>48</v>
      </c>
      <c r="Y385" s="35" t="str">
        <f>IF(Tabela2[[#This Row],[SIGLA]]="","",VLOOKUP(Tabela2[[#This Row],[SIGLA]],Tabela1[[#All],[Sigla Arte]:[Crédito]],2,0))</f>
        <v>SERGIO LIMA/ARQUIVO DA EDITORA</v>
      </c>
      <c r="Z385" s="31"/>
      <c r="AA385" s="31" t="str">
        <f>Tabela2[[#This Row],[ILUSTRADOR CRIAÇÃO]]</f>
        <v>SERGIO LIMA/ARQUIVO DA EDITORA</v>
      </c>
      <c r="AB385" s="33"/>
      <c r="AC385" s="16"/>
      <c r="AD385" s="16"/>
      <c r="AE385" s="35" t="str">
        <f t="shared" si="5"/>
        <v>EF1 E002 Mat</v>
      </c>
    </row>
    <row r="386" spans="1:31" s="36" customFormat="1" ht="45" x14ac:dyDescent="0.25">
      <c r="A386" s="31" t="s">
        <v>846</v>
      </c>
      <c r="B386" s="16" t="s">
        <v>32</v>
      </c>
      <c r="C386" s="16" t="s">
        <v>164</v>
      </c>
      <c r="D386" s="33" t="s">
        <v>34</v>
      </c>
      <c r="E386" s="33">
        <v>40</v>
      </c>
      <c r="F386" s="33">
        <v>2</v>
      </c>
      <c r="G386" s="33">
        <v>2</v>
      </c>
      <c r="H386" s="33"/>
      <c r="I386" s="31" t="s">
        <v>46</v>
      </c>
      <c r="J386" s="31"/>
      <c r="K386" s="33"/>
      <c r="L386" s="33"/>
      <c r="M386" s="31"/>
      <c r="N386" s="31"/>
      <c r="O386" s="16" t="s">
        <v>847</v>
      </c>
      <c r="P386" s="16"/>
      <c r="Q386" s="16"/>
      <c r="R386" s="33"/>
      <c r="S386" s="34"/>
      <c r="T386" s="34"/>
      <c r="U386" s="34"/>
      <c r="V386" s="34"/>
      <c r="W386" s="34"/>
      <c r="X386" s="33" t="s">
        <v>48</v>
      </c>
      <c r="Y386" s="35" t="str">
        <f>IF(Tabela2[[#This Row],[SIGLA]]="","",VLOOKUP(Tabela2[[#This Row],[SIGLA]],Tabela1[[#All],[Sigla Arte]:[Crédito]],2,0))</f>
        <v>SERGIO LIMA/ARQUIVO DA EDITORA</v>
      </c>
      <c r="Z386" s="31"/>
      <c r="AA386" s="31" t="str">
        <f>Tabela2[[#This Row],[ILUSTRADOR CRIAÇÃO]]</f>
        <v>SERGIO LIMA/ARQUIVO DA EDITORA</v>
      </c>
      <c r="AB386" s="33"/>
      <c r="AC386" s="16"/>
      <c r="AD386" s="16"/>
      <c r="AE386" s="35" t="str">
        <f t="shared" ref="AE386:AE449" si="6">"EF1 E002 Mat"</f>
        <v>EF1 E002 Mat</v>
      </c>
    </row>
    <row r="387" spans="1:31" s="36" customFormat="1" ht="45" x14ac:dyDescent="0.25">
      <c r="A387" s="31" t="s">
        <v>848</v>
      </c>
      <c r="B387" s="16" t="s">
        <v>32</v>
      </c>
      <c r="C387" s="16" t="s">
        <v>164</v>
      </c>
      <c r="D387" s="33" t="s">
        <v>34</v>
      </c>
      <c r="E387" s="33">
        <v>40</v>
      </c>
      <c r="F387" s="33">
        <v>2</v>
      </c>
      <c r="G387" s="33">
        <v>2</v>
      </c>
      <c r="H387" s="33"/>
      <c r="I387" s="31" t="s">
        <v>46</v>
      </c>
      <c r="J387" s="31"/>
      <c r="K387" s="33"/>
      <c r="L387" s="33"/>
      <c r="M387" s="31"/>
      <c r="N387" s="31"/>
      <c r="O387" s="16" t="s">
        <v>849</v>
      </c>
      <c r="P387" s="16"/>
      <c r="Q387" s="16"/>
      <c r="R387" s="33"/>
      <c r="S387" s="34"/>
      <c r="T387" s="34"/>
      <c r="U387" s="34"/>
      <c r="V387" s="34"/>
      <c r="W387" s="34"/>
      <c r="X387" s="33" t="s">
        <v>48</v>
      </c>
      <c r="Y387" s="35" t="str">
        <f>IF(Tabela2[[#This Row],[SIGLA]]="","",VLOOKUP(Tabela2[[#This Row],[SIGLA]],Tabela1[[#All],[Sigla Arte]:[Crédito]],2,0))</f>
        <v>SERGIO LIMA/ARQUIVO DA EDITORA</v>
      </c>
      <c r="Z387" s="31"/>
      <c r="AA387" s="31" t="str">
        <f>Tabela2[[#This Row],[ILUSTRADOR CRIAÇÃO]]</f>
        <v>SERGIO LIMA/ARQUIVO DA EDITORA</v>
      </c>
      <c r="AB387" s="33"/>
      <c r="AC387" s="16"/>
      <c r="AD387" s="16"/>
      <c r="AE387" s="35" t="str">
        <f t="shared" si="6"/>
        <v>EF1 E002 Mat</v>
      </c>
    </row>
    <row r="388" spans="1:31" s="36" customFormat="1" ht="30" x14ac:dyDescent="0.25">
      <c r="A388" s="31" t="s">
        <v>850</v>
      </c>
      <c r="B388" s="16" t="s">
        <v>32</v>
      </c>
      <c r="C388" s="16" t="s">
        <v>164</v>
      </c>
      <c r="D388" s="33" t="s">
        <v>34</v>
      </c>
      <c r="E388" s="33">
        <v>40</v>
      </c>
      <c r="F388" s="33">
        <v>2</v>
      </c>
      <c r="G388" s="33">
        <v>2</v>
      </c>
      <c r="H388" s="33"/>
      <c r="I388" s="31" t="s">
        <v>46</v>
      </c>
      <c r="J388" s="31"/>
      <c r="K388" s="33"/>
      <c r="L388" s="33"/>
      <c r="M388" s="31"/>
      <c r="N388" s="31"/>
      <c r="O388" s="16" t="s">
        <v>851</v>
      </c>
      <c r="P388" s="16"/>
      <c r="Q388" s="16"/>
      <c r="R388" s="33"/>
      <c r="S388" s="34"/>
      <c r="T388" s="34"/>
      <c r="U388" s="34"/>
      <c r="V388" s="34"/>
      <c r="W388" s="34"/>
      <c r="X388" s="33" t="s">
        <v>48</v>
      </c>
      <c r="Y388" s="35" t="str">
        <f>IF(Tabela2[[#This Row],[SIGLA]]="","",VLOOKUP(Tabela2[[#This Row],[SIGLA]],Tabela1[[#All],[Sigla Arte]:[Crédito]],2,0))</f>
        <v>SERGIO LIMA/ARQUIVO DA EDITORA</v>
      </c>
      <c r="Z388" s="31"/>
      <c r="AA388" s="31" t="str">
        <f>Tabela2[[#This Row],[ILUSTRADOR CRIAÇÃO]]</f>
        <v>SERGIO LIMA/ARQUIVO DA EDITORA</v>
      </c>
      <c r="AB388" s="33"/>
      <c r="AC388" s="16"/>
      <c r="AD388" s="16"/>
      <c r="AE388" s="35" t="str">
        <f t="shared" si="6"/>
        <v>EF1 E002 Mat</v>
      </c>
    </row>
    <row r="389" spans="1:31" s="36" customFormat="1" ht="30" x14ac:dyDescent="0.25">
      <c r="A389" s="31" t="s">
        <v>852</v>
      </c>
      <c r="B389" s="16" t="s">
        <v>32</v>
      </c>
      <c r="C389" s="16" t="s">
        <v>164</v>
      </c>
      <c r="D389" s="33" t="s">
        <v>34</v>
      </c>
      <c r="E389" s="33">
        <v>40</v>
      </c>
      <c r="F389" s="33">
        <v>2</v>
      </c>
      <c r="G389" s="33">
        <v>2</v>
      </c>
      <c r="H389" s="33"/>
      <c r="I389" s="31" t="s">
        <v>46</v>
      </c>
      <c r="J389" s="31"/>
      <c r="K389" s="33"/>
      <c r="L389" s="33"/>
      <c r="M389" s="31"/>
      <c r="N389" s="31"/>
      <c r="O389" s="16" t="s">
        <v>853</v>
      </c>
      <c r="P389" s="16"/>
      <c r="Q389" s="16"/>
      <c r="R389" s="33"/>
      <c r="S389" s="34"/>
      <c r="T389" s="34"/>
      <c r="U389" s="34"/>
      <c r="V389" s="34"/>
      <c r="W389" s="34"/>
      <c r="X389" s="33" t="s">
        <v>48</v>
      </c>
      <c r="Y389" s="35" t="str">
        <f>IF(Tabela2[[#This Row],[SIGLA]]="","",VLOOKUP(Tabela2[[#This Row],[SIGLA]],Tabela1[[#All],[Sigla Arte]:[Crédito]],2,0))</f>
        <v>SERGIO LIMA/ARQUIVO DA EDITORA</v>
      </c>
      <c r="Z389" s="31"/>
      <c r="AA389" s="31" t="str">
        <f>Tabela2[[#This Row],[ILUSTRADOR CRIAÇÃO]]</f>
        <v>SERGIO LIMA/ARQUIVO DA EDITORA</v>
      </c>
      <c r="AB389" s="33"/>
      <c r="AC389" s="16"/>
      <c r="AD389" s="16"/>
      <c r="AE389" s="35" t="str">
        <f t="shared" si="6"/>
        <v>EF1 E002 Mat</v>
      </c>
    </row>
    <row r="390" spans="1:31" s="36" customFormat="1" ht="30" x14ac:dyDescent="0.25">
      <c r="A390" s="31" t="s">
        <v>854</v>
      </c>
      <c r="B390" s="16" t="s">
        <v>32</v>
      </c>
      <c r="C390" s="16" t="s">
        <v>164</v>
      </c>
      <c r="D390" s="33" t="s">
        <v>34</v>
      </c>
      <c r="E390" s="33">
        <v>40</v>
      </c>
      <c r="F390" s="33">
        <v>2</v>
      </c>
      <c r="G390" s="33">
        <v>2</v>
      </c>
      <c r="H390" s="33"/>
      <c r="I390" s="31" t="s">
        <v>46</v>
      </c>
      <c r="J390" s="31"/>
      <c r="K390" s="33"/>
      <c r="L390" s="33"/>
      <c r="M390" s="31"/>
      <c r="N390" s="31"/>
      <c r="O390" s="16" t="s">
        <v>855</v>
      </c>
      <c r="P390" s="16"/>
      <c r="Q390" s="16"/>
      <c r="R390" s="33"/>
      <c r="S390" s="34"/>
      <c r="T390" s="34"/>
      <c r="U390" s="34"/>
      <c r="V390" s="34"/>
      <c r="W390" s="34"/>
      <c r="X390" s="33" t="s">
        <v>48</v>
      </c>
      <c r="Y390" s="35" t="str">
        <f>IF(Tabela2[[#This Row],[SIGLA]]="","",VLOOKUP(Tabela2[[#This Row],[SIGLA]],Tabela1[[#All],[Sigla Arte]:[Crédito]],2,0))</f>
        <v>SERGIO LIMA/ARQUIVO DA EDITORA</v>
      </c>
      <c r="Z390" s="31"/>
      <c r="AA390" s="31" t="str">
        <f>Tabela2[[#This Row],[ILUSTRADOR CRIAÇÃO]]</f>
        <v>SERGIO LIMA/ARQUIVO DA EDITORA</v>
      </c>
      <c r="AB390" s="33"/>
      <c r="AC390" s="16"/>
      <c r="AD390" s="16"/>
      <c r="AE390" s="35" t="str">
        <f t="shared" si="6"/>
        <v>EF1 E002 Mat</v>
      </c>
    </row>
    <row r="391" spans="1:31" s="36" customFormat="1" ht="30" x14ac:dyDescent="0.25">
      <c r="A391" s="31" t="s">
        <v>856</v>
      </c>
      <c r="B391" s="16" t="s">
        <v>32</v>
      </c>
      <c r="C391" s="16" t="s">
        <v>164</v>
      </c>
      <c r="D391" s="33" t="s">
        <v>34</v>
      </c>
      <c r="E391" s="33">
        <v>40</v>
      </c>
      <c r="F391" s="33">
        <v>2</v>
      </c>
      <c r="G391" s="33">
        <v>2</v>
      </c>
      <c r="H391" s="33"/>
      <c r="I391" s="31" t="s">
        <v>46</v>
      </c>
      <c r="J391" s="31"/>
      <c r="K391" s="33"/>
      <c r="L391" s="33"/>
      <c r="M391" s="31"/>
      <c r="N391" s="31"/>
      <c r="O391" s="16" t="s">
        <v>857</v>
      </c>
      <c r="P391" s="16"/>
      <c r="Q391" s="16"/>
      <c r="R391" s="33"/>
      <c r="S391" s="34"/>
      <c r="T391" s="34"/>
      <c r="U391" s="34"/>
      <c r="V391" s="34"/>
      <c r="W391" s="34"/>
      <c r="X391" s="33" t="s">
        <v>48</v>
      </c>
      <c r="Y391" s="35" t="str">
        <f>IF(Tabela2[[#This Row],[SIGLA]]="","",VLOOKUP(Tabela2[[#This Row],[SIGLA]],Tabela1[[#All],[Sigla Arte]:[Crédito]],2,0))</f>
        <v>SERGIO LIMA/ARQUIVO DA EDITORA</v>
      </c>
      <c r="Z391" s="31"/>
      <c r="AA391" s="31" t="str">
        <f>Tabela2[[#This Row],[ILUSTRADOR CRIAÇÃO]]</f>
        <v>SERGIO LIMA/ARQUIVO DA EDITORA</v>
      </c>
      <c r="AB391" s="33"/>
      <c r="AC391" s="16"/>
      <c r="AD391" s="16"/>
      <c r="AE391" s="35" t="str">
        <f t="shared" si="6"/>
        <v>EF1 E002 Mat</v>
      </c>
    </row>
    <row r="392" spans="1:31" s="36" customFormat="1" ht="45" x14ac:dyDescent="0.25">
      <c r="A392" s="31" t="s">
        <v>858</v>
      </c>
      <c r="B392" s="16" t="s">
        <v>32</v>
      </c>
      <c r="C392" s="16" t="s">
        <v>164</v>
      </c>
      <c r="D392" s="33" t="s">
        <v>34</v>
      </c>
      <c r="E392" s="33">
        <v>40</v>
      </c>
      <c r="F392" s="33">
        <v>2</v>
      </c>
      <c r="G392" s="33">
        <v>2</v>
      </c>
      <c r="H392" s="33"/>
      <c r="I392" s="31" t="s">
        <v>46</v>
      </c>
      <c r="J392" s="31"/>
      <c r="K392" s="33"/>
      <c r="L392" s="33"/>
      <c r="M392" s="31"/>
      <c r="N392" s="31"/>
      <c r="O392" s="16" t="s">
        <v>859</v>
      </c>
      <c r="P392" s="16"/>
      <c r="Q392" s="16"/>
      <c r="R392" s="33"/>
      <c r="S392" s="34"/>
      <c r="T392" s="34"/>
      <c r="U392" s="34"/>
      <c r="V392" s="34"/>
      <c r="W392" s="34"/>
      <c r="X392" s="33" t="s">
        <v>48</v>
      </c>
      <c r="Y392" s="35" t="str">
        <f>IF(Tabela2[[#This Row],[SIGLA]]="","",VLOOKUP(Tabela2[[#This Row],[SIGLA]],Tabela1[[#All],[Sigla Arte]:[Crédito]],2,0))</f>
        <v>SERGIO LIMA/ARQUIVO DA EDITORA</v>
      </c>
      <c r="Z392" s="31"/>
      <c r="AA392" s="31" t="str">
        <f>Tabela2[[#This Row],[ILUSTRADOR CRIAÇÃO]]</f>
        <v>SERGIO LIMA/ARQUIVO DA EDITORA</v>
      </c>
      <c r="AB392" s="33"/>
      <c r="AC392" s="16"/>
      <c r="AD392" s="16"/>
      <c r="AE392" s="35" t="str">
        <f t="shared" si="6"/>
        <v>EF1 E002 Mat</v>
      </c>
    </row>
    <row r="393" spans="1:31" s="36" customFormat="1" ht="30" x14ac:dyDescent="0.25">
      <c r="A393" s="31" t="s">
        <v>860</v>
      </c>
      <c r="B393" s="16" t="s">
        <v>32</v>
      </c>
      <c r="C393" s="16" t="s">
        <v>164</v>
      </c>
      <c r="D393" s="33" t="s">
        <v>34</v>
      </c>
      <c r="E393" s="33">
        <v>40</v>
      </c>
      <c r="F393" s="33">
        <v>2</v>
      </c>
      <c r="G393" s="33">
        <v>2</v>
      </c>
      <c r="H393" s="33"/>
      <c r="I393" s="31" t="s">
        <v>46</v>
      </c>
      <c r="J393" s="31"/>
      <c r="K393" s="33"/>
      <c r="L393" s="33"/>
      <c r="M393" s="31"/>
      <c r="N393" s="31"/>
      <c r="O393" s="16" t="s">
        <v>861</v>
      </c>
      <c r="P393" s="16"/>
      <c r="Q393" s="16"/>
      <c r="R393" s="33"/>
      <c r="S393" s="34"/>
      <c r="T393" s="34"/>
      <c r="U393" s="34"/>
      <c r="V393" s="34"/>
      <c r="W393" s="34"/>
      <c r="X393" s="33" t="s">
        <v>48</v>
      </c>
      <c r="Y393" s="35" t="str">
        <f>IF(Tabela2[[#This Row],[SIGLA]]="","",VLOOKUP(Tabela2[[#This Row],[SIGLA]],Tabela1[[#All],[Sigla Arte]:[Crédito]],2,0))</f>
        <v>SERGIO LIMA/ARQUIVO DA EDITORA</v>
      </c>
      <c r="Z393" s="31"/>
      <c r="AA393" s="31" t="str">
        <f>Tabela2[[#This Row],[ILUSTRADOR CRIAÇÃO]]</f>
        <v>SERGIO LIMA/ARQUIVO DA EDITORA</v>
      </c>
      <c r="AB393" s="33"/>
      <c r="AC393" s="16"/>
      <c r="AD393" s="16"/>
      <c r="AE393" s="35" t="str">
        <f t="shared" si="6"/>
        <v>EF1 E002 Mat</v>
      </c>
    </row>
    <row r="394" spans="1:31" s="36" customFormat="1" ht="30" x14ac:dyDescent="0.25">
      <c r="A394" s="31" t="s">
        <v>862</v>
      </c>
      <c r="B394" s="16" t="s">
        <v>32</v>
      </c>
      <c r="C394" s="16" t="s">
        <v>164</v>
      </c>
      <c r="D394" s="33" t="s">
        <v>34</v>
      </c>
      <c r="E394" s="33">
        <v>40</v>
      </c>
      <c r="F394" s="33">
        <v>2</v>
      </c>
      <c r="G394" s="33">
        <v>2</v>
      </c>
      <c r="H394" s="33"/>
      <c r="I394" s="31" t="s">
        <v>46</v>
      </c>
      <c r="J394" s="31"/>
      <c r="K394" s="33"/>
      <c r="L394" s="33"/>
      <c r="M394" s="31"/>
      <c r="N394" s="31"/>
      <c r="O394" s="16" t="s">
        <v>863</v>
      </c>
      <c r="P394" s="16"/>
      <c r="Q394" s="16"/>
      <c r="R394" s="33"/>
      <c r="S394" s="34"/>
      <c r="T394" s="34"/>
      <c r="U394" s="34"/>
      <c r="V394" s="34"/>
      <c r="W394" s="34"/>
      <c r="X394" s="33" t="s">
        <v>48</v>
      </c>
      <c r="Y394" s="35" t="str">
        <f>IF(Tabela2[[#This Row],[SIGLA]]="","",VLOOKUP(Tabela2[[#This Row],[SIGLA]],Tabela1[[#All],[Sigla Arte]:[Crédito]],2,0))</f>
        <v>SERGIO LIMA/ARQUIVO DA EDITORA</v>
      </c>
      <c r="Z394" s="31"/>
      <c r="AA394" s="31" t="str">
        <f>Tabela2[[#This Row],[ILUSTRADOR CRIAÇÃO]]</f>
        <v>SERGIO LIMA/ARQUIVO DA EDITORA</v>
      </c>
      <c r="AB394" s="33"/>
      <c r="AC394" s="16"/>
      <c r="AD394" s="16"/>
      <c r="AE394" s="35" t="str">
        <f t="shared" si="6"/>
        <v>EF1 E002 Mat</v>
      </c>
    </row>
    <row r="395" spans="1:31" s="36" customFormat="1" ht="45" x14ac:dyDescent="0.25">
      <c r="A395" s="31" t="s">
        <v>864</v>
      </c>
      <c r="B395" s="16" t="s">
        <v>32</v>
      </c>
      <c r="C395" s="16" t="s">
        <v>164</v>
      </c>
      <c r="D395" s="33" t="s">
        <v>34</v>
      </c>
      <c r="E395" s="33">
        <v>41</v>
      </c>
      <c r="F395" s="33">
        <v>2</v>
      </c>
      <c r="G395" s="33">
        <v>2</v>
      </c>
      <c r="H395" s="33"/>
      <c r="I395" s="31" t="s">
        <v>46</v>
      </c>
      <c r="J395" s="31"/>
      <c r="K395" s="33"/>
      <c r="L395" s="33"/>
      <c r="M395" s="31"/>
      <c r="N395" s="31"/>
      <c r="O395" s="16" t="s">
        <v>865</v>
      </c>
      <c r="P395" s="16"/>
      <c r="Q395" s="16"/>
      <c r="R395" s="33"/>
      <c r="S395" s="34"/>
      <c r="T395" s="34"/>
      <c r="U395" s="34"/>
      <c r="V395" s="34"/>
      <c r="W395" s="34"/>
      <c r="X395" s="33" t="s">
        <v>48</v>
      </c>
      <c r="Y395" s="35" t="str">
        <f>IF(Tabela2[[#This Row],[SIGLA]]="","",VLOOKUP(Tabela2[[#This Row],[SIGLA]],Tabela1[[#All],[Sigla Arte]:[Crédito]],2,0))</f>
        <v>SERGIO LIMA/ARQUIVO DA EDITORA</v>
      </c>
      <c r="Z395" s="31"/>
      <c r="AA395" s="31" t="str">
        <f>Tabela2[[#This Row],[ILUSTRADOR CRIAÇÃO]]</f>
        <v>SERGIO LIMA/ARQUIVO DA EDITORA</v>
      </c>
      <c r="AB395" s="33"/>
      <c r="AC395" s="16"/>
      <c r="AD395" s="16"/>
      <c r="AE395" s="35" t="str">
        <f t="shared" si="6"/>
        <v>EF1 E002 Mat</v>
      </c>
    </row>
    <row r="396" spans="1:31" s="36" customFormat="1" ht="30" x14ac:dyDescent="0.25">
      <c r="A396" s="31" t="s">
        <v>866</v>
      </c>
      <c r="B396" s="16" t="s">
        <v>32</v>
      </c>
      <c r="C396" s="16" t="s">
        <v>164</v>
      </c>
      <c r="D396" s="33" t="s">
        <v>34</v>
      </c>
      <c r="E396" s="33">
        <v>41</v>
      </c>
      <c r="F396" s="33">
        <v>2</v>
      </c>
      <c r="G396" s="33">
        <v>2</v>
      </c>
      <c r="H396" s="33"/>
      <c r="I396" s="31" t="s">
        <v>46</v>
      </c>
      <c r="J396" s="31"/>
      <c r="K396" s="33"/>
      <c r="L396" s="33"/>
      <c r="M396" s="31"/>
      <c r="N396" s="31"/>
      <c r="O396" s="16" t="s">
        <v>867</v>
      </c>
      <c r="P396" s="16"/>
      <c r="Q396" s="16"/>
      <c r="R396" s="33"/>
      <c r="S396" s="34"/>
      <c r="T396" s="34"/>
      <c r="U396" s="34"/>
      <c r="V396" s="34"/>
      <c r="W396" s="34"/>
      <c r="X396" s="33" t="s">
        <v>48</v>
      </c>
      <c r="Y396" s="35" t="str">
        <f>IF(Tabela2[[#This Row],[SIGLA]]="","",VLOOKUP(Tabela2[[#This Row],[SIGLA]],Tabela1[[#All],[Sigla Arte]:[Crédito]],2,0))</f>
        <v>SERGIO LIMA/ARQUIVO DA EDITORA</v>
      </c>
      <c r="Z396" s="31"/>
      <c r="AA396" s="31" t="str">
        <f>Tabela2[[#This Row],[ILUSTRADOR CRIAÇÃO]]</f>
        <v>SERGIO LIMA/ARQUIVO DA EDITORA</v>
      </c>
      <c r="AB396" s="33"/>
      <c r="AC396" s="16"/>
      <c r="AD396" s="16"/>
      <c r="AE396" s="35" t="str">
        <f t="shared" si="6"/>
        <v>EF1 E002 Mat</v>
      </c>
    </row>
    <row r="397" spans="1:31" s="36" customFormat="1" ht="30" x14ac:dyDescent="0.25">
      <c r="A397" s="31" t="s">
        <v>868</v>
      </c>
      <c r="B397" s="16" t="s">
        <v>32</v>
      </c>
      <c r="C397" s="16" t="s">
        <v>164</v>
      </c>
      <c r="D397" s="33" t="s">
        <v>34</v>
      </c>
      <c r="E397" s="33">
        <v>41</v>
      </c>
      <c r="F397" s="33">
        <v>2</v>
      </c>
      <c r="G397" s="33">
        <v>2</v>
      </c>
      <c r="H397" s="33"/>
      <c r="I397" s="31" t="s">
        <v>46</v>
      </c>
      <c r="J397" s="31"/>
      <c r="K397" s="33"/>
      <c r="L397" s="33"/>
      <c r="M397" s="31"/>
      <c r="N397" s="31"/>
      <c r="O397" s="16" t="s">
        <v>869</v>
      </c>
      <c r="P397" s="16"/>
      <c r="Q397" s="16"/>
      <c r="R397" s="33"/>
      <c r="S397" s="34"/>
      <c r="T397" s="34"/>
      <c r="U397" s="34"/>
      <c r="V397" s="34"/>
      <c r="W397" s="34"/>
      <c r="X397" s="33" t="s">
        <v>48</v>
      </c>
      <c r="Y397" s="35" t="str">
        <f>IF(Tabela2[[#This Row],[SIGLA]]="","",VLOOKUP(Tabela2[[#This Row],[SIGLA]],Tabela1[[#All],[Sigla Arte]:[Crédito]],2,0))</f>
        <v>SERGIO LIMA/ARQUIVO DA EDITORA</v>
      </c>
      <c r="Z397" s="31"/>
      <c r="AA397" s="31" t="str">
        <f>Tabela2[[#This Row],[ILUSTRADOR CRIAÇÃO]]</f>
        <v>SERGIO LIMA/ARQUIVO DA EDITORA</v>
      </c>
      <c r="AB397" s="33"/>
      <c r="AC397" s="16"/>
      <c r="AD397" s="16"/>
      <c r="AE397" s="35" t="str">
        <f t="shared" si="6"/>
        <v>EF1 E002 Mat</v>
      </c>
    </row>
    <row r="398" spans="1:31" s="36" customFormat="1" ht="30" x14ac:dyDescent="0.25">
      <c r="A398" s="31" t="s">
        <v>870</v>
      </c>
      <c r="B398" s="16" t="s">
        <v>32</v>
      </c>
      <c r="C398" s="16" t="s">
        <v>164</v>
      </c>
      <c r="D398" s="33" t="s">
        <v>34</v>
      </c>
      <c r="E398" s="33">
        <v>41</v>
      </c>
      <c r="F398" s="33">
        <v>2</v>
      </c>
      <c r="G398" s="33">
        <v>2</v>
      </c>
      <c r="H398" s="33"/>
      <c r="I398" s="31" t="s">
        <v>46</v>
      </c>
      <c r="J398" s="31"/>
      <c r="K398" s="33"/>
      <c r="L398" s="33"/>
      <c r="M398" s="31"/>
      <c r="N398" s="31"/>
      <c r="O398" s="16" t="s">
        <v>871</v>
      </c>
      <c r="P398" s="16"/>
      <c r="Q398" s="16"/>
      <c r="R398" s="33"/>
      <c r="S398" s="34"/>
      <c r="T398" s="34"/>
      <c r="U398" s="34"/>
      <c r="V398" s="34"/>
      <c r="W398" s="34"/>
      <c r="X398" s="33" t="s">
        <v>48</v>
      </c>
      <c r="Y398" s="35" t="str">
        <f>IF(Tabela2[[#This Row],[SIGLA]]="","",VLOOKUP(Tabela2[[#This Row],[SIGLA]],Tabela1[[#All],[Sigla Arte]:[Crédito]],2,0))</f>
        <v>SERGIO LIMA/ARQUIVO DA EDITORA</v>
      </c>
      <c r="Z398" s="31"/>
      <c r="AA398" s="31" t="str">
        <f>Tabela2[[#This Row],[ILUSTRADOR CRIAÇÃO]]</f>
        <v>SERGIO LIMA/ARQUIVO DA EDITORA</v>
      </c>
      <c r="AB398" s="33"/>
      <c r="AC398" s="16"/>
      <c r="AD398" s="16"/>
      <c r="AE398" s="35" t="str">
        <f t="shared" si="6"/>
        <v>EF1 E002 Mat</v>
      </c>
    </row>
    <row r="399" spans="1:31" s="36" customFormat="1" ht="30" x14ac:dyDescent="0.25">
      <c r="A399" s="31" t="s">
        <v>872</v>
      </c>
      <c r="B399" s="16" t="s">
        <v>32</v>
      </c>
      <c r="C399" s="16" t="s">
        <v>164</v>
      </c>
      <c r="D399" s="33" t="s">
        <v>34</v>
      </c>
      <c r="E399" s="33">
        <v>41</v>
      </c>
      <c r="F399" s="33">
        <v>2</v>
      </c>
      <c r="G399" s="33">
        <v>2</v>
      </c>
      <c r="H399" s="33"/>
      <c r="I399" s="31" t="s">
        <v>46</v>
      </c>
      <c r="J399" s="31"/>
      <c r="K399" s="33"/>
      <c r="L399" s="33"/>
      <c r="M399" s="31"/>
      <c r="N399" s="31"/>
      <c r="O399" s="16" t="s">
        <v>873</v>
      </c>
      <c r="P399" s="16"/>
      <c r="Q399" s="16"/>
      <c r="R399" s="33"/>
      <c r="S399" s="34"/>
      <c r="T399" s="34"/>
      <c r="U399" s="34"/>
      <c r="V399" s="34"/>
      <c r="W399" s="34"/>
      <c r="X399" s="33" t="s">
        <v>48</v>
      </c>
      <c r="Y399" s="35" t="str">
        <f>IF(Tabela2[[#This Row],[SIGLA]]="","",VLOOKUP(Tabela2[[#This Row],[SIGLA]],Tabela1[[#All],[Sigla Arte]:[Crédito]],2,0))</f>
        <v>SERGIO LIMA/ARQUIVO DA EDITORA</v>
      </c>
      <c r="Z399" s="31"/>
      <c r="AA399" s="31" t="str">
        <f>Tabela2[[#This Row],[ILUSTRADOR CRIAÇÃO]]</f>
        <v>SERGIO LIMA/ARQUIVO DA EDITORA</v>
      </c>
      <c r="AB399" s="33"/>
      <c r="AC399" s="16"/>
      <c r="AD399" s="16"/>
      <c r="AE399" s="35" t="str">
        <f t="shared" si="6"/>
        <v>EF1 E002 Mat</v>
      </c>
    </row>
    <row r="400" spans="1:31" s="36" customFormat="1" ht="30" x14ac:dyDescent="0.25">
      <c r="A400" s="31" t="s">
        <v>874</v>
      </c>
      <c r="B400" s="16" t="s">
        <v>32</v>
      </c>
      <c r="C400" s="16" t="s">
        <v>164</v>
      </c>
      <c r="D400" s="33" t="s">
        <v>34</v>
      </c>
      <c r="E400" s="33">
        <v>41</v>
      </c>
      <c r="F400" s="33">
        <v>2</v>
      </c>
      <c r="G400" s="33">
        <v>2</v>
      </c>
      <c r="H400" s="33"/>
      <c r="I400" s="31" t="s">
        <v>46</v>
      </c>
      <c r="J400" s="31"/>
      <c r="K400" s="33"/>
      <c r="L400" s="33"/>
      <c r="M400" s="31"/>
      <c r="N400" s="31"/>
      <c r="O400" s="16" t="s">
        <v>875</v>
      </c>
      <c r="P400" s="16"/>
      <c r="Q400" s="16"/>
      <c r="R400" s="33"/>
      <c r="S400" s="34"/>
      <c r="T400" s="34"/>
      <c r="U400" s="34"/>
      <c r="V400" s="34"/>
      <c r="W400" s="34"/>
      <c r="X400" s="33" t="s">
        <v>48</v>
      </c>
      <c r="Y400" s="35" t="str">
        <f>IF(Tabela2[[#This Row],[SIGLA]]="","",VLOOKUP(Tabela2[[#This Row],[SIGLA]],Tabela1[[#All],[Sigla Arte]:[Crédito]],2,0))</f>
        <v>SERGIO LIMA/ARQUIVO DA EDITORA</v>
      </c>
      <c r="Z400" s="31"/>
      <c r="AA400" s="31" t="str">
        <f>Tabela2[[#This Row],[ILUSTRADOR CRIAÇÃO]]</f>
        <v>SERGIO LIMA/ARQUIVO DA EDITORA</v>
      </c>
      <c r="AB400" s="33"/>
      <c r="AC400" s="16"/>
      <c r="AD400" s="16"/>
      <c r="AE400" s="35" t="str">
        <f t="shared" si="6"/>
        <v>EF1 E002 Mat</v>
      </c>
    </row>
    <row r="401" spans="1:31" s="36" customFormat="1" ht="45" x14ac:dyDescent="0.25">
      <c r="A401" s="31" t="s">
        <v>876</v>
      </c>
      <c r="B401" s="16" t="s">
        <v>401</v>
      </c>
      <c r="C401" s="16" t="s">
        <v>33</v>
      </c>
      <c r="D401" s="33" t="s">
        <v>34</v>
      </c>
      <c r="E401" s="33">
        <v>41</v>
      </c>
      <c r="F401" s="33">
        <v>2</v>
      </c>
      <c r="G401" s="33">
        <v>2</v>
      </c>
      <c r="H401" s="33"/>
      <c r="I401" s="31" t="s">
        <v>46</v>
      </c>
      <c r="J401" s="31"/>
      <c r="K401" s="33"/>
      <c r="L401" s="33"/>
      <c r="M401" s="31"/>
      <c r="N401" s="31"/>
      <c r="O401" s="16" t="s">
        <v>877</v>
      </c>
      <c r="P401" s="16"/>
      <c r="Q401" s="16"/>
      <c r="R401" s="33"/>
      <c r="S401" s="34"/>
      <c r="T401" s="34"/>
      <c r="U401" s="34"/>
      <c r="V401" s="34"/>
      <c r="W401" s="34"/>
      <c r="X401" s="33" t="s">
        <v>162</v>
      </c>
      <c r="Y401" s="35" t="str">
        <f>IF(Tabela2[[#This Row],[SIGLA]]="","",VLOOKUP(Tabela2[[#This Row],[SIGLA]],Tabela1[[#All],[Sigla Arte]:[Crédito]],2,0))</f>
        <v>IVY NUNES/ARQUIVO DA EDITORA</v>
      </c>
      <c r="Z401" s="31"/>
      <c r="AA401" s="31" t="str">
        <f>Tabela2[[#This Row],[ILUSTRADOR CRIAÇÃO]]</f>
        <v>IVY NUNES/ARQUIVO DA EDITORA</v>
      </c>
      <c r="AB401" s="33"/>
      <c r="AC401" s="16"/>
      <c r="AD401" s="16"/>
      <c r="AE401" s="35" t="str">
        <f t="shared" si="6"/>
        <v>EF1 E002 Mat</v>
      </c>
    </row>
    <row r="402" spans="1:31" s="36" customFormat="1" ht="75" x14ac:dyDescent="0.25">
      <c r="A402" s="31" t="s">
        <v>878</v>
      </c>
      <c r="B402" s="16" t="s">
        <v>32</v>
      </c>
      <c r="C402" s="16" t="s">
        <v>33</v>
      </c>
      <c r="D402" s="33" t="s">
        <v>34</v>
      </c>
      <c r="E402" s="33">
        <v>43</v>
      </c>
      <c r="F402" s="33">
        <v>2</v>
      </c>
      <c r="G402" s="33">
        <v>2</v>
      </c>
      <c r="H402" s="33"/>
      <c r="I402" s="31" t="s">
        <v>35</v>
      </c>
      <c r="J402" s="31"/>
      <c r="K402" s="33"/>
      <c r="L402" s="33"/>
      <c r="M402" s="31"/>
      <c r="N402" s="31"/>
      <c r="O402" s="16" t="s">
        <v>879</v>
      </c>
      <c r="P402" s="16"/>
      <c r="Q402" s="16"/>
      <c r="R402" s="33">
        <v>7</v>
      </c>
      <c r="S402" s="34">
        <v>45737</v>
      </c>
      <c r="T402" s="34">
        <v>45737</v>
      </c>
      <c r="U402" s="34"/>
      <c r="V402" s="34"/>
      <c r="W402" s="34">
        <v>45737</v>
      </c>
      <c r="X402" s="33" t="s">
        <v>85</v>
      </c>
      <c r="Y402" s="35" t="str">
        <f>IF(Tabela2[[#This Row],[SIGLA]]="","",VLOOKUP(Tabela2[[#This Row],[SIGLA]],Tabela1[[#All],[Sigla Arte]:[Crédito]],2,0))</f>
        <v>HELOÍSA PINTARELLI/ARQUIVO DA EDITORA</v>
      </c>
      <c r="Z402" s="31" t="s">
        <v>88</v>
      </c>
      <c r="AA402" s="31" t="str">
        <f>Tabela2[[#This Row],[ILUSTRADOR CRIAÇÃO]]</f>
        <v>HELOÍSA PINTARELLI/ARQUIVO DA EDITORA</v>
      </c>
      <c r="AB402" s="33">
        <v>14</v>
      </c>
      <c r="AC402" s="16" t="s">
        <v>39</v>
      </c>
      <c r="AD402" s="16" t="s">
        <v>40</v>
      </c>
      <c r="AE402" s="35" t="str">
        <f t="shared" si="6"/>
        <v>EF1 E002 Mat</v>
      </c>
    </row>
    <row r="403" spans="1:31" s="36" customFormat="1" ht="30" x14ac:dyDescent="0.25">
      <c r="A403" s="31" t="s">
        <v>880</v>
      </c>
      <c r="B403" s="16" t="s">
        <v>32</v>
      </c>
      <c r="C403" s="16" t="s">
        <v>164</v>
      </c>
      <c r="D403" s="33" t="s">
        <v>34</v>
      </c>
      <c r="E403" s="33">
        <v>44</v>
      </c>
      <c r="F403" s="33">
        <v>2</v>
      </c>
      <c r="G403" s="33">
        <v>2</v>
      </c>
      <c r="H403" s="33"/>
      <c r="I403" s="31" t="s">
        <v>46</v>
      </c>
      <c r="J403" s="31"/>
      <c r="K403" s="33"/>
      <c r="L403" s="33"/>
      <c r="M403" s="31"/>
      <c r="N403" s="31"/>
      <c r="O403" s="16" t="s">
        <v>881</v>
      </c>
      <c r="P403" s="16"/>
      <c r="Q403" s="16"/>
      <c r="R403" s="33"/>
      <c r="S403" s="34"/>
      <c r="T403" s="34"/>
      <c r="U403" s="34"/>
      <c r="V403" s="34"/>
      <c r="W403" s="34"/>
      <c r="X403" s="33" t="s">
        <v>48</v>
      </c>
      <c r="Y403" s="35" t="str">
        <f>IF(Tabela2[[#This Row],[SIGLA]]="","",VLOOKUP(Tabela2[[#This Row],[SIGLA]],Tabela1[[#All],[Sigla Arte]:[Crédito]],2,0))</f>
        <v>SERGIO LIMA/ARQUIVO DA EDITORA</v>
      </c>
      <c r="Z403" s="31"/>
      <c r="AA403" s="31" t="str">
        <f>Tabela2[[#This Row],[ILUSTRADOR CRIAÇÃO]]</f>
        <v>SERGIO LIMA/ARQUIVO DA EDITORA</v>
      </c>
      <c r="AB403" s="33"/>
      <c r="AC403" s="16"/>
      <c r="AD403" s="16"/>
      <c r="AE403" s="35" t="str">
        <f t="shared" si="6"/>
        <v>EF1 E002 Mat</v>
      </c>
    </row>
    <row r="404" spans="1:31" s="36" customFormat="1" ht="45" x14ac:dyDescent="0.25">
      <c r="A404" s="31" t="s">
        <v>882</v>
      </c>
      <c r="B404" s="16" t="s">
        <v>32</v>
      </c>
      <c r="C404" s="16" t="s">
        <v>164</v>
      </c>
      <c r="D404" s="33" t="s">
        <v>34</v>
      </c>
      <c r="E404" s="33">
        <v>44</v>
      </c>
      <c r="F404" s="33">
        <v>2</v>
      </c>
      <c r="G404" s="33">
        <v>2</v>
      </c>
      <c r="H404" s="33"/>
      <c r="I404" s="31" t="s">
        <v>46</v>
      </c>
      <c r="J404" s="31"/>
      <c r="K404" s="33"/>
      <c r="L404" s="33"/>
      <c r="M404" s="31"/>
      <c r="N404" s="31"/>
      <c r="O404" s="16" t="s">
        <v>883</v>
      </c>
      <c r="P404" s="16"/>
      <c r="Q404" s="16"/>
      <c r="R404" s="33"/>
      <c r="S404" s="34"/>
      <c r="T404" s="34"/>
      <c r="U404" s="34"/>
      <c r="V404" s="34"/>
      <c r="W404" s="34"/>
      <c r="X404" s="33" t="s">
        <v>48</v>
      </c>
      <c r="Y404" s="35" t="str">
        <f>IF(Tabela2[[#This Row],[SIGLA]]="","",VLOOKUP(Tabela2[[#This Row],[SIGLA]],Tabela1[[#All],[Sigla Arte]:[Crédito]],2,0))</f>
        <v>SERGIO LIMA/ARQUIVO DA EDITORA</v>
      </c>
      <c r="Z404" s="31"/>
      <c r="AA404" s="31" t="str">
        <f>Tabela2[[#This Row],[ILUSTRADOR CRIAÇÃO]]</f>
        <v>SERGIO LIMA/ARQUIVO DA EDITORA</v>
      </c>
      <c r="AB404" s="33"/>
      <c r="AC404" s="16"/>
      <c r="AD404" s="16"/>
      <c r="AE404" s="35" t="str">
        <f t="shared" si="6"/>
        <v>EF1 E002 Mat</v>
      </c>
    </row>
    <row r="405" spans="1:31" s="36" customFormat="1" ht="45" x14ac:dyDescent="0.25">
      <c r="A405" s="31" t="s">
        <v>884</v>
      </c>
      <c r="B405" s="16" t="s">
        <v>32</v>
      </c>
      <c r="C405" s="16" t="s">
        <v>164</v>
      </c>
      <c r="D405" s="33" t="s">
        <v>34</v>
      </c>
      <c r="E405" s="33">
        <v>44</v>
      </c>
      <c r="F405" s="33">
        <v>2</v>
      </c>
      <c r="G405" s="33">
        <v>2</v>
      </c>
      <c r="H405" s="33"/>
      <c r="I405" s="31" t="s">
        <v>46</v>
      </c>
      <c r="J405" s="31"/>
      <c r="K405" s="33"/>
      <c r="L405" s="33"/>
      <c r="M405" s="31"/>
      <c r="N405" s="31"/>
      <c r="O405" s="16" t="s">
        <v>885</v>
      </c>
      <c r="P405" s="16"/>
      <c r="Q405" s="16"/>
      <c r="R405" s="33"/>
      <c r="S405" s="34"/>
      <c r="T405" s="34"/>
      <c r="U405" s="34"/>
      <c r="V405" s="34"/>
      <c r="W405" s="34"/>
      <c r="X405" s="33" t="s">
        <v>48</v>
      </c>
      <c r="Y405" s="35" t="str">
        <f>IF(Tabela2[[#This Row],[SIGLA]]="","",VLOOKUP(Tabela2[[#This Row],[SIGLA]],Tabela1[[#All],[Sigla Arte]:[Crédito]],2,0))</f>
        <v>SERGIO LIMA/ARQUIVO DA EDITORA</v>
      </c>
      <c r="Z405" s="31"/>
      <c r="AA405" s="31" t="str">
        <f>Tabela2[[#This Row],[ILUSTRADOR CRIAÇÃO]]</f>
        <v>SERGIO LIMA/ARQUIVO DA EDITORA</v>
      </c>
      <c r="AB405" s="33"/>
      <c r="AC405" s="16"/>
      <c r="AD405" s="16"/>
      <c r="AE405" s="35" t="str">
        <f t="shared" si="6"/>
        <v>EF1 E002 Mat</v>
      </c>
    </row>
    <row r="406" spans="1:31" s="36" customFormat="1" ht="30" x14ac:dyDescent="0.25">
      <c r="A406" s="31" t="s">
        <v>886</v>
      </c>
      <c r="B406" s="16" t="s">
        <v>32</v>
      </c>
      <c r="C406" s="16" t="s">
        <v>164</v>
      </c>
      <c r="D406" s="33" t="s">
        <v>34</v>
      </c>
      <c r="E406" s="33">
        <v>44</v>
      </c>
      <c r="F406" s="33">
        <v>2</v>
      </c>
      <c r="G406" s="33">
        <v>2</v>
      </c>
      <c r="H406" s="33"/>
      <c r="I406" s="31" t="s">
        <v>46</v>
      </c>
      <c r="J406" s="31"/>
      <c r="K406" s="33"/>
      <c r="L406" s="33"/>
      <c r="M406" s="31"/>
      <c r="N406" s="31"/>
      <c r="O406" s="16" t="s">
        <v>887</v>
      </c>
      <c r="P406" s="16"/>
      <c r="Q406" s="16"/>
      <c r="R406" s="33"/>
      <c r="S406" s="34"/>
      <c r="T406" s="34"/>
      <c r="U406" s="34"/>
      <c r="V406" s="34"/>
      <c r="W406" s="34"/>
      <c r="X406" s="33" t="s">
        <v>48</v>
      </c>
      <c r="Y406" s="35" t="str">
        <f>IF(Tabela2[[#This Row],[SIGLA]]="","",VLOOKUP(Tabela2[[#This Row],[SIGLA]],Tabela1[[#All],[Sigla Arte]:[Crédito]],2,0))</f>
        <v>SERGIO LIMA/ARQUIVO DA EDITORA</v>
      </c>
      <c r="Z406" s="31"/>
      <c r="AA406" s="31" t="str">
        <f>Tabela2[[#This Row],[ILUSTRADOR CRIAÇÃO]]</f>
        <v>SERGIO LIMA/ARQUIVO DA EDITORA</v>
      </c>
      <c r="AB406" s="33"/>
      <c r="AC406" s="16"/>
      <c r="AD406" s="16"/>
      <c r="AE406" s="35" t="str">
        <f t="shared" si="6"/>
        <v>EF1 E002 Mat</v>
      </c>
    </row>
    <row r="407" spans="1:31" s="36" customFormat="1" ht="30" x14ac:dyDescent="0.25">
      <c r="A407" s="31" t="s">
        <v>888</v>
      </c>
      <c r="B407" s="16" t="s">
        <v>32</v>
      </c>
      <c r="C407" s="16" t="s">
        <v>164</v>
      </c>
      <c r="D407" s="33" t="s">
        <v>34</v>
      </c>
      <c r="E407" s="33">
        <v>44</v>
      </c>
      <c r="F407" s="33">
        <v>2</v>
      </c>
      <c r="G407" s="33">
        <v>2</v>
      </c>
      <c r="H407" s="33"/>
      <c r="I407" s="31" t="s">
        <v>46</v>
      </c>
      <c r="J407" s="31"/>
      <c r="K407" s="33"/>
      <c r="L407" s="33"/>
      <c r="M407" s="31"/>
      <c r="N407" s="31"/>
      <c r="O407" s="16" t="s">
        <v>889</v>
      </c>
      <c r="P407" s="16"/>
      <c r="Q407" s="16"/>
      <c r="R407" s="33"/>
      <c r="S407" s="34"/>
      <c r="T407" s="34"/>
      <c r="U407" s="34"/>
      <c r="V407" s="34"/>
      <c r="W407" s="34"/>
      <c r="X407" s="33" t="s">
        <v>48</v>
      </c>
      <c r="Y407" s="35" t="str">
        <f>IF(Tabela2[[#This Row],[SIGLA]]="","",VLOOKUP(Tabela2[[#This Row],[SIGLA]],Tabela1[[#All],[Sigla Arte]:[Crédito]],2,0))</f>
        <v>SERGIO LIMA/ARQUIVO DA EDITORA</v>
      </c>
      <c r="Z407" s="31"/>
      <c r="AA407" s="31" t="str">
        <f>Tabela2[[#This Row],[ILUSTRADOR CRIAÇÃO]]</f>
        <v>SERGIO LIMA/ARQUIVO DA EDITORA</v>
      </c>
      <c r="AB407" s="33"/>
      <c r="AC407" s="16"/>
      <c r="AD407" s="16"/>
      <c r="AE407" s="35" t="str">
        <f t="shared" si="6"/>
        <v>EF1 E002 Mat</v>
      </c>
    </row>
    <row r="408" spans="1:31" s="36" customFormat="1" ht="30" x14ac:dyDescent="0.25">
      <c r="A408" s="31" t="s">
        <v>890</v>
      </c>
      <c r="B408" s="16" t="s">
        <v>32</v>
      </c>
      <c r="C408" s="16" t="s">
        <v>164</v>
      </c>
      <c r="D408" s="33" t="s">
        <v>34</v>
      </c>
      <c r="E408" s="33">
        <v>44</v>
      </c>
      <c r="F408" s="33">
        <v>2</v>
      </c>
      <c r="G408" s="33">
        <v>2</v>
      </c>
      <c r="H408" s="33"/>
      <c r="I408" s="31" t="s">
        <v>46</v>
      </c>
      <c r="J408" s="31"/>
      <c r="K408" s="33"/>
      <c r="L408" s="33"/>
      <c r="M408" s="31"/>
      <c r="N408" s="31"/>
      <c r="O408" s="16" t="s">
        <v>891</v>
      </c>
      <c r="P408" s="16"/>
      <c r="Q408" s="16"/>
      <c r="R408" s="33"/>
      <c r="S408" s="34"/>
      <c r="T408" s="34"/>
      <c r="U408" s="34"/>
      <c r="V408" s="34"/>
      <c r="W408" s="34"/>
      <c r="X408" s="33" t="s">
        <v>48</v>
      </c>
      <c r="Y408" s="35" t="str">
        <f>IF(Tabela2[[#This Row],[SIGLA]]="","",VLOOKUP(Tabela2[[#This Row],[SIGLA]],Tabela1[[#All],[Sigla Arte]:[Crédito]],2,0))</f>
        <v>SERGIO LIMA/ARQUIVO DA EDITORA</v>
      </c>
      <c r="Z408" s="31"/>
      <c r="AA408" s="31" t="str">
        <f>Tabela2[[#This Row],[ILUSTRADOR CRIAÇÃO]]</f>
        <v>SERGIO LIMA/ARQUIVO DA EDITORA</v>
      </c>
      <c r="AB408" s="33"/>
      <c r="AC408" s="16"/>
      <c r="AD408" s="16"/>
      <c r="AE408" s="35" t="str">
        <f t="shared" si="6"/>
        <v>EF1 E002 Mat</v>
      </c>
    </row>
    <row r="409" spans="1:31" s="36" customFormat="1" ht="45" x14ac:dyDescent="0.25">
      <c r="A409" s="31" t="s">
        <v>892</v>
      </c>
      <c r="B409" s="16" t="s">
        <v>32</v>
      </c>
      <c r="C409" s="16" t="s">
        <v>33</v>
      </c>
      <c r="D409" s="33" t="s">
        <v>34</v>
      </c>
      <c r="E409" s="33">
        <v>44</v>
      </c>
      <c r="F409" s="33">
        <v>2</v>
      </c>
      <c r="G409" s="33">
        <v>2</v>
      </c>
      <c r="H409" s="33"/>
      <c r="I409" s="31" t="s">
        <v>46</v>
      </c>
      <c r="J409" s="31"/>
      <c r="K409" s="33"/>
      <c r="L409" s="33"/>
      <c r="M409" s="31"/>
      <c r="N409" s="31"/>
      <c r="O409" s="16" t="s">
        <v>893</v>
      </c>
      <c r="P409" s="16"/>
      <c r="Q409" s="16"/>
      <c r="R409" s="33"/>
      <c r="S409" s="34"/>
      <c r="T409" s="34"/>
      <c r="U409" s="34"/>
      <c r="V409" s="34"/>
      <c r="W409" s="34"/>
      <c r="X409" s="33" t="s">
        <v>85</v>
      </c>
      <c r="Y409" s="35" t="str">
        <f>IF(Tabela2[[#This Row],[SIGLA]]="","",VLOOKUP(Tabela2[[#This Row],[SIGLA]],Tabela1[[#All],[Sigla Arte]:[Crédito]],2,0))</f>
        <v>HELOÍSA PINTARELLI/ARQUIVO DA EDITORA</v>
      </c>
      <c r="Z409" s="31"/>
      <c r="AA409" s="31" t="str">
        <f>Tabela2[[#This Row],[ILUSTRADOR CRIAÇÃO]]</f>
        <v>HELOÍSA PINTARELLI/ARQUIVO DA EDITORA</v>
      </c>
      <c r="AB409" s="33"/>
      <c r="AC409" s="16"/>
      <c r="AD409" s="16"/>
      <c r="AE409" s="35" t="str">
        <f t="shared" si="6"/>
        <v>EF1 E002 Mat</v>
      </c>
    </row>
    <row r="410" spans="1:31" s="36" customFormat="1" ht="45" x14ac:dyDescent="0.25">
      <c r="A410" s="31" t="s">
        <v>894</v>
      </c>
      <c r="B410" s="16" t="s">
        <v>32</v>
      </c>
      <c r="C410" s="16" t="s">
        <v>33</v>
      </c>
      <c r="D410" s="33" t="s">
        <v>34</v>
      </c>
      <c r="E410" s="33">
        <v>44</v>
      </c>
      <c r="F410" s="33">
        <v>2</v>
      </c>
      <c r="G410" s="33">
        <v>2</v>
      </c>
      <c r="H410" s="33"/>
      <c r="I410" s="31" t="s">
        <v>46</v>
      </c>
      <c r="J410" s="31"/>
      <c r="K410" s="33"/>
      <c r="L410" s="33"/>
      <c r="M410" s="31"/>
      <c r="N410" s="31"/>
      <c r="O410" s="16" t="s">
        <v>895</v>
      </c>
      <c r="P410" s="16"/>
      <c r="Q410" s="16"/>
      <c r="R410" s="33"/>
      <c r="S410" s="34"/>
      <c r="T410" s="34"/>
      <c r="U410" s="34"/>
      <c r="V410" s="34"/>
      <c r="W410" s="34"/>
      <c r="X410" s="33" t="s">
        <v>85</v>
      </c>
      <c r="Y410" s="35" t="str">
        <f>IF(Tabela2[[#This Row],[SIGLA]]="","",VLOOKUP(Tabela2[[#This Row],[SIGLA]],Tabela1[[#All],[Sigla Arte]:[Crédito]],2,0))</f>
        <v>HELOÍSA PINTARELLI/ARQUIVO DA EDITORA</v>
      </c>
      <c r="Z410" s="31"/>
      <c r="AA410" s="31" t="str">
        <f>Tabela2[[#This Row],[ILUSTRADOR CRIAÇÃO]]</f>
        <v>HELOÍSA PINTARELLI/ARQUIVO DA EDITORA</v>
      </c>
      <c r="AB410" s="33"/>
      <c r="AC410" s="16"/>
      <c r="AD410" s="16"/>
      <c r="AE410" s="35" t="str">
        <f t="shared" si="6"/>
        <v>EF1 E002 Mat</v>
      </c>
    </row>
    <row r="411" spans="1:31" s="36" customFormat="1" ht="60" x14ac:dyDescent="0.25">
      <c r="A411" s="31" t="s">
        <v>896</v>
      </c>
      <c r="B411" s="16" t="s">
        <v>32</v>
      </c>
      <c r="C411" s="16" t="s">
        <v>33</v>
      </c>
      <c r="D411" s="33" t="s">
        <v>34</v>
      </c>
      <c r="E411" s="33">
        <v>44</v>
      </c>
      <c r="F411" s="33">
        <v>2</v>
      </c>
      <c r="G411" s="33">
        <v>2</v>
      </c>
      <c r="H411" s="33"/>
      <c r="I411" s="31" t="s">
        <v>46</v>
      </c>
      <c r="J411" s="31"/>
      <c r="K411" s="33"/>
      <c r="L411" s="33"/>
      <c r="M411" s="31"/>
      <c r="N411" s="31"/>
      <c r="O411" s="16" t="s">
        <v>897</v>
      </c>
      <c r="P411" s="16"/>
      <c r="Q411" s="16"/>
      <c r="R411" s="33"/>
      <c r="S411" s="34"/>
      <c r="T411" s="34"/>
      <c r="U411" s="34"/>
      <c r="V411" s="34"/>
      <c r="W411" s="34"/>
      <c r="X411" s="33" t="s">
        <v>85</v>
      </c>
      <c r="Y411" s="35" t="str">
        <f>IF(Tabela2[[#This Row],[SIGLA]]="","",VLOOKUP(Tabela2[[#This Row],[SIGLA]],Tabela1[[#All],[Sigla Arte]:[Crédito]],2,0))</f>
        <v>HELOÍSA PINTARELLI/ARQUIVO DA EDITORA</v>
      </c>
      <c r="Z411" s="31"/>
      <c r="AA411" s="31" t="str">
        <f>Tabela2[[#This Row],[ILUSTRADOR CRIAÇÃO]]</f>
        <v>HELOÍSA PINTARELLI/ARQUIVO DA EDITORA</v>
      </c>
      <c r="AB411" s="33"/>
      <c r="AC411" s="16"/>
      <c r="AD411" s="16"/>
      <c r="AE411" s="35" t="str">
        <f t="shared" si="6"/>
        <v>EF1 E002 Mat</v>
      </c>
    </row>
    <row r="412" spans="1:31" s="36" customFormat="1" ht="30" x14ac:dyDescent="0.25">
      <c r="A412" s="31" t="s">
        <v>898</v>
      </c>
      <c r="B412" s="16" t="s">
        <v>32</v>
      </c>
      <c r="C412" s="16" t="s">
        <v>33</v>
      </c>
      <c r="D412" s="33" t="s">
        <v>34</v>
      </c>
      <c r="E412" s="33">
        <v>44</v>
      </c>
      <c r="F412" s="33">
        <v>2</v>
      </c>
      <c r="G412" s="33">
        <v>2</v>
      </c>
      <c r="H412" s="33"/>
      <c r="I412" s="31" t="s">
        <v>46</v>
      </c>
      <c r="J412" s="31"/>
      <c r="K412" s="33"/>
      <c r="L412" s="33"/>
      <c r="M412" s="31"/>
      <c r="N412" s="31"/>
      <c r="O412" s="16" t="s">
        <v>899</v>
      </c>
      <c r="P412" s="16"/>
      <c r="Q412" s="16"/>
      <c r="R412" s="33"/>
      <c r="S412" s="34"/>
      <c r="T412" s="34"/>
      <c r="U412" s="34"/>
      <c r="V412" s="34"/>
      <c r="W412" s="34"/>
      <c r="X412" s="33" t="s">
        <v>85</v>
      </c>
      <c r="Y412" s="35" t="str">
        <f>IF(Tabela2[[#This Row],[SIGLA]]="","",VLOOKUP(Tabela2[[#This Row],[SIGLA]],Tabela1[[#All],[Sigla Arte]:[Crédito]],2,0))</f>
        <v>HELOÍSA PINTARELLI/ARQUIVO DA EDITORA</v>
      </c>
      <c r="Z412" s="31"/>
      <c r="AA412" s="31" t="str">
        <f>Tabela2[[#This Row],[ILUSTRADOR CRIAÇÃO]]</f>
        <v>HELOÍSA PINTARELLI/ARQUIVO DA EDITORA</v>
      </c>
      <c r="AB412" s="33"/>
      <c r="AC412" s="16"/>
      <c r="AD412" s="16"/>
      <c r="AE412" s="35" t="str">
        <f t="shared" si="6"/>
        <v>EF1 E002 Mat</v>
      </c>
    </row>
    <row r="413" spans="1:31" s="36" customFormat="1" ht="45" x14ac:dyDescent="0.25">
      <c r="A413" s="31" t="s">
        <v>900</v>
      </c>
      <c r="B413" s="16" t="s">
        <v>32</v>
      </c>
      <c r="C413" s="16" t="s">
        <v>33</v>
      </c>
      <c r="D413" s="33" t="s">
        <v>34</v>
      </c>
      <c r="E413" s="33">
        <v>44</v>
      </c>
      <c r="F413" s="33">
        <v>2</v>
      </c>
      <c r="G413" s="33">
        <v>2</v>
      </c>
      <c r="H413" s="33"/>
      <c r="I413" s="31" t="s">
        <v>46</v>
      </c>
      <c r="J413" s="31"/>
      <c r="K413" s="33"/>
      <c r="L413" s="33"/>
      <c r="M413" s="31"/>
      <c r="N413" s="31"/>
      <c r="O413" s="16" t="s">
        <v>901</v>
      </c>
      <c r="P413" s="16"/>
      <c r="Q413" s="16"/>
      <c r="R413" s="33"/>
      <c r="S413" s="34"/>
      <c r="T413" s="34"/>
      <c r="U413" s="34"/>
      <c r="V413" s="34"/>
      <c r="W413" s="34"/>
      <c r="X413" s="33" t="s">
        <v>85</v>
      </c>
      <c r="Y413" s="35" t="str">
        <f>IF(Tabela2[[#This Row],[SIGLA]]="","",VLOOKUP(Tabela2[[#This Row],[SIGLA]],Tabela1[[#All],[Sigla Arte]:[Crédito]],2,0))</f>
        <v>HELOÍSA PINTARELLI/ARQUIVO DA EDITORA</v>
      </c>
      <c r="Z413" s="31"/>
      <c r="AA413" s="31" t="str">
        <f>Tabela2[[#This Row],[ILUSTRADOR CRIAÇÃO]]</f>
        <v>HELOÍSA PINTARELLI/ARQUIVO DA EDITORA</v>
      </c>
      <c r="AB413" s="33"/>
      <c r="AC413" s="16"/>
      <c r="AD413" s="16"/>
      <c r="AE413" s="35" t="str">
        <f t="shared" si="6"/>
        <v>EF1 E002 Mat</v>
      </c>
    </row>
    <row r="414" spans="1:31" s="36" customFormat="1" ht="45" x14ac:dyDescent="0.25">
      <c r="A414" s="31" t="s">
        <v>902</v>
      </c>
      <c r="B414" s="16" t="s">
        <v>32</v>
      </c>
      <c r="C414" s="16" t="s">
        <v>33</v>
      </c>
      <c r="D414" s="33" t="s">
        <v>34</v>
      </c>
      <c r="E414" s="33">
        <v>44</v>
      </c>
      <c r="F414" s="33">
        <v>2</v>
      </c>
      <c r="G414" s="33">
        <v>2</v>
      </c>
      <c r="H414" s="33"/>
      <c r="I414" s="31" t="s">
        <v>46</v>
      </c>
      <c r="J414" s="31"/>
      <c r="K414" s="33"/>
      <c r="L414" s="33"/>
      <c r="M414" s="31"/>
      <c r="N414" s="31"/>
      <c r="O414" s="16" t="s">
        <v>903</v>
      </c>
      <c r="P414" s="16"/>
      <c r="Q414" s="16"/>
      <c r="R414" s="33"/>
      <c r="S414" s="34"/>
      <c r="T414" s="34"/>
      <c r="U414" s="34"/>
      <c r="V414" s="34"/>
      <c r="W414" s="34"/>
      <c r="X414" s="33" t="s">
        <v>85</v>
      </c>
      <c r="Y414" s="35" t="str">
        <f>IF(Tabela2[[#This Row],[SIGLA]]="","",VLOOKUP(Tabela2[[#This Row],[SIGLA]],Tabela1[[#All],[Sigla Arte]:[Crédito]],2,0))</f>
        <v>HELOÍSA PINTARELLI/ARQUIVO DA EDITORA</v>
      </c>
      <c r="Z414" s="31"/>
      <c r="AA414" s="31" t="str">
        <f>Tabela2[[#This Row],[ILUSTRADOR CRIAÇÃO]]</f>
        <v>HELOÍSA PINTARELLI/ARQUIVO DA EDITORA</v>
      </c>
      <c r="AB414" s="33"/>
      <c r="AC414" s="16"/>
      <c r="AD414" s="16"/>
      <c r="AE414" s="35" t="str">
        <f t="shared" si="6"/>
        <v>EF1 E002 Mat</v>
      </c>
    </row>
    <row r="415" spans="1:31" s="36" customFormat="1" ht="45" x14ac:dyDescent="0.25">
      <c r="A415" s="31" t="s">
        <v>904</v>
      </c>
      <c r="B415" s="16" t="s">
        <v>32</v>
      </c>
      <c r="C415" s="16" t="s">
        <v>33</v>
      </c>
      <c r="D415" s="33" t="s">
        <v>34</v>
      </c>
      <c r="E415" s="33">
        <v>45</v>
      </c>
      <c r="F415" s="33">
        <v>2</v>
      </c>
      <c r="G415" s="33">
        <v>2</v>
      </c>
      <c r="H415" s="33"/>
      <c r="I415" s="31" t="s">
        <v>46</v>
      </c>
      <c r="J415" s="31"/>
      <c r="K415" s="33"/>
      <c r="L415" s="33"/>
      <c r="M415" s="31"/>
      <c r="N415" s="31"/>
      <c r="O415" s="16" t="s">
        <v>905</v>
      </c>
      <c r="P415" s="16"/>
      <c r="Q415" s="16"/>
      <c r="R415" s="33"/>
      <c r="S415" s="34"/>
      <c r="T415" s="34"/>
      <c r="U415" s="34"/>
      <c r="V415" s="34"/>
      <c r="W415" s="34"/>
      <c r="X415" s="33" t="s">
        <v>85</v>
      </c>
      <c r="Y415" s="35" t="str">
        <f>IF(Tabela2[[#This Row],[SIGLA]]="","",VLOOKUP(Tabela2[[#This Row],[SIGLA]],Tabela1[[#All],[Sigla Arte]:[Crédito]],2,0))</f>
        <v>HELOÍSA PINTARELLI/ARQUIVO DA EDITORA</v>
      </c>
      <c r="Z415" s="31"/>
      <c r="AA415" s="31" t="str">
        <f>Tabela2[[#This Row],[ILUSTRADOR CRIAÇÃO]]</f>
        <v>HELOÍSA PINTARELLI/ARQUIVO DA EDITORA</v>
      </c>
      <c r="AB415" s="33"/>
      <c r="AC415" s="16"/>
      <c r="AD415" s="16"/>
      <c r="AE415" s="35" t="str">
        <f t="shared" si="6"/>
        <v>EF1 E002 Mat</v>
      </c>
    </row>
    <row r="416" spans="1:31" s="36" customFormat="1" ht="60" x14ac:dyDescent="0.25">
      <c r="A416" s="31" t="s">
        <v>906</v>
      </c>
      <c r="B416" s="16" t="s">
        <v>32</v>
      </c>
      <c r="C416" s="16" t="s">
        <v>33</v>
      </c>
      <c r="D416" s="33" t="s">
        <v>34</v>
      </c>
      <c r="E416" s="33">
        <v>45</v>
      </c>
      <c r="F416" s="33">
        <v>2</v>
      </c>
      <c r="G416" s="33">
        <v>2</v>
      </c>
      <c r="H416" s="33"/>
      <c r="I416" s="31" t="s">
        <v>46</v>
      </c>
      <c r="J416" s="31"/>
      <c r="K416" s="33"/>
      <c r="L416" s="33"/>
      <c r="M416" s="31"/>
      <c r="N416" s="31"/>
      <c r="O416" s="16" t="s">
        <v>907</v>
      </c>
      <c r="P416" s="16"/>
      <c r="Q416" s="16"/>
      <c r="R416" s="33"/>
      <c r="S416" s="34"/>
      <c r="T416" s="34"/>
      <c r="U416" s="34"/>
      <c r="V416" s="34"/>
      <c r="W416" s="34"/>
      <c r="X416" s="33" t="s">
        <v>85</v>
      </c>
      <c r="Y416" s="35" t="str">
        <f>IF(Tabela2[[#This Row],[SIGLA]]="","",VLOOKUP(Tabela2[[#This Row],[SIGLA]],Tabela1[[#All],[Sigla Arte]:[Crédito]],2,0))</f>
        <v>HELOÍSA PINTARELLI/ARQUIVO DA EDITORA</v>
      </c>
      <c r="Z416" s="31"/>
      <c r="AA416" s="31" t="str">
        <f>Tabela2[[#This Row],[ILUSTRADOR CRIAÇÃO]]</f>
        <v>HELOÍSA PINTARELLI/ARQUIVO DA EDITORA</v>
      </c>
      <c r="AB416" s="33"/>
      <c r="AC416" s="16"/>
      <c r="AD416" s="16"/>
      <c r="AE416" s="35" t="str">
        <f t="shared" si="6"/>
        <v>EF1 E002 Mat</v>
      </c>
    </row>
    <row r="417" spans="1:31" s="36" customFormat="1" ht="105" x14ac:dyDescent="0.25">
      <c r="A417" s="31" t="s">
        <v>908</v>
      </c>
      <c r="B417" s="16" t="s">
        <v>32</v>
      </c>
      <c r="C417" s="16" t="s">
        <v>33</v>
      </c>
      <c r="D417" s="33" t="s">
        <v>34</v>
      </c>
      <c r="E417" s="33">
        <v>46</v>
      </c>
      <c r="F417" s="33">
        <v>2</v>
      </c>
      <c r="G417" s="33">
        <v>2</v>
      </c>
      <c r="H417" s="33"/>
      <c r="I417" s="31" t="s">
        <v>35</v>
      </c>
      <c r="J417" s="31"/>
      <c r="K417" s="33"/>
      <c r="L417" s="33"/>
      <c r="M417" s="31"/>
      <c r="N417" s="31"/>
      <c r="O417" s="16" t="s">
        <v>909</v>
      </c>
      <c r="P417" s="16"/>
      <c r="Q417" s="16"/>
      <c r="R417" s="33">
        <v>7</v>
      </c>
      <c r="S417" s="34">
        <v>45737</v>
      </c>
      <c r="T417" s="34">
        <v>45737</v>
      </c>
      <c r="U417" s="34"/>
      <c r="V417" s="34"/>
      <c r="W417" s="34">
        <v>45737</v>
      </c>
      <c r="X417" s="33" t="s">
        <v>910</v>
      </c>
      <c r="Y417" s="35" t="str">
        <f>IF(Tabela2[[#This Row],[SIGLA]]="","",VLOOKUP(Tabela2[[#This Row],[SIGLA]],Tabela1[[#All],[Sigla Arte]:[Crédito]],2,0))</f>
        <v>RAQUEL SILVA/ARQUIVO DA EDITORA</v>
      </c>
      <c r="Z417" s="31" t="s">
        <v>88</v>
      </c>
      <c r="AA417" s="31" t="str">
        <f>Tabela2[[#This Row],[ILUSTRADOR CRIAÇÃO]]</f>
        <v>RAQUEL SILVA/ARQUIVO DA EDITORA</v>
      </c>
      <c r="AB417" s="33">
        <v>14</v>
      </c>
      <c r="AC417" s="16" t="s">
        <v>39</v>
      </c>
      <c r="AD417" s="16" t="s">
        <v>40</v>
      </c>
      <c r="AE417" s="35" t="str">
        <f t="shared" si="6"/>
        <v>EF1 E002 Mat</v>
      </c>
    </row>
    <row r="418" spans="1:31" s="36" customFormat="1" ht="30" x14ac:dyDescent="0.25">
      <c r="A418" s="31" t="s">
        <v>911</v>
      </c>
      <c r="B418" s="16" t="s">
        <v>32</v>
      </c>
      <c r="C418" s="16" t="s">
        <v>164</v>
      </c>
      <c r="D418" s="33" t="s">
        <v>34</v>
      </c>
      <c r="E418" s="33">
        <v>40</v>
      </c>
      <c r="F418" s="33">
        <v>2</v>
      </c>
      <c r="G418" s="33">
        <v>2</v>
      </c>
      <c r="H418" s="33"/>
      <c r="I418" s="31" t="s">
        <v>46</v>
      </c>
      <c r="J418" s="31"/>
      <c r="K418" s="33"/>
      <c r="L418" s="33"/>
      <c r="M418" s="31"/>
      <c r="N418" s="31"/>
      <c r="O418" s="16" t="s">
        <v>912</v>
      </c>
      <c r="P418" s="16"/>
      <c r="Q418" s="16"/>
      <c r="R418" s="33"/>
      <c r="S418" s="34"/>
      <c r="T418" s="34"/>
      <c r="U418" s="34"/>
      <c r="V418" s="34"/>
      <c r="W418" s="34"/>
      <c r="X418" s="33" t="s">
        <v>48</v>
      </c>
      <c r="Y418" s="35" t="str">
        <f>IF(Tabela2[[#This Row],[SIGLA]]="","",VLOOKUP(Tabela2[[#This Row],[SIGLA]],Tabela1[[#All],[Sigla Arte]:[Crédito]],2,0))</f>
        <v>SERGIO LIMA/ARQUIVO DA EDITORA</v>
      </c>
      <c r="Z418" s="31"/>
      <c r="AA418" s="31" t="str">
        <f>Tabela2[[#This Row],[ILUSTRADOR CRIAÇÃO]]</f>
        <v>SERGIO LIMA/ARQUIVO DA EDITORA</v>
      </c>
      <c r="AB418" s="33"/>
      <c r="AC418" s="16"/>
      <c r="AD418" s="16"/>
      <c r="AE418" s="35" t="str">
        <f t="shared" si="6"/>
        <v>EF1 E002 Mat</v>
      </c>
    </row>
    <row r="419" spans="1:31" s="36" customFormat="1" ht="45" x14ac:dyDescent="0.25">
      <c r="A419" s="31" t="s">
        <v>913</v>
      </c>
      <c r="B419" s="16" t="s">
        <v>32</v>
      </c>
      <c r="C419" s="16" t="s">
        <v>164</v>
      </c>
      <c r="D419" s="33" t="s">
        <v>34</v>
      </c>
      <c r="E419" s="33">
        <v>131</v>
      </c>
      <c r="F419" s="33">
        <v>1</v>
      </c>
      <c r="G419" s="33">
        <v>3</v>
      </c>
      <c r="H419" s="33"/>
      <c r="I419" s="31" t="s">
        <v>46</v>
      </c>
      <c r="J419" s="31"/>
      <c r="K419" s="33"/>
      <c r="L419" s="33"/>
      <c r="M419" s="31"/>
      <c r="N419" s="31"/>
      <c r="O419" s="16" t="s">
        <v>914</v>
      </c>
      <c r="P419" s="16"/>
      <c r="Q419" s="16"/>
      <c r="R419" s="33"/>
      <c r="S419" s="34"/>
      <c r="T419" s="34"/>
      <c r="U419" s="34"/>
      <c r="V419" s="34"/>
      <c r="W419" s="34"/>
      <c r="X419" s="33" t="s">
        <v>85</v>
      </c>
      <c r="Y419" s="35" t="str">
        <f>IF(Tabela2[[#This Row],[SIGLA]]="","",VLOOKUP(Tabela2[[#This Row],[SIGLA]],Tabela1[[#All],[Sigla Arte]:[Crédito]],2,0))</f>
        <v>HELOÍSA PINTARELLI/ARQUIVO DA EDITORA</v>
      </c>
      <c r="Z419" s="31"/>
      <c r="AA419" s="31" t="str">
        <f>Tabela2[[#This Row],[ILUSTRADOR CRIAÇÃO]]</f>
        <v>HELOÍSA PINTARELLI/ARQUIVO DA EDITORA</v>
      </c>
      <c r="AB419" s="33"/>
      <c r="AC419" s="16"/>
      <c r="AD419" s="16"/>
      <c r="AE419" s="35" t="str">
        <f t="shared" si="6"/>
        <v>EF1 E002 Mat</v>
      </c>
    </row>
    <row r="420" spans="1:31" s="36" customFormat="1" ht="45" x14ac:dyDescent="0.25">
      <c r="A420" s="31" t="s">
        <v>915</v>
      </c>
      <c r="B420" s="16" t="s">
        <v>32</v>
      </c>
      <c r="C420" s="16" t="s">
        <v>164</v>
      </c>
      <c r="D420" s="33" t="s">
        <v>34</v>
      </c>
      <c r="E420" s="33">
        <v>131</v>
      </c>
      <c r="F420" s="33">
        <v>1</v>
      </c>
      <c r="G420" s="33">
        <v>3</v>
      </c>
      <c r="H420" s="33"/>
      <c r="I420" s="31" t="s">
        <v>46</v>
      </c>
      <c r="J420" s="31"/>
      <c r="K420" s="33"/>
      <c r="L420" s="33"/>
      <c r="M420" s="31"/>
      <c r="N420" s="31"/>
      <c r="O420" s="16" t="s">
        <v>916</v>
      </c>
      <c r="P420" s="16"/>
      <c r="Q420" s="16"/>
      <c r="R420" s="33"/>
      <c r="S420" s="34"/>
      <c r="T420" s="34"/>
      <c r="U420" s="34"/>
      <c r="V420" s="34"/>
      <c r="W420" s="34"/>
      <c r="X420" s="33" t="s">
        <v>184</v>
      </c>
      <c r="Y420" s="35" t="str">
        <f>IF(Tabela2[[#This Row],[SIGLA]]="","",VLOOKUP(Tabela2[[#This Row],[SIGLA]],Tabela1[[#All],[Sigla Arte]:[Crédito]],2,0))</f>
        <v>VER DOCUMENTO DE ILS. TÉCNICAS</v>
      </c>
      <c r="Z420" s="31"/>
      <c r="AA420" s="31" t="s">
        <v>191</v>
      </c>
      <c r="AB420" s="33"/>
      <c r="AC420" s="16"/>
      <c r="AD420" s="16"/>
      <c r="AE420" s="35" t="str">
        <f t="shared" si="6"/>
        <v>EF1 E002 Mat</v>
      </c>
    </row>
    <row r="421" spans="1:31" s="36" customFormat="1" ht="45" x14ac:dyDescent="0.25">
      <c r="A421" s="31" t="s">
        <v>917</v>
      </c>
      <c r="B421" s="16" t="s">
        <v>32</v>
      </c>
      <c r="C421" s="16" t="s">
        <v>164</v>
      </c>
      <c r="D421" s="33" t="s">
        <v>34</v>
      </c>
      <c r="E421" s="33">
        <v>131</v>
      </c>
      <c r="F421" s="33">
        <v>1</v>
      </c>
      <c r="G421" s="33">
        <v>3</v>
      </c>
      <c r="H421" s="33"/>
      <c r="I421" s="31" t="s">
        <v>46</v>
      </c>
      <c r="J421" s="31"/>
      <c r="K421" s="33"/>
      <c r="L421" s="33"/>
      <c r="M421" s="31"/>
      <c r="N421" s="31"/>
      <c r="O421" s="16" t="s">
        <v>918</v>
      </c>
      <c r="P421" s="16"/>
      <c r="Q421" s="16"/>
      <c r="R421" s="33"/>
      <c r="S421" s="34"/>
      <c r="T421" s="34"/>
      <c r="U421" s="34"/>
      <c r="V421" s="34"/>
      <c r="W421" s="34"/>
      <c r="X421" s="33" t="s">
        <v>85</v>
      </c>
      <c r="Y421" s="35" t="str">
        <f>IF(Tabela2[[#This Row],[SIGLA]]="","",VLOOKUP(Tabela2[[#This Row],[SIGLA]],Tabela1[[#All],[Sigla Arte]:[Crédito]],2,0))</f>
        <v>HELOÍSA PINTARELLI/ARQUIVO DA EDITORA</v>
      </c>
      <c r="Z421" s="31"/>
      <c r="AA421" s="31" t="str">
        <f>Tabela2[[#This Row],[ILUSTRADOR CRIAÇÃO]]</f>
        <v>HELOÍSA PINTARELLI/ARQUIVO DA EDITORA</v>
      </c>
      <c r="AB421" s="33"/>
      <c r="AC421" s="16"/>
      <c r="AD421" s="16"/>
      <c r="AE421" s="35" t="str">
        <f t="shared" si="6"/>
        <v>EF1 E002 Mat</v>
      </c>
    </row>
    <row r="422" spans="1:31" s="36" customFormat="1" ht="45" x14ac:dyDescent="0.25">
      <c r="A422" s="31" t="s">
        <v>919</v>
      </c>
      <c r="B422" s="16" t="s">
        <v>32</v>
      </c>
      <c r="C422" s="16" t="s">
        <v>164</v>
      </c>
      <c r="D422" s="33" t="s">
        <v>34</v>
      </c>
      <c r="E422" s="33">
        <v>131</v>
      </c>
      <c r="F422" s="33">
        <v>1</v>
      </c>
      <c r="G422" s="33">
        <v>3</v>
      </c>
      <c r="H422" s="33"/>
      <c r="I422" s="31" t="s">
        <v>46</v>
      </c>
      <c r="J422" s="31"/>
      <c r="K422" s="33"/>
      <c r="L422" s="33"/>
      <c r="M422" s="31"/>
      <c r="N422" s="31"/>
      <c r="O422" s="16" t="s">
        <v>920</v>
      </c>
      <c r="P422" s="16"/>
      <c r="Q422" s="16"/>
      <c r="R422" s="33"/>
      <c r="S422" s="34"/>
      <c r="T422" s="34"/>
      <c r="U422" s="34"/>
      <c r="V422" s="34"/>
      <c r="W422" s="34"/>
      <c r="X422" s="33" t="s">
        <v>184</v>
      </c>
      <c r="Y422" s="35" t="str">
        <f>IF(Tabela2[[#This Row],[SIGLA]]="","",VLOOKUP(Tabela2[[#This Row],[SIGLA]],Tabela1[[#All],[Sigla Arte]:[Crédito]],2,0))</f>
        <v>VER DOCUMENTO DE ILS. TÉCNICAS</v>
      </c>
      <c r="Z422" s="31"/>
      <c r="AA422" s="31" t="s">
        <v>921</v>
      </c>
      <c r="AB422" s="33"/>
      <c r="AC422" s="16"/>
      <c r="AD422" s="16"/>
      <c r="AE422" s="35" t="str">
        <f t="shared" si="6"/>
        <v>EF1 E002 Mat</v>
      </c>
    </row>
    <row r="423" spans="1:31" s="36" customFormat="1" ht="45" x14ac:dyDescent="0.25">
      <c r="A423" s="31" t="s">
        <v>922</v>
      </c>
      <c r="B423" s="16" t="s">
        <v>32</v>
      </c>
      <c r="C423" s="16" t="s">
        <v>33</v>
      </c>
      <c r="D423" s="33" t="s">
        <v>34</v>
      </c>
      <c r="E423" s="33">
        <v>140</v>
      </c>
      <c r="F423" s="33">
        <v>1</v>
      </c>
      <c r="G423" s="33">
        <v>3</v>
      </c>
      <c r="H423" s="33"/>
      <c r="I423" s="31" t="s">
        <v>35</v>
      </c>
      <c r="J423" s="31"/>
      <c r="K423" s="33"/>
      <c r="L423" s="33"/>
      <c r="M423" s="31"/>
      <c r="N423" s="31"/>
      <c r="O423" s="16" t="s">
        <v>923</v>
      </c>
      <c r="P423" s="16"/>
      <c r="Q423" s="16"/>
      <c r="R423" s="33">
        <v>98</v>
      </c>
      <c r="S423" s="34">
        <v>45873</v>
      </c>
      <c r="T423" s="34">
        <v>45873</v>
      </c>
      <c r="U423" s="34"/>
      <c r="V423" s="34"/>
      <c r="W423" s="34">
        <v>45873</v>
      </c>
      <c r="X423" s="33" t="s">
        <v>162</v>
      </c>
      <c r="Y423" s="35" t="str">
        <f>IF(Tabela2[[#This Row],[SIGLA]]="","",VLOOKUP(Tabela2[[#This Row],[SIGLA]],Tabela1[[#All],[Sigla Arte]:[Crédito]],2,0))</f>
        <v>IVY NUNES/ARQUIVO DA EDITORA</v>
      </c>
      <c r="Z423" s="31" t="s">
        <v>924</v>
      </c>
      <c r="AA423" s="31" t="str">
        <f>Tabela2[[#This Row],[ILUSTRADOR CRIAÇÃO]]</f>
        <v>IVY NUNES/ARQUIVO DA EDITORA</v>
      </c>
      <c r="AB423" s="33">
        <v>13</v>
      </c>
      <c r="AC423" s="16" t="s">
        <v>222</v>
      </c>
      <c r="AD423" s="16" t="s">
        <v>40</v>
      </c>
      <c r="AE423" s="35" t="str">
        <f t="shared" si="6"/>
        <v>EF1 E002 Mat</v>
      </c>
    </row>
    <row r="424" spans="1:31" s="36" customFormat="1" ht="45" x14ac:dyDescent="0.25">
      <c r="A424" s="31" t="s">
        <v>925</v>
      </c>
      <c r="B424" s="16" t="s">
        <v>32</v>
      </c>
      <c r="C424" s="16" t="s">
        <v>164</v>
      </c>
      <c r="D424" s="33" t="s">
        <v>34</v>
      </c>
      <c r="E424" s="33">
        <v>142</v>
      </c>
      <c r="F424" s="33">
        <v>1</v>
      </c>
      <c r="G424" s="33">
        <v>3</v>
      </c>
      <c r="H424" s="33"/>
      <c r="I424" s="31" t="s">
        <v>46</v>
      </c>
      <c r="J424" s="31"/>
      <c r="K424" s="33"/>
      <c r="L424" s="33"/>
      <c r="M424" s="31"/>
      <c r="N424" s="31"/>
      <c r="O424" s="16" t="s">
        <v>926</v>
      </c>
      <c r="P424" s="16"/>
      <c r="Q424" s="16"/>
      <c r="R424" s="33"/>
      <c r="S424" s="34"/>
      <c r="T424" s="34"/>
      <c r="U424" s="34"/>
      <c r="V424" s="34"/>
      <c r="W424" s="34"/>
      <c r="X424" s="33" t="s">
        <v>184</v>
      </c>
      <c r="Y424" s="35" t="str">
        <f>IF(Tabela2[[#This Row],[SIGLA]]="","",VLOOKUP(Tabela2[[#This Row],[SIGLA]],Tabela1[[#All],[Sigla Arte]:[Crédito]],2,0))</f>
        <v>VER DOCUMENTO DE ILS. TÉCNICAS</v>
      </c>
      <c r="Z424" s="31"/>
      <c r="AA424" s="31" t="s">
        <v>191</v>
      </c>
      <c r="AB424" s="33"/>
      <c r="AC424" s="16"/>
      <c r="AD424" s="16"/>
      <c r="AE424" s="35" t="str">
        <f t="shared" si="6"/>
        <v>EF1 E002 Mat</v>
      </c>
    </row>
    <row r="425" spans="1:31" s="36" customFormat="1" ht="45" x14ac:dyDescent="0.25">
      <c r="A425" s="31" t="s">
        <v>927</v>
      </c>
      <c r="B425" s="16" t="s">
        <v>32</v>
      </c>
      <c r="C425" s="16" t="s">
        <v>164</v>
      </c>
      <c r="D425" s="33" t="s">
        <v>34</v>
      </c>
      <c r="E425" s="33">
        <v>142</v>
      </c>
      <c r="F425" s="33">
        <v>1</v>
      </c>
      <c r="G425" s="33">
        <v>3</v>
      </c>
      <c r="H425" s="33"/>
      <c r="I425" s="31" t="s">
        <v>46</v>
      </c>
      <c r="J425" s="31"/>
      <c r="K425" s="33"/>
      <c r="L425" s="33"/>
      <c r="M425" s="31"/>
      <c r="N425" s="31"/>
      <c r="O425" s="16" t="s">
        <v>928</v>
      </c>
      <c r="P425" s="16"/>
      <c r="Q425" s="16"/>
      <c r="R425" s="33"/>
      <c r="S425" s="34"/>
      <c r="T425" s="34"/>
      <c r="U425" s="34"/>
      <c r="V425" s="34"/>
      <c r="W425" s="34"/>
      <c r="X425" s="33" t="s">
        <v>85</v>
      </c>
      <c r="Y425" s="35" t="str">
        <f>IF(Tabela2[[#This Row],[SIGLA]]="","",VLOOKUP(Tabela2[[#This Row],[SIGLA]],Tabela1[[#All],[Sigla Arte]:[Crédito]],2,0))</f>
        <v>HELOÍSA PINTARELLI/ARQUIVO DA EDITORA</v>
      </c>
      <c r="Z425" s="31"/>
      <c r="AA425" s="31" t="str">
        <f>Tabela2[[#This Row],[ILUSTRADOR CRIAÇÃO]]</f>
        <v>HELOÍSA PINTARELLI/ARQUIVO DA EDITORA</v>
      </c>
      <c r="AB425" s="33"/>
      <c r="AC425" s="16"/>
      <c r="AD425" s="16"/>
      <c r="AE425" s="35" t="str">
        <f t="shared" si="6"/>
        <v>EF1 E002 Mat</v>
      </c>
    </row>
    <row r="426" spans="1:31" s="36" customFormat="1" ht="45" x14ac:dyDescent="0.25">
      <c r="A426" s="31" t="s">
        <v>929</v>
      </c>
      <c r="B426" s="16" t="s">
        <v>32</v>
      </c>
      <c r="C426" s="16" t="s">
        <v>164</v>
      </c>
      <c r="D426" s="33" t="s">
        <v>34</v>
      </c>
      <c r="E426" s="33">
        <v>142</v>
      </c>
      <c r="F426" s="33">
        <v>1</v>
      </c>
      <c r="G426" s="33">
        <v>3</v>
      </c>
      <c r="H426" s="33"/>
      <c r="I426" s="31" t="s">
        <v>46</v>
      </c>
      <c r="J426" s="31"/>
      <c r="K426" s="33"/>
      <c r="L426" s="33"/>
      <c r="M426" s="31"/>
      <c r="N426" s="31"/>
      <c r="O426" s="16" t="s">
        <v>930</v>
      </c>
      <c r="P426" s="16"/>
      <c r="Q426" s="16"/>
      <c r="R426" s="33"/>
      <c r="S426" s="34"/>
      <c r="T426" s="34"/>
      <c r="U426" s="34"/>
      <c r="V426" s="34"/>
      <c r="W426" s="34"/>
      <c r="X426" s="33" t="s">
        <v>85</v>
      </c>
      <c r="Y426" s="35" t="str">
        <f>IF(Tabela2[[#This Row],[SIGLA]]="","",VLOOKUP(Tabela2[[#This Row],[SIGLA]],Tabela1[[#All],[Sigla Arte]:[Crédito]],2,0))</f>
        <v>HELOÍSA PINTARELLI/ARQUIVO DA EDITORA</v>
      </c>
      <c r="Z426" s="31"/>
      <c r="AA426" s="31" t="str">
        <f>Tabela2[[#This Row],[ILUSTRADOR CRIAÇÃO]]</f>
        <v>HELOÍSA PINTARELLI/ARQUIVO DA EDITORA</v>
      </c>
      <c r="AB426" s="33"/>
      <c r="AC426" s="16"/>
      <c r="AD426" s="16"/>
      <c r="AE426" s="35" t="str">
        <f t="shared" si="6"/>
        <v>EF1 E002 Mat</v>
      </c>
    </row>
    <row r="427" spans="1:31" s="36" customFormat="1" ht="45" x14ac:dyDescent="0.25">
      <c r="A427" s="31" t="s">
        <v>931</v>
      </c>
      <c r="B427" s="16" t="s">
        <v>32</v>
      </c>
      <c r="C427" s="16" t="s">
        <v>164</v>
      </c>
      <c r="D427" s="33" t="s">
        <v>34</v>
      </c>
      <c r="E427" s="33">
        <v>142</v>
      </c>
      <c r="F427" s="33">
        <v>1</v>
      </c>
      <c r="G427" s="33">
        <v>3</v>
      </c>
      <c r="H427" s="33"/>
      <c r="I427" s="31" t="s">
        <v>46</v>
      </c>
      <c r="J427" s="31"/>
      <c r="K427" s="33"/>
      <c r="L427" s="33"/>
      <c r="M427" s="31"/>
      <c r="N427" s="31"/>
      <c r="O427" s="16" t="s">
        <v>932</v>
      </c>
      <c r="P427" s="16"/>
      <c r="Q427" s="16"/>
      <c r="R427" s="33"/>
      <c r="S427" s="34"/>
      <c r="T427" s="34"/>
      <c r="U427" s="34"/>
      <c r="V427" s="34"/>
      <c r="W427" s="34"/>
      <c r="X427" s="33" t="s">
        <v>85</v>
      </c>
      <c r="Y427" s="35" t="str">
        <f>IF(Tabela2[[#This Row],[SIGLA]]="","",VLOOKUP(Tabela2[[#This Row],[SIGLA]],Tabela1[[#All],[Sigla Arte]:[Crédito]],2,0))</f>
        <v>HELOÍSA PINTARELLI/ARQUIVO DA EDITORA</v>
      </c>
      <c r="Z427" s="31"/>
      <c r="AA427" s="31" t="str">
        <f>Tabela2[[#This Row],[ILUSTRADOR CRIAÇÃO]]</f>
        <v>HELOÍSA PINTARELLI/ARQUIVO DA EDITORA</v>
      </c>
      <c r="AB427" s="33"/>
      <c r="AC427" s="16"/>
      <c r="AD427" s="16"/>
      <c r="AE427" s="35" t="str">
        <f t="shared" si="6"/>
        <v>EF1 E002 Mat</v>
      </c>
    </row>
    <row r="428" spans="1:31" s="36" customFormat="1" ht="75" x14ac:dyDescent="0.25">
      <c r="A428" s="31" t="s">
        <v>933</v>
      </c>
      <c r="B428" s="16" t="s">
        <v>32</v>
      </c>
      <c r="C428" s="16" t="s">
        <v>164</v>
      </c>
      <c r="D428" s="33" t="s">
        <v>34</v>
      </c>
      <c r="E428" s="33">
        <v>142</v>
      </c>
      <c r="F428" s="33">
        <v>1</v>
      </c>
      <c r="G428" s="33">
        <v>3</v>
      </c>
      <c r="H428" s="33"/>
      <c r="I428" s="31" t="s">
        <v>35</v>
      </c>
      <c r="J428" s="31"/>
      <c r="K428" s="33"/>
      <c r="L428" s="33"/>
      <c r="M428" s="31"/>
      <c r="N428" s="31"/>
      <c r="O428" s="16" t="s">
        <v>934</v>
      </c>
      <c r="P428" s="16"/>
      <c r="Q428" s="16"/>
      <c r="R428" s="33">
        <v>8</v>
      </c>
      <c r="S428" s="34">
        <v>45737</v>
      </c>
      <c r="T428" s="34">
        <v>45737</v>
      </c>
      <c r="U428" s="34"/>
      <c r="V428" s="34"/>
      <c r="W428" s="34">
        <v>45742</v>
      </c>
      <c r="X428" s="33" t="s">
        <v>184</v>
      </c>
      <c r="Y428" s="35" t="str">
        <f>IF(Tabela2[[#This Row],[SIGLA]]="","",VLOOKUP(Tabela2[[#This Row],[SIGLA]],Tabela1[[#All],[Sigla Arte]:[Crédito]],2,0))</f>
        <v>VER DOCUMENTO DE ILS. TÉCNICAS</v>
      </c>
      <c r="Z428" s="31" t="s">
        <v>383</v>
      </c>
      <c r="AA428" s="31" t="s">
        <v>935</v>
      </c>
      <c r="AB428" s="33">
        <v>13</v>
      </c>
      <c r="AC428" s="16" t="s">
        <v>39</v>
      </c>
      <c r="AD428" s="16" t="s">
        <v>40</v>
      </c>
      <c r="AE428" s="35" t="str">
        <f t="shared" si="6"/>
        <v>EF1 E002 Mat</v>
      </c>
    </row>
    <row r="429" spans="1:31" s="36" customFormat="1" ht="75" x14ac:dyDescent="0.25">
      <c r="A429" s="31" t="s">
        <v>936</v>
      </c>
      <c r="B429" s="16" t="s">
        <v>32</v>
      </c>
      <c r="C429" s="16" t="s">
        <v>164</v>
      </c>
      <c r="D429" s="33" t="s">
        <v>34</v>
      </c>
      <c r="E429" s="33">
        <v>142</v>
      </c>
      <c r="F429" s="33">
        <v>1</v>
      </c>
      <c r="G429" s="33">
        <v>3</v>
      </c>
      <c r="H429" s="33"/>
      <c r="I429" s="31" t="s">
        <v>35</v>
      </c>
      <c r="J429" s="31"/>
      <c r="K429" s="33"/>
      <c r="L429" s="33"/>
      <c r="M429" s="31"/>
      <c r="N429" s="31"/>
      <c r="O429" s="16" t="s">
        <v>937</v>
      </c>
      <c r="P429" s="16"/>
      <c r="Q429" s="16"/>
      <c r="R429" s="33">
        <v>63</v>
      </c>
      <c r="S429" s="34">
        <v>45828</v>
      </c>
      <c r="T429" s="34">
        <v>45828</v>
      </c>
      <c r="U429" s="34"/>
      <c r="V429" s="34"/>
      <c r="W429" s="34">
        <v>45828</v>
      </c>
      <c r="X429" s="33" t="s">
        <v>184</v>
      </c>
      <c r="Y429" s="35" t="str">
        <f>IF(Tabela2[[#This Row],[SIGLA]]="","",VLOOKUP(Tabela2[[#This Row],[SIGLA]],Tabela1[[#All],[Sigla Arte]:[Crédito]],2,0))</f>
        <v>VER DOCUMENTO DE ILS. TÉCNICAS</v>
      </c>
      <c r="Z429" s="31" t="s">
        <v>438</v>
      </c>
      <c r="AA429" s="31" t="s">
        <v>185</v>
      </c>
      <c r="AB429" s="33">
        <v>13</v>
      </c>
      <c r="AC429" s="16" t="s">
        <v>222</v>
      </c>
      <c r="AD429" s="16" t="s">
        <v>40</v>
      </c>
      <c r="AE429" s="35" t="str">
        <f t="shared" si="6"/>
        <v>EF1 E002 Mat</v>
      </c>
    </row>
    <row r="430" spans="1:31" s="36" customFormat="1" ht="45" x14ac:dyDescent="0.25">
      <c r="A430" s="31" t="s">
        <v>938</v>
      </c>
      <c r="B430" s="16" t="s">
        <v>32</v>
      </c>
      <c r="C430" s="16" t="s">
        <v>164</v>
      </c>
      <c r="D430" s="33" t="s">
        <v>34</v>
      </c>
      <c r="E430" s="33">
        <v>142</v>
      </c>
      <c r="F430" s="33">
        <v>1</v>
      </c>
      <c r="G430" s="33">
        <v>3</v>
      </c>
      <c r="H430" s="33"/>
      <c r="I430" s="31" t="s">
        <v>46</v>
      </c>
      <c r="J430" s="31"/>
      <c r="K430" s="33"/>
      <c r="L430" s="33"/>
      <c r="M430" s="31"/>
      <c r="N430" s="31"/>
      <c r="O430" s="16" t="s">
        <v>939</v>
      </c>
      <c r="P430" s="16"/>
      <c r="Q430" s="16"/>
      <c r="R430" s="33"/>
      <c r="S430" s="34"/>
      <c r="T430" s="34"/>
      <c r="U430" s="34"/>
      <c r="V430" s="34"/>
      <c r="W430" s="34"/>
      <c r="X430" s="33" t="s">
        <v>184</v>
      </c>
      <c r="Y430" s="35" t="str">
        <f>IF(Tabela2[[#This Row],[SIGLA]]="","",VLOOKUP(Tabela2[[#This Row],[SIGLA]],Tabela1[[#All],[Sigla Arte]:[Crédito]],2,0))</f>
        <v>VER DOCUMENTO DE ILS. TÉCNICAS</v>
      </c>
      <c r="Z430" s="31"/>
      <c r="AA430" s="31" t="s">
        <v>185</v>
      </c>
      <c r="AB430" s="33"/>
      <c r="AC430" s="16"/>
      <c r="AD430" s="16"/>
      <c r="AE430" s="35" t="str">
        <f t="shared" si="6"/>
        <v>EF1 E002 Mat</v>
      </c>
    </row>
    <row r="431" spans="1:31" s="36" customFormat="1" ht="45" x14ac:dyDescent="0.25">
      <c r="A431" s="31" t="s">
        <v>940</v>
      </c>
      <c r="B431" s="16" t="s">
        <v>32</v>
      </c>
      <c r="C431" s="16" t="s">
        <v>164</v>
      </c>
      <c r="D431" s="33" t="s">
        <v>34</v>
      </c>
      <c r="E431" s="33">
        <v>142</v>
      </c>
      <c r="F431" s="33">
        <v>1</v>
      </c>
      <c r="G431" s="33">
        <v>3</v>
      </c>
      <c r="H431" s="33"/>
      <c r="I431" s="31" t="s">
        <v>46</v>
      </c>
      <c r="J431" s="31"/>
      <c r="K431" s="33"/>
      <c r="L431" s="33"/>
      <c r="M431" s="31"/>
      <c r="N431" s="31"/>
      <c r="O431" s="16" t="s">
        <v>941</v>
      </c>
      <c r="P431" s="16"/>
      <c r="Q431" s="16"/>
      <c r="R431" s="33"/>
      <c r="S431" s="34"/>
      <c r="T431" s="34"/>
      <c r="U431" s="34"/>
      <c r="V431" s="34"/>
      <c r="W431" s="34"/>
      <c r="X431" s="33" t="s">
        <v>184</v>
      </c>
      <c r="Y431" s="35" t="str">
        <f>IF(Tabela2[[#This Row],[SIGLA]]="","",VLOOKUP(Tabela2[[#This Row],[SIGLA]],Tabela1[[#All],[Sigla Arte]:[Crédito]],2,0))</f>
        <v>VER DOCUMENTO DE ILS. TÉCNICAS</v>
      </c>
      <c r="Z431" s="31"/>
      <c r="AA431" s="31" t="s">
        <v>191</v>
      </c>
      <c r="AB431" s="33"/>
      <c r="AC431" s="16"/>
      <c r="AD431" s="16"/>
      <c r="AE431" s="35" t="str">
        <f t="shared" si="6"/>
        <v>EF1 E002 Mat</v>
      </c>
    </row>
    <row r="432" spans="1:31" s="36" customFormat="1" ht="45" x14ac:dyDescent="0.25">
      <c r="A432" s="31" t="s">
        <v>942</v>
      </c>
      <c r="B432" s="16" t="s">
        <v>32</v>
      </c>
      <c r="C432" s="16" t="s">
        <v>164</v>
      </c>
      <c r="D432" s="33" t="s">
        <v>34</v>
      </c>
      <c r="E432" s="33">
        <v>143</v>
      </c>
      <c r="F432" s="33">
        <v>1</v>
      </c>
      <c r="G432" s="33">
        <v>3</v>
      </c>
      <c r="H432" s="33"/>
      <c r="I432" s="31" t="s">
        <v>46</v>
      </c>
      <c r="J432" s="31"/>
      <c r="K432" s="33"/>
      <c r="L432" s="33"/>
      <c r="M432" s="31"/>
      <c r="N432" s="31"/>
      <c r="O432" s="16" t="s">
        <v>943</v>
      </c>
      <c r="P432" s="16"/>
      <c r="Q432" s="16"/>
      <c r="R432" s="33"/>
      <c r="S432" s="34"/>
      <c r="T432" s="34"/>
      <c r="U432" s="34"/>
      <c r="V432" s="34"/>
      <c r="W432" s="34"/>
      <c r="X432" s="33" t="s">
        <v>184</v>
      </c>
      <c r="Y432" s="35" t="str">
        <f>IF(Tabela2[[#This Row],[SIGLA]]="","",VLOOKUP(Tabela2[[#This Row],[SIGLA]],Tabela1[[#All],[Sigla Arte]:[Crédito]],2,0))</f>
        <v>VER DOCUMENTO DE ILS. TÉCNICAS</v>
      </c>
      <c r="Z432" s="31"/>
      <c r="AA432" s="31" t="s">
        <v>185</v>
      </c>
      <c r="AB432" s="33"/>
      <c r="AC432" s="16"/>
      <c r="AD432" s="16"/>
      <c r="AE432" s="35" t="str">
        <f t="shared" si="6"/>
        <v>EF1 E002 Mat</v>
      </c>
    </row>
    <row r="433" spans="1:31" s="36" customFormat="1" ht="45" x14ac:dyDescent="0.25">
      <c r="A433" s="31" t="s">
        <v>944</v>
      </c>
      <c r="B433" s="16" t="s">
        <v>32</v>
      </c>
      <c r="C433" s="16" t="s">
        <v>164</v>
      </c>
      <c r="D433" s="33" t="s">
        <v>34</v>
      </c>
      <c r="E433" s="33">
        <v>143</v>
      </c>
      <c r="F433" s="33">
        <v>1</v>
      </c>
      <c r="G433" s="33">
        <v>3</v>
      </c>
      <c r="H433" s="33"/>
      <c r="I433" s="31" t="s">
        <v>46</v>
      </c>
      <c r="J433" s="31"/>
      <c r="K433" s="33"/>
      <c r="L433" s="33"/>
      <c r="M433" s="31"/>
      <c r="N433" s="31"/>
      <c r="O433" s="16" t="s">
        <v>945</v>
      </c>
      <c r="P433" s="16"/>
      <c r="Q433" s="16"/>
      <c r="R433" s="33"/>
      <c r="S433" s="34"/>
      <c r="T433" s="34"/>
      <c r="U433" s="34"/>
      <c r="V433" s="34"/>
      <c r="W433" s="34"/>
      <c r="X433" s="33" t="s">
        <v>184</v>
      </c>
      <c r="Y433" s="35" t="str">
        <f>IF(Tabela2[[#This Row],[SIGLA]]="","",VLOOKUP(Tabela2[[#This Row],[SIGLA]],Tabela1[[#All],[Sigla Arte]:[Crédito]],2,0))</f>
        <v>VER DOCUMENTO DE ILS. TÉCNICAS</v>
      </c>
      <c r="Z433" s="31"/>
      <c r="AA433" s="31" t="s">
        <v>946</v>
      </c>
      <c r="AB433" s="33"/>
      <c r="AC433" s="16"/>
      <c r="AD433" s="16"/>
      <c r="AE433" s="35" t="str">
        <f t="shared" si="6"/>
        <v>EF1 E002 Mat</v>
      </c>
    </row>
    <row r="434" spans="1:31" s="36" customFormat="1" ht="45" x14ac:dyDescent="0.25">
      <c r="A434" s="31" t="s">
        <v>947</v>
      </c>
      <c r="B434" s="16" t="s">
        <v>32</v>
      </c>
      <c r="C434" s="16" t="s">
        <v>164</v>
      </c>
      <c r="D434" s="33" t="s">
        <v>34</v>
      </c>
      <c r="E434" s="33">
        <v>144</v>
      </c>
      <c r="F434" s="33">
        <v>1</v>
      </c>
      <c r="G434" s="33">
        <v>3</v>
      </c>
      <c r="H434" s="33"/>
      <c r="I434" s="31" t="s">
        <v>46</v>
      </c>
      <c r="J434" s="31"/>
      <c r="K434" s="33"/>
      <c r="L434" s="33"/>
      <c r="M434" s="31"/>
      <c r="N434" s="31"/>
      <c r="O434" s="16" t="s">
        <v>948</v>
      </c>
      <c r="P434" s="16"/>
      <c r="Q434" s="16"/>
      <c r="R434" s="33"/>
      <c r="S434" s="34"/>
      <c r="T434" s="34"/>
      <c r="U434" s="34"/>
      <c r="V434" s="34"/>
      <c r="W434" s="34"/>
      <c r="X434" s="33" t="s">
        <v>184</v>
      </c>
      <c r="Y434" s="35" t="str">
        <f>IF(Tabela2[[#This Row],[SIGLA]]="","",VLOOKUP(Tabela2[[#This Row],[SIGLA]],Tabela1[[#All],[Sigla Arte]:[Crédito]],2,0))</f>
        <v>VER DOCUMENTO DE ILS. TÉCNICAS</v>
      </c>
      <c r="Z434" s="31"/>
      <c r="AA434" s="31" t="s">
        <v>949</v>
      </c>
      <c r="AB434" s="33"/>
      <c r="AC434" s="16"/>
      <c r="AD434" s="16"/>
      <c r="AE434" s="35" t="str">
        <f t="shared" si="6"/>
        <v>EF1 E002 Mat</v>
      </c>
    </row>
    <row r="435" spans="1:31" s="36" customFormat="1" ht="45" x14ac:dyDescent="0.25">
      <c r="A435" s="31" t="s">
        <v>950</v>
      </c>
      <c r="B435" s="16" t="s">
        <v>32</v>
      </c>
      <c r="C435" s="16" t="s">
        <v>164</v>
      </c>
      <c r="D435" s="33" t="s">
        <v>34</v>
      </c>
      <c r="E435" s="33">
        <v>144</v>
      </c>
      <c r="F435" s="33">
        <v>1</v>
      </c>
      <c r="G435" s="33">
        <v>3</v>
      </c>
      <c r="H435" s="33"/>
      <c r="I435" s="31" t="s">
        <v>46</v>
      </c>
      <c r="J435" s="31"/>
      <c r="K435" s="33"/>
      <c r="L435" s="33"/>
      <c r="M435" s="31"/>
      <c r="N435" s="31"/>
      <c r="O435" s="16" t="s">
        <v>951</v>
      </c>
      <c r="P435" s="16"/>
      <c r="Q435" s="16"/>
      <c r="R435" s="33"/>
      <c r="S435" s="34"/>
      <c r="T435" s="34"/>
      <c r="U435" s="34"/>
      <c r="V435" s="34"/>
      <c r="W435" s="34"/>
      <c r="X435" s="33" t="s">
        <v>85</v>
      </c>
      <c r="Y435" s="35" t="str">
        <f>IF(Tabela2[[#This Row],[SIGLA]]="","",VLOOKUP(Tabela2[[#This Row],[SIGLA]],Tabela1[[#All],[Sigla Arte]:[Crédito]],2,0))</f>
        <v>HELOÍSA PINTARELLI/ARQUIVO DA EDITORA</v>
      </c>
      <c r="Z435" s="31"/>
      <c r="AA435" s="31" t="str">
        <f>Tabela2[[#This Row],[ILUSTRADOR CRIAÇÃO]]</f>
        <v>HELOÍSA PINTARELLI/ARQUIVO DA EDITORA</v>
      </c>
      <c r="AB435" s="33"/>
      <c r="AC435" s="16"/>
      <c r="AD435" s="16"/>
      <c r="AE435" s="35" t="str">
        <f t="shared" si="6"/>
        <v>EF1 E002 Mat</v>
      </c>
    </row>
    <row r="436" spans="1:31" s="36" customFormat="1" ht="45" x14ac:dyDescent="0.25">
      <c r="A436" s="31" t="s">
        <v>952</v>
      </c>
      <c r="B436" s="16" t="s">
        <v>32</v>
      </c>
      <c r="C436" s="16" t="s">
        <v>164</v>
      </c>
      <c r="D436" s="33" t="s">
        <v>34</v>
      </c>
      <c r="E436" s="33">
        <v>144</v>
      </c>
      <c r="F436" s="33">
        <v>1</v>
      </c>
      <c r="G436" s="33">
        <v>3</v>
      </c>
      <c r="H436" s="33"/>
      <c r="I436" s="31" t="s">
        <v>46</v>
      </c>
      <c r="J436" s="31"/>
      <c r="K436" s="33"/>
      <c r="L436" s="33"/>
      <c r="M436" s="31"/>
      <c r="N436" s="31"/>
      <c r="O436" s="16" t="s">
        <v>953</v>
      </c>
      <c r="P436" s="16"/>
      <c r="Q436" s="16"/>
      <c r="R436" s="33"/>
      <c r="S436" s="34"/>
      <c r="T436" s="34"/>
      <c r="U436" s="34"/>
      <c r="V436" s="34"/>
      <c r="W436" s="34"/>
      <c r="X436" s="33" t="s">
        <v>85</v>
      </c>
      <c r="Y436" s="35" t="str">
        <f>IF(Tabela2[[#This Row],[SIGLA]]="","",VLOOKUP(Tabela2[[#This Row],[SIGLA]],Tabela1[[#All],[Sigla Arte]:[Crédito]],2,0))</f>
        <v>HELOÍSA PINTARELLI/ARQUIVO DA EDITORA</v>
      </c>
      <c r="Z436" s="31"/>
      <c r="AA436" s="31" t="str">
        <f>Tabela2[[#This Row],[ILUSTRADOR CRIAÇÃO]]</f>
        <v>HELOÍSA PINTARELLI/ARQUIVO DA EDITORA</v>
      </c>
      <c r="AB436" s="33"/>
      <c r="AC436" s="16"/>
      <c r="AD436" s="16"/>
      <c r="AE436" s="35" t="str">
        <f t="shared" si="6"/>
        <v>EF1 E002 Mat</v>
      </c>
    </row>
    <row r="437" spans="1:31" s="36" customFormat="1" ht="45" x14ac:dyDescent="0.25">
      <c r="A437" s="31" t="s">
        <v>954</v>
      </c>
      <c r="B437" s="16" t="s">
        <v>32</v>
      </c>
      <c r="C437" s="16" t="s">
        <v>164</v>
      </c>
      <c r="D437" s="33" t="s">
        <v>34</v>
      </c>
      <c r="E437" s="33">
        <v>144</v>
      </c>
      <c r="F437" s="33">
        <v>1</v>
      </c>
      <c r="G437" s="33">
        <v>3</v>
      </c>
      <c r="H437" s="33"/>
      <c r="I437" s="31" t="s">
        <v>46</v>
      </c>
      <c r="J437" s="31"/>
      <c r="K437" s="33"/>
      <c r="L437" s="33"/>
      <c r="M437" s="31"/>
      <c r="N437" s="31"/>
      <c r="O437" s="16" t="s">
        <v>955</v>
      </c>
      <c r="P437" s="16"/>
      <c r="Q437" s="16"/>
      <c r="R437" s="33"/>
      <c r="S437" s="34"/>
      <c r="T437" s="34"/>
      <c r="U437" s="34"/>
      <c r="V437" s="34"/>
      <c r="W437" s="34"/>
      <c r="X437" s="33" t="s">
        <v>85</v>
      </c>
      <c r="Y437" s="35" t="str">
        <f>IF(Tabela2[[#This Row],[SIGLA]]="","",VLOOKUP(Tabela2[[#This Row],[SIGLA]],Tabela1[[#All],[Sigla Arte]:[Crédito]],2,0))</f>
        <v>HELOÍSA PINTARELLI/ARQUIVO DA EDITORA</v>
      </c>
      <c r="Z437" s="31"/>
      <c r="AA437" s="31" t="str">
        <f>Tabela2[[#This Row],[ILUSTRADOR CRIAÇÃO]]</f>
        <v>HELOÍSA PINTARELLI/ARQUIVO DA EDITORA</v>
      </c>
      <c r="AB437" s="33"/>
      <c r="AC437" s="16"/>
      <c r="AD437" s="16"/>
      <c r="AE437" s="35" t="str">
        <f t="shared" si="6"/>
        <v>EF1 E002 Mat</v>
      </c>
    </row>
    <row r="438" spans="1:31" s="36" customFormat="1" ht="45" x14ac:dyDescent="0.25">
      <c r="A438" s="31" t="s">
        <v>956</v>
      </c>
      <c r="B438" s="16" t="s">
        <v>32</v>
      </c>
      <c r="C438" s="16" t="s">
        <v>164</v>
      </c>
      <c r="D438" s="33" t="s">
        <v>34</v>
      </c>
      <c r="E438" s="33">
        <v>144</v>
      </c>
      <c r="F438" s="33">
        <v>1</v>
      </c>
      <c r="G438" s="33">
        <v>3</v>
      </c>
      <c r="H438" s="33"/>
      <c r="I438" s="31" t="s">
        <v>46</v>
      </c>
      <c r="J438" s="31"/>
      <c r="K438" s="33"/>
      <c r="L438" s="33"/>
      <c r="M438" s="31"/>
      <c r="N438" s="31"/>
      <c r="O438" s="16" t="s">
        <v>957</v>
      </c>
      <c r="P438" s="16"/>
      <c r="Q438" s="16"/>
      <c r="R438" s="33"/>
      <c r="S438" s="34"/>
      <c r="T438" s="34"/>
      <c r="U438" s="34"/>
      <c r="V438" s="34"/>
      <c r="W438" s="34"/>
      <c r="X438" s="33" t="s">
        <v>85</v>
      </c>
      <c r="Y438" s="35" t="str">
        <f>IF(Tabela2[[#This Row],[SIGLA]]="","",VLOOKUP(Tabela2[[#This Row],[SIGLA]],Tabela1[[#All],[Sigla Arte]:[Crédito]],2,0))</f>
        <v>HELOÍSA PINTARELLI/ARQUIVO DA EDITORA</v>
      </c>
      <c r="Z438" s="31"/>
      <c r="AA438" s="31" t="str">
        <f>Tabela2[[#This Row],[ILUSTRADOR CRIAÇÃO]]</f>
        <v>HELOÍSA PINTARELLI/ARQUIVO DA EDITORA</v>
      </c>
      <c r="AB438" s="33"/>
      <c r="AC438" s="16"/>
      <c r="AD438" s="16"/>
      <c r="AE438" s="35" t="str">
        <f t="shared" si="6"/>
        <v>EF1 E002 Mat</v>
      </c>
    </row>
    <row r="439" spans="1:31" s="36" customFormat="1" ht="75" x14ac:dyDescent="0.25">
      <c r="A439" s="31" t="s">
        <v>958</v>
      </c>
      <c r="B439" s="16" t="s">
        <v>32</v>
      </c>
      <c r="C439" s="16" t="s">
        <v>164</v>
      </c>
      <c r="D439" s="33" t="s">
        <v>34</v>
      </c>
      <c r="E439" s="33">
        <v>145</v>
      </c>
      <c r="F439" s="33">
        <v>1</v>
      </c>
      <c r="G439" s="33">
        <v>3</v>
      </c>
      <c r="H439" s="33"/>
      <c r="I439" s="31" t="s">
        <v>35</v>
      </c>
      <c r="J439" s="31"/>
      <c r="K439" s="33"/>
      <c r="L439" s="33"/>
      <c r="M439" s="31"/>
      <c r="N439" s="31"/>
      <c r="O439" s="16" t="s">
        <v>959</v>
      </c>
      <c r="P439" s="16"/>
      <c r="Q439" s="16"/>
      <c r="R439" s="33">
        <v>8</v>
      </c>
      <c r="S439" s="34">
        <v>45737</v>
      </c>
      <c r="T439" s="34">
        <v>45740</v>
      </c>
      <c r="U439" s="34"/>
      <c r="V439" s="34"/>
      <c r="W439" s="34">
        <v>45740</v>
      </c>
      <c r="X439" s="33" t="s">
        <v>48</v>
      </c>
      <c r="Y439" s="35" t="str">
        <f>IF(Tabela2[[#This Row],[SIGLA]]="","",VLOOKUP(Tabela2[[#This Row],[SIGLA]],Tabela1[[#All],[Sigla Arte]:[Crédito]],2,0))</f>
        <v>SERGIO LIMA/ARQUIVO DA EDITORA</v>
      </c>
      <c r="Z439" s="31" t="s">
        <v>383</v>
      </c>
      <c r="AA439" s="31" t="str">
        <f>Tabela2[[#This Row],[ILUSTRADOR CRIAÇÃO]]</f>
        <v>SERGIO LIMA/ARQUIVO DA EDITORA</v>
      </c>
      <c r="AB439" s="33">
        <v>14</v>
      </c>
      <c r="AC439" s="16" t="s">
        <v>616</v>
      </c>
      <c r="AD439" s="16" t="s">
        <v>40</v>
      </c>
      <c r="AE439" s="35" t="str">
        <f t="shared" si="6"/>
        <v>EF1 E002 Mat</v>
      </c>
    </row>
    <row r="440" spans="1:31" s="36" customFormat="1" ht="60" x14ac:dyDescent="0.25">
      <c r="A440" s="31" t="s">
        <v>960</v>
      </c>
      <c r="B440" s="16" t="s">
        <v>32</v>
      </c>
      <c r="C440" s="16" t="s">
        <v>164</v>
      </c>
      <c r="D440" s="33" t="s">
        <v>34</v>
      </c>
      <c r="E440" s="33">
        <v>145</v>
      </c>
      <c r="F440" s="33">
        <v>1</v>
      </c>
      <c r="G440" s="33">
        <v>3</v>
      </c>
      <c r="H440" s="33"/>
      <c r="I440" s="31" t="s">
        <v>35</v>
      </c>
      <c r="J440" s="31"/>
      <c r="K440" s="33"/>
      <c r="L440" s="33"/>
      <c r="M440" s="31"/>
      <c r="N440" s="31"/>
      <c r="O440" s="16" t="s">
        <v>961</v>
      </c>
      <c r="P440" s="16"/>
      <c r="Q440" s="16"/>
      <c r="R440" s="33">
        <v>8</v>
      </c>
      <c r="S440" s="34">
        <v>45737</v>
      </c>
      <c r="T440" s="34">
        <v>45740</v>
      </c>
      <c r="U440" s="34"/>
      <c r="V440" s="34"/>
      <c r="W440" s="34">
        <v>45740</v>
      </c>
      <c r="X440" s="33" t="s">
        <v>85</v>
      </c>
      <c r="Y440" s="35" t="str">
        <f>IF(Tabela2[[#This Row],[SIGLA]]="","",VLOOKUP(Tabela2[[#This Row],[SIGLA]],Tabela1[[#All],[Sigla Arte]:[Crédito]],2,0))</f>
        <v>HELOÍSA PINTARELLI/ARQUIVO DA EDITORA</v>
      </c>
      <c r="Z440" s="31" t="s">
        <v>383</v>
      </c>
      <c r="AA440" s="31" t="str">
        <f>Tabela2[[#This Row],[ILUSTRADOR CRIAÇÃO]]</f>
        <v>HELOÍSA PINTARELLI/ARQUIVO DA EDITORA</v>
      </c>
      <c r="AB440" s="33">
        <v>14</v>
      </c>
      <c r="AC440" s="16" t="s">
        <v>616</v>
      </c>
      <c r="AD440" s="16" t="s">
        <v>40</v>
      </c>
      <c r="AE440" s="35" t="str">
        <f t="shared" si="6"/>
        <v>EF1 E002 Mat</v>
      </c>
    </row>
    <row r="441" spans="1:31" s="36" customFormat="1" ht="117.75" customHeight="1" x14ac:dyDescent="0.25">
      <c r="A441" s="31" t="s">
        <v>962</v>
      </c>
      <c r="B441" s="16" t="s">
        <v>32</v>
      </c>
      <c r="C441" s="16" t="s">
        <v>164</v>
      </c>
      <c r="D441" s="33" t="s">
        <v>34</v>
      </c>
      <c r="E441" s="33">
        <v>145</v>
      </c>
      <c r="F441" s="33">
        <v>1</v>
      </c>
      <c r="G441" s="33">
        <v>3</v>
      </c>
      <c r="H441" s="33"/>
      <c r="I441" s="31" t="s">
        <v>35</v>
      </c>
      <c r="J441" s="31"/>
      <c r="K441" s="33"/>
      <c r="L441" s="33"/>
      <c r="M441" s="31"/>
      <c r="N441" s="31"/>
      <c r="O441" s="16" t="s">
        <v>963</v>
      </c>
      <c r="P441" s="16"/>
      <c r="Q441" s="16"/>
      <c r="R441" s="33">
        <v>8</v>
      </c>
      <c r="S441" s="34">
        <v>45737</v>
      </c>
      <c r="T441" s="34">
        <v>45740</v>
      </c>
      <c r="U441" s="34"/>
      <c r="V441" s="34"/>
      <c r="W441" s="34">
        <v>45740</v>
      </c>
      <c r="X441" s="33" t="s">
        <v>85</v>
      </c>
      <c r="Y441" s="35" t="str">
        <f>IF(Tabela2[[#This Row],[SIGLA]]="","",VLOOKUP(Tabela2[[#This Row],[SIGLA]],Tabela1[[#All],[Sigla Arte]:[Crédito]],2,0))</f>
        <v>HELOÍSA PINTARELLI/ARQUIVO DA EDITORA</v>
      </c>
      <c r="Z441" s="31" t="s">
        <v>383</v>
      </c>
      <c r="AA441" s="31" t="str">
        <f>Tabela2[[#This Row],[ILUSTRADOR CRIAÇÃO]]</f>
        <v>HELOÍSA PINTARELLI/ARQUIVO DA EDITORA</v>
      </c>
      <c r="AB441" s="33">
        <v>13</v>
      </c>
      <c r="AC441" s="16" t="s">
        <v>616</v>
      </c>
      <c r="AD441" s="16" t="s">
        <v>40</v>
      </c>
      <c r="AE441" s="35" t="str">
        <f t="shared" si="6"/>
        <v>EF1 E002 Mat</v>
      </c>
    </row>
    <row r="442" spans="1:31" s="36" customFormat="1" ht="45" x14ac:dyDescent="0.25">
      <c r="A442" s="31" t="s">
        <v>964</v>
      </c>
      <c r="B442" s="16" t="s">
        <v>401</v>
      </c>
      <c r="C442" s="16" t="s">
        <v>164</v>
      </c>
      <c r="D442" s="33" t="s">
        <v>34</v>
      </c>
      <c r="E442" s="33">
        <v>145</v>
      </c>
      <c r="F442" s="33">
        <v>1</v>
      </c>
      <c r="G442" s="33">
        <v>3</v>
      </c>
      <c r="H442" s="33"/>
      <c r="I442" s="31" t="s">
        <v>46</v>
      </c>
      <c r="J442" s="31"/>
      <c r="K442" s="33"/>
      <c r="L442" s="33"/>
      <c r="M442" s="31"/>
      <c r="N442" s="31"/>
      <c r="O442" s="16" t="s">
        <v>965</v>
      </c>
      <c r="P442" s="16"/>
      <c r="Q442" s="16"/>
      <c r="R442" s="33"/>
      <c r="S442" s="34"/>
      <c r="T442" s="34"/>
      <c r="U442" s="34"/>
      <c r="V442" s="34"/>
      <c r="W442" s="34"/>
      <c r="X442" s="33" t="s">
        <v>184</v>
      </c>
      <c r="Y442" s="35" t="str">
        <f>IF(Tabela2[[#This Row],[SIGLA]]="","",VLOOKUP(Tabela2[[#This Row],[SIGLA]],Tabela1[[#All],[Sigla Arte]:[Crédito]],2,0))</f>
        <v>VER DOCUMENTO DE ILS. TÉCNICAS</v>
      </c>
      <c r="Z442" s="31"/>
      <c r="AA442" s="31" t="s">
        <v>185</v>
      </c>
      <c r="AB442" s="33"/>
      <c r="AC442" s="16"/>
      <c r="AD442" s="16"/>
      <c r="AE442" s="35" t="str">
        <f t="shared" si="6"/>
        <v>EF1 E002 Mat</v>
      </c>
    </row>
    <row r="443" spans="1:31" s="36" customFormat="1" ht="45" x14ac:dyDescent="0.25">
      <c r="A443" s="31" t="s">
        <v>966</v>
      </c>
      <c r="B443" s="16" t="s">
        <v>32</v>
      </c>
      <c r="C443" s="16" t="s">
        <v>33</v>
      </c>
      <c r="D443" s="33" t="s">
        <v>34</v>
      </c>
      <c r="E443" s="33">
        <v>132</v>
      </c>
      <c r="F443" s="33">
        <v>1</v>
      </c>
      <c r="G443" s="33">
        <v>3</v>
      </c>
      <c r="H443" s="33"/>
      <c r="I443" s="31" t="s">
        <v>46</v>
      </c>
      <c r="J443" s="31"/>
      <c r="K443" s="33"/>
      <c r="L443" s="33"/>
      <c r="M443" s="31"/>
      <c r="N443" s="31"/>
      <c r="O443" s="16" t="s">
        <v>967</v>
      </c>
      <c r="P443" s="16"/>
      <c r="Q443" s="16"/>
      <c r="R443" s="33"/>
      <c r="S443" s="34"/>
      <c r="T443" s="34"/>
      <c r="U443" s="34"/>
      <c r="V443" s="34"/>
      <c r="W443" s="34"/>
      <c r="X443" s="33" t="s">
        <v>162</v>
      </c>
      <c r="Y443" s="35" t="str">
        <f>IF(Tabela2[[#This Row],[SIGLA]]="","",VLOOKUP(Tabela2[[#This Row],[SIGLA]],Tabela1[[#All],[Sigla Arte]:[Crédito]],2,0))</f>
        <v>IVY NUNES/ARQUIVO DA EDITORA</v>
      </c>
      <c r="Z443" s="31"/>
      <c r="AA443" s="31" t="str">
        <f>Tabela2[[#This Row],[ILUSTRADOR CRIAÇÃO]]</f>
        <v>IVY NUNES/ARQUIVO DA EDITORA</v>
      </c>
      <c r="AB443" s="33"/>
      <c r="AC443" s="16"/>
      <c r="AD443" s="16"/>
      <c r="AE443" s="35" t="str">
        <f t="shared" si="6"/>
        <v>EF1 E002 Mat</v>
      </c>
    </row>
    <row r="444" spans="1:31" s="36" customFormat="1" ht="45" x14ac:dyDescent="0.25">
      <c r="A444" s="31" t="s">
        <v>968</v>
      </c>
      <c r="B444" s="16" t="s">
        <v>32</v>
      </c>
      <c r="C444" s="16" t="s">
        <v>33</v>
      </c>
      <c r="D444" s="33" t="s">
        <v>34</v>
      </c>
      <c r="E444" s="33">
        <v>132</v>
      </c>
      <c r="F444" s="33">
        <v>1</v>
      </c>
      <c r="G444" s="33">
        <v>3</v>
      </c>
      <c r="H444" s="33"/>
      <c r="I444" s="31" t="s">
        <v>46</v>
      </c>
      <c r="J444" s="31"/>
      <c r="K444" s="33"/>
      <c r="L444" s="33"/>
      <c r="M444" s="31"/>
      <c r="N444" s="31"/>
      <c r="O444" s="16" t="s">
        <v>969</v>
      </c>
      <c r="P444" s="16"/>
      <c r="Q444" s="16"/>
      <c r="R444" s="33"/>
      <c r="S444" s="34"/>
      <c r="T444" s="34"/>
      <c r="U444" s="34"/>
      <c r="V444" s="34"/>
      <c r="W444" s="34"/>
      <c r="X444" s="33" t="s">
        <v>162</v>
      </c>
      <c r="Y444" s="35" t="str">
        <f>IF(Tabela2[[#This Row],[SIGLA]]="","",VLOOKUP(Tabela2[[#This Row],[SIGLA]],Tabela1[[#All],[Sigla Arte]:[Crédito]],2,0))</f>
        <v>IVY NUNES/ARQUIVO DA EDITORA</v>
      </c>
      <c r="Z444" s="31"/>
      <c r="AA444" s="31" t="str">
        <f>Tabela2[[#This Row],[ILUSTRADOR CRIAÇÃO]]</f>
        <v>IVY NUNES/ARQUIVO DA EDITORA</v>
      </c>
      <c r="AB444" s="33"/>
      <c r="AC444" s="16"/>
      <c r="AD444" s="16"/>
      <c r="AE444" s="35" t="str">
        <f t="shared" si="6"/>
        <v>EF1 E002 Mat</v>
      </c>
    </row>
    <row r="445" spans="1:31" s="36" customFormat="1" ht="45" x14ac:dyDescent="0.25">
      <c r="A445" s="31" t="s">
        <v>970</v>
      </c>
      <c r="B445" s="16" t="s">
        <v>32</v>
      </c>
      <c r="C445" s="16" t="s">
        <v>33</v>
      </c>
      <c r="D445" s="33" t="s">
        <v>34</v>
      </c>
      <c r="E445" s="33">
        <v>132</v>
      </c>
      <c r="F445" s="33">
        <v>1</v>
      </c>
      <c r="G445" s="33">
        <v>3</v>
      </c>
      <c r="H445" s="33"/>
      <c r="I445" s="31" t="s">
        <v>46</v>
      </c>
      <c r="J445" s="31"/>
      <c r="K445" s="33"/>
      <c r="L445" s="33"/>
      <c r="M445" s="31"/>
      <c r="N445" s="31"/>
      <c r="O445" s="16" t="s">
        <v>971</v>
      </c>
      <c r="P445" s="16"/>
      <c r="Q445" s="16"/>
      <c r="R445" s="33"/>
      <c r="S445" s="34"/>
      <c r="T445" s="34"/>
      <c r="U445" s="34"/>
      <c r="V445" s="34"/>
      <c r="W445" s="34"/>
      <c r="X445" s="33" t="s">
        <v>162</v>
      </c>
      <c r="Y445" s="35" t="str">
        <f>IF(Tabela2[[#This Row],[SIGLA]]="","",VLOOKUP(Tabela2[[#This Row],[SIGLA]],Tabela1[[#All],[Sigla Arte]:[Crédito]],2,0))</f>
        <v>IVY NUNES/ARQUIVO DA EDITORA</v>
      </c>
      <c r="Z445" s="31"/>
      <c r="AA445" s="31" t="str">
        <f>Tabela2[[#This Row],[ILUSTRADOR CRIAÇÃO]]</f>
        <v>IVY NUNES/ARQUIVO DA EDITORA</v>
      </c>
      <c r="AB445" s="33"/>
      <c r="AC445" s="16"/>
      <c r="AD445" s="16"/>
      <c r="AE445" s="35" t="str">
        <f t="shared" si="6"/>
        <v>EF1 E002 Mat</v>
      </c>
    </row>
    <row r="446" spans="1:31" s="36" customFormat="1" ht="75" x14ac:dyDescent="0.25">
      <c r="A446" s="31" t="s">
        <v>972</v>
      </c>
      <c r="B446" s="16" t="s">
        <v>32</v>
      </c>
      <c r="C446" s="16" t="s">
        <v>33</v>
      </c>
      <c r="D446" s="33" t="s">
        <v>34</v>
      </c>
      <c r="E446" s="33">
        <v>83</v>
      </c>
      <c r="F446" s="33">
        <v>1</v>
      </c>
      <c r="G446" s="33">
        <v>3</v>
      </c>
      <c r="H446" s="33"/>
      <c r="I446" s="31" t="s">
        <v>35</v>
      </c>
      <c r="J446" s="31"/>
      <c r="K446" s="33"/>
      <c r="L446" s="33"/>
      <c r="M446" s="31"/>
      <c r="N446" s="31"/>
      <c r="O446" s="16" t="s">
        <v>973</v>
      </c>
      <c r="P446" s="16"/>
      <c r="Q446" s="16"/>
      <c r="R446" s="33">
        <v>44</v>
      </c>
      <c r="S446" s="34">
        <v>45793</v>
      </c>
      <c r="T446" s="34">
        <v>45796</v>
      </c>
      <c r="U446" s="34"/>
      <c r="V446" s="34"/>
      <c r="W446" s="34">
        <v>45797</v>
      </c>
      <c r="X446" s="33" t="s">
        <v>162</v>
      </c>
      <c r="Y446" s="35" t="str">
        <f>IF(Tabela2[[#This Row],[SIGLA]]="","",VLOOKUP(Tabela2[[#This Row],[SIGLA]],Tabela1[[#All],[Sigla Arte]:[Crédito]],2,0))</f>
        <v>IVY NUNES/ARQUIVO DA EDITORA</v>
      </c>
      <c r="Z446" s="31" t="s">
        <v>221</v>
      </c>
      <c r="AA446" s="31" t="str">
        <f>Tabela2[[#This Row],[ILUSTRADOR CRIAÇÃO]]</f>
        <v>IVY NUNES/ARQUIVO DA EDITORA</v>
      </c>
      <c r="AB446" s="33">
        <v>13</v>
      </c>
      <c r="AC446" s="16" t="s">
        <v>39</v>
      </c>
      <c r="AD446" s="16" t="s">
        <v>40</v>
      </c>
      <c r="AE446" s="35" t="str">
        <f t="shared" si="6"/>
        <v>EF1 E002 Mat</v>
      </c>
    </row>
    <row r="447" spans="1:31" s="36" customFormat="1" ht="75" x14ac:dyDescent="0.25">
      <c r="A447" s="31" t="s">
        <v>974</v>
      </c>
      <c r="B447" s="16" t="s">
        <v>32</v>
      </c>
      <c r="C447" s="16" t="s">
        <v>33</v>
      </c>
      <c r="D447" s="33" t="s">
        <v>34</v>
      </c>
      <c r="E447" s="33">
        <v>83</v>
      </c>
      <c r="F447" s="33">
        <v>1</v>
      </c>
      <c r="G447" s="33">
        <v>3</v>
      </c>
      <c r="H447" s="33"/>
      <c r="I447" s="31" t="s">
        <v>35</v>
      </c>
      <c r="J447" s="31"/>
      <c r="K447" s="33"/>
      <c r="L447" s="33"/>
      <c r="M447" s="31"/>
      <c r="N447" s="31"/>
      <c r="O447" s="16" t="s">
        <v>975</v>
      </c>
      <c r="P447" s="16"/>
      <c r="Q447" s="16"/>
      <c r="R447" s="33">
        <v>44</v>
      </c>
      <c r="S447" s="34">
        <v>45793</v>
      </c>
      <c r="T447" s="34">
        <v>45796</v>
      </c>
      <c r="U447" s="34"/>
      <c r="V447" s="34"/>
      <c r="W447" s="34">
        <v>45797</v>
      </c>
      <c r="X447" s="33" t="s">
        <v>162</v>
      </c>
      <c r="Y447" s="35" t="str">
        <f>IF(Tabela2[[#This Row],[SIGLA]]="","",VLOOKUP(Tabela2[[#This Row],[SIGLA]],Tabela1[[#All],[Sigla Arte]:[Crédito]],2,0))</f>
        <v>IVY NUNES/ARQUIVO DA EDITORA</v>
      </c>
      <c r="Z447" s="31" t="s">
        <v>221</v>
      </c>
      <c r="AA447" s="31" t="str">
        <f>Tabela2[[#This Row],[ILUSTRADOR CRIAÇÃO]]</f>
        <v>IVY NUNES/ARQUIVO DA EDITORA</v>
      </c>
      <c r="AB447" s="33">
        <v>13</v>
      </c>
      <c r="AC447" s="16" t="s">
        <v>39</v>
      </c>
      <c r="AD447" s="16" t="s">
        <v>40</v>
      </c>
      <c r="AE447" s="35" t="str">
        <f t="shared" si="6"/>
        <v>EF1 E002 Mat</v>
      </c>
    </row>
    <row r="448" spans="1:31" s="36" customFormat="1" ht="105" x14ac:dyDescent="0.25">
      <c r="A448" s="31" t="s">
        <v>976</v>
      </c>
      <c r="B448" s="16" t="s">
        <v>32</v>
      </c>
      <c r="C448" s="16" t="s">
        <v>33</v>
      </c>
      <c r="D448" s="33" t="s">
        <v>34</v>
      </c>
      <c r="E448" s="33">
        <v>83</v>
      </c>
      <c r="F448" s="33">
        <v>1</v>
      </c>
      <c r="G448" s="33">
        <v>3</v>
      </c>
      <c r="H448" s="33"/>
      <c r="I448" s="31" t="s">
        <v>35</v>
      </c>
      <c r="J448" s="31"/>
      <c r="K448" s="33"/>
      <c r="L448" s="33"/>
      <c r="M448" s="31"/>
      <c r="N448" s="31"/>
      <c r="O448" s="16" t="s">
        <v>977</v>
      </c>
      <c r="P448" s="16"/>
      <c r="Q448" s="16"/>
      <c r="R448" s="33">
        <v>44</v>
      </c>
      <c r="S448" s="34">
        <v>45793</v>
      </c>
      <c r="T448" s="34">
        <v>45796</v>
      </c>
      <c r="U448" s="34"/>
      <c r="V448" s="34"/>
      <c r="W448" s="34">
        <v>45797</v>
      </c>
      <c r="X448" s="33" t="s">
        <v>162</v>
      </c>
      <c r="Y448" s="35" t="str">
        <f>IF(Tabela2[[#This Row],[SIGLA]]="","",VLOOKUP(Tabela2[[#This Row],[SIGLA]],Tabela1[[#All],[Sigla Arte]:[Crédito]],2,0))</f>
        <v>IVY NUNES/ARQUIVO DA EDITORA</v>
      </c>
      <c r="Z448" s="31" t="s">
        <v>221</v>
      </c>
      <c r="AA448" s="31" t="str">
        <f>Tabela2[[#This Row],[ILUSTRADOR CRIAÇÃO]]</f>
        <v>IVY NUNES/ARQUIVO DA EDITORA</v>
      </c>
      <c r="AB448" s="33">
        <v>13</v>
      </c>
      <c r="AC448" s="16" t="s">
        <v>39</v>
      </c>
      <c r="AD448" s="16" t="s">
        <v>40</v>
      </c>
      <c r="AE448" s="35" t="str">
        <f t="shared" si="6"/>
        <v>EF1 E002 Mat</v>
      </c>
    </row>
    <row r="449" spans="1:31" s="36" customFormat="1" ht="105" x14ac:dyDescent="0.25">
      <c r="A449" s="31" t="s">
        <v>978</v>
      </c>
      <c r="B449" s="16" t="s">
        <v>32</v>
      </c>
      <c r="C449" s="16" t="s">
        <v>33</v>
      </c>
      <c r="D449" s="33" t="s">
        <v>34</v>
      </c>
      <c r="E449" s="33">
        <v>133</v>
      </c>
      <c r="F449" s="33">
        <v>1</v>
      </c>
      <c r="G449" s="33">
        <v>3</v>
      </c>
      <c r="H449" s="33"/>
      <c r="I449" s="31" t="s">
        <v>35</v>
      </c>
      <c r="J449" s="31"/>
      <c r="K449" s="33"/>
      <c r="L449" s="33"/>
      <c r="M449" s="31"/>
      <c r="N449" s="31"/>
      <c r="O449" s="16" t="s">
        <v>979</v>
      </c>
      <c r="P449" s="16"/>
      <c r="Q449" s="16"/>
      <c r="R449" s="33">
        <v>44</v>
      </c>
      <c r="S449" s="34">
        <v>45793</v>
      </c>
      <c r="T449" s="34">
        <v>45796</v>
      </c>
      <c r="U449" s="34"/>
      <c r="V449" s="34"/>
      <c r="W449" s="34">
        <v>45797</v>
      </c>
      <c r="X449" s="33" t="s">
        <v>162</v>
      </c>
      <c r="Y449" s="35" t="str">
        <f>IF(Tabela2[[#This Row],[SIGLA]]="","",VLOOKUP(Tabela2[[#This Row],[SIGLA]],Tabela1[[#All],[Sigla Arte]:[Crédito]],2,0))</f>
        <v>IVY NUNES/ARQUIVO DA EDITORA</v>
      </c>
      <c r="Z449" s="31" t="s">
        <v>221</v>
      </c>
      <c r="AA449" s="31" t="str">
        <f>Tabela2[[#This Row],[ILUSTRADOR CRIAÇÃO]]</f>
        <v>IVY NUNES/ARQUIVO DA EDITORA</v>
      </c>
      <c r="AB449" s="33">
        <v>13</v>
      </c>
      <c r="AC449" s="16" t="s">
        <v>39</v>
      </c>
      <c r="AD449" s="16" t="s">
        <v>40</v>
      </c>
      <c r="AE449" s="35" t="str">
        <f t="shared" si="6"/>
        <v>EF1 E002 Mat</v>
      </c>
    </row>
    <row r="450" spans="1:31" s="36" customFormat="1" ht="45" x14ac:dyDescent="0.25">
      <c r="A450" s="31" t="s">
        <v>980</v>
      </c>
      <c r="B450" s="16" t="s">
        <v>32</v>
      </c>
      <c r="C450" s="16" t="s">
        <v>33</v>
      </c>
      <c r="D450" s="33" t="s">
        <v>34</v>
      </c>
      <c r="E450" s="33">
        <v>133</v>
      </c>
      <c r="F450" s="33">
        <v>1</v>
      </c>
      <c r="G450" s="33">
        <v>3</v>
      </c>
      <c r="H450" s="33"/>
      <c r="I450" s="31" t="s">
        <v>46</v>
      </c>
      <c r="J450" s="31"/>
      <c r="K450" s="33"/>
      <c r="L450" s="33"/>
      <c r="M450" s="31"/>
      <c r="N450" s="31"/>
      <c r="O450" s="16" t="s">
        <v>981</v>
      </c>
      <c r="P450" s="16"/>
      <c r="Q450" s="16"/>
      <c r="R450" s="33"/>
      <c r="S450" s="34"/>
      <c r="T450" s="34"/>
      <c r="U450" s="34"/>
      <c r="V450" s="34"/>
      <c r="W450" s="34"/>
      <c r="X450" s="33" t="s">
        <v>162</v>
      </c>
      <c r="Y450" s="35" t="str">
        <f>IF(Tabela2[[#This Row],[SIGLA]]="","",VLOOKUP(Tabela2[[#This Row],[SIGLA]],Tabela1[[#All],[Sigla Arte]:[Crédito]],2,0))</f>
        <v>IVY NUNES/ARQUIVO DA EDITORA</v>
      </c>
      <c r="Z450" s="31"/>
      <c r="AA450" s="31" t="str">
        <f>Tabela2[[#This Row],[ILUSTRADOR CRIAÇÃO]]</f>
        <v>IVY NUNES/ARQUIVO DA EDITORA</v>
      </c>
      <c r="AB450" s="33"/>
      <c r="AC450" s="16"/>
      <c r="AD450" s="16"/>
      <c r="AE450" s="35" t="str">
        <f t="shared" ref="AE450:AE513" si="7">"EF1 E002 Mat"</f>
        <v>EF1 E002 Mat</v>
      </c>
    </row>
    <row r="451" spans="1:31" s="36" customFormat="1" ht="45" x14ac:dyDescent="0.25">
      <c r="A451" s="31" t="s">
        <v>982</v>
      </c>
      <c r="B451" s="16" t="s">
        <v>32</v>
      </c>
      <c r="C451" s="16" t="s">
        <v>164</v>
      </c>
      <c r="D451" s="33" t="s">
        <v>34</v>
      </c>
      <c r="E451" s="33">
        <v>134</v>
      </c>
      <c r="F451" s="33">
        <v>1</v>
      </c>
      <c r="G451" s="33">
        <v>3</v>
      </c>
      <c r="H451" s="33"/>
      <c r="I451" s="31" t="s">
        <v>46</v>
      </c>
      <c r="J451" s="31"/>
      <c r="K451" s="33"/>
      <c r="L451" s="33"/>
      <c r="M451" s="31"/>
      <c r="N451" s="31"/>
      <c r="O451" s="16" t="s">
        <v>983</v>
      </c>
      <c r="P451" s="16"/>
      <c r="Q451" s="16"/>
      <c r="R451" s="33"/>
      <c r="S451" s="34"/>
      <c r="T451" s="34"/>
      <c r="U451" s="34"/>
      <c r="V451" s="34"/>
      <c r="W451" s="34"/>
      <c r="X451" s="33" t="s">
        <v>184</v>
      </c>
      <c r="Y451" s="35" t="str">
        <f>IF(Tabela2[[#This Row],[SIGLA]]="","",VLOOKUP(Tabela2[[#This Row],[SIGLA]],Tabela1[[#All],[Sigla Arte]:[Crédito]],2,0))</f>
        <v>VER DOCUMENTO DE ILS. TÉCNICAS</v>
      </c>
      <c r="Z451" s="31"/>
      <c r="AA451" s="31" t="s">
        <v>921</v>
      </c>
      <c r="AB451" s="33"/>
      <c r="AC451" s="16"/>
      <c r="AD451" s="16"/>
      <c r="AE451" s="35" t="str">
        <f t="shared" si="7"/>
        <v>EF1 E002 Mat</v>
      </c>
    </row>
    <row r="452" spans="1:31" s="36" customFormat="1" ht="45" x14ac:dyDescent="0.25">
      <c r="A452" s="31" t="s">
        <v>984</v>
      </c>
      <c r="B452" s="16" t="s">
        <v>32</v>
      </c>
      <c r="C452" s="16" t="s">
        <v>164</v>
      </c>
      <c r="D452" s="33" t="s">
        <v>34</v>
      </c>
      <c r="E452" s="33">
        <v>134</v>
      </c>
      <c r="F452" s="33">
        <v>1</v>
      </c>
      <c r="G452" s="33">
        <v>3</v>
      </c>
      <c r="H452" s="33"/>
      <c r="I452" s="31" t="s">
        <v>46</v>
      </c>
      <c r="J452" s="31"/>
      <c r="K452" s="33"/>
      <c r="L452" s="33"/>
      <c r="M452" s="31"/>
      <c r="N452" s="31"/>
      <c r="O452" s="16" t="s">
        <v>985</v>
      </c>
      <c r="P452" s="16"/>
      <c r="Q452" s="16"/>
      <c r="R452" s="33"/>
      <c r="S452" s="34"/>
      <c r="T452" s="34"/>
      <c r="U452" s="34"/>
      <c r="V452" s="34"/>
      <c r="W452" s="34"/>
      <c r="X452" s="33" t="s">
        <v>184</v>
      </c>
      <c r="Y452" s="35" t="str">
        <f>IF(Tabela2[[#This Row],[SIGLA]]="","",VLOOKUP(Tabela2[[#This Row],[SIGLA]],Tabela1[[#All],[Sigla Arte]:[Crédito]],2,0))</f>
        <v>VER DOCUMENTO DE ILS. TÉCNICAS</v>
      </c>
      <c r="Z452" s="31"/>
      <c r="AA452" s="31" t="s">
        <v>921</v>
      </c>
      <c r="AB452" s="33"/>
      <c r="AC452" s="16"/>
      <c r="AD452" s="16"/>
      <c r="AE452" s="35" t="str">
        <f t="shared" si="7"/>
        <v>EF1 E002 Mat</v>
      </c>
    </row>
    <row r="453" spans="1:31" s="36" customFormat="1" ht="45" x14ac:dyDescent="0.25">
      <c r="A453" s="31" t="s">
        <v>986</v>
      </c>
      <c r="B453" s="16" t="s">
        <v>32</v>
      </c>
      <c r="C453" s="16" t="s">
        <v>164</v>
      </c>
      <c r="D453" s="33" t="s">
        <v>34</v>
      </c>
      <c r="E453" s="33">
        <v>134</v>
      </c>
      <c r="F453" s="33">
        <v>1</v>
      </c>
      <c r="G453" s="33">
        <v>3</v>
      </c>
      <c r="H453" s="33"/>
      <c r="I453" s="31" t="s">
        <v>46</v>
      </c>
      <c r="J453" s="31"/>
      <c r="K453" s="33"/>
      <c r="L453" s="33"/>
      <c r="M453" s="31"/>
      <c r="N453" s="31"/>
      <c r="O453" s="16" t="s">
        <v>987</v>
      </c>
      <c r="P453" s="16"/>
      <c r="Q453" s="16"/>
      <c r="R453" s="33"/>
      <c r="S453" s="34"/>
      <c r="T453" s="34"/>
      <c r="U453" s="34"/>
      <c r="V453" s="34"/>
      <c r="W453" s="34"/>
      <c r="X453" s="33" t="s">
        <v>184</v>
      </c>
      <c r="Y453" s="35" t="str">
        <f>IF(Tabela2[[#This Row],[SIGLA]]="","",VLOOKUP(Tabela2[[#This Row],[SIGLA]],Tabela1[[#All],[Sigla Arte]:[Crédito]],2,0))</f>
        <v>VER DOCUMENTO DE ILS. TÉCNICAS</v>
      </c>
      <c r="Z453" s="31"/>
      <c r="AA453" s="31" t="s">
        <v>921</v>
      </c>
      <c r="AB453" s="33"/>
      <c r="AC453" s="16"/>
      <c r="AD453" s="16"/>
      <c r="AE453" s="35" t="str">
        <f t="shared" si="7"/>
        <v>EF1 E002 Mat</v>
      </c>
    </row>
    <row r="454" spans="1:31" s="36" customFormat="1" ht="45" x14ac:dyDescent="0.25">
      <c r="A454" s="31" t="s">
        <v>988</v>
      </c>
      <c r="B454" s="16" t="s">
        <v>32</v>
      </c>
      <c r="C454" s="16" t="s">
        <v>164</v>
      </c>
      <c r="D454" s="33" t="s">
        <v>34</v>
      </c>
      <c r="E454" s="33">
        <v>134</v>
      </c>
      <c r="F454" s="33">
        <v>1</v>
      </c>
      <c r="G454" s="33">
        <v>3</v>
      </c>
      <c r="H454" s="33"/>
      <c r="I454" s="31" t="s">
        <v>46</v>
      </c>
      <c r="J454" s="31"/>
      <c r="K454" s="33"/>
      <c r="L454" s="33"/>
      <c r="M454" s="31"/>
      <c r="N454" s="31"/>
      <c r="O454" s="16" t="s">
        <v>989</v>
      </c>
      <c r="P454" s="16"/>
      <c r="Q454" s="16"/>
      <c r="R454" s="33"/>
      <c r="S454" s="34"/>
      <c r="T454" s="34"/>
      <c r="U454" s="34"/>
      <c r="V454" s="34"/>
      <c r="W454" s="34"/>
      <c r="X454" s="33" t="s">
        <v>184</v>
      </c>
      <c r="Y454" s="35" t="str">
        <f>IF(Tabela2[[#This Row],[SIGLA]]="","",VLOOKUP(Tabela2[[#This Row],[SIGLA]],Tabela1[[#All],[Sigla Arte]:[Crédito]],2,0))</f>
        <v>VER DOCUMENTO DE ILS. TÉCNICAS</v>
      </c>
      <c r="Z454" s="31"/>
      <c r="AA454" s="31" t="s">
        <v>921</v>
      </c>
      <c r="AB454" s="33"/>
      <c r="AC454" s="16"/>
      <c r="AD454" s="16"/>
      <c r="AE454" s="35" t="str">
        <f t="shared" si="7"/>
        <v>EF1 E002 Mat</v>
      </c>
    </row>
    <row r="455" spans="1:31" s="36" customFormat="1" ht="45" x14ac:dyDescent="0.25">
      <c r="A455" s="31" t="s">
        <v>990</v>
      </c>
      <c r="B455" s="16" t="s">
        <v>32</v>
      </c>
      <c r="C455" s="16" t="s">
        <v>164</v>
      </c>
      <c r="D455" s="33" t="s">
        <v>34</v>
      </c>
      <c r="E455" s="33">
        <v>134</v>
      </c>
      <c r="F455" s="33">
        <v>1</v>
      </c>
      <c r="G455" s="33">
        <v>3</v>
      </c>
      <c r="H455" s="33"/>
      <c r="I455" s="31" t="s">
        <v>46</v>
      </c>
      <c r="J455" s="31"/>
      <c r="K455" s="33"/>
      <c r="L455" s="33"/>
      <c r="M455" s="31"/>
      <c r="N455" s="31"/>
      <c r="O455" s="16" t="s">
        <v>991</v>
      </c>
      <c r="P455" s="16"/>
      <c r="Q455" s="16"/>
      <c r="R455" s="33"/>
      <c r="S455" s="34"/>
      <c r="T455" s="34"/>
      <c r="U455" s="34"/>
      <c r="V455" s="34"/>
      <c r="W455" s="34"/>
      <c r="X455" s="33" t="s">
        <v>184</v>
      </c>
      <c r="Y455" s="35" t="str">
        <f>IF(Tabela2[[#This Row],[SIGLA]]="","",VLOOKUP(Tabela2[[#This Row],[SIGLA]],Tabela1[[#All],[Sigla Arte]:[Crédito]],2,0))</f>
        <v>VER DOCUMENTO DE ILS. TÉCNICAS</v>
      </c>
      <c r="Z455" s="31"/>
      <c r="AA455" s="31" t="s">
        <v>921</v>
      </c>
      <c r="AB455" s="33"/>
      <c r="AC455" s="16"/>
      <c r="AD455" s="16"/>
      <c r="AE455" s="35" t="str">
        <f t="shared" si="7"/>
        <v>EF1 E002 Mat</v>
      </c>
    </row>
    <row r="456" spans="1:31" s="36" customFormat="1" ht="45" x14ac:dyDescent="0.25">
      <c r="A456" s="31" t="s">
        <v>992</v>
      </c>
      <c r="B456" s="16" t="s">
        <v>32</v>
      </c>
      <c r="C456" s="16" t="s">
        <v>164</v>
      </c>
      <c r="D456" s="33" t="s">
        <v>34</v>
      </c>
      <c r="E456" s="33">
        <v>135</v>
      </c>
      <c r="F456" s="33">
        <v>1</v>
      </c>
      <c r="G456" s="33">
        <v>3</v>
      </c>
      <c r="H456" s="33"/>
      <c r="I456" s="31" t="s">
        <v>35</v>
      </c>
      <c r="J456" s="31"/>
      <c r="K456" s="33"/>
      <c r="L456" s="33"/>
      <c r="M456" s="31"/>
      <c r="N456" s="31"/>
      <c r="O456" s="16" t="s">
        <v>993</v>
      </c>
      <c r="P456" s="16"/>
      <c r="Q456" s="16"/>
      <c r="R456" s="33">
        <v>98</v>
      </c>
      <c r="S456" s="34">
        <v>45873</v>
      </c>
      <c r="T456" s="34">
        <v>45873</v>
      </c>
      <c r="U456" s="34"/>
      <c r="V456" s="34"/>
      <c r="W456" s="34">
        <v>45873</v>
      </c>
      <c r="X456" s="33" t="s">
        <v>184</v>
      </c>
      <c r="Y456" s="35" t="str">
        <f>IF(Tabela2[[#This Row],[SIGLA]]="","",VLOOKUP(Tabela2[[#This Row],[SIGLA]],Tabela1[[#All],[Sigla Arte]:[Crédito]],2,0))</f>
        <v>VER DOCUMENTO DE ILS. TÉCNICAS</v>
      </c>
      <c r="Z456" s="31" t="s">
        <v>924</v>
      </c>
      <c r="AA456" s="31" t="s">
        <v>921</v>
      </c>
      <c r="AB456" s="33">
        <v>13</v>
      </c>
      <c r="AC456" s="16" t="s">
        <v>222</v>
      </c>
      <c r="AD456" s="16" t="s">
        <v>40</v>
      </c>
      <c r="AE456" s="35" t="str">
        <f t="shared" si="7"/>
        <v>EF1 E002 Mat</v>
      </c>
    </row>
    <row r="457" spans="1:31" s="36" customFormat="1" ht="70.5" customHeight="1" x14ac:dyDescent="0.25">
      <c r="A457" s="31" t="s">
        <v>994</v>
      </c>
      <c r="B457" s="16" t="s">
        <v>32</v>
      </c>
      <c r="C457" s="16" t="s">
        <v>164</v>
      </c>
      <c r="D457" s="33" t="s">
        <v>34</v>
      </c>
      <c r="E457" s="33">
        <v>136</v>
      </c>
      <c r="F457" s="33">
        <v>1</v>
      </c>
      <c r="G457" s="33">
        <v>3</v>
      </c>
      <c r="H457" s="33"/>
      <c r="I457" s="31" t="s">
        <v>995</v>
      </c>
      <c r="J457" s="31"/>
      <c r="K457" s="33"/>
      <c r="L457" s="33"/>
      <c r="M457" s="31"/>
      <c r="N457" s="31"/>
      <c r="O457" s="16" t="s">
        <v>996</v>
      </c>
      <c r="P457" s="16"/>
      <c r="Q457" s="16"/>
      <c r="R457" s="33">
        <v>8</v>
      </c>
      <c r="S457" s="34">
        <v>45737</v>
      </c>
      <c r="T457" s="34">
        <v>45740</v>
      </c>
      <c r="U457" s="34"/>
      <c r="V457" s="34"/>
      <c r="W457" s="34">
        <v>45740</v>
      </c>
      <c r="X457" s="33" t="s">
        <v>184</v>
      </c>
      <c r="Y457" s="35" t="str">
        <f>IF(Tabela2[[#This Row],[SIGLA]]="","",VLOOKUP(Tabela2[[#This Row],[SIGLA]],Tabela1[[#All],[Sigla Arte]:[Crédito]],2,0))</f>
        <v>VER DOCUMENTO DE ILS. TÉCNICAS</v>
      </c>
      <c r="Z457" s="31" t="s">
        <v>383</v>
      </c>
      <c r="AA457" s="31" t="s">
        <v>935</v>
      </c>
      <c r="AB457" s="33">
        <v>13</v>
      </c>
      <c r="AC457" s="16" t="s">
        <v>997</v>
      </c>
      <c r="AD457" s="16" t="s">
        <v>40</v>
      </c>
      <c r="AE457" s="35" t="str">
        <f t="shared" si="7"/>
        <v>EF1 E002 Mat</v>
      </c>
    </row>
    <row r="458" spans="1:31" s="36" customFormat="1" ht="82.5" customHeight="1" x14ac:dyDescent="0.25">
      <c r="A458" s="31" t="s">
        <v>998</v>
      </c>
      <c r="B458" s="16" t="s">
        <v>32</v>
      </c>
      <c r="C458" s="16" t="s">
        <v>164</v>
      </c>
      <c r="D458" s="33" t="s">
        <v>34</v>
      </c>
      <c r="E458" s="33">
        <v>139</v>
      </c>
      <c r="F458" s="33">
        <v>1</v>
      </c>
      <c r="G458" s="33">
        <v>3</v>
      </c>
      <c r="H458" s="33"/>
      <c r="I458" s="31" t="s">
        <v>995</v>
      </c>
      <c r="J458" s="31"/>
      <c r="K458" s="33"/>
      <c r="L458" s="33"/>
      <c r="M458" s="31"/>
      <c r="N458" s="31"/>
      <c r="O458" s="16" t="s">
        <v>999</v>
      </c>
      <c r="P458" s="16"/>
      <c r="Q458" s="16"/>
      <c r="R458" s="33">
        <v>8</v>
      </c>
      <c r="S458" s="34">
        <v>45737</v>
      </c>
      <c r="T458" s="34">
        <v>45740</v>
      </c>
      <c r="U458" s="34"/>
      <c r="V458" s="34"/>
      <c r="W458" s="34">
        <v>45740</v>
      </c>
      <c r="X458" s="33" t="s">
        <v>184</v>
      </c>
      <c r="Y458" s="35" t="str">
        <f>IF(Tabela2[[#This Row],[SIGLA]]="","",VLOOKUP(Tabela2[[#This Row],[SIGLA]],Tabela1[[#All],[Sigla Arte]:[Crédito]],2,0))</f>
        <v>VER DOCUMENTO DE ILS. TÉCNICAS</v>
      </c>
      <c r="Z458" s="31" t="s">
        <v>383</v>
      </c>
      <c r="AA458" s="31" t="s">
        <v>935</v>
      </c>
      <c r="AB458" s="33">
        <v>11</v>
      </c>
      <c r="AC458" s="16" t="s">
        <v>1000</v>
      </c>
      <c r="AD458" s="16" t="s">
        <v>40</v>
      </c>
      <c r="AE458" s="35" t="str">
        <f t="shared" si="7"/>
        <v>EF1 E002 Mat</v>
      </c>
    </row>
    <row r="459" spans="1:31" s="36" customFormat="1" ht="60" x14ac:dyDescent="0.25">
      <c r="A459" s="31" t="s">
        <v>1001</v>
      </c>
      <c r="B459" s="16" t="s">
        <v>32</v>
      </c>
      <c r="C459" s="16" t="s">
        <v>164</v>
      </c>
      <c r="D459" s="33" t="s">
        <v>34</v>
      </c>
      <c r="E459" s="33" t="s">
        <v>189</v>
      </c>
      <c r="F459" s="33">
        <v>1</v>
      </c>
      <c r="G459" s="33">
        <v>3</v>
      </c>
      <c r="H459" s="33"/>
      <c r="I459" s="31" t="s">
        <v>46</v>
      </c>
      <c r="J459" s="31"/>
      <c r="K459" s="33"/>
      <c r="L459" s="33"/>
      <c r="M459" s="31"/>
      <c r="N459" s="31"/>
      <c r="O459" s="16" t="s">
        <v>1002</v>
      </c>
      <c r="P459" s="16"/>
      <c r="Q459" s="16"/>
      <c r="R459" s="33"/>
      <c r="S459" s="34"/>
      <c r="T459" s="34"/>
      <c r="U459" s="34"/>
      <c r="V459" s="34"/>
      <c r="W459" s="34"/>
      <c r="X459" s="33" t="s">
        <v>48</v>
      </c>
      <c r="Y459" s="35" t="str">
        <f>IF(Tabela2[[#This Row],[SIGLA]]="","",VLOOKUP(Tabela2[[#This Row],[SIGLA]],Tabela1[[#All],[Sigla Arte]:[Crédito]],2,0))</f>
        <v>SERGIO LIMA/ARQUIVO DA EDITORA</v>
      </c>
      <c r="Z459" s="31"/>
      <c r="AA459" s="31" t="str">
        <f>Tabela2[[#This Row],[ILUSTRADOR CRIAÇÃO]]</f>
        <v>SERGIO LIMA/ARQUIVO DA EDITORA</v>
      </c>
      <c r="AB459" s="33"/>
      <c r="AC459" s="16"/>
      <c r="AD459" s="16"/>
      <c r="AE459" s="35" t="str">
        <f t="shared" si="7"/>
        <v>EF1 E002 Mat</v>
      </c>
    </row>
    <row r="460" spans="1:31" s="36" customFormat="1" ht="75" x14ac:dyDescent="0.25">
      <c r="A460" s="31" t="s">
        <v>1003</v>
      </c>
      <c r="B460" s="16" t="s">
        <v>32</v>
      </c>
      <c r="C460" s="16" t="s">
        <v>164</v>
      </c>
      <c r="D460" s="33" t="s">
        <v>34</v>
      </c>
      <c r="E460" s="33">
        <v>50</v>
      </c>
      <c r="F460" s="33">
        <v>2</v>
      </c>
      <c r="G460" s="33">
        <v>3</v>
      </c>
      <c r="H460" s="33"/>
      <c r="I460" s="31" t="s">
        <v>46</v>
      </c>
      <c r="J460" s="31"/>
      <c r="K460" s="33"/>
      <c r="L460" s="33"/>
      <c r="M460" s="31"/>
      <c r="N460" s="31"/>
      <c r="O460" s="16" t="s">
        <v>1004</v>
      </c>
      <c r="P460" s="16"/>
      <c r="Q460" s="16"/>
      <c r="R460" s="33"/>
      <c r="S460" s="34"/>
      <c r="T460" s="34"/>
      <c r="U460" s="34"/>
      <c r="V460" s="34"/>
      <c r="W460" s="34"/>
      <c r="X460" s="33" t="s">
        <v>247</v>
      </c>
      <c r="Y460" s="35" t="str">
        <f>IF(Tabela2[[#This Row],[SIGLA]]="","",VLOOKUP(Tabela2[[#This Row],[SIGLA]],Tabela1[[#All],[Sigla Arte]:[Crédito]],2,0))</f>
        <v>THAIS CASTRO/ARQUIVO DA EDITORA</v>
      </c>
      <c r="Z460" s="31"/>
      <c r="AA460" s="31" t="str">
        <f>Tabela2[[#This Row],[ILUSTRADOR CRIAÇÃO]]</f>
        <v>THAIS CASTRO/ARQUIVO DA EDITORA</v>
      </c>
      <c r="AB460" s="33"/>
      <c r="AC460" s="16"/>
      <c r="AD460" s="16"/>
      <c r="AE460" s="35" t="str">
        <f t="shared" si="7"/>
        <v>EF1 E002 Mat</v>
      </c>
    </row>
    <row r="461" spans="1:31" s="36" customFormat="1" ht="60" x14ac:dyDescent="0.25">
      <c r="A461" s="31" t="s">
        <v>1005</v>
      </c>
      <c r="B461" s="16" t="s">
        <v>32</v>
      </c>
      <c r="C461" s="16" t="s">
        <v>164</v>
      </c>
      <c r="D461" s="33" t="s">
        <v>34</v>
      </c>
      <c r="E461" s="33">
        <v>50</v>
      </c>
      <c r="F461" s="33">
        <v>2</v>
      </c>
      <c r="G461" s="33">
        <v>3</v>
      </c>
      <c r="H461" s="33"/>
      <c r="I461" s="31" t="s">
        <v>46</v>
      </c>
      <c r="J461" s="31"/>
      <c r="K461" s="33"/>
      <c r="L461" s="33"/>
      <c r="M461" s="31"/>
      <c r="N461" s="31"/>
      <c r="O461" s="16" t="s">
        <v>1006</v>
      </c>
      <c r="P461" s="16"/>
      <c r="Q461" s="16"/>
      <c r="R461" s="33"/>
      <c r="S461" s="34"/>
      <c r="T461" s="34"/>
      <c r="U461" s="34"/>
      <c r="V461" s="34"/>
      <c r="W461" s="34"/>
      <c r="X461" s="33" t="s">
        <v>247</v>
      </c>
      <c r="Y461" s="35" t="str">
        <f>IF(Tabela2[[#This Row],[SIGLA]]="","",VLOOKUP(Tabela2[[#This Row],[SIGLA]],Tabela1[[#All],[Sigla Arte]:[Crédito]],2,0))</f>
        <v>THAIS CASTRO/ARQUIVO DA EDITORA</v>
      </c>
      <c r="Z461" s="31"/>
      <c r="AA461" s="31" t="str">
        <f>Tabela2[[#This Row],[ILUSTRADOR CRIAÇÃO]]</f>
        <v>THAIS CASTRO/ARQUIVO DA EDITORA</v>
      </c>
      <c r="AB461" s="33"/>
      <c r="AC461" s="16"/>
      <c r="AD461" s="16"/>
      <c r="AE461" s="35" t="str">
        <f t="shared" si="7"/>
        <v>EF1 E002 Mat</v>
      </c>
    </row>
    <row r="462" spans="1:31" s="36" customFormat="1" ht="60" x14ac:dyDescent="0.25">
      <c r="A462" s="31" t="s">
        <v>1007</v>
      </c>
      <c r="B462" s="16" t="s">
        <v>32</v>
      </c>
      <c r="C462" s="16" t="s">
        <v>164</v>
      </c>
      <c r="D462" s="33" t="s">
        <v>34</v>
      </c>
      <c r="E462" s="33">
        <v>50</v>
      </c>
      <c r="F462" s="33">
        <v>2</v>
      </c>
      <c r="G462" s="33">
        <v>3</v>
      </c>
      <c r="H462" s="33"/>
      <c r="I462" s="31" t="s">
        <v>46</v>
      </c>
      <c r="J462" s="31"/>
      <c r="K462" s="33"/>
      <c r="L462" s="33"/>
      <c r="M462" s="31"/>
      <c r="N462" s="31"/>
      <c r="O462" s="16" t="s">
        <v>1008</v>
      </c>
      <c r="P462" s="16"/>
      <c r="Q462" s="16"/>
      <c r="R462" s="33"/>
      <c r="S462" s="34"/>
      <c r="T462" s="34"/>
      <c r="U462" s="34"/>
      <c r="V462" s="34"/>
      <c r="W462" s="34"/>
      <c r="X462" s="33" t="s">
        <v>247</v>
      </c>
      <c r="Y462" s="35" t="str">
        <f>IF(Tabela2[[#This Row],[SIGLA]]="","",VLOOKUP(Tabela2[[#This Row],[SIGLA]],Tabela1[[#All],[Sigla Arte]:[Crédito]],2,0))</f>
        <v>THAIS CASTRO/ARQUIVO DA EDITORA</v>
      </c>
      <c r="Z462" s="31"/>
      <c r="AA462" s="31" t="str">
        <f>Tabela2[[#This Row],[ILUSTRADOR CRIAÇÃO]]</f>
        <v>THAIS CASTRO/ARQUIVO DA EDITORA</v>
      </c>
      <c r="AB462" s="33"/>
      <c r="AC462" s="16"/>
      <c r="AD462" s="16"/>
      <c r="AE462" s="35" t="str">
        <f t="shared" si="7"/>
        <v>EF1 E002 Mat</v>
      </c>
    </row>
    <row r="463" spans="1:31" s="36" customFormat="1" ht="60" x14ac:dyDescent="0.25">
      <c r="A463" s="31" t="s">
        <v>1009</v>
      </c>
      <c r="B463" s="16" t="s">
        <v>32</v>
      </c>
      <c r="C463" s="16" t="s">
        <v>164</v>
      </c>
      <c r="D463" s="33" t="s">
        <v>34</v>
      </c>
      <c r="E463" s="33">
        <v>51</v>
      </c>
      <c r="F463" s="33">
        <v>2</v>
      </c>
      <c r="G463" s="33">
        <v>3</v>
      </c>
      <c r="H463" s="33"/>
      <c r="I463" s="31" t="s">
        <v>46</v>
      </c>
      <c r="J463" s="31"/>
      <c r="K463" s="33"/>
      <c r="L463" s="33"/>
      <c r="M463" s="31"/>
      <c r="N463" s="31"/>
      <c r="O463" s="16" t="s">
        <v>1010</v>
      </c>
      <c r="P463" s="16"/>
      <c r="Q463" s="16"/>
      <c r="R463" s="33"/>
      <c r="S463" s="34"/>
      <c r="T463" s="34"/>
      <c r="U463" s="34"/>
      <c r="V463" s="34"/>
      <c r="W463" s="34"/>
      <c r="X463" s="33" t="s">
        <v>184</v>
      </c>
      <c r="Y463" s="35" t="str">
        <f>IF(Tabela2[[#This Row],[SIGLA]]="","",VLOOKUP(Tabela2[[#This Row],[SIGLA]],Tabela1[[#All],[Sigla Arte]:[Crédito]],2,0))</f>
        <v>VER DOCUMENTO DE ILS. TÉCNICAS</v>
      </c>
      <c r="Z463" s="31"/>
      <c r="AA463" s="31" t="s">
        <v>185</v>
      </c>
      <c r="AB463" s="33"/>
      <c r="AC463" s="16"/>
      <c r="AD463" s="16"/>
      <c r="AE463" s="35" t="str">
        <f t="shared" si="7"/>
        <v>EF1 E002 Mat</v>
      </c>
    </row>
    <row r="464" spans="1:31" s="36" customFormat="1" ht="135" x14ac:dyDescent="0.25">
      <c r="A464" s="31" t="s">
        <v>1011</v>
      </c>
      <c r="B464" s="16" t="s">
        <v>32</v>
      </c>
      <c r="C464" s="16" t="s">
        <v>33</v>
      </c>
      <c r="D464" s="33" t="s">
        <v>34</v>
      </c>
      <c r="E464" s="33">
        <v>51</v>
      </c>
      <c r="F464" s="33">
        <v>2</v>
      </c>
      <c r="G464" s="33">
        <v>3</v>
      </c>
      <c r="H464" s="33"/>
      <c r="I464" s="31" t="s">
        <v>35</v>
      </c>
      <c r="J464" s="31"/>
      <c r="K464" s="33"/>
      <c r="L464" s="33"/>
      <c r="M464" s="31"/>
      <c r="N464" s="31"/>
      <c r="O464" s="16" t="s">
        <v>1012</v>
      </c>
      <c r="P464" s="16"/>
      <c r="Q464" s="16"/>
      <c r="R464" s="33">
        <v>65</v>
      </c>
      <c r="S464" s="34">
        <v>45832</v>
      </c>
      <c r="T464" s="34">
        <v>45832</v>
      </c>
      <c r="U464" s="34"/>
      <c r="V464" s="34"/>
      <c r="W464" s="34">
        <v>45833</v>
      </c>
      <c r="X464" s="33" t="s">
        <v>247</v>
      </c>
      <c r="Y464" s="35" t="str">
        <f>IF(Tabela2[[#This Row],[SIGLA]]="","",VLOOKUP(Tabela2[[#This Row],[SIGLA]],Tabela1[[#All],[Sigla Arte]:[Crédito]],2,0))</f>
        <v>THAIS CASTRO/ARQUIVO DA EDITORA</v>
      </c>
      <c r="Z464" s="31" t="s">
        <v>352</v>
      </c>
      <c r="AA464" s="31" t="str">
        <f>Tabela2[[#This Row],[ILUSTRADOR CRIAÇÃO]]</f>
        <v>THAIS CASTRO/ARQUIVO DA EDITORA</v>
      </c>
      <c r="AB464" s="33">
        <v>13</v>
      </c>
      <c r="AC464" s="16" t="s">
        <v>39</v>
      </c>
      <c r="AD464" s="16" t="s">
        <v>40</v>
      </c>
      <c r="AE464" s="35" t="str">
        <f t="shared" si="7"/>
        <v>EF1 E002 Mat</v>
      </c>
    </row>
    <row r="465" spans="1:31" s="36" customFormat="1" ht="60" x14ac:dyDescent="0.25">
      <c r="A465" s="31" t="s">
        <v>1013</v>
      </c>
      <c r="B465" s="16" t="s">
        <v>401</v>
      </c>
      <c r="C465" s="16" t="s">
        <v>33</v>
      </c>
      <c r="D465" s="33" t="s">
        <v>34</v>
      </c>
      <c r="E465" s="33">
        <v>53</v>
      </c>
      <c r="F465" s="33">
        <v>2</v>
      </c>
      <c r="G465" s="33">
        <v>3</v>
      </c>
      <c r="H465" s="33"/>
      <c r="I465" s="31" t="s">
        <v>35</v>
      </c>
      <c r="J465" s="31"/>
      <c r="K465" s="33"/>
      <c r="L465" s="33"/>
      <c r="M465" s="31"/>
      <c r="N465" s="31"/>
      <c r="O465" s="16" t="s">
        <v>1014</v>
      </c>
      <c r="P465" s="16"/>
      <c r="Q465" s="16" t="s">
        <v>1015</v>
      </c>
      <c r="R465" s="33"/>
      <c r="S465" s="34">
        <v>45832</v>
      </c>
      <c r="T465" s="34">
        <v>45832</v>
      </c>
      <c r="U465" s="34"/>
      <c r="V465" s="34"/>
      <c r="W465" s="34">
        <v>45833</v>
      </c>
      <c r="X465" s="33" t="s">
        <v>247</v>
      </c>
      <c r="Y465" s="35" t="str">
        <f>IF(Tabela2[[#This Row],[SIGLA]]="","",VLOOKUP(Tabela2[[#This Row],[SIGLA]],Tabela1[[#All],[Sigla Arte]:[Crédito]],2,0))</f>
        <v>THAIS CASTRO/ARQUIVO DA EDITORA</v>
      </c>
      <c r="Z465" s="31" t="s">
        <v>352</v>
      </c>
      <c r="AA465" s="31" t="str">
        <f>Tabela2[[#This Row],[ILUSTRADOR CRIAÇÃO]]</f>
        <v>THAIS CASTRO/ARQUIVO DA EDITORA</v>
      </c>
      <c r="AB465" s="33">
        <v>13</v>
      </c>
      <c r="AC465" s="16" t="s">
        <v>39</v>
      </c>
      <c r="AD465" s="16" t="s">
        <v>40</v>
      </c>
      <c r="AE465" s="35" t="str">
        <f t="shared" si="7"/>
        <v>EF1 E002 Mat</v>
      </c>
    </row>
    <row r="466" spans="1:31" s="36" customFormat="1" ht="60" x14ac:dyDescent="0.25">
      <c r="A466" s="31" t="s">
        <v>1016</v>
      </c>
      <c r="B466" s="16" t="s">
        <v>32</v>
      </c>
      <c r="C466" s="16" t="s">
        <v>164</v>
      </c>
      <c r="D466" s="33" t="s">
        <v>34</v>
      </c>
      <c r="E466" s="33">
        <v>54</v>
      </c>
      <c r="F466" s="33">
        <v>2</v>
      </c>
      <c r="G466" s="33">
        <v>3</v>
      </c>
      <c r="H466" s="33"/>
      <c r="I466" s="31" t="s">
        <v>46</v>
      </c>
      <c r="J466" s="31"/>
      <c r="K466" s="33"/>
      <c r="L466" s="33"/>
      <c r="M466" s="31"/>
      <c r="N466" s="31"/>
      <c r="O466" s="16" t="s">
        <v>1017</v>
      </c>
      <c r="P466" s="16"/>
      <c r="Q466" s="16"/>
      <c r="R466" s="33"/>
      <c r="S466" s="34"/>
      <c r="T466" s="34"/>
      <c r="U466" s="34"/>
      <c r="V466" s="34"/>
      <c r="W466" s="34"/>
      <c r="X466" s="33" t="s">
        <v>470</v>
      </c>
      <c r="Y466" s="35" t="str">
        <f>IF(Tabela2[[#This Row],[SIGLA]]="","",VLOOKUP(Tabela2[[#This Row],[SIGLA]],Tabela1[[#All],[Sigla Arte]:[Crédito]],2,0))</f>
        <v>RENAN FONSECA/ARQUIVO DA EDITORA</v>
      </c>
      <c r="Z466" s="31"/>
      <c r="AA466" s="31" t="str">
        <f>Tabela2[[#This Row],[ILUSTRADOR CRIAÇÃO]]</f>
        <v>RENAN FONSECA/ARQUIVO DA EDITORA</v>
      </c>
      <c r="AB466" s="33"/>
      <c r="AC466" s="16"/>
      <c r="AD466" s="16"/>
      <c r="AE466" s="35" t="str">
        <f t="shared" si="7"/>
        <v>EF1 E002 Mat</v>
      </c>
    </row>
    <row r="467" spans="1:31" s="36" customFormat="1" ht="60" x14ac:dyDescent="0.25">
      <c r="A467" s="31" t="s">
        <v>1018</v>
      </c>
      <c r="B467" s="16" t="s">
        <v>401</v>
      </c>
      <c r="C467" s="16" t="s">
        <v>164</v>
      </c>
      <c r="D467" s="33" t="s">
        <v>34</v>
      </c>
      <c r="E467" s="33">
        <v>54</v>
      </c>
      <c r="F467" s="33">
        <v>2</v>
      </c>
      <c r="G467" s="33">
        <v>3</v>
      </c>
      <c r="H467" s="33"/>
      <c r="I467" s="31" t="s">
        <v>46</v>
      </c>
      <c r="J467" s="31"/>
      <c r="K467" s="33"/>
      <c r="L467" s="33"/>
      <c r="M467" s="31"/>
      <c r="N467" s="31"/>
      <c r="O467" s="16" t="s">
        <v>1019</v>
      </c>
      <c r="P467" s="16"/>
      <c r="Q467" s="16"/>
      <c r="R467" s="33"/>
      <c r="S467" s="34"/>
      <c r="T467" s="34"/>
      <c r="U467" s="34"/>
      <c r="V467" s="34"/>
      <c r="W467" s="34"/>
      <c r="X467" s="33" t="s">
        <v>470</v>
      </c>
      <c r="Y467" s="35" t="str">
        <f>IF(Tabela2[[#This Row],[SIGLA]]="","",VLOOKUP(Tabela2[[#This Row],[SIGLA]],Tabela1[[#All],[Sigla Arte]:[Crédito]],2,0))</f>
        <v>RENAN FONSECA/ARQUIVO DA EDITORA</v>
      </c>
      <c r="Z467" s="31"/>
      <c r="AA467" s="31" t="str">
        <f>Tabela2[[#This Row],[ILUSTRADOR CRIAÇÃO]]</f>
        <v>RENAN FONSECA/ARQUIVO DA EDITORA</v>
      </c>
      <c r="AB467" s="33"/>
      <c r="AC467" s="16"/>
      <c r="AD467" s="16"/>
      <c r="AE467" s="35" t="str">
        <f t="shared" si="7"/>
        <v>EF1 E002 Mat</v>
      </c>
    </row>
    <row r="468" spans="1:31" s="36" customFormat="1" ht="60" x14ac:dyDescent="0.25">
      <c r="A468" s="31" t="s">
        <v>1020</v>
      </c>
      <c r="B468" s="16" t="s">
        <v>32</v>
      </c>
      <c r="C468" s="16" t="s">
        <v>164</v>
      </c>
      <c r="D468" s="33" t="s">
        <v>34</v>
      </c>
      <c r="E468" s="33">
        <v>54</v>
      </c>
      <c r="F468" s="33">
        <v>2</v>
      </c>
      <c r="G468" s="33">
        <v>3</v>
      </c>
      <c r="H468" s="33"/>
      <c r="I468" s="31" t="s">
        <v>46</v>
      </c>
      <c r="J468" s="31"/>
      <c r="K468" s="33"/>
      <c r="L468" s="33"/>
      <c r="M468" s="31"/>
      <c r="N468" s="31"/>
      <c r="O468" s="16" t="s">
        <v>1021</v>
      </c>
      <c r="P468" s="16"/>
      <c r="Q468" s="16"/>
      <c r="R468" s="33"/>
      <c r="S468" s="34"/>
      <c r="T468" s="34"/>
      <c r="U468" s="34"/>
      <c r="V468" s="34"/>
      <c r="W468" s="34"/>
      <c r="X468" s="33" t="s">
        <v>470</v>
      </c>
      <c r="Y468" s="35" t="str">
        <f>IF(Tabela2[[#This Row],[SIGLA]]="","",VLOOKUP(Tabela2[[#This Row],[SIGLA]],Tabela1[[#All],[Sigla Arte]:[Crédito]],2,0))</f>
        <v>RENAN FONSECA/ARQUIVO DA EDITORA</v>
      </c>
      <c r="Z468" s="31"/>
      <c r="AA468" s="31" t="str">
        <f>Tabela2[[#This Row],[ILUSTRADOR CRIAÇÃO]]</f>
        <v>RENAN FONSECA/ARQUIVO DA EDITORA</v>
      </c>
      <c r="AB468" s="33"/>
      <c r="AC468" s="16"/>
      <c r="AD468" s="16"/>
      <c r="AE468" s="35" t="str">
        <f t="shared" si="7"/>
        <v>EF1 E002 Mat</v>
      </c>
    </row>
    <row r="469" spans="1:31" s="36" customFormat="1" ht="60" x14ac:dyDescent="0.25">
      <c r="A469" s="31" t="s">
        <v>1022</v>
      </c>
      <c r="B469" s="16" t="s">
        <v>32</v>
      </c>
      <c r="C469" s="16" t="s">
        <v>33</v>
      </c>
      <c r="D469" s="33" t="s">
        <v>34</v>
      </c>
      <c r="E469" s="33">
        <v>55</v>
      </c>
      <c r="F469" s="33">
        <v>2</v>
      </c>
      <c r="G469" s="33">
        <v>3</v>
      </c>
      <c r="H469" s="33"/>
      <c r="I469" s="31" t="s">
        <v>46</v>
      </c>
      <c r="J469" s="31"/>
      <c r="K469" s="33"/>
      <c r="L469" s="33"/>
      <c r="M469" s="31"/>
      <c r="N469" s="31"/>
      <c r="O469" s="16" t="s">
        <v>1023</v>
      </c>
      <c r="P469" s="16"/>
      <c r="Q469" s="16"/>
      <c r="R469" s="33"/>
      <c r="S469" s="34"/>
      <c r="T469" s="34"/>
      <c r="U469" s="34"/>
      <c r="V469" s="34"/>
      <c r="W469" s="34"/>
      <c r="X469" s="33" t="s">
        <v>247</v>
      </c>
      <c r="Y469" s="35" t="str">
        <f>IF(Tabela2[[#This Row],[SIGLA]]="","",VLOOKUP(Tabela2[[#This Row],[SIGLA]],Tabela1[[#All],[Sigla Arte]:[Crédito]],2,0))</f>
        <v>THAIS CASTRO/ARQUIVO DA EDITORA</v>
      </c>
      <c r="Z469" s="31"/>
      <c r="AA469" s="31" t="str">
        <f>Tabela2[[#This Row],[ILUSTRADOR CRIAÇÃO]]</f>
        <v>THAIS CASTRO/ARQUIVO DA EDITORA</v>
      </c>
      <c r="AB469" s="33"/>
      <c r="AC469" s="16"/>
      <c r="AD469" s="16"/>
      <c r="AE469" s="35" t="str">
        <f t="shared" si="7"/>
        <v>EF1 E002 Mat</v>
      </c>
    </row>
    <row r="470" spans="1:31" s="36" customFormat="1" ht="60" x14ac:dyDescent="0.25">
      <c r="A470" s="31" t="s">
        <v>1024</v>
      </c>
      <c r="B470" s="16" t="s">
        <v>32</v>
      </c>
      <c r="C470" s="16" t="s">
        <v>164</v>
      </c>
      <c r="D470" s="33" t="s">
        <v>34</v>
      </c>
      <c r="E470" s="33">
        <v>55</v>
      </c>
      <c r="F470" s="33">
        <v>2</v>
      </c>
      <c r="G470" s="33">
        <v>3</v>
      </c>
      <c r="H470" s="33"/>
      <c r="I470" s="31" t="s">
        <v>46</v>
      </c>
      <c r="J470" s="31"/>
      <c r="K470" s="33"/>
      <c r="L470" s="33"/>
      <c r="M470" s="31"/>
      <c r="N470" s="31"/>
      <c r="O470" s="16" t="s">
        <v>1025</v>
      </c>
      <c r="P470" s="16"/>
      <c r="Q470" s="16"/>
      <c r="R470" s="33"/>
      <c r="S470" s="34"/>
      <c r="T470" s="34"/>
      <c r="U470" s="34"/>
      <c r="V470" s="34"/>
      <c r="W470" s="34"/>
      <c r="X470" s="33" t="s">
        <v>184</v>
      </c>
      <c r="Y470" s="35" t="str">
        <f>IF(Tabela2[[#This Row],[SIGLA]]="","",VLOOKUP(Tabela2[[#This Row],[SIGLA]],Tabela1[[#All],[Sigla Arte]:[Crédito]],2,0))</f>
        <v>VER DOCUMENTO DE ILS. TÉCNICAS</v>
      </c>
      <c r="Z470" s="31"/>
      <c r="AA470" s="31" t="s">
        <v>191</v>
      </c>
      <c r="AB470" s="33"/>
      <c r="AC470" s="16"/>
      <c r="AD470" s="16"/>
      <c r="AE470" s="35" t="str">
        <f t="shared" si="7"/>
        <v>EF1 E002 Mat</v>
      </c>
    </row>
    <row r="471" spans="1:31" s="36" customFormat="1" ht="105" x14ac:dyDescent="0.25">
      <c r="A471" s="31" t="s">
        <v>1026</v>
      </c>
      <c r="B471" s="16" t="s">
        <v>32</v>
      </c>
      <c r="C471" s="16" t="s">
        <v>164</v>
      </c>
      <c r="D471" s="33" t="s">
        <v>34</v>
      </c>
      <c r="E471" s="33">
        <v>55</v>
      </c>
      <c r="F471" s="33">
        <v>2</v>
      </c>
      <c r="G471" s="33">
        <v>3</v>
      </c>
      <c r="H471" s="33"/>
      <c r="I471" s="31" t="s">
        <v>35</v>
      </c>
      <c r="J471" s="31"/>
      <c r="K471" s="33"/>
      <c r="L471" s="33"/>
      <c r="M471" s="31"/>
      <c r="N471" s="31"/>
      <c r="O471" s="16" t="s">
        <v>1027</v>
      </c>
      <c r="P471" s="16"/>
      <c r="Q471" s="16"/>
      <c r="R471" s="33">
        <v>9</v>
      </c>
      <c r="S471" s="34">
        <v>45737</v>
      </c>
      <c r="T471" s="34">
        <v>45740</v>
      </c>
      <c r="U471" s="34"/>
      <c r="V471" s="34"/>
      <c r="W471" s="34">
        <v>45740</v>
      </c>
      <c r="X471" s="33" t="s">
        <v>184</v>
      </c>
      <c r="Y471" s="35" t="str">
        <f>IF(Tabela2[[#This Row],[SIGLA]]="","",VLOOKUP(Tabela2[[#This Row],[SIGLA]],Tabela1[[#All],[Sigla Arte]:[Crédito]],2,0))</f>
        <v>VER DOCUMENTO DE ILS. TÉCNICAS</v>
      </c>
      <c r="Z471" s="31"/>
      <c r="AA471" s="31" t="s">
        <v>191</v>
      </c>
      <c r="AB471" s="33">
        <v>13</v>
      </c>
      <c r="AC471" s="16"/>
      <c r="AD471" s="16" t="s">
        <v>40</v>
      </c>
      <c r="AE471" s="35" t="str">
        <f t="shared" si="7"/>
        <v>EF1 E002 Mat</v>
      </c>
    </row>
    <row r="472" spans="1:31" s="36" customFormat="1" ht="60" x14ac:dyDescent="0.25">
      <c r="A472" s="31" t="s">
        <v>1028</v>
      </c>
      <c r="B472" s="16" t="s">
        <v>32</v>
      </c>
      <c r="C472" s="16" t="s">
        <v>33</v>
      </c>
      <c r="D472" s="33" t="s">
        <v>34</v>
      </c>
      <c r="E472" s="33">
        <v>56</v>
      </c>
      <c r="F472" s="33">
        <v>2</v>
      </c>
      <c r="G472" s="33">
        <v>3</v>
      </c>
      <c r="H472" s="33"/>
      <c r="I472" s="31" t="s">
        <v>46</v>
      </c>
      <c r="J472" s="31"/>
      <c r="K472" s="33"/>
      <c r="L472" s="33"/>
      <c r="M472" s="31"/>
      <c r="N472" s="31"/>
      <c r="O472" s="16" t="s">
        <v>1029</v>
      </c>
      <c r="P472" s="16"/>
      <c r="Q472" s="16"/>
      <c r="R472" s="33"/>
      <c r="S472" s="34"/>
      <c r="T472" s="34"/>
      <c r="U472" s="34"/>
      <c r="V472" s="34"/>
      <c r="W472" s="34"/>
      <c r="X472" s="33" t="s">
        <v>247</v>
      </c>
      <c r="Y472" s="35" t="str">
        <f>IF(Tabela2[[#This Row],[SIGLA]]="","",VLOOKUP(Tabela2[[#This Row],[SIGLA]],Tabela1[[#All],[Sigla Arte]:[Crédito]],2,0))</f>
        <v>THAIS CASTRO/ARQUIVO DA EDITORA</v>
      </c>
      <c r="Z472" s="31"/>
      <c r="AA472" s="31" t="str">
        <f>Tabela2[[#This Row],[ILUSTRADOR CRIAÇÃO]]</f>
        <v>THAIS CASTRO/ARQUIVO DA EDITORA</v>
      </c>
      <c r="AB472" s="33"/>
      <c r="AC472" s="16"/>
      <c r="AD472" s="16"/>
      <c r="AE472" s="35" t="str">
        <f t="shared" si="7"/>
        <v>EF1 E002 Mat</v>
      </c>
    </row>
    <row r="473" spans="1:31" s="36" customFormat="1" ht="60" x14ac:dyDescent="0.25">
      <c r="A473" s="31" t="s">
        <v>1030</v>
      </c>
      <c r="B473" s="16" t="s">
        <v>32</v>
      </c>
      <c r="C473" s="16" t="s">
        <v>33</v>
      </c>
      <c r="D473" s="33" t="s">
        <v>34</v>
      </c>
      <c r="E473" s="33">
        <v>56</v>
      </c>
      <c r="F473" s="33">
        <v>2</v>
      </c>
      <c r="G473" s="33">
        <v>3</v>
      </c>
      <c r="H473" s="33"/>
      <c r="I473" s="31" t="s">
        <v>46</v>
      </c>
      <c r="J473" s="31"/>
      <c r="K473" s="33"/>
      <c r="L473" s="33"/>
      <c r="M473" s="31"/>
      <c r="N473" s="31"/>
      <c r="O473" s="16" t="s">
        <v>1031</v>
      </c>
      <c r="P473" s="16"/>
      <c r="Q473" s="16"/>
      <c r="R473" s="33"/>
      <c r="S473" s="34"/>
      <c r="T473" s="34"/>
      <c r="U473" s="34"/>
      <c r="V473" s="34"/>
      <c r="W473" s="34"/>
      <c r="X473" s="33" t="s">
        <v>247</v>
      </c>
      <c r="Y473" s="35" t="str">
        <f>IF(Tabela2[[#This Row],[SIGLA]]="","",VLOOKUP(Tabela2[[#This Row],[SIGLA]],Tabela1[[#All],[Sigla Arte]:[Crédito]],2,0))</f>
        <v>THAIS CASTRO/ARQUIVO DA EDITORA</v>
      </c>
      <c r="Z473" s="31"/>
      <c r="AA473" s="31" t="str">
        <f>Tabela2[[#This Row],[ILUSTRADOR CRIAÇÃO]]</f>
        <v>THAIS CASTRO/ARQUIVO DA EDITORA</v>
      </c>
      <c r="AB473" s="33"/>
      <c r="AC473" s="16"/>
      <c r="AD473" s="16"/>
      <c r="AE473" s="35" t="str">
        <f t="shared" si="7"/>
        <v>EF1 E002 Mat</v>
      </c>
    </row>
    <row r="474" spans="1:31" s="36" customFormat="1" ht="60" x14ac:dyDescent="0.25">
      <c r="A474" s="31" t="s">
        <v>1032</v>
      </c>
      <c r="B474" s="16" t="s">
        <v>32</v>
      </c>
      <c r="C474" s="16" t="s">
        <v>33</v>
      </c>
      <c r="D474" s="33" t="s">
        <v>34</v>
      </c>
      <c r="E474" s="33">
        <v>56</v>
      </c>
      <c r="F474" s="33">
        <v>2</v>
      </c>
      <c r="G474" s="33">
        <v>3</v>
      </c>
      <c r="H474" s="33"/>
      <c r="I474" s="31" t="s">
        <v>46</v>
      </c>
      <c r="J474" s="31"/>
      <c r="K474" s="33"/>
      <c r="L474" s="33"/>
      <c r="M474" s="31"/>
      <c r="N474" s="31"/>
      <c r="O474" s="16" t="s">
        <v>1033</v>
      </c>
      <c r="P474" s="16"/>
      <c r="Q474" s="16"/>
      <c r="R474" s="33"/>
      <c r="S474" s="34"/>
      <c r="T474" s="34"/>
      <c r="U474" s="34"/>
      <c r="V474" s="34"/>
      <c r="W474" s="34"/>
      <c r="X474" s="33" t="s">
        <v>247</v>
      </c>
      <c r="Y474" s="35" t="str">
        <f>IF(Tabela2[[#This Row],[SIGLA]]="","",VLOOKUP(Tabela2[[#This Row],[SIGLA]],Tabela1[[#All],[Sigla Arte]:[Crédito]],2,0))</f>
        <v>THAIS CASTRO/ARQUIVO DA EDITORA</v>
      </c>
      <c r="Z474" s="31"/>
      <c r="AA474" s="31" t="str">
        <f>Tabela2[[#This Row],[ILUSTRADOR CRIAÇÃO]]</f>
        <v>THAIS CASTRO/ARQUIVO DA EDITORA</v>
      </c>
      <c r="AB474" s="33"/>
      <c r="AC474" s="16"/>
      <c r="AD474" s="16"/>
      <c r="AE474" s="35" t="str">
        <f t="shared" si="7"/>
        <v>EF1 E002 Mat</v>
      </c>
    </row>
    <row r="475" spans="1:31" s="36" customFormat="1" ht="60" x14ac:dyDescent="0.25">
      <c r="A475" s="31" t="s">
        <v>1034</v>
      </c>
      <c r="B475" s="16" t="s">
        <v>32</v>
      </c>
      <c r="C475" s="16" t="s">
        <v>164</v>
      </c>
      <c r="D475" s="33" t="s">
        <v>34</v>
      </c>
      <c r="E475" s="33">
        <v>57</v>
      </c>
      <c r="F475" s="33">
        <v>2</v>
      </c>
      <c r="G475" s="33">
        <v>3</v>
      </c>
      <c r="H475" s="33"/>
      <c r="I475" s="31" t="s">
        <v>46</v>
      </c>
      <c r="J475" s="31"/>
      <c r="K475" s="33"/>
      <c r="L475" s="33"/>
      <c r="M475" s="31"/>
      <c r="N475" s="31"/>
      <c r="O475" s="16" t="s">
        <v>1035</v>
      </c>
      <c r="P475" s="16"/>
      <c r="Q475" s="16"/>
      <c r="R475" s="33"/>
      <c r="S475" s="34"/>
      <c r="T475" s="34"/>
      <c r="U475" s="34"/>
      <c r="V475" s="34"/>
      <c r="W475" s="34"/>
      <c r="X475" s="33" t="s">
        <v>184</v>
      </c>
      <c r="Y475" s="35" t="str">
        <f>IF(Tabela2[[#This Row],[SIGLA]]="","",VLOOKUP(Tabela2[[#This Row],[SIGLA]],Tabela1[[#All],[Sigla Arte]:[Crédito]],2,0))</f>
        <v>VER DOCUMENTO DE ILS. TÉCNICAS</v>
      </c>
      <c r="Z475" s="31"/>
      <c r="AA475" s="31" t="s">
        <v>185</v>
      </c>
      <c r="AB475" s="33"/>
      <c r="AC475" s="16"/>
      <c r="AD475" s="16"/>
      <c r="AE475" s="35" t="str">
        <f t="shared" si="7"/>
        <v>EF1 E002 Mat</v>
      </c>
    </row>
    <row r="476" spans="1:31" s="36" customFormat="1" ht="60" x14ac:dyDescent="0.25">
      <c r="A476" s="31" t="s">
        <v>1036</v>
      </c>
      <c r="B476" s="16" t="s">
        <v>32</v>
      </c>
      <c r="C476" s="16" t="s">
        <v>164</v>
      </c>
      <c r="D476" s="33" t="s">
        <v>34</v>
      </c>
      <c r="E476" s="33">
        <v>57</v>
      </c>
      <c r="F476" s="33">
        <v>2</v>
      </c>
      <c r="G476" s="33">
        <v>3</v>
      </c>
      <c r="H476" s="33"/>
      <c r="I476" s="31" t="s">
        <v>46</v>
      </c>
      <c r="J476" s="31"/>
      <c r="K476" s="33"/>
      <c r="L476" s="33"/>
      <c r="M476" s="31"/>
      <c r="N476" s="31"/>
      <c r="O476" s="16" t="s">
        <v>1037</v>
      </c>
      <c r="P476" s="16"/>
      <c r="Q476" s="16"/>
      <c r="R476" s="33"/>
      <c r="S476" s="34"/>
      <c r="T476" s="34"/>
      <c r="U476" s="34"/>
      <c r="V476" s="34"/>
      <c r="W476" s="34"/>
      <c r="X476" s="33" t="s">
        <v>184</v>
      </c>
      <c r="Y476" s="35" t="str">
        <f>IF(Tabela2[[#This Row],[SIGLA]]="","",VLOOKUP(Tabela2[[#This Row],[SIGLA]],Tabela1[[#All],[Sigla Arte]:[Crédito]],2,0))</f>
        <v>VER DOCUMENTO DE ILS. TÉCNICAS</v>
      </c>
      <c r="Z476" s="31"/>
      <c r="AA476" s="31" t="s">
        <v>185</v>
      </c>
      <c r="AB476" s="33"/>
      <c r="AC476" s="16"/>
      <c r="AD476" s="16"/>
      <c r="AE476" s="35" t="str">
        <f t="shared" si="7"/>
        <v>EF1 E002 Mat</v>
      </c>
    </row>
    <row r="477" spans="1:31" s="36" customFormat="1" ht="60" x14ac:dyDescent="0.25">
      <c r="A477" s="31" t="s">
        <v>1038</v>
      </c>
      <c r="B477" s="16" t="s">
        <v>32</v>
      </c>
      <c r="C477" s="16" t="s">
        <v>164</v>
      </c>
      <c r="D477" s="33" t="s">
        <v>34</v>
      </c>
      <c r="E477" s="33">
        <v>57</v>
      </c>
      <c r="F477" s="33">
        <v>2</v>
      </c>
      <c r="G477" s="33">
        <v>3</v>
      </c>
      <c r="H477" s="33"/>
      <c r="I477" s="31" t="s">
        <v>46</v>
      </c>
      <c r="J477" s="31"/>
      <c r="K477" s="33"/>
      <c r="L477" s="33"/>
      <c r="M477" s="31"/>
      <c r="N477" s="31"/>
      <c r="O477" s="16" t="s">
        <v>1039</v>
      </c>
      <c r="P477" s="16"/>
      <c r="Q477" s="16"/>
      <c r="R477" s="33"/>
      <c r="S477" s="34"/>
      <c r="T477" s="34"/>
      <c r="U477" s="34"/>
      <c r="V477" s="34"/>
      <c r="W477" s="34"/>
      <c r="X477" s="33" t="s">
        <v>184</v>
      </c>
      <c r="Y477" s="35" t="str">
        <f>IF(Tabela2[[#This Row],[SIGLA]]="","",VLOOKUP(Tabela2[[#This Row],[SIGLA]],Tabela1[[#All],[Sigla Arte]:[Crédito]],2,0))</f>
        <v>VER DOCUMENTO DE ILS. TÉCNICAS</v>
      </c>
      <c r="Z477" s="31"/>
      <c r="AA477" s="31" t="s">
        <v>185</v>
      </c>
      <c r="AB477" s="33"/>
      <c r="AC477" s="16"/>
      <c r="AD477" s="16"/>
      <c r="AE477" s="35" t="str">
        <f t="shared" si="7"/>
        <v>EF1 E002 Mat</v>
      </c>
    </row>
    <row r="478" spans="1:31" s="36" customFormat="1" ht="60" x14ac:dyDescent="0.25">
      <c r="A478" s="31" t="s">
        <v>1040</v>
      </c>
      <c r="B478" s="16" t="s">
        <v>32</v>
      </c>
      <c r="C478" s="16" t="s">
        <v>164</v>
      </c>
      <c r="D478" s="33" t="s">
        <v>34</v>
      </c>
      <c r="E478" s="33">
        <v>57</v>
      </c>
      <c r="F478" s="33">
        <v>2</v>
      </c>
      <c r="G478" s="33">
        <v>3</v>
      </c>
      <c r="H478" s="33"/>
      <c r="I478" s="31" t="s">
        <v>46</v>
      </c>
      <c r="J478" s="31"/>
      <c r="K478" s="33"/>
      <c r="L478" s="33"/>
      <c r="M478" s="31"/>
      <c r="N478" s="31"/>
      <c r="O478" s="16" t="s">
        <v>1041</v>
      </c>
      <c r="P478" s="16"/>
      <c r="Q478" s="16"/>
      <c r="R478" s="33"/>
      <c r="S478" s="34"/>
      <c r="T478" s="34"/>
      <c r="U478" s="34"/>
      <c r="V478" s="34"/>
      <c r="W478" s="34"/>
      <c r="X478" s="33" t="s">
        <v>184</v>
      </c>
      <c r="Y478" s="35" t="str">
        <f>IF(Tabela2[[#This Row],[SIGLA]]="","",VLOOKUP(Tabela2[[#This Row],[SIGLA]],Tabela1[[#All],[Sigla Arte]:[Crédito]],2,0))</f>
        <v>VER DOCUMENTO DE ILS. TÉCNICAS</v>
      </c>
      <c r="Z478" s="31"/>
      <c r="AA478" s="31" t="s">
        <v>185</v>
      </c>
      <c r="AB478" s="33"/>
      <c r="AC478" s="16"/>
      <c r="AD478" s="16"/>
      <c r="AE478" s="35" t="str">
        <f t="shared" si="7"/>
        <v>EF1 E002 Mat</v>
      </c>
    </row>
    <row r="479" spans="1:31" s="36" customFormat="1" ht="60" x14ac:dyDescent="0.25">
      <c r="A479" s="31" t="s">
        <v>1042</v>
      </c>
      <c r="B479" s="16" t="s">
        <v>32</v>
      </c>
      <c r="C479" s="16" t="s">
        <v>33</v>
      </c>
      <c r="D479" s="33" t="s">
        <v>34</v>
      </c>
      <c r="E479" s="33">
        <v>59</v>
      </c>
      <c r="F479" s="33">
        <v>2</v>
      </c>
      <c r="G479" s="33">
        <v>3</v>
      </c>
      <c r="H479" s="33"/>
      <c r="I479" s="31" t="s">
        <v>46</v>
      </c>
      <c r="J479" s="31"/>
      <c r="K479" s="33"/>
      <c r="L479" s="33"/>
      <c r="M479" s="31"/>
      <c r="N479" s="31"/>
      <c r="O479" s="16" t="s">
        <v>1043</v>
      </c>
      <c r="P479" s="16"/>
      <c r="Q479" s="16"/>
      <c r="R479" s="33"/>
      <c r="S479" s="34"/>
      <c r="T479" s="34"/>
      <c r="U479" s="34"/>
      <c r="V479" s="34"/>
      <c r="W479" s="34"/>
      <c r="X479" s="33" t="s">
        <v>184</v>
      </c>
      <c r="Y479" s="35" t="str">
        <f>IF(Tabela2[[#This Row],[SIGLA]]="","",VLOOKUP(Tabela2[[#This Row],[SIGLA]],Tabela1[[#All],[Sigla Arte]:[Crédito]],2,0))</f>
        <v>VER DOCUMENTO DE ILS. TÉCNICAS</v>
      </c>
      <c r="Z479" s="31"/>
      <c r="AA479" s="31" t="s">
        <v>191</v>
      </c>
      <c r="AB479" s="33"/>
      <c r="AC479" s="16"/>
      <c r="AD479" s="16"/>
      <c r="AE479" s="35" t="str">
        <f t="shared" si="7"/>
        <v>EF1 E002 Mat</v>
      </c>
    </row>
    <row r="480" spans="1:31" s="36" customFormat="1" ht="60" x14ac:dyDescent="0.25">
      <c r="A480" s="31" t="s">
        <v>1044</v>
      </c>
      <c r="B480" s="16" t="s">
        <v>32</v>
      </c>
      <c r="C480" s="16" t="s">
        <v>33</v>
      </c>
      <c r="D480" s="33" t="s">
        <v>34</v>
      </c>
      <c r="E480" s="33">
        <v>59</v>
      </c>
      <c r="F480" s="33">
        <v>2</v>
      </c>
      <c r="G480" s="33">
        <v>3</v>
      </c>
      <c r="H480" s="33"/>
      <c r="I480" s="31" t="s">
        <v>46</v>
      </c>
      <c r="J480" s="31"/>
      <c r="K480" s="33"/>
      <c r="L480" s="33"/>
      <c r="M480" s="31"/>
      <c r="N480" s="31"/>
      <c r="O480" s="16" t="s">
        <v>1045</v>
      </c>
      <c r="P480" s="16"/>
      <c r="Q480" s="16"/>
      <c r="R480" s="33"/>
      <c r="S480" s="34"/>
      <c r="T480" s="34"/>
      <c r="U480" s="34"/>
      <c r="V480" s="34"/>
      <c r="W480" s="34"/>
      <c r="X480" s="33" t="s">
        <v>184</v>
      </c>
      <c r="Y480" s="35" t="str">
        <f>IF(Tabela2[[#This Row],[SIGLA]]="","",VLOOKUP(Tabela2[[#This Row],[SIGLA]],Tabela1[[#All],[Sigla Arte]:[Crédito]],2,0))</f>
        <v>VER DOCUMENTO DE ILS. TÉCNICAS</v>
      </c>
      <c r="Z480" s="31"/>
      <c r="AA480" s="31" t="s">
        <v>191</v>
      </c>
      <c r="AB480" s="33"/>
      <c r="AC480" s="16"/>
      <c r="AD480" s="16"/>
      <c r="AE480" s="35" t="str">
        <f t="shared" si="7"/>
        <v>EF1 E002 Mat</v>
      </c>
    </row>
    <row r="481" spans="1:31" s="36" customFormat="1" ht="120" x14ac:dyDescent="0.25">
      <c r="A481" s="31" t="s">
        <v>1046</v>
      </c>
      <c r="B481" s="16" t="s">
        <v>32</v>
      </c>
      <c r="C481" s="16" t="s">
        <v>33</v>
      </c>
      <c r="D481" s="33" t="s">
        <v>34</v>
      </c>
      <c r="E481" s="33">
        <v>60</v>
      </c>
      <c r="F481" s="33">
        <v>2</v>
      </c>
      <c r="G481" s="33">
        <v>3</v>
      </c>
      <c r="H481" s="33"/>
      <c r="I481" s="31" t="s">
        <v>35</v>
      </c>
      <c r="J481" s="31"/>
      <c r="K481" s="33"/>
      <c r="L481" s="33"/>
      <c r="M481" s="31"/>
      <c r="N481" s="31"/>
      <c r="O481" s="16" t="s">
        <v>1047</v>
      </c>
      <c r="P481" s="16"/>
      <c r="Q481" s="16"/>
      <c r="R481" s="33">
        <v>65</v>
      </c>
      <c r="S481" s="34">
        <v>45832</v>
      </c>
      <c r="T481" s="34">
        <v>45832</v>
      </c>
      <c r="U481" s="34"/>
      <c r="V481" s="34"/>
      <c r="W481" s="34">
        <v>45833</v>
      </c>
      <c r="X481" s="33" t="s">
        <v>247</v>
      </c>
      <c r="Y481" s="35" t="str">
        <f>IF(Tabela2[[#This Row],[SIGLA]]="","",VLOOKUP(Tabela2[[#This Row],[SIGLA]],Tabela1[[#All],[Sigla Arte]:[Crédito]],2,0))</f>
        <v>THAIS CASTRO/ARQUIVO DA EDITORA</v>
      </c>
      <c r="Z481" s="31" t="s">
        <v>352</v>
      </c>
      <c r="AA481" s="31" t="str">
        <f>Tabela2[[#This Row],[ILUSTRADOR CRIAÇÃO]]</f>
        <v>THAIS CASTRO/ARQUIVO DA EDITORA</v>
      </c>
      <c r="AB481" s="33">
        <v>13</v>
      </c>
      <c r="AC481" s="16" t="s">
        <v>39</v>
      </c>
      <c r="AD481" s="16" t="s">
        <v>40</v>
      </c>
      <c r="AE481" s="35" t="str">
        <f t="shared" si="7"/>
        <v>EF1 E002 Mat</v>
      </c>
    </row>
    <row r="482" spans="1:31" s="36" customFormat="1" ht="75" x14ac:dyDescent="0.25">
      <c r="A482" s="31" t="s">
        <v>1048</v>
      </c>
      <c r="B482" s="16" t="s">
        <v>32</v>
      </c>
      <c r="C482" s="16" t="s">
        <v>33</v>
      </c>
      <c r="D482" s="33" t="s">
        <v>34</v>
      </c>
      <c r="E482" s="33" t="s">
        <v>189</v>
      </c>
      <c r="F482" s="33">
        <v>2</v>
      </c>
      <c r="G482" s="33">
        <v>3</v>
      </c>
      <c r="H482" s="33"/>
      <c r="I482" s="31" t="s">
        <v>35</v>
      </c>
      <c r="J482" s="31"/>
      <c r="K482" s="33"/>
      <c r="L482" s="33"/>
      <c r="M482" s="31"/>
      <c r="N482" s="31"/>
      <c r="O482" s="16" t="s">
        <v>1049</v>
      </c>
      <c r="P482" s="16"/>
      <c r="Q482" s="16"/>
      <c r="R482" s="33">
        <v>80</v>
      </c>
      <c r="S482" s="34">
        <v>45852</v>
      </c>
      <c r="T482" s="34">
        <v>45853</v>
      </c>
      <c r="U482" s="34"/>
      <c r="V482" s="34"/>
      <c r="W482" s="34">
        <v>45853</v>
      </c>
      <c r="X482" s="33" t="s">
        <v>703</v>
      </c>
      <c r="Y482" s="35" t="str">
        <f>IF(Tabela2[[#This Row],[SIGLA]]="","",VLOOKUP(Tabela2[[#This Row],[SIGLA]],Tabela1[[#All],[Sigla Arte]:[Crédito]],2,0))</f>
        <v>KLEBER MAURÍCIO COELHO/ARQUIVO DA EDITORA</v>
      </c>
      <c r="Z482" s="31" t="s">
        <v>924</v>
      </c>
      <c r="AA482" s="31" t="str">
        <f>Tabela2[[#This Row],[ILUSTRADOR CRIAÇÃO]]</f>
        <v>KLEBER MAURÍCIO COELHO/ARQUIVO DA EDITORA</v>
      </c>
      <c r="AB482" s="33">
        <v>13</v>
      </c>
      <c r="AC482" s="16" t="s">
        <v>222</v>
      </c>
      <c r="AD482" s="16" t="s">
        <v>40</v>
      </c>
      <c r="AE482" s="35" t="str">
        <f t="shared" si="7"/>
        <v>EF1 E002 Mat</v>
      </c>
    </row>
    <row r="483" spans="1:31" s="36" customFormat="1" ht="75" x14ac:dyDescent="0.25">
      <c r="A483" s="31" t="s">
        <v>1050</v>
      </c>
      <c r="B483" s="16" t="s">
        <v>32</v>
      </c>
      <c r="C483" s="16" t="s">
        <v>33</v>
      </c>
      <c r="D483" s="33" t="s">
        <v>34</v>
      </c>
      <c r="E483" s="33">
        <v>61</v>
      </c>
      <c r="F483" s="33">
        <v>2</v>
      </c>
      <c r="G483" s="33">
        <v>3</v>
      </c>
      <c r="H483" s="33"/>
      <c r="I483" s="31" t="s">
        <v>46</v>
      </c>
      <c r="J483" s="31"/>
      <c r="K483" s="33"/>
      <c r="L483" s="33"/>
      <c r="M483" s="31"/>
      <c r="N483" s="31"/>
      <c r="O483" s="16" t="s">
        <v>1051</v>
      </c>
      <c r="P483" s="16"/>
      <c r="Q483" s="16"/>
      <c r="R483" s="33"/>
      <c r="S483" s="34"/>
      <c r="T483" s="34"/>
      <c r="U483" s="34"/>
      <c r="V483" s="34"/>
      <c r="W483" s="34"/>
      <c r="X483" s="33" t="s">
        <v>247</v>
      </c>
      <c r="Y483" s="35" t="str">
        <f>IF(Tabela2[[#This Row],[SIGLA]]="","",VLOOKUP(Tabela2[[#This Row],[SIGLA]],Tabela1[[#All],[Sigla Arte]:[Crédito]],2,0))</f>
        <v>THAIS CASTRO/ARQUIVO DA EDITORA</v>
      </c>
      <c r="Z483" s="31"/>
      <c r="AA483" s="31" t="str">
        <f>Tabela2[[#This Row],[ILUSTRADOR CRIAÇÃO]]</f>
        <v>THAIS CASTRO/ARQUIVO DA EDITORA</v>
      </c>
      <c r="AB483" s="33"/>
      <c r="AC483" s="16"/>
      <c r="AD483" s="16"/>
      <c r="AE483" s="35" t="str">
        <f t="shared" si="7"/>
        <v>EF1 E002 Mat</v>
      </c>
    </row>
    <row r="484" spans="1:31" s="36" customFormat="1" ht="60" x14ac:dyDescent="0.25">
      <c r="A484" s="31" t="s">
        <v>1052</v>
      </c>
      <c r="B484" s="16" t="s">
        <v>32</v>
      </c>
      <c r="C484" s="16" t="s">
        <v>164</v>
      </c>
      <c r="D484" s="33" t="s">
        <v>34</v>
      </c>
      <c r="E484" s="33">
        <v>62</v>
      </c>
      <c r="F484" s="33">
        <v>2</v>
      </c>
      <c r="G484" s="33">
        <v>3</v>
      </c>
      <c r="H484" s="33"/>
      <c r="I484" s="31" t="s">
        <v>46</v>
      </c>
      <c r="J484" s="31"/>
      <c r="K484" s="33"/>
      <c r="L484" s="33"/>
      <c r="M484" s="31"/>
      <c r="N484" s="31"/>
      <c r="O484" s="16" t="s">
        <v>1053</v>
      </c>
      <c r="P484" s="16"/>
      <c r="Q484" s="16"/>
      <c r="R484" s="33"/>
      <c r="S484" s="34"/>
      <c r="T484" s="34"/>
      <c r="U484" s="34"/>
      <c r="V484" s="34"/>
      <c r="W484" s="34"/>
      <c r="X484" s="33" t="s">
        <v>184</v>
      </c>
      <c r="Y484" s="35" t="str">
        <f>IF(Tabela2[[#This Row],[SIGLA]]="","",VLOOKUP(Tabela2[[#This Row],[SIGLA]],Tabela1[[#All],[Sigla Arte]:[Crédito]],2,0))</f>
        <v>VER DOCUMENTO DE ILS. TÉCNICAS</v>
      </c>
      <c r="Z484" s="31"/>
      <c r="AA484" s="31" t="s">
        <v>185</v>
      </c>
      <c r="AB484" s="33"/>
      <c r="AC484" s="16"/>
      <c r="AD484" s="16"/>
      <c r="AE484" s="35" t="str">
        <f t="shared" si="7"/>
        <v>EF1 E002 Mat</v>
      </c>
    </row>
    <row r="485" spans="1:31" s="36" customFormat="1" ht="60" x14ac:dyDescent="0.25">
      <c r="A485" s="31" t="s">
        <v>1054</v>
      </c>
      <c r="B485" s="16" t="s">
        <v>32</v>
      </c>
      <c r="C485" s="16" t="s">
        <v>164</v>
      </c>
      <c r="D485" s="33" t="s">
        <v>34</v>
      </c>
      <c r="E485" s="33">
        <v>64</v>
      </c>
      <c r="F485" s="33">
        <v>2</v>
      </c>
      <c r="G485" s="33">
        <v>3</v>
      </c>
      <c r="H485" s="33"/>
      <c r="I485" s="31" t="s">
        <v>46</v>
      </c>
      <c r="J485" s="31"/>
      <c r="K485" s="33"/>
      <c r="L485" s="33"/>
      <c r="M485" s="31"/>
      <c r="N485" s="31"/>
      <c r="O485" s="16" t="s">
        <v>1055</v>
      </c>
      <c r="P485" s="16"/>
      <c r="Q485" s="16"/>
      <c r="R485" s="33"/>
      <c r="S485" s="34"/>
      <c r="T485" s="34"/>
      <c r="U485" s="34"/>
      <c r="V485" s="34"/>
      <c r="W485" s="34"/>
      <c r="X485" s="33" t="s">
        <v>470</v>
      </c>
      <c r="Y485" s="35" t="str">
        <f>IF(Tabela2[[#This Row],[SIGLA]]="","",VLOOKUP(Tabela2[[#This Row],[SIGLA]],Tabela1[[#All],[Sigla Arte]:[Crédito]],2,0))</f>
        <v>RENAN FONSECA/ARQUIVO DA EDITORA</v>
      </c>
      <c r="Z485" s="31"/>
      <c r="AA485" s="31" t="str">
        <f>Tabela2[[#This Row],[ILUSTRADOR CRIAÇÃO]]</f>
        <v>RENAN FONSECA/ARQUIVO DA EDITORA</v>
      </c>
      <c r="AB485" s="33"/>
      <c r="AC485" s="16"/>
      <c r="AD485" s="16"/>
      <c r="AE485" s="35" t="str">
        <f t="shared" si="7"/>
        <v>EF1 E002 Mat</v>
      </c>
    </row>
    <row r="486" spans="1:31" s="36" customFormat="1" ht="60" x14ac:dyDescent="0.25">
      <c r="A486" s="31" t="s">
        <v>1056</v>
      </c>
      <c r="B486" s="16" t="s">
        <v>32</v>
      </c>
      <c r="C486" s="16" t="s">
        <v>164</v>
      </c>
      <c r="D486" s="33" t="s">
        <v>34</v>
      </c>
      <c r="E486" s="33">
        <v>64</v>
      </c>
      <c r="F486" s="33">
        <v>2</v>
      </c>
      <c r="G486" s="33">
        <v>3</v>
      </c>
      <c r="H486" s="33"/>
      <c r="I486" s="31" t="s">
        <v>46</v>
      </c>
      <c r="J486" s="31"/>
      <c r="K486" s="33"/>
      <c r="L486" s="33"/>
      <c r="M486" s="31"/>
      <c r="N486" s="31"/>
      <c r="O486" s="16" t="s">
        <v>1057</v>
      </c>
      <c r="P486" s="16"/>
      <c r="Q486" s="16"/>
      <c r="R486" s="33"/>
      <c r="S486" s="34"/>
      <c r="T486" s="34"/>
      <c r="U486" s="34"/>
      <c r="V486" s="34"/>
      <c r="W486" s="34"/>
      <c r="X486" s="33" t="s">
        <v>470</v>
      </c>
      <c r="Y486" s="35" t="str">
        <f>IF(Tabela2[[#This Row],[SIGLA]]="","",VLOOKUP(Tabela2[[#This Row],[SIGLA]],Tabela1[[#All],[Sigla Arte]:[Crédito]],2,0))</f>
        <v>RENAN FONSECA/ARQUIVO DA EDITORA</v>
      </c>
      <c r="Z486" s="31"/>
      <c r="AA486" s="31" t="str">
        <f>Tabela2[[#This Row],[ILUSTRADOR CRIAÇÃO]]</f>
        <v>RENAN FONSECA/ARQUIVO DA EDITORA</v>
      </c>
      <c r="AB486" s="33"/>
      <c r="AC486" s="16"/>
      <c r="AD486" s="16"/>
      <c r="AE486" s="35" t="str">
        <f t="shared" si="7"/>
        <v>EF1 E002 Mat</v>
      </c>
    </row>
    <row r="487" spans="1:31" s="36" customFormat="1" ht="135" x14ac:dyDescent="0.25">
      <c r="A487" s="31" t="s">
        <v>1058</v>
      </c>
      <c r="B487" s="16" t="s">
        <v>32</v>
      </c>
      <c r="C487" s="16" t="s">
        <v>33</v>
      </c>
      <c r="D487" s="33" t="s">
        <v>34</v>
      </c>
      <c r="E487" s="33">
        <v>65</v>
      </c>
      <c r="F487" s="33">
        <v>2</v>
      </c>
      <c r="G487" s="33">
        <v>3</v>
      </c>
      <c r="H487" s="33"/>
      <c r="I487" s="31" t="s">
        <v>35</v>
      </c>
      <c r="J487" s="31"/>
      <c r="K487" s="33"/>
      <c r="L487" s="33"/>
      <c r="M487" s="31"/>
      <c r="N487" s="31"/>
      <c r="O487" s="16" t="s">
        <v>1059</v>
      </c>
      <c r="P487" s="16"/>
      <c r="Q487" s="16"/>
      <c r="R487" s="33">
        <v>65</v>
      </c>
      <c r="S487" s="34">
        <v>45832</v>
      </c>
      <c r="T487" s="34">
        <v>45832</v>
      </c>
      <c r="U487" s="34"/>
      <c r="V487" s="34"/>
      <c r="W487" s="34">
        <v>45833</v>
      </c>
      <c r="X487" s="33" t="s">
        <v>1060</v>
      </c>
      <c r="Y487" s="35" t="str">
        <f>IF(Tabela2[[#This Row],[SIGLA]]="","",VLOOKUP(Tabela2[[#This Row],[SIGLA]],Tabela1[[#All],[Sigla Arte]:[Crédito]],2,0))</f>
        <v>DANIEL CARVALHO/ARQUIVO DA EDITORA</v>
      </c>
      <c r="Z487" s="31" t="s">
        <v>352</v>
      </c>
      <c r="AA487" s="31" t="str">
        <f>Tabela2[[#This Row],[ILUSTRADOR CRIAÇÃO]]</f>
        <v>DANIEL CARVALHO/ARQUIVO DA EDITORA</v>
      </c>
      <c r="AB487" s="33">
        <v>14</v>
      </c>
      <c r="AC487" s="16" t="s">
        <v>39</v>
      </c>
      <c r="AD487" s="16" t="s">
        <v>40</v>
      </c>
      <c r="AE487" s="35" t="str">
        <f t="shared" si="7"/>
        <v>EF1 E002 Mat</v>
      </c>
    </row>
    <row r="488" spans="1:31" s="36" customFormat="1" ht="60" x14ac:dyDescent="0.25">
      <c r="A488" s="31" t="s">
        <v>1061</v>
      </c>
      <c r="B488" s="16" t="s">
        <v>32</v>
      </c>
      <c r="C488" s="16" t="s">
        <v>164</v>
      </c>
      <c r="D488" s="33" t="s">
        <v>34</v>
      </c>
      <c r="E488" s="33">
        <v>66</v>
      </c>
      <c r="F488" s="33">
        <v>2</v>
      </c>
      <c r="G488" s="33">
        <v>3</v>
      </c>
      <c r="H488" s="33"/>
      <c r="I488" s="31" t="s">
        <v>46</v>
      </c>
      <c r="J488" s="31"/>
      <c r="K488" s="33"/>
      <c r="L488" s="33"/>
      <c r="M488" s="31"/>
      <c r="N488" s="31"/>
      <c r="O488" s="16" t="s">
        <v>1062</v>
      </c>
      <c r="P488" s="16"/>
      <c r="Q488" s="16"/>
      <c r="R488" s="33"/>
      <c r="S488" s="34"/>
      <c r="T488" s="34"/>
      <c r="U488" s="34"/>
      <c r="V488" s="34"/>
      <c r="W488" s="34"/>
      <c r="X488" s="33" t="s">
        <v>184</v>
      </c>
      <c r="Y488" s="35" t="str">
        <f>IF(Tabela2[[#This Row],[SIGLA]]="","",VLOOKUP(Tabela2[[#This Row],[SIGLA]],Tabela1[[#All],[Sigla Arte]:[Crédito]],2,0))</f>
        <v>VER DOCUMENTO DE ILS. TÉCNICAS</v>
      </c>
      <c r="Z488" s="31"/>
      <c r="AA488" s="31" t="s">
        <v>185</v>
      </c>
      <c r="AB488" s="33"/>
      <c r="AC488" s="16"/>
      <c r="AD488" s="16"/>
      <c r="AE488" s="35" t="str">
        <f t="shared" si="7"/>
        <v>EF1 E002 Mat</v>
      </c>
    </row>
    <row r="489" spans="1:31" s="36" customFormat="1" ht="60" x14ac:dyDescent="0.25">
      <c r="A489" s="31" t="s">
        <v>1063</v>
      </c>
      <c r="B489" s="16" t="s">
        <v>32</v>
      </c>
      <c r="C489" s="16" t="s">
        <v>164</v>
      </c>
      <c r="D489" s="33" t="s">
        <v>34</v>
      </c>
      <c r="E489" s="33">
        <v>66</v>
      </c>
      <c r="F489" s="33">
        <v>2</v>
      </c>
      <c r="G489" s="33">
        <v>3</v>
      </c>
      <c r="H489" s="33"/>
      <c r="I489" s="31" t="s">
        <v>46</v>
      </c>
      <c r="J489" s="31"/>
      <c r="K489" s="33"/>
      <c r="L489" s="33"/>
      <c r="M489" s="31"/>
      <c r="N489" s="31"/>
      <c r="O489" s="16" t="s">
        <v>1064</v>
      </c>
      <c r="P489" s="16"/>
      <c r="Q489" s="16"/>
      <c r="R489" s="33"/>
      <c r="S489" s="34"/>
      <c r="T489" s="34"/>
      <c r="U489" s="34"/>
      <c r="V489" s="34"/>
      <c r="W489" s="34"/>
      <c r="X489" s="33" t="s">
        <v>184</v>
      </c>
      <c r="Y489" s="35" t="str">
        <f>IF(Tabela2[[#This Row],[SIGLA]]="","",VLOOKUP(Tabela2[[#This Row],[SIGLA]],Tabela1[[#All],[Sigla Arte]:[Crédito]],2,0))</f>
        <v>VER DOCUMENTO DE ILS. TÉCNICAS</v>
      </c>
      <c r="Z489" s="31"/>
      <c r="AA489" s="31" t="s">
        <v>185</v>
      </c>
      <c r="AB489" s="33"/>
      <c r="AC489" s="16"/>
      <c r="AD489" s="16"/>
      <c r="AE489" s="35" t="str">
        <f t="shared" si="7"/>
        <v>EF1 E002 Mat</v>
      </c>
    </row>
    <row r="490" spans="1:31" s="36" customFormat="1" ht="60" x14ac:dyDescent="0.25">
      <c r="A490" s="31" t="s">
        <v>1065</v>
      </c>
      <c r="B490" s="16" t="s">
        <v>32</v>
      </c>
      <c r="C490" s="16" t="s">
        <v>164</v>
      </c>
      <c r="D490" s="33" t="s">
        <v>34</v>
      </c>
      <c r="E490" s="33">
        <v>68</v>
      </c>
      <c r="F490" s="33">
        <v>2</v>
      </c>
      <c r="G490" s="33">
        <v>3</v>
      </c>
      <c r="H490" s="33"/>
      <c r="I490" s="31" t="s">
        <v>46</v>
      </c>
      <c r="J490" s="31"/>
      <c r="K490" s="33"/>
      <c r="L490" s="33"/>
      <c r="M490" s="31"/>
      <c r="N490" s="31"/>
      <c r="O490" s="16" t="s">
        <v>1066</v>
      </c>
      <c r="P490" s="16"/>
      <c r="Q490" s="16"/>
      <c r="R490" s="33"/>
      <c r="S490" s="34"/>
      <c r="T490" s="34"/>
      <c r="U490" s="34"/>
      <c r="V490" s="34"/>
      <c r="W490" s="34"/>
      <c r="X490" s="33" t="s">
        <v>184</v>
      </c>
      <c r="Y490" s="35" t="str">
        <f>IF(Tabela2[[#This Row],[SIGLA]]="","",VLOOKUP(Tabela2[[#This Row],[SIGLA]],Tabela1[[#All],[Sigla Arte]:[Crédito]],2,0))</f>
        <v>VER DOCUMENTO DE ILS. TÉCNICAS</v>
      </c>
      <c r="Z490" s="31"/>
      <c r="AA490" s="31" t="s">
        <v>185</v>
      </c>
      <c r="AB490" s="33"/>
      <c r="AC490" s="16"/>
      <c r="AD490" s="16"/>
      <c r="AE490" s="35" t="str">
        <f t="shared" si="7"/>
        <v>EF1 E002 Mat</v>
      </c>
    </row>
    <row r="491" spans="1:31" s="36" customFormat="1" ht="75" x14ac:dyDescent="0.25">
      <c r="A491" s="31" t="s">
        <v>1067</v>
      </c>
      <c r="B491" s="16" t="s">
        <v>32</v>
      </c>
      <c r="C491" s="16" t="s">
        <v>164</v>
      </c>
      <c r="D491" s="33" t="s">
        <v>34</v>
      </c>
      <c r="E491" s="33">
        <v>68</v>
      </c>
      <c r="F491" s="33">
        <v>2</v>
      </c>
      <c r="G491" s="33">
        <v>3</v>
      </c>
      <c r="H491" s="33"/>
      <c r="I491" s="31" t="s">
        <v>46</v>
      </c>
      <c r="J491" s="31"/>
      <c r="K491" s="33"/>
      <c r="L491" s="33"/>
      <c r="M491" s="31"/>
      <c r="N491" s="31"/>
      <c r="O491" s="16" t="s">
        <v>1068</v>
      </c>
      <c r="P491" s="16"/>
      <c r="Q491" s="16"/>
      <c r="R491" s="33"/>
      <c r="S491" s="34"/>
      <c r="T491" s="34"/>
      <c r="U491" s="34"/>
      <c r="V491" s="34"/>
      <c r="W491" s="34"/>
      <c r="X491" s="33" t="s">
        <v>184</v>
      </c>
      <c r="Y491" s="35" t="str">
        <f>IF(Tabela2[[#This Row],[SIGLA]]="","",VLOOKUP(Tabela2[[#This Row],[SIGLA]],Tabela1[[#All],[Sigla Arte]:[Crédito]],2,0))</f>
        <v>VER DOCUMENTO DE ILS. TÉCNICAS</v>
      </c>
      <c r="Z491" s="31"/>
      <c r="AA491" s="31" t="s">
        <v>185</v>
      </c>
      <c r="AB491" s="33"/>
      <c r="AC491" s="16"/>
      <c r="AD491" s="16"/>
      <c r="AE491" s="35" t="str">
        <f t="shared" si="7"/>
        <v>EF1 E002 Mat</v>
      </c>
    </row>
    <row r="492" spans="1:31" s="36" customFormat="1" ht="30" x14ac:dyDescent="0.25">
      <c r="A492" s="31" t="s">
        <v>1069</v>
      </c>
      <c r="B492" s="16" t="s">
        <v>32</v>
      </c>
      <c r="C492" s="16" t="s">
        <v>164</v>
      </c>
      <c r="D492" s="33" t="s">
        <v>34</v>
      </c>
      <c r="E492" s="33">
        <v>76</v>
      </c>
      <c r="F492" s="33">
        <v>2</v>
      </c>
      <c r="G492" s="33">
        <v>4</v>
      </c>
      <c r="H492" s="33"/>
      <c r="I492" s="31" t="s">
        <v>46</v>
      </c>
      <c r="J492" s="31"/>
      <c r="K492" s="33"/>
      <c r="L492" s="33"/>
      <c r="M492" s="31"/>
      <c r="N492" s="31"/>
      <c r="O492" s="16" t="s">
        <v>1070</v>
      </c>
      <c r="P492" s="16"/>
      <c r="Q492" s="16"/>
      <c r="R492" s="33"/>
      <c r="S492" s="34"/>
      <c r="T492" s="34"/>
      <c r="U492" s="34"/>
      <c r="V492" s="34"/>
      <c r="W492" s="34"/>
      <c r="X492" s="33" t="s">
        <v>184</v>
      </c>
      <c r="Y492" s="35" t="str">
        <f>IF(Tabela2[[#This Row],[SIGLA]]="","",VLOOKUP(Tabela2[[#This Row],[SIGLA]],Tabela1[[#All],[Sigla Arte]:[Crédito]],2,0))</f>
        <v>VER DOCUMENTO DE ILS. TÉCNICAS</v>
      </c>
      <c r="Z492" s="31"/>
      <c r="AA492" s="31" t="s">
        <v>185</v>
      </c>
      <c r="AB492" s="33"/>
      <c r="AC492" s="16"/>
      <c r="AD492" s="16"/>
      <c r="AE492" s="35" t="str">
        <f t="shared" si="7"/>
        <v>EF1 E002 Mat</v>
      </c>
    </row>
    <row r="493" spans="1:31" s="36" customFormat="1" ht="30" x14ac:dyDescent="0.25">
      <c r="A493" s="31" t="s">
        <v>1071</v>
      </c>
      <c r="B493" s="16" t="s">
        <v>32</v>
      </c>
      <c r="C493" s="16" t="s">
        <v>164</v>
      </c>
      <c r="D493" s="33" t="s">
        <v>34</v>
      </c>
      <c r="E493" s="33">
        <v>76</v>
      </c>
      <c r="F493" s="33">
        <v>2</v>
      </c>
      <c r="G493" s="33">
        <v>4</v>
      </c>
      <c r="H493" s="33"/>
      <c r="I493" s="31" t="s">
        <v>46</v>
      </c>
      <c r="J493" s="31"/>
      <c r="K493" s="33"/>
      <c r="L493" s="33"/>
      <c r="M493" s="31"/>
      <c r="N493" s="31"/>
      <c r="O493" s="16" t="s">
        <v>1072</v>
      </c>
      <c r="P493" s="16"/>
      <c r="Q493" s="16"/>
      <c r="R493" s="33"/>
      <c r="S493" s="34"/>
      <c r="T493" s="34"/>
      <c r="U493" s="34"/>
      <c r="V493" s="34"/>
      <c r="W493" s="34"/>
      <c r="X493" s="33" t="s">
        <v>184</v>
      </c>
      <c r="Y493" s="35" t="str">
        <f>IF(Tabela2[[#This Row],[SIGLA]]="","",VLOOKUP(Tabela2[[#This Row],[SIGLA]],Tabela1[[#All],[Sigla Arte]:[Crédito]],2,0))</f>
        <v>VER DOCUMENTO DE ILS. TÉCNICAS</v>
      </c>
      <c r="Z493" s="31"/>
      <c r="AA493" s="31" t="s">
        <v>185</v>
      </c>
      <c r="AB493" s="33"/>
      <c r="AC493" s="16"/>
      <c r="AD493" s="16"/>
      <c r="AE493" s="35" t="str">
        <f t="shared" si="7"/>
        <v>EF1 E002 Mat</v>
      </c>
    </row>
    <row r="494" spans="1:31" s="36" customFormat="1" ht="30" x14ac:dyDescent="0.25">
      <c r="A494" s="31" t="s">
        <v>1073</v>
      </c>
      <c r="B494" s="16" t="s">
        <v>32</v>
      </c>
      <c r="C494" s="16" t="s">
        <v>164</v>
      </c>
      <c r="D494" s="33" t="s">
        <v>34</v>
      </c>
      <c r="E494" s="33">
        <v>76</v>
      </c>
      <c r="F494" s="33">
        <v>2</v>
      </c>
      <c r="G494" s="33">
        <v>4</v>
      </c>
      <c r="H494" s="33"/>
      <c r="I494" s="31" t="s">
        <v>46</v>
      </c>
      <c r="J494" s="31"/>
      <c r="K494" s="33"/>
      <c r="L494" s="33"/>
      <c r="M494" s="31"/>
      <c r="N494" s="31"/>
      <c r="O494" s="16" t="s">
        <v>1074</v>
      </c>
      <c r="P494" s="16"/>
      <c r="Q494" s="16"/>
      <c r="R494" s="33"/>
      <c r="S494" s="34"/>
      <c r="T494" s="34"/>
      <c r="U494" s="34"/>
      <c r="V494" s="34"/>
      <c r="W494" s="34"/>
      <c r="X494" s="33" t="s">
        <v>184</v>
      </c>
      <c r="Y494" s="35" t="str">
        <f>IF(Tabela2[[#This Row],[SIGLA]]="","",VLOOKUP(Tabela2[[#This Row],[SIGLA]],Tabela1[[#All],[Sigla Arte]:[Crédito]],2,0))</f>
        <v>VER DOCUMENTO DE ILS. TÉCNICAS</v>
      </c>
      <c r="Z494" s="31"/>
      <c r="AA494" s="31" t="s">
        <v>185</v>
      </c>
      <c r="AB494" s="33"/>
      <c r="AC494" s="16"/>
      <c r="AD494" s="16"/>
      <c r="AE494" s="35" t="str">
        <f t="shared" si="7"/>
        <v>EF1 E002 Mat</v>
      </c>
    </row>
    <row r="495" spans="1:31" s="36" customFormat="1" ht="165" x14ac:dyDescent="0.25">
      <c r="A495" s="31" t="s">
        <v>1075</v>
      </c>
      <c r="B495" s="16" t="s">
        <v>32</v>
      </c>
      <c r="C495" s="16" t="s">
        <v>164</v>
      </c>
      <c r="D495" s="33" t="s">
        <v>34</v>
      </c>
      <c r="E495" s="33">
        <v>77</v>
      </c>
      <c r="F495" s="33">
        <v>2</v>
      </c>
      <c r="G495" s="33">
        <v>4</v>
      </c>
      <c r="H495" s="33"/>
      <c r="I495" s="31" t="s">
        <v>35</v>
      </c>
      <c r="J495" s="31"/>
      <c r="K495" s="33"/>
      <c r="L495" s="33"/>
      <c r="M495" s="31"/>
      <c r="N495" s="31"/>
      <c r="O495" s="16" t="s">
        <v>1076</v>
      </c>
      <c r="P495" s="16"/>
      <c r="Q495" s="16"/>
      <c r="R495" s="33">
        <v>10</v>
      </c>
      <c r="S495" s="34">
        <v>45740</v>
      </c>
      <c r="T495" s="34"/>
      <c r="U495" s="34"/>
      <c r="V495" s="34"/>
      <c r="W495" s="34">
        <v>45741</v>
      </c>
      <c r="X495" s="33" t="s">
        <v>184</v>
      </c>
      <c r="Y495" s="35" t="str">
        <f>IF(Tabela2[[#This Row],[SIGLA]]="","",VLOOKUP(Tabela2[[#This Row],[SIGLA]],Tabela1[[#All],[Sigla Arte]:[Crédito]],2,0))</f>
        <v>VER DOCUMENTO DE ILS. TÉCNICAS</v>
      </c>
      <c r="Z495" s="31" t="s">
        <v>475</v>
      </c>
      <c r="AA495" s="31" t="s">
        <v>185</v>
      </c>
      <c r="AB495" s="33">
        <v>14</v>
      </c>
      <c r="AC495" s="16"/>
      <c r="AD495" s="16" t="s">
        <v>40</v>
      </c>
      <c r="AE495" s="35" t="str">
        <f t="shared" si="7"/>
        <v>EF1 E002 Mat</v>
      </c>
    </row>
    <row r="496" spans="1:31" s="36" customFormat="1" ht="180" x14ac:dyDescent="0.25">
      <c r="A496" s="31" t="s">
        <v>1077</v>
      </c>
      <c r="B496" s="16" t="s">
        <v>32</v>
      </c>
      <c r="C496" s="16" t="s">
        <v>164</v>
      </c>
      <c r="D496" s="33" t="s">
        <v>34</v>
      </c>
      <c r="E496" s="33">
        <v>77</v>
      </c>
      <c r="F496" s="33">
        <v>2</v>
      </c>
      <c r="G496" s="33">
        <v>4</v>
      </c>
      <c r="H496" s="33"/>
      <c r="I496" s="31" t="s">
        <v>35</v>
      </c>
      <c r="J496" s="31"/>
      <c r="K496" s="33"/>
      <c r="L496" s="33"/>
      <c r="M496" s="31"/>
      <c r="N496" s="31"/>
      <c r="O496" s="16" t="s">
        <v>1078</v>
      </c>
      <c r="P496" s="16"/>
      <c r="Q496" s="16"/>
      <c r="R496" s="33">
        <v>10</v>
      </c>
      <c r="S496" s="34">
        <v>45740</v>
      </c>
      <c r="T496" s="34"/>
      <c r="U496" s="34"/>
      <c r="V496" s="34"/>
      <c r="W496" s="34">
        <v>45741</v>
      </c>
      <c r="X496" s="33" t="s">
        <v>184</v>
      </c>
      <c r="Y496" s="35" t="str">
        <f>IF(Tabela2[[#This Row],[SIGLA]]="","",VLOOKUP(Tabela2[[#This Row],[SIGLA]],Tabela1[[#All],[Sigla Arte]:[Crédito]],2,0))</f>
        <v>VER DOCUMENTO DE ILS. TÉCNICAS</v>
      </c>
      <c r="Z496" s="31" t="s">
        <v>475</v>
      </c>
      <c r="AA496" s="31" t="s">
        <v>185</v>
      </c>
      <c r="AB496" s="33">
        <v>14</v>
      </c>
      <c r="AC496" s="16"/>
      <c r="AD496" s="16" t="s">
        <v>40</v>
      </c>
      <c r="AE496" s="35" t="str">
        <f t="shared" si="7"/>
        <v>EF1 E002 Mat</v>
      </c>
    </row>
    <row r="497" spans="1:31" s="36" customFormat="1" ht="45" x14ac:dyDescent="0.25">
      <c r="A497" s="31" t="s">
        <v>1079</v>
      </c>
      <c r="B497" s="16" t="s">
        <v>32</v>
      </c>
      <c r="C497" s="16" t="s">
        <v>164</v>
      </c>
      <c r="D497" s="33" t="s">
        <v>34</v>
      </c>
      <c r="E497" s="33">
        <v>78</v>
      </c>
      <c r="F497" s="33">
        <v>2</v>
      </c>
      <c r="G497" s="33">
        <v>4</v>
      </c>
      <c r="H497" s="33"/>
      <c r="I497" s="31" t="s">
        <v>46</v>
      </c>
      <c r="J497" s="31"/>
      <c r="K497" s="33"/>
      <c r="L497" s="33"/>
      <c r="M497" s="31"/>
      <c r="N497" s="31"/>
      <c r="O497" s="16" t="s">
        <v>1080</v>
      </c>
      <c r="P497" s="16"/>
      <c r="Q497" s="16"/>
      <c r="R497" s="33"/>
      <c r="S497" s="34"/>
      <c r="T497" s="34"/>
      <c r="U497" s="34"/>
      <c r="V497" s="34"/>
      <c r="W497" s="34"/>
      <c r="X497" s="33" t="s">
        <v>184</v>
      </c>
      <c r="Y497" s="35" t="str">
        <f>IF(Tabela2[[#This Row],[SIGLA]]="","",VLOOKUP(Tabela2[[#This Row],[SIGLA]],Tabela1[[#All],[Sigla Arte]:[Crédito]],2,0))</f>
        <v>VER DOCUMENTO DE ILS. TÉCNICAS</v>
      </c>
      <c r="Z497" s="31"/>
      <c r="AA497" s="31" t="s">
        <v>191</v>
      </c>
      <c r="AB497" s="33"/>
      <c r="AC497" s="16"/>
      <c r="AD497" s="16"/>
      <c r="AE497" s="35" t="str">
        <f t="shared" si="7"/>
        <v>EF1 E002 Mat</v>
      </c>
    </row>
    <row r="498" spans="1:31" s="36" customFormat="1" ht="45" x14ac:dyDescent="0.25">
      <c r="A498" s="31" t="s">
        <v>1081</v>
      </c>
      <c r="B498" s="16" t="s">
        <v>32</v>
      </c>
      <c r="C498" s="16" t="s">
        <v>164</v>
      </c>
      <c r="D498" s="33" t="s">
        <v>34</v>
      </c>
      <c r="E498" s="33">
        <v>78</v>
      </c>
      <c r="F498" s="33">
        <v>2</v>
      </c>
      <c r="G498" s="33">
        <v>4</v>
      </c>
      <c r="H498" s="33"/>
      <c r="I498" s="31" t="s">
        <v>46</v>
      </c>
      <c r="J498" s="31"/>
      <c r="K498" s="33"/>
      <c r="L498" s="33"/>
      <c r="M498" s="31"/>
      <c r="N498" s="31"/>
      <c r="O498" s="16" t="s">
        <v>1082</v>
      </c>
      <c r="P498" s="16"/>
      <c r="Q498" s="16"/>
      <c r="R498" s="33"/>
      <c r="S498" s="34"/>
      <c r="T498" s="34"/>
      <c r="U498" s="34"/>
      <c r="V498" s="34"/>
      <c r="W498" s="34"/>
      <c r="X498" s="33" t="s">
        <v>184</v>
      </c>
      <c r="Y498" s="35" t="str">
        <f>IF(Tabela2[[#This Row],[SIGLA]]="","",VLOOKUP(Tabela2[[#This Row],[SIGLA]],Tabela1[[#All],[Sigla Arte]:[Crédito]],2,0))</f>
        <v>VER DOCUMENTO DE ILS. TÉCNICAS</v>
      </c>
      <c r="Z498" s="31"/>
      <c r="AA498" s="31" t="s">
        <v>191</v>
      </c>
      <c r="AB498" s="33"/>
      <c r="AC498" s="16"/>
      <c r="AD498" s="16"/>
      <c r="AE498" s="35" t="str">
        <f t="shared" si="7"/>
        <v>EF1 E002 Mat</v>
      </c>
    </row>
    <row r="499" spans="1:31" s="36" customFormat="1" ht="45" x14ac:dyDescent="0.25">
      <c r="A499" s="31" t="s">
        <v>1083</v>
      </c>
      <c r="B499" s="16" t="s">
        <v>32</v>
      </c>
      <c r="C499" s="16" t="s">
        <v>164</v>
      </c>
      <c r="D499" s="33" t="s">
        <v>34</v>
      </c>
      <c r="E499" s="33">
        <v>78</v>
      </c>
      <c r="F499" s="33">
        <v>2</v>
      </c>
      <c r="G499" s="33">
        <v>4</v>
      </c>
      <c r="H499" s="33"/>
      <c r="I499" s="31" t="s">
        <v>46</v>
      </c>
      <c r="J499" s="31"/>
      <c r="K499" s="33"/>
      <c r="L499" s="33"/>
      <c r="M499" s="31"/>
      <c r="N499" s="31"/>
      <c r="O499" s="16" t="s">
        <v>1084</v>
      </c>
      <c r="P499" s="16"/>
      <c r="Q499" s="16"/>
      <c r="R499" s="33"/>
      <c r="S499" s="34"/>
      <c r="T499" s="34"/>
      <c r="U499" s="34"/>
      <c r="V499" s="34"/>
      <c r="W499" s="34"/>
      <c r="X499" s="33" t="s">
        <v>184</v>
      </c>
      <c r="Y499" s="35" t="str">
        <f>IF(Tabela2[[#This Row],[SIGLA]]="","",VLOOKUP(Tabela2[[#This Row],[SIGLA]],Tabela1[[#All],[Sigla Arte]:[Crédito]],2,0))</f>
        <v>VER DOCUMENTO DE ILS. TÉCNICAS</v>
      </c>
      <c r="Z499" s="31"/>
      <c r="AA499" s="31" t="s">
        <v>191</v>
      </c>
      <c r="AB499" s="33"/>
      <c r="AC499" s="16"/>
      <c r="AD499" s="16"/>
      <c r="AE499" s="35" t="str">
        <f t="shared" si="7"/>
        <v>EF1 E002 Mat</v>
      </c>
    </row>
    <row r="500" spans="1:31" s="36" customFormat="1" ht="90" x14ac:dyDescent="0.25">
      <c r="A500" s="31" t="s">
        <v>1085</v>
      </c>
      <c r="B500" s="16" t="s">
        <v>32</v>
      </c>
      <c r="C500" s="16" t="s">
        <v>164</v>
      </c>
      <c r="D500" s="33" t="s">
        <v>34</v>
      </c>
      <c r="E500" s="33">
        <v>78</v>
      </c>
      <c r="F500" s="33">
        <v>2</v>
      </c>
      <c r="G500" s="33">
        <v>4</v>
      </c>
      <c r="H500" s="33"/>
      <c r="I500" s="31" t="s">
        <v>35</v>
      </c>
      <c r="J500" s="31"/>
      <c r="K500" s="33"/>
      <c r="L500" s="33"/>
      <c r="M500" s="31"/>
      <c r="N500" s="31"/>
      <c r="O500" s="16" t="s">
        <v>1086</v>
      </c>
      <c r="P500" s="16"/>
      <c r="Q500" s="16"/>
      <c r="R500" s="33">
        <v>10</v>
      </c>
      <c r="S500" s="34">
        <v>45740</v>
      </c>
      <c r="T500" s="34"/>
      <c r="U500" s="34"/>
      <c r="V500" s="34"/>
      <c r="W500" s="34">
        <v>45741</v>
      </c>
      <c r="X500" s="33" t="s">
        <v>184</v>
      </c>
      <c r="Y500" s="35" t="str">
        <f>IF(Tabela2[[#This Row],[SIGLA]]="","",VLOOKUP(Tabela2[[#This Row],[SIGLA]],Tabela1[[#All],[Sigla Arte]:[Crédito]],2,0))</f>
        <v>VER DOCUMENTO DE ILS. TÉCNICAS</v>
      </c>
      <c r="Z500" s="31" t="s">
        <v>475</v>
      </c>
      <c r="AA500" s="31" t="s">
        <v>191</v>
      </c>
      <c r="AB500" s="33">
        <v>14</v>
      </c>
      <c r="AC500" s="16"/>
      <c r="AD500" s="16" t="s">
        <v>40</v>
      </c>
      <c r="AE500" s="35" t="str">
        <f t="shared" si="7"/>
        <v>EF1 E002 Mat</v>
      </c>
    </row>
    <row r="501" spans="1:31" s="36" customFormat="1" ht="30" x14ac:dyDescent="0.25">
      <c r="A501" s="31" t="s">
        <v>1087</v>
      </c>
      <c r="B501" s="16" t="s">
        <v>32</v>
      </c>
      <c r="C501" s="16" t="s">
        <v>33</v>
      </c>
      <c r="D501" s="33" t="s">
        <v>34</v>
      </c>
      <c r="E501" s="33">
        <v>79</v>
      </c>
      <c r="F501" s="33">
        <v>2</v>
      </c>
      <c r="G501" s="33">
        <v>4</v>
      </c>
      <c r="H501" s="33"/>
      <c r="I501" s="31" t="s">
        <v>46</v>
      </c>
      <c r="J501" s="31"/>
      <c r="K501" s="33"/>
      <c r="L501" s="33"/>
      <c r="M501" s="31"/>
      <c r="N501" s="31"/>
      <c r="O501" s="16" t="s">
        <v>1088</v>
      </c>
      <c r="P501" s="16"/>
      <c r="Q501" s="16"/>
      <c r="R501" s="33"/>
      <c r="S501" s="34"/>
      <c r="T501" s="34"/>
      <c r="U501" s="34"/>
      <c r="V501" s="34"/>
      <c r="W501" s="34"/>
      <c r="X501" s="33" t="s">
        <v>333</v>
      </c>
      <c r="Y501" s="35" t="str">
        <f>IF(Tabela2[[#This Row],[SIGLA]]="","",VLOOKUP(Tabela2[[#This Row],[SIGLA]],Tabela1[[#All],[Sigla Arte]:[Crédito]],2,0))</f>
        <v>LISLLEY GOMES FEIGE/ARQUIVO DA EDITORA</v>
      </c>
      <c r="Z501" s="31"/>
      <c r="AA501" s="31" t="str">
        <f>Tabela2[[#This Row],[ILUSTRADOR CRIAÇÃO]]</f>
        <v>LISLLEY GOMES FEIGE/ARQUIVO DA EDITORA</v>
      </c>
      <c r="AB501" s="33"/>
      <c r="AC501" s="16"/>
      <c r="AD501" s="16"/>
      <c r="AE501" s="35" t="str">
        <f t="shared" si="7"/>
        <v>EF1 E002 Mat</v>
      </c>
    </row>
    <row r="502" spans="1:31" ht="30" x14ac:dyDescent="0.25">
      <c r="A502" s="31" t="s">
        <v>1089</v>
      </c>
      <c r="B502" s="16" t="s">
        <v>401</v>
      </c>
      <c r="C502" s="16" t="s">
        <v>33</v>
      </c>
      <c r="D502" s="33" t="s">
        <v>34</v>
      </c>
      <c r="E502" s="33">
        <v>80</v>
      </c>
      <c r="F502" s="33">
        <v>2</v>
      </c>
      <c r="G502" s="33">
        <v>4</v>
      </c>
      <c r="H502" s="33"/>
      <c r="I502" s="31" t="s">
        <v>46</v>
      </c>
      <c r="J502" s="31"/>
      <c r="K502" s="33"/>
      <c r="L502" s="33"/>
      <c r="M502" s="31"/>
      <c r="N502" s="31"/>
      <c r="O502" s="16" t="s">
        <v>1090</v>
      </c>
      <c r="P502" s="16"/>
      <c r="Q502" s="16"/>
      <c r="R502" s="33"/>
      <c r="S502" s="34"/>
      <c r="T502" s="34"/>
      <c r="U502" s="34"/>
      <c r="V502" s="34"/>
      <c r="W502" s="34"/>
      <c r="X502" s="33" t="s">
        <v>333</v>
      </c>
      <c r="Y502" s="35" t="str">
        <f>IF(Tabela2[[#This Row],[SIGLA]]="","",VLOOKUP(Tabela2[[#This Row],[SIGLA]],Tabela1[[#All],[Sigla Arte]:[Crédito]],2,0))</f>
        <v>LISLLEY GOMES FEIGE/ARQUIVO DA EDITORA</v>
      </c>
      <c r="Z502" s="31"/>
      <c r="AA502" s="31" t="str">
        <f>Tabela2[[#This Row],[ILUSTRADOR CRIAÇÃO]]</f>
        <v>LISLLEY GOMES FEIGE/ARQUIVO DA EDITORA</v>
      </c>
      <c r="AB502" s="33"/>
      <c r="AC502" s="16"/>
      <c r="AE502" s="35" t="str">
        <f t="shared" si="7"/>
        <v>EF1 E002 Mat</v>
      </c>
    </row>
    <row r="503" spans="1:31" ht="409.5" x14ac:dyDescent="0.25">
      <c r="A503" s="31" t="s">
        <v>1091</v>
      </c>
      <c r="B503" s="16" t="s">
        <v>32</v>
      </c>
      <c r="C503" s="16" t="s">
        <v>33</v>
      </c>
      <c r="D503" s="33" t="s">
        <v>34</v>
      </c>
      <c r="E503" s="33">
        <v>81</v>
      </c>
      <c r="F503" s="33">
        <v>2</v>
      </c>
      <c r="G503" s="33">
        <v>4</v>
      </c>
      <c r="H503" s="33"/>
      <c r="I503" s="31" t="s">
        <v>35</v>
      </c>
      <c r="J503" s="31"/>
      <c r="K503" s="33"/>
      <c r="L503" s="33"/>
      <c r="M503" s="31"/>
      <c r="N503" s="31"/>
      <c r="O503" s="16" t="s">
        <v>1092</v>
      </c>
      <c r="P503" s="16"/>
      <c r="Q503" s="16"/>
      <c r="R503" s="33">
        <v>71</v>
      </c>
      <c r="S503" s="34">
        <v>45840</v>
      </c>
      <c r="T503" s="34">
        <v>45841</v>
      </c>
      <c r="U503" s="34"/>
      <c r="V503" s="34"/>
      <c r="W503" s="34">
        <v>45841</v>
      </c>
      <c r="X503" s="33" t="s">
        <v>333</v>
      </c>
      <c r="Y503" s="35" t="str">
        <f>IF(Tabela2[[#This Row],[SIGLA]]="","",VLOOKUP(Tabela2[[#This Row],[SIGLA]],Tabela1[[#All],[Sigla Arte]:[Crédito]],2,0))</f>
        <v>LISLLEY GOMES FEIGE/ARQUIVO DA EDITORA</v>
      </c>
      <c r="Z503" s="31"/>
      <c r="AA503" s="31" t="str">
        <f>Tabela2[[#This Row],[ILUSTRADOR CRIAÇÃO]]</f>
        <v>LISLLEY GOMES FEIGE/ARQUIVO DA EDITORA</v>
      </c>
      <c r="AB503" s="33">
        <v>13</v>
      </c>
      <c r="AC503" s="16" t="s">
        <v>89</v>
      </c>
      <c r="AD503" s="16" t="s">
        <v>1093</v>
      </c>
      <c r="AE503" s="35" t="str">
        <f t="shared" si="7"/>
        <v>EF1 E002 Mat</v>
      </c>
    </row>
    <row r="504" spans="1:31" ht="30" x14ac:dyDescent="0.25">
      <c r="A504" s="31" t="s">
        <v>1094</v>
      </c>
      <c r="B504" s="16" t="s">
        <v>32</v>
      </c>
      <c r="C504" s="16" t="s">
        <v>164</v>
      </c>
      <c r="D504" s="33" t="s">
        <v>34</v>
      </c>
      <c r="E504" s="33">
        <v>81</v>
      </c>
      <c r="F504" s="33">
        <v>2</v>
      </c>
      <c r="G504" s="33">
        <v>4</v>
      </c>
      <c r="H504" s="33"/>
      <c r="I504" s="31" t="s">
        <v>46</v>
      </c>
      <c r="J504" s="31"/>
      <c r="K504" s="33"/>
      <c r="L504" s="33"/>
      <c r="M504" s="31"/>
      <c r="N504" s="31"/>
      <c r="O504" s="16" t="s">
        <v>1095</v>
      </c>
      <c r="P504" s="16"/>
      <c r="Q504" s="16"/>
      <c r="R504" s="33"/>
      <c r="S504" s="34"/>
      <c r="T504" s="34"/>
      <c r="U504" s="34"/>
      <c r="V504" s="34"/>
      <c r="W504" s="34"/>
      <c r="X504" s="33" t="s">
        <v>184</v>
      </c>
      <c r="Y504" s="35" t="str">
        <f>IF(Tabela2[[#This Row],[SIGLA]]="","",VLOOKUP(Tabela2[[#This Row],[SIGLA]],Tabela1[[#All],[Sigla Arte]:[Crédito]],2,0))</f>
        <v>VER DOCUMENTO DE ILS. TÉCNICAS</v>
      </c>
      <c r="Z504" s="31"/>
      <c r="AA504" s="31" t="s">
        <v>191</v>
      </c>
      <c r="AB504" s="33"/>
      <c r="AC504" s="16"/>
      <c r="AE504" s="35" t="str">
        <f t="shared" si="7"/>
        <v>EF1 E002 Mat</v>
      </c>
    </row>
    <row r="505" spans="1:31" ht="45" x14ac:dyDescent="0.25">
      <c r="A505" s="31" t="s">
        <v>1096</v>
      </c>
      <c r="B505" s="16" t="s">
        <v>32</v>
      </c>
      <c r="C505" s="16" t="s">
        <v>164</v>
      </c>
      <c r="D505" s="33" t="s">
        <v>34</v>
      </c>
      <c r="E505" s="33">
        <v>83</v>
      </c>
      <c r="F505" s="33">
        <v>2</v>
      </c>
      <c r="G505" s="33">
        <v>4</v>
      </c>
      <c r="H505" s="33"/>
      <c r="I505" s="31" t="s">
        <v>46</v>
      </c>
      <c r="J505" s="31"/>
      <c r="K505" s="33"/>
      <c r="L505" s="33"/>
      <c r="M505" s="31"/>
      <c r="N505" s="31"/>
      <c r="O505" s="16" t="s">
        <v>1097</v>
      </c>
      <c r="P505" s="16"/>
      <c r="Q505" s="16"/>
      <c r="R505" s="33"/>
      <c r="S505" s="34"/>
      <c r="T505" s="34"/>
      <c r="U505" s="34"/>
      <c r="V505" s="34"/>
      <c r="W505" s="34"/>
      <c r="X505" s="33" t="s">
        <v>184</v>
      </c>
      <c r="Y505" s="35" t="str">
        <f>IF(Tabela2[[#This Row],[SIGLA]]="","",VLOOKUP(Tabela2[[#This Row],[SIGLA]],Tabela1[[#All],[Sigla Arte]:[Crédito]],2,0))</f>
        <v>VER DOCUMENTO DE ILS. TÉCNICAS</v>
      </c>
      <c r="Z505" s="31"/>
      <c r="AA505" s="31" t="s">
        <v>185</v>
      </c>
      <c r="AB505" s="33"/>
      <c r="AC505" s="16"/>
      <c r="AE505" s="35" t="str">
        <f t="shared" si="7"/>
        <v>EF1 E002 Mat</v>
      </c>
    </row>
    <row r="506" spans="1:31" ht="45" x14ac:dyDescent="0.25">
      <c r="A506" s="31" t="s">
        <v>1098</v>
      </c>
      <c r="B506" s="16" t="s">
        <v>32</v>
      </c>
      <c r="C506" s="16" t="s">
        <v>164</v>
      </c>
      <c r="D506" s="33" t="s">
        <v>34</v>
      </c>
      <c r="E506" s="33">
        <v>83</v>
      </c>
      <c r="F506" s="33">
        <v>2</v>
      </c>
      <c r="G506" s="33">
        <v>4</v>
      </c>
      <c r="H506" s="33"/>
      <c r="I506" s="31" t="s">
        <v>46</v>
      </c>
      <c r="J506" s="31"/>
      <c r="K506" s="33"/>
      <c r="L506" s="33"/>
      <c r="M506" s="31"/>
      <c r="N506" s="31"/>
      <c r="O506" s="16" t="s">
        <v>1099</v>
      </c>
      <c r="P506" s="16"/>
      <c r="Q506" s="16"/>
      <c r="R506" s="33"/>
      <c r="S506" s="34"/>
      <c r="T506" s="34"/>
      <c r="U506" s="34"/>
      <c r="V506" s="34"/>
      <c r="W506" s="34"/>
      <c r="X506" s="33" t="s">
        <v>184</v>
      </c>
      <c r="Y506" s="35" t="str">
        <f>IF(Tabela2[[#This Row],[SIGLA]]="","",VLOOKUP(Tabela2[[#This Row],[SIGLA]],Tabela1[[#All],[Sigla Arte]:[Crédito]],2,0))</f>
        <v>VER DOCUMENTO DE ILS. TÉCNICAS</v>
      </c>
      <c r="Z506" s="31"/>
      <c r="AA506" s="31" t="s">
        <v>185</v>
      </c>
      <c r="AB506" s="33"/>
      <c r="AC506" s="16"/>
      <c r="AE506" s="35" t="str">
        <f t="shared" si="7"/>
        <v>EF1 E002 Mat</v>
      </c>
    </row>
    <row r="507" spans="1:31" ht="45" x14ac:dyDescent="0.25">
      <c r="A507" s="31" t="s">
        <v>1100</v>
      </c>
      <c r="B507" s="16" t="s">
        <v>32</v>
      </c>
      <c r="C507" s="16" t="s">
        <v>164</v>
      </c>
      <c r="D507" s="33" t="s">
        <v>34</v>
      </c>
      <c r="E507" s="33">
        <v>83</v>
      </c>
      <c r="F507" s="33">
        <v>2</v>
      </c>
      <c r="G507" s="33">
        <v>4</v>
      </c>
      <c r="H507" s="33"/>
      <c r="I507" s="31" t="s">
        <v>46</v>
      </c>
      <c r="J507" s="31"/>
      <c r="K507" s="33"/>
      <c r="L507" s="33"/>
      <c r="M507" s="31"/>
      <c r="N507" s="31"/>
      <c r="O507" s="16" t="s">
        <v>1101</v>
      </c>
      <c r="P507" s="16"/>
      <c r="Q507" s="16"/>
      <c r="R507" s="33"/>
      <c r="S507" s="34"/>
      <c r="T507" s="34"/>
      <c r="U507" s="34"/>
      <c r="V507" s="34"/>
      <c r="W507" s="34"/>
      <c r="X507" s="33" t="s">
        <v>184</v>
      </c>
      <c r="Y507" s="35" t="str">
        <f>IF(Tabela2[[#This Row],[SIGLA]]="","",VLOOKUP(Tabela2[[#This Row],[SIGLA]],Tabela1[[#All],[Sigla Arte]:[Crédito]],2,0))</f>
        <v>VER DOCUMENTO DE ILS. TÉCNICAS</v>
      </c>
      <c r="Z507" s="31"/>
      <c r="AA507" s="31" t="s">
        <v>185</v>
      </c>
      <c r="AB507" s="33"/>
      <c r="AC507" s="16"/>
      <c r="AE507" s="35" t="str">
        <f t="shared" si="7"/>
        <v>EF1 E002 Mat</v>
      </c>
    </row>
    <row r="508" spans="1:31" ht="30" x14ac:dyDescent="0.25">
      <c r="A508" s="31" t="s">
        <v>1102</v>
      </c>
      <c r="B508" s="16" t="s">
        <v>32</v>
      </c>
      <c r="C508" s="16" t="s">
        <v>164</v>
      </c>
      <c r="D508" s="33" t="s">
        <v>34</v>
      </c>
      <c r="E508" s="33">
        <v>83</v>
      </c>
      <c r="F508" s="33">
        <v>2</v>
      </c>
      <c r="G508" s="33">
        <v>4</v>
      </c>
      <c r="H508" s="33"/>
      <c r="I508" s="31" t="s">
        <v>46</v>
      </c>
      <c r="J508" s="31"/>
      <c r="K508" s="33"/>
      <c r="L508" s="33"/>
      <c r="M508" s="31"/>
      <c r="N508" s="31"/>
      <c r="O508" s="16" t="s">
        <v>1103</v>
      </c>
      <c r="P508" s="16"/>
      <c r="Q508" s="16"/>
      <c r="R508" s="33"/>
      <c r="S508" s="34"/>
      <c r="T508" s="34"/>
      <c r="U508" s="34"/>
      <c r="V508" s="34"/>
      <c r="W508" s="34"/>
      <c r="X508" s="33" t="s">
        <v>48</v>
      </c>
      <c r="Y508" s="35" t="str">
        <f>IF(Tabela2[[#This Row],[SIGLA]]="","",VLOOKUP(Tabela2[[#This Row],[SIGLA]],Tabela1[[#All],[Sigla Arte]:[Crédito]],2,0))</f>
        <v>SERGIO LIMA/ARQUIVO DA EDITORA</v>
      </c>
      <c r="Z508" s="31"/>
      <c r="AA508" s="31" t="str">
        <f>Tabela2[[#This Row],[ILUSTRADOR CRIAÇÃO]]</f>
        <v>SERGIO LIMA/ARQUIVO DA EDITORA</v>
      </c>
      <c r="AB508" s="33"/>
      <c r="AC508" s="16"/>
      <c r="AE508" s="35" t="str">
        <f t="shared" si="7"/>
        <v>EF1 E002 Mat</v>
      </c>
    </row>
    <row r="509" spans="1:31" ht="135" x14ac:dyDescent="0.25">
      <c r="A509" s="31" t="s">
        <v>1104</v>
      </c>
      <c r="B509" s="16" t="s">
        <v>32</v>
      </c>
      <c r="C509" s="16" t="s">
        <v>33</v>
      </c>
      <c r="D509" s="33" t="s">
        <v>34</v>
      </c>
      <c r="E509" s="33">
        <v>108</v>
      </c>
      <c r="F509" s="33">
        <v>2</v>
      </c>
      <c r="G509" s="33">
        <v>6</v>
      </c>
      <c r="H509" s="33"/>
      <c r="I509" s="31" t="s">
        <v>35</v>
      </c>
      <c r="J509" s="31"/>
      <c r="K509" s="33"/>
      <c r="L509" s="33"/>
      <c r="M509" s="31"/>
      <c r="N509" s="31"/>
      <c r="O509" s="16" t="s">
        <v>1105</v>
      </c>
      <c r="P509" s="16"/>
      <c r="Q509" s="16"/>
      <c r="R509" s="33">
        <v>11</v>
      </c>
      <c r="S509" s="34">
        <v>45740</v>
      </c>
      <c r="T509" s="34">
        <v>45740</v>
      </c>
      <c r="U509" s="34"/>
      <c r="V509" s="34"/>
      <c r="W509" s="34">
        <v>45741</v>
      </c>
      <c r="X509" s="33" t="s">
        <v>333</v>
      </c>
      <c r="Y509" s="35" t="str">
        <f>IF(Tabela2[[#This Row],[SIGLA]]="","",VLOOKUP(Tabela2[[#This Row],[SIGLA]],Tabela1[[#All],[Sigla Arte]:[Crédito]],2,0))</f>
        <v>LISLLEY GOMES FEIGE/ARQUIVO DA EDITORA</v>
      </c>
      <c r="Z509" s="31" t="s">
        <v>38</v>
      </c>
      <c r="AA509" s="31" t="str">
        <f>Tabela2[[#This Row],[ILUSTRADOR CRIAÇÃO]]</f>
        <v>LISLLEY GOMES FEIGE/ARQUIVO DA EDITORA</v>
      </c>
      <c r="AB509" s="33">
        <v>14</v>
      </c>
      <c r="AC509" s="16" t="s">
        <v>39</v>
      </c>
      <c r="AD509" s="16" t="s">
        <v>40</v>
      </c>
      <c r="AE509" s="35" t="str">
        <f t="shared" si="7"/>
        <v>EF1 E002 Mat</v>
      </c>
    </row>
    <row r="510" spans="1:31" ht="30" x14ac:dyDescent="0.25">
      <c r="A510" s="31" t="s">
        <v>1106</v>
      </c>
      <c r="B510" s="16" t="s">
        <v>32</v>
      </c>
      <c r="C510" s="16" t="s">
        <v>33</v>
      </c>
      <c r="D510" s="33" t="s">
        <v>34</v>
      </c>
      <c r="E510" s="33">
        <v>109</v>
      </c>
      <c r="F510" s="33">
        <v>2</v>
      </c>
      <c r="G510" s="33">
        <v>6</v>
      </c>
      <c r="H510" s="33"/>
      <c r="I510" s="31" t="s">
        <v>46</v>
      </c>
      <c r="J510" s="31"/>
      <c r="K510" s="33"/>
      <c r="L510" s="33"/>
      <c r="M510" s="31"/>
      <c r="N510" s="31"/>
      <c r="O510" s="16" t="s">
        <v>1107</v>
      </c>
      <c r="P510" s="16"/>
      <c r="Q510" s="16"/>
      <c r="R510" s="33"/>
      <c r="S510" s="34"/>
      <c r="T510" s="34"/>
      <c r="U510" s="34"/>
      <c r="V510" s="34"/>
      <c r="W510" s="34"/>
      <c r="X510" s="33" t="s">
        <v>333</v>
      </c>
      <c r="Y510" s="35" t="str">
        <f>IF(Tabela2[[#This Row],[SIGLA]]="","",VLOOKUP(Tabela2[[#This Row],[SIGLA]],Tabela1[[#All],[Sigla Arte]:[Crédito]],2,0))</f>
        <v>LISLLEY GOMES FEIGE/ARQUIVO DA EDITORA</v>
      </c>
      <c r="Z510" s="31"/>
      <c r="AA510" s="31" t="str">
        <f>Tabela2[[#This Row],[ILUSTRADOR CRIAÇÃO]]</f>
        <v>LISLLEY GOMES FEIGE/ARQUIVO DA EDITORA</v>
      </c>
      <c r="AB510" s="33"/>
      <c r="AC510" s="16"/>
      <c r="AE510" s="35" t="str">
        <f t="shared" si="7"/>
        <v>EF1 E002 Mat</v>
      </c>
    </row>
    <row r="511" spans="1:31" ht="45" x14ac:dyDescent="0.25">
      <c r="A511" s="31" t="s">
        <v>1108</v>
      </c>
      <c r="B511" s="16" t="s">
        <v>32</v>
      </c>
      <c r="C511" s="16" t="s">
        <v>164</v>
      </c>
      <c r="D511" s="33" t="s">
        <v>34</v>
      </c>
      <c r="E511" s="33">
        <v>110</v>
      </c>
      <c r="F511" s="33">
        <v>2</v>
      </c>
      <c r="G511" s="33">
        <v>6</v>
      </c>
      <c r="H511" s="33"/>
      <c r="I511" s="31" t="s">
        <v>46</v>
      </c>
      <c r="J511" s="31"/>
      <c r="K511" s="33"/>
      <c r="L511" s="33"/>
      <c r="M511" s="31"/>
      <c r="N511" s="31"/>
      <c r="O511" s="16" t="s">
        <v>1109</v>
      </c>
      <c r="P511" s="16"/>
      <c r="Q511" s="16"/>
      <c r="R511" s="33"/>
      <c r="S511" s="34"/>
      <c r="T511" s="34"/>
      <c r="U511" s="34"/>
      <c r="V511" s="34"/>
      <c r="W511" s="34"/>
      <c r="X511" s="33" t="s">
        <v>470</v>
      </c>
      <c r="Y511" s="35" t="str">
        <f>IF(Tabela2[[#This Row],[SIGLA]]="","",VLOOKUP(Tabela2[[#This Row],[SIGLA]],Tabela1[[#All],[Sigla Arte]:[Crédito]],2,0))</f>
        <v>RENAN FONSECA/ARQUIVO DA EDITORA</v>
      </c>
      <c r="Z511" s="31"/>
      <c r="AA511" s="31" t="str">
        <f>Tabela2[[#This Row],[ILUSTRADOR CRIAÇÃO]]</f>
        <v>RENAN FONSECA/ARQUIVO DA EDITORA</v>
      </c>
      <c r="AB511" s="33"/>
      <c r="AC511" s="16"/>
      <c r="AE511" s="35" t="str">
        <f t="shared" si="7"/>
        <v>EF1 E002 Mat</v>
      </c>
    </row>
    <row r="512" spans="1:31" ht="30" x14ac:dyDescent="0.25">
      <c r="A512" s="31" t="s">
        <v>1110</v>
      </c>
      <c r="B512" s="16" t="s">
        <v>32</v>
      </c>
      <c r="C512" s="16" t="s">
        <v>164</v>
      </c>
      <c r="D512" s="33" t="s">
        <v>34</v>
      </c>
      <c r="E512" s="33">
        <v>110</v>
      </c>
      <c r="F512" s="33">
        <v>2</v>
      </c>
      <c r="G512" s="33">
        <v>6</v>
      </c>
      <c r="H512" s="33"/>
      <c r="I512" s="31" t="s">
        <v>46</v>
      </c>
      <c r="J512" s="31"/>
      <c r="K512" s="33"/>
      <c r="L512" s="33"/>
      <c r="M512" s="31"/>
      <c r="N512" s="31"/>
      <c r="O512" s="16" t="s">
        <v>1111</v>
      </c>
      <c r="P512" s="16"/>
      <c r="Q512" s="16"/>
      <c r="R512" s="33"/>
      <c r="S512" s="34"/>
      <c r="T512" s="34"/>
      <c r="U512" s="34"/>
      <c r="V512" s="34"/>
      <c r="W512" s="34"/>
      <c r="X512" s="33" t="s">
        <v>470</v>
      </c>
      <c r="Y512" s="35" t="str">
        <f>IF(Tabela2[[#This Row],[SIGLA]]="","",VLOOKUP(Tabela2[[#This Row],[SIGLA]],Tabela1[[#All],[Sigla Arte]:[Crédito]],2,0))</f>
        <v>RENAN FONSECA/ARQUIVO DA EDITORA</v>
      </c>
      <c r="Z512" s="31"/>
      <c r="AA512" s="31" t="s">
        <v>946</v>
      </c>
      <c r="AB512" s="33"/>
      <c r="AC512" s="16"/>
      <c r="AE512" s="35" t="str">
        <f t="shared" si="7"/>
        <v>EF1 E002 Mat</v>
      </c>
    </row>
    <row r="513" spans="1:31" ht="45" x14ac:dyDescent="0.25">
      <c r="A513" s="31" t="s">
        <v>1112</v>
      </c>
      <c r="B513" s="16" t="s">
        <v>32</v>
      </c>
      <c r="C513" s="16" t="s">
        <v>164</v>
      </c>
      <c r="D513" s="33" t="s">
        <v>34</v>
      </c>
      <c r="E513" s="33">
        <v>110</v>
      </c>
      <c r="F513" s="33">
        <v>2</v>
      </c>
      <c r="G513" s="33">
        <v>6</v>
      </c>
      <c r="H513" s="33"/>
      <c r="I513" s="31" t="s">
        <v>46</v>
      </c>
      <c r="J513" s="31"/>
      <c r="K513" s="33"/>
      <c r="L513" s="33"/>
      <c r="M513" s="31"/>
      <c r="N513" s="31"/>
      <c r="O513" s="16" t="s">
        <v>1113</v>
      </c>
      <c r="P513" s="16"/>
      <c r="Q513" s="16"/>
      <c r="R513" s="33"/>
      <c r="S513" s="34"/>
      <c r="T513" s="34"/>
      <c r="U513" s="34"/>
      <c r="V513" s="34"/>
      <c r="W513" s="34"/>
      <c r="X513" s="33" t="s">
        <v>470</v>
      </c>
      <c r="Y513" s="35" t="str">
        <f>IF(Tabela2[[#This Row],[SIGLA]]="","",VLOOKUP(Tabela2[[#This Row],[SIGLA]],Tabela1[[#All],[Sigla Arte]:[Crédito]],2,0))</f>
        <v>RENAN FONSECA/ARQUIVO DA EDITORA</v>
      </c>
      <c r="Z513" s="31"/>
      <c r="AA513" s="31" t="s">
        <v>1114</v>
      </c>
      <c r="AB513" s="33"/>
      <c r="AC513" s="16"/>
      <c r="AE513" s="35" t="str">
        <f t="shared" si="7"/>
        <v>EF1 E002 Mat</v>
      </c>
    </row>
    <row r="514" spans="1:31" ht="30" x14ac:dyDescent="0.25">
      <c r="A514" s="31" t="s">
        <v>1115</v>
      </c>
      <c r="B514" s="16" t="s">
        <v>32</v>
      </c>
      <c r="C514" s="16" t="s">
        <v>164</v>
      </c>
      <c r="D514" s="33" t="s">
        <v>34</v>
      </c>
      <c r="E514" s="33">
        <v>110</v>
      </c>
      <c r="F514" s="33">
        <v>2</v>
      </c>
      <c r="G514" s="33">
        <v>6</v>
      </c>
      <c r="H514" s="33"/>
      <c r="I514" s="31" t="s">
        <v>46</v>
      </c>
      <c r="J514" s="31"/>
      <c r="K514" s="33"/>
      <c r="L514" s="33"/>
      <c r="M514" s="31"/>
      <c r="N514" s="31"/>
      <c r="O514" s="16" t="s">
        <v>1116</v>
      </c>
      <c r="P514" s="16"/>
      <c r="Q514" s="16"/>
      <c r="R514" s="33"/>
      <c r="S514" s="34"/>
      <c r="T514" s="34"/>
      <c r="U514" s="34"/>
      <c r="V514" s="34"/>
      <c r="W514" s="34"/>
      <c r="X514" s="33" t="s">
        <v>470</v>
      </c>
      <c r="Y514" s="35" t="str">
        <f>IF(Tabela2[[#This Row],[SIGLA]]="","",VLOOKUP(Tabela2[[#This Row],[SIGLA]],Tabela1[[#All],[Sigla Arte]:[Crédito]],2,0))</f>
        <v>RENAN FONSECA/ARQUIVO DA EDITORA</v>
      </c>
      <c r="Z514" s="31"/>
      <c r="AA514" s="31" t="str">
        <f>Tabela2[[#This Row],[ILUSTRADOR CRIAÇÃO]]</f>
        <v>RENAN FONSECA/ARQUIVO DA EDITORA</v>
      </c>
      <c r="AB514" s="33"/>
      <c r="AC514" s="16"/>
      <c r="AE514" s="35" t="str">
        <f t="shared" ref="AE514:AE577" si="8">"EF1 E002 Mat"</f>
        <v>EF1 E002 Mat</v>
      </c>
    </row>
    <row r="515" spans="1:31" ht="30" x14ac:dyDescent="0.25">
      <c r="A515" s="31" t="s">
        <v>1117</v>
      </c>
      <c r="B515" s="16" t="s">
        <v>401</v>
      </c>
      <c r="C515" s="16" t="s">
        <v>164</v>
      </c>
      <c r="D515" s="33" t="s">
        <v>34</v>
      </c>
      <c r="E515" s="33">
        <v>111</v>
      </c>
      <c r="F515" s="33">
        <v>2</v>
      </c>
      <c r="G515" s="33">
        <v>6</v>
      </c>
      <c r="H515" s="33"/>
      <c r="I515" s="31" t="s">
        <v>46</v>
      </c>
      <c r="J515" s="31"/>
      <c r="K515" s="33"/>
      <c r="L515" s="33"/>
      <c r="M515" s="31"/>
      <c r="N515" s="31"/>
      <c r="O515" s="16" t="s">
        <v>1118</v>
      </c>
      <c r="P515" s="16"/>
      <c r="Q515" s="16"/>
      <c r="R515" s="33"/>
      <c r="S515" s="34"/>
      <c r="T515" s="34"/>
      <c r="U515" s="34"/>
      <c r="V515" s="34"/>
      <c r="W515" s="34"/>
      <c r="X515" s="33" t="s">
        <v>1119</v>
      </c>
      <c r="Y515" s="35" t="str">
        <f>IF(Tabela2[[#This Row],[SIGLA]]="","",VLOOKUP(Tabela2[[#This Row],[SIGLA]],Tabela1[[#All],[Sigla Arte]:[Crédito]],2,0))</f>
        <v>CYNTHIA SEKIGUCHI/ARQUIVO DA EDITORA</v>
      </c>
      <c r="Z515" s="31"/>
      <c r="AA515" s="31" t="str">
        <f>Tabela2[[#This Row],[ILUSTRADOR CRIAÇÃO]]</f>
        <v>CYNTHIA SEKIGUCHI/ARQUIVO DA EDITORA</v>
      </c>
      <c r="AB515" s="33"/>
      <c r="AC515" s="16"/>
      <c r="AE515" s="35" t="str">
        <f t="shared" si="8"/>
        <v>EF1 E002 Mat</v>
      </c>
    </row>
    <row r="516" spans="1:31" ht="45" x14ac:dyDescent="0.25">
      <c r="A516" s="31" t="s">
        <v>1120</v>
      </c>
      <c r="B516" s="16" t="s">
        <v>32</v>
      </c>
      <c r="C516" s="16" t="s">
        <v>164</v>
      </c>
      <c r="D516" s="33" t="s">
        <v>34</v>
      </c>
      <c r="E516" s="33">
        <v>111</v>
      </c>
      <c r="F516" s="33">
        <v>2</v>
      </c>
      <c r="G516" s="33">
        <v>6</v>
      </c>
      <c r="H516" s="33"/>
      <c r="I516" s="31" t="s">
        <v>46</v>
      </c>
      <c r="J516" s="31"/>
      <c r="K516" s="33"/>
      <c r="L516" s="33"/>
      <c r="M516" s="31"/>
      <c r="N516" s="31"/>
      <c r="O516" s="16" t="s">
        <v>1121</v>
      </c>
      <c r="P516" s="16"/>
      <c r="Q516" s="16"/>
      <c r="R516" s="33"/>
      <c r="S516" s="34"/>
      <c r="T516" s="34"/>
      <c r="U516" s="34"/>
      <c r="V516" s="34"/>
      <c r="W516" s="34"/>
      <c r="X516" s="33" t="s">
        <v>1119</v>
      </c>
      <c r="Y516" s="35" t="str">
        <f>IF(Tabela2[[#This Row],[SIGLA]]="","",VLOOKUP(Tabela2[[#This Row],[SIGLA]],Tabela1[[#All],[Sigla Arte]:[Crédito]],2,0))</f>
        <v>CYNTHIA SEKIGUCHI/ARQUIVO DA EDITORA</v>
      </c>
      <c r="Z516" s="31"/>
      <c r="AA516" s="31" t="str">
        <f>Tabela2[[#This Row],[ILUSTRADOR CRIAÇÃO]]</f>
        <v>CYNTHIA SEKIGUCHI/ARQUIVO DA EDITORA</v>
      </c>
      <c r="AB516" s="33"/>
      <c r="AC516" s="16"/>
      <c r="AE516" s="35" t="str">
        <f t="shared" si="8"/>
        <v>EF1 E002 Mat</v>
      </c>
    </row>
    <row r="517" spans="1:31" ht="30" x14ac:dyDescent="0.25">
      <c r="A517" s="31" t="s">
        <v>1122</v>
      </c>
      <c r="B517" s="16" t="s">
        <v>32</v>
      </c>
      <c r="C517" s="16" t="s">
        <v>164</v>
      </c>
      <c r="D517" s="33" t="s">
        <v>34</v>
      </c>
      <c r="E517" s="33">
        <v>111</v>
      </c>
      <c r="F517" s="33">
        <v>2</v>
      </c>
      <c r="G517" s="33">
        <v>6</v>
      </c>
      <c r="H517" s="33"/>
      <c r="I517" s="31" t="s">
        <v>46</v>
      </c>
      <c r="J517" s="31"/>
      <c r="K517" s="33"/>
      <c r="L517" s="33"/>
      <c r="M517" s="31"/>
      <c r="N517" s="31"/>
      <c r="O517" s="16" t="s">
        <v>1123</v>
      </c>
      <c r="P517" s="16"/>
      <c r="Q517" s="16"/>
      <c r="R517" s="33"/>
      <c r="S517" s="34"/>
      <c r="T517" s="34"/>
      <c r="U517" s="34"/>
      <c r="V517" s="34"/>
      <c r="W517" s="34"/>
      <c r="X517" s="33" t="s">
        <v>1119</v>
      </c>
      <c r="Y517" s="35" t="str">
        <f>IF(Tabela2[[#This Row],[SIGLA]]="","",VLOOKUP(Tabela2[[#This Row],[SIGLA]],Tabela1[[#All],[Sigla Arte]:[Crédito]],2,0))</f>
        <v>CYNTHIA SEKIGUCHI/ARQUIVO DA EDITORA</v>
      </c>
      <c r="Z517" s="31"/>
      <c r="AA517" s="31" t="str">
        <f>Tabela2[[#This Row],[ILUSTRADOR CRIAÇÃO]]</f>
        <v>CYNTHIA SEKIGUCHI/ARQUIVO DA EDITORA</v>
      </c>
      <c r="AB517" s="33"/>
      <c r="AC517" s="16"/>
      <c r="AE517" s="35" t="str">
        <f t="shared" si="8"/>
        <v>EF1 E002 Mat</v>
      </c>
    </row>
    <row r="518" spans="1:31" ht="30" x14ac:dyDescent="0.25">
      <c r="A518" s="31" t="s">
        <v>1124</v>
      </c>
      <c r="B518" s="16" t="s">
        <v>32</v>
      </c>
      <c r="C518" s="16" t="s">
        <v>164</v>
      </c>
      <c r="D518" s="33" t="s">
        <v>34</v>
      </c>
      <c r="E518" s="33">
        <v>111</v>
      </c>
      <c r="F518" s="33">
        <v>2</v>
      </c>
      <c r="G518" s="33">
        <v>6</v>
      </c>
      <c r="H518" s="33"/>
      <c r="I518" s="31" t="s">
        <v>46</v>
      </c>
      <c r="J518" s="31"/>
      <c r="K518" s="33"/>
      <c r="L518" s="33"/>
      <c r="M518" s="31"/>
      <c r="N518" s="31"/>
      <c r="O518" s="16" t="s">
        <v>1125</v>
      </c>
      <c r="P518" s="16"/>
      <c r="Q518" s="16"/>
      <c r="R518" s="33"/>
      <c r="S518" s="34"/>
      <c r="T518" s="34"/>
      <c r="U518" s="34"/>
      <c r="V518" s="34"/>
      <c r="W518" s="34"/>
      <c r="X518" s="33" t="s">
        <v>1126</v>
      </c>
      <c r="Y518" s="35" t="str">
        <f>IF(Tabela2[[#This Row],[SIGLA]]="","",VLOOKUP(Tabela2[[#This Row],[SIGLA]],Tabela1[[#All],[Sigla Arte]:[Crédito]],2,0))</f>
        <v>GUSTAVO CONTI/ARQUIVO DA EDITORA</v>
      </c>
      <c r="Z518" s="31"/>
      <c r="AA518" s="31" t="str">
        <f>Tabela2[[#This Row],[ILUSTRADOR CRIAÇÃO]]</f>
        <v>GUSTAVO CONTI/ARQUIVO DA EDITORA</v>
      </c>
      <c r="AB518" s="33"/>
      <c r="AC518" s="16"/>
      <c r="AE518" s="35" t="str">
        <f t="shared" si="8"/>
        <v>EF1 E002 Mat</v>
      </c>
    </row>
    <row r="519" spans="1:31" ht="30" x14ac:dyDescent="0.25">
      <c r="A519" s="31" t="s">
        <v>1127</v>
      </c>
      <c r="B519" s="16" t="s">
        <v>32</v>
      </c>
      <c r="C519" s="16" t="s">
        <v>164</v>
      </c>
      <c r="D519" s="33" t="s">
        <v>34</v>
      </c>
      <c r="E519" s="33">
        <v>111</v>
      </c>
      <c r="F519" s="33">
        <v>2</v>
      </c>
      <c r="G519" s="33">
        <v>6</v>
      </c>
      <c r="H519" s="33"/>
      <c r="I519" s="31" t="s">
        <v>46</v>
      </c>
      <c r="J519" s="31"/>
      <c r="K519" s="33"/>
      <c r="L519" s="33"/>
      <c r="M519" s="31"/>
      <c r="N519" s="31"/>
      <c r="O519" s="16" t="s">
        <v>1128</v>
      </c>
      <c r="P519" s="16"/>
      <c r="Q519" s="16"/>
      <c r="R519" s="33"/>
      <c r="S519" s="34"/>
      <c r="T519" s="34"/>
      <c r="U519" s="34"/>
      <c r="V519" s="34"/>
      <c r="W519" s="34"/>
      <c r="X519" s="33" t="s">
        <v>1126</v>
      </c>
      <c r="Y519" s="35" t="str">
        <f>IF(Tabela2[[#This Row],[SIGLA]]="","",VLOOKUP(Tabela2[[#This Row],[SIGLA]],Tabela1[[#All],[Sigla Arte]:[Crédito]],2,0))</f>
        <v>GUSTAVO CONTI/ARQUIVO DA EDITORA</v>
      </c>
      <c r="Z519" s="31"/>
      <c r="AA519" s="31" t="str">
        <f>Tabela2[[#This Row],[ILUSTRADOR CRIAÇÃO]]</f>
        <v>GUSTAVO CONTI/ARQUIVO DA EDITORA</v>
      </c>
      <c r="AB519" s="33"/>
      <c r="AC519" s="16"/>
      <c r="AE519" s="35" t="str">
        <f t="shared" si="8"/>
        <v>EF1 E002 Mat</v>
      </c>
    </row>
    <row r="520" spans="1:31" ht="30" x14ac:dyDescent="0.25">
      <c r="A520" s="31" t="s">
        <v>1129</v>
      </c>
      <c r="B520" s="16" t="s">
        <v>32</v>
      </c>
      <c r="C520" s="16" t="s">
        <v>164</v>
      </c>
      <c r="D520" s="33" t="s">
        <v>34</v>
      </c>
      <c r="E520" s="33">
        <v>111</v>
      </c>
      <c r="F520" s="33">
        <v>2</v>
      </c>
      <c r="G520" s="33">
        <v>6</v>
      </c>
      <c r="H520" s="33"/>
      <c r="I520" s="31" t="s">
        <v>46</v>
      </c>
      <c r="J520" s="31"/>
      <c r="K520" s="33"/>
      <c r="L520" s="33"/>
      <c r="M520" s="31"/>
      <c r="N520" s="31"/>
      <c r="O520" s="16" t="s">
        <v>1130</v>
      </c>
      <c r="P520" s="16"/>
      <c r="Q520" s="16"/>
      <c r="R520" s="33"/>
      <c r="S520" s="34"/>
      <c r="T520" s="34"/>
      <c r="U520" s="34"/>
      <c r="V520" s="34"/>
      <c r="W520" s="34"/>
      <c r="X520" s="33" t="s">
        <v>1126</v>
      </c>
      <c r="Y520" s="35" t="str">
        <f>IF(Tabela2[[#This Row],[SIGLA]]="","",VLOOKUP(Tabela2[[#This Row],[SIGLA]],Tabela1[[#All],[Sigla Arte]:[Crédito]],2,0))</f>
        <v>GUSTAVO CONTI/ARQUIVO DA EDITORA</v>
      </c>
      <c r="Z520" s="31"/>
      <c r="AA520" s="31" t="str">
        <f>Tabela2[[#This Row],[ILUSTRADOR CRIAÇÃO]]</f>
        <v>GUSTAVO CONTI/ARQUIVO DA EDITORA</v>
      </c>
      <c r="AB520" s="33"/>
      <c r="AC520" s="16"/>
      <c r="AE520" s="35" t="str">
        <f t="shared" si="8"/>
        <v>EF1 E002 Mat</v>
      </c>
    </row>
    <row r="521" spans="1:31" ht="90" x14ac:dyDescent="0.25">
      <c r="A521" s="31" t="s">
        <v>1131</v>
      </c>
      <c r="B521" s="16" t="s">
        <v>32</v>
      </c>
      <c r="C521" s="16" t="s">
        <v>164</v>
      </c>
      <c r="D521" s="33" t="s">
        <v>34</v>
      </c>
      <c r="E521" s="33">
        <v>156</v>
      </c>
      <c r="F521" s="33">
        <v>2</v>
      </c>
      <c r="G521" s="33">
        <v>6</v>
      </c>
      <c r="H521" s="33"/>
      <c r="I521" s="31" t="s">
        <v>35</v>
      </c>
      <c r="J521" s="31"/>
      <c r="K521" s="33"/>
      <c r="L521" s="33"/>
      <c r="M521" s="31"/>
      <c r="N521" s="31"/>
      <c r="O521" s="16" t="s">
        <v>1132</v>
      </c>
      <c r="P521" s="16"/>
      <c r="Q521" s="16"/>
      <c r="R521" s="33">
        <v>76</v>
      </c>
      <c r="S521" s="34">
        <v>45847</v>
      </c>
      <c r="T521" s="34">
        <v>45847</v>
      </c>
      <c r="U521" s="34"/>
      <c r="V521" s="34"/>
      <c r="W521" s="34">
        <v>45847</v>
      </c>
      <c r="X521" s="33" t="s">
        <v>1126</v>
      </c>
      <c r="Y521" s="35" t="str">
        <f>IF(Tabela2[[#This Row],[SIGLA]]="","",VLOOKUP(Tabela2[[#This Row],[SIGLA]],Tabela1[[#All],[Sigla Arte]:[Crédito]],2,0))</f>
        <v>GUSTAVO CONTI/ARQUIVO DA EDITORA</v>
      </c>
      <c r="Z521" s="31" t="s">
        <v>221</v>
      </c>
      <c r="AA521" s="31" t="str">
        <f>Tabela2[[#This Row],[ILUSTRADOR CRIAÇÃO]]</f>
        <v>GUSTAVO CONTI/ARQUIVO DA EDITORA</v>
      </c>
      <c r="AB521" s="33">
        <v>13</v>
      </c>
      <c r="AC521" s="16" t="s">
        <v>39</v>
      </c>
      <c r="AD521" s="16" t="s">
        <v>40</v>
      </c>
      <c r="AE521" s="35" t="str">
        <f t="shared" si="8"/>
        <v>EF1 E002 Mat</v>
      </c>
    </row>
    <row r="522" spans="1:31" ht="105" x14ac:dyDescent="0.25">
      <c r="A522" s="31" t="s">
        <v>1133</v>
      </c>
      <c r="B522" s="16" t="s">
        <v>32</v>
      </c>
      <c r="C522" s="16" t="s">
        <v>164</v>
      </c>
      <c r="D522" s="33" t="s">
        <v>34</v>
      </c>
      <c r="E522" s="33">
        <v>156</v>
      </c>
      <c r="F522" s="33">
        <v>2</v>
      </c>
      <c r="G522" s="33">
        <v>6</v>
      </c>
      <c r="H522" s="33"/>
      <c r="I522" s="31" t="s">
        <v>35</v>
      </c>
      <c r="J522" s="31"/>
      <c r="K522" s="33"/>
      <c r="L522" s="33"/>
      <c r="M522" s="31"/>
      <c r="N522" s="31"/>
      <c r="O522" s="16" t="s">
        <v>1134</v>
      </c>
      <c r="P522" s="16"/>
      <c r="Q522" s="16"/>
      <c r="R522" s="33">
        <v>76</v>
      </c>
      <c r="S522" s="34">
        <v>45847</v>
      </c>
      <c r="T522" s="34">
        <v>45847</v>
      </c>
      <c r="U522" s="34"/>
      <c r="V522" s="34"/>
      <c r="W522" s="34">
        <v>45847</v>
      </c>
      <c r="X522" s="33" t="s">
        <v>1126</v>
      </c>
      <c r="Y522" s="35" t="str">
        <f>IF(Tabela2[[#This Row],[SIGLA]]="","",VLOOKUP(Tabela2[[#This Row],[SIGLA]],Tabela1[[#All],[Sigla Arte]:[Crédito]],2,0))</f>
        <v>GUSTAVO CONTI/ARQUIVO DA EDITORA</v>
      </c>
      <c r="Z522" s="31" t="s">
        <v>221</v>
      </c>
      <c r="AA522" s="31" t="str">
        <f>Tabela2[[#This Row],[ILUSTRADOR CRIAÇÃO]]</f>
        <v>GUSTAVO CONTI/ARQUIVO DA EDITORA</v>
      </c>
      <c r="AB522" s="33">
        <v>13</v>
      </c>
      <c r="AC522" s="16" t="s">
        <v>39</v>
      </c>
      <c r="AD522" s="16" t="s">
        <v>40</v>
      </c>
      <c r="AE522" s="35" t="str">
        <f t="shared" si="8"/>
        <v>EF1 E002 Mat</v>
      </c>
    </row>
    <row r="523" spans="1:31" ht="45" x14ac:dyDescent="0.25">
      <c r="A523" s="31" t="s">
        <v>1135</v>
      </c>
      <c r="B523" s="16" t="s">
        <v>32</v>
      </c>
      <c r="C523" s="16" t="s">
        <v>33</v>
      </c>
      <c r="D523" s="33" t="s">
        <v>34</v>
      </c>
      <c r="E523" s="33">
        <v>112</v>
      </c>
      <c r="F523" s="33">
        <v>2</v>
      </c>
      <c r="G523" s="33">
        <v>6</v>
      </c>
      <c r="H523" s="33"/>
      <c r="I523" s="31" t="s">
        <v>46</v>
      </c>
      <c r="J523" s="31"/>
      <c r="K523" s="33"/>
      <c r="L523" s="33"/>
      <c r="M523" s="31"/>
      <c r="N523" s="31"/>
      <c r="O523" s="16" t="s">
        <v>1136</v>
      </c>
      <c r="P523" s="16"/>
      <c r="Q523" s="16"/>
      <c r="R523" s="33"/>
      <c r="S523" s="34"/>
      <c r="T523" s="34"/>
      <c r="U523" s="34"/>
      <c r="V523" s="34"/>
      <c r="W523" s="34"/>
      <c r="X523" s="33" t="s">
        <v>703</v>
      </c>
      <c r="Y523" s="35" t="str">
        <f>IF(Tabela2[[#This Row],[SIGLA]]="","",VLOOKUP(Tabela2[[#This Row],[SIGLA]],Tabela1[[#All],[Sigla Arte]:[Crédito]],2,0))</f>
        <v>KLEBER MAURÍCIO COELHO/ARQUIVO DA EDITORA</v>
      </c>
      <c r="Z523" s="31"/>
      <c r="AA523" s="31" t="str">
        <f>Tabela2[[#This Row],[ILUSTRADOR CRIAÇÃO]]</f>
        <v>KLEBER MAURÍCIO COELHO/ARQUIVO DA EDITORA</v>
      </c>
      <c r="AB523" s="33"/>
      <c r="AC523" s="16"/>
      <c r="AE523" s="35" t="str">
        <f t="shared" si="8"/>
        <v>EF1 E002 Mat</v>
      </c>
    </row>
    <row r="524" spans="1:31" ht="30" x14ac:dyDescent="0.25">
      <c r="A524" s="31" t="s">
        <v>1137</v>
      </c>
      <c r="B524" s="16" t="s">
        <v>32</v>
      </c>
      <c r="C524" s="16" t="s">
        <v>33</v>
      </c>
      <c r="D524" s="33" t="s">
        <v>34</v>
      </c>
      <c r="E524" s="33">
        <v>113</v>
      </c>
      <c r="F524" s="33">
        <v>2</v>
      </c>
      <c r="G524" s="33">
        <v>6</v>
      </c>
      <c r="H524" s="33"/>
      <c r="I524" s="31" t="s">
        <v>46</v>
      </c>
      <c r="J524" s="31"/>
      <c r="K524" s="33"/>
      <c r="L524" s="33"/>
      <c r="M524" s="31"/>
      <c r="N524" s="31"/>
      <c r="O524" s="16" t="s">
        <v>1138</v>
      </c>
      <c r="P524" s="16"/>
      <c r="Q524" s="16"/>
      <c r="R524" s="33"/>
      <c r="S524" s="34"/>
      <c r="T524" s="34"/>
      <c r="U524" s="34"/>
      <c r="V524" s="34"/>
      <c r="W524" s="34"/>
      <c r="X524" s="33" t="s">
        <v>333</v>
      </c>
      <c r="Y524" s="35" t="str">
        <f>IF(Tabela2[[#This Row],[SIGLA]]="","",VLOOKUP(Tabela2[[#This Row],[SIGLA]],Tabela1[[#All],[Sigla Arte]:[Crédito]],2,0))</f>
        <v>LISLLEY GOMES FEIGE/ARQUIVO DA EDITORA</v>
      </c>
      <c r="Z524" s="31"/>
      <c r="AA524" s="31" t="str">
        <f>Tabela2[[#This Row],[ILUSTRADOR CRIAÇÃO]]</f>
        <v>LISLLEY GOMES FEIGE/ARQUIVO DA EDITORA</v>
      </c>
      <c r="AB524" s="33"/>
      <c r="AC524" s="16"/>
      <c r="AE524" s="35" t="str">
        <f t="shared" si="8"/>
        <v>EF1 E002 Mat</v>
      </c>
    </row>
    <row r="525" spans="1:31" ht="30" x14ac:dyDescent="0.25">
      <c r="A525" s="31" t="s">
        <v>1139</v>
      </c>
      <c r="B525" s="16" t="s">
        <v>32</v>
      </c>
      <c r="C525" s="16" t="s">
        <v>33</v>
      </c>
      <c r="D525" s="33" t="s">
        <v>34</v>
      </c>
      <c r="E525" s="33">
        <v>113</v>
      </c>
      <c r="F525" s="33">
        <v>2</v>
      </c>
      <c r="G525" s="33">
        <v>6</v>
      </c>
      <c r="H525" s="33"/>
      <c r="I525" s="31" t="s">
        <v>35</v>
      </c>
      <c r="J525" s="31"/>
      <c r="K525" s="33"/>
      <c r="L525" s="33"/>
      <c r="M525" s="31"/>
      <c r="N525" s="31"/>
      <c r="O525" s="16" t="s">
        <v>1140</v>
      </c>
      <c r="P525" s="16"/>
      <c r="Q525" s="16"/>
      <c r="R525" s="33"/>
      <c r="S525" s="34"/>
      <c r="T525" s="34">
        <v>45901</v>
      </c>
      <c r="U525" s="34"/>
      <c r="V525" s="34"/>
      <c r="W525" s="34">
        <v>45901</v>
      </c>
      <c r="X525" s="33" t="s">
        <v>333</v>
      </c>
      <c r="Y525" s="35" t="str">
        <f>IF(Tabela2[[#This Row],[SIGLA]]="","",VLOOKUP(Tabela2[[#This Row],[SIGLA]],Tabela1[[#All],[Sigla Arte]:[Crédito]],2,0))</f>
        <v>LISLLEY GOMES FEIGE/ARQUIVO DA EDITORA</v>
      </c>
      <c r="Z525" s="31" t="s">
        <v>924</v>
      </c>
      <c r="AA525" s="31" t="str">
        <f>Tabela2[[#This Row],[ILUSTRADOR CRIAÇÃO]]</f>
        <v>LISLLEY GOMES FEIGE/ARQUIVO DA EDITORA</v>
      </c>
      <c r="AB525" s="33">
        <v>13</v>
      </c>
      <c r="AC525" s="16" t="s">
        <v>222</v>
      </c>
      <c r="AD525" s="16" t="s">
        <v>40</v>
      </c>
      <c r="AE525" s="35" t="str">
        <f t="shared" si="8"/>
        <v>EF1 E002 Mat</v>
      </c>
    </row>
    <row r="526" spans="1:31" ht="45" x14ac:dyDescent="0.25">
      <c r="A526" s="31" t="s">
        <v>1141</v>
      </c>
      <c r="B526" s="16" t="s">
        <v>32</v>
      </c>
      <c r="C526" s="16" t="s">
        <v>33</v>
      </c>
      <c r="D526" s="33" t="s">
        <v>34</v>
      </c>
      <c r="E526" s="33">
        <v>114</v>
      </c>
      <c r="F526" s="33">
        <v>2</v>
      </c>
      <c r="G526" s="33">
        <v>6</v>
      </c>
      <c r="H526" s="33"/>
      <c r="I526" s="31" t="s">
        <v>35</v>
      </c>
      <c r="J526" s="31"/>
      <c r="K526" s="33"/>
      <c r="L526" s="33"/>
      <c r="M526" s="31"/>
      <c r="N526" s="31"/>
      <c r="O526" s="16" t="s">
        <v>1142</v>
      </c>
      <c r="P526" s="16"/>
      <c r="Q526" s="16"/>
      <c r="R526" s="33">
        <v>136</v>
      </c>
      <c r="S526" s="34"/>
      <c r="T526" s="34">
        <v>45901</v>
      </c>
      <c r="U526" s="34"/>
      <c r="V526" s="34"/>
      <c r="W526" s="34">
        <v>45901</v>
      </c>
      <c r="X526" s="33" t="s">
        <v>703</v>
      </c>
      <c r="Y526" s="35" t="str">
        <f>IF(Tabela2[[#This Row],[SIGLA]]="","",VLOOKUP(Tabela2[[#This Row],[SIGLA]],Tabela1[[#All],[Sigla Arte]:[Crédito]],2,0))</f>
        <v>KLEBER MAURÍCIO COELHO/ARQUIVO DA EDITORA</v>
      </c>
      <c r="Z526" s="31" t="s">
        <v>88</v>
      </c>
      <c r="AA526" s="31" t="str">
        <f>Tabela2[[#This Row],[ILUSTRADOR CRIAÇÃO]]</f>
        <v>KLEBER MAURÍCIO COELHO/ARQUIVO DA EDITORA</v>
      </c>
      <c r="AB526" s="33">
        <v>13</v>
      </c>
      <c r="AC526" s="16" t="s">
        <v>89</v>
      </c>
      <c r="AD526" s="16" t="s">
        <v>40</v>
      </c>
      <c r="AE526" s="35" t="str">
        <f t="shared" si="8"/>
        <v>EF1 E002 Mat</v>
      </c>
    </row>
    <row r="527" spans="1:31" ht="45" x14ac:dyDescent="0.25">
      <c r="A527" s="31" t="s">
        <v>1143</v>
      </c>
      <c r="B527" s="16" t="s">
        <v>32</v>
      </c>
      <c r="C527" s="16" t="s">
        <v>33</v>
      </c>
      <c r="D527" s="33" t="s">
        <v>34</v>
      </c>
      <c r="E527" s="33">
        <v>115</v>
      </c>
      <c r="F527" s="33">
        <v>2</v>
      </c>
      <c r="G527" s="33">
        <v>6</v>
      </c>
      <c r="H527" s="33"/>
      <c r="I527" s="31" t="s">
        <v>35</v>
      </c>
      <c r="J527" s="31"/>
      <c r="K527" s="33"/>
      <c r="L527" s="33"/>
      <c r="M527" s="31"/>
      <c r="N527" s="31"/>
      <c r="O527" s="16" t="s">
        <v>1144</v>
      </c>
      <c r="P527" s="16"/>
      <c r="Q527" s="16"/>
      <c r="R527" s="33">
        <v>136</v>
      </c>
      <c r="S527" s="34"/>
      <c r="T527" s="34">
        <v>45901</v>
      </c>
      <c r="U527" s="34"/>
      <c r="V527" s="34"/>
      <c r="W527" s="34">
        <v>45901</v>
      </c>
      <c r="X527" s="33" t="s">
        <v>703</v>
      </c>
      <c r="Y527" s="35" t="str">
        <f>IF(Tabela2[[#This Row],[SIGLA]]="","",VLOOKUP(Tabela2[[#This Row],[SIGLA]],Tabela1[[#All],[Sigla Arte]:[Crédito]],2,0))</f>
        <v>KLEBER MAURÍCIO COELHO/ARQUIVO DA EDITORA</v>
      </c>
      <c r="Z527" s="31" t="s">
        <v>88</v>
      </c>
      <c r="AA527" s="31" t="str">
        <f>Tabela2[[#This Row],[ILUSTRADOR CRIAÇÃO]]</f>
        <v>KLEBER MAURÍCIO COELHO/ARQUIVO DA EDITORA</v>
      </c>
      <c r="AB527" s="33">
        <v>13</v>
      </c>
      <c r="AC527" s="16" t="s">
        <v>89</v>
      </c>
      <c r="AD527" s="16" t="s">
        <v>40</v>
      </c>
      <c r="AE527" s="35" t="str">
        <f t="shared" si="8"/>
        <v>EF1 E002 Mat</v>
      </c>
    </row>
    <row r="528" spans="1:31" ht="45" x14ac:dyDescent="0.25">
      <c r="A528" s="31" t="s">
        <v>1145</v>
      </c>
      <c r="B528" s="16" t="s">
        <v>32</v>
      </c>
      <c r="C528" s="16" t="s">
        <v>33</v>
      </c>
      <c r="D528" s="33" t="s">
        <v>34</v>
      </c>
      <c r="E528" s="33">
        <v>132</v>
      </c>
      <c r="F528" s="33">
        <v>2</v>
      </c>
      <c r="G528" s="33">
        <v>7</v>
      </c>
      <c r="H528" s="33"/>
      <c r="I528" s="31" t="s">
        <v>46</v>
      </c>
      <c r="J528" s="31"/>
      <c r="K528" s="33"/>
      <c r="L528" s="33"/>
      <c r="M528" s="31"/>
      <c r="N528" s="31"/>
      <c r="O528" s="16" t="s">
        <v>1146</v>
      </c>
      <c r="P528" s="16"/>
      <c r="Q528" s="16"/>
      <c r="R528" s="33"/>
      <c r="S528" s="34"/>
      <c r="T528" s="34"/>
      <c r="U528" s="34"/>
      <c r="V528" s="34"/>
      <c r="W528" s="34"/>
      <c r="X528" s="33" t="s">
        <v>703</v>
      </c>
      <c r="Y528" s="35" t="str">
        <f>IF(Tabela2[[#This Row],[SIGLA]]="","",VLOOKUP(Tabela2[[#This Row],[SIGLA]],Tabela1[[#All],[Sigla Arte]:[Crédito]],2,0))</f>
        <v>KLEBER MAURÍCIO COELHO/ARQUIVO DA EDITORA</v>
      </c>
      <c r="Z528" s="31"/>
      <c r="AA528" s="31" t="str">
        <f>Tabela2[[#This Row],[ILUSTRADOR CRIAÇÃO]]</f>
        <v>KLEBER MAURÍCIO COELHO/ARQUIVO DA EDITORA</v>
      </c>
      <c r="AB528" s="33"/>
      <c r="AC528" s="16"/>
      <c r="AE528" s="35" t="str">
        <f t="shared" si="8"/>
        <v>EF1 E002 Mat</v>
      </c>
    </row>
    <row r="529" spans="1:31" ht="30" x14ac:dyDescent="0.25">
      <c r="A529" s="31" t="s">
        <v>1147</v>
      </c>
      <c r="B529" s="16" t="s">
        <v>32</v>
      </c>
      <c r="C529" s="16" t="s">
        <v>33</v>
      </c>
      <c r="D529" s="33" t="s">
        <v>34</v>
      </c>
      <c r="E529" s="33">
        <v>133</v>
      </c>
      <c r="F529" s="33">
        <v>2</v>
      </c>
      <c r="G529" s="33">
        <v>7</v>
      </c>
      <c r="H529" s="33"/>
      <c r="I529" s="31" t="s">
        <v>46</v>
      </c>
      <c r="J529" s="31"/>
      <c r="K529" s="33"/>
      <c r="L529" s="33"/>
      <c r="M529" s="31"/>
      <c r="N529" s="31"/>
      <c r="O529" s="16" t="s">
        <v>1148</v>
      </c>
      <c r="P529" s="16"/>
      <c r="Q529" s="16"/>
      <c r="R529" s="33"/>
      <c r="S529" s="34"/>
      <c r="T529" s="34"/>
      <c r="U529" s="34"/>
      <c r="V529" s="34"/>
      <c r="W529" s="34"/>
      <c r="X529" s="33" t="s">
        <v>351</v>
      </c>
      <c r="Y529" s="35" t="str">
        <f>IF(Tabela2[[#This Row],[SIGLA]]="","",VLOOKUP(Tabela2[[#This Row],[SIGLA]],Tabela1[[#All],[Sigla Arte]:[Crédito]],2,0))</f>
        <v>RAITAN OHI/ARQUIVO DA EDITORA</v>
      </c>
      <c r="Z529" s="31"/>
      <c r="AA529" s="31" t="str">
        <f>Tabela2[[#This Row],[ILUSTRADOR CRIAÇÃO]]</f>
        <v>RAITAN OHI/ARQUIVO DA EDITORA</v>
      </c>
      <c r="AB529" s="33"/>
      <c r="AC529" s="16"/>
      <c r="AE529" s="35" t="str">
        <f t="shared" si="8"/>
        <v>EF1 E002 Mat</v>
      </c>
    </row>
    <row r="530" spans="1:31" ht="45" x14ac:dyDescent="0.25">
      <c r="A530" s="31" t="s">
        <v>1149</v>
      </c>
      <c r="B530" s="16" t="s">
        <v>32</v>
      </c>
      <c r="C530" s="16" t="s">
        <v>33</v>
      </c>
      <c r="D530" s="33" t="s">
        <v>34</v>
      </c>
      <c r="E530" s="33">
        <v>133</v>
      </c>
      <c r="F530" s="33">
        <v>2</v>
      </c>
      <c r="G530" s="33">
        <v>7</v>
      </c>
      <c r="H530" s="33"/>
      <c r="I530" s="31" t="s">
        <v>46</v>
      </c>
      <c r="J530" s="31"/>
      <c r="K530" s="33"/>
      <c r="L530" s="33"/>
      <c r="M530" s="31"/>
      <c r="N530" s="31"/>
      <c r="O530" s="16" t="s">
        <v>1150</v>
      </c>
      <c r="P530" s="16"/>
      <c r="Q530" s="16"/>
      <c r="R530" s="33"/>
      <c r="S530" s="34"/>
      <c r="T530" s="34"/>
      <c r="U530" s="34"/>
      <c r="V530" s="34"/>
      <c r="W530" s="34"/>
      <c r="X530" s="33" t="s">
        <v>351</v>
      </c>
      <c r="Y530" s="35" t="str">
        <f>IF(Tabela2[[#This Row],[SIGLA]]="","",VLOOKUP(Tabela2[[#This Row],[SIGLA]],Tabela1[[#All],[Sigla Arte]:[Crédito]],2,0))</f>
        <v>RAITAN OHI/ARQUIVO DA EDITORA</v>
      </c>
      <c r="Z530" s="31"/>
      <c r="AA530" s="31" t="str">
        <f>Tabela2[[#This Row],[ILUSTRADOR CRIAÇÃO]]</f>
        <v>RAITAN OHI/ARQUIVO DA EDITORA</v>
      </c>
      <c r="AB530" s="33"/>
      <c r="AC530" s="16"/>
      <c r="AE530" s="35" t="str">
        <f t="shared" si="8"/>
        <v>EF1 E002 Mat</v>
      </c>
    </row>
    <row r="531" spans="1:31" ht="30" x14ac:dyDescent="0.25">
      <c r="A531" s="31" t="s">
        <v>1151</v>
      </c>
      <c r="B531" s="16" t="s">
        <v>32</v>
      </c>
      <c r="C531" s="16" t="s">
        <v>33</v>
      </c>
      <c r="D531" s="33" t="s">
        <v>34</v>
      </c>
      <c r="E531" s="33">
        <v>134</v>
      </c>
      <c r="F531" s="33">
        <v>2</v>
      </c>
      <c r="G531" s="33">
        <v>7</v>
      </c>
      <c r="H531" s="33"/>
      <c r="I531" s="31" t="s">
        <v>46</v>
      </c>
      <c r="J531" s="31"/>
      <c r="K531" s="33"/>
      <c r="L531" s="33"/>
      <c r="M531" s="31"/>
      <c r="N531" s="31"/>
      <c r="O531" s="16" t="s">
        <v>1152</v>
      </c>
      <c r="P531" s="16"/>
      <c r="Q531" s="16"/>
      <c r="R531" s="33"/>
      <c r="S531" s="34"/>
      <c r="T531" s="34"/>
      <c r="U531" s="34"/>
      <c r="V531" s="34"/>
      <c r="W531" s="34"/>
      <c r="X531" s="33" t="s">
        <v>351</v>
      </c>
      <c r="Y531" s="35" t="str">
        <f>IF(Tabela2[[#This Row],[SIGLA]]="","",VLOOKUP(Tabela2[[#This Row],[SIGLA]],Tabela1[[#All],[Sigla Arte]:[Crédito]],2,0))</f>
        <v>RAITAN OHI/ARQUIVO DA EDITORA</v>
      </c>
      <c r="Z531" s="31"/>
      <c r="AA531" s="31" t="str">
        <f>Tabela2[[#This Row],[ILUSTRADOR CRIAÇÃO]]</f>
        <v>RAITAN OHI/ARQUIVO DA EDITORA</v>
      </c>
      <c r="AB531" s="33"/>
      <c r="AC531" s="16"/>
      <c r="AE531" s="35" t="str">
        <f t="shared" si="8"/>
        <v>EF1 E002 Mat</v>
      </c>
    </row>
    <row r="532" spans="1:31" ht="30" x14ac:dyDescent="0.25">
      <c r="A532" s="31" t="s">
        <v>1153</v>
      </c>
      <c r="B532" s="16" t="s">
        <v>32</v>
      </c>
      <c r="C532" s="16" t="s">
        <v>33</v>
      </c>
      <c r="D532" s="33" t="s">
        <v>34</v>
      </c>
      <c r="E532" s="33">
        <v>135</v>
      </c>
      <c r="F532" s="33">
        <v>2</v>
      </c>
      <c r="G532" s="33">
        <v>7</v>
      </c>
      <c r="H532" s="33"/>
      <c r="I532" s="31" t="s">
        <v>46</v>
      </c>
      <c r="J532" s="31"/>
      <c r="K532" s="33"/>
      <c r="L532" s="33"/>
      <c r="M532" s="31"/>
      <c r="N532" s="31"/>
      <c r="O532" s="16" t="s">
        <v>1154</v>
      </c>
      <c r="P532" s="16"/>
      <c r="Q532" s="16"/>
      <c r="R532" s="33"/>
      <c r="S532" s="34"/>
      <c r="T532" s="34"/>
      <c r="U532" s="34"/>
      <c r="V532" s="34"/>
      <c r="W532" s="34"/>
      <c r="X532" s="33" t="s">
        <v>351</v>
      </c>
      <c r="Y532" s="35" t="str">
        <f>IF(Tabela2[[#This Row],[SIGLA]]="","",VLOOKUP(Tabela2[[#This Row],[SIGLA]],Tabela1[[#All],[Sigla Arte]:[Crédito]],2,0))</f>
        <v>RAITAN OHI/ARQUIVO DA EDITORA</v>
      </c>
      <c r="Z532" s="31"/>
      <c r="AA532" s="31" t="str">
        <f>Tabela2[[#This Row],[ILUSTRADOR CRIAÇÃO]]</f>
        <v>RAITAN OHI/ARQUIVO DA EDITORA</v>
      </c>
      <c r="AB532" s="33"/>
      <c r="AC532" s="16"/>
      <c r="AE532" s="35" t="str">
        <f t="shared" si="8"/>
        <v>EF1 E002 Mat</v>
      </c>
    </row>
    <row r="533" spans="1:31" ht="30" x14ac:dyDescent="0.25">
      <c r="A533" s="31" t="s">
        <v>1155</v>
      </c>
      <c r="B533" s="16" t="s">
        <v>401</v>
      </c>
      <c r="C533" s="16" t="s">
        <v>33</v>
      </c>
      <c r="D533" s="33" t="s">
        <v>34</v>
      </c>
      <c r="E533" s="33">
        <v>135</v>
      </c>
      <c r="F533" s="33">
        <v>2</v>
      </c>
      <c r="G533" s="33">
        <v>7</v>
      </c>
      <c r="H533" s="33"/>
      <c r="I533" s="31" t="s">
        <v>46</v>
      </c>
      <c r="J533" s="31"/>
      <c r="K533" s="33"/>
      <c r="L533" s="33"/>
      <c r="M533" s="31"/>
      <c r="N533" s="31"/>
      <c r="O533" s="16" t="s">
        <v>1156</v>
      </c>
      <c r="P533" s="16"/>
      <c r="Q533" s="16"/>
      <c r="R533" s="33"/>
      <c r="S533" s="34"/>
      <c r="T533" s="34"/>
      <c r="U533" s="34"/>
      <c r="V533" s="34"/>
      <c r="W533" s="34"/>
      <c r="X533" s="33" t="s">
        <v>351</v>
      </c>
      <c r="Y533" s="35" t="str">
        <f>IF(Tabela2[[#This Row],[SIGLA]]="","",VLOOKUP(Tabela2[[#This Row],[SIGLA]],Tabela1[[#All],[Sigla Arte]:[Crédito]],2,0))</f>
        <v>RAITAN OHI/ARQUIVO DA EDITORA</v>
      </c>
      <c r="Z533" s="31"/>
      <c r="AA533" s="31" t="str">
        <f>Tabela2[[#This Row],[ILUSTRADOR CRIAÇÃO]]</f>
        <v>RAITAN OHI/ARQUIVO DA EDITORA</v>
      </c>
      <c r="AB533" s="33"/>
      <c r="AC533" s="16"/>
      <c r="AE533" s="35" t="str">
        <f t="shared" si="8"/>
        <v>EF1 E002 Mat</v>
      </c>
    </row>
    <row r="534" spans="1:31" ht="30" x14ac:dyDescent="0.25">
      <c r="A534" s="31" t="s">
        <v>1157</v>
      </c>
      <c r="B534" s="16" t="s">
        <v>32</v>
      </c>
      <c r="C534" s="16" t="s">
        <v>33</v>
      </c>
      <c r="D534" s="33" t="s">
        <v>34</v>
      </c>
      <c r="E534" s="33">
        <v>135</v>
      </c>
      <c r="F534" s="33">
        <v>2</v>
      </c>
      <c r="G534" s="33">
        <v>7</v>
      </c>
      <c r="H534" s="33"/>
      <c r="I534" s="31" t="s">
        <v>35</v>
      </c>
      <c r="J534" s="31"/>
      <c r="K534" s="33"/>
      <c r="L534" s="33"/>
      <c r="M534" s="31"/>
      <c r="N534" s="31"/>
      <c r="O534" s="16" t="s">
        <v>1158</v>
      </c>
      <c r="P534" s="16"/>
      <c r="Q534" s="16"/>
      <c r="R534" s="33">
        <v>137</v>
      </c>
      <c r="S534" s="34">
        <v>45899</v>
      </c>
      <c r="T534" s="34">
        <v>45899</v>
      </c>
      <c r="U534" s="34"/>
      <c r="V534" s="34"/>
      <c r="W534" s="34">
        <v>45901</v>
      </c>
      <c r="X534" s="33" t="s">
        <v>351</v>
      </c>
      <c r="Y534" s="35" t="str">
        <f>IF(Tabela2[[#This Row],[SIGLA]]="","",VLOOKUP(Tabela2[[#This Row],[SIGLA]],Tabela1[[#All],[Sigla Arte]:[Crédito]],2,0))</f>
        <v>RAITAN OHI/ARQUIVO DA EDITORA</v>
      </c>
      <c r="Z534" s="31" t="s">
        <v>572</v>
      </c>
      <c r="AA534" s="31" t="str">
        <f>Tabela2[[#This Row],[ILUSTRADOR CRIAÇÃO]]</f>
        <v>RAITAN OHI/ARQUIVO DA EDITORA</v>
      </c>
      <c r="AB534" s="33">
        <v>13</v>
      </c>
      <c r="AC534" s="16" t="s">
        <v>44</v>
      </c>
      <c r="AD534" s="16" t="s">
        <v>40</v>
      </c>
      <c r="AE534" s="35" t="str">
        <f t="shared" si="8"/>
        <v>EF1 E002 Mat</v>
      </c>
    </row>
    <row r="535" spans="1:31" ht="45" x14ac:dyDescent="0.25">
      <c r="A535" s="31" t="s">
        <v>1159</v>
      </c>
      <c r="B535" s="16" t="s">
        <v>32</v>
      </c>
      <c r="C535" s="16" t="s">
        <v>33</v>
      </c>
      <c r="D535" s="33" t="s">
        <v>34</v>
      </c>
      <c r="E535" s="33">
        <v>136</v>
      </c>
      <c r="F535" s="33">
        <v>2</v>
      </c>
      <c r="G535" s="33">
        <v>7</v>
      </c>
      <c r="H535" s="33"/>
      <c r="I535" s="31" t="s">
        <v>46</v>
      </c>
      <c r="J535" s="31"/>
      <c r="K535" s="33"/>
      <c r="L535" s="33"/>
      <c r="M535" s="31"/>
      <c r="N535" s="31"/>
      <c r="O535" s="16" t="s">
        <v>1160</v>
      </c>
      <c r="P535" s="16"/>
      <c r="Q535" s="16"/>
      <c r="R535" s="33"/>
      <c r="S535" s="34"/>
      <c r="T535" s="34"/>
      <c r="U535" s="34"/>
      <c r="V535" s="34"/>
      <c r="W535" s="34"/>
      <c r="X535" s="33" t="s">
        <v>399</v>
      </c>
      <c r="Y535" s="35" t="str">
        <f>IF(Tabela2[[#This Row],[SIGLA]]="","",VLOOKUP(Tabela2[[#This Row],[SIGLA]],Tabela1[[#All],[Sigla Arte]:[Crédito]],2,0))</f>
        <v>MÁRCIO GUERRA/ARQUIVO DA EDITORA</v>
      </c>
      <c r="Z535" s="31"/>
      <c r="AA535" s="31" t="str">
        <f>Tabela2[[#This Row],[ILUSTRADOR CRIAÇÃO]]</f>
        <v>MÁRCIO GUERRA/ARQUIVO DA EDITORA</v>
      </c>
      <c r="AB535" s="33"/>
      <c r="AC535" s="16"/>
      <c r="AE535" s="35" t="str">
        <f t="shared" si="8"/>
        <v>EF1 E002 Mat</v>
      </c>
    </row>
    <row r="536" spans="1:31" ht="45" x14ac:dyDescent="0.25">
      <c r="A536" s="31" t="s">
        <v>1161</v>
      </c>
      <c r="B536" s="16" t="s">
        <v>32</v>
      </c>
      <c r="C536" s="16" t="s">
        <v>33</v>
      </c>
      <c r="D536" s="33" t="s">
        <v>34</v>
      </c>
      <c r="E536" s="33">
        <v>136</v>
      </c>
      <c r="F536" s="33">
        <v>2</v>
      </c>
      <c r="G536" s="33">
        <v>7</v>
      </c>
      <c r="H536" s="33"/>
      <c r="I536" s="31" t="s">
        <v>46</v>
      </c>
      <c r="J536" s="31"/>
      <c r="K536" s="33"/>
      <c r="L536" s="33"/>
      <c r="M536" s="31"/>
      <c r="N536" s="31"/>
      <c r="O536" s="44" t="s">
        <v>1162</v>
      </c>
      <c r="P536" s="16"/>
      <c r="Q536" s="16"/>
      <c r="R536" s="33"/>
      <c r="S536" s="34"/>
      <c r="T536" s="34"/>
      <c r="U536" s="34"/>
      <c r="V536" s="34"/>
      <c r="W536" s="34"/>
      <c r="X536" s="33" t="s">
        <v>399</v>
      </c>
      <c r="Y536" s="35" t="str">
        <f>IF(Tabela2[[#This Row],[SIGLA]]="","",VLOOKUP(Tabela2[[#This Row],[SIGLA]],Tabela1[[#All],[Sigla Arte]:[Crédito]],2,0))</f>
        <v>MÁRCIO GUERRA/ARQUIVO DA EDITORA</v>
      </c>
      <c r="Z536" s="31"/>
      <c r="AA536" s="31" t="str">
        <f>Tabela2[[#This Row],[ILUSTRADOR CRIAÇÃO]]</f>
        <v>MÁRCIO GUERRA/ARQUIVO DA EDITORA</v>
      </c>
      <c r="AB536" s="33"/>
      <c r="AC536" s="16"/>
      <c r="AE536" s="35" t="str">
        <f t="shared" si="8"/>
        <v>EF1 E002 Mat</v>
      </c>
    </row>
    <row r="537" spans="1:31" ht="30" x14ac:dyDescent="0.25">
      <c r="A537" s="31" t="s">
        <v>1163</v>
      </c>
      <c r="B537" s="16" t="s">
        <v>32</v>
      </c>
      <c r="C537" s="16" t="s">
        <v>33</v>
      </c>
      <c r="D537" s="33" t="s">
        <v>34</v>
      </c>
      <c r="E537" s="33">
        <v>137</v>
      </c>
      <c r="F537" s="33">
        <v>2</v>
      </c>
      <c r="G537" s="33">
        <v>7</v>
      </c>
      <c r="H537" s="33"/>
      <c r="I537" s="31" t="s">
        <v>35</v>
      </c>
      <c r="J537" s="31"/>
      <c r="K537" s="33"/>
      <c r="L537" s="33"/>
      <c r="M537" s="31"/>
      <c r="N537" s="31"/>
      <c r="O537" s="16" t="s">
        <v>1164</v>
      </c>
      <c r="P537" s="16"/>
      <c r="Q537" s="16"/>
      <c r="R537" s="33">
        <v>137</v>
      </c>
      <c r="S537" s="34">
        <v>45899</v>
      </c>
      <c r="T537" s="34">
        <v>45899</v>
      </c>
      <c r="U537" s="34"/>
      <c r="V537" s="34"/>
      <c r="W537" s="34">
        <v>45901</v>
      </c>
      <c r="X537" s="33" t="s">
        <v>399</v>
      </c>
      <c r="Y537" s="35" t="str">
        <f>IF(Tabela2[[#This Row],[SIGLA]]="","",VLOOKUP(Tabela2[[#This Row],[SIGLA]],Tabela1[[#All],[Sigla Arte]:[Crédito]],2,0))</f>
        <v>MÁRCIO GUERRA/ARQUIVO DA EDITORA</v>
      </c>
      <c r="Z537" s="31" t="s">
        <v>572</v>
      </c>
      <c r="AA537" s="31" t="str">
        <f>Tabela2[[#This Row],[ILUSTRADOR CRIAÇÃO]]</f>
        <v>MÁRCIO GUERRA/ARQUIVO DA EDITORA</v>
      </c>
      <c r="AB537" s="33">
        <v>13</v>
      </c>
      <c r="AC537" s="16" t="s">
        <v>44</v>
      </c>
      <c r="AD537" s="16" t="s">
        <v>40</v>
      </c>
      <c r="AE537" s="35" t="str">
        <f t="shared" si="8"/>
        <v>EF1 E002 Mat</v>
      </c>
    </row>
    <row r="538" spans="1:31" ht="45" x14ac:dyDescent="0.25">
      <c r="A538" s="31" t="s">
        <v>1165</v>
      </c>
      <c r="B538" s="16" t="s">
        <v>32</v>
      </c>
      <c r="C538" s="16" t="s">
        <v>33</v>
      </c>
      <c r="D538" s="33" t="s">
        <v>34</v>
      </c>
      <c r="E538" s="33">
        <v>138</v>
      </c>
      <c r="F538" s="33">
        <v>2</v>
      </c>
      <c r="G538" s="33">
        <v>7</v>
      </c>
      <c r="H538" s="33"/>
      <c r="I538" s="31" t="s">
        <v>46</v>
      </c>
      <c r="J538" s="31"/>
      <c r="K538" s="33"/>
      <c r="L538" s="33"/>
      <c r="M538" s="31"/>
      <c r="N538" s="31"/>
      <c r="O538" s="16" t="s">
        <v>1166</v>
      </c>
      <c r="P538" s="16"/>
      <c r="Q538" s="16"/>
      <c r="R538" s="33"/>
      <c r="S538" s="34"/>
      <c r="T538" s="34"/>
      <c r="U538" s="34"/>
      <c r="V538" s="34"/>
      <c r="W538" s="34"/>
      <c r="X538" s="33" t="s">
        <v>399</v>
      </c>
      <c r="Y538" s="35" t="str">
        <f>IF(Tabela2[[#This Row],[SIGLA]]="","",VLOOKUP(Tabela2[[#This Row],[SIGLA]],Tabela1[[#All],[Sigla Arte]:[Crédito]],2,0))</f>
        <v>MÁRCIO GUERRA/ARQUIVO DA EDITORA</v>
      </c>
      <c r="Z538" s="31"/>
      <c r="AA538" s="31" t="str">
        <f>Tabela2[[#This Row],[ILUSTRADOR CRIAÇÃO]]</f>
        <v>MÁRCIO GUERRA/ARQUIVO DA EDITORA</v>
      </c>
      <c r="AB538" s="33"/>
      <c r="AC538" s="16"/>
      <c r="AE538" s="35" t="str">
        <f t="shared" si="8"/>
        <v>EF1 E002 Mat</v>
      </c>
    </row>
    <row r="539" spans="1:31" ht="45" x14ac:dyDescent="0.25">
      <c r="A539" s="31" t="s">
        <v>1167</v>
      </c>
      <c r="B539" s="16" t="s">
        <v>32</v>
      </c>
      <c r="C539" s="16" t="s">
        <v>33</v>
      </c>
      <c r="D539" s="33" t="s">
        <v>34</v>
      </c>
      <c r="E539" s="33">
        <v>138</v>
      </c>
      <c r="F539" s="33">
        <v>2</v>
      </c>
      <c r="G539" s="33">
        <v>7</v>
      </c>
      <c r="H539" s="33"/>
      <c r="I539" s="31" t="s">
        <v>46</v>
      </c>
      <c r="J539" s="31"/>
      <c r="K539" s="33"/>
      <c r="L539" s="33"/>
      <c r="M539" s="31"/>
      <c r="N539" s="31"/>
      <c r="O539" s="16" t="s">
        <v>1168</v>
      </c>
      <c r="P539" s="16"/>
      <c r="Q539" s="16"/>
      <c r="R539" s="33"/>
      <c r="S539" s="34"/>
      <c r="T539" s="34"/>
      <c r="U539" s="34"/>
      <c r="V539" s="34"/>
      <c r="W539" s="34"/>
      <c r="X539" s="33" t="s">
        <v>399</v>
      </c>
      <c r="Y539" s="35" t="str">
        <f>IF(Tabela2[[#This Row],[SIGLA]]="","",VLOOKUP(Tabela2[[#This Row],[SIGLA]],Tabela1[[#All],[Sigla Arte]:[Crédito]],2,0))</f>
        <v>MÁRCIO GUERRA/ARQUIVO DA EDITORA</v>
      </c>
      <c r="Z539" s="31"/>
      <c r="AA539" s="31" t="str">
        <f>Tabela2[[#This Row],[ILUSTRADOR CRIAÇÃO]]</f>
        <v>MÁRCIO GUERRA/ARQUIVO DA EDITORA</v>
      </c>
      <c r="AB539" s="33"/>
      <c r="AC539" s="16"/>
      <c r="AE539" s="35" t="str">
        <f t="shared" si="8"/>
        <v>EF1 E002 Mat</v>
      </c>
    </row>
    <row r="540" spans="1:31" ht="30" x14ac:dyDescent="0.25">
      <c r="A540" s="31" t="s">
        <v>1169</v>
      </c>
      <c r="B540" s="16" t="s">
        <v>32</v>
      </c>
      <c r="C540" s="16" t="s">
        <v>33</v>
      </c>
      <c r="D540" s="33" t="s">
        <v>34</v>
      </c>
      <c r="E540" s="33">
        <v>140</v>
      </c>
      <c r="F540" s="33">
        <v>2</v>
      </c>
      <c r="G540" s="33">
        <v>7</v>
      </c>
      <c r="H540" s="33"/>
      <c r="I540" s="31" t="s">
        <v>46</v>
      </c>
      <c r="J540" s="31"/>
      <c r="K540" s="33"/>
      <c r="L540" s="33"/>
      <c r="M540" s="31"/>
      <c r="N540" s="31"/>
      <c r="O540" s="16" t="s">
        <v>1170</v>
      </c>
      <c r="P540" s="16"/>
      <c r="Q540" s="16"/>
      <c r="R540" s="33"/>
      <c r="S540" s="34"/>
      <c r="T540" s="34"/>
      <c r="U540" s="34"/>
      <c r="V540" s="34"/>
      <c r="W540" s="34"/>
      <c r="X540" s="33" t="s">
        <v>399</v>
      </c>
      <c r="Y540" s="35" t="str">
        <f>IF(Tabela2[[#This Row],[SIGLA]]="","",VLOOKUP(Tabela2[[#This Row],[SIGLA]],Tabela1[[#All],[Sigla Arte]:[Crédito]],2,0))</f>
        <v>MÁRCIO GUERRA/ARQUIVO DA EDITORA</v>
      </c>
      <c r="Z540" s="31"/>
      <c r="AA540" s="31" t="str">
        <f>Tabela2[[#This Row],[ILUSTRADOR CRIAÇÃO]]</f>
        <v>MÁRCIO GUERRA/ARQUIVO DA EDITORA</v>
      </c>
      <c r="AB540" s="33"/>
      <c r="AC540" s="16"/>
      <c r="AE540" s="35" t="str">
        <f t="shared" si="8"/>
        <v>EF1 E002 Mat</v>
      </c>
    </row>
    <row r="541" spans="1:31" ht="30" x14ac:dyDescent="0.25">
      <c r="A541" s="31" t="s">
        <v>1171</v>
      </c>
      <c r="B541" s="16" t="s">
        <v>401</v>
      </c>
      <c r="C541" s="16" t="s">
        <v>164</v>
      </c>
      <c r="D541" s="33" t="s">
        <v>34</v>
      </c>
      <c r="E541" s="33">
        <v>140</v>
      </c>
      <c r="F541" s="33">
        <v>2</v>
      </c>
      <c r="G541" s="33">
        <v>7</v>
      </c>
      <c r="H541" s="33"/>
      <c r="I541" s="31" t="s">
        <v>46</v>
      </c>
      <c r="J541" s="31"/>
      <c r="K541" s="33"/>
      <c r="L541" s="33"/>
      <c r="M541" s="31"/>
      <c r="N541" s="31"/>
      <c r="O541" s="16" t="s">
        <v>1172</v>
      </c>
      <c r="P541" s="16"/>
      <c r="Q541" s="16"/>
      <c r="R541" s="33"/>
      <c r="S541" s="34"/>
      <c r="T541" s="34"/>
      <c r="U541" s="34"/>
      <c r="V541" s="34"/>
      <c r="W541" s="34"/>
      <c r="X541" s="33" t="s">
        <v>48</v>
      </c>
      <c r="Y541" s="35" t="str">
        <f>IF(Tabela2[[#This Row],[SIGLA]]="","",VLOOKUP(Tabela2[[#This Row],[SIGLA]],Tabela1[[#All],[Sigla Arte]:[Crédito]],2,0))</f>
        <v>SERGIO LIMA/ARQUIVO DA EDITORA</v>
      </c>
      <c r="Z541" s="31"/>
      <c r="AA541" s="31" t="str">
        <f>Tabela2[[#This Row],[ILUSTRADOR CRIAÇÃO]]</f>
        <v>SERGIO LIMA/ARQUIVO DA EDITORA</v>
      </c>
      <c r="AB541" s="33"/>
      <c r="AC541" s="16"/>
      <c r="AE541" s="35" t="str">
        <f t="shared" si="8"/>
        <v>EF1 E002 Mat</v>
      </c>
    </row>
    <row r="542" spans="1:31" ht="30" x14ac:dyDescent="0.25">
      <c r="A542" s="31" t="s">
        <v>1173</v>
      </c>
      <c r="B542" s="16" t="s">
        <v>401</v>
      </c>
      <c r="C542" s="16" t="s">
        <v>164</v>
      </c>
      <c r="D542" s="33" t="s">
        <v>34</v>
      </c>
      <c r="E542" s="33">
        <v>140</v>
      </c>
      <c r="F542" s="33">
        <v>2</v>
      </c>
      <c r="G542" s="33">
        <v>7</v>
      </c>
      <c r="H542" s="33"/>
      <c r="I542" s="31" t="s">
        <v>46</v>
      </c>
      <c r="J542" s="31"/>
      <c r="K542" s="33"/>
      <c r="L542" s="33"/>
      <c r="M542" s="31"/>
      <c r="N542" s="31"/>
      <c r="O542" s="16" t="s">
        <v>1174</v>
      </c>
      <c r="P542" s="16"/>
      <c r="Q542" s="16"/>
      <c r="R542" s="33"/>
      <c r="S542" s="34"/>
      <c r="T542" s="34"/>
      <c r="U542" s="34"/>
      <c r="V542" s="34"/>
      <c r="W542" s="34"/>
      <c r="X542" s="33" t="s">
        <v>48</v>
      </c>
      <c r="Y542" s="35" t="str">
        <f>IF(Tabela2[[#This Row],[SIGLA]]="","",VLOOKUP(Tabela2[[#This Row],[SIGLA]],Tabela1[[#All],[Sigla Arte]:[Crédito]],2,0))</f>
        <v>SERGIO LIMA/ARQUIVO DA EDITORA</v>
      </c>
      <c r="Z542" s="31"/>
      <c r="AA542" s="31" t="str">
        <f>Tabela2[[#This Row],[ILUSTRADOR CRIAÇÃO]]</f>
        <v>SERGIO LIMA/ARQUIVO DA EDITORA</v>
      </c>
      <c r="AB542" s="33"/>
      <c r="AC542" s="16"/>
      <c r="AE542" s="35" t="str">
        <f t="shared" si="8"/>
        <v>EF1 E002 Mat</v>
      </c>
    </row>
    <row r="543" spans="1:31" ht="30" x14ac:dyDescent="0.25">
      <c r="A543" s="31" t="s">
        <v>1175</v>
      </c>
      <c r="B543" s="16" t="s">
        <v>32</v>
      </c>
      <c r="C543" s="16" t="s">
        <v>164</v>
      </c>
      <c r="D543" s="33" t="s">
        <v>34</v>
      </c>
      <c r="E543" s="33">
        <v>141</v>
      </c>
      <c r="F543" s="33">
        <v>2</v>
      </c>
      <c r="G543" s="33">
        <v>7</v>
      </c>
      <c r="H543" s="33"/>
      <c r="I543" s="31" t="s">
        <v>46</v>
      </c>
      <c r="J543" s="31"/>
      <c r="K543" s="33"/>
      <c r="L543" s="33"/>
      <c r="M543" s="31"/>
      <c r="N543" s="31"/>
      <c r="O543" s="16" t="s">
        <v>1176</v>
      </c>
      <c r="P543" s="16"/>
      <c r="Q543" s="16"/>
      <c r="R543" s="33"/>
      <c r="S543" s="34"/>
      <c r="T543" s="34"/>
      <c r="U543" s="34"/>
      <c r="V543" s="34"/>
      <c r="W543" s="34"/>
      <c r="X543" s="33" t="s">
        <v>470</v>
      </c>
      <c r="Y543" s="35" t="str">
        <f>IF(Tabela2[[#This Row],[SIGLA]]="","",VLOOKUP(Tabela2[[#This Row],[SIGLA]],Tabela1[[#All],[Sigla Arte]:[Crédito]],2,0))</f>
        <v>RENAN FONSECA/ARQUIVO DA EDITORA</v>
      </c>
      <c r="Z543" s="31"/>
      <c r="AA543" s="31" t="str">
        <f>Tabela2[[#This Row],[ILUSTRADOR CRIAÇÃO]]</f>
        <v>RENAN FONSECA/ARQUIVO DA EDITORA</v>
      </c>
      <c r="AB543" s="33"/>
      <c r="AC543" s="16"/>
      <c r="AE543" s="35" t="str">
        <f t="shared" si="8"/>
        <v>EF1 E002 Mat</v>
      </c>
    </row>
    <row r="544" spans="1:31" ht="30" x14ac:dyDescent="0.25">
      <c r="A544" s="31" t="s">
        <v>1177</v>
      </c>
      <c r="B544" s="16" t="s">
        <v>32</v>
      </c>
      <c r="C544" s="16" t="s">
        <v>33</v>
      </c>
      <c r="D544" s="33" t="s">
        <v>34</v>
      </c>
      <c r="E544" s="33">
        <v>142</v>
      </c>
      <c r="F544" s="33">
        <v>2</v>
      </c>
      <c r="G544" s="33">
        <v>7</v>
      </c>
      <c r="H544" s="33"/>
      <c r="I544" s="31" t="s">
        <v>46</v>
      </c>
      <c r="J544" s="31"/>
      <c r="K544" s="33"/>
      <c r="L544" s="33"/>
      <c r="M544" s="31"/>
      <c r="N544" s="31"/>
      <c r="O544" s="16" t="s">
        <v>1178</v>
      </c>
      <c r="P544" s="16"/>
      <c r="Q544" s="16"/>
      <c r="R544" s="33"/>
      <c r="S544" s="34"/>
      <c r="T544" s="34"/>
      <c r="U544" s="34"/>
      <c r="V544" s="34"/>
      <c r="W544" s="34"/>
      <c r="X544" s="33" t="s">
        <v>399</v>
      </c>
      <c r="Y544" s="35" t="str">
        <f>IF(Tabela2[[#This Row],[SIGLA]]="","",VLOOKUP(Tabela2[[#This Row],[SIGLA]],Tabela1[[#All],[Sigla Arte]:[Crédito]],2,0))</f>
        <v>MÁRCIO GUERRA/ARQUIVO DA EDITORA</v>
      </c>
      <c r="Z544" s="31"/>
      <c r="AA544" s="31" t="str">
        <f>Tabela2[[#This Row],[ILUSTRADOR CRIAÇÃO]]</f>
        <v>MÁRCIO GUERRA/ARQUIVO DA EDITORA</v>
      </c>
      <c r="AB544" s="33"/>
      <c r="AC544" s="16"/>
      <c r="AE544" s="35" t="str">
        <f t="shared" si="8"/>
        <v>EF1 E002 Mat</v>
      </c>
    </row>
    <row r="545" spans="1:31" ht="30" x14ac:dyDescent="0.25">
      <c r="A545" s="31" t="s">
        <v>1179</v>
      </c>
      <c r="B545" s="16" t="s">
        <v>401</v>
      </c>
      <c r="C545" s="16" t="s">
        <v>33</v>
      </c>
      <c r="D545" s="33" t="s">
        <v>34</v>
      </c>
      <c r="E545" s="33">
        <v>142</v>
      </c>
      <c r="F545" s="33">
        <v>2</v>
      </c>
      <c r="G545" s="33">
        <v>7</v>
      </c>
      <c r="H545" s="33"/>
      <c r="I545" s="31" t="s">
        <v>46</v>
      </c>
      <c r="J545" s="31"/>
      <c r="K545" s="33"/>
      <c r="L545" s="33"/>
      <c r="M545" s="31"/>
      <c r="N545" s="31"/>
      <c r="O545" s="16" t="s">
        <v>1180</v>
      </c>
      <c r="P545" s="16"/>
      <c r="Q545" s="16"/>
      <c r="R545" s="33"/>
      <c r="S545" s="34"/>
      <c r="T545" s="34"/>
      <c r="U545" s="34"/>
      <c r="V545" s="34"/>
      <c r="W545" s="34"/>
      <c r="X545" s="33" t="s">
        <v>399</v>
      </c>
      <c r="Y545" s="35" t="str">
        <f>IF(Tabela2[[#This Row],[SIGLA]]="","",VLOOKUP(Tabela2[[#This Row],[SIGLA]],Tabela1[[#All],[Sigla Arte]:[Crédito]],2,0))</f>
        <v>MÁRCIO GUERRA/ARQUIVO DA EDITORA</v>
      </c>
      <c r="Z545" s="31"/>
      <c r="AA545" s="31" t="str">
        <f>Tabela2[[#This Row],[ILUSTRADOR CRIAÇÃO]]</f>
        <v>MÁRCIO GUERRA/ARQUIVO DA EDITORA</v>
      </c>
      <c r="AB545" s="33"/>
      <c r="AC545" s="16"/>
      <c r="AE545" s="35" t="str">
        <f t="shared" si="8"/>
        <v>EF1 E002 Mat</v>
      </c>
    </row>
    <row r="546" spans="1:31" ht="30" x14ac:dyDescent="0.25">
      <c r="A546" s="31" t="s">
        <v>1181</v>
      </c>
      <c r="B546" s="16" t="s">
        <v>32</v>
      </c>
      <c r="C546" s="16" t="s">
        <v>164</v>
      </c>
      <c r="D546" s="33" t="s">
        <v>34</v>
      </c>
      <c r="E546" s="33">
        <v>145</v>
      </c>
      <c r="F546" s="33">
        <v>2</v>
      </c>
      <c r="G546" s="33">
        <v>7</v>
      </c>
      <c r="H546" s="33"/>
      <c r="I546" s="31" t="s">
        <v>46</v>
      </c>
      <c r="J546" s="31"/>
      <c r="K546" s="33"/>
      <c r="L546" s="33"/>
      <c r="M546" s="31"/>
      <c r="N546" s="31"/>
      <c r="O546" s="16" t="s">
        <v>1182</v>
      </c>
      <c r="P546" s="16"/>
      <c r="Q546" s="16"/>
      <c r="R546" s="33"/>
      <c r="S546" s="34"/>
      <c r="T546" s="34"/>
      <c r="U546" s="34"/>
      <c r="V546" s="34"/>
      <c r="W546" s="34"/>
      <c r="X546" s="33" t="s">
        <v>48</v>
      </c>
      <c r="Y546" s="35" t="str">
        <f>IF(Tabela2[[#This Row],[SIGLA]]="","",VLOOKUP(Tabela2[[#This Row],[SIGLA]],Tabela1[[#All],[Sigla Arte]:[Crédito]],2,0))</f>
        <v>SERGIO LIMA/ARQUIVO DA EDITORA</v>
      </c>
      <c r="Z546" s="31"/>
      <c r="AA546" s="31" t="str">
        <f>Tabela2[[#This Row],[ILUSTRADOR CRIAÇÃO]]</f>
        <v>SERGIO LIMA/ARQUIVO DA EDITORA</v>
      </c>
      <c r="AB546" s="33"/>
      <c r="AC546" s="16"/>
      <c r="AE546" s="35" t="str">
        <f t="shared" si="8"/>
        <v>EF1 E002 Mat</v>
      </c>
    </row>
    <row r="547" spans="1:31" ht="30" x14ac:dyDescent="0.25">
      <c r="A547" s="31" t="s">
        <v>1183</v>
      </c>
      <c r="B547" s="16" t="s">
        <v>32</v>
      </c>
      <c r="C547" s="16" t="s">
        <v>164</v>
      </c>
      <c r="D547" s="33" t="s">
        <v>34</v>
      </c>
      <c r="E547" s="33">
        <v>145</v>
      </c>
      <c r="F547" s="33">
        <v>2</v>
      </c>
      <c r="G547" s="33">
        <v>7</v>
      </c>
      <c r="H547" s="33"/>
      <c r="I547" s="31" t="s">
        <v>46</v>
      </c>
      <c r="J547" s="31"/>
      <c r="K547" s="33"/>
      <c r="L547" s="33"/>
      <c r="M547" s="31"/>
      <c r="N547" s="31"/>
      <c r="O547" s="16" t="s">
        <v>1184</v>
      </c>
      <c r="P547" s="16"/>
      <c r="Q547" s="16"/>
      <c r="R547" s="33"/>
      <c r="S547" s="34"/>
      <c r="T547" s="34"/>
      <c r="U547" s="34"/>
      <c r="V547" s="34"/>
      <c r="W547" s="34"/>
      <c r="X547" s="33" t="s">
        <v>48</v>
      </c>
      <c r="Y547" s="35" t="str">
        <f>IF(Tabela2[[#This Row],[SIGLA]]="","",VLOOKUP(Tabela2[[#This Row],[SIGLA]],Tabela1[[#All],[Sigla Arte]:[Crédito]],2,0))</f>
        <v>SERGIO LIMA/ARQUIVO DA EDITORA</v>
      </c>
      <c r="Z547" s="31"/>
      <c r="AA547" s="31" t="str">
        <f>Tabela2[[#This Row],[ILUSTRADOR CRIAÇÃO]]</f>
        <v>SERGIO LIMA/ARQUIVO DA EDITORA</v>
      </c>
      <c r="AB547" s="33"/>
      <c r="AC547" s="16"/>
      <c r="AE547" s="35" t="str">
        <f t="shared" si="8"/>
        <v>EF1 E002 Mat</v>
      </c>
    </row>
    <row r="548" spans="1:31" ht="30" x14ac:dyDescent="0.25">
      <c r="A548" s="31" t="s">
        <v>1185</v>
      </c>
      <c r="B548" s="16" t="s">
        <v>32</v>
      </c>
      <c r="C548" s="16" t="s">
        <v>164</v>
      </c>
      <c r="D548" s="33" t="s">
        <v>34</v>
      </c>
      <c r="E548" s="33">
        <v>145</v>
      </c>
      <c r="F548" s="33">
        <v>2</v>
      </c>
      <c r="G548" s="33">
        <v>7</v>
      </c>
      <c r="H548" s="33"/>
      <c r="I548" s="31" t="s">
        <v>46</v>
      </c>
      <c r="J548" s="31"/>
      <c r="K548" s="33"/>
      <c r="L548" s="33"/>
      <c r="M548" s="31"/>
      <c r="N548" s="31"/>
      <c r="O548" s="16" t="s">
        <v>1186</v>
      </c>
      <c r="P548" s="16"/>
      <c r="Q548" s="16"/>
      <c r="R548" s="33"/>
      <c r="S548" s="34"/>
      <c r="T548" s="34"/>
      <c r="U548" s="34"/>
      <c r="V548" s="34"/>
      <c r="W548" s="34"/>
      <c r="X548" s="33" t="s">
        <v>48</v>
      </c>
      <c r="Y548" s="35" t="str">
        <f>IF(Tabela2[[#This Row],[SIGLA]]="","",VLOOKUP(Tabela2[[#This Row],[SIGLA]],Tabela1[[#All],[Sigla Arte]:[Crédito]],2,0))</f>
        <v>SERGIO LIMA/ARQUIVO DA EDITORA</v>
      </c>
      <c r="Z548" s="31"/>
      <c r="AA548" s="31" t="str">
        <f>Tabela2[[#This Row],[ILUSTRADOR CRIAÇÃO]]</f>
        <v>SERGIO LIMA/ARQUIVO DA EDITORA</v>
      </c>
      <c r="AB548" s="33"/>
      <c r="AC548" s="16"/>
      <c r="AE548" s="35" t="str">
        <f t="shared" si="8"/>
        <v>EF1 E002 Mat</v>
      </c>
    </row>
    <row r="549" spans="1:31" ht="30" x14ac:dyDescent="0.25">
      <c r="A549" s="31" t="s">
        <v>1187</v>
      </c>
      <c r="B549" s="16" t="s">
        <v>32</v>
      </c>
      <c r="C549" s="16" t="s">
        <v>164</v>
      </c>
      <c r="D549" s="33" t="s">
        <v>34</v>
      </c>
      <c r="E549" s="33">
        <v>145</v>
      </c>
      <c r="F549" s="33">
        <v>2</v>
      </c>
      <c r="G549" s="33">
        <v>7</v>
      </c>
      <c r="H549" s="33"/>
      <c r="I549" s="31" t="s">
        <v>46</v>
      </c>
      <c r="J549" s="31"/>
      <c r="K549" s="33"/>
      <c r="L549" s="33"/>
      <c r="M549" s="31"/>
      <c r="N549" s="31"/>
      <c r="O549" s="16" t="s">
        <v>1188</v>
      </c>
      <c r="P549" s="16"/>
      <c r="Q549" s="16"/>
      <c r="R549" s="33"/>
      <c r="S549" s="34"/>
      <c r="T549" s="34"/>
      <c r="U549" s="34"/>
      <c r="V549" s="34"/>
      <c r="W549" s="34"/>
      <c r="X549" s="33" t="s">
        <v>48</v>
      </c>
      <c r="Y549" s="35" t="str">
        <f>IF(Tabela2[[#This Row],[SIGLA]]="","",VLOOKUP(Tabela2[[#This Row],[SIGLA]],Tabela1[[#All],[Sigla Arte]:[Crédito]],2,0))</f>
        <v>SERGIO LIMA/ARQUIVO DA EDITORA</v>
      </c>
      <c r="Z549" s="31"/>
      <c r="AA549" s="31" t="str">
        <f>Tabela2[[#This Row],[ILUSTRADOR CRIAÇÃO]]</f>
        <v>SERGIO LIMA/ARQUIVO DA EDITORA</v>
      </c>
      <c r="AB549" s="33"/>
      <c r="AC549" s="16"/>
      <c r="AE549" s="35" t="str">
        <f t="shared" si="8"/>
        <v>EF1 E002 Mat</v>
      </c>
    </row>
    <row r="550" spans="1:31" ht="75" x14ac:dyDescent="0.25">
      <c r="A550" s="31" t="s">
        <v>1189</v>
      </c>
      <c r="B550" s="16" t="s">
        <v>401</v>
      </c>
      <c r="C550" s="16" t="s">
        <v>33</v>
      </c>
      <c r="D550" s="33" t="s">
        <v>34</v>
      </c>
      <c r="E550" s="33">
        <v>179</v>
      </c>
      <c r="F550" s="33">
        <v>2</v>
      </c>
      <c r="G550" s="33">
        <v>7</v>
      </c>
      <c r="H550" s="33"/>
      <c r="I550" s="31" t="s">
        <v>35</v>
      </c>
      <c r="J550" s="31"/>
      <c r="K550" s="33"/>
      <c r="L550" s="33"/>
      <c r="M550" s="31"/>
      <c r="N550" s="31"/>
      <c r="O550" s="16" t="s">
        <v>1190</v>
      </c>
      <c r="P550" s="16"/>
      <c r="Q550" s="16"/>
      <c r="R550" s="33">
        <v>77</v>
      </c>
      <c r="S550" s="34">
        <v>45849</v>
      </c>
      <c r="T550" s="34">
        <v>45849</v>
      </c>
      <c r="U550" s="34"/>
      <c r="V550" s="34"/>
      <c r="W550" s="34">
        <v>45852</v>
      </c>
      <c r="X550" s="33" t="s">
        <v>399</v>
      </c>
      <c r="Y550" s="35" t="str">
        <f>IF(Tabela2[[#This Row],[SIGLA]]="","",VLOOKUP(Tabela2[[#This Row],[SIGLA]],Tabela1[[#All],[Sigla Arte]:[Crédito]],2,0))</f>
        <v>MÁRCIO GUERRA/ARQUIVO DA EDITORA</v>
      </c>
      <c r="Z550" s="31"/>
      <c r="AA550" s="31" t="str">
        <f>Tabela2[[#This Row],[ILUSTRADOR CRIAÇÃO]]</f>
        <v>MÁRCIO GUERRA/ARQUIVO DA EDITORA</v>
      </c>
      <c r="AB550" s="33"/>
      <c r="AC550" s="16"/>
      <c r="AD550" s="16" t="s">
        <v>40</v>
      </c>
      <c r="AE550" s="35" t="str">
        <f t="shared" si="8"/>
        <v>EF1 E002 Mat</v>
      </c>
    </row>
    <row r="551" spans="1:31" ht="45" x14ac:dyDescent="0.25">
      <c r="A551" s="31" t="s">
        <v>1191</v>
      </c>
      <c r="B551" s="16" t="s">
        <v>32</v>
      </c>
      <c r="C551" s="16" t="s">
        <v>1192</v>
      </c>
      <c r="D551" s="33" t="s">
        <v>34</v>
      </c>
      <c r="E551" s="33">
        <v>131</v>
      </c>
      <c r="F551" s="33">
        <v>2</v>
      </c>
      <c r="G551" s="33">
        <v>7</v>
      </c>
      <c r="H551" s="33"/>
      <c r="I551" s="31" t="s">
        <v>46</v>
      </c>
      <c r="J551" s="31"/>
      <c r="K551" s="33"/>
      <c r="L551" s="33"/>
      <c r="M551" s="31"/>
      <c r="N551" s="31"/>
      <c r="O551" s="16" t="s">
        <v>1193</v>
      </c>
      <c r="P551" s="16"/>
      <c r="Q551" s="16"/>
      <c r="R551" s="33"/>
      <c r="S551" s="34"/>
      <c r="T551" s="34"/>
      <c r="U551" s="34"/>
      <c r="V551" s="34"/>
      <c r="W551" s="34"/>
      <c r="X551" s="33" t="s">
        <v>37</v>
      </c>
      <c r="Y551" s="35" t="str">
        <f>IF(Tabela2[[#This Row],[SIGLA]]="","",VLOOKUP(Tabela2[[#This Row],[SIGLA]],Tabela1[[#All],[Sigla Arte]:[Crédito]],2,0))</f>
        <v>CAIO TANAKA/ARQUIVO DA EDITORA</v>
      </c>
      <c r="Z551" s="31"/>
      <c r="AA551" s="31" t="s">
        <v>1194</v>
      </c>
      <c r="AB551" s="33"/>
      <c r="AC551" s="16"/>
      <c r="AE551" s="35" t="str">
        <f t="shared" si="8"/>
        <v>EF1 E002 Mat</v>
      </c>
    </row>
    <row r="552" spans="1:31" ht="60" x14ac:dyDescent="0.25">
      <c r="A552" s="31" t="s">
        <v>1195</v>
      </c>
      <c r="B552" s="16" t="s">
        <v>32</v>
      </c>
      <c r="C552" s="16" t="s">
        <v>33</v>
      </c>
      <c r="D552" s="33" t="s">
        <v>34</v>
      </c>
      <c r="E552" s="33">
        <v>164</v>
      </c>
      <c r="F552" s="33">
        <v>2</v>
      </c>
      <c r="G552" s="33">
        <v>8</v>
      </c>
      <c r="H552" s="33"/>
      <c r="I552" s="31" t="s">
        <v>35</v>
      </c>
      <c r="J552" s="31"/>
      <c r="K552" s="33"/>
      <c r="L552" s="33"/>
      <c r="M552" s="31"/>
      <c r="N552" s="31"/>
      <c r="O552" s="16" t="s">
        <v>1196</v>
      </c>
      <c r="P552" s="16"/>
      <c r="Q552" s="16"/>
      <c r="R552" s="33">
        <v>138</v>
      </c>
      <c r="S552" s="34">
        <v>45901</v>
      </c>
      <c r="T552" s="34">
        <v>45901</v>
      </c>
      <c r="U552" s="34"/>
      <c r="V552" s="34">
        <v>45901</v>
      </c>
      <c r="W552" s="34">
        <v>45901</v>
      </c>
      <c r="X552" s="33" t="s">
        <v>162</v>
      </c>
      <c r="Y552" s="35" t="str">
        <f>IF(Tabela2[[#This Row],[SIGLA]]="","",VLOOKUP(Tabela2[[#This Row],[SIGLA]],Tabela1[[#All],[Sigla Arte]:[Crédito]],2,0))</f>
        <v>IVY NUNES/ARQUIVO DA EDITORA</v>
      </c>
      <c r="Z552" s="31" t="s">
        <v>572</v>
      </c>
      <c r="AA552" s="31" t="str">
        <f>Tabela2[[#This Row],[ILUSTRADOR CRIAÇÃO]]</f>
        <v>IVY NUNES/ARQUIVO DA EDITORA</v>
      </c>
      <c r="AB552" s="33">
        <v>13</v>
      </c>
      <c r="AC552" s="16" t="s">
        <v>44</v>
      </c>
      <c r="AD552" s="16" t="s">
        <v>40</v>
      </c>
      <c r="AE552" s="35" t="str">
        <f t="shared" si="8"/>
        <v>EF1 E002 Mat</v>
      </c>
    </row>
    <row r="553" spans="1:31" ht="75" x14ac:dyDescent="0.25">
      <c r="A553" s="31" t="s">
        <v>1197</v>
      </c>
      <c r="B553" s="16" t="s">
        <v>32</v>
      </c>
      <c r="C553" s="16" t="s">
        <v>33</v>
      </c>
      <c r="D553" s="33" t="s">
        <v>34</v>
      </c>
      <c r="E553" s="33">
        <v>182</v>
      </c>
      <c r="F553" s="33">
        <v>2</v>
      </c>
      <c r="G553" s="33">
        <v>8</v>
      </c>
      <c r="H553" s="33"/>
      <c r="I553" s="31" t="s">
        <v>35</v>
      </c>
      <c r="J553" s="31"/>
      <c r="K553" s="33"/>
      <c r="L553" s="33"/>
      <c r="M553" s="31"/>
      <c r="N553" s="31"/>
      <c r="O553" s="16" t="s">
        <v>1198</v>
      </c>
      <c r="P553" s="16"/>
      <c r="Q553" s="16"/>
      <c r="R553" s="33">
        <v>81</v>
      </c>
      <c r="S553" s="34">
        <v>45852</v>
      </c>
      <c r="T553" s="34">
        <v>45853</v>
      </c>
      <c r="U553" s="34"/>
      <c r="V553" s="34"/>
      <c r="W553" s="34">
        <v>45855</v>
      </c>
      <c r="X553" s="33" t="s">
        <v>162</v>
      </c>
      <c r="Y553" s="35" t="str">
        <f>IF(Tabela2[[#This Row],[SIGLA]]="","",VLOOKUP(Tabela2[[#This Row],[SIGLA]],Tabela1[[#All],[Sigla Arte]:[Crédito]],2,0))</f>
        <v>IVY NUNES/ARQUIVO DA EDITORA</v>
      </c>
      <c r="Z553" s="31"/>
      <c r="AA553" s="31" t="str">
        <f>Tabela2[[#This Row],[ILUSTRADOR CRIAÇÃO]]</f>
        <v>IVY NUNES/ARQUIVO DA EDITORA</v>
      </c>
      <c r="AB553" s="33">
        <v>14</v>
      </c>
      <c r="AC553" s="16" t="s">
        <v>39</v>
      </c>
      <c r="AD553" s="16" t="s">
        <v>40</v>
      </c>
      <c r="AE553" s="35" t="str">
        <f t="shared" si="8"/>
        <v>EF1 E002 Mat</v>
      </c>
    </row>
    <row r="554" spans="1:31" ht="30" x14ac:dyDescent="0.25">
      <c r="A554" s="31" t="s">
        <v>1199</v>
      </c>
      <c r="B554" s="16" t="s">
        <v>32</v>
      </c>
      <c r="C554" s="16" t="s">
        <v>33</v>
      </c>
      <c r="D554" s="33" t="s">
        <v>34</v>
      </c>
      <c r="E554" s="33">
        <v>165</v>
      </c>
      <c r="F554" s="33">
        <v>2</v>
      </c>
      <c r="G554" s="33">
        <v>8</v>
      </c>
      <c r="H554" s="33"/>
      <c r="I554" s="31" t="s">
        <v>46</v>
      </c>
      <c r="J554" s="31"/>
      <c r="K554" s="33"/>
      <c r="L554" s="33"/>
      <c r="M554" s="31"/>
      <c r="N554" s="31"/>
      <c r="O554" s="16" t="s">
        <v>1200</v>
      </c>
      <c r="P554" s="16"/>
      <c r="Q554" s="16"/>
      <c r="R554" s="33"/>
      <c r="S554" s="34"/>
      <c r="T554" s="34"/>
      <c r="U554" s="34"/>
      <c r="V554" s="34"/>
      <c r="W554" s="34"/>
      <c r="X554" s="33" t="s">
        <v>1201</v>
      </c>
      <c r="Y554" s="35" t="str">
        <f>IF(Tabela2[[#This Row],[SIGLA]]="","",VLOOKUP(Tabela2[[#This Row],[SIGLA]],Tabela1[[#All],[Sigla Arte]:[Crédito]],2,0))</f>
        <v>RAFAELA PANISSA/ARQUIVO DA EDITORA</v>
      </c>
      <c r="Z554" s="31"/>
      <c r="AA554" s="31" t="str">
        <f>Tabela2[[#This Row],[ILUSTRADOR CRIAÇÃO]]</f>
        <v>RAFAELA PANISSA/ARQUIVO DA EDITORA</v>
      </c>
      <c r="AB554" s="33"/>
      <c r="AC554" s="16"/>
      <c r="AE554" s="35" t="str">
        <f t="shared" si="8"/>
        <v>EF1 E002 Mat</v>
      </c>
    </row>
    <row r="555" spans="1:31" ht="30" x14ac:dyDescent="0.25">
      <c r="A555" s="31" t="s">
        <v>1202</v>
      </c>
      <c r="B555" s="16" t="s">
        <v>32</v>
      </c>
      <c r="C555" s="16" t="s">
        <v>164</v>
      </c>
      <c r="D555" s="33" t="s">
        <v>34</v>
      </c>
      <c r="E555" s="33">
        <v>165</v>
      </c>
      <c r="F555" s="33">
        <v>2</v>
      </c>
      <c r="G555" s="33">
        <v>8</v>
      </c>
      <c r="H555" s="33"/>
      <c r="I555" s="31" t="s">
        <v>46</v>
      </c>
      <c r="J555" s="31"/>
      <c r="K555" s="33"/>
      <c r="L555" s="33"/>
      <c r="M555" s="31"/>
      <c r="N555" s="31"/>
      <c r="O555" s="16" t="s">
        <v>1203</v>
      </c>
      <c r="P555" s="16"/>
      <c r="Q555" s="16"/>
      <c r="R555" s="33"/>
      <c r="S555" s="34"/>
      <c r="T555" s="34"/>
      <c r="U555" s="34"/>
      <c r="V555" s="34"/>
      <c r="W555" s="34"/>
      <c r="X555" s="33" t="s">
        <v>1201</v>
      </c>
      <c r="Y555" s="35" t="str">
        <f>IF(Tabela2[[#This Row],[SIGLA]]="","",VLOOKUP(Tabela2[[#This Row],[SIGLA]],Tabela1[[#All],[Sigla Arte]:[Crédito]],2,0))</f>
        <v>RAFAELA PANISSA/ARQUIVO DA EDITORA</v>
      </c>
      <c r="Z555" s="31"/>
      <c r="AA555" s="31" t="str">
        <f>Tabela2[[#This Row],[ILUSTRADOR CRIAÇÃO]]</f>
        <v>RAFAELA PANISSA/ARQUIVO DA EDITORA</v>
      </c>
      <c r="AB555" s="33"/>
      <c r="AC555" s="16"/>
      <c r="AE555" s="35" t="str">
        <f t="shared" si="8"/>
        <v>EF1 E002 Mat</v>
      </c>
    </row>
    <row r="556" spans="1:31" ht="30" x14ac:dyDescent="0.25">
      <c r="A556" s="31" t="s">
        <v>1204</v>
      </c>
      <c r="B556" s="16" t="s">
        <v>32</v>
      </c>
      <c r="C556" s="16" t="s">
        <v>164</v>
      </c>
      <c r="D556" s="33" t="s">
        <v>34</v>
      </c>
      <c r="E556" s="33">
        <v>165</v>
      </c>
      <c r="F556" s="33">
        <v>2</v>
      </c>
      <c r="G556" s="33">
        <v>8</v>
      </c>
      <c r="H556" s="33"/>
      <c r="I556" s="31" t="s">
        <v>46</v>
      </c>
      <c r="J556" s="31"/>
      <c r="K556" s="33"/>
      <c r="L556" s="33"/>
      <c r="M556" s="31"/>
      <c r="N556" s="31"/>
      <c r="O556" s="16" t="s">
        <v>1205</v>
      </c>
      <c r="P556" s="16"/>
      <c r="Q556" s="16"/>
      <c r="R556" s="33"/>
      <c r="S556" s="34"/>
      <c r="T556" s="34"/>
      <c r="U556" s="34"/>
      <c r="V556" s="34"/>
      <c r="W556" s="34"/>
      <c r="X556" s="33" t="s">
        <v>1201</v>
      </c>
      <c r="Y556" s="35" t="str">
        <f>IF(Tabela2[[#This Row],[SIGLA]]="","",VLOOKUP(Tabela2[[#This Row],[SIGLA]],Tabela1[[#All],[Sigla Arte]:[Crédito]],2,0))</f>
        <v>RAFAELA PANISSA/ARQUIVO DA EDITORA</v>
      </c>
      <c r="Z556" s="31"/>
      <c r="AA556" s="31" t="str">
        <f>Tabela2[[#This Row],[ILUSTRADOR CRIAÇÃO]]</f>
        <v>RAFAELA PANISSA/ARQUIVO DA EDITORA</v>
      </c>
      <c r="AB556" s="33"/>
      <c r="AC556" s="16"/>
      <c r="AE556" s="35" t="str">
        <f t="shared" si="8"/>
        <v>EF1 E002 Mat</v>
      </c>
    </row>
    <row r="557" spans="1:31" ht="30" x14ac:dyDescent="0.25">
      <c r="A557" s="31" t="s">
        <v>1206</v>
      </c>
      <c r="B557" s="16" t="s">
        <v>32</v>
      </c>
      <c r="C557" s="16" t="s">
        <v>164</v>
      </c>
      <c r="D557" s="33" t="s">
        <v>34</v>
      </c>
      <c r="E557" s="33">
        <v>165</v>
      </c>
      <c r="F557" s="33">
        <v>2</v>
      </c>
      <c r="G557" s="33">
        <v>8</v>
      </c>
      <c r="H557" s="33"/>
      <c r="I557" s="31" t="s">
        <v>46</v>
      </c>
      <c r="J557" s="31"/>
      <c r="K557" s="33"/>
      <c r="L557" s="33"/>
      <c r="M557" s="31"/>
      <c r="N557" s="31"/>
      <c r="O557" s="16" t="s">
        <v>1207</v>
      </c>
      <c r="P557" s="16"/>
      <c r="Q557" s="16"/>
      <c r="R557" s="33"/>
      <c r="S557" s="34"/>
      <c r="T557" s="34"/>
      <c r="U557" s="34"/>
      <c r="V557" s="34"/>
      <c r="W557" s="34"/>
      <c r="X557" s="33" t="s">
        <v>1201</v>
      </c>
      <c r="Y557" s="35" t="str">
        <f>IF(Tabela2[[#This Row],[SIGLA]]="","",VLOOKUP(Tabela2[[#This Row],[SIGLA]],Tabela1[[#All],[Sigla Arte]:[Crédito]],2,0))</f>
        <v>RAFAELA PANISSA/ARQUIVO DA EDITORA</v>
      </c>
      <c r="Z557" s="31"/>
      <c r="AA557" s="31" t="str">
        <f>Tabela2[[#This Row],[ILUSTRADOR CRIAÇÃO]]</f>
        <v>RAFAELA PANISSA/ARQUIVO DA EDITORA</v>
      </c>
      <c r="AB557" s="33"/>
      <c r="AC557" s="16"/>
      <c r="AE557" s="35" t="str">
        <f t="shared" si="8"/>
        <v>EF1 E002 Mat</v>
      </c>
    </row>
    <row r="558" spans="1:31" ht="30" x14ac:dyDescent="0.25">
      <c r="A558" s="31" t="s">
        <v>1208</v>
      </c>
      <c r="B558" s="16" t="s">
        <v>32</v>
      </c>
      <c r="C558" s="16" t="s">
        <v>164</v>
      </c>
      <c r="D558" s="33" t="s">
        <v>34</v>
      </c>
      <c r="E558" s="33">
        <v>165</v>
      </c>
      <c r="F558" s="33">
        <v>2</v>
      </c>
      <c r="G558" s="33">
        <v>8</v>
      </c>
      <c r="H558" s="33"/>
      <c r="I558" s="31" t="s">
        <v>46</v>
      </c>
      <c r="J558" s="31"/>
      <c r="K558" s="33"/>
      <c r="L558" s="33"/>
      <c r="M558" s="31"/>
      <c r="N558" s="31"/>
      <c r="O558" s="16" t="s">
        <v>1209</v>
      </c>
      <c r="P558" s="16"/>
      <c r="Q558" s="16"/>
      <c r="R558" s="33"/>
      <c r="S558" s="34"/>
      <c r="T558" s="34"/>
      <c r="U558" s="34"/>
      <c r="V558" s="34"/>
      <c r="W558" s="34"/>
      <c r="X558" s="33" t="s">
        <v>1126</v>
      </c>
      <c r="Y558" s="35" t="str">
        <f>IF(Tabela2[[#This Row],[SIGLA]]="","",VLOOKUP(Tabela2[[#This Row],[SIGLA]],Tabela1[[#All],[Sigla Arte]:[Crédito]],2,0))</f>
        <v>GUSTAVO CONTI/ARQUIVO DA EDITORA</v>
      </c>
      <c r="Z558" s="31"/>
      <c r="AA558" s="31" t="str">
        <f>Tabela2[[#This Row],[ILUSTRADOR CRIAÇÃO]]</f>
        <v>GUSTAVO CONTI/ARQUIVO DA EDITORA</v>
      </c>
      <c r="AB558" s="33"/>
      <c r="AC558" s="16"/>
      <c r="AE558" s="35" t="str">
        <f t="shared" si="8"/>
        <v>EF1 E002 Mat</v>
      </c>
    </row>
    <row r="559" spans="1:31" ht="30" x14ac:dyDescent="0.25">
      <c r="A559" s="31" t="s">
        <v>1210</v>
      </c>
      <c r="B559" s="16" t="s">
        <v>32</v>
      </c>
      <c r="C559" s="16" t="s">
        <v>164</v>
      </c>
      <c r="D559" s="33" t="s">
        <v>34</v>
      </c>
      <c r="E559" s="33">
        <v>165</v>
      </c>
      <c r="F559" s="33">
        <v>2</v>
      </c>
      <c r="G559" s="33">
        <v>8</v>
      </c>
      <c r="H559" s="33"/>
      <c r="I559" s="31" t="s">
        <v>46</v>
      </c>
      <c r="J559" s="31"/>
      <c r="K559" s="33"/>
      <c r="L559" s="33"/>
      <c r="M559" s="31"/>
      <c r="N559" s="31"/>
      <c r="O559" s="16" t="s">
        <v>1211</v>
      </c>
      <c r="P559" s="16"/>
      <c r="Q559" s="16"/>
      <c r="R559" s="33"/>
      <c r="S559" s="34"/>
      <c r="T559" s="34"/>
      <c r="U559" s="34"/>
      <c r="V559" s="34"/>
      <c r="W559" s="34"/>
      <c r="X559" s="33" t="s">
        <v>1126</v>
      </c>
      <c r="Y559" s="35" t="str">
        <f>IF(Tabela2[[#This Row],[SIGLA]]="","",VLOOKUP(Tabela2[[#This Row],[SIGLA]],Tabela1[[#All],[Sigla Arte]:[Crédito]],2,0))</f>
        <v>GUSTAVO CONTI/ARQUIVO DA EDITORA</v>
      </c>
      <c r="Z559" s="31"/>
      <c r="AA559" s="31" t="str">
        <f>Tabela2[[#This Row],[ILUSTRADOR CRIAÇÃO]]</f>
        <v>GUSTAVO CONTI/ARQUIVO DA EDITORA</v>
      </c>
      <c r="AB559" s="33"/>
      <c r="AC559" s="16"/>
      <c r="AE559" s="35" t="str">
        <f t="shared" si="8"/>
        <v>EF1 E002 Mat</v>
      </c>
    </row>
    <row r="560" spans="1:31" ht="30" x14ac:dyDescent="0.25">
      <c r="A560" s="31" t="s">
        <v>1212</v>
      </c>
      <c r="B560" s="16" t="s">
        <v>32</v>
      </c>
      <c r="C560" s="16" t="s">
        <v>164</v>
      </c>
      <c r="D560" s="33" t="s">
        <v>34</v>
      </c>
      <c r="E560" s="33">
        <v>165</v>
      </c>
      <c r="F560" s="33">
        <v>2</v>
      </c>
      <c r="G560" s="33">
        <v>8</v>
      </c>
      <c r="H560" s="33"/>
      <c r="I560" s="31" t="s">
        <v>46</v>
      </c>
      <c r="J560" s="31"/>
      <c r="K560" s="33"/>
      <c r="L560" s="33"/>
      <c r="M560" s="31"/>
      <c r="N560" s="31"/>
      <c r="O560" s="16" t="s">
        <v>1213</v>
      </c>
      <c r="P560" s="16"/>
      <c r="Q560" s="16"/>
      <c r="R560" s="33"/>
      <c r="S560" s="34"/>
      <c r="T560" s="34"/>
      <c r="U560" s="34"/>
      <c r="V560" s="34"/>
      <c r="W560" s="34"/>
      <c r="X560" s="33" t="s">
        <v>1126</v>
      </c>
      <c r="Y560" s="35" t="str">
        <f>IF(Tabela2[[#This Row],[SIGLA]]="","",VLOOKUP(Tabela2[[#This Row],[SIGLA]],Tabela1[[#All],[Sigla Arte]:[Crédito]],2,0))</f>
        <v>GUSTAVO CONTI/ARQUIVO DA EDITORA</v>
      </c>
      <c r="Z560" s="31"/>
      <c r="AA560" s="31" t="str">
        <f>Tabela2[[#This Row],[ILUSTRADOR CRIAÇÃO]]</f>
        <v>GUSTAVO CONTI/ARQUIVO DA EDITORA</v>
      </c>
      <c r="AB560" s="33"/>
      <c r="AC560" s="16"/>
      <c r="AE560" s="35" t="str">
        <f t="shared" si="8"/>
        <v>EF1 E002 Mat</v>
      </c>
    </row>
    <row r="561" spans="1:31" ht="30" x14ac:dyDescent="0.25">
      <c r="A561" s="31" t="s">
        <v>1214</v>
      </c>
      <c r="B561" s="16" t="s">
        <v>32</v>
      </c>
      <c r="C561" s="16" t="s">
        <v>164</v>
      </c>
      <c r="D561" s="33" t="s">
        <v>34</v>
      </c>
      <c r="E561" s="33">
        <v>165</v>
      </c>
      <c r="F561" s="33">
        <v>2</v>
      </c>
      <c r="G561" s="33">
        <v>8</v>
      </c>
      <c r="H561" s="33"/>
      <c r="I561" s="31" t="s">
        <v>46</v>
      </c>
      <c r="J561" s="31"/>
      <c r="K561" s="33"/>
      <c r="L561" s="33"/>
      <c r="M561" s="31"/>
      <c r="N561" s="31"/>
      <c r="O561" s="16" t="s">
        <v>1215</v>
      </c>
      <c r="P561" s="16"/>
      <c r="Q561" s="16"/>
      <c r="R561" s="33"/>
      <c r="S561" s="34"/>
      <c r="T561" s="34"/>
      <c r="U561" s="34"/>
      <c r="V561" s="34"/>
      <c r="W561" s="34"/>
      <c r="X561" s="33" t="s">
        <v>1126</v>
      </c>
      <c r="Y561" s="35" t="str">
        <f>IF(Tabela2[[#This Row],[SIGLA]]="","",VLOOKUP(Tabela2[[#This Row],[SIGLA]],Tabela1[[#All],[Sigla Arte]:[Crédito]],2,0))</f>
        <v>GUSTAVO CONTI/ARQUIVO DA EDITORA</v>
      </c>
      <c r="Z561" s="31"/>
      <c r="AA561" s="31" t="str">
        <f>Tabela2[[#This Row],[ILUSTRADOR CRIAÇÃO]]</f>
        <v>GUSTAVO CONTI/ARQUIVO DA EDITORA</v>
      </c>
      <c r="AB561" s="33"/>
      <c r="AC561" s="16"/>
      <c r="AE561" s="35" t="str">
        <f t="shared" si="8"/>
        <v>EF1 E002 Mat</v>
      </c>
    </row>
    <row r="562" spans="1:31" ht="45" x14ac:dyDescent="0.25">
      <c r="A562" s="31" t="s">
        <v>1216</v>
      </c>
      <c r="B562" s="16" t="s">
        <v>32</v>
      </c>
      <c r="C562" s="16" t="s">
        <v>164</v>
      </c>
      <c r="D562" s="33" t="s">
        <v>34</v>
      </c>
      <c r="E562" s="33">
        <v>165</v>
      </c>
      <c r="F562" s="33">
        <v>2</v>
      </c>
      <c r="G562" s="33">
        <v>8</v>
      </c>
      <c r="H562" s="33"/>
      <c r="I562" s="31" t="s">
        <v>46</v>
      </c>
      <c r="J562" s="31"/>
      <c r="K562" s="33"/>
      <c r="L562" s="33"/>
      <c r="M562" s="31"/>
      <c r="N562" s="31"/>
      <c r="O562" s="16" t="s">
        <v>1217</v>
      </c>
      <c r="P562" s="16"/>
      <c r="Q562" s="16"/>
      <c r="R562" s="33"/>
      <c r="S562" s="34"/>
      <c r="T562" s="34"/>
      <c r="U562" s="34"/>
      <c r="V562" s="34"/>
      <c r="W562" s="34"/>
      <c r="X562" s="33" t="s">
        <v>1126</v>
      </c>
      <c r="Y562" s="35" t="str">
        <f>IF(Tabela2[[#This Row],[SIGLA]]="","",VLOOKUP(Tabela2[[#This Row],[SIGLA]],Tabela1[[#All],[Sigla Arte]:[Crédito]],2,0))</f>
        <v>GUSTAVO CONTI/ARQUIVO DA EDITORA</v>
      </c>
      <c r="Z562" s="31"/>
      <c r="AA562" s="31" t="str">
        <f>Tabela2[[#This Row],[ILUSTRADOR CRIAÇÃO]]</f>
        <v>GUSTAVO CONTI/ARQUIVO DA EDITORA</v>
      </c>
      <c r="AB562" s="33"/>
      <c r="AC562" s="16"/>
      <c r="AE562" s="35" t="str">
        <f t="shared" si="8"/>
        <v>EF1 E002 Mat</v>
      </c>
    </row>
    <row r="563" spans="1:31" ht="60" x14ac:dyDescent="0.25">
      <c r="A563" s="31" t="s">
        <v>1218</v>
      </c>
      <c r="B563" s="16" t="s">
        <v>32</v>
      </c>
      <c r="C563" s="16" t="s">
        <v>33</v>
      </c>
      <c r="D563" s="33" t="s">
        <v>34</v>
      </c>
      <c r="E563" s="33">
        <v>166</v>
      </c>
      <c r="F563" s="33">
        <v>2</v>
      </c>
      <c r="G563" s="33">
        <v>8</v>
      </c>
      <c r="H563" s="33"/>
      <c r="I563" s="31" t="s">
        <v>46</v>
      </c>
      <c r="J563" s="31"/>
      <c r="K563" s="33"/>
      <c r="L563" s="33"/>
      <c r="M563" s="31"/>
      <c r="N563" s="31"/>
      <c r="O563" s="16" t="s">
        <v>1219</v>
      </c>
      <c r="P563" s="16"/>
      <c r="Q563" s="16"/>
      <c r="R563" s="33"/>
      <c r="S563" s="34"/>
      <c r="T563" s="34"/>
      <c r="U563" s="34"/>
      <c r="V563" s="34"/>
      <c r="W563" s="34"/>
      <c r="X563" s="33" t="s">
        <v>48</v>
      </c>
      <c r="Y563" s="35" t="str">
        <f>IF(Tabela2[[#This Row],[SIGLA]]="","",VLOOKUP(Tabela2[[#This Row],[SIGLA]],Tabela1[[#All],[Sigla Arte]:[Crédito]],2,0))</f>
        <v>SERGIO LIMA/ARQUIVO DA EDITORA</v>
      </c>
      <c r="Z563" s="31"/>
      <c r="AA563" s="31" t="str">
        <f>Tabela2[[#This Row],[ILUSTRADOR CRIAÇÃO]]</f>
        <v>SERGIO LIMA/ARQUIVO DA EDITORA</v>
      </c>
      <c r="AB563" s="33"/>
      <c r="AC563" s="16"/>
      <c r="AE563" s="35" t="str">
        <f t="shared" si="8"/>
        <v>EF1 E002 Mat</v>
      </c>
    </row>
    <row r="564" spans="1:31" ht="45" x14ac:dyDescent="0.25">
      <c r="A564" s="31" t="s">
        <v>1220</v>
      </c>
      <c r="B564" s="16" t="s">
        <v>32</v>
      </c>
      <c r="C564" s="16" t="s">
        <v>33</v>
      </c>
      <c r="D564" s="33" t="s">
        <v>34</v>
      </c>
      <c r="E564" s="33">
        <v>166</v>
      </c>
      <c r="F564" s="33">
        <v>2</v>
      </c>
      <c r="G564" s="33">
        <v>8</v>
      </c>
      <c r="H564" s="33"/>
      <c r="I564" s="31" t="s">
        <v>46</v>
      </c>
      <c r="J564" s="31"/>
      <c r="K564" s="33"/>
      <c r="L564" s="33"/>
      <c r="M564" s="31"/>
      <c r="N564" s="31"/>
      <c r="O564" s="16" t="s">
        <v>1221</v>
      </c>
      <c r="P564" s="16"/>
      <c r="Q564" s="16"/>
      <c r="R564" s="33"/>
      <c r="S564" s="34"/>
      <c r="T564" s="34"/>
      <c r="U564" s="34"/>
      <c r="V564" s="34"/>
      <c r="W564" s="34"/>
      <c r="X564" s="33" t="s">
        <v>48</v>
      </c>
      <c r="Y564" s="35" t="str">
        <f>IF(Tabela2[[#This Row],[SIGLA]]="","",VLOOKUP(Tabela2[[#This Row],[SIGLA]],Tabela1[[#All],[Sigla Arte]:[Crédito]],2,0))</f>
        <v>SERGIO LIMA/ARQUIVO DA EDITORA</v>
      </c>
      <c r="Z564" s="31"/>
      <c r="AA564" s="31" t="str">
        <f>Tabela2[[#This Row],[ILUSTRADOR CRIAÇÃO]]</f>
        <v>SERGIO LIMA/ARQUIVO DA EDITORA</v>
      </c>
      <c r="AB564" s="33"/>
      <c r="AC564" s="16"/>
      <c r="AE564" s="35" t="str">
        <f t="shared" si="8"/>
        <v>EF1 E002 Mat</v>
      </c>
    </row>
    <row r="565" spans="1:31" ht="45" x14ac:dyDescent="0.25">
      <c r="A565" s="31" t="s">
        <v>1222</v>
      </c>
      <c r="B565" s="16" t="s">
        <v>32</v>
      </c>
      <c r="C565" s="16" t="s">
        <v>33</v>
      </c>
      <c r="D565" s="33" t="s">
        <v>34</v>
      </c>
      <c r="E565" s="33">
        <v>166</v>
      </c>
      <c r="F565" s="33">
        <v>2</v>
      </c>
      <c r="G565" s="33">
        <v>8</v>
      </c>
      <c r="H565" s="33"/>
      <c r="I565" s="31" t="s">
        <v>46</v>
      </c>
      <c r="J565" s="31"/>
      <c r="K565" s="33"/>
      <c r="L565" s="33"/>
      <c r="M565" s="31"/>
      <c r="N565" s="31"/>
      <c r="O565" s="16" t="s">
        <v>1223</v>
      </c>
      <c r="P565" s="16"/>
      <c r="Q565" s="16"/>
      <c r="R565" s="33"/>
      <c r="S565" s="34"/>
      <c r="T565" s="34"/>
      <c r="U565" s="34"/>
      <c r="V565" s="34"/>
      <c r="W565" s="34"/>
      <c r="X565" s="33" t="s">
        <v>48</v>
      </c>
      <c r="Y565" s="35" t="str">
        <f>IF(Tabela2[[#This Row],[SIGLA]]="","",VLOOKUP(Tabela2[[#This Row],[SIGLA]],Tabela1[[#All],[Sigla Arte]:[Crédito]],2,0))</f>
        <v>SERGIO LIMA/ARQUIVO DA EDITORA</v>
      </c>
      <c r="Z565" s="31"/>
      <c r="AA565" s="31" t="str">
        <f>Tabela2[[#This Row],[ILUSTRADOR CRIAÇÃO]]</f>
        <v>SERGIO LIMA/ARQUIVO DA EDITORA</v>
      </c>
      <c r="AB565" s="33"/>
      <c r="AC565" s="16"/>
      <c r="AE565" s="35" t="str">
        <f t="shared" si="8"/>
        <v>EF1 E002 Mat</v>
      </c>
    </row>
    <row r="566" spans="1:31" ht="105" x14ac:dyDescent="0.25">
      <c r="A566" s="31" t="s">
        <v>1224</v>
      </c>
      <c r="B566" s="16" t="s">
        <v>32</v>
      </c>
      <c r="C566" s="16" t="s">
        <v>33</v>
      </c>
      <c r="D566" s="33" t="s">
        <v>34</v>
      </c>
      <c r="E566" s="33">
        <v>167</v>
      </c>
      <c r="F566" s="33">
        <v>2</v>
      </c>
      <c r="G566" s="33">
        <v>8</v>
      </c>
      <c r="H566" s="33"/>
      <c r="I566" s="31" t="s">
        <v>35</v>
      </c>
      <c r="J566" s="31"/>
      <c r="K566" s="33"/>
      <c r="L566" s="33"/>
      <c r="M566" s="31"/>
      <c r="N566" s="31"/>
      <c r="O566" s="16" t="s">
        <v>1225</v>
      </c>
      <c r="P566" s="16"/>
      <c r="Q566" s="16"/>
      <c r="R566" s="33">
        <v>12</v>
      </c>
      <c r="S566" s="34">
        <v>45741</v>
      </c>
      <c r="T566" s="34">
        <v>45743</v>
      </c>
      <c r="U566" s="34"/>
      <c r="V566" s="34"/>
      <c r="W566" s="34">
        <v>45743</v>
      </c>
      <c r="X566" s="33" t="s">
        <v>85</v>
      </c>
      <c r="Y566" s="35" t="str">
        <f>IF(Tabela2[[#This Row],[SIGLA]]="","",VLOOKUP(Tabela2[[#This Row],[SIGLA]],Tabela1[[#All],[Sigla Arte]:[Crédito]],2,0))</f>
        <v>HELOÍSA PINTARELLI/ARQUIVO DA EDITORA</v>
      </c>
      <c r="Z566" s="31" t="s">
        <v>1226</v>
      </c>
      <c r="AA566" s="31" t="str">
        <f>Tabela2[[#This Row],[ILUSTRADOR CRIAÇÃO]]</f>
        <v>HELOÍSA PINTARELLI/ARQUIVO DA EDITORA</v>
      </c>
      <c r="AB566" s="33">
        <v>14</v>
      </c>
      <c r="AC566" s="16" t="s">
        <v>44</v>
      </c>
      <c r="AD566" s="16" t="s">
        <v>40</v>
      </c>
      <c r="AE566" s="35" t="str">
        <f t="shared" si="8"/>
        <v>EF1 E002 Mat</v>
      </c>
    </row>
    <row r="567" spans="1:31" ht="60" x14ac:dyDescent="0.25">
      <c r="A567" s="31" t="s">
        <v>1227</v>
      </c>
      <c r="B567" s="16" t="s">
        <v>32</v>
      </c>
      <c r="C567" s="16" t="s">
        <v>33</v>
      </c>
      <c r="D567" s="33" t="s">
        <v>34</v>
      </c>
      <c r="E567" s="33">
        <v>167</v>
      </c>
      <c r="F567" s="33">
        <v>2</v>
      </c>
      <c r="G567" s="33">
        <v>8</v>
      </c>
      <c r="H567" s="33"/>
      <c r="I567" s="31" t="s">
        <v>46</v>
      </c>
      <c r="J567" s="31"/>
      <c r="K567" s="33"/>
      <c r="L567" s="33"/>
      <c r="M567" s="31"/>
      <c r="N567" s="31"/>
      <c r="O567" s="16" t="s">
        <v>1228</v>
      </c>
      <c r="P567" s="16"/>
      <c r="Q567" s="16"/>
      <c r="R567" s="33"/>
      <c r="S567" s="34"/>
      <c r="T567" s="34"/>
      <c r="U567" s="34"/>
      <c r="V567" s="34"/>
      <c r="W567" s="34"/>
      <c r="X567" s="33" t="s">
        <v>85</v>
      </c>
      <c r="Y567" s="35" t="str">
        <f>IF(Tabela2[[#This Row],[SIGLA]]="","",VLOOKUP(Tabela2[[#This Row],[SIGLA]],Tabela1[[#All],[Sigla Arte]:[Crédito]],2,0))</f>
        <v>HELOÍSA PINTARELLI/ARQUIVO DA EDITORA</v>
      </c>
      <c r="Z567" s="31"/>
      <c r="AA567" s="31" t="str">
        <f>Tabela2[[#This Row],[ILUSTRADOR CRIAÇÃO]]</f>
        <v>HELOÍSA PINTARELLI/ARQUIVO DA EDITORA</v>
      </c>
      <c r="AB567" s="33"/>
      <c r="AC567" s="16"/>
      <c r="AE567" s="35" t="str">
        <f t="shared" si="8"/>
        <v>EF1 E002 Mat</v>
      </c>
    </row>
    <row r="568" spans="1:31" ht="60" x14ac:dyDescent="0.25">
      <c r="A568" s="31" t="s">
        <v>1229</v>
      </c>
      <c r="B568" s="16" t="s">
        <v>32</v>
      </c>
      <c r="C568" s="16" t="s">
        <v>164</v>
      </c>
      <c r="D568" s="33" t="s">
        <v>34</v>
      </c>
      <c r="E568" s="33">
        <v>167</v>
      </c>
      <c r="F568" s="33">
        <v>2</v>
      </c>
      <c r="G568" s="33">
        <v>8</v>
      </c>
      <c r="H568" s="33"/>
      <c r="I568" s="31" t="s">
        <v>35</v>
      </c>
      <c r="J568" s="31"/>
      <c r="K568" s="33"/>
      <c r="L568" s="33"/>
      <c r="M568" s="31"/>
      <c r="N568" s="31"/>
      <c r="O568" s="16" t="s">
        <v>1230</v>
      </c>
      <c r="P568" s="16"/>
      <c r="Q568" s="16"/>
      <c r="R568" s="33">
        <v>142</v>
      </c>
      <c r="S568" s="34">
        <v>45901</v>
      </c>
      <c r="T568" s="34">
        <v>45901</v>
      </c>
      <c r="U568" s="34"/>
      <c r="V568" s="34"/>
      <c r="W568" s="34">
        <v>45901</v>
      </c>
      <c r="X568" s="33" t="s">
        <v>85</v>
      </c>
      <c r="Y568" s="35" t="str">
        <f>IF(Tabela2[[#This Row],[SIGLA]]="","",VLOOKUP(Tabela2[[#This Row],[SIGLA]],Tabela1[[#All],[Sigla Arte]:[Crédito]],2,0))</f>
        <v>HELOÍSA PINTARELLI/ARQUIVO DA EDITORA</v>
      </c>
      <c r="Z568" s="31" t="s">
        <v>572</v>
      </c>
      <c r="AA568" s="31" t="str">
        <f>Tabela2[[#This Row],[ILUSTRADOR CRIAÇÃO]]</f>
        <v>HELOÍSA PINTARELLI/ARQUIVO DA EDITORA</v>
      </c>
      <c r="AB568" s="33">
        <v>13</v>
      </c>
      <c r="AC568" s="16" t="s">
        <v>44</v>
      </c>
      <c r="AD568" s="16" t="s">
        <v>40</v>
      </c>
      <c r="AE568" s="35" t="str">
        <f t="shared" si="8"/>
        <v>EF1 E002 Mat</v>
      </c>
    </row>
    <row r="569" spans="1:31" ht="75" x14ac:dyDescent="0.25">
      <c r="A569" s="31" t="s">
        <v>1231</v>
      </c>
      <c r="B569" s="16" t="s">
        <v>32</v>
      </c>
      <c r="C569" s="16" t="s">
        <v>164</v>
      </c>
      <c r="D569" s="33" t="s">
        <v>34</v>
      </c>
      <c r="E569" s="33">
        <v>167</v>
      </c>
      <c r="F569" s="33">
        <v>2</v>
      </c>
      <c r="G569" s="33">
        <v>8</v>
      </c>
      <c r="H569" s="33"/>
      <c r="I569" s="31" t="s">
        <v>46</v>
      </c>
      <c r="J569" s="31"/>
      <c r="K569" s="33"/>
      <c r="L569" s="33"/>
      <c r="M569" s="31"/>
      <c r="N569" s="31"/>
      <c r="O569" s="16" t="s">
        <v>1232</v>
      </c>
      <c r="P569" s="16"/>
      <c r="Q569" s="16"/>
      <c r="R569" s="33"/>
      <c r="S569" s="34"/>
      <c r="T569" s="34"/>
      <c r="U569" s="34"/>
      <c r="V569" s="34"/>
      <c r="W569" s="34"/>
      <c r="X569" s="33" t="s">
        <v>85</v>
      </c>
      <c r="Y569" s="35" t="str">
        <f>IF(Tabela2[[#This Row],[SIGLA]]="","",VLOOKUP(Tabela2[[#This Row],[SIGLA]],Tabela1[[#All],[Sigla Arte]:[Crédito]],2,0))</f>
        <v>HELOÍSA PINTARELLI/ARQUIVO DA EDITORA</v>
      </c>
      <c r="Z569" s="31"/>
      <c r="AA569" s="31" t="str">
        <f>Tabela2[[#This Row],[ILUSTRADOR CRIAÇÃO]]</f>
        <v>HELOÍSA PINTARELLI/ARQUIVO DA EDITORA</v>
      </c>
      <c r="AB569" s="33"/>
      <c r="AC569" s="16"/>
      <c r="AE569" s="35" t="str">
        <f t="shared" si="8"/>
        <v>EF1 E002 Mat</v>
      </c>
    </row>
    <row r="570" spans="1:31" ht="45" x14ac:dyDescent="0.25">
      <c r="A570" s="31" t="s">
        <v>1233</v>
      </c>
      <c r="B570" s="16" t="s">
        <v>32</v>
      </c>
      <c r="C570" s="16" t="s">
        <v>164</v>
      </c>
      <c r="D570" s="33" t="s">
        <v>34</v>
      </c>
      <c r="E570" s="33">
        <v>167</v>
      </c>
      <c r="F570" s="33">
        <v>2</v>
      </c>
      <c r="G570" s="33">
        <v>8</v>
      </c>
      <c r="H570" s="33"/>
      <c r="I570" s="31" t="s">
        <v>35</v>
      </c>
      <c r="J570" s="31"/>
      <c r="K570" s="33"/>
      <c r="L570" s="33"/>
      <c r="M570" s="31"/>
      <c r="N570" s="31"/>
      <c r="O570" s="16" t="s">
        <v>1234</v>
      </c>
      <c r="P570" s="16"/>
      <c r="Q570" s="16"/>
      <c r="R570" s="33">
        <v>142</v>
      </c>
      <c r="S570" s="34">
        <v>45901</v>
      </c>
      <c r="T570" s="34">
        <v>45901</v>
      </c>
      <c r="U570" s="34"/>
      <c r="V570" s="34"/>
      <c r="W570" s="34">
        <v>45901</v>
      </c>
      <c r="X570" s="33" t="s">
        <v>1126</v>
      </c>
      <c r="Y570" s="35" t="str">
        <f>IF(Tabela2[[#This Row],[SIGLA]]="","",VLOOKUP(Tabela2[[#This Row],[SIGLA]],Tabela1[[#All],[Sigla Arte]:[Crédito]],2,0))</f>
        <v>GUSTAVO CONTI/ARQUIVO DA EDITORA</v>
      </c>
      <c r="Z570" s="31" t="s">
        <v>572</v>
      </c>
      <c r="AA570" s="31" t="str">
        <f>Tabela2[[#This Row],[ILUSTRADOR CRIAÇÃO]]</f>
        <v>GUSTAVO CONTI/ARQUIVO DA EDITORA</v>
      </c>
      <c r="AB570" s="33">
        <v>13</v>
      </c>
      <c r="AC570" s="16" t="s">
        <v>44</v>
      </c>
      <c r="AD570" s="16" t="s">
        <v>40</v>
      </c>
      <c r="AE570" s="35" t="str">
        <f t="shared" si="8"/>
        <v>EF1 E002 Mat</v>
      </c>
    </row>
    <row r="571" spans="1:31" ht="45" x14ac:dyDescent="0.25">
      <c r="A571" s="31" t="s">
        <v>1235</v>
      </c>
      <c r="B571" s="16" t="s">
        <v>32</v>
      </c>
      <c r="C571" s="16" t="s">
        <v>33</v>
      </c>
      <c r="D571" s="33" t="s">
        <v>34</v>
      </c>
      <c r="E571" s="33">
        <v>168</v>
      </c>
      <c r="F571" s="33">
        <v>2</v>
      </c>
      <c r="G571" s="33">
        <v>8</v>
      </c>
      <c r="H571" s="33"/>
      <c r="I571" s="31" t="s">
        <v>46</v>
      </c>
      <c r="J571" s="31"/>
      <c r="K571" s="33"/>
      <c r="L571" s="33"/>
      <c r="M571" s="31"/>
      <c r="N571" s="31"/>
      <c r="O571" s="16" t="s">
        <v>1236</v>
      </c>
      <c r="P571" s="16"/>
      <c r="Q571" s="16"/>
      <c r="R571" s="33"/>
      <c r="S571" s="34"/>
      <c r="T571" s="34"/>
      <c r="U571" s="34"/>
      <c r="V571" s="34"/>
      <c r="W571" s="34"/>
      <c r="X571" s="33" t="s">
        <v>162</v>
      </c>
      <c r="Y571" s="35" t="str">
        <f>IF(Tabela2[[#This Row],[SIGLA]]="","",VLOOKUP(Tabela2[[#This Row],[SIGLA]],Tabela1[[#All],[Sigla Arte]:[Crédito]],2,0))</f>
        <v>IVY NUNES/ARQUIVO DA EDITORA</v>
      </c>
      <c r="Z571" s="31"/>
      <c r="AA571" s="31" t="str">
        <f>Tabela2[[#This Row],[ILUSTRADOR CRIAÇÃO]]</f>
        <v>IVY NUNES/ARQUIVO DA EDITORA</v>
      </c>
      <c r="AB571" s="33"/>
      <c r="AC571" s="16"/>
      <c r="AE571" s="35" t="str">
        <f t="shared" si="8"/>
        <v>EF1 E002 Mat</v>
      </c>
    </row>
    <row r="572" spans="1:31" ht="45" x14ac:dyDescent="0.25">
      <c r="A572" s="31" t="s">
        <v>1237</v>
      </c>
      <c r="B572" s="16" t="s">
        <v>32</v>
      </c>
      <c r="C572" s="16" t="s">
        <v>164</v>
      </c>
      <c r="D572" s="33" t="s">
        <v>34</v>
      </c>
      <c r="E572" s="33">
        <v>168</v>
      </c>
      <c r="F572" s="33">
        <v>2</v>
      </c>
      <c r="G572" s="33">
        <v>8</v>
      </c>
      <c r="H572" s="33"/>
      <c r="I572" s="31" t="s">
        <v>46</v>
      </c>
      <c r="J572" s="31"/>
      <c r="K572" s="33"/>
      <c r="L572" s="33"/>
      <c r="M572" s="31"/>
      <c r="N572" s="31"/>
      <c r="O572" s="16" t="s">
        <v>1238</v>
      </c>
      <c r="P572" s="16"/>
      <c r="Q572" s="16"/>
      <c r="R572" s="33"/>
      <c r="S572" s="34"/>
      <c r="T572" s="34"/>
      <c r="U572" s="34"/>
      <c r="V572" s="34"/>
      <c r="W572" s="34"/>
      <c r="X572" s="33" t="s">
        <v>1119</v>
      </c>
      <c r="Y572" s="35" t="str">
        <f>IF(Tabela2[[#This Row],[SIGLA]]="","",VLOOKUP(Tabela2[[#This Row],[SIGLA]],Tabela1[[#All],[Sigla Arte]:[Crédito]],2,0))</f>
        <v>CYNTHIA SEKIGUCHI/ARQUIVO DA EDITORA</v>
      </c>
      <c r="Z572" s="31"/>
      <c r="AA572" s="31" t="str">
        <f>Tabela2[[#This Row],[ILUSTRADOR CRIAÇÃO]]</f>
        <v>CYNTHIA SEKIGUCHI/ARQUIVO DA EDITORA</v>
      </c>
      <c r="AB572" s="33"/>
      <c r="AC572" s="16"/>
      <c r="AE572" s="35" t="str">
        <f t="shared" si="8"/>
        <v>EF1 E002 Mat</v>
      </c>
    </row>
    <row r="573" spans="1:31" ht="60" x14ac:dyDescent="0.25">
      <c r="A573" s="31" t="s">
        <v>1239</v>
      </c>
      <c r="B573" s="16" t="s">
        <v>32</v>
      </c>
      <c r="C573" s="16" t="s">
        <v>164</v>
      </c>
      <c r="D573" s="33" t="s">
        <v>34</v>
      </c>
      <c r="E573" s="33">
        <v>169</v>
      </c>
      <c r="F573" s="33">
        <v>2</v>
      </c>
      <c r="G573" s="33">
        <v>8</v>
      </c>
      <c r="H573" s="33"/>
      <c r="I573" s="31" t="s">
        <v>46</v>
      </c>
      <c r="J573" s="31"/>
      <c r="K573" s="33"/>
      <c r="L573" s="33"/>
      <c r="M573" s="31"/>
      <c r="N573" s="31"/>
      <c r="O573" s="16" t="s">
        <v>1240</v>
      </c>
      <c r="P573" s="16"/>
      <c r="Q573" s="16"/>
      <c r="R573" s="33"/>
      <c r="S573" s="34"/>
      <c r="T573" s="34"/>
      <c r="U573" s="34"/>
      <c r="V573" s="34"/>
      <c r="W573" s="34"/>
      <c r="X573" s="33" t="s">
        <v>48</v>
      </c>
      <c r="Y573" s="35" t="str">
        <f>IF(Tabela2[[#This Row],[SIGLA]]="","",VLOOKUP(Tabela2[[#This Row],[SIGLA]],Tabela1[[#All],[Sigla Arte]:[Crédito]],2,0))</f>
        <v>SERGIO LIMA/ARQUIVO DA EDITORA</v>
      </c>
      <c r="Z573" s="31"/>
      <c r="AA573" s="31" t="str">
        <f>Tabela2[[#This Row],[ILUSTRADOR CRIAÇÃO]]</f>
        <v>SERGIO LIMA/ARQUIVO DA EDITORA</v>
      </c>
      <c r="AB573" s="33"/>
      <c r="AC573" s="16"/>
      <c r="AE573" s="35" t="str">
        <f t="shared" si="8"/>
        <v>EF1 E002 Mat</v>
      </c>
    </row>
    <row r="574" spans="1:31" ht="75" x14ac:dyDescent="0.25">
      <c r="A574" s="31" t="s">
        <v>1241</v>
      </c>
      <c r="B574" s="16" t="s">
        <v>32</v>
      </c>
      <c r="C574" s="16" t="s">
        <v>164</v>
      </c>
      <c r="D574" s="33" t="s">
        <v>34</v>
      </c>
      <c r="E574" s="33">
        <v>169</v>
      </c>
      <c r="F574" s="33">
        <v>2</v>
      </c>
      <c r="G574" s="33">
        <v>8</v>
      </c>
      <c r="H574" s="33"/>
      <c r="I574" s="31" t="s">
        <v>46</v>
      </c>
      <c r="J574" s="31"/>
      <c r="K574" s="33"/>
      <c r="L574" s="33"/>
      <c r="M574" s="31"/>
      <c r="N574" s="31"/>
      <c r="O574" s="16" t="s">
        <v>1242</v>
      </c>
      <c r="P574" s="16"/>
      <c r="Q574" s="16"/>
      <c r="R574" s="33"/>
      <c r="S574" s="34"/>
      <c r="T574" s="34"/>
      <c r="U574" s="34"/>
      <c r="V574" s="34"/>
      <c r="W574" s="34"/>
      <c r="X574" s="33" t="s">
        <v>48</v>
      </c>
      <c r="Y574" s="35" t="str">
        <f>IF(Tabela2[[#This Row],[SIGLA]]="","",VLOOKUP(Tabela2[[#This Row],[SIGLA]],Tabela1[[#All],[Sigla Arte]:[Crédito]],2,0))</f>
        <v>SERGIO LIMA/ARQUIVO DA EDITORA</v>
      </c>
      <c r="Z574" s="31"/>
      <c r="AA574" s="31" t="str">
        <f>Tabela2[[#This Row],[ILUSTRADOR CRIAÇÃO]]</f>
        <v>SERGIO LIMA/ARQUIVO DA EDITORA</v>
      </c>
      <c r="AB574" s="33"/>
      <c r="AC574" s="16"/>
      <c r="AE574" s="35" t="str">
        <f t="shared" si="8"/>
        <v>EF1 E002 Mat</v>
      </c>
    </row>
    <row r="575" spans="1:31" ht="75" x14ac:dyDescent="0.25">
      <c r="A575" s="31" t="s">
        <v>1243</v>
      </c>
      <c r="B575" s="16" t="s">
        <v>32</v>
      </c>
      <c r="C575" s="16" t="s">
        <v>164</v>
      </c>
      <c r="D575" s="33" t="s">
        <v>34</v>
      </c>
      <c r="E575" s="33">
        <v>169</v>
      </c>
      <c r="F575" s="33">
        <v>2</v>
      </c>
      <c r="G575" s="33">
        <v>8</v>
      </c>
      <c r="H575" s="33"/>
      <c r="I575" s="31" t="s">
        <v>46</v>
      </c>
      <c r="J575" s="31"/>
      <c r="K575" s="33"/>
      <c r="L575" s="33"/>
      <c r="M575" s="31"/>
      <c r="N575" s="31"/>
      <c r="O575" s="16" t="s">
        <v>1244</v>
      </c>
      <c r="P575" s="16"/>
      <c r="Q575" s="16"/>
      <c r="R575" s="33"/>
      <c r="S575" s="34"/>
      <c r="T575" s="34"/>
      <c r="U575" s="34"/>
      <c r="V575" s="34"/>
      <c r="W575" s="34"/>
      <c r="X575" s="33" t="s">
        <v>48</v>
      </c>
      <c r="Y575" s="35" t="str">
        <f>IF(Tabela2[[#This Row],[SIGLA]]="","",VLOOKUP(Tabela2[[#This Row],[SIGLA]],Tabela1[[#All],[Sigla Arte]:[Crédito]],2,0))</f>
        <v>SERGIO LIMA/ARQUIVO DA EDITORA</v>
      </c>
      <c r="Z575" s="31"/>
      <c r="AA575" s="31" t="str">
        <f>Tabela2[[#This Row],[ILUSTRADOR CRIAÇÃO]]</f>
        <v>SERGIO LIMA/ARQUIVO DA EDITORA</v>
      </c>
      <c r="AB575" s="33"/>
      <c r="AC575" s="16"/>
      <c r="AE575" s="35" t="str">
        <f t="shared" si="8"/>
        <v>EF1 E002 Mat</v>
      </c>
    </row>
    <row r="576" spans="1:31" ht="75" x14ac:dyDescent="0.25">
      <c r="A576" s="31" t="s">
        <v>1245</v>
      </c>
      <c r="B576" s="16" t="s">
        <v>32</v>
      </c>
      <c r="C576" s="16" t="s">
        <v>164</v>
      </c>
      <c r="D576" s="33" t="s">
        <v>34</v>
      </c>
      <c r="E576" s="33">
        <v>169</v>
      </c>
      <c r="F576" s="33">
        <v>2</v>
      </c>
      <c r="G576" s="33">
        <v>8</v>
      </c>
      <c r="H576" s="33"/>
      <c r="I576" s="31" t="s">
        <v>46</v>
      </c>
      <c r="J576" s="31"/>
      <c r="K576" s="33"/>
      <c r="L576" s="33"/>
      <c r="M576" s="31"/>
      <c r="N576" s="31"/>
      <c r="O576" s="16" t="s">
        <v>1246</v>
      </c>
      <c r="P576" s="16"/>
      <c r="Q576" s="16"/>
      <c r="R576" s="33"/>
      <c r="S576" s="34"/>
      <c r="T576" s="34"/>
      <c r="U576" s="34"/>
      <c r="V576" s="34"/>
      <c r="W576" s="34"/>
      <c r="X576" s="33" t="s">
        <v>48</v>
      </c>
      <c r="Y576" s="35" t="str">
        <f>IF(Tabela2[[#This Row],[SIGLA]]="","",VLOOKUP(Tabela2[[#This Row],[SIGLA]],Tabela1[[#All],[Sigla Arte]:[Crédito]],2,0))</f>
        <v>SERGIO LIMA/ARQUIVO DA EDITORA</v>
      </c>
      <c r="Z576" s="31"/>
      <c r="AA576" s="31" t="str">
        <f>Tabela2[[#This Row],[ILUSTRADOR CRIAÇÃO]]</f>
        <v>SERGIO LIMA/ARQUIVO DA EDITORA</v>
      </c>
      <c r="AB576" s="33"/>
      <c r="AC576" s="16"/>
      <c r="AE576" s="35" t="str">
        <f t="shared" si="8"/>
        <v>EF1 E002 Mat</v>
      </c>
    </row>
    <row r="577" spans="1:31" ht="30" x14ac:dyDescent="0.25">
      <c r="A577" s="31" t="s">
        <v>1247</v>
      </c>
      <c r="B577" s="16" t="s">
        <v>32</v>
      </c>
      <c r="C577" s="16" t="s">
        <v>164</v>
      </c>
      <c r="D577" s="33" t="s">
        <v>34</v>
      </c>
      <c r="E577" s="33">
        <v>169</v>
      </c>
      <c r="F577" s="33">
        <v>2</v>
      </c>
      <c r="G577" s="33">
        <v>8</v>
      </c>
      <c r="H577" s="33"/>
      <c r="I577" s="31" t="s">
        <v>46</v>
      </c>
      <c r="J577" s="31"/>
      <c r="K577" s="33"/>
      <c r="L577" s="33"/>
      <c r="M577" s="31"/>
      <c r="N577" s="31"/>
      <c r="O577" s="16" t="s">
        <v>1248</v>
      </c>
      <c r="P577" s="16"/>
      <c r="Q577" s="16"/>
      <c r="R577" s="33"/>
      <c r="S577" s="34"/>
      <c r="T577" s="34"/>
      <c r="U577" s="34"/>
      <c r="V577" s="34"/>
      <c r="W577" s="34"/>
      <c r="X577" s="33" t="s">
        <v>48</v>
      </c>
      <c r="Y577" s="35" t="str">
        <f>IF(Tabela2[[#This Row],[SIGLA]]="","",VLOOKUP(Tabela2[[#This Row],[SIGLA]],Tabela1[[#All],[Sigla Arte]:[Crédito]],2,0))</f>
        <v>SERGIO LIMA/ARQUIVO DA EDITORA</v>
      </c>
      <c r="Z577" s="31"/>
      <c r="AA577" s="31" t="str">
        <f>Tabela2[[#This Row],[ILUSTRADOR CRIAÇÃO]]</f>
        <v>SERGIO LIMA/ARQUIVO DA EDITORA</v>
      </c>
      <c r="AB577" s="33"/>
      <c r="AC577" s="16"/>
      <c r="AE577" s="35" t="str">
        <f t="shared" si="8"/>
        <v>EF1 E002 Mat</v>
      </c>
    </row>
    <row r="578" spans="1:31" ht="45" x14ac:dyDescent="0.25">
      <c r="A578" s="31" t="s">
        <v>1249</v>
      </c>
      <c r="B578" s="16" t="s">
        <v>32</v>
      </c>
      <c r="C578" s="16" t="s">
        <v>164</v>
      </c>
      <c r="D578" s="33" t="s">
        <v>34</v>
      </c>
      <c r="E578" s="33">
        <v>169</v>
      </c>
      <c r="F578" s="33">
        <v>2</v>
      </c>
      <c r="G578" s="33">
        <v>8</v>
      </c>
      <c r="H578" s="33"/>
      <c r="I578" s="31" t="s">
        <v>46</v>
      </c>
      <c r="J578" s="31"/>
      <c r="K578" s="33"/>
      <c r="L578" s="33"/>
      <c r="M578" s="31"/>
      <c r="N578" s="31"/>
      <c r="O578" s="16" t="s">
        <v>1250</v>
      </c>
      <c r="P578" s="16"/>
      <c r="Q578" s="16"/>
      <c r="R578" s="33"/>
      <c r="S578" s="34"/>
      <c r="T578" s="34"/>
      <c r="U578" s="34"/>
      <c r="V578" s="34"/>
      <c r="W578" s="34"/>
      <c r="X578" s="33" t="s">
        <v>48</v>
      </c>
      <c r="Y578" s="35" t="str">
        <f>IF(Tabela2[[#This Row],[SIGLA]]="","",VLOOKUP(Tabela2[[#This Row],[SIGLA]],Tabela1[[#All],[Sigla Arte]:[Crédito]],2,0))</f>
        <v>SERGIO LIMA/ARQUIVO DA EDITORA</v>
      </c>
      <c r="Z578" s="31"/>
      <c r="AA578" s="31" t="str">
        <f>Tabela2[[#This Row],[ILUSTRADOR CRIAÇÃO]]</f>
        <v>SERGIO LIMA/ARQUIVO DA EDITORA</v>
      </c>
      <c r="AB578" s="33"/>
      <c r="AC578" s="16"/>
      <c r="AE578" s="35" t="str">
        <f t="shared" ref="AE578:AE641" si="9">"EF1 E002 Mat"</f>
        <v>EF1 E002 Mat</v>
      </c>
    </row>
    <row r="579" spans="1:31" ht="45" x14ac:dyDescent="0.25">
      <c r="A579" s="31" t="s">
        <v>1251</v>
      </c>
      <c r="B579" s="16" t="s">
        <v>32</v>
      </c>
      <c r="C579" s="16" t="s">
        <v>164</v>
      </c>
      <c r="D579" s="33" t="s">
        <v>34</v>
      </c>
      <c r="E579" s="33">
        <v>169</v>
      </c>
      <c r="F579" s="33">
        <v>2</v>
      </c>
      <c r="G579" s="33">
        <v>8</v>
      </c>
      <c r="H579" s="33"/>
      <c r="I579" s="31" t="s">
        <v>46</v>
      </c>
      <c r="J579" s="31"/>
      <c r="K579" s="33"/>
      <c r="L579" s="33"/>
      <c r="M579" s="31"/>
      <c r="N579" s="31"/>
      <c r="O579" s="16" t="s">
        <v>1252</v>
      </c>
      <c r="P579" s="16"/>
      <c r="Q579" s="16"/>
      <c r="R579" s="33"/>
      <c r="S579" s="34"/>
      <c r="T579" s="34"/>
      <c r="U579" s="34"/>
      <c r="V579" s="34"/>
      <c r="W579" s="34"/>
      <c r="X579" s="33" t="s">
        <v>48</v>
      </c>
      <c r="Y579" s="35" t="str">
        <f>IF(Tabela2[[#This Row],[SIGLA]]="","",VLOOKUP(Tabela2[[#This Row],[SIGLA]],Tabela1[[#All],[Sigla Arte]:[Crédito]],2,0))</f>
        <v>SERGIO LIMA/ARQUIVO DA EDITORA</v>
      </c>
      <c r="Z579" s="31"/>
      <c r="AA579" s="31" t="str">
        <f>Tabela2[[#This Row],[ILUSTRADOR CRIAÇÃO]]</f>
        <v>SERGIO LIMA/ARQUIVO DA EDITORA</v>
      </c>
      <c r="AB579" s="33"/>
      <c r="AC579" s="16"/>
      <c r="AE579" s="35" t="str">
        <f t="shared" si="9"/>
        <v>EF1 E002 Mat</v>
      </c>
    </row>
    <row r="580" spans="1:31" ht="45" x14ac:dyDescent="0.25">
      <c r="A580" s="31" t="s">
        <v>1253</v>
      </c>
      <c r="B580" s="16" t="s">
        <v>32</v>
      </c>
      <c r="C580" s="16" t="s">
        <v>164</v>
      </c>
      <c r="D580" s="33" t="s">
        <v>34</v>
      </c>
      <c r="E580" s="33">
        <v>169</v>
      </c>
      <c r="F580" s="33">
        <v>2</v>
      </c>
      <c r="G580" s="33">
        <v>8</v>
      </c>
      <c r="H580" s="33"/>
      <c r="I580" s="31" t="s">
        <v>46</v>
      </c>
      <c r="J580" s="31"/>
      <c r="K580" s="33"/>
      <c r="L580" s="33"/>
      <c r="M580" s="31"/>
      <c r="N580" s="31"/>
      <c r="O580" s="16" t="s">
        <v>1254</v>
      </c>
      <c r="P580" s="16"/>
      <c r="Q580" s="16"/>
      <c r="R580" s="33"/>
      <c r="S580" s="34"/>
      <c r="T580" s="34"/>
      <c r="U580" s="34"/>
      <c r="V580" s="34"/>
      <c r="W580" s="34"/>
      <c r="X580" s="33" t="s">
        <v>48</v>
      </c>
      <c r="Y580" s="35" t="str">
        <f>IF(Tabela2[[#This Row],[SIGLA]]="","",VLOOKUP(Tabela2[[#This Row],[SIGLA]],Tabela1[[#All],[Sigla Arte]:[Crédito]],2,0))</f>
        <v>SERGIO LIMA/ARQUIVO DA EDITORA</v>
      </c>
      <c r="Z580" s="31"/>
      <c r="AA580" s="31" t="str">
        <f>Tabela2[[#This Row],[ILUSTRADOR CRIAÇÃO]]</f>
        <v>SERGIO LIMA/ARQUIVO DA EDITORA</v>
      </c>
      <c r="AB580" s="33"/>
      <c r="AC580" s="16"/>
      <c r="AE580" s="35" t="str">
        <f t="shared" si="9"/>
        <v>EF1 E002 Mat</v>
      </c>
    </row>
    <row r="581" spans="1:31" ht="45" x14ac:dyDescent="0.25">
      <c r="A581" s="31" t="s">
        <v>1255</v>
      </c>
      <c r="B581" s="16" t="s">
        <v>32</v>
      </c>
      <c r="C581" s="16" t="s">
        <v>164</v>
      </c>
      <c r="D581" s="33" t="s">
        <v>34</v>
      </c>
      <c r="E581" s="33">
        <v>170</v>
      </c>
      <c r="F581" s="33">
        <v>2</v>
      </c>
      <c r="G581" s="33">
        <v>8</v>
      </c>
      <c r="H581" s="33"/>
      <c r="I581" s="31" t="s">
        <v>46</v>
      </c>
      <c r="J581" s="31"/>
      <c r="K581" s="33"/>
      <c r="L581" s="33"/>
      <c r="M581" s="31"/>
      <c r="N581" s="31"/>
      <c r="O581" s="16" t="s">
        <v>1256</v>
      </c>
      <c r="P581" s="16"/>
      <c r="Q581" s="16"/>
      <c r="R581" s="33"/>
      <c r="S581" s="34"/>
      <c r="T581" s="34"/>
      <c r="U581" s="34"/>
      <c r="V581" s="34"/>
      <c r="W581" s="34"/>
      <c r="X581" s="33" t="s">
        <v>48</v>
      </c>
      <c r="Y581" s="35" t="str">
        <f>IF(Tabela2[[#This Row],[SIGLA]]="","",VLOOKUP(Tabela2[[#This Row],[SIGLA]],Tabela1[[#All],[Sigla Arte]:[Crédito]],2,0))</f>
        <v>SERGIO LIMA/ARQUIVO DA EDITORA</v>
      </c>
      <c r="Z581" s="31"/>
      <c r="AA581" s="31" t="str">
        <f>Tabela2[[#This Row],[ILUSTRADOR CRIAÇÃO]]</f>
        <v>SERGIO LIMA/ARQUIVO DA EDITORA</v>
      </c>
      <c r="AB581" s="33"/>
      <c r="AC581" s="16"/>
      <c r="AE581" s="35" t="str">
        <f t="shared" si="9"/>
        <v>EF1 E002 Mat</v>
      </c>
    </row>
    <row r="582" spans="1:31" ht="45" x14ac:dyDescent="0.25">
      <c r="A582" s="31" t="s">
        <v>1257</v>
      </c>
      <c r="B582" s="16" t="s">
        <v>401</v>
      </c>
      <c r="C582" s="16" t="s">
        <v>33</v>
      </c>
      <c r="D582" s="33" t="s">
        <v>34</v>
      </c>
      <c r="E582" s="33">
        <v>170</v>
      </c>
      <c r="F582" s="33">
        <v>2</v>
      </c>
      <c r="G582" s="33">
        <v>8</v>
      </c>
      <c r="H582" s="33"/>
      <c r="I582" s="31" t="s">
        <v>46</v>
      </c>
      <c r="J582" s="31"/>
      <c r="K582" s="33"/>
      <c r="L582" s="33"/>
      <c r="M582" s="31"/>
      <c r="N582" s="31"/>
      <c r="O582" s="16" t="s">
        <v>1258</v>
      </c>
      <c r="P582" s="16"/>
      <c r="Q582" s="16"/>
      <c r="R582" s="33"/>
      <c r="S582" s="34"/>
      <c r="T582" s="34"/>
      <c r="U582" s="34"/>
      <c r="V582" s="34"/>
      <c r="W582" s="34"/>
      <c r="X582" s="33" t="s">
        <v>85</v>
      </c>
      <c r="Y582" s="35" t="str">
        <f>IF(Tabela2[[#This Row],[SIGLA]]="","",VLOOKUP(Tabela2[[#This Row],[SIGLA]],Tabela1[[#All],[Sigla Arte]:[Crédito]],2,0))</f>
        <v>HELOÍSA PINTARELLI/ARQUIVO DA EDITORA</v>
      </c>
      <c r="Z582" s="31"/>
      <c r="AA582" s="31" t="str">
        <f>Tabela2[[#This Row],[ILUSTRADOR CRIAÇÃO]]</f>
        <v>HELOÍSA PINTARELLI/ARQUIVO DA EDITORA</v>
      </c>
      <c r="AB582" s="33"/>
      <c r="AC582" s="16"/>
      <c r="AE582" s="35" t="str">
        <f t="shared" si="9"/>
        <v>EF1 E002 Mat</v>
      </c>
    </row>
    <row r="583" spans="1:31" ht="45" x14ac:dyDescent="0.25">
      <c r="A583" s="31" t="s">
        <v>1259</v>
      </c>
      <c r="B583" s="16" t="s">
        <v>32</v>
      </c>
      <c r="C583" s="16" t="s">
        <v>164</v>
      </c>
      <c r="D583" s="33" t="s">
        <v>34</v>
      </c>
      <c r="E583" s="33">
        <v>171</v>
      </c>
      <c r="F583" s="33">
        <v>2</v>
      </c>
      <c r="G583" s="33">
        <v>8</v>
      </c>
      <c r="H583" s="33"/>
      <c r="I583" s="31" t="s">
        <v>46</v>
      </c>
      <c r="J583" s="31"/>
      <c r="K583" s="33"/>
      <c r="L583" s="33"/>
      <c r="M583" s="31"/>
      <c r="N583" s="31"/>
      <c r="O583" s="16" t="s">
        <v>1260</v>
      </c>
      <c r="P583" s="16"/>
      <c r="Q583" s="16"/>
      <c r="R583" s="33"/>
      <c r="S583" s="34"/>
      <c r="T583" s="34"/>
      <c r="U583" s="34"/>
      <c r="V583" s="34"/>
      <c r="W583" s="34"/>
      <c r="X583" s="33" t="s">
        <v>48</v>
      </c>
      <c r="Y583" s="35" t="str">
        <f>IF(Tabela2[[#This Row],[SIGLA]]="","",VLOOKUP(Tabela2[[#This Row],[SIGLA]],Tabela1[[#All],[Sigla Arte]:[Crédito]],2,0))</f>
        <v>SERGIO LIMA/ARQUIVO DA EDITORA</v>
      </c>
      <c r="Z583" s="31"/>
      <c r="AA583" s="31" t="str">
        <f>Tabela2[[#This Row],[ILUSTRADOR CRIAÇÃO]]</f>
        <v>SERGIO LIMA/ARQUIVO DA EDITORA</v>
      </c>
      <c r="AB583" s="33"/>
      <c r="AC583" s="16"/>
      <c r="AE583" s="35" t="str">
        <f t="shared" si="9"/>
        <v>EF1 E002 Mat</v>
      </c>
    </row>
    <row r="584" spans="1:31" ht="45" x14ac:dyDescent="0.25">
      <c r="A584" s="31" t="s">
        <v>1261</v>
      </c>
      <c r="B584" s="16" t="s">
        <v>32</v>
      </c>
      <c r="C584" s="16" t="s">
        <v>164</v>
      </c>
      <c r="D584" s="33" t="s">
        <v>34</v>
      </c>
      <c r="E584" s="33">
        <v>171</v>
      </c>
      <c r="F584" s="33">
        <v>2</v>
      </c>
      <c r="G584" s="33">
        <v>8</v>
      </c>
      <c r="H584" s="33"/>
      <c r="I584" s="31" t="s">
        <v>46</v>
      </c>
      <c r="J584" s="31"/>
      <c r="K584" s="33"/>
      <c r="L584" s="33"/>
      <c r="M584" s="31"/>
      <c r="N584" s="31"/>
      <c r="O584" s="16" t="s">
        <v>1262</v>
      </c>
      <c r="P584" s="16"/>
      <c r="Q584" s="16"/>
      <c r="R584" s="33"/>
      <c r="S584" s="34"/>
      <c r="T584" s="34"/>
      <c r="U584" s="34"/>
      <c r="V584" s="34"/>
      <c r="W584" s="34"/>
      <c r="X584" s="33" t="s">
        <v>48</v>
      </c>
      <c r="Y584" s="35" t="str">
        <f>IF(Tabela2[[#This Row],[SIGLA]]="","",VLOOKUP(Tabela2[[#This Row],[SIGLA]],Tabela1[[#All],[Sigla Arte]:[Crédito]],2,0))</f>
        <v>SERGIO LIMA/ARQUIVO DA EDITORA</v>
      </c>
      <c r="Z584" s="31"/>
      <c r="AA584" s="31" t="str">
        <f>Tabela2[[#This Row],[ILUSTRADOR CRIAÇÃO]]</f>
        <v>SERGIO LIMA/ARQUIVO DA EDITORA</v>
      </c>
      <c r="AB584" s="33"/>
      <c r="AC584" s="16"/>
      <c r="AE584" s="35" t="str">
        <f t="shared" si="9"/>
        <v>EF1 E002 Mat</v>
      </c>
    </row>
    <row r="585" spans="1:31" ht="45" x14ac:dyDescent="0.25">
      <c r="A585" s="31" t="s">
        <v>1263</v>
      </c>
      <c r="B585" s="16" t="s">
        <v>32</v>
      </c>
      <c r="C585" s="16" t="s">
        <v>164</v>
      </c>
      <c r="D585" s="33" t="s">
        <v>34</v>
      </c>
      <c r="E585" s="33">
        <v>171</v>
      </c>
      <c r="F585" s="33">
        <v>2</v>
      </c>
      <c r="G585" s="33">
        <v>8</v>
      </c>
      <c r="H585" s="33"/>
      <c r="I585" s="31" t="s">
        <v>46</v>
      </c>
      <c r="J585" s="31"/>
      <c r="K585" s="33"/>
      <c r="L585" s="33"/>
      <c r="M585" s="31"/>
      <c r="N585" s="31"/>
      <c r="O585" s="16" t="s">
        <v>1264</v>
      </c>
      <c r="P585" s="16"/>
      <c r="Q585" s="16"/>
      <c r="R585" s="33"/>
      <c r="S585" s="34"/>
      <c r="T585" s="34"/>
      <c r="U585" s="34"/>
      <c r="V585" s="34"/>
      <c r="W585" s="34"/>
      <c r="X585" s="33" t="s">
        <v>48</v>
      </c>
      <c r="Y585" s="35" t="str">
        <f>IF(Tabela2[[#This Row],[SIGLA]]="","",VLOOKUP(Tabela2[[#This Row],[SIGLA]],Tabela1[[#All],[Sigla Arte]:[Crédito]],2,0))</f>
        <v>SERGIO LIMA/ARQUIVO DA EDITORA</v>
      </c>
      <c r="Z585" s="31"/>
      <c r="AA585" s="31" t="str">
        <f>Tabela2[[#This Row],[ILUSTRADOR CRIAÇÃO]]</f>
        <v>SERGIO LIMA/ARQUIVO DA EDITORA</v>
      </c>
      <c r="AB585" s="33"/>
      <c r="AC585" s="16"/>
      <c r="AE585" s="35" t="str">
        <f t="shared" si="9"/>
        <v>EF1 E002 Mat</v>
      </c>
    </row>
    <row r="586" spans="1:31" ht="105" x14ac:dyDescent="0.25">
      <c r="A586" s="31" t="s">
        <v>1265</v>
      </c>
      <c r="B586" s="16" t="s">
        <v>32</v>
      </c>
      <c r="C586" s="16" t="s">
        <v>164</v>
      </c>
      <c r="D586" s="33" t="s">
        <v>34</v>
      </c>
      <c r="E586" s="33">
        <v>172</v>
      </c>
      <c r="F586" s="33">
        <v>2</v>
      </c>
      <c r="G586" s="33">
        <v>8</v>
      </c>
      <c r="H586" s="33"/>
      <c r="I586" s="31" t="s">
        <v>35</v>
      </c>
      <c r="J586" s="31"/>
      <c r="K586" s="33"/>
      <c r="L586" s="33"/>
      <c r="M586" s="31"/>
      <c r="N586" s="31"/>
      <c r="O586" s="16" t="s">
        <v>1266</v>
      </c>
      <c r="P586" s="16"/>
      <c r="Q586" s="16"/>
      <c r="R586" s="33">
        <v>81</v>
      </c>
      <c r="S586" s="34">
        <v>45852</v>
      </c>
      <c r="T586" s="34">
        <v>45853</v>
      </c>
      <c r="U586" s="34"/>
      <c r="V586" s="34"/>
      <c r="W586" s="34">
        <v>45855</v>
      </c>
      <c r="X586" s="33" t="s">
        <v>1267</v>
      </c>
      <c r="Y586" s="35" t="str">
        <f>IF(Tabela2[[#This Row],[SIGLA]]="","",VLOOKUP(Tabela2[[#This Row],[SIGLA]],Tabela1[[#All],[Sigla Arte]:[Crédito]],2,0))</f>
        <v>INGRIDHI BORGES/ARQUIVO DA EDITORA</v>
      </c>
      <c r="Z586" s="31"/>
      <c r="AA586" s="31" t="str">
        <f>Tabela2[[#This Row],[ILUSTRADOR CRIAÇÃO]]</f>
        <v>INGRIDHI BORGES/ARQUIVO DA EDITORA</v>
      </c>
      <c r="AB586" s="33">
        <v>14</v>
      </c>
      <c r="AC586" s="16" t="s">
        <v>39</v>
      </c>
      <c r="AD586" s="16" t="s">
        <v>40</v>
      </c>
      <c r="AE586" s="35" t="str">
        <f t="shared" si="9"/>
        <v>EF1 E002 Mat</v>
      </c>
    </row>
    <row r="587" spans="1:31" ht="45" x14ac:dyDescent="0.25">
      <c r="A587" s="31" t="s">
        <v>1268</v>
      </c>
      <c r="B587" s="16" t="s">
        <v>32</v>
      </c>
      <c r="C587" s="16" t="s">
        <v>164</v>
      </c>
      <c r="D587" s="33" t="s">
        <v>34</v>
      </c>
      <c r="E587" s="33">
        <v>172</v>
      </c>
      <c r="F587" s="33">
        <v>2</v>
      </c>
      <c r="G587" s="33">
        <v>8</v>
      </c>
      <c r="H587" s="33"/>
      <c r="I587" s="31" t="s">
        <v>46</v>
      </c>
      <c r="J587" s="31"/>
      <c r="K587" s="33"/>
      <c r="L587" s="33"/>
      <c r="M587" s="31"/>
      <c r="N587" s="31"/>
      <c r="O587" s="16" t="s">
        <v>1269</v>
      </c>
      <c r="P587" s="16"/>
      <c r="Q587" s="16"/>
      <c r="R587" s="33"/>
      <c r="S587" s="34"/>
      <c r="T587" s="34"/>
      <c r="U587" s="34"/>
      <c r="V587" s="34"/>
      <c r="W587" s="34"/>
      <c r="X587" s="33" t="s">
        <v>85</v>
      </c>
      <c r="Y587" s="35" t="str">
        <f>IF(Tabela2[[#This Row],[SIGLA]]="","",VLOOKUP(Tabela2[[#This Row],[SIGLA]],Tabela1[[#All],[Sigla Arte]:[Crédito]],2,0))</f>
        <v>HELOÍSA PINTARELLI/ARQUIVO DA EDITORA</v>
      </c>
      <c r="Z587" s="31"/>
      <c r="AA587" s="31" t="str">
        <f>Tabela2[[#This Row],[ILUSTRADOR CRIAÇÃO]]</f>
        <v>HELOÍSA PINTARELLI/ARQUIVO DA EDITORA</v>
      </c>
      <c r="AB587" s="33"/>
      <c r="AC587" s="16"/>
      <c r="AE587" s="35" t="str">
        <f t="shared" si="9"/>
        <v>EF1 E002 Mat</v>
      </c>
    </row>
    <row r="588" spans="1:31" ht="75" x14ac:dyDescent="0.25">
      <c r="A588" s="31" t="s">
        <v>1270</v>
      </c>
      <c r="B588" s="16" t="s">
        <v>32</v>
      </c>
      <c r="C588" s="16" t="s">
        <v>164</v>
      </c>
      <c r="D588" s="33" t="s">
        <v>34</v>
      </c>
      <c r="E588" s="33">
        <v>172</v>
      </c>
      <c r="F588" s="33">
        <v>2</v>
      </c>
      <c r="G588" s="33">
        <v>8</v>
      </c>
      <c r="H588" s="33"/>
      <c r="I588" s="31" t="s">
        <v>46</v>
      </c>
      <c r="J588" s="31"/>
      <c r="K588" s="33"/>
      <c r="L588" s="33"/>
      <c r="M588" s="31"/>
      <c r="N588" s="31"/>
      <c r="O588" s="16" t="s">
        <v>1271</v>
      </c>
      <c r="P588" s="16"/>
      <c r="Q588" s="16"/>
      <c r="R588" s="33"/>
      <c r="S588" s="34"/>
      <c r="T588" s="34"/>
      <c r="U588" s="34"/>
      <c r="V588" s="34"/>
      <c r="W588" s="34"/>
      <c r="X588" s="33" t="s">
        <v>85</v>
      </c>
      <c r="Y588" s="35" t="str">
        <f>IF(Tabela2[[#This Row],[SIGLA]]="","",VLOOKUP(Tabela2[[#This Row],[SIGLA]],Tabela1[[#All],[Sigla Arte]:[Crédito]],2,0))</f>
        <v>HELOÍSA PINTARELLI/ARQUIVO DA EDITORA</v>
      </c>
      <c r="Z588" s="31"/>
      <c r="AA588" s="31" t="str">
        <f>Tabela2[[#This Row],[ILUSTRADOR CRIAÇÃO]]</f>
        <v>HELOÍSA PINTARELLI/ARQUIVO DA EDITORA</v>
      </c>
      <c r="AB588" s="33"/>
      <c r="AC588" s="16"/>
      <c r="AE588" s="35" t="str">
        <f t="shared" si="9"/>
        <v>EF1 E002 Mat</v>
      </c>
    </row>
    <row r="589" spans="1:31" ht="60" x14ac:dyDescent="0.25">
      <c r="A589" s="31" t="s">
        <v>1272</v>
      </c>
      <c r="B589" s="16" t="s">
        <v>32</v>
      </c>
      <c r="C589" s="16" t="s">
        <v>164</v>
      </c>
      <c r="D589" s="33" t="s">
        <v>34</v>
      </c>
      <c r="E589" s="33">
        <v>172</v>
      </c>
      <c r="F589" s="33">
        <v>2</v>
      </c>
      <c r="G589" s="33">
        <v>8</v>
      </c>
      <c r="H589" s="33"/>
      <c r="I589" s="31" t="s">
        <v>46</v>
      </c>
      <c r="J589" s="31"/>
      <c r="K589" s="33"/>
      <c r="L589" s="33"/>
      <c r="M589" s="31"/>
      <c r="N589" s="31"/>
      <c r="O589" s="16" t="s">
        <v>1273</v>
      </c>
      <c r="P589" s="16"/>
      <c r="Q589" s="16"/>
      <c r="R589" s="33"/>
      <c r="S589" s="34"/>
      <c r="T589" s="34"/>
      <c r="U589" s="34"/>
      <c r="V589" s="34"/>
      <c r="W589" s="34"/>
      <c r="X589" s="33" t="s">
        <v>85</v>
      </c>
      <c r="Y589" s="35" t="str">
        <f>IF(Tabela2[[#This Row],[SIGLA]]="","",VLOOKUP(Tabela2[[#This Row],[SIGLA]],Tabela1[[#All],[Sigla Arte]:[Crédito]],2,0))</f>
        <v>HELOÍSA PINTARELLI/ARQUIVO DA EDITORA</v>
      </c>
      <c r="Z589" s="31"/>
      <c r="AA589" s="31" t="str">
        <f>Tabela2[[#This Row],[ILUSTRADOR CRIAÇÃO]]</f>
        <v>HELOÍSA PINTARELLI/ARQUIVO DA EDITORA</v>
      </c>
      <c r="AB589" s="33"/>
      <c r="AC589" s="16"/>
      <c r="AE589" s="35" t="str">
        <f t="shared" si="9"/>
        <v>EF1 E002 Mat</v>
      </c>
    </row>
    <row r="590" spans="1:31" ht="60" x14ac:dyDescent="0.25">
      <c r="A590" s="31" t="s">
        <v>1274</v>
      </c>
      <c r="B590" s="16" t="s">
        <v>32</v>
      </c>
      <c r="C590" s="16" t="s">
        <v>164</v>
      </c>
      <c r="D590" s="33" t="s">
        <v>34</v>
      </c>
      <c r="E590" s="33">
        <v>172</v>
      </c>
      <c r="F590" s="33">
        <v>2</v>
      </c>
      <c r="G590" s="33">
        <v>8</v>
      </c>
      <c r="H590" s="33"/>
      <c r="I590" s="31" t="s">
        <v>46</v>
      </c>
      <c r="J590" s="31"/>
      <c r="K590" s="33"/>
      <c r="L590" s="33"/>
      <c r="M590" s="31"/>
      <c r="N590" s="31"/>
      <c r="O590" s="16" t="s">
        <v>1275</v>
      </c>
      <c r="P590" s="16"/>
      <c r="Q590" s="16"/>
      <c r="R590" s="33"/>
      <c r="S590" s="34"/>
      <c r="T590" s="34"/>
      <c r="U590" s="34"/>
      <c r="V590" s="34"/>
      <c r="W590" s="34"/>
      <c r="X590" s="33" t="s">
        <v>85</v>
      </c>
      <c r="Y590" s="35" t="str">
        <f>IF(Tabela2[[#This Row],[SIGLA]]="","",VLOOKUP(Tabela2[[#This Row],[SIGLA]],Tabela1[[#All],[Sigla Arte]:[Crédito]],2,0))</f>
        <v>HELOÍSA PINTARELLI/ARQUIVO DA EDITORA</v>
      </c>
      <c r="Z590" s="31"/>
      <c r="AA590" s="31" t="str">
        <f>Tabela2[[#This Row],[ILUSTRADOR CRIAÇÃO]]</f>
        <v>HELOÍSA PINTARELLI/ARQUIVO DA EDITORA</v>
      </c>
      <c r="AB590" s="33"/>
      <c r="AC590" s="16"/>
      <c r="AE590" s="35" t="str">
        <f t="shared" si="9"/>
        <v>EF1 E002 Mat</v>
      </c>
    </row>
    <row r="591" spans="1:31" ht="60" x14ac:dyDescent="0.25">
      <c r="A591" s="31" t="s">
        <v>1276</v>
      </c>
      <c r="B591" s="16" t="s">
        <v>32</v>
      </c>
      <c r="C591" s="16" t="s">
        <v>164</v>
      </c>
      <c r="D591" s="33" t="s">
        <v>34</v>
      </c>
      <c r="E591" s="33">
        <v>173</v>
      </c>
      <c r="F591" s="33">
        <v>2</v>
      </c>
      <c r="G591" s="33">
        <v>8</v>
      </c>
      <c r="H591" s="33"/>
      <c r="I591" s="31" t="s">
        <v>46</v>
      </c>
      <c r="J591" s="31"/>
      <c r="K591" s="33"/>
      <c r="L591" s="33"/>
      <c r="M591" s="31"/>
      <c r="N591" s="31"/>
      <c r="O591" s="16" t="s">
        <v>1277</v>
      </c>
      <c r="P591" s="16"/>
      <c r="Q591" s="16"/>
      <c r="R591" s="33"/>
      <c r="S591" s="34"/>
      <c r="T591" s="34"/>
      <c r="U591" s="34"/>
      <c r="V591" s="34"/>
      <c r="W591" s="34"/>
      <c r="X591" s="33" t="s">
        <v>1126</v>
      </c>
      <c r="Y591" s="35" t="str">
        <f>IF(Tabela2[[#This Row],[SIGLA]]="","",VLOOKUP(Tabela2[[#This Row],[SIGLA]],Tabela1[[#All],[Sigla Arte]:[Crédito]],2,0))</f>
        <v>GUSTAVO CONTI/ARQUIVO DA EDITORA</v>
      </c>
      <c r="Z591" s="31"/>
      <c r="AA591" s="31" t="str">
        <f>Tabela2[[#This Row],[ILUSTRADOR CRIAÇÃO]]</f>
        <v>GUSTAVO CONTI/ARQUIVO DA EDITORA</v>
      </c>
      <c r="AB591" s="33"/>
      <c r="AC591" s="16"/>
      <c r="AE591" s="35" t="str">
        <f t="shared" si="9"/>
        <v>EF1 E002 Mat</v>
      </c>
    </row>
    <row r="592" spans="1:31" ht="45" x14ac:dyDescent="0.25">
      <c r="A592" s="31" t="s">
        <v>1278</v>
      </c>
      <c r="B592" s="16" t="s">
        <v>32</v>
      </c>
      <c r="C592" s="16" t="s">
        <v>33</v>
      </c>
      <c r="D592" s="33" t="s">
        <v>34</v>
      </c>
      <c r="E592" s="33">
        <v>173</v>
      </c>
      <c r="F592" s="33">
        <v>2</v>
      </c>
      <c r="G592" s="33">
        <v>8</v>
      </c>
      <c r="H592" s="33"/>
      <c r="I592" s="31" t="s">
        <v>46</v>
      </c>
      <c r="J592" s="31"/>
      <c r="K592" s="33"/>
      <c r="L592" s="33"/>
      <c r="M592" s="31"/>
      <c r="N592" s="31"/>
      <c r="O592" s="16" t="s">
        <v>1279</v>
      </c>
      <c r="P592" s="16"/>
      <c r="Q592" s="16"/>
      <c r="R592" s="33"/>
      <c r="S592" s="34"/>
      <c r="T592" s="34"/>
      <c r="U592" s="34"/>
      <c r="V592" s="34"/>
      <c r="W592" s="34"/>
      <c r="X592" s="33" t="s">
        <v>247</v>
      </c>
      <c r="Y592" s="35" t="str">
        <f>IF(Tabela2[[#This Row],[SIGLA]]="","",VLOOKUP(Tabela2[[#This Row],[SIGLA]],Tabela1[[#All],[Sigla Arte]:[Crédito]],2,0))</f>
        <v>THAIS CASTRO/ARQUIVO DA EDITORA</v>
      </c>
      <c r="Z592" s="31"/>
      <c r="AA592" s="31" t="str">
        <f>Tabela2[[#This Row],[ILUSTRADOR CRIAÇÃO]]</f>
        <v>THAIS CASTRO/ARQUIVO DA EDITORA</v>
      </c>
      <c r="AB592" s="33"/>
      <c r="AC592" s="16"/>
      <c r="AE592" s="35" t="str">
        <f t="shared" si="9"/>
        <v>EF1 E002 Mat</v>
      </c>
    </row>
    <row r="593" spans="1:31" ht="45" x14ac:dyDescent="0.25">
      <c r="A593" s="31" t="s">
        <v>1280</v>
      </c>
      <c r="B593" s="16" t="s">
        <v>32</v>
      </c>
      <c r="C593" s="16" t="s">
        <v>33</v>
      </c>
      <c r="D593" s="33" t="s">
        <v>34</v>
      </c>
      <c r="E593" s="33">
        <v>120</v>
      </c>
      <c r="F593" s="33">
        <v>2</v>
      </c>
      <c r="G593" s="33">
        <v>8</v>
      </c>
      <c r="H593" s="33"/>
      <c r="I593" s="31" t="s">
        <v>46</v>
      </c>
      <c r="J593" s="31"/>
      <c r="K593" s="33"/>
      <c r="L593" s="33"/>
      <c r="M593" s="31"/>
      <c r="N593" s="31"/>
      <c r="O593" s="16" t="s">
        <v>1281</v>
      </c>
      <c r="P593" s="16"/>
      <c r="Q593" s="16"/>
      <c r="R593" s="33"/>
      <c r="S593" s="34"/>
      <c r="T593" s="34"/>
      <c r="U593" s="34"/>
      <c r="V593" s="34"/>
      <c r="W593" s="34"/>
      <c r="X593" s="33" t="s">
        <v>247</v>
      </c>
      <c r="Y593" s="35" t="str">
        <f>IF(Tabela2[[#This Row],[SIGLA]]="","",VLOOKUP(Tabela2[[#This Row],[SIGLA]],Tabela1[[#All],[Sigla Arte]:[Crédito]],2,0))</f>
        <v>THAIS CASTRO/ARQUIVO DA EDITORA</v>
      </c>
      <c r="Z593" s="31"/>
      <c r="AA593" s="31" t="str">
        <f>Tabela2[[#This Row],[ILUSTRADOR CRIAÇÃO]]</f>
        <v>THAIS CASTRO/ARQUIVO DA EDITORA</v>
      </c>
      <c r="AB593" s="33"/>
      <c r="AC593" s="16"/>
      <c r="AE593" s="35" t="str">
        <f t="shared" si="9"/>
        <v>EF1 E002 Mat</v>
      </c>
    </row>
    <row r="594" spans="1:31" ht="45" x14ac:dyDescent="0.25">
      <c r="A594" s="31" t="s">
        <v>1282</v>
      </c>
      <c r="B594" s="16" t="s">
        <v>32</v>
      </c>
      <c r="C594" s="16" t="s">
        <v>33</v>
      </c>
      <c r="D594" s="33" t="s">
        <v>34</v>
      </c>
      <c r="E594" s="33">
        <v>121</v>
      </c>
      <c r="F594" s="33">
        <v>2</v>
      </c>
      <c r="G594" s="33">
        <v>8</v>
      </c>
      <c r="H594" s="33"/>
      <c r="I594" s="31" t="s">
        <v>46</v>
      </c>
      <c r="J594" s="31"/>
      <c r="K594" s="33"/>
      <c r="L594" s="33"/>
      <c r="M594" s="31"/>
      <c r="N594" s="31"/>
      <c r="O594" s="16" t="s">
        <v>1283</v>
      </c>
      <c r="P594" s="16"/>
      <c r="Q594" s="16"/>
      <c r="R594" s="33"/>
      <c r="S594" s="34"/>
      <c r="T594" s="34"/>
      <c r="U594" s="34"/>
      <c r="V594" s="34"/>
      <c r="W594" s="34"/>
      <c r="X594" s="33" t="s">
        <v>247</v>
      </c>
      <c r="Y594" s="35" t="str">
        <f>IF(Tabela2[[#This Row],[SIGLA]]="","",VLOOKUP(Tabela2[[#This Row],[SIGLA]],Tabela1[[#All],[Sigla Arte]:[Crédito]],2,0))</f>
        <v>THAIS CASTRO/ARQUIVO DA EDITORA</v>
      </c>
      <c r="Z594" s="31"/>
      <c r="AA594" s="31" t="str">
        <f>Tabela2[[#This Row],[ILUSTRADOR CRIAÇÃO]]</f>
        <v>THAIS CASTRO/ARQUIVO DA EDITORA</v>
      </c>
      <c r="AB594" s="33"/>
      <c r="AC594" s="16"/>
      <c r="AE594" s="35" t="str">
        <f t="shared" si="9"/>
        <v>EF1 E002 Mat</v>
      </c>
    </row>
    <row r="595" spans="1:31" ht="45" x14ac:dyDescent="0.25">
      <c r="A595" s="31" t="s">
        <v>1284</v>
      </c>
      <c r="B595" s="16" t="s">
        <v>32</v>
      </c>
      <c r="C595" s="16" t="s">
        <v>33</v>
      </c>
      <c r="D595" s="33" t="s">
        <v>34</v>
      </c>
      <c r="E595" s="33">
        <v>122</v>
      </c>
      <c r="F595" s="33">
        <v>2</v>
      </c>
      <c r="G595" s="33">
        <v>8</v>
      </c>
      <c r="H595" s="33"/>
      <c r="I595" s="31" t="s">
        <v>46</v>
      </c>
      <c r="J595" s="31"/>
      <c r="K595" s="33"/>
      <c r="L595" s="33"/>
      <c r="M595" s="31"/>
      <c r="N595" s="31"/>
      <c r="O595" s="16" t="s">
        <v>1285</v>
      </c>
      <c r="P595" s="16"/>
      <c r="Q595" s="16"/>
      <c r="R595" s="33"/>
      <c r="S595" s="34"/>
      <c r="T595" s="34"/>
      <c r="U595" s="34"/>
      <c r="V595" s="34"/>
      <c r="W595" s="34"/>
      <c r="X595" s="33" t="s">
        <v>247</v>
      </c>
      <c r="Y595" s="35" t="str">
        <f>IF(Tabela2[[#This Row],[SIGLA]]="","",VLOOKUP(Tabela2[[#This Row],[SIGLA]],Tabela1[[#All],[Sigla Arte]:[Crédito]],2,0))</f>
        <v>THAIS CASTRO/ARQUIVO DA EDITORA</v>
      </c>
      <c r="Z595" s="31"/>
      <c r="AA595" s="31" t="str">
        <f>Tabela2[[#This Row],[ILUSTRADOR CRIAÇÃO]]</f>
        <v>THAIS CASTRO/ARQUIVO DA EDITORA</v>
      </c>
      <c r="AB595" s="33"/>
      <c r="AC595" s="16"/>
      <c r="AE595" s="35" t="str">
        <f t="shared" si="9"/>
        <v>EF1 E002 Mat</v>
      </c>
    </row>
    <row r="596" spans="1:31" ht="45" x14ac:dyDescent="0.25">
      <c r="A596" s="31" t="s">
        <v>1286</v>
      </c>
      <c r="B596" s="16" t="s">
        <v>32</v>
      </c>
      <c r="C596" s="16" t="s">
        <v>33</v>
      </c>
      <c r="D596" s="33" t="s">
        <v>34</v>
      </c>
      <c r="E596" s="33">
        <v>123</v>
      </c>
      <c r="F596" s="33">
        <v>2</v>
      </c>
      <c r="G596" s="33">
        <v>8</v>
      </c>
      <c r="H596" s="33"/>
      <c r="I596" s="31" t="s">
        <v>46</v>
      </c>
      <c r="J596" s="31"/>
      <c r="K596" s="33"/>
      <c r="L596" s="33"/>
      <c r="M596" s="31"/>
      <c r="N596" s="31"/>
      <c r="O596" s="16" t="s">
        <v>1287</v>
      </c>
      <c r="P596" s="16"/>
      <c r="Q596" s="16"/>
      <c r="R596" s="33"/>
      <c r="S596" s="34"/>
      <c r="T596" s="34"/>
      <c r="U596" s="34"/>
      <c r="V596" s="34"/>
      <c r="W596" s="34"/>
      <c r="X596" s="33" t="s">
        <v>247</v>
      </c>
      <c r="Y596" s="35" t="str">
        <f>IF(Tabela2[[#This Row],[SIGLA]]="","",VLOOKUP(Tabela2[[#This Row],[SIGLA]],Tabela1[[#All],[Sigla Arte]:[Crédito]],2,0))</f>
        <v>THAIS CASTRO/ARQUIVO DA EDITORA</v>
      </c>
      <c r="Z596" s="31"/>
      <c r="AA596" s="31" t="str">
        <f>Tabela2[[#This Row],[ILUSTRADOR CRIAÇÃO]]</f>
        <v>THAIS CASTRO/ARQUIVO DA EDITORA</v>
      </c>
      <c r="AB596" s="33"/>
      <c r="AC596" s="16"/>
      <c r="AE596" s="35" t="str">
        <f t="shared" si="9"/>
        <v>EF1 E002 Mat</v>
      </c>
    </row>
    <row r="597" spans="1:31" ht="45" x14ac:dyDescent="0.25">
      <c r="A597" s="31" t="s">
        <v>1288</v>
      </c>
      <c r="B597" s="16" t="s">
        <v>32</v>
      </c>
      <c r="C597" s="16" t="s">
        <v>33</v>
      </c>
      <c r="D597" s="33" t="s">
        <v>34</v>
      </c>
      <c r="E597" s="33">
        <v>124</v>
      </c>
      <c r="F597" s="33">
        <v>2</v>
      </c>
      <c r="G597" s="33">
        <v>8</v>
      </c>
      <c r="H597" s="33"/>
      <c r="I597" s="31" t="s">
        <v>46</v>
      </c>
      <c r="J597" s="31"/>
      <c r="K597" s="33"/>
      <c r="L597" s="33"/>
      <c r="M597" s="31"/>
      <c r="N597" s="31"/>
      <c r="O597" s="16" t="s">
        <v>1289</v>
      </c>
      <c r="P597" s="16"/>
      <c r="Q597" s="16"/>
      <c r="R597" s="33"/>
      <c r="S597" s="34"/>
      <c r="T597" s="34"/>
      <c r="U597" s="34"/>
      <c r="V597" s="34"/>
      <c r="W597" s="34"/>
      <c r="X597" s="33" t="s">
        <v>85</v>
      </c>
      <c r="Y597" s="35" t="str">
        <f>IF(Tabela2[[#This Row],[SIGLA]]="","",VLOOKUP(Tabela2[[#This Row],[SIGLA]],Tabela1[[#All],[Sigla Arte]:[Crédito]],2,0))</f>
        <v>HELOÍSA PINTARELLI/ARQUIVO DA EDITORA</v>
      </c>
      <c r="Z597" s="31"/>
      <c r="AA597" s="31" t="str">
        <f>Tabela2[[#This Row],[ILUSTRADOR CRIAÇÃO]]</f>
        <v>HELOÍSA PINTARELLI/ARQUIVO DA EDITORA</v>
      </c>
      <c r="AB597" s="33"/>
      <c r="AC597" s="16"/>
      <c r="AE597" s="35" t="str">
        <f t="shared" si="9"/>
        <v>EF1 E002 Mat</v>
      </c>
    </row>
    <row r="598" spans="1:31" ht="45" x14ac:dyDescent="0.25">
      <c r="A598" s="31" t="s">
        <v>1290</v>
      </c>
      <c r="B598" s="16" t="s">
        <v>32</v>
      </c>
      <c r="C598" s="16" t="s">
        <v>33</v>
      </c>
      <c r="D598" s="33" t="s">
        <v>34</v>
      </c>
      <c r="E598" s="33">
        <v>125</v>
      </c>
      <c r="F598" s="33">
        <v>2</v>
      </c>
      <c r="G598" s="33">
        <v>8</v>
      </c>
      <c r="H598" s="33"/>
      <c r="I598" s="31" t="s">
        <v>46</v>
      </c>
      <c r="J598" s="31"/>
      <c r="K598" s="33"/>
      <c r="L598" s="33"/>
      <c r="M598" s="31"/>
      <c r="N598" s="31"/>
      <c r="O598" s="16" t="s">
        <v>1291</v>
      </c>
      <c r="P598" s="16"/>
      <c r="Q598" s="16"/>
      <c r="R598" s="33"/>
      <c r="S598" s="34"/>
      <c r="T598" s="34"/>
      <c r="U598" s="34"/>
      <c r="V598" s="34"/>
      <c r="W598" s="34"/>
      <c r="X598" s="33" t="s">
        <v>85</v>
      </c>
      <c r="Y598" s="35" t="str">
        <f>IF(Tabela2[[#This Row],[SIGLA]]="","",VLOOKUP(Tabela2[[#This Row],[SIGLA]],Tabela1[[#All],[Sigla Arte]:[Crédito]],2,0))</f>
        <v>HELOÍSA PINTARELLI/ARQUIVO DA EDITORA</v>
      </c>
      <c r="Z598" s="31"/>
      <c r="AA598" s="31" t="str">
        <f>Tabela2[[#This Row],[ILUSTRADOR CRIAÇÃO]]</f>
        <v>HELOÍSA PINTARELLI/ARQUIVO DA EDITORA</v>
      </c>
      <c r="AB598" s="33"/>
      <c r="AC598" s="16"/>
      <c r="AE598" s="35" t="str">
        <f t="shared" si="9"/>
        <v>EF1 E002 Mat</v>
      </c>
    </row>
    <row r="599" spans="1:31" ht="30" x14ac:dyDescent="0.25">
      <c r="A599" s="31" t="s">
        <v>1292</v>
      </c>
      <c r="B599" s="16" t="s">
        <v>32</v>
      </c>
      <c r="C599" s="16" t="s">
        <v>33</v>
      </c>
      <c r="D599" s="33" t="s">
        <v>34</v>
      </c>
      <c r="E599" s="33">
        <v>126</v>
      </c>
      <c r="F599" s="33">
        <v>2</v>
      </c>
      <c r="G599" s="33">
        <v>8</v>
      </c>
      <c r="H599" s="33"/>
      <c r="I599" s="31" t="s">
        <v>35</v>
      </c>
      <c r="J599" s="31"/>
      <c r="K599" s="33"/>
      <c r="L599" s="33"/>
      <c r="M599" s="31"/>
      <c r="N599" s="31"/>
      <c r="O599" s="16" t="s">
        <v>1293</v>
      </c>
      <c r="P599" s="16"/>
      <c r="Q599" s="16"/>
      <c r="R599" s="33">
        <v>138</v>
      </c>
      <c r="S599" s="34">
        <v>45901</v>
      </c>
      <c r="T599" s="34">
        <v>45901</v>
      </c>
      <c r="U599" s="34"/>
      <c r="V599" s="34"/>
      <c r="W599" s="34">
        <v>45901</v>
      </c>
      <c r="X599" s="33" t="s">
        <v>85</v>
      </c>
      <c r="Y599" s="35" t="str">
        <f>IF(Tabela2[[#This Row],[SIGLA]]="","",VLOOKUP(Tabela2[[#This Row],[SIGLA]],Tabela1[[#All],[Sigla Arte]:[Crédito]],2,0))</f>
        <v>HELOÍSA PINTARELLI/ARQUIVO DA EDITORA</v>
      </c>
      <c r="Z599" s="31" t="s">
        <v>572</v>
      </c>
      <c r="AA599" s="31" t="str">
        <f>Tabela2[[#This Row],[ILUSTRADOR CRIAÇÃO]]</f>
        <v>HELOÍSA PINTARELLI/ARQUIVO DA EDITORA</v>
      </c>
      <c r="AB599" s="33">
        <v>13</v>
      </c>
      <c r="AC599" s="16" t="s">
        <v>44</v>
      </c>
      <c r="AD599" s="16" t="s">
        <v>40</v>
      </c>
      <c r="AE599" s="35" t="str">
        <f t="shared" si="9"/>
        <v>EF1 E002 Mat</v>
      </c>
    </row>
    <row r="600" spans="1:31" ht="45" x14ac:dyDescent="0.25">
      <c r="A600" s="31" t="s">
        <v>1294</v>
      </c>
      <c r="B600" s="16" t="s">
        <v>32</v>
      </c>
      <c r="C600" s="16" t="s">
        <v>164</v>
      </c>
      <c r="D600" s="33" t="s">
        <v>34</v>
      </c>
      <c r="E600" s="33">
        <v>126</v>
      </c>
      <c r="F600" s="33">
        <v>2</v>
      </c>
      <c r="G600" s="33">
        <v>8</v>
      </c>
      <c r="H600" s="33"/>
      <c r="I600" s="31" t="s">
        <v>46</v>
      </c>
      <c r="J600" s="31"/>
      <c r="K600" s="33"/>
      <c r="L600" s="33"/>
      <c r="M600" s="31"/>
      <c r="N600" s="31"/>
      <c r="O600" s="16" t="s">
        <v>1295</v>
      </c>
      <c r="P600" s="16"/>
      <c r="Q600" s="16"/>
      <c r="R600" s="33"/>
      <c r="S600" s="34"/>
      <c r="T600" s="34"/>
      <c r="U600" s="34"/>
      <c r="V600" s="34"/>
      <c r="W600" s="34"/>
      <c r="X600" s="33" t="s">
        <v>48</v>
      </c>
      <c r="Y600" s="35" t="str">
        <f>IF(Tabela2[[#This Row],[SIGLA]]="","",VLOOKUP(Tabela2[[#This Row],[SIGLA]],Tabela1[[#All],[Sigla Arte]:[Crédito]],2,0))</f>
        <v>SERGIO LIMA/ARQUIVO DA EDITORA</v>
      </c>
      <c r="Z600" s="31"/>
      <c r="AA600" s="31" t="str">
        <f>Tabela2[[#This Row],[ILUSTRADOR CRIAÇÃO]]</f>
        <v>SERGIO LIMA/ARQUIVO DA EDITORA</v>
      </c>
      <c r="AB600" s="33"/>
      <c r="AC600" s="16"/>
      <c r="AE600" s="35" t="str">
        <f t="shared" si="9"/>
        <v>EF1 E002 Mat</v>
      </c>
    </row>
    <row r="601" spans="1:31" ht="90" x14ac:dyDescent="0.25">
      <c r="A601" s="31" t="s">
        <v>1296</v>
      </c>
      <c r="B601" s="16" t="s">
        <v>32</v>
      </c>
      <c r="C601" s="16" t="s">
        <v>164</v>
      </c>
      <c r="D601" s="33" t="s">
        <v>34</v>
      </c>
      <c r="E601" s="33">
        <v>198</v>
      </c>
      <c r="F601" s="33">
        <v>2</v>
      </c>
      <c r="G601" s="33">
        <v>8</v>
      </c>
      <c r="H601" s="33"/>
      <c r="I601" s="31" t="s">
        <v>35</v>
      </c>
      <c r="J601" s="31"/>
      <c r="K601" s="33"/>
      <c r="L601" s="33"/>
      <c r="M601" s="31"/>
      <c r="N601" s="31"/>
      <c r="O601" s="16" t="s">
        <v>1297</v>
      </c>
      <c r="P601" s="16"/>
      <c r="Q601" s="16"/>
      <c r="R601" s="33">
        <v>81</v>
      </c>
      <c r="S601" s="34">
        <v>45852</v>
      </c>
      <c r="T601" s="34">
        <v>45853</v>
      </c>
      <c r="U601" s="34"/>
      <c r="V601" s="34"/>
      <c r="W601" s="34">
        <v>45855</v>
      </c>
      <c r="X601" s="33" t="s">
        <v>48</v>
      </c>
      <c r="Y601" s="35" t="str">
        <f>IF(Tabela2[[#This Row],[SIGLA]]="","",VLOOKUP(Tabela2[[#This Row],[SIGLA]],Tabela1[[#All],[Sigla Arte]:[Crédito]],2,0))</f>
        <v>SERGIO LIMA/ARQUIVO DA EDITORA</v>
      </c>
      <c r="Z601" s="31"/>
      <c r="AA601" s="31" t="str">
        <f>Tabela2[[#This Row],[ILUSTRADOR CRIAÇÃO]]</f>
        <v>SERGIO LIMA/ARQUIVO DA EDITORA</v>
      </c>
      <c r="AB601" s="33">
        <v>14</v>
      </c>
      <c r="AC601" s="16" t="s">
        <v>39</v>
      </c>
      <c r="AD601" s="16" t="s">
        <v>1093</v>
      </c>
      <c r="AE601" s="35" t="str">
        <f t="shared" si="9"/>
        <v>EF1 E002 Mat</v>
      </c>
    </row>
    <row r="602" spans="1:31" ht="90" x14ac:dyDescent="0.25">
      <c r="A602" s="31" t="s">
        <v>1298</v>
      </c>
      <c r="B602" s="16" t="s">
        <v>32</v>
      </c>
      <c r="C602" s="16" t="s">
        <v>164</v>
      </c>
      <c r="D602" s="33" t="s">
        <v>34</v>
      </c>
      <c r="E602" s="33">
        <v>198</v>
      </c>
      <c r="F602" s="33">
        <v>2</v>
      </c>
      <c r="G602" s="33">
        <v>8</v>
      </c>
      <c r="H602" s="33"/>
      <c r="I602" s="31" t="s">
        <v>35</v>
      </c>
      <c r="J602" s="31"/>
      <c r="K602" s="33"/>
      <c r="L602" s="33"/>
      <c r="M602" s="31"/>
      <c r="N602" s="31"/>
      <c r="O602" s="16" t="s">
        <v>1299</v>
      </c>
      <c r="P602" s="16"/>
      <c r="Q602" s="16"/>
      <c r="R602" s="33">
        <v>81</v>
      </c>
      <c r="S602" s="34">
        <v>45852</v>
      </c>
      <c r="T602" s="34">
        <v>45853</v>
      </c>
      <c r="U602" s="34"/>
      <c r="V602" s="34"/>
      <c r="W602" s="34">
        <v>45855</v>
      </c>
      <c r="X602" s="33" t="s">
        <v>48</v>
      </c>
      <c r="Y602" s="35" t="str">
        <f>IF(Tabela2[[#This Row],[SIGLA]]="","",VLOOKUP(Tabela2[[#This Row],[SIGLA]],Tabela1[[#All],[Sigla Arte]:[Crédito]],2,0))</f>
        <v>SERGIO LIMA/ARQUIVO DA EDITORA</v>
      </c>
      <c r="Z602" s="31"/>
      <c r="AA602" s="31" t="str">
        <f>Tabela2[[#This Row],[ILUSTRADOR CRIAÇÃO]]</f>
        <v>SERGIO LIMA/ARQUIVO DA EDITORA</v>
      </c>
      <c r="AB602" s="33">
        <v>14</v>
      </c>
      <c r="AC602" s="16" t="s">
        <v>39</v>
      </c>
      <c r="AD602" s="16" t="s">
        <v>1093</v>
      </c>
      <c r="AE602" s="35" t="str">
        <f t="shared" si="9"/>
        <v>EF1 E002 Mat</v>
      </c>
    </row>
    <row r="603" spans="1:31" ht="45" x14ac:dyDescent="0.25">
      <c r="A603" s="31" t="s">
        <v>1300</v>
      </c>
      <c r="B603" s="16" t="s">
        <v>32</v>
      </c>
      <c r="C603" s="16" t="s">
        <v>33</v>
      </c>
      <c r="D603" s="33" t="s">
        <v>34</v>
      </c>
      <c r="E603" s="33">
        <v>198</v>
      </c>
      <c r="F603" s="33">
        <v>2</v>
      </c>
      <c r="G603" s="33">
        <v>8</v>
      </c>
      <c r="H603" s="33"/>
      <c r="I603" s="31" t="s">
        <v>46</v>
      </c>
      <c r="J603" s="31"/>
      <c r="K603" s="33"/>
      <c r="L603" s="33"/>
      <c r="M603" s="31"/>
      <c r="N603" s="31"/>
      <c r="O603" s="16" t="s">
        <v>1301</v>
      </c>
      <c r="P603" s="16"/>
      <c r="Q603" s="16"/>
      <c r="R603" s="33"/>
      <c r="S603" s="34"/>
      <c r="T603" s="34"/>
      <c r="U603" s="34"/>
      <c r="V603" s="34"/>
      <c r="W603" s="34"/>
      <c r="X603" s="33" t="s">
        <v>247</v>
      </c>
      <c r="Y603" s="35" t="str">
        <f>IF(Tabela2[[#This Row],[SIGLA]]="","",VLOOKUP(Tabela2[[#This Row],[SIGLA]],Tabela1[[#All],[Sigla Arte]:[Crédito]],2,0))</f>
        <v>THAIS CASTRO/ARQUIVO DA EDITORA</v>
      </c>
      <c r="Z603" s="31"/>
      <c r="AA603" s="31" t="str">
        <f>Tabela2[[#This Row],[ILUSTRADOR CRIAÇÃO]]</f>
        <v>THAIS CASTRO/ARQUIVO DA EDITORA</v>
      </c>
      <c r="AB603" s="33"/>
      <c r="AC603" s="16"/>
      <c r="AE603" s="35" t="str">
        <f t="shared" si="9"/>
        <v>EF1 E002 Mat</v>
      </c>
    </row>
    <row r="604" spans="1:31" ht="45" x14ac:dyDescent="0.25">
      <c r="A604" s="31" t="s">
        <v>1302</v>
      </c>
      <c r="B604" s="16" t="s">
        <v>32</v>
      </c>
      <c r="C604" s="16" t="s">
        <v>164</v>
      </c>
      <c r="D604" s="33" t="s">
        <v>34</v>
      </c>
      <c r="E604" s="33">
        <v>127</v>
      </c>
      <c r="F604" s="33">
        <v>2</v>
      </c>
      <c r="G604" s="33">
        <v>8</v>
      </c>
      <c r="H604" s="33"/>
      <c r="I604" s="31" t="s">
        <v>46</v>
      </c>
      <c r="J604" s="31"/>
      <c r="K604" s="33"/>
      <c r="L604" s="33"/>
      <c r="M604" s="31"/>
      <c r="N604" s="31"/>
      <c r="O604" s="16" t="s">
        <v>1295</v>
      </c>
      <c r="P604" s="16"/>
      <c r="Q604" s="16"/>
      <c r="R604" s="33"/>
      <c r="S604" s="34"/>
      <c r="T604" s="34"/>
      <c r="U604" s="34"/>
      <c r="V604" s="34"/>
      <c r="W604" s="34"/>
      <c r="X604" s="33" t="s">
        <v>48</v>
      </c>
      <c r="Y604" s="35" t="str">
        <f>IF(Tabela2[[#This Row],[SIGLA]]="","",VLOOKUP(Tabela2[[#This Row],[SIGLA]],Tabela1[[#All],[Sigla Arte]:[Crédito]],2,0))</f>
        <v>SERGIO LIMA/ARQUIVO DA EDITORA</v>
      </c>
      <c r="Z604" s="31"/>
      <c r="AA604" s="31" t="str">
        <f>Tabela2[[#This Row],[ILUSTRADOR CRIAÇÃO]]</f>
        <v>SERGIO LIMA/ARQUIVO DA EDITORA</v>
      </c>
      <c r="AB604" s="33"/>
      <c r="AC604" s="16"/>
      <c r="AE604" s="35" t="str">
        <f t="shared" si="9"/>
        <v>EF1 E002 Mat</v>
      </c>
    </row>
    <row r="605" spans="1:31" ht="45" x14ac:dyDescent="0.25">
      <c r="A605" s="31" t="s">
        <v>1303</v>
      </c>
      <c r="B605" s="16" t="s">
        <v>32</v>
      </c>
      <c r="C605" s="16" t="s">
        <v>164</v>
      </c>
      <c r="D605" s="33" t="s">
        <v>34</v>
      </c>
      <c r="E605" s="33">
        <v>127</v>
      </c>
      <c r="F605" s="33">
        <v>2</v>
      </c>
      <c r="G605" s="33">
        <v>8</v>
      </c>
      <c r="H605" s="33"/>
      <c r="I605" s="31" t="s">
        <v>46</v>
      </c>
      <c r="J605" s="31"/>
      <c r="K605" s="33"/>
      <c r="L605" s="33"/>
      <c r="M605" s="31"/>
      <c r="N605" s="31"/>
      <c r="O605" s="16" t="s">
        <v>1304</v>
      </c>
      <c r="P605" s="16"/>
      <c r="Q605" s="16"/>
      <c r="R605" s="33"/>
      <c r="S605" s="34"/>
      <c r="T605" s="34"/>
      <c r="U605" s="34"/>
      <c r="V605" s="34"/>
      <c r="W605" s="34"/>
      <c r="X605" s="33" t="s">
        <v>48</v>
      </c>
      <c r="Y605" s="35" t="str">
        <f>IF(Tabela2[[#This Row],[SIGLA]]="","",VLOOKUP(Tabela2[[#This Row],[SIGLA]],Tabela1[[#All],[Sigla Arte]:[Crédito]],2,0))</f>
        <v>SERGIO LIMA/ARQUIVO DA EDITORA</v>
      </c>
      <c r="Z605" s="31"/>
      <c r="AA605" s="31" t="str">
        <f>Tabela2[[#This Row],[ILUSTRADOR CRIAÇÃO]]</f>
        <v>SERGIO LIMA/ARQUIVO DA EDITORA</v>
      </c>
      <c r="AB605" s="33"/>
      <c r="AC605" s="16"/>
      <c r="AE605" s="35" t="str">
        <f t="shared" si="9"/>
        <v>EF1 E002 Mat</v>
      </c>
    </row>
    <row r="606" spans="1:31" ht="45" x14ac:dyDescent="0.25">
      <c r="A606" s="31" t="s">
        <v>1305</v>
      </c>
      <c r="B606" s="16" t="s">
        <v>32</v>
      </c>
      <c r="C606" s="16" t="s">
        <v>164</v>
      </c>
      <c r="D606" s="33" t="s">
        <v>34</v>
      </c>
      <c r="E606" s="33">
        <v>127</v>
      </c>
      <c r="F606" s="33">
        <v>2</v>
      </c>
      <c r="G606" s="33">
        <v>8</v>
      </c>
      <c r="H606" s="33"/>
      <c r="I606" s="31" t="s">
        <v>46</v>
      </c>
      <c r="J606" s="31"/>
      <c r="K606" s="33"/>
      <c r="L606" s="33"/>
      <c r="M606" s="31"/>
      <c r="N606" s="31"/>
      <c r="O606" s="16" t="s">
        <v>1306</v>
      </c>
      <c r="P606" s="16"/>
      <c r="Q606" s="16"/>
      <c r="R606" s="33"/>
      <c r="S606" s="34"/>
      <c r="T606" s="34"/>
      <c r="U606" s="34"/>
      <c r="V606" s="34"/>
      <c r="W606" s="34"/>
      <c r="X606" s="33" t="s">
        <v>48</v>
      </c>
      <c r="Y606" s="35" t="str">
        <f>IF(Tabela2[[#This Row],[SIGLA]]="","",VLOOKUP(Tabela2[[#This Row],[SIGLA]],Tabela1[[#All],[Sigla Arte]:[Crédito]],2,0))</f>
        <v>SERGIO LIMA/ARQUIVO DA EDITORA</v>
      </c>
      <c r="Z606" s="31"/>
      <c r="AA606" s="31" t="str">
        <f>Tabela2[[#This Row],[ILUSTRADOR CRIAÇÃO]]</f>
        <v>SERGIO LIMA/ARQUIVO DA EDITORA</v>
      </c>
      <c r="AB606" s="33"/>
      <c r="AC606" s="16"/>
      <c r="AE606" s="35" t="str">
        <f t="shared" si="9"/>
        <v>EF1 E002 Mat</v>
      </c>
    </row>
    <row r="607" spans="1:31" ht="45" x14ac:dyDescent="0.25">
      <c r="A607" s="31" t="s">
        <v>1307</v>
      </c>
      <c r="B607" s="16" t="s">
        <v>32</v>
      </c>
      <c r="C607" s="16" t="s">
        <v>33</v>
      </c>
      <c r="D607" s="33" t="s">
        <v>34</v>
      </c>
      <c r="E607" s="33">
        <v>127</v>
      </c>
      <c r="F607" s="33">
        <v>2</v>
      </c>
      <c r="G607" s="33">
        <v>8</v>
      </c>
      <c r="H607" s="33"/>
      <c r="I607" s="31" t="s">
        <v>46</v>
      </c>
      <c r="J607" s="31"/>
      <c r="K607" s="33"/>
      <c r="L607" s="33"/>
      <c r="M607" s="31"/>
      <c r="N607" s="31"/>
      <c r="O607" s="16" t="s">
        <v>1308</v>
      </c>
      <c r="P607" s="16"/>
      <c r="Q607" s="16"/>
      <c r="R607" s="33"/>
      <c r="S607" s="34"/>
      <c r="T607" s="34"/>
      <c r="U607" s="34"/>
      <c r="V607" s="34"/>
      <c r="W607" s="34"/>
      <c r="X607" s="33" t="s">
        <v>85</v>
      </c>
      <c r="Y607" s="35" t="str">
        <f>IF(Tabela2[[#This Row],[SIGLA]]="","",VLOOKUP(Tabela2[[#This Row],[SIGLA]],Tabela1[[#All],[Sigla Arte]:[Crédito]],2,0))</f>
        <v>HELOÍSA PINTARELLI/ARQUIVO DA EDITORA</v>
      </c>
      <c r="Z607" s="31"/>
      <c r="AA607" s="31" t="str">
        <f>Tabela2[[#This Row],[ILUSTRADOR CRIAÇÃO]]</f>
        <v>HELOÍSA PINTARELLI/ARQUIVO DA EDITORA</v>
      </c>
      <c r="AB607" s="33"/>
      <c r="AC607" s="16"/>
      <c r="AE607" s="35" t="str">
        <f t="shared" si="9"/>
        <v>EF1 E002 Mat</v>
      </c>
    </row>
    <row r="608" spans="1:31" ht="45" x14ac:dyDescent="0.25">
      <c r="A608" s="31" t="s">
        <v>1309</v>
      </c>
      <c r="B608" s="16" t="s">
        <v>32</v>
      </c>
      <c r="C608" s="16" t="s">
        <v>33</v>
      </c>
      <c r="D608" s="33" t="s">
        <v>34</v>
      </c>
      <c r="E608" s="33">
        <v>88</v>
      </c>
      <c r="F608" s="33">
        <v>2</v>
      </c>
      <c r="G608" s="33">
        <v>5</v>
      </c>
      <c r="H608" s="33"/>
      <c r="I608" s="31" t="s">
        <v>46</v>
      </c>
      <c r="J608" s="31"/>
      <c r="K608" s="33"/>
      <c r="L608" s="33"/>
      <c r="M608" s="31"/>
      <c r="N608" s="31"/>
      <c r="O608" s="16" t="s">
        <v>1310</v>
      </c>
      <c r="P608" s="16"/>
      <c r="Q608" s="16"/>
      <c r="R608" s="33"/>
      <c r="S608" s="34"/>
      <c r="T608" s="34"/>
      <c r="U608" s="34"/>
      <c r="V608" s="34"/>
      <c r="W608" s="34"/>
      <c r="X608" s="33" t="s">
        <v>351</v>
      </c>
      <c r="Y608" s="35" t="str">
        <f>IF(Tabela2[[#This Row],[SIGLA]]="","",VLOOKUP(Tabela2[[#This Row],[SIGLA]],Tabela1[[#All],[Sigla Arte]:[Crédito]],2,0))</f>
        <v>RAITAN OHI/ARQUIVO DA EDITORA</v>
      </c>
      <c r="Z608" s="31"/>
      <c r="AA608" s="31" t="str">
        <f>Tabela2[[#This Row],[ILUSTRADOR CRIAÇÃO]]</f>
        <v>RAITAN OHI/ARQUIVO DA EDITORA</v>
      </c>
      <c r="AB608" s="33"/>
      <c r="AC608" s="16"/>
      <c r="AE608" s="35" t="str">
        <f t="shared" si="9"/>
        <v>EF1 E002 Mat</v>
      </c>
    </row>
    <row r="609" spans="1:31" ht="45" x14ac:dyDescent="0.25">
      <c r="A609" s="31" t="s">
        <v>1311</v>
      </c>
      <c r="B609" s="16" t="s">
        <v>32</v>
      </c>
      <c r="C609" s="16" t="s">
        <v>33</v>
      </c>
      <c r="D609" s="33" t="s">
        <v>34</v>
      </c>
      <c r="E609" s="33">
        <v>88</v>
      </c>
      <c r="F609" s="33">
        <v>2</v>
      </c>
      <c r="G609" s="33">
        <v>5</v>
      </c>
      <c r="H609" s="33"/>
      <c r="I609" s="31" t="s">
        <v>46</v>
      </c>
      <c r="J609" s="31"/>
      <c r="K609" s="33"/>
      <c r="L609" s="33"/>
      <c r="M609" s="31"/>
      <c r="N609" s="31"/>
      <c r="O609" s="16" t="s">
        <v>1312</v>
      </c>
      <c r="P609" s="16"/>
      <c r="Q609" s="16"/>
      <c r="R609" s="33"/>
      <c r="S609" s="34"/>
      <c r="T609" s="34"/>
      <c r="U609" s="34"/>
      <c r="V609" s="34"/>
      <c r="W609" s="34"/>
      <c r="X609" s="33" t="s">
        <v>470</v>
      </c>
      <c r="Y609" s="35" t="str">
        <f>IF(Tabela2[[#This Row],[SIGLA]]="","",VLOOKUP(Tabela2[[#This Row],[SIGLA]],Tabela1[[#All],[Sigla Arte]:[Crédito]],2,0))</f>
        <v>RENAN FONSECA/ARQUIVO DA EDITORA</v>
      </c>
      <c r="Z609" s="31"/>
      <c r="AA609" s="31" t="str">
        <f>Tabela2[[#This Row],[ILUSTRADOR CRIAÇÃO]]</f>
        <v>RENAN FONSECA/ARQUIVO DA EDITORA</v>
      </c>
      <c r="AB609" s="33"/>
      <c r="AC609" s="16"/>
      <c r="AE609" s="35" t="str">
        <f t="shared" si="9"/>
        <v>EF1 E002 Mat</v>
      </c>
    </row>
    <row r="610" spans="1:31" ht="45" x14ac:dyDescent="0.25">
      <c r="A610" s="31" t="s">
        <v>1313</v>
      </c>
      <c r="B610" s="16" t="s">
        <v>32</v>
      </c>
      <c r="C610" s="16" t="s">
        <v>33</v>
      </c>
      <c r="D610" s="33" t="s">
        <v>34</v>
      </c>
      <c r="E610" s="33">
        <v>88</v>
      </c>
      <c r="F610" s="33">
        <v>2</v>
      </c>
      <c r="G610" s="33">
        <v>5</v>
      </c>
      <c r="H610" s="33"/>
      <c r="I610" s="31" t="s">
        <v>46</v>
      </c>
      <c r="J610" s="31"/>
      <c r="K610" s="33"/>
      <c r="L610" s="33"/>
      <c r="M610" s="31"/>
      <c r="N610" s="31"/>
      <c r="O610" s="16" t="s">
        <v>1314</v>
      </c>
      <c r="P610" s="16"/>
      <c r="Q610" s="16"/>
      <c r="R610" s="33"/>
      <c r="S610" s="34"/>
      <c r="T610" s="34"/>
      <c r="U610" s="34"/>
      <c r="V610" s="34"/>
      <c r="W610" s="34"/>
      <c r="X610" s="33" t="s">
        <v>470</v>
      </c>
      <c r="Y610" s="35" t="str">
        <f>IF(Tabela2[[#This Row],[SIGLA]]="","",VLOOKUP(Tabela2[[#This Row],[SIGLA]],Tabela1[[#All],[Sigla Arte]:[Crédito]],2,0))</f>
        <v>RENAN FONSECA/ARQUIVO DA EDITORA</v>
      </c>
      <c r="Z610" s="31"/>
      <c r="AA610" s="31" t="str">
        <f>Tabela2[[#This Row],[ILUSTRADOR CRIAÇÃO]]</f>
        <v>RENAN FONSECA/ARQUIVO DA EDITORA</v>
      </c>
      <c r="AB610" s="33"/>
      <c r="AC610" s="16"/>
      <c r="AE610" s="35" t="str">
        <f t="shared" si="9"/>
        <v>EF1 E002 Mat</v>
      </c>
    </row>
    <row r="611" spans="1:31" ht="45" x14ac:dyDescent="0.25">
      <c r="A611" s="31" t="s">
        <v>1315</v>
      </c>
      <c r="B611" s="16" t="s">
        <v>32</v>
      </c>
      <c r="C611" s="16" t="s">
        <v>33</v>
      </c>
      <c r="D611" s="33" t="s">
        <v>34</v>
      </c>
      <c r="E611" s="33">
        <v>91</v>
      </c>
      <c r="F611" s="33">
        <v>2</v>
      </c>
      <c r="G611" s="33">
        <v>5</v>
      </c>
      <c r="H611" s="33"/>
      <c r="I611" s="31" t="s">
        <v>46</v>
      </c>
      <c r="J611" s="31"/>
      <c r="K611" s="33"/>
      <c r="L611" s="33"/>
      <c r="M611" s="31"/>
      <c r="N611" s="31"/>
      <c r="O611" s="16" t="s">
        <v>1316</v>
      </c>
      <c r="P611" s="16"/>
      <c r="Q611" s="16"/>
      <c r="R611" s="33"/>
      <c r="S611" s="34"/>
      <c r="T611" s="34"/>
      <c r="U611" s="34"/>
      <c r="V611" s="34"/>
      <c r="W611" s="34"/>
      <c r="X611" s="33" t="s">
        <v>470</v>
      </c>
      <c r="Y611" s="35" t="str">
        <f>IF(Tabela2[[#This Row],[SIGLA]]="","",VLOOKUP(Tabela2[[#This Row],[SIGLA]],Tabela1[[#All],[Sigla Arte]:[Crédito]],2,0))</f>
        <v>RENAN FONSECA/ARQUIVO DA EDITORA</v>
      </c>
      <c r="Z611" s="31"/>
      <c r="AA611" s="31" t="str">
        <f>Tabela2[[#This Row],[ILUSTRADOR CRIAÇÃO]]</f>
        <v>RENAN FONSECA/ARQUIVO DA EDITORA</v>
      </c>
      <c r="AB611" s="33"/>
      <c r="AC611" s="16"/>
      <c r="AE611" s="35" t="str">
        <f t="shared" si="9"/>
        <v>EF1 E002 Mat</v>
      </c>
    </row>
    <row r="612" spans="1:31" ht="90" x14ac:dyDescent="0.25">
      <c r="A612" s="31" t="s">
        <v>1317</v>
      </c>
      <c r="B612" s="16" t="s">
        <v>32</v>
      </c>
      <c r="C612" s="16" t="s">
        <v>33</v>
      </c>
      <c r="D612" s="33" t="s">
        <v>34</v>
      </c>
      <c r="E612" s="33">
        <v>91</v>
      </c>
      <c r="F612" s="33">
        <v>2</v>
      </c>
      <c r="G612" s="33">
        <v>5</v>
      </c>
      <c r="H612" s="33"/>
      <c r="I612" s="31" t="s">
        <v>35</v>
      </c>
      <c r="J612" s="31"/>
      <c r="K612" s="33"/>
      <c r="L612" s="33"/>
      <c r="M612" s="31"/>
      <c r="N612" s="31"/>
      <c r="O612" s="16" t="s">
        <v>1318</v>
      </c>
      <c r="P612" s="16"/>
      <c r="Q612" s="16"/>
      <c r="R612" s="33">
        <v>67</v>
      </c>
      <c r="S612" s="34">
        <v>45839</v>
      </c>
      <c r="T612" s="34">
        <v>45840</v>
      </c>
      <c r="U612" s="34"/>
      <c r="V612" s="34"/>
      <c r="W612" s="34">
        <v>45840</v>
      </c>
      <c r="X612" s="33" t="s">
        <v>351</v>
      </c>
      <c r="Y612" s="35" t="str">
        <f>IF(Tabela2[[#This Row],[SIGLA]]="","",VLOOKUP(Tabela2[[#This Row],[SIGLA]],Tabela1[[#All],[Sigla Arte]:[Crédito]],2,0))</f>
        <v>RAITAN OHI/ARQUIVO DA EDITORA</v>
      </c>
      <c r="Z612" s="31" t="s">
        <v>352</v>
      </c>
      <c r="AA612" s="31" t="str">
        <f>Tabela2[[#This Row],[ILUSTRADOR CRIAÇÃO]]</f>
        <v>RAITAN OHI/ARQUIVO DA EDITORA</v>
      </c>
      <c r="AB612" s="33">
        <v>13</v>
      </c>
      <c r="AC612" s="16" t="s">
        <v>39</v>
      </c>
      <c r="AD612" s="16" t="s">
        <v>40</v>
      </c>
      <c r="AE612" s="35" t="str">
        <f t="shared" si="9"/>
        <v>EF1 E002 Mat</v>
      </c>
    </row>
    <row r="613" spans="1:31" ht="45" x14ac:dyDescent="0.25">
      <c r="A613" s="31" t="s">
        <v>1319</v>
      </c>
      <c r="B613" s="16" t="s">
        <v>32</v>
      </c>
      <c r="C613" s="16" t="s">
        <v>33</v>
      </c>
      <c r="D613" s="33" t="s">
        <v>34</v>
      </c>
      <c r="E613" s="33">
        <v>91</v>
      </c>
      <c r="F613" s="33">
        <v>2</v>
      </c>
      <c r="G613" s="33">
        <v>5</v>
      </c>
      <c r="H613" s="33"/>
      <c r="I613" s="31" t="s">
        <v>46</v>
      </c>
      <c r="J613" s="31"/>
      <c r="K613" s="33"/>
      <c r="L613" s="33"/>
      <c r="M613" s="31"/>
      <c r="N613" s="31"/>
      <c r="O613" s="16" t="s">
        <v>1320</v>
      </c>
      <c r="P613" s="16"/>
      <c r="Q613" s="16"/>
      <c r="R613" s="33"/>
      <c r="S613" s="34"/>
      <c r="T613" s="34"/>
      <c r="U613" s="34"/>
      <c r="V613" s="34"/>
      <c r="W613" s="34"/>
      <c r="X613" s="33" t="s">
        <v>351</v>
      </c>
      <c r="Y613" s="35" t="str">
        <f>IF(Tabela2[[#This Row],[SIGLA]]="","",VLOOKUP(Tabela2[[#This Row],[SIGLA]],Tabela1[[#All],[Sigla Arte]:[Crédito]],2,0))</f>
        <v>RAITAN OHI/ARQUIVO DA EDITORA</v>
      </c>
      <c r="Z613" s="31"/>
      <c r="AA613" s="31" t="str">
        <f>Tabela2[[#This Row],[ILUSTRADOR CRIAÇÃO]]</f>
        <v>RAITAN OHI/ARQUIVO DA EDITORA</v>
      </c>
      <c r="AB613" s="33"/>
      <c r="AC613" s="16"/>
      <c r="AE613" s="35" t="str">
        <f t="shared" si="9"/>
        <v>EF1 E002 Mat</v>
      </c>
    </row>
    <row r="614" spans="1:31" ht="45" x14ac:dyDescent="0.25">
      <c r="A614" s="31" t="s">
        <v>1321</v>
      </c>
      <c r="B614" s="16" t="s">
        <v>401</v>
      </c>
      <c r="C614" s="16" t="s">
        <v>33</v>
      </c>
      <c r="D614" s="33" t="s">
        <v>34</v>
      </c>
      <c r="E614" s="33">
        <v>91</v>
      </c>
      <c r="F614" s="33">
        <v>2</v>
      </c>
      <c r="G614" s="33">
        <v>5</v>
      </c>
      <c r="H614" s="33"/>
      <c r="I614" s="31" t="s">
        <v>46</v>
      </c>
      <c r="J614" s="31"/>
      <c r="K614" s="33"/>
      <c r="L614" s="33"/>
      <c r="M614" s="31"/>
      <c r="N614" s="31"/>
      <c r="O614" s="16" t="s">
        <v>1322</v>
      </c>
      <c r="P614" s="16"/>
      <c r="Q614" s="16" t="s">
        <v>1323</v>
      </c>
      <c r="R614" s="33"/>
      <c r="S614" s="34"/>
      <c r="T614" s="34"/>
      <c r="U614" s="34"/>
      <c r="V614" s="34"/>
      <c r="W614" s="34"/>
      <c r="X614" s="33" t="s">
        <v>48</v>
      </c>
      <c r="Y614" s="35" t="str">
        <f>IF(Tabela2[[#This Row],[SIGLA]]="","",VLOOKUP(Tabela2[[#This Row],[SIGLA]],Tabela1[[#All],[Sigla Arte]:[Crédito]],2,0))</f>
        <v>SERGIO LIMA/ARQUIVO DA EDITORA</v>
      </c>
      <c r="Z614" s="31"/>
      <c r="AA614" s="31" t="str">
        <f>Tabela2[[#This Row],[ILUSTRADOR CRIAÇÃO]]</f>
        <v>SERGIO LIMA/ARQUIVO DA EDITORA</v>
      </c>
      <c r="AB614" s="33"/>
      <c r="AC614" s="16"/>
      <c r="AE614" s="35" t="str">
        <f t="shared" si="9"/>
        <v>EF1 E002 Mat</v>
      </c>
    </row>
    <row r="615" spans="1:31" ht="45" x14ac:dyDescent="0.25">
      <c r="A615" s="31" t="s">
        <v>1324</v>
      </c>
      <c r="B615" s="16" t="s">
        <v>401</v>
      </c>
      <c r="C615" s="16" t="s">
        <v>33</v>
      </c>
      <c r="D615" s="33" t="s">
        <v>34</v>
      </c>
      <c r="E615" s="33">
        <v>91</v>
      </c>
      <c r="F615" s="33">
        <v>2</v>
      </c>
      <c r="G615" s="33">
        <v>5</v>
      </c>
      <c r="H615" s="33"/>
      <c r="I615" s="31" t="s">
        <v>46</v>
      </c>
      <c r="J615" s="31"/>
      <c r="K615" s="33"/>
      <c r="L615" s="33"/>
      <c r="M615" s="31"/>
      <c r="N615" s="31"/>
      <c r="O615" s="16" t="s">
        <v>1325</v>
      </c>
      <c r="P615" s="16"/>
      <c r="Q615" s="16" t="s">
        <v>1323</v>
      </c>
      <c r="R615" s="33"/>
      <c r="S615" s="34"/>
      <c r="T615" s="34"/>
      <c r="U615" s="34"/>
      <c r="V615" s="34"/>
      <c r="W615" s="34"/>
      <c r="X615" s="33" t="s">
        <v>48</v>
      </c>
      <c r="Y615" s="35" t="str">
        <f>IF(Tabela2[[#This Row],[SIGLA]]="","",VLOOKUP(Tabela2[[#This Row],[SIGLA]],Tabela1[[#All],[Sigla Arte]:[Crédito]],2,0))</f>
        <v>SERGIO LIMA/ARQUIVO DA EDITORA</v>
      </c>
      <c r="Z615" s="31"/>
      <c r="AA615" s="31" t="str">
        <f>Tabela2[[#This Row],[ILUSTRADOR CRIAÇÃO]]</f>
        <v>SERGIO LIMA/ARQUIVO DA EDITORA</v>
      </c>
      <c r="AB615" s="33"/>
      <c r="AC615" s="16"/>
      <c r="AE615" s="35" t="str">
        <f t="shared" si="9"/>
        <v>EF1 E002 Mat</v>
      </c>
    </row>
    <row r="616" spans="1:31" ht="45" x14ac:dyDescent="0.25">
      <c r="A616" s="31" t="s">
        <v>1326</v>
      </c>
      <c r="B616" s="16" t="s">
        <v>401</v>
      </c>
      <c r="C616" s="16" t="s">
        <v>33</v>
      </c>
      <c r="D616" s="33" t="s">
        <v>34</v>
      </c>
      <c r="E616" s="33">
        <v>91</v>
      </c>
      <c r="F616" s="33">
        <v>2</v>
      </c>
      <c r="G616" s="33">
        <v>5</v>
      </c>
      <c r="H616" s="33"/>
      <c r="I616" s="31" t="s">
        <v>46</v>
      </c>
      <c r="J616" s="31"/>
      <c r="K616" s="33"/>
      <c r="L616" s="33"/>
      <c r="M616" s="31"/>
      <c r="N616" s="31"/>
      <c r="O616" s="16" t="s">
        <v>1327</v>
      </c>
      <c r="P616" s="16"/>
      <c r="Q616" s="16" t="s">
        <v>1323</v>
      </c>
      <c r="R616" s="33"/>
      <c r="S616" s="34"/>
      <c r="T616" s="34"/>
      <c r="U616" s="34"/>
      <c r="V616" s="34"/>
      <c r="W616" s="34"/>
      <c r="X616" s="33" t="s">
        <v>48</v>
      </c>
      <c r="Y616" s="35" t="str">
        <f>IF(Tabela2[[#This Row],[SIGLA]]="","",VLOOKUP(Tabela2[[#This Row],[SIGLA]],Tabela1[[#All],[Sigla Arte]:[Crédito]],2,0))</f>
        <v>SERGIO LIMA/ARQUIVO DA EDITORA</v>
      </c>
      <c r="Z616" s="31"/>
      <c r="AA616" s="31" t="str">
        <f>Tabela2[[#This Row],[ILUSTRADOR CRIAÇÃO]]</f>
        <v>SERGIO LIMA/ARQUIVO DA EDITORA</v>
      </c>
      <c r="AB616" s="33"/>
      <c r="AC616" s="16"/>
      <c r="AE616" s="35" t="str">
        <f t="shared" si="9"/>
        <v>EF1 E002 Mat</v>
      </c>
    </row>
    <row r="617" spans="1:31" ht="45" x14ac:dyDescent="0.25">
      <c r="A617" s="31" t="s">
        <v>1328</v>
      </c>
      <c r="B617" s="16" t="s">
        <v>401</v>
      </c>
      <c r="C617" s="16" t="s">
        <v>33</v>
      </c>
      <c r="D617" s="33" t="s">
        <v>34</v>
      </c>
      <c r="E617" s="33">
        <v>91</v>
      </c>
      <c r="F617" s="33">
        <v>2</v>
      </c>
      <c r="G617" s="33">
        <v>5</v>
      </c>
      <c r="H617" s="33"/>
      <c r="I617" s="31" t="s">
        <v>46</v>
      </c>
      <c r="J617" s="31"/>
      <c r="K617" s="33"/>
      <c r="L617" s="33"/>
      <c r="M617" s="31"/>
      <c r="N617" s="31"/>
      <c r="O617" s="16" t="s">
        <v>1329</v>
      </c>
      <c r="P617" s="16"/>
      <c r="Q617" s="16" t="s">
        <v>1323</v>
      </c>
      <c r="R617" s="33"/>
      <c r="S617" s="34"/>
      <c r="T617" s="34"/>
      <c r="U617" s="34"/>
      <c r="V617" s="34"/>
      <c r="W617" s="34"/>
      <c r="X617" s="33" t="s">
        <v>48</v>
      </c>
      <c r="Y617" s="35" t="str">
        <f>IF(Tabela2[[#This Row],[SIGLA]]="","",VLOOKUP(Tabela2[[#This Row],[SIGLA]],Tabela1[[#All],[Sigla Arte]:[Crédito]],2,0))</f>
        <v>SERGIO LIMA/ARQUIVO DA EDITORA</v>
      </c>
      <c r="Z617" s="31"/>
      <c r="AA617" s="31" t="str">
        <f>Tabela2[[#This Row],[ILUSTRADOR CRIAÇÃO]]</f>
        <v>SERGIO LIMA/ARQUIVO DA EDITORA</v>
      </c>
      <c r="AB617" s="33"/>
      <c r="AC617" s="16"/>
      <c r="AE617" s="35" t="str">
        <f t="shared" si="9"/>
        <v>EF1 E002 Mat</v>
      </c>
    </row>
    <row r="618" spans="1:31" ht="45" x14ac:dyDescent="0.25">
      <c r="A618" s="31" t="s">
        <v>1330</v>
      </c>
      <c r="B618" s="16" t="s">
        <v>32</v>
      </c>
      <c r="C618" s="16" t="s">
        <v>33</v>
      </c>
      <c r="D618" s="33" t="s">
        <v>34</v>
      </c>
      <c r="E618" s="33">
        <v>92</v>
      </c>
      <c r="F618" s="33">
        <v>2</v>
      </c>
      <c r="G618" s="33">
        <v>5</v>
      </c>
      <c r="H618" s="33"/>
      <c r="I618" s="31" t="s">
        <v>46</v>
      </c>
      <c r="J618" s="31"/>
      <c r="K618" s="33"/>
      <c r="L618" s="33"/>
      <c r="M618" s="31"/>
      <c r="N618" s="31"/>
      <c r="O618" s="16" t="s">
        <v>1331</v>
      </c>
      <c r="P618" s="16"/>
      <c r="Q618" s="16"/>
      <c r="R618" s="33"/>
      <c r="S618" s="34"/>
      <c r="T618" s="34"/>
      <c r="U618" s="34"/>
      <c r="V618" s="34"/>
      <c r="W618" s="34"/>
      <c r="X618" s="33" t="s">
        <v>1332</v>
      </c>
      <c r="Y618" s="35" t="str">
        <f>IF(Tabela2[[#This Row],[SIGLA]]="","",VLOOKUP(Tabela2[[#This Row],[SIGLA]],Tabela1[[#All],[Sigla Arte]:[Crédito]],2,0))</f>
        <v>LUCAS PALMA/ARQUIVO DA EDITORA</v>
      </c>
      <c r="Z618" s="31"/>
      <c r="AA618" s="31" t="str">
        <f>Tabela2[[#This Row],[ILUSTRADOR CRIAÇÃO]]</f>
        <v>LUCAS PALMA/ARQUIVO DA EDITORA</v>
      </c>
      <c r="AB618" s="33"/>
      <c r="AC618" s="16"/>
      <c r="AE618" s="35" t="str">
        <f t="shared" si="9"/>
        <v>EF1 E002 Mat</v>
      </c>
    </row>
    <row r="619" spans="1:31" ht="45" x14ac:dyDescent="0.25">
      <c r="A619" s="31" t="s">
        <v>1333</v>
      </c>
      <c r="B619" s="16" t="s">
        <v>32</v>
      </c>
      <c r="C619" s="16" t="s">
        <v>33</v>
      </c>
      <c r="D619" s="33" t="s">
        <v>34</v>
      </c>
      <c r="E619" s="33">
        <v>92</v>
      </c>
      <c r="F619" s="33">
        <v>2</v>
      </c>
      <c r="G619" s="33">
        <v>5</v>
      </c>
      <c r="H619" s="33"/>
      <c r="I619" s="31" t="s">
        <v>46</v>
      </c>
      <c r="J619" s="31"/>
      <c r="K619" s="33"/>
      <c r="L619" s="33"/>
      <c r="M619" s="31"/>
      <c r="N619" s="31"/>
      <c r="O619" s="16" t="s">
        <v>1334</v>
      </c>
      <c r="P619" s="16"/>
      <c r="Q619" s="16"/>
      <c r="R619" s="33"/>
      <c r="S619" s="34"/>
      <c r="T619" s="34"/>
      <c r="U619" s="34"/>
      <c r="V619" s="34"/>
      <c r="W619" s="34"/>
      <c r="X619" s="33" t="s">
        <v>470</v>
      </c>
      <c r="Y619" s="35" t="str">
        <f>IF(Tabela2[[#This Row],[SIGLA]]="","",VLOOKUP(Tabela2[[#This Row],[SIGLA]],Tabela1[[#All],[Sigla Arte]:[Crédito]],2,0))</f>
        <v>RENAN FONSECA/ARQUIVO DA EDITORA</v>
      </c>
      <c r="Z619" s="31"/>
      <c r="AA619" s="31" t="str">
        <f>Tabela2[[#This Row],[ILUSTRADOR CRIAÇÃO]]</f>
        <v>RENAN FONSECA/ARQUIVO DA EDITORA</v>
      </c>
      <c r="AB619" s="33"/>
      <c r="AC619" s="16"/>
      <c r="AE619" s="35" t="str">
        <f t="shared" si="9"/>
        <v>EF1 E002 Mat</v>
      </c>
    </row>
    <row r="620" spans="1:31" ht="45" x14ac:dyDescent="0.25">
      <c r="A620" s="31" t="s">
        <v>1335</v>
      </c>
      <c r="B620" s="16" t="s">
        <v>32</v>
      </c>
      <c r="C620" s="16" t="s">
        <v>33</v>
      </c>
      <c r="D620" s="33" t="s">
        <v>34</v>
      </c>
      <c r="E620" s="33">
        <v>92</v>
      </c>
      <c r="F620" s="33">
        <v>2</v>
      </c>
      <c r="G620" s="33">
        <v>5</v>
      </c>
      <c r="H620" s="33"/>
      <c r="I620" s="31" t="s">
        <v>46</v>
      </c>
      <c r="J620" s="31"/>
      <c r="K620" s="33"/>
      <c r="L620" s="33"/>
      <c r="M620" s="31"/>
      <c r="N620" s="31"/>
      <c r="O620" s="16" t="s">
        <v>1336</v>
      </c>
      <c r="P620" s="16"/>
      <c r="Q620" s="16"/>
      <c r="R620" s="33"/>
      <c r="S620" s="34"/>
      <c r="T620" s="34"/>
      <c r="U620" s="34"/>
      <c r="V620" s="34"/>
      <c r="W620" s="34"/>
      <c r="X620" s="33" t="s">
        <v>470</v>
      </c>
      <c r="Y620" s="35" t="str">
        <f>IF(Tabela2[[#This Row],[SIGLA]]="","",VLOOKUP(Tabela2[[#This Row],[SIGLA]],Tabela1[[#All],[Sigla Arte]:[Crédito]],2,0))</f>
        <v>RENAN FONSECA/ARQUIVO DA EDITORA</v>
      </c>
      <c r="Z620" s="31"/>
      <c r="AA620" s="31" t="str">
        <f>Tabela2[[#This Row],[ILUSTRADOR CRIAÇÃO]]</f>
        <v>RENAN FONSECA/ARQUIVO DA EDITORA</v>
      </c>
      <c r="AB620" s="33"/>
      <c r="AC620" s="16"/>
      <c r="AE620" s="35" t="str">
        <f t="shared" si="9"/>
        <v>EF1 E002 Mat</v>
      </c>
    </row>
    <row r="621" spans="1:31" ht="45" x14ac:dyDescent="0.25">
      <c r="A621" s="31" t="s">
        <v>1337</v>
      </c>
      <c r="B621" s="16" t="s">
        <v>32</v>
      </c>
      <c r="C621" s="16" t="s">
        <v>33</v>
      </c>
      <c r="D621" s="33" t="s">
        <v>34</v>
      </c>
      <c r="E621" s="33">
        <v>92</v>
      </c>
      <c r="F621" s="33">
        <v>2</v>
      </c>
      <c r="G621" s="33">
        <v>5</v>
      </c>
      <c r="H621" s="33"/>
      <c r="I621" s="31" t="s">
        <v>46</v>
      </c>
      <c r="J621" s="31"/>
      <c r="K621" s="33"/>
      <c r="L621" s="33"/>
      <c r="M621" s="31"/>
      <c r="N621" s="31"/>
      <c r="O621" s="16" t="s">
        <v>1338</v>
      </c>
      <c r="P621" s="16"/>
      <c r="Q621" s="16"/>
      <c r="R621" s="33"/>
      <c r="S621" s="34"/>
      <c r="T621" s="34"/>
      <c r="U621" s="34"/>
      <c r="V621" s="34"/>
      <c r="W621" s="34"/>
      <c r="X621" s="33" t="s">
        <v>470</v>
      </c>
      <c r="Y621" s="35" t="str">
        <f>IF(Tabela2[[#This Row],[SIGLA]]="","",VLOOKUP(Tabela2[[#This Row],[SIGLA]],Tabela1[[#All],[Sigla Arte]:[Crédito]],2,0))</f>
        <v>RENAN FONSECA/ARQUIVO DA EDITORA</v>
      </c>
      <c r="Z621" s="31"/>
      <c r="AA621" s="31" t="str">
        <f>Tabela2[[#This Row],[ILUSTRADOR CRIAÇÃO]]</f>
        <v>RENAN FONSECA/ARQUIVO DA EDITORA</v>
      </c>
      <c r="AB621" s="33"/>
      <c r="AC621" s="16"/>
      <c r="AE621" s="35" t="str">
        <f t="shared" si="9"/>
        <v>EF1 E002 Mat</v>
      </c>
    </row>
    <row r="622" spans="1:31" ht="45" x14ac:dyDescent="0.25">
      <c r="A622" s="31" t="s">
        <v>1339</v>
      </c>
      <c r="B622" s="16" t="s">
        <v>32</v>
      </c>
      <c r="C622" s="16" t="s">
        <v>33</v>
      </c>
      <c r="D622" s="33" t="s">
        <v>34</v>
      </c>
      <c r="E622" s="33">
        <v>92</v>
      </c>
      <c r="F622" s="33">
        <v>2</v>
      </c>
      <c r="G622" s="33">
        <v>5</v>
      </c>
      <c r="H622" s="33"/>
      <c r="I622" s="31" t="s">
        <v>46</v>
      </c>
      <c r="J622" s="31"/>
      <c r="K622" s="33"/>
      <c r="L622" s="33"/>
      <c r="M622" s="31"/>
      <c r="N622" s="31"/>
      <c r="O622" s="16" t="s">
        <v>1340</v>
      </c>
      <c r="P622" s="16"/>
      <c r="Q622" s="16"/>
      <c r="R622" s="33"/>
      <c r="S622" s="34"/>
      <c r="T622" s="34"/>
      <c r="U622" s="34"/>
      <c r="V622" s="34"/>
      <c r="W622" s="34"/>
      <c r="X622" s="33" t="s">
        <v>470</v>
      </c>
      <c r="Y622" s="35" t="str">
        <f>IF(Tabela2[[#This Row],[SIGLA]]="","",VLOOKUP(Tabela2[[#This Row],[SIGLA]],Tabela1[[#All],[Sigla Arte]:[Crédito]],2,0))</f>
        <v>RENAN FONSECA/ARQUIVO DA EDITORA</v>
      </c>
      <c r="Z622" s="31"/>
      <c r="AA622" s="31" t="str">
        <f>Tabela2[[#This Row],[ILUSTRADOR CRIAÇÃO]]</f>
        <v>RENAN FONSECA/ARQUIVO DA EDITORA</v>
      </c>
      <c r="AB622" s="33"/>
      <c r="AC622" s="16"/>
      <c r="AE622" s="35" t="str">
        <f t="shared" si="9"/>
        <v>EF1 E002 Mat</v>
      </c>
    </row>
    <row r="623" spans="1:31" ht="45" x14ac:dyDescent="0.25">
      <c r="A623" s="31" t="s">
        <v>1341</v>
      </c>
      <c r="B623" s="16" t="s">
        <v>32</v>
      </c>
      <c r="C623" s="16" t="s">
        <v>33</v>
      </c>
      <c r="D623" s="33" t="s">
        <v>34</v>
      </c>
      <c r="E623" s="33">
        <v>94</v>
      </c>
      <c r="F623" s="33">
        <v>2</v>
      </c>
      <c r="G623" s="33">
        <v>5</v>
      </c>
      <c r="H623" s="33"/>
      <c r="I623" s="31" t="s">
        <v>46</v>
      </c>
      <c r="J623" s="31"/>
      <c r="K623" s="33"/>
      <c r="L623" s="33"/>
      <c r="M623" s="31"/>
      <c r="N623" s="31"/>
      <c r="O623" s="16" t="s">
        <v>1342</v>
      </c>
      <c r="P623" s="16"/>
      <c r="Q623" s="16"/>
      <c r="R623" s="33"/>
      <c r="S623" s="34"/>
      <c r="T623" s="34"/>
      <c r="U623" s="34"/>
      <c r="V623" s="34"/>
      <c r="W623" s="34"/>
      <c r="X623" s="33" t="s">
        <v>1332</v>
      </c>
      <c r="Y623" s="35" t="str">
        <f>IF(Tabela2[[#This Row],[SIGLA]]="","",VLOOKUP(Tabela2[[#This Row],[SIGLA]],Tabela1[[#All],[Sigla Arte]:[Crédito]],2,0))</f>
        <v>LUCAS PALMA/ARQUIVO DA EDITORA</v>
      </c>
      <c r="Z623" s="31"/>
      <c r="AA623" s="31" t="str">
        <f>Tabela2[[#This Row],[ILUSTRADOR CRIAÇÃO]]</f>
        <v>LUCAS PALMA/ARQUIVO DA EDITORA</v>
      </c>
      <c r="AB623" s="33"/>
      <c r="AC623" s="16"/>
      <c r="AE623" s="35" t="str">
        <f t="shared" si="9"/>
        <v>EF1 E002 Mat</v>
      </c>
    </row>
    <row r="624" spans="1:31" ht="90" x14ac:dyDescent="0.25">
      <c r="A624" s="31" t="s">
        <v>1343</v>
      </c>
      <c r="B624" s="16" t="s">
        <v>401</v>
      </c>
      <c r="C624" s="16" t="s">
        <v>33</v>
      </c>
      <c r="D624" s="33" t="s">
        <v>34</v>
      </c>
      <c r="E624" s="33">
        <v>96</v>
      </c>
      <c r="F624" s="33">
        <v>2</v>
      </c>
      <c r="G624" s="33">
        <v>5</v>
      </c>
      <c r="H624" s="33"/>
      <c r="I624" s="31" t="s">
        <v>35</v>
      </c>
      <c r="J624" s="31"/>
      <c r="K624" s="33"/>
      <c r="L624" s="33"/>
      <c r="M624" s="31"/>
      <c r="N624" s="31"/>
      <c r="O624" s="16" t="s">
        <v>1344</v>
      </c>
      <c r="P624" s="16"/>
      <c r="Q624" s="16" t="s">
        <v>1323</v>
      </c>
      <c r="R624" s="33">
        <v>13</v>
      </c>
      <c r="S624" s="34">
        <v>45741</v>
      </c>
      <c r="T624" s="34">
        <v>45747</v>
      </c>
      <c r="U624" s="34"/>
      <c r="V624" s="34"/>
      <c r="W624" s="34">
        <v>45747</v>
      </c>
      <c r="X624" s="33" t="s">
        <v>1126</v>
      </c>
      <c r="Y624" s="35" t="str">
        <f>IF(Tabela2[[#This Row],[SIGLA]]="","",VLOOKUP(Tabela2[[#This Row],[SIGLA]],Tabela1[[#All],[Sigla Arte]:[Crédito]],2,0))</f>
        <v>GUSTAVO CONTI/ARQUIVO DA EDITORA</v>
      </c>
      <c r="Z624" s="31" t="s">
        <v>352</v>
      </c>
      <c r="AA624" s="31" t="str">
        <f>Tabela2[[#This Row],[ILUSTRADOR CRIAÇÃO]]</f>
        <v>GUSTAVO CONTI/ARQUIVO DA EDITORA</v>
      </c>
      <c r="AB624" s="33">
        <v>13</v>
      </c>
      <c r="AC624" s="16" t="s">
        <v>39</v>
      </c>
      <c r="AD624" s="16" t="s">
        <v>40</v>
      </c>
      <c r="AE624" s="35" t="str">
        <f t="shared" si="9"/>
        <v>EF1 E002 Mat</v>
      </c>
    </row>
    <row r="625" spans="1:31" ht="105" x14ac:dyDescent="0.25">
      <c r="A625" s="31" t="s">
        <v>1345</v>
      </c>
      <c r="B625" s="16" t="s">
        <v>32</v>
      </c>
      <c r="C625" s="16" t="s">
        <v>33</v>
      </c>
      <c r="D625" s="33" t="s">
        <v>34</v>
      </c>
      <c r="E625" s="33">
        <v>96</v>
      </c>
      <c r="F625" s="33">
        <v>2</v>
      </c>
      <c r="G625" s="33">
        <v>5</v>
      </c>
      <c r="H625" s="33"/>
      <c r="I625" s="31" t="s">
        <v>35</v>
      </c>
      <c r="J625" s="31"/>
      <c r="K625" s="33"/>
      <c r="L625" s="33"/>
      <c r="M625" s="31"/>
      <c r="N625" s="31"/>
      <c r="O625" s="16" t="s">
        <v>1346</v>
      </c>
      <c r="P625" s="16"/>
      <c r="Q625" s="16"/>
      <c r="R625" s="33">
        <v>13</v>
      </c>
      <c r="S625" s="34">
        <v>45741</v>
      </c>
      <c r="T625" s="34">
        <v>45747</v>
      </c>
      <c r="U625" s="34"/>
      <c r="V625" s="34"/>
      <c r="W625" s="34">
        <v>45747</v>
      </c>
      <c r="X625" s="33" t="s">
        <v>470</v>
      </c>
      <c r="Y625" s="35" t="str">
        <f>IF(Tabela2[[#This Row],[SIGLA]]="","",VLOOKUP(Tabela2[[#This Row],[SIGLA]],Tabela1[[#All],[Sigla Arte]:[Crédito]],2,0))</f>
        <v>RENAN FONSECA/ARQUIVO DA EDITORA</v>
      </c>
      <c r="Z625" s="31" t="s">
        <v>352</v>
      </c>
      <c r="AA625" s="31" t="str">
        <f>Tabela2[[#This Row],[ILUSTRADOR CRIAÇÃO]]</f>
        <v>RENAN FONSECA/ARQUIVO DA EDITORA</v>
      </c>
      <c r="AB625" s="33">
        <v>13</v>
      </c>
      <c r="AC625" s="16" t="s">
        <v>39</v>
      </c>
      <c r="AD625" s="16" t="s">
        <v>40</v>
      </c>
      <c r="AE625" s="35" t="str">
        <f t="shared" si="9"/>
        <v>EF1 E002 Mat</v>
      </c>
    </row>
    <row r="626" spans="1:31" ht="45" x14ac:dyDescent="0.25">
      <c r="A626" s="31" t="s">
        <v>1347</v>
      </c>
      <c r="B626" s="16" t="s">
        <v>32</v>
      </c>
      <c r="C626" s="16" t="s">
        <v>33</v>
      </c>
      <c r="D626" s="33" t="s">
        <v>34</v>
      </c>
      <c r="E626" s="33">
        <v>96</v>
      </c>
      <c r="F626" s="33">
        <v>2</v>
      </c>
      <c r="G626" s="33">
        <v>5</v>
      </c>
      <c r="H626" s="33"/>
      <c r="I626" s="31" t="s">
        <v>46</v>
      </c>
      <c r="J626" s="31"/>
      <c r="K626" s="33"/>
      <c r="L626" s="33"/>
      <c r="M626" s="31"/>
      <c r="N626" s="31"/>
      <c r="O626" s="16" t="s">
        <v>1348</v>
      </c>
      <c r="P626" s="16"/>
      <c r="Q626" s="16"/>
      <c r="R626" s="33"/>
      <c r="S626" s="34"/>
      <c r="T626" s="34"/>
      <c r="U626" s="34"/>
      <c r="V626" s="34"/>
      <c r="W626" s="34"/>
      <c r="X626" s="33" t="s">
        <v>470</v>
      </c>
      <c r="Y626" s="35" t="str">
        <f>IF(Tabela2[[#This Row],[SIGLA]]="","",VLOOKUP(Tabela2[[#This Row],[SIGLA]],Tabela1[[#All],[Sigla Arte]:[Crédito]],2,0))</f>
        <v>RENAN FONSECA/ARQUIVO DA EDITORA</v>
      </c>
      <c r="Z626" s="31"/>
      <c r="AA626" s="31" t="str">
        <f>Tabela2[[#This Row],[ILUSTRADOR CRIAÇÃO]]</f>
        <v>RENAN FONSECA/ARQUIVO DA EDITORA</v>
      </c>
      <c r="AB626" s="33"/>
      <c r="AC626" s="16"/>
      <c r="AE626" s="35" t="str">
        <f t="shared" si="9"/>
        <v>EF1 E002 Mat</v>
      </c>
    </row>
    <row r="627" spans="1:31" ht="45" x14ac:dyDescent="0.25">
      <c r="A627" s="31" t="s">
        <v>1349</v>
      </c>
      <c r="B627" s="16" t="s">
        <v>32</v>
      </c>
      <c r="C627" s="16" t="s">
        <v>33</v>
      </c>
      <c r="D627" s="33" t="s">
        <v>34</v>
      </c>
      <c r="E627" s="33">
        <v>98</v>
      </c>
      <c r="F627" s="33">
        <v>2</v>
      </c>
      <c r="G627" s="33">
        <v>5</v>
      </c>
      <c r="H627" s="33"/>
      <c r="I627" s="31" t="s">
        <v>46</v>
      </c>
      <c r="J627" s="31"/>
      <c r="K627" s="33"/>
      <c r="L627" s="33"/>
      <c r="M627" s="31"/>
      <c r="N627" s="31"/>
      <c r="O627" s="16" t="s">
        <v>1350</v>
      </c>
      <c r="P627" s="16"/>
      <c r="Q627" s="16"/>
      <c r="R627" s="33"/>
      <c r="S627" s="34"/>
      <c r="T627" s="34"/>
      <c r="U627" s="34"/>
      <c r="V627" s="34"/>
      <c r="W627" s="34"/>
      <c r="X627" s="33" t="s">
        <v>351</v>
      </c>
      <c r="Y627" s="35" t="str">
        <f>IF(Tabela2[[#This Row],[SIGLA]]="","",VLOOKUP(Tabela2[[#This Row],[SIGLA]],Tabela1[[#All],[Sigla Arte]:[Crédito]],2,0))</f>
        <v>RAITAN OHI/ARQUIVO DA EDITORA</v>
      </c>
      <c r="Z627" s="31"/>
      <c r="AA627" s="31" t="str">
        <f>Tabela2[[#This Row],[ILUSTRADOR CRIAÇÃO]]</f>
        <v>RAITAN OHI/ARQUIVO DA EDITORA</v>
      </c>
      <c r="AB627" s="33"/>
      <c r="AC627" s="16"/>
      <c r="AE627" s="35" t="str">
        <f t="shared" si="9"/>
        <v>EF1 E002 Mat</v>
      </c>
    </row>
    <row r="628" spans="1:31" ht="75" x14ac:dyDescent="0.25">
      <c r="A628" s="31" t="s">
        <v>1351</v>
      </c>
      <c r="B628" s="16" t="s">
        <v>32</v>
      </c>
      <c r="C628" s="16" t="s">
        <v>33</v>
      </c>
      <c r="D628" s="33" t="s">
        <v>34</v>
      </c>
      <c r="E628" s="33">
        <v>99</v>
      </c>
      <c r="F628" s="33">
        <v>2</v>
      </c>
      <c r="G628" s="33">
        <v>5</v>
      </c>
      <c r="H628" s="33"/>
      <c r="I628" s="31" t="s">
        <v>35</v>
      </c>
      <c r="J628" s="31"/>
      <c r="K628" s="33"/>
      <c r="L628" s="33"/>
      <c r="M628" s="31"/>
      <c r="N628" s="31"/>
      <c r="O628" s="16" t="s">
        <v>1352</v>
      </c>
      <c r="P628" s="16"/>
      <c r="Q628" s="16"/>
      <c r="R628" s="33">
        <v>67</v>
      </c>
      <c r="S628" s="34">
        <v>45839</v>
      </c>
      <c r="T628" s="34">
        <v>45840</v>
      </c>
      <c r="U628" s="34"/>
      <c r="V628" s="34"/>
      <c r="W628" s="34">
        <v>45840</v>
      </c>
      <c r="X628" s="33" t="s">
        <v>351</v>
      </c>
      <c r="Y628" s="35" t="str">
        <f>IF(Tabela2[[#This Row],[SIGLA]]="","",VLOOKUP(Tabela2[[#This Row],[SIGLA]],Tabela1[[#All],[Sigla Arte]:[Crédito]],2,0))</f>
        <v>RAITAN OHI/ARQUIVO DA EDITORA</v>
      </c>
      <c r="Z628" s="31" t="s">
        <v>352</v>
      </c>
      <c r="AA628" s="31" t="str">
        <f>Tabela2[[#This Row],[ILUSTRADOR CRIAÇÃO]]</f>
        <v>RAITAN OHI/ARQUIVO DA EDITORA</v>
      </c>
      <c r="AB628" s="33">
        <v>14</v>
      </c>
      <c r="AC628" s="16" t="s">
        <v>39</v>
      </c>
      <c r="AD628" s="16" t="s">
        <v>40</v>
      </c>
      <c r="AE628" s="35" t="str">
        <f t="shared" si="9"/>
        <v>EF1 E002 Mat</v>
      </c>
    </row>
    <row r="629" spans="1:31" ht="45" x14ac:dyDescent="0.25">
      <c r="A629" s="31" t="s">
        <v>1353</v>
      </c>
      <c r="B629" s="16" t="s">
        <v>32</v>
      </c>
      <c r="C629" s="16" t="s">
        <v>33</v>
      </c>
      <c r="D629" s="33" t="s">
        <v>34</v>
      </c>
      <c r="E629" s="33">
        <v>100</v>
      </c>
      <c r="F629" s="33">
        <v>2</v>
      </c>
      <c r="G629" s="33">
        <v>5</v>
      </c>
      <c r="H629" s="33"/>
      <c r="I629" s="31" t="s">
        <v>46</v>
      </c>
      <c r="J629" s="31"/>
      <c r="K629" s="33"/>
      <c r="L629" s="33"/>
      <c r="M629" s="31"/>
      <c r="N629" s="31"/>
      <c r="O629" s="16" t="s">
        <v>1354</v>
      </c>
      <c r="P629" s="16"/>
      <c r="Q629" s="16"/>
      <c r="R629" s="33"/>
      <c r="S629" s="34"/>
      <c r="T629" s="34"/>
      <c r="U629" s="34"/>
      <c r="V629" s="34"/>
      <c r="W629" s="34"/>
      <c r="X629" s="33" t="s">
        <v>351</v>
      </c>
      <c r="Y629" s="35" t="str">
        <f>IF(Tabela2[[#This Row],[SIGLA]]="","",VLOOKUP(Tabela2[[#This Row],[SIGLA]],Tabela1[[#All],[Sigla Arte]:[Crédito]],2,0))</f>
        <v>RAITAN OHI/ARQUIVO DA EDITORA</v>
      </c>
      <c r="Z629" s="31"/>
      <c r="AA629" s="31" t="str">
        <f>Tabela2[[#This Row],[ILUSTRADOR CRIAÇÃO]]</f>
        <v>RAITAN OHI/ARQUIVO DA EDITORA</v>
      </c>
      <c r="AB629" s="33"/>
      <c r="AC629" s="16"/>
      <c r="AE629" s="35" t="str">
        <f t="shared" si="9"/>
        <v>EF1 E002 Mat</v>
      </c>
    </row>
    <row r="630" spans="1:31" ht="90" x14ac:dyDescent="0.25">
      <c r="A630" s="31" t="s">
        <v>1355</v>
      </c>
      <c r="B630" s="16" t="s">
        <v>32</v>
      </c>
      <c r="C630" s="16" t="s">
        <v>33</v>
      </c>
      <c r="D630" s="33" t="s">
        <v>34</v>
      </c>
      <c r="E630" s="33">
        <v>100</v>
      </c>
      <c r="F630" s="33">
        <v>2</v>
      </c>
      <c r="G630" s="33">
        <v>5</v>
      </c>
      <c r="H630" s="33"/>
      <c r="I630" s="31" t="s">
        <v>35</v>
      </c>
      <c r="J630" s="31"/>
      <c r="K630" s="33"/>
      <c r="L630" s="33"/>
      <c r="M630" s="31"/>
      <c r="N630" s="31"/>
      <c r="O630" s="16" t="s">
        <v>1356</v>
      </c>
      <c r="P630" s="16"/>
      <c r="Q630" s="16"/>
      <c r="R630" s="33">
        <v>13</v>
      </c>
      <c r="S630" s="34">
        <v>45741</v>
      </c>
      <c r="T630" s="34">
        <v>45747</v>
      </c>
      <c r="U630" s="34"/>
      <c r="V630" s="34"/>
      <c r="W630" s="34">
        <v>45747</v>
      </c>
      <c r="X630" s="33" t="s">
        <v>470</v>
      </c>
      <c r="Y630" s="35" t="str">
        <f>IF(Tabela2[[#This Row],[SIGLA]]="","",VLOOKUP(Tabela2[[#This Row],[SIGLA]],Tabela1[[#All],[Sigla Arte]:[Crédito]],2,0))</f>
        <v>RENAN FONSECA/ARQUIVO DA EDITORA</v>
      </c>
      <c r="Z630" s="31" t="s">
        <v>352</v>
      </c>
      <c r="AA630" s="31" t="str">
        <f>Tabela2[[#This Row],[ILUSTRADOR CRIAÇÃO]]</f>
        <v>RENAN FONSECA/ARQUIVO DA EDITORA</v>
      </c>
      <c r="AB630" s="33">
        <v>13</v>
      </c>
      <c r="AC630" s="16" t="s">
        <v>39</v>
      </c>
      <c r="AD630" s="16" t="s">
        <v>40</v>
      </c>
      <c r="AE630" s="35" t="str">
        <f t="shared" si="9"/>
        <v>EF1 E002 Mat</v>
      </c>
    </row>
    <row r="631" spans="1:31" ht="90" x14ac:dyDescent="0.25">
      <c r="A631" s="31" t="s">
        <v>1357</v>
      </c>
      <c r="B631" s="16" t="s">
        <v>32</v>
      </c>
      <c r="C631" s="16" t="s">
        <v>33</v>
      </c>
      <c r="D631" s="33" t="s">
        <v>34</v>
      </c>
      <c r="E631" s="33">
        <v>100</v>
      </c>
      <c r="F631" s="33">
        <v>2</v>
      </c>
      <c r="G631" s="33">
        <v>5</v>
      </c>
      <c r="H631" s="33"/>
      <c r="I631" s="31" t="s">
        <v>35</v>
      </c>
      <c r="J631" s="31"/>
      <c r="K631" s="33"/>
      <c r="L631" s="33"/>
      <c r="M631" s="31"/>
      <c r="N631" s="31"/>
      <c r="O631" s="16" t="s">
        <v>1358</v>
      </c>
      <c r="P631" s="16"/>
      <c r="Q631" s="16"/>
      <c r="R631" s="33">
        <v>13</v>
      </c>
      <c r="S631" s="34">
        <v>45741</v>
      </c>
      <c r="T631" s="34">
        <v>45747</v>
      </c>
      <c r="U631" s="34"/>
      <c r="V631" s="34"/>
      <c r="W631" s="34">
        <v>45747</v>
      </c>
      <c r="X631" s="33" t="s">
        <v>470</v>
      </c>
      <c r="Y631" s="35" t="str">
        <f>IF(Tabela2[[#This Row],[SIGLA]]="","",VLOOKUP(Tabela2[[#This Row],[SIGLA]],Tabela1[[#All],[Sigla Arte]:[Crédito]],2,0))</f>
        <v>RENAN FONSECA/ARQUIVO DA EDITORA</v>
      </c>
      <c r="Z631" s="31" t="s">
        <v>352</v>
      </c>
      <c r="AA631" s="31" t="str">
        <f>Tabela2[[#This Row],[ILUSTRADOR CRIAÇÃO]]</f>
        <v>RENAN FONSECA/ARQUIVO DA EDITORA</v>
      </c>
      <c r="AB631" s="33">
        <v>13</v>
      </c>
      <c r="AC631" s="16" t="s">
        <v>39</v>
      </c>
      <c r="AD631" s="16" t="s">
        <v>40</v>
      </c>
      <c r="AE631" s="35" t="str">
        <f t="shared" si="9"/>
        <v>EF1 E002 Mat</v>
      </c>
    </row>
    <row r="632" spans="1:31" ht="45" x14ac:dyDescent="0.25">
      <c r="A632" s="31" t="s">
        <v>1359</v>
      </c>
      <c r="B632" s="16" t="s">
        <v>32</v>
      </c>
      <c r="C632" s="16" t="s">
        <v>33</v>
      </c>
      <c r="D632" s="33" t="s">
        <v>34</v>
      </c>
      <c r="E632" s="33">
        <v>102</v>
      </c>
      <c r="F632" s="33">
        <v>2</v>
      </c>
      <c r="G632" s="33">
        <v>5</v>
      </c>
      <c r="H632" s="33"/>
      <c r="I632" s="31" t="s">
        <v>46</v>
      </c>
      <c r="J632" s="31"/>
      <c r="K632" s="33"/>
      <c r="L632" s="33"/>
      <c r="M632" s="31"/>
      <c r="N632" s="31"/>
      <c r="O632" s="16" t="s">
        <v>1360</v>
      </c>
      <c r="P632" s="16"/>
      <c r="Q632" s="16"/>
      <c r="R632" s="33"/>
      <c r="S632" s="34"/>
      <c r="T632" s="34"/>
      <c r="U632" s="34"/>
      <c r="V632" s="34"/>
      <c r="W632" s="34"/>
      <c r="X632" s="33" t="s">
        <v>1332</v>
      </c>
      <c r="Y632" s="35" t="str">
        <f>IF(Tabela2[[#This Row],[SIGLA]]="","",VLOOKUP(Tabela2[[#This Row],[SIGLA]],Tabela1[[#All],[Sigla Arte]:[Crédito]],2,0))</f>
        <v>LUCAS PALMA/ARQUIVO DA EDITORA</v>
      </c>
      <c r="Z632" s="31"/>
      <c r="AA632" s="31" t="str">
        <f>Tabela2[[#This Row],[ILUSTRADOR CRIAÇÃO]]</f>
        <v>LUCAS PALMA/ARQUIVO DA EDITORA</v>
      </c>
      <c r="AB632" s="33"/>
      <c r="AC632" s="16"/>
      <c r="AE632" s="35" t="str">
        <f t="shared" si="9"/>
        <v>EF1 E002 Mat</v>
      </c>
    </row>
    <row r="633" spans="1:31" ht="45" x14ac:dyDescent="0.25">
      <c r="A633" s="31" t="s">
        <v>1361</v>
      </c>
      <c r="B633" s="16" t="s">
        <v>97</v>
      </c>
      <c r="C633" s="16" t="s">
        <v>33</v>
      </c>
      <c r="D633" s="33" t="s">
        <v>34</v>
      </c>
      <c r="E633" s="33">
        <v>104</v>
      </c>
      <c r="F633" s="33">
        <v>2</v>
      </c>
      <c r="G633" s="33">
        <v>5</v>
      </c>
      <c r="H633" s="33"/>
      <c r="I633" s="31" t="s">
        <v>35</v>
      </c>
      <c r="J633" s="31"/>
      <c r="K633" s="33"/>
      <c r="L633" s="33"/>
      <c r="M633" s="31"/>
      <c r="N633" s="31"/>
      <c r="O633" s="16" t="s">
        <v>1362</v>
      </c>
      <c r="P633" s="16"/>
      <c r="Q633" s="16"/>
      <c r="R633" s="33">
        <v>135</v>
      </c>
      <c r="S633" s="34">
        <v>45899</v>
      </c>
      <c r="T633" s="34">
        <v>45901</v>
      </c>
      <c r="U633" s="34"/>
      <c r="V633" s="34"/>
      <c r="W633" s="34">
        <v>45901</v>
      </c>
      <c r="X633" s="33" t="s">
        <v>1332</v>
      </c>
      <c r="Y633" s="35" t="str">
        <f>IF(Tabela2[[#This Row],[SIGLA]]="","",VLOOKUP(Tabela2[[#This Row],[SIGLA]],Tabela1[[#All],[Sigla Arte]:[Crédito]],2,0))</f>
        <v>LUCAS PALMA/ARQUIVO DA EDITORA</v>
      </c>
      <c r="Z633" s="31" t="s">
        <v>572</v>
      </c>
      <c r="AA633" s="31" t="str">
        <f>Tabela2[[#This Row],[ILUSTRADOR CRIAÇÃO]]</f>
        <v>LUCAS PALMA/ARQUIVO DA EDITORA</v>
      </c>
      <c r="AB633" s="33">
        <v>13</v>
      </c>
      <c r="AC633" s="16"/>
      <c r="AD633" s="16" t="s">
        <v>40</v>
      </c>
      <c r="AE633" s="35" t="str">
        <f t="shared" si="9"/>
        <v>EF1 E002 Mat</v>
      </c>
    </row>
    <row r="634" spans="1:31" ht="60" x14ac:dyDescent="0.25">
      <c r="A634" s="31" t="s">
        <v>1363</v>
      </c>
      <c r="B634" s="16" t="s">
        <v>32</v>
      </c>
      <c r="C634" s="16" t="s">
        <v>33</v>
      </c>
      <c r="D634" s="33" t="s">
        <v>34</v>
      </c>
      <c r="E634" s="33">
        <v>105</v>
      </c>
      <c r="F634" s="33">
        <v>2</v>
      </c>
      <c r="G634" s="33">
        <v>5</v>
      </c>
      <c r="H634" s="33"/>
      <c r="I634" s="31" t="s">
        <v>46</v>
      </c>
      <c r="J634" s="31"/>
      <c r="K634" s="33"/>
      <c r="L634" s="33"/>
      <c r="M634" s="31"/>
      <c r="N634" s="31"/>
      <c r="O634" s="16" t="s">
        <v>1364</v>
      </c>
      <c r="P634" s="16"/>
      <c r="Q634" s="16"/>
      <c r="R634" s="33"/>
      <c r="S634" s="34"/>
      <c r="T634" s="34"/>
      <c r="U634" s="34"/>
      <c r="V634" s="34"/>
      <c r="W634" s="34"/>
      <c r="X634" s="33" t="s">
        <v>247</v>
      </c>
      <c r="Y634" s="35" t="str">
        <f>IF(Tabela2[[#This Row],[SIGLA]]="","",VLOOKUP(Tabela2[[#This Row],[SIGLA]],Tabela1[[#All],[Sigla Arte]:[Crédito]],2,0))</f>
        <v>THAIS CASTRO/ARQUIVO DA EDITORA</v>
      </c>
      <c r="Z634" s="31"/>
      <c r="AA634" s="31" t="str">
        <f>Tabela2[[#This Row],[ILUSTRADOR CRIAÇÃO]]</f>
        <v>THAIS CASTRO/ARQUIVO DA EDITORA</v>
      </c>
      <c r="AB634" s="33"/>
      <c r="AC634" s="16"/>
      <c r="AE634" s="35" t="str">
        <f t="shared" si="9"/>
        <v>EF1 E002 Mat</v>
      </c>
    </row>
    <row r="635" spans="1:31" ht="45" x14ac:dyDescent="0.25">
      <c r="A635" s="31" t="s">
        <v>1365</v>
      </c>
      <c r="B635" s="16" t="s">
        <v>97</v>
      </c>
      <c r="C635" s="16" t="s">
        <v>33</v>
      </c>
      <c r="D635" s="33" t="s">
        <v>34</v>
      </c>
      <c r="E635" s="33">
        <v>146</v>
      </c>
      <c r="F635" s="33">
        <v>2</v>
      </c>
      <c r="G635" s="33">
        <v>9</v>
      </c>
      <c r="H635" s="33"/>
      <c r="I635" s="31" t="s">
        <v>46</v>
      </c>
      <c r="J635" s="31"/>
      <c r="K635" s="33"/>
      <c r="L635" s="33"/>
      <c r="M635" s="31"/>
      <c r="N635" s="31"/>
      <c r="O635" s="16" t="s">
        <v>1366</v>
      </c>
      <c r="P635" s="16"/>
      <c r="Q635" s="16"/>
      <c r="R635" s="33"/>
      <c r="S635" s="34"/>
      <c r="T635" s="34"/>
      <c r="U635" s="34"/>
      <c r="V635" s="34"/>
      <c r="W635" s="34"/>
      <c r="X635" s="33" t="s">
        <v>703</v>
      </c>
      <c r="Y635" s="35" t="str">
        <f>IF(Tabela2[[#This Row],[SIGLA]]="","",VLOOKUP(Tabela2[[#This Row],[SIGLA]],Tabela1[[#All],[Sigla Arte]:[Crédito]],2,0))</f>
        <v>KLEBER MAURÍCIO COELHO/ARQUIVO DA EDITORA</v>
      </c>
      <c r="Z635" s="31"/>
      <c r="AA635" s="31" t="str">
        <f>Tabela2[[#This Row],[ILUSTRADOR CRIAÇÃO]]</f>
        <v>KLEBER MAURÍCIO COELHO/ARQUIVO DA EDITORA</v>
      </c>
      <c r="AB635" s="33"/>
      <c r="AC635" s="16"/>
      <c r="AE635" s="35" t="str">
        <f t="shared" si="9"/>
        <v>EF1 E002 Mat</v>
      </c>
    </row>
    <row r="636" spans="1:31" ht="30" x14ac:dyDescent="0.25">
      <c r="A636" s="31" t="s">
        <v>1367</v>
      </c>
      <c r="B636" s="16" t="s">
        <v>97</v>
      </c>
      <c r="C636" s="16" t="s">
        <v>33</v>
      </c>
      <c r="D636" s="33" t="s">
        <v>34</v>
      </c>
      <c r="E636" s="33">
        <v>147</v>
      </c>
      <c r="F636" s="33">
        <v>2</v>
      </c>
      <c r="G636" s="33">
        <v>9</v>
      </c>
      <c r="H636" s="33"/>
      <c r="I636" s="31" t="s">
        <v>46</v>
      </c>
      <c r="J636" s="31"/>
      <c r="K636" s="33"/>
      <c r="L636" s="33"/>
      <c r="M636" s="31"/>
      <c r="N636" s="31"/>
      <c r="O636" s="16" t="s">
        <v>1368</v>
      </c>
      <c r="P636" s="16"/>
      <c r="Q636" s="16"/>
      <c r="R636" s="33"/>
      <c r="S636" s="34"/>
      <c r="T636" s="34"/>
      <c r="U636" s="34"/>
      <c r="V636" s="34"/>
      <c r="W636" s="34"/>
      <c r="X636" s="33" t="s">
        <v>162</v>
      </c>
      <c r="Y636" s="35" t="str">
        <f>IF(Tabela2[[#This Row],[SIGLA]]="","",VLOOKUP(Tabela2[[#This Row],[SIGLA]],Tabela1[[#All],[Sigla Arte]:[Crédito]],2,0))</f>
        <v>IVY NUNES/ARQUIVO DA EDITORA</v>
      </c>
      <c r="Z636" s="31"/>
      <c r="AA636" s="31" t="str">
        <f>Tabela2[[#This Row],[ILUSTRADOR CRIAÇÃO]]</f>
        <v>IVY NUNES/ARQUIVO DA EDITORA</v>
      </c>
      <c r="AB636" s="33"/>
      <c r="AC636" s="16"/>
      <c r="AE636" s="35" t="str">
        <f t="shared" si="9"/>
        <v>EF1 E002 Mat</v>
      </c>
    </row>
    <row r="637" spans="1:31" ht="45" x14ac:dyDescent="0.25">
      <c r="A637" s="31" t="s">
        <v>1369</v>
      </c>
      <c r="B637" s="16" t="s">
        <v>97</v>
      </c>
      <c r="C637" s="16" t="s">
        <v>33</v>
      </c>
      <c r="D637" s="33" t="s">
        <v>34</v>
      </c>
      <c r="E637" s="33">
        <v>148</v>
      </c>
      <c r="F637" s="33">
        <v>2</v>
      </c>
      <c r="G637" s="33">
        <v>9</v>
      </c>
      <c r="H637" s="33"/>
      <c r="I637" s="31" t="s">
        <v>46</v>
      </c>
      <c r="J637" s="31"/>
      <c r="K637" s="33"/>
      <c r="L637" s="33"/>
      <c r="M637" s="31"/>
      <c r="N637" s="31"/>
      <c r="O637" s="16" t="s">
        <v>1370</v>
      </c>
      <c r="P637" s="16"/>
      <c r="Q637" s="16"/>
      <c r="R637" s="33"/>
      <c r="S637" s="34"/>
      <c r="T637" s="34"/>
      <c r="U637" s="34"/>
      <c r="V637" s="34"/>
      <c r="W637" s="34"/>
      <c r="X637" s="33" t="s">
        <v>703</v>
      </c>
      <c r="Y637" s="35" t="str">
        <f>IF(Tabela2[[#This Row],[SIGLA]]="","",VLOOKUP(Tabela2[[#This Row],[SIGLA]],Tabela1[[#All],[Sigla Arte]:[Crédito]],2,0))</f>
        <v>KLEBER MAURÍCIO COELHO/ARQUIVO DA EDITORA</v>
      </c>
      <c r="Z637" s="31"/>
      <c r="AA637" s="31" t="str">
        <f>Tabela2[[#This Row],[ILUSTRADOR CRIAÇÃO]]</f>
        <v>KLEBER MAURÍCIO COELHO/ARQUIVO DA EDITORA</v>
      </c>
      <c r="AB637" s="33"/>
      <c r="AC637" s="16"/>
      <c r="AE637" s="35" t="str">
        <f t="shared" si="9"/>
        <v>EF1 E002 Mat</v>
      </c>
    </row>
    <row r="638" spans="1:31" ht="30" x14ac:dyDescent="0.25">
      <c r="A638" s="31" t="s">
        <v>1371</v>
      </c>
      <c r="B638" s="16" t="s">
        <v>97</v>
      </c>
      <c r="C638" s="16" t="s">
        <v>33</v>
      </c>
      <c r="D638" s="33" t="s">
        <v>34</v>
      </c>
      <c r="E638" s="33">
        <v>148</v>
      </c>
      <c r="F638" s="33">
        <v>2</v>
      </c>
      <c r="G638" s="33">
        <v>9</v>
      </c>
      <c r="H638" s="33"/>
      <c r="I638" s="31" t="s">
        <v>46</v>
      </c>
      <c r="J638" s="31"/>
      <c r="K638" s="33"/>
      <c r="L638" s="33"/>
      <c r="M638" s="31"/>
      <c r="N638" s="31"/>
      <c r="O638" s="16" t="s">
        <v>1372</v>
      </c>
      <c r="P638" s="16"/>
      <c r="Q638" s="16"/>
      <c r="R638" s="33"/>
      <c r="S638" s="34"/>
      <c r="T638" s="34"/>
      <c r="U638" s="34"/>
      <c r="V638" s="34"/>
      <c r="W638" s="34"/>
      <c r="X638" s="33" t="s">
        <v>703</v>
      </c>
      <c r="Y638" s="35" t="str">
        <f>IF(Tabela2[[#This Row],[SIGLA]]="","",VLOOKUP(Tabela2[[#This Row],[SIGLA]],Tabela1[[#All],[Sigla Arte]:[Crédito]],2,0))</f>
        <v>KLEBER MAURÍCIO COELHO/ARQUIVO DA EDITORA</v>
      </c>
      <c r="Z638" s="31"/>
      <c r="AA638" s="31" t="str">
        <f>Tabela2[[#This Row],[ILUSTRADOR CRIAÇÃO]]</f>
        <v>KLEBER MAURÍCIO COELHO/ARQUIVO DA EDITORA</v>
      </c>
      <c r="AB638" s="33"/>
      <c r="AC638" s="16"/>
      <c r="AE638" s="35" t="str">
        <f t="shared" si="9"/>
        <v>EF1 E002 Mat</v>
      </c>
    </row>
    <row r="639" spans="1:31" ht="30" x14ac:dyDescent="0.25">
      <c r="A639" s="31" t="s">
        <v>1373</v>
      </c>
      <c r="B639" s="16" t="s">
        <v>97</v>
      </c>
      <c r="C639" s="16" t="s">
        <v>33</v>
      </c>
      <c r="D639" s="33" t="s">
        <v>34</v>
      </c>
      <c r="E639" s="33">
        <v>148</v>
      </c>
      <c r="F639" s="33">
        <v>2</v>
      </c>
      <c r="G639" s="33">
        <v>9</v>
      </c>
      <c r="H639" s="33"/>
      <c r="I639" s="31" t="s">
        <v>46</v>
      </c>
      <c r="J639" s="31"/>
      <c r="K639" s="33"/>
      <c r="L639" s="33"/>
      <c r="M639" s="31"/>
      <c r="N639" s="31"/>
      <c r="O639" s="16" t="s">
        <v>1374</v>
      </c>
      <c r="P639" s="16"/>
      <c r="Q639" s="16"/>
      <c r="R639" s="33"/>
      <c r="S639" s="34"/>
      <c r="T639" s="34"/>
      <c r="U639" s="34"/>
      <c r="V639" s="34"/>
      <c r="W639" s="34"/>
      <c r="X639" s="33" t="s">
        <v>162</v>
      </c>
      <c r="Y639" s="35" t="str">
        <f>IF(Tabela2[[#This Row],[SIGLA]]="","",VLOOKUP(Tabela2[[#This Row],[SIGLA]],Tabela1[[#All],[Sigla Arte]:[Crédito]],2,0))</f>
        <v>IVY NUNES/ARQUIVO DA EDITORA</v>
      </c>
      <c r="Z639" s="31"/>
      <c r="AA639" s="31" t="str">
        <f>Tabela2[[#This Row],[ILUSTRADOR CRIAÇÃO]]</f>
        <v>IVY NUNES/ARQUIVO DA EDITORA</v>
      </c>
      <c r="AB639" s="33"/>
      <c r="AC639" s="16"/>
      <c r="AE639" s="35" t="str">
        <f t="shared" si="9"/>
        <v>EF1 E002 Mat</v>
      </c>
    </row>
    <row r="640" spans="1:31" ht="30" x14ac:dyDescent="0.25">
      <c r="A640" s="31" t="s">
        <v>1375</v>
      </c>
      <c r="B640" s="16" t="s">
        <v>97</v>
      </c>
      <c r="C640" s="16" t="s">
        <v>33</v>
      </c>
      <c r="D640" s="33" t="s">
        <v>34</v>
      </c>
      <c r="E640" s="33">
        <v>150</v>
      </c>
      <c r="F640" s="33">
        <v>2</v>
      </c>
      <c r="G640" s="33">
        <v>9</v>
      </c>
      <c r="H640" s="33"/>
      <c r="I640" s="31" t="s">
        <v>46</v>
      </c>
      <c r="J640" s="31"/>
      <c r="K640" s="33"/>
      <c r="L640" s="33"/>
      <c r="M640" s="31"/>
      <c r="N640" s="31"/>
      <c r="O640" s="16" t="s">
        <v>1376</v>
      </c>
      <c r="P640" s="16"/>
      <c r="Q640" s="16"/>
      <c r="R640" s="33"/>
      <c r="S640" s="34"/>
      <c r="T640" s="34"/>
      <c r="U640" s="34"/>
      <c r="V640" s="34"/>
      <c r="W640" s="34"/>
      <c r="X640" s="33" t="s">
        <v>703</v>
      </c>
      <c r="Y640" s="35" t="str">
        <f>IF(Tabela2[[#This Row],[SIGLA]]="","",VLOOKUP(Tabela2[[#This Row],[SIGLA]],Tabela1[[#All],[Sigla Arte]:[Crédito]],2,0))</f>
        <v>KLEBER MAURÍCIO COELHO/ARQUIVO DA EDITORA</v>
      </c>
      <c r="Z640" s="31"/>
      <c r="AA640" s="31" t="str">
        <f>Tabela2[[#This Row],[ILUSTRADOR CRIAÇÃO]]</f>
        <v>KLEBER MAURÍCIO COELHO/ARQUIVO DA EDITORA</v>
      </c>
      <c r="AB640" s="33"/>
      <c r="AC640" s="16"/>
      <c r="AE640" s="35" t="str">
        <f t="shared" si="9"/>
        <v>EF1 E002 Mat</v>
      </c>
    </row>
    <row r="641" spans="1:31" ht="30" x14ac:dyDescent="0.25">
      <c r="A641" s="31" t="s">
        <v>1377</v>
      </c>
      <c r="B641" s="16" t="s">
        <v>97</v>
      </c>
      <c r="C641" s="16" t="s">
        <v>33</v>
      </c>
      <c r="D641" s="33" t="s">
        <v>34</v>
      </c>
      <c r="E641" s="33">
        <v>150</v>
      </c>
      <c r="F641" s="33">
        <v>2</v>
      </c>
      <c r="G641" s="33">
        <v>9</v>
      </c>
      <c r="H641" s="33"/>
      <c r="I641" s="31" t="s">
        <v>46</v>
      </c>
      <c r="J641" s="31"/>
      <c r="K641" s="33"/>
      <c r="L641" s="33"/>
      <c r="M641" s="31"/>
      <c r="N641" s="31"/>
      <c r="O641" s="16" t="s">
        <v>1378</v>
      </c>
      <c r="P641" s="16"/>
      <c r="Q641" s="16"/>
      <c r="R641" s="33"/>
      <c r="S641" s="34"/>
      <c r="T641" s="34"/>
      <c r="U641" s="34"/>
      <c r="V641" s="34"/>
      <c r="W641" s="34"/>
      <c r="X641" s="33" t="s">
        <v>703</v>
      </c>
      <c r="Y641" s="35" t="str">
        <f>IF(Tabela2[[#This Row],[SIGLA]]="","",VLOOKUP(Tabela2[[#This Row],[SIGLA]],Tabela1[[#All],[Sigla Arte]:[Crédito]],2,0))</f>
        <v>KLEBER MAURÍCIO COELHO/ARQUIVO DA EDITORA</v>
      </c>
      <c r="Z641" s="31"/>
      <c r="AA641" s="31" t="str">
        <f>Tabela2[[#This Row],[ILUSTRADOR CRIAÇÃO]]</f>
        <v>KLEBER MAURÍCIO COELHO/ARQUIVO DA EDITORA</v>
      </c>
      <c r="AB641" s="33"/>
      <c r="AC641" s="16"/>
      <c r="AE641" s="35" t="str">
        <f t="shared" si="9"/>
        <v>EF1 E002 Mat</v>
      </c>
    </row>
    <row r="642" spans="1:31" ht="60" x14ac:dyDescent="0.25">
      <c r="A642" s="31" t="s">
        <v>1379</v>
      </c>
      <c r="B642" s="16" t="s">
        <v>97</v>
      </c>
      <c r="C642" s="16" t="s">
        <v>33</v>
      </c>
      <c r="D642" s="33" t="s">
        <v>34</v>
      </c>
      <c r="E642" s="33">
        <v>215</v>
      </c>
      <c r="F642" s="33">
        <v>2</v>
      </c>
      <c r="G642" s="33">
        <v>9</v>
      </c>
      <c r="H642" s="33"/>
      <c r="I642" s="31" t="s">
        <v>35</v>
      </c>
      <c r="J642" s="31"/>
      <c r="K642" s="33"/>
      <c r="L642" s="33"/>
      <c r="M642" s="31"/>
      <c r="N642" s="31"/>
      <c r="O642" s="16" t="s">
        <v>1380</v>
      </c>
      <c r="P642" s="16"/>
      <c r="Q642" s="16"/>
      <c r="R642" s="33">
        <v>83</v>
      </c>
      <c r="S642" s="34">
        <v>45857</v>
      </c>
      <c r="T642" s="34">
        <v>45859</v>
      </c>
      <c r="U642" s="34"/>
      <c r="V642" s="34"/>
      <c r="W642" s="34">
        <v>45859</v>
      </c>
      <c r="X642" s="33" t="s">
        <v>703</v>
      </c>
      <c r="Y642" s="35" t="str">
        <f>IF(Tabela2[[#This Row],[SIGLA]]="","",VLOOKUP(Tabela2[[#This Row],[SIGLA]],Tabela1[[#All],[Sigla Arte]:[Crédito]],2,0))</f>
        <v>KLEBER MAURÍCIO COELHO/ARQUIVO DA EDITORA</v>
      </c>
      <c r="Z642" s="31" t="s">
        <v>924</v>
      </c>
      <c r="AA642" s="31" t="str">
        <f>Tabela2[[#This Row],[ILUSTRADOR CRIAÇÃO]]</f>
        <v>KLEBER MAURÍCIO COELHO/ARQUIVO DA EDITORA</v>
      </c>
      <c r="AB642" s="33">
        <v>13</v>
      </c>
      <c r="AC642" s="16" t="s">
        <v>222</v>
      </c>
      <c r="AD642" s="16" t="s">
        <v>40</v>
      </c>
      <c r="AE642" s="35" t="str">
        <f t="shared" ref="AE642:AE705" si="10">"EF1 E002 Mat"</f>
        <v>EF1 E002 Mat</v>
      </c>
    </row>
    <row r="643" spans="1:31" ht="45" x14ac:dyDescent="0.25">
      <c r="A643" s="31" t="s">
        <v>1381</v>
      </c>
      <c r="B643" s="16" t="s">
        <v>32</v>
      </c>
      <c r="C643" s="16" t="s">
        <v>33</v>
      </c>
      <c r="D643" s="33" t="s">
        <v>34</v>
      </c>
      <c r="E643" s="33">
        <v>152</v>
      </c>
      <c r="F643" s="33">
        <v>2</v>
      </c>
      <c r="G643" s="33">
        <v>9</v>
      </c>
      <c r="H643" s="33"/>
      <c r="I643" s="31" t="s">
        <v>46</v>
      </c>
      <c r="J643" s="31"/>
      <c r="K643" s="33"/>
      <c r="L643" s="33"/>
      <c r="M643" s="31"/>
      <c r="N643" s="31"/>
      <c r="O643" s="16" t="s">
        <v>1382</v>
      </c>
      <c r="P643" s="16"/>
      <c r="Q643" s="16"/>
      <c r="R643" s="33"/>
      <c r="S643" s="34"/>
      <c r="T643" s="34"/>
      <c r="U643" s="34"/>
      <c r="V643" s="34"/>
      <c r="W643" s="34"/>
      <c r="X643" s="33" t="s">
        <v>703</v>
      </c>
      <c r="Y643" s="35" t="str">
        <f>IF(Tabela2[[#This Row],[SIGLA]]="","",VLOOKUP(Tabela2[[#This Row],[SIGLA]],Tabela1[[#All],[Sigla Arte]:[Crédito]],2,0))</f>
        <v>KLEBER MAURÍCIO COELHO/ARQUIVO DA EDITORA</v>
      </c>
      <c r="Z643" s="31"/>
      <c r="AA643" s="31" t="str">
        <f>Tabela2[[#This Row],[ILUSTRADOR CRIAÇÃO]]</f>
        <v>KLEBER MAURÍCIO COELHO/ARQUIVO DA EDITORA</v>
      </c>
      <c r="AB643" s="33"/>
      <c r="AC643" s="16"/>
      <c r="AE643" s="35" t="str">
        <f t="shared" si="10"/>
        <v>EF1 E002 Mat</v>
      </c>
    </row>
    <row r="644" spans="1:31" ht="30" x14ac:dyDescent="0.25">
      <c r="A644" s="31" t="s">
        <v>1383</v>
      </c>
      <c r="B644" s="16" t="s">
        <v>32</v>
      </c>
      <c r="C644" s="16" t="s">
        <v>164</v>
      </c>
      <c r="D644" s="33" t="s">
        <v>34</v>
      </c>
      <c r="E644" s="33">
        <v>152</v>
      </c>
      <c r="F644" s="33">
        <v>2</v>
      </c>
      <c r="G644" s="33">
        <v>9</v>
      </c>
      <c r="H644" s="33"/>
      <c r="I644" s="31" t="s">
        <v>46</v>
      </c>
      <c r="J644" s="31"/>
      <c r="K644" s="33"/>
      <c r="L644" s="33"/>
      <c r="M644" s="31"/>
      <c r="N644" s="31"/>
      <c r="O644" s="16" t="s">
        <v>1384</v>
      </c>
      <c r="P644" s="16"/>
      <c r="Q644" s="16"/>
      <c r="R644" s="33"/>
      <c r="S644" s="34"/>
      <c r="T644" s="34"/>
      <c r="U644" s="34"/>
      <c r="V644" s="34"/>
      <c r="W644" s="34"/>
      <c r="X644" s="33" t="s">
        <v>470</v>
      </c>
      <c r="Y644" s="35" t="str">
        <f>IF(Tabela2[[#This Row],[SIGLA]]="","",VLOOKUP(Tabela2[[#This Row],[SIGLA]],Tabela1[[#All],[Sigla Arte]:[Crédito]],2,0))</f>
        <v>RENAN FONSECA/ARQUIVO DA EDITORA</v>
      </c>
      <c r="Z644" s="31"/>
      <c r="AA644" s="31" t="str">
        <f>Tabela2[[#This Row],[ILUSTRADOR CRIAÇÃO]]</f>
        <v>RENAN FONSECA/ARQUIVO DA EDITORA</v>
      </c>
      <c r="AB644" s="33"/>
      <c r="AC644" s="16"/>
      <c r="AE644" s="35" t="str">
        <f t="shared" si="10"/>
        <v>EF1 E002 Mat</v>
      </c>
    </row>
    <row r="645" spans="1:31" ht="30" x14ac:dyDescent="0.25">
      <c r="A645" s="31" t="s">
        <v>1385</v>
      </c>
      <c r="B645" s="16" t="s">
        <v>32</v>
      </c>
      <c r="C645" s="16" t="s">
        <v>33</v>
      </c>
      <c r="D645" s="33" t="s">
        <v>34</v>
      </c>
      <c r="E645" s="33">
        <v>152</v>
      </c>
      <c r="F645" s="33">
        <v>2</v>
      </c>
      <c r="G645" s="33">
        <v>9</v>
      </c>
      <c r="H645" s="33"/>
      <c r="I645" s="31" t="s">
        <v>46</v>
      </c>
      <c r="J645" s="31"/>
      <c r="K645" s="33"/>
      <c r="L645" s="33"/>
      <c r="M645" s="31"/>
      <c r="N645" s="31"/>
      <c r="O645" s="16" t="s">
        <v>1386</v>
      </c>
      <c r="P645" s="16"/>
      <c r="Q645" s="16"/>
      <c r="R645" s="33"/>
      <c r="S645" s="34"/>
      <c r="T645" s="34"/>
      <c r="U645" s="34"/>
      <c r="V645" s="34"/>
      <c r="W645" s="34"/>
      <c r="X645" s="33" t="s">
        <v>162</v>
      </c>
      <c r="Y645" s="35" t="str">
        <f>IF(Tabela2[[#This Row],[SIGLA]]="","",VLOOKUP(Tabela2[[#This Row],[SIGLA]],Tabela1[[#All],[Sigla Arte]:[Crédito]],2,0))</f>
        <v>IVY NUNES/ARQUIVO DA EDITORA</v>
      </c>
      <c r="Z645" s="31"/>
      <c r="AA645" s="31" t="str">
        <f>Tabela2[[#This Row],[ILUSTRADOR CRIAÇÃO]]</f>
        <v>IVY NUNES/ARQUIVO DA EDITORA</v>
      </c>
      <c r="AB645" s="33"/>
      <c r="AC645" s="16"/>
      <c r="AE645" s="35" t="str">
        <f t="shared" si="10"/>
        <v>EF1 E002 Mat</v>
      </c>
    </row>
    <row r="646" spans="1:31" ht="30" x14ac:dyDescent="0.25">
      <c r="A646" s="31" t="s">
        <v>1387</v>
      </c>
      <c r="B646" s="16" t="s">
        <v>32</v>
      </c>
      <c r="C646" s="16" t="s">
        <v>33</v>
      </c>
      <c r="D646" s="33" t="s">
        <v>34</v>
      </c>
      <c r="E646" s="33">
        <v>153</v>
      </c>
      <c r="F646" s="33">
        <v>2</v>
      </c>
      <c r="G646" s="33">
        <v>9</v>
      </c>
      <c r="H646" s="33"/>
      <c r="I646" s="31" t="s">
        <v>46</v>
      </c>
      <c r="J646" s="31"/>
      <c r="K646" s="33"/>
      <c r="L646" s="33"/>
      <c r="M646" s="31"/>
      <c r="N646" s="31"/>
      <c r="O646" s="16" t="s">
        <v>1388</v>
      </c>
      <c r="P646" s="16"/>
      <c r="Q646" s="16"/>
      <c r="R646" s="33"/>
      <c r="S646" s="34"/>
      <c r="T646" s="34"/>
      <c r="U646" s="34"/>
      <c r="V646" s="34"/>
      <c r="W646" s="34"/>
      <c r="X646" s="33" t="s">
        <v>703</v>
      </c>
      <c r="Y646" s="35" t="str">
        <f>IF(Tabela2[[#This Row],[SIGLA]]="","",VLOOKUP(Tabela2[[#This Row],[SIGLA]],Tabela1[[#All],[Sigla Arte]:[Crédito]],2,0))</f>
        <v>KLEBER MAURÍCIO COELHO/ARQUIVO DA EDITORA</v>
      </c>
      <c r="Z646" s="31"/>
      <c r="AA646" s="31" t="str">
        <f>Tabela2[[#This Row],[ILUSTRADOR CRIAÇÃO]]</f>
        <v>KLEBER MAURÍCIO COELHO/ARQUIVO DA EDITORA</v>
      </c>
      <c r="AB646" s="33"/>
      <c r="AC646" s="16"/>
      <c r="AE646" s="35" t="str">
        <f t="shared" si="10"/>
        <v>EF1 E002 Mat</v>
      </c>
    </row>
    <row r="647" spans="1:31" ht="45" x14ac:dyDescent="0.25">
      <c r="A647" s="31" t="s">
        <v>1389</v>
      </c>
      <c r="B647" s="16" t="s">
        <v>32</v>
      </c>
      <c r="C647" s="16" t="s">
        <v>33</v>
      </c>
      <c r="D647" s="33" t="s">
        <v>34</v>
      </c>
      <c r="E647" s="33">
        <v>154</v>
      </c>
      <c r="F647" s="33">
        <v>2</v>
      </c>
      <c r="G647" s="33">
        <v>9</v>
      </c>
      <c r="H647" s="33"/>
      <c r="I647" s="31" t="s">
        <v>46</v>
      </c>
      <c r="J647" s="31"/>
      <c r="K647" s="33"/>
      <c r="L647" s="33"/>
      <c r="M647" s="31"/>
      <c r="N647" s="31"/>
      <c r="O647" s="16" t="s">
        <v>1390</v>
      </c>
      <c r="P647" s="16"/>
      <c r="Q647" s="16"/>
      <c r="R647" s="33"/>
      <c r="S647" s="34"/>
      <c r="T647" s="34"/>
      <c r="U647" s="34"/>
      <c r="V647" s="34"/>
      <c r="W647" s="34"/>
      <c r="X647" s="33" t="s">
        <v>247</v>
      </c>
      <c r="Y647" s="35" t="str">
        <f>IF(Tabela2[[#This Row],[SIGLA]]="","",VLOOKUP(Tabela2[[#This Row],[SIGLA]],Tabela1[[#All],[Sigla Arte]:[Crédito]],2,0))</f>
        <v>THAIS CASTRO/ARQUIVO DA EDITORA</v>
      </c>
      <c r="Z647" s="31"/>
      <c r="AA647" s="31" t="str">
        <f>Tabela2[[#This Row],[ILUSTRADOR CRIAÇÃO]]</f>
        <v>THAIS CASTRO/ARQUIVO DA EDITORA</v>
      </c>
      <c r="AB647" s="33"/>
      <c r="AC647" s="16"/>
      <c r="AE647" s="35" t="str">
        <f t="shared" si="10"/>
        <v>EF1 E002 Mat</v>
      </c>
    </row>
    <row r="648" spans="1:31" ht="30" x14ac:dyDescent="0.25">
      <c r="A648" s="31" t="s">
        <v>1391</v>
      </c>
      <c r="B648" s="16" t="s">
        <v>32</v>
      </c>
      <c r="C648" s="16" t="s">
        <v>164</v>
      </c>
      <c r="D648" s="33" t="s">
        <v>34</v>
      </c>
      <c r="E648" s="33">
        <v>154</v>
      </c>
      <c r="F648" s="33">
        <v>2</v>
      </c>
      <c r="G648" s="33">
        <v>9</v>
      </c>
      <c r="H648" s="33"/>
      <c r="I648" s="31" t="s">
        <v>46</v>
      </c>
      <c r="J648" s="31"/>
      <c r="K648" s="33"/>
      <c r="L648" s="33"/>
      <c r="M648" s="31"/>
      <c r="N648" s="31"/>
      <c r="O648" s="16" t="s">
        <v>1392</v>
      </c>
      <c r="P648" s="16"/>
      <c r="Q648" s="16"/>
      <c r="R648" s="33"/>
      <c r="S648" s="34"/>
      <c r="T648" s="34"/>
      <c r="U648" s="34"/>
      <c r="V648" s="34"/>
      <c r="W648" s="34"/>
      <c r="X648" s="33" t="s">
        <v>247</v>
      </c>
      <c r="Y648" s="35" t="str">
        <f>IF(Tabela2[[#This Row],[SIGLA]]="","",VLOOKUP(Tabela2[[#This Row],[SIGLA]],Tabela1[[#All],[Sigla Arte]:[Crédito]],2,0))</f>
        <v>THAIS CASTRO/ARQUIVO DA EDITORA</v>
      </c>
      <c r="Z648" s="31"/>
      <c r="AA648" s="31" t="str">
        <f>Tabela2[[#This Row],[ILUSTRADOR CRIAÇÃO]]</f>
        <v>THAIS CASTRO/ARQUIVO DA EDITORA</v>
      </c>
      <c r="AB648" s="33"/>
      <c r="AC648" s="16"/>
      <c r="AE648" s="35" t="str">
        <f t="shared" si="10"/>
        <v>EF1 E002 Mat</v>
      </c>
    </row>
    <row r="649" spans="1:31" ht="105" x14ac:dyDescent="0.25">
      <c r="A649" s="31" t="s">
        <v>1393</v>
      </c>
      <c r="B649" s="16" t="s">
        <v>401</v>
      </c>
      <c r="C649" s="16" t="s">
        <v>33</v>
      </c>
      <c r="D649" s="33" t="s">
        <v>34</v>
      </c>
      <c r="E649" s="33">
        <v>155</v>
      </c>
      <c r="F649" s="33">
        <v>2</v>
      </c>
      <c r="G649" s="33">
        <v>9</v>
      </c>
      <c r="H649" s="33"/>
      <c r="I649" s="31" t="s">
        <v>46</v>
      </c>
      <c r="J649" s="31"/>
      <c r="K649" s="33"/>
      <c r="L649" s="33"/>
      <c r="M649" s="31"/>
      <c r="N649" s="31"/>
      <c r="O649" s="16" t="s">
        <v>1394</v>
      </c>
      <c r="P649" s="16"/>
      <c r="Q649" s="16" t="s">
        <v>1395</v>
      </c>
      <c r="R649" s="33"/>
      <c r="S649" s="34"/>
      <c r="T649" s="34"/>
      <c r="U649" s="34"/>
      <c r="V649" s="34"/>
      <c r="W649" s="34"/>
      <c r="X649" s="33" t="s">
        <v>247</v>
      </c>
      <c r="Y649" s="35" t="str">
        <f>IF(Tabela2[[#This Row],[SIGLA]]="","",VLOOKUP(Tabela2[[#This Row],[SIGLA]],Tabela1[[#All],[Sigla Arte]:[Crédito]],2,0))</f>
        <v>THAIS CASTRO/ARQUIVO DA EDITORA</v>
      </c>
      <c r="Z649" s="31"/>
      <c r="AA649" s="31" t="str">
        <f>Tabela2[[#This Row],[ILUSTRADOR CRIAÇÃO]]</f>
        <v>THAIS CASTRO/ARQUIVO DA EDITORA</v>
      </c>
      <c r="AB649" s="33"/>
      <c r="AC649" s="16"/>
      <c r="AE649" s="35" t="str">
        <f t="shared" si="10"/>
        <v>EF1 E002 Mat</v>
      </c>
    </row>
    <row r="650" spans="1:31" ht="75" x14ac:dyDescent="0.25">
      <c r="A650" s="31" t="s">
        <v>1396</v>
      </c>
      <c r="B650" s="16" t="s">
        <v>32</v>
      </c>
      <c r="C650" s="16" t="s">
        <v>33</v>
      </c>
      <c r="D650" s="33" t="s">
        <v>34</v>
      </c>
      <c r="E650" s="33">
        <v>156</v>
      </c>
      <c r="F650" s="33">
        <v>2</v>
      </c>
      <c r="G650" s="33">
        <v>9</v>
      </c>
      <c r="H650" s="33" t="s">
        <v>1397</v>
      </c>
      <c r="I650" s="31" t="s">
        <v>46</v>
      </c>
      <c r="J650" s="31"/>
      <c r="K650" s="33"/>
      <c r="L650" s="33"/>
      <c r="M650" s="31"/>
      <c r="N650" s="31"/>
      <c r="O650" s="16" t="s">
        <v>1398</v>
      </c>
      <c r="P650" s="16"/>
      <c r="Q650" s="16" t="s">
        <v>1399</v>
      </c>
      <c r="R650" s="33"/>
      <c r="S650" s="34"/>
      <c r="T650" s="34"/>
      <c r="U650" s="34"/>
      <c r="V650" s="34"/>
      <c r="W650" s="34"/>
      <c r="X650" s="33" t="s">
        <v>247</v>
      </c>
      <c r="Y650" s="35" t="str">
        <f>IF(Tabela2[[#This Row],[SIGLA]]="","",VLOOKUP(Tabela2[[#This Row],[SIGLA]],Tabela1[[#All],[Sigla Arte]:[Crédito]],2,0))</f>
        <v>THAIS CASTRO/ARQUIVO DA EDITORA</v>
      </c>
      <c r="Z650" s="31"/>
      <c r="AA650" s="31" t="str">
        <f>Tabela2[[#This Row],[ILUSTRADOR CRIAÇÃO]]</f>
        <v>THAIS CASTRO/ARQUIVO DA EDITORA</v>
      </c>
      <c r="AB650" s="33"/>
      <c r="AC650" s="16"/>
      <c r="AE650" s="35" t="str">
        <f t="shared" si="10"/>
        <v>EF1 E002 Mat</v>
      </c>
    </row>
    <row r="651" spans="1:31" ht="30" x14ac:dyDescent="0.25">
      <c r="A651" s="31" t="s">
        <v>1400</v>
      </c>
      <c r="B651" s="16" t="s">
        <v>32</v>
      </c>
      <c r="C651" s="16" t="s">
        <v>33</v>
      </c>
      <c r="D651" s="33" t="s">
        <v>34</v>
      </c>
      <c r="E651" s="33">
        <v>156</v>
      </c>
      <c r="F651" s="33">
        <v>2</v>
      </c>
      <c r="G651" s="33">
        <v>9</v>
      </c>
      <c r="H651" s="33"/>
      <c r="I651" s="31" t="s">
        <v>46</v>
      </c>
      <c r="J651" s="31"/>
      <c r="K651" s="33"/>
      <c r="L651" s="33"/>
      <c r="M651" s="31"/>
      <c r="N651" s="31"/>
      <c r="O651" s="16" t="s">
        <v>1401</v>
      </c>
      <c r="P651" s="16"/>
      <c r="Q651" s="16"/>
      <c r="R651" s="33"/>
      <c r="S651" s="34"/>
      <c r="T651" s="34"/>
      <c r="U651" s="34"/>
      <c r="V651" s="34"/>
      <c r="W651" s="34"/>
      <c r="X651" s="33" t="s">
        <v>247</v>
      </c>
      <c r="Y651" s="35" t="str">
        <f>IF(Tabela2[[#This Row],[SIGLA]]="","",VLOOKUP(Tabela2[[#This Row],[SIGLA]],Tabela1[[#All],[Sigla Arte]:[Crédito]],2,0))</f>
        <v>THAIS CASTRO/ARQUIVO DA EDITORA</v>
      </c>
      <c r="Z651" s="31"/>
      <c r="AA651" s="31" t="str">
        <f>Tabela2[[#This Row],[ILUSTRADOR CRIAÇÃO]]</f>
        <v>THAIS CASTRO/ARQUIVO DA EDITORA</v>
      </c>
      <c r="AB651" s="33"/>
      <c r="AC651" s="16"/>
      <c r="AE651" s="35" t="str">
        <f t="shared" si="10"/>
        <v>EF1 E002 Mat</v>
      </c>
    </row>
    <row r="652" spans="1:31" ht="45" x14ac:dyDescent="0.25">
      <c r="A652" s="31" t="s">
        <v>1402</v>
      </c>
      <c r="B652" s="16" t="s">
        <v>32</v>
      </c>
      <c r="C652" s="16" t="s">
        <v>33</v>
      </c>
      <c r="D652" s="33" t="s">
        <v>34</v>
      </c>
      <c r="E652" s="33">
        <v>157</v>
      </c>
      <c r="F652" s="33">
        <v>2</v>
      </c>
      <c r="G652" s="33">
        <v>9</v>
      </c>
      <c r="H652" s="33"/>
      <c r="I652" s="31" t="s">
        <v>46</v>
      </c>
      <c r="J652" s="31"/>
      <c r="K652" s="33"/>
      <c r="L652" s="33"/>
      <c r="M652" s="31"/>
      <c r="N652" s="31"/>
      <c r="O652" s="16" t="s">
        <v>1403</v>
      </c>
      <c r="P652" s="16"/>
      <c r="Q652" s="16"/>
      <c r="R652" s="33"/>
      <c r="S652" s="34"/>
      <c r="T652" s="34"/>
      <c r="U652" s="34"/>
      <c r="V652" s="34"/>
      <c r="W652" s="34"/>
      <c r="X652" s="33" t="s">
        <v>247</v>
      </c>
      <c r="Y652" s="35" t="str">
        <f>IF(Tabela2[[#This Row],[SIGLA]]="","",VLOOKUP(Tabela2[[#This Row],[SIGLA]],Tabela1[[#All],[Sigla Arte]:[Crédito]],2,0))</f>
        <v>THAIS CASTRO/ARQUIVO DA EDITORA</v>
      </c>
      <c r="Z652" s="31"/>
      <c r="AA652" s="31" t="str">
        <f>Tabela2[[#This Row],[ILUSTRADOR CRIAÇÃO]]</f>
        <v>THAIS CASTRO/ARQUIVO DA EDITORA</v>
      </c>
      <c r="AB652" s="33"/>
      <c r="AC652" s="16"/>
      <c r="AE652" s="35" t="str">
        <f t="shared" si="10"/>
        <v>EF1 E002 Mat</v>
      </c>
    </row>
    <row r="653" spans="1:31" ht="30" x14ac:dyDescent="0.25">
      <c r="A653" s="31" t="s">
        <v>1404</v>
      </c>
      <c r="B653" s="16" t="s">
        <v>32</v>
      </c>
      <c r="C653" s="16" t="s">
        <v>33</v>
      </c>
      <c r="D653" s="33" t="s">
        <v>34</v>
      </c>
      <c r="E653" s="33">
        <v>157</v>
      </c>
      <c r="F653" s="33">
        <v>2</v>
      </c>
      <c r="G653" s="33">
        <v>9</v>
      </c>
      <c r="H653" s="33"/>
      <c r="I653" s="31" t="s">
        <v>46</v>
      </c>
      <c r="J653" s="31"/>
      <c r="K653" s="33"/>
      <c r="L653" s="33"/>
      <c r="M653" s="31"/>
      <c r="N653" s="31"/>
      <c r="O653" s="16" t="s">
        <v>1405</v>
      </c>
      <c r="P653" s="16"/>
      <c r="Q653" s="16"/>
      <c r="R653" s="33"/>
      <c r="S653" s="34"/>
      <c r="T653" s="34"/>
      <c r="U653" s="34"/>
      <c r="V653" s="34"/>
      <c r="W653" s="34"/>
      <c r="X653" s="33" t="s">
        <v>247</v>
      </c>
      <c r="Y653" s="35" t="str">
        <f>IF(Tabela2[[#This Row],[SIGLA]]="","",VLOOKUP(Tabela2[[#This Row],[SIGLA]],Tabela1[[#All],[Sigla Arte]:[Crédito]],2,0))</f>
        <v>THAIS CASTRO/ARQUIVO DA EDITORA</v>
      </c>
      <c r="Z653" s="31"/>
      <c r="AA653" s="31" t="str">
        <f>Tabela2[[#This Row],[ILUSTRADOR CRIAÇÃO]]</f>
        <v>THAIS CASTRO/ARQUIVO DA EDITORA</v>
      </c>
      <c r="AB653" s="33"/>
      <c r="AC653" s="16"/>
      <c r="AE653" s="35" t="str">
        <f t="shared" si="10"/>
        <v>EF1 E002 Mat</v>
      </c>
    </row>
    <row r="654" spans="1:31" ht="30" x14ac:dyDescent="0.25">
      <c r="A654" s="31" t="s">
        <v>1406</v>
      </c>
      <c r="B654" s="16" t="s">
        <v>401</v>
      </c>
      <c r="C654" s="16" t="s">
        <v>33</v>
      </c>
      <c r="D654" s="33" t="s">
        <v>34</v>
      </c>
      <c r="E654" s="33">
        <v>159</v>
      </c>
      <c r="F654" s="33">
        <v>2</v>
      </c>
      <c r="G654" s="33">
        <v>9</v>
      </c>
      <c r="H654" s="33"/>
      <c r="I654" s="31" t="s">
        <v>46</v>
      </c>
      <c r="J654" s="31"/>
      <c r="K654" s="33"/>
      <c r="L654" s="33"/>
      <c r="M654" s="31"/>
      <c r="N654" s="31"/>
      <c r="O654" s="16" t="s">
        <v>1407</v>
      </c>
      <c r="P654" s="16"/>
      <c r="Q654" s="16"/>
      <c r="R654" s="33"/>
      <c r="S654" s="34"/>
      <c r="T654" s="34"/>
      <c r="U654" s="34"/>
      <c r="V654" s="34"/>
      <c r="W654" s="34"/>
      <c r="X654" s="33" t="s">
        <v>247</v>
      </c>
      <c r="Y654" s="35" t="str">
        <f>IF(Tabela2[[#This Row],[SIGLA]]="","",VLOOKUP(Tabela2[[#This Row],[SIGLA]],Tabela1[[#All],[Sigla Arte]:[Crédito]],2,0))</f>
        <v>THAIS CASTRO/ARQUIVO DA EDITORA</v>
      </c>
      <c r="Z654" s="31"/>
      <c r="AA654" s="31" t="str">
        <f>Tabela2[[#This Row],[ILUSTRADOR CRIAÇÃO]]</f>
        <v>THAIS CASTRO/ARQUIVO DA EDITORA</v>
      </c>
      <c r="AB654" s="33"/>
      <c r="AC654" s="16"/>
      <c r="AE654" s="35" t="str">
        <f t="shared" si="10"/>
        <v>EF1 E002 Mat</v>
      </c>
    </row>
    <row r="655" spans="1:31" ht="30" x14ac:dyDescent="0.25">
      <c r="A655" s="31" t="s">
        <v>1408</v>
      </c>
      <c r="B655" s="16" t="s">
        <v>32</v>
      </c>
      <c r="C655" s="16" t="s">
        <v>33</v>
      </c>
      <c r="D655" s="33" t="s">
        <v>34</v>
      </c>
      <c r="E655" s="33">
        <v>226</v>
      </c>
      <c r="F655" s="33">
        <v>2</v>
      </c>
      <c r="G655" s="33">
        <v>10</v>
      </c>
      <c r="H655" s="33"/>
      <c r="I655" s="31" t="s">
        <v>46</v>
      </c>
      <c r="J655" s="31"/>
      <c r="K655" s="33"/>
      <c r="L655" s="33"/>
      <c r="M655" s="31"/>
      <c r="N655" s="31"/>
      <c r="O655" s="16" t="s">
        <v>1409</v>
      </c>
      <c r="P655" s="16"/>
      <c r="Q655" s="16"/>
      <c r="R655" s="33"/>
      <c r="S655" s="34"/>
      <c r="T655" s="34"/>
      <c r="U655" s="34"/>
      <c r="V655" s="34"/>
      <c r="W655" s="34"/>
      <c r="X655" s="33" t="s">
        <v>399</v>
      </c>
      <c r="Y655" s="35" t="str">
        <f>IF(Tabela2[[#This Row],[SIGLA]]="","",VLOOKUP(Tabela2[[#This Row],[SIGLA]],Tabela1[[#All],[Sigla Arte]:[Crédito]],2,0))</f>
        <v>MÁRCIO GUERRA/ARQUIVO DA EDITORA</v>
      </c>
      <c r="Z655" s="31"/>
      <c r="AA655" s="31" t="str">
        <f>Tabela2[[#This Row],[ILUSTRADOR CRIAÇÃO]]</f>
        <v>MÁRCIO GUERRA/ARQUIVO DA EDITORA</v>
      </c>
      <c r="AB655" s="33"/>
      <c r="AC655" s="16"/>
      <c r="AE655" s="35" t="str">
        <f t="shared" si="10"/>
        <v>EF1 E002 Mat</v>
      </c>
    </row>
    <row r="656" spans="1:31" ht="30" x14ac:dyDescent="0.25">
      <c r="A656" s="31" t="s">
        <v>1410</v>
      </c>
      <c r="B656" s="16" t="s">
        <v>32</v>
      </c>
      <c r="C656" s="16" t="s">
        <v>33</v>
      </c>
      <c r="D656" s="33" t="s">
        <v>34</v>
      </c>
      <c r="E656" s="33">
        <v>227</v>
      </c>
      <c r="F656" s="33">
        <v>2</v>
      </c>
      <c r="G656" s="33">
        <v>10</v>
      </c>
      <c r="H656" s="33"/>
      <c r="I656" s="31" t="s">
        <v>46</v>
      </c>
      <c r="J656" s="31"/>
      <c r="K656" s="33"/>
      <c r="L656" s="33"/>
      <c r="M656" s="31"/>
      <c r="N656" s="31"/>
      <c r="O656" s="16" t="s">
        <v>1411</v>
      </c>
      <c r="P656" s="16"/>
      <c r="Q656" s="16"/>
      <c r="R656" s="33"/>
      <c r="S656" s="34"/>
      <c r="T656" s="34"/>
      <c r="U656" s="34"/>
      <c r="V656" s="34"/>
      <c r="W656" s="34"/>
      <c r="X656" s="33" t="s">
        <v>184</v>
      </c>
      <c r="Y656" s="35" t="str">
        <f>IF(Tabela2[[#This Row],[SIGLA]]="","",VLOOKUP(Tabela2[[#This Row],[SIGLA]],Tabela1[[#All],[Sigla Arte]:[Crédito]],2,0))</f>
        <v>VER DOCUMENTO DE ILS. TÉCNICAS</v>
      </c>
      <c r="Z656" s="31"/>
      <c r="AA656" s="31" t="s">
        <v>1412</v>
      </c>
      <c r="AB656" s="33"/>
      <c r="AC656" s="16"/>
      <c r="AE656" s="35" t="str">
        <f t="shared" si="10"/>
        <v>EF1 E002 Mat</v>
      </c>
    </row>
    <row r="657" spans="1:31" ht="30" x14ac:dyDescent="0.25">
      <c r="A657" s="31" t="s">
        <v>1413</v>
      </c>
      <c r="B657" s="16" t="s">
        <v>32</v>
      </c>
      <c r="C657" s="16" t="s">
        <v>33</v>
      </c>
      <c r="D657" s="33" t="s">
        <v>34</v>
      </c>
      <c r="E657" s="33">
        <v>227</v>
      </c>
      <c r="F657" s="33">
        <v>2</v>
      </c>
      <c r="G657" s="33">
        <v>10</v>
      </c>
      <c r="H657" s="33"/>
      <c r="I657" s="31" t="s">
        <v>46</v>
      </c>
      <c r="J657" s="31"/>
      <c r="K657" s="33"/>
      <c r="L657" s="33"/>
      <c r="M657" s="31"/>
      <c r="N657" s="31"/>
      <c r="O657" s="16" t="s">
        <v>1414</v>
      </c>
      <c r="P657" s="16"/>
      <c r="Q657" s="16"/>
      <c r="R657" s="33"/>
      <c r="S657" s="34"/>
      <c r="T657" s="34"/>
      <c r="U657" s="34"/>
      <c r="V657" s="34"/>
      <c r="W657" s="34"/>
      <c r="X657" s="33" t="s">
        <v>184</v>
      </c>
      <c r="Y657" s="35" t="str">
        <f>IF(Tabela2[[#This Row],[SIGLA]]="","",VLOOKUP(Tabela2[[#This Row],[SIGLA]],Tabela1[[#All],[Sigla Arte]:[Crédito]],2,0))</f>
        <v>VER DOCUMENTO DE ILS. TÉCNICAS</v>
      </c>
      <c r="Z657" s="31"/>
      <c r="AA657" s="31" t="s">
        <v>1412</v>
      </c>
      <c r="AB657" s="33"/>
      <c r="AC657" s="16"/>
      <c r="AE657" s="35" t="str">
        <f t="shared" si="10"/>
        <v>EF1 E002 Mat</v>
      </c>
    </row>
    <row r="658" spans="1:31" ht="30" x14ac:dyDescent="0.25">
      <c r="A658" s="31" t="s">
        <v>1415</v>
      </c>
      <c r="B658" s="16" t="s">
        <v>32</v>
      </c>
      <c r="C658" s="16" t="s">
        <v>33</v>
      </c>
      <c r="D658" s="33" t="s">
        <v>34</v>
      </c>
      <c r="E658" s="33">
        <v>231</v>
      </c>
      <c r="F658" s="33">
        <v>2</v>
      </c>
      <c r="G658" s="33">
        <v>10</v>
      </c>
      <c r="H658" s="33"/>
      <c r="I658" s="31" t="s">
        <v>46</v>
      </c>
      <c r="J658" s="31"/>
      <c r="K658" s="33"/>
      <c r="L658" s="33"/>
      <c r="M658" s="31"/>
      <c r="N658" s="31"/>
      <c r="O658" s="16" t="s">
        <v>1416</v>
      </c>
      <c r="P658" s="16"/>
      <c r="Q658" s="16"/>
      <c r="R658" s="33"/>
      <c r="S658" s="34"/>
      <c r="T658" s="34"/>
      <c r="U658" s="34"/>
      <c r="V658" s="34"/>
      <c r="W658" s="34"/>
      <c r="X658" s="33" t="s">
        <v>184</v>
      </c>
      <c r="Y658" s="35" t="str">
        <f>IF(Tabela2[[#This Row],[SIGLA]]="","",VLOOKUP(Tabela2[[#This Row],[SIGLA]],Tabela1[[#All],[Sigla Arte]:[Crédito]],2,0))</f>
        <v>VER DOCUMENTO DE ILS. TÉCNICAS</v>
      </c>
      <c r="Z658" s="31"/>
      <c r="AA658" s="31" t="s">
        <v>1412</v>
      </c>
      <c r="AB658" s="33"/>
      <c r="AC658" s="16"/>
      <c r="AE658" s="35" t="str">
        <f t="shared" si="10"/>
        <v>EF1 E002 Mat</v>
      </c>
    </row>
    <row r="659" spans="1:31" ht="30" x14ac:dyDescent="0.25">
      <c r="A659" s="31" t="s">
        <v>1417</v>
      </c>
      <c r="B659" s="16" t="s">
        <v>32</v>
      </c>
      <c r="C659" s="16" t="s">
        <v>33</v>
      </c>
      <c r="D659" s="33" t="s">
        <v>34</v>
      </c>
      <c r="E659" s="33">
        <v>231</v>
      </c>
      <c r="F659" s="33">
        <v>2</v>
      </c>
      <c r="G659" s="33">
        <v>10</v>
      </c>
      <c r="H659" s="33"/>
      <c r="I659" s="31" t="s">
        <v>46</v>
      </c>
      <c r="J659" s="31"/>
      <c r="K659" s="33"/>
      <c r="L659" s="33"/>
      <c r="M659" s="31"/>
      <c r="N659" s="31"/>
      <c r="O659" s="16" t="s">
        <v>1418</v>
      </c>
      <c r="P659" s="16"/>
      <c r="Q659" s="16"/>
      <c r="R659" s="33"/>
      <c r="S659" s="34"/>
      <c r="T659" s="34"/>
      <c r="U659" s="34"/>
      <c r="V659" s="34"/>
      <c r="W659" s="34"/>
      <c r="X659" s="33" t="s">
        <v>184</v>
      </c>
      <c r="Y659" s="35" t="str">
        <f>IF(Tabela2[[#This Row],[SIGLA]]="","",VLOOKUP(Tabela2[[#This Row],[SIGLA]],Tabela1[[#All],[Sigla Arte]:[Crédito]],2,0))</f>
        <v>VER DOCUMENTO DE ILS. TÉCNICAS</v>
      </c>
      <c r="Z659" s="31"/>
      <c r="AA659" s="31" t="s">
        <v>1412</v>
      </c>
      <c r="AB659" s="33"/>
      <c r="AC659" s="16"/>
      <c r="AE659" s="35" t="str">
        <f t="shared" si="10"/>
        <v>EF1 E002 Mat</v>
      </c>
    </row>
    <row r="660" spans="1:31" ht="30" x14ac:dyDescent="0.25">
      <c r="A660" s="31" t="s">
        <v>1419</v>
      </c>
      <c r="B660" s="16" t="s">
        <v>32</v>
      </c>
      <c r="C660" s="16" t="s">
        <v>33</v>
      </c>
      <c r="D660" s="33" t="s">
        <v>34</v>
      </c>
      <c r="E660" s="33">
        <v>231</v>
      </c>
      <c r="F660" s="33">
        <v>2</v>
      </c>
      <c r="G660" s="33">
        <v>10</v>
      </c>
      <c r="H660" s="33"/>
      <c r="I660" s="31" t="s">
        <v>46</v>
      </c>
      <c r="J660" s="31"/>
      <c r="K660" s="33"/>
      <c r="L660" s="33"/>
      <c r="M660" s="31"/>
      <c r="N660" s="31"/>
      <c r="O660" s="16" t="s">
        <v>1420</v>
      </c>
      <c r="P660" s="16"/>
      <c r="Q660" s="16"/>
      <c r="R660" s="33"/>
      <c r="S660" s="34"/>
      <c r="T660" s="34"/>
      <c r="U660" s="34"/>
      <c r="V660" s="34"/>
      <c r="W660" s="34"/>
      <c r="X660" s="33" t="s">
        <v>184</v>
      </c>
      <c r="Y660" s="35" t="str">
        <f>IF(Tabela2[[#This Row],[SIGLA]]="","",VLOOKUP(Tabela2[[#This Row],[SIGLA]],Tabela1[[#All],[Sigla Arte]:[Crédito]],2,0))</f>
        <v>VER DOCUMENTO DE ILS. TÉCNICAS</v>
      </c>
      <c r="Z660" s="31"/>
      <c r="AA660" s="31" t="s">
        <v>1412</v>
      </c>
      <c r="AB660" s="33"/>
      <c r="AC660" s="16"/>
      <c r="AE660" s="35" t="str">
        <f t="shared" si="10"/>
        <v>EF1 E002 Mat</v>
      </c>
    </row>
    <row r="661" spans="1:31" ht="60" x14ac:dyDescent="0.25">
      <c r="A661" s="31" t="s">
        <v>1421</v>
      </c>
      <c r="B661" s="16" t="s">
        <v>32</v>
      </c>
      <c r="C661" s="16" t="s">
        <v>164</v>
      </c>
      <c r="D661" s="33" t="s">
        <v>34</v>
      </c>
      <c r="E661" s="33">
        <v>229</v>
      </c>
      <c r="F661" s="33">
        <v>2</v>
      </c>
      <c r="G661" s="33">
        <v>10</v>
      </c>
      <c r="H661" s="33"/>
      <c r="I661" s="31" t="s">
        <v>35</v>
      </c>
      <c r="J661" s="31"/>
      <c r="K661" s="33"/>
      <c r="L661" s="33"/>
      <c r="M661" s="31"/>
      <c r="N661" s="31"/>
      <c r="O661" s="16" t="s">
        <v>1422</v>
      </c>
      <c r="P661" s="16"/>
      <c r="Q661" s="16"/>
      <c r="R661" s="33"/>
      <c r="S661" s="34"/>
      <c r="T661" s="34">
        <v>45861</v>
      </c>
      <c r="U661" s="34"/>
      <c r="V661" s="34"/>
      <c r="W661" s="34">
        <v>45868</v>
      </c>
      <c r="X661" s="33" t="s">
        <v>85</v>
      </c>
      <c r="Y661" s="35" t="str">
        <f>IF(Tabela2[[#This Row],[SIGLA]]="","",VLOOKUP(Tabela2[[#This Row],[SIGLA]],Tabela1[[#All],[Sigla Arte]:[Crédito]],2,0))</f>
        <v>HELOÍSA PINTARELLI/ARQUIVO DA EDITORA</v>
      </c>
      <c r="Z661" s="31" t="s">
        <v>924</v>
      </c>
      <c r="AA661" s="31" t="str">
        <f>Tabela2[[#This Row],[ILUSTRADOR CRIAÇÃO]]</f>
        <v>HELOÍSA PINTARELLI/ARQUIVO DA EDITORA</v>
      </c>
      <c r="AB661" s="33">
        <v>13</v>
      </c>
      <c r="AC661" s="16" t="s">
        <v>222</v>
      </c>
      <c r="AD661" s="16" t="s">
        <v>40</v>
      </c>
      <c r="AE661" s="35" t="str">
        <f t="shared" si="10"/>
        <v>EF1 E002 Mat</v>
      </c>
    </row>
    <row r="662" spans="1:31" ht="60" x14ac:dyDescent="0.25">
      <c r="A662" s="31" t="s">
        <v>1423</v>
      </c>
      <c r="B662" s="16" t="s">
        <v>32</v>
      </c>
      <c r="C662" s="16" t="s">
        <v>164</v>
      </c>
      <c r="D662" s="33" t="s">
        <v>34</v>
      </c>
      <c r="E662" s="33">
        <v>229</v>
      </c>
      <c r="F662" s="33">
        <v>2</v>
      </c>
      <c r="G662" s="33">
        <v>10</v>
      </c>
      <c r="H662" s="33"/>
      <c r="I662" s="31" t="s">
        <v>46</v>
      </c>
      <c r="J662" s="31"/>
      <c r="K662" s="33"/>
      <c r="L662" s="33"/>
      <c r="M662" s="31"/>
      <c r="N662" s="31"/>
      <c r="O662" s="16" t="s">
        <v>1424</v>
      </c>
      <c r="P662" s="16"/>
      <c r="Q662" s="16"/>
      <c r="R662" s="33"/>
      <c r="S662" s="34"/>
      <c r="T662" s="34"/>
      <c r="U662" s="34"/>
      <c r="V662" s="34"/>
      <c r="W662" s="34"/>
      <c r="X662" s="33" t="s">
        <v>85</v>
      </c>
      <c r="Y662" s="35" t="str">
        <f>IF(Tabela2[[#This Row],[SIGLA]]="","",VLOOKUP(Tabela2[[#This Row],[SIGLA]],Tabela1[[#All],[Sigla Arte]:[Crédito]],2,0))</f>
        <v>HELOÍSA PINTARELLI/ARQUIVO DA EDITORA</v>
      </c>
      <c r="Z662" s="31"/>
      <c r="AA662" s="31" t="str">
        <f>Tabela2[[#This Row],[ILUSTRADOR CRIAÇÃO]]</f>
        <v>HELOÍSA PINTARELLI/ARQUIVO DA EDITORA</v>
      </c>
      <c r="AB662" s="33"/>
      <c r="AC662" s="16"/>
      <c r="AE662" s="35" t="str">
        <f t="shared" si="10"/>
        <v>EF1 E002 Mat</v>
      </c>
    </row>
    <row r="663" spans="1:31" ht="60" x14ac:dyDescent="0.25">
      <c r="A663" s="31" t="s">
        <v>1425</v>
      </c>
      <c r="B663" s="16" t="s">
        <v>32</v>
      </c>
      <c r="C663" s="16" t="s">
        <v>33</v>
      </c>
      <c r="D663" s="33" t="s">
        <v>34</v>
      </c>
      <c r="E663" s="33">
        <v>232</v>
      </c>
      <c r="F663" s="33">
        <v>2</v>
      </c>
      <c r="G663" s="33">
        <v>10</v>
      </c>
      <c r="H663" s="33"/>
      <c r="I663" s="31" t="s">
        <v>46</v>
      </c>
      <c r="J663" s="31"/>
      <c r="K663" s="33"/>
      <c r="L663" s="33"/>
      <c r="M663" s="31"/>
      <c r="N663" s="31"/>
      <c r="O663" s="16" t="s">
        <v>1426</v>
      </c>
      <c r="P663" s="16"/>
      <c r="Q663" s="16"/>
      <c r="R663" s="33"/>
      <c r="S663" s="34"/>
      <c r="T663" s="34"/>
      <c r="U663" s="34"/>
      <c r="V663" s="34"/>
      <c r="W663" s="34"/>
      <c r="X663" s="33" t="s">
        <v>399</v>
      </c>
      <c r="Y663" s="35" t="str">
        <f>IF(Tabela2[[#This Row],[SIGLA]]="","",VLOOKUP(Tabela2[[#This Row],[SIGLA]],Tabela1[[#All],[Sigla Arte]:[Crédito]],2,0))</f>
        <v>MÁRCIO GUERRA/ARQUIVO DA EDITORA</v>
      </c>
      <c r="Z663" s="31"/>
      <c r="AA663" s="31" t="str">
        <f>Tabela2[[#This Row],[ILUSTRADOR CRIAÇÃO]]</f>
        <v>MÁRCIO GUERRA/ARQUIVO DA EDITORA</v>
      </c>
      <c r="AB663" s="33"/>
      <c r="AC663" s="16"/>
      <c r="AE663" s="35" t="str">
        <f t="shared" si="10"/>
        <v>EF1 E002 Mat</v>
      </c>
    </row>
    <row r="664" spans="1:31" ht="60" x14ac:dyDescent="0.25">
      <c r="A664" s="31" t="s">
        <v>1427</v>
      </c>
      <c r="B664" s="16" t="s">
        <v>32</v>
      </c>
      <c r="C664" s="16" t="s">
        <v>33</v>
      </c>
      <c r="D664" s="33" t="s">
        <v>34</v>
      </c>
      <c r="E664" s="33">
        <v>232</v>
      </c>
      <c r="F664" s="33">
        <v>2</v>
      </c>
      <c r="G664" s="33">
        <v>10</v>
      </c>
      <c r="H664" s="33"/>
      <c r="I664" s="31" t="s">
        <v>46</v>
      </c>
      <c r="J664" s="31"/>
      <c r="K664" s="33"/>
      <c r="L664" s="33"/>
      <c r="M664" s="31"/>
      <c r="N664" s="31"/>
      <c r="O664" s="16" t="s">
        <v>1428</v>
      </c>
      <c r="P664" s="16"/>
      <c r="Q664" s="16"/>
      <c r="R664" s="33"/>
      <c r="S664" s="34"/>
      <c r="T664" s="34"/>
      <c r="U664" s="34"/>
      <c r="V664" s="34"/>
      <c r="W664" s="34"/>
      <c r="X664" s="33" t="s">
        <v>85</v>
      </c>
      <c r="Y664" s="35" t="str">
        <f>IF(Tabela2[[#This Row],[SIGLA]]="","",VLOOKUP(Tabela2[[#This Row],[SIGLA]],Tabela1[[#All],[Sigla Arte]:[Crédito]],2,0))</f>
        <v>HELOÍSA PINTARELLI/ARQUIVO DA EDITORA</v>
      </c>
      <c r="Z664" s="31"/>
      <c r="AA664" s="31" t="str">
        <f>Tabela2[[#This Row],[ILUSTRADOR CRIAÇÃO]]</f>
        <v>HELOÍSA PINTARELLI/ARQUIVO DA EDITORA</v>
      </c>
      <c r="AB664" s="33"/>
      <c r="AC664" s="16"/>
      <c r="AE664" s="35" t="str">
        <f t="shared" si="10"/>
        <v>EF1 E002 Mat</v>
      </c>
    </row>
    <row r="665" spans="1:31" ht="30" x14ac:dyDescent="0.25">
      <c r="A665" s="31" t="s">
        <v>1429</v>
      </c>
      <c r="B665" s="16" t="s">
        <v>32</v>
      </c>
      <c r="C665" s="16" t="s">
        <v>33</v>
      </c>
      <c r="D665" s="33" t="s">
        <v>34</v>
      </c>
      <c r="E665" s="33">
        <v>233</v>
      </c>
      <c r="F665" s="33">
        <v>2</v>
      </c>
      <c r="G665" s="33">
        <v>10</v>
      </c>
      <c r="H665" s="33"/>
      <c r="I665" s="31" t="s">
        <v>46</v>
      </c>
      <c r="J665" s="31"/>
      <c r="K665" s="33"/>
      <c r="L665" s="33"/>
      <c r="M665" s="31"/>
      <c r="N665" s="31"/>
      <c r="O665" s="16" t="s">
        <v>1430</v>
      </c>
      <c r="P665" s="16"/>
      <c r="Q665" s="16"/>
      <c r="R665" s="33"/>
      <c r="S665" s="34"/>
      <c r="T665" s="34"/>
      <c r="U665" s="34"/>
      <c r="V665" s="34"/>
      <c r="W665" s="34"/>
      <c r="X665" s="33" t="s">
        <v>85</v>
      </c>
      <c r="Y665" s="35" t="str">
        <f>IF(Tabela2[[#This Row],[SIGLA]]="","",VLOOKUP(Tabela2[[#This Row],[SIGLA]],Tabela1[[#All],[Sigla Arte]:[Crédito]],2,0))</f>
        <v>HELOÍSA PINTARELLI/ARQUIVO DA EDITORA</v>
      </c>
      <c r="Z665" s="31"/>
      <c r="AA665" s="31" t="str">
        <f>Tabela2[[#This Row],[ILUSTRADOR CRIAÇÃO]]</f>
        <v>HELOÍSA PINTARELLI/ARQUIVO DA EDITORA</v>
      </c>
      <c r="AB665" s="33"/>
      <c r="AC665" s="16"/>
      <c r="AE665" s="35" t="str">
        <f t="shared" si="10"/>
        <v>EF1 E002 Mat</v>
      </c>
    </row>
    <row r="666" spans="1:31" ht="60" x14ac:dyDescent="0.25">
      <c r="A666" s="31" t="s">
        <v>1431</v>
      </c>
      <c r="B666" s="16" t="s">
        <v>32</v>
      </c>
      <c r="C666" s="16" t="s">
        <v>33</v>
      </c>
      <c r="D666" s="33" t="s">
        <v>34</v>
      </c>
      <c r="E666" s="33">
        <v>233</v>
      </c>
      <c r="F666" s="33">
        <v>2</v>
      </c>
      <c r="G666" s="33">
        <v>10</v>
      </c>
      <c r="H666" s="33"/>
      <c r="I666" s="31" t="s">
        <v>46</v>
      </c>
      <c r="J666" s="31"/>
      <c r="K666" s="33"/>
      <c r="L666" s="33"/>
      <c r="M666" s="31"/>
      <c r="N666" s="31"/>
      <c r="O666" s="16" t="s">
        <v>1432</v>
      </c>
      <c r="P666" s="16"/>
      <c r="Q666" s="16"/>
      <c r="R666" s="33"/>
      <c r="S666" s="34"/>
      <c r="T666" s="34"/>
      <c r="U666" s="34"/>
      <c r="V666" s="34"/>
      <c r="W666" s="34"/>
      <c r="X666" s="33" t="s">
        <v>85</v>
      </c>
      <c r="Y666" s="35" t="str">
        <f>IF(Tabela2[[#This Row],[SIGLA]]="","",VLOOKUP(Tabela2[[#This Row],[SIGLA]],Tabela1[[#All],[Sigla Arte]:[Crédito]],2,0))</f>
        <v>HELOÍSA PINTARELLI/ARQUIVO DA EDITORA</v>
      </c>
      <c r="Z666" s="31"/>
      <c r="AA666" s="31" t="str">
        <f>Tabela2[[#This Row],[ILUSTRADOR CRIAÇÃO]]</f>
        <v>HELOÍSA PINTARELLI/ARQUIVO DA EDITORA</v>
      </c>
      <c r="AB666" s="33"/>
      <c r="AC666" s="16"/>
      <c r="AE666" s="35" t="str">
        <f t="shared" si="10"/>
        <v>EF1 E002 Mat</v>
      </c>
    </row>
    <row r="667" spans="1:31" ht="60" x14ac:dyDescent="0.25">
      <c r="A667" s="31" t="s">
        <v>1433</v>
      </c>
      <c r="B667" s="16" t="s">
        <v>32</v>
      </c>
      <c r="C667" s="16" t="s">
        <v>33</v>
      </c>
      <c r="D667" s="33" t="s">
        <v>34</v>
      </c>
      <c r="E667" s="33">
        <v>233</v>
      </c>
      <c r="F667" s="33">
        <v>2</v>
      </c>
      <c r="G667" s="33">
        <v>10</v>
      </c>
      <c r="H667" s="33"/>
      <c r="I667" s="31" t="s">
        <v>46</v>
      </c>
      <c r="J667" s="31"/>
      <c r="K667" s="33"/>
      <c r="L667" s="33"/>
      <c r="M667" s="31"/>
      <c r="N667" s="31"/>
      <c r="O667" s="16" t="s">
        <v>1434</v>
      </c>
      <c r="P667" s="16"/>
      <c r="Q667" s="16"/>
      <c r="R667" s="33"/>
      <c r="S667" s="34"/>
      <c r="T667" s="34"/>
      <c r="U667" s="34"/>
      <c r="V667" s="34"/>
      <c r="W667" s="34"/>
      <c r="X667" s="33" t="s">
        <v>85</v>
      </c>
      <c r="Y667" s="35" t="str">
        <f>IF(Tabela2[[#This Row],[SIGLA]]="","",VLOOKUP(Tabela2[[#This Row],[SIGLA]],Tabela1[[#All],[Sigla Arte]:[Crédito]],2,0))</f>
        <v>HELOÍSA PINTARELLI/ARQUIVO DA EDITORA</v>
      </c>
      <c r="Z667" s="31"/>
      <c r="AA667" s="31" t="str">
        <f>Tabela2[[#This Row],[ILUSTRADOR CRIAÇÃO]]</f>
        <v>HELOÍSA PINTARELLI/ARQUIVO DA EDITORA</v>
      </c>
      <c r="AB667" s="33"/>
      <c r="AC667" s="16"/>
      <c r="AE667" s="35" t="str">
        <f t="shared" si="10"/>
        <v>EF1 E002 Mat</v>
      </c>
    </row>
    <row r="668" spans="1:31" ht="60" x14ac:dyDescent="0.25">
      <c r="A668" s="31" t="s">
        <v>1435</v>
      </c>
      <c r="B668" s="16" t="s">
        <v>32</v>
      </c>
      <c r="C668" s="16" t="s">
        <v>33</v>
      </c>
      <c r="D668" s="33" t="s">
        <v>34</v>
      </c>
      <c r="E668" s="33">
        <v>234</v>
      </c>
      <c r="F668" s="33">
        <v>2</v>
      </c>
      <c r="G668" s="33">
        <v>10</v>
      </c>
      <c r="H668" s="33"/>
      <c r="I668" s="31" t="s">
        <v>46</v>
      </c>
      <c r="J668" s="31"/>
      <c r="K668" s="33"/>
      <c r="L668" s="33"/>
      <c r="M668" s="31"/>
      <c r="N668" s="31"/>
      <c r="O668" s="16" t="s">
        <v>1436</v>
      </c>
      <c r="P668" s="16"/>
      <c r="Q668" s="16"/>
      <c r="R668" s="33"/>
      <c r="S668" s="34"/>
      <c r="T668" s="34"/>
      <c r="U668" s="34"/>
      <c r="V668" s="34"/>
      <c r="W668" s="34"/>
      <c r="X668" s="33" t="s">
        <v>399</v>
      </c>
      <c r="Y668" s="35" t="str">
        <f>IF(Tabela2[[#This Row],[SIGLA]]="","",VLOOKUP(Tabela2[[#This Row],[SIGLA]],Tabela1[[#All],[Sigla Arte]:[Crédito]],2,0))</f>
        <v>MÁRCIO GUERRA/ARQUIVO DA EDITORA</v>
      </c>
      <c r="Z668" s="31"/>
      <c r="AA668" s="31" t="str">
        <f>Tabela2[[#This Row],[ILUSTRADOR CRIAÇÃO]]</f>
        <v>MÁRCIO GUERRA/ARQUIVO DA EDITORA</v>
      </c>
      <c r="AB668" s="33"/>
      <c r="AC668" s="16"/>
      <c r="AE668" s="35" t="str">
        <f t="shared" si="10"/>
        <v>EF1 E002 Mat</v>
      </c>
    </row>
    <row r="669" spans="1:31" ht="60" x14ac:dyDescent="0.25">
      <c r="A669" s="31" t="s">
        <v>1437</v>
      </c>
      <c r="B669" s="16" t="s">
        <v>32</v>
      </c>
      <c r="C669" s="16" t="s">
        <v>33</v>
      </c>
      <c r="D669" s="33" t="s">
        <v>34</v>
      </c>
      <c r="E669" s="33">
        <v>234</v>
      </c>
      <c r="F669" s="33">
        <v>2</v>
      </c>
      <c r="G669" s="33">
        <v>10</v>
      </c>
      <c r="H669" s="33"/>
      <c r="I669" s="31" t="s">
        <v>46</v>
      </c>
      <c r="J669" s="31"/>
      <c r="K669" s="33"/>
      <c r="L669" s="33"/>
      <c r="M669" s="31"/>
      <c r="N669" s="31"/>
      <c r="O669" s="16" t="s">
        <v>1438</v>
      </c>
      <c r="P669" s="16"/>
      <c r="Q669" s="16"/>
      <c r="R669" s="33"/>
      <c r="S669" s="34"/>
      <c r="T669" s="34"/>
      <c r="U669" s="34"/>
      <c r="V669" s="34"/>
      <c r="W669" s="34"/>
      <c r="X669" s="33" t="s">
        <v>85</v>
      </c>
      <c r="Y669" s="35" t="str">
        <f>IF(Tabela2[[#This Row],[SIGLA]]="","",VLOOKUP(Tabela2[[#This Row],[SIGLA]],Tabela1[[#All],[Sigla Arte]:[Crédito]],2,0))</f>
        <v>HELOÍSA PINTARELLI/ARQUIVO DA EDITORA</v>
      </c>
      <c r="Z669" s="31"/>
      <c r="AA669" s="31" t="str">
        <f>Tabela2[[#This Row],[ILUSTRADOR CRIAÇÃO]]</f>
        <v>HELOÍSA PINTARELLI/ARQUIVO DA EDITORA</v>
      </c>
      <c r="AB669" s="33"/>
      <c r="AC669" s="16"/>
      <c r="AE669" s="35" t="str">
        <f t="shared" si="10"/>
        <v>EF1 E002 Mat</v>
      </c>
    </row>
    <row r="670" spans="1:31" ht="45" x14ac:dyDescent="0.25">
      <c r="A670" s="31" t="s">
        <v>1439</v>
      </c>
      <c r="B670" s="16" t="s">
        <v>32</v>
      </c>
      <c r="C670" s="16" t="s">
        <v>33</v>
      </c>
      <c r="D670" s="33" t="s">
        <v>34</v>
      </c>
      <c r="E670" s="33">
        <v>235</v>
      </c>
      <c r="F670" s="33">
        <v>2</v>
      </c>
      <c r="G670" s="33">
        <v>10</v>
      </c>
      <c r="H670" s="33"/>
      <c r="I670" s="31" t="s">
        <v>46</v>
      </c>
      <c r="J670" s="31"/>
      <c r="K670" s="33"/>
      <c r="L670" s="33"/>
      <c r="M670" s="31"/>
      <c r="N670" s="31"/>
      <c r="O670" s="16" t="s">
        <v>1440</v>
      </c>
      <c r="P670" s="16"/>
      <c r="Q670" s="16"/>
      <c r="R670" s="33"/>
      <c r="S670" s="34"/>
      <c r="T670" s="34"/>
      <c r="U670" s="34"/>
      <c r="V670" s="34"/>
      <c r="W670" s="34"/>
      <c r="X670" s="33" t="s">
        <v>85</v>
      </c>
      <c r="Y670" s="35" t="str">
        <f>IF(Tabela2[[#This Row],[SIGLA]]="","",VLOOKUP(Tabela2[[#This Row],[SIGLA]],Tabela1[[#All],[Sigla Arte]:[Crédito]],2,0))</f>
        <v>HELOÍSA PINTARELLI/ARQUIVO DA EDITORA</v>
      </c>
      <c r="Z670" s="31"/>
      <c r="AA670" s="31" t="str">
        <f>Tabela2[[#This Row],[ILUSTRADOR CRIAÇÃO]]</f>
        <v>HELOÍSA PINTARELLI/ARQUIVO DA EDITORA</v>
      </c>
      <c r="AB670" s="33"/>
      <c r="AC670" s="16"/>
      <c r="AE670" s="35" t="str">
        <f t="shared" si="10"/>
        <v>EF1 E002 Mat</v>
      </c>
    </row>
    <row r="671" spans="1:31" ht="90" x14ac:dyDescent="0.25">
      <c r="A671" s="31" t="s">
        <v>1441</v>
      </c>
      <c r="B671" s="16" t="s">
        <v>32</v>
      </c>
      <c r="C671" s="16" t="s">
        <v>33</v>
      </c>
      <c r="D671" s="33" t="s">
        <v>34</v>
      </c>
      <c r="E671" s="33">
        <v>235</v>
      </c>
      <c r="F671" s="33">
        <v>2</v>
      </c>
      <c r="G671" s="33">
        <v>10</v>
      </c>
      <c r="H671" s="33"/>
      <c r="I671" s="31" t="s">
        <v>46</v>
      </c>
      <c r="J671" s="31"/>
      <c r="K671" s="33"/>
      <c r="L671" s="33"/>
      <c r="M671" s="31"/>
      <c r="N671" s="31"/>
      <c r="O671" s="16" t="s">
        <v>1442</v>
      </c>
      <c r="P671" s="16"/>
      <c r="Q671" s="16"/>
      <c r="R671" s="33"/>
      <c r="S671" s="34"/>
      <c r="T671" s="34"/>
      <c r="U671" s="34"/>
      <c r="V671" s="34"/>
      <c r="W671" s="34"/>
      <c r="X671" s="33" t="s">
        <v>85</v>
      </c>
      <c r="Y671" s="35" t="str">
        <f>IF(Tabela2[[#This Row],[SIGLA]]="","",VLOOKUP(Tabela2[[#This Row],[SIGLA]],Tabela1[[#All],[Sigla Arte]:[Crédito]],2,0))</f>
        <v>HELOÍSA PINTARELLI/ARQUIVO DA EDITORA</v>
      </c>
      <c r="Z671" s="31"/>
      <c r="AA671" s="31" t="str">
        <f>Tabela2[[#This Row],[ILUSTRADOR CRIAÇÃO]]</f>
        <v>HELOÍSA PINTARELLI/ARQUIVO DA EDITORA</v>
      </c>
      <c r="AB671" s="33"/>
      <c r="AC671" s="16"/>
      <c r="AE671" s="35" t="str">
        <f t="shared" si="10"/>
        <v>EF1 E002 Mat</v>
      </c>
    </row>
    <row r="672" spans="1:31" ht="45" x14ac:dyDescent="0.25">
      <c r="A672" s="31" t="s">
        <v>1443</v>
      </c>
      <c r="B672" s="16" t="s">
        <v>32</v>
      </c>
      <c r="C672" s="16" t="s">
        <v>33</v>
      </c>
      <c r="D672" s="33" t="s">
        <v>34</v>
      </c>
      <c r="E672" s="33">
        <v>235</v>
      </c>
      <c r="F672" s="33">
        <v>2</v>
      </c>
      <c r="G672" s="33">
        <v>10</v>
      </c>
      <c r="H672" s="33"/>
      <c r="I672" s="31" t="s">
        <v>46</v>
      </c>
      <c r="J672" s="31"/>
      <c r="K672" s="33"/>
      <c r="L672" s="33"/>
      <c r="M672" s="31"/>
      <c r="N672" s="31"/>
      <c r="O672" s="16" t="s">
        <v>1444</v>
      </c>
      <c r="P672" s="16"/>
      <c r="Q672" s="16"/>
      <c r="R672" s="33"/>
      <c r="S672" s="34"/>
      <c r="T672" s="34"/>
      <c r="U672" s="34"/>
      <c r="V672" s="34"/>
      <c r="W672" s="34"/>
      <c r="X672" s="33" t="s">
        <v>85</v>
      </c>
      <c r="Y672" s="35" t="str">
        <f>IF(Tabela2[[#This Row],[SIGLA]]="","",VLOOKUP(Tabela2[[#This Row],[SIGLA]],Tabela1[[#All],[Sigla Arte]:[Crédito]],2,0))</f>
        <v>HELOÍSA PINTARELLI/ARQUIVO DA EDITORA</v>
      </c>
      <c r="Z672" s="31"/>
      <c r="AA672" s="31" t="str">
        <f>Tabela2[[#This Row],[ILUSTRADOR CRIAÇÃO]]</f>
        <v>HELOÍSA PINTARELLI/ARQUIVO DA EDITORA</v>
      </c>
      <c r="AB672" s="33"/>
      <c r="AC672" s="16"/>
      <c r="AE672" s="35" t="str">
        <f t="shared" si="10"/>
        <v>EF1 E002 Mat</v>
      </c>
    </row>
    <row r="673" spans="1:31" ht="45" x14ac:dyDescent="0.25">
      <c r="A673" s="31" t="s">
        <v>1445</v>
      </c>
      <c r="B673" s="16" t="s">
        <v>32</v>
      </c>
      <c r="C673" s="16" t="s">
        <v>33</v>
      </c>
      <c r="D673" s="33" t="s">
        <v>34</v>
      </c>
      <c r="E673" s="33">
        <v>235</v>
      </c>
      <c r="F673" s="33">
        <v>2</v>
      </c>
      <c r="G673" s="33">
        <v>10</v>
      </c>
      <c r="H673" s="33"/>
      <c r="I673" s="31" t="s">
        <v>46</v>
      </c>
      <c r="J673" s="31"/>
      <c r="K673" s="33"/>
      <c r="L673" s="33"/>
      <c r="M673" s="31"/>
      <c r="N673" s="31"/>
      <c r="O673" s="16" t="s">
        <v>1446</v>
      </c>
      <c r="P673" s="16"/>
      <c r="Q673" s="16"/>
      <c r="R673" s="33"/>
      <c r="S673" s="34"/>
      <c r="T673" s="34"/>
      <c r="U673" s="34"/>
      <c r="V673" s="34"/>
      <c r="W673" s="34"/>
      <c r="X673" s="33" t="s">
        <v>85</v>
      </c>
      <c r="Y673" s="35" t="str">
        <f>IF(Tabela2[[#This Row],[SIGLA]]="","",VLOOKUP(Tabela2[[#This Row],[SIGLA]],Tabela1[[#All],[Sigla Arte]:[Crédito]],2,0))</f>
        <v>HELOÍSA PINTARELLI/ARQUIVO DA EDITORA</v>
      </c>
      <c r="Z673" s="31"/>
      <c r="AA673" s="31" t="str">
        <f>Tabela2[[#This Row],[ILUSTRADOR CRIAÇÃO]]</f>
        <v>HELOÍSA PINTARELLI/ARQUIVO DA EDITORA</v>
      </c>
      <c r="AB673" s="33"/>
      <c r="AC673" s="16"/>
      <c r="AE673" s="35" t="str">
        <f t="shared" si="10"/>
        <v>EF1 E002 Mat</v>
      </c>
    </row>
    <row r="674" spans="1:31" ht="45" x14ac:dyDescent="0.25">
      <c r="A674" s="31" t="s">
        <v>1447</v>
      </c>
      <c r="B674" s="16" t="s">
        <v>401</v>
      </c>
      <c r="C674" s="16" t="s">
        <v>164</v>
      </c>
      <c r="D674" s="33" t="s">
        <v>34</v>
      </c>
      <c r="E674" s="33">
        <v>200</v>
      </c>
      <c r="F674" s="33">
        <v>2</v>
      </c>
      <c r="G674" s="33">
        <v>10</v>
      </c>
      <c r="H674" s="33"/>
      <c r="I674" s="31" t="s">
        <v>995</v>
      </c>
      <c r="J674" s="31"/>
      <c r="K674" s="33"/>
      <c r="L674" s="33"/>
      <c r="M674" s="31"/>
      <c r="N674" s="31"/>
      <c r="O674" s="16" t="s">
        <v>1448</v>
      </c>
      <c r="P674" s="16"/>
      <c r="Q674" s="16" t="s">
        <v>1323</v>
      </c>
      <c r="R674" s="33">
        <v>14</v>
      </c>
      <c r="S674" s="34">
        <v>45742</v>
      </c>
      <c r="T674" s="34">
        <v>45747</v>
      </c>
      <c r="U674" s="34"/>
      <c r="V674" s="34"/>
      <c r="W674" s="34">
        <v>45747</v>
      </c>
      <c r="X674" s="33" t="s">
        <v>1449</v>
      </c>
      <c r="Y674" s="35" t="str">
        <f>IF(Tabela2[[#This Row],[SIGLA]]="","",VLOOKUP(Tabela2[[#This Row],[SIGLA]],Tabela1[[#All],[Sigla Arte]:[Crédito]],2,0))</f>
        <v>CARLOS BORIN/ARQUIVO DA EDITORA</v>
      </c>
      <c r="Z674" s="31" t="s">
        <v>221</v>
      </c>
      <c r="AA674" s="31" t="str">
        <f>Tabela2[[#This Row],[ILUSTRADOR CRIAÇÃO]]</f>
        <v>CARLOS BORIN/ARQUIVO DA EDITORA</v>
      </c>
      <c r="AB674" s="33">
        <v>13</v>
      </c>
      <c r="AC674" s="16" t="s">
        <v>1450</v>
      </c>
      <c r="AD674" s="16" t="s">
        <v>40</v>
      </c>
      <c r="AE674" s="35" t="str">
        <f t="shared" si="10"/>
        <v>EF1 E002 Mat</v>
      </c>
    </row>
    <row r="675" spans="1:31" ht="30" x14ac:dyDescent="0.25">
      <c r="A675" s="31" t="s">
        <v>1451</v>
      </c>
      <c r="B675" s="16" t="s">
        <v>32</v>
      </c>
      <c r="C675" s="16" t="s">
        <v>164</v>
      </c>
      <c r="D675" s="33" t="s">
        <v>34</v>
      </c>
      <c r="E675" s="33">
        <v>238</v>
      </c>
      <c r="F675" s="33">
        <v>2</v>
      </c>
      <c r="G675" s="33">
        <v>10</v>
      </c>
      <c r="H675" s="33"/>
      <c r="I675" s="31" t="s">
        <v>995</v>
      </c>
      <c r="J675" s="31"/>
      <c r="K675" s="33"/>
      <c r="L675" s="33"/>
      <c r="M675" s="31"/>
      <c r="N675" s="31"/>
      <c r="O675" s="16" t="s">
        <v>1452</v>
      </c>
      <c r="P675" s="16"/>
      <c r="Q675" s="16"/>
      <c r="R675" s="33">
        <v>14</v>
      </c>
      <c r="S675" s="34">
        <v>45742</v>
      </c>
      <c r="T675" s="34">
        <v>45747</v>
      </c>
      <c r="U675" s="34"/>
      <c r="V675" s="34"/>
      <c r="W675" s="34">
        <v>45747</v>
      </c>
      <c r="X675" s="33" t="s">
        <v>1449</v>
      </c>
      <c r="Y675" s="35" t="str">
        <f>IF(Tabela2[[#This Row],[SIGLA]]="","",VLOOKUP(Tabela2[[#This Row],[SIGLA]],Tabela1[[#All],[Sigla Arte]:[Crédito]],2,0))</f>
        <v>CARLOS BORIN/ARQUIVO DA EDITORA</v>
      </c>
      <c r="Z675" s="31" t="s">
        <v>221</v>
      </c>
      <c r="AA675" s="31" t="str">
        <f>Tabela2[[#This Row],[ILUSTRADOR CRIAÇÃO]]</f>
        <v>CARLOS BORIN/ARQUIVO DA EDITORA</v>
      </c>
      <c r="AB675" s="33">
        <v>13</v>
      </c>
      <c r="AC675" s="16" t="s">
        <v>1450</v>
      </c>
      <c r="AD675" s="16" t="s">
        <v>40</v>
      </c>
      <c r="AE675" s="35" t="str">
        <f t="shared" si="10"/>
        <v>EF1 E002 Mat</v>
      </c>
    </row>
    <row r="676" spans="1:31" ht="45" x14ac:dyDescent="0.25">
      <c r="A676" s="31" t="s">
        <v>1453</v>
      </c>
      <c r="B676" s="16" t="s">
        <v>401</v>
      </c>
      <c r="C676" s="16" t="s">
        <v>33</v>
      </c>
      <c r="D676" s="33" t="s">
        <v>34</v>
      </c>
      <c r="E676" s="33">
        <v>202</v>
      </c>
      <c r="F676" s="33">
        <v>2</v>
      </c>
      <c r="G676" s="33">
        <v>10</v>
      </c>
      <c r="H676" s="33"/>
      <c r="I676" s="31" t="s">
        <v>46</v>
      </c>
      <c r="J676" s="31"/>
      <c r="K676" s="33"/>
      <c r="L676" s="33"/>
      <c r="M676" s="31"/>
      <c r="N676" s="31"/>
      <c r="O676" s="16" t="s">
        <v>1454</v>
      </c>
      <c r="P676" s="16"/>
      <c r="Q676" s="16" t="s">
        <v>1323</v>
      </c>
      <c r="R676" s="33"/>
      <c r="S676" s="34"/>
      <c r="T676" s="34"/>
      <c r="U676" s="34"/>
      <c r="V676" s="34"/>
      <c r="W676" s="34"/>
      <c r="X676" s="33" t="s">
        <v>399</v>
      </c>
      <c r="Y676" s="35" t="str">
        <f>IF(Tabela2[[#This Row],[SIGLA]]="","",VLOOKUP(Tabela2[[#This Row],[SIGLA]],Tabela1[[#All],[Sigla Arte]:[Crédito]],2,0))</f>
        <v>MÁRCIO GUERRA/ARQUIVO DA EDITORA</v>
      </c>
      <c r="Z676" s="31"/>
      <c r="AA676" s="31" t="str">
        <f>Tabela2[[#This Row],[ILUSTRADOR CRIAÇÃO]]</f>
        <v>MÁRCIO GUERRA/ARQUIVO DA EDITORA</v>
      </c>
      <c r="AB676" s="33"/>
      <c r="AC676" s="16"/>
      <c r="AE676" s="35" t="str">
        <f t="shared" si="10"/>
        <v>EF1 E002 Mat</v>
      </c>
    </row>
    <row r="677" spans="1:31" ht="45" x14ac:dyDescent="0.25">
      <c r="A677" s="31" t="s">
        <v>1455</v>
      </c>
      <c r="B677" s="16" t="s">
        <v>32</v>
      </c>
      <c r="C677" s="16" t="s">
        <v>164</v>
      </c>
      <c r="D677" s="33" t="s">
        <v>34</v>
      </c>
      <c r="E677" s="33">
        <v>239</v>
      </c>
      <c r="F677" s="33">
        <v>2</v>
      </c>
      <c r="G677" s="33">
        <v>10</v>
      </c>
      <c r="H677" s="33"/>
      <c r="I677" s="31" t="s">
        <v>46</v>
      </c>
      <c r="J677" s="31"/>
      <c r="K677" s="33"/>
      <c r="L677" s="33"/>
      <c r="M677" s="31"/>
      <c r="N677" s="31"/>
      <c r="O677" s="16" t="s">
        <v>1456</v>
      </c>
      <c r="P677" s="16"/>
      <c r="Q677" s="16"/>
      <c r="R677" s="33"/>
      <c r="S677" s="34"/>
      <c r="T677" s="34"/>
      <c r="U677" s="34"/>
      <c r="V677" s="34"/>
      <c r="W677" s="34"/>
      <c r="X677" s="33" t="s">
        <v>1126</v>
      </c>
      <c r="Y677" s="35" t="str">
        <f>IF(Tabela2[[#This Row],[SIGLA]]="","",VLOOKUP(Tabela2[[#This Row],[SIGLA]],Tabela1[[#All],[Sigla Arte]:[Crédito]],2,0))</f>
        <v>GUSTAVO CONTI/ARQUIVO DA EDITORA</v>
      </c>
      <c r="Z677" s="31"/>
      <c r="AA677" s="31" t="str">
        <f>Tabela2[[#This Row],[ILUSTRADOR CRIAÇÃO]]</f>
        <v>GUSTAVO CONTI/ARQUIVO DA EDITORA</v>
      </c>
      <c r="AB677" s="33"/>
      <c r="AC677" s="16"/>
      <c r="AE677" s="35" t="str">
        <f t="shared" si="10"/>
        <v>EF1 E002 Mat</v>
      </c>
    </row>
    <row r="678" spans="1:31" ht="45" x14ac:dyDescent="0.25">
      <c r="A678" s="31" t="s">
        <v>1457</v>
      </c>
      <c r="B678" s="16" t="s">
        <v>32</v>
      </c>
      <c r="C678" s="16" t="s">
        <v>33</v>
      </c>
      <c r="D678" s="33" t="s">
        <v>34</v>
      </c>
      <c r="E678" s="33">
        <v>241</v>
      </c>
      <c r="F678" s="33">
        <v>2</v>
      </c>
      <c r="G678" s="33">
        <v>10</v>
      </c>
      <c r="H678" s="33"/>
      <c r="I678" s="31" t="s">
        <v>46</v>
      </c>
      <c r="J678" s="31"/>
      <c r="K678" s="33"/>
      <c r="L678" s="33"/>
      <c r="M678" s="31"/>
      <c r="N678" s="31"/>
      <c r="O678" s="16" t="s">
        <v>1458</v>
      </c>
      <c r="P678" s="16"/>
      <c r="Q678" s="16"/>
      <c r="R678" s="33"/>
      <c r="S678" s="34"/>
      <c r="T678" s="34"/>
      <c r="U678" s="34"/>
      <c r="V678" s="34"/>
      <c r="W678" s="34"/>
      <c r="X678" s="33" t="s">
        <v>184</v>
      </c>
      <c r="Y678" s="35" t="str">
        <f>IF(Tabela2[[#This Row],[SIGLA]]="","",VLOOKUP(Tabela2[[#This Row],[SIGLA]],Tabela1[[#All],[Sigla Arte]:[Crédito]],2,0))</f>
        <v>VER DOCUMENTO DE ILS. TÉCNICAS</v>
      </c>
      <c r="Z678" s="31"/>
      <c r="AA678" s="31" t="s">
        <v>921</v>
      </c>
      <c r="AB678" s="33"/>
      <c r="AC678" s="16"/>
      <c r="AE678" s="35" t="str">
        <f t="shared" si="10"/>
        <v>EF1 E002 Mat</v>
      </c>
    </row>
    <row r="679" spans="1:31" ht="45" x14ac:dyDescent="0.25">
      <c r="A679" s="31" t="s">
        <v>1459</v>
      </c>
      <c r="B679" s="16" t="s">
        <v>32</v>
      </c>
      <c r="C679" s="16" t="s">
        <v>33</v>
      </c>
      <c r="D679" s="33" t="s">
        <v>34</v>
      </c>
      <c r="E679" s="33">
        <v>241</v>
      </c>
      <c r="F679" s="33">
        <v>2</v>
      </c>
      <c r="G679" s="33">
        <v>10</v>
      </c>
      <c r="H679" s="33"/>
      <c r="I679" s="31" t="s">
        <v>46</v>
      </c>
      <c r="J679" s="31"/>
      <c r="K679" s="33"/>
      <c r="L679" s="33"/>
      <c r="M679" s="31"/>
      <c r="N679" s="31"/>
      <c r="O679" s="16" t="s">
        <v>1460</v>
      </c>
      <c r="P679" s="16"/>
      <c r="Q679" s="16"/>
      <c r="R679" s="33"/>
      <c r="S679" s="34"/>
      <c r="T679" s="34"/>
      <c r="U679" s="34"/>
      <c r="V679" s="34"/>
      <c r="W679" s="34"/>
      <c r="X679" s="33" t="s">
        <v>184</v>
      </c>
      <c r="Y679" s="35" t="str">
        <f>IF(Tabela2[[#This Row],[SIGLA]]="","",VLOOKUP(Tabela2[[#This Row],[SIGLA]],Tabela1[[#All],[Sigla Arte]:[Crédito]],2,0))</f>
        <v>VER DOCUMENTO DE ILS. TÉCNICAS</v>
      </c>
      <c r="Z679" s="31"/>
      <c r="AA679" s="31" t="s">
        <v>921</v>
      </c>
      <c r="AB679" s="33"/>
      <c r="AC679" s="16"/>
      <c r="AE679" s="35" t="str">
        <f t="shared" si="10"/>
        <v>EF1 E002 Mat</v>
      </c>
    </row>
    <row r="680" spans="1:31" ht="30" x14ac:dyDescent="0.25">
      <c r="A680" s="31" t="s">
        <v>1461</v>
      </c>
      <c r="B680" s="16" t="s">
        <v>32</v>
      </c>
      <c r="C680" s="16" t="s">
        <v>33</v>
      </c>
      <c r="D680" s="33" t="s">
        <v>34</v>
      </c>
      <c r="E680" s="33">
        <v>242</v>
      </c>
      <c r="F680" s="33">
        <v>2</v>
      </c>
      <c r="G680" s="33">
        <v>10</v>
      </c>
      <c r="H680" s="33"/>
      <c r="I680" s="31" t="s">
        <v>46</v>
      </c>
      <c r="J680" s="31"/>
      <c r="K680" s="33"/>
      <c r="L680" s="33"/>
      <c r="M680" s="31"/>
      <c r="N680" s="31"/>
      <c r="O680" s="16" t="s">
        <v>1462</v>
      </c>
      <c r="P680" s="16"/>
      <c r="Q680" s="16"/>
      <c r="R680" s="33"/>
      <c r="S680" s="34"/>
      <c r="T680" s="34"/>
      <c r="U680" s="34"/>
      <c r="V680" s="34"/>
      <c r="W680" s="34"/>
      <c r="X680" s="33" t="s">
        <v>184</v>
      </c>
      <c r="Y680" s="35" t="str">
        <f>IF(Tabela2[[#This Row],[SIGLA]]="","",VLOOKUP(Tabela2[[#This Row],[SIGLA]],Tabela1[[#All],[Sigla Arte]:[Crédito]],2,0))</f>
        <v>VER DOCUMENTO DE ILS. TÉCNICAS</v>
      </c>
      <c r="Z680" s="31"/>
      <c r="AA680" s="31" t="s">
        <v>921</v>
      </c>
      <c r="AB680" s="33"/>
      <c r="AC680" s="16"/>
      <c r="AE680" s="35" t="str">
        <f t="shared" si="10"/>
        <v>EF1 E002 Mat</v>
      </c>
    </row>
    <row r="681" spans="1:31" ht="45" x14ac:dyDescent="0.25">
      <c r="A681" s="31" t="s">
        <v>1463</v>
      </c>
      <c r="B681" s="16" t="s">
        <v>32</v>
      </c>
      <c r="C681" s="16" t="s">
        <v>33</v>
      </c>
      <c r="D681" s="33" t="s">
        <v>34</v>
      </c>
      <c r="E681" s="33">
        <v>242</v>
      </c>
      <c r="F681" s="33">
        <v>2</v>
      </c>
      <c r="G681" s="33">
        <v>10</v>
      </c>
      <c r="H681" s="33"/>
      <c r="I681" s="31" t="s">
        <v>35</v>
      </c>
      <c r="J681" s="31"/>
      <c r="K681" s="33"/>
      <c r="L681" s="33"/>
      <c r="M681" s="31"/>
      <c r="N681" s="31"/>
      <c r="O681" s="16" t="s">
        <v>1464</v>
      </c>
      <c r="P681" s="16"/>
      <c r="Q681" s="16"/>
      <c r="R681" s="33">
        <v>91</v>
      </c>
      <c r="S681" s="34">
        <v>45868</v>
      </c>
      <c r="T681" s="34">
        <v>45868</v>
      </c>
      <c r="U681" s="34"/>
      <c r="V681" s="34"/>
      <c r="W681" s="34">
        <v>45868</v>
      </c>
      <c r="X681" s="33" t="s">
        <v>184</v>
      </c>
      <c r="Y681" s="35" t="str">
        <f>IF(Tabela2[[#This Row],[SIGLA]]="","",VLOOKUP(Tabela2[[#This Row],[SIGLA]],Tabela1[[#All],[Sigla Arte]:[Crédito]],2,0))</f>
        <v>VER DOCUMENTO DE ILS. TÉCNICAS</v>
      </c>
      <c r="Z681" s="31" t="s">
        <v>1465</v>
      </c>
      <c r="AA681" s="31" t="s">
        <v>921</v>
      </c>
      <c r="AB681" s="33"/>
      <c r="AC681" s="16"/>
      <c r="AD681" s="16" t="s">
        <v>40</v>
      </c>
      <c r="AE681" s="35" t="str">
        <f t="shared" si="10"/>
        <v>EF1 E002 Mat</v>
      </c>
    </row>
    <row r="682" spans="1:31" ht="45" x14ac:dyDescent="0.25">
      <c r="A682" s="31" t="s">
        <v>1466</v>
      </c>
      <c r="B682" s="16" t="s">
        <v>32</v>
      </c>
      <c r="C682" s="16" t="s">
        <v>33</v>
      </c>
      <c r="D682" s="33" t="s">
        <v>34</v>
      </c>
      <c r="E682" s="33">
        <v>242</v>
      </c>
      <c r="F682" s="33">
        <v>2</v>
      </c>
      <c r="G682" s="33">
        <v>10</v>
      </c>
      <c r="H682" s="33"/>
      <c r="I682" s="31" t="s">
        <v>35</v>
      </c>
      <c r="J682" s="31"/>
      <c r="K682" s="33"/>
      <c r="L682" s="33"/>
      <c r="M682" s="31"/>
      <c r="N682" s="31"/>
      <c r="O682" s="16" t="s">
        <v>1467</v>
      </c>
      <c r="P682" s="16"/>
      <c r="Q682" s="16"/>
      <c r="R682" s="33">
        <v>91</v>
      </c>
      <c r="S682" s="34">
        <v>45868</v>
      </c>
      <c r="T682" s="34">
        <v>45868</v>
      </c>
      <c r="U682" s="34"/>
      <c r="V682" s="34"/>
      <c r="W682" s="34">
        <v>45868</v>
      </c>
      <c r="X682" s="33" t="s">
        <v>184</v>
      </c>
      <c r="Y682" s="35" t="str">
        <f>IF(Tabela2[[#This Row],[SIGLA]]="","",VLOOKUP(Tabela2[[#This Row],[SIGLA]],Tabela1[[#All],[Sigla Arte]:[Crédito]],2,0))</f>
        <v>VER DOCUMENTO DE ILS. TÉCNICAS</v>
      </c>
      <c r="Z682" s="31" t="s">
        <v>1465</v>
      </c>
      <c r="AA682" s="31" t="s">
        <v>921</v>
      </c>
      <c r="AB682" s="33"/>
      <c r="AC682" s="16"/>
      <c r="AD682" s="16" t="s">
        <v>40</v>
      </c>
      <c r="AE682" s="35" t="str">
        <f t="shared" si="10"/>
        <v>EF1 E002 Mat</v>
      </c>
    </row>
    <row r="683" spans="1:31" ht="45" x14ac:dyDescent="0.25">
      <c r="A683" s="31" t="s">
        <v>1468</v>
      </c>
      <c r="B683" s="16" t="s">
        <v>32</v>
      </c>
      <c r="C683" s="16" t="s">
        <v>33</v>
      </c>
      <c r="D683" s="33" t="s">
        <v>34</v>
      </c>
      <c r="E683" s="33">
        <v>242</v>
      </c>
      <c r="F683" s="33">
        <v>2</v>
      </c>
      <c r="G683" s="33">
        <v>10</v>
      </c>
      <c r="H683" s="33"/>
      <c r="I683" s="31" t="s">
        <v>35</v>
      </c>
      <c r="J683" s="31"/>
      <c r="K683" s="33"/>
      <c r="L683" s="33"/>
      <c r="M683" s="31"/>
      <c r="N683" s="31"/>
      <c r="O683" s="16" t="s">
        <v>1469</v>
      </c>
      <c r="P683" s="16"/>
      <c r="Q683" s="16"/>
      <c r="R683" s="33">
        <v>91</v>
      </c>
      <c r="S683" s="34">
        <v>45868</v>
      </c>
      <c r="T683" s="34">
        <v>45868</v>
      </c>
      <c r="U683" s="34"/>
      <c r="V683" s="34"/>
      <c r="W683" s="34">
        <v>45868</v>
      </c>
      <c r="X683" s="33" t="s">
        <v>184</v>
      </c>
      <c r="Y683" s="35" t="str">
        <f>IF(Tabela2[[#This Row],[SIGLA]]="","",VLOOKUP(Tabela2[[#This Row],[SIGLA]],Tabela1[[#All],[Sigla Arte]:[Crédito]],2,0))</f>
        <v>VER DOCUMENTO DE ILS. TÉCNICAS</v>
      </c>
      <c r="Z683" s="31" t="s">
        <v>1465</v>
      </c>
      <c r="AA683" s="31" t="s">
        <v>921</v>
      </c>
      <c r="AB683" s="33"/>
      <c r="AC683" s="16"/>
      <c r="AD683" s="16" t="s">
        <v>40</v>
      </c>
      <c r="AE683" s="35" t="str">
        <f t="shared" si="10"/>
        <v>EF1 E002 Mat</v>
      </c>
    </row>
    <row r="684" spans="1:31" ht="30" x14ac:dyDescent="0.25">
      <c r="A684" s="31" t="s">
        <v>1470</v>
      </c>
      <c r="B684" s="16" t="s">
        <v>32</v>
      </c>
      <c r="C684" s="16" t="s">
        <v>33</v>
      </c>
      <c r="D684" s="33" t="s">
        <v>34</v>
      </c>
      <c r="E684" s="33">
        <v>242</v>
      </c>
      <c r="F684" s="33">
        <v>2</v>
      </c>
      <c r="G684" s="33">
        <v>10</v>
      </c>
      <c r="H684" s="33"/>
      <c r="I684" s="31" t="s">
        <v>46</v>
      </c>
      <c r="J684" s="31"/>
      <c r="K684" s="33"/>
      <c r="L684" s="33"/>
      <c r="M684" s="31"/>
      <c r="N684" s="31"/>
      <c r="O684" s="16" t="s">
        <v>1471</v>
      </c>
      <c r="P684" s="16"/>
      <c r="Q684" s="16"/>
      <c r="R684" s="33"/>
      <c r="S684" s="34"/>
      <c r="T684" s="34"/>
      <c r="U684" s="34"/>
      <c r="V684" s="34"/>
      <c r="W684" s="34"/>
      <c r="X684" s="33" t="s">
        <v>184</v>
      </c>
      <c r="Y684" s="35" t="str">
        <f>IF(Tabela2[[#This Row],[SIGLA]]="","",VLOOKUP(Tabela2[[#This Row],[SIGLA]],Tabela1[[#All],[Sigla Arte]:[Crédito]],2,0))</f>
        <v>VER DOCUMENTO DE ILS. TÉCNICAS</v>
      </c>
      <c r="Z684" s="31"/>
      <c r="AA684" s="31" t="s">
        <v>921</v>
      </c>
      <c r="AB684" s="33"/>
      <c r="AC684" s="16"/>
      <c r="AE684" s="35" t="str">
        <f t="shared" si="10"/>
        <v>EF1 E002 Mat</v>
      </c>
    </row>
    <row r="685" spans="1:31" ht="30" x14ac:dyDescent="0.25">
      <c r="A685" s="31" t="s">
        <v>1472</v>
      </c>
      <c r="B685" s="16" t="s">
        <v>32</v>
      </c>
      <c r="C685" s="16" t="s">
        <v>33</v>
      </c>
      <c r="D685" s="33" t="s">
        <v>34</v>
      </c>
      <c r="E685" s="33">
        <v>205</v>
      </c>
      <c r="F685" s="33">
        <v>2</v>
      </c>
      <c r="G685" s="33">
        <v>10</v>
      </c>
      <c r="H685" s="33"/>
      <c r="I685" s="31" t="s">
        <v>46</v>
      </c>
      <c r="J685" s="31"/>
      <c r="K685" s="33"/>
      <c r="L685" s="33"/>
      <c r="M685" s="31"/>
      <c r="N685" s="31"/>
      <c r="O685" s="16" t="s">
        <v>1473</v>
      </c>
      <c r="P685" s="16"/>
      <c r="Q685" s="16"/>
      <c r="R685" s="33"/>
      <c r="S685" s="34"/>
      <c r="T685" s="34"/>
      <c r="U685" s="34"/>
      <c r="V685" s="34"/>
      <c r="W685" s="34"/>
      <c r="X685" s="33" t="s">
        <v>184</v>
      </c>
      <c r="Y685" s="35" t="str">
        <f>IF(Tabela2[[#This Row],[SIGLA]]="","",VLOOKUP(Tabela2[[#This Row],[SIGLA]],Tabela1[[#All],[Sigla Arte]:[Crédito]],2,0))</f>
        <v>VER DOCUMENTO DE ILS. TÉCNICAS</v>
      </c>
      <c r="Z685" s="31"/>
      <c r="AA685" s="31" t="s">
        <v>921</v>
      </c>
      <c r="AB685" s="33"/>
      <c r="AC685" s="16"/>
      <c r="AE685" s="35" t="str">
        <f t="shared" si="10"/>
        <v>EF1 E002 Mat</v>
      </c>
    </row>
    <row r="686" spans="1:31" ht="45" x14ac:dyDescent="0.25">
      <c r="A686" s="31" t="s">
        <v>1474</v>
      </c>
      <c r="B686" s="16" t="s">
        <v>32</v>
      </c>
      <c r="C686" s="16" t="s">
        <v>33</v>
      </c>
      <c r="D686" s="33" t="s">
        <v>34</v>
      </c>
      <c r="E686" s="33">
        <v>243</v>
      </c>
      <c r="F686" s="33">
        <v>2</v>
      </c>
      <c r="G686" s="33">
        <v>10</v>
      </c>
      <c r="H686" s="33"/>
      <c r="I686" s="31" t="s">
        <v>46</v>
      </c>
      <c r="J686" s="31"/>
      <c r="K686" s="33"/>
      <c r="L686" s="33"/>
      <c r="M686" s="31"/>
      <c r="N686" s="31"/>
      <c r="O686" s="16" t="s">
        <v>1475</v>
      </c>
      <c r="P686" s="16"/>
      <c r="Q686" s="16"/>
      <c r="R686" s="33"/>
      <c r="S686" s="34"/>
      <c r="T686" s="34"/>
      <c r="U686" s="34"/>
      <c r="V686" s="34"/>
      <c r="W686" s="34"/>
      <c r="X686" s="33" t="s">
        <v>399</v>
      </c>
      <c r="Y686" s="35" t="str">
        <f>IF(Tabela2[[#This Row],[SIGLA]]="","",VLOOKUP(Tabela2[[#This Row],[SIGLA]],Tabela1[[#All],[Sigla Arte]:[Crédito]],2,0))</f>
        <v>MÁRCIO GUERRA/ARQUIVO DA EDITORA</v>
      </c>
      <c r="Z686" s="31"/>
      <c r="AA686" s="31" t="str">
        <f>Tabela2[[#This Row],[ILUSTRADOR CRIAÇÃO]]</f>
        <v>MÁRCIO GUERRA/ARQUIVO DA EDITORA</v>
      </c>
      <c r="AB686" s="33"/>
      <c r="AC686" s="16"/>
      <c r="AE686" s="35" t="str">
        <f t="shared" si="10"/>
        <v>EF1 E002 Mat</v>
      </c>
    </row>
    <row r="687" spans="1:31" ht="45" x14ac:dyDescent="0.25">
      <c r="A687" s="31" t="s">
        <v>1476</v>
      </c>
      <c r="B687" s="16" t="s">
        <v>32</v>
      </c>
      <c r="C687" s="16" t="s">
        <v>33</v>
      </c>
      <c r="D687" s="33" t="s">
        <v>34</v>
      </c>
      <c r="E687" s="33">
        <v>243</v>
      </c>
      <c r="F687" s="33">
        <v>2</v>
      </c>
      <c r="G687" s="33">
        <v>10</v>
      </c>
      <c r="H687" s="33"/>
      <c r="I687" s="31" t="s">
        <v>46</v>
      </c>
      <c r="J687" s="31"/>
      <c r="K687" s="33"/>
      <c r="L687" s="33"/>
      <c r="M687" s="31"/>
      <c r="N687" s="31"/>
      <c r="O687" s="16" t="s">
        <v>1477</v>
      </c>
      <c r="P687" s="16"/>
      <c r="Q687" s="16"/>
      <c r="R687" s="33"/>
      <c r="S687" s="34"/>
      <c r="T687" s="34"/>
      <c r="U687" s="34"/>
      <c r="V687" s="34"/>
      <c r="W687" s="34"/>
      <c r="X687" s="33" t="s">
        <v>399</v>
      </c>
      <c r="Y687" s="35" t="str">
        <f>IF(Tabela2[[#This Row],[SIGLA]]="","",VLOOKUP(Tabela2[[#This Row],[SIGLA]],Tabela1[[#All],[Sigla Arte]:[Crédito]],2,0))</f>
        <v>MÁRCIO GUERRA/ARQUIVO DA EDITORA</v>
      </c>
      <c r="Z687" s="31"/>
      <c r="AA687" s="31" t="str">
        <f>Tabela2[[#This Row],[ILUSTRADOR CRIAÇÃO]]</f>
        <v>MÁRCIO GUERRA/ARQUIVO DA EDITORA</v>
      </c>
      <c r="AB687" s="33"/>
      <c r="AC687" s="16"/>
      <c r="AE687" s="35" t="str">
        <f t="shared" si="10"/>
        <v>EF1 E002 Mat</v>
      </c>
    </row>
    <row r="688" spans="1:31" ht="30" x14ac:dyDescent="0.25">
      <c r="A688" s="31" t="s">
        <v>1478</v>
      </c>
      <c r="B688" s="16" t="s">
        <v>32</v>
      </c>
      <c r="C688" s="16" t="s">
        <v>33</v>
      </c>
      <c r="D688" s="33" t="s">
        <v>34</v>
      </c>
      <c r="E688" s="33">
        <v>243</v>
      </c>
      <c r="F688" s="33">
        <v>2</v>
      </c>
      <c r="G688" s="33">
        <v>10</v>
      </c>
      <c r="H688" s="33"/>
      <c r="I688" s="31" t="s">
        <v>46</v>
      </c>
      <c r="J688" s="31"/>
      <c r="K688" s="33"/>
      <c r="L688" s="33"/>
      <c r="M688" s="31"/>
      <c r="N688" s="31"/>
      <c r="O688" s="16" t="s">
        <v>1479</v>
      </c>
      <c r="P688" s="16"/>
      <c r="Q688" s="16"/>
      <c r="R688" s="33"/>
      <c r="S688" s="34"/>
      <c r="T688" s="34"/>
      <c r="U688" s="34"/>
      <c r="V688" s="34"/>
      <c r="W688" s="34"/>
      <c r="X688" s="33" t="s">
        <v>184</v>
      </c>
      <c r="Y688" s="35" t="str">
        <f>IF(Tabela2[[#This Row],[SIGLA]]="","",VLOOKUP(Tabela2[[#This Row],[SIGLA]],Tabela1[[#All],[Sigla Arte]:[Crédito]],2,0))</f>
        <v>VER DOCUMENTO DE ILS. TÉCNICAS</v>
      </c>
      <c r="Z688" s="31"/>
      <c r="AA688" s="31" t="s">
        <v>921</v>
      </c>
      <c r="AB688" s="33"/>
      <c r="AC688" s="16"/>
      <c r="AE688" s="35" t="str">
        <f t="shared" si="10"/>
        <v>EF1 E002 Mat</v>
      </c>
    </row>
    <row r="689" spans="1:31" ht="30" x14ac:dyDescent="0.25">
      <c r="A689" s="31" t="s">
        <v>1480</v>
      </c>
      <c r="B689" s="16" t="s">
        <v>32</v>
      </c>
      <c r="C689" s="16" t="s">
        <v>33</v>
      </c>
      <c r="D689" s="33" t="s">
        <v>34</v>
      </c>
      <c r="E689" s="33">
        <v>243</v>
      </c>
      <c r="F689" s="33">
        <v>2</v>
      </c>
      <c r="G689" s="33">
        <v>10</v>
      </c>
      <c r="H689" s="33"/>
      <c r="I689" s="31" t="s">
        <v>46</v>
      </c>
      <c r="J689" s="31"/>
      <c r="K689" s="33"/>
      <c r="L689" s="33"/>
      <c r="M689" s="31"/>
      <c r="N689" s="31"/>
      <c r="O689" s="16" t="s">
        <v>1481</v>
      </c>
      <c r="P689" s="16"/>
      <c r="Q689" s="16"/>
      <c r="R689" s="33"/>
      <c r="S689" s="34"/>
      <c r="T689" s="34"/>
      <c r="U689" s="34"/>
      <c r="V689" s="34"/>
      <c r="W689" s="34"/>
      <c r="X689" s="33" t="s">
        <v>184</v>
      </c>
      <c r="Y689" s="35" t="str">
        <f>IF(Tabela2[[#This Row],[SIGLA]]="","",VLOOKUP(Tabela2[[#This Row],[SIGLA]],Tabela1[[#All],[Sigla Arte]:[Crédito]],2,0))</f>
        <v>VER DOCUMENTO DE ILS. TÉCNICAS</v>
      </c>
      <c r="Z689" s="31"/>
      <c r="AA689" s="31" t="s">
        <v>921</v>
      </c>
      <c r="AB689" s="33"/>
      <c r="AC689" s="16"/>
      <c r="AE689" s="35" t="str">
        <f t="shared" si="10"/>
        <v>EF1 E002 Mat</v>
      </c>
    </row>
    <row r="690" spans="1:31" ht="30" x14ac:dyDescent="0.25">
      <c r="A690" s="31" t="s">
        <v>1482</v>
      </c>
      <c r="B690" s="16" t="s">
        <v>32</v>
      </c>
      <c r="C690" s="16" t="s">
        <v>33</v>
      </c>
      <c r="D690" s="33" t="s">
        <v>34</v>
      </c>
      <c r="E690" s="33">
        <v>243</v>
      </c>
      <c r="F690" s="33">
        <v>2</v>
      </c>
      <c r="G690" s="33">
        <v>10</v>
      </c>
      <c r="H690" s="33"/>
      <c r="I690" s="31" t="s">
        <v>46</v>
      </c>
      <c r="J690" s="31"/>
      <c r="K690" s="33"/>
      <c r="L690" s="33"/>
      <c r="M690" s="31"/>
      <c r="N690" s="31"/>
      <c r="O690" s="16" t="s">
        <v>1483</v>
      </c>
      <c r="P690" s="16"/>
      <c r="Q690" s="16"/>
      <c r="R690" s="33"/>
      <c r="S690" s="34"/>
      <c r="T690" s="34"/>
      <c r="U690" s="34"/>
      <c r="V690" s="34"/>
      <c r="W690" s="34"/>
      <c r="X690" s="33" t="s">
        <v>184</v>
      </c>
      <c r="Y690" s="35" t="str">
        <f>IF(Tabela2[[#This Row],[SIGLA]]="","",VLOOKUP(Tabela2[[#This Row],[SIGLA]],Tabela1[[#All],[Sigla Arte]:[Crédito]],2,0))</f>
        <v>VER DOCUMENTO DE ILS. TÉCNICAS</v>
      </c>
      <c r="Z690" s="31"/>
      <c r="AA690" s="31" t="s">
        <v>921</v>
      </c>
      <c r="AB690" s="33"/>
      <c r="AC690" s="16"/>
      <c r="AE690" s="35" t="str">
        <f t="shared" si="10"/>
        <v>EF1 E002 Mat</v>
      </c>
    </row>
    <row r="691" spans="1:31" ht="30" x14ac:dyDescent="0.25">
      <c r="A691" s="31" t="s">
        <v>1484</v>
      </c>
      <c r="B691" s="16" t="s">
        <v>32</v>
      </c>
      <c r="C691" s="16" t="s">
        <v>33</v>
      </c>
      <c r="D691" s="33" t="s">
        <v>34</v>
      </c>
      <c r="E691" s="33">
        <v>243</v>
      </c>
      <c r="F691" s="33">
        <v>2</v>
      </c>
      <c r="G691" s="33">
        <v>10</v>
      </c>
      <c r="H691" s="33"/>
      <c r="I691" s="31" t="s">
        <v>46</v>
      </c>
      <c r="J691" s="31"/>
      <c r="K691" s="33"/>
      <c r="L691" s="33"/>
      <c r="M691" s="31"/>
      <c r="N691" s="31"/>
      <c r="O691" s="16" t="s">
        <v>1485</v>
      </c>
      <c r="P691" s="16"/>
      <c r="Q691" s="16"/>
      <c r="R691" s="33"/>
      <c r="S691" s="34"/>
      <c r="T691" s="34"/>
      <c r="U691" s="34"/>
      <c r="V691" s="34"/>
      <c r="W691" s="34"/>
      <c r="X691" s="33" t="s">
        <v>184</v>
      </c>
      <c r="Y691" s="35" t="str">
        <f>IF(Tabela2[[#This Row],[SIGLA]]="","",VLOOKUP(Tabela2[[#This Row],[SIGLA]],Tabela1[[#All],[Sigla Arte]:[Crédito]],2,0))</f>
        <v>VER DOCUMENTO DE ILS. TÉCNICAS</v>
      </c>
      <c r="Z691" s="31"/>
      <c r="AA691" s="31" t="s">
        <v>921</v>
      </c>
      <c r="AB691" s="33"/>
      <c r="AC691" s="16"/>
      <c r="AE691" s="35" t="str">
        <f t="shared" si="10"/>
        <v>EF1 E002 Mat</v>
      </c>
    </row>
    <row r="692" spans="1:31" ht="45" x14ac:dyDescent="0.25">
      <c r="A692" s="31" t="s">
        <v>1486</v>
      </c>
      <c r="B692" s="16" t="s">
        <v>32</v>
      </c>
      <c r="C692" s="16" t="s">
        <v>33</v>
      </c>
      <c r="D692" s="33" t="s">
        <v>34</v>
      </c>
      <c r="E692" s="33">
        <v>245</v>
      </c>
      <c r="F692" s="33">
        <v>2</v>
      </c>
      <c r="G692" s="33">
        <v>10</v>
      </c>
      <c r="H692" s="33"/>
      <c r="I692" s="31" t="s">
        <v>46</v>
      </c>
      <c r="J692" s="31"/>
      <c r="K692" s="33"/>
      <c r="L692" s="33"/>
      <c r="M692" s="31"/>
      <c r="N692" s="31"/>
      <c r="O692" s="16" t="s">
        <v>1487</v>
      </c>
      <c r="P692" s="16"/>
      <c r="Q692" s="16"/>
      <c r="R692" s="33"/>
      <c r="S692" s="34"/>
      <c r="T692" s="34"/>
      <c r="U692" s="34"/>
      <c r="V692" s="34"/>
      <c r="W692" s="34"/>
      <c r="X692" s="33" t="s">
        <v>184</v>
      </c>
      <c r="Y692" s="35" t="str">
        <f>IF(Tabela2[[#This Row],[SIGLA]]="","",VLOOKUP(Tabela2[[#This Row],[SIGLA]],Tabela1[[#All],[Sigla Arte]:[Crédito]],2,0))</f>
        <v>VER DOCUMENTO DE ILS. TÉCNICAS</v>
      </c>
      <c r="Z692" s="31"/>
      <c r="AA692" s="31" t="s">
        <v>921</v>
      </c>
      <c r="AB692" s="33"/>
      <c r="AC692" s="16"/>
      <c r="AE692" s="35" t="str">
        <f t="shared" si="10"/>
        <v>EF1 E002 Mat</v>
      </c>
    </row>
    <row r="693" spans="1:31" ht="45" x14ac:dyDescent="0.25">
      <c r="A693" s="31" t="s">
        <v>1488</v>
      </c>
      <c r="B693" s="16" t="s">
        <v>32</v>
      </c>
      <c r="C693" s="16" t="s">
        <v>33</v>
      </c>
      <c r="D693" s="33" t="s">
        <v>34</v>
      </c>
      <c r="E693" s="33">
        <v>246</v>
      </c>
      <c r="F693" s="33">
        <v>2</v>
      </c>
      <c r="G693" s="33">
        <v>10</v>
      </c>
      <c r="H693" s="33"/>
      <c r="I693" s="31" t="s">
        <v>46</v>
      </c>
      <c r="J693" s="31"/>
      <c r="K693" s="33"/>
      <c r="L693" s="33"/>
      <c r="M693" s="31"/>
      <c r="N693" s="31"/>
      <c r="O693" s="16" t="s">
        <v>1489</v>
      </c>
      <c r="P693" s="16"/>
      <c r="Q693" s="16"/>
      <c r="R693" s="33"/>
      <c r="S693" s="34"/>
      <c r="T693" s="34"/>
      <c r="U693" s="34"/>
      <c r="V693" s="34"/>
      <c r="W693" s="34"/>
      <c r="X693" s="33" t="s">
        <v>162</v>
      </c>
      <c r="Y693" s="35" t="str">
        <f>IF(Tabela2[[#This Row],[SIGLA]]="","",VLOOKUP(Tabela2[[#This Row],[SIGLA]],Tabela1[[#All],[Sigla Arte]:[Crédito]],2,0))</f>
        <v>IVY NUNES/ARQUIVO DA EDITORA</v>
      </c>
      <c r="Z693" s="31"/>
      <c r="AA693" s="31" t="str">
        <f>Tabela2[[#This Row],[ILUSTRADOR CRIAÇÃO]]</f>
        <v>IVY NUNES/ARQUIVO DA EDITORA</v>
      </c>
      <c r="AB693" s="33"/>
      <c r="AC693" s="16"/>
      <c r="AE693" s="35" t="str">
        <f t="shared" si="10"/>
        <v>EF1 E002 Mat</v>
      </c>
    </row>
    <row r="694" spans="1:31" ht="45" x14ac:dyDescent="0.25">
      <c r="A694" s="31" t="s">
        <v>1490</v>
      </c>
      <c r="B694" s="16" t="s">
        <v>32</v>
      </c>
      <c r="C694" s="16" t="s">
        <v>33</v>
      </c>
      <c r="D694" s="33" t="s">
        <v>34</v>
      </c>
      <c r="E694" s="33">
        <v>246</v>
      </c>
      <c r="F694" s="33">
        <v>2</v>
      </c>
      <c r="G694" s="33">
        <v>10</v>
      </c>
      <c r="H694" s="33"/>
      <c r="I694" s="31" t="s">
        <v>46</v>
      </c>
      <c r="J694" s="31"/>
      <c r="K694" s="33"/>
      <c r="L694" s="33"/>
      <c r="M694" s="31"/>
      <c r="N694" s="31"/>
      <c r="O694" s="16" t="s">
        <v>1491</v>
      </c>
      <c r="P694" s="16"/>
      <c r="Q694" s="16"/>
      <c r="R694" s="33"/>
      <c r="S694" s="34"/>
      <c r="T694" s="34"/>
      <c r="U694" s="34"/>
      <c r="V694" s="34"/>
      <c r="W694" s="34"/>
      <c r="X694" s="33" t="s">
        <v>162</v>
      </c>
      <c r="Y694" s="35" t="str">
        <f>IF(Tabela2[[#This Row],[SIGLA]]="","",VLOOKUP(Tabela2[[#This Row],[SIGLA]],Tabela1[[#All],[Sigla Arte]:[Crédito]],2,0))</f>
        <v>IVY NUNES/ARQUIVO DA EDITORA</v>
      </c>
      <c r="Z694" s="31"/>
      <c r="AA694" s="31" t="str">
        <f>Tabela2[[#This Row],[ILUSTRADOR CRIAÇÃO]]</f>
        <v>IVY NUNES/ARQUIVO DA EDITORA</v>
      </c>
      <c r="AB694" s="33"/>
      <c r="AC694" s="16"/>
      <c r="AE694" s="35" t="str">
        <f t="shared" si="10"/>
        <v>EF1 E002 Mat</v>
      </c>
    </row>
    <row r="695" spans="1:31" ht="60" x14ac:dyDescent="0.25">
      <c r="A695" s="31" t="s">
        <v>1492</v>
      </c>
      <c r="B695" s="16" t="s">
        <v>32</v>
      </c>
      <c r="C695" s="16" t="s">
        <v>164</v>
      </c>
      <c r="D695" s="33" t="s">
        <v>34</v>
      </c>
      <c r="E695" s="33">
        <v>244</v>
      </c>
      <c r="F695" s="33">
        <v>2</v>
      </c>
      <c r="G695" s="33">
        <v>10</v>
      </c>
      <c r="H695" s="33"/>
      <c r="I695" s="31" t="s">
        <v>46</v>
      </c>
      <c r="J695" s="31"/>
      <c r="K695" s="33"/>
      <c r="L695" s="33"/>
      <c r="M695" s="31"/>
      <c r="N695" s="31"/>
      <c r="O695" s="16" t="s">
        <v>1493</v>
      </c>
      <c r="P695" s="16"/>
      <c r="Q695" s="16"/>
      <c r="R695" s="33"/>
      <c r="S695" s="34"/>
      <c r="T695" s="34"/>
      <c r="U695" s="34"/>
      <c r="V695" s="34"/>
      <c r="W695" s="34"/>
      <c r="X695" s="33" t="s">
        <v>1126</v>
      </c>
      <c r="Y695" s="35" t="str">
        <f>IF(Tabela2[[#This Row],[SIGLA]]="","",VLOOKUP(Tabela2[[#This Row],[SIGLA]],Tabela1[[#All],[Sigla Arte]:[Crédito]],2,0))</f>
        <v>GUSTAVO CONTI/ARQUIVO DA EDITORA</v>
      </c>
      <c r="Z695" s="31"/>
      <c r="AA695" s="31" t="str">
        <f>Tabela2[[#This Row],[ILUSTRADOR CRIAÇÃO]]</f>
        <v>GUSTAVO CONTI/ARQUIVO DA EDITORA</v>
      </c>
      <c r="AB695" s="33"/>
      <c r="AC695" s="16"/>
      <c r="AE695" s="35" t="str">
        <f t="shared" si="10"/>
        <v>EF1 E002 Mat</v>
      </c>
    </row>
    <row r="696" spans="1:31" ht="45" x14ac:dyDescent="0.25">
      <c r="A696" s="31" t="s">
        <v>1494</v>
      </c>
      <c r="B696" s="16" t="s">
        <v>32</v>
      </c>
      <c r="C696" s="16" t="s">
        <v>33</v>
      </c>
      <c r="D696" s="33" t="s">
        <v>34</v>
      </c>
      <c r="E696" s="33">
        <v>12</v>
      </c>
      <c r="F696" s="33">
        <v>3</v>
      </c>
      <c r="G696" s="33">
        <v>1</v>
      </c>
      <c r="H696" s="33"/>
      <c r="I696" s="31" t="s">
        <v>46</v>
      </c>
      <c r="J696" s="31"/>
      <c r="K696" s="33"/>
      <c r="L696" s="33"/>
      <c r="M696" s="31"/>
      <c r="N696" s="31"/>
      <c r="O696" s="16" t="s">
        <v>1495</v>
      </c>
      <c r="P696" s="16"/>
      <c r="Q696" s="16"/>
      <c r="R696" s="33"/>
      <c r="S696" s="34"/>
      <c r="T696" s="34"/>
      <c r="U696" s="34"/>
      <c r="V696" s="34"/>
      <c r="W696" s="34"/>
      <c r="X696" s="33" t="s">
        <v>162</v>
      </c>
      <c r="Y696" s="35" t="str">
        <f>IF(Tabela2[[#This Row],[SIGLA]]="","",VLOOKUP(Tabela2[[#This Row],[SIGLA]],Tabela1[[#All],[Sigla Arte]:[Crédito]],2,0))</f>
        <v>IVY NUNES/ARQUIVO DA EDITORA</v>
      </c>
      <c r="Z696" s="31"/>
      <c r="AA696" s="31" t="str">
        <f>Tabela2[[#This Row],[ILUSTRADOR CRIAÇÃO]]</f>
        <v>IVY NUNES/ARQUIVO DA EDITORA</v>
      </c>
      <c r="AB696" s="33"/>
      <c r="AC696" s="16"/>
      <c r="AE696" s="35" t="str">
        <f t="shared" si="10"/>
        <v>EF1 E002 Mat</v>
      </c>
    </row>
    <row r="697" spans="1:31" ht="45" x14ac:dyDescent="0.25">
      <c r="A697" s="31" t="s">
        <v>1496</v>
      </c>
      <c r="B697" s="16" t="s">
        <v>32</v>
      </c>
      <c r="C697" s="16" t="s">
        <v>33</v>
      </c>
      <c r="D697" s="33" t="s">
        <v>34</v>
      </c>
      <c r="E697" s="33">
        <v>12</v>
      </c>
      <c r="F697" s="33">
        <v>3</v>
      </c>
      <c r="G697" s="33">
        <v>1</v>
      </c>
      <c r="H697" s="33"/>
      <c r="I697" s="31" t="s">
        <v>46</v>
      </c>
      <c r="J697" s="31"/>
      <c r="K697" s="33"/>
      <c r="L697" s="33"/>
      <c r="M697" s="31"/>
      <c r="N697" s="31"/>
      <c r="O697" s="16" t="s">
        <v>1497</v>
      </c>
      <c r="P697" s="16"/>
      <c r="Q697" s="16"/>
      <c r="R697" s="33"/>
      <c r="S697" s="34"/>
      <c r="T697" s="34"/>
      <c r="U697" s="34"/>
      <c r="V697" s="34"/>
      <c r="W697" s="34"/>
      <c r="X697" s="33" t="s">
        <v>162</v>
      </c>
      <c r="Y697" s="35" t="str">
        <f>IF(Tabela2[[#This Row],[SIGLA]]="","",VLOOKUP(Tabela2[[#This Row],[SIGLA]],Tabela1[[#All],[Sigla Arte]:[Crédito]],2,0))</f>
        <v>IVY NUNES/ARQUIVO DA EDITORA</v>
      </c>
      <c r="Z697" s="31"/>
      <c r="AA697" s="31" t="str">
        <f>Tabela2[[#This Row],[ILUSTRADOR CRIAÇÃO]]</f>
        <v>IVY NUNES/ARQUIVO DA EDITORA</v>
      </c>
      <c r="AB697" s="33"/>
      <c r="AC697" s="16"/>
      <c r="AE697" s="35" t="str">
        <f t="shared" si="10"/>
        <v>EF1 E002 Mat</v>
      </c>
    </row>
    <row r="698" spans="1:31" ht="45" x14ac:dyDescent="0.25">
      <c r="A698" s="31" t="s">
        <v>1498</v>
      </c>
      <c r="B698" s="16" t="s">
        <v>401</v>
      </c>
      <c r="C698" s="16" t="s">
        <v>33</v>
      </c>
      <c r="D698" s="33" t="s">
        <v>34</v>
      </c>
      <c r="E698" s="33">
        <v>12</v>
      </c>
      <c r="F698" s="33">
        <v>3</v>
      </c>
      <c r="G698" s="33">
        <v>1</v>
      </c>
      <c r="H698" s="33"/>
      <c r="I698" s="31" t="s">
        <v>46</v>
      </c>
      <c r="J698" s="31"/>
      <c r="K698" s="33"/>
      <c r="L698" s="33"/>
      <c r="M698" s="31"/>
      <c r="N698" s="31"/>
      <c r="O698" s="16" t="s">
        <v>1499</v>
      </c>
      <c r="P698" s="16" t="s">
        <v>1500</v>
      </c>
      <c r="Q698" s="16"/>
      <c r="R698" s="33"/>
      <c r="S698" s="34"/>
      <c r="T698" s="34"/>
      <c r="U698" s="34"/>
      <c r="V698" s="34"/>
      <c r="W698" s="34"/>
      <c r="X698" s="33" t="s">
        <v>162</v>
      </c>
      <c r="Y698" s="35" t="str">
        <f>IF(Tabela2[[#This Row],[SIGLA]]="","",VLOOKUP(Tabela2[[#This Row],[SIGLA]],Tabela1[[#All],[Sigla Arte]:[Crédito]],2,0))</f>
        <v>IVY NUNES/ARQUIVO DA EDITORA</v>
      </c>
      <c r="Z698" s="31"/>
      <c r="AA698" s="31" t="str">
        <f>Tabela2[[#This Row],[ILUSTRADOR CRIAÇÃO]]</f>
        <v>IVY NUNES/ARQUIVO DA EDITORA</v>
      </c>
      <c r="AB698" s="33"/>
      <c r="AC698" s="16"/>
      <c r="AE698" s="35" t="str">
        <f t="shared" si="10"/>
        <v>EF1 E002 Mat</v>
      </c>
    </row>
    <row r="699" spans="1:31" ht="45" x14ac:dyDescent="0.25">
      <c r="A699" s="31" t="s">
        <v>1501</v>
      </c>
      <c r="B699" s="16" t="s">
        <v>401</v>
      </c>
      <c r="C699" s="16" t="s">
        <v>33</v>
      </c>
      <c r="D699" s="33" t="s">
        <v>34</v>
      </c>
      <c r="E699" s="33">
        <v>12</v>
      </c>
      <c r="F699" s="33">
        <v>3</v>
      </c>
      <c r="G699" s="33">
        <v>1</v>
      </c>
      <c r="H699" s="33"/>
      <c r="I699" s="31" t="s">
        <v>46</v>
      </c>
      <c r="J699" s="31"/>
      <c r="K699" s="33"/>
      <c r="L699" s="33"/>
      <c r="M699" s="31"/>
      <c r="N699" s="31"/>
      <c r="O699" s="16" t="s">
        <v>1502</v>
      </c>
      <c r="P699" s="16"/>
      <c r="Q699" s="16"/>
      <c r="R699" s="33"/>
      <c r="S699" s="34"/>
      <c r="T699" s="34"/>
      <c r="U699" s="34"/>
      <c r="V699" s="34"/>
      <c r="W699" s="34"/>
      <c r="X699" s="33" t="s">
        <v>162</v>
      </c>
      <c r="Y699" s="35" t="str">
        <f>IF(Tabela2[[#This Row],[SIGLA]]="","",VLOOKUP(Tabela2[[#This Row],[SIGLA]],Tabela1[[#All],[Sigla Arte]:[Crédito]],2,0))</f>
        <v>IVY NUNES/ARQUIVO DA EDITORA</v>
      </c>
      <c r="Z699" s="31"/>
      <c r="AA699" s="31" t="str">
        <f>Tabela2[[#This Row],[ILUSTRADOR CRIAÇÃO]]</f>
        <v>IVY NUNES/ARQUIVO DA EDITORA</v>
      </c>
      <c r="AB699" s="33"/>
      <c r="AC699" s="16"/>
      <c r="AE699" s="35" t="str">
        <f t="shared" si="10"/>
        <v>EF1 E002 Mat</v>
      </c>
    </row>
    <row r="700" spans="1:31" ht="45" x14ac:dyDescent="0.25">
      <c r="A700" s="31" t="s">
        <v>1503</v>
      </c>
      <c r="B700" s="16" t="s">
        <v>32</v>
      </c>
      <c r="C700" s="16" t="s">
        <v>164</v>
      </c>
      <c r="D700" s="33" t="s">
        <v>34</v>
      </c>
      <c r="E700" s="33">
        <v>13</v>
      </c>
      <c r="F700" s="33">
        <v>3</v>
      </c>
      <c r="G700" s="33">
        <v>1</v>
      </c>
      <c r="H700" s="33"/>
      <c r="I700" s="31" t="s">
        <v>46</v>
      </c>
      <c r="J700" s="31"/>
      <c r="K700" s="33"/>
      <c r="L700" s="33"/>
      <c r="M700" s="31"/>
      <c r="N700" s="31"/>
      <c r="O700" s="16" t="s">
        <v>1504</v>
      </c>
      <c r="P700" s="16"/>
      <c r="Q700" s="16"/>
      <c r="R700" s="33"/>
      <c r="S700" s="34"/>
      <c r="T700" s="34"/>
      <c r="U700" s="34"/>
      <c r="V700" s="34"/>
      <c r="W700" s="34"/>
      <c r="X700" s="33" t="s">
        <v>48</v>
      </c>
      <c r="Y700" s="35" t="str">
        <f>IF(Tabela2[[#This Row],[SIGLA]]="","",VLOOKUP(Tabela2[[#This Row],[SIGLA]],Tabela1[[#All],[Sigla Arte]:[Crédito]],2,0))</f>
        <v>SERGIO LIMA/ARQUIVO DA EDITORA</v>
      </c>
      <c r="Z700" s="31"/>
      <c r="AA700" s="31" t="str">
        <f>Tabela2[[#This Row],[ILUSTRADOR CRIAÇÃO]]</f>
        <v>SERGIO LIMA/ARQUIVO DA EDITORA</v>
      </c>
      <c r="AB700" s="33"/>
      <c r="AC700" s="16"/>
      <c r="AE700" s="35" t="str">
        <f t="shared" si="10"/>
        <v>EF1 E002 Mat</v>
      </c>
    </row>
    <row r="701" spans="1:31" ht="45" x14ac:dyDescent="0.25">
      <c r="A701" s="31" t="s">
        <v>1505</v>
      </c>
      <c r="B701" s="16" t="s">
        <v>32</v>
      </c>
      <c r="C701" s="16" t="s">
        <v>164</v>
      </c>
      <c r="D701" s="33" t="s">
        <v>34</v>
      </c>
      <c r="E701" s="33">
        <v>13</v>
      </c>
      <c r="F701" s="33">
        <v>3</v>
      </c>
      <c r="G701" s="33">
        <v>1</v>
      </c>
      <c r="H701" s="33"/>
      <c r="I701" s="31" t="s">
        <v>46</v>
      </c>
      <c r="J701" s="31"/>
      <c r="K701" s="33"/>
      <c r="L701" s="33"/>
      <c r="M701" s="31"/>
      <c r="N701" s="31"/>
      <c r="O701" s="16" t="s">
        <v>1506</v>
      </c>
      <c r="P701" s="16"/>
      <c r="Q701" s="16"/>
      <c r="R701" s="33"/>
      <c r="S701" s="34"/>
      <c r="T701" s="34"/>
      <c r="U701" s="34"/>
      <c r="V701" s="34"/>
      <c r="W701" s="34"/>
      <c r="X701" s="33" t="s">
        <v>48</v>
      </c>
      <c r="Y701" s="35" t="str">
        <f>IF(Tabela2[[#This Row],[SIGLA]]="","",VLOOKUP(Tabela2[[#This Row],[SIGLA]],Tabela1[[#All],[Sigla Arte]:[Crédito]],2,0))</f>
        <v>SERGIO LIMA/ARQUIVO DA EDITORA</v>
      </c>
      <c r="Z701" s="31"/>
      <c r="AA701" s="31" t="str">
        <f>Tabela2[[#This Row],[ILUSTRADOR CRIAÇÃO]]</f>
        <v>SERGIO LIMA/ARQUIVO DA EDITORA</v>
      </c>
      <c r="AB701" s="33"/>
      <c r="AC701" s="16"/>
      <c r="AE701" s="35" t="str">
        <f t="shared" si="10"/>
        <v>EF1 E002 Mat</v>
      </c>
    </row>
    <row r="702" spans="1:31" ht="45" x14ac:dyDescent="0.25">
      <c r="A702" s="31" t="s">
        <v>1507</v>
      </c>
      <c r="B702" s="16" t="s">
        <v>32</v>
      </c>
      <c r="C702" s="16" t="s">
        <v>164</v>
      </c>
      <c r="D702" s="33" t="s">
        <v>34</v>
      </c>
      <c r="E702" s="33">
        <v>13</v>
      </c>
      <c r="F702" s="33">
        <v>3</v>
      </c>
      <c r="G702" s="33">
        <v>1</v>
      </c>
      <c r="H702" s="33"/>
      <c r="I702" s="31" t="s">
        <v>46</v>
      </c>
      <c r="J702" s="31"/>
      <c r="K702" s="33"/>
      <c r="L702" s="33"/>
      <c r="M702" s="31"/>
      <c r="N702" s="31"/>
      <c r="O702" s="16" t="s">
        <v>1508</v>
      </c>
      <c r="P702" s="16"/>
      <c r="Q702" s="16"/>
      <c r="R702" s="33"/>
      <c r="S702" s="34"/>
      <c r="T702" s="34"/>
      <c r="U702" s="34"/>
      <c r="V702" s="34"/>
      <c r="W702" s="34"/>
      <c r="X702" s="33" t="s">
        <v>48</v>
      </c>
      <c r="Y702" s="35" t="str">
        <f>IF(Tabela2[[#This Row],[SIGLA]]="","",VLOOKUP(Tabela2[[#This Row],[SIGLA]],Tabela1[[#All],[Sigla Arte]:[Crédito]],2,0))</f>
        <v>SERGIO LIMA/ARQUIVO DA EDITORA</v>
      </c>
      <c r="Z702" s="31"/>
      <c r="AA702" s="31" t="str">
        <f>Tabela2[[#This Row],[ILUSTRADOR CRIAÇÃO]]</f>
        <v>SERGIO LIMA/ARQUIVO DA EDITORA</v>
      </c>
      <c r="AB702" s="33"/>
      <c r="AC702" s="16"/>
      <c r="AE702" s="35" t="str">
        <f t="shared" si="10"/>
        <v>EF1 E002 Mat</v>
      </c>
    </row>
    <row r="703" spans="1:31" ht="45" x14ac:dyDescent="0.25">
      <c r="A703" s="31" t="s">
        <v>1509</v>
      </c>
      <c r="B703" s="16" t="s">
        <v>32</v>
      </c>
      <c r="C703" s="16" t="s">
        <v>164</v>
      </c>
      <c r="D703" s="33" t="s">
        <v>34</v>
      </c>
      <c r="E703" s="33">
        <v>13</v>
      </c>
      <c r="F703" s="33">
        <v>3</v>
      </c>
      <c r="G703" s="33">
        <v>1</v>
      </c>
      <c r="H703" s="33"/>
      <c r="I703" s="31" t="s">
        <v>46</v>
      </c>
      <c r="J703" s="31"/>
      <c r="K703" s="33"/>
      <c r="L703" s="33"/>
      <c r="M703" s="31"/>
      <c r="N703" s="31"/>
      <c r="O703" s="16" t="s">
        <v>1510</v>
      </c>
      <c r="P703" s="16"/>
      <c r="Q703" s="16"/>
      <c r="R703" s="33"/>
      <c r="S703" s="34"/>
      <c r="T703" s="34"/>
      <c r="U703" s="34"/>
      <c r="V703" s="34"/>
      <c r="W703" s="34"/>
      <c r="X703" s="33" t="s">
        <v>48</v>
      </c>
      <c r="Y703" s="35" t="str">
        <f>IF(Tabela2[[#This Row],[SIGLA]]="","",VLOOKUP(Tabela2[[#This Row],[SIGLA]],Tabela1[[#All],[Sigla Arte]:[Crédito]],2,0))</f>
        <v>SERGIO LIMA/ARQUIVO DA EDITORA</v>
      </c>
      <c r="Z703" s="31"/>
      <c r="AA703" s="31" t="str">
        <f>Tabela2[[#This Row],[ILUSTRADOR CRIAÇÃO]]</f>
        <v>SERGIO LIMA/ARQUIVO DA EDITORA</v>
      </c>
      <c r="AB703" s="33"/>
      <c r="AC703" s="16"/>
      <c r="AE703" s="35" t="str">
        <f t="shared" si="10"/>
        <v>EF1 E002 Mat</v>
      </c>
    </row>
    <row r="704" spans="1:31" ht="135" x14ac:dyDescent="0.25">
      <c r="A704" s="31" t="s">
        <v>1511</v>
      </c>
      <c r="B704" s="16" t="s">
        <v>32</v>
      </c>
      <c r="C704" s="16" t="s">
        <v>164</v>
      </c>
      <c r="D704" s="33" t="s">
        <v>34</v>
      </c>
      <c r="E704" s="33">
        <v>13</v>
      </c>
      <c r="F704" s="33">
        <v>3</v>
      </c>
      <c r="G704" s="33">
        <v>1</v>
      </c>
      <c r="H704" s="33"/>
      <c r="I704" s="31" t="s">
        <v>35</v>
      </c>
      <c r="J704" s="31"/>
      <c r="K704" s="33"/>
      <c r="L704" s="33"/>
      <c r="M704" s="31"/>
      <c r="N704" s="31"/>
      <c r="O704" s="16" t="s">
        <v>1512</v>
      </c>
      <c r="P704" s="16"/>
      <c r="Q704" s="16"/>
      <c r="R704" s="33">
        <v>15</v>
      </c>
      <c r="S704" s="34">
        <v>45742</v>
      </c>
      <c r="T704" s="34">
        <v>45748</v>
      </c>
      <c r="U704" s="34"/>
      <c r="V704" s="34"/>
      <c r="W704" s="34">
        <v>45748</v>
      </c>
      <c r="X704" s="33" t="s">
        <v>48</v>
      </c>
      <c r="Y704" s="35" t="str">
        <f>IF(Tabela2[[#This Row],[SIGLA]]="","",VLOOKUP(Tabela2[[#This Row],[SIGLA]],Tabela1[[#All],[Sigla Arte]:[Crédito]],2,0))</f>
        <v>SERGIO LIMA/ARQUIVO DA EDITORA</v>
      </c>
      <c r="Z704" s="31" t="s">
        <v>352</v>
      </c>
      <c r="AA704" s="31" t="str">
        <f>Tabela2[[#This Row],[ILUSTRADOR CRIAÇÃO]]</f>
        <v>SERGIO LIMA/ARQUIVO DA EDITORA</v>
      </c>
      <c r="AB704" s="33">
        <v>13</v>
      </c>
      <c r="AC704" s="16" t="s">
        <v>39</v>
      </c>
      <c r="AD704" s="16" t="s">
        <v>40</v>
      </c>
      <c r="AE704" s="35" t="str">
        <f t="shared" si="10"/>
        <v>EF1 E002 Mat</v>
      </c>
    </row>
    <row r="705" spans="1:31" ht="120" x14ac:dyDescent="0.25">
      <c r="A705" s="31" t="s">
        <v>1513</v>
      </c>
      <c r="B705" s="16" t="s">
        <v>32</v>
      </c>
      <c r="C705" s="16" t="s">
        <v>33</v>
      </c>
      <c r="D705" s="33" t="s">
        <v>34</v>
      </c>
      <c r="E705" s="33">
        <v>14</v>
      </c>
      <c r="F705" s="33">
        <v>3</v>
      </c>
      <c r="G705" s="33">
        <v>1</v>
      </c>
      <c r="H705" s="33"/>
      <c r="I705" s="31" t="s">
        <v>35</v>
      </c>
      <c r="J705" s="31"/>
      <c r="K705" s="33"/>
      <c r="L705" s="33"/>
      <c r="M705" s="31"/>
      <c r="N705" s="31"/>
      <c r="O705" s="16" t="s">
        <v>1514</v>
      </c>
      <c r="P705" s="16"/>
      <c r="Q705" s="16"/>
      <c r="R705" s="33">
        <v>72</v>
      </c>
      <c r="S705" s="34">
        <v>45841</v>
      </c>
      <c r="T705" s="34">
        <v>45845</v>
      </c>
      <c r="U705" s="34"/>
      <c r="V705" s="34"/>
      <c r="W705" s="34">
        <v>45849</v>
      </c>
      <c r="X705" s="33" t="s">
        <v>1515</v>
      </c>
      <c r="Y705" s="35" t="str">
        <f>IF(Tabela2[[#This Row],[SIGLA]]="","",VLOOKUP(Tabela2[[#This Row],[SIGLA]],Tabela1[[#All],[Sigla Arte]:[Crédito]],2,0))</f>
        <v>JANAINA OLIVEIRA/ARQUIVO DA EDITORA</v>
      </c>
      <c r="Z705" s="31" t="s">
        <v>221</v>
      </c>
      <c r="AA705" s="31" t="s">
        <v>921</v>
      </c>
      <c r="AB705" s="33">
        <v>13</v>
      </c>
      <c r="AC705" s="16" t="s">
        <v>1516</v>
      </c>
      <c r="AD705" s="16" t="s">
        <v>40</v>
      </c>
      <c r="AE705" s="35" t="str">
        <f t="shared" si="10"/>
        <v>EF1 E002 Mat</v>
      </c>
    </row>
    <row r="706" spans="1:31" ht="60" x14ac:dyDescent="0.25">
      <c r="A706" s="31" t="s">
        <v>1517</v>
      </c>
      <c r="B706" s="16" t="s">
        <v>32</v>
      </c>
      <c r="C706" s="16" t="s">
        <v>33</v>
      </c>
      <c r="D706" s="33" t="s">
        <v>34</v>
      </c>
      <c r="E706" s="33">
        <v>15</v>
      </c>
      <c r="F706" s="33">
        <v>3</v>
      </c>
      <c r="G706" s="33">
        <v>1</v>
      </c>
      <c r="H706" s="33"/>
      <c r="I706" s="31" t="s">
        <v>35</v>
      </c>
      <c r="J706" s="31"/>
      <c r="K706" s="33"/>
      <c r="L706" s="33"/>
      <c r="M706" s="31"/>
      <c r="N706" s="31"/>
      <c r="O706" s="16" t="s">
        <v>1518</v>
      </c>
      <c r="P706" s="16"/>
      <c r="Q706" s="16"/>
      <c r="R706" s="33">
        <v>169</v>
      </c>
      <c r="S706" s="34">
        <v>45917</v>
      </c>
      <c r="T706" s="34">
        <v>45917</v>
      </c>
      <c r="U706" s="34"/>
      <c r="V706" s="34"/>
      <c r="W706" s="34">
        <v>45917</v>
      </c>
      <c r="X706" s="33" t="s">
        <v>85</v>
      </c>
      <c r="Y706" s="35" t="str">
        <f>IF(Tabela2[[#This Row],[SIGLA]]="","",VLOOKUP(Tabela2[[#This Row],[SIGLA]],Tabela1[[#All],[Sigla Arte]:[Crédito]],2,0))</f>
        <v>HELOÍSA PINTARELLI/ARQUIVO DA EDITORA</v>
      </c>
      <c r="Z706" s="31" t="s">
        <v>383</v>
      </c>
      <c r="AA706" s="31" t="str">
        <f>Tabela2[[#This Row],[ILUSTRADOR CRIAÇÃO]]</f>
        <v>HELOÍSA PINTARELLI/ARQUIVO DA EDITORA</v>
      </c>
      <c r="AB706" s="33">
        <v>13</v>
      </c>
      <c r="AC706" s="16" t="s">
        <v>44</v>
      </c>
      <c r="AE706" s="35" t="str">
        <f t="shared" ref="AE706:AE769" si="11">"EF1 E002 Mat"</f>
        <v>EF1 E002 Mat</v>
      </c>
    </row>
    <row r="707" spans="1:31" ht="75" x14ac:dyDescent="0.25">
      <c r="A707" s="31" t="s">
        <v>1519</v>
      </c>
      <c r="B707" s="16" t="s">
        <v>32</v>
      </c>
      <c r="C707" s="16" t="s">
        <v>164</v>
      </c>
      <c r="D707" s="33" t="s">
        <v>34</v>
      </c>
      <c r="E707" s="33">
        <v>16</v>
      </c>
      <c r="F707" s="33">
        <v>3</v>
      </c>
      <c r="G707" s="33">
        <v>1</v>
      </c>
      <c r="H707" s="33"/>
      <c r="I707" s="31" t="s">
        <v>46</v>
      </c>
      <c r="J707" s="31"/>
      <c r="K707" s="33"/>
      <c r="L707" s="33"/>
      <c r="M707" s="31"/>
      <c r="N707" s="31"/>
      <c r="O707" s="16" t="s">
        <v>1520</v>
      </c>
      <c r="P707" s="16"/>
      <c r="Q707" s="16"/>
      <c r="R707" s="33"/>
      <c r="S707" s="34"/>
      <c r="T707" s="34"/>
      <c r="U707" s="34"/>
      <c r="V707" s="34"/>
      <c r="W707" s="34"/>
      <c r="X707" s="33" t="s">
        <v>184</v>
      </c>
      <c r="Y707" s="35" t="str">
        <f>IF(Tabela2[[#This Row],[SIGLA]]="","",VLOOKUP(Tabela2[[#This Row],[SIGLA]],Tabela1[[#All],[Sigla Arte]:[Crédito]],2,0))</f>
        <v>VER DOCUMENTO DE ILS. TÉCNICAS</v>
      </c>
      <c r="Z707" s="31"/>
      <c r="AA707" s="31" t="s">
        <v>185</v>
      </c>
      <c r="AB707" s="33"/>
      <c r="AC707" s="16"/>
      <c r="AE707" s="35" t="str">
        <f t="shared" si="11"/>
        <v>EF1 E002 Mat</v>
      </c>
    </row>
    <row r="708" spans="1:31" ht="90" x14ac:dyDescent="0.25">
      <c r="A708" s="31" t="s">
        <v>1521</v>
      </c>
      <c r="B708" s="16" t="s">
        <v>32</v>
      </c>
      <c r="C708" s="16" t="s">
        <v>164</v>
      </c>
      <c r="D708" s="33" t="s">
        <v>34</v>
      </c>
      <c r="E708" s="33">
        <v>16</v>
      </c>
      <c r="F708" s="33">
        <v>3</v>
      </c>
      <c r="G708" s="33">
        <v>1</v>
      </c>
      <c r="H708" s="33"/>
      <c r="I708" s="31" t="s">
        <v>35</v>
      </c>
      <c r="J708" s="31"/>
      <c r="K708" s="33"/>
      <c r="L708" s="33"/>
      <c r="M708" s="31"/>
      <c r="N708" s="31"/>
      <c r="O708" s="16" t="s">
        <v>1522</v>
      </c>
      <c r="P708" s="16"/>
      <c r="Q708" s="16"/>
      <c r="R708" s="33">
        <v>15</v>
      </c>
      <c r="S708" s="34">
        <v>45742</v>
      </c>
      <c r="T708" s="34">
        <v>45748</v>
      </c>
      <c r="U708" s="34"/>
      <c r="V708" s="34"/>
      <c r="W708" s="34">
        <v>45748</v>
      </c>
      <c r="X708" s="33" t="s">
        <v>470</v>
      </c>
      <c r="Y708" s="35" t="str">
        <f>IF(Tabela2[[#This Row],[SIGLA]]="","",VLOOKUP(Tabela2[[#This Row],[SIGLA]],Tabela1[[#All],[Sigla Arte]:[Crédito]],2,0))</f>
        <v>RENAN FONSECA/ARQUIVO DA EDITORA</v>
      </c>
      <c r="Z708" s="31" t="s">
        <v>352</v>
      </c>
      <c r="AA708" s="31" t="str">
        <f>Tabela2[[#This Row],[ILUSTRADOR CRIAÇÃO]]</f>
        <v>RENAN FONSECA/ARQUIVO DA EDITORA</v>
      </c>
      <c r="AB708" s="33">
        <v>13</v>
      </c>
      <c r="AC708" s="16" t="s">
        <v>39</v>
      </c>
      <c r="AD708" s="16" t="s">
        <v>40</v>
      </c>
      <c r="AE708" s="35" t="str">
        <f t="shared" si="11"/>
        <v>EF1 E002 Mat</v>
      </c>
    </row>
    <row r="709" spans="1:31" ht="90" x14ac:dyDescent="0.25">
      <c r="A709" s="31" t="s">
        <v>1523</v>
      </c>
      <c r="B709" s="16" t="s">
        <v>32</v>
      </c>
      <c r="C709" s="16" t="s">
        <v>164</v>
      </c>
      <c r="D709" s="33" t="s">
        <v>34</v>
      </c>
      <c r="E709" s="33">
        <v>16</v>
      </c>
      <c r="F709" s="33">
        <v>3</v>
      </c>
      <c r="G709" s="33">
        <v>1</v>
      </c>
      <c r="H709" s="33"/>
      <c r="I709" s="31" t="s">
        <v>35</v>
      </c>
      <c r="J709" s="31"/>
      <c r="K709" s="33"/>
      <c r="L709" s="33"/>
      <c r="M709" s="31"/>
      <c r="N709" s="31"/>
      <c r="O709" s="16" t="s">
        <v>1524</v>
      </c>
      <c r="P709" s="16"/>
      <c r="Q709" s="16"/>
      <c r="R709" s="33">
        <v>15</v>
      </c>
      <c r="S709" s="34">
        <v>45742</v>
      </c>
      <c r="T709" s="34">
        <v>45748</v>
      </c>
      <c r="U709" s="34"/>
      <c r="V709" s="34"/>
      <c r="W709" s="34">
        <v>45748</v>
      </c>
      <c r="X709" s="33" t="s">
        <v>470</v>
      </c>
      <c r="Y709" s="35" t="str">
        <f>IF(Tabela2[[#This Row],[SIGLA]]="","",VLOOKUP(Tabela2[[#This Row],[SIGLA]],Tabela1[[#All],[Sigla Arte]:[Crédito]],2,0))</f>
        <v>RENAN FONSECA/ARQUIVO DA EDITORA</v>
      </c>
      <c r="Z709" s="31" t="s">
        <v>352</v>
      </c>
      <c r="AA709" s="31" t="str">
        <f>Tabela2[[#This Row],[ILUSTRADOR CRIAÇÃO]]</f>
        <v>RENAN FONSECA/ARQUIVO DA EDITORA</v>
      </c>
      <c r="AB709" s="33">
        <v>13</v>
      </c>
      <c r="AC709" s="16" t="s">
        <v>39</v>
      </c>
      <c r="AD709" s="16" t="s">
        <v>40</v>
      </c>
      <c r="AE709" s="35" t="str">
        <f t="shared" si="11"/>
        <v>EF1 E002 Mat</v>
      </c>
    </row>
    <row r="710" spans="1:31" ht="45" x14ac:dyDescent="0.25">
      <c r="A710" s="31" t="s">
        <v>1525</v>
      </c>
      <c r="B710" s="16" t="s">
        <v>32</v>
      </c>
      <c r="C710" s="16" t="s">
        <v>164</v>
      </c>
      <c r="D710" s="33" t="s">
        <v>34</v>
      </c>
      <c r="E710" s="33">
        <v>17</v>
      </c>
      <c r="F710" s="33">
        <v>3</v>
      </c>
      <c r="G710" s="33">
        <v>1</v>
      </c>
      <c r="H710" s="33"/>
      <c r="I710" s="31" t="s">
        <v>46</v>
      </c>
      <c r="J710" s="31"/>
      <c r="K710" s="33"/>
      <c r="L710" s="33"/>
      <c r="M710" s="31"/>
      <c r="N710" s="31"/>
      <c r="O710" s="16" t="s">
        <v>1526</v>
      </c>
      <c r="P710" s="16"/>
      <c r="Q710" s="16"/>
      <c r="R710" s="33"/>
      <c r="S710" s="34"/>
      <c r="T710" s="34"/>
      <c r="U710" s="34"/>
      <c r="V710" s="34"/>
      <c r="W710" s="34"/>
      <c r="X710" s="33" t="s">
        <v>470</v>
      </c>
      <c r="Y710" s="35" t="str">
        <f>IF(Tabela2[[#This Row],[SIGLA]]="","",VLOOKUP(Tabela2[[#This Row],[SIGLA]],Tabela1[[#All],[Sigla Arte]:[Crédito]],2,0))</f>
        <v>RENAN FONSECA/ARQUIVO DA EDITORA</v>
      </c>
      <c r="Z710" s="31"/>
      <c r="AA710" s="31" t="str">
        <f>Tabela2[[#This Row],[ILUSTRADOR CRIAÇÃO]]</f>
        <v>RENAN FONSECA/ARQUIVO DA EDITORA</v>
      </c>
      <c r="AB710" s="33"/>
      <c r="AC710" s="16"/>
      <c r="AE710" s="35" t="str">
        <f t="shared" si="11"/>
        <v>EF1 E002 Mat</v>
      </c>
    </row>
    <row r="711" spans="1:31" ht="45" x14ac:dyDescent="0.25">
      <c r="A711" s="31" t="s">
        <v>1527</v>
      </c>
      <c r="B711" s="16" t="s">
        <v>32</v>
      </c>
      <c r="C711" s="16" t="s">
        <v>164</v>
      </c>
      <c r="D711" s="33" t="s">
        <v>34</v>
      </c>
      <c r="E711" s="33">
        <v>17</v>
      </c>
      <c r="F711" s="33">
        <v>3</v>
      </c>
      <c r="G711" s="33">
        <v>1</v>
      </c>
      <c r="H711" s="33"/>
      <c r="I711" s="31" t="s">
        <v>46</v>
      </c>
      <c r="J711" s="31"/>
      <c r="K711" s="33"/>
      <c r="L711" s="33"/>
      <c r="M711" s="31"/>
      <c r="N711" s="31"/>
      <c r="O711" s="16" t="s">
        <v>1528</v>
      </c>
      <c r="P711" s="16"/>
      <c r="Q711" s="16"/>
      <c r="R711" s="33"/>
      <c r="S711" s="34"/>
      <c r="T711" s="34"/>
      <c r="U711" s="34"/>
      <c r="V711" s="34"/>
      <c r="W711" s="34"/>
      <c r="X711" s="33" t="s">
        <v>184</v>
      </c>
      <c r="Y711" s="35" t="str">
        <f>IF(Tabela2[[#This Row],[SIGLA]]="","",VLOOKUP(Tabela2[[#This Row],[SIGLA]],Tabela1[[#All],[Sigla Arte]:[Crédito]],2,0))</f>
        <v>VER DOCUMENTO DE ILS. TÉCNICAS</v>
      </c>
      <c r="Z711" s="31"/>
      <c r="AA711" s="31" t="s">
        <v>185</v>
      </c>
      <c r="AB711" s="33"/>
      <c r="AC711" s="16"/>
      <c r="AE711" s="35" t="str">
        <f t="shared" si="11"/>
        <v>EF1 E002 Mat</v>
      </c>
    </row>
    <row r="712" spans="1:31" ht="45" x14ac:dyDescent="0.25">
      <c r="A712" s="31" t="s">
        <v>1529</v>
      </c>
      <c r="B712" s="16" t="s">
        <v>32</v>
      </c>
      <c r="C712" s="16" t="s">
        <v>164</v>
      </c>
      <c r="D712" s="33" t="s">
        <v>34</v>
      </c>
      <c r="E712" s="33">
        <v>17</v>
      </c>
      <c r="F712" s="33">
        <v>3</v>
      </c>
      <c r="G712" s="33">
        <v>1</v>
      </c>
      <c r="H712" s="33"/>
      <c r="I712" s="31" t="s">
        <v>46</v>
      </c>
      <c r="J712" s="31"/>
      <c r="K712" s="33"/>
      <c r="L712" s="33"/>
      <c r="M712" s="31"/>
      <c r="N712" s="31"/>
      <c r="O712" s="16" t="s">
        <v>1530</v>
      </c>
      <c r="P712" s="16"/>
      <c r="Q712" s="16"/>
      <c r="R712" s="33"/>
      <c r="S712" s="34"/>
      <c r="T712" s="34"/>
      <c r="U712" s="34"/>
      <c r="V712" s="34"/>
      <c r="W712" s="34"/>
      <c r="X712" s="33" t="s">
        <v>184</v>
      </c>
      <c r="Y712" s="35" t="str">
        <f>IF(Tabela2[[#This Row],[SIGLA]]="","",VLOOKUP(Tabela2[[#This Row],[SIGLA]],Tabela1[[#All],[Sigla Arte]:[Crédito]],2,0))</f>
        <v>VER DOCUMENTO DE ILS. TÉCNICAS</v>
      </c>
      <c r="Z712" s="31"/>
      <c r="AA712" s="31" t="s">
        <v>185</v>
      </c>
      <c r="AB712" s="33"/>
      <c r="AC712" s="16"/>
      <c r="AE712" s="35" t="str">
        <f t="shared" si="11"/>
        <v>EF1 E002 Mat</v>
      </c>
    </row>
    <row r="713" spans="1:31" ht="45" x14ac:dyDescent="0.25">
      <c r="A713" s="31" t="s">
        <v>1531</v>
      </c>
      <c r="B713" s="16" t="s">
        <v>32</v>
      </c>
      <c r="C713" s="16" t="s">
        <v>164</v>
      </c>
      <c r="D713" s="33" t="s">
        <v>34</v>
      </c>
      <c r="E713" s="33">
        <v>17</v>
      </c>
      <c r="F713" s="33">
        <v>3</v>
      </c>
      <c r="G713" s="33">
        <v>1</v>
      </c>
      <c r="H713" s="33"/>
      <c r="I713" s="31" t="s">
        <v>46</v>
      </c>
      <c r="J713" s="31"/>
      <c r="K713" s="33"/>
      <c r="L713" s="33"/>
      <c r="M713" s="31"/>
      <c r="N713" s="31"/>
      <c r="O713" s="16" t="s">
        <v>1532</v>
      </c>
      <c r="P713" s="16"/>
      <c r="Q713" s="16"/>
      <c r="R713" s="33"/>
      <c r="S713" s="34"/>
      <c r="T713" s="34"/>
      <c r="U713" s="34"/>
      <c r="V713" s="34"/>
      <c r="W713" s="34"/>
      <c r="X713" s="33" t="s">
        <v>184</v>
      </c>
      <c r="Y713" s="35" t="str">
        <f>IF(Tabela2[[#This Row],[SIGLA]]="","",VLOOKUP(Tabela2[[#This Row],[SIGLA]],Tabela1[[#All],[Sigla Arte]:[Crédito]],2,0))</f>
        <v>VER DOCUMENTO DE ILS. TÉCNICAS</v>
      </c>
      <c r="Z713" s="31"/>
      <c r="AA713" s="31" t="s">
        <v>185</v>
      </c>
      <c r="AB713" s="33"/>
      <c r="AC713" s="16"/>
      <c r="AE713" s="35" t="str">
        <f t="shared" si="11"/>
        <v>EF1 E002 Mat</v>
      </c>
    </row>
    <row r="714" spans="1:31" ht="45" x14ac:dyDescent="0.25">
      <c r="A714" s="31" t="s">
        <v>1533</v>
      </c>
      <c r="B714" s="16" t="s">
        <v>32</v>
      </c>
      <c r="C714" s="16" t="s">
        <v>164</v>
      </c>
      <c r="D714" s="33" t="s">
        <v>34</v>
      </c>
      <c r="E714" s="33">
        <v>17</v>
      </c>
      <c r="F714" s="33">
        <v>3</v>
      </c>
      <c r="G714" s="33">
        <v>1</v>
      </c>
      <c r="H714" s="33"/>
      <c r="I714" s="31" t="s">
        <v>46</v>
      </c>
      <c r="J714" s="31"/>
      <c r="K714" s="33"/>
      <c r="L714" s="33"/>
      <c r="M714" s="31"/>
      <c r="N714" s="31"/>
      <c r="O714" s="16" t="s">
        <v>1534</v>
      </c>
      <c r="P714" s="16"/>
      <c r="Q714" s="16"/>
      <c r="R714" s="33"/>
      <c r="S714" s="34"/>
      <c r="T714" s="34"/>
      <c r="U714" s="34"/>
      <c r="V714" s="34"/>
      <c r="W714" s="34"/>
      <c r="X714" s="33" t="s">
        <v>184</v>
      </c>
      <c r="Y714" s="35" t="str">
        <f>IF(Tabela2[[#This Row],[SIGLA]]="","",VLOOKUP(Tabela2[[#This Row],[SIGLA]],Tabela1[[#All],[Sigla Arte]:[Crédito]],2,0))</f>
        <v>VER DOCUMENTO DE ILS. TÉCNICAS</v>
      </c>
      <c r="Z714" s="31"/>
      <c r="AA714" s="31" t="s">
        <v>185</v>
      </c>
      <c r="AB714" s="33"/>
      <c r="AC714" s="16"/>
      <c r="AE714" s="35" t="str">
        <f t="shared" si="11"/>
        <v>EF1 E002 Mat</v>
      </c>
    </row>
    <row r="715" spans="1:31" ht="45" x14ac:dyDescent="0.25">
      <c r="A715" s="31" t="s">
        <v>1535</v>
      </c>
      <c r="B715" s="16" t="s">
        <v>32</v>
      </c>
      <c r="C715" s="16" t="s">
        <v>164</v>
      </c>
      <c r="D715" s="33" t="s">
        <v>34</v>
      </c>
      <c r="E715" s="33">
        <v>17</v>
      </c>
      <c r="F715" s="33">
        <v>3</v>
      </c>
      <c r="G715" s="33">
        <v>1</v>
      </c>
      <c r="H715" s="33"/>
      <c r="I715" s="31" t="s">
        <v>46</v>
      </c>
      <c r="J715" s="31"/>
      <c r="K715" s="33"/>
      <c r="L715" s="33"/>
      <c r="M715" s="31"/>
      <c r="N715" s="31"/>
      <c r="O715" s="16" t="s">
        <v>1536</v>
      </c>
      <c r="P715" s="16"/>
      <c r="Q715" s="16"/>
      <c r="R715" s="33"/>
      <c r="S715" s="34"/>
      <c r="T715" s="34"/>
      <c r="U715" s="34"/>
      <c r="V715" s="34"/>
      <c r="W715" s="34"/>
      <c r="X715" s="33" t="s">
        <v>184</v>
      </c>
      <c r="Y715" s="35" t="str">
        <f>IF(Tabela2[[#This Row],[SIGLA]]="","",VLOOKUP(Tabela2[[#This Row],[SIGLA]],Tabela1[[#All],[Sigla Arte]:[Crédito]],2,0))</f>
        <v>VER DOCUMENTO DE ILS. TÉCNICAS</v>
      </c>
      <c r="Z715" s="31"/>
      <c r="AA715" s="31" t="s">
        <v>185</v>
      </c>
      <c r="AB715" s="33"/>
      <c r="AC715" s="16"/>
      <c r="AE715" s="35" t="str">
        <f t="shared" si="11"/>
        <v>EF1 E002 Mat</v>
      </c>
    </row>
    <row r="716" spans="1:31" ht="45" x14ac:dyDescent="0.25">
      <c r="A716" s="31" t="s">
        <v>1537</v>
      </c>
      <c r="B716" s="16" t="s">
        <v>32</v>
      </c>
      <c r="C716" s="16" t="s">
        <v>164</v>
      </c>
      <c r="D716" s="33" t="s">
        <v>34</v>
      </c>
      <c r="E716" s="33">
        <v>17</v>
      </c>
      <c r="F716" s="33">
        <v>3</v>
      </c>
      <c r="G716" s="33">
        <v>1</v>
      </c>
      <c r="H716" s="33"/>
      <c r="I716" s="31" t="s">
        <v>46</v>
      </c>
      <c r="J716" s="31"/>
      <c r="K716" s="33"/>
      <c r="L716" s="33"/>
      <c r="M716" s="31"/>
      <c r="N716" s="31"/>
      <c r="O716" s="16" t="s">
        <v>1538</v>
      </c>
      <c r="P716" s="16"/>
      <c r="Q716" s="16"/>
      <c r="R716" s="33"/>
      <c r="S716" s="34"/>
      <c r="T716" s="34"/>
      <c r="U716" s="34"/>
      <c r="V716" s="34"/>
      <c r="W716" s="34"/>
      <c r="X716" s="33" t="s">
        <v>184</v>
      </c>
      <c r="Y716" s="35" t="str">
        <f>IF(Tabela2[[#This Row],[SIGLA]]="","",VLOOKUP(Tabela2[[#This Row],[SIGLA]],Tabela1[[#All],[Sigla Arte]:[Crédito]],2,0))</f>
        <v>VER DOCUMENTO DE ILS. TÉCNICAS</v>
      </c>
      <c r="Z716" s="31"/>
      <c r="AA716" s="31" t="s">
        <v>185</v>
      </c>
      <c r="AB716" s="33"/>
      <c r="AC716" s="16"/>
      <c r="AE716" s="35" t="str">
        <f t="shared" si="11"/>
        <v>EF1 E002 Mat</v>
      </c>
    </row>
    <row r="717" spans="1:31" ht="45" x14ac:dyDescent="0.25">
      <c r="A717" s="31" t="s">
        <v>1539</v>
      </c>
      <c r="B717" s="16" t="s">
        <v>32</v>
      </c>
      <c r="C717" s="16" t="s">
        <v>164</v>
      </c>
      <c r="D717" s="33" t="s">
        <v>34</v>
      </c>
      <c r="E717" s="33">
        <v>17</v>
      </c>
      <c r="F717" s="33">
        <v>3</v>
      </c>
      <c r="G717" s="33">
        <v>1</v>
      </c>
      <c r="H717" s="33"/>
      <c r="I717" s="31" t="s">
        <v>46</v>
      </c>
      <c r="J717" s="31"/>
      <c r="K717" s="33"/>
      <c r="L717" s="33"/>
      <c r="M717" s="31"/>
      <c r="N717" s="31"/>
      <c r="O717" s="16" t="s">
        <v>1540</v>
      </c>
      <c r="P717" s="16"/>
      <c r="Q717" s="16"/>
      <c r="R717" s="33"/>
      <c r="S717" s="34"/>
      <c r="T717" s="34"/>
      <c r="U717" s="34"/>
      <c r="V717" s="34"/>
      <c r="W717" s="34"/>
      <c r="X717" s="33" t="s">
        <v>184</v>
      </c>
      <c r="Y717" s="35" t="str">
        <f>IF(Tabela2[[#This Row],[SIGLA]]="","",VLOOKUP(Tabela2[[#This Row],[SIGLA]],Tabela1[[#All],[Sigla Arte]:[Crédito]],2,0))</f>
        <v>VER DOCUMENTO DE ILS. TÉCNICAS</v>
      </c>
      <c r="Z717" s="31"/>
      <c r="AA717" s="31" t="s">
        <v>185</v>
      </c>
      <c r="AB717" s="33"/>
      <c r="AC717" s="16"/>
      <c r="AE717" s="35" t="str">
        <f t="shared" si="11"/>
        <v>EF1 E002 Mat</v>
      </c>
    </row>
    <row r="718" spans="1:31" ht="90" x14ac:dyDescent="0.25">
      <c r="A718" s="31" t="s">
        <v>1541</v>
      </c>
      <c r="B718" s="16" t="s">
        <v>32</v>
      </c>
      <c r="C718" s="16" t="s">
        <v>164</v>
      </c>
      <c r="D718" s="33" t="s">
        <v>34</v>
      </c>
      <c r="E718" s="33">
        <v>18</v>
      </c>
      <c r="F718" s="33">
        <v>3</v>
      </c>
      <c r="G718" s="33">
        <v>1</v>
      </c>
      <c r="H718" s="33"/>
      <c r="I718" s="31" t="s">
        <v>46</v>
      </c>
      <c r="J718" s="31"/>
      <c r="K718" s="33"/>
      <c r="L718" s="33"/>
      <c r="M718" s="31"/>
      <c r="N718" s="31"/>
      <c r="O718" s="16" t="s">
        <v>1542</v>
      </c>
      <c r="P718" s="16"/>
      <c r="Q718" s="16"/>
      <c r="R718" s="33"/>
      <c r="S718" s="34"/>
      <c r="T718" s="34"/>
      <c r="U718" s="34"/>
      <c r="V718" s="34"/>
      <c r="W718" s="34"/>
      <c r="X718" s="33" t="s">
        <v>184</v>
      </c>
      <c r="Y718" s="35" t="str">
        <f>IF(Tabela2[[#This Row],[SIGLA]]="","",VLOOKUP(Tabela2[[#This Row],[SIGLA]],Tabela1[[#All],[Sigla Arte]:[Crédito]],2,0))</f>
        <v>VER DOCUMENTO DE ILS. TÉCNICAS</v>
      </c>
      <c r="Z718" s="31"/>
      <c r="AA718" s="31" t="s">
        <v>185</v>
      </c>
      <c r="AB718" s="33"/>
      <c r="AC718" s="16"/>
      <c r="AE718" s="35" t="str">
        <f t="shared" si="11"/>
        <v>EF1 E002 Mat</v>
      </c>
    </row>
    <row r="719" spans="1:31" ht="75" x14ac:dyDescent="0.25">
      <c r="A719" s="31" t="s">
        <v>1543</v>
      </c>
      <c r="B719" s="16" t="s">
        <v>32</v>
      </c>
      <c r="C719" s="16" t="s">
        <v>164</v>
      </c>
      <c r="D719" s="33" t="s">
        <v>34</v>
      </c>
      <c r="E719" s="33">
        <v>18</v>
      </c>
      <c r="F719" s="33">
        <v>3</v>
      </c>
      <c r="G719" s="33">
        <v>1</v>
      </c>
      <c r="H719" s="33"/>
      <c r="I719" s="31" t="s">
        <v>35</v>
      </c>
      <c r="J719" s="31"/>
      <c r="K719" s="33"/>
      <c r="L719" s="33"/>
      <c r="M719" s="31"/>
      <c r="N719" s="31"/>
      <c r="O719" s="16" t="s">
        <v>1544</v>
      </c>
      <c r="P719" s="16"/>
      <c r="Q719" s="16"/>
      <c r="R719" s="33">
        <v>15</v>
      </c>
      <c r="S719" s="34">
        <v>45742</v>
      </c>
      <c r="T719" s="34">
        <v>45748</v>
      </c>
      <c r="U719" s="34"/>
      <c r="V719" s="34"/>
      <c r="W719" s="34">
        <v>45748</v>
      </c>
      <c r="X719" s="33" t="s">
        <v>48</v>
      </c>
      <c r="Y719" s="35" t="str">
        <f>IF(Tabela2[[#This Row],[SIGLA]]="","",VLOOKUP(Tabela2[[#This Row],[SIGLA]],Tabela1[[#All],[Sigla Arte]:[Crédito]],2,0))</f>
        <v>SERGIO LIMA/ARQUIVO DA EDITORA</v>
      </c>
      <c r="Z719" s="31" t="s">
        <v>352</v>
      </c>
      <c r="AA719" s="31" t="s">
        <v>191</v>
      </c>
      <c r="AB719" s="33">
        <v>13</v>
      </c>
      <c r="AC719" s="16" t="s">
        <v>39</v>
      </c>
      <c r="AD719" s="16" t="s">
        <v>40</v>
      </c>
      <c r="AE719" s="35" t="str">
        <f t="shared" si="11"/>
        <v>EF1 E002 Mat</v>
      </c>
    </row>
    <row r="720" spans="1:31" ht="45" x14ac:dyDescent="0.25">
      <c r="A720" s="31" t="s">
        <v>1545</v>
      </c>
      <c r="B720" s="16" t="s">
        <v>32</v>
      </c>
      <c r="C720" s="16" t="s">
        <v>164</v>
      </c>
      <c r="D720" s="33" t="s">
        <v>34</v>
      </c>
      <c r="E720" s="33">
        <v>18</v>
      </c>
      <c r="F720" s="33">
        <v>3</v>
      </c>
      <c r="G720" s="33">
        <v>1</v>
      </c>
      <c r="H720" s="33"/>
      <c r="I720" s="31" t="s">
        <v>46</v>
      </c>
      <c r="J720" s="31"/>
      <c r="K720" s="33"/>
      <c r="L720" s="33"/>
      <c r="M720" s="31"/>
      <c r="N720" s="31"/>
      <c r="O720" s="16" t="s">
        <v>1546</v>
      </c>
      <c r="P720" s="16"/>
      <c r="Q720" s="16"/>
      <c r="R720" s="33"/>
      <c r="S720" s="34"/>
      <c r="T720" s="34"/>
      <c r="U720" s="34"/>
      <c r="V720" s="34"/>
      <c r="W720" s="34"/>
      <c r="X720" s="33" t="s">
        <v>184</v>
      </c>
      <c r="Y720" s="35" t="str">
        <f>IF(Tabela2[[#This Row],[SIGLA]]="","",VLOOKUP(Tabela2[[#This Row],[SIGLA]],Tabela1[[#All],[Sigla Arte]:[Crédito]],2,0))</f>
        <v>VER DOCUMENTO DE ILS. TÉCNICAS</v>
      </c>
      <c r="Z720" s="31"/>
      <c r="AA720" s="31" t="s">
        <v>185</v>
      </c>
      <c r="AB720" s="33"/>
      <c r="AC720" s="16"/>
      <c r="AE720" s="35" t="str">
        <f t="shared" si="11"/>
        <v>EF1 E002 Mat</v>
      </c>
    </row>
    <row r="721" spans="1:31" ht="45" x14ac:dyDescent="0.25">
      <c r="A721" s="31" t="s">
        <v>1547</v>
      </c>
      <c r="B721" s="16" t="s">
        <v>32</v>
      </c>
      <c r="C721" s="16" t="s">
        <v>164</v>
      </c>
      <c r="D721" s="33" t="s">
        <v>34</v>
      </c>
      <c r="E721" s="33">
        <v>19</v>
      </c>
      <c r="F721" s="33">
        <v>3</v>
      </c>
      <c r="G721" s="33">
        <v>1</v>
      </c>
      <c r="H721" s="33"/>
      <c r="I721" s="31" t="s">
        <v>46</v>
      </c>
      <c r="J721" s="31"/>
      <c r="K721" s="33"/>
      <c r="L721" s="33"/>
      <c r="M721" s="31"/>
      <c r="N721" s="31"/>
      <c r="O721" s="16" t="s">
        <v>1548</v>
      </c>
      <c r="P721" s="16"/>
      <c r="Q721" s="16"/>
      <c r="R721" s="33"/>
      <c r="S721" s="34"/>
      <c r="T721" s="34"/>
      <c r="U721" s="34"/>
      <c r="V721" s="34"/>
      <c r="W721" s="34"/>
      <c r="X721" s="33" t="s">
        <v>48</v>
      </c>
      <c r="Y721" s="35" t="str">
        <f>IF(Tabela2[[#This Row],[SIGLA]]="","",VLOOKUP(Tabela2[[#This Row],[SIGLA]],Tabela1[[#All],[Sigla Arte]:[Crédito]],2,0))</f>
        <v>SERGIO LIMA/ARQUIVO DA EDITORA</v>
      </c>
      <c r="Z721" s="31"/>
      <c r="AA721" s="31" t="str">
        <f>Tabela2[[#This Row],[ILUSTRADOR CRIAÇÃO]]</f>
        <v>SERGIO LIMA/ARQUIVO DA EDITORA</v>
      </c>
      <c r="AB721" s="33"/>
      <c r="AC721" s="16"/>
      <c r="AE721" s="35" t="str">
        <f t="shared" si="11"/>
        <v>EF1 E002 Mat</v>
      </c>
    </row>
    <row r="722" spans="1:31" ht="45" x14ac:dyDescent="0.25">
      <c r="A722" s="31" t="s">
        <v>1549</v>
      </c>
      <c r="B722" s="16" t="s">
        <v>32</v>
      </c>
      <c r="C722" s="16" t="s">
        <v>164</v>
      </c>
      <c r="D722" s="33" t="s">
        <v>34</v>
      </c>
      <c r="E722" s="33">
        <v>19</v>
      </c>
      <c r="F722" s="33">
        <v>3</v>
      </c>
      <c r="G722" s="33">
        <v>1</v>
      </c>
      <c r="H722" s="33"/>
      <c r="I722" s="31" t="s">
        <v>46</v>
      </c>
      <c r="J722" s="31"/>
      <c r="K722" s="33"/>
      <c r="L722" s="33"/>
      <c r="M722" s="31"/>
      <c r="N722" s="31"/>
      <c r="O722" s="16" t="s">
        <v>1550</v>
      </c>
      <c r="P722" s="16"/>
      <c r="Q722" s="16"/>
      <c r="R722" s="33"/>
      <c r="S722" s="34"/>
      <c r="T722" s="34"/>
      <c r="U722" s="34"/>
      <c r="V722" s="34"/>
      <c r="W722" s="34"/>
      <c r="X722" s="33" t="s">
        <v>48</v>
      </c>
      <c r="Y722" s="35" t="str">
        <f>IF(Tabela2[[#This Row],[SIGLA]]="","",VLOOKUP(Tabela2[[#This Row],[SIGLA]],Tabela1[[#All],[Sigla Arte]:[Crédito]],2,0))</f>
        <v>SERGIO LIMA/ARQUIVO DA EDITORA</v>
      </c>
      <c r="Z722" s="31"/>
      <c r="AA722" s="31" t="str">
        <f>Tabela2[[#This Row],[ILUSTRADOR CRIAÇÃO]]</f>
        <v>SERGIO LIMA/ARQUIVO DA EDITORA</v>
      </c>
      <c r="AB722" s="33"/>
      <c r="AC722" s="16"/>
      <c r="AE722" s="35" t="str">
        <f t="shared" si="11"/>
        <v>EF1 E002 Mat</v>
      </c>
    </row>
    <row r="723" spans="1:31" ht="45" x14ac:dyDescent="0.25">
      <c r="A723" s="31" t="s">
        <v>1551</v>
      </c>
      <c r="B723" s="16" t="s">
        <v>32</v>
      </c>
      <c r="C723" s="16" t="s">
        <v>164</v>
      </c>
      <c r="D723" s="33" t="s">
        <v>34</v>
      </c>
      <c r="E723" s="33">
        <v>19</v>
      </c>
      <c r="F723" s="33">
        <v>3</v>
      </c>
      <c r="G723" s="33">
        <v>1</v>
      </c>
      <c r="H723" s="33"/>
      <c r="I723" s="31" t="s">
        <v>46</v>
      </c>
      <c r="J723" s="31"/>
      <c r="K723" s="33"/>
      <c r="L723" s="33"/>
      <c r="M723" s="31"/>
      <c r="N723" s="31"/>
      <c r="O723" s="16" t="s">
        <v>1552</v>
      </c>
      <c r="P723" s="16"/>
      <c r="Q723" s="16"/>
      <c r="R723" s="33"/>
      <c r="S723" s="34"/>
      <c r="T723" s="34"/>
      <c r="U723" s="34"/>
      <c r="V723" s="34"/>
      <c r="W723" s="34"/>
      <c r="X723" s="33" t="s">
        <v>48</v>
      </c>
      <c r="Y723" s="35" t="str">
        <f>IF(Tabela2[[#This Row],[SIGLA]]="","",VLOOKUP(Tabela2[[#This Row],[SIGLA]],Tabela1[[#All],[Sigla Arte]:[Crédito]],2,0))</f>
        <v>SERGIO LIMA/ARQUIVO DA EDITORA</v>
      </c>
      <c r="Z723" s="31"/>
      <c r="AA723" s="31" t="str">
        <f>Tabela2[[#This Row],[ILUSTRADOR CRIAÇÃO]]</f>
        <v>SERGIO LIMA/ARQUIVO DA EDITORA</v>
      </c>
      <c r="AB723" s="33"/>
      <c r="AC723" s="16"/>
      <c r="AE723" s="35" t="str">
        <f t="shared" si="11"/>
        <v>EF1 E002 Mat</v>
      </c>
    </row>
    <row r="724" spans="1:31" ht="45" x14ac:dyDescent="0.25">
      <c r="A724" s="31" t="s">
        <v>1553</v>
      </c>
      <c r="B724" s="16" t="s">
        <v>32</v>
      </c>
      <c r="C724" s="16" t="s">
        <v>164</v>
      </c>
      <c r="D724" s="33" t="s">
        <v>34</v>
      </c>
      <c r="E724" s="33">
        <v>19</v>
      </c>
      <c r="F724" s="33">
        <v>3</v>
      </c>
      <c r="G724" s="33">
        <v>1</v>
      </c>
      <c r="H724" s="33"/>
      <c r="I724" s="31" t="s">
        <v>46</v>
      </c>
      <c r="J724" s="31"/>
      <c r="K724" s="33"/>
      <c r="L724" s="33"/>
      <c r="M724" s="31"/>
      <c r="N724" s="31"/>
      <c r="O724" s="32" t="s">
        <v>1554</v>
      </c>
      <c r="P724" s="16"/>
      <c r="Q724" s="16"/>
      <c r="R724" s="33"/>
      <c r="S724" s="34"/>
      <c r="T724" s="34"/>
      <c r="U724" s="34"/>
      <c r="V724" s="34"/>
      <c r="W724" s="34"/>
      <c r="X724" s="33" t="s">
        <v>48</v>
      </c>
      <c r="Y724" s="35" t="str">
        <f>IF(Tabela2[[#This Row],[SIGLA]]="","",VLOOKUP(Tabela2[[#This Row],[SIGLA]],Tabela1[[#All],[Sigla Arte]:[Crédito]],2,0))</f>
        <v>SERGIO LIMA/ARQUIVO DA EDITORA</v>
      </c>
      <c r="Z724" s="31"/>
      <c r="AA724" s="31" t="str">
        <f>Tabela2[[#This Row],[ILUSTRADOR CRIAÇÃO]]</f>
        <v>SERGIO LIMA/ARQUIVO DA EDITORA</v>
      </c>
      <c r="AB724" s="33"/>
      <c r="AC724" s="16"/>
      <c r="AE724" s="35" t="str">
        <f t="shared" si="11"/>
        <v>EF1 E002 Mat</v>
      </c>
    </row>
    <row r="725" spans="1:31" ht="45" x14ac:dyDescent="0.25">
      <c r="A725" s="31" t="s">
        <v>1555</v>
      </c>
      <c r="B725" s="16" t="s">
        <v>32</v>
      </c>
      <c r="C725" s="16" t="s">
        <v>164</v>
      </c>
      <c r="D725" s="33" t="s">
        <v>34</v>
      </c>
      <c r="E725" s="33">
        <v>19</v>
      </c>
      <c r="F725" s="33">
        <v>3</v>
      </c>
      <c r="G725" s="33">
        <v>1</v>
      </c>
      <c r="H725" s="33"/>
      <c r="I725" s="31" t="s">
        <v>46</v>
      </c>
      <c r="J725" s="31"/>
      <c r="K725" s="33"/>
      <c r="L725" s="33"/>
      <c r="M725" s="31"/>
      <c r="N725" s="31"/>
      <c r="O725" s="16" t="s">
        <v>1556</v>
      </c>
      <c r="P725" s="16"/>
      <c r="Q725" s="16"/>
      <c r="R725" s="33"/>
      <c r="S725" s="34"/>
      <c r="T725" s="34"/>
      <c r="U725" s="34"/>
      <c r="V725" s="34"/>
      <c r="W725" s="34"/>
      <c r="X725" s="33" t="s">
        <v>48</v>
      </c>
      <c r="Y725" s="35" t="str">
        <f>IF(Tabela2[[#This Row],[SIGLA]]="","",VLOOKUP(Tabela2[[#This Row],[SIGLA]],Tabela1[[#All],[Sigla Arte]:[Crédito]],2,0))</f>
        <v>SERGIO LIMA/ARQUIVO DA EDITORA</v>
      </c>
      <c r="Z725" s="31"/>
      <c r="AA725" s="31" t="str">
        <f>Tabela2[[#This Row],[ILUSTRADOR CRIAÇÃO]]</f>
        <v>SERGIO LIMA/ARQUIVO DA EDITORA</v>
      </c>
      <c r="AB725" s="33"/>
      <c r="AC725" s="16"/>
      <c r="AE725" s="35" t="str">
        <f t="shared" si="11"/>
        <v>EF1 E002 Mat</v>
      </c>
    </row>
    <row r="726" spans="1:31" ht="60" x14ac:dyDescent="0.25">
      <c r="A726" s="31" t="s">
        <v>1557</v>
      </c>
      <c r="B726" s="16" t="s">
        <v>32</v>
      </c>
      <c r="C726" s="16" t="s">
        <v>164</v>
      </c>
      <c r="D726" s="33" t="s">
        <v>34</v>
      </c>
      <c r="E726" s="33">
        <v>20</v>
      </c>
      <c r="F726" s="33">
        <v>3</v>
      </c>
      <c r="G726" s="33">
        <v>1</v>
      </c>
      <c r="H726" s="33"/>
      <c r="I726" s="31" t="s">
        <v>35</v>
      </c>
      <c r="J726" s="31"/>
      <c r="K726" s="33"/>
      <c r="L726" s="33"/>
      <c r="M726" s="31"/>
      <c r="N726" s="31"/>
      <c r="O726" s="16" t="s">
        <v>1558</v>
      </c>
      <c r="P726" s="16"/>
      <c r="Q726" s="16"/>
      <c r="R726" s="33">
        <v>169</v>
      </c>
      <c r="S726" s="34">
        <v>45917</v>
      </c>
      <c r="T726" s="34">
        <v>45917</v>
      </c>
      <c r="U726" s="34"/>
      <c r="V726" s="34"/>
      <c r="W726" s="34">
        <v>45917</v>
      </c>
      <c r="X726" s="33" t="s">
        <v>48</v>
      </c>
      <c r="Y726" s="35" t="str">
        <f>IF(Tabela2[[#This Row],[SIGLA]]="","",VLOOKUP(Tabela2[[#This Row],[SIGLA]],Tabela1[[#All],[Sigla Arte]:[Crédito]],2,0))</f>
        <v>SERGIO LIMA/ARQUIVO DA EDITORA</v>
      </c>
      <c r="Z726" s="31" t="s">
        <v>383</v>
      </c>
      <c r="AA726" s="31" t="str">
        <f>Tabela2[[#This Row],[ILUSTRADOR CRIAÇÃO]]</f>
        <v>SERGIO LIMA/ARQUIVO DA EDITORA</v>
      </c>
      <c r="AB726" s="33">
        <v>13</v>
      </c>
      <c r="AC726" s="16" t="s">
        <v>44</v>
      </c>
      <c r="AE726" s="35" t="str">
        <f t="shared" si="11"/>
        <v>EF1 E002 Mat</v>
      </c>
    </row>
    <row r="727" spans="1:31" ht="105" x14ac:dyDescent="0.25">
      <c r="A727" s="31" t="s">
        <v>1559</v>
      </c>
      <c r="B727" s="16" t="s">
        <v>32</v>
      </c>
      <c r="C727" s="16" t="s">
        <v>164</v>
      </c>
      <c r="D727" s="33" t="s">
        <v>34</v>
      </c>
      <c r="E727" s="33">
        <v>21</v>
      </c>
      <c r="F727" s="33">
        <v>3</v>
      </c>
      <c r="G727" s="33">
        <v>1</v>
      </c>
      <c r="H727" s="33"/>
      <c r="I727" s="31" t="s">
        <v>35</v>
      </c>
      <c r="J727" s="31"/>
      <c r="K727" s="33"/>
      <c r="L727" s="33"/>
      <c r="M727" s="31"/>
      <c r="N727" s="31"/>
      <c r="O727" s="16" t="s">
        <v>1560</v>
      </c>
      <c r="P727" s="16"/>
      <c r="Q727" s="16"/>
      <c r="R727" s="33"/>
      <c r="S727" s="34"/>
      <c r="T727" s="34">
        <v>45748</v>
      </c>
      <c r="U727" s="34"/>
      <c r="V727" s="34"/>
      <c r="W727" s="34">
        <v>45748</v>
      </c>
      <c r="X727" s="33" t="s">
        <v>470</v>
      </c>
      <c r="Y727" s="35" t="str">
        <f>IF(Tabela2[[#This Row],[SIGLA]]="","",VLOOKUP(Tabela2[[#This Row],[SIGLA]],Tabela1[[#All],[Sigla Arte]:[Crédito]],2,0))</f>
        <v>RENAN FONSECA/ARQUIVO DA EDITORA</v>
      </c>
      <c r="Z727" s="31" t="s">
        <v>352</v>
      </c>
      <c r="AA727" s="31" t="str">
        <f>Tabela2[[#This Row],[ILUSTRADOR CRIAÇÃO]]</f>
        <v>RENAN FONSECA/ARQUIVO DA EDITORA</v>
      </c>
      <c r="AB727" s="33">
        <v>13</v>
      </c>
      <c r="AC727" s="16" t="s">
        <v>39</v>
      </c>
      <c r="AD727" s="16" t="s">
        <v>40</v>
      </c>
      <c r="AE727" s="35" t="str">
        <f t="shared" si="11"/>
        <v>EF1 E002 Mat</v>
      </c>
    </row>
    <row r="728" spans="1:31" ht="60" x14ac:dyDescent="0.25">
      <c r="A728" s="31" t="s">
        <v>1561</v>
      </c>
      <c r="B728" s="16" t="s">
        <v>32</v>
      </c>
      <c r="C728" s="16" t="s">
        <v>164</v>
      </c>
      <c r="D728" s="33" t="s">
        <v>34</v>
      </c>
      <c r="E728" s="33">
        <v>23</v>
      </c>
      <c r="F728" s="33">
        <v>3</v>
      </c>
      <c r="G728" s="33">
        <v>1</v>
      </c>
      <c r="H728" s="33"/>
      <c r="I728" s="31" t="s">
        <v>46</v>
      </c>
      <c r="J728" s="31"/>
      <c r="K728" s="33"/>
      <c r="L728" s="33"/>
      <c r="M728" s="31"/>
      <c r="N728" s="31"/>
      <c r="O728" s="16" t="s">
        <v>1562</v>
      </c>
      <c r="P728" s="16"/>
      <c r="Q728" s="16"/>
      <c r="R728" s="33"/>
      <c r="S728" s="34"/>
      <c r="T728" s="34"/>
      <c r="U728" s="34"/>
      <c r="V728" s="34"/>
      <c r="W728" s="34"/>
      <c r="X728" s="33" t="s">
        <v>184</v>
      </c>
      <c r="Y728" s="35" t="str">
        <f>IF(Tabela2[[#This Row],[SIGLA]]="","",VLOOKUP(Tabela2[[#This Row],[SIGLA]],Tabela1[[#All],[Sigla Arte]:[Crédito]],2,0))</f>
        <v>VER DOCUMENTO DE ILS. TÉCNICAS</v>
      </c>
      <c r="Z728" s="31"/>
      <c r="AA728" s="31" t="s">
        <v>185</v>
      </c>
      <c r="AB728" s="33"/>
      <c r="AC728" s="16"/>
      <c r="AE728" s="35" t="str">
        <f t="shared" si="11"/>
        <v>EF1 E002 Mat</v>
      </c>
    </row>
    <row r="729" spans="1:31" ht="45" x14ac:dyDescent="0.25">
      <c r="A729" s="31" t="s">
        <v>1563</v>
      </c>
      <c r="B729" s="16" t="s">
        <v>32</v>
      </c>
      <c r="C729" s="16" t="s">
        <v>164</v>
      </c>
      <c r="D729" s="33" t="s">
        <v>34</v>
      </c>
      <c r="E729" s="33">
        <v>23</v>
      </c>
      <c r="F729" s="33">
        <v>3</v>
      </c>
      <c r="G729" s="33">
        <v>1</v>
      </c>
      <c r="H729" s="33"/>
      <c r="I729" s="31" t="s">
        <v>46</v>
      </c>
      <c r="J729" s="31"/>
      <c r="K729" s="33"/>
      <c r="L729" s="33"/>
      <c r="M729" s="31"/>
      <c r="N729" s="31"/>
      <c r="O729" s="16" t="s">
        <v>1564</v>
      </c>
      <c r="P729" s="16"/>
      <c r="Q729" s="16"/>
      <c r="R729" s="33"/>
      <c r="S729" s="34"/>
      <c r="T729" s="34"/>
      <c r="U729" s="34"/>
      <c r="V729" s="34"/>
      <c r="W729" s="34"/>
      <c r="X729" s="33" t="s">
        <v>184</v>
      </c>
      <c r="Y729" s="35" t="str">
        <f>IF(Tabela2[[#This Row],[SIGLA]]="","",VLOOKUP(Tabela2[[#This Row],[SIGLA]],Tabela1[[#All],[Sigla Arte]:[Crédito]],2,0))</f>
        <v>VER DOCUMENTO DE ILS. TÉCNICAS</v>
      </c>
      <c r="Z729" s="31"/>
      <c r="AA729" s="31" t="s">
        <v>185</v>
      </c>
      <c r="AB729" s="33"/>
      <c r="AC729" s="16"/>
      <c r="AE729" s="35" t="str">
        <f t="shared" si="11"/>
        <v>EF1 E002 Mat</v>
      </c>
    </row>
    <row r="730" spans="1:31" ht="45" x14ac:dyDescent="0.25">
      <c r="A730" s="31" t="s">
        <v>1565</v>
      </c>
      <c r="B730" s="16" t="s">
        <v>401</v>
      </c>
      <c r="C730" s="16" t="s">
        <v>164</v>
      </c>
      <c r="D730" s="33" t="s">
        <v>34</v>
      </c>
      <c r="E730" s="33">
        <v>24</v>
      </c>
      <c r="F730" s="33">
        <v>3</v>
      </c>
      <c r="G730" s="33">
        <v>1</v>
      </c>
      <c r="H730" s="33"/>
      <c r="I730" s="31" t="s">
        <v>46</v>
      </c>
      <c r="J730" s="31"/>
      <c r="K730" s="33"/>
      <c r="L730" s="33"/>
      <c r="M730" s="31"/>
      <c r="N730" s="31"/>
      <c r="O730" s="16" t="s">
        <v>1566</v>
      </c>
      <c r="P730" s="16"/>
      <c r="Q730" s="16"/>
      <c r="R730" s="33"/>
      <c r="S730" s="34"/>
      <c r="T730" s="34"/>
      <c r="U730" s="34"/>
      <c r="V730" s="34"/>
      <c r="W730" s="34"/>
      <c r="X730" s="33" t="s">
        <v>184</v>
      </c>
      <c r="Y730" s="35" t="str">
        <f>IF(Tabela2[[#This Row],[SIGLA]]="","",VLOOKUP(Tabela2[[#This Row],[SIGLA]],Tabela1[[#All],[Sigla Arte]:[Crédito]],2,0))</f>
        <v>VER DOCUMENTO DE ILS. TÉCNICAS</v>
      </c>
      <c r="Z730" s="31"/>
      <c r="AA730" s="31" t="str">
        <f>Tabela2[[#This Row],[ILUSTRADOR CRIAÇÃO]]</f>
        <v>VER DOCUMENTO DE ILS. TÉCNICAS</v>
      </c>
      <c r="AB730" s="33"/>
      <c r="AC730" s="16"/>
      <c r="AE730" s="35" t="str">
        <f t="shared" si="11"/>
        <v>EF1 E002 Mat</v>
      </c>
    </row>
    <row r="731" spans="1:31" ht="45" x14ac:dyDescent="0.25">
      <c r="A731" s="31" t="s">
        <v>1567</v>
      </c>
      <c r="B731" s="16" t="s">
        <v>32</v>
      </c>
      <c r="C731" s="16" t="s">
        <v>164</v>
      </c>
      <c r="D731" s="33" t="s">
        <v>34</v>
      </c>
      <c r="E731" s="33">
        <v>24</v>
      </c>
      <c r="F731" s="33">
        <v>3</v>
      </c>
      <c r="G731" s="33">
        <v>1</v>
      </c>
      <c r="H731" s="33"/>
      <c r="I731" s="31" t="s">
        <v>46</v>
      </c>
      <c r="J731" s="31"/>
      <c r="K731" s="33"/>
      <c r="L731" s="33"/>
      <c r="M731" s="31"/>
      <c r="N731" s="31"/>
      <c r="O731" s="16" t="s">
        <v>1568</v>
      </c>
      <c r="P731" s="16"/>
      <c r="Q731" s="16"/>
      <c r="R731" s="33"/>
      <c r="S731" s="34"/>
      <c r="T731" s="34"/>
      <c r="U731" s="34"/>
      <c r="V731" s="34"/>
      <c r="W731" s="34"/>
      <c r="X731" s="33" t="s">
        <v>48</v>
      </c>
      <c r="Y731" s="35" t="str">
        <f>IF(Tabela2[[#This Row],[SIGLA]]="","",VLOOKUP(Tabela2[[#This Row],[SIGLA]],Tabela1[[#All],[Sigla Arte]:[Crédito]],2,0))</f>
        <v>SERGIO LIMA/ARQUIVO DA EDITORA</v>
      </c>
      <c r="Z731" s="31"/>
      <c r="AA731" s="31" t="str">
        <f>Tabela2[[#This Row],[ILUSTRADOR CRIAÇÃO]]</f>
        <v>SERGIO LIMA/ARQUIVO DA EDITORA</v>
      </c>
      <c r="AB731" s="33"/>
      <c r="AC731" s="16"/>
      <c r="AE731" s="35" t="str">
        <f t="shared" si="11"/>
        <v>EF1 E002 Mat</v>
      </c>
    </row>
    <row r="732" spans="1:31" ht="45" x14ac:dyDescent="0.25">
      <c r="A732" s="31" t="s">
        <v>1569</v>
      </c>
      <c r="B732" s="16" t="s">
        <v>32</v>
      </c>
      <c r="C732" s="16" t="s">
        <v>164</v>
      </c>
      <c r="D732" s="33" t="s">
        <v>34</v>
      </c>
      <c r="E732" s="33">
        <v>24</v>
      </c>
      <c r="F732" s="33">
        <v>3</v>
      </c>
      <c r="G732" s="33">
        <v>1</v>
      </c>
      <c r="H732" s="33"/>
      <c r="I732" s="31" t="s">
        <v>46</v>
      </c>
      <c r="J732" s="31"/>
      <c r="K732" s="33"/>
      <c r="L732" s="33"/>
      <c r="M732" s="31"/>
      <c r="N732" s="31"/>
      <c r="O732" s="16" t="s">
        <v>1570</v>
      </c>
      <c r="P732" s="16"/>
      <c r="Q732" s="16"/>
      <c r="R732" s="33"/>
      <c r="S732" s="34"/>
      <c r="T732" s="34"/>
      <c r="U732" s="34"/>
      <c r="V732" s="34"/>
      <c r="W732" s="34"/>
      <c r="X732" s="33" t="s">
        <v>48</v>
      </c>
      <c r="Y732" s="35" t="str">
        <f>IF(Tabela2[[#This Row],[SIGLA]]="","",VLOOKUP(Tabela2[[#This Row],[SIGLA]],Tabela1[[#All],[Sigla Arte]:[Crédito]],2,0))</f>
        <v>SERGIO LIMA/ARQUIVO DA EDITORA</v>
      </c>
      <c r="Z732" s="31"/>
      <c r="AA732" s="31" t="str">
        <f>Tabela2[[#This Row],[ILUSTRADOR CRIAÇÃO]]</f>
        <v>SERGIO LIMA/ARQUIVO DA EDITORA</v>
      </c>
      <c r="AB732" s="33"/>
      <c r="AC732" s="16"/>
      <c r="AE732" s="35" t="str">
        <f t="shared" si="11"/>
        <v>EF1 E002 Mat</v>
      </c>
    </row>
    <row r="733" spans="1:31" ht="45" x14ac:dyDescent="0.25">
      <c r="A733" s="31" t="s">
        <v>1571</v>
      </c>
      <c r="B733" s="16" t="s">
        <v>32</v>
      </c>
      <c r="C733" s="16" t="s">
        <v>164</v>
      </c>
      <c r="D733" s="33" t="s">
        <v>34</v>
      </c>
      <c r="E733" s="33">
        <v>24</v>
      </c>
      <c r="F733" s="33">
        <v>3</v>
      </c>
      <c r="G733" s="33">
        <v>1</v>
      </c>
      <c r="H733" s="33"/>
      <c r="I733" s="31" t="s">
        <v>46</v>
      </c>
      <c r="J733" s="31"/>
      <c r="K733" s="33"/>
      <c r="L733" s="33"/>
      <c r="M733" s="31"/>
      <c r="N733" s="31"/>
      <c r="O733" s="16" t="s">
        <v>1572</v>
      </c>
      <c r="P733" s="16"/>
      <c r="Q733" s="16"/>
      <c r="R733" s="33"/>
      <c r="S733" s="34"/>
      <c r="T733" s="34"/>
      <c r="U733" s="34"/>
      <c r="V733" s="34"/>
      <c r="W733" s="34"/>
      <c r="X733" s="33" t="s">
        <v>48</v>
      </c>
      <c r="Y733" s="35" t="str">
        <f>IF(Tabela2[[#This Row],[SIGLA]]="","",VLOOKUP(Tabela2[[#This Row],[SIGLA]],Tabela1[[#All],[Sigla Arte]:[Crédito]],2,0))</f>
        <v>SERGIO LIMA/ARQUIVO DA EDITORA</v>
      </c>
      <c r="Z733" s="31"/>
      <c r="AA733" s="31" t="str">
        <f>Tabela2[[#This Row],[ILUSTRADOR CRIAÇÃO]]</f>
        <v>SERGIO LIMA/ARQUIVO DA EDITORA</v>
      </c>
      <c r="AB733" s="33"/>
      <c r="AC733" s="16"/>
      <c r="AE733" s="35" t="str">
        <f t="shared" si="11"/>
        <v>EF1 E002 Mat</v>
      </c>
    </row>
    <row r="734" spans="1:31" ht="45" x14ac:dyDescent="0.25">
      <c r="A734" s="31" t="s">
        <v>1573</v>
      </c>
      <c r="B734" s="16" t="s">
        <v>32</v>
      </c>
      <c r="C734" s="16" t="s">
        <v>164</v>
      </c>
      <c r="D734" s="33" t="s">
        <v>34</v>
      </c>
      <c r="E734" s="33">
        <v>24</v>
      </c>
      <c r="F734" s="33">
        <v>3</v>
      </c>
      <c r="G734" s="33">
        <v>1</v>
      </c>
      <c r="H734" s="33"/>
      <c r="I734" s="31" t="s">
        <v>46</v>
      </c>
      <c r="J734" s="31"/>
      <c r="K734" s="33"/>
      <c r="L734" s="33"/>
      <c r="M734" s="31"/>
      <c r="N734" s="31"/>
      <c r="O734" s="16" t="s">
        <v>1574</v>
      </c>
      <c r="P734" s="16"/>
      <c r="Q734" s="16"/>
      <c r="R734" s="33"/>
      <c r="S734" s="34"/>
      <c r="T734" s="34"/>
      <c r="U734" s="34"/>
      <c r="V734" s="34"/>
      <c r="W734" s="34"/>
      <c r="X734" s="33" t="s">
        <v>48</v>
      </c>
      <c r="Y734" s="35" t="str">
        <f>IF(Tabela2[[#This Row],[SIGLA]]="","",VLOOKUP(Tabela2[[#This Row],[SIGLA]],Tabela1[[#All],[Sigla Arte]:[Crédito]],2,0))</f>
        <v>SERGIO LIMA/ARQUIVO DA EDITORA</v>
      </c>
      <c r="Z734" s="31"/>
      <c r="AA734" s="31" t="str">
        <f>Tabela2[[#This Row],[ILUSTRADOR CRIAÇÃO]]</f>
        <v>SERGIO LIMA/ARQUIVO DA EDITORA</v>
      </c>
      <c r="AB734" s="33"/>
      <c r="AC734" s="16"/>
      <c r="AE734" s="35" t="str">
        <f t="shared" si="11"/>
        <v>EF1 E002 Mat</v>
      </c>
    </row>
    <row r="735" spans="1:31" ht="45" x14ac:dyDescent="0.25">
      <c r="A735" s="31" t="s">
        <v>1575</v>
      </c>
      <c r="B735" s="16" t="s">
        <v>32</v>
      </c>
      <c r="C735" s="16" t="s">
        <v>164</v>
      </c>
      <c r="D735" s="33" t="s">
        <v>34</v>
      </c>
      <c r="E735" s="33">
        <v>24</v>
      </c>
      <c r="F735" s="33">
        <v>3</v>
      </c>
      <c r="G735" s="33">
        <v>1</v>
      </c>
      <c r="H735" s="33"/>
      <c r="I735" s="31" t="s">
        <v>46</v>
      </c>
      <c r="J735" s="31"/>
      <c r="K735" s="33"/>
      <c r="L735" s="33"/>
      <c r="M735" s="31"/>
      <c r="N735" s="31"/>
      <c r="O735" s="16" t="s">
        <v>1576</v>
      </c>
      <c r="P735" s="16"/>
      <c r="Q735" s="16"/>
      <c r="R735" s="33"/>
      <c r="S735" s="34"/>
      <c r="T735" s="34"/>
      <c r="U735" s="34"/>
      <c r="V735" s="34"/>
      <c r="W735" s="34"/>
      <c r="X735" s="33" t="s">
        <v>48</v>
      </c>
      <c r="Y735" s="35" t="str">
        <f>IF(Tabela2[[#This Row],[SIGLA]]="","",VLOOKUP(Tabela2[[#This Row],[SIGLA]],Tabela1[[#All],[Sigla Arte]:[Crédito]],2,0))</f>
        <v>SERGIO LIMA/ARQUIVO DA EDITORA</v>
      </c>
      <c r="Z735" s="31"/>
      <c r="AA735" s="31" t="str">
        <f>Tabela2[[#This Row],[ILUSTRADOR CRIAÇÃO]]</f>
        <v>SERGIO LIMA/ARQUIVO DA EDITORA</v>
      </c>
      <c r="AB735" s="33"/>
      <c r="AC735" s="16"/>
      <c r="AE735" s="35" t="str">
        <f t="shared" si="11"/>
        <v>EF1 E002 Mat</v>
      </c>
    </row>
    <row r="736" spans="1:31" ht="60" x14ac:dyDescent="0.25">
      <c r="A736" s="31" t="s">
        <v>1577</v>
      </c>
      <c r="B736" s="16" t="s">
        <v>32</v>
      </c>
      <c r="C736" s="16" t="s">
        <v>164</v>
      </c>
      <c r="D736" s="33" t="s">
        <v>34</v>
      </c>
      <c r="E736" s="33">
        <v>25</v>
      </c>
      <c r="F736" s="33">
        <v>3</v>
      </c>
      <c r="G736" s="33">
        <v>1</v>
      </c>
      <c r="H736" s="33"/>
      <c r="I736" s="31" t="s">
        <v>46</v>
      </c>
      <c r="J736" s="31"/>
      <c r="K736" s="33"/>
      <c r="L736" s="33"/>
      <c r="M736" s="31"/>
      <c r="N736" s="31"/>
      <c r="O736" s="16" t="s">
        <v>1578</v>
      </c>
      <c r="P736" s="16"/>
      <c r="Q736" s="16"/>
      <c r="R736" s="33"/>
      <c r="S736" s="34"/>
      <c r="T736" s="34"/>
      <c r="U736" s="34"/>
      <c r="V736" s="34"/>
      <c r="W736" s="34"/>
      <c r="X736" s="33" t="s">
        <v>184</v>
      </c>
      <c r="Y736" s="35" t="str">
        <f>IF(Tabela2[[#This Row],[SIGLA]]="","",VLOOKUP(Tabela2[[#This Row],[SIGLA]],Tabela1[[#All],[Sigla Arte]:[Crédito]],2,0))</f>
        <v>VER DOCUMENTO DE ILS. TÉCNICAS</v>
      </c>
      <c r="Z736" s="31"/>
      <c r="AA736" s="31" t="s">
        <v>185</v>
      </c>
      <c r="AB736" s="33"/>
      <c r="AC736" s="16"/>
      <c r="AE736" s="35" t="str">
        <f t="shared" si="11"/>
        <v>EF1 E002 Mat</v>
      </c>
    </row>
    <row r="737" spans="1:31" ht="60" x14ac:dyDescent="0.25">
      <c r="A737" s="31" t="s">
        <v>1579</v>
      </c>
      <c r="B737" s="16" t="s">
        <v>32</v>
      </c>
      <c r="C737" s="16" t="s">
        <v>164</v>
      </c>
      <c r="D737" s="33" t="s">
        <v>34</v>
      </c>
      <c r="E737" s="33">
        <v>25</v>
      </c>
      <c r="F737" s="33">
        <v>3</v>
      </c>
      <c r="G737" s="33">
        <v>1</v>
      </c>
      <c r="H737" s="33"/>
      <c r="I737" s="31" t="s">
        <v>46</v>
      </c>
      <c r="J737" s="31"/>
      <c r="K737" s="33"/>
      <c r="L737" s="33"/>
      <c r="M737" s="31"/>
      <c r="N737" s="31"/>
      <c r="O737" s="16" t="s">
        <v>1580</v>
      </c>
      <c r="P737" s="16"/>
      <c r="Q737" s="16"/>
      <c r="R737" s="33"/>
      <c r="S737" s="34"/>
      <c r="T737" s="34"/>
      <c r="U737" s="34"/>
      <c r="V737" s="34"/>
      <c r="W737" s="34"/>
      <c r="X737" s="33" t="s">
        <v>184</v>
      </c>
      <c r="Y737" s="35" t="str">
        <f>IF(Tabela2[[#This Row],[SIGLA]]="","",VLOOKUP(Tabela2[[#This Row],[SIGLA]],Tabela1[[#All],[Sigla Arte]:[Crédito]],2,0))</f>
        <v>VER DOCUMENTO DE ILS. TÉCNICAS</v>
      </c>
      <c r="Z737" s="31"/>
      <c r="AA737" s="31" t="s">
        <v>185</v>
      </c>
      <c r="AB737" s="33"/>
      <c r="AC737" s="16"/>
      <c r="AE737" s="35" t="str">
        <f t="shared" si="11"/>
        <v>EF1 E002 Mat</v>
      </c>
    </row>
    <row r="738" spans="1:31" ht="60" x14ac:dyDescent="0.25">
      <c r="A738" s="31" t="s">
        <v>1581</v>
      </c>
      <c r="B738" s="16" t="s">
        <v>32</v>
      </c>
      <c r="C738" s="16" t="s">
        <v>164</v>
      </c>
      <c r="D738" s="33" t="s">
        <v>34</v>
      </c>
      <c r="E738" s="33">
        <v>25</v>
      </c>
      <c r="F738" s="33">
        <v>3</v>
      </c>
      <c r="G738" s="33">
        <v>1</v>
      </c>
      <c r="H738" s="33"/>
      <c r="I738" s="31" t="s">
        <v>46</v>
      </c>
      <c r="J738" s="31"/>
      <c r="K738" s="33"/>
      <c r="L738" s="33"/>
      <c r="M738" s="31"/>
      <c r="N738" s="31"/>
      <c r="O738" s="16" t="s">
        <v>1582</v>
      </c>
      <c r="P738" s="16"/>
      <c r="Q738" s="16"/>
      <c r="R738" s="33"/>
      <c r="S738" s="34"/>
      <c r="T738" s="34"/>
      <c r="U738" s="34"/>
      <c r="V738" s="34"/>
      <c r="W738" s="34"/>
      <c r="X738" s="33" t="s">
        <v>184</v>
      </c>
      <c r="Y738" s="35" t="str">
        <f>IF(Tabela2[[#This Row],[SIGLA]]="","",VLOOKUP(Tabela2[[#This Row],[SIGLA]],Tabela1[[#All],[Sigla Arte]:[Crédito]],2,0))</f>
        <v>VER DOCUMENTO DE ILS. TÉCNICAS</v>
      </c>
      <c r="Z738" s="31"/>
      <c r="AA738" s="31" t="s">
        <v>185</v>
      </c>
      <c r="AB738" s="33"/>
      <c r="AC738" s="16"/>
      <c r="AE738" s="35" t="str">
        <f t="shared" si="11"/>
        <v>EF1 E002 Mat</v>
      </c>
    </row>
    <row r="739" spans="1:31" ht="45" x14ac:dyDescent="0.25">
      <c r="A739" s="31" t="s">
        <v>1583</v>
      </c>
      <c r="B739" s="16" t="s">
        <v>32</v>
      </c>
      <c r="C739" s="16" t="s">
        <v>33</v>
      </c>
      <c r="D739" s="33" t="s">
        <v>34</v>
      </c>
      <c r="E739" s="33">
        <v>27</v>
      </c>
      <c r="F739" s="33">
        <v>3</v>
      </c>
      <c r="G739" s="33">
        <v>1</v>
      </c>
      <c r="H739" s="33"/>
      <c r="I739" s="31" t="s">
        <v>46</v>
      </c>
      <c r="J739" s="31"/>
      <c r="K739" s="33"/>
      <c r="L739" s="33"/>
      <c r="M739" s="31"/>
      <c r="N739" s="31"/>
      <c r="O739" s="16" t="s">
        <v>1584</v>
      </c>
      <c r="P739" s="16"/>
      <c r="Q739" s="16"/>
      <c r="R739" s="33"/>
      <c r="S739" s="34"/>
      <c r="T739" s="34"/>
      <c r="U739" s="34"/>
      <c r="V739" s="34"/>
      <c r="W739" s="34"/>
      <c r="X739" s="33" t="s">
        <v>162</v>
      </c>
      <c r="Y739" s="35" t="str">
        <f>IF(Tabela2[[#This Row],[SIGLA]]="","",VLOOKUP(Tabela2[[#This Row],[SIGLA]],Tabela1[[#All],[Sigla Arte]:[Crédito]],2,0))</f>
        <v>IVY NUNES/ARQUIVO DA EDITORA</v>
      </c>
      <c r="Z739" s="31"/>
      <c r="AA739" s="31" t="str">
        <f>Tabela2[[#This Row],[ILUSTRADOR CRIAÇÃO]]</f>
        <v>IVY NUNES/ARQUIVO DA EDITORA</v>
      </c>
      <c r="AB739" s="33"/>
      <c r="AC739" s="16"/>
      <c r="AE739" s="35" t="str">
        <f t="shared" si="11"/>
        <v>EF1 E002 Mat</v>
      </c>
    </row>
    <row r="740" spans="1:31" ht="45" x14ac:dyDescent="0.25">
      <c r="A740" s="31" t="s">
        <v>1585</v>
      </c>
      <c r="B740" s="16" t="s">
        <v>32</v>
      </c>
      <c r="C740" s="16" t="s">
        <v>33</v>
      </c>
      <c r="D740" s="33" t="s">
        <v>34</v>
      </c>
      <c r="E740" s="33">
        <v>27</v>
      </c>
      <c r="F740" s="33">
        <v>3</v>
      </c>
      <c r="G740" s="33">
        <v>1</v>
      </c>
      <c r="H740" s="33"/>
      <c r="I740" s="31" t="s">
        <v>46</v>
      </c>
      <c r="J740" s="31"/>
      <c r="K740" s="33"/>
      <c r="L740" s="33"/>
      <c r="M740" s="31"/>
      <c r="N740" s="31"/>
      <c r="O740" s="16" t="s">
        <v>1586</v>
      </c>
      <c r="P740" s="16"/>
      <c r="Q740" s="16"/>
      <c r="R740" s="33"/>
      <c r="S740" s="34"/>
      <c r="T740" s="34"/>
      <c r="U740" s="34"/>
      <c r="V740" s="34"/>
      <c r="W740" s="34"/>
      <c r="X740" s="33" t="s">
        <v>162</v>
      </c>
      <c r="Y740" s="35" t="str">
        <f>IF(Tabela2[[#This Row],[SIGLA]]="","",VLOOKUP(Tabela2[[#This Row],[SIGLA]],Tabela1[[#All],[Sigla Arte]:[Crédito]],2,0))</f>
        <v>IVY NUNES/ARQUIVO DA EDITORA</v>
      </c>
      <c r="Z740" s="31"/>
      <c r="AA740" s="31" t="str">
        <f>Tabela2[[#This Row],[ILUSTRADOR CRIAÇÃO]]</f>
        <v>IVY NUNES/ARQUIVO DA EDITORA</v>
      </c>
      <c r="AB740" s="33"/>
      <c r="AC740" s="16"/>
      <c r="AE740" s="35" t="str">
        <f t="shared" si="11"/>
        <v>EF1 E002 Mat</v>
      </c>
    </row>
    <row r="741" spans="1:31" ht="45" x14ac:dyDescent="0.25">
      <c r="A741" s="31" t="s">
        <v>1587</v>
      </c>
      <c r="B741" s="16" t="s">
        <v>32</v>
      </c>
      <c r="C741" s="16" t="s">
        <v>164</v>
      </c>
      <c r="D741" s="33" t="s">
        <v>34</v>
      </c>
      <c r="E741" s="33">
        <v>26</v>
      </c>
      <c r="F741" s="33">
        <v>3</v>
      </c>
      <c r="G741" s="33">
        <v>1</v>
      </c>
      <c r="H741" s="33"/>
      <c r="I741" s="31" t="s">
        <v>35</v>
      </c>
      <c r="J741" s="31"/>
      <c r="K741" s="33"/>
      <c r="L741" s="33"/>
      <c r="M741" s="31"/>
      <c r="N741" s="31"/>
      <c r="O741" s="16" t="s">
        <v>1588</v>
      </c>
      <c r="P741" s="16"/>
      <c r="Q741" s="16"/>
      <c r="R741" s="33">
        <v>169</v>
      </c>
      <c r="S741" s="34">
        <v>45917</v>
      </c>
      <c r="T741" s="34">
        <v>45917</v>
      </c>
      <c r="U741" s="34"/>
      <c r="V741" s="34"/>
      <c r="W741" s="34">
        <v>45917</v>
      </c>
      <c r="X741" s="33" t="s">
        <v>48</v>
      </c>
      <c r="Y741" s="35" t="str">
        <f>IF(Tabela2[[#This Row],[SIGLA]]="","",VLOOKUP(Tabela2[[#This Row],[SIGLA]],Tabela1[[#All],[Sigla Arte]:[Crédito]],2,0))</f>
        <v>SERGIO LIMA/ARQUIVO DA EDITORA</v>
      </c>
      <c r="Z741" s="31" t="s">
        <v>383</v>
      </c>
      <c r="AA741" s="31" t="str">
        <f>Tabela2[[#This Row],[ILUSTRADOR CRIAÇÃO]]</f>
        <v>SERGIO LIMA/ARQUIVO DA EDITORA</v>
      </c>
      <c r="AB741" s="33">
        <v>13</v>
      </c>
      <c r="AC741" s="16" t="s">
        <v>44</v>
      </c>
      <c r="AE741" s="35" t="str">
        <f t="shared" si="11"/>
        <v>EF1 E002 Mat</v>
      </c>
    </row>
    <row r="742" spans="1:31" ht="60" x14ac:dyDescent="0.25">
      <c r="A742" s="31" t="s">
        <v>1589</v>
      </c>
      <c r="B742" s="16" t="s">
        <v>32</v>
      </c>
      <c r="C742" s="16" t="s">
        <v>164</v>
      </c>
      <c r="D742" s="33" t="s">
        <v>34</v>
      </c>
      <c r="E742" s="33">
        <v>29</v>
      </c>
      <c r="F742" s="33">
        <v>3</v>
      </c>
      <c r="G742" s="33">
        <v>1</v>
      </c>
      <c r="H742" s="33"/>
      <c r="I742" s="31" t="s">
        <v>46</v>
      </c>
      <c r="J742" s="31"/>
      <c r="K742" s="33"/>
      <c r="L742" s="33"/>
      <c r="M742" s="31"/>
      <c r="N742" s="31"/>
      <c r="O742" s="16" t="s">
        <v>1590</v>
      </c>
      <c r="P742" s="16"/>
      <c r="Q742" s="16"/>
      <c r="R742" s="33"/>
      <c r="S742" s="34"/>
      <c r="T742" s="34"/>
      <c r="U742" s="34"/>
      <c r="V742" s="34"/>
      <c r="W742" s="34"/>
      <c r="X742" s="33" t="s">
        <v>48</v>
      </c>
      <c r="Y742" s="35" t="str">
        <f>IF(Tabela2[[#This Row],[SIGLA]]="","",VLOOKUP(Tabela2[[#This Row],[SIGLA]],Tabela1[[#All],[Sigla Arte]:[Crédito]],2,0))</f>
        <v>SERGIO LIMA/ARQUIVO DA EDITORA</v>
      </c>
      <c r="Z742" s="31"/>
      <c r="AA742" s="31" t="str">
        <f>Tabela2[[#This Row],[ILUSTRADOR CRIAÇÃO]]</f>
        <v>SERGIO LIMA/ARQUIVO DA EDITORA</v>
      </c>
      <c r="AB742" s="33"/>
      <c r="AC742" s="16"/>
      <c r="AE742" s="35" t="str">
        <f t="shared" si="11"/>
        <v>EF1 E002 Mat</v>
      </c>
    </row>
    <row r="743" spans="1:31" ht="60" x14ac:dyDescent="0.25">
      <c r="A743" s="31" t="s">
        <v>1591</v>
      </c>
      <c r="B743" s="16" t="s">
        <v>32</v>
      </c>
      <c r="C743" s="16" t="s">
        <v>33</v>
      </c>
      <c r="D743" s="33" t="s">
        <v>34</v>
      </c>
      <c r="E743" s="33">
        <v>30</v>
      </c>
      <c r="F743" s="33">
        <v>3</v>
      </c>
      <c r="G743" s="33">
        <v>1</v>
      </c>
      <c r="H743" s="33"/>
      <c r="I743" s="31" t="s">
        <v>46</v>
      </c>
      <c r="J743" s="31"/>
      <c r="K743" s="33"/>
      <c r="L743" s="33"/>
      <c r="M743" s="31"/>
      <c r="N743" s="31"/>
      <c r="O743" s="16" t="s">
        <v>1592</v>
      </c>
      <c r="P743" s="16"/>
      <c r="Q743" s="16"/>
      <c r="R743" s="33"/>
      <c r="S743" s="34"/>
      <c r="T743" s="34"/>
      <c r="U743" s="34"/>
      <c r="V743" s="34"/>
      <c r="W743" s="34"/>
      <c r="X743" s="33" t="s">
        <v>85</v>
      </c>
      <c r="Y743" s="35" t="str">
        <f>IF(Tabela2[[#This Row],[SIGLA]]="","",VLOOKUP(Tabela2[[#This Row],[SIGLA]],Tabela1[[#All],[Sigla Arte]:[Crédito]],2,0))</f>
        <v>HELOÍSA PINTARELLI/ARQUIVO DA EDITORA</v>
      </c>
      <c r="Z743" s="31"/>
      <c r="AA743" s="31" t="str">
        <f>Tabela2[[#This Row],[ILUSTRADOR CRIAÇÃO]]</f>
        <v>HELOÍSA PINTARELLI/ARQUIVO DA EDITORA</v>
      </c>
      <c r="AB743" s="33"/>
      <c r="AC743" s="16"/>
      <c r="AE743" s="35" t="str">
        <f t="shared" si="11"/>
        <v>EF1 E002 Mat</v>
      </c>
    </row>
    <row r="744" spans="1:31" ht="45" x14ac:dyDescent="0.25">
      <c r="A744" s="31" t="s">
        <v>1593</v>
      </c>
      <c r="B744" s="16" t="s">
        <v>32</v>
      </c>
      <c r="C744" s="16" t="s">
        <v>164</v>
      </c>
      <c r="D744" s="33" t="s">
        <v>34</v>
      </c>
      <c r="E744" s="33">
        <v>34</v>
      </c>
      <c r="F744" s="33">
        <v>3</v>
      </c>
      <c r="G744" s="33">
        <v>1</v>
      </c>
      <c r="H744" s="33"/>
      <c r="I744" s="31" t="s">
        <v>46</v>
      </c>
      <c r="J744" s="31"/>
      <c r="K744" s="33"/>
      <c r="L744" s="33"/>
      <c r="M744" s="31"/>
      <c r="N744" s="31"/>
      <c r="O744" s="16" t="s">
        <v>1594</v>
      </c>
      <c r="P744" s="16"/>
      <c r="Q744" s="16"/>
      <c r="R744" s="33"/>
      <c r="S744" s="34"/>
      <c r="T744" s="34"/>
      <c r="U744" s="34"/>
      <c r="V744" s="34"/>
      <c r="W744" s="34"/>
      <c r="X744" s="33" t="s">
        <v>48</v>
      </c>
      <c r="Y744" s="35" t="str">
        <f>IF(Tabela2[[#This Row],[SIGLA]]="","",VLOOKUP(Tabela2[[#This Row],[SIGLA]],Tabela1[[#All],[Sigla Arte]:[Crédito]],2,0))</f>
        <v>SERGIO LIMA/ARQUIVO DA EDITORA</v>
      </c>
      <c r="Z744" s="31"/>
      <c r="AA744" s="31" t="str">
        <f>Tabela2[[#This Row],[ILUSTRADOR CRIAÇÃO]]</f>
        <v>SERGIO LIMA/ARQUIVO DA EDITORA</v>
      </c>
      <c r="AB744" s="33"/>
      <c r="AC744" s="16"/>
      <c r="AE744" s="35" t="str">
        <f t="shared" si="11"/>
        <v>EF1 E002 Mat</v>
      </c>
    </row>
    <row r="745" spans="1:31" ht="60" x14ac:dyDescent="0.25">
      <c r="A745" s="31" t="s">
        <v>1595</v>
      </c>
      <c r="B745" s="16" t="s">
        <v>32</v>
      </c>
      <c r="C745" s="16" t="s">
        <v>33</v>
      </c>
      <c r="D745" s="33" t="s">
        <v>34</v>
      </c>
      <c r="E745" s="33">
        <v>35</v>
      </c>
      <c r="F745" s="33">
        <v>3</v>
      </c>
      <c r="G745" s="33">
        <v>1</v>
      </c>
      <c r="H745" s="33"/>
      <c r="I745" s="31" t="s">
        <v>46</v>
      </c>
      <c r="J745" s="31"/>
      <c r="K745" s="33"/>
      <c r="L745" s="33"/>
      <c r="M745" s="31"/>
      <c r="N745" s="31"/>
      <c r="O745" s="16" t="s">
        <v>1596</v>
      </c>
      <c r="P745" s="16"/>
      <c r="Q745" s="16"/>
      <c r="R745" s="33"/>
      <c r="S745" s="34"/>
      <c r="T745" s="34"/>
      <c r="U745" s="34"/>
      <c r="V745" s="34"/>
      <c r="W745" s="34"/>
      <c r="X745" s="33" t="s">
        <v>85</v>
      </c>
      <c r="Y745" s="35" t="str">
        <f>IF(Tabela2[[#This Row],[SIGLA]]="","",VLOOKUP(Tabela2[[#This Row],[SIGLA]],Tabela1[[#All],[Sigla Arte]:[Crédito]],2,0))</f>
        <v>HELOÍSA PINTARELLI/ARQUIVO DA EDITORA</v>
      </c>
      <c r="Z745" s="31"/>
      <c r="AA745" s="31" t="str">
        <f>Tabela2[[#This Row],[ILUSTRADOR CRIAÇÃO]]</f>
        <v>HELOÍSA PINTARELLI/ARQUIVO DA EDITORA</v>
      </c>
      <c r="AB745" s="33"/>
      <c r="AC745" s="16"/>
      <c r="AE745" s="35" t="str">
        <f t="shared" si="11"/>
        <v>EF1 E002 Mat</v>
      </c>
    </row>
    <row r="746" spans="1:31" ht="30" x14ac:dyDescent="0.25">
      <c r="A746" s="31" t="s">
        <v>1597</v>
      </c>
      <c r="B746" s="16" t="s">
        <v>32</v>
      </c>
      <c r="C746" s="16" t="s">
        <v>33</v>
      </c>
      <c r="D746" s="33" t="s">
        <v>34</v>
      </c>
      <c r="E746" s="33">
        <v>45</v>
      </c>
      <c r="F746" s="33">
        <v>3</v>
      </c>
      <c r="G746" s="33">
        <v>2</v>
      </c>
      <c r="H746" s="33"/>
      <c r="I746" s="31" t="s">
        <v>46</v>
      </c>
      <c r="J746" s="31"/>
      <c r="K746" s="33"/>
      <c r="L746" s="33"/>
      <c r="M746" s="31"/>
      <c r="N746" s="31"/>
      <c r="O746" s="16" t="s">
        <v>1598</v>
      </c>
      <c r="P746" s="16"/>
      <c r="Q746" s="16"/>
      <c r="R746" s="33"/>
      <c r="S746" s="34"/>
      <c r="T746" s="34"/>
      <c r="U746" s="34"/>
      <c r="V746" s="34"/>
      <c r="W746" s="34"/>
      <c r="X746" s="33" t="s">
        <v>85</v>
      </c>
      <c r="Y746" s="35" t="str">
        <f>IF(Tabela2[[#This Row],[SIGLA]]="","",VLOOKUP(Tabela2[[#This Row],[SIGLA]],Tabela1[[#All],[Sigla Arte]:[Crédito]],2,0))</f>
        <v>HELOÍSA PINTARELLI/ARQUIVO DA EDITORA</v>
      </c>
      <c r="Z746" s="31"/>
      <c r="AA746" s="31" t="str">
        <f>Tabela2[[#This Row],[ILUSTRADOR CRIAÇÃO]]</f>
        <v>HELOÍSA PINTARELLI/ARQUIVO DA EDITORA</v>
      </c>
      <c r="AB746" s="33"/>
      <c r="AC746" s="16"/>
      <c r="AE746" s="35" t="str">
        <f t="shared" si="11"/>
        <v>EF1 E002 Mat</v>
      </c>
    </row>
    <row r="747" spans="1:31" ht="30" x14ac:dyDescent="0.25">
      <c r="A747" s="31" t="s">
        <v>1599</v>
      </c>
      <c r="B747" s="16" t="s">
        <v>401</v>
      </c>
      <c r="C747" s="16" t="s">
        <v>33</v>
      </c>
      <c r="D747" s="33" t="s">
        <v>34</v>
      </c>
      <c r="E747" s="33">
        <v>38</v>
      </c>
      <c r="F747" s="33">
        <v>3</v>
      </c>
      <c r="G747" s="33">
        <v>2</v>
      </c>
      <c r="H747" s="33"/>
      <c r="I747" s="31" t="s">
        <v>46</v>
      </c>
      <c r="J747" s="31"/>
      <c r="K747" s="33"/>
      <c r="L747" s="33"/>
      <c r="M747" s="31"/>
      <c r="N747" s="31"/>
      <c r="O747" s="16" t="s">
        <v>1600</v>
      </c>
      <c r="P747" s="16"/>
      <c r="Q747" s="16"/>
      <c r="R747" s="33"/>
      <c r="S747" s="34"/>
      <c r="T747" s="34"/>
      <c r="U747" s="34"/>
      <c r="V747" s="34"/>
      <c r="W747" s="34"/>
      <c r="X747" s="33" t="s">
        <v>162</v>
      </c>
      <c r="Y747" s="35" t="str">
        <f>IF(Tabela2[[#This Row],[SIGLA]]="","",VLOOKUP(Tabela2[[#This Row],[SIGLA]],Tabela1[[#All],[Sigla Arte]:[Crédito]],2,0))</f>
        <v>IVY NUNES/ARQUIVO DA EDITORA</v>
      </c>
      <c r="Z747" s="31"/>
      <c r="AA747" s="31" t="str">
        <f>Tabela2[[#This Row],[ILUSTRADOR CRIAÇÃO]]</f>
        <v>IVY NUNES/ARQUIVO DA EDITORA</v>
      </c>
      <c r="AB747" s="33"/>
      <c r="AC747" s="16"/>
      <c r="AE747" s="35" t="str">
        <f t="shared" si="11"/>
        <v>EF1 E002 Mat</v>
      </c>
    </row>
    <row r="748" spans="1:31" ht="45" x14ac:dyDescent="0.25">
      <c r="A748" s="31" t="s">
        <v>1601</v>
      </c>
      <c r="B748" s="16" t="s">
        <v>32</v>
      </c>
      <c r="C748" s="16" t="s">
        <v>33</v>
      </c>
      <c r="D748" s="33" t="s">
        <v>34</v>
      </c>
      <c r="E748" s="33">
        <v>46</v>
      </c>
      <c r="F748" s="33">
        <v>3</v>
      </c>
      <c r="G748" s="33">
        <v>2</v>
      </c>
      <c r="H748" s="33"/>
      <c r="I748" s="31" t="s">
        <v>46</v>
      </c>
      <c r="J748" s="31"/>
      <c r="K748" s="33"/>
      <c r="L748" s="33"/>
      <c r="M748" s="31"/>
      <c r="N748" s="31"/>
      <c r="O748" s="16" t="s">
        <v>1602</v>
      </c>
      <c r="P748" s="16"/>
      <c r="Q748" s="16"/>
      <c r="R748" s="33"/>
      <c r="S748" s="34"/>
      <c r="T748" s="34"/>
      <c r="U748" s="34"/>
      <c r="V748" s="34"/>
      <c r="W748" s="34"/>
      <c r="X748" s="33" t="s">
        <v>162</v>
      </c>
      <c r="Y748" s="35" t="str">
        <f>IF(Tabela2[[#This Row],[SIGLA]]="","",VLOOKUP(Tabela2[[#This Row],[SIGLA]],Tabela1[[#All],[Sigla Arte]:[Crédito]],2,0))</f>
        <v>IVY NUNES/ARQUIVO DA EDITORA</v>
      </c>
      <c r="Z748" s="31"/>
      <c r="AA748" s="31" t="str">
        <f>Tabela2[[#This Row],[ILUSTRADOR CRIAÇÃO]]</f>
        <v>IVY NUNES/ARQUIVO DA EDITORA</v>
      </c>
      <c r="AB748" s="33"/>
      <c r="AC748" s="16"/>
      <c r="AE748" s="35" t="str">
        <f t="shared" si="11"/>
        <v>EF1 E002 Mat</v>
      </c>
    </row>
    <row r="749" spans="1:31" ht="30" x14ac:dyDescent="0.25">
      <c r="A749" s="31" t="s">
        <v>1603</v>
      </c>
      <c r="B749" s="16" t="s">
        <v>32</v>
      </c>
      <c r="C749" s="16" t="s">
        <v>164</v>
      </c>
      <c r="D749" s="33" t="s">
        <v>34</v>
      </c>
      <c r="E749" s="33">
        <v>46</v>
      </c>
      <c r="F749" s="33">
        <v>3</v>
      </c>
      <c r="G749" s="33">
        <v>2</v>
      </c>
      <c r="H749" s="33"/>
      <c r="I749" s="31" t="s">
        <v>46</v>
      </c>
      <c r="J749" s="31"/>
      <c r="K749" s="33"/>
      <c r="L749" s="33"/>
      <c r="M749" s="31"/>
      <c r="N749" s="31"/>
      <c r="O749" s="16" t="s">
        <v>1604</v>
      </c>
      <c r="P749" s="16"/>
      <c r="Q749" s="16"/>
      <c r="R749" s="33"/>
      <c r="S749" s="34"/>
      <c r="T749" s="34"/>
      <c r="U749" s="34"/>
      <c r="V749" s="34"/>
      <c r="W749" s="34"/>
      <c r="X749" s="33" t="s">
        <v>48</v>
      </c>
      <c r="Y749" s="35" t="str">
        <f>IF(Tabela2[[#This Row],[SIGLA]]="","",VLOOKUP(Tabela2[[#This Row],[SIGLA]],Tabela1[[#All],[Sigla Arte]:[Crédito]],2,0))</f>
        <v>SERGIO LIMA/ARQUIVO DA EDITORA</v>
      </c>
      <c r="Z749" s="31"/>
      <c r="AA749" s="31" t="str">
        <f>Tabela2[[#This Row],[ILUSTRADOR CRIAÇÃO]]</f>
        <v>SERGIO LIMA/ARQUIVO DA EDITORA</v>
      </c>
      <c r="AB749" s="33"/>
      <c r="AC749" s="16"/>
      <c r="AE749" s="35" t="str">
        <f t="shared" si="11"/>
        <v>EF1 E002 Mat</v>
      </c>
    </row>
    <row r="750" spans="1:31" ht="30" x14ac:dyDescent="0.25">
      <c r="A750" s="31" t="s">
        <v>1605</v>
      </c>
      <c r="B750" s="16" t="s">
        <v>32</v>
      </c>
      <c r="C750" s="16" t="s">
        <v>164</v>
      </c>
      <c r="D750" s="33" t="s">
        <v>34</v>
      </c>
      <c r="E750" s="33">
        <v>46</v>
      </c>
      <c r="F750" s="33">
        <v>3</v>
      </c>
      <c r="G750" s="33">
        <v>2</v>
      </c>
      <c r="H750" s="33"/>
      <c r="I750" s="31" t="s">
        <v>46</v>
      </c>
      <c r="J750" s="31"/>
      <c r="K750" s="33"/>
      <c r="L750" s="33"/>
      <c r="M750" s="31"/>
      <c r="N750" s="31"/>
      <c r="O750" s="16" t="s">
        <v>1606</v>
      </c>
      <c r="P750" s="16"/>
      <c r="Q750" s="16"/>
      <c r="R750" s="33"/>
      <c r="S750" s="34"/>
      <c r="T750" s="34"/>
      <c r="U750" s="34"/>
      <c r="V750" s="34"/>
      <c r="W750" s="34"/>
      <c r="X750" s="33" t="s">
        <v>48</v>
      </c>
      <c r="Y750" s="35" t="str">
        <f>IF(Tabela2[[#This Row],[SIGLA]]="","",VLOOKUP(Tabela2[[#This Row],[SIGLA]],Tabela1[[#All],[Sigla Arte]:[Crédito]],2,0))</f>
        <v>SERGIO LIMA/ARQUIVO DA EDITORA</v>
      </c>
      <c r="Z750" s="31"/>
      <c r="AA750" s="31" t="str">
        <f>Tabela2[[#This Row],[ILUSTRADOR CRIAÇÃO]]</f>
        <v>SERGIO LIMA/ARQUIVO DA EDITORA</v>
      </c>
      <c r="AB750" s="33"/>
      <c r="AC750" s="16"/>
      <c r="AE750" s="35" t="str">
        <f t="shared" si="11"/>
        <v>EF1 E002 Mat</v>
      </c>
    </row>
    <row r="751" spans="1:31" ht="30" x14ac:dyDescent="0.25">
      <c r="A751" s="31" t="s">
        <v>1607</v>
      </c>
      <c r="B751" s="16" t="s">
        <v>32</v>
      </c>
      <c r="C751" s="16" t="s">
        <v>164</v>
      </c>
      <c r="D751" s="33" t="s">
        <v>34</v>
      </c>
      <c r="E751" s="33">
        <v>46</v>
      </c>
      <c r="F751" s="33">
        <v>3</v>
      </c>
      <c r="G751" s="33">
        <v>2</v>
      </c>
      <c r="H751" s="33"/>
      <c r="I751" s="31" t="s">
        <v>46</v>
      </c>
      <c r="J751" s="31"/>
      <c r="K751" s="33"/>
      <c r="L751" s="33"/>
      <c r="M751" s="31"/>
      <c r="N751" s="31"/>
      <c r="O751" s="16" t="s">
        <v>1608</v>
      </c>
      <c r="P751" s="16"/>
      <c r="Q751" s="16"/>
      <c r="R751" s="33"/>
      <c r="S751" s="34"/>
      <c r="T751" s="34"/>
      <c r="U751" s="34"/>
      <c r="V751" s="34"/>
      <c r="W751" s="34"/>
      <c r="X751" s="33" t="s">
        <v>48</v>
      </c>
      <c r="Y751" s="35" t="str">
        <f>IF(Tabela2[[#This Row],[SIGLA]]="","",VLOOKUP(Tabela2[[#This Row],[SIGLA]],Tabela1[[#All],[Sigla Arte]:[Crédito]],2,0))</f>
        <v>SERGIO LIMA/ARQUIVO DA EDITORA</v>
      </c>
      <c r="Z751" s="31"/>
      <c r="AA751" s="31" t="str">
        <f>Tabela2[[#This Row],[ILUSTRADOR CRIAÇÃO]]</f>
        <v>SERGIO LIMA/ARQUIVO DA EDITORA</v>
      </c>
      <c r="AB751" s="33"/>
      <c r="AC751" s="16"/>
      <c r="AE751" s="35" t="str">
        <f t="shared" si="11"/>
        <v>EF1 E002 Mat</v>
      </c>
    </row>
    <row r="752" spans="1:31" ht="30" x14ac:dyDescent="0.25">
      <c r="A752" s="31" t="s">
        <v>1609</v>
      </c>
      <c r="B752" s="16" t="s">
        <v>32</v>
      </c>
      <c r="C752" s="16" t="s">
        <v>164</v>
      </c>
      <c r="D752" s="33" t="s">
        <v>34</v>
      </c>
      <c r="E752" s="33">
        <v>46</v>
      </c>
      <c r="F752" s="33">
        <v>3</v>
      </c>
      <c r="G752" s="33">
        <v>2</v>
      </c>
      <c r="H752" s="33"/>
      <c r="I752" s="31" t="s">
        <v>46</v>
      </c>
      <c r="J752" s="31"/>
      <c r="K752" s="33"/>
      <c r="L752" s="33"/>
      <c r="M752" s="31"/>
      <c r="N752" s="31"/>
      <c r="O752" s="16" t="s">
        <v>1610</v>
      </c>
      <c r="P752" s="16"/>
      <c r="Q752" s="16"/>
      <c r="R752" s="33"/>
      <c r="S752" s="34"/>
      <c r="T752" s="34"/>
      <c r="U752" s="34"/>
      <c r="V752" s="34"/>
      <c r="W752" s="34"/>
      <c r="X752" s="33" t="s">
        <v>48</v>
      </c>
      <c r="Y752" s="35" t="str">
        <f>IF(Tabela2[[#This Row],[SIGLA]]="","",VLOOKUP(Tabela2[[#This Row],[SIGLA]],Tabela1[[#All],[Sigla Arte]:[Crédito]],2,0))</f>
        <v>SERGIO LIMA/ARQUIVO DA EDITORA</v>
      </c>
      <c r="Z752" s="31"/>
      <c r="AA752" s="31" t="str">
        <f>Tabela2[[#This Row],[ILUSTRADOR CRIAÇÃO]]</f>
        <v>SERGIO LIMA/ARQUIVO DA EDITORA</v>
      </c>
      <c r="AB752" s="33"/>
      <c r="AC752" s="16"/>
      <c r="AE752" s="35" t="str">
        <f t="shared" si="11"/>
        <v>EF1 E002 Mat</v>
      </c>
    </row>
    <row r="753" spans="1:31" ht="30" x14ac:dyDescent="0.25">
      <c r="A753" s="31" t="s">
        <v>1611</v>
      </c>
      <c r="B753" s="16" t="s">
        <v>32</v>
      </c>
      <c r="C753" s="16" t="s">
        <v>164</v>
      </c>
      <c r="D753" s="33" t="s">
        <v>34</v>
      </c>
      <c r="E753" s="33">
        <v>46</v>
      </c>
      <c r="F753" s="33">
        <v>3</v>
      </c>
      <c r="G753" s="33">
        <v>2</v>
      </c>
      <c r="H753" s="33"/>
      <c r="I753" s="31" t="s">
        <v>46</v>
      </c>
      <c r="J753" s="31"/>
      <c r="K753" s="33"/>
      <c r="L753" s="33"/>
      <c r="M753" s="31"/>
      <c r="N753" s="31"/>
      <c r="O753" s="16" t="s">
        <v>1612</v>
      </c>
      <c r="P753" s="16"/>
      <c r="Q753" s="16"/>
      <c r="R753" s="33"/>
      <c r="S753" s="34"/>
      <c r="T753" s="34"/>
      <c r="U753" s="34"/>
      <c r="V753" s="34"/>
      <c r="W753" s="34"/>
      <c r="X753" s="33" t="s">
        <v>48</v>
      </c>
      <c r="Y753" s="35" t="str">
        <f>IF(Tabela2[[#This Row],[SIGLA]]="","",VLOOKUP(Tabela2[[#This Row],[SIGLA]],Tabela1[[#All],[Sigla Arte]:[Crédito]],2,0))</f>
        <v>SERGIO LIMA/ARQUIVO DA EDITORA</v>
      </c>
      <c r="Z753" s="31"/>
      <c r="AA753" s="31" t="str">
        <f>Tabela2[[#This Row],[ILUSTRADOR CRIAÇÃO]]</f>
        <v>SERGIO LIMA/ARQUIVO DA EDITORA</v>
      </c>
      <c r="AB753" s="33"/>
      <c r="AC753" s="16"/>
      <c r="AE753" s="35" t="str">
        <f t="shared" si="11"/>
        <v>EF1 E002 Mat</v>
      </c>
    </row>
    <row r="754" spans="1:31" ht="30" x14ac:dyDescent="0.25">
      <c r="A754" s="31" t="s">
        <v>1613</v>
      </c>
      <c r="B754" s="16" t="s">
        <v>32</v>
      </c>
      <c r="C754" s="16" t="s">
        <v>164</v>
      </c>
      <c r="D754" s="33" t="s">
        <v>34</v>
      </c>
      <c r="E754" s="33">
        <v>46</v>
      </c>
      <c r="F754" s="33">
        <v>3</v>
      </c>
      <c r="G754" s="33">
        <v>2</v>
      </c>
      <c r="H754" s="33"/>
      <c r="I754" s="31" t="s">
        <v>46</v>
      </c>
      <c r="J754" s="31"/>
      <c r="K754" s="33"/>
      <c r="L754" s="33"/>
      <c r="M754" s="31"/>
      <c r="N754" s="31"/>
      <c r="O754" s="16" t="s">
        <v>1614</v>
      </c>
      <c r="P754" s="16"/>
      <c r="Q754" s="16"/>
      <c r="R754" s="33"/>
      <c r="S754" s="34"/>
      <c r="T754" s="34"/>
      <c r="U754" s="34"/>
      <c r="V754" s="34"/>
      <c r="W754" s="34"/>
      <c r="X754" s="33" t="s">
        <v>48</v>
      </c>
      <c r="Y754" s="35" t="str">
        <f>IF(Tabela2[[#This Row],[SIGLA]]="","",VLOOKUP(Tabela2[[#This Row],[SIGLA]],Tabela1[[#All],[Sigla Arte]:[Crédito]],2,0))</f>
        <v>SERGIO LIMA/ARQUIVO DA EDITORA</v>
      </c>
      <c r="Z754" s="31"/>
      <c r="AA754" s="31" t="str">
        <f>Tabela2[[#This Row],[ILUSTRADOR CRIAÇÃO]]</f>
        <v>SERGIO LIMA/ARQUIVO DA EDITORA</v>
      </c>
      <c r="AB754" s="33"/>
      <c r="AC754" s="16"/>
      <c r="AE754" s="35" t="str">
        <f t="shared" si="11"/>
        <v>EF1 E002 Mat</v>
      </c>
    </row>
    <row r="755" spans="1:31" ht="30" x14ac:dyDescent="0.25">
      <c r="A755" s="31" t="s">
        <v>1615</v>
      </c>
      <c r="B755" s="16" t="s">
        <v>32</v>
      </c>
      <c r="C755" s="16" t="s">
        <v>33</v>
      </c>
      <c r="D755" s="33" t="s">
        <v>34</v>
      </c>
      <c r="E755" s="33">
        <v>47</v>
      </c>
      <c r="F755" s="33">
        <v>3</v>
      </c>
      <c r="G755" s="33">
        <v>2</v>
      </c>
      <c r="H755" s="33"/>
      <c r="I755" s="31" t="s">
        <v>46</v>
      </c>
      <c r="J755" s="31"/>
      <c r="K755" s="33"/>
      <c r="L755" s="33"/>
      <c r="M755" s="31"/>
      <c r="N755" s="31"/>
      <c r="O755" s="16" t="s">
        <v>1616</v>
      </c>
      <c r="P755" s="16"/>
      <c r="Q755" s="16"/>
      <c r="R755" s="33"/>
      <c r="S755" s="34"/>
      <c r="T755" s="34"/>
      <c r="U755" s="34"/>
      <c r="V755" s="34"/>
      <c r="W755" s="34"/>
      <c r="X755" s="33" t="s">
        <v>85</v>
      </c>
      <c r="Y755" s="35" t="str">
        <f>IF(Tabela2[[#This Row],[SIGLA]]="","",VLOOKUP(Tabela2[[#This Row],[SIGLA]],Tabela1[[#All],[Sigla Arte]:[Crédito]],2,0))</f>
        <v>HELOÍSA PINTARELLI/ARQUIVO DA EDITORA</v>
      </c>
      <c r="Z755" s="31"/>
      <c r="AA755" s="31" t="str">
        <f>Tabela2[[#This Row],[ILUSTRADOR CRIAÇÃO]]</f>
        <v>HELOÍSA PINTARELLI/ARQUIVO DA EDITORA</v>
      </c>
      <c r="AB755" s="33"/>
      <c r="AC755" s="16"/>
      <c r="AE755" s="35" t="str">
        <f t="shared" si="11"/>
        <v>EF1 E002 Mat</v>
      </c>
    </row>
    <row r="756" spans="1:31" ht="30" x14ac:dyDescent="0.25">
      <c r="A756" s="31" t="s">
        <v>1617</v>
      </c>
      <c r="B756" s="16" t="s">
        <v>32</v>
      </c>
      <c r="C756" s="16" t="s">
        <v>164</v>
      </c>
      <c r="D756" s="33" t="s">
        <v>34</v>
      </c>
      <c r="E756" s="33">
        <v>48</v>
      </c>
      <c r="F756" s="33">
        <v>3</v>
      </c>
      <c r="G756" s="33">
        <v>2</v>
      </c>
      <c r="H756" s="33"/>
      <c r="I756" s="31" t="s">
        <v>46</v>
      </c>
      <c r="J756" s="31"/>
      <c r="K756" s="33"/>
      <c r="L756" s="33"/>
      <c r="M756" s="31"/>
      <c r="N756" s="31"/>
      <c r="O756" s="16" t="s">
        <v>1618</v>
      </c>
      <c r="P756" s="16"/>
      <c r="Q756" s="16"/>
      <c r="R756" s="33"/>
      <c r="S756" s="34"/>
      <c r="T756" s="34"/>
      <c r="U756" s="34"/>
      <c r="V756" s="34"/>
      <c r="W756" s="34"/>
      <c r="X756" s="33" t="s">
        <v>48</v>
      </c>
      <c r="Y756" s="35" t="str">
        <f>IF(Tabela2[[#This Row],[SIGLA]]="","",VLOOKUP(Tabela2[[#This Row],[SIGLA]],Tabela1[[#All],[Sigla Arte]:[Crédito]],2,0))</f>
        <v>SERGIO LIMA/ARQUIVO DA EDITORA</v>
      </c>
      <c r="Z756" s="31"/>
      <c r="AA756" s="31" t="str">
        <f>Tabela2[[#This Row],[ILUSTRADOR CRIAÇÃO]]</f>
        <v>SERGIO LIMA/ARQUIVO DA EDITORA</v>
      </c>
      <c r="AB756" s="33"/>
      <c r="AC756" s="16"/>
      <c r="AE756" s="35" t="str">
        <f t="shared" si="11"/>
        <v>EF1 E002 Mat</v>
      </c>
    </row>
    <row r="757" spans="1:31" ht="30" x14ac:dyDescent="0.25">
      <c r="A757" s="31" t="s">
        <v>1619</v>
      </c>
      <c r="B757" s="16" t="s">
        <v>32</v>
      </c>
      <c r="C757" s="16" t="s">
        <v>164</v>
      </c>
      <c r="D757" s="33" t="s">
        <v>34</v>
      </c>
      <c r="E757" s="33">
        <v>48</v>
      </c>
      <c r="F757" s="33">
        <v>3</v>
      </c>
      <c r="G757" s="33">
        <v>2</v>
      </c>
      <c r="H757" s="33"/>
      <c r="I757" s="31" t="s">
        <v>46</v>
      </c>
      <c r="J757" s="31"/>
      <c r="K757" s="33"/>
      <c r="L757" s="33"/>
      <c r="M757" s="31"/>
      <c r="N757" s="31"/>
      <c r="O757" s="16" t="s">
        <v>1620</v>
      </c>
      <c r="P757" s="16"/>
      <c r="Q757" s="16"/>
      <c r="R757" s="33"/>
      <c r="S757" s="34"/>
      <c r="T757" s="34"/>
      <c r="U757" s="34"/>
      <c r="V757" s="34"/>
      <c r="W757" s="34"/>
      <c r="X757" s="33" t="s">
        <v>48</v>
      </c>
      <c r="Y757" s="35" t="str">
        <f>IF(Tabela2[[#This Row],[SIGLA]]="","",VLOOKUP(Tabela2[[#This Row],[SIGLA]],Tabela1[[#All],[Sigla Arte]:[Crédito]],2,0))</f>
        <v>SERGIO LIMA/ARQUIVO DA EDITORA</v>
      </c>
      <c r="Z757" s="31"/>
      <c r="AA757" s="31" t="str">
        <f>Tabela2[[#This Row],[ILUSTRADOR CRIAÇÃO]]</f>
        <v>SERGIO LIMA/ARQUIVO DA EDITORA</v>
      </c>
      <c r="AB757" s="33"/>
      <c r="AC757" s="16"/>
      <c r="AE757" s="35" t="str">
        <f t="shared" si="11"/>
        <v>EF1 E002 Mat</v>
      </c>
    </row>
    <row r="758" spans="1:31" ht="30" x14ac:dyDescent="0.25">
      <c r="A758" s="31" t="s">
        <v>1621</v>
      </c>
      <c r="B758" s="16" t="s">
        <v>32</v>
      </c>
      <c r="C758" s="16" t="s">
        <v>164</v>
      </c>
      <c r="D758" s="33" t="s">
        <v>34</v>
      </c>
      <c r="E758" s="33">
        <v>48</v>
      </c>
      <c r="F758" s="33">
        <v>3</v>
      </c>
      <c r="G758" s="33">
        <v>2</v>
      </c>
      <c r="H758" s="33"/>
      <c r="I758" s="31" t="s">
        <v>46</v>
      </c>
      <c r="J758" s="31"/>
      <c r="K758" s="33"/>
      <c r="L758" s="33"/>
      <c r="M758" s="31"/>
      <c r="N758" s="31"/>
      <c r="O758" s="16" t="s">
        <v>1622</v>
      </c>
      <c r="P758" s="16"/>
      <c r="Q758" s="16"/>
      <c r="R758" s="33"/>
      <c r="S758" s="34"/>
      <c r="T758" s="34"/>
      <c r="U758" s="34"/>
      <c r="V758" s="34"/>
      <c r="W758" s="34"/>
      <c r="X758" s="33" t="s">
        <v>48</v>
      </c>
      <c r="Y758" s="35" t="str">
        <f>IF(Tabela2[[#This Row],[SIGLA]]="","",VLOOKUP(Tabela2[[#This Row],[SIGLA]],Tabela1[[#All],[Sigla Arte]:[Crédito]],2,0))</f>
        <v>SERGIO LIMA/ARQUIVO DA EDITORA</v>
      </c>
      <c r="Z758" s="31"/>
      <c r="AA758" s="31" t="str">
        <f>Tabela2[[#This Row],[ILUSTRADOR CRIAÇÃO]]</f>
        <v>SERGIO LIMA/ARQUIVO DA EDITORA</v>
      </c>
      <c r="AB758" s="33"/>
      <c r="AC758" s="16"/>
      <c r="AE758" s="35" t="str">
        <f t="shared" si="11"/>
        <v>EF1 E002 Mat</v>
      </c>
    </row>
    <row r="759" spans="1:31" ht="30" x14ac:dyDescent="0.25">
      <c r="A759" s="31" t="s">
        <v>1623</v>
      </c>
      <c r="B759" s="16" t="s">
        <v>32</v>
      </c>
      <c r="C759" s="16" t="s">
        <v>164</v>
      </c>
      <c r="D759" s="33" t="s">
        <v>34</v>
      </c>
      <c r="E759" s="33">
        <v>48</v>
      </c>
      <c r="F759" s="33">
        <v>3</v>
      </c>
      <c r="G759" s="33">
        <v>2</v>
      </c>
      <c r="H759" s="33"/>
      <c r="I759" s="31" t="s">
        <v>46</v>
      </c>
      <c r="J759" s="31"/>
      <c r="K759" s="33"/>
      <c r="L759" s="33"/>
      <c r="M759" s="31"/>
      <c r="N759" s="31"/>
      <c r="O759" s="16" t="s">
        <v>1624</v>
      </c>
      <c r="P759" s="16"/>
      <c r="Q759" s="16"/>
      <c r="R759" s="33"/>
      <c r="S759" s="34"/>
      <c r="T759" s="34"/>
      <c r="U759" s="34"/>
      <c r="V759" s="34"/>
      <c r="W759" s="34"/>
      <c r="X759" s="33" t="s">
        <v>48</v>
      </c>
      <c r="Y759" s="35" t="str">
        <f>IF(Tabela2[[#This Row],[SIGLA]]="","",VLOOKUP(Tabela2[[#This Row],[SIGLA]],Tabela1[[#All],[Sigla Arte]:[Crédito]],2,0))</f>
        <v>SERGIO LIMA/ARQUIVO DA EDITORA</v>
      </c>
      <c r="Z759" s="31"/>
      <c r="AA759" s="31" t="str">
        <f>Tabela2[[#This Row],[ILUSTRADOR CRIAÇÃO]]</f>
        <v>SERGIO LIMA/ARQUIVO DA EDITORA</v>
      </c>
      <c r="AB759" s="33"/>
      <c r="AC759" s="16"/>
      <c r="AE759" s="35" t="str">
        <f t="shared" si="11"/>
        <v>EF1 E002 Mat</v>
      </c>
    </row>
    <row r="760" spans="1:31" ht="30" x14ac:dyDescent="0.25">
      <c r="A760" s="31" t="s">
        <v>1625</v>
      </c>
      <c r="B760" s="16" t="s">
        <v>32</v>
      </c>
      <c r="C760" s="16" t="s">
        <v>164</v>
      </c>
      <c r="D760" s="33" t="s">
        <v>34</v>
      </c>
      <c r="E760" s="33">
        <v>48</v>
      </c>
      <c r="F760" s="33">
        <v>3</v>
      </c>
      <c r="G760" s="33">
        <v>2</v>
      </c>
      <c r="H760" s="33"/>
      <c r="I760" s="31" t="s">
        <v>46</v>
      </c>
      <c r="J760" s="31"/>
      <c r="K760" s="33"/>
      <c r="L760" s="33"/>
      <c r="M760" s="31"/>
      <c r="N760" s="31"/>
      <c r="O760" s="16" t="s">
        <v>1626</v>
      </c>
      <c r="P760" s="16"/>
      <c r="Q760" s="16"/>
      <c r="R760" s="33"/>
      <c r="S760" s="34"/>
      <c r="T760" s="34"/>
      <c r="U760" s="34"/>
      <c r="V760" s="34"/>
      <c r="W760" s="34"/>
      <c r="X760" s="33" t="s">
        <v>48</v>
      </c>
      <c r="Y760" s="35" t="str">
        <f>IF(Tabela2[[#This Row],[SIGLA]]="","",VLOOKUP(Tabela2[[#This Row],[SIGLA]],Tabela1[[#All],[Sigla Arte]:[Crédito]],2,0))</f>
        <v>SERGIO LIMA/ARQUIVO DA EDITORA</v>
      </c>
      <c r="Z760" s="31"/>
      <c r="AA760" s="31" t="str">
        <f>Tabela2[[#This Row],[ILUSTRADOR CRIAÇÃO]]</f>
        <v>SERGIO LIMA/ARQUIVO DA EDITORA</v>
      </c>
      <c r="AB760" s="33"/>
      <c r="AC760" s="16"/>
      <c r="AE760" s="35" t="str">
        <f t="shared" si="11"/>
        <v>EF1 E002 Mat</v>
      </c>
    </row>
    <row r="761" spans="1:31" ht="30" x14ac:dyDescent="0.25">
      <c r="A761" s="31" t="s">
        <v>1627</v>
      </c>
      <c r="B761" s="16" t="s">
        <v>32</v>
      </c>
      <c r="C761" s="16" t="s">
        <v>164</v>
      </c>
      <c r="D761" s="33" t="s">
        <v>34</v>
      </c>
      <c r="E761" s="33">
        <v>48</v>
      </c>
      <c r="F761" s="33">
        <v>3</v>
      </c>
      <c r="G761" s="33">
        <v>2</v>
      </c>
      <c r="H761" s="33"/>
      <c r="I761" s="31" t="s">
        <v>46</v>
      </c>
      <c r="J761" s="31"/>
      <c r="K761" s="33"/>
      <c r="L761" s="33"/>
      <c r="M761" s="31"/>
      <c r="N761" s="31"/>
      <c r="O761" s="16" t="s">
        <v>1628</v>
      </c>
      <c r="P761" s="16"/>
      <c r="Q761" s="16"/>
      <c r="R761" s="33"/>
      <c r="S761" s="34"/>
      <c r="T761" s="34"/>
      <c r="U761" s="34"/>
      <c r="V761" s="34"/>
      <c r="W761" s="34"/>
      <c r="X761" s="33" t="s">
        <v>48</v>
      </c>
      <c r="Y761" s="35" t="str">
        <f>IF(Tabela2[[#This Row],[SIGLA]]="","",VLOOKUP(Tabela2[[#This Row],[SIGLA]],Tabela1[[#All],[Sigla Arte]:[Crédito]],2,0))</f>
        <v>SERGIO LIMA/ARQUIVO DA EDITORA</v>
      </c>
      <c r="Z761" s="31"/>
      <c r="AA761" s="31" t="str">
        <f>Tabela2[[#This Row],[ILUSTRADOR CRIAÇÃO]]</f>
        <v>SERGIO LIMA/ARQUIVO DA EDITORA</v>
      </c>
      <c r="AB761" s="33"/>
      <c r="AC761" s="16"/>
      <c r="AE761" s="35" t="str">
        <f t="shared" si="11"/>
        <v>EF1 E002 Mat</v>
      </c>
    </row>
    <row r="762" spans="1:31" ht="30" x14ac:dyDescent="0.25">
      <c r="A762" s="31" t="s">
        <v>1629</v>
      </c>
      <c r="B762" s="16" t="s">
        <v>32</v>
      </c>
      <c r="C762" s="16" t="s">
        <v>164</v>
      </c>
      <c r="D762" s="33" t="s">
        <v>34</v>
      </c>
      <c r="E762" s="33">
        <v>51</v>
      </c>
      <c r="F762" s="33">
        <v>3</v>
      </c>
      <c r="G762" s="33">
        <v>2</v>
      </c>
      <c r="H762" s="33"/>
      <c r="I762" s="31" t="s">
        <v>46</v>
      </c>
      <c r="J762" s="31"/>
      <c r="K762" s="33"/>
      <c r="L762" s="33"/>
      <c r="M762" s="31"/>
      <c r="N762" s="31"/>
      <c r="O762" s="16" t="s">
        <v>1630</v>
      </c>
      <c r="P762" s="16"/>
      <c r="Q762" s="16"/>
      <c r="R762" s="33"/>
      <c r="S762" s="34"/>
      <c r="T762" s="34"/>
      <c r="U762" s="34"/>
      <c r="V762" s="34"/>
      <c r="W762" s="34"/>
      <c r="X762" s="33" t="s">
        <v>48</v>
      </c>
      <c r="Y762" s="35" t="str">
        <f>IF(Tabela2[[#This Row],[SIGLA]]="","",VLOOKUP(Tabela2[[#This Row],[SIGLA]],Tabela1[[#All],[Sigla Arte]:[Crédito]],2,0))</f>
        <v>SERGIO LIMA/ARQUIVO DA EDITORA</v>
      </c>
      <c r="Z762" s="31"/>
      <c r="AA762" s="31" t="str">
        <f>Tabela2[[#This Row],[ILUSTRADOR CRIAÇÃO]]</f>
        <v>SERGIO LIMA/ARQUIVO DA EDITORA</v>
      </c>
      <c r="AB762" s="33"/>
      <c r="AC762" s="16"/>
      <c r="AE762" s="35" t="str">
        <f t="shared" si="11"/>
        <v>EF1 E002 Mat</v>
      </c>
    </row>
    <row r="763" spans="1:31" ht="30" x14ac:dyDescent="0.25">
      <c r="A763" s="31" t="s">
        <v>1631</v>
      </c>
      <c r="B763" s="16" t="s">
        <v>32</v>
      </c>
      <c r="C763" s="16" t="s">
        <v>164</v>
      </c>
      <c r="D763" s="33" t="s">
        <v>34</v>
      </c>
      <c r="E763" s="33">
        <v>51</v>
      </c>
      <c r="F763" s="33">
        <v>3</v>
      </c>
      <c r="G763" s="33">
        <v>2</v>
      </c>
      <c r="H763" s="33"/>
      <c r="I763" s="31" t="s">
        <v>46</v>
      </c>
      <c r="J763" s="31"/>
      <c r="K763" s="33"/>
      <c r="L763" s="33"/>
      <c r="M763" s="31"/>
      <c r="N763" s="31"/>
      <c r="O763" s="16" t="s">
        <v>1632</v>
      </c>
      <c r="P763" s="16"/>
      <c r="Q763" s="16"/>
      <c r="R763" s="33"/>
      <c r="S763" s="34"/>
      <c r="T763" s="34"/>
      <c r="U763" s="34"/>
      <c r="V763" s="34"/>
      <c r="W763" s="34"/>
      <c r="X763" s="33" t="s">
        <v>48</v>
      </c>
      <c r="Y763" s="35" t="str">
        <f>IF(Tabela2[[#This Row],[SIGLA]]="","",VLOOKUP(Tabela2[[#This Row],[SIGLA]],Tabela1[[#All],[Sigla Arte]:[Crédito]],2,0))</f>
        <v>SERGIO LIMA/ARQUIVO DA EDITORA</v>
      </c>
      <c r="Z763" s="31"/>
      <c r="AA763" s="31" t="str">
        <f>Tabela2[[#This Row],[ILUSTRADOR CRIAÇÃO]]</f>
        <v>SERGIO LIMA/ARQUIVO DA EDITORA</v>
      </c>
      <c r="AB763" s="33"/>
      <c r="AC763" s="16"/>
      <c r="AE763" s="35" t="str">
        <f t="shared" si="11"/>
        <v>EF1 E002 Mat</v>
      </c>
    </row>
    <row r="764" spans="1:31" ht="30" x14ac:dyDescent="0.25">
      <c r="A764" s="31" t="s">
        <v>1633</v>
      </c>
      <c r="B764" s="16" t="s">
        <v>32</v>
      </c>
      <c r="C764" s="16" t="s">
        <v>164</v>
      </c>
      <c r="D764" s="33" t="s">
        <v>34</v>
      </c>
      <c r="E764" s="33">
        <v>51</v>
      </c>
      <c r="F764" s="33">
        <v>3</v>
      </c>
      <c r="G764" s="33">
        <v>2</v>
      </c>
      <c r="H764" s="33"/>
      <c r="I764" s="31" t="s">
        <v>46</v>
      </c>
      <c r="J764" s="31"/>
      <c r="K764" s="33"/>
      <c r="L764" s="33"/>
      <c r="M764" s="31"/>
      <c r="N764" s="31"/>
      <c r="O764" s="16" t="s">
        <v>1634</v>
      </c>
      <c r="P764" s="16"/>
      <c r="Q764" s="16"/>
      <c r="R764" s="33"/>
      <c r="S764" s="34"/>
      <c r="T764" s="34"/>
      <c r="U764" s="34"/>
      <c r="V764" s="34"/>
      <c r="W764" s="34"/>
      <c r="X764" s="33" t="s">
        <v>48</v>
      </c>
      <c r="Y764" s="35" t="str">
        <f>IF(Tabela2[[#This Row],[SIGLA]]="","",VLOOKUP(Tabela2[[#This Row],[SIGLA]],Tabela1[[#All],[Sigla Arte]:[Crédito]],2,0))</f>
        <v>SERGIO LIMA/ARQUIVO DA EDITORA</v>
      </c>
      <c r="Z764" s="31"/>
      <c r="AA764" s="31" t="str">
        <f>Tabela2[[#This Row],[ILUSTRADOR CRIAÇÃO]]</f>
        <v>SERGIO LIMA/ARQUIVO DA EDITORA</v>
      </c>
      <c r="AB764" s="33"/>
      <c r="AC764" s="16"/>
      <c r="AE764" s="35" t="str">
        <f t="shared" si="11"/>
        <v>EF1 E002 Mat</v>
      </c>
    </row>
    <row r="765" spans="1:31" ht="30" x14ac:dyDescent="0.25">
      <c r="A765" s="31" t="s">
        <v>1635</v>
      </c>
      <c r="B765" s="16" t="s">
        <v>32</v>
      </c>
      <c r="C765" s="16" t="s">
        <v>164</v>
      </c>
      <c r="D765" s="33" t="s">
        <v>34</v>
      </c>
      <c r="E765" s="33">
        <v>51</v>
      </c>
      <c r="F765" s="33">
        <v>3</v>
      </c>
      <c r="G765" s="33">
        <v>2</v>
      </c>
      <c r="H765" s="33"/>
      <c r="I765" s="31" t="s">
        <v>46</v>
      </c>
      <c r="J765" s="31"/>
      <c r="K765" s="33"/>
      <c r="L765" s="33"/>
      <c r="M765" s="31"/>
      <c r="N765" s="31"/>
      <c r="O765" s="16" t="s">
        <v>1636</v>
      </c>
      <c r="P765" s="16"/>
      <c r="Q765" s="16"/>
      <c r="R765" s="33"/>
      <c r="S765" s="34"/>
      <c r="T765" s="34"/>
      <c r="U765" s="34"/>
      <c r="V765" s="34"/>
      <c r="W765" s="34"/>
      <c r="X765" s="33" t="s">
        <v>48</v>
      </c>
      <c r="Y765" s="35" t="str">
        <f>IF(Tabela2[[#This Row],[SIGLA]]="","",VLOOKUP(Tabela2[[#This Row],[SIGLA]],Tabela1[[#All],[Sigla Arte]:[Crédito]],2,0))</f>
        <v>SERGIO LIMA/ARQUIVO DA EDITORA</v>
      </c>
      <c r="Z765" s="31"/>
      <c r="AA765" s="31" t="str">
        <f>Tabela2[[#This Row],[ILUSTRADOR CRIAÇÃO]]</f>
        <v>SERGIO LIMA/ARQUIVO DA EDITORA</v>
      </c>
      <c r="AB765" s="33"/>
      <c r="AC765" s="16"/>
      <c r="AE765" s="35" t="str">
        <f t="shared" si="11"/>
        <v>EF1 E002 Mat</v>
      </c>
    </row>
    <row r="766" spans="1:31" ht="30" x14ac:dyDescent="0.25">
      <c r="A766" s="31" t="s">
        <v>1637</v>
      </c>
      <c r="B766" s="16" t="s">
        <v>32</v>
      </c>
      <c r="C766" s="16" t="s">
        <v>164</v>
      </c>
      <c r="D766" s="33" t="s">
        <v>34</v>
      </c>
      <c r="E766" s="33">
        <v>51</v>
      </c>
      <c r="F766" s="33">
        <v>3</v>
      </c>
      <c r="G766" s="33">
        <v>2</v>
      </c>
      <c r="H766" s="33"/>
      <c r="I766" s="31" t="s">
        <v>46</v>
      </c>
      <c r="J766" s="31"/>
      <c r="K766" s="33"/>
      <c r="L766" s="33"/>
      <c r="M766" s="31"/>
      <c r="N766" s="31"/>
      <c r="O766" s="16" t="s">
        <v>1638</v>
      </c>
      <c r="P766" s="16"/>
      <c r="Q766" s="16"/>
      <c r="R766" s="33"/>
      <c r="S766" s="34"/>
      <c r="T766" s="34"/>
      <c r="U766" s="34"/>
      <c r="V766" s="34"/>
      <c r="W766" s="34"/>
      <c r="X766" s="33" t="s">
        <v>48</v>
      </c>
      <c r="Y766" s="35" t="str">
        <f>IF(Tabela2[[#This Row],[SIGLA]]="","",VLOOKUP(Tabela2[[#This Row],[SIGLA]],Tabela1[[#All],[Sigla Arte]:[Crédito]],2,0))</f>
        <v>SERGIO LIMA/ARQUIVO DA EDITORA</v>
      </c>
      <c r="Z766" s="31"/>
      <c r="AA766" s="31" t="str">
        <f>Tabela2[[#This Row],[ILUSTRADOR CRIAÇÃO]]</f>
        <v>SERGIO LIMA/ARQUIVO DA EDITORA</v>
      </c>
      <c r="AB766" s="33"/>
      <c r="AC766" s="16"/>
      <c r="AE766" s="35" t="str">
        <f t="shared" si="11"/>
        <v>EF1 E002 Mat</v>
      </c>
    </row>
    <row r="767" spans="1:31" ht="30" x14ac:dyDescent="0.25">
      <c r="A767" s="31" t="s">
        <v>1639</v>
      </c>
      <c r="B767" s="16" t="s">
        <v>32</v>
      </c>
      <c r="C767" s="16" t="s">
        <v>164</v>
      </c>
      <c r="D767" s="33" t="s">
        <v>34</v>
      </c>
      <c r="E767" s="33">
        <v>51</v>
      </c>
      <c r="F767" s="33">
        <v>3</v>
      </c>
      <c r="G767" s="33">
        <v>2</v>
      </c>
      <c r="H767" s="33"/>
      <c r="I767" s="31" t="s">
        <v>46</v>
      </c>
      <c r="J767" s="31"/>
      <c r="K767" s="33"/>
      <c r="L767" s="33"/>
      <c r="M767" s="31"/>
      <c r="N767" s="31"/>
      <c r="O767" s="16" t="s">
        <v>1640</v>
      </c>
      <c r="P767" s="16"/>
      <c r="Q767" s="16"/>
      <c r="R767" s="33"/>
      <c r="S767" s="34"/>
      <c r="T767" s="34"/>
      <c r="U767" s="34"/>
      <c r="V767" s="34"/>
      <c r="W767" s="34"/>
      <c r="X767" s="33" t="s">
        <v>48</v>
      </c>
      <c r="Y767" s="35" t="str">
        <f>IF(Tabela2[[#This Row],[SIGLA]]="","",VLOOKUP(Tabela2[[#This Row],[SIGLA]],Tabela1[[#All],[Sigla Arte]:[Crédito]],2,0))</f>
        <v>SERGIO LIMA/ARQUIVO DA EDITORA</v>
      </c>
      <c r="Z767" s="31"/>
      <c r="AA767" s="31" t="str">
        <f>Tabela2[[#This Row],[ILUSTRADOR CRIAÇÃO]]</f>
        <v>SERGIO LIMA/ARQUIVO DA EDITORA</v>
      </c>
      <c r="AB767" s="33"/>
      <c r="AC767" s="16"/>
      <c r="AE767" s="35" t="str">
        <f t="shared" si="11"/>
        <v>EF1 E002 Mat</v>
      </c>
    </row>
    <row r="768" spans="1:31" ht="45" x14ac:dyDescent="0.25">
      <c r="A768" s="31" t="s">
        <v>1641</v>
      </c>
      <c r="B768" s="16" t="s">
        <v>32</v>
      </c>
      <c r="C768" s="16" t="s">
        <v>33</v>
      </c>
      <c r="D768" s="33" t="s">
        <v>34</v>
      </c>
      <c r="E768" s="33">
        <v>52</v>
      </c>
      <c r="F768" s="33">
        <v>3</v>
      </c>
      <c r="G768" s="33">
        <v>2</v>
      </c>
      <c r="H768" s="33"/>
      <c r="I768" s="31" t="s">
        <v>35</v>
      </c>
      <c r="J768" s="31"/>
      <c r="K768" s="33"/>
      <c r="L768" s="33"/>
      <c r="M768" s="31"/>
      <c r="N768" s="31"/>
      <c r="O768" s="16" t="s">
        <v>1642</v>
      </c>
      <c r="P768" s="16"/>
      <c r="Q768" s="16"/>
      <c r="R768" s="33">
        <v>164</v>
      </c>
      <c r="S768" s="34">
        <v>45916</v>
      </c>
      <c r="T768" s="34">
        <v>45916</v>
      </c>
      <c r="U768" s="34"/>
      <c r="V768" s="34"/>
      <c r="W768" s="34">
        <v>45916</v>
      </c>
      <c r="X768" s="33" t="s">
        <v>85</v>
      </c>
      <c r="Y768" s="35" t="str">
        <f>IF(Tabela2[[#This Row],[SIGLA]]="","",VLOOKUP(Tabela2[[#This Row],[SIGLA]],Tabela1[[#All],[Sigla Arte]:[Crédito]],2,0))</f>
        <v>HELOÍSA PINTARELLI/ARQUIVO DA EDITORA</v>
      </c>
      <c r="Z768" s="31" t="s">
        <v>383</v>
      </c>
      <c r="AA768" s="31" t="str">
        <f>Tabela2[[#This Row],[ILUSTRADOR CRIAÇÃO]]</f>
        <v>HELOÍSA PINTARELLI/ARQUIVO DA EDITORA</v>
      </c>
      <c r="AB768" s="33">
        <v>12</v>
      </c>
      <c r="AC768" s="16" t="s">
        <v>405</v>
      </c>
      <c r="AD768" s="16" t="s">
        <v>40</v>
      </c>
      <c r="AE768" s="35" t="str">
        <f t="shared" si="11"/>
        <v>EF1 E002 Mat</v>
      </c>
    </row>
    <row r="769" spans="1:31" ht="90" x14ac:dyDescent="0.25">
      <c r="A769" s="31" t="s">
        <v>1643</v>
      </c>
      <c r="B769" s="16" t="s">
        <v>32</v>
      </c>
      <c r="C769" s="16" t="s">
        <v>164</v>
      </c>
      <c r="D769" s="33" t="s">
        <v>34</v>
      </c>
      <c r="E769" s="33">
        <v>52</v>
      </c>
      <c r="F769" s="33">
        <v>3</v>
      </c>
      <c r="G769" s="33">
        <v>2</v>
      </c>
      <c r="H769" s="33"/>
      <c r="I769" s="31" t="s">
        <v>35</v>
      </c>
      <c r="J769" s="31"/>
      <c r="K769" s="33"/>
      <c r="L769" s="33"/>
      <c r="M769" s="31"/>
      <c r="N769" s="31"/>
      <c r="O769" s="16" t="s">
        <v>1644</v>
      </c>
      <c r="P769" s="16"/>
      <c r="Q769" s="16"/>
      <c r="R769" s="33">
        <v>16</v>
      </c>
      <c r="S769" s="34">
        <v>45743</v>
      </c>
      <c r="T769" s="34">
        <v>45748</v>
      </c>
      <c r="U769" s="34"/>
      <c r="V769" s="34"/>
      <c r="W769" s="34">
        <v>45749</v>
      </c>
      <c r="X769" s="33" t="s">
        <v>48</v>
      </c>
      <c r="Y769" s="35" t="str">
        <f>IF(Tabela2[[#This Row],[SIGLA]]="","",VLOOKUP(Tabela2[[#This Row],[SIGLA]],Tabela1[[#All],[Sigla Arte]:[Crédito]],2,0))</f>
        <v>SERGIO LIMA/ARQUIVO DA EDITORA</v>
      </c>
      <c r="Z769" s="31" t="s">
        <v>352</v>
      </c>
      <c r="AA769" s="31" t="str">
        <f>Tabela2[[#This Row],[ILUSTRADOR CRIAÇÃO]]</f>
        <v>SERGIO LIMA/ARQUIVO DA EDITORA</v>
      </c>
      <c r="AB769" s="33">
        <v>13</v>
      </c>
      <c r="AC769" s="16" t="s">
        <v>39</v>
      </c>
      <c r="AD769" s="16" t="s">
        <v>40</v>
      </c>
      <c r="AE769" s="35" t="str">
        <f t="shared" si="11"/>
        <v>EF1 E002 Mat</v>
      </c>
    </row>
    <row r="770" spans="1:31" ht="30" x14ac:dyDescent="0.25">
      <c r="A770" s="31" t="s">
        <v>1645</v>
      </c>
      <c r="B770" s="16" t="s">
        <v>32</v>
      </c>
      <c r="C770" s="16" t="s">
        <v>164</v>
      </c>
      <c r="D770" s="33" t="s">
        <v>34</v>
      </c>
      <c r="E770" s="33">
        <v>53</v>
      </c>
      <c r="F770" s="33">
        <v>3</v>
      </c>
      <c r="G770" s="33">
        <v>2</v>
      </c>
      <c r="H770" s="33"/>
      <c r="I770" s="31" t="s">
        <v>46</v>
      </c>
      <c r="J770" s="31"/>
      <c r="K770" s="33"/>
      <c r="L770" s="33"/>
      <c r="M770" s="31"/>
      <c r="N770" s="31"/>
      <c r="O770" s="16" t="s">
        <v>1646</v>
      </c>
      <c r="P770" s="16"/>
      <c r="Q770" s="16"/>
      <c r="R770" s="33"/>
      <c r="S770" s="34"/>
      <c r="T770" s="34"/>
      <c r="U770" s="34"/>
      <c r="V770" s="34"/>
      <c r="W770" s="34"/>
      <c r="X770" s="33" t="s">
        <v>85</v>
      </c>
      <c r="Y770" s="35" t="str">
        <f>IF(Tabela2[[#This Row],[SIGLA]]="","",VLOOKUP(Tabela2[[#This Row],[SIGLA]],Tabela1[[#All],[Sigla Arte]:[Crédito]],2,0))</f>
        <v>HELOÍSA PINTARELLI/ARQUIVO DA EDITORA</v>
      </c>
      <c r="Z770" s="31"/>
      <c r="AA770" s="31" t="str">
        <f>Tabela2[[#This Row],[ILUSTRADOR CRIAÇÃO]]</f>
        <v>HELOÍSA PINTARELLI/ARQUIVO DA EDITORA</v>
      </c>
      <c r="AB770" s="33"/>
      <c r="AC770" s="16"/>
      <c r="AE770" s="35" t="str">
        <f t="shared" ref="AE770:AE833" si="12">"EF1 E002 Mat"</f>
        <v>EF1 E002 Mat</v>
      </c>
    </row>
    <row r="771" spans="1:31" ht="90" x14ac:dyDescent="0.25">
      <c r="A771" s="31" t="s">
        <v>1647</v>
      </c>
      <c r="B771" s="16" t="s">
        <v>32</v>
      </c>
      <c r="C771" s="16" t="s">
        <v>164</v>
      </c>
      <c r="D771" s="33" t="s">
        <v>34</v>
      </c>
      <c r="E771" s="33">
        <v>53</v>
      </c>
      <c r="F771" s="33">
        <v>3</v>
      </c>
      <c r="G771" s="33">
        <v>2</v>
      </c>
      <c r="H771" s="33"/>
      <c r="I771" s="31" t="s">
        <v>35</v>
      </c>
      <c r="J771" s="31"/>
      <c r="K771" s="33"/>
      <c r="L771" s="33"/>
      <c r="M771" s="31"/>
      <c r="N771" s="31"/>
      <c r="O771" s="16" t="s">
        <v>1648</v>
      </c>
      <c r="P771" s="16"/>
      <c r="Q771" s="16"/>
      <c r="R771" s="33">
        <v>86</v>
      </c>
      <c r="S771" s="34">
        <v>45862</v>
      </c>
      <c r="T771" s="34"/>
      <c r="U771" s="34"/>
      <c r="V771" s="34"/>
      <c r="W771" s="34">
        <v>45863</v>
      </c>
      <c r="X771" s="33" t="s">
        <v>48</v>
      </c>
      <c r="Y771" s="35" t="str">
        <f>IF(Tabela2[[#This Row],[SIGLA]]="","",VLOOKUP(Tabela2[[#This Row],[SIGLA]],Tabela1[[#All],[Sigla Arte]:[Crédito]],2,0))</f>
        <v>SERGIO LIMA/ARQUIVO DA EDITORA</v>
      </c>
      <c r="Z771" s="31" t="s">
        <v>924</v>
      </c>
      <c r="AA771" s="31" t="str">
        <f>Tabela2[[#This Row],[ILUSTRADOR CRIAÇÃO]]</f>
        <v>SERGIO LIMA/ARQUIVO DA EDITORA</v>
      </c>
      <c r="AB771" s="33">
        <v>13</v>
      </c>
      <c r="AC771" s="16" t="s">
        <v>222</v>
      </c>
      <c r="AD771" s="16" t="s">
        <v>40</v>
      </c>
      <c r="AE771" s="35" t="str">
        <f t="shared" si="12"/>
        <v>EF1 E002 Mat</v>
      </c>
    </row>
    <row r="772" spans="1:31" ht="60" x14ac:dyDescent="0.25">
      <c r="A772" s="31" t="s">
        <v>1649</v>
      </c>
      <c r="B772" s="16" t="s">
        <v>32</v>
      </c>
      <c r="C772" s="16" t="s">
        <v>164</v>
      </c>
      <c r="D772" s="33" t="s">
        <v>34</v>
      </c>
      <c r="E772" s="33">
        <v>53</v>
      </c>
      <c r="F772" s="33">
        <v>3</v>
      </c>
      <c r="G772" s="33">
        <v>2</v>
      </c>
      <c r="H772" s="33"/>
      <c r="I772" s="31" t="s">
        <v>35</v>
      </c>
      <c r="J772" s="31"/>
      <c r="K772" s="33"/>
      <c r="L772" s="33"/>
      <c r="M772" s="31"/>
      <c r="N772" s="31"/>
      <c r="O772" s="16" t="s">
        <v>1650</v>
      </c>
      <c r="P772" s="16"/>
      <c r="Q772" s="16"/>
      <c r="R772" s="33">
        <v>16</v>
      </c>
      <c r="S772" s="34">
        <v>45743</v>
      </c>
      <c r="T772" s="34">
        <v>45748</v>
      </c>
      <c r="U772" s="34"/>
      <c r="V772" s="34"/>
      <c r="W772" s="34">
        <v>45749</v>
      </c>
      <c r="X772" s="33" t="s">
        <v>48</v>
      </c>
      <c r="Y772" s="35" t="str">
        <f>IF(Tabela2[[#This Row],[SIGLA]]="","",VLOOKUP(Tabela2[[#This Row],[SIGLA]],Tabela1[[#All],[Sigla Arte]:[Crédito]],2,0))</f>
        <v>SERGIO LIMA/ARQUIVO DA EDITORA</v>
      </c>
      <c r="Z772" s="31" t="s">
        <v>352</v>
      </c>
      <c r="AA772" s="31" t="str">
        <f>Tabela2[[#This Row],[ILUSTRADOR CRIAÇÃO]]</f>
        <v>SERGIO LIMA/ARQUIVO DA EDITORA</v>
      </c>
      <c r="AB772" s="33">
        <v>13</v>
      </c>
      <c r="AC772" s="16" t="s">
        <v>39</v>
      </c>
      <c r="AD772" s="16" t="s">
        <v>40</v>
      </c>
      <c r="AE772" s="35" t="str">
        <f t="shared" si="12"/>
        <v>EF1 E002 Mat</v>
      </c>
    </row>
    <row r="773" spans="1:31" ht="60" x14ac:dyDescent="0.25">
      <c r="A773" s="31" t="s">
        <v>1651</v>
      </c>
      <c r="B773" s="16" t="s">
        <v>32</v>
      </c>
      <c r="C773" s="16" t="s">
        <v>33</v>
      </c>
      <c r="D773" s="33" t="s">
        <v>34</v>
      </c>
      <c r="E773" s="33">
        <v>54</v>
      </c>
      <c r="F773" s="33">
        <v>3</v>
      </c>
      <c r="G773" s="33">
        <v>2</v>
      </c>
      <c r="H773" s="33"/>
      <c r="I773" s="31" t="s">
        <v>35</v>
      </c>
      <c r="J773" s="31"/>
      <c r="K773" s="33"/>
      <c r="L773" s="33"/>
      <c r="M773" s="31"/>
      <c r="N773" s="31"/>
      <c r="O773" s="16" t="s">
        <v>1652</v>
      </c>
      <c r="P773" s="16"/>
      <c r="Q773" s="16"/>
      <c r="R773" s="33">
        <v>122</v>
      </c>
      <c r="S773" s="34"/>
      <c r="T773" s="34">
        <v>45890</v>
      </c>
      <c r="U773" s="34"/>
      <c r="V773" s="34"/>
      <c r="W773" s="34">
        <v>45890</v>
      </c>
      <c r="X773" s="33" t="s">
        <v>85</v>
      </c>
      <c r="Y773" s="35" t="str">
        <f>IF(Tabela2[[#This Row],[SIGLA]]="","",VLOOKUP(Tabela2[[#This Row],[SIGLA]],Tabela1[[#All],[Sigla Arte]:[Crédito]],2,0))</f>
        <v>HELOÍSA PINTARELLI/ARQUIVO DA EDITORA</v>
      </c>
      <c r="Z773" s="31" t="s">
        <v>383</v>
      </c>
      <c r="AA773" s="31" t="str">
        <f>Tabela2[[#This Row],[ILUSTRADOR CRIAÇÃO]]</f>
        <v>HELOÍSA PINTARELLI/ARQUIVO DA EDITORA</v>
      </c>
      <c r="AB773" s="33">
        <v>13</v>
      </c>
      <c r="AC773" s="16" t="s">
        <v>405</v>
      </c>
      <c r="AD773" s="16" t="s">
        <v>40</v>
      </c>
      <c r="AE773" s="35" t="str">
        <f t="shared" si="12"/>
        <v>EF1 E002 Mat</v>
      </c>
    </row>
    <row r="774" spans="1:31" ht="30" x14ac:dyDescent="0.25">
      <c r="A774" s="31" t="s">
        <v>1653</v>
      </c>
      <c r="B774" s="16" t="s">
        <v>32</v>
      </c>
      <c r="C774" s="16" t="s">
        <v>164</v>
      </c>
      <c r="D774" s="33" t="s">
        <v>34</v>
      </c>
      <c r="E774" s="33">
        <v>54</v>
      </c>
      <c r="F774" s="33">
        <v>3</v>
      </c>
      <c r="G774" s="33">
        <v>2</v>
      </c>
      <c r="H774" s="33"/>
      <c r="I774" s="31" t="s">
        <v>46</v>
      </c>
      <c r="J774" s="31"/>
      <c r="K774" s="33"/>
      <c r="L774" s="33"/>
      <c r="M774" s="31"/>
      <c r="N774" s="31"/>
      <c r="O774" s="16" t="s">
        <v>1654</v>
      </c>
      <c r="P774" s="16"/>
      <c r="Q774" s="16"/>
      <c r="R774" s="33"/>
      <c r="S774" s="34"/>
      <c r="T774" s="34"/>
      <c r="U774" s="34"/>
      <c r="V774" s="34"/>
      <c r="W774" s="34"/>
      <c r="X774" s="33" t="s">
        <v>48</v>
      </c>
      <c r="Y774" s="35" t="str">
        <f>IF(Tabela2[[#This Row],[SIGLA]]="","",VLOOKUP(Tabela2[[#This Row],[SIGLA]],Tabela1[[#All],[Sigla Arte]:[Crédito]],2,0))</f>
        <v>SERGIO LIMA/ARQUIVO DA EDITORA</v>
      </c>
      <c r="Z774" s="31"/>
      <c r="AA774" s="31" t="str">
        <f>Tabela2[[#This Row],[ILUSTRADOR CRIAÇÃO]]</f>
        <v>SERGIO LIMA/ARQUIVO DA EDITORA</v>
      </c>
      <c r="AB774" s="33"/>
      <c r="AC774" s="16"/>
      <c r="AE774" s="35" t="str">
        <f t="shared" si="12"/>
        <v>EF1 E002 Mat</v>
      </c>
    </row>
    <row r="775" spans="1:31" ht="30" x14ac:dyDescent="0.25">
      <c r="A775" s="31" t="s">
        <v>1655</v>
      </c>
      <c r="B775" s="16" t="s">
        <v>32</v>
      </c>
      <c r="C775" s="16" t="s">
        <v>164</v>
      </c>
      <c r="D775" s="33" t="s">
        <v>34</v>
      </c>
      <c r="E775" s="33">
        <v>54</v>
      </c>
      <c r="F775" s="33">
        <v>3</v>
      </c>
      <c r="G775" s="33">
        <v>2</v>
      </c>
      <c r="H775" s="33"/>
      <c r="I775" s="31" t="s">
        <v>46</v>
      </c>
      <c r="J775" s="31"/>
      <c r="K775" s="33"/>
      <c r="L775" s="33"/>
      <c r="M775" s="31"/>
      <c r="N775" s="31"/>
      <c r="O775" s="16" t="s">
        <v>1656</v>
      </c>
      <c r="P775" s="16"/>
      <c r="Q775" s="16"/>
      <c r="R775" s="33"/>
      <c r="S775" s="34"/>
      <c r="T775" s="34"/>
      <c r="U775" s="34"/>
      <c r="V775" s="34"/>
      <c r="W775" s="34"/>
      <c r="X775" s="33" t="s">
        <v>48</v>
      </c>
      <c r="Y775" s="35" t="str">
        <f>IF(Tabela2[[#This Row],[SIGLA]]="","",VLOOKUP(Tabela2[[#This Row],[SIGLA]],Tabela1[[#All],[Sigla Arte]:[Crédito]],2,0))</f>
        <v>SERGIO LIMA/ARQUIVO DA EDITORA</v>
      </c>
      <c r="Z775" s="31"/>
      <c r="AA775" s="31" t="str">
        <f>Tabela2[[#This Row],[ILUSTRADOR CRIAÇÃO]]</f>
        <v>SERGIO LIMA/ARQUIVO DA EDITORA</v>
      </c>
      <c r="AB775" s="33"/>
      <c r="AC775" s="16"/>
      <c r="AE775" s="35" t="str">
        <f t="shared" si="12"/>
        <v>EF1 E002 Mat</v>
      </c>
    </row>
    <row r="776" spans="1:31" ht="30" x14ac:dyDescent="0.25">
      <c r="A776" s="31" t="s">
        <v>1657</v>
      </c>
      <c r="B776" s="16" t="s">
        <v>32</v>
      </c>
      <c r="C776" s="16" t="s">
        <v>164</v>
      </c>
      <c r="D776" s="33" t="s">
        <v>34</v>
      </c>
      <c r="E776" s="33">
        <v>54</v>
      </c>
      <c r="F776" s="33">
        <v>3</v>
      </c>
      <c r="G776" s="33">
        <v>2</v>
      </c>
      <c r="H776" s="33"/>
      <c r="I776" s="31" t="s">
        <v>46</v>
      </c>
      <c r="J776" s="31"/>
      <c r="K776" s="33"/>
      <c r="L776" s="33"/>
      <c r="M776" s="31"/>
      <c r="N776" s="31"/>
      <c r="O776" s="16" t="s">
        <v>1658</v>
      </c>
      <c r="P776" s="16"/>
      <c r="Q776" s="16"/>
      <c r="R776" s="33"/>
      <c r="S776" s="34"/>
      <c r="T776" s="34"/>
      <c r="U776" s="34"/>
      <c r="V776" s="34"/>
      <c r="W776" s="34"/>
      <c r="X776" s="33" t="s">
        <v>48</v>
      </c>
      <c r="Y776" s="35" t="str">
        <f>IF(Tabela2[[#This Row],[SIGLA]]="","",VLOOKUP(Tabela2[[#This Row],[SIGLA]],Tabela1[[#All],[Sigla Arte]:[Crédito]],2,0))</f>
        <v>SERGIO LIMA/ARQUIVO DA EDITORA</v>
      </c>
      <c r="Z776" s="31"/>
      <c r="AA776" s="31" t="str">
        <f>Tabela2[[#This Row],[ILUSTRADOR CRIAÇÃO]]</f>
        <v>SERGIO LIMA/ARQUIVO DA EDITORA</v>
      </c>
      <c r="AB776" s="33"/>
      <c r="AC776" s="16"/>
      <c r="AE776" s="35" t="str">
        <f t="shared" si="12"/>
        <v>EF1 E002 Mat</v>
      </c>
    </row>
    <row r="777" spans="1:31" ht="30" x14ac:dyDescent="0.25">
      <c r="A777" s="31" t="s">
        <v>1659</v>
      </c>
      <c r="B777" s="16" t="s">
        <v>32</v>
      </c>
      <c r="C777" s="16" t="s">
        <v>164</v>
      </c>
      <c r="D777" s="33" t="s">
        <v>34</v>
      </c>
      <c r="E777" s="33">
        <v>54</v>
      </c>
      <c r="F777" s="33">
        <v>3</v>
      </c>
      <c r="G777" s="33">
        <v>2</v>
      </c>
      <c r="H777" s="33"/>
      <c r="I777" s="31" t="s">
        <v>46</v>
      </c>
      <c r="J777" s="31"/>
      <c r="K777" s="33"/>
      <c r="L777" s="33"/>
      <c r="M777" s="31"/>
      <c r="N777" s="31"/>
      <c r="O777" s="16" t="s">
        <v>1660</v>
      </c>
      <c r="P777" s="16"/>
      <c r="Q777" s="16"/>
      <c r="R777" s="33"/>
      <c r="S777" s="34"/>
      <c r="T777" s="34"/>
      <c r="U777" s="34"/>
      <c r="V777" s="34"/>
      <c r="W777" s="34"/>
      <c r="X777" s="33" t="s">
        <v>48</v>
      </c>
      <c r="Y777" s="35" t="str">
        <f>IF(Tabela2[[#This Row],[SIGLA]]="","",VLOOKUP(Tabela2[[#This Row],[SIGLA]],Tabela1[[#All],[Sigla Arte]:[Crédito]],2,0))</f>
        <v>SERGIO LIMA/ARQUIVO DA EDITORA</v>
      </c>
      <c r="Z777" s="31"/>
      <c r="AA777" s="31" t="str">
        <f>Tabela2[[#This Row],[ILUSTRADOR CRIAÇÃO]]</f>
        <v>SERGIO LIMA/ARQUIVO DA EDITORA</v>
      </c>
      <c r="AB777" s="33"/>
      <c r="AC777" s="16"/>
      <c r="AE777" s="35" t="str">
        <f t="shared" si="12"/>
        <v>EF1 E002 Mat</v>
      </c>
    </row>
    <row r="778" spans="1:31" ht="30" x14ac:dyDescent="0.25">
      <c r="A778" s="31" t="s">
        <v>1661</v>
      </c>
      <c r="B778" s="16" t="s">
        <v>32</v>
      </c>
      <c r="C778" s="16" t="s">
        <v>164</v>
      </c>
      <c r="D778" s="33" t="s">
        <v>34</v>
      </c>
      <c r="E778" s="33">
        <v>54</v>
      </c>
      <c r="F778" s="33">
        <v>3</v>
      </c>
      <c r="G778" s="33">
        <v>2</v>
      </c>
      <c r="H778" s="33"/>
      <c r="I778" s="31" t="s">
        <v>46</v>
      </c>
      <c r="J778" s="31"/>
      <c r="K778" s="33"/>
      <c r="L778" s="33"/>
      <c r="M778" s="31"/>
      <c r="N778" s="31"/>
      <c r="O778" s="16" t="s">
        <v>1662</v>
      </c>
      <c r="P778" s="16"/>
      <c r="Q778" s="16"/>
      <c r="R778" s="33"/>
      <c r="S778" s="34"/>
      <c r="T778" s="34"/>
      <c r="U778" s="34"/>
      <c r="V778" s="34"/>
      <c r="W778" s="34"/>
      <c r="X778" s="33" t="s">
        <v>48</v>
      </c>
      <c r="Y778" s="35" t="str">
        <f>IF(Tabela2[[#This Row],[SIGLA]]="","",VLOOKUP(Tabela2[[#This Row],[SIGLA]],Tabela1[[#All],[Sigla Arte]:[Crédito]],2,0))</f>
        <v>SERGIO LIMA/ARQUIVO DA EDITORA</v>
      </c>
      <c r="Z778" s="31"/>
      <c r="AA778" s="31" t="str">
        <f>Tabela2[[#This Row],[ILUSTRADOR CRIAÇÃO]]</f>
        <v>SERGIO LIMA/ARQUIVO DA EDITORA</v>
      </c>
      <c r="AB778" s="33"/>
      <c r="AC778" s="16"/>
      <c r="AE778" s="35" t="str">
        <f t="shared" si="12"/>
        <v>EF1 E002 Mat</v>
      </c>
    </row>
    <row r="779" spans="1:31" ht="150" x14ac:dyDescent="0.25">
      <c r="A779" s="31" t="s">
        <v>1663</v>
      </c>
      <c r="B779" s="16" t="s">
        <v>32</v>
      </c>
      <c r="C779" s="16" t="s">
        <v>33</v>
      </c>
      <c r="D779" s="33" t="s">
        <v>34</v>
      </c>
      <c r="E779" s="33">
        <v>55</v>
      </c>
      <c r="F779" s="33">
        <v>3</v>
      </c>
      <c r="G779" s="33">
        <v>2</v>
      </c>
      <c r="H779" s="33"/>
      <c r="I779" s="31" t="s">
        <v>35</v>
      </c>
      <c r="J779" s="31"/>
      <c r="K779" s="33"/>
      <c r="L779" s="33"/>
      <c r="M779" s="31"/>
      <c r="N779" s="31"/>
      <c r="O779" s="16" t="s">
        <v>1664</v>
      </c>
      <c r="P779" s="16"/>
      <c r="Q779" s="16"/>
      <c r="R779" s="33">
        <v>16</v>
      </c>
      <c r="S779" s="34">
        <v>45743</v>
      </c>
      <c r="T779" s="34">
        <v>45748</v>
      </c>
      <c r="U779" s="34"/>
      <c r="V779" s="34"/>
      <c r="W779" s="34">
        <v>45749</v>
      </c>
      <c r="X779" s="33" t="s">
        <v>85</v>
      </c>
      <c r="Y779" s="35" t="str">
        <f>IF(Tabela2[[#This Row],[SIGLA]]="","",VLOOKUP(Tabela2[[#This Row],[SIGLA]],Tabela1[[#All],[Sigla Arte]:[Crédito]],2,0))</f>
        <v>HELOÍSA PINTARELLI/ARQUIVO DA EDITORA</v>
      </c>
      <c r="Z779" s="31" t="s">
        <v>352</v>
      </c>
      <c r="AA779" s="31" t="str">
        <f>Tabela2[[#This Row],[ILUSTRADOR CRIAÇÃO]]</f>
        <v>HELOÍSA PINTARELLI/ARQUIVO DA EDITORA</v>
      </c>
      <c r="AB779" s="33">
        <v>13</v>
      </c>
      <c r="AC779" s="16" t="s">
        <v>1665</v>
      </c>
      <c r="AD779" s="16" t="s">
        <v>40</v>
      </c>
      <c r="AE779" s="35" t="str">
        <f t="shared" si="12"/>
        <v>EF1 E002 Mat</v>
      </c>
    </row>
    <row r="780" spans="1:31" ht="30" x14ac:dyDescent="0.25">
      <c r="A780" s="31" t="s">
        <v>1666</v>
      </c>
      <c r="B780" s="16" t="s">
        <v>32</v>
      </c>
      <c r="C780" s="16" t="s">
        <v>164</v>
      </c>
      <c r="D780" s="33" t="s">
        <v>34</v>
      </c>
      <c r="E780" s="33">
        <v>55</v>
      </c>
      <c r="F780" s="33">
        <v>3</v>
      </c>
      <c r="G780" s="33">
        <v>2</v>
      </c>
      <c r="H780" s="33"/>
      <c r="I780" s="31" t="s">
        <v>46</v>
      </c>
      <c r="J780" s="31"/>
      <c r="K780" s="33"/>
      <c r="L780" s="33"/>
      <c r="M780" s="31"/>
      <c r="N780" s="31"/>
      <c r="O780" s="16" t="s">
        <v>1667</v>
      </c>
      <c r="P780" s="16"/>
      <c r="Q780" s="16"/>
      <c r="R780" s="33"/>
      <c r="S780" s="34"/>
      <c r="T780" s="34"/>
      <c r="U780" s="34"/>
      <c r="V780" s="34"/>
      <c r="W780" s="34"/>
      <c r="X780" s="33" t="s">
        <v>48</v>
      </c>
      <c r="Y780" s="35" t="str">
        <f>IF(Tabela2[[#This Row],[SIGLA]]="","",VLOOKUP(Tabela2[[#This Row],[SIGLA]],Tabela1[[#All],[Sigla Arte]:[Crédito]],2,0))</f>
        <v>SERGIO LIMA/ARQUIVO DA EDITORA</v>
      </c>
      <c r="Z780" s="31"/>
      <c r="AA780" s="31" t="str">
        <f>Tabela2[[#This Row],[ILUSTRADOR CRIAÇÃO]]</f>
        <v>SERGIO LIMA/ARQUIVO DA EDITORA</v>
      </c>
      <c r="AB780" s="33"/>
      <c r="AC780" s="16"/>
      <c r="AE780" s="35" t="str">
        <f t="shared" si="12"/>
        <v>EF1 E002 Mat</v>
      </c>
    </row>
    <row r="781" spans="1:31" ht="30" x14ac:dyDescent="0.25">
      <c r="A781" s="31" t="s">
        <v>1668</v>
      </c>
      <c r="B781" s="16" t="s">
        <v>32</v>
      </c>
      <c r="C781" s="16" t="s">
        <v>164</v>
      </c>
      <c r="D781" s="33" t="s">
        <v>34</v>
      </c>
      <c r="E781" s="33">
        <v>55</v>
      </c>
      <c r="F781" s="33">
        <v>3</v>
      </c>
      <c r="G781" s="33">
        <v>2</v>
      </c>
      <c r="H781" s="33"/>
      <c r="I781" s="31" t="s">
        <v>46</v>
      </c>
      <c r="J781" s="31"/>
      <c r="K781" s="33"/>
      <c r="L781" s="33"/>
      <c r="M781" s="31"/>
      <c r="N781" s="31"/>
      <c r="O781" s="16" t="s">
        <v>1669</v>
      </c>
      <c r="P781" s="16"/>
      <c r="Q781" s="16"/>
      <c r="R781" s="33"/>
      <c r="S781" s="34"/>
      <c r="T781" s="34"/>
      <c r="U781" s="34"/>
      <c r="V781" s="34"/>
      <c r="W781" s="34"/>
      <c r="X781" s="33" t="s">
        <v>48</v>
      </c>
      <c r="Y781" s="35" t="str">
        <f>IF(Tabela2[[#This Row],[SIGLA]]="","",VLOOKUP(Tabela2[[#This Row],[SIGLA]],Tabela1[[#All],[Sigla Arte]:[Crédito]],2,0))</f>
        <v>SERGIO LIMA/ARQUIVO DA EDITORA</v>
      </c>
      <c r="Z781" s="31"/>
      <c r="AA781" s="31" t="str">
        <f>Tabela2[[#This Row],[ILUSTRADOR CRIAÇÃO]]</f>
        <v>SERGIO LIMA/ARQUIVO DA EDITORA</v>
      </c>
      <c r="AB781" s="33"/>
      <c r="AC781" s="16"/>
      <c r="AE781" s="35" t="str">
        <f t="shared" si="12"/>
        <v>EF1 E002 Mat</v>
      </c>
    </row>
    <row r="782" spans="1:31" ht="30" x14ac:dyDescent="0.25">
      <c r="A782" s="31" t="s">
        <v>1670</v>
      </c>
      <c r="B782" s="16" t="s">
        <v>32</v>
      </c>
      <c r="C782" s="16" t="s">
        <v>164</v>
      </c>
      <c r="D782" s="33" t="s">
        <v>34</v>
      </c>
      <c r="E782" s="33">
        <v>55</v>
      </c>
      <c r="F782" s="33">
        <v>3</v>
      </c>
      <c r="G782" s="33">
        <v>2</v>
      </c>
      <c r="H782" s="33"/>
      <c r="I782" s="31" t="s">
        <v>46</v>
      </c>
      <c r="J782" s="31"/>
      <c r="K782" s="33"/>
      <c r="L782" s="33"/>
      <c r="M782" s="31"/>
      <c r="N782" s="31"/>
      <c r="O782" s="16" t="s">
        <v>1671</v>
      </c>
      <c r="P782" s="16"/>
      <c r="Q782" s="16"/>
      <c r="R782" s="33"/>
      <c r="S782" s="34"/>
      <c r="T782" s="34"/>
      <c r="U782" s="34"/>
      <c r="V782" s="34"/>
      <c r="W782" s="34"/>
      <c r="X782" s="33" t="s">
        <v>48</v>
      </c>
      <c r="Y782" s="35" t="str">
        <f>IF(Tabela2[[#This Row],[SIGLA]]="","",VLOOKUP(Tabela2[[#This Row],[SIGLA]],Tabela1[[#All],[Sigla Arte]:[Crédito]],2,0))</f>
        <v>SERGIO LIMA/ARQUIVO DA EDITORA</v>
      </c>
      <c r="Z782" s="31"/>
      <c r="AA782" s="31" t="str">
        <f>Tabela2[[#This Row],[ILUSTRADOR CRIAÇÃO]]</f>
        <v>SERGIO LIMA/ARQUIVO DA EDITORA</v>
      </c>
      <c r="AB782" s="33"/>
      <c r="AC782" s="16"/>
      <c r="AE782" s="35" t="str">
        <f t="shared" si="12"/>
        <v>EF1 E002 Mat</v>
      </c>
    </row>
    <row r="783" spans="1:31" ht="30" x14ac:dyDescent="0.25">
      <c r="A783" s="31" t="s">
        <v>1672</v>
      </c>
      <c r="B783" s="16" t="s">
        <v>32</v>
      </c>
      <c r="C783" s="16" t="s">
        <v>164</v>
      </c>
      <c r="D783" s="33" t="s">
        <v>34</v>
      </c>
      <c r="E783" s="33">
        <v>55</v>
      </c>
      <c r="F783" s="33">
        <v>3</v>
      </c>
      <c r="G783" s="33">
        <v>2</v>
      </c>
      <c r="H783" s="33"/>
      <c r="I783" s="31" t="s">
        <v>46</v>
      </c>
      <c r="J783" s="31"/>
      <c r="K783" s="33"/>
      <c r="L783" s="33"/>
      <c r="M783" s="31"/>
      <c r="N783" s="31"/>
      <c r="O783" s="16" t="s">
        <v>1673</v>
      </c>
      <c r="P783" s="16"/>
      <c r="Q783" s="16"/>
      <c r="R783" s="33"/>
      <c r="S783" s="34"/>
      <c r="T783" s="34"/>
      <c r="U783" s="34"/>
      <c r="V783" s="34"/>
      <c r="W783" s="34"/>
      <c r="X783" s="33" t="s">
        <v>48</v>
      </c>
      <c r="Y783" s="35" t="str">
        <f>IF(Tabela2[[#This Row],[SIGLA]]="","",VLOOKUP(Tabela2[[#This Row],[SIGLA]],Tabela1[[#All],[Sigla Arte]:[Crédito]],2,0))</f>
        <v>SERGIO LIMA/ARQUIVO DA EDITORA</v>
      </c>
      <c r="Z783" s="31"/>
      <c r="AA783" s="31" t="str">
        <f>Tabela2[[#This Row],[ILUSTRADOR CRIAÇÃO]]</f>
        <v>SERGIO LIMA/ARQUIVO DA EDITORA</v>
      </c>
      <c r="AB783" s="33"/>
      <c r="AC783" s="16"/>
      <c r="AE783" s="35" t="str">
        <f t="shared" si="12"/>
        <v>EF1 E002 Mat</v>
      </c>
    </row>
    <row r="784" spans="1:31" ht="30" x14ac:dyDescent="0.25">
      <c r="A784" s="31" t="s">
        <v>1674</v>
      </c>
      <c r="B784" s="16" t="s">
        <v>32</v>
      </c>
      <c r="C784" s="16" t="s">
        <v>164</v>
      </c>
      <c r="D784" s="33" t="s">
        <v>34</v>
      </c>
      <c r="E784" s="33">
        <v>55</v>
      </c>
      <c r="F784" s="33">
        <v>3</v>
      </c>
      <c r="G784" s="33">
        <v>2</v>
      </c>
      <c r="H784" s="33"/>
      <c r="I784" s="31" t="s">
        <v>46</v>
      </c>
      <c r="J784" s="31"/>
      <c r="K784" s="33"/>
      <c r="L784" s="33"/>
      <c r="M784" s="31"/>
      <c r="N784" s="31"/>
      <c r="O784" s="16" t="s">
        <v>1675</v>
      </c>
      <c r="P784" s="16"/>
      <c r="Q784" s="16"/>
      <c r="R784" s="33"/>
      <c r="S784" s="34"/>
      <c r="T784" s="34"/>
      <c r="U784" s="34"/>
      <c r="V784" s="34"/>
      <c r="W784" s="34"/>
      <c r="X784" s="33" t="s">
        <v>48</v>
      </c>
      <c r="Y784" s="35" t="str">
        <f>IF(Tabela2[[#This Row],[SIGLA]]="","",VLOOKUP(Tabela2[[#This Row],[SIGLA]],Tabela1[[#All],[Sigla Arte]:[Crédito]],2,0))</f>
        <v>SERGIO LIMA/ARQUIVO DA EDITORA</v>
      </c>
      <c r="Z784" s="31"/>
      <c r="AA784" s="31" t="str">
        <f>Tabela2[[#This Row],[ILUSTRADOR CRIAÇÃO]]</f>
        <v>SERGIO LIMA/ARQUIVO DA EDITORA</v>
      </c>
      <c r="AB784" s="33"/>
      <c r="AC784" s="16"/>
      <c r="AE784" s="35" t="str">
        <f t="shared" si="12"/>
        <v>EF1 E002 Mat</v>
      </c>
    </row>
    <row r="785" spans="1:31" ht="30" x14ac:dyDescent="0.25">
      <c r="A785" s="31" t="s">
        <v>1676</v>
      </c>
      <c r="B785" s="16" t="s">
        <v>32</v>
      </c>
      <c r="C785" s="16" t="s">
        <v>164</v>
      </c>
      <c r="D785" s="33" t="s">
        <v>34</v>
      </c>
      <c r="E785" s="33">
        <v>55</v>
      </c>
      <c r="F785" s="33">
        <v>3</v>
      </c>
      <c r="G785" s="33">
        <v>2</v>
      </c>
      <c r="H785" s="33"/>
      <c r="I785" s="31" t="s">
        <v>46</v>
      </c>
      <c r="J785" s="31"/>
      <c r="K785" s="33"/>
      <c r="L785" s="33"/>
      <c r="M785" s="31"/>
      <c r="N785" s="31"/>
      <c r="O785" s="16" t="s">
        <v>1677</v>
      </c>
      <c r="P785" s="16"/>
      <c r="Q785" s="16"/>
      <c r="R785" s="33"/>
      <c r="S785" s="34"/>
      <c r="T785" s="34"/>
      <c r="U785" s="34"/>
      <c r="V785" s="34"/>
      <c r="W785" s="34"/>
      <c r="X785" s="33" t="s">
        <v>48</v>
      </c>
      <c r="Y785" s="35" t="str">
        <f>IF(Tabela2[[#This Row],[SIGLA]]="","",VLOOKUP(Tabela2[[#This Row],[SIGLA]],Tabela1[[#All],[Sigla Arte]:[Crédito]],2,0))</f>
        <v>SERGIO LIMA/ARQUIVO DA EDITORA</v>
      </c>
      <c r="Z785" s="31"/>
      <c r="AA785" s="31" t="str">
        <f>Tabela2[[#This Row],[ILUSTRADOR CRIAÇÃO]]</f>
        <v>SERGIO LIMA/ARQUIVO DA EDITORA</v>
      </c>
      <c r="AB785" s="33"/>
      <c r="AC785" s="16"/>
      <c r="AE785" s="35" t="str">
        <f t="shared" si="12"/>
        <v>EF1 E002 Mat</v>
      </c>
    </row>
    <row r="786" spans="1:31" ht="30" x14ac:dyDescent="0.25">
      <c r="A786" s="31" t="s">
        <v>1678</v>
      </c>
      <c r="B786" s="16" t="s">
        <v>32</v>
      </c>
      <c r="C786" s="16" t="s">
        <v>164</v>
      </c>
      <c r="D786" s="33" t="s">
        <v>34</v>
      </c>
      <c r="E786" s="33">
        <v>55</v>
      </c>
      <c r="F786" s="33">
        <v>3</v>
      </c>
      <c r="G786" s="33">
        <v>2</v>
      </c>
      <c r="H786" s="33"/>
      <c r="I786" s="31" t="s">
        <v>46</v>
      </c>
      <c r="J786" s="31"/>
      <c r="K786" s="33"/>
      <c r="L786" s="33"/>
      <c r="M786" s="31"/>
      <c r="N786" s="31"/>
      <c r="O786" s="16" t="s">
        <v>1679</v>
      </c>
      <c r="P786" s="16"/>
      <c r="Q786" s="16"/>
      <c r="R786" s="33"/>
      <c r="S786" s="34"/>
      <c r="T786" s="34"/>
      <c r="U786" s="34"/>
      <c r="V786" s="34"/>
      <c r="W786" s="34"/>
      <c r="X786" s="33" t="s">
        <v>48</v>
      </c>
      <c r="Y786" s="35" t="str">
        <f>IF(Tabela2[[#This Row],[SIGLA]]="","",VLOOKUP(Tabela2[[#This Row],[SIGLA]],Tabela1[[#All],[Sigla Arte]:[Crédito]],2,0))</f>
        <v>SERGIO LIMA/ARQUIVO DA EDITORA</v>
      </c>
      <c r="Z786" s="31"/>
      <c r="AA786" s="31" t="str">
        <f>Tabela2[[#This Row],[ILUSTRADOR CRIAÇÃO]]</f>
        <v>SERGIO LIMA/ARQUIVO DA EDITORA</v>
      </c>
      <c r="AB786" s="33"/>
      <c r="AC786" s="16"/>
      <c r="AE786" s="35" t="str">
        <f t="shared" si="12"/>
        <v>EF1 E002 Mat</v>
      </c>
    </row>
    <row r="787" spans="1:31" ht="30" x14ac:dyDescent="0.25">
      <c r="A787" s="31" t="s">
        <v>1680</v>
      </c>
      <c r="B787" s="16" t="s">
        <v>32</v>
      </c>
      <c r="C787" s="16" t="s">
        <v>164</v>
      </c>
      <c r="D787" s="33" t="s">
        <v>34</v>
      </c>
      <c r="E787" s="33">
        <v>55</v>
      </c>
      <c r="F787" s="33">
        <v>3</v>
      </c>
      <c r="G787" s="33">
        <v>2</v>
      </c>
      <c r="H787" s="33"/>
      <c r="I787" s="31" t="s">
        <v>46</v>
      </c>
      <c r="J787" s="31"/>
      <c r="K787" s="33"/>
      <c r="L787" s="33"/>
      <c r="M787" s="31"/>
      <c r="N787" s="31"/>
      <c r="O787" s="16" t="s">
        <v>1681</v>
      </c>
      <c r="P787" s="16"/>
      <c r="Q787" s="16"/>
      <c r="R787" s="33"/>
      <c r="S787" s="34"/>
      <c r="T787" s="34"/>
      <c r="U787" s="34"/>
      <c r="V787" s="34"/>
      <c r="W787" s="34"/>
      <c r="X787" s="33" t="s">
        <v>48</v>
      </c>
      <c r="Y787" s="35" t="str">
        <f>IF(Tabela2[[#This Row],[SIGLA]]="","",VLOOKUP(Tabela2[[#This Row],[SIGLA]],Tabela1[[#All],[Sigla Arte]:[Crédito]],2,0))</f>
        <v>SERGIO LIMA/ARQUIVO DA EDITORA</v>
      </c>
      <c r="Z787" s="31"/>
      <c r="AA787" s="31" t="str">
        <f>Tabela2[[#This Row],[ILUSTRADOR CRIAÇÃO]]</f>
        <v>SERGIO LIMA/ARQUIVO DA EDITORA</v>
      </c>
      <c r="AB787" s="33"/>
      <c r="AC787" s="16"/>
      <c r="AE787" s="35" t="str">
        <f t="shared" si="12"/>
        <v>EF1 E002 Mat</v>
      </c>
    </row>
    <row r="788" spans="1:31" ht="45" x14ac:dyDescent="0.25">
      <c r="A788" s="31" t="s">
        <v>1682</v>
      </c>
      <c r="B788" s="16" t="s">
        <v>32</v>
      </c>
      <c r="C788" s="16" t="s">
        <v>33</v>
      </c>
      <c r="D788" s="33" t="s">
        <v>34</v>
      </c>
      <c r="E788" s="33">
        <v>124</v>
      </c>
      <c r="F788" s="33">
        <v>1</v>
      </c>
      <c r="G788" s="33">
        <v>5</v>
      </c>
      <c r="H788" s="33"/>
      <c r="I788" s="31" t="s">
        <v>46</v>
      </c>
      <c r="J788" s="31"/>
      <c r="K788" s="33"/>
      <c r="L788" s="33"/>
      <c r="M788" s="31"/>
      <c r="N788" s="31"/>
      <c r="O788" s="16" t="s">
        <v>1683</v>
      </c>
      <c r="P788" s="16"/>
      <c r="Q788" s="16"/>
      <c r="R788" s="33"/>
      <c r="S788" s="34"/>
      <c r="T788" s="34"/>
      <c r="U788" s="34"/>
      <c r="V788" s="34"/>
      <c r="W788" s="34"/>
      <c r="X788" s="33" t="s">
        <v>43</v>
      </c>
      <c r="Y788" s="35" t="str">
        <f>IF(Tabela2[[#This Row],[SIGLA]]="","",VLOOKUP(Tabela2[[#This Row],[SIGLA]],Tabela1[[#All],[Sigla Arte]:[Crédito]],2,0))</f>
        <v>GUILHERME RODRIGUES/ARQUIVO DA EDITORA</v>
      </c>
      <c r="Z788" s="31"/>
      <c r="AA788" s="31" t="str">
        <f>Tabela2[[#This Row],[ILUSTRADOR CRIAÇÃO]]</f>
        <v>GUILHERME RODRIGUES/ARQUIVO DA EDITORA</v>
      </c>
      <c r="AB788" s="33"/>
      <c r="AC788" s="16"/>
      <c r="AE788" s="35" t="str">
        <f t="shared" si="12"/>
        <v>EF1 E002 Mat</v>
      </c>
    </row>
    <row r="789" spans="1:31" ht="60" x14ac:dyDescent="0.25">
      <c r="A789" s="31" t="s">
        <v>1684</v>
      </c>
      <c r="B789" s="16" t="s">
        <v>32</v>
      </c>
      <c r="C789" s="16" t="s">
        <v>33</v>
      </c>
      <c r="D789" s="33" t="s">
        <v>34</v>
      </c>
      <c r="E789" s="33">
        <v>124</v>
      </c>
      <c r="F789" s="33">
        <v>1</v>
      </c>
      <c r="G789" s="33">
        <v>5</v>
      </c>
      <c r="H789" s="33"/>
      <c r="I789" s="31" t="s">
        <v>46</v>
      </c>
      <c r="J789" s="31"/>
      <c r="K789" s="33"/>
      <c r="L789" s="33"/>
      <c r="M789" s="31"/>
      <c r="N789" s="31"/>
      <c r="O789" s="16" t="s">
        <v>1685</v>
      </c>
      <c r="P789" s="16"/>
      <c r="Q789" s="16"/>
      <c r="R789" s="33"/>
      <c r="S789" s="34"/>
      <c r="T789" s="34"/>
      <c r="U789" s="34"/>
      <c r="V789" s="34"/>
      <c r="W789" s="34"/>
      <c r="X789" s="33" t="s">
        <v>43</v>
      </c>
      <c r="Y789" s="35" t="str">
        <f>IF(Tabela2[[#This Row],[SIGLA]]="","",VLOOKUP(Tabela2[[#This Row],[SIGLA]],Tabela1[[#All],[Sigla Arte]:[Crédito]],2,0))</f>
        <v>GUILHERME RODRIGUES/ARQUIVO DA EDITORA</v>
      </c>
      <c r="Z789" s="31"/>
      <c r="AA789" s="31" t="str">
        <f>Tabela2[[#This Row],[ILUSTRADOR CRIAÇÃO]]</f>
        <v>GUILHERME RODRIGUES/ARQUIVO DA EDITORA</v>
      </c>
      <c r="AB789" s="33"/>
      <c r="AC789" s="16"/>
      <c r="AE789" s="35" t="str">
        <f t="shared" si="12"/>
        <v>EF1 E002 Mat</v>
      </c>
    </row>
    <row r="790" spans="1:31" ht="30" x14ac:dyDescent="0.25">
      <c r="A790" s="31" t="s">
        <v>1686</v>
      </c>
      <c r="B790" s="16" t="s">
        <v>32</v>
      </c>
      <c r="C790" s="16" t="s">
        <v>164</v>
      </c>
      <c r="D790" s="33" t="s">
        <v>34</v>
      </c>
      <c r="E790" s="33">
        <v>125</v>
      </c>
      <c r="F790" s="33">
        <v>1</v>
      </c>
      <c r="G790" s="33">
        <v>5</v>
      </c>
      <c r="H790" s="33"/>
      <c r="I790" s="31" t="s">
        <v>46</v>
      </c>
      <c r="J790" s="31"/>
      <c r="K790" s="33"/>
      <c r="L790" s="33"/>
      <c r="M790" s="31"/>
      <c r="N790" s="31"/>
      <c r="O790" s="16" t="s">
        <v>1687</v>
      </c>
      <c r="P790" s="16"/>
      <c r="Q790" s="16"/>
      <c r="R790" s="33"/>
      <c r="S790" s="34"/>
      <c r="T790" s="34"/>
      <c r="U790" s="34"/>
      <c r="V790" s="34"/>
      <c r="W790" s="34"/>
      <c r="X790" s="33" t="s">
        <v>470</v>
      </c>
      <c r="Y790" s="35" t="str">
        <f>IF(Tabela2[[#This Row],[SIGLA]]="","",VLOOKUP(Tabela2[[#This Row],[SIGLA]],Tabela1[[#All],[Sigla Arte]:[Crédito]],2,0))</f>
        <v>RENAN FONSECA/ARQUIVO DA EDITORA</v>
      </c>
      <c r="Z790" s="31"/>
      <c r="AA790" s="31" t="str">
        <f>Tabela2[[#This Row],[ILUSTRADOR CRIAÇÃO]]</f>
        <v>RENAN FONSECA/ARQUIVO DA EDITORA</v>
      </c>
      <c r="AB790" s="33"/>
      <c r="AC790" s="16"/>
      <c r="AE790" s="35" t="str">
        <f t="shared" si="12"/>
        <v>EF1 E002 Mat</v>
      </c>
    </row>
    <row r="791" spans="1:31" ht="45" x14ac:dyDescent="0.25">
      <c r="A791" s="31" t="s">
        <v>1688</v>
      </c>
      <c r="B791" s="16" t="s">
        <v>32</v>
      </c>
      <c r="C791" s="16" t="s">
        <v>164</v>
      </c>
      <c r="D791" s="33" t="s">
        <v>34</v>
      </c>
      <c r="E791" s="33">
        <v>125</v>
      </c>
      <c r="F791" s="33">
        <v>1</v>
      </c>
      <c r="G791" s="33">
        <v>5</v>
      </c>
      <c r="H791" s="33"/>
      <c r="I791" s="31" t="s">
        <v>46</v>
      </c>
      <c r="J791" s="31"/>
      <c r="K791" s="33"/>
      <c r="L791" s="33"/>
      <c r="M791" s="31"/>
      <c r="N791" s="31"/>
      <c r="O791" s="16" t="s">
        <v>1689</v>
      </c>
      <c r="P791" s="16"/>
      <c r="Q791" s="16"/>
      <c r="R791" s="33"/>
      <c r="S791" s="34"/>
      <c r="T791" s="34"/>
      <c r="U791" s="34"/>
      <c r="V791" s="34"/>
      <c r="W791" s="34"/>
      <c r="X791" s="33" t="s">
        <v>470</v>
      </c>
      <c r="Y791" s="35" t="str">
        <f>IF(Tabela2[[#This Row],[SIGLA]]="","",VLOOKUP(Tabela2[[#This Row],[SIGLA]],Tabela1[[#All],[Sigla Arte]:[Crédito]],2,0))</f>
        <v>RENAN FONSECA/ARQUIVO DA EDITORA</v>
      </c>
      <c r="Z791" s="31"/>
      <c r="AA791" s="31" t="str">
        <f>Tabela2[[#This Row],[ILUSTRADOR CRIAÇÃO]]</f>
        <v>RENAN FONSECA/ARQUIVO DA EDITORA</v>
      </c>
      <c r="AB791" s="33"/>
      <c r="AC791" s="16"/>
      <c r="AE791" s="35" t="str">
        <f t="shared" si="12"/>
        <v>EF1 E002 Mat</v>
      </c>
    </row>
    <row r="792" spans="1:31" ht="45" x14ac:dyDescent="0.25">
      <c r="A792" s="31" t="s">
        <v>1690</v>
      </c>
      <c r="B792" s="16" t="s">
        <v>32</v>
      </c>
      <c r="C792" s="16" t="s">
        <v>164</v>
      </c>
      <c r="D792" s="33" t="s">
        <v>34</v>
      </c>
      <c r="E792" s="33">
        <v>125</v>
      </c>
      <c r="F792" s="33">
        <v>1</v>
      </c>
      <c r="G792" s="33">
        <v>5</v>
      </c>
      <c r="H792" s="33"/>
      <c r="I792" s="31" t="s">
        <v>46</v>
      </c>
      <c r="J792" s="31"/>
      <c r="K792" s="33"/>
      <c r="L792" s="33"/>
      <c r="M792" s="31"/>
      <c r="N792" s="31"/>
      <c r="O792" s="16" t="s">
        <v>1691</v>
      </c>
      <c r="P792" s="16"/>
      <c r="Q792" s="16"/>
      <c r="R792" s="33"/>
      <c r="S792" s="34"/>
      <c r="T792" s="34"/>
      <c r="U792" s="34"/>
      <c r="V792" s="34"/>
      <c r="W792" s="34"/>
      <c r="X792" s="33" t="s">
        <v>470</v>
      </c>
      <c r="Y792" s="35" t="str">
        <f>IF(Tabela2[[#This Row],[SIGLA]]="","",VLOOKUP(Tabela2[[#This Row],[SIGLA]],Tabela1[[#All],[Sigla Arte]:[Crédito]],2,0))</f>
        <v>RENAN FONSECA/ARQUIVO DA EDITORA</v>
      </c>
      <c r="Z792" s="31"/>
      <c r="AA792" s="31" t="str">
        <f>Tabela2[[#This Row],[ILUSTRADOR CRIAÇÃO]]</f>
        <v>RENAN FONSECA/ARQUIVO DA EDITORA</v>
      </c>
      <c r="AB792" s="33"/>
      <c r="AC792" s="16"/>
      <c r="AE792" s="35" t="str">
        <f t="shared" si="12"/>
        <v>EF1 E002 Mat</v>
      </c>
    </row>
    <row r="793" spans="1:31" ht="45" x14ac:dyDescent="0.25">
      <c r="A793" s="31" t="s">
        <v>1692</v>
      </c>
      <c r="B793" s="16" t="s">
        <v>32</v>
      </c>
      <c r="C793" s="16" t="s">
        <v>164</v>
      </c>
      <c r="D793" s="33" t="s">
        <v>34</v>
      </c>
      <c r="E793" s="33">
        <v>125</v>
      </c>
      <c r="F793" s="33">
        <v>1</v>
      </c>
      <c r="G793" s="33">
        <v>5</v>
      </c>
      <c r="H793" s="33"/>
      <c r="I793" s="31" t="s">
        <v>46</v>
      </c>
      <c r="J793" s="31"/>
      <c r="K793" s="33"/>
      <c r="L793" s="33"/>
      <c r="M793" s="31"/>
      <c r="N793" s="31"/>
      <c r="O793" s="16" t="s">
        <v>1693</v>
      </c>
      <c r="P793" s="16"/>
      <c r="Q793" s="16"/>
      <c r="R793" s="33"/>
      <c r="S793" s="34"/>
      <c r="T793" s="34"/>
      <c r="U793" s="34"/>
      <c r="V793" s="34"/>
      <c r="W793" s="34"/>
      <c r="X793" s="33" t="s">
        <v>470</v>
      </c>
      <c r="Y793" s="35" t="str">
        <f>IF(Tabela2[[#This Row],[SIGLA]]="","",VLOOKUP(Tabela2[[#This Row],[SIGLA]],Tabela1[[#All],[Sigla Arte]:[Crédito]],2,0))</f>
        <v>RENAN FONSECA/ARQUIVO DA EDITORA</v>
      </c>
      <c r="Z793" s="31"/>
      <c r="AA793" s="31" t="str">
        <f>Tabela2[[#This Row],[ILUSTRADOR CRIAÇÃO]]</f>
        <v>RENAN FONSECA/ARQUIVO DA EDITORA</v>
      </c>
      <c r="AB793" s="33"/>
      <c r="AC793" s="16"/>
      <c r="AE793" s="35" t="str">
        <f t="shared" si="12"/>
        <v>EF1 E002 Mat</v>
      </c>
    </row>
    <row r="794" spans="1:31" ht="45" x14ac:dyDescent="0.25">
      <c r="A794" s="31" t="s">
        <v>1694</v>
      </c>
      <c r="B794" s="16" t="s">
        <v>32</v>
      </c>
      <c r="C794" s="16" t="s">
        <v>164</v>
      </c>
      <c r="D794" s="33" t="s">
        <v>34</v>
      </c>
      <c r="E794" s="33">
        <v>125</v>
      </c>
      <c r="F794" s="33">
        <v>1</v>
      </c>
      <c r="G794" s="33">
        <v>5</v>
      </c>
      <c r="H794" s="33"/>
      <c r="I794" s="31" t="s">
        <v>46</v>
      </c>
      <c r="J794" s="31"/>
      <c r="K794" s="33"/>
      <c r="L794" s="33"/>
      <c r="M794" s="31"/>
      <c r="N794" s="31"/>
      <c r="O794" s="16" t="s">
        <v>1695</v>
      </c>
      <c r="P794" s="16"/>
      <c r="Q794" s="16"/>
      <c r="R794" s="33"/>
      <c r="S794" s="34"/>
      <c r="T794" s="34"/>
      <c r="U794" s="34"/>
      <c r="V794" s="34"/>
      <c r="W794" s="34"/>
      <c r="X794" s="33" t="s">
        <v>470</v>
      </c>
      <c r="Y794" s="35" t="str">
        <f>IF(Tabela2[[#This Row],[SIGLA]]="","",VLOOKUP(Tabela2[[#This Row],[SIGLA]],Tabela1[[#All],[Sigla Arte]:[Crédito]],2,0))</f>
        <v>RENAN FONSECA/ARQUIVO DA EDITORA</v>
      </c>
      <c r="Z794" s="31"/>
      <c r="AA794" s="31" t="str">
        <f>Tabela2[[#This Row],[ILUSTRADOR CRIAÇÃO]]</f>
        <v>RENAN FONSECA/ARQUIVO DA EDITORA</v>
      </c>
      <c r="AB794" s="33"/>
      <c r="AC794" s="16"/>
      <c r="AE794" s="35" t="str">
        <f t="shared" si="12"/>
        <v>EF1 E002 Mat</v>
      </c>
    </row>
    <row r="795" spans="1:31" ht="45" x14ac:dyDescent="0.25">
      <c r="A795" s="31" t="s">
        <v>1696</v>
      </c>
      <c r="B795" s="16" t="s">
        <v>32</v>
      </c>
      <c r="C795" s="16" t="s">
        <v>164</v>
      </c>
      <c r="D795" s="33" t="s">
        <v>34</v>
      </c>
      <c r="E795" s="33">
        <v>125</v>
      </c>
      <c r="F795" s="33">
        <v>1</v>
      </c>
      <c r="G795" s="33">
        <v>5</v>
      </c>
      <c r="H795" s="33"/>
      <c r="I795" s="31" t="s">
        <v>46</v>
      </c>
      <c r="J795" s="31"/>
      <c r="K795" s="33"/>
      <c r="L795" s="33"/>
      <c r="M795" s="31"/>
      <c r="N795" s="31"/>
      <c r="O795" s="16" t="s">
        <v>1697</v>
      </c>
      <c r="P795" s="16"/>
      <c r="Q795" s="16"/>
      <c r="R795" s="33"/>
      <c r="S795" s="34"/>
      <c r="T795" s="34"/>
      <c r="U795" s="34"/>
      <c r="V795" s="34"/>
      <c r="W795" s="34"/>
      <c r="X795" s="33" t="s">
        <v>470</v>
      </c>
      <c r="Y795" s="35" t="str">
        <f>IF(Tabela2[[#This Row],[SIGLA]]="","",VLOOKUP(Tabela2[[#This Row],[SIGLA]],Tabela1[[#All],[Sigla Arte]:[Crédito]],2,0))</f>
        <v>RENAN FONSECA/ARQUIVO DA EDITORA</v>
      </c>
      <c r="Z795" s="31"/>
      <c r="AA795" s="31" t="str">
        <f>Tabela2[[#This Row],[ILUSTRADOR CRIAÇÃO]]</f>
        <v>RENAN FONSECA/ARQUIVO DA EDITORA</v>
      </c>
      <c r="AB795" s="33"/>
      <c r="AC795" s="16"/>
      <c r="AE795" s="35" t="str">
        <f t="shared" si="12"/>
        <v>EF1 E002 Mat</v>
      </c>
    </row>
    <row r="796" spans="1:31" ht="45" x14ac:dyDescent="0.25">
      <c r="A796" s="31" t="s">
        <v>1698</v>
      </c>
      <c r="B796" s="16" t="s">
        <v>32</v>
      </c>
      <c r="C796" s="16" t="s">
        <v>164</v>
      </c>
      <c r="D796" s="33" t="s">
        <v>34</v>
      </c>
      <c r="E796" s="33">
        <v>125</v>
      </c>
      <c r="F796" s="33">
        <v>1</v>
      </c>
      <c r="G796" s="33">
        <v>5</v>
      </c>
      <c r="H796" s="33"/>
      <c r="I796" s="31" t="s">
        <v>46</v>
      </c>
      <c r="J796" s="31"/>
      <c r="K796" s="33"/>
      <c r="L796" s="33"/>
      <c r="M796" s="31"/>
      <c r="N796" s="31"/>
      <c r="O796" s="16" t="s">
        <v>1699</v>
      </c>
      <c r="P796" s="16"/>
      <c r="Q796" s="16"/>
      <c r="R796" s="33"/>
      <c r="S796" s="34"/>
      <c r="T796" s="34"/>
      <c r="U796" s="34"/>
      <c r="V796" s="34"/>
      <c r="W796" s="34"/>
      <c r="X796" s="33" t="s">
        <v>470</v>
      </c>
      <c r="Y796" s="35" t="str">
        <f>IF(Tabela2[[#This Row],[SIGLA]]="","",VLOOKUP(Tabela2[[#This Row],[SIGLA]],Tabela1[[#All],[Sigla Arte]:[Crédito]],2,0))</f>
        <v>RENAN FONSECA/ARQUIVO DA EDITORA</v>
      </c>
      <c r="Z796" s="31"/>
      <c r="AA796" s="31" t="str">
        <f>Tabela2[[#This Row],[ILUSTRADOR CRIAÇÃO]]</f>
        <v>RENAN FONSECA/ARQUIVO DA EDITORA</v>
      </c>
      <c r="AB796" s="33"/>
      <c r="AC796" s="16"/>
      <c r="AE796" s="35" t="str">
        <f t="shared" si="12"/>
        <v>EF1 E002 Mat</v>
      </c>
    </row>
    <row r="797" spans="1:31" ht="45" x14ac:dyDescent="0.25">
      <c r="A797" s="31" t="s">
        <v>1700</v>
      </c>
      <c r="B797" s="16" t="s">
        <v>32</v>
      </c>
      <c r="C797" s="16" t="s">
        <v>164</v>
      </c>
      <c r="D797" s="33" t="s">
        <v>34</v>
      </c>
      <c r="E797" s="33">
        <v>125</v>
      </c>
      <c r="F797" s="33">
        <v>1</v>
      </c>
      <c r="G797" s="33">
        <v>5</v>
      </c>
      <c r="H797" s="33"/>
      <c r="I797" s="31" t="s">
        <v>46</v>
      </c>
      <c r="J797" s="31"/>
      <c r="K797" s="33"/>
      <c r="L797" s="33"/>
      <c r="M797" s="31"/>
      <c r="N797" s="31"/>
      <c r="O797" s="16" t="s">
        <v>1701</v>
      </c>
      <c r="P797" s="16"/>
      <c r="Q797" s="16"/>
      <c r="R797" s="33"/>
      <c r="S797" s="34"/>
      <c r="T797" s="34"/>
      <c r="U797" s="34"/>
      <c r="V797" s="34"/>
      <c r="W797" s="34"/>
      <c r="X797" s="33" t="s">
        <v>470</v>
      </c>
      <c r="Y797" s="35" t="str">
        <f>IF(Tabela2[[#This Row],[SIGLA]]="","",VLOOKUP(Tabela2[[#This Row],[SIGLA]],Tabela1[[#All],[Sigla Arte]:[Crédito]],2,0))</f>
        <v>RENAN FONSECA/ARQUIVO DA EDITORA</v>
      </c>
      <c r="Z797" s="31"/>
      <c r="AA797" s="31" t="str">
        <f>Tabela2[[#This Row],[ILUSTRADOR CRIAÇÃO]]</f>
        <v>RENAN FONSECA/ARQUIVO DA EDITORA</v>
      </c>
      <c r="AB797" s="33"/>
      <c r="AC797" s="16"/>
      <c r="AE797" s="35" t="str">
        <f t="shared" si="12"/>
        <v>EF1 E002 Mat</v>
      </c>
    </row>
    <row r="798" spans="1:31" ht="45" x14ac:dyDescent="0.25">
      <c r="A798" s="31" t="s">
        <v>1702</v>
      </c>
      <c r="B798" s="16" t="s">
        <v>32</v>
      </c>
      <c r="C798" s="16" t="s">
        <v>164</v>
      </c>
      <c r="D798" s="33" t="s">
        <v>34</v>
      </c>
      <c r="E798" s="33">
        <v>125</v>
      </c>
      <c r="F798" s="33">
        <v>1</v>
      </c>
      <c r="G798" s="33">
        <v>5</v>
      </c>
      <c r="H798" s="33"/>
      <c r="I798" s="31" t="s">
        <v>46</v>
      </c>
      <c r="J798" s="31"/>
      <c r="K798" s="33"/>
      <c r="L798" s="33"/>
      <c r="M798" s="31"/>
      <c r="N798" s="31"/>
      <c r="O798" s="16" t="s">
        <v>1703</v>
      </c>
      <c r="P798" s="16"/>
      <c r="Q798" s="16"/>
      <c r="R798" s="33"/>
      <c r="S798" s="34"/>
      <c r="T798" s="34"/>
      <c r="U798" s="34"/>
      <c r="V798" s="34"/>
      <c r="W798" s="34"/>
      <c r="X798" s="33" t="s">
        <v>470</v>
      </c>
      <c r="Y798" s="35" t="str">
        <f>IF(Tabela2[[#This Row],[SIGLA]]="","",VLOOKUP(Tabela2[[#This Row],[SIGLA]],Tabela1[[#All],[Sigla Arte]:[Crédito]],2,0))</f>
        <v>RENAN FONSECA/ARQUIVO DA EDITORA</v>
      </c>
      <c r="Z798" s="31"/>
      <c r="AA798" s="31" t="str">
        <f>Tabela2[[#This Row],[ILUSTRADOR CRIAÇÃO]]</f>
        <v>RENAN FONSECA/ARQUIVO DA EDITORA</v>
      </c>
      <c r="AB798" s="33"/>
      <c r="AC798" s="16"/>
      <c r="AE798" s="35" t="str">
        <f t="shared" si="12"/>
        <v>EF1 E002 Mat</v>
      </c>
    </row>
    <row r="799" spans="1:31" ht="45" x14ac:dyDescent="0.25">
      <c r="A799" s="31" t="s">
        <v>1704</v>
      </c>
      <c r="B799" s="16" t="s">
        <v>32</v>
      </c>
      <c r="C799" s="16" t="s">
        <v>164</v>
      </c>
      <c r="D799" s="33" t="s">
        <v>34</v>
      </c>
      <c r="E799" s="33">
        <v>125</v>
      </c>
      <c r="F799" s="33">
        <v>1</v>
      </c>
      <c r="G799" s="33">
        <v>5</v>
      </c>
      <c r="H799" s="33"/>
      <c r="I799" s="31" t="s">
        <v>46</v>
      </c>
      <c r="J799" s="31"/>
      <c r="K799" s="33"/>
      <c r="L799" s="33"/>
      <c r="M799" s="31"/>
      <c r="N799" s="31"/>
      <c r="O799" s="16" t="s">
        <v>1705</v>
      </c>
      <c r="P799" s="16"/>
      <c r="Q799" s="16"/>
      <c r="R799" s="33"/>
      <c r="S799" s="34"/>
      <c r="T799" s="34"/>
      <c r="U799" s="34"/>
      <c r="V799" s="34"/>
      <c r="W799" s="34"/>
      <c r="X799" s="33" t="s">
        <v>470</v>
      </c>
      <c r="Y799" s="35" t="str">
        <f>IF(Tabela2[[#This Row],[SIGLA]]="","",VLOOKUP(Tabela2[[#This Row],[SIGLA]],Tabela1[[#All],[Sigla Arte]:[Crédito]],2,0))</f>
        <v>RENAN FONSECA/ARQUIVO DA EDITORA</v>
      </c>
      <c r="Z799" s="31"/>
      <c r="AA799" s="31" t="str">
        <f>Tabela2[[#This Row],[ILUSTRADOR CRIAÇÃO]]</f>
        <v>RENAN FONSECA/ARQUIVO DA EDITORA</v>
      </c>
      <c r="AB799" s="33"/>
      <c r="AC799" s="16"/>
      <c r="AE799" s="35" t="str">
        <f t="shared" si="12"/>
        <v>EF1 E002 Mat</v>
      </c>
    </row>
    <row r="800" spans="1:31" ht="45" x14ac:dyDescent="0.25">
      <c r="A800" s="31" t="s">
        <v>1706</v>
      </c>
      <c r="B800" s="16" t="s">
        <v>32</v>
      </c>
      <c r="C800" s="16" t="s">
        <v>164</v>
      </c>
      <c r="D800" s="33" t="s">
        <v>34</v>
      </c>
      <c r="E800" s="33">
        <v>125</v>
      </c>
      <c r="F800" s="33">
        <v>1</v>
      </c>
      <c r="G800" s="33">
        <v>5</v>
      </c>
      <c r="H800" s="33"/>
      <c r="I800" s="31" t="s">
        <v>46</v>
      </c>
      <c r="J800" s="31"/>
      <c r="K800" s="33"/>
      <c r="L800" s="33"/>
      <c r="M800" s="31"/>
      <c r="N800" s="31"/>
      <c r="O800" s="16" t="s">
        <v>1707</v>
      </c>
      <c r="P800" s="16"/>
      <c r="Q800" s="16"/>
      <c r="R800" s="33"/>
      <c r="S800" s="34"/>
      <c r="T800" s="34"/>
      <c r="U800" s="34"/>
      <c r="V800" s="34"/>
      <c r="W800" s="34"/>
      <c r="X800" s="33" t="s">
        <v>470</v>
      </c>
      <c r="Y800" s="35" t="str">
        <f>IF(Tabela2[[#This Row],[SIGLA]]="","",VLOOKUP(Tabela2[[#This Row],[SIGLA]],Tabela1[[#All],[Sigla Arte]:[Crédito]],2,0))</f>
        <v>RENAN FONSECA/ARQUIVO DA EDITORA</v>
      </c>
      <c r="Z800" s="31"/>
      <c r="AA800" s="31" t="str">
        <f>Tabela2[[#This Row],[ILUSTRADOR CRIAÇÃO]]</f>
        <v>RENAN FONSECA/ARQUIVO DA EDITORA</v>
      </c>
      <c r="AB800" s="33"/>
      <c r="AC800" s="16"/>
      <c r="AE800" s="35" t="str">
        <f t="shared" si="12"/>
        <v>EF1 E002 Mat</v>
      </c>
    </row>
    <row r="801" spans="1:31" ht="75" x14ac:dyDescent="0.25">
      <c r="A801" s="31" t="s">
        <v>1708</v>
      </c>
      <c r="B801" s="16" t="s">
        <v>32</v>
      </c>
      <c r="C801" s="16" t="s">
        <v>164</v>
      </c>
      <c r="D801" s="33" t="s">
        <v>34</v>
      </c>
      <c r="E801" s="33">
        <v>126</v>
      </c>
      <c r="F801" s="33">
        <v>1</v>
      </c>
      <c r="G801" s="33">
        <v>5</v>
      </c>
      <c r="H801" s="33"/>
      <c r="I801" s="31" t="s">
        <v>35</v>
      </c>
      <c r="J801" s="31"/>
      <c r="K801" s="33"/>
      <c r="L801" s="33"/>
      <c r="M801" s="31"/>
      <c r="N801" s="31"/>
      <c r="O801" s="16" t="s">
        <v>1709</v>
      </c>
      <c r="P801" s="16"/>
      <c r="Q801" s="16"/>
      <c r="R801" s="33">
        <v>17</v>
      </c>
      <c r="S801" s="34">
        <v>45748</v>
      </c>
      <c r="T801" s="34">
        <v>45748</v>
      </c>
      <c r="U801" s="34"/>
      <c r="V801" s="34"/>
      <c r="W801" s="34">
        <v>45750</v>
      </c>
      <c r="X801" s="33" t="s">
        <v>85</v>
      </c>
      <c r="Y801" s="35" t="str">
        <f>IF(Tabela2[[#This Row],[SIGLA]]="","",VLOOKUP(Tabela2[[#This Row],[SIGLA]],Tabela1[[#All],[Sigla Arte]:[Crédito]],2,0))</f>
        <v>HELOÍSA PINTARELLI/ARQUIVO DA EDITORA</v>
      </c>
      <c r="Z801" s="31" t="s">
        <v>88</v>
      </c>
      <c r="AA801" s="31" t="str">
        <f>Tabela2[[#This Row],[ILUSTRADOR CRIAÇÃO]]</f>
        <v>HELOÍSA PINTARELLI/ARQUIVO DA EDITORA</v>
      </c>
      <c r="AB801" s="33">
        <v>14</v>
      </c>
      <c r="AC801" s="16" t="s">
        <v>39</v>
      </c>
      <c r="AD801" s="16" t="s">
        <v>40</v>
      </c>
      <c r="AE801" s="35" t="str">
        <f t="shared" si="12"/>
        <v>EF1 E002 Mat</v>
      </c>
    </row>
    <row r="802" spans="1:31" ht="75" x14ac:dyDescent="0.25">
      <c r="A802" s="31" t="s">
        <v>1710</v>
      </c>
      <c r="B802" s="16" t="s">
        <v>32</v>
      </c>
      <c r="C802" s="16" t="s">
        <v>164</v>
      </c>
      <c r="D802" s="33" t="s">
        <v>34</v>
      </c>
      <c r="E802" s="33">
        <v>126</v>
      </c>
      <c r="F802" s="33">
        <v>1</v>
      </c>
      <c r="G802" s="33">
        <v>5</v>
      </c>
      <c r="H802" s="33"/>
      <c r="I802" s="31" t="s">
        <v>35</v>
      </c>
      <c r="J802" s="31"/>
      <c r="K802" s="33"/>
      <c r="L802" s="33"/>
      <c r="M802" s="31"/>
      <c r="N802" s="31"/>
      <c r="O802" s="16" t="s">
        <v>1711</v>
      </c>
      <c r="P802" s="16"/>
      <c r="Q802" s="16"/>
      <c r="R802" s="33">
        <v>17</v>
      </c>
      <c r="S802" s="34">
        <v>45748</v>
      </c>
      <c r="T802" s="34">
        <v>45748</v>
      </c>
      <c r="U802" s="34"/>
      <c r="V802" s="34"/>
      <c r="W802" s="34">
        <v>45750</v>
      </c>
      <c r="X802" s="33" t="s">
        <v>85</v>
      </c>
      <c r="Y802" s="35" t="str">
        <f>IF(Tabela2[[#This Row],[SIGLA]]="","",VLOOKUP(Tabela2[[#This Row],[SIGLA]],Tabela1[[#All],[Sigla Arte]:[Crédito]],2,0))</f>
        <v>HELOÍSA PINTARELLI/ARQUIVO DA EDITORA</v>
      </c>
      <c r="Z802" s="31" t="s">
        <v>88</v>
      </c>
      <c r="AA802" s="31" t="str">
        <f>Tabela2[[#This Row],[ILUSTRADOR CRIAÇÃO]]</f>
        <v>HELOÍSA PINTARELLI/ARQUIVO DA EDITORA</v>
      </c>
      <c r="AB802" s="33">
        <v>14</v>
      </c>
      <c r="AC802" s="16" t="s">
        <v>39</v>
      </c>
      <c r="AD802" s="16" t="s">
        <v>40</v>
      </c>
      <c r="AE802" s="35" t="str">
        <f t="shared" si="12"/>
        <v>EF1 E002 Mat</v>
      </c>
    </row>
    <row r="803" spans="1:31" ht="75" x14ac:dyDescent="0.25">
      <c r="A803" s="31" t="s">
        <v>1712</v>
      </c>
      <c r="B803" s="16" t="s">
        <v>32</v>
      </c>
      <c r="C803" s="16" t="s">
        <v>164</v>
      </c>
      <c r="D803" s="33" t="s">
        <v>34</v>
      </c>
      <c r="E803" s="33">
        <v>126</v>
      </c>
      <c r="F803" s="33">
        <v>1</v>
      </c>
      <c r="G803" s="33">
        <v>5</v>
      </c>
      <c r="H803" s="33"/>
      <c r="I803" s="31" t="s">
        <v>35</v>
      </c>
      <c r="J803" s="31"/>
      <c r="K803" s="33"/>
      <c r="L803" s="33"/>
      <c r="M803" s="31"/>
      <c r="N803" s="31"/>
      <c r="O803" s="16" t="s">
        <v>1713</v>
      </c>
      <c r="P803" s="16"/>
      <c r="Q803" s="16"/>
      <c r="R803" s="33">
        <v>17</v>
      </c>
      <c r="S803" s="34">
        <v>45748</v>
      </c>
      <c r="T803" s="34">
        <v>45748</v>
      </c>
      <c r="U803" s="34"/>
      <c r="V803" s="34"/>
      <c r="W803" s="34">
        <v>45750</v>
      </c>
      <c r="X803" s="33" t="s">
        <v>85</v>
      </c>
      <c r="Y803" s="35" t="str">
        <f>IF(Tabela2[[#This Row],[SIGLA]]="","",VLOOKUP(Tabela2[[#This Row],[SIGLA]],Tabela1[[#All],[Sigla Arte]:[Crédito]],2,0))</f>
        <v>HELOÍSA PINTARELLI/ARQUIVO DA EDITORA</v>
      </c>
      <c r="Z803" s="31" t="s">
        <v>88</v>
      </c>
      <c r="AA803" s="31" t="str">
        <f>Tabela2[[#This Row],[ILUSTRADOR CRIAÇÃO]]</f>
        <v>HELOÍSA PINTARELLI/ARQUIVO DA EDITORA</v>
      </c>
      <c r="AB803" s="33">
        <v>14</v>
      </c>
      <c r="AC803" s="16" t="s">
        <v>39</v>
      </c>
      <c r="AD803" s="16" t="s">
        <v>40</v>
      </c>
      <c r="AE803" s="35" t="str">
        <f t="shared" si="12"/>
        <v>EF1 E002 Mat</v>
      </c>
    </row>
    <row r="804" spans="1:31" ht="75" x14ac:dyDescent="0.25">
      <c r="A804" s="31" t="s">
        <v>1714</v>
      </c>
      <c r="B804" s="16" t="s">
        <v>32</v>
      </c>
      <c r="C804" s="16" t="s">
        <v>164</v>
      </c>
      <c r="D804" s="33" t="s">
        <v>34</v>
      </c>
      <c r="E804" s="33">
        <v>126</v>
      </c>
      <c r="F804" s="33">
        <v>1</v>
      </c>
      <c r="G804" s="33">
        <v>5</v>
      </c>
      <c r="H804" s="33"/>
      <c r="I804" s="31" t="s">
        <v>35</v>
      </c>
      <c r="J804" s="31"/>
      <c r="K804" s="33"/>
      <c r="L804" s="33"/>
      <c r="M804" s="31"/>
      <c r="N804" s="31"/>
      <c r="O804" s="16" t="s">
        <v>1715</v>
      </c>
      <c r="P804" s="16"/>
      <c r="Q804" s="16"/>
      <c r="R804" s="33">
        <v>17</v>
      </c>
      <c r="S804" s="34">
        <v>45748</v>
      </c>
      <c r="T804" s="34">
        <v>45748</v>
      </c>
      <c r="U804" s="34"/>
      <c r="V804" s="34"/>
      <c r="W804" s="34">
        <v>45750</v>
      </c>
      <c r="X804" s="33" t="s">
        <v>85</v>
      </c>
      <c r="Y804" s="35" t="str">
        <f>IF(Tabela2[[#This Row],[SIGLA]]="","",VLOOKUP(Tabela2[[#This Row],[SIGLA]],Tabela1[[#All],[Sigla Arte]:[Crédito]],2,0))</f>
        <v>HELOÍSA PINTARELLI/ARQUIVO DA EDITORA</v>
      </c>
      <c r="Z804" s="31" t="s">
        <v>88</v>
      </c>
      <c r="AA804" s="31" t="str">
        <f>Tabela2[[#This Row],[ILUSTRADOR CRIAÇÃO]]</f>
        <v>HELOÍSA PINTARELLI/ARQUIVO DA EDITORA</v>
      </c>
      <c r="AB804" s="33">
        <v>14</v>
      </c>
      <c r="AC804" s="16" t="s">
        <v>39</v>
      </c>
      <c r="AD804" s="16" t="s">
        <v>40</v>
      </c>
      <c r="AE804" s="35" t="str">
        <f t="shared" si="12"/>
        <v>EF1 E002 Mat</v>
      </c>
    </row>
    <row r="805" spans="1:31" ht="30" x14ac:dyDescent="0.25">
      <c r="A805" s="31" t="s">
        <v>1716</v>
      </c>
      <c r="B805" s="16" t="s">
        <v>32</v>
      </c>
      <c r="C805" s="16" t="s">
        <v>33</v>
      </c>
      <c r="D805" s="33" t="s">
        <v>34</v>
      </c>
      <c r="E805" s="33">
        <v>127</v>
      </c>
      <c r="F805" s="33">
        <v>1</v>
      </c>
      <c r="G805" s="33">
        <v>5</v>
      </c>
      <c r="H805" s="33"/>
      <c r="I805" s="31" t="s">
        <v>46</v>
      </c>
      <c r="J805" s="31"/>
      <c r="K805" s="33"/>
      <c r="L805" s="33"/>
      <c r="M805" s="31"/>
      <c r="N805" s="31"/>
      <c r="O805" s="16" t="s">
        <v>1717</v>
      </c>
      <c r="P805" s="16"/>
      <c r="Q805" s="16"/>
      <c r="R805" s="33"/>
      <c r="S805" s="34"/>
      <c r="T805" s="34"/>
      <c r="U805" s="34"/>
      <c r="V805" s="34"/>
      <c r="W805" s="34"/>
      <c r="X805" s="33" t="s">
        <v>43</v>
      </c>
      <c r="Y805" s="35" t="str">
        <f>IF(Tabela2[[#This Row],[SIGLA]]="","",VLOOKUP(Tabela2[[#This Row],[SIGLA]],Tabela1[[#All],[Sigla Arte]:[Crédito]],2,0))</f>
        <v>GUILHERME RODRIGUES/ARQUIVO DA EDITORA</v>
      </c>
      <c r="Z805" s="31"/>
      <c r="AA805" s="31" t="str">
        <f>Tabela2[[#This Row],[ILUSTRADOR CRIAÇÃO]]</f>
        <v>GUILHERME RODRIGUES/ARQUIVO DA EDITORA</v>
      </c>
      <c r="AB805" s="33"/>
      <c r="AC805" s="16"/>
      <c r="AE805" s="35" t="str">
        <f t="shared" si="12"/>
        <v>EF1 E002 Mat</v>
      </c>
    </row>
    <row r="806" spans="1:31" ht="30" x14ac:dyDescent="0.25">
      <c r="A806" s="31" t="s">
        <v>1718</v>
      </c>
      <c r="B806" s="16" t="s">
        <v>32</v>
      </c>
      <c r="C806" s="16" t="s">
        <v>164</v>
      </c>
      <c r="D806" s="33" t="s">
        <v>34</v>
      </c>
      <c r="E806" s="33">
        <v>127</v>
      </c>
      <c r="F806" s="33">
        <v>1</v>
      </c>
      <c r="G806" s="33">
        <v>5</v>
      </c>
      <c r="H806" s="33"/>
      <c r="I806" s="31" t="s">
        <v>46</v>
      </c>
      <c r="J806" s="31"/>
      <c r="K806" s="33"/>
      <c r="L806" s="33"/>
      <c r="M806" s="31"/>
      <c r="N806" s="31"/>
      <c r="O806" s="16" t="s">
        <v>1719</v>
      </c>
      <c r="P806" s="16"/>
      <c r="Q806" s="16"/>
      <c r="R806" s="33"/>
      <c r="S806" s="34"/>
      <c r="T806" s="34"/>
      <c r="U806" s="34"/>
      <c r="V806" s="34"/>
      <c r="W806" s="34"/>
      <c r="X806" s="33" t="s">
        <v>194</v>
      </c>
      <c r="Y806" s="35" t="str">
        <f>IF(Tabela2[[#This Row],[SIGLA]]="","",VLOOKUP(Tabela2[[#This Row],[SIGLA]],Tabela1[[#All],[Sigla Arte]:[Crédito]],2,0))</f>
        <v>LEANDRO LASSMAR/ARQUIVO DA EDITORA</v>
      </c>
      <c r="Z806" s="31"/>
      <c r="AA806" s="31" t="str">
        <f>Tabela2[[#This Row],[ILUSTRADOR CRIAÇÃO]]</f>
        <v>LEANDRO LASSMAR/ARQUIVO DA EDITORA</v>
      </c>
      <c r="AB806" s="33"/>
      <c r="AC806" s="16"/>
      <c r="AE806" s="35" t="str">
        <f t="shared" si="12"/>
        <v>EF1 E002 Mat</v>
      </c>
    </row>
    <row r="807" spans="1:31" ht="105" x14ac:dyDescent="0.25">
      <c r="A807" s="31" t="s">
        <v>1720</v>
      </c>
      <c r="B807" s="16" t="s">
        <v>32</v>
      </c>
      <c r="C807" s="16" t="s">
        <v>33</v>
      </c>
      <c r="D807" s="33" t="s">
        <v>34</v>
      </c>
      <c r="E807" s="33">
        <v>128</v>
      </c>
      <c r="F807" s="33">
        <v>1</v>
      </c>
      <c r="G807" s="33">
        <v>5</v>
      </c>
      <c r="H807" s="33"/>
      <c r="I807" s="31" t="s">
        <v>35</v>
      </c>
      <c r="J807" s="31"/>
      <c r="K807" s="33"/>
      <c r="L807" s="33"/>
      <c r="M807" s="31"/>
      <c r="N807" s="31"/>
      <c r="O807" s="16" t="s">
        <v>1721</v>
      </c>
      <c r="P807" s="16"/>
      <c r="Q807" s="16"/>
      <c r="R807" s="33">
        <v>17</v>
      </c>
      <c r="S807" s="34">
        <v>45748</v>
      </c>
      <c r="T807" s="34">
        <v>45748</v>
      </c>
      <c r="U807" s="34"/>
      <c r="V807" s="34"/>
      <c r="W807" s="34">
        <v>45750</v>
      </c>
      <c r="X807" s="33" t="s">
        <v>85</v>
      </c>
      <c r="Y807" s="35" t="str">
        <f>IF(Tabela2[[#This Row],[SIGLA]]="","",VLOOKUP(Tabela2[[#This Row],[SIGLA]],Tabela1[[#All],[Sigla Arte]:[Crédito]],2,0))</f>
        <v>HELOÍSA PINTARELLI/ARQUIVO DA EDITORA</v>
      </c>
      <c r="Z807" s="31" t="s">
        <v>88</v>
      </c>
      <c r="AA807" s="31" t="str">
        <f>Tabela2[[#This Row],[ILUSTRADOR CRIAÇÃO]]</f>
        <v>HELOÍSA PINTARELLI/ARQUIVO DA EDITORA</v>
      </c>
      <c r="AB807" s="33">
        <v>14</v>
      </c>
      <c r="AC807" s="16" t="s">
        <v>39</v>
      </c>
      <c r="AD807" s="16" t="s">
        <v>40</v>
      </c>
      <c r="AE807" s="35" t="str">
        <f t="shared" si="12"/>
        <v>EF1 E002 Mat</v>
      </c>
    </row>
    <row r="808" spans="1:31" ht="30" x14ac:dyDescent="0.25">
      <c r="A808" s="31" t="s">
        <v>1722</v>
      </c>
      <c r="B808" s="16" t="s">
        <v>32</v>
      </c>
      <c r="C808" s="16" t="s">
        <v>164</v>
      </c>
      <c r="D808" s="33" t="s">
        <v>34</v>
      </c>
      <c r="E808" s="33">
        <v>128</v>
      </c>
      <c r="F808" s="33">
        <v>1</v>
      </c>
      <c r="G808" s="33">
        <v>5</v>
      </c>
      <c r="H808" s="33"/>
      <c r="I808" s="31" t="s">
        <v>46</v>
      </c>
      <c r="J808" s="31"/>
      <c r="K808" s="33"/>
      <c r="L808" s="33"/>
      <c r="M808" s="31"/>
      <c r="N808" s="31"/>
      <c r="O808" s="16" t="s">
        <v>1723</v>
      </c>
      <c r="P808" s="16"/>
      <c r="Q808" s="16"/>
      <c r="R808" s="33"/>
      <c r="S808" s="34"/>
      <c r="T808" s="34"/>
      <c r="U808" s="34"/>
      <c r="V808" s="34"/>
      <c r="W808" s="34"/>
      <c r="X808" s="33" t="s">
        <v>85</v>
      </c>
      <c r="Y808" s="35" t="str">
        <f>IF(Tabela2[[#This Row],[SIGLA]]="","",VLOOKUP(Tabela2[[#This Row],[SIGLA]],Tabela1[[#All],[Sigla Arte]:[Crédito]],2,0))</f>
        <v>HELOÍSA PINTARELLI/ARQUIVO DA EDITORA</v>
      </c>
      <c r="Z808" s="31"/>
      <c r="AA808" s="31" t="str">
        <f>Tabela2[[#This Row],[ILUSTRADOR CRIAÇÃO]]</f>
        <v>HELOÍSA PINTARELLI/ARQUIVO DA EDITORA</v>
      </c>
      <c r="AB808" s="33"/>
      <c r="AC808" s="16"/>
      <c r="AE808" s="35" t="str">
        <f t="shared" si="12"/>
        <v>EF1 E002 Mat</v>
      </c>
    </row>
    <row r="809" spans="1:31" ht="90" x14ac:dyDescent="0.25">
      <c r="A809" s="31" t="s">
        <v>1724</v>
      </c>
      <c r="B809" s="16" t="s">
        <v>32</v>
      </c>
      <c r="C809" s="16" t="s">
        <v>33</v>
      </c>
      <c r="D809" s="33" t="s">
        <v>34</v>
      </c>
      <c r="E809" s="33">
        <v>129</v>
      </c>
      <c r="F809" s="33">
        <v>1</v>
      </c>
      <c r="G809" s="33">
        <v>5</v>
      </c>
      <c r="H809" s="33"/>
      <c r="I809" s="31" t="s">
        <v>35</v>
      </c>
      <c r="J809" s="31"/>
      <c r="K809" s="33"/>
      <c r="L809" s="33"/>
      <c r="M809" s="31"/>
      <c r="N809" s="31"/>
      <c r="O809" s="16" t="s">
        <v>1725</v>
      </c>
      <c r="P809" s="16"/>
      <c r="Q809" s="16"/>
      <c r="R809" s="33">
        <v>17</v>
      </c>
      <c r="S809" s="34">
        <v>45748</v>
      </c>
      <c r="T809" s="34">
        <v>45748</v>
      </c>
      <c r="U809" s="34"/>
      <c r="V809" s="34"/>
      <c r="W809" s="34">
        <v>45750</v>
      </c>
      <c r="X809" s="33" t="s">
        <v>194</v>
      </c>
      <c r="Y809" s="35" t="str">
        <f>IF(Tabela2[[#This Row],[SIGLA]]="","",VLOOKUP(Tabela2[[#This Row],[SIGLA]],Tabela1[[#All],[Sigla Arte]:[Crédito]],2,0))</f>
        <v>LEANDRO LASSMAR/ARQUIVO DA EDITORA</v>
      </c>
      <c r="Z809" s="31" t="s">
        <v>88</v>
      </c>
      <c r="AA809" s="31" t="str">
        <f>Tabela2[[#This Row],[ILUSTRADOR CRIAÇÃO]]</f>
        <v>LEANDRO LASSMAR/ARQUIVO DA EDITORA</v>
      </c>
      <c r="AB809" s="33">
        <v>14</v>
      </c>
      <c r="AC809" s="16" t="s">
        <v>39</v>
      </c>
      <c r="AD809" s="16" t="s">
        <v>40</v>
      </c>
      <c r="AE809" s="35" t="str">
        <f t="shared" si="12"/>
        <v>EF1 E002 Mat</v>
      </c>
    </row>
    <row r="810" spans="1:31" ht="90" x14ac:dyDescent="0.25">
      <c r="A810" s="31" t="s">
        <v>1726</v>
      </c>
      <c r="B810" s="16" t="s">
        <v>401</v>
      </c>
      <c r="C810" s="16" t="s">
        <v>33</v>
      </c>
      <c r="D810" s="33" t="s">
        <v>34</v>
      </c>
      <c r="E810" s="33">
        <v>129</v>
      </c>
      <c r="F810" s="33">
        <v>1</v>
      </c>
      <c r="G810" s="33">
        <v>5</v>
      </c>
      <c r="H810" s="33"/>
      <c r="I810" s="31" t="s">
        <v>35</v>
      </c>
      <c r="J810" s="31"/>
      <c r="K810" s="33"/>
      <c r="L810" s="33"/>
      <c r="M810" s="31"/>
      <c r="N810" s="31"/>
      <c r="O810" s="16" t="s">
        <v>1727</v>
      </c>
      <c r="P810" s="16"/>
      <c r="Q810" s="16" t="s">
        <v>1323</v>
      </c>
      <c r="R810" s="33">
        <v>17</v>
      </c>
      <c r="S810" s="34">
        <v>45748</v>
      </c>
      <c r="T810" s="34">
        <v>45748</v>
      </c>
      <c r="U810" s="34"/>
      <c r="V810" s="34"/>
      <c r="W810" s="34">
        <v>45750</v>
      </c>
      <c r="X810" s="33" t="s">
        <v>194</v>
      </c>
      <c r="Y810" s="35" t="str">
        <f>IF(Tabela2[[#This Row],[SIGLA]]="","",VLOOKUP(Tabela2[[#This Row],[SIGLA]],Tabela1[[#All],[Sigla Arte]:[Crédito]],2,0))</f>
        <v>LEANDRO LASSMAR/ARQUIVO DA EDITORA</v>
      </c>
      <c r="Z810" s="31" t="s">
        <v>88</v>
      </c>
      <c r="AA810" s="31" t="str">
        <f>Tabela2[[#This Row],[ILUSTRADOR CRIAÇÃO]]</f>
        <v>LEANDRO LASSMAR/ARQUIVO DA EDITORA</v>
      </c>
      <c r="AB810" s="33">
        <v>14</v>
      </c>
      <c r="AC810" s="16" t="s">
        <v>39</v>
      </c>
      <c r="AD810" s="16" t="s">
        <v>40</v>
      </c>
      <c r="AE810" s="35" t="str">
        <f t="shared" si="12"/>
        <v>EF1 E002 Mat</v>
      </c>
    </row>
    <row r="811" spans="1:31" ht="90" x14ac:dyDescent="0.25">
      <c r="A811" s="31" t="s">
        <v>1728</v>
      </c>
      <c r="B811" s="16" t="s">
        <v>32</v>
      </c>
      <c r="C811" s="16" t="s">
        <v>164</v>
      </c>
      <c r="D811" s="33" t="s">
        <v>34</v>
      </c>
      <c r="E811" s="33">
        <v>130</v>
      </c>
      <c r="F811" s="33">
        <v>1</v>
      </c>
      <c r="G811" s="33">
        <v>5</v>
      </c>
      <c r="H811" s="33"/>
      <c r="I811" s="31" t="s">
        <v>35</v>
      </c>
      <c r="J811" s="31"/>
      <c r="K811" s="33"/>
      <c r="L811" s="33"/>
      <c r="M811" s="31"/>
      <c r="N811" s="31"/>
      <c r="O811" s="16" t="s">
        <v>1729</v>
      </c>
      <c r="P811" s="16"/>
      <c r="Q811" s="16"/>
      <c r="R811" s="33">
        <v>17</v>
      </c>
      <c r="S811" s="34">
        <v>45748</v>
      </c>
      <c r="T811" s="34">
        <v>45748</v>
      </c>
      <c r="U811" s="34"/>
      <c r="V811" s="34"/>
      <c r="W811" s="34">
        <v>45750</v>
      </c>
      <c r="X811" s="33" t="s">
        <v>1119</v>
      </c>
      <c r="Y811" s="35" t="str">
        <f>IF(Tabela2[[#This Row],[SIGLA]]="","",VLOOKUP(Tabela2[[#This Row],[SIGLA]],Tabela1[[#All],[Sigla Arte]:[Crédito]],2,0))</f>
        <v>CYNTHIA SEKIGUCHI/ARQUIVO DA EDITORA</v>
      </c>
      <c r="Z811" s="31" t="s">
        <v>88</v>
      </c>
      <c r="AA811" s="31" t="str">
        <f>Tabela2[[#This Row],[ILUSTRADOR CRIAÇÃO]]</f>
        <v>CYNTHIA SEKIGUCHI/ARQUIVO DA EDITORA</v>
      </c>
      <c r="AB811" s="33">
        <v>14</v>
      </c>
      <c r="AC811" s="16" t="s">
        <v>39</v>
      </c>
      <c r="AD811" s="16" t="s">
        <v>40</v>
      </c>
      <c r="AE811" s="35" t="str">
        <f t="shared" si="12"/>
        <v>EF1 E002 Mat</v>
      </c>
    </row>
    <row r="812" spans="1:31" ht="45" x14ac:dyDescent="0.25">
      <c r="A812" s="31" t="s">
        <v>1730</v>
      </c>
      <c r="B812" s="16" t="s">
        <v>32</v>
      </c>
      <c r="C812" s="16" t="s">
        <v>164</v>
      </c>
      <c r="D812" s="33" t="s">
        <v>34</v>
      </c>
      <c r="E812" s="33">
        <v>130</v>
      </c>
      <c r="F812" s="33">
        <v>1</v>
      </c>
      <c r="G812" s="33">
        <v>5</v>
      </c>
      <c r="H812" s="33"/>
      <c r="I812" s="31" t="s">
        <v>46</v>
      </c>
      <c r="J812" s="31"/>
      <c r="K812" s="33"/>
      <c r="L812" s="33"/>
      <c r="M812" s="31"/>
      <c r="N812" s="31"/>
      <c r="O812" s="16" t="s">
        <v>1731</v>
      </c>
      <c r="P812" s="16"/>
      <c r="Q812" s="16"/>
      <c r="R812" s="33"/>
      <c r="S812" s="34"/>
      <c r="T812" s="34"/>
      <c r="U812" s="34"/>
      <c r="V812" s="34"/>
      <c r="W812" s="34"/>
      <c r="X812" s="33" t="s">
        <v>1119</v>
      </c>
      <c r="Y812" s="35" t="str">
        <f>IF(Tabela2[[#This Row],[SIGLA]]="","",VLOOKUP(Tabela2[[#This Row],[SIGLA]],Tabela1[[#All],[Sigla Arte]:[Crédito]],2,0))</f>
        <v>CYNTHIA SEKIGUCHI/ARQUIVO DA EDITORA</v>
      </c>
      <c r="Z812" s="31"/>
      <c r="AA812" s="31" t="str">
        <f>Tabela2[[#This Row],[ILUSTRADOR CRIAÇÃO]]</f>
        <v>CYNTHIA SEKIGUCHI/ARQUIVO DA EDITORA</v>
      </c>
      <c r="AB812" s="33"/>
      <c r="AC812" s="16"/>
      <c r="AE812" s="35" t="str">
        <f t="shared" si="12"/>
        <v>EF1 E002 Mat</v>
      </c>
    </row>
    <row r="813" spans="1:31" ht="90" x14ac:dyDescent="0.25">
      <c r="A813" s="31" t="s">
        <v>1732</v>
      </c>
      <c r="B813" s="16" t="s">
        <v>32</v>
      </c>
      <c r="C813" s="16" t="s">
        <v>164</v>
      </c>
      <c r="D813" s="33" t="s">
        <v>34</v>
      </c>
      <c r="E813" s="33">
        <v>130</v>
      </c>
      <c r="F813" s="33">
        <v>1</v>
      </c>
      <c r="G813" s="33">
        <v>5</v>
      </c>
      <c r="H813" s="33"/>
      <c r="I813" s="31" t="s">
        <v>35</v>
      </c>
      <c r="J813" s="31"/>
      <c r="K813" s="33"/>
      <c r="L813" s="33"/>
      <c r="M813" s="31"/>
      <c r="N813" s="31"/>
      <c r="O813" s="16" t="s">
        <v>1733</v>
      </c>
      <c r="P813" s="16"/>
      <c r="Q813" s="16"/>
      <c r="R813" s="33">
        <v>17</v>
      </c>
      <c r="S813" s="34">
        <v>45748</v>
      </c>
      <c r="T813" s="34">
        <v>45748</v>
      </c>
      <c r="U813" s="34"/>
      <c r="V813" s="34"/>
      <c r="W813" s="34">
        <v>45750</v>
      </c>
      <c r="X813" s="33" t="s">
        <v>1119</v>
      </c>
      <c r="Y813" s="35" t="str">
        <f>IF(Tabela2[[#This Row],[SIGLA]]="","",VLOOKUP(Tabela2[[#This Row],[SIGLA]],Tabela1[[#All],[Sigla Arte]:[Crédito]],2,0))</f>
        <v>CYNTHIA SEKIGUCHI/ARQUIVO DA EDITORA</v>
      </c>
      <c r="Z813" s="31" t="s">
        <v>88</v>
      </c>
      <c r="AA813" s="31" t="str">
        <f>Tabela2[[#This Row],[ILUSTRADOR CRIAÇÃO]]</f>
        <v>CYNTHIA SEKIGUCHI/ARQUIVO DA EDITORA</v>
      </c>
      <c r="AB813" s="33">
        <v>14</v>
      </c>
      <c r="AC813" s="16" t="s">
        <v>39</v>
      </c>
      <c r="AD813" s="16" t="s">
        <v>40</v>
      </c>
      <c r="AE813" s="35" t="str">
        <f t="shared" si="12"/>
        <v>EF1 E002 Mat</v>
      </c>
    </row>
    <row r="814" spans="1:31" ht="45" x14ac:dyDescent="0.25">
      <c r="A814" s="31" t="s">
        <v>1734</v>
      </c>
      <c r="B814" s="16" t="s">
        <v>32</v>
      </c>
      <c r="C814" s="16" t="s">
        <v>164</v>
      </c>
      <c r="D814" s="33" t="s">
        <v>34</v>
      </c>
      <c r="E814" s="33">
        <v>130</v>
      </c>
      <c r="F814" s="33">
        <v>1</v>
      </c>
      <c r="G814" s="33">
        <v>5</v>
      </c>
      <c r="H814" s="33"/>
      <c r="I814" s="31" t="s">
        <v>46</v>
      </c>
      <c r="J814" s="31"/>
      <c r="K814" s="33"/>
      <c r="L814" s="33"/>
      <c r="M814" s="31"/>
      <c r="N814" s="31"/>
      <c r="O814" s="16" t="s">
        <v>1735</v>
      </c>
      <c r="P814" s="16"/>
      <c r="Q814" s="16"/>
      <c r="R814" s="33"/>
      <c r="S814" s="34"/>
      <c r="T814" s="34"/>
      <c r="U814" s="34"/>
      <c r="V814" s="34"/>
      <c r="W814" s="34"/>
      <c r="X814" s="33" t="s">
        <v>1119</v>
      </c>
      <c r="Y814" s="35" t="str">
        <f>IF(Tabela2[[#This Row],[SIGLA]]="","",VLOOKUP(Tabela2[[#This Row],[SIGLA]],Tabela1[[#All],[Sigla Arte]:[Crédito]],2,0))</f>
        <v>CYNTHIA SEKIGUCHI/ARQUIVO DA EDITORA</v>
      </c>
      <c r="Z814" s="31"/>
      <c r="AA814" s="31" t="str">
        <f>Tabela2[[#This Row],[ILUSTRADOR CRIAÇÃO]]</f>
        <v>CYNTHIA SEKIGUCHI/ARQUIVO DA EDITORA</v>
      </c>
      <c r="AB814" s="33"/>
      <c r="AC814" s="16"/>
      <c r="AE814" s="35" t="str">
        <f t="shared" si="12"/>
        <v>EF1 E002 Mat</v>
      </c>
    </row>
    <row r="815" spans="1:31" ht="105" x14ac:dyDescent="0.25">
      <c r="A815" s="31" t="s">
        <v>1736</v>
      </c>
      <c r="B815" s="16" t="s">
        <v>32</v>
      </c>
      <c r="C815" s="16" t="s">
        <v>33</v>
      </c>
      <c r="D815" s="33" t="s">
        <v>34</v>
      </c>
      <c r="E815" s="33">
        <v>131</v>
      </c>
      <c r="F815" s="33">
        <v>1</v>
      </c>
      <c r="G815" s="33">
        <v>5</v>
      </c>
      <c r="H815" s="33"/>
      <c r="I815" s="31" t="s">
        <v>35</v>
      </c>
      <c r="J815" s="31"/>
      <c r="K815" s="33"/>
      <c r="L815" s="33"/>
      <c r="M815" s="31"/>
      <c r="N815" s="31"/>
      <c r="O815" s="16" t="s">
        <v>1737</v>
      </c>
      <c r="P815" s="16"/>
      <c r="Q815" s="16"/>
      <c r="R815" s="33">
        <v>17</v>
      </c>
      <c r="S815" s="34">
        <v>45748</v>
      </c>
      <c r="T815" s="34">
        <v>45748</v>
      </c>
      <c r="U815" s="34"/>
      <c r="V815" s="34"/>
      <c r="W815" s="34">
        <v>45750</v>
      </c>
      <c r="X815" s="33" t="s">
        <v>162</v>
      </c>
      <c r="Y815" s="35" t="str">
        <f>IF(Tabela2[[#This Row],[SIGLA]]="","",VLOOKUP(Tabela2[[#This Row],[SIGLA]],Tabela1[[#All],[Sigla Arte]:[Crédito]],2,0))</f>
        <v>IVY NUNES/ARQUIVO DA EDITORA</v>
      </c>
      <c r="Z815" s="31" t="s">
        <v>88</v>
      </c>
      <c r="AA815" s="31" t="str">
        <f>Tabela2[[#This Row],[ILUSTRADOR CRIAÇÃO]]</f>
        <v>IVY NUNES/ARQUIVO DA EDITORA</v>
      </c>
      <c r="AB815" s="33">
        <v>13</v>
      </c>
      <c r="AC815" s="16" t="s">
        <v>39</v>
      </c>
      <c r="AD815" s="16" t="s">
        <v>40</v>
      </c>
      <c r="AE815" s="35" t="str">
        <f t="shared" si="12"/>
        <v>EF1 E002 Mat</v>
      </c>
    </row>
    <row r="816" spans="1:31" ht="30" x14ac:dyDescent="0.25">
      <c r="A816" s="31" t="s">
        <v>1738</v>
      </c>
      <c r="B816" s="16" t="s">
        <v>32</v>
      </c>
      <c r="C816" s="16" t="s">
        <v>164</v>
      </c>
      <c r="D816" s="33" t="s">
        <v>34</v>
      </c>
      <c r="E816" s="33">
        <v>132</v>
      </c>
      <c r="F816" s="33">
        <v>1</v>
      </c>
      <c r="G816" s="33">
        <v>5</v>
      </c>
      <c r="H816" s="33"/>
      <c r="I816" s="31" t="s">
        <v>35</v>
      </c>
      <c r="J816" s="31"/>
      <c r="K816" s="33"/>
      <c r="L816" s="33"/>
      <c r="M816" s="31"/>
      <c r="N816" s="31"/>
      <c r="O816" s="16" t="s">
        <v>1739</v>
      </c>
      <c r="P816" s="16"/>
      <c r="Q816" s="16"/>
      <c r="R816" s="33">
        <v>61</v>
      </c>
      <c r="S816" s="34">
        <v>45825</v>
      </c>
      <c r="T816" s="34">
        <v>45826</v>
      </c>
      <c r="U816" s="34"/>
      <c r="V816" s="34"/>
      <c r="W816" s="34">
        <v>45826</v>
      </c>
      <c r="X816" s="33" t="s">
        <v>1119</v>
      </c>
      <c r="Y816" s="35" t="str">
        <f>IF(Tabela2[[#This Row],[SIGLA]]="","",VLOOKUP(Tabela2[[#This Row],[SIGLA]],Tabela1[[#All],[Sigla Arte]:[Crédito]],2,0))</f>
        <v>CYNTHIA SEKIGUCHI/ARQUIVO DA EDITORA</v>
      </c>
      <c r="Z816" s="31" t="s">
        <v>438</v>
      </c>
      <c r="AA816" s="31" t="str">
        <f>Tabela2[[#This Row],[ILUSTRADOR CRIAÇÃO]]</f>
        <v>CYNTHIA SEKIGUCHI/ARQUIVO DA EDITORA</v>
      </c>
      <c r="AB816" s="33">
        <v>13</v>
      </c>
      <c r="AC816" s="16" t="s">
        <v>222</v>
      </c>
      <c r="AD816" s="16" t="s">
        <v>40</v>
      </c>
      <c r="AE816" s="35" t="str">
        <f t="shared" si="12"/>
        <v>EF1 E002 Mat</v>
      </c>
    </row>
    <row r="817" spans="1:31" ht="30" x14ac:dyDescent="0.25">
      <c r="A817" s="31" t="s">
        <v>1740</v>
      </c>
      <c r="B817" s="16" t="s">
        <v>32</v>
      </c>
      <c r="C817" s="16" t="s">
        <v>164</v>
      </c>
      <c r="D817" s="33" t="s">
        <v>34</v>
      </c>
      <c r="E817" s="33">
        <v>132</v>
      </c>
      <c r="F817" s="33">
        <v>1</v>
      </c>
      <c r="G817" s="33">
        <v>5</v>
      </c>
      <c r="H817" s="33"/>
      <c r="I817" s="31" t="s">
        <v>35</v>
      </c>
      <c r="J817" s="31"/>
      <c r="K817" s="33"/>
      <c r="L817" s="33"/>
      <c r="M817" s="31"/>
      <c r="N817" s="31"/>
      <c r="O817" s="16" t="s">
        <v>1741</v>
      </c>
      <c r="P817" s="16"/>
      <c r="Q817" s="16"/>
      <c r="R817" s="33">
        <v>61</v>
      </c>
      <c r="S817" s="34">
        <v>45825</v>
      </c>
      <c r="T817" s="34">
        <v>45826</v>
      </c>
      <c r="U817" s="34"/>
      <c r="V817" s="34"/>
      <c r="W817" s="34">
        <v>45826</v>
      </c>
      <c r="X817" s="33" t="s">
        <v>1119</v>
      </c>
      <c r="Y817" s="35" t="str">
        <f>IF(Tabela2[[#This Row],[SIGLA]]="","",VLOOKUP(Tabela2[[#This Row],[SIGLA]],Tabela1[[#All],[Sigla Arte]:[Crédito]],2,0))</f>
        <v>CYNTHIA SEKIGUCHI/ARQUIVO DA EDITORA</v>
      </c>
      <c r="Z817" s="31" t="s">
        <v>438</v>
      </c>
      <c r="AA817" s="31" t="str">
        <f>Tabela2[[#This Row],[ILUSTRADOR CRIAÇÃO]]</f>
        <v>CYNTHIA SEKIGUCHI/ARQUIVO DA EDITORA</v>
      </c>
      <c r="AB817" s="33">
        <v>13</v>
      </c>
      <c r="AC817" s="16" t="s">
        <v>222</v>
      </c>
      <c r="AD817" s="16" t="s">
        <v>40</v>
      </c>
      <c r="AE817" s="35" t="str">
        <f t="shared" si="12"/>
        <v>EF1 E002 Mat</v>
      </c>
    </row>
    <row r="818" spans="1:31" ht="30" x14ac:dyDescent="0.25">
      <c r="A818" s="31" t="s">
        <v>1742</v>
      </c>
      <c r="B818" s="16" t="s">
        <v>32</v>
      </c>
      <c r="C818" s="16" t="s">
        <v>164</v>
      </c>
      <c r="D818" s="33" t="s">
        <v>34</v>
      </c>
      <c r="E818" s="33">
        <v>132</v>
      </c>
      <c r="F818" s="33">
        <v>1</v>
      </c>
      <c r="G818" s="33">
        <v>5</v>
      </c>
      <c r="H818" s="33"/>
      <c r="I818" s="31" t="s">
        <v>35</v>
      </c>
      <c r="J818" s="31"/>
      <c r="K818" s="33"/>
      <c r="L818" s="33"/>
      <c r="M818" s="31"/>
      <c r="N818" s="31"/>
      <c r="O818" s="16" t="s">
        <v>1743</v>
      </c>
      <c r="P818" s="16"/>
      <c r="Q818" s="16"/>
      <c r="R818" s="33">
        <v>61</v>
      </c>
      <c r="S818" s="34">
        <v>45825</v>
      </c>
      <c r="T818" s="34">
        <v>45826</v>
      </c>
      <c r="U818" s="34"/>
      <c r="V818" s="34"/>
      <c r="W818" s="34">
        <v>45826</v>
      </c>
      <c r="X818" s="33" t="s">
        <v>1119</v>
      </c>
      <c r="Y818" s="35" t="str">
        <f>IF(Tabela2[[#This Row],[SIGLA]]="","",VLOOKUP(Tabela2[[#This Row],[SIGLA]],Tabela1[[#All],[Sigla Arte]:[Crédito]],2,0))</f>
        <v>CYNTHIA SEKIGUCHI/ARQUIVO DA EDITORA</v>
      </c>
      <c r="Z818" s="31" t="s">
        <v>438</v>
      </c>
      <c r="AA818" s="31" t="str">
        <f>Tabela2[[#This Row],[ILUSTRADOR CRIAÇÃO]]</f>
        <v>CYNTHIA SEKIGUCHI/ARQUIVO DA EDITORA</v>
      </c>
      <c r="AB818" s="33">
        <v>13</v>
      </c>
      <c r="AC818" s="16" t="s">
        <v>222</v>
      </c>
      <c r="AD818" s="16" t="s">
        <v>40</v>
      </c>
      <c r="AE818" s="35" t="str">
        <f t="shared" si="12"/>
        <v>EF1 E002 Mat</v>
      </c>
    </row>
    <row r="819" spans="1:31" ht="30" x14ac:dyDescent="0.25">
      <c r="A819" s="31" t="s">
        <v>1744</v>
      </c>
      <c r="B819" s="16" t="s">
        <v>32</v>
      </c>
      <c r="C819" s="16" t="s">
        <v>164</v>
      </c>
      <c r="D819" s="33" t="s">
        <v>34</v>
      </c>
      <c r="E819" s="33">
        <v>132</v>
      </c>
      <c r="F819" s="33">
        <v>1</v>
      </c>
      <c r="G819" s="33">
        <v>5</v>
      </c>
      <c r="H819" s="33"/>
      <c r="I819" s="31" t="s">
        <v>35</v>
      </c>
      <c r="J819" s="31"/>
      <c r="K819" s="33"/>
      <c r="L819" s="33"/>
      <c r="M819" s="31"/>
      <c r="N819" s="31"/>
      <c r="O819" s="16" t="s">
        <v>1741</v>
      </c>
      <c r="P819" s="16"/>
      <c r="Q819" s="16"/>
      <c r="R819" s="33">
        <v>61</v>
      </c>
      <c r="S819" s="34">
        <v>45825</v>
      </c>
      <c r="T819" s="34">
        <v>45826</v>
      </c>
      <c r="U819" s="34"/>
      <c r="V819" s="34"/>
      <c r="W819" s="34">
        <v>45826</v>
      </c>
      <c r="X819" s="33" t="s">
        <v>1119</v>
      </c>
      <c r="Y819" s="35" t="str">
        <f>IF(Tabela2[[#This Row],[SIGLA]]="","",VLOOKUP(Tabela2[[#This Row],[SIGLA]],Tabela1[[#All],[Sigla Arte]:[Crédito]],2,0))</f>
        <v>CYNTHIA SEKIGUCHI/ARQUIVO DA EDITORA</v>
      </c>
      <c r="Z819" s="31" t="s">
        <v>438</v>
      </c>
      <c r="AA819" s="31" t="str">
        <f>Tabela2[[#This Row],[ILUSTRADOR CRIAÇÃO]]</f>
        <v>CYNTHIA SEKIGUCHI/ARQUIVO DA EDITORA</v>
      </c>
      <c r="AB819" s="33">
        <v>13</v>
      </c>
      <c r="AC819" s="16" t="s">
        <v>222</v>
      </c>
      <c r="AD819" s="16" t="s">
        <v>40</v>
      </c>
      <c r="AE819" s="35" t="str">
        <f t="shared" si="12"/>
        <v>EF1 E002 Mat</v>
      </c>
    </row>
    <row r="820" spans="1:31" ht="75" x14ac:dyDescent="0.25">
      <c r="A820" s="31" t="s">
        <v>1745</v>
      </c>
      <c r="B820" s="16" t="s">
        <v>32</v>
      </c>
      <c r="C820" s="16" t="s">
        <v>33</v>
      </c>
      <c r="D820" s="33" t="s">
        <v>34</v>
      </c>
      <c r="E820" s="33">
        <v>133</v>
      </c>
      <c r="F820" s="33">
        <v>1</v>
      </c>
      <c r="G820" s="33">
        <v>5</v>
      </c>
      <c r="H820" s="33"/>
      <c r="I820" s="31" t="s">
        <v>35</v>
      </c>
      <c r="J820" s="31"/>
      <c r="K820" s="33"/>
      <c r="L820" s="33"/>
      <c r="M820" s="31"/>
      <c r="N820" s="31"/>
      <c r="O820" s="16" t="s">
        <v>1746</v>
      </c>
      <c r="P820" s="16"/>
      <c r="Q820" s="16"/>
      <c r="R820" s="33">
        <v>17</v>
      </c>
      <c r="S820" s="34">
        <v>45748</v>
      </c>
      <c r="T820" s="34">
        <v>45748</v>
      </c>
      <c r="U820" s="34"/>
      <c r="V820" s="34"/>
      <c r="W820" s="34">
        <v>45750</v>
      </c>
      <c r="X820" s="33" t="s">
        <v>85</v>
      </c>
      <c r="Y820" s="35" t="str">
        <f>IF(Tabela2[[#This Row],[SIGLA]]="","",VLOOKUP(Tabela2[[#This Row],[SIGLA]],Tabela1[[#All],[Sigla Arte]:[Crédito]],2,0))</f>
        <v>HELOÍSA PINTARELLI/ARQUIVO DA EDITORA</v>
      </c>
      <c r="Z820" s="31" t="s">
        <v>88</v>
      </c>
      <c r="AA820" s="31" t="str">
        <f>Tabela2[[#This Row],[ILUSTRADOR CRIAÇÃO]]</f>
        <v>HELOÍSA PINTARELLI/ARQUIVO DA EDITORA</v>
      </c>
      <c r="AB820" s="33">
        <v>14</v>
      </c>
      <c r="AC820" s="16" t="s">
        <v>39</v>
      </c>
      <c r="AD820" s="16" t="s">
        <v>40</v>
      </c>
      <c r="AE820" s="35" t="str">
        <f t="shared" si="12"/>
        <v>EF1 E002 Mat</v>
      </c>
    </row>
    <row r="821" spans="1:31" ht="45" x14ac:dyDescent="0.25">
      <c r="A821" s="31" t="s">
        <v>1747</v>
      </c>
      <c r="B821" s="16" t="s">
        <v>32</v>
      </c>
      <c r="C821" s="16" t="s">
        <v>164</v>
      </c>
      <c r="D821" s="33" t="s">
        <v>34</v>
      </c>
      <c r="E821" s="33">
        <v>134</v>
      </c>
      <c r="F821" s="33">
        <v>1</v>
      </c>
      <c r="G821" s="33">
        <v>5</v>
      </c>
      <c r="H821" s="33"/>
      <c r="I821" s="31" t="s">
        <v>46</v>
      </c>
      <c r="J821" s="31"/>
      <c r="K821" s="33"/>
      <c r="L821" s="33"/>
      <c r="M821" s="31"/>
      <c r="N821" s="31"/>
      <c r="O821" s="16" t="s">
        <v>1748</v>
      </c>
      <c r="P821" s="16"/>
      <c r="Q821" s="16"/>
      <c r="R821" s="33"/>
      <c r="S821" s="34"/>
      <c r="T821" s="34"/>
      <c r="U821" s="34"/>
      <c r="V821" s="34"/>
      <c r="W821" s="34"/>
      <c r="X821" s="33" t="s">
        <v>470</v>
      </c>
      <c r="Y821" s="35" t="str">
        <f>IF(Tabela2[[#This Row],[SIGLA]]="","",VLOOKUP(Tabela2[[#This Row],[SIGLA]],Tabela1[[#All],[Sigla Arte]:[Crédito]],2,0))</f>
        <v>RENAN FONSECA/ARQUIVO DA EDITORA</v>
      </c>
      <c r="Z821" s="31"/>
      <c r="AA821" s="31" t="str">
        <f>Tabela2[[#This Row],[ILUSTRADOR CRIAÇÃO]]</f>
        <v>RENAN FONSECA/ARQUIVO DA EDITORA</v>
      </c>
      <c r="AB821" s="33"/>
      <c r="AC821" s="16"/>
      <c r="AE821" s="35" t="str">
        <f t="shared" si="12"/>
        <v>EF1 E002 Mat</v>
      </c>
    </row>
    <row r="822" spans="1:31" ht="45" x14ac:dyDescent="0.25">
      <c r="A822" s="31" t="s">
        <v>1749</v>
      </c>
      <c r="B822" s="16" t="s">
        <v>32</v>
      </c>
      <c r="C822" s="16" t="s">
        <v>164</v>
      </c>
      <c r="D822" s="33" t="s">
        <v>34</v>
      </c>
      <c r="E822" s="33">
        <v>134</v>
      </c>
      <c r="F822" s="33">
        <v>1</v>
      </c>
      <c r="G822" s="33">
        <v>5</v>
      </c>
      <c r="H822" s="33"/>
      <c r="I822" s="31" t="s">
        <v>46</v>
      </c>
      <c r="J822" s="31"/>
      <c r="K822" s="33"/>
      <c r="L822" s="33"/>
      <c r="M822" s="31"/>
      <c r="N822" s="31"/>
      <c r="O822" s="16" t="s">
        <v>1750</v>
      </c>
      <c r="P822" s="16"/>
      <c r="Q822" s="16"/>
      <c r="R822" s="33"/>
      <c r="S822" s="34"/>
      <c r="T822" s="34"/>
      <c r="U822" s="34"/>
      <c r="V822" s="34"/>
      <c r="W822" s="34"/>
      <c r="X822" s="33" t="s">
        <v>470</v>
      </c>
      <c r="Y822" s="35" t="str">
        <f>IF(Tabela2[[#This Row],[SIGLA]]="","",VLOOKUP(Tabela2[[#This Row],[SIGLA]],Tabela1[[#All],[Sigla Arte]:[Crédito]],2,0))</f>
        <v>RENAN FONSECA/ARQUIVO DA EDITORA</v>
      </c>
      <c r="Z822" s="31"/>
      <c r="AA822" s="31" t="str">
        <f>Tabela2[[#This Row],[ILUSTRADOR CRIAÇÃO]]</f>
        <v>RENAN FONSECA/ARQUIVO DA EDITORA</v>
      </c>
      <c r="AB822" s="33"/>
      <c r="AC822" s="16"/>
      <c r="AE822" s="35" t="str">
        <f t="shared" si="12"/>
        <v>EF1 E002 Mat</v>
      </c>
    </row>
    <row r="823" spans="1:31" ht="45" x14ac:dyDescent="0.25">
      <c r="A823" s="31" t="s">
        <v>1751</v>
      </c>
      <c r="B823" s="16" t="s">
        <v>32</v>
      </c>
      <c r="C823" s="16" t="s">
        <v>164</v>
      </c>
      <c r="D823" s="33" t="s">
        <v>34</v>
      </c>
      <c r="E823" s="33">
        <v>134</v>
      </c>
      <c r="F823" s="33">
        <v>1</v>
      </c>
      <c r="G823" s="33">
        <v>5</v>
      </c>
      <c r="H823" s="33"/>
      <c r="I823" s="31" t="s">
        <v>46</v>
      </c>
      <c r="J823" s="31"/>
      <c r="K823" s="33"/>
      <c r="L823" s="33"/>
      <c r="M823" s="31"/>
      <c r="N823" s="31"/>
      <c r="O823" s="16" t="s">
        <v>1752</v>
      </c>
      <c r="P823" s="16"/>
      <c r="Q823" s="16"/>
      <c r="R823" s="33"/>
      <c r="S823" s="34"/>
      <c r="T823" s="34"/>
      <c r="U823" s="34"/>
      <c r="V823" s="34"/>
      <c r="W823" s="34"/>
      <c r="X823" s="33" t="s">
        <v>470</v>
      </c>
      <c r="Y823" s="35" t="str">
        <f>IF(Tabela2[[#This Row],[SIGLA]]="","",VLOOKUP(Tabela2[[#This Row],[SIGLA]],Tabela1[[#All],[Sigla Arte]:[Crédito]],2,0))</f>
        <v>RENAN FONSECA/ARQUIVO DA EDITORA</v>
      </c>
      <c r="Z823" s="31"/>
      <c r="AA823" s="31" t="str">
        <f>Tabela2[[#This Row],[ILUSTRADOR CRIAÇÃO]]</f>
        <v>RENAN FONSECA/ARQUIVO DA EDITORA</v>
      </c>
      <c r="AB823" s="33"/>
      <c r="AC823" s="16"/>
      <c r="AE823" s="35" t="str">
        <f t="shared" si="12"/>
        <v>EF1 E002 Mat</v>
      </c>
    </row>
    <row r="824" spans="1:31" ht="45" x14ac:dyDescent="0.25">
      <c r="A824" s="31" t="s">
        <v>1753</v>
      </c>
      <c r="B824" s="16" t="s">
        <v>32</v>
      </c>
      <c r="C824" s="16" t="s">
        <v>164</v>
      </c>
      <c r="D824" s="33" t="s">
        <v>34</v>
      </c>
      <c r="E824" s="33">
        <v>134</v>
      </c>
      <c r="F824" s="33">
        <v>1</v>
      </c>
      <c r="G824" s="33">
        <v>5</v>
      </c>
      <c r="H824" s="33"/>
      <c r="I824" s="31" t="s">
        <v>46</v>
      </c>
      <c r="J824" s="31"/>
      <c r="K824" s="33"/>
      <c r="L824" s="33"/>
      <c r="M824" s="31"/>
      <c r="N824" s="31"/>
      <c r="O824" s="16" t="s">
        <v>1754</v>
      </c>
      <c r="P824" s="16"/>
      <c r="Q824" s="16"/>
      <c r="R824" s="33"/>
      <c r="S824" s="34"/>
      <c r="T824" s="34"/>
      <c r="U824" s="34"/>
      <c r="V824" s="34"/>
      <c r="W824" s="34"/>
      <c r="X824" s="33" t="s">
        <v>470</v>
      </c>
      <c r="Y824" s="35" t="str">
        <f>IF(Tabela2[[#This Row],[SIGLA]]="","",VLOOKUP(Tabela2[[#This Row],[SIGLA]],Tabela1[[#All],[Sigla Arte]:[Crédito]],2,0))</f>
        <v>RENAN FONSECA/ARQUIVO DA EDITORA</v>
      </c>
      <c r="Z824" s="31"/>
      <c r="AA824" s="31" t="str">
        <f>Tabela2[[#This Row],[ILUSTRADOR CRIAÇÃO]]</f>
        <v>RENAN FONSECA/ARQUIVO DA EDITORA</v>
      </c>
      <c r="AB824" s="33"/>
      <c r="AC824" s="16"/>
      <c r="AE824" s="35" t="str">
        <f t="shared" si="12"/>
        <v>EF1 E002 Mat</v>
      </c>
    </row>
    <row r="825" spans="1:31" ht="45" x14ac:dyDescent="0.25">
      <c r="A825" s="31" t="s">
        <v>1755</v>
      </c>
      <c r="B825" s="16" t="s">
        <v>32</v>
      </c>
      <c r="C825" s="16" t="s">
        <v>164</v>
      </c>
      <c r="D825" s="33" t="s">
        <v>34</v>
      </c>
      <c r="E825" s="33">
        <v>134</v>
      </c>
      <c r="F825" s="33">
        <v>1</v>
      </c>
      <c r="G825" s="33">
        <v>5</v>
      </c>
      <c r="H825" s="33"/>
      <c r="I825" s="31" t="s">
        <v>46</v>
      </c>
      <c r="J825" s="31"/>
      <c r="K825" s="33"/>
      <c r="L825" s="33"/>
      <c r="M825" s="31"/>
      <c r="N825" s="31"/>
      <c r="O825" s="16" t="s">
        <v>1756</v>
      </c>
      <c r="P825" s="16"/>
      <c r="Q825" s="16"/>
      <c r="R825" s="33"/>
      <c r="S825" s="34"/>
      <c r="T825" s="34"/>
      <c r="U825" s="34"/>
      <c r="V825" s="34"/>
      <c r="W825" s="34"/>
      <c r="X825" s="33" t="s">
        <v>470</v>
      </c>
      <c r="Y825" s="35" t="str">
        <f>IF(Tabela2[[#This Row],[SIGLA]]="","",VLOOKUP(Tabela2[[#This Row],[SIGLA]],Tabela1[[#All],[Sigla Arte]:[Crédito]],2,0))</f>
        <v>RENAN FONSECA/ARQUIVO DA EDITORA</v>
      </c>
      <c r="Z825" s="31"/>
      <c r="AA825" s="31" t="str">
        <f>Tabela2[[#This Row],[ILUSTRADOR CRIAÇÃO]]</f>
        <v>RENAN FONSECA/ARQUIVO DA EDITORA</v>
      </c>
      <c r="AB825" s="33"/>
      <c r="AC825" s="16"/>
      <c r="AE825" s="35" t="str">
        <f t="shared" si="12"/>
        <v>EF1 E002 Mat</v>
      </c>
    </row>
    <row r="826" spans="1:31" ht="45" x14ac:dyDescent="0.25">
      <c r="A826" s="31" t="s">
        <v>1757</v>
      </c>
      <c r="B826" s="16" t="s">
        <v>32</v>
      </c>
      <c r="C826" s="16" t="s">
        <v>164</v>
      </c>
      <c r="D826" s="33" t="s">
        <v>34</v>
      </c>
      <c r="E826" s="33">
        <v>134</v>
      </c>
      <c r="F826" s="33">
        <v>1</v>
      </c>
      <c r="G826" s="33">
        <v>5</v>
      </c>
      <c r="H826" s="33"/>
      <c r="I826" s="31" t="s">
        <v>46</v>
      </c>
      <c r="J826" s="31"/>
      <c r="K826" s="33"/>
      <c r="L826" s="33"/>
      <c r="M826" s="31"/>
      <c r="N826" s="31"/>
      <c r="O826" s="16" t="s">
        <v>1758</v>
      </c>
      <c r="P826" s="16"/>
      <c r="Q826" s="16"/>
      <c r="R826" s="33"/>
      <c r="S826" s="34"/>
      <c r="T826" s="34"/>
      <c r="U826" s="34"/>
      <c r="V826" s="34"/>
      <c r="W826" s="34"/>
      <c r="X826" s="33" t="s">
        <v>470</v>
      </c>
      <c r="Y826" s="35" t="str">
        <f>IF(Tabela2[[#This Row],[SIGLA]]="","",VLOOKUP(Tabela2[[#This Row],[SIGLA]],Tabela1[[#All],[Sigla Arte]:[Crédito]],2,0))</f>
        <v>RENAN FONSECA/ARQUIVO DA EDITORA</v>
      </c>
      <c r="Z826" s="31"/>
      <c r="AA826" s="31" t="str">
        <f>Tabela2[[#This Row],[ILUSTRADOR CRIAÇÃO]]</f>
        <v>RENAN FONSECA/ARQUIVO DA EDITORA</v>
      </c>
      <c r="AB826" s="33"/>
      <c r="AC826" s="16"/>
      <c r="AE826" s="35" t="str">
        <f t="shared" si="12"/>
        <v>EF1 E002 Mat</v>
      </c>
    </row>
    <row r="827" spans="1:31" ht="45" x14ac:dyDescent="0.25">
      <c r="A827" s="31" t="s">
        <v>1759</v>
      </c>
      <c r="B827" s="16" t="s">
        <v>32</v>
      </c>
      <c r="C827" s="16" t="s">
        <v>164</v>
      </c>
      <c r="D827" s="33" t="s">
        <v>34</v>
      </c>
      <c r="E827" s="33">
        <v>134</v>
      </c>
      <c r="F827" s="33">
        <v>1</v>
      </c>
      <c r="G827" s="33">
        <v>5</v>
      </c>
      <c r="H827" s="33"/>
      <c r="I827" s="31" t="s">
        <v>46</v>
      </c>
      <c r="J827" s="31"/>
      <c r="K827" s="33"/>
      <c r="L827" s="33"/>
      <c r="M827" s="31"/>
      <c r="N827" s="31"/>
      <c r="O827" s="16" t="s">
        <v>1760</v>
      </c>
      <c r="P827" s="16"/>
      <c r="Q827" s="16"/>
      <c r="R827" s="33"/>
      <c r="S827" s="34"/>
      <c r="T827" s="34"/>
      <c r="U827" s="34"/>
      <c r="V827" s="34"/>
      <c r="W827" s="34"/>
      <c r="X827" s="33" t="s">
        <v>470</v>
      </c>
      <c r="Y827" s="35" t="str">
        <f>IF(Tabela2[[#This Row],[SIGLA]]="","",VLOOKUP(Tabela2[[#This Row],[SIGLA]],Tabela1[[#All],[Sigla Arte]:[Crédito]],2,0))</f>
        <v>RENAN FONSECA/ARQUIVO DA EDITORA</v>
      </c>
      <c r="Z827" s="31"/>
      <c r="AA827" s="31" t="str">
        <f>Tabela2[[#This Row],[ILUSTRADOR CRIAÇÃO]]</f>
        <v>RENAN FONSECA/ARQUIVO DA EDITORA</v>
      </c>
      <c r="AB827" s="33"/>
      <c r="AC827" s="16"/>
      <c r="AE827" s="35" t="str">
        <f t="shared" si="12"/>
        <v>EF1 E002 Mat</v>
      </c>
    </row>
    <row r="828" spans="1:31" ht="45" x14ac:dyDescent="0.25">
      <c r="A828" s="31" t="s">
        <v>1761</v>
      </c>
      <c r="B828" s="16" t="s">
        <v>32</v>
      </c>
      <c r="C828" s="16" t="s">
        <v>164</v>
      </c>
      <c r="D828" s="33" t="s">
        <v>34</v>
      </c>
      <c r="E828" s="33">
        <v>134</v>
      </c>
      <c r="F828" s="33">
        <v>1</v>
      </c>
      <c r="G828" s="33">
        <v>5</v>
      </c>
      <c r="H828" s="33"/>
      <c r="I828" s="31" t="s">
        <v>46</v>
      </c>
      <c r="J828" s="31"/>
      <c r="K828" s="33"/>
      <c r="L828" s="33"/>
      <c r="M828" s="31"/>
      <c r="N828" s="31"/>
      <c r="O828" s="16" t="s">
        <v>1762</v>
      </c>
      <c r="P828" s="16"/>
      <c r="Q828" s="16"/>
      <c r="R828" s="33"/>
      <c r="S828" s="34"/>
      <c r="T828" s="34"/>
      <c r="U828" s="34"/>
      <c r="V828" s="34"/>
      <c r="W828" s="34"/>
      <c r="X828" s="33" t="s">
        <v>470</v>
      </c>
      <c r="Y828" s="35" t="str">
        <f>IF(Tabela2[[#This Row],[SIGLA]]="","",VLOOKUP(Tabela2[[#This Row],[SIGLA]],Tabela1[[#All],[Sigla Arte]:[Crédito]],2,0))</f>
        <v>RENAN FONSECA/ARQUIVO DA EDITORA</v>
      </c>
      <c r="Z828" s="31"/>
      <c r="AA828" s="31" t="str">
        <f>Tabela2[[#This Row],[ILUSTRADOR CRIAÇÃO]]</f>
        <v>RENAN FONSECA/ARQUIVO DA EDITORA</v>
      </c>
      <c r="AB828" s="33"/>
      <c r="AC828" s="16"/>
      <c r="AE828" s="35" t="str">
        <f t="shared" si="12"/>
        <v>EF1 E002 Mat</v>
      </c>
    </row>
    <row r="829" spans="1:31" ht="45" x14ac:dyDescent="0.25">
      <c r="A829" s="31" t="s">
        <v>1763</v>
      </c>
      <c r="B829" s="16" t="s">
        <v>32</v>
      </c>
      <c r="C829" s="16" t="s">
        <v>164</v>
      </c>
      <c r="D829" s="33" t="s">
        <v>34</v>
      </c>
      <c r="E829" s="33">
        <v>134</v>
      </c>
      <c r="F829" s="33">
        <v>1</v>
      </c>
      <c r="G829" s="33">
        <v>5</v>
      </c>
      <c r="H829" s="33"/>
      <c r="I829" s="31" t="s">
        <v>46</v>
      </c>
      <c r="J829" s="31"/>
      <c r="K829" s="33"/>
      <c r="L829" s="33"/>
      <c r="M829" s="31"/>
      <c r="N829" s="31"/>
      <c r="O829" s="16" t="s">
        <v>1764</v>
      </c>
      <c r="P829" s="16"/>
      <c r="Q829" s="16"/>
      <c r="R829" s="33"/>
      <c r="S829" s="34"/>
      <c r="T829" s="34"/>
      <c r="U829" s="34"/>
      <c r="V829" s="34"/>
      <c r="W829" s="34"/>
      <c r="X829" s="33" t="s">
        <v>470</v>
      </c>
      <c r="Y829" s="35" t="str">
        <f>IF(Tabela2[[#This Row],[SIGLA]]="","",VLOOKUP(Tabela2[[#This Row],[SIGLA]],Tabela1[[#All],[Sigla Arte]:[Crédito]],2,0))</f>
        <v>RENAN FONSECA/ARQUIVO DA EDITORA</v>
      </c>
      <c r="Z829" s="31"/>
      <c r="AA829" s="31" t="str">
        <f>Tabela2[[#This Row],[ILUSTRADOR CRIAÇÃO]]</f>
        <v>RENAN FONSECA/ARQUIVO DA EDITORA</v>
      </c>
      <c r="AB829" s="33"/>
      <c r="AC829" s="16"/>
      <c r="AE829" s="35" t="str">
        <f t="shared" si="12"/>
        <v>EF1 E002 Mat</v>
      </c>
    </row>
    <row r="830" spans="1:31" ht="45" x14ac:dyDescent="0.25">
      <c r="A830" s="31" t="s">
        <v>1765</v>
      </c>
      <c r="B830" s="16" t="s">
        <v>32</v>
      </c>
      <c r="C830" s="16" t="s">
        <v>164</v>
      </c>
      <c r="D830" s="33" t="s">
        <v>34</v>
      </c>
      <c r="E830" s="33">
        <v>134</v>
      </c>
      <c r="F830" s="33">
        <v>1</v>
      </c>
      <c r="G830" s="33">
        <v>5</v>
      </c>
      <c r="H830" s="33"/>
      <c r="I830" s="31" t="s">
        <v>46</v>
      </c>
      <c r="J830" s="31"/>
      <c r="K830" s="33"/>
      <c r="L830" s="33"/>
      <c r="M830" s="31"/>
      <c r="N830" s="31"/>
      <c r="O830" s="16" t="s">
        <v>1766</v>
      </c>
      <c r="P830" s="16"/>
      <c r="Q830" s="16"/>
      <c r="R830" s="33"/>
      <c r="S830" s="34"/>
      <c r="T830" s="34"/>
      <c r="U830" s="34"/>
      <c r="V830" s="34"/>
      <c r="W830" s="34"/>
      <c r="X830" s="33" t="s">
        <v>470</v>
      </c>
      <c r="Y830" s="35" t="str">
        <f>IF(Tabela2[[#This Row],[SIGLA]]="","",VLOOKUP(Tabela2[[#This Row],[SIGLA]],Tabela1[[#All],[Sigla Arte]:[Crédito]],2,0))</f>
        <v>RENAN FONSECA/ARQUIVO DA EDITORA</v>
      </c>
      <c r="Z830" s="31"/>
      <c r="AA830" s="31" t="str">
        <f>Tabela2[[#This Row],[ILUSTRADOR CRIAÇÃO]]</f>
        <v>RENAN FONSECA/ARQUIVO DA EDITORA</v>
      </c>
      <c r="AB830" s="33"/>
      <c r="AC830" s="16"/>
      <c r="AE830" s="35" t="str">
        <f t="shared" si="12"/>
        <v>EF1 E002 Mat</v>
      </c>
    </row>
    <row r="831" spans="1:31" ht="45" x14ac:dyDescent="0.25">
      <c r="A831" s="31" t="s">
        <v>1767</v>
      </c>
      <c r="B831" s="16" t="s">
        <v>32</v>
      </c>
      <c r="C831" s="16" t="s">
        <v>33</v>
      </c>
      <c r="D831" s="33" t="s">
        <v>34</v>
      </c>
      <c r="E831" s="33">
        <v>135</v>
      </c>
      <c r="F831" s="33">
        <v>1</v>
      </c>
      <c r="G831" s="33">
        <v>5</v>
      </c>
      <c r="H831" s="33"/>
      <c r="I831" s="31" t="s">
        <v>35</v>
      </c>
      <c r="J831" s="31"/>
      <c r="K831" s="33"/>
      <c r="L831" s="33"/>
      <c r="M831" s="31"/>
      <c r="N831" s="31"/>
      <c r="O831" s="16" t="s">
        <v>1768</v>
      </c>
      <c r="P831" s="16"/>
      <c r="Q831" s="16"/>
      <c r="R831" s="33">
        <v>61</v>
      </c>
      <c r="S831" s="34">
        <v>45825</v>
      </c>
      <c r="T831" s="34">
        <v>45826</v>
      </c>
      <c r="U831" s="34"/>
      <c r="V831" s="34"/>
      <c r="W831" s="34">
        <v>45826</v>
      </c>
      <c r="X831" s="33" t="s">
        <v>162</v>
      </c>
      <c r="Y831" s="35" t="str">
        <f>IF(Tabela2[[#This Row],[SIGLA]]="","",VLOOKUP(Tabela2[[#This Row],[SIGLA]],Tabela1[[#All],[Sigla Arte]:[Crédito]],2,0))</f>
        <v>IVY NUNES/ARQUIVO DA EDITORA</v>
      </c>
      <c r="Z831" s="31" t="s">
        <v>438</v>
      </c>
      <c r="AA831" s="31" t="str">
        <f>Tabela2[[#This Row],[ILUSTRADOR CRIAÇÃO]]</f>
        <v>IVY NUNES/ARQUIVO DA EDITORA</v>
      </c>
      <c r="AB831" s="33">
        <v>13</v>
      </c>
      <c r="AC831" s="16" t="s">
        <v>222</v>
      </c>
      <c r="AD831" s="16" t="s">
        <v>40</v>
      </c>
      <c r="AE831" s="35" t="str">
        <f t="shared" si="12"/>
        <v>EF1 E002 Mat</v>
      </c>
    </row>
    <row r="832" spans="1:31" ht="45" x14ac:dyDescent="0.25">
      <c r="A832" s="31" t="s">
        <v>1769</v>
      </c>
      <c r="B832" s="16" t="s">
        <v>401</v>
      </c>
      <c r="C832" s="16" t="s">
        <v>164</v>
      </c>
      <c r="D832" s="33" t="s">
        <v>34</v>
      </c>
      <c r="E832" s="33">
        <v>135</v>
      </c>
      <c r="F832" s="33">
        <v>1</v>
      </c>
      <c r="G832" s="33">
        <v>5</v>
      </c>
      <c r="H832" s="33"/>
      <c r="I832" s="31" t="s">
        <v>46</v>
      </c>
      <c r="J832" s="31"/>
      <c r="K832" s="33"/>
      <c r="L832" s="33"/>
      <c r="M832" s="31"/>
      <c r="N832" s="31"/>
      <c r="O832" s="16" t="s">
        <v>1770</v>
      </c>
      <c r="P832" s="16"/>
      <c r="Q832" s="16" t="s">
        <v>514</v>
      </c>
      <c r="R832" s="33"/>
      <c r="S832" s="34"/>
      <c r="T832" s="34"/>
      <c r="U832" s="34"/>
      <c r="V832" s="34"/>
      <c r="W832" s="34"/>
      <c r="X832" s="33" t="s">
        <v>48</v>
      </c>
      <c r="Y832" s="35" t="str">
        <f>IF(Tabela2[[#This Row],[SIGLA]]="","",VLOOKUP(Tabela2[[#This Row],[SIGLA]],Tabela1[[#All],[Sigla Arte]:[Crédito]],2,0))</f>
        <v>SERGIO LIMA/ARQUIVO DA EDITORA</v>
      </c>
      <c r="Z832" s="31"/>
      <c r="AA832" s="31" t="str">
        <f>Tabela2[[#This Row],[ILUSTRADOR CRIAÇÃO]]</f>
        <v>SERGIO LIMA/ARQUIVO DA EDITORA</v>
      </c>
      <c r="AB832" s="33"/>
      <c r="AC832" s="16"/>
      <c r="AE832" s="35" t="str">
        <f t="shared" si="12"/>
        <v>EF1 E002 Mat</v>
      </c>
    </row>
    <row r="833" spans="1:31" ht="45" x14ac:dyDescent="0.25">
      <c r="A833" s="31" t="s">
        <v>1771</v>
      </c>
      <c r="B833" s="16" t="s">
        <v>32</v>
      </c>
      <c r="C833" s="16" t="s">
        <v>164</v>
      </c>
      <c r="D833" s="33" t="s">
        <v>34</v>
      </c>
      <c r="E833" s="33">
        <v>135</v>
      </c>
      <c r="F833" s="33">
        <v>1</v>
      </c>
      <c r="G833" s="33">
        <v>5</v>
      </c>
      <c r="H833" s="33"/>
      <c r="I833" s="31" t="s">
        <v>46</v>
      </c>
      <c r="J833" s="31"/>
      <c r="K833" s="33"/>
      <c r="L833" s="33"/>
      <c r="M833" s="31"/>
      <c r="N833" s="31"/>
      <c r="O833" s="16" t="s">
        <v>1772</v>
      </c>
      <c r="P833" s="16"/>
      <c r="Q833" s="16"/>
      <c r="R833" s="33"/>
      <c r="S833" s="34"/>
      <c r="T833" s="34"/>
      <c r="U833" s="34"/>
      <c r="V833" s="34"/>
      <c r="W833" s="34"/>
      <c r="X833" s="33" t="s">
        <v>48</v>
      </c>
      <c r="Y833" s="35" t="str">
        <f>IF(Tabela2[[#This Row],[SIGLA]]="","",VLOOKUP(Tabela2[[#This Row],[SIGLA]],Tabela1[[#All],[Sigla Arte]:[Crédito]],2,0))</f>
        <v>SERGIO LIMA/ARQUIVO DA EDITORA</v>
      </c>
      <c r="Z833" s="31"/>
      <c r="AA833" s="31" t="str">
        <f>Tabela2[[#This Row],[ILUSTRADOR CRIAÇÃO]]</f>
        <v>SERGIO LIMA/ARQUIVO DA EDITORA</v>
      </c>
      <c r="AB833" s="33"/>
      <c r="AC833" s="16"/>
      <c r="AE833" s="35" t="str">
        <f t="shared" si="12"/>
        <v>EF1 E002 Mat</v>
      </c>
    </row>
    <row r="834" spans="1:31" ht="45" x14ac:dyDescent="0.25">
      <c r="A834" s="31" t="s">
        <v>1773</v>
      </c>
      <c r="B834" s="16" t="s">
        <v>32</v>
      </c>
      <c r="C834" s="16" t="s">
        <v>164</v>
      </c>
      <c r="D834" s="33" t="s">
        <v>34</v>
      </c>
      <c r="E834" s="33">
        <v>135</v>
      </c>
      <c r="F834" s="33">
        <v>1</v>
      </c>
      <c r="G834" s="33">
        <v>5</v>
      </c>
      <c r="H834" s="33"/>
      <c r="I834" s="31" t="s">
        <v>46</v>
      </c>
      <c r="J834" s="31"/>
      <c r="K834" s="33"/>
      <c r="L834" s="33"/>
      <c r="M834" s="31"/>
      <c r="N834" s="31"/>
      <c r="O834" s="16" t="s">
        <v>1774</v>
      </c>
      <c r="P834" s="16"/>
      <c r="Q834" s="16"/>
      <c r="R834" s="33"/>
      <c r="S834" s="34"/>
      <c r="T834" s="34"/>
      <c r="U834" s="34"/>
      <c r="V834" s="34"/>
      <c r="W834" s="34"/>
      <c r="X834" s="33" t="s">
        <v>48</v>
      </c>
      <c r="Y834" s="35" t="str">
        <f>IF(Tabela2[[#This Row],[SIGLA]]="","",VLOOKUP(Tabela2[[#This Row],[SIGLA]],Tabela1[[#All],[Sigla Arte]:[Crédito]],2,0))</f>
        <v>SERGIO LIMA/ARQUIVO DA EDITORA</v>
      </c>
      <c r="Z834" s="31"/>
      <c r="AA834" s="31" t="str">
        <f>Tabela2[[#This Row],[ILUSTRADOR CRIAÇÃO]]</f>
        <v>SERGIO LIMA/ARQUIVO DA EDITORA</v>
      </c>
      <c r="AB834" s="33"/>
      <c r="AC834" s="16"/>
      <c r="AE834" s="35" t="str">
        <f t="shared" ref="AE834:AE897" si="13">"EF1 E002 Mat"</f>
        <v>EF1 E002 Mat</v>
      </c>
    </row>
    <row r="835" spans="1:31" ht="45" x14ac:dyDescent="0.25">
      <c r="A835" s="31" t="s">
        <v>1775</v>
      </c>
      <c r="B835" s="16" t="s">
        <v>32</v>
      </c>
      <c r="C835" s="16" t="s">
        <v>164</v>
      </c>
      <c r="D835" s="33" t="s">
        <v>34</v>
      </c>
      <c r="E835" s="33">
        <v>136</v>
      </c>
      <c r="F835" s="33">
        <v>1</v>
      </c>
      <c r="G835" s="33">
        <v>5</v>
      </c>
      <c r="H835" s="33"/>
      <c r="I835" s="31" t="s">
        <v>46</v>
      </c>
      <c r="J835" s="31"/>
      <c r="K835" s="33"/>
      <c r="L835" s="33"/>
      <c r="M835" s="31"/>
      <c r="N835" s="31"/>
      <c r="O835" s="16" t="s">
        <v>1776</v>
      </c>
      <c r="P835" s="16"/>
      <c r="Q835" s="16"/>
      <c r="R835" s="33"/>
      <c r="S835" s="34"/>
      <c r="T835" s="34"/>
      <c r="U835" s="34"/>
      <c r="V835" s="34"/>
      <c r="W835" s="34"/>
      <c r="X835" s="33" t="s">
        <v>85</v>
      </c>
      <c r="Y835" s="35" t="str">
        <f>IF(Tabela2[[#This Row],[SIGLA]]="","",VLOOKUP(Tabela2[[#This Row],[SIGLA]],Tabela1[[#All],[Sigla Arte]:[Crédito]],2,0))</f>
        <v>HELOÍSA PINTARELLI/ARQUIVO DA EDITORA</v>
      </c>
      <c r="Z835" s="31"/>
      <c r="AA835" s="31" t="str">
        <f>Tabela2[[#This Row],[ILUSTRADOR CRIAÇÃO]]</f>
        <v>HELOÍSA PINTARELLI/ARQUIVO DA EDITORA</v>
      </c>
      <c r="AB835" s="33"/>
      <c r="AC835" s="16"/>
      <c r="AE835" s="35" t="str">
        <f t="shared" si="13"/>
        <v>EF1 E002 Mat</v>
      </c>
    </row>
    <row r="836" spans="1:31" ht="45" x14ac:dyDescent="0.25">
      <c r="A836" s="31" t="s">
        <v>1777</v>
      </c>
      <c r="B836" s="16" t="s">
        <v>32</v>
      </c>
      <c r="C836" s="16" t="s">
        <v>164</v>
      </c>
      <c r="D836" s="33" t="s">
        <v>34</v>
      </c>
      <c r="E836" s="33">
        <v>136</v>
      </c>
      <c r="F836" s="33">
        <v>1</v>
      </c>
      <c r="G836" s="33">
        <v>5</v>
      </c>
      <c r="H836" s="33"/>
      <c r="I836" s="31" t="s">
        <v>46</v>
      </c>
      <c r="J836" s="31"/>
      <c r="K836" s="33"/>
      <c r="L836" s="33"/>
      <c r="M836" s="31"/>
      <c r="N836" s="31"/>
      <c r="O836" s="16" t="s">
        <v>1778</v>
      </c>
      <c r="P836" s="16"/>
      <c r="Q836" s="16"/>
      <c r="R836" s="33"/>
      <c r="S836" s="34"/>
      <c r="T836" s="34"/>
      <c r="U836" s="34"/>
      <c r="V836" s="34"/>
      <c r="W836" s="34"/>
      <c r="X836" s="33" t="s">
        <v>85</v>
      </c>
      <c r="Y836" s="35" t="str">
        <f>IF(Tabela2[[#This Row],[SIGLA]]="","",VLOOKUP(Tabela2[[#This Row],[SIGLA]],Tabela1[[#All],[Sigla Arte]:[Crédito]],2,0))</f>
        <v>HELOÍSA PINTARELLI/ARQUIVO DA EDITORA</v>
      </c>
      <c r="Z836" s="31"/>
      <c r="AA836" s="31" t="str">
        <f>Tabela2[[#This Row],[ILUSTRADOR CRIAÇÃO]]</f>
        <v>HELOÍSA PINTARELLI/ARQUIVO DA EDITORA</v>
      </c>
      <c r="AB836" s="33"/>
      <c r="AC836" s="16"/>
      <c r="AE836" s="35" t="str">
        <f t="shared" si="13"/>
        <v>EF1 E002 Mat</v>
      </c>
    </row>
    <row r="837" spans="1:31" ht="45" x14ac:dyDescent="0.25">
      <c r="A837" s="31" t="s">
        <v>1779</v>
      </c>
      <c r="B837" s="16" t="s">
        <v>32</v>
      </c>
      <c r="C837" s="16" t="s">
        <v>164</v>
      </c>
      <c r="D837" s="33" t="s">
        <v>34</v>
      </c>
      <c r="E837" s="33">
        <v>136</v>
      </c>
      <c r="F837" s="33">
        <v>1</v>
      </c>
      <c r="G837" s="33">
        <v>5</v>
      </c>
      <c r="H837" s="33"/>
      <c r="I837" s="31" t="s">
        <v>46</v>
      </c>
      <c r="J837" s="31"/>
      <c r="K837" s="33"/>
      <c r="L837" s="33"/>
      <c r="M837" s="31"/>
      <c r="N837" s="31"/>
      <c r="O837" s="16" t="s">
        <v>1780</v>
      </c>
      <c r="P837" s="16"/>
      <c r="Q837" s="16"/>
      <c r="R837" s="33"/>
      <c r="S837" s="34"/>
      <c r="T837" s="34"/>
      <c r="U837" s="34"/>
      <c r="V837" s="34"/>
      <c r="W837" s="34"/>
      <c r="X837" s="33" t="s">
        <v>85</v>
      </c>
      <c r="Y837" s="35" t="str">
        <f>IF(Tabela2[[#This Row],[SIGLA]]="","",VLOOKUP(Tabela2[[#This Row],[SIGLA]],Tabela1[[#All],[Sigla Arte]:[Crédito]],2,0))</f>
        <v>HELOÍSA PINTARELLI/ARQUIVO DA EDITORA</v>
      </c>
      <c r="Z837" s="31"/>
      <c r="AA837" s="31" t="str">
        <f>Tabela2[[#This Row],[ILUSTRADOR CRIAÇÃO]]</f>
        <v>HELOÍSA PINTARELLI/ARQUIVO DA EDITORA</v>
      </c>
      <c r="AB837" s="33"/>
      <c r="AC837" s="16"/>
      <c r="AE837" s="35" t="str">
        <f t="shared" si="13"/>
        <v>EF1 E002 Mat</v>
      </c>
    </row>
    <row r="838" spans="1:31" ht="45" x14ac:dyDescent="0.25">
      <c r="A838" s="31" t="s">
        <v>1781</v>
      </c>
      <c r="B838" s="16" t="s">
        <v>32</v>
      </c>
      <c r="C838" s="16" t="s">
        <v>164</v>
      </c>
      <c r="D838" s="33" t="s">
        <v>34</v>
      </c>
      <c r="E838" s="33">
        <v>136</v>
      </c>
      <c r="F838" s="33">
        <v>1</v>
      </c>
      <c r="G838" s="33">
        <v>5</v>
      </c>
      <c r="H838" s="33"/>
      <c r="I838" s="31" t="s">
        <v>46</v>
      </c>
      <c r="J838" s="31"/>
      <c r="K838" s="33"/>
      <c r="L838" s="33"/>
      <c r="M838" s="31"/>
      <c r="N838" s="31"/>
      <c r="O838" s="16" t="s">
        <v>1782</v>
      </c>
      <c r="P838" s="16"/>
      <c r="Q838" s="16"/>
      <c r="R838" s="33"/>
      <c r="S838" s="34"/>
      <c r="T838" s="34"/>
      <c r="U838" s="34"/>
      <c r="V838" s="34"/>
      <c r="W838" s="34"/>
      <c r="X838" s="33" t="s">
        <v>85</v>
      </c>
      <c r="Y838" s="35" t="str">
        <f>IF(Tabela2[[#This Row],[SIGLA]]="","",VLOOKUP(Tabela2[[#This Row],[SIGLA]],Tabela1[[#All],[Sigla Arte]:[Crédito]],2,0))</f>
        <v>HELOÍSA PINTARELLI/ARQUIVO DA EDITORA</v>
      </c>
      <c r="Z838" s="31"/>
      <c r="AA838" s="31" t="str">
        <f>Tabela2[[#This Row],[ILUSTRADOR CRIAÇÃO]]</f>
        <v>HELOÍSA PINTARELLI/ARQUIVO DA EDITORA</v>
      </c>
      <c r="AB838" s="33"/>
      <c r="AC838" s="16"/>
      <c r="AE838" s="35" t="str">
        <f t="shared" si="13"/>
        <v>EF1 E002 Mat</v>
      </c>
    </row>
    <row r="839" spans="1:31" ht="45" x14ac:dyDescent="0.25">
      <c r="A839" s="31" t="s">
        <v>1783</v>
      </c>
      <c r="B839" s="16" t="s">
        <v>32</v>
      </c>
      <c r="C839" s="16" t="s">
        <v>164</v>
      </c>
      <c r="D839" s="33" t="s">
        <v>34</v>
      </c>
      <c r="E839" s="33">
        <v>136</v>
      </c>
      <c r="F839" s="33">
        <v>1</v>
      </c>
      <c r="G839" s="33">
        <v>5</v>
      </c>
      <c r="H839" s="33"/>
      <c r="I839" s="31" t="s">
        <v>46</v>
      </c>
      <c r="J839" s="31"/>
      <c r="K839" s="33"/>
      <c r="L839" s="33"/>
      <c r="M839" s="31"/>
      <c r="N839" s="31"/>
      <c r="O839" s="16" t="s">
        <v>1784</v>
      </c>
      <c r="P839" s="16"/>
      <c r="Q839" s="16"/>
      <c r="R839" s="33"/>
      <c r="S839" s="34"/>
      <c r="T839" s="34"/>
      <c r="U839" s="34"/>
      <c r="V839" s="34"/>
      <c r="W839" s="34"/>
      <c r="X839" s="33" t="s">
        <v>85</v>
      </c>
      <c r="Y839" s="35" t="str">
        <f>IF(Tabela2[[#This Row],[SIGLA]]="","",VLOOKUP(Tabela2[[#This Row],[SIGLA]],Tabela1[[#All],[Sigla Arte]:[Crédito]],2,0))</f>
        <v>HELOÍSA PINTARELLI/ARQUIVO DA EDITORA</v>
      </c>
      <c r="Z839" s="31"/>
      <c r="AA839" s="31" t="str">
        <f>Tabela2[[#This Row],[ILUSTRADOR CRIAÇÃO]]</f>
        <v>HELOÍSA PINTARELLI/ARQUIVO DA EDITORA</v>
      </c>
      <c r="AB839" s="33"/>
      <c r="AC839" s="16"/>
      <c r="AE839" s="35" t="str">
        <f t="shared" si="13"/>
        <v>EF1 E002 Mat</v>
      </c>
    </row>
    <row r="840" spans="1:31" ht="45" x14ac:dyDescent="0.25">
      <c r="A840" s="31" t="s">
        <v>1785</v>
      </c>
      <c r="B840" s="16" t="s">
        <v>32</v>
      </c>
      <c r="C840" s="16" t="s">
        <v>164</v>
      </c>
      <c r="D840" s="33" t="s">
        <v>34</v>
      </c>
      <c r="E840" s="33">
        <v>136</v>
      </c>
      <c r="F840" s="33">
        <v>1</v>
      </c>
      <c r="G840" s="33">
        <v>5</v>
      </c>
      <c r="H840" s="33"/>
      <c r="I840" s="31" t="s">
        <v>46</v>
      </c>
      <c r="J840" s="31"/>
      <c r="K840" s="33"/>
      <c r="L840" s="33"/>
      <c r="M840" s="31"/>
      <c r="N840" s="31"/>
      <c r="O840" s="16" t="s">
        <v>1786</v>
      </c>
      <c r="P840" s="16"/>
      <c r="Q840" s="16"/>
      <c r="R840" s="33"/>
      <c r="S840" s="34"/>
      <c r="T840" s="34"/>
      <c r="U840" s="34"/>
      <c r="V840" s="34"/>
      <c r="W840" s="34"/>
      <c r="X840" s="33" t="s">
        <v>85</v>
      </c>
      <c r="Y840" s="35" t="str">
        <f>IF(Tabela2[[#This Row],[SIGLA]]="","",VLOOKUP(Tabela2[[#This Row],[SIGLA]],Tabela1[[#All],[Sigla Arte]:[Crédito]],2,0))</f>
        <v>HELOÍSA PINTARELLI/ARQUIVO DA EDITORA</v>
      </c>
      <c r="Z840" s="31"/>
      <c r="AA840" s="31" t="str">
        <f>Tabela2[[#This Row],[ILUSTRADOR CRIAÇÃO]]</f>
        <v>HELOÍSA PINTARELLI/ARQUIVO DA EDITORA</v>
      </c>
      <c r="AB840" s="33"/>
      <c r="AC840" s="16"/>
      <c r="AE840" s="35" t="str">
        <f t="shared" si="13"/>
        <v>EF1 E002 Mat</v>
      </c>
    </row>
    <row r="841" spans="1:31" ht="45" x14ac:dyDescent="0.25">
      <c r="A841" s="31" t="s">
        <v>1787</v>
      </c>
      <c r="B841" s="16" t="s">
        <v>32</v>
      </c>
      <c r="C841" s="16" t="s">
        <v>164</v>
      </c>
      <c r="D841" s="33" t="s">
        <v>34</v>
      </c>
      <c r="E841" s="33">
        <v>136</v>
      </c>
      <c r="F841" s="33">
        <v>1</v>
      </c>
      <c r="G841" s="33">
        <v>5</v>
      </c>
      <c r="H841" s="33"/>
      <c r="I841" s="31" t="s">
        <v>46</v>
      </c>
      <c r="J841" s="31"/>
      <c r="K841" s="33"/>
      <c r="L841" s="33"/>
      <c r="M841" s="31"/>
      <c r="N841" s="31"/>
      <c r="O841" s="16" t="s">
        <v>1788</v>
      </c>
      <c r="P841" s="16"/>
      <c r="Q841" s="16"/>
      <c r="R841" s="33"/>
      <c r="S841" s="34"/>
      <c r="T841" s="34"/>
      <c r="U841" s="34"/>
      <c r="V841" s="34"/>
      <c r="W841" s="34"/>
      <c r="X841" s="33" t="s">
        <v>85</v>
      </c>
      <c r="Y841" s="35" t="str">
        <f>IF(Tabela2[[#This Row],[SIGLA]]="","",VLOOKUP(Tabela2[[#This Row],[SIGLA]],Tabela1[[#All],[Sigla Arte]:[Crédito]],2,0))</f>
        <v>HELOÍSA PINTARELLI/ARQUIVO DA EDITORA</v>
      </c>
      <c r="Z841" s="31"/>
      <c r="AA841" s="31" t="str">
        <f>Tabela2[[#This Row],[ILUSTRADOR CRIAÇÃO]]</f>
        <v>HELOÍSA PINTARELLI/ARQUIVO DA EDITORA</v>
      </c>
      <c r="AB841" s="33"/>
      <c r="AC841" s="16"/>
      <c r="AE841" s="35" t="str">
        <f t="shared" si="13"/>
        <v>EF1 E002 Mat</v>
      </c>
    </row>
    <row r="842" spans="1:31" ht="45" x14ac:dyDescent="0.25">
      <c r="A842" s="31" t="s">
        <v>1789</v>
      </c>
      <c r="B842" s="16" t="s">
        <v>32</v>
      </c>
      <c r="C842" s="16" t="s">
        <v>164</v>
      </c>
      <c r="D842" s="33" t="s">
        <v>34</v>
      </c>
      <c r="E842" s="33">
        <v>136</v>
      </c>
      <c r="F842" s="33">
        <v>1</v>
      </c>
      <c r="G842" s="33">
        <v>5</v>
      </c>
      <c r="H842" s="33"/>
      <c r="I842" s="31" t="s">
        <v>46</v>
      </c>
      <c r="J842" s="31"/>
      <c r="K842" s="33"/>
      <c r="L842" s="33"/>
      <c r="M842" s="31"/>
      <c r="N842" s="31"/>
      <c r="O842" s="16" t="s">
        <v>1790</v>
      </c>
      <c r="P842" s="16"/>
      <c r="Q842" s="16"/>
      <c r="R842" s="33"/>
      <c r="S842" s="34"/>
      <c r="T842" s="34"/>
      <c r="U842" s="34"/>
      <c r="V842" s="34"/>
      <c r="W842" s="34"/>
      <c r="X842" s="33" t="s">
        <v>85</v>
      </c>
      <c r="Y842" s="35" t="str">
        <f>IF(Tabela2[[#This Row],[SIGLA]]="","",VLOOKUP(Tabela2[[#This Row],[SIGLA]],Tabela1[[#All],[Sigla Arte]:[Crédito]],2,0))</f>
        <v>HELOÍSA PINTARELLI/ARQUIVO DA EDITORA</v>
      </c>
      <c r="Z842" s="31"/>
      <c r="AA842" s="31" t="str">
        <f>Tabela2[[#This Row],[ILUSTRADOR CRIAÇÃO]]</f>
        <v>HELOÍSA PINTARELLI/ARQUIVO DA EDITORA</v>
      </c>
      <c r="AB842" s="33"/>
      <c r="AC842" s="16"/>
      <c r="AE842" s="35" t="str">
        <f t="shared" si="13"/>
        <v>EF1 E002 Mat</v>
      </c>
    </row>
    <row r="843" spans="1:31" ht="45" x14ac:dyDescent="0.25">
      <c r="A843" s="31" t="s">
        <v>1791</v>
      </c>
      <c r="B843" s="16" t="s">
        <v>32</v>
      </c>
      <c r="C843" s="16" t="s">
        <v>164</v>
      </c>
      <c r="D843" s="33" t="s">
        <v>34</v>
      </c>
      <c r="E843" s="33">
        <v>136</v>
      </c>
      <c r="F843" s="33">
        <v>1</v>
      </c>
      <c r="G843" s="33">
        <v>5</v>
      </c>
      <c r="H843" s="33"/>
      <c r="I843" s="31" t="s">
        <v>46</v>
      </c>
      <c r="J843" s="31"/>
      <c r="K843" s="33"/>
      <c r="L843" s="33"/>
      <c r="M843" s="31"/>
      <c r="N843" s="31"/>
      <c r="O843" s="16" t="s">
        <v>1792</v>
      </c>
      <c r="P843" s="16"/>
      <c r="Q843" s="16"/>
      <c r="R843" s="33"/>
      <c r="S843" s="34"/>
      <c r="T843" s="34"/>
      <c r="U843" s="34"/>
      <c r="V843" s="34"/>
      <c r="W843" s="34"/>
      <c r="X843" s="33" t="s">
        <v>85</v>
      </c>
      <c r="Y843" s="35" t="str">
        <f>IF(Tabela2[[#This Row],[SIGLA]]="","",VLOOKUP(Tabela2[[#This Row],[SIGLA]],Tabela1[[#All],[Sigla Arte]:[Crédito]],2,0))</f>
        <v>HELOÍSA PINTARELLI/ARQUIVO DA EDITORA</v>
      </c>
      <c r="Z843" s="31"/>
      <c r="AA843" s="31" t="str">
        <f>Tabela2[[#This Row],[ILUSTRADOR CRIAÇÃO]]</f>
        <v>HELOÍSA PINTARELLI/ARQUIVO DA EDITORA</v>
      </c>
      <c r="AB843" s="33"/>
      <c r="AC843" s="16"/>
      <c r="AE843" s="35" t="str">
        <f t="shared" si="13"/>
        <v>EF1 E002 Mat</v>
      </c>
    </row>
    <row r="844" spans="1:31" ht="75" x14ac:dyDescent="0.25">
      <c r="A844" s="31" t="s">
        <v>1793</v>
      </c>
      <c r="B844" s="16" t="s">
        <v>32</v>
      </c>
      <c r="C844" s="16" t="s">
        <v>164</v>
      </c>
      <c r="D844" s="33" t="s">
        <v>34</v>
      </c>
      <c r="E844" s="33">
        <v>137</v>
      </c>
      <c r="F844" s="33">
        <v>1</v>
      </c>
      <c r="G844" s="33">
        <v>5</v>
      </c>
      <c r="H844" s="33"/>
      <c r="I844" s="31" t="s">
        <v>35</v>
      </c>
      <c r="J844" s="31"/>
      <c r="K844" s="33"/>
      <c r="L844" s="33"/>
      <c r="M844" s="31"/>
      <c r="N844" s="31"/>
      <c r="O844" s="16" t="s">
        <v>1794</v>
      </c>
      <c r="P844" s="16"/>
      <c r="Q844" s="16"/>
      <c r="R844" s="33">
        <v>17</v>
      </c>
      <c r="S844" s="34">
        <v>45748</v>
      </c>
      <c r="T844" s="34">
        <v>45748</v>
      </c>
      <c r="U844" s="34"/>
      <c r="V844" s="34"/>
      <c r="W844" s="34">
        <v>45750</v>
      </c>
      <c r="X844" s="33" t="s">
        <v>1119</v>
      </c>
      <c r="Y844" s="35" t="str">
        <f>IF(Tabela2[[#This Row],[SIGLA]]="","",VLOOKUP(Tabela2[[#This Row],[SIGLA]],Tabela1[[#All],[Sigla Arte]:[Crédito]],2,0))</f>
        <v>CYNTHIA SEKIGUCHI/ARQUIVO DA EDITORA</v>
      </c>
      <c r="Z844" s="31" t="s">
        <v>88</v>
      </c>
      <c r="AA844" s="31" t="str">
        <f>Tabela2[[#This Row],[ILUSTRADOR CRIAÇÃO]]</f>
        <v>CYNTHIA SEKIGUCHI/ARQUIVO DA EDITORA</v>
      </c>
      <c r="AB844" s="33">
        <v>14</v>
      </c>
      <c r="AC844" s="16" t="s">
        <v>39</v>
      </c>
      <c r="AD844" s="16" t="s">
        <v>40</v>
      </c>
      <c r="AE844" s="35" t="str">
        <f t="shared" si="13"/>
        <v>EF1 E002 Mat</v>
      </c>
    </row>
    <row r="845" spans="1:31" ht="45" x14ac:dyDescent="0.25">
      <c r="A845" s="31" t="s">
        <v>1795</v>
      </c>
      <c r="B845" s="16" t="s">
        <v>32</v>
      </c>
      <c r="C845" s="16" t="s">
        <v>164</v>
      </c>
      <c r="D845" s="33" t="s">
        <v>34</v>
      </c>
      <c r="E845" s="33">
        <v>137</v>
      </c>
      <c r="F845" s="33">
        <v>1</v>
      </c>
      <c r="G845" s="33">
        <v>5</v>
      </c>
      <c r="H845" s="33"/>
      <c r="I845" s="31" t="s">
        <v>46</v>
      </c>
      <c r="J845" s="31"/>
      <c r="K845" s="33"/>
      <c r="L845" s="33"/>
      <c r="M845" s="31"/>
      <c r="N845" s="31"/>
      <c r="O845" s="16" t="s">
        <v>1796</v>
      </c>
      <c r="P845" s="16"/>
      <c r="Q845" s="16"/>
      <c r="R845" s="33"/>
      <c r="S845" s="34"/>
      <c r="T845" s="34"/>
      <c r="U845" s="34"/>
      <c r="V845" s="34"/>
      <c r="W845" s="34"/>
      <c r="X845" s="33" t="s">
        <v>470</v>
      </c>
      <c r="Y845" s="35" t="str">
        <f>IF(Tabela2[[#This Row],[SIGLA]]="","",VLOOKUP(Tabela2[[#This Row],[SIGLA]],Tabela1[[#All],[Sigla Arte]:[Crédito]],2,0))</f>
        <v>RENAN FONSECA/ARQUIVO DA EDITORA</v>
      </c>
      <c r="Z845" s="31"/>
      <c r="AA845" s="31" t="str">
        <f>Tabela2[[#This Row],[ILUSTRADOR CRIAÇÃO]]</f>
        <v>RENAN FONSECA/ARQUIVO DA EDITORA</v>
      </c>
      <c r="AB845" s="33"/>
      <c r="AC845" s="16"/>
      <c r="AE845" s="35" t="str">
        <f t="shared" si="13"/>
        <v>EF1 E002 Mat</v>
      </c>
    </row>
    <row r="846" spans="1:31" ht="45" x14ac:dyDescent="0.25">
      <c r="A846" s="31" t="s">
        <v>1797</v>
      </c>
      <c r="B846" s="16" t="s">
        <v>32</v>
      </c>
      <c r="C846" s="16" t="s">
        <v>164</v>
      </c>
      <c r="D846" s="33" t="s">
        <v>34</v>
      </c>
      <c r="E846" s="33">
        <v>137</v>
      </c>
      <c r="F846" s="33">
        <v>1</v>
      </c>
      <c r="G846" s="33">
        <v>5</v>
      </c>
      <c r="H846" s="33"/>
      <c r="I846" s="31" t="s">
        <v>46</v>
      </c>
      <c r="J846" s="31"/>
      <c r="K846" s="33"/>
      <c r="L846" s="33"/>
      <c r="M846" s="31"/>
      <c r="N846" s="31"/>
      <c r="O846" s="16" t="s">
        <v>1798</v>
      </c>
      <c r="P846" s="16"/>
      <c r="Q846" s="16"/>
      <c r="R846" s="33"/>
      <c r="S846" s="34"/>
      <c r="T846" s="34"/>
      <c r="U846" s="34"/>
      <c r="V846" s="34"/>
      <c r="W846" s="34"/>
      <c r="X846" s="33" t="s">
        <v>470</v>
      </c>
      <c r="Y846" s="35" t="str">
        <f>IF(Tabela2[[#This Row],[SIGLA]]="","",VLOOKUP(Tabela2[[#This Row],[SIGLA]],Tabela1[[#All],[Sigla Arte]:[Crédito]],2,0))</f>
        <v>RENAN FONSECA/ARQUIVO DA EDITORA</v>
      </c>
      <c r="Z846" s="31"/>
      <c r="AA846" s="31" t="str">
        <f>Tabela2[[#This Row],[ILUSTRADOR CRIAÇÃO]]</f>
        <v>RENAN FONSECA/ARQUIVO DA EDITORA</v>
      </c>
      <c r="AB846" s="33"/>
      <c r="AC846" s="16"/>
      <c r="AE846" s="35" t="str">
        <f t="shared" si="13"/>
        <v>EF1 E002 Mat</v>
      </c>
    </row>
    <row r="847" spans="1:31" ht="45" x14ac:dyDescent="0.25">
      <c r="A847" s="31" t="s">
        <v>1799</v>
      </c>
      <c r="B847" s="16" t="s">
        <v>32</v>
      </c>
      <c r="C847" s="16" t="s">
        <v>164</v>
      </c>
      <c r="D847" s="33" t="s">
        <v>34</v>
      </c>
      <c r="E847" s="33">
        <v>137</v>
      </c>
      <c r="F847" s="33">
        <v>1</v>
      </c>
      <c r="G847" s="33">
        <v>5</v>
      </c>
      <c r="H847" s="33"/>
      <c r="I847" s="31" t="s">
        <v>46</v>
      </c>
      <c r="J847" s="31"/>
      <c r="K847" s="33"/>
      <c r="L847" s="33"/>
      <c r="M847" s="31"/>
      <c r="N847" s="31"/>
      <c r="O847" s="16" t="s">
        <v>1800</v>
      </c>
      <c r="P847" s="16"/>
      <c r="Q847" s="16"/>
      <c r="R847" s="33"/>
      <c r="S847" s="34"/>
      <c r="T847" s="34"/>
      <c r="U847" s="34"/>
      <c r="V847" s="34"/>
      <c r="W847" s="34"/>
      <c r="X847" s="33" t="s">
        <v>470</v>
      </c>
      <c r="Y847" s="35" t="str">
        <f>IF(Tabela2[[#This Row],[SIGLA]]="","",VLOOKUP(Tabela2[[#This Row],[SIGLA]],Tabela1[[#All],[Sigla Arte]:[Crédito]],2,0))</f>
        <v>RENAN FONSECA/ARQUIVO DA EDITORA</v>
      </c>
      <c r="Z847" s="31"/>
      <c r="AA847" s="31" t="str">
        <f>Tabela2[[#This Row],[ILUSTRADOR CRIAÇÃO]]</f>
        <v>RENAN FONSECA/ARQUIVO DA EDITORA</v>
      </c>
      <c r="AB847" s="33"/>
      <c r="AC847" s="16"/>
      <c r="AE847" s="35" t="str">
        <f t="shared" si="13"/>
        <v>EF1 E002 Mat</v>
      </c>
    </row>
    <row r="848" spans="1:31" ht="75" x14ac:dyDescent="0.25">
      <c r="A848" s="31" t="s">
        <v>1801</v>
      </c>
      <c r="B848" s="16" t="s">
        <v>32</v>
      </c>
      <c r="C848" s="16" t="s">
        <v>164</v>
      </c>
      <c r="D848" s="33" t="s">
        <v>34</v>
      </c>
      <c r="E848" s="33">
        <v>138</v>
      </c>
      <c r="F848" s="33">
        <v>1</v>
      </c>
      <c r="G848" s="33">
        <v>5</v>
      </c>
      <c r="H848" s="33"/>
      <c r="I848" s="31" t="s">
        <v>995</v>
      </c>
      <c r="J848" s="31"/>
      <c r="K848" s="33"/>
      <c r="L848" s="33"/>
      <c r="M848" s="31"/>
      <c r="N848" s="31"/>
      <c r="O848" s="16" t="s">
        <v>1802</v>
      </c>
      <c r="P848" s="16"/>
      <c r="Q848" s="16"/>
      <c r="R848" s="33">
        <v>17</v>
      </c>
      <c r="S848" s="34">
        <v>45748</v>
      </c>
      <c r="T848" s="34">
        <v>45749</v>
      </c>
      <c r="U848" s="34"/>
      <c r="V848" s="34"/>
      <c r="W848" s="34">
        <v>45751</v>
      </c>
      <c r="X848" s="33" t="s">
        <v>85</v>
      </c>
      <c r="Y848" s="35" t="str">
        <f>IF(Tabela2[[#This Row],[SIGLA]]="","",VLOOKUP(Tabela2[[#This Row],[SIGLA]],Tabela1[[#All],[Sigla Arte]:[Crédito]],2,0))</f>
        <v>HELOÍSA PINTARELLI/ARQUIVO DA EDITORA</v>
      </c>
      <c r="Z848" s="31"/>
      <c r="AA848" s="31" t="str">
        <f>Tabela2[[#This Row],[ILUSTRADOR CRIAÇÃO]]</f>
        <v>HELOÍSA PINTARELLI/ARQUIVO DA EDITORA</v>
      </c>
      <c r="AB848" s="33">
        <v>8</v>
      </c>
      <c r="AC848" s="16" t="s">
        <v>1803</v>
      </c>
      <c r="AD848" s="16" t="s">
        <v>1093</v>
      </c>
      <c r="AE848" s="35" t="str">
        <f t="shared" si="13"/>
        <v>EF1 E002 Mat</v>
      </c>
    </row>
    <row r="849" spans="1:31" ht="90" x14ac:dyDescent="0.25">
      <c r="A849" s="31" t="s">
        <v>1804</v>
      </c>
      <c r="B849" s="16" t="s">
        <v>32</v>
      </c>
      <c r="C849" s="16" t="s">
        <v>33</v>
      </c>
      <c r="D849" s="33" t="s">
        <v>34</v>
      </c>
      <c r="E849" s="33">
        <v>139</v>
      </c>
      <c r="F849" s="33">
        <v>1</v>
      </c>
      <c r="G849" s="33">
        <v>5</v>
      </c>
      <c r="H849" s="33"/>
      <c r="I849" s="31" t="s">
        <v>35</v>
      </c>
      <c r="J849" s="31"/>
      <c r="K849" s="33"/>
      <c r="L849" s="33"/>
      <c r="M849" s="31"/>
      <c r="N849" s="31"/>
      <c r="O849" s="16" t="s">
        <v>1805</v>
      </c>
      <c r="P849" s="16"/>
      <c r="Q849" s="16"/>
      <c r="R849" s="33">
        <v>17</v>
      </c>
      <c r="S849" s="34">
        <v>45748</v>
      </c>
      <c r="T849" s="34">
        <v>45748</v>
      </c>
      <c r="U849" s="34"/>
      <c r="V849" s="34"/>
      <c r="W849" s="34">
        <v>45750</v>
      </c>
      <c r="X849" s="33" t="s">
        <v>162</v>
      </c>
      <c r="Y849" s="35" t="str">
        <f>IF(Tabela2[[#This Row],[SIGLA]]="","",VLOOKUP(Tabela2[[#This Row],[SIGLA]],Tabela1[[#All],[Sigla Arte]:[Crédito]],2,0))</f>
        <v>IVY NUNES/ARQUIVO DA EDITORA</v>
      </c>
      <c r="Z849" s="31" t="s">
        <v>88</v>
      </c>
      <c r="AA849" s="31" t="str">
        <f>Tabela2[[#This Row],[ILUSTRADOR CRIAÇÃO]]</f>
        <v>IVY NUNES/ARQUIVO DA EDITORA</v>
      </c>
      <c r="AB849" s="33">
        <v>13</v>
      </c>
      <c r="AC849" s="16" t="s">
        <v>39</v>
      </c>
      <c r="AD849" s="16" t="s">
        <v>40</v>
      </c>
      <c r="AE849" s="35" t="str">
        <f t="shared" si="13"/>
        <v>EF1 E002 Mat</v>
      </c>
    </row>
    <row r="850" spans="1:31" ht="30" x14ac:dyDescent="0.25">
      <c r="A850" s="31" t="s">
        <v>1806</v>
      </c>
      <c r="B850" s="16" t="s">
        <v>32</v>
      </c>
      <c r="C850" s="16" t="s">
        <v>164</v>
      </c>
      <c r="D850" s="33" t="s">
        <v>34</v>
      </c>
      <c r="E850" s="33">
        <v>140</v>
      </c>
      <c r="F850" s="33">
        <v>1</v>
      </c>
      <c r="G850" s="33">
        <v>5</v>
      </c>
      <c r="H850" s="33"/>
      <c r="I850" s="31" t="s">
        <v>46</v>
      </c>
      <c r="J850" s="31"/>
      <c r="K850" s="33"/>
      <c r="L850" s="33"/>
      <c r="M850" s="31"/>
      <c r="N850" s="31"/>
      <c r="O850" s="16" t="s">
        <v>1807</v>
      </c>
      <c r="P850" s="16"/>
      <c r="Q850" s="16"/>
      <c r="R850" s="33"/>
      <c r="S850" s="34"/>
      <c r="T850" s="34"/>
      <c r="U850" s="34"/>
      <c r="V850" s="34"/>
      <c r="W850" s="34"/>
      <c r="X850" s="33" t="s">
        <v>48</v>
      </c>
      <c r="Y850" s="35" t="str">
        <f>IF(Tabela2[[#This Row],[SIGLA]]="","",VLOOKUP(Tabela2[[#This Row],[SIGLA]],Tabela1[[#All],[Sigla Arte]:[Crédito]],2,0))</f>
        <v>SERGIO LIMA/ARQUIVO DA EDITORA</v>
      </c>
      <c r="Z850" s="31"/>
      <c r="AA850" s="31" t="str">
        <f>Tabela2[[#This Row],[ILUSTRADOR CRIAÇÃO]]</f>
        <v>SERGIO LIMA/ARQUIVO DA EDITORA</v>
      </c>
      <c r="AB850" s="33"/>
      <c r="AC850" s="16"/>
      <c r="AE850" s="35" t="str">
        <f t="shared" si="13"/>
        <v>EF1 E002 Mat</v>
      </c>
    </row>
    <row r="851" spans="1:31" ht="45" x14ac:dyDescent="0.25">
      <c r="A851" s="31" t="s">
        <v>1808</v>
      </c>
      <c r="B851" s="16" t="s">
        <v>32</v>
      </c>
      <c r="C851" s="16" t="s">
        <v>164</v>
      </c>
      <c r="D851" s="33" t="s">
        <v>34</v>
      </c>
      <c r="E851" s="33">
        <v>140</v>
      </c>
      <c r="F851" s="33">
        <v>1</v>
      </c>
      <c r="G851" s="33">
        <v>5</v>
      </c>
      <c r="H851" s="33"/>
      <c r="I851" s="31" t="s">
        <v>46</v>
      </c>
      <c r="J851" s="31"/>
      <c r="K851" s="33"/>
      <c r="L851" s="33"/>
      <c r="M851" s="31"/>
      <c r="N851" s="31"/>
      <c r="O851" s="16" t="s">
        <v>1809</v>
      </c>
      <c r="P851" s="16"/>
      <c r="Q851" s="16"/>
      <c r="R851" s="33"/>
      <c r="S851" s="34"/>
      <c r="T851" s="34"/>
      <c r="U851" s="34"/>
      <c r="V851" s="34"/>
      <c r="W851" s="34"/>
      <c r="X851" s="33" t="s">
        <v>470</v>
      </c>
      <c r="Y851" s="35" t="str">
        <f>IF(Tabela2[[#This Row],[SIGLA]]="","",VLOOKUP(Tabela2[[#This Row],[SIGLA]],Tabela1[[#All],[Sigla Arte]:[Crédito]],2,0))</f>
        <v>RENAN FONSECA/ARQUIVO DA EDITORA</v>
      </c>
      <c r="Z851" s="31"/>
      <c r="AA851" s="31" t="str">
        <f>Tabela2[[#This Row],[ILUSTRADOR CRIAÇÃO]]</f>
        <v>RENAN FONSECA/ARQUIVO DA EDITORA</v>
      </c>
      <c r="AB851" s="33"/>
      <c r="AC851" s="16"/>
      <c r="AE851" s="35" t="str">
        <f t="shared" si="13"/>
        <v>EF1 E002 Mat</v>
      </c>
    </row>
    <row r="852" spans="1:31" ht="45" x14ac:dyDescent="0.25">
      <c r="A852" s="31" t="s">
        <v>1810</v>
      </c>
      <c r="B852" s="16" t="s">
        <v>32</v>
      </c>
      <c r="C852" s="16" t="s">
        <v>164</v>
      </c>
      <c r="D852" s="33" t="s">
        <v>34</v>
      </c>
      <c r="E852" s="33">
        <v>140</v>
      </c>
      <c r="F852" s="33">
        <v>1</v>
      </c>
      <c r="G852" s="33">
        <v>5</v>
      </c>
      <c r="H852" s="33"/>
      <c r="I852" s="31" t="s">
        <v>46</v>
      </c>
      <c r="J852" s="31"/>
      <c r="K852" s="33"/>
      <c r="L852" s="33"/>
      <c r="M852" s="31"/>
      <c r="N852" s="31"/>
      <c r="O852" s="16" t="s">
        <v>1811</v>
      </c>
      <c r="P852" s="16"/>
      <c r="Q852" s="16"/>
      <c r="R852" s="33"/>
      <c r="S852" s="34"/>
      <c r="T852" s="34"/>
      <c r="U852" s="34"/>
      <c r="V852" s="34"/>
      <c r="W852" s="34"/>
      <c r="X852" s="33" t="s">
        <v>470</v>
      </c>
      <c r="Y852" s="35" t="str">
        <f>IF(Tabela2[[#This Row],[SIGLA]]="","",VLOOKUP(Tabela2[[#This Row],[SIGLA]],Tabela1[[#All],[Sigla Arte]:[Crédito]],2,0))</f>
        <v>RENAN FONSECA/ARQUIVO DA EDITORA</v>
      </c>
      <c r="Z852" s="31"/>
      <c r="AA852" s="31" t="str">
        <f>Tabela2[[#This Row],[ILUSTRADOR CRIAÇÃO]]</f>
        <v>RENAN FONSECA/ARQUIVO DA EDITORA</v>
      </c>
      <c r="AB852" s="33"/>
      <c r="AC852" s="16"/>
      <c r="AE852" s="35" t="str">
        <f t="shared" si="13"/>
        <v>EF1 E002 Mat</v>
      </c>
    </row>
    <row r="853" spans="1:31" ht="45" x14ac:dyDescent="0.25">
      <c r="A853" s="31" t="s">
        <v>1812</v>
      </c>
      <c r="B853" s="16" t="s">
        <v>32</v>
      </c>
      <c r="C853" s="16" t="s">
        <v>164</v>
      </c>
      <c r="D853" s="33" t="s">
        <v>34</v>
      </c>
      <c r="E853" s="33">
        <v>140</v>
      </c>
      <c r="F853" s="33">
        <v>1</v>
      </c>
      <c r="G853" s="33">
        <v>5</v>
      </c>
      <c r="H853" s="33"/>
      <c r="I853" s="31" t="s">
        <v>46</v>
      </c>
      <c r="J853" s="31"/>
      <c r="K853" s="33"/>
      <c r="L853" s="33"/>
      <c r="M853" s="31"/>
      <c r="N853" s="31"/>
      <c r="O853" s="16" t="s">
        <v>1813</v>
      </c>
      <c r="P853" s="16"/>
      <c r="Q853" s="16"/>
      <c r="R853" s="33"/>
      <c r="S853" s="34"/>
      <c r="T853" s="34"/>
      <c r="U853" s="34"/>
      <c r="V853" s="34"/>
      <c r="W853" s="34"/>
      <c r="X853" s="33" t="s">
        <v>470</v>
      </c>
      <c r="Y853" s="35" t="str">
        <f>IF(Tabela2[[#This Row],[SIGLA]]="","",VLOOKUP(Tabela2[[#This Row],[SIGLA]],Tabela1[[#All],[Sigla Arte]:[Crédito]],2,0))</f>
        <v>RENAN FONSECA/ARQUIVO DA EDITORA</v>
      </c>
      <c r="Z853" s="31"/>
      <c r="AA853" s="31" t="str">
        <f>Tabela2[[#This Row],[ILUSTRADOR CRIAÇÃO]]</f>
        <v>RENAN FONSECA/ARQUIVO DA EDITORA</v>
      </c>
      <c r="AB853" s="33"/>
      <c r="AC853" s="16"/>
      <c r="AE853" s="35" t="str">
        <f t="shared" si="13"/>
        <v>EF1 E002 Mat</v>
      </c>
    </row>
    <row r="854" spans="1:31" ht="45" x14ac:dyDescent="0.25">
      <c r="A854" s="31" t="s">
        <v>1814</v>
      </c>
      <c r="B854" s="16" t="s">
        <v>32</v>
      </c>
      <c r="C854" s="16" t="s">
        <v>164</v>
      </c>
      <c r="D854" s="33" t="s">
        <v>34</v>
      </c>
      <c r="E854" s="33">
        <v>140</v>
      </c>
      <c r="F854" s="33">
        <v>1</v>
      </c>
      <c r="G854" s="33">
        <v>5</v>
      </c>
      <c r="H854" s="33"/>
      <c r="I854" s="31" t="s">
        <v>46</v>
      </c>
      <c r="J854" s="31"/>
      <c r="K854" s="33"/>
      <c r="L854" s="33"/>
      <c r="M854" s="31"/>
      <c r="N854" s="31"/>
      <c r="O854" s="16" t="s">
        <v>1815</v>
      </c>
      <c r="P854" s="16"/>
      <c r="Q854" s="16"/>
      <c r="R854" s="33"/>
      <c r="S854" s="34"/>
      <c r="T854" s="34"/>
      <c r="U854" s="34"/>
      <c r="V854" s="34"/>
      <c r="W854" s="34"/>
      <c r="X854" s="33" t="s">
        <v>470</v>
      </c>
      <c r="Y854" s="35" t="str">
        <f>IF(Tabela2[[#This Row],[SIGLA]]="","",VLOOKUP(Tabela2[[#This Row],[SIGLA]],Tabela1[[#All],[Sigla Arte]:[Crédito]],2,0))</f>
        <v>RENAN FONSECA/ARQUIVO DA EDITORA</v>
      </c>
      <c r="Z854" s="31"/>
      <c r="AA854" s="31" t="str">
        <f>Tabela2[[#This Row],[ILUSTRADOR CRIAÇÃO]]</f>
        <v>RENAN FONSECA/ARQUIVO DA EDITORA</v>
      </c>
      <c r="AB854" s="33"/>
      <c r="AC854" s="16"/>
      <c r="AE854" s="35" t="str">
        <f t="shared" si="13"/>
        <v>EF1 E002 Mat</v>
      </c>
    </row>
    <row r="855" spans="1:31" ht="45" x14ac:dyDescent="0.25">
      <c r="A855" s="31" t="s">
        <v>1816</v>
      </c>
      <c r="B855" s="16" t="s">
        <v>32</v>
      </c>
      <c r="C855" s="16" t="s">
        <v>164</v>
      </c>
      <c r="D855" s="33" t="s">
        <v>34</v>
      </c>
      <c r="E855" s="33">
        <v>141</v>
      </c>
      <c r="F855" s="33">
        <v>1</v>
      </c>
      <c r="G855" s="33">
        <v>5</v>
      </c>
      <c r="H855" s="33"/>
      <c r="I855" s="31" t="s">
        <v>46</v>
      </c>
      <c r="J855" s="31"/>
      <c r="K855" s="33"/>
      <c r="L855" s="33"/>
      <c r="M855" s="31"/>
      <c r="N855" s="31"/>
      <c r="O855" s="16" t="s">
        <v>1817</v>
      </c>
      <c r="P855" s="16"/>
      <c r="Q855" s="16"/>
      <c r="R855" s="33"/>
      <c r="S855" s="34"/>
      <c r="T855" s="34"/>
      <c r="U855" s="34"/>
      <c r="V855" s="34"/>
      <c r="W855" s="34"/>
      <c r="X855" s="33" t="s">
        <v>470</v>
      </c>
      <c r="Y855" s="35" t="str">
        <f>IF(Tabela2[[#This Row],[SIGLA]]="","",VLOOKUP(Tabela2[[#This Row],[SIGLA]],Tabela1[[#All],[Sigla Arte]:[Crédito]],2,0))</f>
        <v>RENAN FONSECA/ARQUIVO DA EDITORA</v>
      </c>
      <c r="Z855" s="31"/>
      <c r="AA855" s="31" t="str">
        <f>Tabela2[[#This Row],[ILUSTRADOR CRIAÇÃO]]</f>
        <v>RENAN FONSECA/ARQUIVO DA EDITORA</v>
      </c>
      <c r="AB855" s="33"/>
      <c r="AC855" s="16"/>
      <c r="AE855" s="35" t="str">
        <f t="shared" si="13"/>
        <v>EF1 E002 Mat</v>
      </c>
    </row>
    <row r="856" spans="1:31" ht="45" x14ac:dyDescent="0.25">
      <c r="A856" s="31" t="s">
        <v>1818</v>
      </c>
      <c r="B856" s="16" t="s">
        <v>32</v>
      </c>
      <c r="C856" s="16" t="s">
        <v>164</v>
      </c>
      <c r="D856" s="33" t="s">
        <v>34</v>
      </c>
      <c r="E856" s="33">
        <v>141</v>
      </c>
      <c r="F856" s="33">
        <v>1</v>
      </c>
      <c r="G856" s="33">
        <v>5</v>
      </c>
      <c r="H856" s="33"/>
      <c r="I856" s="31" t="s">
        <v>46</v>
      </c>
      <c r="J856" s="31"/>
      <c r="K856" s="33"/>
      <c r="L856" s="33"/>
      <c r="M856" s="31"/>
      <c r="N856" s="31"/>
      <c r="O856" s="16" t="s">
        <v>1819</v>
      </c>
      <c r="P856" s="16"/>
      <c r="Q856" s="16"/>
      <c r="R856" s="33"/>
      <c r="S856" s="34"/>
      <c r="T856" s="34"/>
      <c r="U856" s="34"/>
      <c r="V856" s="34"/>
      <c r="W856" s="34"/>
      <c r="X856" s="33" t="s">
        <v>470</v>
      </c>
      <c r="Y856" s="35" t="str">
        <f>IF(Tabela2[[#This Row],[SIGLA]]="","",VLOOKUP(Tabela2[[#This Row],[SIGLA]],Tabela1[[#All],[Sigla Arte]:[Crédito]],2,0))</f>
        <v>RENAN FONSECA/ARQUIVO DA EDITORA</v>
      </c>
      <c r="Z856" s="31"/>
      <c r="AA856" s="31" t="str">
        <f>Tabela2[[#This Row],[ILUSTRADOR CRIAÇÃO]]</f>
        <v>RENAN FONSECA/ARQUIVO DA EDITORA</v>
      </c>
      <c r="AB856" s="33"/>
      <c r="AC856" s="16"/>
      <c r="AE856" s="35" t="str">
        <f t="shared" si="13"/>
        <v>EF1 E002 Mat</v>
      </c>
    </row>
    <row r="857" spans="1:31" ht="45" x14ac:dyDescent="0.25">
      <c r="A857" s="31" t="s">
        <v>1820</v>
      </c>
      <c r="B857" s="16" t="s">
        <v>32</v>
      </c>
      <c r="C857" s="16" t="s">
        <v>164</v>
      </c>
      <c r="D857" s="33" t="s">
        <v>34</v>
      </c>
      <c r="E857" s="33">
        <v>141</v>
      </c>
      <c r="F857" s="33">
        <v>1</v>
      </c>
      <c r="G857" s="33">
        <v>5</v>
      </c>
      <c r="H857" s="33"/>
      <c r="I857" s="31" t="s">
        <v>46</v>
      </c>
      <c r="J857" s="31"/>
      <c r="K857" s="33"/>
      <c r="L857" s="33"/>
      <c r="M857" s="31"/>
      <c r="N857" s="31"/>
      <c r="O857" s="16" t="s">
        <v>1821</v>
      </c>
      <c r="P857" s="16"/>
      <c r="Q857" s="16"/>
      <c r="R857" s="33"/>
      <c r="S857" s="34"/>
      <c r="T857" s="34"/>
      <c r="U857" s="34"/>
      <c r="V857" s="34"/>
      <c r="W857" s="34"/>
      <c r="X857" s="33" t="s">
        <v>470</v>
      </c>
      <c r="Y857" s="35" t="str">
        <f>IF(Tabela2[[#This Row],[SIGLA]]="","",VLOOKUP(Tabela2[[#This Row],[SIGLA]],Tabela1[[#All],[Sigla Arte]:[Crédito]],2,0))</f>
        <v>RENAN FONSECA/ARQUIVO DA EDITORA</v>
      </c>
      <c r="Z857" s="31"/>
      <c r="AA857" s="31" t="str">
        <f>Tabela2[[#This Row],[ILUSTRADOR CRIAÇÃO]]</f>
        <v>RENAN FONSECA/ARQUIVO DA EDITORA</v>
      </c>
      <c r="AB857" s="33"/>
      <c r="AC857" s="16"/>
      <c r="AE857" s="35" t="str">
        <f t="shared" si="13"/>
        <v>EF1 E002 Mat</v>
      </c>
    </row>
    <row r="858" spans="1:31" ht="75" x14ac:dyDescent="0.25">
      <c r="A858" s="31" t="s">
        <v>1822</v>
      </c>
      <c r="B858" s="16" t="s">
        <v>32</v>
      </c>
      <c r="C858" s="16" t="s">
        <v>164</v>
      </c>
      <c r="D858" s="33" t="s">
        <v>34</v>
      </c>
      <c r="E858" s="33">
        <v>141</v>
      </c>
      <c r="F858" s="33">
        <v>1</v>
      </c>
      <c r="G858" s="33">
        <v>5</v>
      </c>
      <c r="H858" s="33"/>
      <c r="I858" s="31" t="s">
        <v>35</v>
      </c>
      <c r="J858" s="31"/>
      <c r="K858" s="33"/>
      <c r="L858" s="33"/>
      <c r="M858" s="31"/>
      <c r="N858" s="31"/>
      <c r="O858" s="16" t="s">
        <v>1823</v>
      </c>
      <c r="P858" s="16"/>
      <c r="Q858" s="16"/>
      <c r="R858" s="33">
        <v>17</v>
      </c>
      <c r="S858" s="34">
        <v>45748</v>
      </c>
      <c r="T858" s="34">
        <v>45748</v>
      </c>
      <c r="U858" s="34"/>
      <c r="V858" s="34"/>
      <c r="W858" s="34">
        <v>45750</v>
      </c>
      <c r="X858" s="33" t="s">
        <v>470</v>
      </c>
      <c r="Y858" s="35" t="str">
        <f>IF(Tabela2[[#This Row],[SIGLA]]="","",VLOOKUP(Tabela2[[#This Row],[SIGLA]],Tabela1[[#All],[Sigla Arte]:[Crédito]],2,0))</f>
        <v>RENAN FONSECA/ARQUIVO DA EDITORA</v>
      </c>
      <c r="Z858" s="31" t="s">
        <v>88</v>
      </c>
      <c r="AA858" s="31" t="str">
        <f>Tabela2[[#This Row],[ILUSTRADOR CRIAÇÃO]]</f>
        <v>RENAN FONSECA/ARQUIVO DA EDITORA</v>
      </c>
      <c r="AB858" s="33">
        <v>14</v>
      </c>
      <c r="AC858" s="16" t="s">
        <v>39</v>
      </c>
      <c r="AD858" s="16" t="s">
        <v>40</v>
      </c>
      <c r="AE858" s="35" t="str">
        <f t="shared" si="13"/>
        <v>EF1 E002 Mat</v>
      </c>
    </row>
    <row r="859" spans="1:31" ht="75" x14ac:dyDescent="0.25">
      <c r="A859" s="31" t="s">
        <v>1824</v>
      </c>
      <c r="B859" s="16" t="s">
        <v>32</v>
      </c>
      <c r="C859" s="16" t="s">
        <v>164</v>
      </c>
      <c r="D859" s="33" t="s">
        <v>34</v>
      </c>
      <c r="E859" s="33">
        <v>141</v>
      </c>
      <c r="F859" s="33">
        <v>1</v>
      </c>
      <c r="G859" s="33">
        <v>5</v>
      </c>
      <c r="H859" s="33"/>
      <c r="I859" s="31" t="s">
        <v>35</v>
      </c>
      <c r="J859" s="31"/>
      <c r="K859" s="33"/>
      <c r="L859" s="33"/>
      <c r="M859" s="31"/>
      <c r="N859" s="31"/>
      <c r="O859" s="16" t="s">
        <v>1825</v>
      </c>
      <c r="P859" s="16"/>
      <c r="Q859" s="16"/>
      <c r="R859" s="33">
        <v>17</v>
      </c>
      <c r="S859" s="34">
        <v>45748</v>
      </c>
      <c r="T859" s="34">
        <v>45748</v>
      </c>
      <c r="U859" s="34"/>
      <c r="V859" s="34"/>
      <c r="W859" s="34">
        <v>45750</v>
      </c>
      <c r="X859" s="33" t="s">
        <v>470</v>
      </c>
      <c r="Y859" s="35" t="str">
        <f>IF(Tabela2[[#This Row],[SIGLA]]="","",VLOOKUP(Tabela2[[#This Row],[SIGLA]],Tabela1[[#All],[Sigla Arte]:[Crédito]],2,0))</f>
        <v>RENAN FONSECA/ARQUIVO DA EDITORA</v>
      </c>
      <c r="Z859" s="31" t="s">
        <v>88</v>
      </c>
      <c r="AA859" s="31" t="str">
        <f>Tabela2[[#This Row],[ILUSTRADOR CRIAÇÃO]]</f>
        <v>RENAN FONSECA/ARQUIVO DA EDITORA</v>
      </c>
      <c r="AB859" s="33">
        <v>14</v>
      </c>
      <c r="AC859" s="16" t="s">
        <v>39</v>
      </c>
      <c r="AD859" s="16" t="s">
        <v>40</v>
      </c>
      <c r="AE859" s="35" t="str">
        <f t="shared" si="13"/>
        <v>EF1 E002 Mat</v>
      </c>
    </row>
    <row r="860" spans="1:31" ht="75" x14ac:dyDescent="0.25">
      <c r="A860" s="31" t="s">
        <v>1826</v>
      </c>
      <c r="B860" s="16" t="s">
        <v>32</v>
      </c>
      <c r="C860" s="16" t="s">
        <v>164</v>
      </c>
      <c r="D860" s="33" t="s">
        <v>34</v>
      </c>
      <c r="E860" s="33">
        <v>141</v>
      </c>
      <c r="F860" s="33">
        <v>1</v>
      </c>
      <c r="G860" s="33">
        <v>5</v>
      </c>
      <c r="H860" s="33"/>
      <c r="I860" s="31" t="s">
        <v>35</v>
      </c>
      <c r="J860" s="31"/>
      <c r="K860" s="33"/>
      <c r="L860" s="33"/>
      <c r="M860" s="31"/>
      <c r="N860" s="31"/>
      <c r="O860" s="16" t="s">
        <v>1827</v>
      </c>
      <c r="P860" s="16"/>
      <c r="Q860" s="16"/>
      <c r="R860" s="33">
        <v>17</v>
      </c>
      <c r="S860" s="34">
        <v>45748</v>
      </c>
      <c r="T860" s="34">
        <v>45748</v>
      </c>
      <c r="U860" s="34"/>
      <c r="V860" s="34"/>
      <c r="W860" s="34">
        <v>45750</v>
      </c>
      <c r="X860" s="33" t="s">
        <v>470</v>
      </c>
      <c r="Y860" s="35" t="str">
        <f>IF(Tabela2[[#This Row],[SIGLA]]="","",VLOOKUP(Tabela2[[#This Row],[SIGLA]],Tabela1[[#All],[Sigla Arte]:[Crédito]],2,0))</f>
        <v>RENAN FONSECA/ARQUIVO DA EDITORA</v>
      </c>
      <c r="Z860" s="31" t="s">
        <v>88</v>
      </c>
      <c r="AA860" s="31" t="str">
        <f>Tabela2[[#This Row],[ILUSTRADOR CRIAÇÃO]]</f>
        <v>RENAN FONSECA/ARQUIVO DA EDITORA</v>
      </c>
      <c r="AB860" s="33">
        <v>14</v>
      </c>
      <c r="AC860" s="16" t="s">
        <v>39</v>
      </c>
      <c r="AD860" s="16" t="s">
        <v>40</v>
      </c>
      <c r="AE860" s="35" t="str">
        <f t="shared" si="13"/>
        <v>EF1 E002 Mat</v>
      </c>
    </row>
    <row r="861" spans="1:31" ht="75" x14ac:dyDescent="0.25">
      <c r="A861" s="31" t="s">
        <v>1828</v>
      </c>
      <c r="B861" s="16" t="s">
        <v>32</v>
      </c>
      <c r="C861" s="16" t="s">
        <v>164</v>
      </c>
      <c r="D861" s="33" t="s">
        <v>34</v>
      </c>
      <c r="E861" s="33">
        <v>141</v>
      </c>
      <c r="F861" s="33">
        <v>1</v>
      </c>
      <c r="G861" s="33">
        <v>5</v>
      </c>
      <c r="H861" s="33"/>
      <c r="I861" s="31" t="s">
        <v>35</v>
      </c>
      <c r="J861" s="31"/>
      <c r="K861" s="33"/>
      <c r="L861" s="33"/>
      <c r="M861" s="31"/>
      <c r="N861" s="31"/>
      <c r="O861" s="16" t="s">
        <v>1829</v>
      </c>
      <c r="P861" s="16"/>
      <c r="Q861" s="16"/>
      <c r="R861" s="33">
        <v>17</v>
      </c>
      <c r="S861" s="34">
        <v>45748</v>
      </c>
      <c r="T861" s="34">
        <v>45748</v>
      </c>
      <c r="U861" s="34"/>
      <c r="V861" s="34"/>
      <c r="W861" s="34">
        <v>45750</v>
      </c>
      <c r="X861" s="33" t="s">
        <v>470</v>
      </c>
      <c r="Y861" s="35" t="str">
        <f>IF(Tabela2[[#This Row],[SIGLA]]="","",VLOOKUP(Tabela2[[#This Row],[SIGLA]],Tabela1[[#All],[Sigla Arte]:[Crédito]],2,0))</f>
        <v>RENAN FONSECA/ARQUIVO DA EDITORA</v>
      </c>
      <c r="Z861" s="31" t="s">
        <v>88</v>
      </c>
      <c r="AA861" s="31" t="str">
        <f>Tabela2[[#This Row],[ILUSTRADOR CRIAÇÃO]]</f>
        <v>RENAN FONSECA/ARQUIVO DA EDITORA</v>
      </c>
      <c r="AB861" s="33">
        <v>14</v>
      </c>
      <c r="AC861" s="16" t="s">
        <v>39</v>
      </c>
      <c r="AD861" s="16" t="s">
        <v>40</v>
      </c>
      <c r="AE861" s="35" t="str">
        <f t="shared" si="13"/>
        <v>EF1 E002 Mat</v>
      </c>
    </row>
    <row r="862" spans="1:31" ht="45" x14ac:dyDescent="0.25">
      <c r="A862" s="31" t="s">
        <v>1830</v>
      </c>
      <c r="B862" s="16" t="s">
        <v>32</v>
      </c>
      <c r="C862" s="16" t="s">
        <v>164</v>
      </c>
      <c r="D862" s="33" t="s">
        <v>34</v>
      </c>
      <c r="E862" s="33">
        <v>141</v>
      </c>
      <c r="F862" s="33">
        <v>1</v>
      </c>
      <c r="G862" s="33">
        <v>5</v>
      </c>
      <c r="H862" s="33"/>
      <c r="I862" s="31" t="s">
        <v>46</v>
      </c>
      <c r="J862" s="31"/>
      <c r="K862" s="33"/>
      <c r="L862" s="33"/>
      <c r="M862" s="31"/>
      <c r="N862" s="31"/>
      <c r="O862" s="16" t="s">
        <v>1831</v>
      </c>
      <c r="P862" s="16"/>
      <c r="Q862" s="16"/>
      <c r="R862" s="33"/>
      <c r="S862" s="34"/>
      <c r="T862" s="34"/>
      <c r="U862" s="34"/>
      <c r="V862" s="34"/>
      <c r="W862" s="34"/>
      <c r="X862" s="33" t="s">
        <v>48</v>
      </c>
      <c r="Y862" s="35" t="str">
        <f>IF(Tabela2[[#This Row],[SIGLA]]="","",VLOOKUP(Tabela2[[#This Row],[SIGLA]],Tabela1[[#All],[Sigla Arte]:[Crédito]],2,0))</f>
        <v>SERGIO LIMA/ARQUIVO DA EDITORA</v>
      </c>
      <c r="Z862" s="31"/>
      <c r="AA862" s="31" t="str">
        <f>Tabela2[[#This Row],[ILUSTRADOR CRIAÇÃO]]</f>
        <v>SERGIO LIMA/ARQUIVO DA EDITORA</v>
      </c>
      <c r="AB862" s="33"/>
      <c r="AC862" s="16"/>
      <c r="AE862" s="35" t="str">
        <f t="shared" si="13"/>
        <v>EF1 E002 Mat</v>
      </c>
    </row>
    <row r="863" spans="1:31" ht="30" x14ac:dyDescent="0.25">
      <c r="A863" s="31" t="s">
        <v>1832</v>
      </c>
      <c r="B863" s="16" t="s">
        <v>32</v>
      </c>
      <c r="C863" s="16" t="s">
        <v>164</v>
      </c>
      <c r="D863" s="33" t="s">
        <v>34</v>
      </c>
      <c r="E863" s="33">
        <v>141</v>
      </c>
      <c r="F863" s="33">
        <v>1</v>
      </c>
      <c r="G863" s="33">
        <v>5</v>
      </c>
      <c r="H863" s="33"/>
      <c r="I863" s="31" t="s">
        <v>46</v>
      </c>
      <c r="J863" s="31"/>
      <c r="K863" s="33"/>
      <c r="L863" s="33"/>
      <c r="M863" s="31"/>
      <c r="N863" s="31"/>
      <c r="O863" s="16" t="s">
        <v>1833</v>
      </c>
      <c r="P863" s="16"/>
      <c r="Q863" s="16"/>
      <c r="R863" s="33"/>
      <c r="S863" s="34"/>
      <c r="T863" s="34"/>
      <c r="U863" s="34"/>
      <c r="V863" s="34"/>
      <c r="W863" s="34"/>
      <c r="X863" s="33" t="s">
        <v>48</v>
      </c>
      <c r="Y863" s="35" t="str">
        <f>IF(Tabela2[[#This Row],[SIGLA]]="","",VLOOKUP(Tabela2[[#This Row],[SIGLA]],Tabela1[[#All],[Sigla Arte]:[Crédito]],2,0))</f>
        <v>SERGIO LIMA/ARQUIVO DA EDITORA</v>
      </c>
      <c r="Z863" s="31"/>
      <c r="AA863" s="31" t="str">
        <f>Tabela2[[#This Row],[ILUSTRADOR CRIAÇÃO]]</f>
        <v>SERGIO LIMA/ARQUIVO DA EDITORA</v>
      </c>
      <c r="AB863" s="33"/>
      <c r="AC863" s="16"/>
      <c r="AE863" s="35" t="str">
        <f t="shared" si="13"/>
        <v>EF1 E002 Mat</v>
      </c>
    </row>
    <row r="864" spans="1:31" ht="30" x14ac:dyDescent="0.25">
      <c r="A864" s="31" t="s">
        <v>1834</v>
      </c>
      <c r="B864" s="16" t="s">
        <v>32</v>
      </c>
      <c r="C864" s="16" t="s">
        <v>164</v>
      </c>
      <c r="D864" s="33" t="s">
        <v>34</v>
      </c>
      <c r="E864" s="33">
        <v>141</v>
      </c>
      <c r="F864" s="33">
        <v>1</v>
      </c>
      <c r="G864" s="33">
        <v>5</v>
      </c>
      <c r="H864" s="33"/>
      <c r="I864" s="31" t="s">
        <v>46</v>
      </c>
      <c r="J864" s="31"/>
      <c r="K864" s="33"/>
      <c r="L864" s="33"/>
      <c r="M864" s="31"/>
      <c r="N864" s="31"/>
      <c r="O864" s="16" t="s">
        <v>1835</v>
      </c>
      <c r="P864" s="16"/>
      <c r="Q864" s="16"/>
      <c r="R864" s="33"/>
      <c r="S864" s="34"/>
      <c r="T864" s="34"/>
      <c r="U864" s="34"/>
      <c r="V864" s="34"/>
      <c r="W864" s="34"/>
      <c r="X864" s="33" t="s">
        <v>48</v>
      </c>
      <c r="Y864" s="35" t="str">
        <f>IF(Tabela2[[#This Row],[SIGLA]]="","",VLOOKUP(Tabela2[[#This Row],[SIGLA]],Tabela1[[#All],[Sigla Arte]:[Crédito]],2,0))</f>
        <v>SERGIO LIMA/ARQUIVO DA EDITORA</v>
      </c>
      <c r="Z864" s="31"/>
      <c r="AA864" s="31" t="str">
        <f>Tabela2[[#This Row],[ILUSTRADOR CRIAÇÃO]]</f>
        <v>SERGIO LIMA/ARQUIVO DA EDITORA</v>
      </c>
      <c r="AB864" s="33"/>
      <c r="AC864" s="16"/>
      <c r="AE864" s="35" t="str">
        <f t="shared" si="13"/>
        <v>EF1 E002 Mat</v>
      </c>
    </row>
    <row r="865" spans="1:31" ht="75" x14ac:dyDescent="0.25">
      <c r="A865" s="31" t="s">
        <v>1836</v>
      </c>
      <c r="B865" s="16" t="s">
        <v>32</v>
      </c>
      <c r="C865" s="16" t="s">
        <v>164</v>
      </c>
      <c r="D865" s="33" t="s">
        <v>34</v>
      </c>
      <c r="E865" s="33">
        <v>141</v>
      </c>
      <c r="F865" s="33">
        <v>1</v>
      </c>
      <c r="G865" s="33">
        <v>5</v>
      </c>
      <c r="H865" s="33"/>
      <c r="I865" s="31" t="s">
        <v>35</v>
      </c>
      <c r="J865" s="31"/>
      <c r="K865" s="33"/>
      <c r="L865" s="33"/>
      <c r="M865" s="31"/>
      <c r="N865" s="31"/>
      <c r="O865" s="16" t="s">
        <v>1837</v>
      </c>
      <c r="P865" s="16"/>
      <c r="Q865" s="16"/>
      <c r="R865" s="33">
        <v>17</v>
      </c>
      <c r="S865" s="34">
        <v>45748</v>
      </c>
      <c r="T865" s="34">
        <v>45748</v>
      </c>
      <c r="U865" s="34"/>
      <c r="V865" s="34"/>
      <c r="W865" s="34">
        <v>45750</v>
      </c>
      <c r="X865" s="33" t="s">
        <v>48</v>
      </c>
      <c r="Y865" s="35" t="str">
        <f>IF(Tabela2[[#This Row],[SIGLA]]="","",VLOOKUP(Tabela2[[#This Row],[SIGLA]],Tabela1[[#All],[Sigla Arte]:[Crédito]],2,0))</f>
        <v>SERGIO LIMA/ARQUIVO DA EDITORA</v>
      </c>
      <c r="Z865" s="31" t="s">
        <v>88</v>
      </c>
      <c r="AA865" s="31" t="str">
        <f>Tabela2[[#This Row],[ILUSTRADOR CRIAÇÃO]]</f>
        <v>SERGIO LIMA/ARQUIVO DA EDITORA</v>
      </c>
      <c r="AB865" s="33">
        <v>14</v>
      </c>
      <c r="AC865" s="16" t="s">
        <v>39</v>
      </c>
      <c r="AD865" s="16" t="s">
        <v>40</v>
      </c>
      <c r="AE865" s="35" t="str">
        <f t="shared" si="13"/>
        <v>EF1 E002 Mat</v>
      </c>
    </row>
    <row r="866" spans="1:31" ht="75" x14ac:dyDescent="0.25">
      <c r="A866" s="31" t="s">
        <v>1838</v>
      </c>
      <c r="B866" s="16" t="s">
        <v>32</v>
      </c>
      <c r="C866" s="16" t="s">
        <v>164</v>
      </c>
      <c r="D866" s="33" t="s">
        <v>34</v>
      </c>
      <c r="E866" s="33">
        <v>141</v>
      </c>
      <c r="F866" s="33">
        <v>1</v>
      </c>
      <c r="G866" s="33">
        <v>5</v>
      </c>
      <c r="H866" s="33"/>
      <c r="I866" s="31" t="s">
        <v>35</v>
      </c>
      <c r="J866" s="31"/>
      <c r="K866" s="33"/>
      <c r="L866" s="33"/>
      <c r="M866" s="31"/>
      <c r="N866" s="31"/>
      <c r="O866" s="16" t="s">
        <v>1839</v>
      </c>
      <c r="P866" s="16"/>
      <c r="Q866" s="16"/>
      <c r="R866" s="33">
        <v>17</v>
      </c>
      <c r="S866" s="34">
        <v>45748</v>
      </c>
      <c r="T866" s="34">
        <v>45748</v>
      </c>
      <c r="U866" s="34"/>
      <c r="V866" s="34"/>
      <c r="W866" s="34">
        <v>45750</v>
      </c>
      <c r="X866" s="33" t="s">
        <v>48</v>
      </c>
      <c r="Y866" s="35" t="str">
        <f>IF(Tabela2[[#This Row],[SIGLA]]="","",VLOOKUP(Tabela2[[#This Row],[SIGLA]],Tabela1[[#All],[Sigla Arte]:[Crédito]],2,0))</f>
        <v>SERGIO LIMA/ARQUIVO DA EDITORA</v>
      </c>
      <c r="Z866" s="31" t="s">
        <v>88</v>
      </c>
      <c r="AA866" s="31" t="str">
        <f>Tabela2[[#This Row],[ILUSTRADOR CRIAÇÃO]]</f>
        <v>SERGIO LIMA/ARQUIVO DA EDITORA</v>
      </c>
      <c r="AB866" s="33">
        <v>14</v>
      </c>
      <c r="AC866" s="16" t="s">
        <v>39</v>
      </c>
      <c r="AD866" s="16" t="s">
        <v>40</v>
      </c>
      <c r="AE866" s="35" t="str">
        <f t="shared" si="13"/>
        <v>EF1 E002 Mat</v>
      </c>
    </row>
    <row r="867" spans="1:31" ht="75" x14ac:dyDescent="0.25">
      <c r="A867" s="31" t="s">
        <v>1840</v>
      </c>
      <c r="B867" s="16" t="s">
        <v>32</v>
      </c>
      <c r="C867" s="16" t="s">
        <v>164</v>
      </c>
      <c r="D867" s="33" t="s">
        <v>34</v>
      </c>
      <c r="E867" s="33">
        <v>141</v>
      </c>
      <c r="F867" s="33">
        <v>1</v>
      </c>
      <c r="G867" s="33">
        <v>5</v>
      </c>
      <c r="H867" s="33"/>
      <c r="I867" s="31" t="s">
        <v>35</v>
      </c>
      <c r="J867" s="31"/>
      <c r="K867" s="33"/>
      <c r="L867" s="33"/>
      <c r="M867" s="31"/>
      <c r="N867" s="31"/>
      <c r="O867" s="16" t="s">
        <v>1841</v>
      </c>
      <c r="P867" s="16"/>
      <c r="Q867" s="16"/>
      <c r="R867" s="33">
        <v>17</v>
      </c>
      <c r="S867" s="34">
        <v>45748</v>
      </c>
      <c r="T867" s="34">
        <v>45748</v>
      </c>
      <c r="U867" s="34"/>
      <c r="V867" s="34"/>
      <c r="W867" s="34">
        <v>45750</v>
      </c>
      <c r="X867" s="33" t="s">
        <v>48</v>
      </c>
      <c r="Y867" s="35" t="str">
        <f>IF(Tabela2[[#This Row],[SIGLA]]="","",VLOOKUP(Tabela2[[#This Row],[SIGLA]],Tabela1[[#All],[Sigla Arte]:[Crédito]],2,0))</f>
        <v>SERGIO LIMA/ARQUIVO DA EDITORA</v>
      </c>
      <c r="Z867" s="31" t="s">
        <v>88</v>
      </c>
      <c r="AA867" s="31" t="str">
        <f>Tabela2[[#This Row],[ILUSTRADOR CRIAÇÃO]]</f>
        <v>SERGIO LIMA/ARQUIVO DA EDITORA</v>
      </c>
      <c r="AB867" s="33">
        <v>14</v>
      </c>
      <c r="AC867" s="16" t="s">
        <v>39</v>
      </c>
      <c r="AD867" s="16" t="s">
        <v>40</v>
      </c>
      <c r="AE867" s="35" t="str">
        <f t="shared" si="13"/>
        <v>EF1 E002 Mat</v>
      </c>
    </row>
    <row r="868" spans="1:31" ht="75" x14ac:dyDescent="0.25">
      <c r="A868" s="31" t="s">
        <v>1842</v>
      </c>
      <c r="B868" s="16" t="s">
        <v>32</v>
      </c>
      <c r="C868" s="16" t="s">
        <v>164</v>
      </c>
      <c r="D868" s="33" t="s">
        <v>34</v>
      </c>
      <c r="E868" s="33">
        <v>141</v>
      </c>
      <c r="F868" s="33">
        <v>1</v>
      </c>
      <c r="G868" s="33">
        <v>5</v>
      </c>
      <c r="H868" s="33"/>
      <c r="I868" s="31" t="s">
        <v>35</v>
      </c>
      <c r="J868" s="31"/>
      <c r="K868" s="33"/>
      <c r="L868" s="33"/>
      <c r="M868" s="31"/>
      <c r="N868" s="31"/>
      <c r="O868" s="16" t="s">
        <v>1843</v>
      </c>
      <c r="P868" s="16"/>
      <c r="Q868" s="16"/>
      <c r="R868" s="33">
        <v>17</v>
      </c>
      <c r="S868" s="34">
        <v>45748</v>
      </c>
      <c r="T868" s="34">
        <v>45748</v>
      </c>
      <c r="U868" s="34"/>
      <c r="V868" s="34"/>
      <c r="W868" s="34">
        <v>45750</v>
      </c>
      <c r="X868" s="33" t="s">
        <v>48</v>
      </c>
      <c r="Y868" s="35" t="str">
        <f>IF(Tabela2[[#This Row],[SIGLA]]="","",VLOOKUP(Tabela2[[#This Row],[SIGLA]],Tabela1[[#All],[Sigla Arte]:[Crédito]],2,0))</f>
        <v>SERGIO LIMA/ARQUIVO DA EDITORA</v>
      </c>
      <c r="Z868" s="31" t="s">
        <v>88</v>
      </c>
      <c r="AA868" s="31" t="str">
        <f>Tabela2[[#This Row],[ILUSTRADOR CRIAÇÃO]]</f>
        <v>SERGIO LIMA/ARQUIVO DA EDITORA</v>
      </c>
      <c r="AB868" s="33">
        <v>14</v>
      </c>
      <c r="AC868" s="16" t="s">
        <v>39</v>
      </c>
      <c r="AD868" s="16" t="s">
        <v>40</v>
      </c>
      <c r="AE868" s="35" t="str">
        <f t="shared" si="13"/>
        <v>EF1 E002 Mat</v>
      </c>
    </row>
    <row r="869" spans="1:31" ht="45" x14ac:dyDescent="0.25">
      <c r="A869" s="31" t="s">
        <v>1844</v>
      </c>
      <c r="B869" s="16" t="s">
        <v>32</v>
      </c>
      <c r="C869" s="16" t="s">
        <v>33</v>
      </c>
      <c r="D869" s="33" t="s">
        <v>34</v>
      </c>
      <c r="E869" s="33">
        <v>143</v>
      </c>
      <c r="F869" s="33">
        <v>1</v>
      </c>
      <c r="G869" s="33">
        <v>5</v>
      </c>
      <c r="H869" s="33"/>
      <c r="I869" s="31" t="s">
        <v>46</v>
      </c>
      <c r="J869" s="31"/>
      <c r="K869" s="33"/>
      <c r="L869" s="33"/>
      <c r="M869" s="31"/>
      <c r="N869" s="31"/>
      <c r="O869" s="16" t="s">
        <v>1845</v>
      </c>
      <c r="P869" s="16"/>
      <c r="Q869" s="16"/>
      <c r="R869" s="33"/>
      <c r="S869" s="34"/>
      <c r="T869" s="34"/>
      <c r="U869" s="34"/>
      <c r="V869" s="34"/>
      <c r="W869" s="34"/>
      <c r="X869" s="33" t="s">
        <v>43</v>
      </c>
      <c r="Y869" s="35" t="str">
        <f>IF(Tabela2[[#This Row],[SIGLA]]="","",VLOOKUP(Tabela2[[#This Row],[SIGLA]],Tabela1[[#All],[Sigla Arte]:[Crédito]],2,0))</f>
        <v>GUILHERME RODRIGUES/ARQUIVO DA EDITORA</v>
      </c>
      <c r="Z869" s="31"/>
      <c r="AA869" s="31" t="str">
        <f>Tabela2[[#This Row],[ILUSTRADOR CRIAÇÃO]]</f>
        <v>GUILHERME RODRIGUES/ARQUIVO DA EDITORA</v>
      </c>
      <c r="AB869" s="33"/>
      <c r="AC869" s="16"/>
      <c r="AE869" s="35" t="str">
        <f t="shared" si="13"/>
        <v>EF1 E002 Mat</v>
      </c>
    </row>
    <row r="870" spans="1:31" ht="45" x14ac:dyDescent="0.25">
      <c r="A870" s="31" t="s">
        <v>1846</v>
      </c>
      <c r="B870" s="16" t="s">
        <v>32</v>
      </c>
      <c r="C870" s="16" t="s">
        <v>33</v>
      </c>
      <c r="D870" s="33" t="s">
        <v>34</v>
      </c>
      <c r="E870" s="33">
        <v>144</v>
      </c>
      <c r="F870" s="33">
        <v>1</v>
      </c>
      <c r="G870" s="33">
        <v>5</v>
      </c>
      <c r="H870" s="33"/>
      <c r="I870" s="31" t="s">
        <v>46</v>
      </c>
      <c r="J870" s="31"/>
      <c r="K870" s="33"/>
      <c r="L870" s="33"/>
      <c r="M870" s="31"/>
      <c r="N870" s="31"/>
      <c r="O870" s="16" t="s">
        <v>1847</v>
      </c>
      <c r="P870" s="16"/>
      <c r="Q870" s="16"/>
      <c r="R870" s="33"/>
      <c r="S870" s="34"/>
      <c r="T870" s="34"/>
      <c r="U870" s="34"/>
      <c r="V870" s="34"/>
      <c r="W870" s="34"/>
      <c r="X870" s="33" t="s">
        <v>43</v>
      </c>
      <c r="Y870" s="35" t="str">
        <f>IF(Tabela2[[#This Row],[SIGLA]]="","",VLOOKUP(Tabela2[[#This Row],[SIGLA]],Tabela1[[#All],[Sigla Arte]:[Crédito]],2,0))</f>
        <v>GUILHERME RODRIGUES/ARQUIVO DA EDITORA</v>
      </c>
      <c r="Z870" s="31"/>
      <c r="AA870" s="31" t="str">
        <f>Tabela2[[#This Row],[ILUSTRADOR CRIAÇÃO]]</f>
        <v>GUILHERME RODRIGUES/ARQUIVO DA EDITORA</v>
      </c>
      <c r="AB870" s="33"/>
      <c r="AC870" s="16"/>
      <c r="AE870" s="35" t="str">
        <f t="shared" si="13"/>
        <v>EF1 E002 Mat</v>
      </c>
    </row>
    <row r="871" spans="1:31" ht="45" x14ac:dyDescent="0.25">
      <c r="A871" s="31" t="s">
        <v>1848</v>
      </c>
      <c r="B871" s="16" t="s">
        <v>32</v>
      </c>
      <c r="C871" s="16" t="s">
        <v>164</v>
      </c>
      <c r="D871" s="33" t="s">
        <v>34</v>
      </c>
      <c r="E871" s="33">
        <v>145</v>
      </c>
      <c r="F871" s="33">
        <v>1</v>
      </c>
      <c r="G871" s="33">
        <v>5</v>
      </c>
      <c r="H871" s="33"/>
      <c r="I871" s="31" t="s">
        <v>995</v>
      </c>
      <c r="J871" s="31"/>
      <c r="K871" s="33"/>
      <c r="L871" s="33"/>
      <c r="M871" s="31"/>
      <c r="N871" s="31"/>
      <c r="O871" s="16" t="s">
        <v>1849</v>
      </c>
      <c r="P871" s="16"/>
      <c r="Q871" s="16"/>
      <c r="R871" s="33">
        <v>17</v>
      </c>
      <c r="S871" s="34">
        <v>45748</v>
      </c>
      <c r="T871" s="34">
        <v>45748</v>
      </c>
      <c r="U871" s="34"/>
      <c r="V871" s="34"/>
      <c r="W871" s="34">
        <v>45750</v>
      </c>
      <c r="X871" s="33" t="s">
        <v>184</v>
      </c>
      <c r="Y871" s="35" t="str">
        <f>IF(Tabela2[[#This Row],[SIGLA]]="","",VLOOKUP(Tabela2[[#This Row],[SIGLA]],Tabela1[[#All],[Sigla Arte]:[Crédito]],2,0))</f>
        <v>VER DOCUMENTO DE ILS. TÉCNICAS</v>
      </c>
      <c r="Z871" s="31" t="s">
        <v>38</v>
      </c>
      <c r="AA871" s="31" t="s">
        <v>949</v>
      </c>
      <c r="AB871" s="33">
        <v>13</v>
      </c>
      <c r="AC871" s="16"/>
      <c r="AD871" s="16" t="s">
        <v>40</v>
      </c>
      <c r="AE871" s="35" t="str">
        <f t="shared" si="13"/>
        <v>EF1 E002 Mat</v>
      </c>
    </row>
    <row r="872" spans="1:31" ht="45" x14ac:dyDescent="0.25">
      <c r="A872" s="31" t="s">
        <v>1850</v>
      </c>
      <c r="B872" s="16" t="s">
        <v>32</v>
      </c>
      <c r="C872" s="16" t="s">
        <v>164</v>
      </c>
      <c r="D872" s="33" t="s">
        <v>34</v>
      </c>
      <c r="E872" s="33">
        <v>145</v>
      </c>
      <c r="F872" s="33">
        <v>1</v>
      </c>
      <c r="G872" s="33">
        <v>5</v>
      </c>
      <c r="H872" s="33"/>
      <c r="I872" s="31" t="s">
        <v>995</v>
      </c>
      <c r="J872" s="31"/>
      <c r="K872" s="33"/>
      <c r="L872" s="33"/>
      <c r="M872" s="31"/>
      <c r="N872" s="31"/>
      <c r="O872" s="16" t="s">
        <v>1851</v>
      </c>
      <c r="P872" s="16"/>
      <c r="Q872" s="16"/>
      <c r="R872" s="33">
        <v>17</v>
      </c>
      <c r="S872" s="34">
        <v>45748</v>
      </c>
      <c r="T872" s="34">
        <v>45748</v>
      </c>
      <c r="U872" s="34"/>
      <c r="V872" s="34"/>
      <c r="W872" s="34">
        <v>45750</v>
      </c>
      <c r="X872" s="33" t="s">
        <v>184</v>
      </c>
      <c r="Y872" s="35" t="str">
        <f>IF(Tabela2[[#This Row],[SIGLA]]="","",VLOOKUP(Tabela2[[#This Row],[SIGLA]],Tabela1[[#All],[Sigla Arte]:[Crédito]],2,0))</f>
        <v>VER DOCUMENTO DE ILS. TÉCNICAS</v>
      </c>
      <c r="Z872" s="31" t="s">
        <v>38</v>
      </c>
      <c r="AA872" s="31" t="s">
        <v>949</v>
      </c>
      <c r="AB872" s="33">
        <v>13</v>
      </c>
      <c r="AC872" s="16"/>
      <c r="AD872" s="16" t="s">
        <v>40</v>
      </c>
      <c r="AE872" s="35" t="str">
        <f t="shared" si="13"/>
        <v>EF1 E002 Mat</v>
      </c>
    </row>
    <row r="873" spans="1:31" ht="45" x14ac:dyDescent="0.25">
      <c r="A873" s="31" t="s">
        <v>1852</v>
      </c>
      <c r="B873" s="16" t="s">
        <v>32</v>
      </c>
      <c r="C873" s="16" t="s">
        <v>164</v>
      </c>
      <c r="D873" s="33" t="s">
        <v>34</v>
      </c>
      <c r="E873" s="33">
        <v>145</v>
      </c>
      <c r="F873" s="33">
        <v>1</v>
      </c>
      <c r="G873" s="33">
        <v>5</v>
      </c>
      <c r="H873" s="33"/>
      <c r="I873" s="31" t="s">
        <v>46</v>
      </c>
      <c r="J873" s="31"/>
      <c r="K873" s="33"/>
      <c r="L873" s="33"/>
      <c r="M873" s="31"/>
      <c r="N873" s="31"/>
      <c r="O873" s="16" t="s">
        <v>1853</v>
      </c>
      <c r="P873" s="16"/>
      <c r="Q873" s="16"/>
      <c r="R873" s="33"/>
      <c r="S873" s="34"/>
      <c r="T873" s="34"/>
      <c r="U873" s="34"/>
      <c r="V873" s="34"/>
      <c r="W873" s="34"/>
      <c r="X873" s="33" t="s">
        <v>48</v>
      </c>
      <c r="Y873" s="35" t="str">
        <f>IF(Tabela2[[#This Row],[SIGLA]]="","",VLOOKUP(Tabela2[[#This Row],[SIGLA]],Tabela1[[#All],[Sigla Arte]:[Crédito]],2,0))</f>
        <v>SERGIO LIMA/ARQUIVO DA EDITORA</v>
      </c>
      <c r="Z873" s="31"/>
      <c r="AA873" s="31" t="str">
        <f>Tabela2[[#This Row],[ILUSTRADOR CRIAÇÃO]]</f>
        <v>SERGIO LIMA/ARQUIVO DA EDITORA</v>
      </c>
      <c r="AB873" s="33"/>
      <c r="AC873" s="16"/>
      <c r="AE873" s="35" t="str">
        <f t="shared" si="13"/>
        <v>EF1 E002 Mat</v>
      </c>
    </row>
    <row r="874" spans="1:31" ht="45" x14ac:dyDescent="0.25">
      <c r="A874" s="31" t="s">
        <v>1854</v>
      </c>
      <c r="B874" s="16" t="s">
        <v>32</v>
      </c>
      <c r="C874" s="16" t="s">
        <v>164</v>
      </c>
      <c r="D874" s="33" t="s">
        <v>34</v>
      </c>
      <c r="E874" s="33">
        <v>145</v>
      </c>
      <c r="F874" s="33">
        <v>1</v>
      </c>
      <c r="G874" s="33">
        <v>5</v>
      </c>
      <c r="H874" s="33"/>
      <c r="I874" s="31" t="s">
        <v>995</v>
      </c>
      <c r="J874" s="31"/>
      <c r="K874" s="33"/>
      <c r="L874" s="33"/>
      <c r="M874" s="31"/>
      <c r="N874" s="31"/>
      <c r="O874" s="16" t="s">
        <v>1855</v>
      </c>
      <c r="P874" s="16"/>
      <c r="Q874" s="16"/>
      <c r="R874" s="33">
        <v>17</v>
      </c>
      <c r="S874" s="34">
        <v>45748</v>
      </c>
      <c r="T874" s="34">
        <v>45748</v>
      </c>
      <c r="U874" s="34"/>
      <c r="V874" s="34"/>
      <c r="W874" s="34">
        <v>45750</v>
      </c>
      <c r="X874" s="33" t="s">
        <v>184</v>
      </c>
      <c r="Y874" s="35" t="str">
        <f>IF(Tabela2[[#This Row],[SIGLA]]="","",VLOOKUP(Tabela2[[#This Row],[SIGLA]],Tabela1[[#All],[Sigla Arte]:[Crédito]],2,0))</f>
        <v>VER DOCUMENTO DE ILS. TÉCNICAS</v>
      </c>
      <c r="Z874" s="31" t="s">
        <v>38</v>
      </c>
      <c r="AA874" s="31" t="s">
        <v>949</v>
      </c>
      <c r="AB874" s="33">
        <v>13</v>
      </c>
      <c r="AC874" s="16"/>
      <c r="AD874" s="16" t="s">
        <v>40</v>
      </c>
      <c r="AE874" s="35" t="str">
        <f t="shared" si="13"/>
        <v>EF1 E002 Mat</v>
      </c>
    </row>
    <row r="875" spans="1:31" ht="45" x14ac:dyDescent="0.25">
      <c r="A875" s="31" t="s">
        <v>1856</v>
      </c>
      <c r="B875" s="16" t="s">
        <v>32</v>
      </c>
      <c r="C875" s="16" t="s">
        <v>164</v>
      </c>
      <c r="D875" s="33" t="s">
        <v>34</v>
      </c>
      <c r="E875" s="33">
        <v>145</v>
      </c>
      <c r="F875" s="33">
        <v>1</v>
      </c>
      <c r="G875" s="33">
        <v>5</v>
      </c>
      <c r="H875" s="33"/>
      <c r="I875" s="31" t="s">
        <v>995</v>
      </c>
      <c r="J875" s="31"/>
      <c r="K875" s="33"/>
      <c r="L875" s="33"/>
      <c r="M875" s="31"/>
      <c r="N875" s="31"/>
      <c r="O875" s="16" t="s">
        <v>1857</v>
      </c>
      <c r="P875" s="16"/>
      <c r="Q875" s="16"/>
      <c r="R875" s="33">
        <v>17</v>
      </c>
      <c r="S875" s="34">
        <v>45748</v>
      </c>
      <c r="T875" s="34">
        <v>45748</v>
      </c>
      <c r="U875" s="34"/>
      <c r="V875" s="34"/>
      <c r="W875" s="34">
        <v>45750</v>
      </c>
      <c r="X875" s="33" t="s">
        <v>184</v>
      </c>
      <c r="Y875" s="35" t="str">
        <f>IF(Tabela2[[#This Row],[SIGLA]]="","",VLOOKUP(Tabela2[[#This Row],[SIGLA]],Tabela1[[#All],[Sigla Arte]:[Crédito]],2,0))</f>
        <v>VER DOCUMENTO DE ILS. TÉCNICAS</v>
      </c>
      <c r="Z875" s="31" t="s">
        <v>38</v>
      </c>
      <c r="AA875" s="31" t="s">
        <v>949</v>
      </c>
      <c r="AB875" s="33">
        <v>13</v>
      </c>
      <c r="AC875" s="16"/>
      <c r="AD875" s="16" t="s">
        <v>40</v>
      </c>
      <c r="AE875" s="35" t="str">
        <f t="shared" si="13"/>
        <v>EF1 E002 Mat</v>
      </c>
    </row>
    <row r="876" spans="1:31" ht="45" x14ac:dyDescent="0.25">
      <c r="A876" s="31" t="s">
        <v>1858</v>
      </c>
      <c r="B876" s="16" t="s">
        <v>32</v>
      </c>
      <c r="C876" s="16" t="s">
        <v>164</v>
      </c>
      <c r="D876" s="33" t="s">
        <v>34</v>
      </c>
      <c r="E876" s="33">
        <v>145</v>
      </c>
      <c r="F876" s="33">
        <v>1</v>
      </c>
      <c r="G876" s="33">
        <v>5</v>
      </c>
      <c r="H876" s="33"/>
      <c r="I876" s="31" t="s">
        <v>995</v>
      </c>
      <c r="J876" s="31"/>
      <c r="K876" s="33"/>
      <c r="L876" s="33"/>
      <c r="M876" s="31"/>
      <c r="N876" s="31"/>
      <c r="O876" s="16" t="s">
        <v>1859</v>
      </c>
      <c r="P876" s="16"/>
      <c r="Q876" s="16"/>
      <c r="R876" s="33">
        <v>17</v>
      </c>
      <c r="S876" s="34">
        <v>45748</v>
      </c>
      <c r="T876" s="34">
        <v>45748</v>
      </c>
      <c r="U876" s="34"/>
      <c r="V876" s="34"/>
      <c r="W876" s="34">
        <v>45750</v>
      </c>
      <c r="X876" s="33" t="s">
        <v>184</v>
      </c>
      <c r="Y876" s="35" t="str">
        <f>IF(Tabela2[[#This Row],[SIGLA]]="","",VLOOKUP(Tabela2[[#This Row],[SIGLA]],Tabela1[[#All],[Sigla Arte]:[Crédito]],2,0))</f>
        <v>VER DOCUMENTO DE ILS. TÉCNICAS</v>
      </c>
      <c r="Z876" s="31" t="s">
        <v>38</v>
      </c>
      <c r="AA876" s="31" t="s">
        <v>949</v>
      </c>
      <c r="AB876" s="33">
        <v>13</v>
      </c>
      <c r="AC876" s="16"/>
      <c r="AD876" s="16" t="s">
        <v>40</v>
      </c>
      <c r="AE876" s="35" t="str">
        <f t="shared" si="13"/>
        <v>EF1 E002 Mat</v>
      </c>
    </row>
    <row r="877" spans="1:31" ht="45" x14ac:dyDescent="0.25">
      <c r="A877" s="31" t="s">
        <v>1860</v>
      </c>
      <c r="B877" s="16" t="s">
        <v>32</v>
      </c>
      <c r="C877" s="16" t="s">
        <v>164</v>
      </c>
      <c r="D877" s="33" t="s">
        <v>34</v>
      </c>
      <c r="E877" s="33">
        <v>146</v>
      </c>
      <c r="F877" s="33">
        <v>1</v>
      </c>
      <c r="G877" s="33">
        <v>5</v>
      </c>
      <c r="H877" s="33"/>
      <c r="I877" s="31" t="s">
        <v>46</v>
      </c>
      <c r="J877" s="31"/>
      <c r="K877" s="33"/>
      <c r="L877" s="33"/>
      <c r="M877" s="31"/>
      <c r="N877" s="31"/>
      <c r="O877" s="16" t="s">
        <v>1861</v>
      </c>
      <c r="P877" s="16"/>
      <c r="Q877" s="16"/>
      <c r="R877" s="33"/>
      <c r="S877" s="34"/>
      <c r="T877" s="34"/>
      <c r="U877" s="34"/>
      <c r="V877" s="34"/>
      <c r="W877" s="34"/>
      <c r="X877" s="33" t="s">
        <v>85</v>
      </c>
      <c r="Y877" s="35" t="str">
        <f>IF(Tabela2[[#This Row],[SIGLA]]="","",VLOOKUP(Tabela2[[#This Row],[SIGLA]],Tabela1[[#All],[Sigla Arte]:[Crédito]],2,0))</f>
        <v>HELOÍSA PINTARELLI/ARQUIVO DA EDITORA</v>
      </c>
      <c r="Z877" s="31"/>
      <c r="AA877" s="31" t="str">
        <f>Tabela2[[#This Row],[ILUSTRADOR CRIAÇÃO]]</f>
        <v>HELOÍSA PINTARELLI/ARQUIVO DA EDITORA</v>
      </c>
      <c r="AB877" s="33"/>
      <c r="AC877" s="16"/>
      <c r="AE877" s="35" t="str">
        <f t="shared" si="13"/>
        <v>EF1 E002 Mat</v>
      </c>
    </row>
    <row r="878" spans="1:31" ht="255" x14ac:dyDescent="0.25">
      <c r="A878" s="31" t="s">
        <v>1862</v>
      </c>
      <c r="B878" s="16" t="s">
        <v>32</v>
      </c>
      <c r="C878" s="16" t="s">
        <v>33</v>
      </c>
      <c r="D878" s="33" t="s">
        <v>34</v>
      </c>
      <c r="E878" s="33">
        <v>147</v>
      </c>
      <c r="F878" s="33">
        <v>1</v>
      </c>
      <c r="G878" s="33">
        <v>5</v>
      </c>
      <c r="H878" s="33"/>
      <c r="I878" s="31" t="s">
        <v>995</v>
      </c>
      <c r="J878" s="31"/>
      <c r="K878" s="33"/>
      <c r="L878" s="33"/>
      <c r="M878" s="31"/>
      <c r="N878" s="31"/>
      <c r="O878" s="16" t="s">
        <v>1863</v>
      </c>
      <c r="P878" s="16"/>
      <c r="Q878" s="16"/>
      <c r="R878" s="33">
        <v>17</v>
      </c>
      <c r="S878" s="34">
        <v>45748</v>
      </c>
      <c r="T878" s="34">
        <v>45748</v>
      </c>
      <c r="U878" s="34">
        <v>45754</v>
      </c>
      <c r="V878" s="34">
        <v>45755</v>
      </c>
      <c r="W878" s="34">
        <v>45756</v>
      </c>
      <c r="X878" s="33" t="s">
        <v>1864</v>
      </c>
      <c r="Y878" s="35" t="str">
        <f>IF(Tabela2[[#This Row],[SIGLA]]="","",VLOOKUP(Tabela2[[#This Row],[SIGLA]],Tabela1[[#All],[Sigla Arte]:[Crédito]],2,0))</f>
        <v>FABIO EIJI SIRASUMA/ARQUIVO DA EDITORA</v>
      </c>
      <c r="Z878" s="31"/>
      <c r="AA878" s="31" t="str">
        <f>Tabela2[[#This Row],[ILUSTRADOR CRIAÇÃO]]</f>
        <v>FABIO EIJI SIRASUMA/ARQUIVO DA EDITORA</v>
      </c>
      <c r="AB878" s="33">
        <v>5</v>
      </c>
      <c r="AC878" s="16" t="s">
        <v>1865</v>
      </c>
      <c r="AD878" s="16" t="s">
        <v>1093</v>
      </c>
      <c r="AE878" s="35" t="str">
        <f t="shared" si="13"/>
        <v>EF1 E002 Mat</v>
      </c>
    </row>
    <row r="879" spans="1:31" ht="45" x14ac:dyDescent="0.25">
      <c r="A879" s="31" t="s">
        <v>1866</v>
      </c>
      <c r="B879" s="16" t="s">
        <v>32</v>
      </c>
      <c r="C879" s="16" t="s">
        <v>164</v>
      </c>
      <c r="D879" s="33" t="s">
        <v>34</v>
      </c>
      <c r="E879" s="33">
        <v>148</v>
      </c>
      <c r="F879" s="33">
        <v>1</v>
      </c>
      <c r="G879" s="33">
        <v>5</v>
      </c>
      <c r="H879" s="33"/>
      <c r="I879" s="31" t="s">
        <v>46</v>
      </c>
      <c r="J879" s="31"/>
      <c r="K879" s="33"/>
      <c r="L879" s="33"/>
      <c r="M879" s="31"/>
      <c r="N879" s="31"/>
      <c r="O879" s="16" t="s">
        <v>1867</v>
      </c>
      <c r="P879" s="16"/>
      <c r="Q879" s="16"/>
      <c r="R879" s="33"/>
      <c r="S879" s="34"/>
      <c r="T879" s="34"/>
      <c r="U879" s="34"/>
      <c r="V879" s="34"/>
      <c r="W879" s="34"/>
      <c r="X879" s="33" t="s">
        <v>85</v>
      </c>
      <c r="Y879" s="35" t="str">
        <f>IF(Tabela2[[#This Row],[SIGLA]]="","",VLOOKUP(Tabela2[[#This Row],[SIGLA]],Tabela1[[#All],[Sigla Arte]:[Crédito]],2,0))</f>
        <v>HELOÍSA PINTARELLI/ARQUIVO DA EDITORA</v>
      </c>
      <c r="Z879" s="31"/>
      <c r="AA879" s="31" t="str">
        <f>Tabela2[[#This Row],[ILUSTRADOR CRIAÇÃO]]</f>
        <v>HELOÍSA PINTARELLI/ARQUIVO DA EDITORA</v>
      </c>
      <c r="AB879" s="33"/>
      <c r="AC879" s="16"/>
      <c r="AE879" s="35" t="str">
        <f t="shared" si="13"/>
        <v>EF1 E002 Mat</v>
      </c>
    </row>
    <row r="880" spans="1:31" ht="45" x14ac:dyDescent="0.25">
      <c r="A880" s="31" t="s">
        <v>1868</v>
      </c>
      <c r="B880" s="16" t="s">
        <v>32</v>
      </c>
      <c r="C880" s="16" t="s">
        <v>164</v>
      </c>
      <c r="D880" s="33" t="s">
        <v>34</v>
      </c>
      <c r="E880" s="33">
        <v>148</v>
      </c>
      <c r="F880" s="33">
        <v>1</v>
      </c>
      <c r="G880" s="33">
        <v>5</v>
      </c>
      <c r="H880" s="33"/>
      <c r="I880" s="31" t="s">
        <v>46</v>
      </c>
      <c r="J880" s="31"/>
      <c r="K880" s="33"/>
      <c r="L880" s="33"/>
      <c r="M880" s="31"/>
      <c r="N880" s="31"/>
      <c r="O880" s="16" t="s">
        <v>1869</v>
      </c>
      <c r="P880" s="16"/>
      <c r="Q880" s="16"/>
      <c r="R880" s="33"/>
      <c r="S880" s="34"/>
      <c r="T880" s="34"/>
      <c r="U880" s="34"/>
      <c r="V880" s="34"/>
      <c r="W880" s="34"/>
      <c r="X880" s="33" t="s">
        <v>85</v>
      </c>
      <c r="Y880" s="35" t="str">
        <f>IF(Tabela2[[#This Row],[SIGLA]]="","",VLOOKUP(Tabela2[[#This Row],[SIGLA]],Tabela1[[#All],[Sigla Arte]:[Crédito]],2,0))</f>
        <v>HELOÍSA PINTARELLI/ARQUIVO DA EDITORA</v>
      </c>
      <c r="Z880" s="31"/>
      <c r="AA880" s="31" t="str">
        <f>Tabela2[[#This Row],[ILUSTRADOR CRIAÇÃO]]</f>
        <v>HELOÍSA PINTARELLI/ARQUIVO DA EDITORA</v>
      </c>
      <c r="AB880" s="33"/>
      <c r="AC880" s="16"/>
      <c r="AE880" s="35" t="str">
        <f t="shared" si="13"/>
        <v>EF1 E002 Mat</v>
      </c>
    </row>
    <row r="881" spans="1:31" ht="45" x14ac:dyDescent="0.25">
      <c r="A881" s="31" t="s">
        <v>1870</v>
      </c>
      <c r="B881" s="16" t="s">
        <v>32</v>
      </c>
      <c r="C881" s="16" t="s">
        <v>164</v>
      </c>
      <c r="D881" s="33" t="s">
        <v>34</v>
      </c>
      <c r="E881" s="33">
        <v>148</v>
      </c>
      <c r="F881" s="33">
        <v>1</v>
      </c>
      <c r="G881" s="33">
        <v>5</v>
      </c>
      <c r="H881" s="33"/>
      <c r="I881" s="31" t="s">
        <v>46</v>
      </c>
      <c r="J881" s="31"/>
      <c r="K881" s="33"/>
      <c r="L881" s="33"/>
      <c r="M881" s="31"/>
      <c r="N881" s="31"/>
      <c r="O881" s="16" t="s">
        <v>1871</v>
      </c>
      <c r="P881" s="16"/>
      <c r="Q881" s="16"/>
      <c r="R881" s="33"/>
      <c r="S881" s="34"/>
      <c r="T881" s="34"/>
      <c r="U881" s="34"/>
      <c r="V881" s="34"/>
      <c r="W881" s="34"/>
      <c r="X881" s="33" t="s">
        <v>85</v>
      </c>
      <c r="Y881" s="35" t="str">
        <f>IF(Tabela2[[#This Row],[SIGLA]]="","",VLOOKUP(Tabela2[[#This Row],[SIGLA]],Tabela1[[#All],[Sigla Arte]:[Crédito]],2,0))</f>
        <v>HELOÍSA PINTARELLI/ARQUIVO DA EDITORA</v>
      </c>
      <c r="Z881" s="31"/>
      <c r="AA881" s="31" t="str">
        <f>Tabela2[[#This Row],[ILUSTRADOR CRIAÇÃO]]</f>
        <v>HELOÍSA PINTARELLI/ARQUIVO DA EDITORA</v>
      </c>
      <c r="AB881" s="33"/>
      <c r="AC881" s="16"/>
      <c r="AE881" s="35" t="str">
        <f t="shared" si="13"/>
        <v>EF1 E002 Mat</v>
      </c>
    </row>
    <row r="882" spans="1:31" ht="45" x14ac:dyDescent="0.25">
      <c r="A882" s="45" t="s">
        <v>1872</v>
      </c>
      <c r="B882" s="16" t="s">
        <v>32</v>
      </c>
      <c r="C882" s="16" t="s">
        <v>164</v>
      </c>
      <c r="D882" s="33" t="s">
        <v>34</v>
      </c>
      <c r="E882" s="33">
        <v>150</v>
      </c>
      <c r="F882" s="33">
        <v>1</v>
      </c>
      <c r="G882" s="33">
        <v>5</v>
      </c>
      <c r="H882" s="33"/>
      <c r="I882" s="31" t="s">
        <v>46</v>
      </c>
      <c r="J882" s="31"/>
      <c r="K882" s="33"/>
      <c r="L882" s="33"/>
      <c r="M882" s="31"/>
      <c r="N882" s="31"/>
      <c r="O882" s="16" t="s">
        <v>1873</v>
      </c>
      <c r="P882" s="16"/>
      <c r="Q882" s="16"/>
      <c r="R882" s="33"/>
      <c r="S882" s="34"/>
      <c r="T882" s="34"/>
      <c r="U882" s="34"/>
      <c r="V882" s="34"/>
      <c r="W882" s="34"/>
      <c r="X882" s="33" t="s">
        <v>715</v>
      </c>
      <c r="Y882" s="35" t="str">
        <f>IF(Tabela2[[#This Row],[SIGLA]]="","",VLOOKUP(Tabela2[[#This Row],[SIGLA]],Tabela1[[#All],[Sigla Arte]:[Crédito]],2,0))</f>
        <v>RAFAELA H. PEREIRA/ARQUIVO DA EDITORA</v>
      </c>
      <c r="Z882" s="31"/>
      <c r="AA882" s="31" t="str">
        <f>Tabela2[[#This Row],[ILUSTRADOR CRIAÇÃO]]</f>
        <v>RAFAELA H. PEREIRA/ARQUIVO DA EDITORA</v>
      </c>
      <c r="AB882" s="33"/>
      <c r="AC882" s="16"/>
      <c r="AE882" s="35" t="str">
        <f t="shared" si="13"/>
        <v>EF1 E002 Mat</v>
      </c>
    </row>
    <row r="883" spans="1:31" ht="45" x14ac:dyDescent="0.25">
      <c r="A883" s="31" t="s">
        <v>1874</v>
      </c>
      <c r="B883" s="16" t="s">
        <v>32</v>
      </c>
      <c r="C883" s="16" t="s">
        <v>164</v>
      </c>
      <c r="D883" s="33" t="s">
        <v>34</v>
      </c>
      <c r="E883" s="33">
        <v>150</v>
      </c>
      <c r="F883" s="33">
        <v>1</v>
      </c>
      <c r="G883" s="33">
        <v>5</v>
      </c>
      <c r="H883" s="33"/>
      <c r="I883" s="31" t="s">
        <v>46</v>
      </c>
      <c r="J883" s="31"/>
      <c r="K883" s="33"/>
      <c r="L883" s="33"/>
      <c r="M883" s="31"/>
      <c r="N883" s="31"/>
      <c r="O883" s="16" t="s">
        <v>1875</v>
      </c>
      <c r="P883" s="16"/>
      <c r="Q883" s="16"/>
      <c r="R883" s="33"/>
      <c r="S883" s="34"/>
      <c r="T883" s="34"/>
      <c r="U883" s="34"/>
      <c r="V883" s="34"/>
      <c r="W883" s="34"/>
      <c r="X883" s="33" t="s">
        <v>715</v>
      </c>
      <c r="Y883" s="35" t="str">
        <f>IF(Tabela2[[#This Row],[SIGLA]]="","",VLOOKUP(Tabela2[[#This Row],[SIGLA]],Tabela1[[#All],[Sigla Arte]:[Crédito]],2,0))</f>
        <v>RAFAELA H. PEREIRA/ARQUIVO DA EDITORA</v>
      </c>
      <c r="Z883" s="31"/>
      <c r="AA883" s="31" t="str">
        <f>Tabela2[[#This Row],[ILUSTRADOR CRIAÇÃO]]</f>
        <v>RAFAELA H. PEREIRA/ARQUIVO DA EDITORA</v>
      </c>
      <c r="AB883" s="33"/>
      <c r="AC883" s="16"/>
      <c r="AE883" s="35" t="str">
        <f t="shared" si="13"/>
        <v>EF1 E002 Mat</v>
      </c>
    </row>
    <row r="884" spans="1:31" ht="45" x14ac:dyDescent="0.25">
      <c r="A884" s="31" t="s">
        <v>1876</v>
      </c>
      <c r="B884" s="16" t="s">
        <v>32</v>
      </c>
      <c r="C884" s="16" t="s">
        <v>164</v>
      </c>
      <c r="D884" s="33" t="s">
        <v>34</v>
      </c>
      <c r="E884" s="33">
        <v>150</v>
      </c>
      <c r="F884" s="33">
        <v>1</v>
      </c>
      <c r="G884" s="33">
        <v>5</v>
      </c>
      <c r="H884" s="33"/>
      <c r="I884" s="31" t="s">
        <v>46</v>
      </c>
      <c r="J884" s="31"/>
      <c r="K884" s="33"/>
      <c r="L884" s="33"/>
      <c r="M884" s="31"/>
      <c r="N884" s="31"/>
      <c r="O884" s="16" t="s">
        <v>1877</v>
      </c>
      <c r="P884" s="16"/>
      <c r="Q884" s="16"/>
      <c r="R884" s="33"/>
      <c r="S884" s="34"/>
      <c r="T884" s="34"/>
      <c r="U884" s="34"/>
      <c r="V884" s="34"/>
      <c r="W884" s="34"/>
      <c r="X884" s="33" t="s">
        <v>48</v>
      </c>
      <c r="Y884" s="35" t="str">
        <f>IF(Tabela2[[#This Row],[SIGLA]]="","",VLOOKUP(Tabela2[[#This Row],[SIGLA]],Tabela1[[#All],[Sigla Arte]:[Crédito]],2,0))</f>
        <v>SERGIO LIMA/ARQUIVO DA EDITORA</v>
      </c>
      <c r="Z884" s="31"/>
      <c r="AA884" s="31" t="str">
        <f>Tabela2[[#This Row],[ILUSTRADOR CRIAÇÃO]]</f>
        <v>SERGIO LIMA/ARQUIVO DA EDITORA</v>
      </c>
      <c r="AB884" s="33"/>
      <c r="AC884" s="16"/>
      <c r="AE884" s="35" t="str">
        <f t="shared" si="13"/>
        <v>EF1 E002 Mat</v>
      </c>
    </row>
    <row r="885" spans="1:31" ht="45" x14ac:dyDescent="0.25">
      <c r="A885" s="31" t="s">
        <v>1878</v>
      </c>
      <c r="B885" s="16" t="s">
        <v>32</v>
      </c>
      <c r="C885" s="16" t="s">
        <v>164</v>
      </c>
      <c r="D885" s="33" t="s">
        <v>34</v>
      </c>
      <c r="E885" s="33">
        <v>151</v>
      </c>
      <c r="F885" s="33">
        <v>1</v>
      </c>
      <c r="G885" s="33">
        <v>5</v>
      </c>
      <c r="H885" s="33"/>
      <c r="I885" s="31" t="s">
        <v>46</v>
      </c>
      <c r="J885" s="31"/>
      <c r="K885" s="33"/>
      <c r="L885" s="33"/>
      <c r="M885" s="31"/>
      <c r="N885" s="31"/>
      <c r="O885" s="16" t="s">
        <v>1879</v>
      </c>
      <c r="P885" s="16"/>
      <c r="Q885" s="16"/>
      <c r="R885" s="33"/>
      <c r="S885" s="34"/>
      <c r="T885" s="34"/>
      <c r="U885" s="34"/>
      <c r="V885" s="34"/>
      <c r="W885" s="34"/>
      <c r="X885" s="33" t="s">
        <v>48</v>
      </c>
      <c r="Y885" s="35" t="str">
        <f>IF(Tabela2[[#This Row],[SIGLA]]="","",VLOOKUP(Tabela2[[#This Row],[SIGLA]],Tabela1[[#All],[Sigla Arte]:[Crédito]],2,0))</f>
        <v>SERGIO LIMA/ARQUIVO DA EDITORA</v>
      </c>
      <c r="Z885" s="31"/>
      <c r="AA885" s="31" t="str">
        <f>Tabela2[[#This Row],[ILUSTRADOR CRIAÇÃO]]</f>
        <v>SERGIO LIMA/ARQUIVO DA EDITORA</v>
      </c>
      <c r="AB885" s="33"/>
      <c r="AC885" s="16"/>
      <c r="AE885" s="35" t="str">
        <f t="shared" si="13"/>
        <v>EF1 E002 Mat</v>
      </c>
    </row>
    <row r="886" spans="1:31" ht="45" x14ac:dyDescent="0.25">
      <c r="A886" s="31" t="s">
        <v>1880</v>
      </c>
      <c r="B886" s="16" t="s">
        <v>32</v>
      </c>
      <c r="C886" s="16" t="s">
        <v>164</v>
      </c>
      <c r="D886" s="33" t="s">
        <v>34</v>
      </c>
      <c r="E886" s="33">
        <v>151</v>
      </c>
      <c r="F886" s="33">
        <v>1</v>
      </c>
      <c r="G886" s="33">
        <v>5</v>
      </c>
      <c r="H886" s="33"/>
      <c r="I886" s="31" t="s">
        <v>46</v>
      </c>
      <c r="J886" s="31"/>
      <c r="K886" s="33"/>
      <c r="L886" s="33"/>
      <c r="M886" s="31"/>
      <c r="N886" s="31"/>
      <c r="O886" s="16" t="s">
        <v>1881</v>
      </c>
      <c r="P886" s="16"/>
      <c r="Q886" s="16"/>
      <c r="R886" s="33"/>
      <c r="S886" s="34"/>
      <c r="T886" s="34"/>
      <c r="U886" s="34"/>
      <c r="V886" s="34"/>
      <c r="W886" s="34"/>
      <c r="X886" s="33" t="s">
        <v>85</v>
      </c>
      <c r="Y886" s="35" t="str">
        <f>IF(Tabela2[[#This Row],[SIGLA]]="","",VLOOKUP(Tabela2[[#This Row],[SIGLA]],Tabela1[[#All],[Sigla Arte]:[Crédito]],2,0))</f>
        <v>HELOÍSA PINTARELLI/ARQUIVO DA EDITORA</v>
      </c>
      <c r="Z886" s="31"/>
      <c r="AA886" s="31" t="str">
        <f>Tabela2[[#This Row],[ILUSTRADOR CRIAÇÃO]]</f>
        <v>HELOÍSA PINTARELLI/ARQUIVO DA EDITORA</v>
      </c>
      <c r="AB886" s="33"/>
      <c r="AC886" s="16"/>
      <c r="AE886" s="35" t="str">
        <f t="shared" si="13"/>
        <v>EF1 E002 Mat</v>
      </c>
    </row>
    <row r="887" spans="1:31" ht="150" x14ac:dyDescent="0.25">
      <c r="A887" s="31" t="s">
        <v>1882</v>
      </c>
      <c r="B887" s="16" t="s">
        <v>32</v>
      </c>
      <c r="C887" s="16" t="s">
        <v>33</v>
      </c>
      <c r="D887" s="33" t="s">
        <v>34</v>
      </c>
      <c r="E887" s="33">
        <v>152</v>
      </c>
      <c r="F887" s="33">
        <v>1</v>
      </c>
      <c r="G887" s="33">
        <v>5</v>
      </c>
      <c r="H887" s="33"/>
      <c r="I887" s="31" t="s">
        <v>35</v>
      </c>
      <c r="J887" s="31"/>
      <c r="K887" s="33"/>
      <c r="L887" s="33"/>
      <c r="M887" s="31"/>
      <c r="N887" s="31"/>
      <c r="O887" s="16" t="s">
        <v>1883</v>
      </c>
      <c r="P887" s="16"/>
      <c r="Q887" s="16"/>
      <c r="R887" s="33">
        <v>17</v>
      </c>
      <c r="S887" s="34">
        <v>45748</v>
      </c>
      <c r="T887" s="34">
        <v>45748</v>
      </c>
      <c r="U887" s="34"/>
      <c r="V887" s="34"/>
      <c r="W887" s="34">
        <v>45750</v>
      </c>
      <c r="X887" s="33" t="s">
        <v>162</v>
      </c>
      <c r="Y887" s="35" t="str">
        <f>IF(Tabela2[[#This Row],[SIGLA]]="","",VLOOKUP(Tabela2[[#This Row],[SIGLA]],Tabela1[[#All],[Sigla Arte]:[Crédito]],2,0))</f>
        <v>IVY NUNES/ARQUIVO DA EDITORA</v>
      </c>
      <c r="Z887" s="31" t="s">
        <v>88</v>
      </c>
      <c r="AA887" s="31" t="str">
        <f>Tabela2[[#This Row],[ILUSTRADOR CRIAÇÃO]]</f>
        <v>IVY NUNES/ARQUIVO DA EDITORA</v>
      </c>
      <c r="AB887" s="33">
        <v>13</v>
      </c>
      <c r="AC887" s="16" t="s">
        <v>39</v>
      </c>
      <c r="AD887" s="16" t="s">
        <v>40</v>
      </c>
      <c r="AE887" s="35" t="str">
        <f t="shared" si="13"/>
        <v>EF1 E002 Mat</v>
      </c>
    </row>
    <row r="888" spans="1:31" ht="45" x14ac:dyDescent="0.25">
      <c r="A888" s="31" t="s">
        <v>1884</v>
      </c>
      <c r="B888" s="16" t="s">
        <v>32</v>
      </c>
      <c r="C888" s="16" t="s">
        <v>33</v>
      </c>
      <c r="D888" s="33" t="s">
        <v>34</v>
      </c>
      <c r="E888" s="33">
        <v>10</v>
      </c>
      <c r="F888" s="33">
        <v>1</v>
      </c>
      <c r="G888" s="33"/>
      <c r="H888" s="33" t="s">
        <v>1885</v>
      </c>
      <c r="I888" s="31" t="s">
        <v>46</v>
      </c>
      <c r="J888" s="31"/>
      <c r="K888" s="33"/>
      <c r="L888" s="33"/>
      <c r="M888" s="31"/>
      <c r="N888" s="31"/>
      <c r="O888" s="16" t="s">
        <v>1886</v>
      </c>
      <c r="P888" s="16"/>
      <c r="Q888" s="16"/>
      <c r="R888" s="33"/>
      <c r="S888" s="34"/>
      <c r="T888" s="34"/>
      <c r="U888" s="34"/>
      <c r="V888" s="34"/>
      <c r="W888" s="34"/>
      <c r="X888" s="33" t="s">
        <v>43</v>
      </c>
      <c r="Y888" s="35" t="str">
        <f>IF(Tabela2[[#This Row],[SIGLA]]="","",VLOOKUP(Tabela2[[#This Row],[SIGLA]],Tabela1[[#All],[Sigla Arte]:[Crédito]],2,0))</f>
        <v>GUILHERME RODRIGUES/ARQUIVO DA EDITORA</v>
      </c>
      <c r="Z888" s="31"/>
      <c r="AA888" s="31" t="str">
        <f>Tabela2[[#This Row],[ILUSTRADOR CRIAÇÃO]]</f>
        <v>GUILHERME RODRIGUES/ARQUIVO DA EDITORA</v>
      </c>
      <c r="AB888" s="33"/>
      <c r="AC888" s="16"/>
      <c r="AE888" s="35" t="str">
        <f t="shared" si="13"/>
        <v>EF1 E002 Mat</v>
      </c>
    </row>
    <row r="889" spans="1:31" ht="30" x14ac:dyDescent="0.25">
      <c r="A889" s="31" t="s">
        <v>1887</v>
      </c>
      <c r="B889" s="16" t="s">
        <v>32</v>
      </c>
      <c r="C889" s="16" t="s">
        <v>33</v>
      </c>
      <c r="D889" s="33" t="s">
        <v>34</v>
      </c>
      <c r="E889" s="33">
        <v>10</v>
      </c>
      <c r="F889" s="33">
        <v>1</v>
      </c>
      <c r="G889" s="33"/>
      <c r="H889" s="33" t="s">
        <v>1885</v>
      </c>
      <c r="I889" s="31" t="s">
        <v>46</v>
      </c>
      <c r="J889" s="31"/>
      <c r="K889" s="33"/>
      <c r="L889" s="33"/>
      <c r="M889" s="31"/>
      <c r="N889" s="31"/>
      <c r="O889" s="16" t="s">
        <v>1888</v>
      </c>
      <c r="P889" s="16"/>
      <c r="Q889" s="16"/>
      <c r="R889" s="33"/>
      <c r="S889" s="34"/>
      <c r="T889" s="34"/>
      <c r="U889" s="34"/>
      <c r="V889" s="34"/>
      <c r="W889" s="34"/>
      <c r="X889" s="33" t="s">
        <v>43</v>
      </c>
      <c r="Y889" s="35" t="str">
        <f>IF(Tabela2[[#This Row],[SIGLA]]="","",VLOOKUP(Tabela2[[#This Row],[SIGLA]],Tabela1[[#All],[Sigla Arte]:[Crédito]],2,0))</f>
        <v>GUILHERME RODRIGUES/ARQUIVO DA EDITORA</v>
      </c>
      <c r="Z889" s="31"/>
      <c r="AA889" s="31" t="str">
        <f>Tabela2[[#This Row],[ILUSTRADOR CRIAÇÃO]]</f>
        <v>GUILHERME RODRIGUES/ARQUIVO DA EDITORA</v>
      </c>
      <c r="AB889" s="33"/>
      <c r="AC889" s="16"/>
      <c r="AE889" s="35" t="str">
        <f t="shared" si="13"/>
        <v>EF1 E002 Mat</v>
      </c>
    </row>
    <row r="890" spans="1:31" ht="90" x14ac:dyDescent="0.25">
      <c r="A890" s="31" t="s">
        <v>1889</v>
      </c>
      <c r="B890" s="16" t="s">
        <v>32</v>
      </c>
      <c r="C890" s="16" t="s">
        <v>33</v>
      </c>
      <c r="D890" s="33" t="s">
        <v>34</v>
      </c>
      <c r="E890" s="33">
        <v>10</v>
      </c>
      <c r="F890" s="33">
        <v>1</v>
      </c>
      <c r="G890" s="33"/>
      <c r="H890" s="33" t="s">
        <v>1885</v>
      </c>
      <c r="I890" s="31" t="s">
        <v>995</v>
      </c>
      <c r="J890" s="31"/>
      <c r="K890" s="33"/>
      <c r="L890" s="33"/>
      <c r="M890" s="31"/>
      <c r="N890" s="31"/>
      <c r="O890" s="16" t="s">
        <v>1890</v>
      </c>
      <c r="P890" s="16"/>
      <c r="Q890" s="16"/>
      <c r="R890" s="33">
        <v>18</v>
      </c>
      <c r="S890" s="34">
        <v>45749</v>
      </c>
      <c r="T890" s="34">
        <v>45749</v>
      </c>
      <c r="U890" s="34">
        <v>45750</v>
      </c>
      <c r="V890" s="34">
        <v>45754</v>
      </c>
      <c r="W890" s="34">
        <v>45756</v>
      </c>
      <c r="X890" s="33" t="s">
        <v>43</v>
      </c>
      <c r="Y890" s="35" t="str">
        <f>IF(Tabela2[[#This Row],[SIGLA]]="","",VLOOKUP(Tabela2[[#This Row],[SIGLA]],Tabela1[[#All],[Sigla Arte]:[Crédito]],2,0))</f>
        <v>GUILHERME RODRIGUES/ARQUIVO DA EDITORA</v>
      </c>
      <c r="Z890" s="31"/>
      <c r="AA890" s="31" t="str">
        <f>Tabela2[[#This Row],[ILUSTRADOR CRIAÇÃO]]</f>
        <v>GUILHERME RODRIGUES/ARQUIVO DA EDITORA</v>
      </c>
      <c r="AB890" s="33">
        <v>6</v>
      </c>
      <c r="AC890" s="16" t="s">
        <v>1891</v>
      </c>
      <c r="AD890" s="16" t="s">
        <v>1093</v>
      </c>
      <c r="AE890" s="35" t="str">
        <f t="shared" si="13"/>
        <v>EF1 E002 Mat</v>
      </c>
    </row>
    <row r="891" spans="1:31" ht="30" x14ac:dyDescent="0.25">
      <c r="A891" s="31" t="s">
        <v>1892</v>
      </c>
      <c r="B891" s="16" t="s">
        <v>32</v>
      </c>
      <c r="C891" s="16" t="s">
        <v>33</v>
      </c>
      <c r="D891" s="33" t="s">
        <v>34</v>
      </c>
      <c r="E891" s="33">
        <v>10</v>
      </c>
      <c r="F891" s="33">
        <v>1</v>
      </c>
      <c r="G891" s="33"/>
      <c r="H891" s="33" t="s">
        <v>1885</v>
      </c>
      <c r="I891" s="31" t="s">
        <v>46</v>
      </c>
      <c r="J891" s="31"/>
      <c r="K891" s="33"/>
      <c r="L891" s="33"/>
      <c r="M891" s="31"/>
      <c r="N891" s="31"/>
      <c r="O891" s="16" t="s">
        <v>1893</v>
      </c>
      <c r="P891" s="16"/>
      <c r="Q891" s="16"/>
      <c r="R891" s="33"/>
      <c r="S891" s="34"/>
      <c r="T891" s="34"/>
      <c r="U891" s="34"/>
      <c r="V891" s="34"/>
      <c r="W891" s="34"/>
      <c r="X891" s="33" t="s">
        <v>43</v>
      </c>
      <c r="Y891" s="35" t="str">
        <f>IF(Tabela2[[#This Row],[SIGLA]]="","",VLOOKUP(Tabela2[[#This Row],[SIGLA]],Tabela1[[#All],[Sigla Arte]:[Crédito]],2,0))</f>
        <v>GUILHERME RODRIGUES/ARQUIVO DA EDITORA</v>
      </c>
      <c r="Z891" s="31"/>
      <c r="AA891" s="31" t="str">
        <f>Tabela2[[#This Row],[ILUSTRADOR CRIAÇÃO]]</f>
        <v>GUILHERME RODRIGUES/ARQUIVO DA EDITORA</v>
      </c>
      <c r="AB891" s="33"/>
      <c r="AC891" s="16"/>
      <c r="AE891" s="35" t="str">
        <f t="shared" si="13"/>
        <v>EF1 E002 Mat</v>
      </c>
    </row>
    <row r="892" spans="1:31" ht="75" x14ac:dyDescent="0.25">
      <c r="A892" s="31" t="s">
        <v>1894</v>
      </c>
      <c r="B892" s="16" t="s">
        <v>401</v>
      </c>
      <c r="C892" s="16" t="s">
        <v>33</v>
      </c>
      <c r="D892" s="33" t="s">
        <v>34</v>
      </c>
      <c r="E892" s="33">
        <v>10</v>
      </c>
      <c r="F892" s="33">
        <v>1</v>
      </c>
      <c r="G892" s="33"/>
      <c r="H892" s="33" t="s">
        <v>1885</v>
      </c>
      <c r="I892" s="31" t="s">
        <v>35</v>
      </c>
      <c r="J892" s="31"/>
      <c r="K892" s="33"/>
      <c r="L892" s="33"/>
      <c r="M892" s="31"/>
      <c r="N892" s="31"/>
      <c r="O892" s="16" t="s">
        <v>1895</v>
      </c>
      <c r="P892" s="16"/>
      <c r="Q892" s="16" t="s">
        <v>1500</v>
      </c>
      <c r="R892" s="33">
        <v>24</v>
      </c>
      <c r="S892" s="34">
        <v>45758</v>
      </c>
      <c r="T892" s="34">
        <v>45758</v>
      </c>
      <c r="U892" s="34"/>
      <c r="V892" s="34"/>
      <c r="W892" s="34">
        <v>45758</v>
      </c>
      <c r="X892" s="33" t="s">
        <v>43</v>
      </c>
      <c r="Y892" s="35" t="str">
        <f>IF(Tabela2[[#This Row],[SIGLA]]="","",VLOOKUP(Tabela2[[#This Row],[SIGLA]],Tabela1[[#All],[Sigla Arte]:[Crédito]],2,0))</f>
        <v>GUILHERME RODRIGUES/ARQUIVO DA EDITORA</v>
      </c>
      <c r="Z892" s="31" t="s">
        <v>221</v>
      </c>
      <c r="AA892" s="31" t="str">
        <f>Tabela2[[#This Row],[ILUSTRADOR CRIAÇÃO]]</f>
        <v>GUILHERME RODRIGUES/ARQUIVO DA EDITORA</v>
      </c>
      <c r="AB892" s="33">
        <v>14</v>
      </c>
      <c r="AC892" s="16" t="s">
        <v>44</v>
      </c>
      <c r="AD892" s="16" t="s">
        <v>40</v>
      </c>
      <c r="AE892" s="35" t="str">
        <f t="shared" si="13"/>
        <v>EF1 E002 Mat</v>
      </c>
    </row>
    <row r="893" spans="1:31" ht="30" x14ac:dyDescent="0.25">
      <c r="A893" s="31" t="s">
        <v>1896</v>
      </c>
      <c r="B893" s="16" t="s">
        <v>32</v>
      </c>
      <c r="C893" s="16" t="s">
        <v>33</v>
      </c>
      <c r="D893" s="33" t="s">
        <v>34</v>
      </c>
      <c r="E893" s="33">
        <v>11</v>
      </c>
      <c r="F893" s="33">
        <v>1</v>
      </c>
      <c r="G893" s="33"/>
      <c r="H893" s="33" t="s">
        <v>1885</v>
      </c>
      <c r="I893" s="31" t="s">
        <v>46</v>
      </c>
      <c r="J893" s="31"/>
      <c r="K893" s="33"/>
      <c r="L893" s="33"/>
      <c r="M893" s="31"/>
      <c r="N893" s="31"/>
      <c r="O893" s="16" t="s">
        <v>1897</v>
      </c>
      <c r="P893" s="16"/>
      <c r="Q893" s="16"/>
      <c r="R893" s="33"/>
      <c r="S893" s="34"/>
      <c r="T893" s="34"/>
      <c r="U893" s="34"/>
      <c r="V893" s="34"/>
      <c r="W893" s="34"/>
      <c r="X893" s="33" t="s">
        <v>43</v>
      </c>
      <c r="Y893" s="35" t="str">
        <f>IF(Tabela2[[#This Row],[SIGLA]]="","",VLOOKUP(Tabela2[[#This Row],[SIGLA]],Tabela1[[#All],[Sigla Arte]:[Crédito]],2,0))</f>
        <v>GUILHERME RODRIGUES/ARQUIVO DA EDITORA</v>
      </c>
      <c r="Z893" s="31"/>
      <c r="AA893" s="31" t="str">
        <f>Tabela2[[#This Row],[ILUSTRADOR CRIAÇÃO]]</f>
        <v>GUILHERME RODRIGUES/ARQUIVO DA EDITORA</v>
      </c>
      <c r="AB893" s="33"/>
      <c r="AC893" s="16"/>
      <c r="AE893" s="35" t="str">
        <f t="shared" si="13"/>
        <v>EF1 E002 Mat</v>
      </c>
    </row>
    <row r="894" spans="1:31" ht="30" x14ac:dyDescent="0.25">
      <c r="A894" s="31" t="s">
        <v>1898</v>
      </c>
      <c r="B894" s="16" t="s">
        <v>32</v>
      </c>
      <c r="C894" s="16" t="s">
        <v>33</v>
      </c>
      <c r="D894" s="33" t="s">
        <v>34</v>
      </c>
      <c r="E894" s="33">
        <v>11</v>
      </c>
      <c r="F894" s="33">
        <v>1</v>
      </c>
      <c r="G894" s="33"/>
      <c r="H894" s="33" t="s">
        <v>1885</v>
      </c>
      <c r="I894" s="31" t="s">
        <v>46</v>
      </c>
      <c r="J894" s="31"/>
      <c r="K894" s="33"/>
      <c r="L894" s="33"/>
      <c r="M894" s="31"/>
      <c r="N894" s="31"/>
      <c r="O894" s="16" t="s">
        <v>1899</v>
      </c>
      <c r="P894" s="16"/>
      <c r="Q894" s="16"/>
      <c r="R894" s="33"/>
      <c r="S894" s="34"/>
      <c r="T894" s="34"/>
      <c r="U894" s="34"/>
      <c r="V894" s="34"/>
      <c r="W894" s="34"/>
      <c r="X894" s="33" t="s">
        <v>43</v>
      </c>
      <c r="Y894" s="35" t="str">
        <f>IF(Tabela2[[#This Row],[SIGLA]]="","",VLOOKUP(Tabela2[[#This Row],[SIGLA]],Tabela1[[#All],[Sigla Arte]:[Crédito]],2,0))</f>
        <v>GUILHERME RODRIGUES/ARQUIVO DA EDITORA</v>
      </c>
      <c r="Z894" s="31"/>
      <c r="AA894" s="31" t="str">
        <f>Tabela2[[#This Row],[ILUSTRADOR CRIAÇÃO]]</f>
        <v>GUILHERME RODRIGUES/ARQUIVO DA EDITORA</v>
      </c>
      <c r="AB894" s="33"/>
      <c r="AC894" s="16"/>
      <c r="AE894" s="35" t="str">
        <f t="shared" si="13"/>
        <v>EF1 E002 Mat</v>
      </c>
    </row>
    <row r="895" spans="1:31" ht="45" x14ac:dyDescent="0.25">
      <c r="A895" s="31" t="s">
        <v>1900</v>
      </c>
      <c r="B895" s="16" t="s">
        <v>32</v>
      </c>
      <c r="C895" s="16" t="s">
        <v>33</v>
      </c>
      <c r="D895" s="33" t="s">
        <v>34</v>
      </c>
      <c r="E895" s="33">
        <v>11</v>
      </c>
      <c r="F895" s="33">
        <v>1</v>
      </c>
      <c r="G895" s="33"/>
      <c r="H895" s="33" t="s">
        <v>1885</v>
      </c>
      <c r="I895" s="31" t="s">
        <v>46</v>
      </c>
      <c r="J895" s="31"/>
      <c r="K895" s="33"/>
      <c r="L895" s="33"/>
      <c r="M895" s="31"/>
      <c r="N895" s="31"/>
      <c r="O895" s="16" t="s">
        <v>1901</v>
      </c>
      <c r="P895" s="16"/>
      <c r="Q895" s="16"/>
      <c r="R895" s="33"/>
      <c r="S895" s="34"/>
      <c r="T895" s="34"/>
      <c r="U895" s="34"/>
      <c r="V895" s="34"/>
      <c r="W895" s="34"/>
      <c r="X895" s="33" t="s">
        <v>247</v>
      </c>
      <c r="Y895" s="35" t="str">
        <f>IF(Tabela2[[#This Row],[SIGLA]]="","",VLOOKUP(Tabela2[[#This Row],[SIGLA]],Tabela1[[#All],[Sigla Arte]:[Crédito]],2,0))</f>
        <v>THAIS CASTRO/ARQUIVO DA EDITORA</v>
      </c>
      <c r="Z895" s="31"/>
      <c r="AA895" s="31" t="str">
        <f>Tabela2[[#This Row],[ILUSTRADOR CRIAÇÃO]]</f>
        <v>THAIS CASTRO/ARQUIVO DA EDITORA</v>
      </c>
      <c r="AB895" s="33"/>
      <c r="AC895" s="16"/>
      <c r="AE895" s="35" t="str">
        <f t="shared" si="13"/>
        <v>EF1 E002 Mat</v>
      </c>
    </row>
    <row r="896" spans="1:31" ht="60" x14ac:dyDescent="0.25">
      <c r="A896" s="31" t="s">
        <v>1902</v>
      </c>
      <c r="B896" s="16" t="s">
        <v>32</v>
      </c>
      <c r="C896" s="16" t="s">
        <v>164</v>
      </c>
      <c r="D896" s="33" t="s">
        <v>34</v>
      </c>
      <c r="E896" s="33">
        <v>13</v>
      </c>
      <c r="F896" s="33">
        <v>1</v>
      </c>
      <c r="G896" s="33"/>
      <c r="H896" s="33" t="s">
        <v>1885</v>
      </c>
      <c r="I896" s="31" t="s">
        <v>46</v>
      </c>
      <c r="J896" s="31"/>
      <c r="K896" s="33"/>
      <c r="L896" s="33"/>
      <c r="M896" s="31"/>
      <c r="N896" s="31"/>
      <c r="O896" s="16" t="s">
        <v>1903</v>
      </c>
      <c r="P896" s="16"/>
      <c r="Q896" s="16"/>
      <c r="R896" s="33"/>
      <c r="S896" s="34"/>
      <c r="T896" s="34"/>
      <c r="U896" s="34"/>
      <c r="V896" s="34"/>
      <c r="W896" s="34"/>
      <c r="X896" s="33" t="s">
        <v>48</v>
      </c>
      <c r="Y896" s="35" t="str">
        <f>IF(Tabela2[[#This Row],[SIGLA]]="","",VLOOKUP(Tabela2[[#This Row],[SIGLA]],Tabela1[[#All],[Sigla Arte]:[Crédito]],2,0))</f>
        <v>SERGIO LIMA/ARQUIVO DA EDITORA</v>
      </c>
      <c r="Z896" s="31"/>
      <c r="AA896" s="31" t="str">
        <f>Tabela2[[#This Row],[ILUSTRADOR CRIAÇÃO]]</f>
        <v>SERGIO LIMA/ARQUIVO DA EDITORA</v>
      </c>
      <c r="AB896" s="33"/>
      <c r="AC896" s="16"/>
      <c r="AE896" s="35" t="str">
        <f t="shared" si="13"/>
        <v>EF1 E002 Mat</v>
      </c>
    </row>
    <row r="897" spans="1:31" ht="30" x14ac:dyDescent="0.25">
      <c r="A897" s="31" t="s">
        <v>1904</v>
      </c>
      <c r="B897" s="16" t="s">
        <v>32</v>
      </c>
      <c r="C897" s="16" t="s">
        <v>164</v>
      </c>
      <c r="D897" s="33" t="s">
        <v>34</v>
      </c>
      <c r="E897" s="33">
        <v>12</v>
      </c>
      <c r="F897" s="33">
        <v>1</v>
      </c>
      <c r="G897" s="33"/>
      <c r="H897" s="33" t="s">
        <v>1885</v>
      </c>
      <c r="I897" s="31" t="s">
        <v>46</v>
      </c>
      <c r="J897" s="31"/>
      <c r="K897" s="33"/>
      <c r="L897" s="33"/>
      <c r="M897" s="31"/>
      <c r="N897" s="31"/>
      <c r="O897" s="16" t="s">
        <v>1905</v>
      </c>
      <c r="P897" s="16"/>
      <c r="Q897" s="16"/>
      <c r="R897" s="33"/>
      <c r="S897" s="34"/>
      <c r="T897" s="34"/>
      <c r="U897" s="34"/>
      <c r="V897" s="34"/>
      <c r="W897" s="34"/>
      <c r="X897" s="33" t="s">
        <v>48</v>
      </c>
      <c r="Y897" s="35" t="str">
        <f>IF(Tabela2[[#This Row],[SIGLA]]="","",VLOOKUP(Tabela2[[#This Row],[SIGLA]],Tabela1[[#All],[Sigla Arte]:[Crédito]],2,0))</f>
        <v>SERGIO LIMA/ARQUIVO DA EDITORA</v>
      </c>
      <c r="Z897" s="31"/>
      <c r="AA897" s="31" t="str">
        <f>Tabela2[[#This Row],[ILUSTRADOR CRIAÇÃO]]</f>
        <v>SERGIO LIMA/ARQUIVO DA EDITORA</v>
      </c>
      <c r="AB897" s="33"/>
      <c r="AC897" s="16"/>
      <c r="AE897" s="35" t="str">
        <f t="shared" si="13"/>
        <v>EF1 E002 Mat</v>
      </c>
    </row>
    <row r="898" spans="1:31" ht="30" x14ac:dyDescent="0.25">
      <c r="A898" s="31" t="s">
        <v>1906</v>
      </c>
      <c r="B898" s="16" t="s">
        <v>32</v>
      </c>
      <c r="C898" s="16" t="s">
        <v>164</v>
      </c>
      <c r="D898" s="33" t="s">
        <v>34</v>
      </c>
      <c r="E898" s="33">
        <v>12</v>
      </c>
      <c r="F898" s="33">
        <v>1</v>
      </c>
      <c r="G898" s="33"/>
      <c r="H898" s="33" t="s">
        <v>1885</v>
      </c>
      <c r="I898" s="31" t="s">
        <v>46</v>
      </c>
      <c r="J898" s="31"/>
      <c r="K898" s="33"/>
      <c r="L898" s="33"/>
      <c r="M898" s="31"/>
      <c r="N898" s="31"/>
      <c r="O898" s="16" t="s">
        <v>1907</v>
      </c>
      <c r="P898" s="16"/>
      <c r="Q898" s="16"/>
      <c r="R898" s="33"/>
      <c r="S898" s="34"/>
      <c r="T898" s="34"/>
      <c r="U898" s="34"/>
      <c r="V898" s="34"/>
      <c r="W898" s="34"/>
      <c r="X898" s="33" t="s">
        <v>48</v>
      </c>
      <c r="Y898" s="35" t="str">
        <f>IF(Tabela2[[#This Row],[SIGLA]]="","",VLOOKUP(Tabela2[[#This Row],[SIGLA]],Tabela1[[#All],[Sigla Arte]:[Crédito]],2,0))</f>
        <v>SERGIO LIMA/ARQUIVO DA EDITORA</v>
      </c>
      <c r="Z898" s="31"/>
      <c r="AA898" s="31" t="str">
        <f>Tabela2[[#This Row],[ILUSTRADOR CRIAÇÃO]]</f>
        <v>SERGIO LIMA/ARQUIVO DA EDITORA</v>
      </c>
      <c r="AB898" s="33"/>
      <c r="AC898" s="16"/>
      <c r="AE898" s="35" t="str">
        <f t="shared" ref="AE898:AE961" si="14">"EF1 E002 Mat"</f>
        <v>EF1 E002 Mat</v>
      </c>
    </row>
    <row r="899" spans="1:31" ht="30" x14ac:dyDescent="0.25">
      <c r="A899" s="31" t="s">
        <v>1908</v>
      </c>
      <c r="B899" s="16" t="s">
        <v>32</v>
      </c>
      <c r="C899" s="16" t="s">
        <v>164</v>
      </c>
      <c r="D899" s="33" t="s">
        <v>34</v>
      </c>
      <c r="E899" s="33">
        <v>12</v>
      </c>
      <c r="F899" s="33">
        <v>1</v>
      </c>
      <c r="G899" s="33"/>
      <c r="H899" s="33" t="s">
        <v>1885</v>
      </c>
      <c r="I899" s="31" t="s">
        <v>46</v>
      </c>
      <c r="J899" s="31"/>
      <c r="K899" s="33"/>
      <c r="L899" s="33"/>
      <c r="M899" s="31"/>
      <c r="N899" s="31"/>
      <c r="O899" s="16" t="s">
        <v>1909</v>
      </c>
      <c r="P899" s="16"/>
      <c r="Q899" s="16"/>
      <c r="R899" s="33"/>
      <c r="S899" s="34"/>
      <c r="T899" s="34"/>
      <c r="U899" s="34"/>
      <c r="V899" s="34"/>
      <c r="W899" s="34"/>
      <c r="X899" s="33" t="s">
        <v>48</v>
      </c>
      <c r="Y899" s="35" t="str">
        <f>IF(Tabela2[[#This Row],[SIGLA]]="","",VLOOKUP(Tabela2[[#This Row],[SIGLA]],Tabela1[[#All],[Sigla Arte]:[Crédito]],2,0))</f>
        <v>SERGIO LIMA/ARQUIVO DA EDITORA</v>
      </c>
      <c r="Z899" s="31"/>
      <c r="AA899" s="31" t="str">
        <f>Tabela2[[#This Row],[ILUSTRADOR CRIAÇÃO]]</f>
        <v>SERGIO LIMA/ARQUIVO DA EDITORA</v>
      </c>
      <c r="AB899" s="33"/>
      <c r="AC899" s="16"/>
      <c r="AE899" s="35" t="str">
        <f t="shared" si="14"/>
        <v>EF1 E002 Mat</v>
      </c>
    </row>
    <row r="900" spans="1:31" ht="30" x14ac:dyDescent="0.25">
      <c r="A900" s="31" t="s">
        <v>1910</v>
      </c>
      <c r="B900" s="16" t="s">
        <v>32</v>
      </c>
      <c r="C900" s="16" t="s">
        <v>164</v>
      </c>
      <c r="D900" s="33" t="s">
        <v>34</v>
      </c>
      <c r="E900" s="33">
        <v>12</v>
      </c>
      <c r="F900" s="33">
        <v>1</v>
      </c>
      <c r="G900" s="33"/>
      <c r="H900" s="33" t="s">
        <v>1885</v>
      </c>
      <c r="I900" s="31" t="s">
        <v>46</v>
      </c>
      <c r="J900" s="31"/>
      <c r="K900" s="33"/>
      <c r="L900" s="33"/>
      <c r="M900" s="31"/>
      <c r="N900" s="31"/>
      <c r="O900" s="16" t="s">
        <v>1911</v>
      </c>
      <c r="P900" s="16"/>
      <c r="Q900" s="16"/>
      <c r="R900" s="33"/>
      <c r="S900" s="34"/>
      <c r="T900" s="34"/>
      <c r="U900" s="34"/>
      <c r="V900" s="34"/>
      <c r="W900" s="34"/>
      <c r="X900" s="33" t="s">
        <v>48</v>
      </c>
      <c r="Y900" s="35" t="str">
        <f>IF(Tabela2[[#This Row],[SIGLA]]="","",VLOOKUP(Tabela2[[#This Row],[SIGLA]],Tabela1[[#All],[Sigla Arte]:[Crédito]],2,0))</f>
        <v>SERGIO LIMA/ARQUIVO DA EDITORA</v>
      </c>
      <c r="Z900" s="31"/>
      <c r="AA900" s="31" t="str">
        <f>Tabela2[[#This Row],[ILUSTRADOR CRIAÇÃO]]</f>
        <v>SERGIO LIMA/ARQUIVO DA EDITORA</v>
      </c>
      <c r="AB900" s="33"/>
      <c r="AC900" s="16"/>
      <c r="AE900" s="35" t="str">
        <f t="shared" si="14"/>
        <v>EF1 E002 Mat</v>
      </c>
    </row>
    <row r="901" spans="1:31" ht="30" x14ac:dyDescent="0.25">
      <c r="A901" s="31" t="s">
        <v>1912</v>
      </c>
      <c r="B901" s="16" t="s">
        <v>32</v>
      </c>
      <c r="C901" s="16" t="s">
        <v>164</v>
      </c>
      <c r="D901" s="33" t="s">
        <v>34</v>
      </c>
      <c r="E901" s="33">
        <v>12</v>
      </c>
      <c r="F901" s="33">
        <v>1</v>
      </c>
      <c r="G901" s="33"/>
      <c r="H901" s="33" t="s">
        <v>1885</v>
      </c>
      <c r="I901" s="31" t="s">
        <v>46</v>
      </c>
      <c r="J901" s="31"/>
      <c r="K901" s="33"/>
      <c r="L901" s="33"/>
      <c r="M901" s="31"/>
      <c r="N901" s="31"/>
      <c r="O901" s="16" t="s">
        <v>1913</v>
      </c>
      <c r="P901" s="16"/>
      <c r="Q901" s="16"/>
      <c r="R901" s="33"/>
      <c r="S901" s="34"/>
      <c r="T901" s="34"/>
      <c r="U901" s="34"/>
      <c r="V901" s="34"/>
      <c r="W901" s="34"/>
      <c r="X901" s="33" t="s">
        <v>48</v>
      </c>
      <c r="Y901" s="35" t="str">
        <f>IF(Tabela2[[#This Row],[SIGLA]]="","",VLOOKUP(Tabela2[[#This Row],[SIGLA]],Tabela1[[#All],[Sigla Arte]:[Crédito]],2,0))</f>
        <v>SERGIO LIMA/ARQUIVO DA EDITORA</v>
      </c>
      <c r="Z901" s="31"/>
      <c r="AA901" s="31" t="str">
        <f>Tabela2[[#This Row],[ILUSTRADOR CRIAÇÃO]]</f>
        <v>SERGIO LIMA/ARQUIVO DA EDITORA</v>
      </c>
      <c r="AB901" s="33"/>
      <c r="AC901" s="16"/>
      <c r="AE901" s="35" t="str">
        <f t="shared" si="14"/>
        <v>EF1 E002 Mat</v>
      </c>
    </row>
    <row r="902" spans="1:31" ht="90" x14ac:dyDescent="0.25">
      <c r="A902" s="31" t="s">
        <v>1914</v>
      </c>
      <c r="B902" s="16" t="s">
        <v>32</v>
      </c>
      <c r="C902" s="16" t="s">
        <v>164</v>
      </c>
      <c r="D902" s="33" t="s">
        <v>34</v>
      </c>
      <c r="E902" s="33">
        <v>12</v>
      </c>
      <c r="F902" s="33">
        <v>1</v>
      </c>
      <c r="G902" s="33"/>
      <c r="H902" s="33" t="s">
        <v>1885</v>
      </c>
      <c r="I902" s="31" t="s">
        <v>35</v>
      </c>
      <c r="J902" s="31"/>
      <c r="K902" s="33"/>
      <c r="L902" s="33"/>
      <c r="M902" s="31"/>
      <c r="N902" s="31"/>
      <c r="O902" s="16" t="s">
        <v>1915</v>
      </c>
      <c r="P902" s="16"/>
      <c r="Q902" s="16"/>
      <c r="R902" s="33">
        <v>18</v>
      </c>
      <c r="S902" s="34">
        <v>45749</v>
      </c>
      <c r="T902" s="34">
        <v>45750</v>
      </c>
      <c r="U902" s="34"/>
      <c r="V902" s="34"/>
      <c r="W902" s="34">
        <v>45750</v>
      </c>
      <c r="X902" s="33" t="s">
        <v>48</v>
      </c>
      <c r="Y902" s="35" t="str">
        <f>IF(Tabela2[[#This Row],[SIGLA]]="","",VLOOKUP(Tabela2[[#This Row],[SIGLA]],Tabela1[[#All],[Sigla Arte]:[Crédito]],2,0))</f>
        <v>SERGIO LIMA/ARQUIVO DA EDITORA</v>
      </c>
      <c r="Z902" s="31" t="s">
        <v>221</v>
      </c>
      <c r="AA902" s="31" t="str">
        <f>Tabela2[[#This Row],[ILUSTRADOR CRIAÇÃO]]</f>
        <v>SERGIO LIMA/ARQUIVO DA EDITORA</v>
      </c>
      <c r="AB902" s="33">
        <v>13</v>
      </c>
      <c r="AC902" s="16" t="s">
        <v>44</v>
      </c>
      <c r="AD902" s="16" t="s">
        <v>40</v>
      </c>
      <c r="AE902" s="35" t="str">
        <f t="shared" si="14"/>
        <v>EF1 E002 Mat</v>
      </c>
    </row>
    <row r="903" spans="1:31" ht="105" x14ac:dyDescent="0.25">
      <c r="A903" s="31" t="s">
        <v>1916</v>
      </c>
      <c r="B903" s="16" t="s">
        <v>32</v>
      </c>
      <c r="C903" s="16" t="s">
        <v>164</v>
      </c>
      <c r="D903" s="33" t="s">
        <v>34</v>
      </c>
      <c r="E903" s="33">
        <v>12</v>
      </c>
      <c r="F903" s="33">
        <v>1</v>
      </c>
      <c r="G903" s="33"/>
      <c r="H903" s="33" t="s">
        <v>1885</v>
      </c>
      <c r="I903" s="31" t="s">
        <v>35</v>
      </c>
      <c r="J903" s="31"/>
      <c r="K903" s="33"/>
      <c r="L903" s="33"/>
      <c r="M903" s="31"/>
      <c r="N903" s="31"/>
      <c r="O903" s="16" t="s">
        <v>1917</v>
      </c>
      <c r="P903" s="16"/>
      <c r="Q903" s="16"/>
      <c r="R903" s="33">
        <v>18</v>
      </c>
      <c r="S903" s="34">
        <v>45749</v>
      </c>
      <c r="T903" s="34">
        <v>45750</v>
      </c>
      <c r="U903" s="34"/>
      <c r="V903" s="34"/>
      <c r="W903" s="34">
        <v>45750</v>
      </c>
      <c r="X903" s="33" t="s">
        <v>48</v>
      </c>
      <c r="Y903" s="35" t="str">
        <f>IF(Tabela2[[#This Row],[SIGLA]]="","",VLOOKUP(Tabela2[[#This Row],[SIGLA]],Tabela1[[#All],[Sigla Arte]:[Crédito]],2,0))</f>
        <v>SERGIO LIMA/ARQUIVO DA EDITORA</v>
      </c>
      <c r="Z903" s="31" t="s">
        <v>221</v>
      </c>
      <c r="AA903" s="31" t="str">
        <f>Tabela2[[#This Row],[ILUSTRADOR CRIAÇÃO]]</f>
        <v>SERGIO LIMA/ARQUIVO DA EDITORA</v>
      </c>
      <c r="AB903" s="33">
        <v>14</v>
      </c>
      <c r="AC903" s="16" t="s">
        <v>44</v>
      </c>
      <c r="AD903" s="16" t="s">
        <v>40</v>
      </c>
      <c r="AE903" s="35" t="str">
        <f t="shared" si="14"/>
        <v>EF1 E002 Mat</v>
      </c>
    </row>
    <row r="904" spans="1:31" ht="90" x14ac:dyDescent="0.25">
      <c r="A904" s="31" t="s">
        <v>1918</v>
      </c>
      <c r="B904" s="16" t="s">
        <v>32</v>
      </c>
      <c r="C904" s="16" t="s">
        <v>164</v>
      </c>
      <c r="D904" s="33" t="s">
        <v>34</v>
      </c>
      <c r="E904" s="33">
        <v>12</v>
      </c>
      <c r="F904" s="33">
        <v>1</v>
      </c>
      <c r="G904" s="33"/>
      <c r="H904" s="33" t="s">
        <v>1885</v>
      </c>
      <c r="I904" s="31" t="s">
        <v>35</v>
      </c>
      <c r="J904" s="31"/>
      <c r="K904" s="33"/>
      <c r="L904" s="33"/>
      <c r="M904" s="31"/>
      <c r="N904" s="31"/>
      <c r="O904" s="16" t="s">
        <v>1919</v>
      </c>
      <c r="P904" s="16"/>
      <c r="Q904" s="16"/>
      <c r="R904" s="33">
        <v>18</v>
      </c>
      <c r="S904" s="34">
        <v>45749</v>
      </c>
      <c r="T904" s="34">
        <v>45750</v>
      </c>
      <c r="U904" s="34"/>
      <c r="V904" s="34"/>
      <c r="W904" s="34">
        <v>45750</v>
      </c>
      <c r="X904" s="33" t="s">
        <v>48</v>
      </c>
      <c r="Y904" s="35" t="str">
        <f>IF(Tabela2[[#This Row],[SIGLA]]="","",VLOOKUP(Tabela2[[#This Row],[SIGLA]],Tabela1[[#All],[Sigla Arte]:[Crédito]],2,0))</f>
        <v>SERGIO LIMA/ARQUIVO DA EDITORA</v>
      </c>
      <c r="Z904" s="31" t="s">
        <v>221</v>
      </c>
      <c r="AA904" s="31" t="str">
        <f>Tabela2[[#This Row],[ILUSTRADOR CRIAÇÃO]]</f>
        <v>SERGIO LIMA/ARQUIVO DA EDITORA</v>
      </c>
      <c r="AB904" s="33">
        <v>14</v>
      </c>
      <c r="AC904" s="16" t="s">
        <v>44</v>
      </c>
      <c r="AD904" s="16" t="s">
        <v>40</v>
      </c>
      <c r="AE904" s="35" t="str">
        <f t="shared" si="14"/>
        <v>EF1 E002 Mat</v>
      </c>
    </row>
    <row r="905" spans="1:31" ht="90" x14ac:dyDescent="0.25">
      <c r="A905" s="31" t="s">
        <v>1920</v>
      </c>
      <c r="B905" s="16" t="s">
        <v>32</v>
      </c>
      <c r="C905" s="16" t="s">
        <v>164</v>
      </c>
      <c r="D905" s="33" t="s">
        <v>34</v>
      </c>
      <c r="E905" s="33">
        <v>12</v>
      </c>
      <c r="F905" s="33">
        <v>1</v>
      </c>
      <c r="G905" s="33"/>
      <c r="H905" s="33" t="s">
        <v>1885</v>
      </c>
      <c r="I905" s="31" t="s">
        <v>35</v>
      </c>
      <c r="J905" s="31"/>
      <c r="K905" s="33"/>
      <c r="L905" s="33"/>
      <c r="M905" s="31"/>
      <c r="N905" s="31"/>
      <c r="O905" s="16" t="s">
        <v>1921</v>
      </c>
      <c r="P905" s="16"/>
      <c r="Q905" s="16"/>
      <c r="R905" s="33">
        <v>18</v>
      </c>
      <c r="S905" s="34">
        <v>45749</v>
      </c>
      <c r="T905" s="34">
        <v>45750</v>
      </c>
      <c r="U905" s="34"/>
      <c r="V905" s="34"/>
      <c r="W905" s="34">
        <v>45750</v>
      </c>
      <c r="X905" s="33" t="s">
        <v>48</v>
      </c>
      <c r="Y905" s="35" t="str">
        <f>IF(Tabela2[[#This Row],[SIGLA]]="","",VLOOKUP(Tabela2[[#This Row],[SIGLA]],Tabela1[[#All],[Sigla Arte]:[Crédito]],2,0))</f>
        <v>SERGIO LIMA/ARQUIVO DA EDITORA</v>
      </c>
      <c r="Z905" s="31" t="s">
        <v>221</v>
      </c>
      <c r="AA905" s="31" t="str">
        <f>Tabela2[[#This Row],[ILUSTRADOR CRIAÇÃO]]</f>
        <v>SERGIO LIMA/ARQUIVO DA EDITORA</v>
      </c>
      <c r="AB905" s="33">
        <v>14</v>
      </c>
      <c r="AC905" s="16" t="s">
        <v>44</v>
      </c>
      <c r="AD905" s="16" t="s">
        <v>40</v>
      </c>
      <c r="AE905" s="35" t="str">
        <f t="shared" si="14"/>
        <v>EF1 E002 Mat</v>
      </c>
    </row>
    <row r="906" spans="1:31" ht="90" x14ac:dyDescent="0.25">
      <c r="A906" s="31" t="s">
        <v>1922</v>
      </c>
      <c r="B906" s="16" t="s">
        <v>32</v>
      </c>
      <c r="C906" s="16" t="s">
        <v>164</v>
      </c>
      <c r="D906" s="33" t="s">
        <v>34</v>
      </c>
      <c r="E906" s="33">
        <v>12</v>
      </c>
      <c r="F906" s="33">
        <v>1</v>
      </c>
      <c r="G906" s="33"/>
      <c r="H906" s="33" t="s">
        <v>1885</v>
      </c>
      <c r="I906" s="31" t="s">
        <v>35</v>
      </c>
      <c r="J906" s="31"/>
      <c r="K906" s="33"/>
      <c r="L906" s="33"/>
      <c r="M906" s="31"/>
      <c r="N906" s="31"/>
      <c r="O906" s="16" t="s">
        <v>1923</v>
      </c>
      <c r="P906" s="16"/>
      <c r="Q906" s="16"/>
      <c r="R906" s="33">
        <v>18</v>
      </c>
      <c r="S906" s="34">
        <v>45749</v>
      </c>
      <c r="T906" s="34">
        <v>45750</v>
      </c>
      <c r="U906" s="34"/>
      <c r="V906" s="34"/>
      <c r="W906" s="34">
        <v>45750</v>
      </c>
      <c r="X906" s="33" t="s">
        <v>48</v>
      </c>
      <c r="Y906" s="35" t="str">
        <f>IF(Tabela2[[#This Row],[SIGLA]]="","",VLOOKUP(Tabela2[[#This Row],[SIGLA]],Tabela1[[#All],[Sigla Arte]:[Crédito]],2,0))</f>
        <v>SERGIO LIMA/ARQUIVO DA EDITORA</v>
      </c>
      <c r="Z906" s="31" t="s">
        <v>221</v>
      </c>
      <c r="AA906" s="31" t="str">
        <f>Tabela2[[#This Row],[ILUSTRADOR CRIAÇÃO]]</f>
        <v>SERGIO LIMA/ARQUIVO DA EDITORA</v>
      </c>
      <c r="AB906" s="33">
        <v>14</v>
      </c>
      <c r="AC906" s="16" t="s">
        <v>44</v>
      </c>
      <c r="AD906" s="16" t="s">
        <v>40</v>
      </c>
      <c r="AE906" s="35" t="str">
        <f t="shared" si="14"/>
        <v>EF1 E002 Mat</v>
      </c>
    </row>
    <row r="907" spans="1:31" ht="225" x14ac:dyDescent="0.25">
      <c r="A907" s="31" t="s">
        <v>1924</v>
      </c>
      <c r="B907" s="16" t="s">
        <v>32</v>
      </c>
      <c r="C907" s="16" t="s">
        <v>164</v>
      </c>
      <c r="D907" s="33" t="s">
        <v>34</v>
      </c>
      <c r="E907" s="33">
        <v>12</v>
      </c>
      <c r="F907" s="33">
        <v>1</v>
      </c>
      <c r="G907" s="33"/>
      <c r="H907" s="33" t="s">
        <v>1885</v>
      </c>
      <c r="I907" s="31" t="s">
        <v>35</v>
      </c>
      <c r="J907" s="31"/>
      <c r="K907" s="33"/>
      <c r="L907" s="33"/>
      <c r="M907" s="31"/>
      <c r="N907" s="31"/>
      <c r="O907" s="16" t="s">
        <v>1925</v>
      </c>
      <c r="P907" s="16"/>
      <c r="Q907" s="16"/>
      <c r="R907" s="33">
        <v>18</v>
      </c>
      <c r="S907" s="34">
        <v>45749</v>
      </c>
      <c r="T907" s="34">
        <v>45756</v>
      </c>
      <c r="U907" s="34"/>
      <c r="V907" s="34"/>
      <c r="W907" s="34">
        <v>45756</v>
      </c>
      <c r="X907" s="33" t="s">
        <v>48</v>
      </c>
      <c r="Y907" s="35" t="str">
        <f>IF(Tabela2[[#This Row],[SIGLA]]="","",VLOOKUP(Tabela2[[#This Row],[SIGLA]],Tabela1[[#All],[Sigla Arte]:[Crédito]],2,0))</f>
        <v>SERGIO LIMA/ARQUIVO DA EDITORA</v>
      </c>
      <c r="Z907" s="31" t="s">
        <v>221</v>
      </c>
      <c r="AA907" s="31" t="str">
        <f>Tabela2[[#This Row],[ILUSTRADOR CRIAÇÃO]]</f>
        <v>SERGIO LIMA/ARQUIVO DA EDITORA</v>
      </c>
      <c r="AB907" s="33">
        <v>13</v>
      </c>
      <c r="AC907" s="16" t="s">
        <v>222</v>
      </c>
      <c r="AD907" s="16" t="s">
        <v>40</v>
      </c>
      <c r="AE907" s="35" t="str">
        <f t="shared" si="14"/>
        <v>EF1 E002 Mat</v>
      </c>
    </row>
    <row r="908" spans="1:31" ht="45" x14ac:dyDescent="0.25">
      <c r="A908" s="31" t="s">
        <v>1926</v>
      </c>
      <c r="B908" s="16" t="s">
        <v>32</v>
      </c>
      <c r="C908" s="16" t="s">
        <v>33</v>
      </c>
      <c r="D908" s="33" t="s">
        <v>34</v>
      </c>
      <c r="E908" s="33">
        <v>13</v>
      </c>
      <c r="F908" s="33">
        <v>1</v>
      </c>
      <c r="G908" s="33"/>
      <c r="H908" s="33" t="s">
        <v>1885</v>
      </c>
      <c r="I908" s="31" t="s">
        <v>46</v>
      </c>
      <c r="J908" s="31"/>
      <c r="K908" s="33"/>
      <c r="L908" s="33"/>
      <c r="M908" s="31"/>
      <c r="N908" s="31"/>
      <c r="O908" s="16" t="s">
        <v>1927</v>
      </c>
      <c r="P908" s="16"/>
      <c r="Q908" s="16"/>
      <c r="R908" s="33"/>
      <c r="S908" s="34"/>
      <c r="T908" s="34"/>
      <c r="U908" s="34"/>
      <c r="V908" s="34"/>
      <c r="W908" s="34"/>
      <c r="X908" s="33" t="s">
        <v>247</v>
      </c>
      <c r="Y908" s="35" t="str">
        <f>IF(Tabela2[[#This Row],[SIGLA]]="","",VLOOKUP(Tabela2[[#This Row],[SIGLA]],Tabela1[[#All],[Sigla Arte]:[Crédito]],2,0))</f>
        <v>THAIS CASTRO/ARQUIVO DA EDITORA</v>
      </c>
      <c r="Z908" s="31"/>
      <c r="AA908" s="31" t="str">
        <f>Tabela2[[#This Row],[ILUSTRADOR CRIAÇÃO]]</f>
        <v>THAIS CASTRO/ARQUIVO DA EDITORA</v>
      </c>
      <c r="AB908" s="33"/>
      <c r="AC908" s="16"/>
      <c r="AE908" s="35" t="str">
        <f t="shared" si="14"/>
        <v>EF1 E002 Mat</v>
      </c>
    </row>
    <row r="909" spans="1:31" ht="45" x14ac:dyDescent="0.25">
      <c r="A909" s="31" t="s">
        <v>1928</v>
      </c>
      <c r="B909" s="16" t="s">
        <v>32</v>
      </c>
      <c r="C909" s="16" t="s">
        <v>33</v>
      </c>
      <c r="D909" s="33" t="s">
        <v>34</v>
      </c>
      <c r="E909" s="33">
        <v>13</v>
      </c>
      <c r="F909" s="33">
        <v>1</v>
      </c>
      <c r="G909" s="33"/>
      <c r="H909" s="33" t="s">
        <v>1885</v>
      </c>
      <c r="I909" s="31" t="s">
        <v>46</v>
      </c>
      <c r="J909" s="31"/>
      <c r="K909" s="33"/>
      <c r="L909" s="33"/>
      <c r="M909" s="31"/>
      <c r="N909" s="31"/>
      <c r="O909" s="16" t="s">
        <v>1929</v>
      </c>
      <c r="P909" s="16"/>
      <c r="Q909" s="16"/>
      <c r="R909" s="33"/>
      <c r="S909" s="34"/>
      <c r="T909" s="34"/>
      <c r="U909" s="34"/>
      <c r="V909" s="34"/>
      <c r="W909" s="34"/>
      <c r="X909" s="33" t="s">
        <v>247</v>
      </c>
      <c r="Y909" s="35" t="str">
        <f>IF(Tabela2[[#This Row],[SIGLA]]="","",VLOOKUP(Tabela2[[#This Row],[SIGLA]],Tabela1[[#All],[Sigla Arte]:[Crédito]],2,0))</f>
        <v>THAIS CASTRO/ARQUIVO DA EDITORA</v>
      </c>
      <c r="Z909" s="31"/>
      <c r="AA909" s="31" t="str">
        <f>Tabela2[[#This Row],[ILUSTRADOR CRIAÇÃO]]</f>
        <v>THAIS CASTRO/ARQUIVO DA EDITORA</v>
      </c>
      <c r="AB909" s="33"/>
      <c r="AC909" s="16"/>
      <c r="AE909" s="35" t="str">
        <f t="shared" si="14"/>
        <v>EF1 E002 Mat</v>
      </c>
    </row>
    <row r="910" spans="1:31" ht="45" x14ac:dyDescent="0.25">
      <c r="A910" s="31" t="s">
        <v>1930</v>
      </c>
      <c r="B910" s="16" t="s">
        <v>32</v>
      </c>
      <c r="C910" s="16" t="s">
        <v>33</v>
      </c>
      <c r="D910" s="33" t="s">
        <v>34</v>
      </c>
      <c r="E910" s="33">
        <v>13</v>
      </c>
      <c r="F910" s="33">
        <v>1</v>
      </c>
      <c r="G910" s="33"/>
      <c r="H910" s="33" t="s">
        <v>1885</v>
      </c>
      <c r="I910" s="31" t="s">
        <v>46</v>
      </c>
      <c r="J910" s="31"/>
      <c r="K910" s="33"/>
      <c r="L910" s="33"/>
      <c r="M910" s="31"/>
      <c r="N910" s="31"/>
      <c r="O910" s="16" t="s">
        <v>1931</v>
      </c>
      <c r="P910" s="16"/>
      <c r="Q910" s="16"/>
      <c r="R910" s="33"/>
      <c r="S910" s="34"/>
      <c r="T910" s="34"/>
      <c r="U910" s="34"/>
      <c r="V910" s="34"/>
      <c r="W910" s="34"/>
      <c r="X910" s="33" t="s">
        <v>247</v>
      </c>
      <c r="Y910" s="35" t="str">
        <f>IF(Tabela2[[#This Row],[SIGLA]]="","",VLOOKUP(Tabela2[[#This Row],[SIGLA]],Tabela1[[#All],[Sigla Arte]:[Crédito]],2,0))</f>
        <v>THAIS CASTRO/ARQUIVO DA EDITORA</v>
      </c>
      <c r="Z910" s="31"/>
      <c r="AA910" s="31" t="str">
        <f>Tabela2[[#This Row],[ILUSTRADOR CRIAÇÃO]]</f>
        <v>THAIS CASTRO/ARQUIVO DA EDITORA</v>
      </c>
      <c r="AB910" s="33"/>
      <c r="AC910" s="16"/>
      <c r="AE910" s="35" t="str">
        <f t="shared" si="14"/>
        <v>EF1 E002 Mat</v>
      </c>
    </row>
    <row r="911" spans="1:31" ht="45" x14ac:dyDescent="0.25">
      <c r="A911" s="31" t="s">
        <v>1932</v>
      </c>
      <c r="B911" s="16" t="s">
        <v>32</v>
      </c>
      <c r="C911" s="16" t="s">
        <v>164</v>
      </c>
      <c r="D911" s="33" t="s">
        <v>34</v>
      </c>
      <c r="E911" s="33">
        <v>154</v>
      </c>
      <c r="F911" s="33">
        <v>1</v>
      </c>
      <c r="G911" s="33"/>
      <c r="H911" s="33" t="s">
        <v>1933</v>
      </c>
      <c r="I911" s="31" t="s">
        <v>46</v>
      </c>
      <c r="J911" s="31"/>
      <c r="K911" s="33"/>
      <c r="L911" s="33"/>
      <c r="M911" s="31"/>
      <c r="N911" s="31"/>
      <c r="O911" s="16" t="s">
        <v>1934</v>
      </c>
      <c r="P911" s="16"/>
      <c r="Q911" s="16"/>
      <c r="R911" s="33"/>
      <c r="S911" s="34"/>
      <c r="T911" s="34"/>
      <c r="U911" s="34"/>
      <c r="V911" s="34"/>
      <c r="W911" s="34"/>
      <c r="X911" s="33" t="s">
        <v>184</v>
      </c>
      <c r="Y911" s="35" t="str">
        <f>IF(Tabela2[[#This Row],[SIGLA]]="","",VLOOKUP(Tabela2[[#This Row],[SIGLA]],Tabela1[[#All],[Sigla Arte]:[Crédito]],2,0))</f>
        <v>VER DOCUMENTO DE ILS. TÉCNICAS</v>
      </c>
      <c r="Z911" s="31"/>
      <c r="AA911" s="31" t="s">
        <v>949</v>
      </c>
      <c r="AB911" s="33"/>
      <c r="AC911" s="16"/>
      <c r="AE911" s="35" t="str">
        <f t="shared" si="14"/>
        <v>EF1 E002 Mat</v>
      </c>
    </row>
    <row r="912" spans="1:31" ht="45" x14ac:dyDescent="0.25">
      <c r="A912" s="31" t="s">
        <v>1935</v>
      </c>
      <c r="B912" s="16" t="s">
        <v>32</v>
      </c>
      <c r="C912" s="16" t="s">
        <v>33</v>
      </c>
      <c r="D912" s="33" t="s">
        <v>34</v>
      </c>
      <c r="E912" s="33">
        <v>154</v>
      </c>
      <c r="F912" s="33">
        <v>1</v>
      </c>
      <c r="G912" s="33"/>
      <c r="H912" s="33" t="s">
        <v>1933</v>
      </c>
      <c r="I912" s="31" t="s">
        <v>46</v>
      </c>
      <c r="J912" s="31"/>
      <c r="K912" s="33"/>
      <c r="L912" s="33"/>
      <c r="M912" s="31"/>
      <c r="N912" s="31"/>
      <c r="O912" s="16" t="s">
        <v>1936</v>
      </c>
      <c r="P912" s="16"/>
      <c r="Q912" s="16"/>
      <c r="R912" s="33"/>
      <c r="S912" s="34"/>
      <c r="T912" s="34"/>
      <c r="U912" s="34"/>
      <c r="V912" s="34"/>
      <c r="W912" s="34"/>
      <c r="X912" s="33" t="s">
        <v>85</v>
      </c>
      <c r="Y912" s="35" t="str">
        <f>IF(Tabela2[[#This Row],[SIGLA]]="","",VLOOKUP(Tabela2[[#This Row],[SIGLA]],Tabela1[[#All],[Sigla Arte]:[Crédito]],2,0))</f>
        <v>HELOÍSA PINTARELLI/ARQUIVO DA EDITORA</v>
      </c>
      <c r="Z912" s="31"/>
      <c r="AA912" s="31" t="str">
        <f>Tabela2[[#This Row],[ILUSTRADOR CRIAÇÃO]]</f>
        <v>HELOÍSA PINTARELLI/ARQUIVO DA EDITORA</v>
      </c>
      <c r="AB912" s="33"/>
      <c r="AC912" s="16"/>
      <c r="AE912" s="35" t="str">
        <f t="shared" si="14"/>
        <v>EF1 E002 Mat</v>
      </c>
    </row>
    <row r="913" spans="1:31" ht="45" x14ac:dyDescent="0.25">
      <c r="A913" s="31" t="s">
        <v>1937</v>
      </c>
      <c r="B913" s="16" t="s">
        <v>32</v>
      </c>
      <c r="C913" s="16" t="s">
        <v>33</v>
      </c>
      <c r="D913" s="33" t="s">
        <v>34</v>
      </c>
      <c r="E913" s="33">
        <v>154</v>
      </c>
      <c r="F913" s="33">
        <v>1</v>
      </c>
      <c r="G913" s="33"/>
      <c r="H913" s="33" t="s">
        <v>1933</v>
      </c>
      <c r="I913" s="31" t="s">
        <v>46</v>
      </c>
      <c r="J913" s="31"/>
      <c r="K913" s="33"/>
      <c r="L913" s="33"/>
      <c r="M913" s="31"/>
      <c r="N913" s="31"/>
      <c r="O913" s="16" t="s">
        <v>1938</v>
      </c>
      <c r="P913" s="16"/>
      <c r="Q913" s="16"/>
      <c r="R913" s="33"/>
      <c r="S913" s="34"/>
      <c r="T913" s="34"/>
      <c r="U913" s="34"/>
      <c r="V913" s="34"/>
      <c r="W913" s="34"/>
      <c r="X913" s="33" t="s">
        <v>162</v>
      </c>
      <c r="Y913" s="35" t="str">
        <f>IF(Tabela2[[#This Row],[SIGLA]]="","",VLOOKUP(Tabela2[[#This Row],[SIGLA]],Tabela1[[#All],[Sigla Arte]:[Crédito]],2,0))</f>
        <v>IVY NUNES/ARQUIVO DA EDITORA</v>
      </c>
      <c r="Z913" s="31"/>
      <c r="AA913" s="31" t="str">
        <f>Tabela2[[#This Row],[ILUSTRADOR CRIAÇÃO]]</f>
        <v>IVY NUNES/ARQUIVO DA EDITORA</v>
      </c>
      <c r="AB913" s="33"/>
      <c r="AC913" s="16"/>
      <c r="AE913" s="35" t="str">
        <f t="shared" si="14"/>
        <v>EF1 E002 Mat</v>
      </c>
    </row>
    <row r="914" spans="1:31" ht="90" x14ac:dyDescent="0.25">
      <c r="A914" s="31" t="s">
        <v>1939</v>
      </c>
      <c r="B914" s="16" t="s">
        <v>32</v>
      </c>
      <c r="C914" s="16" t="s">
        <v>164</v>
      </c>
      <c r="D914" s="33" t="s">
        <v>34</v>
      </c>
      <c r="E914" s="33">
        <v>158</v>
      </c>
      <c r="F914" s="33">
        <v>1</v>
      </c>
      <c r="G914" s="33"/>
      <c r="H914" s="33" t="s">
        <v>1933</v>
      </c>
      <c r="I914" s="31" t="s">
        <v>35</v>
      </c>
      <c r="J914" s="31"/>
      <c r="K914" s="33"/>
      <c r="L914" s="33"/>
      <c r="M914" s="31"/>
      <c r="N914" s="31"/>
      <c r="O914" s="16" t="s">
        <v>1940</v>
      </c>
      <c r="P914" s="16"/>
      <c r="Q914" s="16"/>
      <c r="R914" s="33">
        <v>24</v>
      </c>
      <c r="S914" s="34">
        <v>45758</v>
      </c>
      <c r="T914" s="34">
        <v>45758</v>
      </c>
      <c r="U914" s="34"/>
      <c r="V914" s="34"/>
      <c r="W914" s="34">
        <v>45758</v>
      </c>
      <c r="X914" s="33" t="s">
        <v>37</v>
      </c>
      <c r="Y914" s="35" t="str">
        <f>IF(Tabela2[[#This Row],[SIGLA]]="","",VLOOKUP(Tabela2[[#This Row],[SIGLA]],Tabela1[[#All],[Sigla Arte]:[Crédito]],2,0))</f>
        <v>CAIO TANAKA/ARQUIVO DA EDITORA</v>
      </c>
      <c r="Z914" s="31" t="s">
        <v>221</v>
      </c>
      <c r="AA914" s="31" t="str">
        <f>Tabela2[[#This Row],[ILUSTRADOR CRIAÇÃO]]</f>
        <v>CAIO TANAKA/ARQUIVO DA EDITORA</v>
      </c>
      <c r="AB914" s="33">
        <v>13</v>
      </c>
      <c r="AC914" s="16" t="s">
        <v>44</v>
      </c>
      <c r="AD914" s="16" t="s">
        <v>40</v>
      </c>
      <c r="AE914" s="35" t="str">
        <f t="shared" si="14"/>
        <v>EF1 E002 Mat</v>
      </c>
    </row>
    <row r="915" spans="1:31" ht="60" x14ac:dyDescent="0.25">
      <c r="A915" s="31" t="s">
        <v>1941</v>
      </c>
      <c r="B915" s="16" t="s">
        <v>32</v>
      </c>
      <c r="C915" s="16" t="s">
        <v>164</v>
      </c>
      <c r="D915" s="33" t="s">
        <v>34</v>
      </c>
      <c r="E915" s="33">
        <v>158</v>
      </c>
      <c r="F915" s="33">
        <v>1</v>
      </c>
      <c r="G915" s="33"/>
      <c r="H915" s="33" t="s">
        <v>1933</v>
      </c>
      <c r="I915" s="31" t="s">
        <v>35</v>
      </c>
      <c r="J915" s="31"/>
      <c r="K915" s="33"/>
      <c r="L915" s="33"/>
      <c r="M915" s="31"/>
      <c r="N915" s="31"/>
      <c r="O915" s="16" t="s">
        <v>1942</v>
      </c>
      <c r="P915" s="16"/>
      <c r="Q915" s="16"/>
      <c r="R915" s="33">
        <v>24</v>
      </c>
      <c r="S915" s="34">
        <v>45758</v>
      </c>
      <c r="T915" s="34">
        <v>45758</v>
      </c>
      <c r="U915" s="34"/>
      <c r="V915" s="34"/>
      <c r="W915" s="34">
        <v>45758</v>
      </c>
      <c r="X915" s="33" t="s">
        <v>37</v>
      </c>
      <c r="Y915" s="35" t="str">
        <f>IF(Tabela2[[#This Row],[SIGLA]]="","",VLOOKUP(Tabela2[[#This Row],[SIGLA]],Tabela1[[#All],[Sigla Arte]:[Crédito]],2,0))</f>
        <v>CAIO TANAKA/ARQUIVO DA EDITORA</v>
      </c>
      <c r="Z915" s="31" t="s">
        <v>221</v>
      </c>
      <c r="AA915" s="31" t="str">
        <f>Tabela2[[#This Row],[ILUSTRADOR CRIAÇÃO]]</f>
        <v>CAIO TANAKA/ARQUIVO DA EDITORA</v>
      </c>
      <c r="AB915" s="33">
        <v>13</v>
      </c>
      <c r="AC915" s="16" t="s">
        <v>44</v>
      </c>
      <c r="AD915" s="16" t="s">
        <v>40</v>
      </c>
      <c r="AE915" s="35" t="str">
        <f t="shared" si="14"/>
        <v>EF1 E002 Mat</v>
      </c>
    </row>
    <row r="916" spans="1:31" ht="90" x14ac:dyDescent="0.25">
      <c r="A916" s="31" t="s">
        <v>1943</v>
      </c>
      <c r="B916" s="16" t="s">
        <v>32</v>
      </c>
      <c r="C916" s="16" t="s">
        <v>164</v>
      </c>
      <c r="D916" s="33" t="s">
        <v>34</v>
      </c>
      <c r="E916" s="33">
        <v>158</v>
      </c>
      <c r="F916" s="33">
        <v>1</v>
      </c>
      <c r="G916" s="33"/>
      <c r="H916" s="33" t="s">
        <v>1933</v>
      </c>
      <c r="I916" s="31" t="s">
        <v>35</v>
      </c>
      <c r="J916" s="31"/>
      <c r="K916" s="33"/>
      <c r="L916" s="33"/>
      <c r="M916" s="31"/>
      <c r="N916" s="31"/>
      <c r="O916" s="16" t="s">
        <v>1944</v>
      </c>
      <c r="P916" s="16"/>
      <c r="Q916" s="16"/>
      <c r="R916" s="33">
        <v>24</v>
      </c>
      <c r="S916" s="34">
        <v>45758</v>
      </c>
      <c r="T916" s="34">
        <v>45758</v>
      </c>
      <c r="U916" s="34"/>
      <c r="V916" s="34"/>
      <c r="W916" s="34">
        <v>45758</v>
      </c>
      <c r="X916" s="33" t="s">
        <v>37</v>
      </c>
      <c r="Y916" s="35" t="str">
        <f>IF(Tabela2[[#This Row],[SIGLA]]="","",VLOOKUP(Tabela2[[#This Row],[SIGLA]],Tabela1[[#All],[Sigla Arte]:[Crédito]],2,0))</f>
        <v>CAIO TANAKA/ARQUIVO DA EDITORA</v>
      </c>
      <c r="Z916" s="31" t="s">
        <v>221</v>
      </c>
      <c r="AA916" s="31" t="str">
        <f>Tabela2[[#This Row],[ILUSTRADOR CRIAÇÃO]]</f>
        <v>CAIO TANAKA/ARQUIVO DA EDITORA</v>
      </c>
      <c r="AB916" s="33">
        <v>13</v>
      </c>
      <c r="AC916" s="16" t="s">
        <v>44</v>
      </c>
      <c r="AD916" s="16" t="s">
        <v>40</v>
      </c>
      <c r="AE916" s="35" t="str">
        <f t="shared" si="14"/>
        <v>EF1 E002 Mat</v>
      </c>
    </row>
    <row r="917" spans="1:31" ht="120" x14ac:dyDescent="0.25">
      <c r="A917" s="31" t="s">
        <v>1945</v>
      </c>
      <c r="B917" s="16" t="s">
        <v>32</v>
      </c>
      <c r="C917" s="16" t="s">
        <v>164</v>
      </c>
      <c r="D917" s="33" t="s">
        <v>34</v>
      </c>
      <c r="E917" s="33">
        <v>158</v>
      </c>
      <c r="F917" s="33">
        <v>1</v>
      </c>
      <c r="G917" s="33"/>
      <c r="H917" s="33" t="s">
        <v>1933</v>
      </c>
      <c r="I917" s="31" t="s">
        <v>35</v>
      </c>
      <c r="J917" s="31"/>
      <c r="K917" s="33"/>
      <c r="L917" s="33"/>
      <c r="M917" s="31"/>
      <c r="N917" s="31"/>
      <c r="O917" s="16" t="s">
        <v>1946</v>
      </c>
      <c r="P917" s="16"/>
      <c r="Q917" s="16"/>
      <c r="R917" s="33">
        <v>24</v>
      </c>
      <c r="S917" s="34">
        <v>45758</v>
      </c>
      <c r="T917" s="34">
        <v>45758</v>
      </c>
      <c r="U917" s="34"/>
      <c r="V917" s="34"/>
      <c r="W917" s="34">
        <v>45758</v>
      </c>
      <c r="X917" s="33" t="s">
        <v>48</v>
      </c>
      <c r="Y917" s="35" t="str">
        <f>IF(Tabela2[[#This Row],[SIGLA]]="","",VLOOKUP(Tabela2[[#This Row],[SIGLA]],Tabela1[[#All],[Sigla Arte]:[Crédito]],2,0))</f>
        <v>SERGIO LIMA/ARQUIVO DA EDITORA</v>
      </c>
      <c r="Z917" s="31" t="s">
        <v>221</v>
      </c>
      <c r="AA917" s="31" t="str">
        <f>Tabela2[[#This Row],[ILUSTRADOR CRIAÇÃO]]</f>
        <v>SERGIO LIMA/ARQUIVO DA EDITORA</v>
      </c>
      <c r="AB917" s="33">
        <v>13</v>
      </c>
      <c r="AC917" s="16" t="s">
        <v>44</v>
      </c>
      <c r="AD917" s="16" t="s">
        <v>40</v>
      </c>
      <c r="AE917" s="35" t="str">
        <f t="shared" si="14"/>
        <v>EF1 E002 Mat</v>
      </c>
    </row>
    <row r="918" spans="1:31" ht="45" x14ac:dyDescent="0.25">
      <c r="A918" s="31" t="s">
        <v>1947</v>
      </c>
      <c r="B918" s="16" t="s">
        <v>32</v>
      </c>
      <c r="C918" s="16" t="s">
        <v>33</v>
      </c>
      <c r="D918" s="33" t="s">
        <v>34</v>
      </c>
      <c r="E918" s="33">
        <v>158</v>
      </c>
      <c r="F918" s="33">
        <v>1</v>
      </c>
      <c r="G918" s="33"/>
      <c r="H918" s="33" t="s">
        <v>1933</v>
      </c>
      <c r="I918" s="31" t="s">
        <v>46</v>
      </c>
      <c r="J918" s="31"/>
      <c r="K918" s="33"/>
      <c r="L918" s="33"/>
      <c r="M918" s="31"/>
      <c r="N918" s="31"/>
      <c r="O918" s="16" t="s">
        <v>1948</v>
      </c>
      <c r="P918" s="16"/>
      <c r="Q918" s="16"/>
      <c r="R918" s="33"/>
      <c r="S918" s="34"/>
      <c r="T918" s="34"/>
      <c r="U918" s="34"/>
      <c r="V918" s="34"/>
      <c r="W918" s="34"/>
      <c r="X918" s="33" t="s">
        <v>162</v>
      </c>
      <c r="Y918" s="35" t="str">
        <f>IF(Tabela2[[#This Row],[SIGLA]]="","",VLOOKUP(Tabela2[[#This Row],[SIGLA]],Tabela1[[#All],[Sigla Arte]:[Crédito]],2,0))</f>
        <v>IVY NUNES/ARQUIVO DA EDITORA</v>
      </c>
      <c r="Z918" s="31"/>
      <c r="AA918" s="31" t="str">
        <f>Tabela2[[#This Row],[ILUSTRADOR CRIAÇÃO]]</f>
        <v>IVY NUNES/ARQUIVO DA EDITORA</v>
      </c>
      <c r="AB918" s="33"/>
      <c r="AC918" s="16"/>
      <c r="AE918" s="35" t="str">
        <f t="shared" si="14"/>
        <v>EF1 E002 Mat</v>
      </c>
    </row>
    <row r="919" spans="1:31" ht="45" x14ac:dyDescent="0.25">
      <c r="A919" s="31" t="s">
        <v>1949</v>
      </c>
      <c r="B919" s="16" t="s">
        <v>32</v>
      </c>
      <c r="C919" s="16" t="s">
        <v>164</v>
      </c>
      <c r="D919" s="33" t="s">
        <v>34</v>
      </c>
      <c r="E919" s="33">
        <v>158</v>
      </c>
      <c r="F919" s="33">
        <v>1</v>
      </c>
      <c r="G919" s="33"/>
      <c r="H919" s="33" t="s">
        <v>1933</v>
      </c>
      <c r="I919" s="31" t="s">
        <v>46</v>
      </c>
      <c r="J919" s="31"/>
      <c r="K919" s="33"/>
      <c r="L919" s="33"/>
      <c r="M919" s="31"/>
      <c r="N919" s="31"/>
      <c r="O919" s="16" t="s">
        <v>1950</v>
      </c>
      <c r="P919" s="16"/>
      <c r="Q919" s="16"/>
      <c r="R919" s="33"/>
      <c r="S919" s="34"/>
      <c r="T919" s="34"/>
      <c r="U919" s="34"/>
      <c r="V919" s="34"/>
      <c r="W919" s="34"/>
      <c r="X919" s="33" t="s">
        <v>48</v>
      </c>
      <c r="Y919" s="35" t="str">
        <f>IF(Tabela2[[#This Row],[SIGLA]]="","",VLOOKUP(Tabela2[[#This Row],[SIGLA]],Tabela1[[#All],[Sigla Arte]:[Crédito]],2,0))</f>
        <v>SERGIO LIMA/ARQUIVO DA EDITORA</v>
      </c>
      <c r="Z919" s="31"/>
      <c r="AA919" s="31" t="str">
        <f>Tabela2[[#This Row],[ILUSTRADOR CRIAÇÃO]]</f>
        <v>SERGIO LIMA/ARQUIVO DA EDITORA</v>
      </c>
      <c r="AB919" s="33"/>
      <c r="AC919" s="16"/>
      <c r="AE919" s="35" t="str">
        <f t="shared" si="14"/>
        <v>EF1 E002 Mat</v>
      </c>
    </row>
    <row r="920" spans="1:31" ht="45" x14ac:dyDescent="0.25">
      <c r="A920" s="31" t="s">
        <v>1951</v>
      </c>
      <c r="B920" s="16" t="s">
        <v>32</v>
      </c>
      <c r="C920" s="16" t="s">
        <v>164</v>
      </c>
      <c r="D920" s="33" t="s">
        <v>34</v>
      </c>
      <c r="E920" s="33">
        <v>158</v>
      </c>
      <c r="F920" s="33">
        <v>1</v>
      </c>
      <c r="G920" s="33"/>
      <c r="H920" s="33" t="s">
        <v>1933</v>
      </c>
      <c r="I920" s="31" t="s">
        <v>46</v>
      </c>
      <c r="J920" s="31"/>
      <c r="K920" s="33"/>
      <c r="L920" s="33"/>
      <c r="M920" s="31"/>
      <c r="N920" s="31"/>
      <c r="O920" s="16" t="s">
        <v>1952</v>
      </c>
      <c r="P920" s="16"/>
      <c r="Q920" s="16"/>
      <c r="R920" s="33"/>
      <c r="S920" s="34"/>
      <c r="T920" s="34"/>
      <c r="U920" s="34"/>
      <c r="V920" s="34"/>
      <c r="W920" s="34"/>
      <c r="X920" s="33" t="s">
        <v>48</v>
      </c>
      <c r="Y920" s="35" t="str">
        <f>IF(Tabela2[[#This Row],[SIGLA]]="","",VLOOKUP(Tabela2[[#This Row],[SIGLA]],Tabela1[[#All],[Sigla Arte]:[Crédito]],2,0))</f>
        <v>SERGIO LIMA/ARQUIVO DA EDITORA</v>
      </c>
      <c r="Z920" s="31"/>
      <c r="AA920" s="31" t="str">
        <f>Tabela2[[#This Row],[ILUSTRADOR CRIAÇÃO]]</f>
        <v>SERGIO LIMA/ARQUIVO DA EDITORA</v>
      </c>
      <c r="AB920" s="33"/>
      <c r="AC920" s="16"/>
      <c r="AE920" s="35" t="str">
        <f t="shared" si="14"/>
        <v>EF1 E002 Mat</v>
      </c>
    </row>
    <row r="921" spans="1:31" ht="45" x14ac:dyDescent="0.25">
      <c r="A921" s="31" t="s">
        <v>1953</v>
      </c>
      <c r="B921" s="16" t="s">
        <v>32</v>
      </c>
      <c r="C921" s="16" t="s">
        <v>164</v>
      </c>
      <c r="D921" s="33" t="s">
        <v>34</v>
      </c>
      <c r="E921" s="33">
        <v>158</v>
      </c>
      <c r="F921" s="33">
        <v>1</v>
      </c>
      <c r="G921" s="33"/>
      <c r="H921" s="33" t="s">
        <v>1933</v>
      </c>
      <c r="I921" s="31" t="s">
        <v>46</v>
      </c>
      <c r="J921" s="31"/>
      <c r="K921" s="33"/>
      <c r="L921" s="33"/>
      <c r="M921" s="31"/>
      <c r="N921" s="31"/>
      <c r="O921" s="16" t="s">
        <v>1954</v>
      </c>
      <c r="P921" s="16"/>
      <c r="Q921" s="16"/>
      <c r="R921" s="33"/>
      <c r="S921" s="34"/>
      <c r="T921" s="34"/>
      <c r="U921" s="34"/>
      <c r="V921" s="34"/>
      <c r="W921" s="34"/>
      <c r="X921" s="33" t="s">
        <v>48</v>
      </c>
      <c r="Y921" s="35" t="str">
        <f>IF(Tabela2[[#This Row],[SIGLA]]="","",VLOOKUP(Tabela2[[#This Row],[SIGLA]],Tabela1[[#All],[Sigla Arte]:[Crédito]],2,0))</f>
        <v>SERGIO LIMA/ARQUIVO DA EDITORA</v>
      </c>
      <c r="Z921" s="31"/>
      <c r="AA921" s="31" t="str">
        <f>Tabela2[[#This Row],[ILUSTRADOR CRIAÇÃO]]</f>
        <v>SERGIO LIMA/ARQUIVO DA EDITORA</v>
      </c>
      <c r="AB921" s="33"/>
      <c r="AC921" s="16"/>
      <c r="AE921" s="35" t="str">
        <f t="shared" si="14"/>
        <v>EF1 E002 Mat</v>
      </c>
    </row>
    <row r="922" spans="1:31" ht="45" x14ac:dyDescent="0.25">
      <c r="A922" s="31" t="s">
        <v>1955</v>
      </c>
      <c r="B922" s="16" t="s">
        <v>32</v>
      </c>
      <c r="C922" s="16" t="s">
        <v>164</v>
      </c>
      <c r="D922" s="33" t="s">
        <v>34</v>
      </c>
      <c r="E922" s="33">
        <v>158</v>
      </c>
      <c r="F922" s="33">
        <v>1</v>
      </c>
      <c r="G922" s="33"/>
      <c r="H922" s="33" t="s">
        <v>1933</v>
      </c>
      <c r="I922" s="31" t="s">
        <v>46</v>
      </c>
      <c r="J922" s="31"/>
      <c r="K922" s="33"/>
      <c r="L922" s="33"/>
      <c r="M922" s="31"/>
      <c r="N922" s="31"/>
      <c r="O922" s="16" t="s">
        <v>1956</v>
      </c>
      <c r="P922" s="16"/>
      <c r="Q922" s="16"/>
      <c r="R922" s="33"/>
      <c r="S922" s="34"/>
      <c r="T922" s="34"/>
      <c r="U922" s="34"/>
      <c r="V922" s="34"/>
      <c r="W922" s="34"/>
      <c r="X922" s="33" t="s">
        <v>48</v>
      </c>
      <c r="Y922" s="35" t="str">
        <f>IF(Tabela2[[#This Row],[SIGLA]]="","",VLOOKUP(Tabela2[[#This Row],[SIGLA]],Tabela1[[#All],[Sigla Arte]:[Crédito]],2,0))</f>
        <v>SERGIO LIMA/ARQUIVO DA EDITORA</v>
      </c>
      <c r="Z922" s="31"/>
      <c r="AA922" s="31" t="str">
        <f>Tabela2[[#This Row],[ILUSTRADOR CRIAÇÃO]]</f>
        <v>SERGIO LIMA/ARQUIVO DA EDITORA</v>
      </c>
      <c r="AB922" s="33"/>
      <c r="AC922" s="16"/>
      <c r="AE922" s="35" t="str">
        <f t="shared" si="14"/>
        <v>EF1 E002 Mat</v>
      </c>
    </row>
    <row r="923" spans="1:31" ht="45" x14ac:dyDescent="0.25">
      <c r="A923" s="31" t="s">
        <v>1957</v>
      </c>
      <c r="B923" s="16" t="s">
        <v>32</v>
      </c>
      <c r="C923" s="16" t="s">
        <v>164</v>
      </c>
      <c r="D923" s="33" t="s">
        <v>34</v>
      </c>
      <c r="E923" s="33">
        <v>158</v>
      </c>
      <c r="F923" s="33">
        <v>1</v>
      </c>
      <c r="G923" s="33"/>
      <c r="H923" s="33" t="s">
        <v>1933</v>
      </c>
      <c r="I923" s="31" t="s">
        <v>46</v>
      </c>
      <c r="J923" s="31"/>
      <c r="K923" s="33"/>
      <c r="L923" s="33"/>
      <c r="M923" s="31"/>
      <c r="N923" s="31"/>
      <c r="O923" s="16" t="s">
        <v>1958</v>
      </c>
      <c r="P923" s="16"/>
      <c r="Q923" s="16"/>
      <c r="R923" s="33"/>
      <c r="S923" s="34"/>
      <c r="T923" s="34"/>
      <c r="U923" s="34"/>
      <c r="V923" s="34"/>
      <c r="W923" s="34"/>
      <c r="X923" s="33" t="s">
        <v>48</v>
      </c>
      <c r="Y923" s="35" t="str">
        <f>IF(Tabela2[[#This Row],[SIGLA]]="","",VLOOKUP(Tabela2[[#This Row],[SIGLA]],Tabela1[[#All],[Sigla Arte]:[Crédito]],2,0))</f>
        <v>SERGIO LIMA/ARQUIVO DA EDITORA</v>
      </c>
      <c r="Z923" s="31"/>
      <c r="AA923" s="31" t="str">
        <f>Tabela2[[#This Row],[ILUSTRADOR CRIAÇÃO]]</f>
        <v>SERGIO LIMA/ARQUIVO DA EDITORA</v>
      </c>
      <c r="AB923" s="33"/>
      <c r="AC923" s="16"/>
      <c r="AE923" s="35" t="str">
        <f t="shared" si="14"/>
        <v>EF1 E002 Mat</v>
      </c>
    </row>
    <row r="924" spans="1:31" ht="45" x14ac:dyDescent="0.25">
      <c r="A924" s="31" t="s">
        <v>1959</v>
      </c>
      <c r="B924" s="16" t="s">
        <v>32</v>
      </c>
      <c r="C924" s="16" t="s">
        <v>164</v>
      </c>
      <c r="D924" s="33" t="s">
        <v>34</v>
      </c>
      <c r="E924" s="33">
        <v>158</v>
      </c>
      <c r="F924" s="33">
        <v>1</v>
      </c>
      <c r="G924" s="33"/>
      <c r="H924" s="33" t="s">
        <v>1933</v>
      </c>
      <c r="I924" s="31" t="s">
        <v>46</v>
      </c>
      <c r="J924" s="31"/>
      <c r="K924" s="33"/>
      <c r="L924" s="33"/>
      <c r="M924" s="31"/>
      <c r="N924" s="31"/>
      <c r="O924" s="16" t="s">
        <v>1960</v>
      </c>
      <c r="P924" s="16"/>
      <c r="Q924" s="16"/>
      <c r="R924" s="33"/>
      <c r="S924" s="34"/>
      <c r="T924" s="34"/>
      <c r="U924" s="34"/>
      <c r="V924" s="34"/>
      <c r="W924" s="34"/>
      <c r="X924" s="33" t="s">
        <v>48</v>
      </c>
      <c r="Y924" s="35" t="str">
        <f>IF(Tabela2[[#This Row],[SIGLA]]="","",VLOOKUP(Tabela2[[#This Row],[SIGLA]],Tabela1[[#All],[Sigla Arte]:[Crédito]],2,0))</f>
        <v>SERGIO LIMA/ARQUIVO DA EDITORA</v>
      </c>
      <c r="Z924" s="31"/>
      <c r="AA924" s="31" t="str">
        <f>Tabela2[[#This Row],[ILUSTRADOR CRIAÇÃO]]</f>
        <v>SERGIO LIMA/ARQUIVO DA EDITORA</v>
      </c>
      <c r="AB924" s="33"/>
      <c r="AC924" s="16"/>
      <c r="AE924" s="35" t="str">
        <f t="shared" si="14"/>
        <v>EF1 E002 Mat</v>
      </c>
    </row>
    <row r="925" spans="1:31" ht="45" x14ac:dyDescent="0.25">
      <c r="A925" s="31" t="s">
        <v>1961</v>
      </c>
      <c r="B925" s="16" t="s">
        <v>32</v>
      </c>
      <c r="C925" s="16" t="s">
        <v>164</v>
      </c>
      <c r="D925" s="33" t="s">
        <v>34</v>
      </c>
      <c r="E925" s="33">
        <v>158</v>
      </c>
      <c r="F925" s="33">
        <v>1</v>
      </c>
      <c r="G925" s="33"/>
      <c r="H925" s="33" t="s">
        <v>1933</v>
      </c>
      <c r="I925" s="31" t="s">
        <v>46</v>
      </c>
      <c r="J925" s="31"/>
      <c r="K925" s="33"/>
      <c r="L925" s="33"/>
      <c r="M925" s="31"/>
      <c r="N925" s="31"/>
      <c r="O925" s="16" t="s">
        <v>1962</v>
      </c>
      <c r="P925" s="16"/>
      <c r="Q925" s="16"/>
      <c r="R925" s="33"/>
      <c r="S925" s="34"/>
      <c r="T925" s="34"/>
      <c r="U925" s="34"/>
      <c r="V925" s="34"/>
      <c r="W925" s="34"/>
      <c r="X925" s="33" t="s">
        <v>48</v>
      </c>
      <c r="Y925" s="35" t="str">
        <f>IF(Tabela2[[#This Row],[SIGLA]]="","",VLOOKUP(Tabela2[[#This Row],[SIGLA]],Tabela1[[#All],[Sigla Arte]:[Crédito]],2,0))</f>
        <v>SERGIO LIMA/ARQUIVO DA EDITORA</v>
      </c>
      <c r="Z925" s="31"/>
      <c r="AA925" s="31" t="str">
        <f>Tabela2[[#This Row],[ILUSTRADOR CRIAÇÃO]]</f>
        <v>SERGIO LIMA/ARQUIVO DA EDITORA</v>
      </c>
      <c r="AB925" s="33"/>
      <c r="AC925" s="16"/>
      <c r="AE925" s="35" t="str">
        <f t="shared" si="14"/>
        <v>EF1 E002 Mat</v>
      </c>
    </row>
    <row r="926" spans="1:31" ht="45" x14ac:dyDescent="0.25">
      <c r="A926" s="31" t="s">
        <v>1963</v>
      </c>
      <c r="B926" s="16" t="s">
        <v>32</v>
      </c>
      <c r="C926" s="16" t="s">
        <v>164</v>
      </c>
      <c r="D926" s="33" t="s">
        <v>34</v>
      </c>
      <c r="E926" s="33">
        <v>158</v>
      </c>
      <c r="F926" s="33">
        <v>1</v>
      </c>
      <c r="G926" s="33"/>
      <c r="H926" s="33" t="s">
        <v>1933</v>
      </c>
      <c r="I926" s="31" t="s">
        <v>46</v>
      </c>
      <c r="J926" s="31"/>
      <c r="K926" s="33"/>
      <c r="L926" s="33"/>
      <c r="M926" s="31"/>
      <c r="N926" s="31"/>
      <c r="O926" s="16" t="s">
        <v>1964</v>
      </c>
      <c r="P926" s="16"/>
      <c r="Q926" s="16"/>
      <c r="R926" s="33"/>
      <c r="S926" s="34"/>
      <c r="T926" s="34"/>
      <c r="U926" s="34"/>
      <c r="V926" s="34"/>
      <c r="W926" s="34"/>
      <c r="X926" s="33" t="s">
        <v>48</v>
      </c>
      <c r="Y926" s="35" t="str">
        <f>IF(Tabela2[[#This Row],[SIGLA]]="","",VLOOKUP(Tabela2[[#This Row],[SIGLA]],Tabela1[[#All],[Sigla Arte]:[Crédito]],2,0))</f>
        <v>SERGIO LIMA/ARQUIVO DA EDITORA</v>
      </c>
      <c r="Z926" s="31"/>
      <c r="AA926" s="31" t="str">
        <f>Tabela2[[#This Row],[ILUSTRADOR CRIAÇÃO]]</f>
        <v>SERGIO LIMA/ARQUIVO DA EDITORA</v>
      </c>
      <c r="AB926" s="33"/>
      <c r="AC926" s="16"/>
      <c r="AE926" s="35" t="str">
        <f t="shared" si="14"/>
        <v>EF1 E002 Mat</v>
      </c>
    </row>
    <row r="927" spans="1:31" ht="45" x14ac:dyDescent="0.25">
      <c r="A927" s="31" t="s">
        <v>1965</v>
      </c>
      <c r="B927" s="16" t="s">
        <v>32</v>
      </c>
      <c r="C927" s="16" t="s">
        <v>164</v>
      </c>
      <c r="D927" s="33" t="s">
        <v>34</v>
      </c>
      <c r="E927" s="33">
        <v>222</v>
      </c>
      <c r="F927" s="33">
        <v>3</v>
      </c>
      <c r="G927" s="33">
        <v>11</v>
      </c>
      <c r="H927" s="33"/>
      <c r="I927" s="31" t="s">
        <v>46</v>
      </c>
      <c r="J927" s="31"/>
      <c r="K927" s="33"/>
      <c r="L927" s="33"/>
      <c r="M927" s="31"/>
      <c r="N927" s="31"/>
      <c r="O927" s="16" t="s">
        <v>1966</v>
      </c>
      <c r="P927" s="16"/>
      <c r="Q927" s="16"/>
      <c r="R927" s="33"/>
      <c r="S927" s="34"/>
      <c r="T927" s="34"/>
      <c r="U927" s="34"/>
      <c r="V927" s="34"/>
      <c r="W927" s="34"/>
      <c r="X927" s="33" t="s">
        <v>85</v>
      </c>
      <c r="Y927" s="35" t="str">
        <f>IF(Tabela2[[#This Row],[SIGLA]]="","",VLOOKUP(Tabela2[[#This Row],[SIGLA]],Tabela1[[#All],[Sigla Arte]:[Crédito]],2,0))</f>
        <v>HELOÍSA PINTARELLI/ARQUIVO DA EDITORA</v>
      </c>
      <c r="Z927" s="31"/>
      <c r="AA927" s="31" t="str">
        <f>Tabela2[[#This Row],[ILUSTRADOR CRIAÇÃO]]</f>
        <v>HELOÍSA PINTARELLI/ARQUIVO DA EDITORA</v>
      </c>
      <c r="AB927" s="33"/>
      <c r="AC927" s="16"/>
      <c r="AE927" s="35" t="str">
        <f t="shared" si="14"/>
        <v>EF1 E002 Mat</v>
      </c>
    </row>
    <row r="928" spans="1:31" ht="45" x14ac:dyDescent="0.25">
      <c r="A928" s="31" t="s">
        <v>1967</v>
      </c>
      <c r="B928" s="16" t="s">
        <v>32</v>
      </c>
      <c r="C928" s="16" t="s">
        <v>164</v>
      </c>
      <c r="D928" s="33" t="s">
        <v>34</v>
      </c>
      <c r="E928" s="33">
        <v>222</v>
      </c>
      <c r="F928" s="33">
        <v>3</v>
      </c>
      <c r="G928" s="33">
        <v>11</v>
      </c>
      <c r="H928" s="33"/>
      <c r="I928" s="31" t="s">
        <v>46</v>
      </c>
      <c r="J928" s="31"/>
      <c r="K928" s="33"/>
      <c r="L928" s="33"/>
      <c r="M928" s="31"/>
      <c r="N928" s="31"/>
      <c r="O928" s="16" t="s">
        <v>1968</v>
      </c>
      <c r="P928" s="16"/>
      <c r="Q928" s="16"/>
      <c r="R928" s="33"/>
      <c r="S928" s="34"/>
      <c r="T928" s="34"/>
      <c r="U928" s="34"/>
      <c r="V928" s="34"/>
      <c r="W928" s="34"/>
      <c r="X928" s="33" t="s">
        <v>85</v>
      </c>
      <c r="Y928" s="35" t="str">
        <f>IF(Tabela2[[#This Row],[SIGLA]]="","",VLOOKUP(Tabela2[[#This Row],[SIGLA]],Tabela1[[#All],[Sigla Arte]:[Crédito]],2,0))</f>
        <v>HELOÍSA PINTARELLI/ARQUIVO DA EDITORA</v>
      </c>
      <c r="Z928" s="31"/>
      <c r="AA928" s="31" t="str">
        <f>Tabela2[[#This Row],[ILUSTRADOR CRIAÇÃO]]</f>
        <v>HELOÍSA PINTARELLI/ARQUIVO DA EDITORA</v>
      </c>
      <c r="AB928" s="33"/>
      <c r="AC928" s="16"/>
      <c r="AE928" s="35" t="str">
        <f t="shared" si="14"/>
        <v>EF1 E002 Mat</v>
      </c>
    </row>
    <row r="929" spans="1:31" ht="30" x14ac:dyDescent="0.25">
      <c r="A929" s="31" t="s">
        <v>1969</v>
      </c>
      <c r="B929" s="16" t="s">
        <v>32</v>
      </c>
      <c r="C929" s="16" t="s">
        <v>164</v>
      </c>
      <c r="D929" s="33" t="s">
        <v>34</v>
      </c>
      <c r="E929" s="33">
        <v>222</v>
      </c>
      <c r="F929" s="33">
        <v>3</v>
      </c>
      <c r="G929" s="33">
        <v>11</v>
      </c>
      <c r="H929" s="33"/>
      <c r="I929" s="31" t="s">
        <v>46</v>
      </c>
      <c r="J929" s="31"/>
      <c r="K929" s="33"/>
      <c r="L929" s="33"/>
      <c r="M929" s="31"/>
      <c r="N929" s="31"/>
      <c r="O929" s="16" t="s">
        <v>1970</v>
      </c>
      <c r="P929" s="16"/>
      <c r="Q929" s="16"/>
      <c r="R929" s="33"/>
      <c r="S929" s="34"/>
      <c r="T929" s="34"/>
      <c r="U929" s="34"/>
      <c r="V929" s="34"/>
      <c r="W929" s="34"/>
      <c r="X929" s="33" t="s">
        <v>1971</v>
      </c>
      <c r="Y929" s="35" t="str">
        <f>IF(Tabela2[[#This Row],[SIGLA]]="","",VLOOKUP(Tabela2[[#This Row],[SIGLA]],Tabela1[[#All],[Sigla Arte]:[Crédito]],2,0))</f>
        <v>PETRA MENDES/ARQUIVO DA EDITORA</v>
      </c>
      <c r="Z929" s="31"/>
      <c r="AA929" s="31" t="str">
        <f>Tabela2[[#This Row],[ILUSTRADOR CRIAÇÃO]]</f>
        <v>PETRA MENDES/ARQUIVO DA EDITORA</v>
      </c>
      <c r="AB929" s="33"/>
      <c r="AC929" s="16"/>
      <c r="AE929" s="35" t="str">
        <f t="shared" si="14"/>
        <v>EF1 E002 Mat</v>
      </c>
    </row>
    <row r="930" spans="1:31" ht="30" x14ac:dyDescent="0.25">
      <c r="A930" s="31" t="s">
        <v>1972</v>
      </c>
      <c r="B930" s="16" t="s">
        <v>32</v>
      </c>
      <c r="C930" s="16" t="s">
        <v>164</v>
      </c>
      <c r="D930" s="33" t="s">
        <v>34</v>
      </c>
      <c r="E930" s="33">
        <v>223</v>
      </c>
      <c r="F930" s="33">
        <v>3</v>
      </c>
      <c r="G930" s="33">
        <v>11</v>
      </c>
      <c r="H930" s="33"/>
      <c r="I930" s="31" t="s">
        <v>46</v>
      </c>
      <c r="J930" s="31"/>
      <c r="K930" s="33"/>
      <c r="L930" s="33"/>
      <c r="M930" s="31"/>
      <c r="N930" s="31"/>
      <c r="O930" s="16" t="s">
        <v>1973</v>
      </c>
      <c r="P930" s="16"/>
      <c r="Q930" s="16"/>
      <c r="R930" s="33"/>
      <c r="S930" s="34"/>
      <c r="T930" s="34"/>
      <c r="U930" s="34"/>
      <c r="V930" s="34"/>
      <c r="W930" s="34"/>
      <c r="X930" s="33" t="s">
        <v>1126</v>
      </c>
      <c r="Y930" s="35" t="str">
        <f>IF(Tabela2[[#This Row],[SIGLA]]="","",VLOOKUP(Tabela2[[#This Row],[SIGLA]],Tabela1[[#All],[Sigla Arte]:[Crédito]],2,0))</f>
        <v>GUSTAVO CONTI/ARQUIVO DA EDITORA</v>
      </c>
      <c r="Z930" s="31"/>
      <c r="AA930" s="31" t="str">
        <f>Tabela2[[#This Row],[ILUSTRADOR CRIAÇÃO]]</f>
        <v>GUSTAVO CONTI/ARQUIVO DA EDITORA</v>
      </c>
      <c r="AB930" s="33"/>
      <c r="AC930" s="16"/>
      <c r="AE930" s="35" t="str">
        <f t="shared" si="14"/>
        <v>EF1 E002 Mat</v>
      </c>
    </row>
    <row r="931" spans="1:31" ht="45" x14ac:dyDescent="0.25">
      <c r="A931" s="31" t="s">
        <v>1974</v>
      </c>
      <c r="B931" s="16" t="s">
        <v>32</v>
      </c>
      <c r="C931" s="16" t="s">
        <v>164</v>
      </c>
      <c r="D931" s="33" t="s">
        <v>34</v>
      </c>
      <c r="E931" s="33">
        <v>223</v>
      </c>
      <c r="F931" s="33">
        <v>3</v>
      </c>
      <c r="G931" s="33">
        <v>11</v>
      </c>
      <c r="H931" s="33"/>
      <c r="I931" s="31" t="s">
        <v>35</v>
      </c>
      <c r="J931" s="31"/>
      <c r="K931" s="33"/>
      <c r="L931" s="33"/>
      <c r="M931" s="31"/>
      <c r="N931" s="31"/>
      <c r="O931" s="16" t="s">
        <v>1975</v>
      </c>
      <c r="P931" s="16"/>
      <c r="Q931" s="16"/>
      <c r="R931" s="33">
        <v>179</v>
      </c>
      <c r="S931" s="34">
        <v>45927</v>
      </c>
      <c r="T931" s="34">
        <v>45927</v>
      </c>
      <c r="U931" s="34"/>
      <c r="V931" s="34"/>
      <c r="W931" s="34">
        <v>45929</v>
      </c>
      <c r="X931" s="33" t="s">
        <v>1126</v>
      </c>
      <c r="Y931" s="35" t="str">
        <f>IF(Tabela2[[#This Row],[SIGLA]]="","",VLOOKUP(Tabela2[[#This Row],[SIGLA]],Tabela1[[#All],[Sigla Arte]:[Crédito]],2,0))</f>
        <v>GUSTAVO CONTI/ARQUIVO DA EDITORA</v>
      </c>
      <c r="Z931" s="31" t="s">
        <v>368</v>
      </c>
      <c r="AA931" s="31" t="str">
        <f>Tabela2[[#This Row],[ILUSTRADOR CRIAÇÃO]]</f>
        <v>GUSTAVO CONTI/ARQUIVO DA EDITORA</v>
      </c>
      <c r="AB931" s="33">
        <v>13</v>
      </c>
      <c r="AC931" s="16" t="s">
        <v>44</v>
      </c>
      <c r="AE931" s="35" t="str">
        <f t="shared" si="14"/>
        <v>EF1 E002 Mat</v>
      </c>
    </row>
    <row r="932" spans="1:31" ht="45" x14ac:dyDescent="0.25">
      <c r="A932" s="31" t="s">
        <v>1976</v>
      </c>
      <c r="B932" s="16" t="s">
        <v>32</v>
      </c>
      <c r="C932" s="16" t="s">
        <v>164</v>
      </c>
      <c r="D932" s="33" t="s">
        <v>34</v>
      </c>
      <c r="E932" s="33">
        <v>223</v>
      </c>
      <c r="F932" s="33">
        <v>3</v>
      </c>
      <c r="G932" s="33">
        <v>11</v>
      </c>
      <c r="H932" s="33"/>
      <c r="I932" s="31" t="s">
        <v>46</v>
      </c>
      <c r="J932" s="31"/>
      <c r="K932" s="33"/>
      <c r="L932" s="33"/>
      <c r="M932" s="31"/>
      <c r="N932" s="31"/>
      <c r="O932" s="16" t="s">
        <v>1977</v>
      </c>
      <c r="P932" s="16"/>
      <c r="Q932" s="16"/>
      <c r="R932" s="33">
        <v>179</v>
      </c>
      <c r="S932" s="34">
        <v>45927</v>
      </c>
      <c r="T932" s="34">
        <v>45927</v>
      </c>
      <c r="U932" s="34"/>
      <c r="V932" s="34"/>
      <c r="W932" s="34">
        <v>45929</v>
      </c>
      <c r="X932" s="33" t="s">
        <v>1126</v>
      </c>
      <c r="Y932" s="35" t="str">
        <f>IF(Tabela2[[#This Row],[SIGLA]]="","",VLOOKUP(Tabela2[[#This Row],[SIGLA]],Tabela1[[#All],[Sigla Arte]:[Crédito]],2,0))</f>
        <v>GUSTAVO CONTI/ARQUIVO DA EDITORA</v>
      </c>
      <c r="Z932" s="31" t="s">
        <v>368</v>
      </c>
      <c r="AA932" s="31" t="str">
        <f>Tabela2[[#This Row],[ILUSTRADOR CRIAÇÃO]]</f>
        <v>GUSTAVO CONTI/ARQUIVO DA EDITORA</v>
      </c>
      <c r="AB932" s="33">
        <v>13</v>
      </c>
      <c r="AC932" s="16" t="s">
        <v>44</v>
      </c>
      <c r="AE932" s="35" t="str">
        <f t="shared" si="14"/>
        <v>EF1 E002 Mat</v>
      </c>
    </row>
    <row r="933" spans="1:31" ht="60" x14ac:dyDescent="0.25">
      <c r="A933" s="31" t="s">
        <v>1978</v>
      </c>
      <c r="B933" s="16" t="s">
        <v>32</v>
      </c>
      <c r="C933" s="16" t="s">
        <v>164</v>
      </c>
      <c r="D933" s="33" t="s">
        <v>34</v>
      </c>
      <c r="E933" s="33">
        <v>224</v>
      </c>
      <c r="F933" s="33">
        <v>3</v>
      </c>
      <c r="G933" s="33">
        <v>11</v>
      </c>
      <c r="H933" s="33"/>
      <c r="I933" s="31" t="s">
        <v>35</v>
      </c>
      <c r="J933" s="31"/>
      <c r="K933" s="33"/>
      <c r="L933" s="33"/>
      <c r="M933" s="31"/>
      <c r="N933" s="31"/>
      <c r="O933" s="16" t="s">
        <v>1979</v>
      </c>
      <c r="P933" s="16"/>
      <c r="Q933" s="16"/>
      <c r="R933" s="33">
        <v>19</v>
      </c>
      <c r="S933" s="34">
        <v>45750</v>
      </c>
      <c r="T933" s="34">
        <v>45751</v>
      </c>
      <c r="U933" s="34"/>
      <c r="V933" s="34"/>
      <c r="W933" s="34">
        <v>45751</v>
      </c>
      <c r="X933" s="33" t="s">
        <v>1126</v>
      </c>
      <c r="Y933" s="35" t="str">
        <f>IF(Tabela2[[#This Row],[SIGLA]]="","",VLOOKUP(Tabela2[[#This Row],[SIGLA]],Tabela1[[#All],[Sigla Arte]:[Crédito]],2,0))</f>
        <v>GUSTAVO CONTI/ARQUIVO DA EDITORA</v>
      </c>
      <c r="Z933" s="31" t="s">
        <v>221</v>
      </c>
      <c r="AA933" s="31" t="str">
        <f>Tabela2[[#This Row],[ILUSTRADOR CRIAÇÃO]]</f>
        <v>GUSTAVO CONTI/ARQUIVO DA EDITORA</v>
      </c>
      <c r="AB933" s="33">
        <v>13</v>
      </c>
      <c r="AC933" s="16" t="s">
        <v>1450</v>
      </c>
      <c r="AD933" s="16" t="s">
        <v>40</v>
      </c>
      <c r="AE933" s="35" t="str">
        <f t="shared" si="14"/>
        <v>EF1 E002 Mat</v>
      </c>
    </row>
    <row r="934" spans="1:31" ht="45" x14ac:dyDescent="0.25">
      <c r="A934" s="31" t="s">
        <v>1980</v>
      </c>
      <c r="B934" s="16" t="s">
        <v>32</v>
      </c>
      <c r="C934" s="16" t="s">
        <v>164</v>
      </c>
      <c r="D934" s="33" t="s">
        <v>34</v>
      </c>
      <c r="E934" s="33">
        <v>224</v>
      </c>
      <c r="F934" s="33">
        <v>3</v>
      </c>
      <c r="G934" s="33">
        <v>11</v>
      </c>
      <c r="H934" s="33"/>
      <c r="I934" s="31" t="s">
        <v>46</v>
      </c>
      <c r="J934" s="31"/>
      <c r="K934" s="33"/>
      <c r="L934" s="33"/>
      <c r="M934" s="31"/>
      <c r="N934" s="31"/>
      <c r="O934" s="16" t="s">
        <v>1981</v>
      </c>
      <c r="P934" s="16"/>
      <c r="Q934" s="16"/>
      <c r="R934" s="33"/>
      <c r="S934" s="34"/>
      <c r="T934" s="34"/>
      <c r="U934" s="34"/>
      <c r="V934" s="34"/>
      <c r="W934" s="34"/>
      <c r="X934" s="33" t="s">
        <v>85</v>
      </c>
      <c r="Y934" s="35" t="str">
        <f>IF(Tabela2[[#This Row],[SIGLA]]="","",VLOOKUP(Tabela2[[#This Row],[SIGLA]],Tabela1[[#All],[Sigla Arte]:[Crédito]],2,0))</f>
        <v>HELOÍSA PINTARELLI/ARQUIVO DA EDITORA</v>
      </c>
      <c r="Z934" s="31"/>
      <c r="AA934" s="31" t="str">
        <f>Tabela2[[#This Row],[ILUSTRADOR CRIAÇÃO]]</f>
        <v>HELOÍSA PINTARELLI/ARQUIVO DA EDITORA</v>
      </c>
      <c r="AB934" s="33"/>
      <c r="AC934" s="16"/>
      <c r="AE934" s="35" t="str">
        <f t="shared" si="14"/>
        <v>EF1 E002 Mat</v>
      </c>
    </row>
    <row r="935" spans="1:31" ht="45" x14ac:dyDescent="0.25">
      <c r="A935" s="31" t="s">
        <v>1982</v>
      </c>
      <c r="B935" s="16" t="s">
        <v>32</v>
      </c>
      <c r="C935" s="16" t="s">
        <v>164</v>
      </c>
      <c r="D935" s="33" t="s">
        <v>34</v>
      </c>
      <c r="E935" s="33">
        <v>224</v>
      </c>
      <c r="F935" s="33">
        <v>3</v>
      </c>
      <c r="G935" s="33">
        <v>11</v>
      </c>
      <c r="H935" s="33"/>
      <c r="I935" s="31" t="s">
        <v>46</v>
      </c>
      <c r="J935" s="31"/>
      <c r="K935" s="33"/>
      <c r="L935" s="33"/>
      <c r="M935" s="31"/>
      <c r="N935" s="31"/>
      <c r="O935" s="16" t="s">
        <v>1983</v>
      </c>
      <c r="P935" s="16"/>
      <c r="Q935" s="16"/>
      <c r="R935" s="33"/>
      <c r="S935" s="34"/>
      <c r="T935" s="34"/>
      <c r="U935" s="34"/>
      <c r="V935" s="34"/>
      <c r="W935" s="34"/>
      <c r="X935" s="33" t="s">
        <v>85</v>
      </c>
      <c r="Y935" s="35" t="str">
        <f>IF(Tabela2[[#This Row],[SIGLA]]="","",VLOOKUP(Tabela2[[#This Row],[SIGLA]],Tabela1[[#All],[Sigla Arte]:[Crédito]],2,0))</f>
        <v>HELOÍSA PINTARELLI/ARQUIVO DA EDITORA</v>
      </c>
      <c r="Z935" s="31"/>
      <c r="AA935" s="31" t="str">
        <f>Tabela2[[#This Row],[ILUSTRADOR CRIAÇÃO]]</f>
        <v>HELOÍSA PINTARELLI/ARQUIVO DA EDITORA</v>
      </c>
      <c r="AB935" s="33"/>
      <c r="AC935" s="16"/>
      <c r="AE935" s="35" t="str">
        <f t="shared" si="14"/>
        <v>EF1 E002 Mat</v>
      </c>
    </row>
    <row r="936" spans="1:31" ht="45" x14ac:dyDescent="0.25">
      <c r="A936" s="31" t="s">
        <v>1984</v>
      </c>
      <c r="B936" s="16" t="s">
        <v>32</v>
      </c>
      <c r="C936" s="16" t="s">
        <v>164</v>
      </c>
      <c r="D936" s="33" t="s">
        <v>34</v>
      </c>
      <c r="E936" s="33">
        <v>224</v>
      </c>
      <c r="F936" s="33">
        <v>3</v>
      </c>
      <c r="G936" s="33">
        <v>11</v>
      </c>
      <c r="H936" s="33"/>
      <c r="I936" s="31" t="s">
        <v>46</v>
      </c>
      <c r="J936" s="31"/>
      <c r="K936" s="33"/>
      <c r="L936" s="33"/>
      <c r="M936" s="31"/>
      <c r="N936" s="31"/>
      <c r="O936" s="16" t="s">
        <v>1985</v>
      </c>
      <c r="P936" s="16"/>
      <c r="Q936" s="16"/>
      <c r="R936" s="33"/>
      <c r="S936" s="34"/>
      <c r="T936" s="34"/>
      <c r="U936" s="34"/>
      <c r="V936" s="34"/>
      <c r="W936" s="34"/>
      <c r="X936" s="33" t="s">
        <v>85</v>
      </c>
      <c r="Y936" s="35" t="str">
        <f>IF(Tabela2[[#This Row],[SIGLA]]="","",VLOOKUP(Tabela2[[#This Row],[SIGLA]],Tabela1[[#All],[Sigla Arte]:[Crédito]],2,0))</f>
        <v>HELOÍSA PINTARELLI/ARQUIVO DA EDITORA</v>
      </c>
      <c r="Z936" s="31"/>
      <c r="AA936" s="31" t="str">
        <f>Tabela2[[#This Row],[ILUSTRADOR CRIAÇÃO]]</f>
        <v>HELOÍSA PINTARELLI/ARQUIVO DA EDITORA</v>
      </c>
      <c r="AB936" s="33"/>
      <c r="AC936" s="16"/>
      <c r="AE936" s="35" t="str">
        <f t="shared" si="14"/>
        <v>EF1 E002 Mat</v>
      </c>
    </row>
    <row r="937" spans="1:31" ht="45" x14ac:dyDescent="0.25">
      <c r="A937" s="31" t="s">
        <v>1986</v>
      </c>
      <c r="B937" s="16" t="s">
        <v>32</v>
      </c>
      <c r="C937" s="16" t="s">
        <v>164</v>
      </c>
      <c r="D937" s="33" t="s">
        <v>34</v>
      </c>
      <c r="E937" s="33">
        <v>224</v>
      </c>
      <c r="F937" s="33">
        <v>3</v>
      </c>
      <c r="G937" s="33">
        <v>11</v>
      </c>
      <c r="H937" s="33"/>
      <c r="I937" s="31" t="s">
        <v>35</v>
      </c>
      <c r="J937" s="31"/>
      <c r="K937" s="33"/>
      <c r="L937" s="33"/>
      <c r="M937" s="31"/>
      <c r="N937" s="31"/>
      <c r="O937" s="16" t="s">
        <v>1987</v>
      </c>
      <c r="P937" s="16"/>
      <c r="Q937" s="16"/>
      <c r="R937" s="33">
        <v>179</v>
      </c>
      <c r="S937" s="34">
        <v>45927</v>
      </c>
      <c r="T937" s="34">
        <v>45927</v>
      </c>
      <c r="U937" s="34"/>
      <c r="V937" s="34"/>
      <c r="W937" s="34">
        <v>45929</v>
      </c>
      <c r="X937" s="33" t="s">
        <v>1971</v>
      </c>
      <c r="Y937" s="35" t="str">
        <f>IF(Tabela2[[#This Row],[SIGLA]]="","",VLOOKUP(Tabela2[[#This Row],[SIGLA]],Tabela1[[#All],[Sigla Arte]:[Crédito]],2,0))</f>
        <v>PETRA MENDES/ARQUIVO DA EDITORA</v>
      </c>
      <c r="Z937" s="31" t="s">
        <v>368</v>
      </c>
      <c r="AA937" s="31" t="str">
        <f>Tabela2[[#This Row],[ILUSTRADOR CRIAÇÃO]]</f>
        <v>PETRA MENDES/ARQUIVO DA EDITORA</v>
      </c>
      <c r="AB937" s="33">
        <v>13</v>
      </c>
      <c r="AC937" s="16" t="s">
        <v>44</v>
      </c>
      <c r="AE937" s="35" t="str">
        <f t="shared" si="14"/>
        <v>EF1 E002 Mat</v>
      </c>
    </row>
    <row r="938" spans="1:31" ht="105" x14ac:dyDescent="0.25">
      <c r="A938" s="31" t="s">
        <v>1988</v>
      </c>
      <c r="B938" s="16" t="s">
        <v>32</v>
      </c>
      <c r="C938" s="16" t="s">
        <v>164</v>
      </c>
      <c r="D938" s="33" t="s">
        <v>34</v>
      </c>
      <c r="E938" s="33">
        <v>225</v>
      </c>
      <c r="F938" s="33">
        <v>3</v>
      </c>
      <c r="G938" s="33">
        <v>11</v>
      </c>
      <c r="H938" s="33"/>
      <c r="I938" s="31" t="s">
        <v>995</v>
      </c>
      <c r="J938" s="31"/>
      <c r="K938" s="33"/>
      <c r="L938" s="33"/>
      <c r="M938" s="31"/>
      <c r="N938" s="31"/>
      <c r="O938" s="16" t="s">
        <v>1989</v>
      </c>
      <c r="P938" s="16"/>
      <c r="Q938" s="16"/>
      <c r="R938" s="33">
        <v>19</v>
      </c>
      <c r="S938" s="34">
        <v>45750</v>
      </c>
      <c r="T938" s="34">
        <v>45751</v>
      </c>
      <c r="U938" s="34"/>
      <c r="V938" s="34"/>
      <c r="W938" s="34">
        <v>45751</v>
      </c>
      <c r="X938" s="33" t="s">
        <v>1515</v>
      </c>
      <c r="Y938" s="35" t="str">
        <f>IF(Tabela2[[#This Row],[SIGLA]]="","",VLOOKUP(Tabela2[[#This Row],[SIGLA]],Tabela1[[#All],[Sigla Arte]:[Crédito]],2,0))</f>
        <v>JANAINA OLIVEIRA/ARQUIVO DA EDITORA</v>
      </c>
      <c r="Z938" s="31" t="s">
        <v>221</v>
      </c>
      <c r="AA938" s="31" t="str">
        <f>Tabela2[[#This Row],[ILUSTRADOR CRIAÇÃO]]</f>
        <v>JANAINA OLIVEIRA/ARQUIVO DA EDITORA</v>
      </c>
      <c r="AB938" s="33">
        <v>13</v>
      </c>
      <c r="AC938" s="16" t="s">
        <v>1450</v>
      </c>
      <c r="AD938" s="16" t="s">
        <v>40</v>
      </c>
      <c r="AE938" s="35" t="str">
        <f t="shared" si="14"/>
        <v>EF1 E002 Mat</v>
      </c>
    </row>
    <row r="939" spans="1:31" ht="30" x14ac:dyDescent="0.25">
      <c r="A939" s="31" t="s">
        <v>1990</v>
      </c>
      <c r="B939" s="16" t="s">
        <v>32</v>
      </c>
      <c r="C939" s="16" t="s">
        <v>164</v>
      </c>
      <c r="D939" s="33" t="s">
        <v>34</v>
      </c>
      <c r="E939" s="33">
        <v>226</v>
      </c>
      <c r="F939" s="33">
        <v>3</v>
      </c>
      <c r="G939" s="33">
        <v>11</v>
      </c>
      <c r="H939" s="33"/>
      <c r="I939" s="31" t="s">
        <v>35</v>
      </c>
      <c r="J939" s="31"/>
      <c r="K939" s="33"/>
      <c r="L939" s="33"/>
      <c r="M939" s="31"/>
      <c r="N939" s="31"/>
      <c r="O939" s="16" t="s">
        <v>1991</v>
      </c>
      <c r="P939" s="16"/>
      <c r="Q939" s="16"/>
      <c r="R939" s="33">
        <v>185</v>
      </c>
      <c r="S939" s="34">
        <v>45937</v>
      </c>
      <c r="T939" s="34">
        <v>45937</v>
      </c>
      <c r="U939" s="34"/>
      <c r="V939" s="34"/>
      <c r="W939" s="34">
        <v>45937</v>
      </c>
      <c r="X939" s="33" t="s">
        <v>85</v>
      </c>
      <c r="Y939" s="35" t="str">
        <f>IF(Tabela2[[#This Row],[SIGLA]]="","",VLOOKUP(Tabela2[[#This Row],[SIGLA]],Tabela1[[#All],[Sigla Arte]:[Crédito]],2,0))</f>
        <v>HELOÍSA PINTARELLI/ARQUIVO DA EDITORA</v>
      </c>
      <c r="Z939" s="31" t="s">
        <v>1465</v>
      </c>
      <c r="AA939" s="31" t="str">
        <f>Tabela2[[#This Row],[ILUSTRADOR CRIAÇÃO]]</f>
        <v>HELOÍSA PINTARELLI/ARQUIVO DA EDITORA</v>
      </c>
      <c r="AB939" s="33">
        <v>13</v>
      </c>
      <c r="AC939" s="16"/>
      <c r="AD939" s="16" t="s">
        <v>40</v>
      </c>
      <c r="AE939" s="35" t="str">
        <f t="shared" si="14"/>
        <v>EF1 E002 Mat</v>
      </c>
    </row>
    <row r="940" spans="1:31" ht="60" x14ac:dyDescent="0.25">
      <c r="A940" s="31" t="s">
        <v>1992</v>
      </c>
      <c r="B940" s="16" t="s">
        <v>32</v>
      </c>
      <c r="C940" s="16" t="s">
        <v>164</v>
      </c>
      <c r="D940" s="33" t="s">
        <v>34</v>
      </c>
      <c r="E940" s="33">
        <v>226</v>
      </c>
      <c r="F940" s="33">
        <v>3</v>
      </c>
      <c r="G940" s="33">
        <v>11</v>
      </c>
      <c r="H940" s="33"/>
      <c r="I940" s="31" t="s">
        <v>35</v>
      </c>
      <c r="J940" s="31"/>
      <c r="K940" s="33"/>
      <c r="L940" s="33"/>
      <c r="M940" s="31"/>
      <c r="N940" s="31"/>
      <c r="O940" s="16" t="s">
        <v>1993</v>
      </c>
      <c r="P940" s="16"/>
      <c r="Q940" s="16" t="s">
        <v>1994</v>
      </c>
      <c r="R940" s="33"/>
      <c r="S940" s="34"/>
      <c r="T940" s="34"/>
      <c r="U940" s="34"/>
      <c r="V940" s="34"/>
      <c r="W940" s="34">
        <v>45860</v>
      </c>
      <c r="X940" s="33" t="s">
        <v>85</v>
      </c>
      <c r="Y940" s="35" t="str">
        <f>IF(Tabela2[[#This Row],[SIGLA]]="","",VLOOKUP(Tabela2[[#This Row],[SIGLA]],Tabela1[[#All],[Sigla Arte]:[Crédito]],2,0))</f>
        <v>HELOÍSA PINTARELLI/ARQUIVO DA EDITORA</v>
      </c>
      <c r="Z940" s="31" t="s">
        <v>88</v>
      </c>
      <c r="AA940" s="31" t="str">
        <f>Tabela2[[#This Row],[ILUSTRADOR CRIAÇÃO]]</f>
        <v>HELOÍSA PINTARELLI/ARQUIVO DA EDITORA</v>
      </c>
      <c r="AB940" s="33">
        <v>14</v>
      </c>
      <c r="AC940" s="16" t="s">
        <v>39</v>
      </c>
      <c r="AD940" s="16" t="s">
        <v>40</v>
      </c>
      <c r="AE940" s="35" t="str">
        <f t="shared" si="14"/>
        <v>EF1 E002 Mat</v>
      </c>
    </row>
    <row r="941" spans="1:31" ht="30" x14ac:dyDescent="0.25">
      <c r="A941" s="31" t="s">
        <v>1995</v>
      </c>
      <c r="B941" s="16" t="s">
        <v>32</v>
      </c>
      <c r="C941" s="16" t="s">
        <v>164</v>
      </c>
      <c r="D941" s="33" t="s">
        <v>34</v>
      </c>
      <c r="E941" s="33">
        <v>226</v>
      </c>
      <c r="F941" s="33">
        <v>3</v>
      </c>
      <c r="G941" s="33">
        <v>11</v>
      </c>
      <c r="H941" s="33"/>
      <c r="I941" s="31" t="s">
        <v>46</v>
      </c>
      <c r="J941" s="31"/>
      <c r="K941" s="33"/>
      <c r="L941" s="33"/>
      <c r="M941" s="31"/>
      <c r="N941" s="31"/>
      <c r="O941" s="16" t="s">
        <v>1996</v>
      </c>
      <c r="P941" s="16"/>
      <c r="Q941" s="16"/>
      <c r="R941" s="33"/>
      <c r="S941" s="34"/>
      <c r="T941" s="34"/>
      <c r="U941" s="34"/>
      <c r="V941" s="34"/>
      <c r="W941" s="34"/>
      <c r="X941" s="33" t="s">
        <v>85</v>
      </c>
      <c r="Y941" s="35" t="str">
        <f>IF(Tabela2[[#This Row],[SIGLA]]="","",VLOOKUP(Tabela2[[#This Row],[SIGLA]],Tabela1[[#All],[Sigla Arte]:[Crédito]],2,0))</f>
        <v>HELOÍSA PINTARELLI/ARQUIVO DA EDITORA</v>
      </c>
      <c r="Z941" s="31"/>
      <c r="AA941" s="31" t="str">
        <f>Tabela2[[#This Row],[ILUSTRADOR CRIAÇÃO]]</f>
        <v>HELOÍSA PINTARELLI/ARQUIVO DA EDITORA</v>
      </c>
      <c r="AB941" s="33"/>
      <c r="AC941" s="16"/>
      <c r="AE941" s="35" t="str">
        <f t="shared" si="14"/>
        <v>EF1 E002 Mat</v>
      </c>
    </row>
    <row r="942" spans="1:31" ht="30" x14ac:dyDescent="0.25">
      <c r="A942" s="31" t="s">
        <v>1997</v>
      </c>
      <c r="B942" s="16" t="s">
        <v>32</v>
      </c>
      <c r="C942" s="16" t="s">
        <v>164</v>
      </c>
      <c r="D942" s="33" t="s">
        <v>34</v>
      </c>
      <c r="E942" s="33">
        <v>226</v>
      </c>
      <c r="F942" s="33">
        <v>3</v>
      </c>
      <c r="G942" s="33">
        <v>11</v>
      </c>
      <c r="H942" s="33"/>
      <c r="I942" s="31" t="s">
        <v>46</v>
      </c>
      <c r="J942" s="31"/>
      <c r="K942" s="33"/>
      <c r="L942" s="33"/>
      <c r="M942" s="31"/>
      <c r="N942" s="31"/>
      <c r="O942" s="16" t="s">
        <v>1998</v>
      </c>
      <c r="P942" s="16"/>
      <c r="Q942" s="16"/>
      <c r="R942" s="33"/>
      <c r="S942" s="34"/>
      <c r="T942" s="34"/>
      <c r="U942" s="34"/>
      <c r="V942" s="34"/>
      <c r="W942" s="34"/>
      <c r="X942" s="33" t="s">
        <v>85</v>
      </c>
      <c r="Y942" s="35" t="str">
        <f>IF(Tabela2[[#This Row],[SIGLA]]="","",VLOOKUP(Tabela2[[#This Row],[SIGLA]],Tabela1[[#All],[Sigla Arte]:[Crédito]],2,0))</f>
        <v>HELOÍSA PINTARELLI/ARQUIVO DA EDITORA</v>
      </c>
      <c r="Z942" s="31"/>
      <c r="AA942" s="31" t="str">
        <f>Tabela2[[#This Row],[ILUSTRADOR CRIAÇÃO]]</f>
        <v>HELOÍSA PINTARELLI/ARQUIVO DA EDITORA</v>
      </c>
      <c r="AB942" s="33"/>
      <c r="AC942" s="16"/>
      <c r="AE942" s="35" t="str">
        <f t="shared" si="14"/>
        <v>EF1 E002 Mat</v>
      </c>
    </row>
    <row r="943" spans="1:31" ht="30" x14ac:dyDescent="0.25">
      <c r="A943" s="31" t="s">
        <v>1999</v>
      </c>
      <c r="B943" s="16" t="s">
        <v>32</v>
      </c>
      <c r="C943" s="16" t="s">
        <v>164</v>
      </c>
      <c r="D943" s="33" t="s">
        <v>34</v>
      </c>
      <c r="E943" s="33">
        <v>226</v>
      </c>
      <c r="F943" s="33">
        <v>3</v>
      </c>
      <c r="G943" s="33">
        <v>11</v>
      </c>
      <c r="H943" s="33"/>
      <c r="I943" s="31" t="s">
        <v>46</v>
      </c>
      <c r="J943" s="31"/>
      <c r="K943" s="33"/>
      <c r="L943" s="33"/>
      <c r="M943" s="31"/>
      <c r="N943" s="31"/>
      <c r="O943" s="16" t="s">
        <v>2000</v>
      </c>
      <c r="P943" s="16"/>
      <c r="Q943" s="16"/>
      <c r="R943" s="33"/>
      <c r="S943" s="34"/>
      <c r="T943" s="34"/>
      <c r="U943" s="34"/>
      <c r="V943" s="34"/>
      <c r="W943" s="34"/>
      <c r="X943" s="33" t="s">
        <v>85</v>
      </c>
      <c r="Y943" s="35" t="str">
        <f>IF(Tabela2[[#This Row],[SIGLA]]="","",VLOOKUP(Tabela2[[#This Row],[SIGLA]],Tabela1[[#All],[Sigla Arte]:[Crédito]],2,0))</f>
        <v>HELOÍSA PINTARELLI/ARQUIVO DA EDITORA</v>
      </c>
      <c r="Z943" s="31"/>
      <c r="AA943" s="31" t="str">
        <f>Tabela2[[#This Row],[ILUSTRADOR CRIAÇÃO]]</f>
        <v>HELOÍSA PINTARELLI/ARQUIVO DA EDITORA</v>
      </c>
      <c r="AB943" s="33"/>
      <c r="AC943" s="16"/>
      <c r="AE943" s="35" t="str">
        <f t="shared" si="14"/>
        <v>EF1 E002 Mat</v>
      </c>
    </row>
    <row r="944" spans="1:31" ht="30" x14ac:dyDescent="0.25">
      <c r="A944" s="31" t="s">
        <v>2001</v>
      </c>
      <c r="B944" s="16" t="s">
        <v>32</v>
      </c>
      <c r="C944" s="16" t="s">
        <v>164</v>
      </c>
      <c r="D944" s="33" t="s">
        <v>34</v>
      </c>
      <c r="E944" s="33">
        <v>227</v>
      </c>
      <c r="F944" s="33">
        <v>3</v>
      </c>
      <c r="G944" s="33">
        <v>11</v>
      </c>
      <c r="H944" s="33"/>
      <c r="I944" s="31" t="s">
        <v>46</v>
      </c>
      <c r="J944" s="31"/>
      <c r="K944" s="33"/>
      <c r="L944" s="33"/>
      <c r="M944" s="31"/>
      <c r="N944" s="31"/>
      <c r="O944" s="16" t="s">
        <v>2002</v>
      </c>
      <c r="P944" s="16"/>
      <c r="Q944" s="16"/>
      <c r="R944" s="33"/>
      <c r="S944" s="34"/>
      <c r="T944" s="34"/>
      <c r="U944" s="34"/>
      <c r="V944" s="34"/>
      <c r="W944" s="34"/>
      <c r="X944" s="33" t="s">
        <v>1126</v>
      </c>
      <c r="Y944" s="35" t="str">
        <f>IF(Tabela2[[#This Row],[SIGLA]]="","",VLOOKUP(Tabela2[[#This Row],[SIGLA]],Tabela1[[#All],[Sigla Arte]:[Crédito]],2,0))</f>
        <v>GUSTAVO CONTI/ARQUIVO DA EDITORA</v>
      </c>
      <c r="Z944" s="31"/>
      <c r="AA944" s="31" t="str">
        <f>Tabela2[[#This Row],[ILUSTRADOR CRIAÇÃO]]</f>
        <v>GUSTAVO CONTI/ARQUIVO DA EDITORA</v>
      </c>
      <c r="AB944" s="33"/>
      <c r="AC944" s="16"/>
      <c r="AE944" s="35" t="str">
        <f t="shared" si="14"/>
        <v>EF1 E002 Mat</v>
      </c>
    </row>
    <row r="945" spans="1:31" ht="30" x14ac:dyDescent="0.25">
      <c r="A945" s="31" t="s">
        <v>2003</v>
      </c>
      <c r="B945" s="16" t="s">
        <v>32</v>
      </c>
      <c r="C945" s="16" t="s">
        <v>164</v>
      </c>
      <c r="D945" s="33" t="s">
        <v>34</v>
      </c>
      <c r="E945" s="33">
        <v>227</v>
      </c>
      <c r="F945" s="33">
        <v>3</v>
      </c>
      <c r="G945" s="33">
        <v>11</v>
      </c>
      <c r="H945" s="33"/>
      <c r="I945" s="31" t="s">
        <v>46</v>
      </c>
      <c r="J945" s="31"/>
      <c r="K945" s="33"/>
      <c r="L945" s="33"/>
      <c r="M945" s="31"/>
      <c r="N945" s="31"/>
      <c r="O945" s="16" t="s">
        <v>2004</v>
      </c>
      <c r="P945" s="16"/>
      <c r="Q945" s="16"/>
      <c r="R945" s="33"/>
      <c r="S945" s="34"/>
      <c r="T945" s="34"/>
      <c r="U945" s="34"/>
      <c r="V945" s="34"/>
      <c r="W945" s="34"/>
      <c r="X945" s="33" t="s">
        <v>1971</v>
      </c>
      <c r="Y945" s="35" t="str">
        <f>IF(Tabela2[[#This Row],[SIGLA]]="","",VLOOKUP(Tabela2[[#This Row],[SIGLA]],Tabela1[[#All],[Sigla Arte]:[Crédito]],2,0))</f>
        <v>PETRA MENDES/ARQUIVO DA EDITORA</v>
      </c>
      <c r="Z945" s="31"/>
      <c r="AA945" s="31" t="str">
        <f>Tabela2[[#This Row],[ILUSTRADOR CRIAÇÃO]]</f>
        <v>PETRA MENDES/ARQUIVO DA EDITORA</v>
      </c>
      <c r="AB945" s="33"/>
      <c r="AC945" s="16"/>
      <c r="AE945" s="35" t="str">
        <f t="shared" si="14"/>
        <v>EF1 E002 Mat</v>
      </c>
    </row>
    <row r="946" spans="1:31" ht="30" x14ac:dyDescent="0.25">
      <c r="A946" s="31" t="s">
        <v>2005</v>
      </c>
      <c r="B946" s="16" t="s">
        <v>32</v>
      </c>
      <c r="C946" s="16" t="s">
        <v>164</v>
      </c>
      <c r="D946" s="33" t="s">
        <v>34</v>
      </c>
      <c r="E946" s="33">
        <v>227</v>
      </c>
      <c r="F946" s="33">
        <v>3</v>
      </c>
      <c r="G946" s="33">
        <v>11</v>
      </c>
      <c r="H946" s="33"/>
      <c r="I946" s="31" t="s">
        <v>46</v>
      </c>
      <c r="J946" s="31"/>
      <c r="K946" s="33"/>
      <c r="L946" s="33"/>
      <c r="M946" s="31"/>
      <c r="N946" s="31"/>
      <c r="O946" s="16" t="s">
        <v>2006</v>
      </c>
      <c r="P946" s="16"/>
      <c r="Q946" s="16"/>
      <c r="R946" s="33"/>
      <c r="S946" s="34"/>
      <c r="T946" s="34"/>
      <c r="U946" s="34"/>
      <c r="V946" s="34"/>
      <c r="W946" s="34"/>
      <c r="X946" s="33" t="s">
        <v>1971</v>
      </c>
      <c r="Y946" s="35" t="str">
        <f>IF(Tabela2[[#This Row],[SIGLA]]="","",VLOOKUP(Tabela2[[#This Row],[SIGLA]],Tabela1[[#All],[Sigla Arte]:[Crédito]],2,0))</f>
        <v>PETRA MENDES/ARQUIVO DA EDITORA</v>
      </c>
      <c r="Z946" s="31"/>
      <c r="AA946" s="31" t="str">
        <f>Tabela2[[#This Row],[ILUSTRADOR CRIAÇÃO]]</f>
        <v>PETRA MENDES/ARQUIVO DA EDITORA</v>
      </c>
      <c r="AB946" s="33"/>
      <c r="AC946" s="16"/>
      <c r="AE946" s="35" t="str">
        <f t="shared" si="14"/>
        <v>EF1 E002 Mat</v>
      </c>
    </row>
    <row r="947" spans="1:31" ht="30" x14ac:dyDescent="0.25">
      <c r="A947" s="31" t="s">
        <v>2007</v>
      </c>
      <c r="B947" s="16" t="s">
        <v>32</v>
      </c>
      <c r="C947" s="16" t="s">
        <v>164</v>
      </c>
      <c r="D947" s="33" t="s">
        <v>34</v>
      </c>
      <c r="E947" s="33">
        <v>227</v>
      </c>
      <c r="F947" s="33">
        <v>3</v>
      </c>
      <c r="G947" s="33">
        <v>11</v>
      </c>
      <c r="H947" s="33"/>
      <c r="I947" s="31" t="s">
        <v>46</v>
      </c>
      <c r="J947" s="31"/>
      <c r="K947" s="33"/>
      <c r="L947" s="33"/>
      <c r="M947" s="31"/>
      <c r="N947" s="31"/>
      <c r="O947" s="16" t="s">
        <v>2008</v>
      </c>
      <c r="P947" s="16"/>
      <c r="Q947" s="16"/>
      <c r="R947" s="33"/>
      <c r="S947" s="34"/>
      <c r="T947" s="34"/>
      <c r="U947" s="34"/>
      <c r="V947" s="34"/>
      <c r="W947" s="34"/>
      <c r="X947" s="33" t="s">
        <v>1971</v>
      </c>
      <c r="Y947" s="35" t="str">
        <f>IF(Tabela2[[#This Row],[SIGLA]]="","",VLOOKUP(Tabela2[[#This Row],[SIGLA]],Tabela1[[#All],[Sigla Arte]:[Crédito]],2,0))</f>
        <v>PETRA MENDES/ARQUIVO DA EDITORA</v>
      </c>
      <c r="Z947" s="31"/>
      <c r="AA947" s="31" t="str">
        <f>Tabela2[[#This Row],[ILUSTRADOR CRIAÇÃO]]</f>
        <v>PETRA MENDES/ARQUIVO DA EDITORA</v>
      </c>
      <c r="AB947" s="33"/>
      <c r="AC947" s="16"/>
      <c r="AE947" s="35" t="str">
        <f t="shared" si="14"/>
        <v>EF1 E002 Mat</v>
      </c>
    </row>
    <row r="948" spans="1:31" ht="30" x14ac:dyDescent="0.25">
      <c r="A948" s="31" t="s">
        <v>2009</v>
      </c>
      <c r="B948" s="16" t="s">
        <v>32</v>
      </c>
      <c r="C948" s="16" t="s">
        <v>164</v>
      </c>
      <c r="D948" s="33" t="s">
        <v>34</v>
      </c>
      <c r="E948" s="33">
        <v>227</v>
      </c>
      <c r="F948" s="33">
        <v>3</v>
      </c>
      <c r="G948" s="33">
        <v>11</v>
      </c>
      <c r="H948" s="33"/>
      <c r="I948" s="31" t="s">
        <v>46</v>
      </c>
      <c r="J948" s="31"/>
      <c r="K948" s="33"/>
      <c r="L948" s="33"/>
      <c r="M948" s="31"/>
      <c r="N948" s="31"/>
      <c r="O948" s="16" t="s">
        <v>2010</v>
      </c>
      <c r="P948" s="16"/>
      <c r="Q948" s="16"/>
      <c r="R948" s="33"/>
      <c r="S948" s="34"/>
      <c r="T948" s="34"/>
      <c r="U948" s="34"/>
      <c r="V948" s="34"/>
      <c r="W948" s="34"/>
      <c r="X948" s="33" t="s">
        <v>1971</v>
      </c>
      <c r="Y948" s="35" t="str">
        <f>IF(Tabela2[[#This Row],[SIGLA]]="","",VLOOKUP(Tabela2[[#This Row],[SIGLA]],Tabela1[[#All],[Sigla Arte]:[Crédito]],2,0))</f>
        <v>PETRA MENDES/ARQUIVO DA EDITORA</v>
      </c>
      <c r="Z948" s="31"/>
      <c r="AA948" s="31" t="str">
        <f>Tabela2[[#This Row],[ILUSTRADOR CRIAÇÃO]]</f>
        <v>PETRA MENDES/ARQUIVO DA EDITORA</v>
      </c>
      <c r="AB948" s="33"/>
      <c r="AC948" s="16"/>
      <c r="AE948" s="35" t="str">
        <f t="shared" si="14"/>
        <v>EF1 E002 Mat</v>
      </c>
    </row>
    <row r="949" spans="1:31" ht="45" x14ac:dyDescent="0.25">
      <c r="A949" s="31" t="s">
        <v>2011</v>
      </c>
      <c r="B949" s="16" t="s">
        <v>32</v>
      </c>
      <c r="C949" s="16" t="s">
        <v>164</v>
      </c>
      <c r="D949" s="33" t="s">
        <v>34</v>
      </c>
      <c r="E949" s="33">
        <v>228</v>
      </c>
      <c r="F949" s="33">
        <v>3</v>
      </c>
      <c r="G949" s="33">
        <v>11</v>
      </c>
      <c r="H949" s="33"/>
      <c r="I949" s="31" t="s">
        <v>46</v>
      </c>
      <c r="J949" s="31"/>
      <c r="K949" s="33"/>
      <c r="L949" s="33"/>
      <c r="M949" s="31"/>
      <c r="N949" s="31"/>
      <c r="O949" s="16" t="s">
        <v>2012</v>
      </c>
      <c r="P949" s="16"/>
      <c r="Q949" s="16"/>
      <c r="R949" s="33"/>
      <c r="S949" s="34"/>
      <c r="T949" s="34"/>
      <c r="U949" s="34"/>
      <c r="V949" s="34"/>
      <c r="W949" s="34"/>
      <c r="X949" s="33" t="s">
        <v>1971</v>
      </c>
      <c r="Y949" s="35" t="str">
        <f>IF(Tabela2[[#This Row],[SIGLA]]="","",VLOOKUP(Tabela2[[#This Row],[SIGLA]],Tabela1[[#All],[Sigla Arte]:[Crédito]],2,0))</f>
        <v>PETRA MENDES/ARQUIVO DA EDITORA</v>
      </c>
      <c r="Z949" s="31"/>
      <c r="AA949" s="31" t="str">
        <f>Tabela2[[#This Row],[ILUSTRADOR CRIAÇÃO]]</f>
        <v>PETRA MENDES/ARQUIVO DA EDITORA</v>
      </c>
      <c r="AB949" s="33"/>
      <c r="AC949" s="16"/>
      <c r="AE949" s="35" t="str">
        <f t="shared" si="14"/>
        <v>EF1 E002 Mat</v>
      </c>
    </row>
    <row r="950" spans="1:31" ht="75" x14ac:dyDescent="0.25">
      <c r="A950" s="31" t="s">
        <v>2013</v>
      </c>
      <c r="B950" s="16" t="s">
        <v>32</v>
      </c>
      <c r="C950" s="16" t="s">
        <v>327</v>
      </c>
      <c r="D950" s="33" t="s">
        <v>34</v>
      </c>
      <c r="E950" s="33">
        <v>228</v>
      </c>
      <c r="F950" s="33">
        <v>3</v>
      </c>
      <c r="G950" s="33">
        <v>11</v>
      </c>
      <c r="H950" s="33"/>
      <c r="I950" s="31" t="s">
        <v>35</v>
      </c>
      <c r="J950" s="31"/>
      <c r="K950" s="33"/>
      <c r="L950" s="33"/>
      <c r="M950" s="31"/>
      <c r="N950" s="31"/>
      <c r="O950" s="16" t="s">
        <v>2014</v>
      </c>
      <c r="P950" s="16"/>
      <c r="Q950" s="16"/>
      <c r="R950" s="33">
        <v>19</v>
      </c>
      <c r="S950" s="34">
        <v>45750</v>
      </c>
      <c r="T950" s="34">
        <v>45751</v>
      </c>
      <c r="U950" s="34"/>
      <c r="V950" s="34"/>
      <c r="W950" s="34">
        <v>45751</v>
      </c>
      <c r="X950" s="33" t="s">
        <v>1971</v>
      </c>
      <c r="Y950" s="35" t="str">
        <f>IF(Tabela2[[#This Row],[SIGLA]]="","",VLOOKUP(Tabela2[[#This Row],[SIGLA]],Tabela1[[#All],[Sigla Arte]:[Crédito]],2,0))</f>
        <v>PETRA MENDES/ARQUIVO DA EDITORA</v>
      </c>
      <c r="Z950" s="31" t="s">
        <v>221</v>
      </c>
      <c r="AA950" s="31" t="str">
        <f>Tabela2[[#This Row],[ILUSTRADOR CRIAÇÃO]]</f>
        <v>PETRA MENDES/ARQUIVO DA EDITORA</v>
      </c>
      <c r="AB950" s="33">
        <v>13</v>
      </c>
      <c r="AC950" s="16" t="s">
        <v>44</v>
      </c>
      <c r="AD950" s="16" t="s">
        <v>40</v>
      </c>
      <c r="AE950" s="35" t="str">
        <f t="shared" si="14"/>
        <v>EF1 E002 Mat</v>
      </c>
    </row>
    <row r="951" spans="1:31" ht="30" x14ac:dyDescent="0.25">
      <c r="A951" s="31" t="s">
        <v>2015</v>
      </c>
      <c r="B951" s="16" t="s">
        <v>32</v>
      </c>
      <c r="C951" s="16" t="s">
        <v>164</v>
      </c>
      <c r="D951" s="33" t="s">
        <v>34</v>
      </c>
      <c r="E951" s="33">
        <v>229</v>
      </c>
      <c r="F951" s="33">
        <v>3</v>
      </c>
      <c r="G951" s="33">
        <v>11</v>
      </c>
      <c r="H951" s="33"/>
      <c r="I951" s="31" t="s">
        <v>46</v>
      </c>
      <c r="J951" s="31"/>
      <c r="K951" s="33"/>
      <c r="L951" s="33"/>
      <c r="M951" s="31"/>
      <c r="N951" s="31"/>
      <c r="O951" s="16" t="s">
        <v>2016</v>
      </c>
      <c r="P951" s="16"/>
      <c r="Q951" s="16"/>
      <c r="R951" s="33"/>
      <c r="S951" s="34"/>
      <c r="T951" s="34"/>
      <c r="U951" s="34"/>
      <c r="V951" s="34"/>
      <c r="W951" s="34"/>
      <c r="X951" s="33" t="s">
        <v>85</v>
      </c>
      <c r="Y951" s="35" t="str">
        <f>IF(Tabela2[[#This Row],[SIGLA]]="","",VLOOKUP(Tabela2[[#This Row],[SIGLA]],Tabela1[[#All],[Sigla Arte]:[Crédito]],2,0))</f>
        <v>HELOÍSA PINTARELLI/ARQUIVO DA EDITORA</v>
      </c>
      <c r="Z951" s="31"/>
      <c r="AA951" s="31" t="str">
        <f>Tabela2[[#This Row],[ILUSTRADOR CRIAÇÃO]]</f>
        <v>HELOÍSA PINTARELLI/ARQUIVO DA EDITORA</v>
      </c>
      <c r="AB951" s="33"/>
      <c r="AC951" s="16"/>
      <c r="AE951" s="35" t="str">
        <f t="shared" si="14"/>
        <v>EF1 E002 Mat</v>
      </c>
    </row>
    <row r="952" spans="1:31" ht="30" x14ac:dyDescent="0.25">
      <c r="A952" s="31" t="s">
        <v>2017</v>
      </c>
      <c r="B952" s="16" t="s">
        <v>32</v>
      </c>
      <c r="C952" s="16" t="s">
        <v>164</v>
      </c>
      <c r="D952" s="33" t="s">
        <v>34</v>
      </c>
      <c r="E952" s="33">
        <v>229</v>
      </c>
      <c r="F952" s="33">
        <v>3</v>
      </c>
      <c r="G952" s="33">
        <v>11</v>
      </c>
      <c r="H952" s="33"/>
      <c r="I952" s="31" t="s">
        <v>46</v>
      </c>
      <c r="J952" s="31"/>
      <c r="K952" s="33"/>
      <c r="L952" s="33"/>
      <c r="M952" s="31"/>
      <c r="N952" s="31"/>
      <c r="O952" s="16" t="s">
        <v>2018</v>
      </c>
      <c r="P952" s="16"/>
      <c r="Q952" s="16"/>
      <c r="R952" s="33"/>
      <c r="S952" s="34"/>
      <c r="T952" s="34"/>
      <c r="U952" s="34"/>
      <c r="V952" s="34"/>
      <c r="W952" s="34"/>
      <c r="X952" s="33" t="s">
        <v>85</v>
      </c>
      <c r="Y952" s="35" t="str">
        <f>IF(Tabela2[[#This Row],[SIGLA]]="","",VLOOKUP(Tabela2[[#This Row],[SIGLA]],Tabela1[[#All],[Sigla Arte]:[Crédito]],2,0))</f>
        <v>HELOÍSA PINTARELLI/ARQUIVO DA EDITORA</v>
      </c>
      <c r="Z952" s="31"/>
      <c r="AA952" s="31" t="str">
        <f>Tabela2[[#This Row],[ILUSTRADOR CRIAÇÃO]]</f>
        <v>HELOÍSA PINTARELLI/ARQUIVO DA EDITORA</v>
      </c>
      <c r="AB952" s="33"/>
      <c r="AC952" s="16"/>
      <c r="AE952" s="35" t="str">
        <f t="shared" si="14"/>
        <v>EF1 E002 Mat</v>
      </c>
    </row>
    <row r="953" spans="1:31" ht="30" x14ac:dyDescent="0.25">
      <c r="A953" s="31" t="s">
        <v>2019</v>
      </c>
      <c r="B953" s="16" t="s">
        <v>32</v>
      </c>
      <c r="C953" s="16" t="s">
        <v>164</v>
      </c>
      <c r="D953" s="33" t="s">
        <v>34</v>
      </c>
      <c r="E953" s="33">
        <v>229</v>
      </c>
      <c r="F953" s="33">
        <v>3</v>
      </c>
      <c r="G953" s="33">
        <v>11</v>
      </c>
      <c r="H953" s="33"/>
      <c r="I953" s="31" t="s">
        <v>46</v>
      </c>
      <c r="J953" s="31"/>
      <c r="K953" s="33"/>
      <c r="L953" s="33"/>
      <c r="M953" s="31"/>
      <c r="N953" s="31"/>
      <c r="O953" s="16" t="s">
        <v>2020</v>
      </c>
      <c r="P953" s="16"/>
      <c r="Q953" s="16"/>
      <c r="R953" s="33"/>
      <c r="S953" s="34"/>
      <c r="T953" s="34"/>
      <c r="U953" s="34"/>
      <c r="V953" s="34"/>
      <c r="W953" s="34"/>
      <c r="X953" s="33" t="s">
        <v>85</v>
      </c>
      <c r="Y953" s="35" t="str">
        <f>IF(Tabela2[[#This Row],[SIGLA]]="","",VLOOKUP(Tabela2[[#This Row],[SIGLA]],Tabela1[[#All],[Sigla Arte]:[Crédito]],2,0))</f>
        <v>HELOÍSA PINTARELLI/ARQUIVO DA EDITORA</v>
      </c>
      <c r="Z953" s="31"/>
      <c r="AA953" s="31" t="str">
        <f>Tabela2[[#This Row],[ILUSTRADOR CRIAÇÃO]]</f>
        <v>HELOÍSA PINTARELLI/ARQUIVO DA EDITORA</v>
      </c>
      <c r="AB953" s="33"/>
      <c r="AC953" s="16"/>
      <c r="AE953" s="35" t="str">
        <f t="shared" si="14"/>
        <v>EF1 E002 Mat</v>
      </c>
    </row>
    <row r="954" spans="1:31" ht="45" x14ac:dyDescent="0.25">
      <c r="A954" s="31" t="s">
        <v>2021</v>
      </c>
      <c r="B954" s="16" t="s">
        <v>401</v>
      </c>
      <c r="C954" s="16" t="s">
        <v>164</v>
      </c>
      <c r="D954" s="33" t="s">
        <v>34</v>
      </c>
      <c r="E954" s="33">
        <v>229</v>
      </c>
      <c r="F954" s="33">
        <v>3</v>
      </c>
      <c r="G954" s="33">
        <v>11</v>
      </c>
      <c r="H954" s="33"/>
      <c r="I954" s="31" t="s">
        <v>46</v>
      </c>
      <c r="J954" s="31"/>
      <c r="K954" s="33"/>
      <c r="L954" s="33"/>
      <c r="M954" s="31"/>
      <c r="N954" s="31"/>
      <c r="O954" s="16" t="s">
        <v>2022</v>
      </c>
      <c r="P954" s="16"/>
      <c r="Q954" s="16"/>
      <c r="R954" s="33"/>
      <c r="S954" s="34"/>
      <c r="T954" s="34"/>
      <c r="U954" s="34"/>
      <c r="V954" s="34"/>
      <c r="W954" s="34"/>
      <c r="X954" s="33" t="s">
        <v>1126</v>
      </c>
      <c r="Y954" s="35" t="str">
        <f>IF(Tabela2[[#This Row],[SIGLA]]="","",VLOOKUP(Tabela2[[#This Row],[SIGLA]],Tabela1[[#All],[Sigla Arte]:[Crédito]],2,0))</f>
        <v>GUSTAVO CONTI/ARQUIVO DA EDITORA</v>
      </c>
      <c r="Z954" s="31"/>
      <c r="AA954" s="31" t="str">
        <f>Tabela2[[#This Row],[ILUSTRADOR CRIAÇÃO]]</f>
        <v>GUSTAVO CONTI/ARQUIVO DA EDITORA</v>
      </c>
      <c r="AB954" s="33"/>
      <c r="AC954" s="16"/>
      <c r="AE954" s="35" t="str">
        <f t="shared" si="14"/>
        <v>EF1 E002 Mat</v>
      </c>
    </row>
    <row r="955" spans="1:31" ht="30" x14ac:dyDescent="0.25">
      <c r="A955" s="31" t="s">
        <v>2023</v>
      </c>
      <c r="B955" s="16" t="s">
        <v>32</v>
      </c>
      <c r="C955" s="16" t="s">
        <v>164</v>
      </c>
      <c r="D955" s="33" t="s">
        <v>34</v>
      </c>
      <c r="E955" s="33">
        <v>229</v>
      </c>
      <c r="F955" s="33">
        <v>3</v>
      </c>
      <c r="G955" s="33">
        <v>11</v>
      </c>
      <c r="H955" s="33"/>
      <c r="I955" s="31" t="s">
        <v>46</v>
      </c>
      <c r="J955" s="31"/>
      <c r="K955" s="33"/>
      <c r="L955" s="33"/>
      <c r="M955" s="31"/>
      <c r="N955" s="31"/>
      <c r="O955" s="16" t="s">
        <v>2024</v>
      </c>
      <c r="P955" s="16"/>
      <c r="Q955" s="16"/>
      <c r="R955" s="33"/>
      <c r="S955" s="34"/>
      <c r="T955" s="34"/>
      <c r="U955" s="34"/>
      <c r="V955" s="34"/>
      <c r="W955" s="34"/>
      <c r="X955" s="33" t="s">
        <v>1971</v>
      </c>
      <c r="Y955" s="35" t="str">
        <f>IF(Tabela2[[#This Row],[SIGLA]]="","",VLOOKUP(Tabela2[[#This Row],[SIGLA]],Tabela1[[#All],[Sigla Arte]:[Crédito]],2,0))</f>
        <v>PETRA MENDES/ARQUIVO DA EDITORA</v>
      </c>
      <c r="Z955" s="31"/>
      <c r="AA955" s="31" t="str">
        <f>Tabela2[[#This Row],[ILUSTRADOR CRIAÇÃO]]</f>
        <v>PETRA MENDES/ARQUIVO DA EDITORA</v>
      </c>
      <c r="AB955" s="33"/>
      <c r="AC955" s="16"/>
      <c r="AE955" s="35" t="str">
        <f t="shared" si="14"/>
        <v>EF1 E002 Mat</v>
      </c>
    </row>
    <row r="956" spans="1:31" ht="45" x14ac:dyDescent="0.25">
      <c r="A956" s="31" t="s">
        <v>2025</v>
      </c>
      <c r="B956" s="16" t="s">
        <v>32</v>
      </c>
      <c r="C956" s="16" t="s">
        <v>164</v>
      </c>
      <c r="D956" s="33" t="s">
        <v>34</v>
      </c>
      <c r="E956" s="33">
        <v>229</v>
      </c>
      <c r="F956" s="33">
        <v>3</v>
      </c>
      <c r="G956" s="33">
        <v>11</v>
      </c>
      <c r="H956" s="33"/>
      <c r="I956" s="31" t="s">
        <v>46</v>
      </c>
      <c r="J956" s="31"/>
      <c r="K956" s="33"/>
      <c r="L956" s="33"/>
      <c r="M956" s="31"/>
      <c r="N956" s="31"/>
      <c r="O956" s="16" t="s">
        <v>2026</v>
      </c>
      <c r="P956" s="16"/>
      <c r="Q956" s="16"/>
      <c r="R956" s="33"/>
      <c r="S956" s="34"/>
      <c r="T956" s="34"/>
      <c r="U956" s="34"/>
      <c r="V956" s="34"/>
      <c r="W956" s="34"/>
      <c r="X956" s="33" t="s">
        <v>1971</v>
      </c>
      <c r="Y956" s="35" t="str">
        <f>IF(Tabela2[[#This Row],[SIGLA]]="","",VLOOKUP(Tabela2[[#This Row],[SIGLA]],Tabela1[[#All],[Sigla Arte]:[Crédito]],2,0))</f>
        <v>PETRA MENDES/ARQUIVO DA EDITORA</v>
      </c>
      <c r="Z956" s="31"/>
      <c r="AA956" s="31" t="str">
        <f>Tabela2[[#This Row],[ILUSTRADOR CRIAÇÃO]]</f>
        <v>PETRA MENDES/ARQUIVO DA EDITORA</v>
      </c>
      <c r="AB956" s="33"/>
      <c r="AC956" s="16"/>
      <c r="AE956" s="35" t="str">
        <f t="shared" si="14"/>
        <v>EF1 E002 Mat</v>
      </c>
    </row>
    <row r="957" spans="1:31" ht="30" x14ac:dyDescent="0.25">
      <c r="A957" s="31" t="s">
        <v>2027</v>
      </c>
      <c r="B957" s="16" t="s">
        <v>32</v>
      </c>
      <c r="C957" s="16" t="s">
        <v>164</v>
      </c>
      <c r="D957" s="33" t="s">
        <v>34</v>
      </c>
      <c r="E957" s="33">
        <v>229</v>
      </c>
      <c r="F957" s="33">
        <v>3</v>
      </c>
      <c r="G957" s="33">
        <v>11</v>
      </c>
      <c r="H957" s="33"/>
      <c r="I957" s="31" t="s">
        <v>46</v>
      </c>
      <c r="J957" s="31"/>
      <c r="K957" s="33"/>
      <c r="L957" s="33"/>
      <c r="M957" s="31"/>
      <c r="N957" s="31"/>
      <c r="O957" s="16" t="s">
        <v>2028</v>
      </c>
      <c r="P957" s="16"/>
      <c r="Q957" s="16"/>
      <c r="R957" s="33"/>
      <c r="S957" s="34"/>
      <c r="T957" s="34"/>
      <c r="U957" s="34"/>
      <c r="V957" s="34"/>
      <c r="W957" s="34"/>
      <c r="X957" s="33" t="s">
        <v>1971</v>
      </c>
      <c r="Y957" s="35" t="str">
        <f>IF(Tabela2[[#This Row],[SIGLA]]="","",VLOOKUP(Tabela2[[#This Row],[SIGLA]],Tabela1[[#All],[Sigla Arte]:[Crédito]],2,0))</f>
        <v>PETRA MENDES/ARQUIVO DA EDITORA</v>
      </c>
      <c r="Z957" s="31"/>
      <c r="AA957" s="31" t="str">
        <f>Tabela2[[#This Row],[ILUSTRADOR CRIAÇÃO]]</f>
        <v>PETRA MENDES/ARQUIVO DA EDITORA</v>
      </c>
      <c r="AB957" s="33"/>
      <c r="AC957" s="16"/>
      <c r="AE957" s="35" t="str">
        <f t="shared" si="14"/>
        <v>EF1 E002 Mat</v>
      </c>
    </row>
    <row r="958" spans="1:31" ht="30" x14ac:dyDescent="0.25">
      <c r="A958" s="31" t="s">
        <v>2029</v>
      </c>
      <c r="B958" s="16" t="s">
        <v>32</v>
      </c>
      <c r="C958" s="16" t="s">
        <v>164</v>
      </c>
      <c r="D958" s="33" t="s">
        <v>34</v>
      </c>
      <c r="E958" s="33">
        <v>229</v>
      </c>
      <c r="F958" s="33">
        <v>3</v>
      </c>
      <c r="G958" s="33">
        <v>11</v>
      </c>
      <c r="H958" s="33"/>
      <c r="I958" s="31" t="s">
        <v>46</v>
      </c>
      <c r="J958" s="31"/>
      <c r="K958" s="33"/>
      <c r="L958" s="33"/>
      <c r="M958" s="31"/>
      <c r="N958" s="31"/>
      <c r="O958" s="16" t="s">
        <v>2030</v>
      </c>
      <c r="P958" s="16"/>
      <c r="Q958" s="16"/>
      <c r="R958" s="33"/>
      <c r="S958" s="34"/>
      <c r="T958" s="34"/>
      <c r="U958" s="34"/>
      <c r="V958" s="34"/>
      <c r="W958" s="34"/>
      <c r="X958" s="33" t="s">
        <v>1971</v>
      </c>
      <c r="Y958" s="35" t="str">
        <f>IF(Tabela2[[#This Row],[SIGLA]]="","",VLOOKUP(Tabela2[[#This Row],[SIGLA]],Tabela1[[#All],[Sigla Arte]:[Crédito]],2,0))</f>
        <v>PETRA MENDES/ARQUIVO DA EDITORA</v>
      </c>
      <c r="Z958" s="31"/>
      <c r="AA958" s="31" t="str">
        <f>Tabela2[[#This Row],[ILUSTRADOR CRIAÇÃO]]</f>
        <v>PETRA MENDES/ARQUIVO DA EDITORA</v>
      </c>
      <c r="AB958" s="33"/>
      <c r="AC958" s="16"/>
      <c r="AE958" s="35" t="str">
        <f t="shared" si="14"/>
        <v>EF1 E002 Mat</v>
      </c>
    </row>
    <row r="959" spans="1:31" ht="45" x14ac:dyDescent="0.25">
      <c r="A959" s="31" t="s">
        <v>2031</v>
      </c>
      <c r="B959" s="16" t="s">
        <v>32</v>
      </c>
      <c r="C959" s="16" t="s">
        <v>164</v>
      </c>
      <c r="D959" s="33" t="s">
        <v>34</v>
      </c>
      <c r="E959" s="33">
        <v>230</v>
      </c>
      <c r="F959" s="33">
        <v>3</v>
      </c>
      <c r="G959" s="33">
        <v>11</v>
      </c>
      <c r="H959" s="33"/>
      <c r="I959" s="31" t="s">
        <v>46</v>
      </c>
      <c r="J959" s="31"/>
      <c r="K959" s="33"/>
      <c r="L959" s="33"/>
      <c r="M959" s="31"/>
      <c r="N959" s="31"/>
      <c r="O959" s="16" t="s">
        <v>2032</v>
      </c>
      <c r="P959" s="16"/>
      <c r="Q959" s="16"/>
      <c r="R959" s="33"/>
      <c r="S959" s="34"/>
      <c r="T959" s="34"/>
      <c r="U959" s="34"/>
      <c r="V959" s="34"/>
      <c r="W959" s="34"/>
      <c r="X959" s="33" t="s">
        <v>1971</v>
      </c>
      <c r="Y959" s="35" t="str">
        <f>IF(Tabela2[[#This Row],[SIGLA]]="","",VLOOKUP(Tabela2[[#This Row],[SIGLA]],Tabela1[[#All],[Sigla Arte]:[Crédito]],2,0))</f>
        <v>PETRA MENDES/ARQUIVO DA EDITORA</v>
      </c>
      <c r="Z959" s="31"/>
      <c r="AA959" s="31" t="str">
        <f>Tabela2[[#This Row],[ILUSTRADOR CRIAÇÃO]]</f>
        <v>PETRA MENDES/ARQUIVO DA EDITORA</v>
      </c>
      <c r="AB959" s="33"/>
      <c r="AC959" s="16"/>
      <c r="AE959" s="35" t="str">
        <f t="shared" si="14"/>
        <v>EF1 E002 Mat</v>
      </c>
    </row>
    <row r="960" spans="1:31" ht="60" x14ac:dyDescent="0.25">
      <c r="A960" s="31" t="s">
        <v>2033</v>
      </c>
      <c r="B960" s="16" t="s">
        <v>32</v>
      </c>
      <c r="C960" s="16" t="s">
        <v>164</v>
      </c>
      <c r="D960" s="33" t="s">
        <v>34</v>
      </c>
      <c r="E960" s="33">
        <v>230</v>
      </c>
      <c r="F960" s="33">
        <v>3</v>
      </c>
      <c r="G960" s="33">
        <v>11</v>
      </c>
      <c r="H960" s="33"/>
      <c r="I960" s="31" t="s">
        <v>46</v>
      </c>
      <c r="J960" s="31"/>
      <c r="K960" s="33"/>
      <c r="L960" s="33"/>
      <c r="M960" s="31"/>
      <c r="N960" s="31"/>
      <c r="O960" s="16" t="s">
        <v>2034</v>
      </c>
      <c r="P960" s="16"/>
      <c r="Q960" s="16"/>
      <c r="R960" s="33"/>
      <c r="S960" s="34"/>
      <c r="T960" s="34"/>
      <c r="U960" s="34"/>
      <c r="V960" s="34"/>
      <c r="W960" s="34"/>
      <c r="X960" s="33" t="s">
        <v>1971</v>
      </c>
      <c r="Y960" s="35" t="str">
        <f>IF(Tabela2[[#This Row],[SIGLA]]="","",VLOOKUP(Tabela2[[#This Row],[SIGLA]],Tabela1[[#All],[Sigla Arte]:[Crédito]],2,0))</f>
        <v>PETRA MENDES/ARQUIVO DA EDITORA</v>
      </c>
      <c r="Z960" s="31"/>
      <c r="AA960" s="31" t="str">
        <f>Tabela2[[#This Row],[ILUSTRADOR CRIAÇÃO]]</f>
        <v>PETRA MENDES/ARQUIVO DA EDITORA</v>
      </c>
      <c r="AB960" s="33"/>
      <c r="AC960" s="16"/>
      <c r="AE960" s="35" t="str">
        <f t="shared" si="14"/>
        <v>EF1 E002 Mat</v>
      </c>
    </row>
    <row r="961" spans="1:31" ht="60" x14ac:dyDescent="0.25">
      <c r="A961" s="31" t="s">
        <v>2035</v>
      </c>
      <c r="B961" s="16" t="s">
        <v>32</v>
      </c>
      <c r="C961" s="16" t="s">
        <v>164</v>
      </c>
      <c r="D961" s="33" t="s">
        <v>34</v>
      </c>
      <c r="E961" s="33">
        <v>230</v>
      </c>
      <c r="F961" s="33">
        <v>3</v>
      </c>
      <c r="G961" s="33">
        <v>11</v>
      </c>
      <c r="H961" s="33"/>
      <c r="I961" s="31" t="s">
        <v>46</v>
      </c>
      <c r="J961" s="31"/>
      <c r="K961" s="33"/>
      <c r="L961" s="33"/>
      <c r="M961" s="31"/>
      <c r="N961" s="31"/>
      <c r="O961" s="16" t="s">
        <v>2036</v>
      </c>
      <c r="P961" s="16"/>
      <c r="Q961" s="16"/>
      <c r="R961" s="33"/>
      <c r="S961" s="34"/>
      <c r="T961" s="34"/>
      <c r="U961" s="34"/>
      <c r="V961" s="34"/>
      <c r="W961" s="34"/>
      <c r="X961" s="33" t="s">
        <v>1971</v>
      </c>
      <c r="Y961" s="35" t="str">
        <f>IF(Tabela2[[#This Row],[SIGLA]]="","",VLOOKUP(Tabela2[[#This Row],[SIGLA]],Tabela1[[#All],[Sigla Arte]:[Crédito]],2,0))</f>
        <v>PETRA MENDES/ARQUIVO DA EDITORA</v>
      </c>
      <c r="Z961" s="31"/>
      <c r="AA961" s="31" t="str">
        <f>Tabela2[[#This Row],[ILUSTRADOR CRIAÇÃO]]</f>
        <v>PETRA MENDES/ARQUIVO DA EDITORA</v>
      </c>
      <c r="AB961" s="33"/>
      <c r="AC961" s="16"/>
      <c r="AE961" s="35" t="str">
        <f t="shared" si="14"/>
        <v>EF1 E002 Mat</v>
      </c>
    </row>
    <row r="962" spans="1:31" ht="105" x14ac:dyDescent="0.25">
      <c r="A962" s="31" t="s">
        <v>2037</v>
      </c>
      <c r="B962" s="16" t="s">
        <v>32</v>
      </c>
      <c r="C962" s="16" t="s">
        <v>164</v>
      </c>
      <c r="D962" s="33" t="s">
        <v>34</v>
      </c>
      <c r="E962" s="33">
        <v>231</v>
      </c>
      <c r="F962" s="33">
        <v>3</v>
      </c>
      <c r="G962" s="33">
        <v>11</v>
      </c>
      <c r="H962" s="33"/>
      <c r="I962" s="31" t="s">
        <v>35</v>
      </c>
      <c r="J962" s="31"/>
      <c r="K962" s="33"/>
      <c r="L962" s="33"/>
      <c r="M962" s="31"/>
      <c r="N962" s="31"/>
      <c r="O962" s="16" t="s">
        <v>2038</v>
      </c>
      <c r="P962" s="16"/>
      <c r="Q962" s="16"/>
      <c r="R962" s="33">
        <v>19</v>
      </c>
      <c r="S962" s="34">
        <v>45750</v>
      </c>
      <c r="T962" s="34">
        <v>45751</v>
      </c>
      <c r="U962" s="34"/>
      <c r="V962" s="34"/>
      <c r="W962" s="34">
        <v>45751</v>
      </c>
      <c r="X962" s="33" t="s">
        <v>184</v>
      </c>
      <c r="Y962" s="35" t="str">
        <f>IF(Tabela2[[#This Row],[SIGLA]]="","",VLOOKUP(Tabela2[[#This Row],[SIGLA]],Tabela1[[#All],[Sigla Arte]:[Crédito]],2,0))</f>
        <v>VER DOCUMENTO DE ILS. TÉCNICAS</v>
      </c>
      <c r="Z962" s="31" t="s">
        <v>221</v>
      </c>
      <c r="AA962" s="31" t="s">
        <v>2039</v>
      </c>
      <c r="AB962" s="33">
        <v>13</v>
      </c>
      <c r="AC962" s="16" t="s">
        <v>44</v>
      </c>
      <c r="AD962" s="16" t="s">
        <v>40</v>
      </c>
      <c r="AE962" s="35" t="str">
        <f t="shared" ref="AE962:AE1025" si="15">"EF1 E002 Mat"</f>
        <v>EF1 E002 Mat</v>
      </c>
    </row>
    <row r="963" spans="1:31" ht="30" x14ac:dyDescent="0.25">
      <c r="A963" s="31" t="s">
        <v>2040</v>
      </c>
      <c r="B963" s="16" t="s">
        <v>32</v>
      </c>
      <c r="C963" s="16" t="s">
        <v>164</v>
      </c>
      <c r="D963" s="33" t="s">
        <v>34</v>
      </c>
      <c r="E963" s="33">
        <v>231</v>
      </c>
      <c r="F963" s="33">
        <v>3</v>
      </c>
      <c r="G963" s="33">
        <v>11</v>
      </c>
      <c r="H963" s="33"/>
      <c r="I963" s="31" t="s">
        <v>46</v>
      </c>
      <c r="J963" s="31"/>
      <c r="K963" s="33"/>
      <c r="L963" s="33"/>
      <c r="M963" s="31"/>
      <c r="N963" s="31"/>
      <c r="O963" s="16" t="s">
        <v>2041</v>
      </c>
      <c r="P963" s="16"/>
      <c r="Q963" s="16"/>
      <c r="R963" s="33"/>
      <c r="S963" s="34"/>
      <c r="T963" s="34"/>
      <c r="U963" s="34"/>
      <c r="V963" s="34"/>
      <c r="W963" s="34"/>
      <c r="X963" s="33" t="s">
        <v>1971</v>
      </c>
      <c r="Y963" s="35" t="str">
        <f>IF(Tabela2[[#This Row],[SIGLA]]="","",VLOOKUP(Tabela2[[#This Row],[SIGLA]],Tabela1[[#All],[Sigla Arte]:[Crédito]],2,0))</f>
        <v>PETRA MENDES/ARQUIVO DA EDITORA</v>
      </c>
      <c r="Z963" s="31"/>
      <c r="AA963" s="31" t="str">
        <f>Tabela2[[#This Row],[ILUSTRADOR CRIAÇÃO]]</f>
        <v>PETRA MENDES/ARQUIVO DA EDITORA</v>
      </c>
      <c r="AB963" s="33"/>
      <c r="AC963" s="16"/>
      <c r="AE963" s="35" t="str">
        <f t="shared" si="15"/>
        <v>EF1 E002 Mat</v>
      </c>
    </row>
    <row r="964" spans="1:31" ht="45" x14ac:dyDescent="0.25">
      <c r="A964" s="31" t="s">
        <v>2042</v>
      </c>
      <c r="B964" s="16" t="s">
        <v>32</v>
      </c>
      <c r="C964" s="16" t="s">
        <v>164</v>
      </c>
      <c r="D964" s="33" t="s">
        <v>34</v>
      </c>
      <c r="E964" s="33">
        <v>231</v>
      </c>
      <c r="F964" s="33">
        <v>3</v>
      </c>
      <c r="G964" s="33">
        <v>11</v>
      </c>
      <c r="H964" s="33"/>
      <c r="I964" s="31" t="s">
        <v>35</v>
      </c>
      <c r="J964" s="31"/>
      <c r="K964" s="33"/>
      <c r="L964" s="33"/>
      <c r="M964" s="31"/>
      <c r="N964" s="31"/>
      <c r="O964" s="16" t="s">
        <v>2043</v>
      </c>
      <c r="P964" s="16"/>
      <c r="Q964" s="16"/>
      <c r="R964" s="33">
        <v>179</v>
      </c>
      <c r="S964" s="34">
        <v>45927</v>
      </c>
      <c r="T964" s="34">
        <v>45927</v>
      </c>
      <c r="U964" s="34"/>
      <c r="V964" s="34"/>
      <c r="W964" s="34">
        <v>45929</v>
      </c>
      <c r="X964" s="33" t="s">
        <v>1971</v>
      </c>
      <c r="Y964" s="35" t="str">
        <f>IF(Tabela2[[#This Row],[SIGLA]]="","",VLOOKUP(Tabela2[[#This Row],[SIGLA]],Tabela1[[#All],[Sigla Arte]:[Crédito]],2,0))</f>
        <v>PETRA MENDES/ARQUIVO DA EDITORA</v>
      </c>
      <c r="Z964" s="31" t="s">
        <v>368</v>
      </c>
      <c r="AA964" s="31" t="str">
        <f>Tabela2[[#This Row],[ILUSTRADOR CRIAÇÃO]]</f>
        <v>PETRA MENDES/ARQUIVO DA EDITORA</v>
      </c>
      <c r="AB964" s="33">
        <v>13</v>
      </c>
      <c r="AC964" s="16" t="s">
        <v>44</v>
      </c>
      <c r="AE964" s="35" t="str">
        <f t="shared" si="15"/>
        <v>EF1 E002 Mat</v>
      </c>
    </row>
    <row r="965" spans="1:31" ht="30" x14ac:dyDescent="0.25">
      <c r="A965" s="31" t="s">
        <v>2044</v>
      </c>
      <c r="B965" s="16" t="s">
        <v>32</v>
      </c>
      <c r="C965" s="16" t="s">
        <v>164</v>
      </c>
      <c r="D965" s="33" t="s">
        <v>34</v>
      </c>
      <c r="E965" s="33">
        <v>231</v>
      </c>
      <c r="F965" s="33">
        <v>3</v>
      </c>
      <c r="G965" s="33">
        <v>11</v>
      </c>
      <c r="H965" s="33"/>
      <c r="I965" s="31" t="s">
        <v>35</v>
      </c>
      <c r="J965" s="31"/>
      <c r="K965" s="33"/>
      <c r="L965" s="33"/>
      <c r="M965" s="31"/>
      <c r="N965" s="31"/>
      <c r="O965" s="16" t="s">
        <v>2045</v>
      </c>
      <c r="P965" s="16"/>
      <c r="Q965" s="16"/>
      <c r="R965" s="33">
        <v>179</v>
      </c>
      <c r="S965" s="34">
        <v>45927</v>
      </c>
      <c r="T965" s="34">
        <v>45927</v>
      </c>
      <c r="U965" s="34"/>
      <c r="V965" s="34"/>
      <c r="W965" s="34">
        <v>45929</v>
      </c>
      <c r="X965" s="33" t="s">
        <v>1971</v>
      </c>
      <c r="Y965" s="35" t="str">
        <f>IF(Tabela2[[#This Row],[SIGLA]]="","",VLOOKUP(Tabela2[[#This Row],[SIGLA]],Tabela1[[#All],[Sigla Arte]:[Crédito]],2,0))</f>
        <v>PETRA MENDES/ARQUIVO DA EDITORA</v>
      </c>
      <c r="Z965" s="31" t="s">
        <v>368</v>
      </c>
      <c r="AA965" s="31" t="str">
        <f>Tabela2[[#This Row],[ILUSTRADOR CRIAÇÃO]]</f>
        <v>PETRA MENDES/ARQUIVO DA EDITORA</v>
      </c>
      <c r="AB965" s="33">
        <v>13</v>
      </c>
      <c r="AC965" s="16" t="s">
        <v>44</v>
      </c>
      <c r="AE965" s="35" t="str">
        <f t="shared" si="15"/>
        <v>EF1 E002 Mat</v>
      </c>
    </row>
    <row r="966" spans="1:31" ht="120" x14ac:dyDescent="0.25">
      <c r="A966" s="31" t="s">
        <v>2046</v>
      </c>
      <c r="B966" s="16" t="s">
        <v>32</v>
      </c>
      <c r="C966" s="16" t="s">
        <v>164</v>
      </c>
      <c r="D966" s="33" t="s">
        <v>34</v>
      </c>
      <c r="E966" s="33">
        <v>232</v>
      </c>
      <c r="F966" s="33">
        <v>3</v>
      </c>
      <c r="G966" s="33">
        <v>11</v>
      </c>
      <c r="H966" s="33"/>
      <c r="I966" s="31" t="s">
        <v>35</v>
      </c>
      <c r="J966" s="31"/>
      <c r="K966" s="33"/>
      <c r="L966" s="33"/>
      <c r="M966" s="31"/>
      <c r="N966" s="31"/>
      <c r="O966" s="16" t="s">
        <v>2047</v>
      </c>
      <c r="P966" s="16"/>
      <c r="Q966" s="16"/>
      <c r="R966" s="33">
        <v>25</v>
      </c>
      <c r="S966" s="34">
        <v>45758</v>
      </c>
      <c r="T966" s="34"/>
      <c r="U966" s="34"/>
      <c r="V966" s="34"/>
      <c r="W966" s="34">
        <v>45758</v>
      </c>
      <c r="X966" s="33" t="s">
        <v>184</v>
      </c>
      <c r="Y966" s="35" t="str">
        <f>IF(Tabela2[[#This Row],[SIGLA]]="","",VLOOKUP(Tabela2[[#This Row],[SIGLA]],Tabela1[[#All],[Sigla Arte]:[Crédito]],2,0))</f>
        <v>VER DOCUMENTO DE ILS. TÉCNICAS</v>
      </c>
      <c r="Z966" s="31" t="s">
        <v>221</v>
      </c>
      <c r="AA966" s="31" t="str">
        <f>Tabela2[[#This Row],[ILUSTRADOR CRIAÇÃO]]</f>
        <v>VER DOCUMENTO DE ILS. TÉCNICAS</v>
      </c>
      <c r="AB966" s="33">
        <v>13</v>
      </c>
      <c r="AC966" s="16" t="s">
        <v>44</v>
      </c>
      <c r="AD966" s="16" t="s">
        <v>40</v>
      </c>
      <c r="AE966" s="35" t="str">
        <f t="shared" si="15"/>
        <v>EF1 E002 Mat</v>
      </c>
    </row>
    <row r="967" spans="1:31" ht="45" x14ac:dyDescent="0.25">
      <c r="A967" s="31" t="s">
        <v>2048</v>
      </c>
      <c r="B967" s="16" t="s">
        <v>32</v>
      </c>
      <c r="C967" s="16" t="s">
        <v>164</v>
      </c>
      <c r="D967" s="33" t="s">
        <v>34</v>
      </c>
      <c r="E967" s="33">
        <v>232</v>
      </c>
      <c r="F967" s="33">
        <v>3</v>
      </c>
      <c r="G967" s="33">
        <v>11</v>
      </c>
      <c r="H967" s="33"/>
      <c r="I967" s="31" t="s">
        <v>46</v>
      </c>
      <c r="J967" s="31"/>
      <c r="K967" s="33"/>
      <c r="L967" s="33"/>
      <c r="M967" s="31"/>
      <c r="N967" s="31"/>
      <c r="O967" s="16" t="s">
        <v>2049</v>
      </c>
      <c r="P967" s="16"/>
      <c r="Q967" s="16"/>
      <c r="R967" s="33"/>
      <c r="S967" s="34"/>
      <c r="T967" s="34"/>
      <c r="U967" s="34"/>
      <c r="V967" s="34"/>
      <c r="W967" s="34"/>
      <c r="X967" s="33" t="s">
        <v>184</v>
      </c>
      <c r="Y967" s="35" t="str">
        <f>IF(Tabela2[[#This Row],[SIGLA]]="","",VLOOKUP(Tabela2[[#This Row],[SIGLA]],Tabela1[[#All],[Sigla Arte]:[Crédito]],2,0))</f>
        <v>VER DOCUMENTO DE ILS. TÉCNICAS</v>
      </c>
      <c r="Z967" s="31"/>
      <c r="AA967" s="31" t="s">
        <v>2050</v>
      </c>
      <c r="AB967" s="33"/>
      <c r="AC967" s="16"/>
      <c r="AE967" s="35" t="str">
        <f t="shared" si="15"/>
        <v>EF1 E002 Mat</v>
      </c>
    </row>
    <row r="968" spans="1:31" ht="45" x14ac:dyDescent="0.25">
      <c r="A968" s="31" t="s">
        <v>2051</v>
      </c>
      <c r="B968" s="16" t="s">
        <v>32</v>
      </c>
      <c r="C968" s="16" t="s">
        <v>164</v>
      </c>
      <c r="D968" s="33" t="s">
        <v>34</v>
      </c>
      <c r="E968" s="33">
        <v>232</v>
      </c>
      <c r="F968" s="33">
        <v>3</v>
      </c>
      <c r="G968" s="33">
        <v>11</v>
      </c>
      <c r="H968" s="33"/>
      <c r="I968" s="31" t="s">
        <v>46</v>
      </c>
      <c r="J968" s="31"/>
      <c r="K968" s="33"/>
      <c r="L968" s="33"/>
      <c r="M968" s="31"/>
      <c r="N968" s="31"/>
      <c r="O968" s="16" t="s">
        <v>2052</v>
      </c>
      <c r="P968" s="16"/>
      <c r="Q968" s="16"/>
      <c r="R968" s="33"/>
      <c r="S968" s="34"/>
      <c r="T968" s="34"/>
      <c r="U968" s="34"/>
      <c r="V968" s="34"/>
      <c r="W968" s="34"/>
      <c r="X968" s="33" t="s">
        <v>184</v>
      </c>
      <c r="Y968" s="35" t="str">
        <f>IF(Tabela2[[#This Row],[SIGLA]]="","",VLOOKUP(Tabela2[[#This Row],[SIGLA]],Tabela1[[#All],[Sigla Arte]:[Crédito]],2,0))</f>
        <v>VER DOCUMENTO DE ILS. TÉCNICAS</v>
      </c>
      <c r="Z968" s="31"/>
      <c r="AA968" s="31" t="s">
        <v>2050</v>
      </c>
      <c r="AB968" s="33"/>
      <c r="AC968" s="16"/>
      <c r="AE968" s="35" t="str">
        <f t="shared" si="15"/>
        <v>EF1 E002 Mat</v>
      </c>
    </row>
    <row r="969" spans="1:31" ht="45" x14ac:dyDescent="0.25">
      <c r="A969" s="31" t="s">
        <v>2053</v>
      </c>
      <c r="B969" s="16" t="s">
        <v>32</v>
      </c>
      <c r="C969" s="16" t="s">
        <v>164</v>
      </c>
      <c r="D969" s="33" t="s">
        <v>34</v>
      </c>
      <c r="E969" s="33">
        <v>232</v>
      </c>
      <c r="F969" s="33">
        <v>3</v>
      </c>
      <c r="G969" s="33">
        <v>11</v>
      </c>
      <c r="H969" s="33"/>
      <c r="I969" s="31" t="s">
        <v>46</v>
      </c>
      <c r="J969" s="31"/>
      <c r="K969" s="33"/>
      <c r="L969" s="33"/>
      <c r="M969" s="31"/>
      <c r="N969" s="31"/>
      <c r="O969" s="16" t="s">
        <v>2054</v>
      </c>
      <c r="P969" s="16"/>
      <c r="Q969" s="16"/>
      <c r="R969" s="33"/>
      <c r="S969" s="34"/>
      <c r="T969" s="34"/>
      <c r="U969" s="34"/>
      <c r="V969" s="34"/>
      <c r="W969" s="34"/>
      <c r="X969" s="33" t="s">
        <v>184</v>
      </c>
      <c r="Y969" s="35" t="str">
        <f>IF(Tabela2[[#This Row],[SIGLA]]="","",VLOOKUP(Tabela2[[#This Row],[SIGLA]],Tabela1[[#All],[Sigla Arte]:[Crédito]],2,0))</f>
        <v>VER DOCUMENTO DE ILS. TÉCNICAS</v>
      </c>
      <c r="Z969" s="31"/>
      <c r="AA969" s="31" t="s">
        <v>2050</v>
      </c>
      <c r="AB969" s="33"/>
      <c r="AC969" s="16"/>
      <c r="AE969" s="35" t="str">
        <f t="shared" si="15"/>
        <v>EF1 E002 Mat</v>
      </c>
    </row>
    <row r="970" spans="1:31" ht="45" x14ac:dyDescent="0.25">
      <c r="A970" s="31" t="s">
        <v>2055</v>
      </c>
      <c r="B970" s="16" t="s">
        <v>32</v>
      </c>
      <c r="C970" s="16" t="s">
        <v>164</v>
      </c>
      <c r="D970" s="33" t="s">
        <v>34</v>
      </c>
      <c r="E970" s="33">
        <v>232</v>
      </c>
      <c r="F970" s="33">
        <v>3</v>
      </c>
      <c r="G970" s="33">
        <v>11</v>
      </c>
      <c r="H970" s="33"/>
      <c r="I970" s="31" t="s">
        <v>46</v>
      </c>
      <c r="J970" s="31"/>
      <c r="K970" s="33"/>
      <c r="L970" s="33"/>
      <c r="M970" s="31"/>
      <c r="N970" s="31"/>
      <c r="O970" s="16" t="s">
        <v>2056</v>
      </c>
      <c r="P970" s="16"/>
      <c r="Q970" s="16"/>
      <c r="R970" s="33"/>
      <c r="S970" s="34"/>
      <c r="T970" s="34"/>
      <c r="U970" s="34"/>
      <c r="V970" s="34"/>
      <c r="W970" s="34"/>
      <c r="X970" s="33" t="s">
        <v>184</v>
      </c>
      <c r="Y970" s="35" t="str">
        <f>IF(Tabela2[[#This Row],[SIGLA]]="","",VLOOKUP(Tabela2[[#This Row],[SIGLA]],Tabela1[[#All],[Sigla Arte]:[Crédito]],2,0))</f>
        <v>VER DOCUMENTO DE ILS. TÉCNICAS</v>
      </c>
      <c r="Z970" s="31"/>
      <c r="AA970" s="31" t="s">
        <v>2050</v>
      </c>
      <c r="AB970" s="33"/>
      <c r="AC970" s="16"/>
      <c r="AE970" s="35" t="str">
        <f t="shared" si="15"/>
        <v>EF1 E002 Mat</v>
      </c>
    </row>
    <row r="971" spans="1:31" ht="45" x14ac:dyDescent="0.25">
      <c r="A971" s="31" t="s">
        <v>2057</v>
      </c>
      <c r="B971" s="16" t="s">
        <v>32</v>
      </c>
      <c r="C971" s="16" t="s">
        <v>164</v>
      </c>
      <c r="D971" s="33" t="s">
        <v>34</v>
      </c>
      <c r="E971" s="33">
        <v>232</v>
      </c>
      <c r="F971" s="33">
        <v>3</v>
      </c>
      <c r="G971" s="33">
        <v>11</v>
      </c>
      <c r="H971" s="33"/>
      <c r="I971" s="31" t="s">
        <v>46</v>
      </c>
      <c r="J971" s="31"/>
      <c r="K971" s="33"/>
      <c r="L971" s="33"/>
      <c r="M971" s="31"/>
      <c r="N971" s="31"/>
      <c r="O971" s="16" t="s">
        <v>2058</v>
      </c>
      <c r="P971" s="16"/>
      <c r="Q971" s="16"/>
      <c r="R971" s="33"/>
      <c r="S971" s="34"/>
      <c r="T971" s="34"/>
      <c r="U971" s="34"/>
      <c r="V971" s="34"/>
      <c r="W971" s="34"/>
      <c r="X971" s="33" t="s">
        <v>184</v>
      </c>
      <c r="Y971" s="35" t="str">
        <f>IF(Tabela2[[#This Row],[SIGLA]]="","",VLOOKUP(Tabela2[[#This Row],[SIGLA]],Tabela1[[#All],[Sigla Arte]:[Crédito]],2,0))</f>
        <v>VER DOCUMENTO DE ILS. TÉCNICAS</v>
      </c>
      <c r="Z971" s="31"/>
      <c r="AA971" s="31" t="s">
        <v>2050</v>
      </c>
      <c r="AB971" s="33"/>
      <c r="AC971" s="16"/>
      <c r="AE971" s="35" t="str">
        <f t="shared" si="15"/>
        <v>EF1 E002 Mat</v>
      </c>
    </row>
    <row r="972" spans="1:31" ht="45" x14ac:dyDescent="0.25">
      <c r="A972" s="31" t="s">
        <v>2059</v>
      </c>
      <c r="B972" s="16" t="s">
        <v>32</v>
      </c>
      <c r="C972" s="16" t="s">
        <v>164</v>
      </c>
      <c r="D972" s="33" t="s">
        <v>34</v>
      </c>
      <c r="E972" s="33">
        <v>233</v>
      </c>
      <c r="F972" s="33">
        <v>3</v>
      </c>
      <c r="G972" s="33">
        <v>11</v>
      </c>
      <c r="H972" s="33"/>
      <c r="I972" s="31" t="s">
        <v>46</v>
      </c>
      <c r="J972" s="31"/>
      <c r="K972" s="33"/>
      <c r="L972" s="33"/>
      <c r="M972" s="31"/>
      <c r="N972" s="31"/>
      <c r="O972" s="16" t="s">
        <v>2060</v>
      </c>
      <c r="P972" s="16"/>
      <c r="Q972" s="16"/>
      <c r="R972" s="33"/>
      <c r="S972" s="34"/>
      <c r="T972" s="34"/>
      <c r="U972" s="34"/>
      <c r="V972" s="34"/>
      <c r="W972" s="34"/>
      <c r="X972" s="33" t="s">
        <v>1971</v>
      </c>
      <c r="Y972" s="35" t="str">
        <f>IF(Tabela2[[#This Row],[SIGLA]]="","",VLOOKUP(Tabela2[[#This Row],[SIGLA]],Tabela1[[#All],[Sigla Arte]:[Crédito]],2,0))</f>
        <v>PETRA MENDES/ARQUIVO DA EDITORA</v>
      </c>
      <c r="Z972" s="31"/>
      <c r="AA972" s="31" t="str">
        <f>Tabela2[[#This Row],[ILUSTRADOR CRIAÇÃO]]</f>
        <v>PETRA MENDES/ARQUIVO DA EDITORA</v>
      </c>
      <c r="AB972" s="33"/>
      <c r="AC972" s="16"/>
      <c r="AE972" s="35" t="str">
        <f t="shared" si="15"/>
        <v>EF1 E002 Mat</v>
      </c>
    </row>
    <row r="973" spans="1:31" ht="30" x14ac:dyDescent="0.25">
      <c r="A973" s="31" t="s">
        <v>2061</v>
      </c>
      <c r="B973" s="16" t="s">
        <v>32</v>
      </c>
      <c r="C973" s="16" t="s">
        <v>164</v>
      </c>
      <c r="D973" s="33" t="s">
        <v>34</v>
      </c>
      <c r="E973" s="33">
        <v>233</v>
      </c>
      <c r="F973" s="33">
        <v>3</v>
      </c>
      <c r="G973" s="33">
        <v>11</v>
      </c>
      <c r="H973" s="33"/>
      <c r="I973" s="31" t="s">
        <v>46</v>
      </c>
      <c r="J973" s="31"/>
      <c r="K973" s="33"/>
      <c r="L973" s="33"/>
      <c r="M973" s="31"/>
      <c r="N973" s="31"/>
      <c r="O973" s="16" t="s">
        <v>2062</v>
      </c>
      <c r="P973" s="16"/>
      <c r="Q973" s="16"/>
      <c r="R973" s="33"/>
      <c r="S973" s="34"/>
      <c r="T973" s="34"/>
      <c r="U973" s="34"/>
      <c r="V973" s="34"/>
      <c r="W973" s="34"/>
      <c r="X973" s="33" t="s">
        <v>1971</v>
      </c>
      <c r="Y973" s="35" t="str">
        <f>IF(Tabela2[[#This Row],[SIGLA]]="","",VLOOKUP(Tabela2[[#This Row],[SIGLA]],Tabela1[[#All],[Sigla Arte]:[Crédito]],2,0))</f>
        <v>PETRA MENDES/ARQUIVO DA EDITORA</v>
      </c>
      <c r="Z973" s="31"/>
      <c r="AA973" s="31" t="str">
        <f>Tabela2[[#This Row],[ILUSTRADOR CRIAÇÃO]]</f>
        <v>PETRA MENDES/ARQUIVO DA EDITORA</v>
      </c>
      <c r="AB973" s="33"/>
      <c r="AC973" s="16"/>
      <c r="AE973" s="35" t="str">
        <f t="shared" si="15"/>
        <v>EF1 E002 Mat</v>
      </c>
    </row>
    <row r="974" spans="1:31" ht="45" x14ac:dyDescent="0.25">
      <c r="A974" s="31" t="s">
        <v>2063</v>
      </c>
      <c r="B974" s="16" t="s">
        <v>32</v>
      </c>
      <c r="C974" s="16" t="s">
        <v>164</v>
      </c>
      <c r="D974" s="33" t="s">
        <v>34</v>
      </c>
      <c r="E974" s="33">
        <v>233</v>
      </c>
      <c r="F974" s="33">
        <v>3</v>
      </c>
      <c r="G974" s="33">
        <v>11</v>
      </c>
      <c r="H974" s="33"/>
      <c r="I974" s="31" t="s">
        <v>46</v>
      </c>
      <c r="J974" s="31"/>
      <c r="K974" s="33"/>
      <c r="L974" s="33"/>
      <c r="M974" s="31"/>
      <c r="N974" s="31"/>
      <c r="O974" s="16" t="s">
        <v>2064</v>
      </c>
      <c r="P974" s="16"/>
      <c r="Q974" s="16"/>
      <c r="R974" s="33"/>
      <c r="S974" s="34"/>
      <c r="T974" s="34"/>
      <c r="U974" s="34"/>
      <c r="V974" s="34"/>
      <c r="W974" s="34"/>
      <c r="X974" s="33" t="s">
        <v>1971</v>
      </c>
      <c r="Y974" s="35" t="str">
        <f>IF(Tabela2[[#This Row],[SIGLA]]="","",VLOOKUP(Tabela2[[#This Row],[SIGLA]],Tabela1[[#All],[Sigla Arte]:[Crédito]],2,0))</f>
        <v>PETRA MENDES/ARQUIVO DA EDITORA</v>
      </c>
      <c r="Z974" s="31"/>
      <c r="AA974" s="31" t="str">
        <f>Tabela2[[#This Row],[ILUSTRADOR CRIAÇÃO]]</f>
        <v>PETRA MENDES/ARQUIVO DA EDITORA</v>
      </c>
      <c r="AB974" s="33"/>
      <c r="AC974" s="16"/>
      <c r="AE974" s="35" t="str">
        <f t="shared" si="15"/>
        <v>EF1 E002 Mat</v>
      </c>
    </row>
    <row r="975" spans="1:31" ht="30" x14ac:dyDescent="0.25">
      <c r="A975" s="31" t="s">
        <v>2065</v>
      </c>
      <c r="B975" s="16" t="s">
        <v>32</v>
      </c>
      <c r="C975" s="16" t="s">
        <v>164</v>
      </c>
      <c r="D975" s="33" t="s">
        <v>34</v>
      </c>
      <c r="E975" s="33">
        <v>233</v>
      </c>
      <c r="F975" s="33">
        <v>3</v>
      </c>
      <c r="G975" s="33">
        <v>11</v>
      </c>
      <c r="H975" s="33"/>
      <c r="I975" s="31" t="s">
        <v>46</v>
      </c>
      <c r="J975" s="31"/>
      <c r="K975" s="33"/>
      <c r="L975" s="33"/>
      <c r="M975" s="31"/>
      <c r="N975" s="31"/>
      <c r="O975" s="16" t="s">
        <v>2066</v>
      </c>
      <c r="P975" s="16"/>
      <c r="Q975" s="16"/>
      <c r="R975" s="33"/>
      <c r="S975" s="34"/>
      <c r="T975" s="34"/>
      <c r="U975" s="34"/>
      <c r="V975" s="34"/>
      <c r="W975" s="34"/>
      <c r="X975" s="33" t="s">
        <v>85</v>
      </c>
      <c r="Y975" s="35" t="str">
        <f>IF(Tabela2[[#This Row],[SIGLA]]="","",VLOOKUP(Tabela2[[#This Row],[SIGLA]],Tabela1[[#All],[Sigla Arte]:[Crédito]],2,0))</f>
        <v>HELOÍSA PINTARELLI/ARQUIVO DA EDITORA</v>
      </c>
      <c r="Z975" s="31"/>
      <c r="AA975" s="31" t="str">
        <f>Tabela2[[#This Row],[ILUSTRADOR CRIAÇÃO]]</f>
        <v>HELOÍSA PINTARELLI/ARQUIVO DA EDITORA</v>
      </c>
      <c r="AB975" s="33"/>
      <c r="AC975" s="16"/>
      <c r="AE975" s="35" t="str">
        <f t="shared" si="15"/>
        <v>EF1 E002 Mat</v>
      </c>
    </row>
    <row r="976" spans="1:31" ht="30" x14ac:dyDescent="0.25">
      <c r="A976" s="31" t="s">
        <v>2067</v>
      </c>
      <c r="B976" s="16" t="s">
        <v>32</v>
      </c>
      <c r="C976" s="16" t="s">
        <v>164</v>
      </c>
      <c r="D976" s="33" t="s">
        <v>34</v>
      </c>
      <c r="E976" s="33">
        <v>233</v>
      </c>
      <c r="F976" s="33">
        <v>3</v>
      </c>
      <c r="G976" s="33">
        <v>11</v>
      </c>
      <c r="H976" s="33"/>
      <c r="I976" s="31" t="s">
        <v>46</v>
      </c>
      <c r="J976" s="31"/>
      <c r="K976" s="33"/>
      <c r="L976" s="33"/>
      <c r="M976" s="31"/>
      <c r="N976" s="31"/>
      <c r="O976" s="16" t="s">
        <v>2068</v>
      </c>
      <c r="P976" s="16"/>
      <c r="Q976" s="16"/>
      <c r="R976" s="33"/>
      <c r="S976" s="34"/>
      <c r="T976" s="34"/>
      <c r="U976" s="34"/>
      <c r="V976" s="34"/>
      <c r="W976" s="34"/>
      <c r="X976" s="33" t="s">
        <v>85</v>
      </c>
      <c r="Y976" s="35" t="str">
        <f>IF(Tabela2[[#This Row],[SIGLA]]="","",VLOOKUP(Tabela2[[#This Row],[SIGLA]],Tabela1[[#All],[Sigla Arte]:[Crédito]],2,0))</f>
        <v>HELOÍSA PINTARELLI/ARQUIVO DA EDITORA</v>
      </c>
      <c r="Z976" s="31"/>
      <c r="AA976" s="31" t="str">
        <f>Tabela2[[#This Row],[ILUSTRADOR CRIAÇÃO]]</f>
        <v>HELOÍSA PINTARELLI/ARQUIVO DA EDITORA</v>
      </c>
      <c r="AB976" s="33"/>
      <c r="AC976" s="16"/>
      <c r="AE976" s="35" t="str">
        <f t="shared" si="15"/>
        <v>EF1 E002 Mat</v>
      </c>
    </row>
    <row r="977" spans="1:31" ht="30" x14ac:dyDescent="0.25">
      <c r="A977" s="31" t="s">
        <v>2069</v>
      </c>
      <c r="B977" s="16" t="s">
        <v>32</v>
      </c>
      <c r="C977" s="16" t="s">
        <v>164</v>
      </c>
      <c r="D977" s="33" t="s">
        <v>34</v>
      </c>
      <c r="E977" s="33">
        <v>233</v>
      </c>
      <c r="F977" s="33">
        <v>3</v>
      </c>
      <c r="G977" s="33">
        <v>11</v>
      </c>
      <c r="H977" s="33"/>
      <c r="I977" s="31" t="s">
        <v>46</v>
      </c>
      <c r="J977" s="31"/>
      <c r="K977" s="33"/>
      <c r="L977" s="33"/>
      <c r="M977" s="31"/>
      <c r="N977" s="31"/>
      <c r="O977" s="16" t="s">
        <v>2070</v>
      </c>
      <c r="P977" s="16"/>
      <c r="Q977" s="16"/>
      <c r="R977" s="33"/>
      <c r="S977" s="34"/>
      <c r="T977" s="34"/>
      <c r="U977" s="34"/>
      <c r="V977" s="34"/>
      <c r="W977" s="34"/>
      <c r="X977" s="33" t="s">
        <v>85</v>
      </c>
      <c r="Y977" s="35" t="str">
        <f>IF(Tabela2[[#This Row],[SIGLA]]="","",VLOOKUP(Tabela2[[#This Row],[SIGLA]],Tabela1[[#All],[Sigla Arte]:[Crédito]],2,0))</f>
        <v>HELOÍSA PINTARELLI/ARQUIVO DA EDITORA</v>
      </c>
      <c r="Z977" s="31"/>
      <c r="AA977" s="31" t="str">
        <f>Tabela2[[#This Row],[ILUSTRADOR CRIAÇÃO]]</f>
        <v>HELOÍSA PINTARELLI/ARQUIVO DA EDITORA</v>
      </c>
      <c r="AB977" s="33"/>
      <c r="AC977" s="16"/>
      <c r="AE977" s="35" t="str">
        <f t="shared" si="15"/>
        <v>EF1 E002 Mat</v>
      </c>
    </row>
    <row r="978" spans="1:31" ht="30" x14ac:dyDescent="0.25">
      <c r="A978" s="31" t="s">
        <v>2071</v>
      </c>
      <c r="B978" s="16" t="s">
        <v>32</v>
      </c>
      <c r="C978" s="16" t="s">
        <v>164</v>
      </c>
      <c r="D978" s="33" t="s">
        <v>34</v>
      </c>
      <c r="E978" s="33">
        <v>233</v>
      </c>
      <c r="F978" s="33">
        <v>3</v>
      </c>
      <c r="G978" s="33">
        <v>11</v>
      </c>
      <c r="H978" s="33"/>
      <c r="I978" s="31" t="s">
        <v>46</v>
      </c>
      <c r="J978" s="31"/>
      <c r="K978" s="33"/>
      <c r="L978" s="33"/>
      <c r="M978" s="31"/>
      <c r="N978" s="31"/>
      <c r="O978" s="16" t="s">
        <v>2072</v>
      </c>
      <c r="P978" s="16"/>
      <c r="Q978" s="16"/>
      <c r="R978" s="33"/>
      <c r="S978" s="34"/>
      <c r="T978" s="34"/>
      <c r="U978" s="34"/>
      <c r="V978" s="34"/>
      <c r="W978" s="34"/>
      <c r="X978" s="33" t="s">
        <v>85</v>
      </c>
      <c r="Y978" s="35" t="str">
        <f>IF(Tabela2[[#This Row],[SIGLA]]="","",VLOOKUP(Tabela2[[#This Row],[SIGLA]],Tabela1[[#All],[Sigla Arte]:[Crédito]],2,0))</f>
        <v>HELOÍSA PINTARELLI/ARQUIVO DA EDITORA</v>
      </c>
      <c r="Z978" s="31"/>
      <c r="AA978" s="31" t="str">
        <f>Tabela2[[#This Row],[ILUSTRADOR CRIAÇÃO]]</f>
        <v>HELOÍSA PINTARELLI/ARQUIVO DA EDITORA</v>
      </c>
      <c r="AB978" s="33"/>
      <c r="AC978" s="16"/>
      <c r="AE978" s="35" t="str">
        <f t="shared" si="15"/>
        <v>EF1 E002 Mat</v>
      </c>
    </row>
    <row r="979" spans="1:31" ht="30" x14ac:dyDescent="0.25">
      <c r="A979" s="31" t="s">
        <v>2073</v>
      </c>
      <c r="B979" s="16" t="s">
        <v>32</v>
      </c>
      <c r="C979" s="16" t="s">
        <v>164</v>
      </c>
      <c r="D979" s="33" t="s">
        <v>34</v>
      </c>
      <c r="E979" s="33">
        <v>233</v>
      </c>
      <c r="F979" s="33">
        <v>3</v>
      </c>
      <c r="G979" s="33">
        <v>11</v>
      </c>
      <c r="H979" s="33"/>
      <c r="I979" s="31" t="s">
        <v>46</v>
      </c>
      <c r="J979" s="31"/>
      <c r="K979" s="33"/>
      <c r="L979" s="33"/>
      <c r="M979" s="31"/>
      <c r="N979" s="31"/>
      <c r="O979" s="16" t="s">
        <v>2074</v>
      </c>
      <c r="P979" s="16"/>
      <c r="Q979" s="16"/>
      <c r="R979" s="33"/>
      <c r="S979" s="34"/>
      <c r="T979" s="34"/>
      <c r="U979" s="34"/>
      <c r="V979" s="34"/>
      <c r="W979" s="34"/>
      <c r="X979" s="33" t="s">
        <v>85</v>
      </c>
      <c r="Y979" s="35" t="str">
        <f>IF(Tabela2[[#This Row],[SIGLA]]="","",VLOOKUP(Tabela2[[#This Row],[SIGLA]],Tabela1[[#All],[Sigla Arte]:[Crédito]],2,0))</f>
        <v>HELOÍSA PINTARELLI/ARQUIVO DA EDITORA</v>
      </c>
      <c r="Z979" s="31"/>
      <c r="AA979" s="31" t="str">
        <f>Tabela2[[#This Row],[ILUSTRADOR CRIAÇÃO]]</f>
        <v>HELOÍSA PINTARELLI/ARQUIVO DA EDITORA</v>
      </c>
      <c r="AB979" s="33"/>
      <c r="AC979" s="16"/>
      <c r="AE979" s="35" t="str">
        <f t="shared" si="15"/>
        <v>EF1 E002 Mat</v>
      </c>
    </row>
    <row r="980" spans="1:31" ht="60" x14ac:dyDescent="0.25">
      <c r="A980" s="31" t="s">
        <v>2075</v>
      </c>
      <c r="B980" s="16" t="s">
        <v>32</v>
      </c>
      <c r="C980" s="16" t="s">
        <v>164</v>
      </c>
      <c r="D980" s="33" t="s">
        <v>34</v>
      </c>
      <c r="E980" s="33">
        <v>233</v>
      </c>
      <c r="F980" s="33">
        <v>3</v>
      </c>
      <c r="G980" s="33">
        <v>11</v>
      </c>
      <c r="H980" s="33"/>
      <c r="I980" s="31" t="s">
        <v>46</v>
      </c>
      <c r="J980" s="31"/>
      <c r="K980" s="33"/>
      <c r="L980" s="33"/>
      <c r="M980" s="31"/>
      <c r="N980" s="31"/>
      <c r="O980" s="16" t="s">
        <v>2076</v>
      </c>
      <c r="P980" s="16"/>
      <c r="Q980" s="16"/>
      <c r="R980" s="33"/>
      <c r="S980" s="34"/>
      <c r="T980" s="34"/>
      <c r="U980" s="34"/>
      <c r="V980" s="34"/>
      <c r="W980" s="34"/>
      <c r="X980" s="33" t="s">
        <v>1971</v>
      </c>
      <c r="Y980" s="35" t="str">
        <f>IF(Tabela2[[#This Row],[SIGLA]]="","",VLOOKUP(Tabela2[[#This Row],[SIGLA]],Tabela1[[#All],[Sigla Arte]:[Crédito]],2,0))</f>
        <v>PETRA MENDES/ARQUIVO DA EDITORA</v>
      </c>
      <c r="Z980" s="31"/>
      <c r="AA980" s="31" t="str">
        <f>Tabela2[[#This Row],[ILUSTRADOR CRIAÇÃO]]</f>
        <v>PETRA MENDES/ARQUIVO DA EDITORA</v>
      </c>
      <c r="AB980" s="33"/>
      <c r="AC980" s="16"/>
      <c r="AE980" s="35" t="str">
        <f t="shared" si="15"/>
        <v>EF1 E002 Mat</v>
      </c>
    </row>
    <row r="981" spans="1:31" ht="30" x14ac:dyDescent="0.25">
      <c r="A981" s="31" t="s">
        <v>2077</v>
      </c>
      <c r="B981" s="16" t="s">
        <v>32</v>
      </c>
      <c r="C981" s="16" t="s">
        <v>164</v>
      </c>
      <c r="D981" s="33" t="s">
        <v>34</v>
      </c>
      <c r="E981" s="33">
        <v>233</v>
      </c>
      <c r="F981" s="33">
        <v>3</v>
      </c>
      <c r="G981" s="33">
        <v>11</v>
      </c>
      <c r="H981" s="33"/>
      <c r="I981" s="31" t="s">
        <v>46</v>
      </c>
      <c r="J981" s="31"/>
      <c r="K981" s="33"/>
      <c r="L981" s="33"/>
      <c r="M981" s="31"/>
      <c r="N981" s="31"/>
      <c r="O981" s="16" t="s">
        <v>2078</v>
      </c>
      <c r="P981" s="16"/>
      <c r="Q981" s="16"/>
      <c r="R981" s="33"/>
      <c r="S981" s="34"/>
      <c r="T981" s="34"/>
      <c r="U981" s="34"/>
      <c r="V981" s="34"/>
      <c r="W981" s="34"/>
      <c r="X981" s="33" t="s">
        <v>1971</v>
      </c>
      <c r="Y981" s="35" t="str">
        <f>IF(Tabela2[[#This Row],[SIGLA]]="","",VLOOKUP(Tabela2[[#This Row],[SIGLA]],Tabela1[[#All],[Sigla Arte]:[Crédito]],2,0))</f>
        <v>PETRA MENDES/ARQUIVO DA EDITORA</v>
      </c>
      <c r="Z981" s="31"/>
      <c r="AA981" s="31" t="str">
        <f>Tabela2[[#This Row],[ILUSTRADOR CRIAÇÃO]]</f>
        <v>PETRA MENDES/ARQUIVO DA EDITORA</v>
      </c>
      <c r="AB981" s="33"/>
      <c r="AC981" s="16"/>
      <c r="AE981" s="35" t="str">
        <f t="shared" si="15"/>
        <v>EF1 E002 Mat</v>
      </c>
    </row>
    <row r="982" spans="1:31" ht="30" x14ac:dyDescent="0.25">
      <c r="A982" s="31" t="s">
        <v>2079</v>
      </c>
      <c r="B982" s="16" t="s">
        <v>32</v>
      </c>
      <c r="C982" s="16" t="s">
        <v>164</v>
      </c>
      <c r="D982" s="33" t="s">
        <v>34</v>
      </c>
      <c r="E982" s="33">
        <v>233</v>
      </c>
      <c r="F982" s="33">
        <v>3</v>
      </c>
      <c r="G982" s="33">
        <v>11</v>
      </c>
      <c r="H982" s="33"/>
      <c r="I982" s="31" t="s">
        <v>46</v>
      </c>
      <c r="J982" s="31"/>
      <c r="K982" s="33"/>
      <c r="L982" s="33"/>
      <c r="M982" s="31"/>
      <c r="N982" s="31"/>
      <c r="O982" s="16" t="s">
        <v>2080</v>
      </c>
      <c r="P982" s="16"/>
      <c r="Q982" s="16"/>
      <c r="R982" s="33"/>
      <c r="S982" s="34"/>
      <c r="T982" s="34"/>
      <c r="U982" s="34"/>
      <c r="V982" s="34"/>
      <c r="W982" s="34"/>
      <c r="X982" s="33" t="s">
        <v>1971</v>
      </c>
      <c r="Y982" s="35" t="str">
        <f>IF(Tabela2[[#This Row],[SIGLA]]="","",VLOOKUP(Tabela2[[#This Row],[SIGLA]],Tabela1[[#All],[Sigla Arte]:[Crédito]],2,0))</f>
        <v>PETRA MENDES/ARQUIVO DA EDITORA</v>
      </c>
      <c r="Z982" s="31"/>
      <c r="AA982" s="31" t="str">
        <f>Tabela2[[#This Row],[ILUSTRADOR CRIAÇÃO]]</f>
        <v>PETRA MENDES/ARQUIVO DA EDITORA</v>
      </c>
      <c r="AB982" s="33"/>
      <c r="AC982" s="16"/>
      <c r="AE982" s="35" t="str">
        <f t="shared" si="15"/>
        <v>EF1 E002 Mat</v>
      </c>
    </row>
    <row r="983" spans="1:31" ht="45" x14ac:dyDescent="0.25">
      <c r="A983" s="31" t="s">
        <v>2081</v>
      </c>
      <c r="B983" s="16" t="s">
        <v>32</v>
      </c>
      <c r="C983" s="16" t="s">
        <v>164</v>
      </c>
      <c r="D983" s="33" t="s">
        <v>34</v>
      </c>
      <c r="E983" s="33">
        <v>233</v>
      </c>
      <c r="F983" s="33">
        <v>3</v>
      </c>
      <c r="G983" s="33">
        <v>11</v>
      </c>
      <c r="H983" s="33"/>
      <c r="I983" s="31" t="s">
        <v>46</v>
      </c>
      <c r="J983" s="31"/>
      <c r="K983" s="33"/>
      <c r="L983" s="33"/>
      <c r="M983" s="31"/>
      <c r="N983" s="31"/>
      <c r="O983" s="16" t="s">
        <v>2082</v>
      </c>
      <c r="P983" s="16"/>
      <c r="Q983" s="16"/>
      <c r="R983" s="33"/>
      <c r="S983" s="34"/>
      <c r="T983" s="34"/>
      <c r="U983" s="34"/>
      <c r="V983" s="34"/>
      <c r="W983" s="34"/>
      <c r="X983" s="33" t="s">
        <v>1971</v>
      </c>
      <c r="Y983" s="35" t="str">
        <f>IF(Tabela2[[#This Row],[SIGLA]]="","",VLOOKUP(Tabela2[[#This Row],[SIGLA]],Tabela1[[#All],[Sigla Arte]:[Crédito]],2,0))</f>
        <v>PETRA MENDES/ARQUIVO DA EDITORA</v>
      </c>
      <c r="Z983" s="31"/>
      <c r="AA983" s="31" t="str">
        <f>Tabela2[[#This Row],[ILUSTRADOR CRIAÇÃO]]</f>
        <v>PETRA MENDES/ARQUIVO DA EDITORA</v>
      </c>
      <c r="AB983" s="33"/>
      <c r="AC983" s="16"/>
      <c r="AE983" s="35" t="str">
        <f t="shared" si="15"/>
        <v>EF1 E002 Mat</v>
      </c>
    </row>
    <row r="984" spans="1:31" ht="45" x14ac:dyDescent="0.25">
      <c r="A984" s="31" t="s">
        <v>2083</v>
      </c>
      <c r="B984" s="16" t="s">
        <v>32</v>
      </c>
      <c r="C984" s="16" t="s">
        <v>164</v>
      </c>
      <c r="D984" s="33" t="s">
        <v>34</v>
      </c>
      <c r="E984" s="33">
        <v>233</v>
      </c>
      <c r="F984" s="33">
        <v>3</v>
      </c>
      <c r="G984" s="33">
        <v>11</v>
      </c>
      <c r="H984" s="33"/>
      <c r="I984" s="31" t="s">
        <v>46</v>
      </c>
      <c r="J984" s="31"/>
      <c r="K984" s="33"/>
      <c r="L984" s="33"/>
      <c r="M984" s="31"/>
      <c r="N984" s="31"/>
      <c r="O984" s="16" t="s">
        <v>2084</v>
      </c>
      <c r="P984" s="16"/>
      <c r="Q984" s="16"/>
      <c r="R984" s="33"/>
      <c r="S984" s="34"/>
      <c r="T984" s="34"/>
      <c r="U984" s="34"/>
      <c r="V984" s="34"/>
      <c r="W984" s="34"/>
      <c r="X984" s="33" t="s">
        <v>1971</v>
      </c>
      <c r="Y984" s="35" t="str">
        <f>IF(Tabela2[[#This Row],[SIGLA]]="","",VLOOKUP(Tabela2[[#This Row],[SIGLA]],Tabela1[[#All],[Sigla Arte]:[Crédito]],2,0))</f>
        <v>PETRA MENDES/ARQUIVO DA EDITORA</v>
      </c>
      <c r="Z984" s="31"/>
      <c r="AA984" s="31" t="str">
        <f>Tabela2[[#This Row],[ILUSTRADOR CRIAÇÃO]]</f>
        <v>PETRA MENDES/ARQUIVO DA EDITORA</v>
      </c>
      <c r="AB984" s="33"/>
      <c r="AC984" s="16"/>
      <c r="AE984" s="35" t="str">
        <f t="shared" si="15"/>
        <v>EF1 E002 Mat</v>
      </c>
    </row>
    <row r="985" spans="1:31" ht="45" x14ac:dyDescent="0.25">
      <c r="A985" s="31" t="s">
        <v>2085</v>
      </c>
      <c r="B985" s="16" t="s">
        <v>32</v>
      </c>
      <c r="C985" s="16" t="s">
        <v>164</v>
      </c>
      <c r="D985" s="33" t="s">
        <v>34</v>
      </c>
      <c r="E985" s="33">
        <v>233</v>
      </c>
      <c r="F985" s="33">
        <v>3</v>
      </c>
      <c r="G985" s="33">
        <v>11</v>
      </c>
      <c r="H985" s="33"/>
      <c r="I985" s="31" t="s">
        <v>46</v>
      </c>
      <c r="J985" s="31"/>
      <c r="K985" s="33"/>
      <c r="L985" s="33"/>
      <c r="M985" s="31"/>
      <c r="N985" s="31"/>
      <c r="O985" s="16" t="s">
        <v>2086</v>
      </c>
      <c r="P985" s="16"/>
      <c r="Q985" s="16"/>
      <c r="R985" s="33"/>
      <c r="S985" s="34"/>
      <c r="T985" s="34"/>
      <c r="U985" s="34"/>
      <c r="V985" s="34"/>
      <c r="W985" s="34"/>
      <c r="X985" s="33" t="s">
        <v>1971</v>
      </c>
      <c r="Y985" s="35" t="str">
        <f>IF(Tabela2[[#This Row],[SIGLA]]="","",VLOOKUP(Tabela2[[#This Row],[SIGLA]],Tabela1[[#All],[Sigla Arte]:[Crédito]],2,0))</f>
        <v>PETRA MENDES/ARQUIVO DA EDITORA</v>
      </c>
      <c r="Z985" s="31"/>
      <c r="AA985" s="31" t="str">
        <f>Tabela2[[#This Row],[ILUSTRADOR CRIAÇÃO]]</f>
        <v>PETRA MENDES/ARQUIVO DA EDITORA</v>
      </c>
      <c r="AB985" s="33"/>
      <c r="AC985" s="16"/>
      <c r="AE985" s="35" t="str">
        <f t="shared" si="15"/>
        <v>EF1 E002 Mat</v>
      </c>
    </row>
    <row r="986" spans="1:31" ht="45" x14ac:dyDescent="0.25">
      <c r="A986" s="31" t="s">
        <v>2087</v>
      </c>
      <c r="B986" s="16" t="s">
        <v>32</v>
      </c>
      <c r="C986" s="16" t="s">
        <v>164</v>
      </c>
      <c r="D986" s="33" t="s">
        <v>34</v>
      </c>
      <c r="E986" s="33">
        <v>233</v>
      </c>
      <c r="F986" s="33">
        <v>3</v>
      </c>
      <c r="G986" s="33">
        <v>11</v>
      </c>
      <c r="H986" s="33"/>
      <c r="I986" s="31" t="s">
        <v>46</v>
      </c>
      <c r="J986" s="31"/>
      <c r="K986" s="33"/>
      <c r="L986" s="33"/>
      <c r="M986" s="31"/>
      <c r="N986" s="31"/>
      <c r="O986" s="16" t="s">
        <v>2088</v>
      </c>
      <c r="P986" s="16"/>
      <c r="Q986" s="16"/>
      <c r="R986" s="33"/>
      <c r="S986" s="34"/>
      <c r="T986" s="34"/>
      <c r="U986" s="34"/>
      <c r="V986" s="34"/>
      <c r="W986" s="34"/>
      <c r="X986" s="33" t="s">
        <v>1971</v>
      </c>
      <c r="Y986" s="35" t="str">
        <f>IF(Tabela2[[#This Row],[SIGLA]]="","",VLOOKUP(Tabela2[[#This Row],[SIGLA]],Tabela1[[#All],[Sigla Arte]:[Crédito]],2,0))</f>
        <v>PETRA MENDES/ARQUIVO DA EDITORA</v>
      </c>
      <c r="Z986" s="31"/>
      <c r="AA986" s="31" t="str">
        <f>Tabela2[[#This Row],[ILUSTRADOR CRIAÇÃO]]</f>
        <v>PETRA MENDES/ARQUIVO DA EDITORA</v>
      </c>
      <c r="AB986" s="33"/>
      <c r="AC986" s="16"/>
      <c r="AE986" s="35" t="str">
        <f t="shared" si="15"/>
        <v>EF1 E002 Mat</v>
      </c>
    </row>
    <row r="987" spans="1:31" ht="45" x14ac:dyDescent="0.25">
      <c r="A987" s="31" t="s">
        <v>2089</v>
      </c>
      <c r="B987" s="16" t="s">
        <v>32</v>
      </c>
      <c r="C987" s="16" t="s">
        <v>164</v>
      </c>
      <c r="D987" s="33" t="s">
        <v>34</v>
      </c>
      <c r="E987" s="33">
        <v>234</v>
      </c>
      <c r="F987" s="33">
        <v>3</v>
      </c>
      <c r="G987" s="33">
        <v>11</v>
      </c>
      <c r="H987" s="33"/>
      <c r="I987" s="31" t="s">
        <v>46</v>
      </c>
      <c r="J987" s="31"/>
      <c r="K987" s="33"/>
      <c r="L987" s="33"/>
      <c r="M987" s="31"/>
      <c r="N987" s="31"/>
      <c r="O987" s="16" t="s">
        <v>2090</v>
      </c>
      <c r="P987" s="16"/>
      <c r="Q987" s="16"/>
      <c r="R987" s="33"/>
      <c r="S987" s="34"/>
      <c r="T987" s="34"/>
      <c r="U987" s="34"/>
      <c r="V987" s="34"/>
      <c r="W987" s="34"/>
      <c r="X987" s="33" t="s">
        <v>1126</v>
      </c>
      <c r="Y987" s="35" t="str">
        <f>IF(Tabela2[[#This Row],[SIGLA]]="","",VLOOKUP(Tabela2[[#This Row],[SIGLA]],Tabela1[[#All],[Sigla Arte]:[Crédito]],2,0))</f>
        <v>GUSTAVO CONTI/ARQUIVO DA EDITORA</v>
      </c>
      <c r="Z987" s="31"/>
      <c r="AA987" s="31" t="str">
        <f>Tabela2[[#This Row],[ILUSTRADOR CRIAÇÃO]]</f>
        <v>GUSTAVO CONTI/ARQUIVO DA EDITORA</v>
      </c>
      <c r="AB987" s="33"/>
      <c r="AC987" s="16"/>
      <c r="AE987" s="35" t="str">
        <f t="shared" si="15"/>
        <v>EF1 E002 Mat</v>
      </c>
    </row>
    <row r="988" spans="1:31" ht="60" x14ac:dyDescent="0.25">
      <c r="A988" s="31" t="s">
        <v>2091</v>
      </c>
      <c r="B988" s="16" t="s">
        <v>32</v>
      </c>
      <c r="C988" s="16" t="s">
        <v>164</v>
      </c>
      <c r="D988" s="33" t="s">
        <v>34</v>
      </c>
      <c r="E988" s="33">
        <v>234</v>
      </c>
      <c r="F988" s="33">
        <v>3</v>
      </c>
      <c r="G988" s="33">
        <v>11</v>
      </c>
      <c r="H988" s="33"/>
      <c r="I988" s="31" t="s">
        <v>35</v>
      </c>
      <c r="J988" s="31"/>
      <c r="K988" s="33"/>
      <c r="L988" s="33"/>
      <c r="M988" s="31"/>
      <c r="N988" s="31"/>
      <c r="O988" s="16" t="s">
        <v>2092</v>
      </c>
      <c r="P988" s="16"/>
      <c r="Q988" s="16"/>
      <c r="R988" s="33">
        <v>19</v>
      </c>
      <c r="S988" s="34">
        <v>45750</v>
      </c>
      <c r="T988" s="34">
        <v>45751</v>
      </c>
      <c r="U988" s="34"/>
      <c r="V988" s="34"/>
      <c r="W988" s="34">
        <v>45751</v>
      </c>
      <c r="X988" s="33" t="s">
        <v>1126</v>
      </c>
      <c r="Y988" s="35" t="str">
        <f>IF(Tabela2[[#This Row],[SIGLA]]="","",VLOOKUP(Tabela2[[#This Row],[SIGLA]],Tabela1[[#All],[Sigla Arte]:[Crédito]],2,0))</f>
        <v>GUSTAVO CONTI/ARQUIVO DA EDITORA</v>
      </c>
      <c r="Z988" s="31" t="s">
        <v>221</v>
      </c>
      <c r="AA988" s="31" t="str">
        <f>Tabela2[[#This Row],[ILUSTRADOR CRIAÇÃO]]</f>
        <v>GUSTAVO CONTI/ARQUIVO DA EDITORA</v>
      </c>
      <c r="AB988" s="33">
        <v>13</v>
      </c>
      <c r="AC988" s="16" t="s">
        <v>44</v>
      </c>
      <c r="AD988" s="16" t="s">
        <v>40</v>
      </c>
      <c r="AE988" s="35" t="str">
        <f t="shared" si="15"/>
        <v>EF1 E002 Mat</v>
      </c>
    </row>
    <row r="989" spans="1:31" ht="225" x14ac:dyDescent="0.25">
      <c r="A989" s="31" t="s">
        <v>2093</v>
      </c>
      <c r="B989" s="16" t="s">
        <v>32</v>
      </c>
      <c r="C989" s="16" t="s">
        <v>164</v>
      </c>
      <c r="D989" s="33" t="s">
        <v>34</v>
      </c>
      <c r="E989" s="33">
        <v>235</v>
      </c>
      <c r="F989" s="33">
        <v>3</v>
      </c>
      <c r="G989" s="33">
        <v>11</v>
      </c>
      <c r="H989" s="33"/>
      <c r="I989" s="31" t="s">
        <v>35</v>
      </c>
      <c r="J989" s="31"/>
      <c r="K989" s="33"/>
      <c r="L989" s="33"/>
      <c r="M989" s="31"/>
      <c r="N989" s="31"/>
      <c r="O989" s="16" t="s">
        <v>2094</v>
      </c>
      <c r="P989" s="16"/>
      <c r="Q989" s="16"/>
      <c r="R989" s="33">
        <v>19</v>
      </c>
      <c r="S989" s="34">
        <v>45750</v>
      </c>
      <c r="T989" s="34">
        <v>45751</v>
      </c>
      <c r="U989" s="34"/>
      <c r="V989" s="34"/>
      <c r="W989" s="34">
        <v>45751</v>
      </c>
      <c r="X989" s="33" t="s">
        <v>1971</v>
      </c>
      <c r="Y989" s="35" t="str">
        <f>IF(Tabela2[[#This Row],[SIGLA]]="","",VLOOKUP(Tabela2[[#This Row],[SIGLA]],Tabela1[[#All],[Sigla Arte]:[Crédito]],2,0))</f>
        <v>PETRA MENDES/ARQUIVO DA EDITORA</v>
      </c>
      <c r="Z989" s="31" t="s">
        <v>221</v>
      </c>
      <c r="AA989" s="31" t="str">
        <f>Tabela2[[#This Row],[ILUSTRADOR CRIAÇÃO]]</f>
        <v>PETRA MENDES/ARQUIVO DA EDITORA</v>
      </c>
      <c r="AB989" s="33">
        <v>14</v>
      </c>
      <c r="AC989" s="16" t="s">
        <v>44</v>
      </c>
      <c r="AD989" s="16" t="s">
        <v>40</v>
      </c>
      <c r="AE989" s="35" t="str">
        <f t="shared" si="15"/>
        <v>EF1 E002 Mat</v>
      </c>
    </row>
    <row r="990" spans="1:31" ht="45" x14ac:dyDescent="0.25">
      <c r="A990" s="31" t="s">
        <v>2095</v>
      </c>
      <c r="B990" s="16" t="s">
        <v>32</v>
      </c>
      <c r="C990" s="16" t="s">
        <v>164</v>
      </c>
      <c r="D990" s="33" t="s">
        <v>34</v>
      </c>
      <c r="E990" s="33">
        <v>236</v>
      </c>
      <c r="F990" s="33">
        <v>3</v>
      </c>
      <c r="G990" s="33">
        <v>11</v>
      </c>
      <c r="H990" s="33"/>
      <c r="I990" s="31" t="s">
        <v>35</v>
      </c>
      <c r="J990" s="31"/>
      <c r="K990" s="33"/>
      <c r="L990" s="33"/>
      <c r="M990" s="31"/>
      <c r="N990" s="31"/>
      <c r="O990" s="16" t="s">
        <v>2096</v>
      </c>
      <c r="P990" s="16"/>
      <c r="Q990" s="16"/>
      <c r="R990" s="33">
        <v>179</v>
      </c>
      <c r="S990" s="34">
        <v>38622</v>
      </c>
      <c r="T990" s="34">
        <v>45927</v>
      </c>
      <c r="U990" s="34"/>
      <c r="V990" s="34"/>
      <c r="W990" s="34">
        <v>45929</v>
      </c>
      <c r="X990" s="33" t="s">
        <v>48</v>
      </c>
      <c r="Y990" s="35" t="str">
        <f>IF(Tabela2[[#This Row],[SIGLA]]="","",VLOOKUP(Tabela2[[#This Row],[SIGLA]],Tabela1[[#All],[Sigla Arte]:[Crédito]],2,0))</f>
        <v>SERGIO LIMA/ARQUIVO DA EDITORA</v>
      </c>
      <c r="Z990" s="31" t="s">
        <v>368</v>
      </c>
      <c r="AA990" s="31" t="str">
        <f>Tabela2[[#This Row],[ILUSTRADOR CRIAÇÃO]]</f>
        <v>SERGIO LIMA/ARQUIVO DA EDITORA</v>
      </c>
      <c r="AB990" s="33">
        <v>13</v>
      </c>
      <c r="AC990" s="16" t="s">
        <v>44</v>
      </c>
      <c r="AE990" s="35" t="str">
        <f t="shared" si="15"/>
        <v>EF1 E002 Mat</v>
      </c>
    </row>
    <row r="991" spans="1:31" ht="45" x14ac:dyDescent="0.25">
      <c r="A991" s="31" t="s">
        <v>2097</v>
      </c>
      <c r="B991" s="16" t="s">
        <v>32</v>
      </c>
      <c r="C991" s="16" t="s">
        <v>164</v>
      </c>
      <c r="D991" s="33" t="s">
        <v>34</v>
      </c>
      <c r="E991" s="33">
        <v>236</v>
      </c>
      <c r="F991" s="33">
        <v>3</v>
      </c>
      <c r="G991" s="33">
        <v>11</v>
      </c>
      <c r="H991" s="33"/>
      <c r="I991" s="31" t="s">
        <v>35</v>
      </c>
      <c r="J991" s="31"/>
      <c r="K991" s="33"/>
      <c r="L991" s="33"/>
      <c r="M991" s="31"/>
      <c r="N991" s="31"/>
      <c r="O991" s="16" t="s">
        <v>2098</v>
      </c>
      <c r="P991" s="16"/>
      <c r="Q991" s="16"/>
      <c r="R991" s="33">
        <v>179</v>
      </c>
      <c r="S991" s="34">
        <v>38622</v>
      </c>
      <c r="T991" s="34">
        <v>45927</v>
      </c>
      <c r="U991" s="34"/>
      <c r="V991" s="34"/>
      <c r="W991" s="34">
        <v>45929</v>
      </c>
      <c r="X991" s="33" t="s">
        <v>48</v>
      </c>
      <c r="Y991" s="35" t="str">
        <f>IF(Tabela2[[#This Row],[SIGLA]]="","",VLOOKUP(Tabela2[[#This Row],[SIGLA]],Tabela1[[#All],[Sigla Arte]:[Crédito]],2,0))</f>
        <v>SERGIO LIMA/ARQUIVO DA EDITORA</v>
      </c>
      <c r="Z991" s="31" t="s">
        <v>368</v>
      </c>
      <c r="AA991" s="31" t="str">
        <f>Tabela2[[#This Row],[ILUSTRADOR CRIAÇÃO]]</f>
        <v>SERGIO LIMA/ARQUIVO DA EDITORA</v>
      </c>
      <c r="AB991" s="33">
        <v>13</v>
      </c>
      <c r="AC991" s="16" t="s">
        <v>44</v>
      </c>
      <c r="AE991" s="35" t="str">
        <f t="shared" si="15"/>
        <v>EF1 E002 Mat</v>
      </c>
    </row>
    <row r="992" spans="1:31" ht="120" x14ac:dyDescent="0.25">
      <c r="A992" s="31" t="s">
        <v>2099</v>
      </c>
      <c r="B992" s="16" t="s">
        <v>32</v>
      </c>
      <c r="C992" s="16" t="s">
        <v>164</v>
      </c>
      <c r="D992" s="33" t="s">
        <v>34</v>
      </c>
      <c r="E992" s="33">
        <v>236</v>
      </c>
      <c r="F992" s="33">
        <v>3</v>
      </c>
      <c r="G992" s="33">
        <v>11</v>
      </c>
      <c r="H992" s="33"/>
      <c r="I992" s="31" t="s">
        <v>995</v>
      </c>
      <c r="J992" s="31"/>
      <c r="K992" s="33"/>
      <c r="L992" s="33"/>
      <c r="M992" s="31"/>
      <c r="N992" s="31"/>
      <c r="O992" s="16" t="s">
        <v>2100</v>
      </c>
      <c r="P992" s="16"/>
      <c r="Q992" s="16"/>
      <c r="R992" s="33">
        <v>19</v>
      </c>
      <c r="S992" s="34">
        <v>45750</v>
      </c>
      <c r="T992" s="34">
        <v>45751</v>
      </c>
      <c r="U992" s="34"/>
      <c r="V992" s="34"/>
      <c r="W992" s="34">
        <v>45751</v>
      </c>
      <c r="X992" s="33" t="s">
        <v>2101</v>
      </c>
      <c r="Y992" s="35" t="str">
        <f>IF(Tabela2[[#This Row],[SIGLA]]="","",VLOOKUP(Tabela2[[#This Row],[SIGLA]],Tabela1[[#All],[Sigla Arte]:[Crédito]],2,0))</f>
        <v>KEITHY MOSTACHI/ARQUIVO DA EDITORA</v>
      </c>
      <c r="Z992" s="31"/>
      <c r="AA992" s="31" t="str">
        <f>Tabela2[[#This Row],[ILUSTRADOR CRIAÇÃO]]</f>
        <v>KEITHY MOSTACHI/ARQUIVO DA EDITORA</v>
      </c>
      <c r="AB992" s="33">
        <v>8</v>
      </c>
      <c r="AC992" s="16" t="s">
        <v>2102</v>
      </c>
      <c r="AD992" s="16" t="s">
        <v>40</v>
      </c>
      <c r="AE992" s="35" t="str">
        <f t="shared" si="15"/>
        <v>EF1 E002 Mat</v>
      </c>
    </row>
    <row r="993" spans="1:31" ht="120" x14ac:dyDescent="0.25">
      <c r="A993" s="31" t="s">
        <v>2103</v>
      </c>
      <c r="B993" s="16" t="s">
        <v>32</v>
      </c>
      <c r="C993" s="16" t="s">
        <v>164</v>
      </c>
      <c r="D993" s="33" t="s">
        <v>34</v>
      </c>
      <c r="E993" s="33">
        <v>237</v>
      </c>
      <c r="F993" s="33">
        <v>3</v>
      </c>
      <c r="G993" s="33">
        <v>11</v>
      </c>
      <c r="H993" s="33"/>
      <c r="I993" s="31" t="s">
        <v>995</v>
      </c>
      <c r="J993" s="31"/>
      <c r="K993" s="33"/>
      <c r="L993" s="33"/>
      <c r="M993" s="31"/>
      <c r="N993" s="31"/>
      <c r="O993" s="16" t="s">
        <v>2104</v>
      </c>
      <c r="P993" s="16"/>
      <c r="Q993" s="16"/>
      <c r="R993" s="33">
        <v>19</v>
      </c>
      <c r="S993" s="34">
        <v>45750</v>
      </c>
      <c r="T993" s="34">
        <v>45751</v>
      </c>
      <c r="U993" s="34"/>
      <c r="V993" s="34"/>
      <c r="W993" s="34">
        <v>45751</v>
      </c>
      <c r="X993" s="33" t="s">
        <v>1126</v>
      </c>
      <c r="Y993" s="35" t="str">
        <f>IF(Tabela2[[#This Row],[SIGLA]]="","",VLOOKUP(Tabela2[[#This Row],[SIGLA]],Tabela1[[#All],[Sigla Arte]:[Crédito]],2,0))</f>
        <v>GUSTAVO CONTI/ARQUIVO DA EDITORA</v>
      </c>
      <c r="Z993" s="31" t="s">
        <v>221</v>
      </c>
      <c r="AA993" s="31" t="str">
        <f>Tabela2[[#This Row],[ILUSTRADOR CRIAÇÃO]]</f>
        <v>GUSTAVO CONTI/ARQUIVO DA EDITORA</v>
      </c>
      <c r="AB993" s="33">
        <v>13</v>
      </c>
      <c r="AC993" s="16" t="s">
        <v>1450</v>
      </c>
      <c r="AD993" s="16" t="s">
        <v>40</v>
      </c>
      <c r="AE993" s="35" t="str">
        <f t="shared" si="15"/>
        <v>EF1 E002 Mat</v>
      </c>
    </row>
    <row r="994" spans="1:31" ht="90" x14ac:dyDescent="0.25">
      <c r="A994" s="31" t="s">
        <v>2105</v>
      </c>
      <c r="B994" s="16" t="s">
        <v>32</v>
      </c>
      <c r="C994" s="16" t="s">
        <v>164</v>
      </c>
      <c r="D994" s="33" t="s">
        <v>34</v>
      </c>
      <c r="E994" s="33">
        <v>237</v>
      </c>
      <c r="F994" s="33">
        <v>3</v>
      </c>
      <c r="G994" s="33">
        <v>11</v>
      </c>
      <c r="H994" s="33"/>
      <c r="I994" s="31" t="s">
        <v>995</v>
      </c>
      <c r="J994" s="31"/>
      <c r="K994" s="33"/>
      <c r="L994" s="33"/>
      <c r="M994" s="31"/>
      <c r="N994" s="31"/>
      <c r="O994" s="16" t="s">
        <v>2106</v>
      </c>
      <c r="P994" s="16"/>
      <c r="Q994" s="16"/>
      <c r="R994" s="33">
        <v>19</v>
      </c>
      <c r="S994" s="34">
        <v>45750</v>
      </c>
      <c r="T994" s="34">
        <v>45751</v>
      </c>
      <c r="U994" s="34"/>
      <c r="V994" s="34"/>
      <c r="W994" s="34">
        <v>45751</v>
      </c>
      <c r="X994" s="33" t="s">
        <v>1126</v>
      </c>
      <c r="Y994" s="35" t="str">
        <f>IF(Tabela2[[#This Row],[SIGLA]]="","",VLOOKUP(Tabela2[[#This Row],[SIGLA]],Tabela1[[#All],[Sigla Arte]:[Crédito]],2,0))</f>
        <v>GUSTAVO CONTI/ARQUIVO DA EDITORA</v>
      </c>
      <c r="Z994" s="31" t="s">
        <v>221</v>
      </c>
      <c r="AA994" s="31" t="str">
        <f>Tabela2[[#This Row],[ILUSTRADOR CRIAÇÃO]]</f>
        <v>GUSTAVO CONTI/ARQUIVO DA EDITORA</v>
      </c>
      <c r="AB994" s="33">
        <v>13</v>
      </c>
      <c r="AC994" s="16" t="s">
        <v>1450</v>
      </c>
      <c r="AD994" s="16" t="s">
        <v>40</v>
      </c>
      <c r="AE994" s="35" t="str">
        <f t="shared" si="15"/>
        <v>EF1 E002 Mat</v>
      </c>
    </row>
    <row r="995" spans="1:31" ht="90" x14ac:dyDescent="0.25">
      <c r="A995" s="31" t="s">
        <v>2107</v>
      </c>
      <c r="B995" s="16" t="s">
        <v>32</v>
      </c>
      <c r="C995" s="16" t="s">
        <v>164</v>
      </c>
      <c r="D995" s="33" t="s">
        <v>34</v>
      </c>
      <c r="E995" s="33">
        <v>237</v>
      </c>
      <c r="F995" s="33">
        <v>3</v>
      </c>
      <c r="G995" s="33">
        <v>11</v>
      </c>
      <c r="H995" s="33"/>
      <c r="I995" s="31" t="s">
        <v>995</v>
      </c>
      <c r="J995" s="31"/>
      <c r="K995" s="33"/>
      <c r="L995" s="33"/>
      <c r="M995" s="31"/>
      <c r="N995" s="31"/>
      <c r="O995" s="16" t="s">
        <v>2108</v>
      </c>
      <c r="P995" s="16"/>
      <c r="Q995" s="16"/>
      <c r="R995" s="33">
        <v>19</v>
      </c>
      <c r="S995" s="34">
        <v>45750</v>
      </c>
      <c r="T995" s="34">
        <v>45751</v>
      </c>
      <c r="U995" s="34"/>
      <c r="V995" s="34"/>
      <c r="W995" s="34">
        <v>45751</v>
      </c>
      <c r="X995" s="33" t="s">
        <v>1126</v>
      </c>
      <c r="Y995" s="35" t="str">
        <f>IF(Tabela2[[#This Row],[SIGLA]]="","",VLOOKUP(Tabela2[[#This Row],[SIGLA]],Tabela1[[#All],[Sigla Arte]:[Crédito]],2,0))</f>
        <v>GUSTAVO CONTI/ARQUIVO DA EDITORA</v>
      </c>
      <c r="Z995" s="31" t="s">
        <v>221</v>
      </c>
      <c r="AA995" s="31" t="str">
        <f>Tabela2[[#This Row],[ILUSTRADOR CRIAÇÃO]]</f>
        <v>GUSTAVO CONTI/ARQUIVO DA EDITORA</v>
      </c>
      <c r="AB995" s="33">
        <v>13</v>
      </c>
      <c r="AC995" s="16" t="s">
        <v>1450</v>
      </c>
      <c r="AD995" s="16" t="s">
        <v>40</v>
      </c>
      <c r="AE995" s="35" t="str">
        <f t="shared" si="15"/>
        <v>EF1 E002 Mat</v>
      </c>
    </row>
    <row r="996" spans="1:31" ht="120" x14ac:dyDescent="0.25">
      <c r="A996" s="31" t="s">
        <v>2109</v>
      </c>
      <c r="B996" s="16" t="s">
        <v>401</v>
      </c>
      <c r="C996" s="16" t="s">
        <v>164</v>
      </c>
      <c r="D996" s="33" t="s">
        <v>34</v>
      </c>
      <c r="E996" s="33">
        <v>238</v>
      </c>
      <c r="F996" s="33">
        <v>3</v>
      </c>
      <c r="G996" s="33">
        <v>11</v>
      </c>
      <c r="H996" s="33"/>
      <c r="I996" s="31" t="s">
        <v>35</v>
      </c>
      <c r="J996" s="31"/>
      <c r="K996" s="33"/>
      <c r="L996" s="33"/>
      <c r="M996" s="31"/>
      <c r="N996" s="31"/>
      <c r="O996" s="16" t="s">
        <v>2110</v>
      </c>
      <c r="P996" s="16"/>
      <c r="Q996" s="16"/>
      <c r="R996" s="33">
        <v>19</v>
      </c>
      <c r="S996" s="34">
        <v>45750</v>
      </c>
      <c r="T996" s="34">
        <v>45751</v>
      </c>
      <c r="U996" s="34"/>
      <c r="V996" s="34"/>
      <c r="W996" s="34">
        <v>45751</v>
      </c>
      <c r="X996" s="33" t="s">
        <v>2111</v>
      </c>
      <c r="Y996" s="35" t="str">
        <f>IF(Tabela2[[#This Row],[SIGLA]]="","",VLOOKUP(Tabela2[[#This Row],[SIGLA]],Tabela1[[#All],[Sigla Arte]:[Crédito]],2,0))</f>
        <v>EZEQUIEL SILVA/ARQUIVO DA EDITORA</v>
      </c>
      <c r="Z996" s="31" t="s">
        <v>221</v>
      </c>
      <c r="AA996" s="31" t="str">
        <f>Tabela2[[#This Row],[ILUSTRADOR CRIAÇÃO]]</f>
        <v>EZEQUIEL SILVA/ARQUIVO DA EDITORA</v>
      </c>
      <c r="AB996" s="33">
        <v>13</v>
      </c>
      <c r="AC996" s="16" t="s">
        <v>44</v>
      </c>
      <c r="AD996" s="16" t="s">
        <v>40</v>
      </c>
      <c r="AE996" s="35" t="str">
        <f t="shared" si="15"/>
        <v>EF1 E002 Mat</v>
      </c>
    </row>
    <row r="997" spans="1:31" ht="30" x14ac:dyDescent="0.25">
      <c r="A997" s="31" t="s">
        <v>2112</v>
      </c>
      <c r="B997" s="16" t="s">
        <v>401</v>
      </c>
      <c r="C997" s="16" t="s">
        <v>164</v>
      </c>
      <c r="D997" s="33" t="s">
        <v>34</v>
      </c>
      <c r="E997" s="33">
        <v>239</v>
      </c>
      <c r="F997" s="33">
        <v>3</v>
      </c>
      <c r="G997" s="33">
        <v>11</v>
      </c>
      <c r="H997" s="33"/>
      <c r="I997" s="31" t="s">
        <v>46</v>
      </c>
      <c r="J997" s="31"/>
      <c r="K997" s="33"/>
      <c r="L997" s="33"/>
      <c r="M997" s="31"/>
      <c r="N997" s="31"/>
      <c r="O997" s="16" t="s">
        <v>2113</v>
      </c>
      <c r="P997" s="16"/>
      <c r="Q997" s="16"/>
      <c r="R997" s="33"/>
      <c r="S997" s="34"/>
      <c r="T997" s="34"/>
      <c r="U997" s="34"/>
      <c r="V997" s="34"/>
      <c r="W997" s="34"/>
      <c r="X997" s="33" t="s">
        <v>48</v>
      </c>
      <c r="Y997" s="35" t="str">
        <f>IF(Tabela2[[#This Row],[SIGLA]]="","",VLOOKUP(Tabela2[[#This Row],[SIGLA]],Tabela1[[#All],[Sigla Arte]:[Crédito]],2,0))</f>
        <v>SERGIO LIMA/ARQUIVO DA EDITORA</v>
      </c>
      <c r="Z997" s="31"/>
      <c r="AA997" s="31" t="str">
        <f>Tabela2[[#This Row],[ILUSTRADOR CRIAÇÃO]]</f>
        <v>SERGIO LIMA/ARQUIVO DA EDITORA</v>
      </c>
      <c r="AB997" s="33"/>
      <c r="AC997" s="16"/>
      <c r="AE997" s="35" t="str">
        <f t="shared" si="15"/>
        <v>EF1 E002 Mat</v>
      </c>
    </row>
    <row r="998" spans="1:31" ht="30" x14ac:dyDescent="0.25">
      <c r="A998" s="31" t="s">
        <v>2114</v>
      </c>
      <c r="B998" s="16" t="s">
        <v>401</v>
      </c>
      <c r="C998" s="16" t="s">
        <v>164</v>
      </c>
      <c r="D998" s="33" t="s">
        <v>34</v>
      </c>
      <c r="E998" s="33">
        <v>239</v>
      </c>
      <c r="F998" s="33">
        <v>3</v>
      </c>
      <c r="G998" s="33">
        <v>11</v>
      </c>
      <c r="H998" s="33"/>
      <c r="I998" s="31" t="s">
        <v>46</v>
      </c>
      <c r="J998" s="31"/>
      <c r="K998" s="33"/>
      <c r="L998" s="33"/>
      <c r="M998" s="31"/>
      <c r="N998" s="31"/>
      <c r="O998" s="16" t="s">
        <v>2115</v>
      </c>
      <c r="P998" s="16"/>
      <c r="Q998" s="16"/>
      <c r="R998" s="33"/>
      <c r="S998" s="34"/>
      <c r="T998" s="34"/>
      <c r="U998" s="34"/>
      <c r="V998" s="34"/>
      <c r="W998" s="34"/>
      <c r="X998" s="33" t="s">
        <v>48</v>
      </c>
      <c r="Y998" s="35" t="str">
        <f>IF(Tabela2[[#This Row],[SIGLA]]="","",VLOOKUP(Tabela2[[#This Row],[SIGLA]],Tabela1[[#All],[Sigla Arte]:[Crédito]],2,0))</f>
        <v>SERGIO LIMA/ARQUIVO DA EDITORA</v>
      </c>
      <c r="Z998" s="31"/>
      <c r="AA998" s="31" t="str">
        <f>Tabela2[[#This Row],[ILUSTRADOR CRIAÇÃO]]</f>
        <v>SERGIO LIMA/ARQUIVO DA EDITORA</v>
      </c>
      <c r="AB998" s="33"/>
      <c r="AC998" s="16"/>
      <c r="AE998" s="35" t="str">
        <f t="shared" si="15"/>
        <v>EF1 E002 Mat</v>
      </c>
    </row>
    <row r="999" spans="1:31" ht="30" x14ac:dyDescent="0.25">
      <c r="A999" s="31" t="s">
        <v>2116</v>
      </c>
      <c r="B999" s="16" t="s">
        <v>401</v>
      </c>
      <c r="C999" s="16" t="s">
        <v>164</v>
      </c>
      <c r="D999" s="33" t="s">
        <v>34</v>
      </c>
      <c r="E999" s="33">
        <v>239</v>
      </c>
      <c r="F999" s="33">
        <v>3</v>
      </c>
      <c r="G999" s="33">
        <v>11</v>
      </c>
      <c r="H999" s="33"/>
      <c r="I999" s="31" t="s">
        <v>46</v>
      </c>
      <c r="J999" s="31"/>
      <c r="K999" s="33"/>
      <c r="L999" s="33"/>
      <c r="M999" s="31"/>
      <c r="N999" s="31"/>
      <c r="O999" s="16" t="s">
        <v>2117</v>
      </c>
      <c r="P999" s="16"/>
      <c r="Q999" s="16"/>
      <c r="R999" s="33"/>
      <c r="S999" s="34"/>
      <c r="T999" s="34"/>
      <c r="U999" s="34"/>
      <c r="V999" s="34"/>
      <c r="W999" s="34"/>
      <c r="X999" s="33" t="s">
        <v>48</v>
      </c>
      <c r="Y999" s="35" t="str">
        <f>IF(Tabela2[[#This Row],[SIGLA]]="","",VLOOKUP(Tabela2[[#This Row],[SIGLA]],Tabela1[[#All],[Sigla Arte]:[Crédito]],2,0))</f>
        <v>SERGIO LIMA/ARQUIVO DA EDITORA</v>
      </c>
      <c r="Z999" s="31"/>
      <c r="AA999" s="31" t="str">
        <f>Tabela2[[#This Row],[ILUSTRADOR CRIAÇÃO]]</f>
        <v>SERGIO LIMA/ARQUIVO DA EDITORA</v>
      </c>
      <c r="AB999" s="33"/>
      <c r="AC999" s="16"/>
      <c r="AE999" s="35" t="str">
        <f t="shared" si="15"/>
        <v>EF1 E002 Mat</v>
      </c>
    </row>
    <row r="1000" spans="1:31" ht="30" x14ac:dyDescent="0.25">
      <c r="A1000" s="31" t="s">
        <v>2118</v>
      </c>
      <c r="B1000" s="16" t="s">
        <v>401</v>
      </c>
      <c r="C1000" s="16" t="s">
        <v>164</v>
      </c>
      <c r="D1000" s="33" t="s">
        <v>34</v>
      </c>
      <c r="E1000" s="33">
        <v>239</v>
      </c>
      <c r="F1000" s="33">
        <v>3</v>
      </c>
      <c r="G1000" s="33">
        <v>11</v>
      </c>
      <c r="H1000" s="33"/>
      <c r="I1000" s="31" t="s">
        <v>46</v>
      </c>
      <c r="J1000" s="31"/>
      <c r="K1000" s="33"/>
      <c r="L1000" s="33"/>
      <c r="M1000" s="31"/>
      <c r="N1000" s="31"/>
      <c r="O1000" s="16" t="s">
        <v>2119</v>
      </c>
      <c r="P1000" s="16"/>
      <c r="Q1000" s="16"/>
      <c r="R1000" s="33"/>
      <c r="S1000" s="34"/>
      <c r="T1000" s="34"/>
      <c r="U1000" s="34"/>
      <c r="V1000" s="34"/>
      <c r="W1000" s="34"/>
      <c r="X1000" s="33" t="s">
        <v>48</v>
      </c>
      <c r="Y1000" s="35" t="str">
        <f>IF(Tabela2[[#This Row],[SIGLA]]="","",VLOOKUP(Tabela2[[#This Row],[SIGLA]],Tabela1[[#All],[Sigla Arte]:[Crédito]],2,0))</f>
        <v>SERGIO LIMA/ARQUIVO DA EDITORA</v>
      </c>
      <c r="Z1000" s="31"/>
      <c r="AA1000" s="31" t="str">
        <f>Tabela2[[#This Row],[ILUSTRADOR CRIAÇÃO]]</f>
        <v>SERGIO LIMA/ARQUIVO DA EDITORA</v>
      </c>
      <c r="AB1000" s="33"/>
      <c r="AC1000" s="16"/>
      <c r="AE1000" s="35" t="str">
        <f t="shared" si="15"/>
        <v>EF1 E002 Mat</v>
      </c>
    </row>
    <row r="1001" spans="1:31" ht="30" x14ac:dyDescent="0.25">
      <c r="A1001" s="31" t="s">
        <v>2120</v>
      </c>
      <c r="B1001" s="16" t="s">
        <v>401</v>
      </c>
      <c r="C1001" s="16" t="s">
        <v>164</v>
      </c>
      <c r="D1001" s="33" t="s">
        <v>34</v>
      </c>
      <c r="E1001" s="33">
        <v>239</v>
      </c>
      <c r="F1001" s="33">
        <v>3</v>
      </c>
      <c r="G1001" s="33">
        <v>11</v>
      </c>
      <c r="H1001" s="33"/>
      <c r="I1001" s="31" t="s">
        <v>46</v>
      </c>
      <c r="J1001" s="31"/>
      <c r="K1001" s="33"/>
      <c r="L1001" s="33"/>
      <c r="M1001" s="31"/>
      <c r="N1001" s="31"/>
      <c r="O1001" s="16" t="s">
        <v>2121</v>
      </c>
      <c r="P1001" s="16"/>
      <c r="Q1001" s="16"/>
      <c r="R1001" s="33"/>
      <c r="S1001" s="34"/>
      <c r="T1001" s="34"/>
      <c r="U1001" s="34"/>
      <c r="V1001" s="34"/>
      <c r="W1001" s="34"/>
      <c r="X1001" s="33" t="s">
        <v>48</v>
      </c>
      <c r="Y1001" s="35" t="str">
        <f>IF(Tabela2[[#This Row],[SIGLA]]="","",VLOOKUP(Tabela2[[#This Row],[SIGLA]],Tabela1[[#All],[Sigla Arte]:[Crédito]],2,0))</f>
        <v>SERGIO LIMA/ARQUIVO DA EDITORA</v>
      </c>
      <c r="Z1001" s="31"/>
      <c r="AA1001" s="31" t="str">
        <f>Tabela2[[#This Row],[ILUSTRADOR CRIAÇÃO]]</f>
        <v>SERGIO LIMA/ARQUIVO DA EDITORA</v>
      </c>
      <c r="AB1001" s="33"/>
      <c r="AC1001" s="16"/>
      <c r="AE1001" s="35" t="str">
        <f t="shared" si="15"/>
        <v>EF1 E002 Mat</v>
      </c>
    </row>
    <row r="1002" spans="1:31" ht="30" x14ac:dyDescent="0.25">
      <c r="A1002" s="31" t="s">
        <v>2122</v>
      </c>
      <c r="B1002" s="16" t="s">
        <v>401</v>
      </c>
      <c r="C1002" s="16" t="s">
        <v>164</v>
      </c>
      <c r="D1002" s="33" t="s">
        <v>34</v>
      </c>
      <c r="E1002" s="33">
        <v>239</v>
      </c>
      <c r="F1002" s="33">
        <v>3</v>
      </c>
      <c r="G1002" s="33">
        <v>11</v>
      </c>
      <c r="H1002" s="33"/>
      <c r="I1002" s="31" t="s">
        <v>46</v>
      </c>
      <c r="J1002" s="31"/>
      <c r="K1002" s="33"/>
      <c r="L1002" s="33"/>
      <c r="M1002" s="31"/>
      <c r="N1002" s="31"/>
      <c r="O1002" s="16" t="s">
        <v>2123</v>
      </c>
      <c r="P1002" s="16"/>
      <c r="Q1002" s="16"/>
      <c r="R1002" s="33"/>
      <c r="S1002" s="34"/>
      <c r="T1002" s="34"/>
      <c r="U1002" s="34"/>
      <c r="V1002" s="34"/>
      <c r="W1002" s="34"/>
      <c r="X1002" s="33" t="s">
        <v>48</v>
      </c>
      <c r="Y1002" s="35" t="str">
        <f>IF(Tabela2[[#This Row],[SIGLA]]="","",VLOOKUP(Tabela2[[#This Row],[SIGLA]],Tabela1[[#All],[Sigla Arte]:[Crédito]],2,0))</f>
        <v>SERGIO LIMA/ARQUIVO DA EDITORA</v>
      </c>
      <c r="Z1002" s="31"/>
      <c r="AA1002" s="31" t="str">
        <f>Tabela2[[#This Row],[ILUSTRADOR CRIAÇÃO]]</f>
        <v>SERGIO LIMA/ARQUIVO DA EDITORA</v>
      </c>
      <c r="AB1002" s="33"/>
      <c r="AC1002" s="16"/>
      <c r="AE1002" s="35" t="str">
        <f t="shared" si="15"/>
        <v>EF1 E002 Mat</v>
      </c>
    </row>
    <row r="1003" spans="1:31" ht="30" x14ac:dyDescent="0.25">
      <c r="A1003" s="31" t="s">
        <v>2124</v>
      </c>
      <c r="B1003" s="16" t="s">
        <v>401</v>
      </c>
      <c r="C1003" s="16" t="s">
        <v>164</v>
      </c>
      <c r="D1003" s="33" t="s">
        <v>34</v>
      </c>
      <c r="E1003" s="33">
        <v>239</v>
      </c>
      <c r="F1003" s="33">
        <v>3</v>
      </c>
      <c r="G1003" s="33">
        <v>11</v>
      </c>
      <c r="H1003" s="33"/>
      <c r="I1003" s="31" t="s">
        <v>46</v>
      </c>
      <c r="J1003" s="31"/>
      <c r="K1003" s="33"/>
      <c r="L1003" s="33"/>
      <c r="M1003" s="31"/>
      <c r="N1003" s="31"/>
      <c r="O1003" s="16" t="s">
        <v>2125</v>
      </c>
      <c r="P1003" s="16"/>
      <c r="Q1003" s="16"/>
      <c r="R1003" s="33"/>
      <c r="S1003" s="34"/>
      <c r="T1003" s="34"/>
      <c r="U1003" s="34"/>
      <c r="V1003" s="34"/>
      <c r="W1003" s="34"/>
      <c r="X1003" s="33" t="s">
        <v>48</v>
      </c>
      <c r="Y1003" s="35" t="str">
        <f>IF(Tabela2[[#This Row],[SIGLA]]="","",VLOOKUP(Tabela2[[#This Row],[SIGLA]],Tabela1[[#All],[Sigla Arte]:[Crédito]],2,0))</f>
        <v>SERGIO LIMA/ARQUIVO DA EDITORA</v>
      </c>
      <c r="Z1003" s="31"/>
      <c r="AA1003" s="31" t="str">
        <f>Tabela2[[#This Row],[ILUSTRADOR CRIAÇÃO]]</f>
        <v>SERGIO LIMA/ARQUIVO DA EDITORA</v>
      </c>
      <c r="AB1003" s="33"/>
      <c r="AC1003" s="16"/>
      <c r="AE1003" s="35" t="str">
        <f t="shared" si="15"/>
        <v>EF1 E002 Mat</v>
      </c>
    </row>
    <row r="1004" spans="1:31" ht="30" x14ac:dyDescent="0.25">
      <c r="A1004" s="31" t="s">
        <v>2126</v>
      </c>
      <c r="B1004" s="16" t="s">
        <v>401</v>
      </c>
      <c r="C1004" s="16" t="s">
        <v>164</v>
      </c>
      <c r="D1004" s="33" t="s">
        <v>34</v>
      </c>
      <c r="E1004" s="33">
        <v>239</v>
      </c>
      <c r="F1004" s="33">
        <v>3</v>
      </c>
      <c r="G1004" s="33">
        <v>11</v>
      </c>
      <c r="H1004" s="33"/>
      <c r="I1004" s="31" t="s">
        <v>46</v>
      </c>
      <c r="J1004" s="31"/>
      <c r="K1004" s="33"/>
      <c r="L1004" s="33"/>
      <c r="M1004" s="31"/>
      <c r="N1004" s="31"/>
      <c r="O1004" s="16" t="s">
        <v>2127</v>
      </c>
      <c r="P1004" s="16"/>
      <c r="Q1004" s="16"/>
      <c r="R1004" s="33"/>
      <c r="S1004" s="34"/>
      <c r="T1004" s="34"/>
      <c r="U1004" s="34"/>
      <c r="V1004" s="34"/>
      <c r="W1004" s="34"/>
      <c r="X1004" s="33" t="s">
        <v>48</v>
      </c>
      <c r="Y1004" s="35" t="str">
        <f>IF(Tabela2[[#This Row],[SIGLA]]="","",VLOOKUP(Tabela2[[#This Row],[SIGLA]],Tabela1[[#All],[Sigla Arte]:[Crédito]],2,0))</f>
        <v>SERGIO LIMA/ARQUIVO DA EDITORA</v>
      </c>
      <c r="Z1004" s="31"/>
      <c r="AA1004" s="31" t="str">
        <f>Tabela2[[#This Row],[ILUSTRADOR CRIAÇÃO]]</f>
        <v>SERGIO LIMA/ARQUIVO DA EDITORA</v>
      </c>
      <c r="AB1004" s="33"/>
      <c r="AC1004" s="16"/>
      <c r="AE1004" s="35" t="str">
        <f t="shared" si="15"/>
        <v>EF1 E002 Mat</v>
      </c>
    </row>
    <row r="1005" spans="1:31" ht="30" x14ac:dyDescent="0.25">
      <c r="A1005" s="31" t="s">
        <v>2128</v>
      </c>
      <c r="B1005" s="16" t="s">
        <v>401</v>
      </c>
      <c r="C1005" s="16" t="s">
        <v>164</v>
      </c>
      <c r="D1005" s="33" t="s">
        <v>34</v>
      </c>
      <c r="E1005" s="33">
        <v>239</v>
      </c>
      <c r="F1005" s="33">
        <v>3</v>
      </c>
      <c r="G1005" s="33">
        <v>11</v>
      </c>
      <c r="H1005" s="33"/>
      <c r="I1005" s="31" t="s">
        <v>46</v>
      </c>
      <c r="J1005" s="31"/>
      <c r="K1005" s="33"/>
      <c r="L1005" s="33"/>
      <c r="M1005" s="31"/>
      <c r="N1005" s="31"/>
      <c r="O1005" s="16" t="s">
        <v>2129</v>
      </c>
      <c r="P1005" s="16"/>
      <c r="Q1005" s="16"/>
      <c r="R1005" s="33"/>
      <c r="S1005" s="34"/>
      <c r="T1005" s="34"/>
      <c r="U1005" s="34"/>
      <c r="V1005" s="34"/>
      <c r="W1005" s="34"/>
      <c r="X1005" s="33" t="s">
        <v>48</v>
      </c>
      <c r="Y1005" s="35" t="str">
        <f>IF(Tabela2[[#This Row],[SIGLA]]="","",VLOOKUP(Tabela2[[#This Row],[SIGLA]],Tabela1[[#All],[Sigla Arte]:[Crédito]],2,0))</f>
        <v>SERGIO LIMA/ARQUIVO DA EDITORA</v>
      </c>
      <c r="Z1005" s="31"/>
      <c r="AA1005" s="31" t="str">
        <f>Tabela2[[#This Row],[ILUSTRADOR CRIAÇÃO]]</f>
        <v>SERGIO LIMA/ARQUIVO DA EDITORA</v>
      </c>
      <c r="AB1005" s="33"/>
      <c r="AC1005" s="16"/>
      <c r="AE1005" s="35" t="str">
        <f t="shared" si="15"/>
        <v>EF1 E002 Mat</v>
      </c>
    </row>
    <row r="1006" spans="1:31" ht="30" x14ac:dyDescent="0.25">
      <c r="A1006" s="31" t="s">
        <v>2130</v>
      </c>
      <c r="B1006" s="16" t="s">
        <v>401</v>
      </c>
      <c r="C1006" s="16" t="s">
        <v>164</v>
      </c>
      <c r="D1006" s="33" t="s">
        <v>34</v>
      </c>
      <c r="E1006" s="33">
        <v>239</v>
      </c>
      <c r="F1006" s="33">
        <v>3</v>
      </c>
      <c r="G1006" s="33">
        <v>11</v>
      </c>
      <c r="H1006" s="33"/>
      <c r="I1006" s="31" t="s">
        <v>46</v>
      </c>
      <c r="J1006" s="31"/>
      <c r="K1006" s="33"/>
      <c r="L1006" s="33"/>
      <c r="M1006" s="31"/>
      <c r="N1006" s="31"/>
      <c r="O1006" s="16" t="s">
        <v>2131</v>
      </c>
      <c r="P1006" s="16"/>
      <c r="Q1006" s="16"/>
      <c r="R1006" s="33"/>
      <c r="S1006" s="34"/>
      <c r="T1006" s="34"/>
      <c r="U1006" s="34"/>
      <c r="V1006" s="34"/>
      <c r="W1006" s="34"/>
      <c r="X1006" s="33" t="s">
        <v>48</v>
      </c>
      <c r="Y1006" s="35" t="str">
        <f>IF(Tabela2[[#This Row],[SIGLA]]="","",VLOOKUP(Tabela2[[#This Row],[SIGLA]],Tabela1[[#All],[Sigla Arte]:[Crédito]],2,0))</f>
        <v>SERGIO LIMA/ARQUIVO DA EDITORA</v>
      </c>
      <c r="Z1006" s="31"/>
      <c r="AA1006" s="31" t="str">
        <f>Tabela2[[#This Row],[ILUSTRADOR CRIAÇÃO]]</f>
        <v>SERGIO LIMA/ARQUIVO DA EDITORA</v>
      </c>
      <c r="AB1006" s="33"/>
      <c r="AC1006" s="16"/>
      <c r="AE1006" s="35" t="str">
        <f t="shared" si="15"/>
        <v>EF1 E002 Mat</v>
      </c>
    </row>
    <row r="1007" spans="1:31" ht="30" x14ac:dyDescent="0.25">
      <c r="A1007" s="31" t="s">
        <v>2132</v>
      </c>
      <c r="B1007" s="16" t="s">
        <v>401</v>
      </c>
      <c r="C1007" s="16" t="s">
        <v>164</v>
      </c>
      <c r="D1007" s="33" t="s">
        <v>34</v>
      </c>
      <c r="E1007" s="33">
        <v>239</v>
      </c>
      <c r="F1007" s="33">
        <v>3</v>
      </c>
      <c r="G1007" s="33">
        <v>11</v>
      </c>
      <c r="H1007" s="33"/>
      <c r="I1007" s="31" t="s">
        <v>46</v>
      </c>
      <c r="J1007" s="31"/>
      <c r="K1007" s="33"/>
      <c r="L1007" s="33"/>
      <c r="M1007" s="31"/>
      <c r="N1007" s="31"/>
      <c r="O1007" s="16" t="s">
        <v>2133</v>
      </c>
      <c r="P1007" s="16"/>
      <c r="Q1007" s="16"/>
      <c r="R1007" s="33"/>
      <c r="S1007" s="34"/>
      <c r="T1007" s="34"/>
      <c r="U1007" s="34"/>
      <c r="V1007" s="34"/>
      <c r="W1007" s="34"/>
      <c r="X1007" s="33" t="s">
        <v>48</v>
      </c>
      <c r="Y1007" s="35" t="str">
        <f>IF(Tabela2[[#This Row],[SIGLA]]="","",VLOOKUP(Tabela2[[#This Row],[SIGLA]],Tabela1[[#All],[Sigla Arte]:[Crédito]],2,0))</f>
        <v>SERGIO LIMA/ARQUIVO DA EDITORA</v>
      </c>
      <c r="Z1007" s="31"/>
      <c r="AA1007" s="31" t="str">
        <f>Tabela2[[#This Row],[ILUSTRADOR CRIAÇÃO]]</f>
        <v>SERGIO LIMA/ARQUIVO DA EDITORA</v>
      </c>
      <c r="AB1007" s="33"/>
      <c r="AC1007" s="16"/>
      <c r="AE1007" s="35" t="str">
        <f t="shared" si="15"/>
        <v>EF1 E002 Mat</v>
      </c>
    </row>
    <row r="1008" spans="1:31" ht="30" x14ac:dyDescent="0.25">
      <c r="A1008" s="31" t="s">
        <v>2134</v>
      </c>
      <c r="B1008" s="16" t="s">
        <v>401</v>
      </c>
      <c r="C1008" s="16" t="s">
        <v>164</v>
      </c>
      <c r="D1008" s="33" t="s">
        <v>34</v>
      </c>
      <c r="E1008" s="33">
        <v>239</v>
      </c>
      <c r="F1008" s="33">
        <v>3</v>
      </c>
      <c r="G1008" s="33">
        <v>11</v>
      </c>
      <c r="H1008" s="33"/>
      <c r="I1008" s="31" t="s">
        <v>46</v>
      </c>
      <c r="J1008" s="31"/>
      <c r="K1008" s="33"/>
      <c r="L1008" s="33"/>
      <c r="M1008" s="31"/>
      <c r="N1008" s="31"/>
      <c r="O1008" s="16" t="s">
        <v>2135</v>
      </c>
      <c r="P1008" s="16"/>
      <c r="Q1008" s="16"/>
      <c r="R1008" s="33"/>
      <c r="S1008" s="34"/>
      <c r="T1008" s="34"/>
      <c r="U1008" s="34"/>
      <c r="V1008" s="34"/>
      <c r="W1008" s="34"/>
      <c r="X1008" s="33" t="s">
        <v>48</v>
      </c>
      <c r="Y1008" s="35" t="str">
        <f>IF(Tabela2[[#This Row],[SIGLA]]="","",VLOOKUP(Tabela2[[#This Row],[SIGLA]],Tabela1[[#All],[Sigla Arte]:[Crédito]],2,0))</f>
        <v>SERGIO LIMA/ARQUIVO DA EDITORA</v>
      </c>
      <c r="Z1008" s="31"/>
      <c r="AA1008" s="31" t="str">
        <f>Tabela2[[#This Row],[ILUSTRADOR CRIAÇÃO]]</f>
        <v>SERGIO LIMA/ARQUIVO DA EDITORA</v>
      </c>
      <c r="AB1008" s="33"/>
      <c r="AC1008" s="16"/>
      <c r="AE1008" s="35" t="str">
        <f t="shared" si="15"/>
        <v>EF1 E002 Mat</v>
      </c>
    </row>
    <row r="1009" spans="1:31" ht="30" x14ac:dyDescent="0.25">
      <c r="A1009" s="31" t="s">
        <v>2136</v>
      </c>
      <c r="B1009" s="16" t="s">
        <v>32</v>
      </c>
      <c r="C1009" s="16" t="s">
        <v>164</v>
      </c>
      <c r="D1009" s="33" t="s">
        <v>34</v>
      </c>
      <c r="E1009" s="33">
        <v>246</v>
      </c>
      <c r="F1009" s="33">
        <v>1</v>
      </c>
      <c r="G1009" s="33"/>
      <c r="H1009" s="33" t="s">
        <v>2137</v>
      </c>
      <c r="I1009" s="31" t="s">
        <v>46</v>
      </c>
      <c r="J1009" s="31"/>
      <c r="K1009" s="33"/>
      <c r="L1009" s="33"/>
      <c r="M1009" s="31"/>
      <c r="N1009" s="31"/>
      <c r="O1009" s="16" t="s">
        <v>2138</v>
      </c>
      <c r="P1009" s="16"/>
      <c r="Q1009" s="16"/>
      <c r="R1009" s="33"/>
      <c r="S1009" s="34"/>
      <c r="T1009" s="34"/>
      <c r="U1009" s="34"/>
      <c r="V1009" s="34"/>
      <c r="W1009" s="34"/>
      <c r="X1009" s="33" t="s">
        <v>48</v>
      </c>
      <c r="Y1009" s="35" t="str">
        <f>IF(Tabela2[[#This Row],[SIGLA]]="","",VLOOKUP(Tabela2[[#This Row],[SIGLA]],Tabela1[[#All],[Sigla Arte]:[Crédito]],2,0))</f>
        <v>SERGIO LIMA/ARQUIVO DA EDITORA</v>
      </c>
      <c r="Z1009" s="31"/>
      <c r="AA1009" s="31" t="str">
        <f>Tabela2[[#This Row],[ILUSTRADOR CRIAÇÃO]]</f>
        <v>SERGIO LIMA/ARQUIVO DA EDITORA</v>
      </c>
      <c r="AB1009" s="33"/>
      <c r="AC1009" s="16"/>
      <c r="AE1009" s="35" t="str">
        <f t="shared" si="15"/>
        <v>EF1 E002 Mat</v>
      </c>
    </row>
    <row r="1010" spans="1:31" ht="30" x14ac:dyDescent="0.25">
      <c r="A1010" s="31" t="s">
        <v>2139</v>
      </c>
      <c r="B1010" s="16" t="s">
        <v>32</v>
      </c>
      <c r="C1010" s="16" t="s">
        <v>164</v>
      </c>
      <c r="D1010" s="33" t="s">
        <v>34</v>
      </c>
      <c r="E1010" s="33">
        <v>246</v>
      </c>
      <c r="F1010" s="33">
        <v>1</v>
      </c>
      <c r="G1010" s="33"/>
      <c r="H1010" s="33" t="s">
        <v>2137</v>
      </c>
      <c r="I1010" s="31" t="s">
        <v>46</v>
      </c>
      <c r="J1010" s="31"/>
      <c r="K1010" s="33"/>
      <c r="L1010" s="33"/>
      <c r="M1010" s="31"/>
      <c r="N1010" s="31"/>
      <c r="O1010" s="16" t="s">
        <v>2140</v>
      </c>
      <c r="P1010" s="16"/>
      <c r="Q1010" s="16"/>
      <c r="R1010" s="33"/>
      <c r="S1010" s="34"/>
      <c r="T1010" s="34"/>
      <c r="U1010" s="34"/>
      <c r="V1010" s="34"/>
      <c r="W1010" s="34"/>
      <c r="X1010" s="33" t="s">
        <v>48</v>
      </c>
      <c r="Y1010" s="35" t="str">
        <f>IF(Tabela2[[#This Row],[SIGLA]]="","",VLOOKUP(Tabela2[[#This Row],[SIGLA]],Tabela1[[#All],[Sigla Arte]:[Crédito]],2,0))</f>
        <v>SERGIO LIMA/ARQUIVO DA EDITORA</v>
      </c>
      <c r="Z1010" s="31"/>
      <c r="AA1010" s="31" t="str">
        <f>Tabela2[[#This Row],[ILUSTRADOR CRIAÇÃO]]</f>
        <v>SERGIO LIMA/ARQUIVO DA EDITORA</v>
      </c>
      <c r="AB1010" s="33"/>
      <c r="AC1010" s="16"/>
      <c r="AE1010" s="35" t="str">
        <f t="shared" si="15"/>
        <v>EF1 E002 Mat</v>
      </c>
    </row>
    <row r="1011" spans="1:31" ht="45" x14ac:dyDescent="0.25">
      <c r="A1011" s="31" t="s">
        <v>2141</v>
      </c>
      <c r="B1011" s="16" t="s">
        <v>32</v>
      </c>
      <c r="C1011" s="16" t="s">
        <v>164</v>
      </c>
      <c r="D1011" s="33" t="s">
        <v>34</v>
      </c>
      <c r="E1011" s="33">
        <v>246</v>
      </c>
      <c r="F1011" s="33">
        <v>1</v>
      </c>
      <c r="G1011" s="33"/>
      <c r="H1011" s="33" t="s">
        <v>2137</v>
      </c>
      <c r="I1011" s="31" t="s">
        <v>35</v>
      </c>
      <c r="J1011" s="31"/>
      <c r="K1011" s="33"/>
      <c r="L1011" s="33"/>
      <c r="M1011" s="31"/>
      <c r="N1011" s="31"/>
      <c r="O1011" s="16" t="s">
        <v>2142</v>
      </c>
      <c r="P1011" s="16"/>
      <c r="Q1011" s="16"/>
      <c r="R1011" s="33">
        <v>20</v>
      </c>
      <c r="S1011" s="34">
        <v>45750</v>
      </c>
      <c r="T1011" s="34">
        <v>45750</v>
      </c>
      <c r="U1011" s="34"/>
      <c r="V1011" s="34"/>
      <c r="W1011" s="34">
        <v>45751</v>
      </c>
      <c r="X1011" s="33" t="s">
        <v>48</v>
      </c>
      <c r="Y1011" s="35" t="str">
        <f>IF(Tabela2[[#This Row],[SIGLA]]="","",VLOOKUP(Tabela2[[#This Row],[SIGLA]],Tabela1[[#All],[Sigla Arte]:[Crédito]],2,0))</f>
        <v>SERGIO LIMA/ARQUIVO DA EDITORA</v>
      </c>
      <c r="Z1011" s="31" t="s">
        <v>38</v>
      </c>
      <c r="AA1011" s="31" t="str">
        <f>Tabela2[[#This Row],[ILUSTRADOR CRIAÇÃO]]</f>
        <v>SERGIO LIMA/ARQUIVO DA EDITORA</v>
      </c>
      <c r="AB1011" s="33">
        <v>14</v>
      </c>
      <c r="AC1011" s="16" t="s">
        <v>39</v>
      </c>
      <c r="AD1011" s="16" t="s">
        <v>40</v>
      </c>
      <c r="AE1011" s="35" t="str">
        <f t="shared" si="15"/>
        <v>EF1 E002 Mat</v>
      </c>
    </row>
    <row r="1012" spans="1:31" ht="30" x14ac:dyDescent="0.25">
      <c r="A1012" s="31" t="s">
        <v>2143</v>
      </c>
      <c r="B1012" s="16" t="s">
        <v>32</v>
      </c>
      <c r="C1012" s="16" t="s">
        <v>164</v>
      </c>
      <c r="D1012" s="33" t="s">
        <v>34</v>
      </c>
      <c r="E1012" s="33">
        <v>246</v>
      </c>
      <c r="F1012" s="33">
        <v>1</v>
      </c>
      <c r="G1012" s="33"/>
      <c r="H1012" s="33" t="s">
        <v>2137</v>
      </c>
      <c r="I1012" s="31" t="s">
        <v>46</v>
      </c>
      <c r="J1012" s="31"/>
      <c r="K1012" s="33"/>
      <c r="L1012" s="33"/>
      <c r="M1012" s="31"/>
      <c r="N1012" s="31"/>
      <c r="O1012" s="16" t="s">
        <v>2144</v>
      </c>
      <c r="P1012" s="16"/>
      <c r="Q1012" s="16"/>
      <c r="R1012" s="33"/>
      <c r="S1012" s="34"/>
      <c r="T1012" s="34"/>
      <c r="U1012" s="34"/>
      <c r="V1012" s="34"/>
      <c r="W1012" s="34"/>
      <c r="X1012" s="33" t="s">
        <v>85</v>
      </c>
      <c r="Y1012" s="35" t="str">
        <f>IF(Tabela2[[#This Row],[SIGLA]]="","",VLOOKUP(Tabela2[[#This Row],[SIGLA]],Tabela1[[#All],[Sigla Arte]:[Crédito]],2,0))</f>
        <v>HELOÍSA PINTARELLI/ARQUIVO DA EDITORA</v>
      </c>
      <c r="Z1012" s="31"/>
      <c r="AA1012" s="31" t="str">
        <f>Tabela2[[#This Row],[ILUSTRADOR CRIAÇÃO]]</f>
        <v>HELOÍSA PINTARELLI/ARQUIVO DA EDITORA</v>
      </c>
      <c r="AB1012" s="33"/>
      <c r="AC1012" s="16"/>
      <c r="AE1012" s="35" t="str">
        <f t="shared" si="15"/>
        <v>EF1 E002 Mat</v>
      </c>
    </row>
    <row r="1013" spans="1:31" ht="45" x14ac:dyDescent="0.25">
      <c r="A1013" s="31" t="s">
        <v>2145</v>
      </c>
      <c r="B1013" s="16" t="s">
        <v>32</v>
      </c>
      <c r="C1013" s="16" t="s">
        <v>164</v>
      </c>
      <c r="D1013" s="33" t="s">
        <v>34</v>
      </c>
      <c r="E1013" s="33">
        <v>246</v>
      </c>
      <c r="F1013" s="33">
        <v>1</v>
      </c>
      <c r="G1013" s="33"/>
      <c r="H1013" s="33" t="s">
        <v>2137</v>
      </c>
      <c r="I1013" s="31" t="s">
        <v>46</v>
      </c>
      <c r="J1013" s="31"/>
      <c r="K1013" s="33"/>
      <c r="L1013" s="33"/>
      <c r="M1013" s="31"/>
      <c r="N1013" s="31"/>
      <c r="O1013" s="16" t="s">
        <v>2146</v>
      </c>
      <c r="P1013" s="16"/>
      <c r="Q1013" s="16"/>
      <c r="R1013" s="33"/>
      <c r="S1013" s="34"/>
      <c r="T1013" s="34"/>
      <c r="U1013" s="34"/>
      <c r="V1013" s="34"/>
      <c r="W1013" s="34"/>
      <c r="X1013" s="33" t="s">
        <v>85</v>
      </c>
      <c r="Y1013" s="35" t="str">
        <f>IF(Tabela2[[#This Row],[SIGLA]]="","",VLOOKUP(Tabela2[[#This Row],[SIGLA]],Tabela1[[#All],[Sigla Arte]:[Crédito]],2,0))</f>
        <v>HELOÍSA PINTARELLI/ARQUIVO DA EDITORA</v>
      </c>
      <c r="Z1013" s="31"/>
      <c r="AA1013" s="31" t="str">
        <f>Tabela2[[#This Row],[ILUSTRADOR CRIAÇÃO]]</f>
        <v>HELOÍSA PINTARELLI/ARQUIVO DA EDITORA</v>
      </c>
      <c r="AB1013" s="33"/>
      <c r="AC1013" s="16"/>
      <c r="AE1013" s="35" t="str">
        <f t="shared" si="15"/>
        <v>EF1 E002 Mat</v>
      </c>
    </row>
    <row r="1014" spans="1:31" ht="30" x14ac:dyDescent="0.25">
      <c r="A1014" s="31" t="s">
        <v>2147</v>
      </c>
      <c r="B1014" s="16" t="s">
        <v>32</v>
      </c>
      <c r="C1014" s="16" t="s">
        <v>164</v>
      </c>
      <c r="D1014" s="33" t="s">
        <v>34</v>
      </c>
      <c r="E1014" s="33">
        <v>247</v>
      </c>
      <c r="F1014" s="33">
        <v>1</v>
      </c>
      <c r="G1014" s="33"/>
      <c r="H1014" s="33" t="s">
        <v>2137</v>
      </c>
      <c r="I1014" s="31" t="s">
        <v>46</v>
      </c>
      <c r="J1014" s="31"/>
      <c r="K1014" s="33"/>
      <c r="L1014" s="33"/>
      <c r="M1014" s="31"/>
      <c r="N1014" s="31"/>
      <c r="O1014" s="16" t="s">
        <v>2148</v>
      </c>
      <c r="P1014" s="16"/>
      <c r="Q1014" s="16"/>
      <c r="R1014" s="33"/>
      <c r="S1014" s="34"/>
      <c r="T1014" s="34"/>
      <c r="U1014" s="34"/>
      <c r="V1014" s="34"/>
      <c r="W1014" s="34"/>
      <c r="X1014" s="33" t="s">
        <v>1515</v>
      </c>
      <c r="Y1014" s="35" t="str">
        <f>IF(Tabela2[[#This Row],[SIGLA]]="","",VLOOKUP(Tabela2[[#This Row],[SIGLA]],Tabela1[[#All],[Sigla Arte]:[Crédito]],2,0))</f>
        <v>JANAINA OLIVEIRA/ARQUIVO DA EDITORA</v>
      </c>
      <c r="Z1014" s="31"/>
      <c r="AA1014" s="31" t="str">
        <f>Tabela2[[#This Row],[ILUSTRADOR CRIAÇÃO]]</f>
        <v>JANAINA OLIVEIRA/ARQUIVO DA EDITORA</v>
      </c>
      <c r="AB1014" s="33"/>
      <c r="AC1014" s="16"/>
      <c r="AE1014" s="35" t="str">
        <f t="shared" si="15"/>
        <v>EF1 E002 Mat</v>
      </c>
    </row>
    <row r="1015" spans="1:31" ht="30" x14ac:dyDescent="0.25">
      <c r="A1015" s="31" t="s">
        <v>2149</v>
      </c>
      <c r="B1015" s="16" t="s">
        <v>32</v>
      </c>
      <c r="C1015" s="16" t="s">
        <v>164</v>
      </c>
      <c r="D1015" s="33" t="s">
        <v>34</v>
      </c>
      <c r="E1015" s="33">
        <v>247</v>
      </c>
      <c r="F1015" s="33">
        <v>1</v>
      </c>
      <c r="G1015" s="33"/>
      <c r="H1015" s="33" t="s">
        <v>2137</v>
      </c>
      <c r="I1015" s="31" t="s">
        <v>46</v>
      </c>
      <c r="J1015" s="31"/>
      <c r="K1015" s="33"/>
      <c r="L1015" s="33"/>
      <c r="M1015" s="31"/>
      <c r="N1015" s="31"/>
      <c r="O1015" s="16" t="s">
        <v>2150</v>
      </c>
      <c r="P1015" s="16"/>
      <c r="Q1015" s="16"/>
      <c r="R1015" s="33"/>
      <c r="S1015" s="34"/>
      <c r="T1015" s="34"/>
      <c r="U1015" s="34"/>
      <c r="V1015" s="34"/>
      <c r="W1015" s="34"/>
      <c r="X1015" s="33" t="s">
        <v>1515</v>
      </c>
      <c r="Y1015" s="35" t="str">
        <f>IF(Tabela2[[#This Row],[SIGLA]]="","",VLOOKUP(Tabela2[[#This Row],[SIGLA]],Tabela1[[#All],[Sigla Arte]:[Crédito]],2,0))</f>
        <v>JANAINA OLIVEIRA/ARQUIVO DA EDITORA</v>
      </c>
      <c r="Z1015" s="31"/>
      <c r="AA1015" s="31" t="str">
        <f>Tabela2[[#This Row],[ILUSTRADOR CRIAÇÃO]]</f>
        <v>JANAINA OLIVEIRA/ARQUIVO DA EDITORA</v>
      </c>
      <c r="AB1015" s="33"/>
      <c r="AC1015" s="16"/>
      <c r="AE1015" s="35" t="str">
        <f t="shared" si="15"/>
        <v>EF1 E002 Mat</v>
      </c>
    </row>
    <row r="1016" spans="1:31" ht="30" x14ac:dyDescent="0.25">
      <c r="A1016" s="31" t="s">
        <v>2151</v>
      </c>
      <c r="B1016" s="16" t="s">
        <v>32</v>
      </c>
      <c r="C1016" s="16" t="s">
        <v>33</v>
      </c>
      <c r="D1016" s="33" t="s">
        <v>34</v>
      </c>
      <c r="E1016" s="33">
        <v>247</v>
      </c>
      <c r="F1016" s="33">
        <v>1</v>
      </c>
      <c r="G1016" s="33"/>
      <c r="H1016" s="33" t="s">
        <v>2137</v>
      </c>
      <c r="I1016" s="31" t="s">
        <v>46</v>
      </c>
      <c r="J1016" s="31"/>
      <c r="K1016" s="33"/>
      <c r="L1016" s="33"/>
      <c r="M1016" s="31"/>
      <c r="N1016" s="31"/>
      <c r="O1016" s="16" t="s">
        <v>2152</v>
      </c>
      <c r="P1016" s="16"/>
      <c r="Q1016" s="16"/>
      <c r="R1016" s="33"/>
      <c r="S1016" s="34"/>
      <c r="T1016" s="34"/>
      <c r="U1016" s="34"/>
      <c r="V1016" s="34"/>
      <c r="W1016" s="34"/>
      <c r="X1016" s="33" t="s">
        <v>162</v>
      </c>
      <c r="Y1016" s="35" t="str">
        <f>IF(Tabela2[[#This Row],[SIGLA]]="","",VLOOKUP(Tabela2[[#This Row],[SIGLA]],Tabela1[[#All],[Sigla Arte]:[Crédito]],2,0))</f>
        <v>IVY NUNES/ARQUIVO DA EDITORA</v>
      </c>
      <c r="Z1016" s="31"/>
      <c r="AA1016" s="31" t="str">
        <f>Tabela2[[#This Row],[ILUSTRADOR CRIAÇÃO]]</f>
        <v>IVY NUNES/ARQUIVO DA EDITORA</v>
      </c>
      <c r="AB1016" s="33"/>
      <c r="AC1016" s="16"/>
      <c r="AE1016" s="35" t="str">
        <f t="shared" si="15"/>
        <v>EF1 E002 Mat</v>
      </c>
    </row>
    <row r="1017" spans="1:31" ht="30" x14ac:dyDescent="0.25">
      <c r="A1017" s="31" t="s">
        <v>2153</v>
      </c>
      <c r="B1017" s="16" t="s">
        <v>32</v>
      </c>
      <c r="C1017" s="16" t="s">
        <v>164</v>
      </c>
      <c r="D1017" s="33" t="s">
        <v>34</v>
      </c>
      <c r="E1017" s="33">
        <v>248</v>
      </c>
      <c r="F1017" s="33">
        <v>1</v>
      </c>
      <c r="G1017" s="33"/>
      <c r="H1017" s="33" t="s">
        <v>2137</v>
      </c>
      <c r="I1017" s="31" t="s">
        <v>46</v>
      </c>
      <c r="J1017" s="31"/>
      <c r="K1017" s="33"/>
      <c r="L1017" s="33"/>
      <c r="M1017" s="31"/>
      <c r="N1017" s="31"/>
      <c r="O1017" s="16" t="s">
        <v>2154</v>
      </c>
      <c r="P1017" s="16"/>
      <c r="Q1017" s="16"/>
      <c r="R1017" s="33"/>
      <c r="S1017" s="34"/>
      <c r="T1017" s="34"/>
      <c r="U1017" s="34"/>
      <c r="V1017" s="34"/>
      <c r="W1017" s="34"/>
      <c r="X1017" s="33" t="s">
        <v>48</v>
      </c>
      <c r="Y1017" s="35" t="str">
        <f>IF(Tabela2[[#This Row],[SIGLA]]="","",VLOOKUP(Tabela2[[#This Row],[SIGLA]],Tabela1[[#All],[Sigla Arte]:[Crédito]],2,0))</f>
        <v>SERGIO LIMA/ARQUIVO DA EDITORA</v>
      </c>
      <c r="Z1017" s="31"/>
      <c r="AA1017" s="31" t="str">
        <f>Tabela2[[#This Row],[ILUSTRADOR CRIAÇÃO]]</f>
        <v>SERGIO LIMA/ARQUIVO DA EDITORA</v>
      </c>
      <c r="AB1017" s="33"/>
      <c r="AC1017" s="16"/>
      <c r="AE1017" s="35" t="str">
        <f t="shared" si="15"/>
        <v>EF1 E002 Mat</v>
      </c>
    </row>
    <row r="1018" spans="1:31" ht="30" x14ac:dyDescent="0.25">
      <c r="A1018" s="31" t="s">
        <v>2155</v>
      </c>
      <c r="B1018" s="16" t="s">
        <v>32</v>
      </c>
      <c r="C1018" s="16" t="s">
        <v>164</v>
      </c>
      <c r="D1018" s="33" t="s">
        <v>34</v>
      </c>
      <c r="E1018" s="33">
        <v>248</v>
      </c>
      <c r="F1018" s="33">
        <v>1</v>
      </c>
      <c r="G1018" s="33"/>
      <c r="H1018" s="33" t="s">
        <v>2137</v>
      </c>
      <c r="I1018" s="31" t="s">
        <v>46</v>
      </c>
      <c r="J1018" s="31"/>
      <c r="K1018" s="33"/>
      <c r="L1018" s="33"/>
      <c r="M1018" s="31"/>
      <c r="N1018" s="31"/>
      <c r="O1018" s="16" t="s">
        <v>2156</v>
      </c>
      <c r="P1018" s="16"/>
      <c r="Q1018" s="16"/>
      <c r="R1018" s="33"/>
      <c r="S1018" s="34"/>
      <c r="T1018" s="34"/>
      <c r="U1018" s="34"/>
      <c r="V1018" s="34"/>
      <c r="W1018" s="34"/>
      <c r="X1018" s="33" t="s">
        <v>48</v>
      </c>
      <c r="Y1018" s="35" t="str">
        <f>IF(Tabela2[[#This Row],[SIGLA]]="","",VLOOKUP(Tabela2[[#This Row],[SIGLA]],Tabela1[[#All],[Sigla Arte]:[Crédito]],2,0))</f>
        <v>SERGIO LIMA/ARQUIVO DA EDITORA</v>
      </c>
      <c r="Z1018" s="31"/>
      <c r="AA1018" s="31" t="str">
        <f>Tabela2[[#This Row],[ILUSTRADOR CRIAÇÃO]]</f>
        <v>SERGIO LIMA/ARQUIVO DA EDITORA</v>
      </c>
      <c r="AB1018" s="33"/>
      <c r="AC1018" s="16"/>
      <c r="AE1018" s="35" t="str">
        <f t="shared" si="15"/>
        <v>EF1 E002 Mat</v>
      </c>
    </row>
    <row r="1019" spans="1:31" ht="30" x14ac:dyDescent="0.25">
      <c r="A1019" s="31" t="s">
        <v>2157</v>
      </c>
      <c r="B1019" s="16" t="s">
        <v>32</v>
      </c>
      <c r="C1019" s="16" t="s">
        <v>164</v>
      </c>
      <c r="D1019" s="33" t="s">
        <v>34</v>
      </c>
      <c r="E1019" s="33">
        <v>248</v>
      </c>
      <c r="F1019" s="33">
        <v>1</v>
      </c>
      <c r="G1019" s="33"/>
      <c r="H1019" s="33" t="s">
        <v>2137</v>
      </c>
      <c r="I1019" s="31" t="s">
        <v>46</v>
      </c>
      <c r="J1019" s="31"/>
      <c r="K1019" s="33"/>
      <c r="L1019" s="33"/>
      <c r="M1019" s="31"/>
      <c r="N1019" s="31"/>
      <c r="O1019" s="16" t="s">
        <v>2158</v>
      </c>
      <c r="P1019" s="16"/>
      <c r="Q1019" s="16"/>
      <c r="R1019" s="33"/>
      <c r="S1019" s="34"/>
      <c r="T1019" s="34"/>
      <c r="U1019" s="34"/>
      <c r="V1019" s="34"/>
      <c r="W1019" s="34"/>
      <c r="X1019" s="33" t="s">
        <v>48</v>
      </c>
      <c r="Y1019" s="35" t="str">
        <f>IF(Tabela2[[#This Row],[SIGLA]]="","",VLOOKUP(Tabela2[[#This Row],[SIGLA]],Tabela1[[#All],[Sigla Arte]:[Crédito]],2,0))</f>
        <v>SERGIO LIMA/ARQUIVO DA EDITORA</v>
      </c>
      <c r="Z1019" s="31"/>
      <c r="AA1019" s="31" t="str">
        <f>Tabela2[[#This Row],[ILUSTRADOR CRIAÇÃO]]</f>
        <v>SERGIO LIMA/ARQUIVO DA EDITORA</v>
      </c>
      <c r="AB1019" s="33"/>
      <c r="AC1019" s="16"/>
      <c r="AE1019" s="35" t="str">
        <f t="shared" si="15"/>
        <v>EF1 E002 Mat</v>
      </c>
    </row>
    <row r="1020" spans="1:31" ht="45" x14ac:dyDescent="0.25">
      <c r="A1020" s="31" t="s">
        <v>2159</v>
      </c>
      <c r="B1020" s="16" t="s">
        <v>32</v>
      </c>
      <c r="C1020" s="16" t="s">
        <v>164</v>
      </c>
      <c r="D1020" s="33" t="s">
        <v>34</v>
      </c>
      <c r="E1020" s="33">
        <v>249</v>
      </c>
      <c r="F1020" s="33">
        <v>1</v>
      </c>
      <c r="G1020" s="33"/>
      <c r="H1020" s="33" t="s">
        <v>2137</v>
      </c>
      <c r="I1020" s="31" t="s">
        <v>46</v>
      </c>
      <c r="J1020" s="31"/>
      <c r="K1020" s="33"/>
      <c r="L1020" s="33"/>
      <c r="M1020" s="31"/>
      <c r="N1020" s="31"/>
      <c r="O1020" s="16" t="s">
        <v>2160</v>
      </c>
      <c r="P1020" s="16"/>
      <c r="Q1020" s="16"/>
      <c r="R1020" s="33"/>
      <c r="S1020" s="34"/>
      <c r="T1020" s="34"/>
      <c r="U1020" s="34"/>
      <c r="V1020" s="34"/>
      <c r="W1020" s="34"/>
      <c r="X1020" s="33" t="s">
        <v>43</v>
      </c>
      <c r="Y1020" s="35" t="str">
        <f>IF(Tabela2[[#This Row],[SIGLA]]="","",VLOOKUP(Tabela2[[#This Row],[SIGLA]],Tabela1[[#All],[Sigla Arte]:[Crédito]],2,0))</f>
        <v>GUILHERME RODRIGUES/ARQUIVO DA EDITORA</v>
      </c>
      <c r="Z1020" s="31"/>
      <c r="AA1020" s="31" t="str">
        <f>Tabela2[[#This Row],[ILUSTRADOR CRIAÇÃO]]</f>
        <v>GUILHERME RODRIGUES/ARQUIVO DA EDITORA</v>
      </c>
      <c r="AB1020" s="33"/>
      <c r="AC1020" s="16"/>
      <c r="AE1020" s="35" t="str">
        <f t="shared" si="15"/>
        <v>EF1 E002 Mat</v>
      </c>
    </row>
    <row r="1021" spans="1:31" ht="45" x14ac:dyDescent="0.25">
      <c r="A1021" s="31" t="s">
        <v>2161</v>
      </c>
      <c r="B1021" s="16" t="s">
        <v>32</v>
      </c>
      <c r="C1021" s="16" t="s">
        <v>164</v>
      </c>
      <c r="D1021" s="33" t="s">
        <v>34</v>
      </c>
      <c r="E1021" s="33">
        <v>249</v>
      </c>
      <c r="F1021" s="33">
        <v>1</v>
      </c>
      <c r="G1021" s="33"/>
      <c r="H1021" s="33" t="s">
        <v>2137</v>
      </c>
      <c r="I1021" s="31" t="s">
        <v>46</v>
      </c>
      <c r="J1021" s="31"/>
      <c r="K1021" s="33"/>
      <c r="L1021" s="33"/>
      <c r="M1021" s="31"/>
      <c r="N1021" s="31"/>
      <c r="O1021" s="16" t="s">
        <v>2162</v>
      </c>
      <c r="P1021" s="16"/>
      <c r="Q1021" s="16"/>
      <c r="R1021" s="33"/>
      <c r="S1021" s="34"/>
      <c r="T1021" s="34"/>
      <c r="U1021" s="34"/>
      <c r="V1021" s="34"/>
      <c r="W1021" s="34"/>
      <c r="X1021" s="33" t="s">
        <v>43</v>
      </c>
      <c r="Y1021" s="35" t="str">
        <f>IF(Tabela2[[#This Row],[SIGLA]]="","",VLOOKUP(Tabela2[[#This Row],[SIGLA]],Tabela1[[#All],[Sigla Arte]:[Crédito]],2,0))</f>
        <v>GUILHERME RODRIGUES/ARQUIVO DA EDITORA</v>
      </c>
      <c r="Z1021" s="31"/>
      <c r="AA1021" s="31" t="str">
        <f>Tabela2[[#This Row],[ILUSTRADOR CRIAÇÃO]]</f>
        <v>GUILHERME RODRIGUES/ARQUIVO DA EDITORA</v>
      </c>
      <c r="AB1021" s="33"/>
      <c r="AC1021" s="16"/>
      <c r="AE1021" s="35" t="str">
        <f t="shared" si="15"/>
        <v>EF1 E002 Mat</v>
      </c>
    </row>
    <row r="1022" spans="1:31" ht="45" x14ac:dyDescent="0.25">
      <c r="A1022" s="31" t="s">
        <v>2163</v>
      </c>
      <c r="B1022" s="16" t="s">
        <v>32</v>
      </c>
      <c r="C1022" s="16" t="s">
        <v>164</v>
      </c>
      <c r="D1022" s="33" t="s">
        <v>34</v>
      </c>
      <c r="E1022" s="33">
        <v>249</v>
      </c>
      <c r="F1022" s="33">
        <v>1</v>
      </c>
      <c r="G1022" s="33"/>
      <c r="H1022" s="33" t="s">
        <v>2137</v>
      </c>
      <c r="I1022" s="31" t="s">
        <v>46</v>
      </c>
      <c r="J1022" s="31"/>
      <c r="K1022" s="33"/>
      <c r="L1022" s="33"/>
      <c r="M1022" s="31"/>
      <c r="N1022" s="31"/>
      <c r="O1022" s="16" t="s">
        <v>2164</v>
      </c>
      <c r="P1022" s="16"/>
      <c r="Q1022" s="16"/>
      <c r="R1022" s="33"/>
      <c r="S1022" s="34"/>
      <c r="T1022" s="34"/>
      <c r="U1022" s="34"/>
      <c r="V1022" s="34"/>
      <c r="W1022" s="34"/>
      <c r="X1022" s="33" t="s">
        <v>43</v>
      </c>
      <c r="Y1022" s="35" t="str">
        <f>IF(Tabela2[[#This Row],[SIGLA]]="","",VLOOKUP(Tabela2[[#This Row],[SIGLA]],Tabela1[[#All],[Sigla Arte]:[Crédito]],2,0))</f>
        <v>GUILHERME RODRIGUES/ARQUIVO DA EDITORA</v>
      </c>
      <c r="Z1022" s="31"/>
      <c r="AA1022" s="31" t="str">
        <f>Tabela2[[#This Row],[ILUSTRADOR CRIAÇÃO]]</f>
        <v>GUILHERME RODRIGUES/ARQUIVO DA EDITORA</v>
      </c>
      <c r="AB1022" s="33"/>
      <c r="AC1022" s="16"/>
      <c r="AE1022" s="35" t="str">
        <f t="shared" si="15"/>
        <v>EF1 E002 Mat</v>
      </c>
    </row>
    <row r="1023" spans="1:31" ht="45" x14ac:dyDescent="0.25">
      <c r="A1023" s="31" t="s">
        <v>2165</v>
      </c>
      <c r="B1023" s="16" t="s">
        <v>32</v>
      </c>
      <c r="C1023" s="16" t="s">
        <v>164</v>
      </c>
      <c r="D1023" s="33" t="s">
        <v>34</v>
      </c>
      <c r="E1023" s="33">
        <v>249</v>
      </c>
      <c r="F1023" s="33">
        <v>1</v>
      </c>
      <c r="G1023" s="33"/>
      <c r="H1023" s="33" t="s">
        <v>2137</v>
      </c>
      <c r="I1023" s="31" t="s">
        <v>46</v>
      </c>
      <c r="J1023" s="31"/>
      <c r="K1023" s="33"/>
      <c r="L1023" s="33"/>
      <c r="M1023" s="31"/>
      <c r="N1023" s="31"/>
      <c r="O1023" s="16" t="s">
        <v>2166</v>
      </c>
      <c r="P1023" s="16"/>
      <c r="Q1023" s="16"/>
      <c r="R1023" s="33"/>
      <c r="S1023" s="34"/>
      <c r="T1023" s="34"/>
      <c r="U1023" s="34"/>
      <c r="V1023" s="34"/>
      <c r="W1023" s="34"/>
      <c r="X1023" s="33" t="s">
        <v>43</v>
      </c>
      <c r="Y1023" s="35" t="str">
        <f>IF(Tabela2[[#This Row],[SIGLA]]="","",VLOOKUP(Tabela2[[#This Row],[SIGLA]],Tabela1[[#All],[Sigla Arte]:[Crédito]],2,0))</f>
        <v>GUILHERME RODRIGUES/ARQUIVO DA EDITORA</v>
      </c>
      <c r="Z1023" s="31"/>
      <c r="AA1023" s="31" t="str">
        <f>Tabela2[[#This Row],[ILUSTRADOR CRIAÇÃO]]</f>
        <v>GUILHERME RODRIGUES/ARQUIVO DA EDITORA</v>
      </c>
      <c r="AB1023" s="33"/>
      <c r="AC1023" s="16"/>
      <c r="AE1023" s="35" t="str">
        <f t="shared" si="15"/>
        <v>EF1 E002 Mat</v>
      </c>
    </row>
    <row r="1024" spans="1:31" ht="60" x14ac:dyDescent="0.25">
      <c r="A1024" s="31" t="s">
        <v>2167</v>
      </c>
      <c r="B1024" s="16" t="s">
        <v>32</v>
      </c>
      <c r="C1024" s="16" t="s">
        <v>33</v>
      </c>
      <c r="D1024" s="33" t="s">
        <v>34</v>
      </c>
      <c r="E1024" s="33">
        <v>250</v>
      </c>
      <c r="F1024" s="33">
        <v>1</v>
      </c>
      <c r="G1024" s="33"/>
      <c r="H1024" s="33" t="s">
        <v>2137</v>
      </c>
      <c r="I1024" s="31" t="s">
        <v>46</v>
      </c>
      <c r="J1024" s="31"/>
      <c r="K1024" s="33"/>
      <c r="L1024" s="33"/>
      <c r="M1024" s="31"/>
      <c r="N1024" s="31"/>
      <c r="O1024" s="16" t="s">
        <v>2168</v>
      </c>
      <c r="P1024" s="16"/>
      <c r="Q1024" s="16"/>
      <c r="R1024" s="33"/>
      <c r="S1024" s="34"/>
      <c r="T1024" s="34"/>
      <c r="U1024" s="34"/>
      <c r="V1024" s="34"/>
      <c r="W1024" s="34"/>
      <c r="X1024" s="33" t="s">
        <v>162</v>
      </c>
      <c r="Y1024" s="35" t="str">
        <f>IF(Tabela2[[#This Row],[SIGLA]]="","",VLOOKUP(Tabela2[[#This Row],[SIGLA]],Tabela1[[#All],[Sigla Arte]:[Crédito]],2,0))</f>
        <v>IVY NUNES/ARQUIVO DA EDITORA</v>
      </c>
      <c r="Z1024" s="31"/>
      <c r="AA1024" s="31" t="str">
        <f>Tabela2[[#This Row],[ILUSTRADOR CRIAÇÃO]]</f>
        <v>IVY NUNES/ARQUIVO DA EDITORA</v>
      </c>
      <c r="AB1024" s="33"/>
      <c r="AC1024" s="16"/>
      <c r="AE1024" s="35" t="str">
        <f t="shared" si="15"/>
        <v>EF1 E002 Mat</v>
      </c>
    </row>
    <row r="1025" spans="1:31" ht="45" x14ac:dyDescent="0.25">
      <c r="A1025" s="31" t="s">
        <v>2169</v>
      </c>
      <c r="B1025" s="16" t="s">
        <v>32</v>
      </c>
      <c r="C1025" s="16" t="s">
        <v>33</v>
      </c>
      <c r="D1025" s="33" t="s">
        <v>34</v>
      </c>
      <c r="E1025" s="33">
        <v>250</v>
      </c>
      <c r="F1025" s="33">
        <v>1</v>
      </c>
      <c r="G1025" s="33"/>
      <c r="H1025" s="33" t="s">
        <v>2137</v>
      </c>
      <c r="I1025" s="31" t="s">
        <v>35</v>
      </c>
      <c r="J1025" s="31"/>
      <c r="K1025" s="33"/>
      <c r="L1025" s="33"/>
      <c r="M1025" s="31"/>
      <c r="N1025" s="31"/>
      <c r="O1025" s="16" t="s">
        <v>2170</v>
      </c>
      <c r="P1025" s="16"/>
      <c r="Q1025" s="16"/>
      <c r="R1025" s="33"/>
      <c r="S1025" s="34">
        <v>166</v>
      </c>
      <c r="T1025" s="34">
        <v>45917</v>
      </c>
      <c r="U1025" s="34"/>
      <c r="V1025" s="34"/>
      <c r="W1025" s="34">
        <v>45917</v>
      </c>
      <c r="X1025" s="33" t="s">
        <v>162</v>
      </c>
      <c r="Y1025" s="35" t="str">
        <f>IF(Tabela2[[#This Row],[SIGLA]]="","",VLOOKUP(Tabela2[[#This Row],[SIGLA]],Tabela1[[#All],[Sigla Arte]:[Crédito]],2,0))</f>
        <v>IVY NUNES/ARQUIVO DA EDITORA</v>
      </c>
      <c r="Z1025" s="31" t="s">
        <v>383</v>
      </c>
      <c r="AA1025" s="31" t="str">
        <f>Tabela2[[#This Row],[ILUSTRADOR CRIAÇÃO]]</f>
        <v>IVY NUNES/ARQUIVO DA EDITORA</v>
      </c>
      <c r="AB1025" s="33">
        <v>13</v>
      </c>
      <c r="AC1025" s="16" t="s">
        <v>405</v>
      </c>
      <c r="AD1025" s="16" t="s">
        <v>40</v>
      </c>
      <c r="AE1025" s="35" t="str">
        <f t="shared" si="15"/>
        <v>EF1 E002 Mat</v>
      </c>
    </row>
    <row r="1026" spans="1:31" ht="45" x14ac:dyDescent="0.25">
      <c r="A1026" s="31" t="s">
        <v>2171</v>
      </c>
      <c r="B1026" s="16" t="s">
        <v>32</v>
      </c>
      <c r="C1026" s="16" t="s">
        <v>33</v>
      </c>
      <c r="D1026" s="33" t="s">
        <v>34</v>
      </c>
      <c r="E1026" s="33">
        <v>250</v>
      </c>
      <c r="F1026" s="33">
        <v>1</v>
      </c>
      <c r="G1026" s="33"/>
      <c r="H1026" s="33" t="s">
        <v>2137</v>
      </c>
      <c r="I1026" s="31" t="s">
        <v>46</v>
      </c>
      <c r="J1026" s="31"/>
      <c r="K1026" s="33"/>
      <c r="L1026" s="33"/>
      <c r="M1026" s="31"/>
      <c r="N1026" s="31"/>
      <c r="O1026" s="16" t="s">
        <v>2172</v>
      </c>
      <c r="P1026" s="16"/>
      <c r="Q1026" s="16"/>
      <c r="R1026" s="33"/>
      <c r="S1026" s="34"/>
      <c r="T1026" s="34"/>
      <c r="U1026" s="34"/>
      <c r="V1026" s="34"/>
      <c r="W1026" s="34"/>
      <c r="X1026" s="33" t="s">
        <v>162</v>
      </c>
      <c r="Y1026" s="35" t="str">
        <f>IF(Tabela2[[#This Row],[SIGLA]]="","",VLOOKUP(Tabela2[[#This Row],[SIGLA]],Tabela1[[#All],[Sigla Arte]:[Crédito]],2,0))</f>
        <v>IVY NUNES/ARQUIVO DA EDITORA</v>
      </c>
      <c r="Z1026" s="31"/>
      <c r="AA1026" s="31" t="str">
        <f>Tabela2[[#This Row],[ILUSTRADOR CRIAÇÃO]]</f>
        <v>IVY NUNES/ARQUIVO DA EDITORA</v>
      </c>
      <c r="AB1026" s="33"/>
      <c r="AC1026" s="16"/>
      <c r="AE1026" s="35" t="str">
        <f t="shared" ref="AE1026:AE1089" si="16">"EF1 E002 Mat"</f>
        <v>EF1 E002 Mat</v>
      </c>
    </row>
    <row r="1027" spans="1:31" ht="75" x14ac:dyDescent="0.25">
      <c r="A1027" s="31" t="s">
        <v>2173</v>
      </c>
      <c r="B1027" s="16" t="s">
        <v>32</v>
      </c>
      <c r="C1027" s="16" t="s">
        <v>327</v>
      </c>
      <c r="D1027" s="33" t="s">
        <v>34</v>
      </c>
      <c r="E1027" s="33">
        <v>251</v>
      </c>
      <c r="F1027" s="33">
        <v>1</v>
      </c>
      <c r="G1027" s="33"/>
      <c r="H1027" s="33" t="s">
        <v>2137</v>
      </c>
      <c r="I1027" s="31" t="s">
        <v>35</v>
      </c>
      <c r="J1027" s="31"/>
      <c r="K1027" s="33"/>
      <c r="L1027" s="33"/>
      <c r="M1027" s="31"/>
      <c r="N1027" s="31"/>
      <c r="O1027" s="16" t="s">
        <v>2174</v>
      </c>
      <c r="P1027" s="16"/>
      <c r="Q1027" s="16"/>
      <c r="R1027" s="33">
        <v>20</v>
      </c>
      <c r="S1027" s="34">
        <v>45750</v>
      </c>
      <c r="T1027" s="34">
        <v>45750</v>
      </c>
      <c r="U1027" s="34"/>
      <c r="V1027" s="34"/>
      <c r="W1027" s="34">
        <v>45751</v>
      </c>
      <c r="X1027" s="33" t="s">
        <v>48</v>
      </c>
      <c r="Y1027" s="35" t="str">
        <f>IF(Tabela2[[#This Row],[SIGLA]]="","",VLOOKUP(Tabela2[[#This Row],[SIGLA]],Tabela1[[#All],[Sigla Arte]:[Crédito]],2,0))</f>
        <v>SERGIO LIMA/ARQUIVO DA EDITORA</v>
      </c>
      <c r="Z1027" s="31" t="s">
        <v>38</v>
      </c>
      <c r="AA1027" s="31" t="str">
        <f>Tabela2[[#This Row],[ILUSTRADOR CRIAÇÃO]]</f>
        <v>SERGIO LIMA/ARQUIVO DA EDITORA</v>
      </c>
      <c r="AB1027" s="33">
        <v>14</v>
      </c>
      <c r="AC1027" s="16" t="s">
        <v>39</v>
      </c>
      <c r="AD1027" s="16" t="s">
        <v>40</v>
      </c>
      <c r="AE1027" s="35" t="str">
        <f t="shared" si="16"/>
        <v>EF1 E002 Mat</v>
      </c>
    </row>
    <row r="1028" spans="1:31" ht="45" x14ac:dyDescent="0.25">
      <c r="A1028" s="31" t="s">
        <v>2175</v>
      </c>
      <c r="B1028" s="16" t="s">
        <v>32</v>
      </c>
      <c r="C1028" s="16" t="s">
        <v>33</v>
      </c>
      <c r="D1028" s="33" t="s">
        <v>34</v>
      </c>
      <c r="E1028" s="33">
        <v>48</v>
      </c>
      <c r="F1028" s="33">
        <v>3</v>
      </c>
      <c r="G1028" s="33">
        <v>3</v>
      </c>
      <c r="H1028" s="33"/>
      <c r="I1028" s="31" t="s">
        <v>46</v>
      </c>
      <c r="J1028" s="31"/>
      <c r="K1028" s="33"/>
      <c r="L1028" s="33"/>
      <c r="M1028" s="31"/>
      <c r="N1028" s="31"/>
      <c r="O1028" s="16" t="s">
        <v>2176</v>
      </c>
      <c r="P1028" s="16"/>
      <c r="Q1028" s="16"/>
      <c r="R1028" s="33"/>
      <c r="S1028" s="34"/>
      <c r="T1028" s="34"/>
      <c r="U1028" s="34"/>
      <c r="V1028" s="34"/>
      <c r="W1028" s="34"/>
      <c r="X1028" s="33" t="s">
        <v>247</v>
      </c>
      <c r="Y1028" s="35" t="str">
        <f>IF(Tabela2[[#This Row],[SIGLA]]="","",VLOOKUP(Tabela2[[#This Row],[SIGLA]],Tabela1[[#All],[Sigla Arte]:[Crédito]],2,0))</f>
        <v>THAIS CASTRO/ARQUIVO DA EDITORA</v>
      </c>
      <c r="Z1028" s="31"/>
      <c r="AA1028" s="31" t="str">
        <f>Tabela2[[#This Row],[ILUSTRADOR CRIAÇÃO]]</f>
        <v>THAIS CASTRO/ARQUIVO DA EDITORA</v>
      </c>
      <c r="AB1028" s="33"/>
      <c r="AC1028" s="16"/>
      <c r="AE1028" s="35" t="str">
        <f t="shared" si="16"/>
        <v>EF1 E002 Mat</v>
      </c>
    </row>
    <row r="1029" spans="1:31" ht="45" x14ac:dyDescent="0.25">
      <c r="A1029" s="31" t="s">
        <v>2177</v>
      </c>
      <c r="B1029" s="16" t="s">
        <v>32</v>
      </c>
      <c r="C1029" s="16" t="s">
        <v>164</v>
      </c>
      <c r="D1029" s="33" t="s">
        <v>34</v>
      </c>
      <c r="E1029" s="33">
        <v>48</v>
      </c>
      <c r="F1029" s="33">
        <v>3</v>
      </c>
      <c r="G1029" s="33">
        <v>3</v>
      </c>
      <c r="H1029" s="33"/>
      <c r="I1029" s="31" t="s">
        <v>46</v>
      </c>
      <c r="J1029" s="31"/>
      <c r="K1029" s="33"/>
      <c r="L1029" s="33"/>
      <c r="M1029" s="31"/>
      <c r="N1029" s="31"/>
      <c r="O1029" s="16" t="s">
        <v>2178</v>
      </c>
      <c r="P1029" s="16"/>
      <c r="Q1029" s="16"/>
      <c r="R1029" s="33"/>
      <c r="S1029" s="34"/>
      <c r="T1029" s="34"/>
      <c r="U1029" s="34"/>
      <c r="V1029" s="34"/>
      <c r="W1029" s="34"/>
      <c r="X1029" s="33" t="s">
        <v>470</v>
      </c>
      <c r="Y1029" s="35" t="str">
        <f>IF(Tabela2[[#This Row],[SIGLA]]="","",VLOOKUP(Tabela2[[#This Row],[SIGLA]],Tabela1[[#All],[Sigla Arte]:[Crédito]],2,0))</f>
        <v>RENAN FONSECA/ARQUIVO DA EDITORA</v>
      </c>
      <c r="Z1029" s="31"/>
      <c r="AA1029" s="31" t="str">
        <f>Tabela2[[#This Row],[ILUSTRADOR CRIAÇÃO]]</f>
        <v>RENAN FONSECA/ARQUIVO DA EDITORA</v>
      </c>
      <c r="AB1029" s="33"/>
      <c r="AC1029" s="16"/>
      <c r="AE1029" s="35" t="str">
        <f t="shared" si="16"/>
        <v>EF1 E002 Mat</v>
      </c>
    </row>
    <row r="1030" spans="1:31" ht="45" x14ac:dyDescent="0.25">
      <c r="A1030" s="31" t="s">
        <v>2179</v>
      </c>
      <c r="B1030" s="16" t="s">
        <v>32</v>
      </c>
      <c r="C1030" s="16" t="s">
        <v>164</v>
      </c>
      <c r="D1030" s="33" t="s">
        <v>34</v>
      </c>
      <c r="E1030" s="33">
        <v>48</v>
      </c>
      <c r="F1030" s="33">
        <v>3</v>
      </c>
      <c r="G1030" s="33">
        <v>3</v>
      </c>
      <c r="H1030" s="33"/>
      <c r="I1030" s="31" t="s">
        <v>46</v>
      </c>
      <c r="J1030" s="31"/>
      <c r="K1030" s="33"/>
      <c r="L1030" s="33"/>
      <c r="M1030" s="31"/>
      <c r="N1030" s="31"/>
      <c r="O1030" s="16" t="s">
        <v>2180</v>
      </c>
      <c r="P1030" s="16"/>
      <c r="Q1030" s="16"/>
      <c r="R1030" s="33"/>
      <c r="S1030" s="34"/>
      <c r="T1030" s="34"/>
      <c r="U1030" s="34"/>
      <c r="V1030" s="34"/>
      <c r="W1030" s="34"/>
      <c r="X1030" s="33" t="s">
        <v>470</v>
      </c>
      <c r="Y1030" s="35" t="str">
        <f>IF(Tabela2[[#This Row],[SIGLA]]="","",VLOOKUP(Tabela2[[#This Row],[SIGLA]],Tabela1[[#All],[Sigla Arte]:[Crédito]],2,0))</f>
        <v>RENAN FONSECA/ARQUIVO DA EDITORA</v>
      </c>
      <c r="Z1030" s="31"/>
      <c r="AA1030" s="31" t="str">
        <f>Tabela2[[#This Row],[ILUSTRADOR CRIAÇÃO]]</f>
        <v>RENAN FONSECA/ARQUIVO DA EDITORA</v>
      </c>
      <c r="AB1030" s="33"/>
      <c r="AC1030" s="16"/>
      <c r="AE1030" s="35" t="str">
        <f t="shared" si="16"/>
        <v>EF1 E002 Mat</v>
      </c>
    </row>
    <row r="1031" spans="1:31" ht="45" x14ac:dyDescent="0.25">
      <c r="A1031" s="31" t="s">
        <v>2181</v>
      </c>
      <c r="B1031" s="16" t="s">
        <v>32</v>
      </c>
      <c r="C1031" s="16" t="s">
        <v>164</v>
      </c>
      <c r="D1031" s="33" t="s">
        <v>34</v>
      </c>
      <c r="E1031" s="33">
        <v>49</v>
      </c>
      <c r="F1031" s="33">
        <v>3</v>
      </c>
      <c r="G1031" s="33">
        <v>3</v>
      </c>
      <c r="H1031" s="33"/>
      <c r="I1031" s="31" t="s">
        <v>46</v>
      </c>
      <c r="J1031" s="31"/>
      <c r="K1031" s="33"/>
      <c r="L1031" s="33"/>
      <c r="M1031" s="31"/>
      <c r="N1031" s="31"/>
      <c r="O1031" s="16" t="s">
        <v>2182</v>
      </c>
      <c r="P1031" s="16"/>
      <c r="Q1031" s="16"/>
      <c r="R1031" s="33"/>
      <c r="S1031" s="34"/>
      <c r="T1031" s="34"/>
      <c r="U1031" s="34"/>
      <c r="V1031" s="34"/>
      <c r="W1031" s="34"/>
      <c r="X1031" s="33" t="s">
        <v>470</v>
      </c>
      <c r="Y1031" s="35" t="str">
        <f>IF(Tabela2[[#This Row],[SIGLA]]="","",VLOOKUP(Tabela2[[#This Row],[SIGLA]],Tabela1[[#All],[Sigla Arte]:[Crédito]],2,0))</f>
        <v>RENAN FONSECA/ARQUIVO DA EDITORA</v>
      </c>
      <c r="Z1031" s="31"/>
      <c r="AA1031" s="31" t="str">
        <f>Tabela2[[#This Row],[ILUSTRADOR CRIAÇÃO]]</f>
        <v>RENAN FONSECA/ARQUIVO DA EDITORA</v>
      </c>
      <c r="AB1031" s="33"/>
      <c r="AC1031" s="16"/>
      <c r="AE1031" s="35" t="str">
        <f t="shared" si="16"/>
        <v>EF1 E002 Mat</v>
      </c>
    </row>
    <row r="1032" spans="1:31" ht="30" x14ac:dyDescent="0.25">
      <c r="A1032" s="31" t="s">
        <v>2183</v>
      </c>
      <c r="B1032" s="16" t="s">
        <v>32</v>
      </c>
      <c r="C1032" s="16" t="s">
        <v>33</v>
      </c>
      <c r="D1032" s="33" t="s">
        <v>34</v>
      </c>
      <c r="E1032" s="33">
        <v>52</v>
      </c>
      <c r="F1032" s="33">
        <v>3</v>
      </c>
      <c r="G1032" s="33">
        <v>3</v>
      </c>
      <c r="H1032" s="33"/>
      <c r="I1032" s="31" t="s">
        <v>46</v>
      </c>
      <c r="J1032" s="31"/>
      <c r="K1032" s="33"/>
      <c r="L1032" s="33"/>
      <c r="M1032" s="31"/>
      <c r="N1032" s="31"/>
      <c r="O1032" s="16" t="s">
        <v>2184</v>
      </c>
      <c r="P1032" s="16"/>
      <c r="Q1032" s="16"/>
      <c r="R1032" s="33"/>
      <c r="S1032" s="34"/>
      <c r="T1032" s="34"/>
      <c r="U1032" s="34"/>
      <c r="V1032" s="34"/>
      <c r="W1032" s="34"/>
      <c r="X1032" s="33" t="s">
        <v>85</v>
      </c>
      <c r="Y1032" s="35" t="str">
        <f>IF(Tabela2[[#This Row],[SIGLA]]="","",VLOOKUP(Tabela2[[#This Row],[SIGLA]],Tabela1[[#All],[Sigla Arte]:[Crédito]],2,0))</f>
        <v>HELOÍSA PINTARELLI/ARQUIVO DA EDITORA</v>
      </c>
      <c r="Z1032" s="31"/>
      <c r="AA1032" s="31" t="str">
        <f>Tabela2[[#This Row],[ILUSTRADOR CRIAÇÃO]]</f>
        <v>HELOÍSA PINTARELLI/ARQUIVO DA EDITORA</v>
      </c>
      <c r="AB1032" s="33"/>
      <c r="AC1032" s="16"/>
      <c r="AE1032" s="35" t="str">
        <f t="shared" si="16"/>
        <v>EF1 E002 Mat</v>
      </c>
    </row>
    <row r="1033" spans="1:31" ht="30" x14ac:dyDescent="0.25">
      <c r="A1033" s="31" t="s">
        <v>2185</v>
      </c>
      <c r="B1033" s="16" t="s">
        <v>32</v>
      </c>
      <c r="C1033" s="16" t="s">
        <v>164</v>
      </c>
      <c r="D1033" s="33" t="s">
        <v>34</v>
      </c>
      <c r="E1033" s="33">
        <v>53</v>
      </c>
      <c r="F1033" s="33">
        <v>3</v>
      </c>
      <c r="G1033" s="33">
        <v>3</v>
      </c>
      <c r="H1033" s="33"/>
      <c r="I1033" s="31" t="s">
        <v>46</v>
      </c>
      <c r="J1033" s="31"/>
      <c r="K1033" s="33"/>
      <c r="L1033" s="33"/>
      <c r="M1033" s="31"/>
      <c r="N1033" s="31"/>
      <c r="O1033" s="16" t="s">
        <v>2186</v>
      </c>
      <c r="P1033" s="16"/>
      <c r="Q1033" s="16"/>
      <c r="R1033" s="33"/>
      <c r="S1033" s="34"/>
      <c r="T1033" s="34"/>
      <c r="U1033" s="34"/>
      <c r="V1033" s="34"/>
      <c r="W1033" s="34"/>
      <c r="X1033" s="33" t="s">
        <v>1126</v>
      </c>
      <c r="Y1033" s="35" t="str">
        <f>IF(Tabela2[[#This Row],[SIGLA]]="","",VLOOKUP(Tabela2[[#This Row],[SIGLA]],Tabela1[[#All],[Sigla Arte]:[Crédito]],2,0))</f>
        <v>GUSTAVO CONTI/ARQUIVO DA EDITORA</v>
      </c>
      <c r="Z1033" s="31"/>
      <c r="AA1033" s="31" t="str">
        <f>Tabela2[[#This Row],[ILUSTRADOR CRIAÇÃO]]</f>
        <v>GUSTAVO CONTI/ARQUIVO DA EDITORA</v>
      </c>
      <c r="AB1033" s="33"/>
      <c r="AC1033" s="16"/>
      <c r="AE1033" s="35" t="str">
        <f t="shared" si="16"/>
        <v>EF1 E002 Mat</v>
      </c>
    </row>
    <row r="1034" spans="1:31" ht="75" x14ac:dyDescent="0.25">
      <c r="A1034" s="31" t="s">
        <v>2187</v>
      </c>
      <c r="B1034" s="16" t="s">
        <v>32</v>
      </c>
      <c r="C1034" s="16" t="s">
        <v>164</v>
      </c>
      <c r="D1034" s="33" t="s">
        <v>34</v>
      </c>
      <c r="E1034" s="33">
        <v>53</v>
      </c>
      <c r="F1034" s="33">
        <v>3</v>
      </c>
      <c r="G1034" s="33">
        <v>3</v>
      </c>
      <c r="H1034" s="33"/>
      <c r="I1034" s="31" t="s">
        <v>35</v>
      </c>
      <c r="J1034" s="31"/>
      <c r="K1034" s="33"/>
      <c r="L1034" s="33"/>
      <c r="M1034" s="31"/>
      <c r="N1034" s="31"/>
      <c r="O1034" s="16" t="s">
        <v>2188</v>
      </c>
      <c r="P1034" s="16"/>
      <c r="Q1034" s="16"/>
      <c r="R1034" s="33">
        <v>21</v>
      </c>
      <c r="S1034" s="34">
        <v>45751</v>
      </c>
      <c r="T1034" s="34">
        <v>45751</v>
      </c>
      <c r="U1034" s="34"/>
      <c r="V1034" s="34"/>
      <c r="W1034" s="34">
        <v>45754</v>
      </c>
      <c r="X1034" s="33" t="s">
        <v>48</v>
      </c>
      <c r="Y1034" s="35" t="str">
        <f>IF(Tabela2[[#This Row],[SIGLA]]="","",VLOOKUP(Tabela2[[#This Row],[SIGLA]],Tabela1[[#All],[Sigla Arte]:[Crédito]],2,0))</f>
        <v>SERGIO LIMA/ARQUIVO DA EDITORA</v>
      </c>
      <c r="Z1034" s="31" t="s">
        <v>539</v>
      </c>
      <c r="AA1034" s="31" t="str">
        <f>Tabela2[[#This Row],[ILUSTRADOR CRIAÇÃO]]</f>
        <v>SERGIO LIMA/ARQUIVO DA EDITORA</v>
      </c>
      <c r="AB1034" s="33">
        <v>14</v>
      </c>
      <c r="AC1034" s="16" t="s">
        <v>39</v>
      </c>
      <c r="AD1034" s="16" t="s">
        <v>40</v>
      </c>
      <c r="AE1034" s="35" t="str">
        <f t="shared" si="16"/>
        <v>EF1 E002 Mat</v>
      </c>
    </row>
    <row r="1035" spans="1:31" ht="75" x14ac:dyDescent="0.25">
      <c r="A1035" s="31" t="s">
        <v>2189</v>
      </c>
      <c r="B1035" s="16" t="s">
        <v>32</v>
      </c>
      <c r="C1035" s="16" t="s">
        <v>164</v>
      </c>
      <c r="D1035" s="33" t="s">
        <v>34</v>
      </c>
      <c r="E1035" s="33">
        <v>53</v>
      </c>
      <c r="F1035" s="33">
        <v>3</v>
      </c>
      <c r="G1035" s="33">
        <v>3</v>
      </c>
      <c r="H1035" s="33"/>
      <c r="I1035" s="31" t="s">
        <v>35</v>
      </c>
      <c r="J1035" s="31"/>
      <c r="K1035" s="33"/>
      <c r="L1035" s="33"/>
      <c r="M1035" s="31"/>
      <c r="N1035" s="31"/>
      <c r="O1035" s="16" t="s">
        <v>2190</v>
      </c>
      <c r="P1035" s="16"/>
      <c r="Q1035" s="16"/>
      <c r="R1035" s="33">
        <v>21</v>
      </c>
      <c r="S1035" s="34">
        <v>45751</v>
      </c>
      <c r="T1035" s="34">
        <v>45751</v>
      </c>
      <c r="U1035" s="34"/>
      <c r="V1035" s="34"/>
      <c r="W1035" s="34">
        <v>45754</v>
      </c>
      <c r="X1035" s="33" t="s">
        <v>48</v>
      </c>
      <c r="Y1035" s="35" t="str">
        <f>IF(Tabela2[[#This Row],[SIGLA]]="","",VLOOKUP(Tabela2[[#This Row],[SIGLA]],Tabela1[[#All],[Sigla Arte]:[Crédito]],2,0))</f>
        <v>SERGIO LIMA/ARQUIVO DA EDITORA</v>
      </c>
      <c r="Z1035" s="31" t="s">
        <v>539</v>
      </c>
      <c r="AA1035" s="31" t="str">
        <f>Tabela2[[#This Row],[ILUSTRADOR CRIAÇÃO]]</f>
        <v>SERGIO LIMA/ARQUIVO DA EDITORA</v>
      </c>
      <c r="AB1035" s="33">
        <v>14</v>
      </c>
      <c r="AC1035" s="16" t="s">
        <v>39</v>
      </c>
      <c r="AD1035" s="16" t="s">
        <v>40</v>
      </c>
      <c r="AE1035" s="35" t="str">
        <f t="shared" si="16"/>
        <v>EF1 E002 Mat</v>
      </c>
    </row>
    <row r="1036" spans="1:31" ht="90" x14ac:dyDescent="0.25">
      <c r="A1036" s="31" t="s">
        <v>2191</v>
      </c>
      <c r="B1036" s="16" t="s">
        <v>32</v>
      </c>
      <c r="C1036" s="16" t="s">
        <v>33</v>
      </c>
      <c r="D1036" s="33" t="s">
        <v>34</v>
      </c>
      <c r="E1036" s="33">
        <v>55</v>
      </c>
      <c r="F1036" s="33">
        <v>3</v>
      </c>
      <c r="G1036" s="33">
        <v>3</v>
      </c>
      <c r="H1036" s="33"/>
      <c r="I1036" s="31" t="s">
        <v>35</v>
      </c>
      <c r="J1036" s="31"/>
      <c r="K1036" s="33"/>
      <c r="L1036" s="33"/>
      <c r="M1036" s="31"/>
      <c r="N1036" s="31"/>
      <c r="O1036" s="16" t="s">
        <v>2192</v>
      </c>
      <c r="P1036" s="16"/>
      <c r="Q1036" s="16"/>
      <c r="R1036" s="33">
        <v>21</v>
      </c>
      <c r="S1036" s="34">
        <v>45751</v>
      </c>
      <c r="T1036" s="34">
        <v>45751</v>
      </c>
      <c r="U1036" s="34"/>
      <c r="V1036" s="34"/>
      <c r="W1036" s="34">
        <v>45754</v>
      </c>
      <c r="X1036" s="33" t="s">
        <v>247</v>
      </c>
      <c r="Y1036" s="35" t="str">
        <f>IF(Tabela2[[#This Row],[SIGLA]]="","",VLOOKUP(Tabela2[[#This Row],[SIGLA]],Tabela1[[#All],[Sigla Arte]:[Crédito]],2,0))</f>
        <v>THAIS CASTRO/ARQUIVO DA EDITORA</v>
      </c>
      <c r="Z1036" s="31" t="s">
        <v>539</v>
      </c>
      <c r="AA1036" s="31" t="str">
        <f>Tabela2[[#This Row],[ILUSTRADOR CRIAÇÃO]]</f>
        <v>THAIS CASTRO/ARQUIVO DA EDITORA</v>
      </c>
      <c r="AB1036" s="33">
        <v>14</v>
      </c>
      <c r="AC1036" s="16" t="s">
        <v>39</v>
      </c>
      <c r="AD1036" s="16" t="s">
        <v>40</v>
      </c>
      <c r="AE1036" s="35" t="str">
        <f t="shared" si="16"/>
        <v>EF1 E002 Mat</v>
      </c>
    </row>
    <row r="1037" spans="1:31" ht="45" x14ac:dyDescent="0.25">
      <c r="A1037" s="31" t="s">
        <v>2193</v>
      </c>
      <c r="B1037" s="16" t="s">
        <v>32</v>
      </c>
      <c r="C1037" s="16" t="s">
        <v>164</v>
      </c>
      <c r="D1037" s="33" t="s">
        <v>34</v>
      </c>
      <c r="E1037" s="33">
        <v>55</v>
      </c>
      <c r="F1037" s="33">
        <v>3</v>
      </c>
      <c r="G1037" s="33">
        <v>3</v>
      </c>
      <c r="H1037" s="33"/>
      <c r="I1037" s="31" t="s">
        <v>46</v>
      </c>
      <c r="J1037" s="31"/>
      <c r="K1037" s="33"/>
      <c r="L1037" s="33"/>
      <c r="M1037" s="31"/>
      <c r="N1037" s="31"/>
      <c r="O1037" s="16" t="s">
        <v>2194</v>
      </c>
      <c r="P1037" s="16"/>
      <c r="Q1037" s="16"/>
      <c r="R1037" s="33"/>
      <c r="S1037" s="34"/>
      <c r="T1037" s="34"/>
      <c r="U1037" s="34"/>
      <c r="V1037" s="34"/>
      <c r="W1037" s="34"/>
      <c r="X1037" s="33" t="s">
        <v>470</v>
      </c>
      <c r="Y1037" s="35" t="str">
        <f>IF(Tabela2[[#This Row],[SIGLA]]="","",VLOOKUP(Tabela2[[#This Row],[SIGLA]],Tabela1[[#All],[Sigla Arte]:[Crédito]],2,0))</f>
        <v>RENAN FONSECA/ARQUIVO DA EDITORA</v>
      </c>
      <c r="Z1037" s="31"/>
      <c r="AA1037" s="31" t="str">
        <f>Tabela2[[#This Row],[ILUSTRADOR CRIAÇÃO]]</f>
        <v>RENAN FONSECA/ARQUIVO DA EDITORA</v>
      </c>
      <c r="AB1037" s="33"/>
      <c r="AC1037" s="16"/>
      <c r="AE1037" s="35" t="str">
        <f t="shared" si="16"/>
        <v>EF1 E002 Mat</v>
      </c>
    </row>
    <row r="1038" spans="1:31" ht="45" x14ac:dyDescent="0.25">
      <c r="A1038" s="31" t="s">
        <v>2195</v>
      </c>
      <c r="B1038" s="16" t="s">
        <v>32</v>
      </c>
      <c r="C1038" s="16" t="s">
        <v>164</v>
      </c>
      <c r="D1038" s="33" t="s">
        <v>34</v>
      </c>
      <c r="E1038" s="33">
        <v>55</v>
      </c>
      <c r="F1038" s="33">
        <v>3</v>
      </c>
      <c r="G1038" s="33">
        <v>3</v>
      </c>
      <c r="H1038" s="33"/>
      <c r="I1038" s="31" t="s">
        <v>46</v>
      </c>
      <c r="J1038" s="31"/>
      <c r="K1038" s="33"/>
      <c r="L1038" s="33"/>
      <c r="M1038" s="31"/>
      <c r="N1038" s="31"/>
      <c r="O1038" s="16" t="s">
        <v>2196</v>
      </c>
      <c r="P1038" s="16"/>
      <c r="Q1038" s="16"/>
      <c r="R1038" s="33"/>
      <c r="S1038" s="34"/>
      <c r="T1038" s="34"/>
      <c r="U1038" s="34"/>
      <c r="V1038" s="34"/>
      <c r="W1038" s="34"/>
      <c r="X1038" s="33" t="s">
        <v>470</v>
      </c>
      <c r="Y1038" s="35" t="str">
        <f>IF(Tabela2[[#This Row],[SIGLA]]="","",VLOOKUP(Tabela2[[#This Row],[SIGLA]],Tabela1[[#All],[Sigla Arte]:[Crédito]],2,0))</f>
        <v>RENAN FONSECA/ARQUIVO DA EDITORA</v>
      </c>
      <c r="Z1038" s="31"/>
      <c r="AA1038" s="31" t="str">
        <f>Tabela2[[#This Row],[ILUSTRADOR CRIAÇÃO]]</f>
        <v>RENAN FONSECA/ARQUIVO DA EDITORA</v>
      </c>
      <c r="AB1038" s="33"/>
      <c r="AC1038" s="16"/>
      <c r="AE1038" s="35" t="str">
        <f t="shared" si="16"/>
        <v>EF1 E002 Mat</v>
      </c>
    </row>
    <row r="1039" spans="1:31" ht="45" x14ac:dyDescent="0.25">
      <c r="A1039" s="31" t="s">
        <v>2197</v>
      </c>
      <c r="B1039" s="16" t="s">
        <v>32</v>
      </c>
      <c r="C1039" s="16" t="s">
        <v>164</v>
      </c>
      <c r="D1039" s="33" t="s">
        <v>34</v>
      </c>
      <c r="E1039" s="33">
        <v>56</v>
      </c>
      <c r="F1039" s="33">
        <v>3</v>
      </c>
      <c r="G1039" s="33">
        <v>3</v>
      </c>
      <c r="H1039" s="33"/>
      <c r="I1039" s="31" t="s">
        <v>46</v>
      </c>
      <c r="J1039" s="31"/>
      <c r="K1039" s="33"/>
      <c r="L1039" s="33"/>
      <c r="M1039" s="31"/>
      <c r="N1039" s="31"/>
      <c r="O1039" s="16" t="s">
        <v>2198</v>
      </c>
      <c r="P1039" s="16"/>
      <c r="Q1039" s="16"/>
      <c r="R1039" s="33"/>
      <c r="S1039" s="34"/>
      <c r="T1039" s="34"/>
      <c r="U1039" s="34"/>
      <c r="V1039" s="34"/>
      <c r="W1039" s="34"/>
      <c r="X1039" s="33" t="s">
        <v>470</v>
      </c>
      <c r="Y1039" s="35" t="str">
        <f>IF(Tabela2[[#This Row],[SIGLA]]="","",VLOOKUP(Tabela2[[#This Row],[SIGLA]],Tabela1[[#All],[Sigla Arte]:[Crédito]],2,0))</f>
        <v>RENAN FONSECA/ARQUIVO DA EDITORA</v>
      </c>
      <c r="Z1039" s="31"/>
      <c r="AA1039" s="31" t="str">
        <f>Tabela2[[#This Row],[ILUSTRADOR CRIAÇÃO]]</f>
        <v>RENAN FONSECA/ARQUIVO DA EDITORA</v>
      </c>
      <c r="AB1039" s="33"/>
      <c r="AC1039" s="16"/>
      <c r="AE1039" s="35" t="str">
        <f t="shared" si="16"/>
        <v>EF1 E002 Mat</v>
      </c>
    </row>
    <row r="1040" spans="1:31" ht="30" x14ac:dyDescent="0.25">
      <c r="A1040" s="31" t="s">
        <v>2199</v>
      </c>
      <c r="B1040" s="16" t="s">
        <v>32</v>
      </c>
      <c r="C1040" s="16" t="s">
        <v>33</v>
      </c>
      <c r="D1040" s="33" t="s">
        <v>34</v>
      </c>
      <c r="E1040" s="33">
        <v>58</v>
      </c>
      <c r="F1040" s="33">
        <v>3</v>
      </c>
      <c r="G1040" s="33">
        <v>3</v>
      </c>
      <c r="H1040" s="33"/>
      <c r="I1040" s="31" t="s">
        <v>46</v>
      </c>
      <c r="J1040" s="31"/>
      <c r="K1040" s="33"/>
      <c r="L1040" s="33"/>
      <c r="M1040" s="31"/>
      <c r="N1040" s="31"/>
      <c r="O1040" s="16" t="s">
        <v>2200</v>
      </c>
      <c r="P1040" s="16"/>
      <c r="Q1040" s="16"/>
      <c r="R1040" s="33"/>
      <c r="S1040" s="34"/>
      <c r="T1040" s="34"/>
      <c r="U1040" s="34"/>
      <c r="V1040" s="34"/>
      <c r="W1040" s="34"/>
      <c r="X1040" s="33" t="s">
        <v>247</v>
      </c>
      <c r="Y1040" s="35" t="str">
        <f>IF(Tabela2[[#This Row],[SIGLA]]="","",VLOOKUP(Tabela2[[#This Row],[SIGLA]],Tabela1[[#All],[Sigla Arte]:[Crédito]],2,0))</f>
        <v>THAIS CASTRO/ARQUIVO DA EDITORA</v>
      </c>
      <c r="Z1040" s="31"/>
      <c r="AA1040" s="31" t="str">
        <f>Tabela2[[#This Row],[ILUSTRADOR CRIAÇÃO]]</f>
        <v>THAIS CASTRO/ARQUIVO DA EDITORA</v>
      </c>
      <c r="AB1040" s="33"/>
      <c r="AC1040" s="16"/>
      <c r="AE1040" s="35" t="str">
        <f t="shared" si="16"/>
        <v>EF1 E002 Mat</v>
      </c>
    </row>
    <row r="1041" spans="1:31" ht="30" x14ac:dyDescent="0.25">
      <c r="A1041" s="31" t="s">
        <v>2201</v>
      </c>
      <c r="B1041" s="16" t="s">
        <v>32</v>
      </c>
      <c r="C1041" s="16" t="s">
        <v>33</v>
      </c>
      <c r="D1041" s="33" t="s">
        <v>34</v>
      </c>
      <c r="E1041" s="33">
        <v>58</v>
      </c>
      <c r="F1041" s="33">
        <v>3</v>
      </c>
      <c r="G1041" s="33">
        <v>3</v>
      </c>
      <c r="H1041" s="33"/>
      <c r="I1041" s="31" t="s">
        <v>46</v>
      </c>
      <c r="J1041" s="31"/>
      <c r="K1041" s="33"/>
      <c r="L1041" s="33"/>
      <c r="M1041" s="31"/>
      <c r="N1041" s="31"/>
      <c r="O1041" s="16" t="s">
        <v>2202</v>
      </c>
      <c r="P1041" s="16"/>
      <c r="Q1041" s="16"/>
      <c r="R1041" s="33"/>
      <c r="S1041" s="34"/>
      <c r="T1041" s="34"/>
      <c r="U1041" s="34"/>
      <c r="V1041" s="34"/>
      <c r="W1041" s="34"/>
      <c r="X1041" s="33" t="s">
        <v>247</v>
      </c>
      <c r="Y1041" s="35" t="str">
        <f>IF(Tabela2[[#This Row],[SIGLA]]="","",VLOOKUP(Tabela2[[#This Row],[SIGLA]],Tabela1[[#All],[Sigla Arte]:[Crédito]],2,0))</f>
        <v>THAIS CASTRO/ARQUIVO DA EDITORA</v>
      </c>
      <c r="Z1041" s="31"/>
      <c r="AA1041" s="31" t="str">
        <f>Tabela2[[#This Row],[ILUSTRADOR CRIAÇÃO]]</f>
        <v>THAIS CASTRO/ARQUIVO DA EDITORA</v>
      </c>
      <c r="AB1041" s="33"/>
      <c r="AC1041" s="16"/>
      <c r="AE1041" s="35" t="str">
        <f t="shared" si="16"/>
        <v>EF1 E002 Mat</v>
      </c>
    </row>
    <row r="1042" spans="1:31" ht="45" x14ac:dyDescent="0.25">
      <c r="A1042" s="31" t="s">
        <v>2203</v>
      </c>
      <c r="B1042" s="16" t="s">
        <v>32</v>
      </c>
      <c r="C1042" s="16" t="s">
        <v>33</v>
      </c>
      <c r="D1042" s="33" t="s">
        <v>34</v>
      </c>
      <c r="E1042" s="33">
        <v>58</v>
      </c>
      <c r="F1042" s="33">
        <v>3</v>
      </c>
      <c r="G1042" s="33">
        <v>3</v>
      </c>
      <c r="H1042" s="33"/>
      <c r="I1042" s="31" t="s">
        <v>46</v>
      </c>
      <c r="J1042" s="31"/>
      <c r="K1042" s="33"/>
      <c r="L1042" s="33"/>
      <c r="M1042" s="31"/>
      <c r="N1042" s="31"/>
      <c r="O1042" s="16" t="s">
        <v>2204</v>
      </c>
      <c r="P1042" s="16"/>
      <c r="Q1042" s="16"/>
      <c r="R1042" s="33"/>
      <c r="S1042" s="34"/>
      <c r="T1042" s="34"/>
      <c r="U1042" s="34"/>
      <c r="V1042" s="34"/>
      <c r="W1042" s="34"/>
      <c r="X1042" s="33" t="s">
        <v>48</v>
      </c>
      <c r="Y1042" s="35" t="str">
        <f>IF(Tabela2[[#This Row],[SIGLA]]="","",VLOOKUP(Tabela2[[#This Row],[SIGLA]],Tabela1[[#All],[Sigla Arte]:[Crédito]],2,0))</f>
        <v>SERGIO LIMA/ARQUIVO DA EDITORA</v>
      </c>
      <c r="Z1042" s="31"/>
      <c r="AA1042" s="31" t="str">
        <f>Tabela2[[#This Row],[ILUSTRADOR CRIAÇÃO]]</f>
        <v>SERGIO LIMA/ARQUIVO DA EDITORA</v>
      </c>
      <c r="AB1042" s="33"/>
      <c r="AC1042" s="16"/>
      <c r="AE1042" s="35" t="str">
        <f t="shared" si="16"/>
        <v>EF1 E002 Mat</v>
      </c>
    </row>
    <row r="1043" spans="1:31" ht="90" x14ac:dyDescent="0.25">
      <c r="A1043" s="31" t="s">
        <v>2205</v>
      </c>
      <c r="B1043" s="16" t="s">
        <v>32</v>
      </c>
      <c r="C1043" s="16" t="s">
        <v>164</v>
      </c>
      <c r="D1043" s="33" t="s">
        <v>34</v>
      </c>
      <c r="E1043" s="33">
        <v>82</v>
      </c>
      <c r="F1043" s="33">
        <v>3</v>
      </c>
      <c r="G1043" s="33">
        <v>4</v>
      </c>
      <c r="H1043" s="33"/>
      <c r="I1043" s="31" t="s">
        <v>35</v>
      </c>
      <c r="J1043" s="31"/>
      <c r="K1043" s="33"/>
      <c r="L1043" s="33"/>
      <c r="M1043" s="31"/>
      <c r="N1043" s="31"/>
      <c r="O1043" s="16" t="s">
        <v>2206</v>
      </c>
      <c r="P1043" s="16"/>
      <c r="Q1043" s="16"/>
      <c r="R1043" s="33">
        <v>22</v>
      </c>
      <c r="S1043" s="34">
        <v>45753</v>
      </c>
      <c r="T1043" s="34">
        <v>45754</v>
      </c>
      <c r="U1043" s="34"/>
      <c r="V1043" s="34"/>
      <c r="W1043" s="34">
        <v>45754</v>
      </c>
      <c r="X1043" s="33" t="s">
        <v>184</v>
      </c>
      <c r="Y1043" s="35" t="str">
        <f>IF(Tabela2[[#This Row],[SIGLA]]="","",VLOOKUP(Tabela2[[#This Row],[SIGLA]],Tabela1[[#All],[Sigla Arte]:[Crédito]],2,0))</f>
        <v>VER DOCUMENTO DE ILS. TÉCNICAS</v>
      </c>
      <c r="Z1043" s="31" t="s">
        <v>38</v>
      </c>
      <c r="AA1043" s="31" t="s">
        <v>935</v>
      </c>
      <c r="AB1043" s="33">
        <v>13</v>
      </c>
      <c r="AC1043" s="16" t="s">
        <v>39</v>
      </c>
      <c r="AD1043" s="16" t="s">
        <v>40</v>
      </c>
      <c r="AE1043" s="35" t="str">
        <f t="shared" si="16"/>
        <v>EF1 E002 Mat</v>
      </c>
    </row>
    <row r="1044" spans="1:31" ht="45" x14ac:dyDescent="0.25">
      <c r="A1044" s="31" t="s">
        <v>2207</v>
      </c>
      <c r="B1044" s="16" t="s">
        <v>32</v>
      </c>
      <c r="C1044" s="16" t="s">
        <v>33</v>
      </c>
      <c r="D1044" s="33" t="s">
        <v>34</v>
      </c>
      <c r="E1044" s="33">
        <v>84</v>
      </c>
      <c r="F1044" s="33">
        <v>3</v>
      </c>
      <c r="G1044" s="33">
        <v>4</v>
      </c>
      <c r="H1044" s="33"/>
      <c r="I1044" s="31" t="s">
        <v>46</v>
      </c>
      <c r="J1044" s="31"/>
      <c r="K1044" s="33"/>
      <c r="L1044" s="33"/>
      <c r="M1044" s="31"/>
      <c r="N1044" s="31"/>
      <c r="O1044" s="16" t="s">
        <v>2208</v>
      </c>
      <c r="P1044" s="16"/>
      <c r="Q1044" s="16"/>
      <c r="R1044" s="33"/>
      <c r="S1044" s="34"/>
      <c r="T1044" s="34"/>
      <c r="U1044" s="34"/>
      <c r="V1044" s="34"/>
      <c r="W1044" s="34"/>
      <c r="X1044" s="33" t="s">
        <v>162</v>
      </c>
      <c r="Y1044" s="35" t="str">
        <f>IF(Tabela2[[#This Row],[SIGLA]]="","",VLOOKUP(Tabela2[[#This Row],[SIGLA]],Tabela1[[#All],[Sigla Arte]:[Crédito]],2,0))</f>
        <v>IVY NUNES/ARQUIVO DA EDITORA</v>
      </c>
      <c r="Z1044" s="31"/>
      <c r="AA1044" s="31" t="str">
        <f>Tabela2[[#This Row],[ILUSTRADOR CRIAÇÃO]]</f>
        <v>IVY NUNES/ARQUIVO DA EDITORA</v>
      </c>
      <c r="AB1044" s="33"/>
      <c r="AC1044" s="16"/>
      <c r="AE1044" s="35" t="str">
        <f t="shared" si="16"/>
        <v>EF1 E002 Mat</v>
      </c>
    </row>
    <row r="1045" spans="1:31" ht="75" x14ac:dyDescent="0.25">
      <c r="A1045" s="31" t="s">
        <v>2209</v>
      </c>
      <c r="B1045" s="16" t="s">
        <v>32</v>
      </c>
      <c r="C1045" s="16" t="s">
        <v>33</v>
      </c>
      <c r="D1045" s="33" t="s">
        <v>34</v>
      </c>
      <c r="E1045" s="33">
        <v>85</v>
      </c>
      <c r="F1045" s="33">
        <v>3</v>
      </c>
      <c r="G1045" s="33">
        <v>4</v>
      </c>
      <c r="H1045" s="33"/>
      <c r="I1045" s="31" t="s">
        <v>35</v>
      </c>
      <c r="J1045" s="31"/>
      <c r="K1045" s="33"/>
      <c r="L1045" s="33"/>
      <c r="M1045" s="31"/>
      <c r="N1045" s="31"/>
      <c r="O1045" s="16" t="s">
        <v>2210</v>
      </c>
      <c r="P1045" s="16"/>
      <c r="Q1045" s="16"/>
      <c r="R1045" s="33">
        <v>22</v>
      </c>
      <c r="S1045" s="34">
        <v>45753</v>
      </c>
      <c r="T1045" s="34">
        <v>45754</v>
      </c>
      <c r="U1045" s="34"/>
      <c r="V1045" s="34"/>
      <c r="W1045" s="34">
        <v>45754</v>
      </c>
      <c r="X1045" s="33" t="s">
        <v>162</v>
      </c>
      <c r="Y1045" s="35" t="str">
        <f>IF(Tabela2[[#This Row],[SIGLA]]="","",VLOOKUP(Tabela2[[#This Row],[SIGLA]],Tabela1[[#All],[Sigla Arte]:[Crédito]],2,0))</f>
        <v>IVY NUNES/ARQUIVO DA EDITORA</v>
      </c>
      <c r="Z1045" s="31" t="s">
        <v>38</v>
      </c>
      <c r="AA1045" s="31" t="str">
        <f>Tabela2[[#This Row],[ILUSTRADOR CRIAÇÃO]]</f>
        <v>IVY NUNES/ARQUIVO DA EDITORA</v>
      </c>
      <c r="AB1045" s="33">
        <v>13</v>
      </c>
      <c r="AC1045" s="16" t="s">
        <v>39</v>
      </c>
      <c r="AD1045" s="16" t="s">
        <v>40</v>
      </c>
      <c r="AE1045" s="35" t="str">
        <f t="shared" si="16"/>
        <v>EF1 E002 Mat</v>
      </c>
    </row>
    <row r="1046" spans="1:31" ht="45" x14ac:dyDescent="0.25">
      <c r="A1046" s="31" t="s">
        <v>2211</v>
      </c>
      <c r="B1046" s="16" t="s">
        <v>32</v>
      </c>
      <c r="C1046" s="16" t="s">
        <v>33</v>
      </c>
      <c r="D1046" s="33" t="s">
        <v>34</v>
      </c>
      <c r="E1046" s="33">
        <v>88</v>
      </c>
      <c r="F1046" s="33">
        <v>3</v>
      </c>
      <c r="G1046" s="33">
        <v>4</v>
      </c>
      <c r="H1046" s="33"/>
      <c r="I1046" s="31" t="s">
        <v>46</v>
      </c>
      <c r="J1046" s="31"/>
      <c r="K1046" s="33"/>
      <c r="L1046" s="33"/>
      <c r="M1046" s="31"/>
      <c r="N1046" s="31"/>
      <c r="O1046" s="16" t="s">
        <v>2212</v>
      </c>
      <c r="P1046" s="16"/>
      <c r="Q1046" s="16"/>
      <c r="R1046" s="33"/>
      <c r="S1046" s="34"/>
      <c r="T1046" s="34"/>
      <c r="U1046" s="34"/>
      <c r="V1046" s="34"/>
      <c r="W1046" s="34"/>
      <c r="X1046" s="33" t="s">
        <v>184</v>
      </c>
      <c r="Y1046" s="35" t="str">
        <f>IF(Tabela2[[#This Row],[SIGLA]]="","",VLOOKUP(Tabela2[[#This Row],[SIGLA]],Tabela1[[#All],[Sigla Arte]:[Crédito]],2,0))</f>
        <v>VER DOCUMENTO DE ILS. TÉCNICAS</v>
      </c>
      <c r="Z1046" s="31"/>
      <c r="AA1046" s="31" t="s">
        <v>921</v>
      </c>
      <c r="AB1046" s="33"/>
      <c r="AC1046" s="16"/>
      <c r="AE1046" s="35" t="str">
        <f t="shared" si="16"/>
        <v>EF1 E002 Mat</v>
      </c>
    </row>
    <row r="1047" spans="1:31" ht="30" x14ac:dyDescent="0.25">
      <c r="A1047" s="31" t="s">
        <v>2213</v>
      </c>
      <c r="B1047" s="16" t="s">
        <v>32</v>
      </c>
      <c r="C1047" s="16" t="s">
        <v>33</v>
      </c>
      <c r="D1047" s="33" t="s">
        <v>34</v>
      </c>
      <c r="E1047" s="33">
        <v>88</v>
      </c>
      <c r="F1047" s="33">
        <v>3</v>
      </c>
      <c r="G1047" s="33">
        <v>4</v>
      </c>
      <c r="H1047" s="33"/>
      <c r="I1047" s="31" t="s">
        <v>46</v>
      </c>
      <c r="J1047" s="31"/>
      <c r="K1047" s="33"/>
      <c r="L1047" s="33"/>
      <c r="M1047" s="31"/>
      <c r="N1047" s="31"/>
      <c r="O1047" s="16" t="s">
        <v>2214</v>
      </c>
      <c r="P1047" s="16"/>
      <c r="Q1047" s="16"/>
      <c r="R1047" s="33"/>
      <c r="S1047" s="34"/>
      <c r="T1047" s="34"/>
      <c r="U1047" s="34"/>
      <c r="V1047" s="34"/>
      <c r="W1047" s="34"/>
      <c r="X1047" s="33" t="s">
        <v>184</v>
      </c>
      <c r="Y1047" s="35" t="str">
        <f>IF(Tabela2[[#This Row],[SIGLA]]="","",VLOOKUP(Tabela2[[#This Row],[SIGLA]],Tabela1[[#All],[Sigla Arte]:[Crédito]],2,0))</f>
        <v>VER DOCUMENTO DE ILS. TÉCNICAS</v>
      </c>
      <c r="Z1047" s="31"/>
      <c r="AA1047" s="31" t="s">
        <v>921</v>
      </c>
      <c r="AB1047" s="33"/>
      <c r="AC1047" s="16"/>
      <c r="AE1047" s="35" t="str">
        <f t="shared" si="16"/>
        <v>EF1 E002 Mat</v>
      </c>
    </row>
    <row r="1048" spans="1:31" ht="45" x14ac:dyDescent="0.25">
      <c r="A1048" s="31" t="s">
        <v>2215</v>
      </c>
      <c r="B1048" s="16" t="s">
        <v>32</v>
      </c>
      <c r="C1048" s="16" t="s">
        <v>33</v>
      </c>
      <c r="D1048" s="33" t="s">
        <v>34</v>
      </c>
      <c r="E1048" s="33">
        <v>88</v>
      </c>
      <c r="F1048" s="33">
        <v>3</v>
      </c>
      <c r="G1048" s="33">
        <v>4</v>
      </c>
      <c r="H1048" s="33"/>
      <c r="I1048" s="31" t="s">
        <v>46</v>
      </c>
      <c r="J1048" s="31"/>
      <c r="K1048" s="33"/>
      <c r="L1048" s="33"/>
      <c r="M1048" s="31"/>
      <c r="N1048" s="31"/>
      <c r="O1048" s="16" t="s">
        <v>2216</v>
      </c>
      <c r="P1048" s="16"/>
      <c r="Q1048" s="16"/>
      <c r="R1048" s="33"/>
      <c r="S1048" s="34"/>
      <c r="T1048" s="34"/>
      <c r="U1048" s="34"/>
      <c r="V1048" s="34"/>
      <c r="W1048" s="34"/>
      <c r="X1048" s="33" t="s">
        <v>184</v>
      </c>
      <c r="Y1048" s="35" t="str">
        <f>IF(Tabela2[[#This Row],[SIGLA]]="","",VLOOKUP(Tabela2[[#This Row],[SIGLA]],Tabela1[[#All],[Sigla Arte]:[Crédito]],2,0))</f>
        <v>VER DOCUMENTO DE ILS. TÉCNICAS</v>
      </c>
      <c r="Z1048" s="31"/>
      <c r="AA1048" s="31" t="s">
        <v>921</v>
      </c>
      <c r="AB1048" s="33"/>
      <c r="AC1048" s="16"/>
      <c r="AE1048" s="35" t="str">
        <f t="shared" si="16"/>
        <v>EF1 E002 Mat</v>
      </c>
    </row>
    <row r="1049" spans="1:31" ht="45" x14ac:dyDescent="0.25">
      <c r="A1049" s="31" t="s">
        <v>2217</v>
      </c>
      <c r="B1049" s="16" t="s">
        <v>32</v>
      </c>
      <c r="C1049" s="16" t="s">
        <v>33</v>
      </c>
      <c r="D1049" s="33" t="s">
        <v>34</v>
      </c>
      <c r="E1049" s="33">
        <v>88</v>
      </c>
      <c r="F1049" s="33">
        <v>3</v>
      </c>
      <c r="G1049" s="33">
        <v>4</v>
      </c>
      <c r="H1049" s="33"/>
      <c r="I1049" s="31" t="s">
        <v>46</v>
      </c>
      <c r="J1049" s="31"/>
      <c r="K1049" s="33"/>
      <c r="L1049" s="33"/>
      <c r="M1049" s="31"/>
      <c r="N1049" s="31"/>
      <c r="O1049" s="16" t="s">
        <v>2218</v>
      </c>
      <c r="P1049" s="16"/>
      <c r="Q1049" s="16"/>
      <c r="R1049" s="33"/>
      <c r="S1049" s="34"/>
      <c r="T1049" s="34"/>
      <c r="U1049" s="34"/>
      <c r="V1049" s="34"/>
      <c r="W1049" s="34"/>
      <c r="X1049" s="33" t="s">
        <v>184</v>
      </c>
      <c r="Y1049" s="35" t="str">
        <f>IF(Tabela2[[#This Row],[SIGLA]]="","",VLOOKUP(Tabela2[[#This Row],[SIGLA]],Tabela1[[#All],[Sigla Arte]:[Crédito]],2,0))</f>
        <v>VER DOCUMENTO DE ILS. TÉCNICAS</v>
      </c>
      <c r="Z1049" s="31"/>
      <c r="AA1049" s="31" t="s">
        <v>921</v>
      </c>
      <c r="AB1049" s="33"/>
      <c r="AC1049" s="16"/>
      <c r="AE1049" s="35" t="str">
        <f t="shared" si="16"/>
        <v>EF1 E002 Mat</v>
      </c>
    </row>
    <row r="1050" spans="1:31" ht="45" x14ac:dyDescent="0.25">
      <c r="A1050" s="31" t="s">
        <v>2219</v>
      </c>
      <c r="B1050" s="16" t="s">
        <v>32</v>
      </c>
      <c r="C1050" s="16" t="s">
        <v>33</v>
      </c>
      <c r="D1050" s="33" t="s">
        <v>34</v>
      </c>
      <c r="E1050" s="33">
        <v>88</v>
      </c>
      <c r="F1050" s="33">
        <v>3</v>
      </c>
      <c r="G1050" s="33">
        <v>4</v>
      </c>
      <c r="H1050" s="33"/>
      <c r="I1050" s="31" t="s">
        <v>46</v>
      </c>
      <c r="J1050" s="31"/>
      <c r="K1050" s="33"/>
      <c r="L1050" s="33"/>
      <c r="M1050" s="31"/>
      <c r="N1050" s="31"/>
      <c r="O1050" s="16" t="s">
        <v>2220</v>
      </c>
      <c r="P1050" s="16"/>
      <c r="Q1050" s="16"/>
      <c r="R1050" s="33"/>
      <c r="S1050" s="34"/>
      <c r="T1050" s="34"/>
      <c r="U1050" s="34"/>
      <c r="V1050" s="34"/>
      <c r="W1050" s="34"/>
      <c r="X1050" s="33" t="s">
        <v>184</v>
      </c>
      <c r="Y1050" s="35" t="str">
        <f>IF(Tabela2[[#This Row],[SIGLA]]="","",VLOOKUP(Tabela2[[#This Row],[SIGLA]],Tabela1[[#All],[Sigla Arte]:[Crédito]],2,0))</f>
        <v>VER DOCUMENTO DE ILS. TÉCNICAS</v>
      </c>
      <c r="Z1050" s="31"/>
      <c r="AA1050" s="31" t="s">
        <v>921</v>
      </c>
      <c r="AB1050" s="33"/>
      <c r="AC1050" s="16"/>
      <c r="AE1050" s="35" t="str">
        <f t="shared" si="16"/>
        <v>EF1 E002 Mat</v>
      </c>
    </row>
    <row r="1051" spans="1:31" ht="45" x14ac:dyDescent="0.25">
      <c r="A1051" s="31" t="s">
        <v>2221</v>
      </c>
      <c r="B1051" s="16" t="s">
        <v>32</v>
      </c>
      <c r="C1051" s="16" t="s">
        <v>33</v>
      </c>
      <c r="D1051" s="33" t="s">
        <v>34</v>
      </c>
      <c r="E1051" s="33">
        <v>88</v>
      </c>
      <c r="F1051" s="33">
        <v>3</v>
      </c>
      <c r="G1051" s="33">
        <v>4</v>
      </c>
      <c r="H1051" s="33"/>
      <c r="I1051" s="31" t="s">
        <v>46</v>
      </c>
      <c r="J1051" s="31"/>
      <c r="K1051" s="33"/>
      <c r="L1051" s="33"/>
      <c r="M1051" s="31"/>
      <c r="N1051" s="31"/>
      <c r="O1051" s="16" t="s">
        <v>2222</v>
      </c>
      <c r="P1051" s="16"/>
      <c r="Q1051" s="16"/>
      <c r="R1051" s="33"/>
      <c r="S1051" s="34"/>
      <c r="T1051" s="34"/>
      <c r="U1051" s="34"/>
      <c r="V1051" s="34"/>
      <c r="W1051" s="34"/>
      <c r="X1051" s="33" t="s">
        <v>184</v>
      </c>
      <c r="Y1051" s="35" t="str">
        <f>IF(Tabela2[[#This Row],[SIGLA]]="","",VLOOKUP(Tabela2[[#This Row],[SIGLA]],Tabela1[[#All],[Sigla Arte]:[Crédito]],2,0))</f>
        <v>VER DOCUMENTO DE ILS. TÉCNICAS</v>
      </c>
      <c r="Z1051" s="31"/>
      <c r="AA1051" s="31" t="s">
        <v>921</v>
      </c>
      <c r="AB1051" s="33"/>
      <c r="AC1051" s="16"/>
      <c r="AE1051" s="35" t="str">
        <f t="shared" si="16"/>
        <v>EF1 E002 Mat</v>
      </c>
    </row>
    <row r="1052" spans="1:31" ht="45" x14ac:dyDescent="0.25">
      <c r="A1052" s="31" t="s">
        <v>2223</v>
      </c>
      <c r="B1052" s="16" t="s">
        <v>32</v>
      </c>
      <c r="C1052" s="16" t="s">
        <v>33</v>
      </c>
      <c r="D1052" s="33" t="s">
        <v>34</v>
      </c>
      <c r="E1052" s="33">
        <v>88</v>
      </c>
      <c r="F1052" s="33">
        <v>3</v>
      </c>
      <c r="G1052" s="33">
        <v>4</v>
      </c>
      <c r="H1052" s="33"/>
      <c r="I1052" s="31" t="s">
        <v>46</v>
      </c>
      <c r="J1052" s="31"/>
      <c r="K1052" s="33"/>
      <c r="L1052" s="33"/>
      <c r="M1052" s="31"/>
      <c r="N1052" s="31"/>
      <c r="O1052" s="16" t="s">
        <v>2224</v>
      </c>
      <c r="P1052" s="16"/>
      <c r="Q1052" s="16"/>
      <c r="R1052" s="33"/>
      <c r="S1052" s="34"/>
      <c r="T1052" s="34"/>
      <c r="U1052" s="34"/>
      <c r="V1052" s="34"/>
      <c r="W1052" s="34"/>
      <c r="X1052" s="33" t="s">
        <v>184</v>
      </c>
      <c r="Y1052" s="35" t="str">
        <f>IF(Tabela2[[#This Row],[SIGLA]]="","",VLOOKUP(Tabela2[[#This Row],[SIGLA]],Tabela1[[#All],[Sigla Arte]:[Crédito]],2,0))</f>
        <v>VER DOCUMENTO DE ILS. TÉCNICAS</v>
      </c>
      <c r="Z1052" s="31"/>
      <c r="AA1052" s="31" t="s">
        <v>921</v>
      </c>
      <c r="AB1052" s="33"/>
      <c r="AC1052" s="16"/>
      <c r="AE1052" s="35" t="str">
        <f t="shared" si="16"/>
        <v>EF1 E002 Mat</v>
      </c>
    </row>
    <row r="1053" spans="1:31" ht="45" x14ac:dyDescent="0.25">
      <c r="A1053" s="31" t="s">
        <v>2225</v>
      </c>
      <c r="B1053" s="16" t="s">
        <v>32</v>
      </c>
      <c r="C1053" s="16" t="s">
        <v>33</v>
      </c>
      <c r="D1053" s="33" t="s">
        <v>34</v>
      </c>
      <c r="E1053" s="33">
        <v>88</v>
      </c>
      <c r="F1053" s="33">
        <v>3</v>
      </c>
      <c r="G1053" s="33">
        <v>4</v>
      </c>
      <c r="H1053" s="33"/>
      <c r="I1053" s="31" t="s">
        <v>46</v>
      </c>
      <c r="J1053" s="31"/>
      <c r="K1053" s="33"/>
      <c r="L1053" s="33"/>
      <c r="M1053" s="31"/>
      <c r="N1053" s="31"/>
      <c r="O1053" s="16" t="s">
        <v>2226</v>
      </c>
      <c r="P1053" s="16"/>
      <c r="Q1053" s="16"/>
      <c r="R1053" s="33"/>
      <c r="S1053" s="34"/>
      <c r="T1053" s="34"/>
      <c r="U1053" s="34"/>
      <c r="V1053" s="34"/>
      <c r="W1053" s="34"/>
      <c r="X1053" s="33" t="s">
        <v>184</v>
      </c>
      <c r="Y1053" s="35" t="str">
        <f>IF(Tabela2[[#This Row],[SIGLA]]="","",VLOOKUP(Tabela2[[#This Row],[SIGLA]],Tabela1[[#All],[Sigla Arte]:[Crédito]],2,0))</f>
        <v>VER DOCUMENTO DE ILS. TÉCNICAS</v>
      </c>
      <c r="Z1053" s="31"/>
      <c r="AA1053" s="31" t="s">
        <v>921</v>
      </c>
      <c r="AB1053" s="33"/>
      <c r="AC1053" s="16"/>
      <c r="AE1053" s="35" t="str">
        <f t="shared" si="16"/>
        <v>EF1 E002 Mat</v>
      </c>
    </row>
    <row r="1054" spans="1:31" ht="75" x14ac:dyDescent="0.25">
      <c r="A1054" s="31" t="s">
        <v>2227</v>
      </c>
      <c r="B1054" s="16" t="s">
        <v>401</v>
      </c>
      <c r="C1054" s="16" t="s">
        <v>33</v>
      </c>
      <c r="D1054" s="33" t="s">
        <v>34</v>
      </c>
      <c r="E1054" s="33">
        <v>89</v>
      </c>
      <c r="F1054" s="33">
        <v>3</v>
      </c>
      <c r="G1054" s="33">
        <v>4</v>
      </c>
      <c r="H1054" s="33"/>
      <c r="I1054" s="31" t="s">
        <v>35</v>
      </c>
      <c r="J1054" s="31"/>
      <c r="K1054" s="33"/>
      <c r="L1054" s="33"/>
      <c r="M1054" s="31"/>
      <c r="N1054" s="31"/>
      <c r="O1054" s="16" t="s">
        <v>2228</v>
      </c>
      <c r="P1054" s="16"/>
      <c r="Q1054" s="16"/>
      <c r="R1054" s="33">
        <v>22</v>
      </c>
      <c r="S1054" s="34">
        <v>45753</v>
      </c>
      <c r="T1054" s="34">
        <v>45754</v>
      </c>
      <c r="U1054" s="34"/>
      <c r="V1054" s="34"/>
      <c r="W1054" s="34">
        <v>45754</v>
      </c>
      <c r="X1054" s="33" t="s">
        <v>184</v>
      </c>
      <c r="Y1054" s="35" t="str">
        <f>IF(Tabela2[[#This Row],[SIGLA]]="","",VLOOKUP(Tabela2[[#This Row],[SIGLA]],Tabela1[[#All],[Sigla Arte]:[Crédito]],2,0))</f>
        <v>VER DOCUMENTO DE ILS. TÉCNICAS</v>
      </c>
      <c r="Z1054" s="31" t="s">
        <v>38</v>
      </c>
      <c r="AA1054" s="31" t="str">
        <f>Tabela2[[#This Row],[ILUSTRADOR CRIAÇÃO]]</f>
        <v>VER DOCUMENTO DE ILS. TÉCNICAS</v>
      </c>
      <c r="AB1054" s="33">
        <v>13</v>
      </c>
      <c r="AC1054" s="16" t="s">
        <v>39</v>
      </c>
      <c r="AD1054" s="16" t="s">
        <v>40</v>
      </c>
      <c r="AE1054" s="35" t="str">
        <f t="shared" si="16"/>
        <v>EF1 E002 Mat</v>
      </c>
    </row>
    <row r="1055" spans="1:31" ht="45" x14ac:dyDescent="0.25">
      <c r="A1055" s="31" t="s">
        <v>2229</v>
      </c>
      <c r="B1055" s="16" t="s">
        <v>401</v>
      </c>
      <c r="C1055" s="16" t="s">
        <v>33</v>
      </c>
      <c r="D1055" s="33" t="s">
        <v>34</v>
      </c>
      <c r="E1055" s="33">
        <v>89</v>
      </c>
      <c r="F1055" s="33">
        <v>3</v>
      </c>
      <c r="G1055" s="33">
        <v>4</v>
      </c>
      <c r="H1055" s="33"/>
      <c r="I1055" s="31" t="s">
        <v>46</v>
      </c>
      <c r="J1055" s="31"/>
      <c r="K1055" s="33"/>
      <c r="L1055" s="33"/>
      <c r="M1055" s="31"/>
      <c r="N1055" s="31"/>
      <c r="O1055" s="16" t="s">
        <v>2230</v>
      </c>
      <c r="P1055" s="16"/>
      <c r="Q1055" s="16"/>
      <c r="R1055" s="33"/>
      <c r="S1055" s="34"/>
      <c r="T1055" s="34"/>
      <c r="U1055" s="34"/>
      <c r="V1055" s="34"/>
      <c r="W1055" s="34"/>
      <c r="X1055" s="33" t="s">
        <v>184</v>
      </c>
      <c r="Y1055" s="35" t="str">
        <f>IF(Tabela2[[#This Row],[SIGLA]]="","",VLOOKUP(Tabela2[[#This Row],[SIGLA]],Tabela1[[#All],[Sigla Arte]:[Crédito]],2,0))</f>
        <v>VER DOCUMENTO DE ILS. TÉCNICAS</v>
      </c>
      <c r="Z1055" s="31"/>
      <c r="AA1055" s="31" t="str">
        <f>Tabela2[[#This Row],[ILUSTRADOR CRIAÇÃO]]</f>
        <v>VER DOCUMENTO DE ILS. TÉCNICAS</v>
      </c>
      <c r="AB1055" s="33"/>
      <c r="AC1055" s="16"/>
      <c r="AE1055" s="35" t="str">
        <f t="shared" si="16"/>
        <v>EF1 E002 Mat</v>
      </c>
    </row>
    <row r="1056" spans="1:31" ht="45" x14ac:dyDescent="0.25">
      <c r="A1056" s="31" t="s">
        <v>2231</v>
      </c>
      <c r="B1056" s="16" t="s">
        <v>32</v>
      </c>
      <c r="C1056" s="16" t="s">
        <v>33</v>
      </c>
      <c r="D1056" s="33" t="s">
        <v>34</v>
      </c>
      <c r="E1056" s="33">
        <v>90</v>
      </c>
      <c r="F1056" s="33">
        <v>3</v>
      </c>
      <c r="G1056" s="33">
        <v>4</v>
      </c>
      <c r="H1056" s="33"/>
      <c r="I1056" s="31" t="s">
        <v>46</v>
      </c>
      <c r="J1056" s="31"/>
      <c r="K1056" s="33"/>
      <c r="L1056" s="33"/>
      <c r="M1056" s="31"/>
      <c r="N1056" s="31"/>
      <c r="O1056" s="16" t="s">
        <v>2232</v>
      </c>
      <c r="P1056" s="16"/>
      <c r="Q1056" s="16"/>
      <c r="R1056" s="33"/>
      <c r="S1056" s="34"/>
      <c r="T1056" s="34"/>
      <c r="U1056" s="34"/>
      <c r="V1056" s="34"/>
      <c r="W1056" s="34"/>
      <c r="X1056" s="33" t="s">
        <v>184</v>
      </c>
      <c r="Y1056" s="35" t="str">
        <f>IF(Tabela2[[#This Row],[SIGLA]]="","",VLOOKUP(Tabela2[[#This Row],[SIGLA]],Tabela1[[#All],[Sigla Arte]:[Crédito]],2,0))</f>
        <v>VER DOCUMENTO DE ILS. TÉCNICAS</v>
      </c>
      <c r="Z1056" s="31"/>
      <c r="AA1056" s="31" t="s">
        <v>921</v>
      </c>
      <c r="AB1056" s="33"/>
      <c r="AC1056" s="16"/>
      <c r="AE1056" s="35" t="str">
        <f t="shared" si="16"/>
        <v>EF1 E002 Mat</v>
      </c>
    </row>
    <row r="1057" spans="1:31" ht="45" x14ac:dyDescent="0.25">
      <c r="A1057" s="31" t="s">
        <v>2233</v>
      </c>
      <c r="B1057" s="16" t="s">
        <v>32</v>
      </c>
      <c r="C1057" s="16" t="s">
        <v>33</v>
      </c>
      <c r="D1057" s="33" t="s">
        <v>34</v>
      </c>
      <c r="E1057" s="33">
        <v>90</v>
      </c>
      <c r="F1057" s="33">
        <v>3</v>
      </c>
      <c r="G1057" s="33">
        <v>4</v>
      </c>
      <c r="H1057" s="33"/>
      <c r="I1057" s="31" t="s">
        <v>46</v>
      </c>
      <c r="J1057" s="31"/>
      <c r="K1057" s="33"/>
      <c r="L1057" s="33"/>
      <c r="M1057" s="31"/>
      <c r="N1057" s="31"/>
      <c r="O1057" s="16" t="s">
        <v>2234</v>
      </c>
      <c r="P1057" s="16"/>
      <c r="Q1057" s="16"/>
      <c r="R1057" s="33"/>
      <c r="S1057" s="34"/>
      <c r="T1057" s="34"/>
      <c r="U1057" s="34"/>
      <c r="V1057" s="34"/>
      <c r="W1057" s="34"/>
      <c r="X1057" s="33" t="s">
        <v>184</v>
      </c>
      <c r="Y1057" s="35" t="str">
        <f>IF(Tabela2[[#This Row],[SIGLA]]="","",VLOOKUP(Tabela2[[#This Row],[SIGLA]],Tabela1[[#All],[Sigla Arte]:[Crédito]],2,0))</f>
        <v>VER DOCUMENTO DE ILS. TÉCNICAS</v>
      </c>
      <c r="Z1057" s="31"/>
      <c r="AA1057" s="31" t="s">
        <v>921</v>
      </c>
      <c r="AB1057" s="33"/>
      <c r="AC1057" s="16"/>
      <c r="AE1057" s="35" t="str">
        <f t="shared" si="16"/>
        <v>EF1 E002 Mat</v>
      </c>
    </row>
    <row r="1058" spans="1:31" ht="45" x14ac:dyDescent="0.25">
      <c r="A1058" s="31" t="s">
        <v>2235</v>
      </c>
      <c r="B1058" s="16" t="s">
        <v>32</v>
      </c>
      <c r="C1058" s="16" t="s">
        <v>33</v>
      </c>
      <c r="D1058" s="33" t="s">
        <v>34</v>
      </c>
      <c r="E1058" s="33">
        <v>90</v>
      </c>
      <c r="F1058" s="33">
        <v>3</v>
      </c>
      <c r="G1058" s="33">
        <v>4</v>
      </c>
      <c r="H1058" s="33"/>
      <c r="I1058" s="31" t="s">
        <v>46</v>
      </c>
      <c r="J1058" s="31"/>
      <c r="K1058" s="33"/>
      <c r="L1058" s="33"/>
      <c r="M1058" s="31"/>
      <c r="N1058" s="31"/>
      <c r="O1058" s="16" t="s">
        <v>2236</v>
      </c>
      <c r="P1058" s="16"/>
      <c r="Q1058" s="16"/>
      <c r="R1058" s="33"/>
      <c r="S1058" s="34"/>
      <c r="T1058" s="34"/>
      <c r="U1058" s="34"/>
      <c r="V1058" s="34"/>
      <c r="W1058" s="34"/>
      <c r="X1058" s="33" t="s">
        <v>184</v>
      </c>
      <c r="Y1058" s="35" t="str">
        <f>IF(Tabela2[[#This Row],[SIGLA]]="","",VLOOKUP(Tabela2[[#This Row],[SIGLA]],Tabela1[[#All],[Sigla Arte]:[Crédito]],2,0))</f>
        <v>VER DOCUMENTO DE ILS. TÉCNICAS</v>
      </c>
      <c r="Z1058" s="31"/>
      <c r="AA1058" s="31" t="s">
        <v>921</v>
      </c>
      <c r="AB1058" s="33"/>
      <c r="AC1058" s="16"/>
      <c r="AE1058" s="35" t="str">
        <f t="shared" si="16"/>
        <v>EF1 E002 Mat</v>
      </c>
    </row>
    <row r="1059" spans="1:31" ht="60" x14ac:dyDescent="0.25">
      <c r="A1059" s="31" t="s">
        <v>2237</v>
      </c>
      <c r="B1059" s="16" t="s">
        <v>32</v>
      </c>
      <c r="C1059" s="16" t="s">
        <v>33</v>
      </c>
      <c r="D1059" s="33" t="s">
        <v>34</v>
      </c>
      <c r="E1059" s="33">
        <v>90</v>
      </c>
      <c r="F1059" s="33">
        <v>3</v>
      </c>
      <c r="G1059" s="33">
        <v>4</v>
      </c>
      <c r="H1059" s="33"/>
      <c r="I1059" s="31" t="s">
        <v>46</v>
      </c>
      <c r="J1059" s="31"/>
      <c r="K1059" s="33"/>
      <c r="L1059" s="33"/>
      <c r="M1059" s="31"/>
      <c r="N1059" s="31"/>
      <c r="O1059" s="16" t="s">
        <v>2238</v>
      </c>
      <c r="P1059" s="16"/>
      <c r="Q1059" s="16"/>
      <c r="R1059" s="33"/>
      <c r="S1059" s="34"/>
      <c r="T1059" s="34"/>
      <c r="U1059" s="34"/>
      <c r="V1059" s="34"/>
      <c r="W1059" s="34"/>
      <c r="X1059" s="33" t="s">
        <v>1126</v>
      </c>
      <c r="Y1059" s="35" t="str">
        <f>IF(Tabela2[[#This Row],[SIGLA]]="","",VLOOKUP(Tabela2[[#This Row],[SIGLA]],Tabela1[[#All],[Sigla Arte]:[Crédito]],2,0))</f>
        <v>GUSTAVO CONTI/ARQUIVO DA EDITORA</v>
      </c>
      <c r="Z1059" s="31"/>
      <c r="AA1059" s="31" t="s">
        <v>921</v>
      </c>
      <c r="AB1059" s="33"/>
      <c r="AC1059" s="16"/>
      <c r="AE1059" s="35" t="str">
        <f t="shared" si="16"/>
        <v>EF1 E002 Mat</v>
      </c>
    </row>
    <row r="1060" spans="1:31" ht="45" x14ac:dyDescent="0.25">
      <c r="A1060" s="31" t="s">
        <v>2239</v>
      </c>
      <c r="B1060" s="16" t="s">
        <v>32</v>
      </c>
      <c r="C1060" s="16" t="s">
        <v>33</v>
      </c>
      <c r="D1060" s="33" t="s">
        <v>34</v>
      </c>
      <c r="E1060" s="33">
        <v>91</v>
      </c>
      <c r="F1060" s="33">
        <v>3</v>
      </c>
      <c r="G1060" s="33">
        <v>4</v>
      </c>
      <c r="H1060" s="33"/>
      <c r="I1060" s="31" t="s">
        <v>46</v>
      </c>
      <c r="J1060" s="31"/>
      <c r="K1060" s="33"/>
      <c r="L1060" s="33"/>
      <c r="M1060" s="31"/>
      <c r="N1060" s="31"/>
      <c r="O1060" s="16" t="s">
        <v>2240</v>
      </c>
      <c r="P1060" s="16"/>
      <c r="Q1060" s="16"/>
      <c r="R1060" s="33"/>
      <c r="S1060" s="34"/>
      <c r="T1060" s="34"/>
      <c r="U1060" s="34"/>
      <c r="V1060" s="34"/>
      <c r="W1060" s="34"/>
      <c r="X1060" s="33" t="s">
        <v>162</v>
      </c>
      <c r="Y1060" s="35" t="str">
        <f>IF(Tabela2[[#This Row],[SIGLA]]="","",VLOOKUP(Tabela2[[#This Row],[SIGLA]],Tabela1[[#All],[Sigla Arte]:[Crédito]],2,0))</f>
        <v>IVY NUNES/ARQUIVO DA EDITORA</v>
      </c>
      <c r="Z1060" s="31"/>
      <c r="AA1060" s="31" t="str">
        <f>Tabela2[[#This Row],[ILUSTRADOR CRIAÇÃO]]</f>
        <v>IVY NUNES/ARQUIVO DA EDITORA</v>
      </c>
      <c r="AB1060" s="33"/>
      <c r="AC1060" s="16"/>
      <c r="AE1060" s="35" t="str">
        <f t="shared" si="16"/>
        <v>EF1 E002 Mat</v>
      </c>
    </row>
    <row r="1061" spans="1:31" ht="45" x14ac:dyDescent="0.25">
      <c r="A1061" s="31" t="s">
        <v>2241</v>
      </c>
      <c r="B1061" s="16" t="s">
        <v>32</v>
      </c>
      <c r="C1061" s="16" t="s">
        <v>33</v>
      </c>
      <c r="D1061" s="33" t="s">
        <v>34</v>
      </c>
      <c r="E1061" s="33">
        <v>91</v>
      </c>
      <c r="F1061" s="33">
        <v>3</v>
      </c>
      <c r="G1061" s="33">
        <v>4</v>
      </c>
      <c r="H1061" s="33"/>
      <c r="I1061" s="31" t="s">
        <v>46</v>
      </c>
      <c r="J1061" s="31"/>
      <c r="K1061" s="33"/>
      <c r="L1061" s="33"/>
      <c r="M1061" s="31"/>
      <c r="N1061" s="31"/>
      <c r="O1061" s="16" t="s">
        <v>2242</v>
      </c>
      <c r="P1061" s="16"/>
      <c r="Q1061" s="16"/>
      <c r="R1061" s="33"/>
      <c r="S1061" s="34"/>
      <c r="T1061" s="34"/>
      <c r="U1061" s="34"/>
      <c r="V1061" s="34"/>
      <c r="W1061" s="34"/>
      <c r="X1061" s="33" t="s">
        <v>184</v>
      </c>
      <c r="Y1061" s="35" t="str">
        <f>IF(Tabela2[[#This Row],[SIGLA]]="","",VLOOKUP(Tabela2[[#This Row],[SIGLA]],Tabela1[[#All],[Sigla Arte]:[Crédito]],2,0))</f>
        <v>VER DOCUMENTO DE ILS. TÉCNICAS</v>
      </c>
      <c r="Z1061" s="31"/>
      <c r="AA1061" s="31" t="s">
        <v>921</v>
      </c>
      <c r="AB1061" s="33"/>
      <c r="AC1061" s="16"/>
      <c r="AE1061" s="35" t="str">
        <f t="shared" si="16"/>
        <v>EF1 E002 Mat</v>
      </c>
    </row>
    <row r="1062" spans="1:31" ht="45" x14ac:dyDescent="0.25">
      <c r="A1062" s="31" t="s">
        <v>2243</v>
      </c>
      <c r="B1062" s="16" t="s">
        <v>32</v>
      </c>
      <c r="C1062" s="16" t="s">
        <v>33</v>
      </c>
      <c r="D1062" s="33" t="s">
        <v>34</v>
      </c>
      <c r="E1062" s="33">
        <v>91</v>
      </c>
      <c r="F1062" s="33">
        <v>3</v>
      </c>
      <c r="G1062" s="33">
        <v>4</v>
      </c>
      <c r="H1062" s="33"/>
      <c r="I1062" s="31" t="s">
        <v>46</v>
      </c>
      <c r="J1062" s="31"/>
      <c r="K1062" s="33"/>
      <c r="L1062" s="33"/>
      <c r="M1062" s="31"/>
      <c r="N1062" s="31"/>
      <c r="O1062" s="16" t="s">
        <v>2244</v>
      </c>
      <c r="P1062" s="16"/>
      <c r="Q1062" s="16"/>
      <c r="R1062" s="33"/>
      <c r="S1062" s="34"/>
      <c r="T1062" s="34"/>
      <c r="U1062" s="34"/>
      <c r="V1062" s="34"/>
      <c r="W1062" s="34"/>
      <c r="X1062" s="33" t="s">
        <v>184</v>
      </c>
      <c r="Y1062" s="35" t="str">
        <f>IF(Tabela2[[#This Row],[SIGLA]]="","",VLOOKUP(Tabela2[[#This Row],[SIGLA]],Tabela1[[#All],[Sigla Arte]:[Crédito]],2,0))</f>
        <v>VER DOCUMENTO DE ILS. TÉCNICAS</v>
      </c>
      <c r="Z1062" s="31"/>
      <c r="AA1062" s="31" t="s">
        <v>921</v>
      </c>
      <c r="AB1062" s="33"/>
      <c r="AC1062" s="16"/>
      <c r="AE1062" s="35" t="str">
        <f t="shared" si="16"/>
        <v>EF1 E002 Mat</v>
      </c>
    </row>
    <row r="1063" spans="1:31" ht="45" x14ac:dyDescent="0.25">
      <c r="A1063" s="31" t="s">
        <v>2245</v>
      </c>
      <c r="B1063" s="16" t="s">
        <v>32</v>
      </c>
      <c r="C1063" s="16" t="s">
        <v>33</v>
      </c>
      <c r="D1063" s="33" t="s">
        <v>34</v>
      </c>
      <c r="E1063" s="33">
        <v>91</v>
      </c>
      <c r="F1063" s="33">
        <v>3</v>
      </c>
      <c r="G1063" s="33">
        <v>4</v>
      </c>
      <c r="H1063" s="33"/>
      <c r="I1063" s="31" t="s">
        <v>46</v>
      </c>
      <c r="J1063" s="31"/>
      <c r="K1063" s="33"/>
      <c r="L1063" s="33"/>
      <c r="M1063" s="31"/>
      <c r="N1063" s="31"/>
      <c r="O1063" s="16" t="s">
        <v>2246</v>
      </c>
      <c r="P1063" s="16"/>
      <c r="Q1063" s="16"/>
      <c r="R1063" s="33"/>
      <c r="S1063" s="34"/>
      <c r="T1063" s="34"/>
      <c r="U1063" s="34"/>
      <c r="V1063" s="34"/>
      <c r="W1063" s="34"/>
      <c r="X1063" s="33" t="s">
        <v>184</v>
      </c>
      <c r="Y1063" s="35" t="str">
        <f>IF(Tabela2[[#This Row],[SIGLA]]="","",VLOOKUP(Tabela2[[#This Row],[SIGLA]],Tabela1[[#All],[Sigla Arte]:[Crédito]],2,0))</f>
        <v>VER DOCUMENTO DE ILS. TÉCNICAS</v>
      </c>
      <c r="Z1063" s="31"/>
      <c r="AA1063" s="31" t="s">
        <v>921</v>
      </c>
      <c r="AB1063" s="33"/>
      <c r="AC1063" s="16"/>
      <c r="AE1063" s="35" t="str">
        <f t="shared" si="16"/>
        <v>EF1 E002 Mat</v>
      </c>
    </row>
    <row r="1064" spans="1:31" ht="45" x14ac:dyDescent="0.25">
      <c r="A1064" s="31" t="s">
        <v>2247</v>
      </c>
      <c r="B1064" s="16" t="s">
        <v>32</v>
      </c>
      <c r="C1064" s="16" t="s">
        <v>33</v>
      </c>
      <c r="D1064" s="33" t="s">
        <v>34</v>
      </c>
      <c r="E1064" s="33">
        <v>92</v>
      </c>
      <c r="F1064" s="33">
        <v>3</v>
      </c>
      <c r="G1064" s="33">
        <v>4</v>
      </c>
      <c r="H1064" s="33"/>
      <c r="I1064" s="31" t="s">
        <v>46</v>
      </c>
      <c r="J1064" s="31"/>
      <c r="K1064" s="33"/>
      <c r="L1064" s="33"/>
      <c r="M1064" s="31"/>
      <c r="N1064" s="31"/>
      <c r="O1064" s="16" t="s">
        <v>2248</v>
      </c>
      <c r="P1064" s="16"/>
      <c r="Q1064" s="16"/>
      <c r="R1064" s="33"/>
      <c r="S1064" s="34"/>
      <c r="T1064" s="34"/>
      <c r="U1064" s="34"/>
      <c r="V1064" s="34"/>
      <c r="W1064" s="34"/>
      <c r="X1064" s="33" t="s">
        <v>162</v>
      </c>
      <c r="Y1064" s="35" t="str">
        <f>IF(Tabela2[[#This Row],[SIGLA]]="","",VLOOKUP(Tabela2[[#This Row],[SIGLA]],Tabela1[[#All],[Sigla Arte]:[Crédito]],2,0))</f>
        <v>IVY NUNES/ARQUIVO DA EDITORA</v>
      </c>
      <c r="Z1064" s="31"/>
      <c r="AA1064" s="31" t="str">
        <f>Tabela2[[#This Row],[ILUSTRADOR CRIAÇÃO]]</f>
        <v>IVY NUNES/ARQUIVO DA EDITORA</v>
      </c>
      <c r="AB1064" s="33"/>
      <c r="AC1064" s="16"/>
      <c r="AE1064" s="35" t="str">
        <f t="shared" si="16"/>
        <v>EF1 E002 Mat</v>
      </c>
    </row>
    <row r="1065" spans="1:31" ht="45" x14ac:dyDescent="0.25">
      <c r="A1065" s="31" t="s">
        <v>2249</v>
      </c>
      <c r="B1065" s="16" t="s">
        <v>32</v>
      </c>
      <c r="C1065" s="16" t="s">
        <v>33</v>
      </c>
      <c r="D1065" s="33" t="s">
        <v>34</v>
      </c>
      <c r="E1065" s="33">
        <v>92</v>
      </c>
      <c r="F1065" s="33">
        <v>3</v>
      </c>
      <c r="G1065" s="33">
        <v>4</v>
      </c>
      <c r="H1065" s="33"/>
      <c r="I1065" s="31" t="s">
        <v>46</v>
      </c>
      <c r="J1065" s="31"/>
      <c r="K1065" s="33"/>
      <c r="L1065" s="33"/>
      <c r="M1065" s="31"/>
      <c r="N1065" s="31"/>
      <c r="O1065" s="16" t="s">
        <v>2250</v>
      </c>
      <c r="P1065" s="16"/>
      <c r="Q1065" s="16"/>
      <c r="R1065" s="33"/>
      <c r="S1065" s="34"/>
      <c r="T1065" s="34"/>
      <c r="U1065" s="34"/>
      <c r="V1065" s="34"/>
      <c r="W1065" s="34"/>
      <c r="X1065" s="33" t="s">
        <v>162</v>
      </c>
      <c r="Y1065" s="35" t="str">
        <f>IF(Tabela2[[#This Row],[SIGLA]]="","",VLOOKUP(Tabela2[[#This Row],[SIGLA]],Tabela1[[#All],[Sigla Arte]:[Crédito]],2,0))</f>
        <v>IVY NUNES/ARQUIVO DA EDITORA</v>
      </c>
      <c r="Z1065" s="31"/>
      <c r="AA1065" s="31" t="str">
        <f>Tabela2[[#This Row],[ILUSTRADOR CRIAÇÃO]]</f>
        <v>IVY NUNES/ARQUIVO DA EDITORA</v>
      </c>
      <c r="AB1065" s="33"/>
      <c r="AC1065" s="16"/>
      <c r="AE1065" s="35" t="str">
        <f t="shared" si="16"/>
        <v>EF1 E002 Mat</v>
      </c>
    </row>
    <row r="1066" spans="1:31" ht="45" x14ac:dyDescent="0.25">
      <c r="A1066" s="31" t="s">
        <v>2251</v>
      </c>
      <c r="B1066" s="16" t="s">
        <v>32</v>
      </c>
      <c r="C1066" s="16" t="s">
        <v>33</v>
      </c>
      <c r="D1066" s="33" t="s">
        <v>34</v>
      </c>
      <c r="E1066" s="33">
        <v>92</v>
      </c>
      <c r="F1066" s="33">
        <v>3</v>
      </c>
      <c r="G1066" s="33">
        <v>4</v>
      </c>
      <c r="H1066" s="33"/>
      <c r="I1066" s="31" t="s">
        <v>46</v>
      </c>
      <c r="J1066" s="31"/>
      <c r="K1066" s="33"/>
      <c r="L1066" s="33"/>
      <c r="M1066" s="31"/>
      <c r="N1066" s="31"/>
      <c r="O1066" s="16" t="s">
        <v>2252</v>
      </c>
      <c r="P1066" s="16"/>
      <c r="Q1066" s="16"/>
      <c r="R1066" s="33"/>
      <c r="S1066" s="34"/>
      <c r="T1066" s="34"/>
      <c r="U1066" s="34"/>
      <c r="V1066" s="34"/>
      <c r="W1066" s="34"/>
      <c r="X1066" s="33" t="s">
        <v>184</v>
      </c>
      <c r="Y1066" s="35" t="str">
        <f>IF(Tabela2[[#This Row],[SIGLA]]="","",VLOOKUP(Tabela2[[#This Row],[SIGLA]],Tabela1[[#All],[Sigla Arte]:[Crédito]],2,0))</f>
        <v>VER DOCUMENTO DE ILS. TÉCNICAS</v>
      </c>
      <c r="Z1066" s="31"/>
      <c r="AA1066" s="31" t="s">
        <v>921</v>
      </c>
      <c r="AB1066" s="33"/>
      <c r="AC1066" s="16"/>
      <c r="AE1066" s="35" t="str">
        <f t="shared" si="16"/>
        <v>EF1 E002 Mat</v>
      </c>
    </row>
    <row r="1067" spans="1:31" ht="45" x14ac:dyDescent="0.25">
      <c r="A1067" s="31" t="s">
        <v>2253</v>
      </c>
      <c r="B1067" s="16" t="s">
        <v>32</v>
      </c>
      <c r="C1067" s="16" t="s">
        <v>33</v>
      </c>
      <c r="D1067" s="33" t="s">
        <v>34</v>
      </c>
      <c r="E1067" s="33">
        <v>92</v>
      </c>
      <c r="F1067" s="33">
        <v>3</v>
      </c>
      <c r="G1067" s="33">
        <v>4</v>
      </c>
      <c r="H1067" s="33"/>
      <c r="I1067" s="31" t="s">
        <v>46</v>
      </c>
      <c r="J1067" s="31"/>
      <c r="K1067" s="33"/>
      <c r="L1067" s="33"/>
      <c r="M1067" s="31"/>
      <c r="N1067" s="31"/>
      <c r="O1067" s="16" t="s">
        <v>2254</v>
      </c>
      <c r="P1067" s="16"/>
      <c r="Q1067" s="16"/>
      <c r="R1067" s="33"/>
      <c r="S1067" s="34"/>
      <c r="T1067" s="34"/>
      <c r="U1067" s="34"/>
      <c r="V1067" s="34"/>
      <c r="W1067" s="34"/>
      <c r="X1067" s="33" t="s">
        <v>184</v>
      </c>
      <c r="Y1067" s="35" t="str">
        <f>IF(Tabela2[[#This Row],[SIGLA]]="","",VLOOKUP(Tabela2[[#This Row],[SIGLA]],Tabela1[[#All],[Sigla Arte]:[Crédito]],2,0))</f>
        <v>VER DOCUMENTO DE ILS. TÉCNICAS</v>
      </c>
      <c r="Z1067" s="31"/>
      <c r="AA1067" s="31" t="s">
        <v>921</v>
      </c>
      <c r="AB1067" s="33"/>
      <c r="AC1067" s="16"/>
      <c r="AE1067" s="35" t="str">
        <f t="shared" si="16"/>
        <v>EF1 E002 Mat</v>
      </c>
    </row>
    <row r="1068" spans="1:31" ht="45" x14ac:dyDescent="0.25">
      <c r="A1068" s="31" t="s">
        <v>2255</v>
      </c>
      <c r="B1068" s="16" t="s">
        <v>32</v>
      </c>
      <c r="C1068" s="16" t="s">
        <v>33</v>
      </c>
      <c r="D1068" s="33" t="s">
        <v>34</v>
      </c>
      <c r="E1068" s="33">
        <v>92</v>
      </c>
      <c r="F1068" s="33">
        <v>3</v>
      </c>
      <c r="G1068" s="33">
        <v>4</v>
      </c>
      <c r="H1068" s="33"/>
      <c r="I1068" s="31" t="s">
        <v>46</v>
      </c>
      <c r="J1068" s="31"/>
      <c r="K1068" s="33"/>
      <c r="L1068" s="33"/>
      <c r="M1068" s="31"/>
      <c r="N1068" s="31"/>
      <c r="O1068" s="16" t="s">
        <v>2256</v>
      </c>
      <c r="P1068" s="16"/>
      <c r="Q1068" s="16"/>
      <c r="R1068" s="33"/>
      <c r="S1068" s="34"/>
      <c r="T1068" s="34"/>
      <c r="U1068" s="34"/>
      <c r="V1068" s="34"/>
      <c r="W1068" s="34"/>
      <c r="X1068" s="33" t="s">
        <v>184</v>
      </c>
      <c r="Y1068" s="35" t="str">
        <f>IF(Tabela2[[#This Row],[SIGLA]]="","",VLOOKUP(Tabela2[[#This Row],[SIGLA]],Tabela1[[#All],[Sigla Arte]:[Crédito]],2,0))</f>
        <v>VER DOCUMENTO DE ILS. TÉCNICAS</v>
      </c>
      <c r="Z1068" s="31"/>
      <c r="AA1068" s="31" t="s">
        <v>921</v>
      </c>
      <c r="AB1068" s="33"/>
      <c r="AC1068" s="16"/>
      <c r="AE1068" s="35" t="str">
        <f t="shared" si="16"/>
        <v>EF1 E002 Mat</v>
      </c>
    </row>
    <row r="1069" spans="1:31" ht="45" x14ac:dyDescent="0.25">
      <c r="A1069" s="31" t="s">
        <v>2257</v>
      </c>
      <c r="B1069" s="16" t="s">
        <v>32</v>
      </c>
      <c r="C1069" s="16" t="s">
        <v>33</v>
      </c>
      <c r="D1069" s="33" t="s">
        <v>34</v>
      </c>
      <c r="E1069" s="33">
        <v>92</v>
      </c>
      <c r="F1069" s="33">
        <v>3</v>
      </c>
      <c r="G1069" s="33">
        <v>4</v>
      </c>
      <c r="H1069" s="33"/>
      <c r="I1069" s="31" t="s">
        <v>46</v>
      </c>
      <c r="J1069" s="31"/>
      <c r="K1069" s="33"/>
      <c r="L1069" s="33"/>
      <c r="M1069" s="31"/>
      <c r="N1069" s="31"/>
      <c r="O1069" s="16" t="s">
        <v>2258</v>
      </c>
      <c r="P1069" s="16"/>
      <c r="Q1069" s="16"/>
      <c r="R1069" s="33"/>
      <c r="S1069" s="34"/>
      <c r="T1069" s="34"/>
      <c r="U1069" s="34"/>
      <c r="V1069" s="34"/>
      <c r="W1069" s="34"/>
      <c r="X1069" s="33" t="s">
        <v>184</v>
      </c>
      <c r="Y1069" s="35" t="str">
        <f>IF(Tabela2[[#This Row],[SIGLA]]="","",VLOOKUP(Tabela2[[#This Row],[SIGLA]],Tabela1[[#All],[Sigla Arte]:[Crédito]],2,0))</f>
        <v>VER DOCUMENTO DE ILS. TÉCNICAS</v>
      </c>
      <c r="Z1069" s="31"/>
      <c r="AA1069" s="31" t="s">
        <v>921</v>
      </c>
      <c r="AB1069" s="33"/>
      <c r="AC1069" s="16"/>
      <c r="AE1069" s="35" t="str">
        <f t="shared" si="16"/>
        <v>EF1 E002 Mat</v>
      </c>
    </row>
    <row r="1070" spans="1:31" ht="45" x14ac:dyDescent="0.25">
      <c r="A1070" s="31" t="s">
        <v>2259</v>
      </c>
      <c r="B1070" s="16" t="s">
        <v>32</v>
      </c>
      <c r="C1070" s="16" t="s">
        <v>33</v>
      </c>
      <c r="D1070" s="33" t="s">
        <v>34</v>
      </c>
      <c r="E1070" s="33">
        <v>93</v>
      </c>
      <c r="F1070" s="33">
        <v>3</v>
      </c>
      <c r="G1070" s="33">
        <v>4</v>
      </c>
      <c r="H1070" s="33"/>
      <c r="I1070" s="31" t="s">
        <v>46</v>
      </c>
      <c r="J1070" s="31"/>
      <c r="K1070" s="33"/>
      <c r="L1070" s="33"/>
      <c r="M1070" s="31"/>
      <c r="N1070" s="31"/>
      <c r="O1070" s="16" t="s">
        <v>2260</v>
      </c>
      <c r="P1070" s="16"/>
      <c r="Q1070" s="16"/>
      <c r="R1070" s="33"/>
      <c r="S1070" s="34"/>
      <c r="T1070" s="34"/>
      <c r="U1070" s="34"/>
      <c r="V1070" s="34"/>
      <c r="W1070" s="34"/>
      <c r="X1070" s="33" t="s">
        <v>184</v>
      </c>
      <c r="Y1070" s="35" t="str">
        <f>IF(Tabela2[[#This Row],[SIGLA]]="","",VLOOKUP(Tabela2[[#This Row],[SIGLA]],Tabela1[[#All],[Sigla Arte]:[Crédito]],2,0))</f>
        <v>VER DOCUMENTO DE ILS. TÉCNICAS</v>
      </c>
      <c r="Z1070" s="31"/>
      <c r="AA1070" s="31" t="s">
        <v>921</v>
      </c>
      <c r="AB1070" s="33"/>
      <c r="AC1070" s="16"/>
      <c r="AE1070" s="35" t="str">
        <f t="shared" si="16"/>
        <v>EF1 E002 Mat</v>
      </c>
    </row>
    <row r="1071" spans="1:31" ht="45" x14ac:dyDescent="0.25">
      <c r="A1071" s="31" t="s">
        <v>2261</v>
      </c>
      <c r="B1071" s="16" t="s">
        <v>32</v>
      </c>
      <c r="C1071" s="16" t="s">
        <v>33</v>
      </c>
      <c r="D1071" s="33" t="s">
        <v>34</v>
      </c>
      <c r="E1071" s="33">
        <v>93</v>
      </c>
      <c r="F1071" s="33">
        <v>3</v>
      </c>
      <c r="G1071" s="33">
        <v>4</v>
      </c>
      <c r="H1071" s="33"/>
      <c r="I1071" s="31" t="s">
        <v>46</v>
      </c>
      <c r="J1071" s="31"/>
      <c r="K1071" s="33"/>
      <c r="L1071" s="33"/>
      <c r="M1071" s="31"/>
      <c r="N1071" s="31"/>
      <c r="O1071" s="16" t="s">
        <v>2262</v>
      </c>
      <c r="P1071" s="16"/>
      <c r="Q1071" s="16"/>
      <c r="R1071" s="33"/>
      <c r="S1071" s="34"/>
      <c r="T1071" s="34"/>
      <c r="U1071" s="34"/>
      <c r="V1071" s="34"/>
      <c r="W1071" s="34"/>
      <c r="X1071" s="33" t="s">
        <v>184</v>
      </c>
      <c r="Y1071" s="35" t="str">
        <f>IF(Tabela2[[#This Row],[SIGLA]]="","",VLOOKUP(Tabela2[[#This Row],[SIGLA]],Tabela1[[#All],[Sigla Arte]:[Crédito]],2,0))</f>
        <v>VER DOCUMENTO DE ILS. TÉCNICAS</v>
      </c>
      <c r="Z1071" s="31"/>
      <c r="AA1071" s="31" t="s">
        <v>921</v>
      </c>
      <c r="AB1071" s="33"/>
      <c r="AC1071" s="16"/>
      <c r="AE1071" s="35" t="str">
        <f t="shared" si="16"/>
        <v>EF1 E002 Mat</v>
      </c>
    </row>
    <row r="1072" spans="1:31" ht="45" x14ac:dyDescent="0.25">
      <c r="A1072" s="31" t="s">
        <v>2263</v>
      </c>
      <c r="B1072" s="16" t="s">
        <v>32</v>
      </c>
      <c r="C1072" s="16" t="s">
        <v>33</v>
      </c>
      <c r="D1072" s="33" t="s">
        <v>34</v>
      </c>
      <c r="E1072" s="33">
        <v>93</v>
      </c>
      <c r="F1072" s="33">
        <v>3</v>
      </c>
      <c r="G1072" s="33">
        <v>4</v>
      </c>
      <c r="H1072" s="33"/>
      <c r="I1072" s="31" t="s">
        <v>46</v>
      </c>
      <c r="J1072" s="31"/>
      <c r="K1072" s="33"/>
      <c r="L1072" s="33"/>
      <c r="M1072" s="31"/>
      <c r="N1072" s="31"/>
      <c r="O1072" s="16" t="s">
        <v>2264</v>
      </c>
      <c r="P1072" s="16"/>
      <c r="Q1072" s="16"/>
      <c r="R1072" s="33"/>
      <c r="S1072" s="34"/>
      <c r="T1072" s="34"/>
      <c r="U1072" s="34"/>
      <c r="V1072" s="34"/>
      <c r="W1072" s="34"/>
      <c r="X1072" s="33" t="s">
        <v>184</v>
      </c>
      <c r="Y1072" s="35" t="str">
        <f>IF(Tabela2[[#This Row],[SIGLA]]="","",VLOOKUP(Tabela2[[#This Row],[SIGLA]],Tabela1[[#All],[Sigla Arte]:[Crédito]],2,0))</f>
        <v>VER DOCUMENTO DE ILS. TÉCNICAS</v>
      </c>
      <c r="Z1072" s="31"/>
      <c r="AA1072" s="31" t="s">
        <v>921</v>
      </c>
      <c r="AB1072" s="33"/>
      <c r="AC1072" s="16"/>
      <c r="AE1072" s="35" t="str">
        <f t="shared" si="16"/>
        <v>EF1 E002 Mat</v>
      </c>
    </row>
    <row r="1073" spans="1:31" ht="45" x14ac:dyDescent="0.25">
      <c r="A1073" s="31" t="s">
        <v>2265</v>
      </c>
      <c r="B1073" s="16" t="s">
        <v>32</v>
      </c>
      <c r="C1073" s="16" t="s">
        <v>33</v>
      </c>
      <c r="D1073" s="33" t="s">
        <v>34</v>
      </c>
      <c r="E1073" s="33">
        <v>93</v>
      </c>
      <c r="F1073" s="33">
        <v>3</v>
      </c>
      <c r="G1073" s="33">
        <v>4</v>
      </c>
      <c r="H1073" s="33"/>
      <c r="I1073" s="31" t="s">
        <v>46</v>
      </c>
      <c r="J1073" s="31"/>
      <c r="K1073" s="33"/>
      <c r="L1073" s="33"/>
      <c r="M1073" s="31"/>
      <c r="N1073" s="31"/>
      <c r="O1073" s="16" t="s">
        <v>2266</v>
      </c>
      <c r="P1073" s="16"/>
      <c r="Q1073" s="16"/>
      <c r="R1073" s="33"/>
      <c r="S1073" s="34"/>
      <c r="T1073" s="34"/>
      <c r="U1073" s="34"/>
      <c r="V1073" s="34"/>
      <c r="W1073" s="34"/>
      <c r="X1073" s="33" t="s">
        <v>184</v>
      </c>
      <c r="Y1073" s="35" t="str">
        <f>IF(Tabela2[[#This Row],[SIGLA]]="","",VLOOKUP(Tabela2[[#This Row],[SIGLA]],Tabela1[[#All],[Sigla Arte]:[Crédito]],2,0))</f>
        <v>VER DOCUMENTO DE ILS. TÉCNICAS</v>
      </c>
      <c r="Z1073" s="31"/>
      <c r="AA1073" s="31" t="s">
        <v>921</v>
      </c>
      <c r="AB1073" s="33"/>
      <c r="AC1073" s="16"/>
      <c r="AE1073" s="35" t="str">
        <f t="shared" si="16"/>
        <v>EF1 E002 Mat</v>
      </c>
    </row>
    <row r="1074" spans="1:31" ht="105" x14ac:dyDescent="0.25">
      <c r="A1074" s="31" t="s">
        <v>2267</v>
      </c>
      <c r="B1074" s="16" t="s">
        <v>32</v>
      </c>
      <c r="C1074" s="16" t="s">
        <v>33</v>
      </c>
      <c r="D1074" s="33" t="s">
        <v>34</v>
      </c>
      <c r="E1074" s="33">
        <v>94</v>
      </c>
      <c r="F1074" s="33">
        <v>3</v>
      </c>
      <c r="G1074" s="33">
        <v>4</v>
      </c>
      <c r="H1074" s="33"/>
      <c r="I1074" s="31" t="s">
        <v>35</v>
      </c>
      <c r="J1074" s="31"/>
      <c r="K1074" s="33"/>
      <c r="L1074" s="33"/>
      <c r="M1074" s="31"/>
      <c r="N1074" s="31"/>
      <c r="O1074" s="16" t="s">
        <v>2268</v>
      </c>
      <c r="P1074" s="16"/>
      <c r="Q1074" s="16"/>
      <c r="R1074" s="33">
        <v>22</v>
      </c>
      <c r="S1074" s="34">
        <v>45753</v>
      </c>
      <c r="T1074" s="34">
        <v>45754</v>
      </c>
      <c r="U1074" s="34"/>
      <c r="V1074" s="34"/>
      <c r="W1074" s="34">
        <v>45754</v>
      </c>
      <c r="X1074" s="33" t="s">
        <v>2269</v>
      </c>
      <c r="Y1074" s="35" t="str">
        <f>IF(Tabela2[[#This Row],[SIGLA]]="","",VLOOKUP(Tabela2[[#This Row],[SIGLA]],Tabela1[[#All],[Sigla Arte]:[Crédito]],2,0))</f>
        <v>GUSTAVO ALMEIDA/ARQUIVO DA EDITORA</v>
      </c>
      <c r="Z1074" s="31" t="s">
        <v>38</v>
      </c>
      <c r="AA1074" s="31" t="str">
        <f>Tabela2[[#This Row],[ILUSTRADOR CRIAÇÃO]]</f>
        <v>GUSTAVO ALMEIDA/ARQUIVO DA EDITORA</v>
      </c>
      <c r="AB1074" s="33">
        <v>13</v>
      </c>
      <c r="AC1074" s="16" t="s">
        <v>39</v>
      </c>
      <c r="AD1074" s="16" t="s">
        <v>40</v>
      </c>
      <c r="AE1074" s="35" t="str">
        <f t="shared" si="16"/>
        <v>EF1 E002 Mat</v>
      </c>
    </row>
    <row r="1075" spans="1:31" ht="45" x14ac:dyDescent="0.25">
      <c r="A1075" s="31" t="s">
        <v>2270</v>
      </c>
      <c r="B1075" s="16" t="s">
        <v>32</v>
      </c>
      <c r="C1075" s="16" t="s">
        <v>33</v>
      </c>
      <c r="D1075" s="33" t="s">
        <v>34</v>
      </c>
      <c r="E1075" s="33">
        <v>66</v>
      </c>
      <c r="F1075" s="33">
        <v>3</v>
      </c>
      <c r="G1075" s="33">
        <v>5</v>
      </c>
      <c r="H1075" s="33"/>
      <c r="I1075" s="31" t="s">
        <v>46</v>
      </c>
      <c r="J1075" s="31"/>
      <c r="K1075" s="33"/>
      <c r="L1075" s="33"/>
      <c r="M1075" s="31"/>
      <c r="N1075" s="31"/>
      <c r="O1075" s="16" t="s">
        <v>2271</v>
      </c>
      <c r="P1075" s="16"/>
      <c r="Q1075" s="16"/>
      <c r="R1075" s="33"/>
      <c r="S1075" s="34"/>
      <c r="T1075" s="34"/>
      <c r="U1075" s="34"/>
      <c r="V1075" s="34"/>
      <c r="W1075" s="34"/>
      <c r="X1075" s="33" t="s">
        <v>162</v>
      </c>
      <c r="Y1075" s="35" t="str">
        <f>IF(Tabela2[[#This Row],[SIGLA]]="","",VLOOKUP(Tabela2[[#This Row],[SIGLA]],Tabela1[[#All],[Sigla Arte]:[Crédito]],2,0))</f>
        <v>IVY NUNES/ARQUIVO DA EDITORA</v>
      </c>
      <c r="Z1075" s="31"/>
      <c r="AA1075" s="31" t="str">
        <f>Tabela2[[#This Row],[ILUSTRADOR CRIAÇÃO]]</f>
        <v>IVY NUNES/ARQUIVO DA EDITORA</v>
      </c>
      <c r="AB1075" s="33"/>
      <c r="AC1075" s="16"/>
      <c r="AE1075" s="35" t="str">
        <f t="shared" si="16"/>
        <v>EF1 E002 Mat</v>
      </c>
    </row>
    <row r="1076" spans="1:31" ht="45" x14ac:dyDescent="0.25">
      <c r="A1076" s="31" t="s">
        <v>2272</v>
      </c>
      <c r="B1076" s="16" t="s">
        <v>32</v>
      </c>
      <c r="C1076" s="16" t="s">
        <v>164</v>
      </c>
      <c r="D1076" s="33" t="s">
        <v>34</v>
      </c>
      <c r="E1076" s="33">
        <v>66</v>
      </c>
      <c r="F1076" s="33">
        <v>3</v>
      </c>
      <c r="G1076" s="33">
        <v>5</v>
      </c>
      <c r="H1076" s="33"/>
      <c r="I1076" s="31" t="s">
        <v>46</v>
      </c>
      <c r="J1076" s="31"/>
      <c r="K1076" s="33"/>
      <c r="L1076" s="33"/>
      <c r="M1076" s="31"/>
      <c r="N1076" s="31"/>
      <c r="O1076" s="16" t="s">
        <v>2273</v>
      </c>
      <c r="P1076" s="16"/>
      <c r="Q1076" s="16"/>
      <c r="R1076" s="33"/>
      <c r="S1076" s="34"/>
      <c r="T1076" s="34"/>
      <c r="U1076" s="34"/>
      <c r="V1076" s="34"/>
      <c r="W1076" s="34"/>
      <c r="X1076" s="33" t="s">
        <v>184</v>
      </c>
      <c r="Y1076" s="35" t="str">
        <f>IF(Tabela2[[#This Row],[SIGLA]]="","",VLOOKUP(Tabela2[[#This Row],[SIGLA]],Tabela1[[#All],[Sigla Arte]:[Crédito]],2,0))</f>
        <v>VER DOCUMENTO DE ILS. TÉCNICAS</v>
      </c>
      <c r="Z1076" s="31"/>
      <c r="AA1076" s="31" t="s">
        <v>185</v>
      </c>
      <c r="AB1076" s="33"/>
      <c r="AC1076" s="16"/>
      <c r="AE1076" s="35" t="str">
        <f t="shared" si="16"/>
        <v>EF1 E002 Mat</v>
      </c>
    </row>
    <row r="1077" spans="1:31" ht="45" x14ac:dyDescent="0.25">
      <c r="A1077" s="31" t="s">
        <v>2274</v>
      </c>
      <c r="B1077" s="16" t="s">
        <v>32</v>
      </c>
      <c r="C1077" s="16" t="s">
        <v>164</v>
      </c>
      <c r="D1077" s="33" t="s">
        <v>34</v>
      </c>
      <c r="E1077" s="33">
        <v>66</v>
      </c>
      <c r="F1077" s="33">
        <v>3</v>
      </c>
      <c r="G1077" s="33">
        <v>5</v>
      </c>
      <c r="H1077" s="33"/>
      <c r="I1077" s="31" t="s">
        <v>46</v>
      </c>
      <c r="J1077" s="31"/>
      <c r="K1077" s="33"/>
      <c r="L1077" s="33"/>
      <c r="M1077" s="31"/>
      <c r="N1077" s="31"/>
      <c r="O1077" s="16" t="s">
        <v>2275</v>
      </c>
      <c r="P1077" s="16"/>
      <c r="Q1077" s="16"/>
      <c r="R1077" s="33"/>
      <c r="S1077" s="34"/>
      <c r="T1077" s="34"/>
      <c r="U1077" s="34"/>
      <c r="V1077" s="34"/>
      <c r="W1077" s="34"/>
      <c r="X1077" s="33" t="s">
        <v>184</v>
      </c>
      <c r="Y1077" s="35" t="str">
        <f>IF(Tabela2[[#This Row],[SIGLA]]="","",VLOOKUP(Tabela2[[#This Row],[SIGLA]],Tabela1[[#All],[Sigla Arte]:[Crédito]],2,0))</f>
        <v>VER DOCUMENTO DE ILS. TÉCNICAS</v>
      </c>
      <c r="Z1077" s="31"/>
      <c r="AA1077" s="31" t="s">
        <v>185</v>
      </c>
      <c r="AB1077" s="33"/>
      <c r="AC1077" s="16"/>
      <c r="AE1077" s="35" t="str">
        <f t="shared" si="16"/>
        <v>EF1 E002 Mat</v>
      </c>
    </row>
    <row r="1078" spans="1:31" ht="45" x14ac:dyDescent="0.25">
      <c r="A1078" s="31" t="s">
        <v>2276</v>
      </c>
      <c r="B1078" s="16" t="s">
        <v>32</v>
      </c>
      <c r="C1078" s="16" t="s">
        <v>164</v>
      </c>
      <c r="D1078" s="33" t="s">
        <v>34</v>
      </c>
      <c r="E1078" s="33">
        <v>67</v>
      </c>
      <c r="F1078" s="33">
        <v>3</v>
      </c>
      <c r="G1078" s="33">
        <v>5</v>
      </c>
      <c r="H1078" s="33"/>
      <c r="I1078" s="31" t="s">
        <v>46</v>
      </c>
      <c r="J1078" s="31"/>
      <c r="K1078" s="33"/>
      <c r="L1078" s="33"/>
      <c r="M1078" s="31"/>
      <c r="N1078" s="31"/>
      <c r="O1078" s="16" t="s">
        <v>2277</v>
      </c>
      <c r="P1078" s="16"/>
      <c r="Q1078" s="16"/>
      <c r="R1078" s="33"/>
      <c r="S1078" s="34"/>
      <c r="T1078" s="34"/>
      <c r="U1078" s="34"/>
      <c r="V1078" s="34"/>
      <c r="W1078" s="34"/>
      <c r="X1078" s="33" t="s">
        <v>184</v>
      </c>
      <c r="Y1078" s="35" t="str">
        <f>IF(Tabela2[[#This Row],[SIGLA]]="","",VLOOKUP(Tabela2[[#This Row],[SIGLA]],Tabela1[[#All],[Sigla Arte]:[Crédito]],2,0))</f>
        <v>VER DOCUMENTO DE ILS. TÉCNICAS</v>
      </c>
      <c r="Z1078" s="31"/>
      <c r="AA1078" s="31" t="s">
        <v>185</v>
      </c>
      <c r="AB1078" s="33"/>
      <c r="AC1078" s="16"/>
      <c r="AE1078" s="35" t="str">
        <f t="shared" si="16"/>
        <v>EF1 E002 Mat</v>
      </c>
    </row>
    <row r="1079" spans="1:31" ht="45" x14ac:dyDescent="0.25">
      <c r="A1079" s="31" t="s">
        <v>2278</v>
      </c>
      <c r="B1079" s="16" t="s">
        <v>32</v>
      </c>
      <c r="C1079" s="16" t="s">
        <v>164</v>
      </c>
      <c r="D1079" s="33" t="s">
        <v>34</v>
      </c>
      <c r="E1079" s="33">
        <v>68</v>
      </c>
      <c r="F1079" s="33">
        <v>3</v>
      </c>
      <c r="G1079" s="33">
        <v>5</v>
      </c>
      <c r="H1079" s="33"/>
      <c r="I1079" s="31" t="s">
        <v>46</v>
      </c>
      <c r="J1079" s="31"/>
      <c r="K1079" s="33"/>
      <c r="L1079" s="33"/>
      <c r="M1079" s="31"/>
      <c r="N1079" s="31"/>
      <c r="O1079" s="16" t="s">
        <v>2279</v>
      </c>
      <c r="P1079" s="16"/>
      <c r="Q1079" s="16"/>
      <c r="R1079" s="33"/>
      <c r="S1079" s="34"/>
      <c r="T1079" s="34"/>
      <c r="U1079" s="34"/>
      <c r="V1079" s="34"/>
      <c r="W1079" s="34"/>
      <c r="X1079" s="33" t="s">
        <v>184</v>
      </c>
      <c r="Y1079" s="35" t="str">
        <f>IF(Tabela2[[#This Row],[SIGLA]]="","",VLOOKUP(Tabela2[[#This Row],[SIGLA]],Tabela1[[#All],[Sigla Arte]:[Crédito]],2,0))</f>
        <v>VER DOCUMENTO DE ILS. TÉCNICAS</v>
      </c>
      <c r="Z1079" s="31"/>
      <c r="AA1079" s="31" t="s">
        <v>191</v>
      </c>
      <c r="AB1079" s="33"/>
      <c r="AC1079" s="16"/>
      <c r="AE1079" s="35" t="str">
        <f t="shared" si="16"/>
        <v>EF1 E002 Mat</v>
      </c>
    </row>
    <row r="1080" spans="1:31" ht="30" x14ac:dyDescent="0.25">
      <c r="A1080" s="31" t="s">
        <v>2280</v>
      </c>
      <c r="B1080" s="16" t="s">
        <v>32</v>
      </c>
      <c r="C1080" s="16" t="s">
        <v>164</v>
      </c>
      <c r="D1080" s="33" t="s">
        <v>34</v>
      </c>
      <c r="E1080" s="33">
        <v>71</v>
      </c>
      <c r="F1080" s="33">
        <v>3</v>
      </c>
      <c r="G1080" s="33">
        <v>5</v>
      </c>
      <c r="H1080" s="33"/>
      <c r="I1080" s="31" t="s">
        <v>46</v>
      </c>
      <c r="J1080" s="31"/>
      <c r="K1080" s="33"/>
      <c r="L1080" s="33"/>
      <c r="M1080" s="31"/>
      <c r="N1080" s="31"/>
      <c r="O1080" s="16" t="s">
        <v>2281</v>
      </c>
      <c r="P1080" s="16"/>
      <c r="Q1080" s="16"/>
      <c r="R1080" s="33"/>
      <c r="S1080" s="34"/>
      <c r="T1080" s="34"/>
      <c r="U1080" s="34"/>
      <c r="V1080" s="34"/>
      <c r="W1080" s="34"/>
      <c r="X1080" s="33" t="s">
        <v>1126</v>
      </c>
      <c r="Y1080" s="35" t="str">
        <f>IF(Tabela2[[#This Row],[SIGLA]]="","",VLOOKUP(Tabela2[[#This Row],[SIGLA]],Tabela1[[#All],[Sigla Arte]:[Crédito]],2,0))</f>
        <v>GUSTAVO CONTI/ARQUIVO DA EDITORA</v>
      </c>
      <c r="Z1080" s="31"/>
      <c r="AA1080" s="31" t="str">
        <f>Tabela2[[#This Row],[ILUSTRADOR CRIAÇÃO]]</f>
        <v>GUSTAVO CONTI/ARQUIVO DA EDITORA</v>
      </c>
      <c r="AB1080" s="33"/>
      <c r="AC1080" s="16"/>
      <c r="AE1080" s="35" t="str">
        <f t="shared" si="16"/>
        <v>EF1 E002 Mat</v>
      </c>
    </row>
    <row r="1081" spans="1:31" ht="75" x14ac:dyDescent="0.25">
      <c r="A1081" s="31" t="s">
        <v>2282</v>
      </c>
      <c r="B1081" s="16" t="s">
        <v>32</v>
      </c>
      <c r="C1081" s="16" t="s">
        <v>164</v>
      </c>
      <c r="D1081" s="33" t="s">
        <v>34</v>
      </c>
      <c r="E1081" s="33">
        <v>71</v>
      </c>
      <c r="F1081" s="33">
        <v>3</v>
      </c>
      <c r="G1081" s="33">
        <v>5</v>
      </c>
      <c r="H1081" s="33"/>
      <c r="I1081" s="31" t="s">
        <v>35</v>
      </c>
      <c r="J1081" s="31"/>
      <c r="K1081" s="33"/>
      <c r="L1081" s="33"/>
      <c r="M1081" s="31"/>
      <c r="N1081" s="31"/>
      <c r="O1081" s="16" t="s">
        <v>2283</v>
      </c>
      <c r="P1081" s="16"/>
      <c r="Q1081" s="16"/>
      <c r="R1081" s="33">
        <v>23</v>
      </c>
      <c r="S1081" s="34">
        <v>45755</v>
      </c>
      <c r="T1081" s="34">
        <v>45756</v>
      </c>
      <c r="U1081" s="34"/>
      <c r="V1081" s="34"/>
      <c r="W1081" s="34">
        <v>45756</v>
      </c>
      <c r="X1081" s="33" t="s">
        <v>48</v>
      </c>
      <c r="Y1081" s="35" t="str">
        <f>IF(Tabela2[[#This Row],[SIGLA]]="","",VLOOKUP(Tabela2[[#This Row],[SIGLA]],Tabela1[[#All],[Sigla Arte]:[Crédito]],2,0))</f>
        <v>SERGIO LIMA/ARQUIVO DA EDITORA</v>
      </c>
      <c r="Z1081" s="31" t="s">
        <v>221</v>
      </c>
      <c r="AA1081" s="31" t="str">
        <f>Tabela2[[#This Row],[ILUSTRADOR CRIAÇÃO]]</f>
        <v>SERGIO LIMA/ARQUIVO DA EDITORA</v>
      </c>
      <c r="AB1081" s="33">
        <v>13</v>
      </c>
      <c r="AC1081" s="16" t="s">
        <v>44</v>
      </c>
      <c r="AD1081" s="16" t="s">
        <v>40</v>
      </c>
      <c r="AE1081" s="35" t="str">
        <f t="shared" si="16"/>
        <v>EF1 E002 Mat</v>
      </c>
    </row>
    <row r="1082" spans="1:31" ht="75" x14ac:dyDescent="0.25">
      <c r="A1082" s="31" t="s">
        <v>2284</v>
      </c>
      <c r="B1082" s="16" t="s">
        <v>32</v>
      </c>
      <c r="C1082" s="16" t="s">
        <v>164</v>
      </c>
      <c r="D1082" s="33" t="s">
        <v>34</v>
      </c>
      <c r="E1082" s="33">
        <v>71</v>
      </c>
      <c r="F1082" s="33">
        <v>3</v>
      </c>
      <c r="G1082" s="33">
        <v>5</v>
      </c>
      <c r="H1082" s="33"/>
      <c r="I1082" s="31" t="s">
        <v>35</v>
      </c>
      <c r="J1082" s="31"/>
      <c r="K1082" s="33"/>
      <c r="L1082" s="33"/>
      <c r="M1082" s="31"/>
      <c r="N1082" s="31"/>
      <c r="O1082" s="16" t="s">
        <v>2285</v>
      </c>
      <c r="P1082" s="16"/>
      <c r="Q1082" s="16"/>
      <c r="R1082" s="33">
        <v>23</v>
      </c>
      <c r="S1082" s="34">
        <v>45755</v>
      </c>
      <c r="T1082" s="34">
        <v>45756</v>
      </c>
      <c r="U1082" s="34"/>
      <c r="V1082" s="34"/>
      <c r="W1082" s="34">
        <v>45756</v>
      </c>
      <c r="X1082" s="33" t="s">
        <v>48</v>
      </c>
      <c r="Y1082" s="35" t="str">
        <f>IF(Tabela2[[#This Row],[SIGLA]]="","",VLOOKUP(Tabela2[[#This Row],[SIGLA]],Tabela1[[#All],[Sigla Arte]:[Crédito]],2,0))</f>
        <v>SERGIO LIMA/ARQUIVO DA EDITORA</v>
      </c>
      <c r="Z1082" s="31" t="s">
        <v>221</v>
      </c>
      <c r="AA1082" s="31" t="str">
        <f>Tabela2[[#This Row],[ILUSTRADOR CRIAÇÃO]]</f>
        <v>SERGIO LIMA/ARQUIVO DA EDITORA</v>
      </c>
      <c r="AB1082" s="33">
        <v>13</v>
      </c>
      <c r="AC1082" s="16" t="s">
        <v>44</v>
      </c>
      <c r="AD1082" s="16" t="s">
        <v>40</v>
      </c>
      <c r="AE1082" s="35" t="str">
        <f t="shared" si="16"/>
        <v>EF1 E002 Mat</v>
      </c>
    </row>
    <row r="1083" spans="1:31" ht="45" x14ac:dyDescent="0.25">
      <c r="A1083" s="31" t="s">
        <v>2286</v>
      </c>
      <c r="B1083" s="16" t="s">
        <v>32</v>
      </c>
      <c r="C1083" s="16" t="s">
        <v>164</v>
      </c>
      <c r="D1083" s="33" t="s">
        <v>34</v>
      </c>
      <c r="E1083" s="33">
        <v>73</v>
      </c>
      <c r="F1083" s="33">
        <v>3</v>
      </c>
      <c r="G1083" s="33">
        <v>5</v>
      </c>
      <c r="H1083" s="33"/>
      <c r="I1083" s="31" t="s">
        <v>46</v>
      </c>
      <c r="J1083" s="31"/>
      <c r="K1083" s="33"/>
      <c r="L1083" s="33"/>
      <c r="M1083" s="31"/>
      <c r="N1083" s="31"/>
      <c r="O1083" s="16" t="s">
        <v>2287</v>
      </c>
      <c r="P1083" s="16"/>
      <c r="Q1083" s="16"/>
      <c r="R1083" s="33"/>
      <c r="S1083" s="34"/>
      <c r="T1083" s="34"/>
      <c r="U1083" s="34"/>
      <c r="V1083" s="34"/>
      <c r="W1083" s="34"/>
      <c r="X1083" s="33" t="s">
        <v>184</v>
      </c>
      <c r="Y1083" s="35" t="str">
        <f>IF(Tabela2[[#This Row],[SIGLA]]="","",VLOOKUP(Tabela2[[#This Row],[SIGLA]],Tabela1[[#All],[Sigla Arte]:[Crédito]],2,0))</f>
        <v>VER DOCUMENTO DE ILS. TÉCNICAS</v>
      </c>
      <c r="Z1083" s="31"/>
      <c r="AA1083" s="31" t="s">
        <v>185</v>
      </c>
      <c r="AB1083" s="33"/>
      <c r="AC1083" s="16"/>
      <c r="AE1083" s="35" t="str">
        <f t="shared" si="16"/>
        <v>EF1 E002 Mat</v>
      </c>
    </row>
    <row r="1084" spans="1:31" ht="45" x14ac:dyDescent="0.25">
      <c r="A1084" s="31" t="s">
        <v>2288</v>
      </c>
      <c r="B1084" s="16" t="s">
        <v>32</v>
      </c>
      <c r="C1084" s="16" t="s">
        <v>164</v>
      </c>
      <c r="D1084" s="33" t="s">
        <v>34</v>
      </c>
      <c r="E1084" s="33">
        <v>73</v>
      </c>
      <c r="F1084" s="33">
        <v>3</v>
      </c>
      <c r="G1084" s="33">
        <v>5</v>
      </c>
      <c r="H1084" s="33"/>
      <c r="I1084" s="31" t="s">
        <v>46</v>
      </c>
      <c r="J1084" s="31"/>
      <c r="K1084" s="33"/>
      <c r="L1084" s="33"/>
      <c r="M1084" s="31"/>
      <c r="N1084" s="31"/>
      <c r="O1084" s="16" t="s">
        <v>2289</v>
      </c>
      <c r="P1084" s="16"/>
      <c r="Q1084" s="16"/>
      <c r="R1084" s="33"/>
      <c r="S1084" s="34"/>
      <c r="T1084" s="34"/>
      <c r="U1084" s="34"/>
      <c r="V1084" s="34"/>
      <c r="W1084" s="34"/>
      <c r="X1084" s="33" t="s">
        <v>184</v>
      </c>
      <c r="Y1084" s="35" t="str">
        <f>IF(Tabela2[[#This Row],[SIGLA]]="","",VLOOKUP(Tabela2[[#This Row],[SIGLA]],Tabela1[[#All],[Sigla Arte]:[Crédito]],2,0))</f>
        <v>VER DOCUMENTO DE ILS. TÉCNICAS</v>
      </c>
      <c r="Z1084" s="31"/>
      <c r="AA1084" s="31" t="s">
        <v>185</v>
      </c>
      <c r="AB1084" s="33"/>
      <c r="AC1084" s="16"/>
      <c r="AE1084" s="35" t="str">
        <f t="shared" si="16"/>
        <v>EF1 E002 Mat</v>
      </c>
    </row>
    <row r="1085" spans="1:31" ht="45" x14ac:dyDescent="0.25">
      <c r="A1085" s="31" t="s">
        <v>2290</v>
      </c>
      <c r="B1085" s="16" t="s">
        <v>32</v>
      </c>
      <c r="C1085" s="16" t="s">
        <v>164</v>
      </c>
      <c r="D1085" s="33" t="s">
        <v>34</v>
      </c>
      <c r="E1085" s="33">
        <v>73</v>
      </c>
      <c r="F1085" s="33">
        <v>3</v>
      </c>
      <c r="G1085" s="33">
        <v>5</v>
      </c>
      <c r="H1085" s="33"/>
      <c r="I1085" s="31" t="s">
        <v>46</v>
      </c>
      <c r="J1085" s="31"/>
      <c r="K1085" s="33"/>
      <c r="L1085" s="33"/>
      <c r="M1085" s="31"/>
      <c r="N1085" s="31"/>
      <c r="O1085" s="16" t="s">
        <v>2291</v>
      </c>
      <c r="P1085" s="16"/>
      <c r="Q1085" s="16"/>
      <c r="R1085" s="33"/>
      <c r="S1085" s="34"/>
      <c r="T1085" s="34"/>
      <c r="U1085" s="34"/>
      <c r="V1085" s="34"/>
      <c r="W1085" s="34"/>
      <c r="X1085" s="33" t="s">
        <v>184</v>
      </c>
      <c r="Y1085" s="35" t="str">
        <f>IF(Tabela2[[#This Row],[SIGLA]]="","",VLOOKUP(Tabela2[[#This Row],[SIGLA]],Tabela1[[#All],[Sigla Arte]:[Crédito]],2,0))</f>
        <v>VER DOCUMENTO DE ILS. TÉCNICAS</v>
      </c>
      <c r="Z1085" s="31"/>
      <c r="AA1085" s="31" t="s">
        <v>185</v>
      </c>
      <c r="AB1085" s="33"/>
      <c r="AC1085" s="16"/>
      <c r="AE1085" s="35" t="str">
        <f t="shared" si="16"/>
        <v>EF1 E002 Mat</v>
      </c>
    </row>
    <row r="1086" spans="1:31" ht="45" x14ac:dyDescent="0.25">
      <c r="A1086" s="31" t="s">
        <v>2292</v>
      </c>
      <c r="B1086" s="16" t="s">
        <v>32</v>
      </c>
      <c r="C1086" s="16" t="s">
        <v>164</v>
      </c>
      <c r="D1086" s="33" t="s">
        <v>34</v>
      </c>
      <c r="E1086" s="33">
        <v>74</v>
      </c>
      <c r="F1086" s="33">
        <v>3</v>
      </c>
      <c r="G1086" s="33">
        <v>5</v>
      </c>
      <c r="H1086" s="33"/>
      <c r="I1086" s="31" t="s">
        <v>46</v>
      </c>
      <c r="J1086" s="31"/>
      <c r="K1086" s="33"/>
      <c r="L1086" s="33"/>
      <c r="M1086" s="31"/>
      <c r="N1086" s="31"/>
      <c r="O1086" s="16" t="s">
        <v>2293</v>
      </c>
      <c r="P1086" s="16"/>
      <c r="Q1086" s="16"/>
      <c r="R1086" s="33"/>
      <c r="S1086" s="34"/>
      <c r="T1086" s="34"/>
      <c r="U1086" s="34"/>
      <c r="V1086" s="34"/>
      <c r="W1086" s="34"/>
      <c r="X1086" s="33" t="s">
        <v>184</v>
      </c>
      <c r="Y1086" s="35" t="str">
        <f>IF(Tabela2[[#This Row],[SIGLA]]="","",VLOOKUP(Tabela2[[#This Row],[SIGLA]],Tabela1[[#All],[Sigla Arte]:[Crédito]],2,0))</f>
        <v>VER DOCUMENTO DE ILS. TÉCNICAS</v>
      </c>
      <c r="Z1086" s="31"/>
      <c r="AA1086" s="31" t="s">
        <v>185</v>
      </c>
      <c r="AB1086" s="33"/>
      <c r="AC1086" s="16"/>
      <c r="AE1086" s="35" t="str">
        <f t="shared" si="16"/>
        <v>EF1 E002 Mat</v>
      </c>
    </row>
    <row r="1087" spans="1:31" ht="85.5" customHeight="1" x14ac:dyDescent="0.25">
      <c r="A1087" s="31" t="s">
        <v>2294</v>
      </c>
      <c r="B1087" s="16" t="s">
        <v>97</v>
      </c>
      <c r="C1087" s="16" t="s">
        <v>33</v>
      </c>
      <c r="D1087" s="33" t="s">
        <v>34</v>
      </c>
      <c r="E1087" s="33">
        <v>80</v>
      </c>
      <c r="F1087" s="33">
        <v>3</v>
      </c>
      <c r="G1087" s="33">
        <v>5</v>
      </c>
      <c r="H1087" s="33"/>
      <c r="I1087" s="31" t="s">
        <v>35</v>
      </c>
      <c r="J1087" s="31"/>
      <c r="K1087" s="33"/>
      <c r="L1087" s="33"/>
      <c r="M1087" s="31"/>
      <c r="N1087" s="31"/>
      <c r="O1087" s="16" t="s">
        <v>2295</v>
      </c>
      <c r="P1087" s="16"/>
      <c r="Q1087" s="16"/>
      <c r="R1087" s="33">
        <v>23</v>
      </c>
      <c r="S1087" s="34">
        <v>45755</v>
      </c>
      <c r="T1087" s="34">
        <v>45756</v>
      </c>
      <c r="U1087" s="34"/>
      <c r="V1087" s="34"/>
      <c r="W1087" s="34">
        <v>45756</v>
      </c>
      <c r="X1087" s="33" t="s">
        <v>194</v>
      </c>
      <c r="Y1087" s="35" t="str">
        <f>IF(Tabela2[[#This Row],[SIGLA]]="","",VLOOKUP(Tabela2[[#This Row],[SIGLA]],Tabela1[[#All],[Sigla Arte]:[Crédito]],2,0))</f>
        <v>LEANDRO LASSMAR/ARQUIVO DA EDITORA</v>
      </c>
      <c r="Z1087" s="31" t="s">
        <v>221</v>
      </c>
      <c r="AA1087" s="31" t="str">
        <f>Tabela2[[#This Row],[ILUSTRADOR CRIAÇÃO]]</f>
        <v>LEANDRO LASSMAR/ARQUIVO DA EDITORA</v>
      </c>
      <c r="AB1087" s="33">
        <v>13</v>
      </c>
      <c r="AC1087" s="16" t="s">
        <v>44</v>
      </c>
      <c r="AD1087" s="16" t="s">
        <v>40</v>
      </c>
      <c r="AE1087" s="35" t="str">
        <f t="shared" si="16"/>
        <v>EF1 E002 Mat</v>
      </c>
    </row>
    <row r="1088" spans="1:31" ht="45" x14ac:dyDescent="0.25">
      <c r="A1088" s="31" t="s">
        <v>2296</v>
      </c>
      <c r="B1088" s="16" t="s">
        <v>97</v>
      </c>
      <c r="C1088" s="16" t="s">
        <v>33</v>
      </c>
      <c r="D1088" s="33" t="s">
        <v>34</v>
      </c>
      <c r="E1088" s="33">
        <v>97</v>
      </c>
      <c r="F1088" s="33">
        <v>3</v>
      </c>
      <c r="G1088" s="33">
        <v>6</v>
      </c>
      <c r="H1088" s="33"/>
      <c r="I1088" s="31" t="s">
        <v>46</v>
      </c>
      <c r="J1088" s="31"/>
      <c r="K1088" s="33"/>
      <c r="L1088" s="33"/>
      <c r="M1088" s="31"/>
      <c r="N1088" s="31"/>
      <c r="O1088" s="16" t="s">
        <v>2297</v>
      </c>
      <c r="P1088" s="16"/>
      <c r="Q1088" s="16"/>
      <c r="R1088" s="33"/>
      <c r="S1088" s="34"/>
      <c r="T1088" s="34"/>
      <c r="U1088" s="34"/>
      <c r="V1088" s="34"/>
      <c r="W1088" s="34"/>
      <c r="X1088" s="33" t="s">
        <v>85</v>
      </c>
      <c r="Y1088" s="35" t="str">
        <f>IF(Tabela2[[#This Row],[SIGLA]]="","",VLOOKUP(Tabela2[[#This Row],[SIGLA]],Tabela1[[#All],[Sigla Arte]:[Crédito]],2,0))</f>
        <v>HELOÍSA PINTARELLI/ARQUIVO DA EDITORA</v>
      </c>
      <c r="Z1088" s="31"/>
      <c r="AA1088" s="31" t="str">
        <f>Tabela2[[#This Row],[ILUSTRADOR CRIAÇÃO]]</f>
        <v>HELOÍSA PINTARELLI/ARQUIVO DA EDITORA</v>
      </c>
      <c r="AB1088" s="33"/>
      <c r="AC1088" s="16"/>
      <c r="AE1088" s="35" t="str">
        <f t="shared" si="16"/>
        <v>EF1 E002 Mat</v>
      </c>
    </row>
    <row r="1089" spans="1:31" ht="45" x14ac:dyDescent="0.25">
      <c r="A1089" s="31" t="s">
        <v>2298</v>
      </c>
      <c r="B1089" s="16" t="s">
        <v>97</v>
      </c>
      <c r="C1089" s="16" t="s">
        <v>33</v>
      </c>
      <c r="D1089" s="33" t="s">
        <v>34</v>
      </c>
      <c r="E1089" s="33">
        <v>98</v>
      </c>
      <c r="F1089" s="33">
        <v>3</v>
      </c>
      <c r="G1089" s="33">
        <v>6</v>
      </c>
      <c r="H1089" s="33"/>
      <c r="I1089" s="31" t="s">
        <v>46</v>
      </c>
      <c r="J1089" s="31"/>
      <c r="K1089" s="33"/>
      <c r="L1089" s="33"/>
      <c r="M1089" s="31"/>
      <c r="N1089" s="31"/>
      <c r="O1089" s="16" t="s">
        <v>2299</v>
      </c>
      <c r="P1089" s="16"/>
      <c r="Q1089" s="16"/>
      <c r="R1089" s="33"/>
      <c r="S1089" s="34"/>
      <c r="T1089" s="34"/>
      <c r="U1089" s="34"/>
      <c r="V1089" s="34"/>
      <c r="W1089" s="34"/>
      <c r="X1089" s="33" t="s">
        <v>2269</v>
      </c>
      <c r="Y1089" s="35" t="str">
        <f>IF(Tabela2[[#This Row],[SIGLA]]="","",VLOOKUP(Tabela2[[#This Row],[SIGLA]],Tabela1[[#All],[Sigla Arte]:[Crédito]],2,0))</f>
        <v>GUSTAVO ALMEIDA/ARQUIVO DA EDITORA</v>
      </c>
      <c r="Z1089" s="31"/>
      <c r="AA1089" s="31" t="str">
        <f>Tabela2[[#This Row],[ILUSTRADOR CRIAÇÃO]]</f>
        <v>GUSTAVO ALMEIDA/ARQUIVO DA EDITORA</v>
      </c>
      <c r="AB1089" s="33"/>
      <c r="AC1089" s="16"/>
      <c r="AE1089" s="35" t="str">
        <f t="shared" si="16"/>
        <v>EF1 E002 Mat</v>
      </c>
    </row>
    <row r="1090" spans="1:31" ht="30" x14ac:dyDescent="0.25">
      <c r="A1090" s="31" t="s">
        <v>2300</v>
      </c>
      <c r="B1090" s="16" t="s">
        <v>97</v>
      </c>
      <c r="C1090" s="16" t="s">
        <v>164</v>
      </c>
      <c r="D1090" s="33" t="s">
        <v>34</v>
      </c>
      <c r="E1090" s="33">
        <v>98</v>
      </c>
      <c r="F1090" s="33">
        <v>3</v>
      </c>
      <c r="G1090" s="33">
        <v>6</v>
      </c>
      <c r="H1090" s="33"/>
      <c r="I1090" s="31" t="s">
        <v>46</v>
      </c>
      <c r="J1090" s="31"/>
      <c r="K1090" s="33"/>
      <c r="L1090" s="33"/>
      <c r="M1090" s="31"/>
      <c r="N1090" s="31"/>
      <c r="O1090" s="16" t="s">
        <v>2301</v>
      </c>
      <c r="P1090" s="16"/>
      <c r="Q1090" s="16"/>
      <c r="R1090" s="33"/>
      <c r="S1090" s="34"/>
      <c r="T1090" s="34"/>
      <c r="U1090" s="34"/>
      <c r="V1090" s="34"/>
      <c r="W1090" s="34"/>
      <c r="X1090" s="33" t="s">
        <v>48</v>
      </c>
      <c r="Y1090" s="35" t="str">
        <f>IF(Tabela2[[#This Row],[SIGLA]]="","",VLOOKUP(Tabela2[[#This Row],[SIGLA]],Tabela1[[#All],[Sigla Arte]:[Crédito]],2,0))</f>
        <v>SERGIO LIMA/ARQUIVO DA EDITORA</v>
      </c>
      <c r="Z1090" s="31"/>
      <c r="AA1090" s="31" t="str">
        <f>Tabela2[[#This Row],[ILUSTRADOR CRIAÇÃO]]</f>
        <v>SERGIO LIMA/ARQUIVO DA EDITORA</v>
      </c>
      <c r="AB1090" s="33"/>
      <c r="AC1090" s="16"/>
      <c r="AE1090" s="35" t="str">
        <f t="shared" ref="AE1090:AE1153" si="17">"EF1 E002 Mat"</f>
        <v>EF1 E002 Mat</v>
      </c>
    </row>
    <row r="1091" spans="1:31" ht="45" x14ac:dyDescent="0.25">
      <c r="A1091" s="31" t="s">
        <v>2302</v>
      </c>
      <c r="B1091" s="16" t="s">
        <v>97</v>
      </c>
      <c r="C1091" s="16" t="s">
        <v>164</v>
      </c>
      <c r="D1091" s="33" t="s">
        <v>34</v>
      </c>
      <c r="E1091" s="33">
        <v>98</v>
      </c>
      <c r="F1091" s="33">
        <v>3</v>
      </c>
      <c r="G1091" s="33">
        <v>6</v>
      </c>
      <c r="H1091" s="33"/>
      <c r="I1091" s="31" t="s">
        <v>46</v>
      </c>
      <c r="J1091" s="31"/>
      <c r="K1091" s="33"/>
      <c r="L1091" s="33"/>
      <c r="M1091" s="31"/>
      <c r="N1091" s="31"/>
      <c r="O1091" s="16" t="s">
        <v>2303</v>
      </c>
      <c r="P1091" s="16"/>
      <c r="Q1091" s="16"/>
      <c r="R1091" s="33"/>
      <c r="S1091" s="34"/>
      <c r="T1091" s="34"/>
      <c r="U1091" s="34"/>
      <c r="V1091" s="34"/>
      <c r="W1091" s="34"/>
      <c r="X1091" s="33" t="s">
        <v>48</v>
      </c>
      <c r="Y1091" s="35" t="str">
        <f>IF(Tabela2[[#This Row],[SIGLA]]="","",VLOOKUP(Tabela2[[#This Row],[SIGLA]],Tabela1[[#All],[Sigla Arte]:[Crédito]],2,0))</f>
        <v>SERGIO LIMA/ARQUIVO DA EDITORA</v>
      </c>
      <c r="Z1091" s="31"/>
      <c r="AA1091" s="31" t="str">
        <f>Tabela2[[#This Row],[ILUSTRADOR CRIAÇÃO]]</f>
        <v>SERGIO LIMA/ARQUIVO DA EDITORA</v>
      </c>
      <c r="AB1091" s="33"/>
      <c r="AC1091" s="16"/>
      <c r="AE1091" s="35" t="str">
        <f t="shared" si="17"/>
        <v>EF1 E002 Mat</v>
      </c>
    </row>
    <row r="1092" spans="1:31" ht="45" x14ac:dyDescent="0.25">
      <c r="A1092" s="31" t="s">
        <v>2304</v>
      </c>
      <c r="B1092" s="16" t="s">
        <v>97</v>
      </c>
      <c r="C1092" s="16" t="s">
        <v>33</v>
      </c>
      <c r="D1092" s="33" t="s">
        <v>34</v>
      </c>
      <c r="E1092" s="33">
        <v>99</v>
      </c>
      <c r="F1092" s="33">
        <v>3</v>
      </c>
      <c r="G1092" s="33">
        <v>6</v>
      </c>
      <c r="H1092" s="33"/>
      <c r="I1092" s="31" t="s">
        <v>46</v>
      </c>
      <c r="J1092" s="31"/>
      <c r="K1092" s="33"/>
      <c r="L1092" s="33"/>
      <c r="M1092" s="31"/>
      <c r="N1092" s="31"/>
      <c r="O1092" s="16" t="s">
        <v>2305</v>
      </c>
      <c r="P1092" s="16"/>
      <c r="Q1092" s="16"/>
      <c r="R1092" s="33"/>
      <c r="S1092" s="34"/>
      <c r="T1092" s="34"/>
      <c r="U1092" s="34"/>
      <c r="V1092" s="34"/>
      <c r="W1092" s="34"/>
      <c r="X1092" s="33" t="s">
        <v>2269</v>
      </c>
      <c r="Y1092" s="35" t="str">
        <f>IF(Tabela2[[#This Row],[SIGLA]]="","",VLOOKUP(Tabela2[[#This Row],[SIGLA]],Tabela1[[#All],[Sigla Arte]:[Crédito]],2,0))</f>
        <v>GUSTAVO ALMEIDA/ARQUIVO DA EDITORA</v>
      </c>
      <c r="Z1092" s="31"/>
      <c r="AA1092" s="31" t="str">
        <f>Tabela2[[#This Row],[ILUSTRADOR CRIAÇÃO]]</f>
        <v>GUSTAVO ALMEIDA/ARQUIVO DA EDITORA</v>
      </c>
      <c r="AB1092" s="33"/>
      <c r="AC1092" s="16"/>
      <c r="AE1092" s="35" t="str">
        <f t="shared" si="17"/>
        <v>EF1 E002 Mat</v>
      </c>
    </row>
    <row r="1093" spans="1:31" ht="45" x14ac:dyDescent="0.25">
      <c r="A1093" s="31" t="s">
        <v>2306</v>
      </c>
      <c r="B1093" s="16" t="s">
        <v>97</v>
      </c>
      <c r="C1093" s="16" t="s">
        <v>33</v>
      </c>
      <c r="D1093" s="33" t="s">
        <v>34</v>
      </c>
      <c r="E1093" s="33">
        <v>99</v>
      </c>
      <c r="F1093" s="33">
        <v>3</v>
      </c>
      <c r="G1093" s="33">
        <v>6</v>
      </c>
      <c r="H1093" s="33"/>
      <c r="I1093" s="31" t="s">
        <v>46</v>
      </c>
      <c r="J1093" s="31"/>
      <c r="K1093" s="33"/>
      <c r="L1093" s="33"/>
      <c r="M1093" s="31"/>
      <c r="N1093" s="31"/>
      <c r="O1093" s="16" t="s">
        <v>2307</v>
      </c>
      <c r="P1093" s="16"/>
      <c r="Q1093" s="16"/>
      <c r="R1093" s="33"/>
      <c r="S1093" s="34"/>
      <c r="T1093" s="34"/>
      <c r="U1093" s="34"/>
      <c r="V1093" s="34"/>
      <c r="W1093" s="34"/>
      <c r="X1093" s="33" t="s">
        <v>85</v>
      </c>
      <c r="Y1093" s="35" t="str">
        <f>IF(Tabela2[[#This Row],[SIGLA]]="","",VLOOKUP(Tabela2[[#This Row],[SIGLA]],Tabela1[[#All],[Sigla Arte]:[Crédito]],2,0))</f>
        <v>HELOÍSA PINTARELLI/ARQUIVO DA EDITORA</v>
      </c>
      <c r="Z1093" s="31"/>
      <c r="AA1093" s="31" t="str">
        <f>Tabela2[[#This Row],[ILUSTRADOR CRIAÇÃO]]</f>
        <v>HELOÍSA PINTARELLI/ARQUIVO DA EDITORA</v>
      </c>
      <c r="AB1093" s="33"/>
      <c r="AC1093" s="16"/>
      <c r="AE1093" s="35" t="str">
        <f t="shared" si="17"/>
        <v>EF1 E002 Mat</v>
      </c>
    </row>
    <row r="1094" spans="1:31" ht="45" x14ac:dyDescent="0.25">
      <c r="A1094" s="31" t="s">
        <v>2308</v>
      </c>
      <c r="B1094" s="16" t="s">
        <v>97</v>
      </c>
      <c r="C1094" s="16" t="s">
        <v>33</v>
      </c>
      <c r="D1094" s="33" t="s">
        <v>34</v>
      </c>
      <c r="E1094" s="33">
        <v>100</v>
      </c>
      <c r="F1094" s="33">
        <v>3</v>
      </c>
      <c r="G1094" s="33">
        <v>6</v>
      </c>
      <c r="H1094" s="33"/>
      <c r="I1094" s="31" t="s">
        <v>46</v>
      </c>
      <c r="J1094" s="31"/>
      <c r="K1094" s="33"/>
      <c r="L1094" s="33"/>
      <c r="M1094" s="31"/>
      <c r="N1094" s="31"/>
      <c r="O1094" s="16" t="s">
        <v>2309</v>
      </c>
      <c r="P1094" s="16"/>
      <c r="Q1094" s="16"/>
      <c r="R1094" s="33"/>
      <c r="S1094" s="34"/>
      <c r="T1094" s="34"/>
      <c r="U1094" s="34"/>
      <c r="V1094" s="34"/>
      <c r="W1094" s="34"/>
      <c r="X1094" s="33" t="s">
        <v>85</v>
      </c>
      <c r="Y1094" s="35" t="str">
        <f>IF(Tabela2[[#This Row],[SIGLA]]="","",VLOOKUP(Tabela2[[#This Row],[SIGLA]],Tabela1[[#All],[Sigla Arte]:[Crédito]],2,0))</f>
        <v>HELOÍSA PINTARELLI/ARQUIVO DA EDITORA</v>
      </c>
      <c r="Z1094" s="31"/>
      <c r="AA1094" s="31" t="str">
        <f>Tabela2[[#This Row],[ILUSTRADOR CRIAÇÃO]]</f>
        <v>HELOÍSA PINTARELLI/ARQUIVO DA EDITORA</v>
      </c>
      <c r="AB1094" s="33"/>
      <c r="AC1094" s="16"/>
      <c r="AE1094" s="35" t="str">
        <f t="shared" si="17"/>
        <v>EF1 E002 Mat</v>
      </c>
    </row>
    <row r="1095" spans="1:31" ht="45" x14ac:dyDescent="0.25">
      <c r="A1095" s="31" t="s">
        <v>2310</v>
      </c>
      <c r="B1095" s="16" t="s">
        <v>97</v>
      </c>
      <c r="C1095" s="16" t="s">
        <v>33</v>
      </c>
      <c r="D1095" s="33" t="s">
        <v>34</v>
      </c>
      <c r="E1095" s="33">
        <v>100</v>
      </c>
      <c r="F1095" s="33">
        <v>3</v>
      </c>
      <c r="G1095" s="33">
        <v>6</v>
      </c>
      <c r="H1095" s="33"/>
      <c r="I1095" s="31" t="s">
        <v>46</v>
      </c>
      <c r="J1095" s="31"/>
      <c r="K1095" s="33"/>
      <c r="L1095" s="33"/>
      <c r="M1095" s="31"/>
      <c r="N1095" s="31"/>
      <c r="O1095" s="16" t="s">
        <v>2311</v>
      </c>
      <c r="P1095" s="16"/>
      <c r="Q1095" s="16"/>
      <c r="R1095" s="33"/>
      <c r="S1095" s="34"/>
      <c r="T1095" s="34"/>
      <c r="U1095" s="34"/>
      <c r="V1095" s="34"/>
      <c r="W1095" s="34"/>
      <c r="X1095" s="33" t="s">
        <v>85</v>
      </c>
      <c r="Y1095" s="35" t="str">
        <f>IF(Tabela2[[#This Row],[SIGLA]]="","",VLOOKUP(Tabela2[[#This Row],[SIGLA]],Tabela1[[#All],[Sigla Arte]:[Crédito]],2,0))</f>
        <v>HELOÍSA PINTARELLI/ARQUIVO DA EDITORA</v>
      </c>
      <c r="Z1095" s="31"/>
      <c r="AA1095" s="31" t="str">
        <f>Tabela2[[#This Row],[ILUSTRADOR CRIAÇÃO]]</f>
        <v>HELOÍSA PINTARELLI/ARQUIVO DA EDITORA</v>
      </c>
      <c r="AB1095" s="33"/>
      <c r="AC1095" s="16"/>
      <c r="AE1095" s="35" t="str">
        <f t="shared" si="17"/>
        <v>EF1 E002 Mat</v>
      </c>
    </row>
    <row r="1096" spans="1:31" ht="45" x14ac:dyDescent="0.25">
      <c r="A1096" s="31" t="s">
        <v>2312</v>
      </c>
      <c r="B1096" s="16" t="s">
        <v>97</v>
      </c>
      <c r="C1096" s="16" t="s">
        <v>33</v>
      </c>
      <c r="D1096" s="33" t="s">
        <v>34</v>
      </c>
      <c r="E1096" s="33">
        <v>100</v>
      </c>
      <c r="F1096" s="33">
        <v>3</v>
      </c>
      <c r="G1096" s="33">
        <v>6</v>
      </c>
      <c r="H1096" s="33"/>
      <c r="I1096" s="31" t="s">
        <v>46</v>
      </c>
      <c r="J1096" s="31"/>
      <c r="K1096" s="33"/>
      <c r="L1096" s="33"/>
      <c r="M1096" s="31"/>
      <c r="N1096" s="31"/>
      <c r="O1096" s="16" t="s">
        <v>2313</v>
      </c>
      <c r="P1096" s="16"/>
      <c r="Q1096" s="16"/>
      <c r="R1096" s="33"/>
      <c r="S1096" s="34"/>
      <c r="T1096" s="34"/>
      <c r="U1096" s="34"/>
      <c r="V1096" s="34"/>
      <c r="W1096" s="34"/>
      <c r="X1096" s="33" t="s">
        <v>85</v>
      </c>
      <c r="Y1096" s="35" t="str">
        <f>IF(Tabela2[[#This Row],[SIGLA]]="","",VLOOKUP(Tabela2[[#This Row],[SIGLA]],Tabela1[[#All],[Sigla Arte]:[Crédito]],2,0))</f>
        <v>HELOÍSA PINTARELLI/ARQUIVO DA EDITORA</v>
      </c>
      <c r="Z1096" s="31"/>
      <c r="AA1096" s="31" t="str">
        <f>Tabela2[[#This Row],[ILUSTRADOR CRIAÇÃO]]</f>
        <v>HELOÍSA PINTARELLI/ARQUIVO DA EDITORA</v>
      </c>
      <c r="AB1096" s="33"/>
      <c r="AC1096" s="16"/>
      <c r="AE1096" s="35" t="str">
        <f t="shared" si="17"/>
        <v>EF1 E002 Mat</v>
      </c>
    </row>
    <row r="1097" spans="1:31" ht="45" x14ac:dyDescent="0.25">
      <c r="A1097" s="31" t="s">
        <v>2314</v>
      </c>
      <c r="B1097" s="16" t="s">
        <v>97</v>
      </c>
      <c r="C1097" s="16" t="s">
        <v>33</v>
      </c>
      <c r="D1097" s="33" t="s">
        <v>34</v>
      </c>
      <c r="E1097" s="33">
        <v>100</v>
      </c>
      <c r="F1097" s="33">
        <v>3</v>
      </c>
      <c r="G1097" s="33">
        <v>6</v>
      </c>
      <c r="H1097" s="33"/>
      <c r="I1097" s="31" t="s">
        <v>46</v>
      </c>
      <c r="J1097" s="31"/>
      <c r="K1097" s="33"/>
      <c r="L1097" s="33"/>
      <c r="M1097" s="31"/>
      <c r="N1097" s="31"/>
      <c r="O1097" s="16" t="s">
        <v>2315</v>
      </c>
      <c r="P1097" s="16"/>
      <c r="Q1097" s="16"/>
      <c r="R1097" s="33"/>
      <c r="S1097" s="34"/>
      <c r="T1097" s="34"/>
      <c r="U1097" s="34"/>
      <c r="V1097" s="34"/>
      <c r="W1097" s="34"/>
      <c r="X1097" s="33" t="s">
        <v>85</v>
      </c>
      <c r="Y1097" s="35" t="str">
        <f>IF(Tabela2[[#This Row],[SIGLA]]="","",VLOOKUP(Tabela2[[#This Row],[SIGLA]],Tabela1[[#All],[Sigla Arte]:[Crédito]],2,0))</f>
        <v>HELOÍSA PINTARELLI/ARQUIVO DA EDITORA</v>
      </c>
      <c r="Z1097" s="31"/>
      <c r="AA1097" s="31" t="str">
        <f>Tabela2[[#This Row],[ILUSTRADOR CRIAÇÃO]]</f>
        <v>HELOÍSA PINTARELLI/ARQUIVO DA EDITORA</v>
      </c>
      <c r="AB1097" s="33"/>
      <c r="AC1097" s="16"/>
      <c r="AE1097" s="35" t="str">
        <f t="shared" si="17"/>
        <v>EF1 E002 Mat</v>
      </c>
    </row>
    <row r="1098" spans="1:31" ht="45" x14ac:dyDescent="0.25">
      <c r="A1098" s="31" t="s">
        <v>2316</v>
      </c>
      <c r="B1098" s="16" t="s">
        <v>97</v>
      </c>
      <c r="C1098" s="16" t="s">
        <v>33</v>
      </c>
      <c r="D1098" s="33" t="s">
        <v>34</v>
      </c>
      <c r="E1098" s="33">
        <v>100</v>
      </c>
      <c r="F1098" s="33">
        <v>3</v>
      </c>
      <c r="G1098" s="33">
        <v>6</v>
      </c>
      <c r="H1098" s="33"/>
      <c r="I1098" s="31" t="s">
        <v>46</v>
      </c>
      <c r="J1098" s="31"/>
      <c r="K1098" s="33"/>
      <c r="L1098" s="33"/>
      <c r="M1098" s="31"/>
      <c r="N1098" s="31"/>
      <c r="O1098" s="16" t="s">
        <v>2317</v>
      </c>
      <c r="P1098" s="16"/>
      <c r="Q1098" s="16"/>
      <c r="R1098" s="33"/>
      <c r="S1098" s="34"/>
      <c r="T1098" s="34"/>
      <c r="U1098" s="34"/>
      <c r="V1098" s="34"/>
      <c r="W1098" s="34"/>
      <c r="X1098" s="33" t="s">
        <v>85</v>
      </c>
      <c r="Y1098" s="35" t="str">
        <f>IF(Tabela2[[#This Row],[SIGLA]]="","",VLOOKUP(Tabela2[[#This Row],[SIGLA]],Tabela1[[#All],[Sigla Arte]:[Crédito]],2,0))</f>
        <v>HELOÍSA PINTARELLI/ARQUIVO DA EDITORA</v>
      </c>
      <c r="Z1098" s="31"/>
      <c r="AA1098" s="31" t="str">
        <f>Tabela2[[#This Row],[ILUSTRADOR CRIAÇÃO]]</f>
        <v>HELOÍSA PINTARELLI/ARQUIVO DA EDITORA</v>
      </c>
      <c r="AB1098" s="33"/>
      <c r="AC1098" s="16"/>
      <c r="AE1098" s="35" t="str">
        <f t="shared" si="17"/>
        <v>EF1 E002 Mat</v>
      </c>
    </row>
    <row r="1099" spans="1:31" ht="45" x14ac:dyDescent="0.25">
      <c r="A1099" s="31" t="s">
        <v>2318</v>
      </c>
      <c r="B1099" s="16" t="s">
        <v>97</v>
      </c>
      <c r="C1099" s="16" t="s">
        <v>33</v>
      </c>
      <c r="D1099" s="33" t="s">
        <v>34</v>
      </c>
      <c r="E1099" s="33">
        <v>100</v>
      </c>
      <c r="F1099" s="33">
        <v>3</v>
      </c>
      <c r="G1099" s="33">
        <v>6</v>
      </c>
      <c r="H1099" s="33"/>
      <c r="I1099" s="31" t="s">
        <v>46</v>
      </c>
      <c r="J1099" s="31"/>
      <c r="K1099" s="33"/>
      <c r="L1099" s="33"/>
      <c r="M1099" s="31"/>
      <c r="N1099" s="31"/>
      <c r="O1099" s="16" t="s">
        <v>2319</v>
      </c>
      <c r="P1099" s="16"/>
      <c r="Q1099" s="16"/>
      <c r="R1099" s="33"/>
      <c r="S1099" s="34"/>
      <c r="T1099" s="34"/>
      <c r="U1099" s="34"/>
      <c r="V1099" s="34"/>
      <c r="W1099" s="34"/>
      <c r="X1099" s="33" t="s">
        <v>85</v>
      </c>
      <c r="Y1099" s="35" t="str">
        <f>IF(Tabela2[[#This Row],[SIGLA]]="","",VLOOKUP(Tabela2[[#This Row],[SIGLA]],Tabela1[[#All],[Sigla Arte]:[Crédito]],2,0))</f>
        <v>HELOÍSA PINTARELLI/ARQUIVO DA EDITORA</v>
      </c>
      <c r="Z1099" s="31"/>
      <c r="AA1099" s="31" t="str">
        <f>Tabela2[[#This Row],[ILUSTRADOR CRIAÇÃO]]</f>
        <v>HELOÍSA PINTARELLI/ARQUIVO DA EDITORA</v>
      </c>
      <c r="AB1099" s="33"/>
      <c r="AC1099" s="16"/>
      <c r="AE1099" s="35" t="str">
        <f t="shared" si="17"/>
        <v>EF1 E002 Mat</v>
      </c>
    </row>
    <row r="1100" spans="1:31" ht="45" x14ac:dyDescent="0.25">
      <c r="A1100" s="31" t="s">
        <v>2320</v>
      </c>
      <c r="B1100" s="16" t="s">
        <v>97</v>
      </c>
      <c r="C1100" s="16" t="s">
        <v>33</v>
      </c>
      <c r="D1100" s="33" t="s">
        <v>34</v>
      </c>
      <c r="E1100" s="33">
        <v>100</v>
      </c>
      <c r="F1100" s="33">
        <v>3</v>
      </c>
      <c r="G1100" s="33">
        <v>6</v>
      </c>
      <c r="H1100" s="33"/>
      <c r="I1100" s="31" t="s">
        <v>46</v>
      </c>
      <c r="J1100" s="31"/>
      <c r="K1100" s="33"/>
      <c r="L1100" s="33"/>
      <c r="M1100" s="31"/>
      <c r="N1100" s="31"/>
      <c r="O1100" s="16" t="s">
        <v>2321</v>
      </c>
      <c r="P1100" s="16"/>
      <c r="Q1100" s="16"/>
      <c r="R1100" s="33"/>
      <c r="S1100" s="34"/>
      <c r="T1100" s="34"/>
      <c r="U1100" s="34"/>
      <c r="V1100" s="34"/>
      <c r="W1100" s="34"/>
      <c r="X1100" s="33" t="s">
        <v>85</v>
      </c>
      <c r="Y1100" s="35" t="str">
        <f>IF(Tabela2[[#This Row],[SIGLA]]="","",VLOOKUP(Tabela2[[#This Row],[SIGLA]],Tabela1[[#All],[Sigla Arte]:[Crédito]],2,0))</f>
        <v>HELOÍSA PINTARELLI/ARQUIVO DA EDITORA</v>
      </c>
      <c r="Z1100" s="31"/>
      <c r="AA1100" s="31" t="str">
        <f>Tabela2[[#This Row],[ILUSTRADOR CRIAÇÃO]]</f>
        <v>HELOÍSA PINTARELLI/ARQUIVO DA EDITORA</v>
      </c>
      <c r="AB1100" s="33"/>
      <c r="AC1100" s="16"/>
      <c r="AE1100" s="35" t="str">
        <f t="shared" si="17"/>
        <v>EF1 E002 Mat</v>
      </c>
    </row>
    <row r="1101" spans="1:31" ht="60" x14ac:dyDescent="0.25">
      <c r="A1101" s="31" t="s">
        <v>2322</v>
      </c>
      <c r="B1101" s="16" t="s">
        <v>97</v>
      </c>
      <c r="C1101" s="16" t="s">
        <v>33</v>
      </c>
      <c r="D1101" s="33" t="s">
        <v>34</v>
      </c>
      <c r="E1101" s="33">
        <v>100</v>
      </c>
      <c r="F1101" s="33">
        <v>3</v>
      </c>
      <c r="G1101" s="33">
        <v>6</v>
      </c>
      <c r="H1101" s="33"/>
      <c r="I1101" s="31" t="s">
        <v>46</v>
      </c>
      <c r="J1101" s="31"/>
      <c r="K1101" s="33"/>
      <c r="L1101" s="33"/>
      <c r="M1101" s="31"/>
      <c r="N1101" s="31"/>
      <c r="O1101" s="16" t="s">
        <v>2323</v>
      </c>
      <c r="P1101" s="16"/>
      <c r="Q1101" s="16"/>
      <c r="R1101" s="33"/>
      <c r="S1101" s="34"/>
      <c r="T1101" s="34"/>
      <c r="U1101" s="34"/>
      <c r="V1101" s="34"/>
      <c r="W1101" s="34"/>
      <c r="X1101" s="33" t="s">
        <v>184</v>
      </c>
      <c r="Y1101" s="35" t="str">
        <f>IF(Tabela2[[#This Row],[SIGLA]]="","",VLOOKUP(Tabela2[[#This Row],[SIGLA]],Tabela1[[#All],[Sigla Arte]:[Crédito]],2,0))</f>
        <v>VER DOCUMENTO DE ILS. TÉCNICAS</v>
      </c>
      <c r="Z1101" s="31"/>
      <c r="AA1101" s="31" t="s">
        <v>185</v>
      </c>
      <c r="AB1101" s="33"/>
      <c r="AC1101" s="16"/>
      <c r="AE1101" s="35" t="str">
        <f t="shared" si="17"/>
        <v>EF1 E002 Mat</v>
      </c>
    </row>
    <row r="1102" spans="1:31" ht="45" x14ac:dyDescent="0.25">
      <c r="A1102" s="31" t="s">
        <v>2324</v>
      </c>
      <c r="B1102" s="16" t="s">
        <v>97</v>
      </c>
      <c r="C1102" s="16" t="s">
        <v>33</v>
      </c>
      <c r="D1102" s="33" t="s">
        <v>34</v>
      </c>
      <c r="E1102" s="33">
        <v>101</v>
      </c>
      <c r="F1102" s="33">
        <v>3</v>
      </c>
      <c r="G1102" s="33">
        <v>6</v>
      </c>
      <c r="H1102" s="33"/>
      <c r="I1102" s="31" t="s">
        <v>46</v>
      </c>
      <c r="J1102" s="31"/>
      <c r="K1102" s="33"/>
      <c r="L1102" s="33"/>
      <c r="M1102" s="31"/>
      <c r="N1102" s="31"/>
      <c r="O1102" s="16" t="s">
        <v>2325</v>
      </c>
      <c r="P1102" s="16"/>
      <c r="Q1102" s="16"/>
      <c r="R1102" s="33"/>
      <c r="S1102" s="34"/>
      <c r="T1102" s="34"/>
      <c r="U1102" s="34"/>
      <c r="V1102" s="34"/>
      <c r="W1102" s="34"/>
      <c r="X1102" s="33" t="s">
        <v>1126</v>
      </c>
      <c r="Y1102" s="35" t="str">
        <f>IF(Tabela2[[#This Row],[SIGLA]]="","",VLOOKUP(Tabela2[[#This Row],[SIGLA]],Tabela1[[#All],[Sigla Arte]:[Crédito]],2,0))</f>
        <v>GUSTAVO CONTI/ARQUIVO DA EDITORA</v>
      </c>
      <c r="Z1102" s="31"/>
      <c r="AA1102" s="31" t="str">
        <f>Tabela2[[#This Row],[ILUSTRADOR CRIAÇÃO]]</f>
        <v>GUSTAVO CONTI/ARQUIVO DA EDITORA</v>
      </c>
      <c r="AB1102" s="33"/>
      <c r="AC1102" s="16"/>
      <c r="AE1102" s="35" t="str">
        <f t="shared" si="17"/>
        <v>EF1 E002 Mat</v>
      </c>
    </row>
    <row r="1103" spans="1:31" ht="45" x14ac:dyDescent="0.25">
      <c r="A1103" s="31" t="s">
        <v>2326</v>
      </c>
      <c r="B1103" s="16" t="s">
        <v>97</v>
      </c>
      <c r="C1103" s="16" t="s">
        <v>33</v>
      </c>
      <c r="D1103" s="33" t="s">
        <v>34</v>
      </c>
      <c r="E1103" s="33">
        <v>101</v>
      </c>
      <c r="F1103" s="33">
        <v>3</v>
      </c>
      <c r="G1103" s="33">
        <v>6</v>
      </c>
      <c r="H1103" s="33"/>
      <c r="I1103" s="31" t="s">
        <v>46</v>
      </c>
      <c r="J1103" s="31"/>
      <c r="K1103" s="33"/>
      <c r="L1103" s="33"/>
      <c r="M1103" s="31"/>
      <c r="N1103" s="31"/>
      <c r="O1103" s="16" t="s">
        <v>2327</v>
      </c>
      <c r="P1103" s="16"/>
      <c r="Q1103" s="16"/>
      <c r="R1103" s="33"/>
      <c r="S1103" s="34"/>
      <c r="T1103" s="34"/>
      <c r="U1103" s="34"/>
      <c r="V1103" s="34"/>
      <c r="W1103" s="34"/>
      <c r="X1103" s="33" t="s">
        <v>184</v>
      </c>
      <c r="Y1103" s="35" t="str">
        <f>IF(Tabela2[[#This Row],[SIGLA]]="","",VLOOKUP(Tabela2[[#This Row],[SIGLA]],Tabela1[[#All],[Sigla Arte]:[Crédito]],2,0))</f>
        <v>VER DOCUMENTO DE ILS. TÉCNICAS</v>
      </c>
      <c r="Z1103" s="31"/>
      <c r="AA1103" s="61" t="s">
        <v>949</v>
      </c>
      <c r="AB1103" s="33"/>
      <c r="AC1103" s="16"/>
      <c r="AE1103" s="35" t="str">
        <f t="shared" si="17"/>
        <v>EF1 E002 Mat</v>
      </c>
    </row>
    <row r="1104" spans="1:31" ht="45" x14ac:dyDescent="0.25">
      <c r="A1104" s="31" t="s">
        <v>2328</v>
      </c>
      <c r="B1104" s="16" t="s">
        <v>97</v>
      </c>
      <c r="C1104" s="16" t="s">
        <v>33</v>
      </c>
      <c r="D1104" s="33" t="s">
        <v>34</v>
      </c>
      <c r="E1104" s="33">
        <v>101</v>
      </c>
      <c r="F1104" s="33">
        <v>3</v>
      </c>
      <c r="G1104" s="33">
        <v>6</v>
      </c>
      <c r="H1104" s="33"/>
      <c r="I1104" s="31" t="s">
        <v>46</v>
      </c>
      <c r="J1104" s="31"/>
      <c r="K1104" s="33"/>
      <c r="L1104" s="33"/>
      <c r="M1104" s="31"/>
      <c r="N1104" s="31"/>
      <c r="O1104" s="16" t="s">
        <v>2329</v>
      </c>
      <c r="P1104" s="16"/>
      <c r="Q1104" s="16"/>
      <c r="R1104" s="33"/>
      <c r="S1104" s="34"/>
      <c r="T1104" s="34"/>
      <c r="U1104" s="34"/>
      <c r="V1104" s="34"/>
      <c r="W1104" s="34"/>
      <c r="X1104" s="33" t="s">
        <v>85</v>
      </c>
      <c r="Y1104" s="35" t="str">
        <f>IF(Tabela2[[#This Row],[SIGLA]]="","",VLOOKUP(Tabela2[[#This Row],[SIGLA]],Tabela1[[#All],[Sigla Arte]:[Crédito]],2,0))</f>
        <v>HELOÍSA PINTARELLI/ARQUIVO DA EDITORA</v>
      </c>
      <c r="Z1104" s="31"/>
      <c r="AA1104" s="31" t="str">
        <f>Tabela2[[#This Row],[ILUSTRADOR CRIAÇÃO]]</f>
        <v>HELOÍSA PINTARELLI/ARQUIVO DA EDITORA</v>
      </c>
      <c r="AB1104" s="33"/>
      <c r="AC1104" s="16"/>
      <c r="AE1104" s="35" t="str">
        <f t="shared" si="17"/>
        <v>EF1 E002 Mat</v>
      </c>
    </row>
    <row r="1105" spans="1:31" ht="75" x14ac:dyDescent="0.25">
      <c r="A1105" s="31" t="s">
        <v>2330</v>
      </c>
      <c r="B1105" s="16" t="s">
        <v>401</v>
      </c>
      <c r="C1105" s="16" t="s">
        <v>33</v>
      </c>
      <c r="D1105" s="33" t="s">
        <v>34</v>
      </c>
      <c r="E1105" s="33">
        <v>102</v>
      </c>
      <c r="F1105" s="33">
        <v>3</v>
      </c>
      <c r="G1105" s="33">
        <v>6</v>
      </c>
      <c r="H1105" s="33"/>
      <c r="I1105" s="31" t="s">
        <v>46</v>
      </c>
      <c r="J1105" s="31"/>
      <c r="K1105" s="33"/>
      <c r="L1105" s="33"/>
      <c r="M1105" s="31"/>
      <c r="N1105" s="31"/>
      <c r="O1105" s="16" t="s">
        <v>2331</v>
      </c>
      <c r="P1105" s="16"/>
      <c r="Q1105" s="16" t="s">
        <v>2332</v>
      </c>
      <c r="R1105" s="33"/>
      <c r="S1105" s="34"/>
      <c r="T1105" s="34"/>
      <c r="U1105" s="34"/>
      <c r="V1105" s="34"/>
      <c r="W1105" s="34"/>
      <c r="X1105" s="33" t="s">
        <v>85</v>
      </c>
      <c r="Y1105" s="35" t="str">
        <f>IF(Tabela2[[#This Row],[SIGLA]]="","",VLOOKUP(Tabela2[[#This Row],[SIGLA]],Tabela1[[#All],[Sigla Arte]:[Crédito]],2,0))</f>
        <v>HELOÍSA PINTARELLI/ARQUIVO DA EDITORA</v>
      </c>
      <c r="Z1105" s="31"/>
      <c r="AA1105" s="31" t="str">
        <f>Tabela2[[#This Row],[ILUSTRADOR CRIAÇÃO]]</f>
        <v>HELOÍSA PINTARELLI/ARQUIVO DA EDITORA</v>
      </c>
      <c r="AB1105" s="33"/>
      <c r="AC1105" s="16"/>
      <c r="AE1105" s="35" t="str">
        <f t="shared" si="17"/>
        <v>EF1 E002 Mat</v>
      </c>
    </row>
    <row r="1106" spans="1:31" ht="45" x14ac:dyDescent="0.25">
      <c r="A1106" s="31" t="s">
        <v>2333</v>
      </c>
      <c r="B1106" s="16" t="s">
        <v>401</v>
      </c>
      <c r="C1106" s="16" t="s">
        <v>33</v>
      </c>
      <c r="D1106" s="33" t="s">
        <v>34</v>
      </c>
      <c r="E1106" s="33">
        <v>103</v>
      </c>
      <c r="F1106" s="33">
        <v>3</v>
      </c>
      <c r="G1106" s="33">
        <v>6</v>
      </c>
      <c r="H1106" s="33"/>
      <c r="I1106" s="31" t="s">
        <v>46</v>
      </c>
      <c r="J1106" s="31"/>
      <c r="K1106" s="33"/>
      <c r="L1106" s="33"/>
      <c r="M1106" s="31"/>
      <c r="N1106" s="31"/>
      <c r="O1106" s="16" t="s">
        <v>2334</v>
      </c>
      <c r="P1106" s="16"/>
      <c r="Q1106" s="16"/>
      <c r="R1106" s="33"/>
      <c r="S1106" s="34"/>
      <c r="T1106" s="34"/>
      <c r="U1106" s="34"/>
      <c r="V1106" s="34"/>
      <c r="W1106" s="34"/>
      <c r="X1106" s="33" t="s">
        <v>85</v>
      </c>
      <c r="Y1106" s="35" t="str">
        <f>IF(Tabela2[[#This Row],[SIGLA]]="","",VLOOKUP(Tabela2[[#This Row],[SIGLA]],Tabela1[[#All],[Sigla Arte]:[Crédito]],2,0))</f>
        <v>HELOÍSA PINTARELLI/ARQUIVO DA EDITORA</v>
      </c>
      <c r="Z1106" s="31"/>
      <c r="AA1106" s="31" t="str">
        <f>Tabela2[[#This Row],[ILUSTRADOR CRIAÇÃO]]</f>
        <v>HELOÍSA PINTARELLI/ARQUIVO DA EDITORA</v>
      </c>
      <c r="AB1106" s="33"/>
      <c r="AC1106" s="16"/>
      <c r="AE1106" s="35" t="str">
        <f t="shared" si="17"/>
        <v>EF1 E002 Mat</v>
      </c>
    </row>
    <row r="1107" spans="1:31" ht="45" x14ac:dyDescent="0.25">
      <c r="A1107" s="31" t="s">
        <v>2335</v>
      </c>
      <c r="B1107" s="16" t="s">
        <v>401</v>
      </c>
      <c r="C1107" s="16" t="s">
        <v>33</v>
      </c>
      <c r="D1107" s="33" t="s">
        <v>34</v>
      </c>
      <c r="E1107" s="33">
        <v>103</v>
      </c>
      <c r="F1107" s="33">
        <v>3</v>
      </c>
      <c r="G1107" s="33">
        <v>6</v>
      </c>
      <c r="H1107" s="33"/>
      <c r="I1107" s="31" t="s">
        <v>46</v>
      </c>
      <c r="J1107" s="31"/>
      <c r="K1107" s="33"/>
      <c r="L1107" s="33"/>
      <c r="M1107" s="31"/>
      <c r="N1107" s="31"/>
      <c r="O1107" s="16" t="s">
        <v>2336</v>
      </c>
      <c r="P1107" s="16"/>
      <c r="Q1107" s="16"/>
      <c r="R1107" s="33"/>
      <c r="S1107" s="34"/>
      <c r="T1107" s="34"/>
      <c r="U1107" s="34"/>
      <c r="V1107" s="34"/>
      <c r="W1107" s="34"/>
      <c r="X1107" s="33" t="s">
        <v>85</v>
      </c>
      <c r="Y1107" s="35" t="str">
        <f>IF(Tabela2[[#This Row],[SIGLA]]="","",VLOOKUP(Tabela2[[#This Row],[SIGLA]],Tabela1[[#All],[Sigla Arte]:[Crédito]],2,0))</f>
        <v>HELOÍSA PINTARELLI/ARQUIVO DA EDITORA</v>
      </c>
      <c r="Z1107" s="31"/>
      <c r="AA1107" s="31" t="str">
        <f>Tabela2[[#This Row],[ILUSTRADOR CRIAÇÃO]]</f>
        <v>HELOÍSA PINTARELLI/ARQUIVO DA EDITORA</v>
      </c>
      <c r="AB1107" s="33"/>
      <c r="AC1107" s="16"/>
      <c r="AE1107" s="35" t="str">
        <f t="shared" si="17"/>
        <v>EF1 E002 Mat</v>
      </c>
    </row>
    <row r="1108" spans="1:31" ht="45" x14ac:dyDescent="0.25">
      <c r="A1108" s="48" t="s">
        <v>2337</v>
      </c>
      <c r="B1108" s="16" t="s">
        <v>97</v>
      </c>
      <c r="C1108" s="16" t="s">
        <v>33</v>
      </c>
      <c r="D1108" s="33" t="s">
        <v>34</v>
      </c>
      <c r="E1108" s="33">
        <v>104</v>
      </c>
      <c r="F1108" s="33">
        <v>3</v>
      </c>
      <c r="G1108" s="33">
        <v>6</v>
      </c>
      <c r="H1108" s="33"/>
      <c r="I1108" s="31" t="s">
        <v>46</v>
      </c>
      <c r="J1108" s="31"/>
      <c r="K1108" s="33"/>
      <c r="L1108" s="33"/>
      <c r="M1108" s="31"/>
      <c r="N1108" s="31"/>
      <c r="O1108" s="16" t="s">
        <v>2338</v>
      </c>
      <c r="P1108" s="16"/>
      <c r="Q1108" s="16"/>
      <c r="R1108" s="33"/>
      <c r="S1108" s="34"/>
      <c r="T1108" s="34"/>
      <c r="U1108" s="34"/>
      <c r="V1108" s="34"/>
      <c r="W1108" s="34"/>
      <c r="X1108" s="33" t="s">
        <v>85</v>
      </c>
      <c r="Y1108" s="35" t="str">
        <f>IF(Tabela2[[#This Row],[SIGLA]]="","",VLOOKUP(Tabela2[[#This Row],[SIGLA]],Tabela1[[#All],[Sigla Arte]:[Crédito]],2,0))</f>
        <v>HELOÍSA PINTARELLI/ARQUIVO DA EDITORA</v>
      </c>
      <c r="Z1108" s="31"/>
      <c r="AA1108" s="31" t="str">
        <f>Tabela2[[#This Row],[ILUSTRADOR CRIAÇÃO]]</f>
        <v>HELOÍSA PINTARELLI/ARQUIVO DA EDITORA</v>
      </c>
      <c r="AB1108" s="33"/>
      <c r="AC1108" s="16"/>
      <c r="AE1108" s="35" t="str">
        <f t="shared" si="17"/>
        <v>EF1 E002 Mat</v>
      </c>
    </row>
    <row r="1109" spans="1:31" ht="45" x14ac:dyDescent="0.25">
      <c r="A1109" s="31" t="s">
        <v>2339</v>
      </c>
      <c r="B1109" s="16" t="s">
        <v>97</v>
      </c>
      <c r="C1109" s="16" t="s">
        <v>33</v>
      </c>
      <c r="D1109" s="33" t="s">
        <v>34</v>
      </c>
      <c r="E1109" s="33">
        <v>104</v>
      </c>
      <c r="F1109" s="33">
        <v>3</v>
      </c>
      <c r="G1109" s="33">
        <v>6</v>
      </c>
      <c r="H1109" s="33"/>
      <c r="I1109" s="31" t="s">
        <v>46</v>
      </c>
      <c r="J1109" s="31"/>
      <c r="K1109" s="33"/>
      <c r="L1109" s="33"/>
      <c r="M1109" s="31"/>
      <c r="N1109" s="31"/>
      <c r="O1109" s="16" t="s">
        <v>2340</v>
      </c>
      <c r="P1109" s="16"/>
      <c r="Q1109" s="16"/>
      <c r="R1109" s="33"/>
      <c r="S1109" s="34"/>
      <c r="T1109" s="34"/>
      <c r="U1109" s="34"/>
      <c r="V1109" s="34"/>
      <c r="W1109" s="34"/>
      <c r="X1109" s="33" t="s">
        <v>85</v>
      </c>
      <c r="Y1109" s="35" t="str">
        <f>IF(Tabela2[[#This Row],[SIGLA]]="","",VLOOKUP(Tabela2[[#This Row],[SIGLA]],Tabela1[[#All],[Sigla Arte]:[Crédito]],2,0))</f>
        <v>HELOÍSA PINTARELLI/ARQUIVO DA EDITORA</v>
      </c>
      <c r="Z1109" s="31"/>
      <c r="AA1109" s="31" t="str">
        <f>Tabela2[[#This Row],[ILUSTRADOR CRIAÇÃO]]</f>
        <v>HELOÍSA PINTARELLI/ARQUIVO DA EDITORA</v>
      </c>
      <c r="AB1109" s="33"/>
      <c r="AC1109" s="16"/>
      <c r="AE1109" s="35" t="str">
        <f t="shared" si="17"/>
        <v>EF1 E002 Mat</v>
      </c>
    </row>
    <row r="1110" spans="1:31" ht="45" x14ac:dyDescent="0.25">
      <c r="A1110" s="31" t="s">
        <v>2341</v>
      </c>
      <c r="B1110" s="16" t="s">
        <v>97</v>
      </c>
      <c r="C1110" s="16" t="s">
        <v>33</v>
      </c>
      <c r="D1110" s="33" t="s">
        <v>34</v>
      </c>
      <c r="E1110" s="33">
        <v>105</v>
      </c>
      <c r="F1110" s="33">
        <v>3</v>
      </c>
      <c r="G1110" s="33">
        <v>6</v>
      </c>
      <c r="H1110" s="33"/>
      <c r="I1110" s="31" t="s">
        <v>46</v>
      </c>
      <c r="J1110" s="31"/>
      <c r="K1110" s="33"/>
      <c r="L1110" s="33"/>
      <c r="M1110" s="31"/>
      <c r="N1110" s="31"/>
      <c r="O1110" s="16" t="s">
        <v>2342</v>
      </c>
      <c r="P1110" s="16"/>
      <c r="Q1110" s="16"/>
      <c r="R1110" s="33"/>
      <c r="S1110" s="34"/>
      <c r="T1110" s="34"/>
      <c r="U1110" s="34"/>
      <c r="V1110" s="34"/>
      <c r="W1110" s="34"/>
      <c r="X1110" s="33" t="s">
        <v>85</v>
      </c>
      <c r="Y1110" s="35" t="str">
        <f>IF(Tabela2[[#This Row],[SIGLA]]="","",VLOOKUP(Tabela2[[#This Row],[SIGLA]],Tabela1[[#All],[Sigla Arte]:[Crédito]],2,0))</f>
        <v>HELOÍSA PINTARELLI/ARQUIVO DA EDITORA</v>
      </c>
      <c r="Z1110" s="31"/>
      <c r="AA1110" s="31" t="str">
        <f>Tabela2[[#This Row],[ILUSTRADOR CRIAÇÃO]]</f>
        <v>HELOÍSA PINTARELLI/ARQUIVO DA EDITORA</v>
      </c>
      <c r="AB1110" s="33"/>
      <c r="AC1110" s="16"/>
      <c r="AE1110" s="35" t="str">
        <f t="shared" si="17"/>
        <v>EF1 E002 Mat</v>
      </c>
    </row>
    <row r="1111" spans="1:31" ht="45" x14ac:dyDescent="0.25">
      <c r="A1111" s="31" t="s">
        <v>2343</v>
      </c>
      <c r="B1111" s="16" t="s">
        <v>97</v>
      </c>
      <c r="C1111" s="16" t="s">
        <v>164</v>
      </c>
      <c r="D1111" s="33" t="s">
        <v>34</v>
      </c>
      <c r="E1111" s="33">
        <v>105</v>
      </c>
      <c r="F1111" s="33">
        <v>3</v>
      </c>
      <c r="G1111" s="33">
        <v>6</v>
      </c>
      <c r="H1111" s="33"/>
      <c r="I1111" s="31" t="s">
        <v>46</v>
      </c>
      <c r="J1111" s="31"/>
      <c r="K1111" s="33"/>
      <c r="L1111" s="33"/>
      <c r="M1111" s="31"/>
      <c r="N1111" s="31"/>
      <c r="O1111" s="16" t="s">
        <v>2344</v>
      </c>
      <c r="P1111" s="16"/>
      <c r="Q1111" s="16"/>
      <c r="R1111" s="33"/>
      <c r="S1111" s="34"/>
      <c r="T1111" s="34"/>
      <c r="U1111" s="34"/>
      <c r="V1111" s="34"/>
      <c r="W1111" s="34"/>
      <c r="X1111" s="33" t="s">
        <v>184</v>
      </c>
      <c r="Y1111" s="35" t="str">
        <f>IF(Tabela2[[#This Row],[SIGLA]]="","",VLOOKUP(Tabela2[[#This Row],[SIGLA]],Tabela1[[#All],[Sigla Arte]:[Crédito]],2,0))</f>
        <v>VER DOCUMENTO DE ILS. TÉCNICAS</v>
      </c>
      <c r="Z1111" s="31"/>
      <c r="AA1111" s="31" t="s">
        <v>2050</v>
      </c>
      <c r="AB1111" s="33"/>
      <c r="AC1111" s="16"/>
      <c r="AE1111" s="35" t="str">
        <f t="shared" si="17"/>
        <v>EF1 E002 Mat</v>
      </c>
    </row>
    <row r="1112" spans="1:31" ht="75" x14ac:dyDescent="0.25">
      <c r="A1112" s="31" t="s">
        <v>2345</v>
      </c>
      <c r="B1112" s="16" t="s">
        <v>97</v>
      </c>
      <c r="C1112" s="16" t="s">
        <v>164</v>
      </c>
      <c r="D1112" s="33" t="s">
        <v>34</v>
      </c>
      <c r="E1112" s="33">
        <v>105</v>
      </c>
      <c r="F1112" s="33">
        <v>3</v>
      </c>
      <c r="G1112" s="33">
        <v>6</v>
      </c>
      <c r="H1112" s="33"/>
      <c r="I1112" s="31" t="s">
        <v>35</v>
      </c>
      <c r="J1112" s="31"/>
      <c r="K1112" s="33"/>
      <c r="L1112" s="33"/>
      <c r="M1112" s="31"/>
      <c r="N1112" s="31"/>
      <c r="O1112" s="16" t="s">
        <v>2346</v>
      </c>
      <c r="P1112" s="16"/>
      <c r="Q1112" s="16"/>
      <c r="R1112" s="33">
        <v>24</v>
      </c>
      <c r="S1112" s="34">
        <v>45758</v>
      </c>
      <c r="T1112" s="34">
        <v>45758</v>
      </c>
      <c r="U1112" s="34"/>
      <c r="V1112" s="34"/>
      <c r="W1112" s="34">
        <v>45758</v>
      </c>
      <c r="X1112" s="33" t="s">
        <v>1126</v>
      </c>
      <c r="Y1112" s="35" t="str">
        <f>IF(Tabela2[[#This Row],[SIGLA]]="","",VLOOKUP(Tabela2[[#This Row],[SIGLA]],Tabela1[[#All],[Sigla Arte]:[Crédito]],2,0))</f>
        <v>GUSTAVO CONTI/ARQUIVO DA EDITORA</v>
      </c>
      <c r="Z1112" s="31" t="s">
        <v>221</v>
      </c>
      <c r="AA1112" s="31" t="str">
        <f>Tabela2[[#This Row],[ILUSTRADOR CRIAÇÃO]]</f>
        <v>GUSTAVO CONTI/ARQUIVO DA EDITORA</v>
      </c>
      <c r="AB1112" s="33">
        <v>13</v>
      </c>
      <c r="AC1112" s="16" t="s">
        <v>2347</v>
      </c>
      <c r="AD1112" s="16" t="s">
        <v>40</v>
      </c>
      <c r="AE1112" s="35" t="str">
        <f t="shared" si="17"/>
        <v>EF1 E002 Mat</v>
      </c>
    </row>
    <row r="1113" spans="1:31" ht="75" x14ac:dyDescent="0.25">
      <c r="A1113" s="31" t="s">
        <v>2348</v>
      </c>
      <c r="B1113" s="16" t="s">
        <v>97</v>
      </c>
      <c r="C1113" s="16" t="s">
        <v>164</v>
      </c>
      <c r="D1113" s="33" t="s">
        <v>34</v>
      </c>
      <c r="E1113" s="33">
        <v>105</v>
      </c>
      <c r="F1113" s="33">
        <v>3</v>
      </c>
      <c r="G1113" s="33">
        <v>6</v>
      </c>
      <c r="H1113" s="33"/>
      <c r="I1113" s="31" t="s">
        <v>35</v>
      </c>
      <c r="J1113" s="31"/>
      <c r="K1113" s="33"/>
      <c r="L1113" s="33"/>
      <c r="M1113" s="31"/>
      <c r="N1113" s="31"/>
      <c r="O1113" s="16" t="s">
        <v>2349</v>
      </c>
      <c r="P1113" s="16"/>
      <c r="Q1113" s="16"/>
      <c r="R1113" s="33">
        <v>24</v>
      </c>
      <c r="S1113" s="34">
        <v>45758</v>
      </c>
      <c r="T1113" s="34">
        <v>45758</v>
      </c>
      <c r="U1113" s="34"/>
      <c r="V1113" s="34"/>
      <c r="W1113" s="34">
        <v>45758</v>
      </c>
      <c r="X1113" s="33" t="s">
        <v>1126</v>
      </c>
      <c r="Y1113" s="35" t="str">
        <f>IF(Tabela2[[#This Row],[SIGLA]]="","",VLOOKUP(Tabela2[[#This Row],[SIGLA]],Tabela1[[#All],[Sigla Arte]:[Crédito]],2,0))</f>
        <v>GUSTAVO CONTI/ARQUIVO DA EDITORA</v>
      </c>
      <c r="Z1113" s="31" t="s">
        <v>221</v>
      </c>
      <c r="AA1113" s="31" t="str">
        <f>Tabela2[[#This Row],[ILUSTRADOR CRIAÇÃO]]</f>
        <v>GUSTAVO CONTI/ARQUIVO DA EDITORA</v>
      </c>
      <c r="AB1113" s="33">
        <v>13</v>
      </c>
      <c r="AC1113" s="16" t="s">
        <v>2347</v>
      </c>
      <c r="AD1113" s="16" t="s">
        <v>40</v>
      </c>
      <c r="AE1113" s="35" t="str">
        <f t="shared" si="17"/>
        <v>EF1 E002 Mat</v>
      </c>
    </row>
    <row r="1114" spans="1:31" ht="45" x14ac:dyDescent="0.25">
      <c r="A1114" s="31" t="s">
        <v>2350</v>
      </c>
      <c r="B1114" s="16" t="s">
        <v>97</v>
      </c>
      <c r="C1114" s="16" t="s">
        <v>164</v>
      </c>
      <c r="D1114" s="33" t="s">
        <v>34</v>
      </c>
      <c r="E1114" s="33">
        <v>106</v>
      </c>
      <c r="F1114" s="33">
        <v>3</v>
      </c>
      <c r="G1114" s="33">
        <v>6</v>
      </c>
      <c r="H1114" s="33"/>
      <c r="I1114" s="31" t="s">
        <v>46</v>
      </c>
      <c r="J1114" s="31"/>
      <c r="K1114" s="33"/>
      <c r="L1114" s="33"/>
      <c r="M1114" s="31"/>
      <c r="N1114" s="31"/>
      <c r="O1114" s="16" t="s">
        <v>2351</v>
      </c>
      <c r="P1114" s="16"/>
      <c r="Q1114" s="16"/>
      <c r="R1114" s="33"/>
      <c r="S1114" s="34"/>
      <c r="T1114" s="34"/>
      <c r="U1114" s="34"/>
      <c r="V1114" s="34"/>
      <c r="W1114" s="34"/>
      <c r="X1114" s="33" t="s">
        <v>184</v>
      </c>
      <c r="Y1114" s="35" t="str">
        <f>IF(Tabela2[[#This Row],[SIGLA]]="","",VLOOKUP(Tabela2[[#This Row],[SIGLA]],Tabela1[[#All],[Sigla Arte]:[Crédito]],2,0))</f>
        <v>VER DOCUMENTO DE ILS. TÉCNICAS</v>
      </c>
      <c r="Z1114" s="31"/>
      <c r="AA1114" s="61" t="s">
        <v>191</v>
      </c>
      <c r="AB1114" s="33"/>
      <c r="AC1114" s="16"/>
      <c r="AE1114" s="35" t="str">
        <f t="shared" si="17"/>
        <v>EF1 E002 Mat</v>
      </c>
    </row>
    <row r="1115" spans="1:31" ht="45" x14ac:dyDescent="0.25">
      <c r="A1115" s="31" t="s">
        <v>2352</v>
      </c>
      <c r="B1115" s="16" t="s">
        <v>401</v>
      </c>
      <c r="C1115" s="16" t="s">
        <v>33</v>
      </c>
      <c r="D1115" s="33" t="s">
        <v>34</v>
      </c>
      <c r="E1115" s="33">
        <v>107</v>
      </c>
      <c r="F1115" s="33">
        <v>3</v>
      </c>
      <c r="G1115" s="33">
        <v>6</v>
      </c>
      <c r="H1115" s="33"/>
      <c r="I1115" s="31" t="s">
        <v>46</v>
      </c>
      <c r="J1115" s="31"/>
      <c r="K1115" s="33"/>
      <c r="L1115" s="33"/>
      <c r="M1115" s="31"/>
      <c r="N1115" s="31"/>
      <c r="O1115" s="16" t="s">
        <v>2353</v>
      </c>
      <c r="P1115" s="16"/>
      <c r="Q1115" s="16"/>
      <c r="R1115" s="33"/>
      <c r="S1115" s="34"/>
      <c r="T1115" s="34"/>
      <c r="U1115" s="34"/>
      <c r="V1115" s="34"/>
      <c r="W1115" s="34"/>
      <c r="X1115" s="33" t="s">
        <v>85</v>
      </c>
      <c r="Y1115" s="35" t="str">
        <f>IF(Tabela2[[#This Row],[SIGLA]]="","",VLOOKUP(Tabela2[[#This Row],[SIGLA]],Tabela1[[#All],[Sigla Arte]:[Crédito]],2,0))</f>
        <v>HELOÍSA PINTARELLI/ARQUIVO DA EDITORA</v>
      </c>
      <c r="Z1115" s="31"/>
      <c r="AA1115" s="31" t="str">
        <f>Tabela2[[#This Row],[ILUSTRADOR CRIAÇÃO]]</f>
        <v>HELOÍSA PINTARELLI/ARQUIVO DA EDITORA</v>
      </c>
      <c r="AB1115" s="33"/>
      <c r="AC1115" s="16"/>
      <c r="AE1115" s="35" t="str">
        <f t="shared" si="17"/>
        <v>EF1 E002 Mat</v>
      </c>
    </row>
    <row r="1116" spans="1:31" ht="45" x14ac:dyDescent="0.25">
      <c r="A1116" s="31" t="s">
        <v>2354</v>
      </c>
      <c r="B1116" s="16" t="s">
        <v>32</v>
      </c>
      <c r="C1116" s="16" t="s">
        <v>33</v>
      </c>
      <c r="D1116" s="33" t="s">
        <v>34</v>
      </c>
      <c r="E1116" s="33">
        <v>107</v>
      </c>
      <c r="F1116" s="33">
        <v>3</v>
      </c>
      <c r="G1116" s="33">
        <v>6</v>
      </c>
      <c r="H1116" s="33"/>
      <c r="I1116" s="31" t="s">
        <v>46</v>
      </c>
      <c r="J1116" s="31"/>
      <c r="K1116" s="33"/>
      <c r="L1116" s="33"/>
      <c r="M1116" s="31"/>
      <c r="N1116" s="31"/>
      <c r="O1116" s="16" t="s">
        <v>2355</v>
      </c>
      <c r="P1116" s="16"/>
      <c r="Q1116" s="16"/>
      <c r="R1116" s="33"/>
      <c r="S1116" s="34"/>
      <c r="T1116" s="34"/>
      <c r="U1116" s="34"/>
      <c r="V1116" s="34"/>
      <c r="W1116" s="34"/>
      <c r="X1116" s="33" t="s">
        <v>85</v>
      </c>
      <c r="Y1116" s="35" t="str">
        <f>IF(Tabela2[[#This Row],[SIGLA]]="","",VLOOKUP(Tabela2[[#This Row],[SIGLA]],Tabela1[[#All],[Sigla Arte]:[Crédito]],2,0))</f>
        <v>HELOÍSA PINTARELLI/ARQUIVO DA EDITORA</v>
      </c>
      <c r="Z1116" s="31"/>
      <c r="AA1116" s="31" t="str">
        <f>Tabela2[[#This Row],[ILUSTRADOR CRIAÇÃO]]</f>
        <v>HELOÍSA PINTARELLI/ARQUIVO DA EDITORA</v>
      </c>
      <c r="AB1116" s="33"/>
      <c r="AC1116" s="16"/>
      <c r="AE1116" s="35" t="str">
        <f t="shared" si="17"/>
        <v>EF1 E002 Mat</v>
      </c>
    </row>
    <row r="1117" spans="1:31" ht="30" x14ac:dyDescent="0.25">
      <c r="A1117" s="31" t="s">
        <v>2356</v>
      </c>
      <c r="B1117" s="16" t="s">
        <v>401</v>
      </c>
      <c r="C1117" s="16" t="s">
        <v>33</v>
      </c>
      <c r="D1117" s="33" t="s">
        <v>34</v>
      </c>
      <c r="E1117" s="33">
        <v>108</v>
      </c>
      <c r="F1117" s="33">
        <v>3</v>
      </c>
      <c r="G1117" s="33">
        <v>6</v>
      </c>
      <c r="H1117" s="33"/>
      <c r="I1117" s="31" t="s">
        <v>46</v>
      </c>
      <c r="J1117" s="31"/>
      <c r="K1117" s="33"/>
      <c r="L1117" s="33"/>
      <c r="M1117" s="31"/>
      <c r="N1117" s="31"/>
      <c r="O1117" s="16" t="s">
        <v>2357</v>
      </c>
      <c r="P1117" s="16"/>
      <c r="Q1117" s="16"/>
      <c r="R1117" s="33"/>
      <c r="S1117" s="34"/>
      <c r="T1117" s="34"/>
      <c r="U1117" s="34"/>
      <c r="V1117" s="34"/>
      <c r="W1117" s="34"/>
      <c r="X1117" s="33" t="s">
        <v>247</v>
      </c>
      <c r="Y1117" s="35" t="str">
        <f>IF(Tabela2[[#This Row],[SIGLA]]="","",VLOOKUP(Tabela2[[#This Row],[SIGLA]],Tabela1[[#All],[Sigla Arte]:[Crédito]],2,0))</f>
        <v>THAIS CASTRO/ARQUIVO DA EDITORA</v>
      </c>
      <c r="Z1117" s="31"/>
      <c r="AA1117" s="31" t="str">
        <f>Tabela2[[#This Row],[ILUSTRADOR CRIAÇÃO]]</f>
        <v>THAIS CASTRO/ARQUIVO DA EDITORA</v>
      </c>
      <c r="AB1117" s="33"/>
      <c r="AC1117" s="16"/>
      <c r="AE1117" s="35" t="str">
        <f t="shared" si="17"/>
        <v>EF1 E002 Mat</v>
      </c>
    </row>
    <row r="1118" spans="1:31" ht="30" x14ac:dyDescent="0.25">
      <c r="A1118" s="31" t="s">
        <v>2358</v>
      </c>
      <c r="B1118" s="16" t="s">
        <v>97</v>
      </c>
      <c r="C1118" s="16" t="s">
        <v>33</v>
      </c>
      <c r="D1118" s="33" t="s">
        <v>34</v>
      </c>
      <c r="E1118" s="33">
        <v>109</v>
      </c>
      <c r="F1118" s="33">
        <v>3</v>
      </c>
      <c r="G1118" s="33">
        <v>6</v>
      </c>
      <c r="H1118" s="33"/>
      <c r="I1118" s="31" t="s">
        <v>46</v>
      </c>
      <c r="J1118" s="31"/>
      <c r="K1118" s="33"/>
      <c r="L1118" s="33"/>
      <c r="M1118" s="31"/>
      <c r="N1118" s="31"/>
      <c r="O1118" s="16" t="s">
        <v>2359</v>
      </c>
      <c r="P1118" s="16"/>
      <c r="Q1118" s="16"/>
      <c r="R1118" s="33"/>
      <c r="S1118" s="34"/>
      <c r="T1118" s="34"/>
      <c r="U1118" s="34"/>
      <c r="V1118" s="34"/>
      <c r="W1118" s="34"/>
      <c r="X1118" s="33" t="s">
        <v>247</v>
      </c>
      <c r="Y1118" s="35" t="str">
        <f>IF(Tabela2[[#This Row],[SIGLA]]="","",VLOOKUP(Tabela2[[#This Row],[SIGLA]],Tabela1[[#All],[Sigla Arte]:[Crédito]],2,0))</f>
        <v>THAIS CASTRO/ARQUIVO DA EDITORA</v>
      </c>
      <c r="Z1118" s="31"/>
      <c r="AA1118" s="31" t="str">
        <f>Tabela2[[#This Row],[ILUSTRADOR CRIAÇÃO]]</f>
        <v>THAIS CASTRO/ARQUIVO DA EDITORA</v>
      </c>
      <c r="AB1118" s="33"/>
      <c r="AC1118" s="16"/>
      <c r="AE1118" s="35" t="str">
        <f t="shared" si="17"/>
        <v>EF1 E002 Mat</v>
      </c>
    </row>
    <row r="1119" spans="1:31" ht="60" x14ac:dyDescent="0.25">
      <c r="A1119" s="31" t="s">
        <v>2360</v>
      </c>
      <c r="B1119" s="16" t="s">
        <v>97</v>
      </c>
      <c r="C1119" s="16" t="s">
        <v>33</v>
      </c>
      <c r="D1119" s="33" t="s">
        <v>34</v>
      </c>
      <c r="E1119" s="33">
        <v>109</v>
      </c>
      <c r="F1119" s="33">
        <v>3</v>
      </c>
      <c r="G1119" s="33">
        <v>6</v>
      </c>
      <c r="H1119" s="33"/>
      <c r="I1119" s="31" t="s">
        <v>35</v>
      </c>
      <c r="J1119" s="31"/>
      <c r="K1119" s="33"/>
      <c r="L1119" s="33"/>
      <c r="M1119" s="31"/>
      <c r="N1119" s="31"/>
      <c r="O1119" s="16" t="s">
        <v>2361</v>
      </c>
      <c r="P1119" s="16"/>
      <c r="Q1119" s="16"/>
      <c r="R1119" s="33">
        <v>90</v>
      </c>
      <c r="S1119" s="34">
        <v>45868</v>
      </c>
      <c r="T1119" s="34">
        <v>45870</v>
      </c>
      <c r="U1119" s="34"/>
      <c r="V1119" s="34"/>
      <c r="W1119" s="34">
        <v>45870</v>
      </c>
      <c r="X1119" s="33" t="s">
        <v>247</v>
      </c>
      <c r="Y1119" s="35" t="str">
        <f>IF(Tabela2[[#This Row],[SIGLA]]="","",VLOOKUP(Tabela2[[#This Row],[SIGLA]],Tabela1[[#All],[Sigla Arte]:[Crédito]],2,0))</f>
        <v>THAIS CASTRO/ARQUIVO DA EDITORA</v>
      </c>
      <c r="Z1119" s="31" t="s">
        <v>101</v>
      </c>
      <c r="AA1119" s="31" t="str">
        <f>Tabela2[[#This Row],[ILUSTRADOR CRIAÇÃO]]</f>
        <v>THAIS CASTRO/ARQUIVO DA EDITORA</v>
      </c>
      <c r="AB1119" s="33">
        <v>14</v>
      </c>
      <c r="AC1119" s="16" t="s">
        <v>102</v>
      </c>
      <c r="AD1119" s="16" t="s">
        <v>40</v>
      </c>
      <c r="AE1119" s="35" t="str">
        <f t="shared" si="17"/>
        <v>EF1 E002 Mat</v>
      </c>
    </row>
    <row r="1120" spans="1:31" ht="45" x14ac:dyDescent="0.25">
      <c r="A1120" s="31" t="s">
        <v>2362</v>
      </c>
      <c r="B1120" s="16" t="s">
        <v>97</v>
      </c>
      <c r="C1120" s="16" t="s">
        <v>33</v>
      </c>
      <c r="D1120" s="33" t="s">
        <v>34</v>
      </c>
      <c r="E1120" s="33">
        <v>110</v>
      </c>
      <c r="F1120" s="33">
        <v>3</v>
      </c>
      <c r="G1120" s="33">
        <v>6</v>
      </c>
      <c r="H1120" s="33"/>
      <c r="I1120" s="31" t="s">
        <v>46</v>
      </c>
      <c r="J1120" s="31"/>
      <c r="K1120" s="33"/>
      <c r="L1120" s="33"/>
      <c r="M1120" s="31"/>
      <c r="N1120" s="31"/>
      <c r="O1120" s="16" t="s">
        <v>2363</v>
      </c>
      <c r="P1120" s="16"/>
      <c r="Q1120" s="16"/>
      <c r="R1120" s="33"/>
      <c r="S1120" s="34"/>
      <c r="T1120" s="34"/>
      <c r="U1120" s="34"/>
      <c r="V1120" s="34"/>
      <c r="W1120" s="34"/>
      <c r="X1120" s="33" t="s">
        <v>2269</v>
      </c>
      <c r="Y1120" s="35" t="str">
        <f>IF(Tabela2[[#This Row],[SIGLA]]="","",VLOOKUP(Tabela2[[#This Row],[SIGLA]],Tabela1[[#All],[Sigla Arte]:[Crédito]],2,0))</f>
        <v>GUSTAVO ALMEIDA/ARQUIVO DA EDITORA</v>
      </c>
      <c r="Z1120" s="31"/>
      <c r="AA1120" s="31" t="str">
        <f>Tabela2[[#This Row],[ILUSTRADOR CRIAÇÃO]]</f>
        <v>GUSTAVO ALMEIDA/ARQUIVO DA EDITORA</v>
      </c>
      <c r="AB1120" s="33"/>
      <c r="AC1120" s="16"/>
      <c r="AE1120" s="35" t="str">
        <f t="shared" si="17"/>
        <v>EF1 E002 Mat</v>
      </c>
    </row>
    <row r="1121" spans="1:31" ht="45" x14ac:dyDescent="0.25">
      <c r="A1121" s="31" t="s">
        <v>2364</v>
      </c>
      <c r="B1121" s="16" t="s">
        <v>97</v>
      </c>
      <c r="C1121" s="16" t="s">
        <v>33</v>
      </c>
      <c r="D1121" s="33" t="s">
        <v>34</v>
      </c>
      <c r="E1121" s="33">
        <v>112</v>
      </c>
      <c r="F1121" s="33">
        <v>3</v>
      </c>
      <c r="G1121" s="33">
        <v>6</v>
      </c>
      <c r="H1121" s="33"/>
      <c r="I1121" s="31" t="s">
        <v>46</v>
      </c>
      <c r="J1121" s="31"/>
      <c r="K1121" s="33"/>
      <c r="L1121" s="33"/>
      <c r="M1121" s="31"/>
      <c r="N1121" s="31"/>
      <c r="O1121" s="16" t="s">
        <v>2365</v>
      </c>
      <c r="P1121" s="16"/>
      <c r="Q1121" s="16"/>
      <c r="R1121" s="33"/>
      <c r="S1121" s="34"/>
      <c r="T1121" s="34"/>
      <c r="U1121" s="34"/>
      <c r="V1121" s="34"/>
      <c r="W1121" s="34"/>
      <c r="X1121" s="33" t="s">
        <v>85</v>
      </c>
      <c r="Y1121" s="35" t="str">
        <f>IF(Tabela2[[#This Row],[SIGLA]]="","",VLOOKUP(Tabela2[[#This Row],[SIGLA]],Tabela1[[#All],[Sigla Arte]:[Crédito]],2,0))</f>
        <v>HELOÍSA PINTARELLI/ARQUIVO DA EDITORA</v>
      </c>
      <c r="Z1121" s="31"/>
      <c r="AA1121" s="31" t="str">
        <f>Tabela2[[#This Row],[ILUSTRADOR CRIAÇÃO]]</f>
        <v>HELOÍSA PINTARELLI/ARQUIVO DA EDITORA</v>
      </c>
      <c r="AB1121" s="33"/>
      <c r="AC1121" s="16"/>
      <c r="AE1121" s="35" t="str">
        <f t="shared" si="17"/>
        <v>EF1 E002 Mat</v>
      </c>
    </row>
    <row r="1122" spans="1:31" ht="75" x14ac:dyDescent="0.25">
      <c r="A1122" s="31" t="s">
        <v>2366</v>
      </c>
      <c r="B1122" s="16" t="s">
        <v>401</v>
      </c>
      <c r="C1122" s="16" t="s">
        <v>33</v>
      </c>
      <c r="D1122" s="33" t="s">
        <v>34</v>
      </c>
      <c r="E1122" s="33">
        <v>113</v>
      </c>
      <c r="F1122" s="33">
        <v>3</v>
      </c>
      <c r="G1122" s="33">
        <v>6</v>
      </c>
      <c r="H1122" s="33"/>
      <c r="I1122" s="31" t="s">
        <v>35</v>
      </c>
      <c r="J1122" s="31"/>
      <c r="K1122" s="33"/>
      <c r="L1122" s="33"/>
      <c r="M1122" s="31"/>
      <c r="N1122" s="31"/>
      <c r="O1122" s="16" t="s">
        <v>2367</v>
      </c>
      <c r="P1122" s="16"/>
      <c r="Q1122" s="16"/>
      <c r="R1122" s="33">
        <v>24</v>
      </c>
      <c r="S1122" s="34">
        <v>45758</v>
      </c>
      <c r="T1122" s="34">
        <v>45758</v>
      </c>
      <c r="U1122" s="34"/>
      <c r="V1122" s="34"/>
      <c r="W1122" s="34">
        <v>45758</v>
      </c>
      <c r="X1122" s="33" t="s">
        <v>85</v>
      </c>
      <c r="Y1122" s="35" t="str">
        <f>IF(Tabela2[[#This Row],[SIGLA]]="","",VLOOKUP(Tabela2[[#This Row],[SIGLA]],Tabela1[[#All],[Sigla Arte]:[Crédito]],2,0))</f>
        <v>HELOÍSA PINTARELLI/ARQUIVO DA EDITORA</v>
      </c>
      <c r="Z1122" s="31" t="s">
        <v>221</v>
      </c>
      <c r="AA1122" s="31" t="str">
        <f>Tabela2[[#This Row],[ILUSTRADOR CRIAÇÃO]]</f>
        <v>HELOÍSA PINTARELLI/ARQUIVO DA EDITORA</v>
      </c>
      <c r="AB1122" s="33">
        <v>14</v>
      </c>
      <c r="AC1122" s="16" t="s">
        <v>2347</v>
      </c>
      <c r="AD1122" s="16" t="s">
        <v>40</v>
      </c>
      <c r="AE1122" s="35" t="str">
        <f t="shared" si="17"/>
        <v>EF1 E002 Mat</v>
      </c>
    </row>
    <row r="1123" spans="1:31" ht="75" x14ac:dyDescent="0.25">
      <c r="A1123" s="31" t="s">
        <v>2368</v>
      </c>
      <c r="B1123" s="16" t="s">
        <v>401</v>
      </c>
      <c r="C1123" s="16" t="s">
        <v>33</v>
      </c>
      <c r="D1123" s="33" t="s">
        <v>34</v>
      </c>
      <c r="E1123" s="33">
        <v>113</v>
      </c>
      <c r="F1123" s="33">
        <v>3</v>
      </c>
      <c r="G1123" s="33">
        <v>6</v>
      </c>
      <c r="H1123" s="33"/>
      <c r="I1123" s="31" t="s">
        <v>35</v>
      </c>
      <c r="J1123" s="31"/>
      <c r="K1123" s="33"/>
      <c r="L1123" s="33"/>
      <c r="M1123" s="31"/>
      <c r="N1123" s="31"/>
      <c r="O1123" s="16" t="s">
        <v>2369</v>
      </c>
      <c r="P1123" s="16"/>
      <c r="Q1123" s="16"/>
      <c r="R1123" s="33">
        <v>24</v>
      </c>
      <c r="S1123" s="34">
        <v>45758</v>
      </c>
      <c r="T1123" s="34">
        <v>45758</v>
      </c>
      <c r="U1123" s="34"/>
      <c r="V1123" s="34"/>
      <c r="W1123" s="34">
        <v>45758</v>
      </c>
      <c r="X1123" s="33" t="s">
        <v>85</v>
      </c>
      <c r="Y1123" s="35" t="str">
        <f>IF(Tabela2[[#This Row],[SIGLA]]="","",VLOOKUP(Tabela2[[#This Row],[SIGLA]],Tabela1[[#All],[Sigla Arte]:[Crédito]],2,0))</f>
        <v>HELOÍSA PINTARELLI/ARQUIVO DA EDITORA</v>
      </c>
      <c r="Z1123" s="31" t="s">
        <v>221</v>
      </c>
      <c r="AA1123" s="31" t="str">
        <f>Tabela2[[#This Row],[ILUSTRADOR CRIAÇÃO]]</f>
        <v>HELOÍSA PINTARELLI/ARQUIVO DA EDITORA</v>
      </c>
      <c r="AB1123" s="33">
        <v>14</v>
      </c>
      <c r="AC1123" s="16" t="s">
        <v>2347</v>
      </c>
      <c r="AD1123" s="16" t="s">
        <v>40</v>
      </c>
      <c r="AE1123" s="35" t="str">
        <f t="shared" si="17"/>
        <v>EF1 E002 Mat</v>
      </c>
    </row>
    <row r="1124" spans="1:31" ht="75" x14ac:dyDescent="0.25">
      <c r="A1124" s="31" t="s">
        <v>2370</v>
      </c>
      <c r="B1124" s="16" t="s">
        <v>97</v>
      </c>
      <c r="C1124" s="16" t="s">
        <v>33</v>
      </c>
      <c r="D1124" s="33" t="s">
        <v>34</v>
      </c>
      <c r="E1124" s="33">
        <v>113</v>
      </c>
      <c r="F1124" s="33">
        <v>3</v>
      </c>
      <c r="G1124" s="33">
        <v>6</v>
      </c>
      <c r="H1124" s="33"/>
      <c r="I1124" s="31" t="s">
        <v>35</v>
      </c>
      <c r="J1124" s="31"/>
      <c r="K1124" s="33"/>
      <c r="L1124" s="33"/>
      <c r="M1124" s="31"/>
      <c r="N1124" s="31"/>
      <c r="O1124" s="16" t="s">
        <v>2371</v>
      </c>
      <c r="P1124" s="16"/>
      <c r="Q1124" s="16"/>
      <c r="R1124" s="33">
        <v>24</v>
      </c>
      <c r="S1124" s="34">
        <v>45758</v>
      </c>
      <c r="T1124" s="34">
        <v>45758</v>
      </c>
      <c r="U1124" s="34"/>
      <c r="V1124" s="34"/>
      <c r="W1124" s="34">
        <v>45758</v>
      </c>
      <c r="X1124" s="33" t="s">
        <v>85</v>
      </c>
      <c r="Y1124" s="35" t="str">
        <f>IF(Tabela2[[#This Row],[SIGLA]]="","",VLOOKUP(Tabela2[[#This Row],[SIGLA]],Tabela1[[#All],[Sigla Arte]:[Crédito]],2,0))</f>
        <v>HELOÍSA PINTARELLI/ARQUIVO DA EDITORA</v>
      </c>
      <c r="Z1124" s="31" t="s">
        <v>221</v>
      </c>
      <c r="AA1124" s="31" t="str">
        <f>Tabela2[[#This Row],[ILUSTRADOR CRIAÇÃO]]</f>
        <v>HELOÍSA PINTARELLI/ARQUIVO DA EDITORA</v>
      </c>
      <c r="AB1124" s="33">
        <v>14</v>
      </c>
      <c r="AC1124" s="16" t="s">
        <v>2347</v>
      </c>
      <c r="AD1124" s="16" t="s">
        <v>40</v>
      </c>
      <c r="AE1124" s="35" t="str">
        <f t="shared" si="17"/>
        <v>EF1 E002 Mat</v>
      </c>
    </row>
    <row r="1125" spans="1:31" ht="75" x14ac:dyDescent="0.25">
      <c r="A1125" s="31" t="s">
        <v>2372</v>
      </c>
      <c r="B1125" s="16" t="s">
        <v>97</v>
      </c>
      <c r="C1125" s="16" t="s">
        <v>33</v>
      </c>
      <c r="D1125" s="33" t="s">
        <v>34</v>
      </c>
      <c r="E1125" s="33">
        <v>113</v>
      </c>
      <c r="F1125" s="33">
        <v>3</v>
      </c>
      <c r="G1125" s="33">
        <v>6</v>
      </c>
      <c r="H1125" s="33"/>
      <c r="I1125" s="31" t="s">
        <v>35</v>
      </c>
      <c r="J1125" s="31"/>
      <c r="K1125" s="33"/>
      <c r="L1125" s="33"/>
      <c r="M1125" s="31"/>
      <c r="N1125" s="31"/>
      <c r="O1125" s="16" t="s">
        <v>2373</v>
      </c>
      <c r="P1125" s="16"/>
      <c r="Q1125" s="16"/>
      <c r="R1125" s="33">
        <v>24</v>
      </c>
      <c r="S1125" s="34">
        <v>45758</v>
      </c>
      <c r="T1125" s="34">
        <v>45758</v>
      </c>
      <c r="U1125" s="34"/>
      <c r="V1125" s="34"/>
      <c r="W1125" s="34">
        <v>45758</v>
      </c>
      <c r="X1125" s="33" t="s">
        <v>85</v>
      </c>
      <c r="Y1125" s="35" t="str">
        <f>IF(Tabela2[[#This Row],[SIGLA]]="","",VLOOKUP(Tabela2[[#This Row],[SIGLA]],Tabela1[[#All],[Sigla Arte]:[Crédito]],2,0))</f>
        <v>HELOÍSA PINTARELLI/ARQUIVO DA EDITORA</v>
      </c>
      <c r="Z1125" s="31" t="s">
        <v>221</v>
      </c>
      <c r="AA1125" s="31" t="str">
        <f>Tabela2[[#This Row],[ILUSTRADOR CRIAÇÃO]]</f>
        <v>HELOÍSA PINTARELLI/ARQUIVO DA EDITORA</v>
      </c>
      <c r="AB1125" s="33">
        <v>14</v>
      </c>
      <c r="AC1125" s="16" t="s">
        <v>2347</v>
      </c>
      <c r="AD1125" s="16" t="s">
        <v>40</v>
      </c>
      <c r="AE1125" s="35" t="str">
        <f t="shared" si="17"/>
        <v>EF1 E002 Mat</v>
      </c>
    </row>
    <row r="1126" spans="1:31" ht="45" x14ac:dyDescent="0.25">
      <c r="A1126" s="31" t="s">
        <v>2374</v>
      </c>
      <c r="B1126" s="16" t="s">
        <v>401</v>
      </c>
      <c r="C1126" s="16" t="s">
        <v>33</v>
      </c>
      <c r="D1126" s="33" t="s">
        <v>34</v>
      </c>
      <c r="E1126" s="33">
        <v>114</v>
      </c>
      <c r="F1126" s="33">
        <v>3</v>
      </c>
      <c r="G1126" s="33">
        <v>6</v>
      </c>
      <c r="H1126" s="33"/>
      <c r="I1126" s="31" t="s">
        <v>46</v>
      </c>
      <c r="J1126" s="31"/>
      <c r="K1126" s="33"/>
      <c r="L1126" s="33"/>
      <c r="M1126" s="31"/>
      <c r="N1126" s="31"/>
      <c r="O1126" s="16" t="s">
        <v>2375</v>
      </c>
      <c r="P1126" s="16"/>
      <c r="Q1126" s="16"/>
      <c r="R1126" s="33"/>
      <c r="S1126" s="34"/>
      <c r="T1126" s="34"/>
      <c r="U1126" s="34"/>
      <c r="V1126" s="34"/>
      <c r="W1126" s="34"/>
      <c r="X1126" s="33" t="s">
        <v>247</v>
      </c>
      <c r="Y1126" s="35" t="str">
        <f>IF(Tabela2[[#This Row],[SIGLA]]="","",VLOOKUP(Tabela2[[#This Row],[SIGLA]],Tabela1[[#All],[Sigla Arte]:[Crédito]],2,0))</f>
        <v>THAIS CASTRO/ARQUIVO DA EDITORA</v>
      </c>
      <c r="Z1126" s="31"/>
      <c r="AA1126" s="31" t="str">
        <f>Tabela2[[#This Row],[ILUSTRADOR CRIAÇÃO]]</f>
        <v>THAIS CASTRO/ARQUIVO DA EDITORA</v>
      </c>
      <c r="AB1126" s="33"/>
      <c r="AC1126" s="16"/>
      <c r="AE1126" s="35" t="str">
        <f t="shared" si="17"/>
        <v>EF1 E002 Mat</v>
      </c>
    </row>
    <row r="1127" spans="1:31" ht="45" x14ac:dyDescent="0.25">
      <c r="A1127" s="31" t="s">
        <v>2376</v>
      </c>
      <c r="B1127" s="16" t="s">
        <v>97</v>
      </c>
      <c r="C1127" s="16" t="s">
        <v>33</v>
      </c>
      <c r="D1127" s="33" t="s">
        <v>34</v>
      </c>
      <c r="E1127" s="33">
        <v>115</v>
      </c>
      <c r="F1127" s="33">
        <v>3</v>
      </c>
      <c r="G1127" s="33">
        <v>6</v>
      </c>
      <c r="H1127" s="33"/>
      <c r="I1127" s="31" t="s">
        <v>46</v>
      </c>
      <c r="J1127" s="31"/>
      <c r="K1127" s="33"/>
      <c r="L1127" s="33"/>
      <c r="M1127" s="31"/>
      <c r="N1127" s="31"/>
      <c r="O1127" s="16" t="s">
        <v>2377</v>
      </c>
      <c r="P1127" s="16"/>
      <c r="Q1127" s="16"/>
      <c r="R1127" s="33"/>
      <c r="S1127" s="34"/>
      <c r="T1127" s="34"/>
      <c r="U1127" s="34"/>
      <c r="V1127" s="34"/>
      <c r="W1127" s="34"/>
      <c r="X1127" s="33" t="s">
        <v>247</v>
      </c>
      <c r="Y1127" s="35" t="str">
        <f>IF(Tabela2[[#This Row],[SIGLA]]="","",VLOOKUP(Tabela2[[#This Row],[SIGLA]],Tabela1[[#All],[Sigla Arte]:[Crédito]],2,0))</f>
        <v>THAIS CASTRO/ARQUIVO DA EDITORA</v>
      </c>
      <c r="Z1127" s="31"/>
      <c r="AA1127" s="31" t="str">
        <f>Tabela2[[#This Row],[ILUSTRADOR CRIAÇÃO]]</f>
        <v>THAIS CASTRO/ARQUIVO DA EDITORA</v>
      </c>
      <c r="AB1127" s="33"/>
      <c r="AC1127" s="16"/>
      <c r="AE1127" s="35" t="str">
        <f t="shared" si="17"/>
        <v>EF1 E002 Mat</v>
      </c>
    </row>
    <row r="1128" spans="1:31" ht="45" x14ac:dyDescent="0.25">
      <c r="A1128" s="31" t="s">
        <v>2378</v>
      </c>
      <c r="B1128" s="16" t="s">
        <v>97</v>
      </c>
      <c r="C1128" s="16" t="s">
        <v>33</v>
      </c>
      <c r="D1128" s="33" t="s">
        <v>34</v>
      </c>
      <c r="E1128" s="33">
        <v>117</v>
      </c>
      <c r="F1128" s="33">
        <v>3</v>
      </c>
      <c r="G1128" s="33">
        <v>6</v>
      </c>
      <c r="H1128" s="33"/>
      <c r="I1128" s="31" t="s">
        <v>46</v>
      </c>
      <c r="J1128" s="31"/>
      <c r="K1128" s="33"/>
      <c r="L1128" s="33"/>
      <c r="M1128" s="31"/>
      <c r="N1128" s="31"/>
      <c r="O1128" s="16" t="s">
        <v>2379</v>
      </c>
      <c r="P1128" s="16"/>
      <c r="Q1128" s="16"/>
      <c r="R1128" s="33"/>
      <c r="S1128" s="34"/>
      <c r="T1128" s="34"/>
      <c r="U1128" s="34"/>
      <c r="V1128" s="34"/>
      <c r="W1128" s="34"/>
      <c r="X1128" s="33" t="s">
        <v>247</v>
      </c>
      <c r="Y1128" s="35" t="str">
        <f>IF(Tabela2[[#This Row],[SIGLA]]="","",VLOOKUP(Tabela2[[#This Row],[SIGLA]],Tabela1[[#All],[Sigla Arte]:[Crédito]],2,0))</f>
        <v>THAIS CASTRO/ARQUIVO DA EDITORA</v>
      </c>
      <c r="Z1128" s="31"/>
      <c r="AA1128" s="31" t="str">
        <f>Tabela2[[#This Row],[ILUSTRADOR CRIAÇÃO]]</f>
        <v>THAIS CASTRO/ARQUIVO DA EDITORA</v>
      </c>
      <c r="AB1128" s="33"/>
      <c r="AC1128" s="16"/>
      <c r="AE1128" s="35" t="str">
        <f t="shared" si="17"/>
        <v>EF1 E002 Mat</v>
      </c>
    </row>
    <row r="1129" spans="1:31" ht="45" x14ac:dyDescent="0.25">
      <c r="A1129" s="31" t="s">
        <v>2380</v>
      </c>
      <c r="B1129" s="16" t="s">
        <v>97</v>
      </c>
      <c r="C1129" s="16" t="s">
        <v>33</v>
      </c>
      <c r="D1129" s="33" t="s">
        <v>34</v>
      </c>
      <c r="E1129" s="33">
        <v>119</v>
      </c>
      <c r="F1129" s="33">
        <v>3</v>
      </c>
      <c r="G1129" s="33">
        <v>6</v>
      </c>
      <c r="H1129" s="33"/>
      <c r="I1129" s="31" t="s">
        <v>46</v>
      </c>
      <c r="J1129" s="31"/>
      <c r="K1129" s="33"/>
      <c r="L1129" s="33"/>
      <c r="M1129" s="31"/>
      <c r="N1129" s="31"/>
      <c r="O1129" s="16" t="s">
        <v>2381</v>
      </c>
      <c r="P1129" s="16"/>
      <c r="Q1129" s="16"/>
      <c r="R1129" s="33"/>
      <c r="S1129" s="34"/>
      <c r="T1129" s="34"/>
      <c r="U1129" s="34"/>
      <c r="V1129" s="34"/>
      <c r="W1129" s="34"/>
      <c r="X1129" s="33" t="s">
        <v>2269</v>
      </c>
      <c r="Y1129" s="35" t="str">
        <f>IF(Tabela2[[#This Row],[SIGLA]]="","",VLOOKUP(Tabela2[[#This Row],[SIGLA]],Tabela1[[#All],[Sigla Arte]:[Crédito]],2,0))</f>
        <v>GUSTAVO ALMEIDA/ARQUIVO DA EDITORA</v>
      </c>
      <c r="Z1129" s="31"/>
      <c r="AA1129" s="31" t="str">
        <f>Tabela2[[#This Row],[ILUSTRADOR CRIAÇÃO]]</f>
        <v>GUSTAVO ALMEIDA/ARQUIVO DA EDITORA</v>
      </c>
      <c r="AB1129" s="33"/>
      <c r="AC1129" s="16"/>
      <c r="AE1129" s="35" t="str">
        <f t="shared" si="17"/>
        <v>EF1 E002 Mat</v>
      </c>
    </row>
    <row r="1130" spans="1:31" ht="45" x14ac:dyDescent="0.25">
      <c r="A1130" s="31" t="s">
        <v>2382</v>
      </c>
      <c r="B1130" s="16" t="s">
        <v>32</v>
      </c>
      <c r="C1130" s="16" t="s">
        <v>33</v>
      </c>
      <c r="D1130" s="33" t="s">
        <v>34</v>
      </c>
      <c r="E1130" s="33">
        <v>222</v>
      </c>
      <c r="F1130" s="33">
        <v>3</v>
      </c>
      <c r="G1130" s="33">
        <v>11</v>
      </c>
      <c r="H1130" s="33"/>
      <c r="I1130" s="31" t="s">
        <v>46</v>
      </c>
      <c r="J1130" s="31"/>
      <c r="K1130" s="33"/>
      <c r="L1130" s="33"/>
      <c r="M1130" s="31"/>
      <c r="N1130" s="31"/>
      <c r="O1130" s="16" t="s">
        <v>2383</v>
      </c>
      <c r="P1130" s="16"/>
      <c r="Q1130" s="16"/>
      <c r="R1130" s="33"/>
      <c r="S1130" s="34"/>
      <c r="T1130" s="34"/>
      <c r="U1130" s="34"/>
      <c r="V1130" s="34"/>
      <c r="W1130" s="34"/>
      <c r="X1130" s="33" t="s">
        <v>85</v>
      </c>
      <c r="Y1130" s="35" t="str">
        <f>IF(Tabela2[[#This Row],[SIGLA]]="","",VLOOKUP(Tabela2[[#This Row],[SIGLA]],Tabela1[[#All],[Sigla Arte]:[Crédito]],2,0))</f>
        <v>HELOÍSA PINTARELLI/ARQUIVO DA EDITORA</v>
      </c>
      <c r="Z1130" s="31"/>
      <c r="AA1130" s="31" t="str">
        <f>Tabela2[[#This Row],[ILUSTRADOR CRIAÇÃO]]</f>
        <v>HELOÍSA PINTARELLI/ARQUIVO DA EDITORA</v>
      </c>
      <c r="AB1130" s="33"/>
      <c r="AC1130" s="16"/>
      <c r="AE1130" s="35" t="str">
        <f t="shared" si="17"/>
        <v>EF1 E002 Mat</v>
      </c>
    </row>
    <row r="1131" spans="1:31" ht="45" x14ac:dyDescent="0.25">
      <c r="A1131" s="31" t="s">
        <v>2384</v>
      </c>
      <c r="B1131" s="16" t="s">
        <v>32</v>
      </c>
      <c r="C1131" s="16" t="s">
        <v>33</v>
      </c>
      <c r="D1131" s="33" t="s">
        <v>34</v>
      </c>
      <c r="E1131" s="33">
        <v>222</v>
      </c>
      <c r="F1131" s="33">
        <v>3</v>
      </c>
      <c r="G1131" s="33">
        <v>11</v>
      </c>
      <c r="H1131" s="33"/>
      <c r="I1131" s="31" t="s">
        <v>46</v>
      </c>
      <c r="J1131" s="31"/>
      <c r="K1131" s="33"/>
      <c r="L1131" s="33"/>
      <c r="M1131" s="31"/>
      <c r="N1131" s="31"/>
      <c r="O1131" s="16" t="s">
        <v>2385</v>
      </c>
      <c r="P1131" s="16"/>
      <c r="Q1131" s="16"/>
      <c r="R1131" s="33"/>
      <c r="S1131" s="34"/>
      <c r="T1131" s="34"/>
      <c r="U1131" s="34"/>
      <c r="V1131" s="34"/>
      <c r="W1131" s="34"/>
      <c r="X1131" s="33" t="s">
        <v>85</v>
      </c>
      <c r="Y1131" s="35" t="str">
        <f>IF(Tabela2[[#This Row],[SIGLA]]="","",VLOOKUP(Tabela2[[#This Row],[SIGLA]],Tabela1[[#All],[Sigla Arte]:[Crédito]],2,0))</f>
        <v>HELOÍSA PINTARELLI/ARQUIVO DA EDITORA</v>
      </c>
      <c r="Z1131" s="31"/>
      <c r="AA1131" s="31" t="str">
        <f>Tabela2[[#This Row],[ILUSTRADOR CRIAÇÃO]]</f>
        <v>HELOÍSA PINTARELLI/ARQUIVO DA EDITORA</v>
      </c>
      <c r="AB1131" s="33"/>
      <c r="AC1131" s="16"/>
      <c r="AE1131" s="35" t="str">
        <f t="shared" si="17"/>
        <v>EF1 E002 Mat</v>
      </c>
    </row>
    <row r="1132" spans="1:31" ht="60" x14ac:dyDescent="0.25">
      <c r="A1132" s="31" t="s">
        <v>2386</v>
      </c>
      <c r="B1132" s="16" t="s">
        <v>32</v>
      </c>
      <c r="C1132" s="16" t="s">
        <v>33</v>
      </c>
      <c r="D1132" s="33" t="s">
        <v>34</v>
      </c>
      <c r="E1132" s="33">
        <v>110</v>
      </c>
      <c r="F1132" s="33">
        <v>1</v>
      </c>
      <c r="G1132" s="33">
        <v>4</v>
      </c>
      <c r="H1132" s="33"/>
      <c r="I1132" s="31" t="s">
        <v>35</v>
      </c>
      <c r="J1132" s="31"/>
      <c r="K1132" s="33"/>
      <c r="L1132" s="33"/>
      <c r="M1132" s="31"/>
      <c r="N1132" s="31"/>
      <c r="O1132" s="16" t="s">
        <v>2387</v>
      </c>
      <c r="P1132" s="16"/>
      <c r="Q1132" s="16"/>
      <c r="R1132" s="33">
        <v>26</v>
      </c>
      <c r="S1132" s="34">
        <v>45762</v>
      </c>
      <c r="T1132" s="34">
        <v>45762</v>
      </c>
      <c r="U1132" s="34"/>
      <c r="V1132" s="34"/>
      <c r="W1132" s="34">
        <v>45764</v>
      </c>
      <c r="X1132" s="33" t="s">
        <v>399</v>
      </c>
      <c r="Y1132" s="35" t="str">
        <f>IF(Tabela2[[#This Row],[SIGLA]]="","",VLOOKUP(Tabela2[[#This Row],[SIGLA]],Tabela1[[#All],[Sigla Arte]:[Crédito]],2,0))</f>
        <v>MÁRCIO GUERRA/ARQUIVO DA EDITORA</v>
      </c>
      <c r="Z1132" s="31" t="s">
        <v>38</v>
      </c>
      <c r="AA1132" s="31" t="str">
        <f>Tabela2[[#This Row],[ILUSTRADOR CRIAÇÃO]]</f>
        <v>MÁRCIO GUERRA/ARQUIVO DA EDITORA</v>
      </c>
      <c r="AB1132" s="33">
        <v>14</v>
      </c>
      <c r="AC1132" s="16"/>
      <c r="AD1132" s="16" t="s">
        <v>40</v>
      </c>
      <c r="AE1132" s="35" t="str">
        <f t="shared" si="17"/>
        <v>EF1 E002 Mat</v>
      </c>
    </row>
    <row r="1133" spans="1:31" ht="90" x14ac:dyDescent="0.25">
      <c r="A1133" s="31" t="s">
        <v>2388</v>
      </c>
      <c r="B1133" s="16" t="s">
        <v>32</v>
      </c>
      <c r="C1133" s="16" t="s">
        <v>33</v>
      </c>
      <c r="D1133" s="33" t="s">
        <v>34</v>
      </c>
      <c r="E1133" s="33">
        <v>114</v>
      </c>
      <c r="F1133" s="33">
        <v>1</v>
      </c>
      <c r="G1133" s="33">
        <v>4</v>
      </c>
      <c r="H1133" s="33"/>
      <c r="I1133" s="31" t="s">
        <v>35</v>
      </c>
      <c r="J1133" s="31"/>
      <c r="K1133" s="33"/>
      <c r="L1133" s="33"/>
      <c r="M1133" s="31"/>
      <c r="N1133" s="31"/>
      <c r="O1133" s="16" t="s">
        <v>2389</v>
      </c>
      <c r="P1133" s="16"/>
      <c r="Q1133" s="16"/>
      <c r="R1133" s="33">
        <v>26</v>
      </c>
      <c r="S1133" s="34">
        <v>45762</v>
      </c>
      <c r="T1133" s="34">
        <v>45762</v>
      </c>
      <c r="U1133" s="34"/>
      <c r="V1133" s="34"/>
      <c r="W1133" s="34">
        <v>45764</v>
      </c>
      <c r="X1133" s="33" t="s">
        <v>162</v>
      </c>
      <c r="Y1133" s="35" t="str">
        <f>IF(Tabela2[[#This Row],[SIGLA]]="","",VLOOKUP(Tabela2[[#This Row],[SIGLA]],Tabela1[[#All],[Sigla Arte]:[Crédito]],2,0))</f>
        <v>IVY NUNES/ARQUIVO DA EDITORA</v>
      </c>
      <c r="Z1133" s="31" t="s">
        <v>38</v>
      </c>
      <c r="AA1133" s="31" t="str">
        <f>Tabela2[[#This Row],[ILUSTRADOR CRIAÇÃO]]</f>
        <v>IVY NUNES/ARQUIVO DA EDITORA</v>
      </c>
      <c r="AB1133" s="33">
        <v>14</v>
      </c>
      <c r="AC1133" s="16"/>
      <c r="AD1133" s="16" t="s">
        <v>40</v>
      </c>
      <c r="AE1133" s="35" t="str">
        <f t="shared" si="17"/>
        <v>EF1 E002 Mat</v>
      </c>
    </row>
    <row r="1134" spans="1:31" ht="165" x14ac:dyDescent="0.25">
      <c r="A1134" s="31" t="s">
        <v>2390</v>
      </c>
      <c r="B1134" s="16" t="s">
        <v>32</v>
      </c>
      <c r="C1134" s="16" t="s">
        <v>33</v>
      </c>
      <c r="D1134" s="33" t="s">
        <v>34</v>
      </c>
      <c r="E1134" s="33">
        <v>115</v>
      </c>
      <c r="F1134" s="33">
        <v>1</v>
      </c>
      <c r="G1134" s="33">
        <v>4</v>
      </c>
      <c r="H1134" s="33"/>
      <c r="I1134" s="31" t="s">
        <v>35</v>
      </c>
      <c r="J1134" s="31"/>
      <c r="K1134" s="33"/>
      <c r="L1134" s="33"/>
      <c r="M1134" s="31"/>
      <c r="N1134" s="31"/>
      <c r="O1134" s="16" t="s">
        <v>2391</v>
      </c>
      <c r="P1134" s="16"/>
      <c r="Q1134" s="16"/>
      <c r="R1134" s="33">
        <v>26</v>
      </c>
      <c r="S1134" s="34">
        <v>45762</v>
      </c>
      <c r="T1134" s="34">
        <v>45762</v>
      </c>
      <c r="U1134" s="34"/>
      <c r="V1134" s="34"/>
      <c r="W1134" s="34">
        <v>45764</v>
      </c>
      <c r="X1134" s="33" t="s">
        <v>43</v>
      </c>
      <c r="Y1134" s="35" t="str">
        <f>IF(Tabela2[[#This Row],[SIGLA]]="","",VLOOKUP(Tabela2[[#This Row],[SIGLA]],Tabela1[[#All],[Sigla Arte]:[Crédito]],2,0))</f>
        <v>GUILHERME RODRIGUES/ARQUIVO DA EDITORA</v>
      </c>
      <c r="Z1134" s="31" t="s">
        <v>38</v>
      </c>
      <c r="AA1134" s="31" t="str">
        <f>Tabela2[[#This Row],[ILUSTRADOR CRIAÇÃO]]</f>
        <v>GUILHERME RODRIGUES/ARQUIVO DA EDITORA</v>
      </c>
      <c r="AB1134" s="33">
        <v>13</v>
      </c>
      <c r="AC1134" s="16"/>
      <c r="AD1134" s="16" t="s">
        <v>40</v>
      </c>
      <c r="AE1134" s="35" t="str">
        <f t="shared" si="17"/>
        <v>EF1 E002 Mat</v>
      </c>
    </row>
    <row r="1135" spans="1:31" ht="75" x14ac:dyDescent="0.25">
      <c r="A1135" s="31" t="s">
        <v>2392</v>
      </c>
      <c r="B1135" s="16" t="s">
        <v>32</v>
      </c>
      <c r="C1135" s="16" t="s">
        <v>33</v>
      </c>
      <c r="D1135" s="33" t="s">
        <v>34</v>
      </c>
      <c r="E1135" s="33">
        <v>117</v>
      </c>
      <c r="F1135" s="33">
        <v>1</v>
      </c>
      <c r="G1135" s="33">
        <v>4</v>
      </c>
      <c r="H1135" s="33"/>
      <c r="I1135" s="31" t="s">
        <v>46</v>
      </c>
      <c r="J1135" s="31"/>
      <c r="K1135" s="33"/>
      <c r="L1135" s="33"/>
      <c r="M1135" s="31"/>
      <c r="N1135" s="31"/>
      <c r="O1135" s="16" t="s">
        <v>2393</v>
      </c>
      <c r="P1135" s="16"/>
      <c r="Q1135" s="16"/>
      <c r="R1135" s="33"/>
      <c r="S1135" s="34"/>
      <c r="T1135" s="34"/>
      <c r="U1135" s="34"/>
      <c r="V1135" s="34"/>
      <c r="W1135" s="34"/>
      <c r="X1135" s="33" t="s">
        <v>247</v>
      </c>
      <c r="Y1135" s="35" t="str">
        <f>IF(Tabela2[[#This Row],[SIGLA]]="","",VLOOKUP(Tabela2[[#This Row],[SIGLA]],Tabela1[[#All],[Sigla Arte]:[Crédito]],2,0))</f>
        <v>THAIS CASTRO/ARQUIVO DA EDITORA</v>
      </c>
      <c r="Z1135" s="31"/>
      <c r="AA1135" s="31" t="str">
        <f>Tabela2[[#This Row],[ILUSTRADOR CRIAÇÃO]]</f>
        <v>THAIS CASTRO/ARQUIVO DA EDITORA</v>
      </c>
      <c r="AB1135" s="33"/>
      <c r="AC1135" s="16"/>
      <c r="AE1135" s="35" t="str">
        <f t="shared" si="17"/>
        <v>EF1 E002 Mat</v>
      </c>
    </row>
    <row r="1136" spans="1:31" ht="75" x14ac:dyDescent="0.25">
      <c r="A1136" s="31" t="s">
        <v>2394</v>
      </c>
      <c r="B1136" s="16" t="s">
        <v>32</v>
      </c>
      <c r="C1136" s="16" t="s">
        <v>164</v>
      </c>
      <c r="D1136" s="33" t="s">
        <v>34</v>
      </c>
      <c r="E1136" s="33">
        <v>118</v>
      </c>
      <c r="F1136" s="33">
        <v>1</v>
      </c>
      <c r="G1136" s="33">
        <v>4</v>
      </c>
      <c r="H1136" s="33"/>
      <c r="I1136" s="31" t="s">
        <v>35</v>
      </c>
      <c r="J1136" s="31"/>
      <c r="K1136" s="33"/>
      <c r="L1136" s="33"/>
      <c r="M1136" s="31"/>
      <c r="N1136" s="31"/>
      <c r="O1136" s="16" t="s">
        <v>2395</v>
      </c>
      <c r="P1136" s="16"/>
      <c r="Q1136" s="16"/>
      <c r="R1136" s="33">
        <v>26</v>
      </c>
      <c r="S1136" s="34">
        <v>45762</v>
      </c>
      <c r="T1136" s="34">
        <v>45762</v>
      </c>
      <c r="U1136" s="34"/>
      <c r="V1136" s="34"/>
      <c r="W1136" s="34">
        <v>45764</v>
      </c>
      <c r="X1136" s="33" t="s">
        <v>184</v>
      </c>
      <c r="Y1136" s="35" t="str">
        <f>IF(Tabela2[[#This Row],[SIGLA]]="","",VLOOKUP(Tabela2[[#This Row],[SIGLA]],Tabela1[[#All],[Sigla Arte]:[Crédito]],2,0))</f>
        <v>VER DOCUMENTO DE ILS. TÉCNICAS</v>
      </c>
      <c r="Z1136" s="31" t="s">
        <v>38</v>
      </c>
      <c r="AA1136" s="31" t="s">
        <v>2039</v>
      </c>
      <c r="AB1136" s="33">
        <v>14</v>
      </c>
      <c r="AC1136" s="16"/>
      <c r="AD1136" s="16" t="s">
        <v>40</v>
      </c>
      <c r="AE1136" s="35" t="str">
        <f t="shared" si="17"/>
        <v>EF1 E002 Mat</v>
      </c>
    </row>
    <row r="1137" spans="1:31" ht="105" x14ac:dyDescent="0.25">
      <c r="A1137" s="31" t="s">
        <v>2396</v>
      </c>
      <c r="B1137" s="16" t="s">
        <v>32</v>
      </c>
      <c r="C1137" s="16" t="s">
        <v>33</v>
      </c>
      <c r="D1137" s="33" t="s">
        <v>34</v>
      </c>
      <c r="E1137" s="33">
        <v>150</v>
      </c>
      <c r="F1137" s="33">
        <v>3</v>
      </c>
      <c r="G1137" s="33">
        <v>7</v>
      </c>
      <c r="H1137" s="33"/>
      <c r="I1137" s="31" t="s">
        <v>35</v>
      </c>
      <c r="J1137" s="31"/>
      <c r="K1137" s="33"/>
      <c r="L1137" s="33"/>
      <c r="M1137" s="31"/>
      <c r="N1137" s="31"/>
      <c r="O1137" s="16" t="s">
        <v>2397</v>
      </c>
      <c r="P1137" s="16"/>
      <c r="Q1137" s="16"/>
      <c r="R1137" s="33">
        <v>27</v>
      </c>
      <c r="S1137" s="34">
        <v>45762</v>
      </c>
      <c r="T1137" s="34">
        <v>45762</v>
      </c>
      <c r="U1137" s="34"/>
      <c r="V1137" s="34"/>
      <c r="W1137" s="34">
        <v>45763</v>
      </c>
      <c r="X1137" s="33" t="s">
        <v>247</v>
      </c>
      <c r="Y1137" s="35" t="str">
        <f>IF(Tabela2[[#This Row],[SIGLA]]="","",VLOOKUP(Tabela2[[#This Row],[SIGLA]],Tabela1[[#All],[Sigla Arte]:[Crédito]],2,0))</f>
        <v>THAIS CASTRO/ARQUIVO DA EDITORA</v>
      </c>
      <c r="Z1137" s="31" t="s">
        <v>38</v>
      </c>
      <c r="AA1137" s="31" t="str">
        <f>Tabela2[[#This Row],[ILUSTRADOR CRIAÇÃO]]</f>
        <v>THAIS CASTRO/ARQUIVO DA EDITORA</v>
      </c>
      <c r="AB1137" s="33">
        <v>14</v>
      </c>
      <c r="AC1137" s="16"/>
      <c r="AD1137" s="16" t="s">
        <v>40</v>
      </c>
      <c r="AE1137" s="35" t="str">
        <f t="shared" si="17"/>
        <v>EF1 E002 Mat</v>
      </c>
    </row>
    <row r="1138" spans="1:31" ht="90" x14ac:dyDescent="0.25">
      <c r="A1138" s="31" t="s">
        <v>2398</v>
      </c>
      <c r="B1138" s="16" t="s">
        <v>32</v>
      </c>
      <c r="C1138" s="16" t="s">
        <v>33</v>
      </c>
      <c r="D1138" s="33" t="s">
        <v>34</v>
      </c>
      <c r="E1138" s="33">
        <v>150</v>
      </c>
      <c r="F1138" s="33">
        <v>3</v>
      </c>
      <c r="G1138" s="33">
        <v>7</v>
      </c>
      <c r="H1138" s="33"/>
      <c r="I1138" s="31" t="s">
        <v>35</v>
      </c>
      <c r="J1138" s="31"/>
      <c r="K1138" s="33"/>
      <c r="L1138" s="33"/>
      <c r="M1138" s="31"/>
      <c r="N1138" s="31"/>
      <c r="O1138" s="16" t="s">
        <v>2399</v>
      </c>
      <c r="P1138" s="16"/>
      <c r="Q1138" s="16"/>
      <c r="R1138" s="33">
        <v>27</v>
      </c>
      <c r="S1138" s="34">
        <v>45762</v>
      </c>
      <c r="T1138" s="34">
        <v>45762</v>
      </c>
      <c r="U1138" s="34"/>
      <c r="V1138" s="34"/>
      <c r="W1138" s="34">
        <v>45763</v>
      </c>
      <c r="X1138" s="33" t="s">
        <v>247</v>
      </c>
      <c r="Y1138" s="35" t="str">
        <f>IF(Tabela2[[#This Row],[SIGLA]]="","",VLOOKUP(Tabela2[[#This Row],[SIGLA]],Tabela1[[#All],[Sigla Arte]:[Crédito]],2,0))</f>
        <v>THAIS CASTRO/ARQUIVO DA EDITORA</v>
      </c>
      <c r="Z1138" s="31" t="s">
        <v>38</v>
      </c>
      <c r="AA1138" s="31" t="str">
        <f>Tabela2[[#This Row],[ILUSTRADOR CRIAÇÃO]]</f>
        <v>THAIS CASTRO/ARQUIVO DA EDITORA</v>
      </c>
      <c r="AB1138" s="33">
        <v>14</v>
      </c>
      <c r="AC1138" s="16"/>
      <c r="AD1138" s="16" t="s">
        <v>40</v>
      </c>
      <c r="AE1138" s="35" t="str">
        <f t="shared" si="17"/>
        <v>EF1 E002 Mat</v>
      </c>
    </row>
    <row r="1139" spans="1:31" ht="135" x14ac:dyDescent="0.25">
      <c r="A1139" s="31" t="s">
        <v>2400</v>
      </c>
      <c r="B1139" s="16" t="s">
        <v>32</v>
      </c>
      <c r="C1139" s="16" t="s">
        <v>33</v>
      </c>
      <c r="D1139" s="33" t="s">
        <v>34</v>
      </c>
      <c r="E1139" s="33">
        <v>152</v>
      </c>
      <c r="F1139" s="33">
        <v>3</v>
      </c>
      <c r="G1139" s="33">
        <v>7</v>
      </c>
      <c r="H1139" s="33"/>
      <c r="I1139" s="31" t="s">
        <v>35</v>
      </c>
      <c r="J1139" s="31"/>
      <c r="K1139" s="33"/>
      <c r="L1139" s="33"/>
      <c r="M1139" s="31"/>
      <c r="N1139" s="31"/>
      <c r="O1139" s="16" t="s">
        <v>2401</v>
      </c>
      <c r="P1139" s="16"/>
      <c r="Q1139" s="16"/>
      <c r="R1139" s="33">
        <v>94</v>
      </c>
      <c r="S1139" s="34">
        <v>45870</v>
      </c>
      <c r="T1139" s="34">
        <v>45873</v>
      </c>
      <c r="U1139" s="34"/>
      <c r="V1139" s="34"/>
      <c r="W1139" s="34">
        <v>45873</v>
      </c>
      <c r="X1139" s="33" t="s">
        <v>247</v>
      </c>
      <c r="Y1139" s="35" t="str">
        <f>IF(Tabela2[[#This Row],[SIGLA]]="","",VLOOKUP(Tabela2[[#This Row],[SIGLA]],Tabela1[[#All],[Sigla Arte]:[Crédito]],2,0))</f>
        <v>THAIS CASTRO/ARQUIVO DA EDITORA</v>
      </c>
      <c r="Z1139" s="31" t="s">
        <v>101</v>
      </c>
      <c r="AA1139" s="31" t="str">
        <f>Tabela2[[#This Row],[ILUSTRADOR CRIAÇÃO]]</f>
        <v>THAIS CASTRO/ARQUIVO DA EDITORA</v>
      </c>
      <c r="AB1139" s="33">
        <v>13</v>
      </c>
      <c r="AC1139" s="16" t="s">
        <v>222</v>
      </c>
      <c r="AD1139" s="16" t="s">
        <v>40</v>
      </c>
      <c r="AE1139" s="35" t="str">
        <f t="shared" si="17"/>
        <v>EF1 E002 Mat</v>
      </c>
    </row>
    <row r="1140" spans="1:31" ht="60" x14ac:dyDescent="0.25">
      <c r="A1140" s="31" t="s">
        <v>2402</v>
      </c>
      <c r="B1140" s="16" t="s">
        <v>32</v>
      </c>
      <c r="C1140" s="16" t="s">
        <v>33</v>
      </c>
      <c r="D1140" s="33" t="s">
        <v>34</v>
      </c>
      <c r="E1140" s="33">
        <v>152</v>
      </c>
      <c r="F1140" s="33">
        <v>3</v>
      </c>
      <c r="G1140" s="33">
        <v>7</v>
      </c>
      <c r="H1140" s="33"/>
      <c r="I1140" s="31" t="s">
        <v>35</v>
      </c>
      <c r="J1140" s="31"/>
      <c r="K1140" s="33"/>
      <c r="L1140" s="33"/>
      <c r="M1140" s="31"/>
      <c r="N1140" s="31"/>
      <c r="O1140" s="16" t="s">
        <v>2403</v>
      </c>
      <c r="P1140" s="16"/>
      <c r="Q1140" s="16"/>
      <c r="R1140" s="33">
        <v>27</v>
      </c>
      <c r="S1140" s="34">
        <v>45762</v>
      </c>
      <c r="T1140" s="34">
        <v>45762</v>
      </c>
      <c r="U1140" s="34"/>
      <c r="V1140" s="34"/>
      <c r="W1140" s="34">
        <v>45763</v>
      </c>
      <c r="X1140" s="33" t="s">
        <v>247</v>
      </c>
      <c r="Y1140" s="35" t="str">
        <f>IF(Tabela2[[#This Row],[SIGLA]]="","",VLOOKUP(Tabela2[[#This Row],[SIGLA]],Tabela1[[#All],[Sigla Arte]:[Crédito]],2,0))</f>
        <v>THAIS CASTRO/ARQUIVO DA EDITORA</v>
      </c>
      <c r="Z1140" s="31" t="s">
        <v>38</v>
      </c>
      <c r="AA1140" s="31" t="str">
        <f>Tabela2[[#This Row],[ILUSTRADOR CRIAÇÃO]]</f>
        <v>THAIS CASTRO/ARQUIVO DA EDITORA</v>
      </c>
      <c r="AB1140" s="33">
        <v>14</v>
      </c>
      <c r="AC1140" s="16"/>
      <c r="AD1140" s="16" t="s">
        <v>40</v>
      </c>
      <c r="AE1140" s="35" t="str">
        <f t="shared" si="17"/>
        <v>EF1 E002 Mat</v>
      </c>
    </row>
    <row r="1141" spans="1:31" ht="45" x14ac:dyDescent="0.25">
      <c r="A1141" s="31" t="s">
        <v>2404</v>
      </c>
      <c r="B1141" s="16" t="s">
        <v>32</v>
      </c>
      <c r="C1141" s="16" t="s">
        <v>33</v>
      </c>
      <c r="D1141" s="33" t="s">
        <v>34</v>
      </c>
      <c r="E1141" s="33">
        <v>153</v>
      </c>
      <c r="F1141" s="33">
        <v>3</v>
      </c>
      <c r="G1141" s="33">
        <v>7</v>
      </c>
      <c r="H1141" s="33"/>
      <c r="I1141" s="31" t="s">
        <v>35</v>
      </c>
      <c r="J1141" s="31"/>
      <c r="K1141" s="33"/>
      <c r="L1141" s="33"/>
      <c r="M1141" s="31"/>
      <c r="N1141" s="31"/>
      <c r="O1141" s="16" t="s">
        <v>2405</v>
      </c>
      <c r="P1141" s="16"/>
      <c r="Q1141" s="16"/>
      <c r="R1141" s="33">
        <v>94</v>
      </c>
      <c r="S1141" s="34">
        <v>45870</v>
      </c>
      <c r="T1141" s="34">
        <v>45873</v>
      </c>
      <c r="U1141" s="34"/>
      <c r="V1141" s="34"/>
      <c r="W1141" s="34">
        <v>45873</v>
      </c>
      <c r="X1141" s="33" t="s">
        <v>247</v>
      </c>
      <c r="Y1141" s="35" t="str">
        <f>IF(Tabela2[[#This Row],[SIGLA]]="","",VLOOKUP(Tabela2[[#This Row],[SIGLA]],Tabela1[[#All],[Sigla Arte]:[Crédito]],2,0))</f>
        <v>THAIS CASTRO/ARQUIVO DA EDITORA</v>
      </c>
      <c r="Z1141" s="31" t="s">
        <v>101</v>
      </c>
      <c r="AA1141" s="31" t="str">
        <f>Tabela2[[#This Row],[ILUSTRADOR CRIAÇÃO]]</f>
        <v>THAIS CASTRO/ARQUIVO DA EDITORA</v>
      </c>
      <c r="AB1141" s="33">
        <v>13</v>
      </c>
      <c r="AC1141" s="16" t="s">
        <v>222</v>
      </c>
      <c r="AD1141" s="16" t="s">
        <v>40</v>
      </c>
      <c r="AE1141" s="35" t="str">
        <f t="shared" si="17"/>
        <v>EF1 E002 Mat</v>
      </c>
    </row>
    <row r="1142" spans="1:31" ht="60" x14ac:dyDescent="0.25">
      <c r="A1142" s="31" t="s">
        <v>2406</v>
      </c>
      <c r="B1142" s="16" t="s">
        <v>32</v>
      </c>
      <c r="C1142" s="16" t="s">
        <v>164</v>
      </c>
      <c r="D1142" s="33" t="s">
        <v>34</v>
      </c>
      <c r="E1142" s="33">
        <v>153</v>
      </c>
      <c r="F1142" s="33">
        <v>3</v>
      </c>
      <c r="G1142" s="33">
        <v>7</v>
      </c>
      <c r="H1142" s="33"/>
      <c r="I1142" s="31" t="s">
        <v>35</v>
      </c>
      <c r="J1142" s="31"/>
      <c r="K1142" s="33"/>
      <c r="L1142" s="33"/>
      <c r="M1142" s="31"/>
      <c r="N1142" s="31"/>
      <c r="O1142" s="16" t="s">
        <v>2407</v>
      </c>
      <c r="P1142" s="16"/>
      <c r="Q1142" s="16"/>
      <c r="R1142" s="33">
        <v>94</v>
      </c>
      <c r="S1142" s="34">
        <v>45870</v>
      </c>
      <c r="T1142" s="34">
        <v>45873</v>
      </c>
      <c r="U1142" s="34"/>
      <c r="V1142" s="34"/>
      <c r="W1142" s="34">
        <v>45873</v>
      </c>
      <c r="X1142" s="33" t="s">
        <v>184</v>
      </c>
      <c r="Y1142" s="35" t="str">
        <f>IF(Tabela2[[#This Row],[SIGLA]]="","",VLOOKUP(Tabela2[[#This Row],[SIGLA]],Tabela1[[#All],[Sigla Arte]:[Crédito]],2,0))</f>
        <v>VER DOCUMENTO DE ILS. TÉCNICAS</v>
      </c>
      <c r="Z1142" s="31" t="s">
        <v>101</v>
      </c>
      <c r="AA1142" s="31" t="str">
        <f>Tabela2[[#This Row],[ILUSTRADOR CRIAÇÃO]]</f>
        <v>VER DOCUMENTO DE ILS. TÉCNICAS</v>
      </c>
      <c r="AB1142" s="33">
        <v>13</v>
      </c>
      <c r="AC1142" s="16" t="s">
        <v>222</v>
      </c>
      <c r="AD1142" s="16" t="s">
        <v>40</v>
      </c>
      <c r="AE1142" s="35" t="str">
        <f t="shared" si="17"/>
        <v>EF1 E002 Mat</v>
      </c>
    </row>
    <row r="1143" spans="1:31" ht="45" x14ac:dyDescent="0.25">
      <c r="A1143" s="31" t="s">
        <v>2408</v>
      </c>
      <c r="B1143" s="16" t="s">
        <v>32</v>
      </c>
      <c r="C1143" s="16" t="s">
        <v>164</v>
      </c>
      <c r="D1143" s="33" t="s">
        <v>34</v>
      </c>
      <c r="E1143" s="33">
        <v>155</v>
      </c>
      <c r="F1143" s="33">
        <v>3</v>
      </c>
      <c r="G1143" s="33">
        <v>7</v>
      </c>
      <c r="H1143" s="33"/>
      <c r="I1143" s="31" t="s">
        <v>46</v>
      </c>
      <c r="J1143" s="31"/>
      <c r="K1143" s="33"/>
      <c r="L1143" s="33"/>
      <c r="M1143" s="31"/>
      <c r="N1143" s="31"/>
      <c r="O1143" s="16" t="s">
        <v>2409</v>
      </c>
      <c r="P1143" s="16"/>
      <c r="Q1143" s="16"/>
      <c r="R1143" s="33"/>
      <c r="S1143" s="34"/>
      <c r="T1143" s="34"/>
      <c r="U1143" s="34"/>
      <c r="V1143" s="34"/>
      <c r="W1143" s="34"/>
      <c r="X1143" s="33" t="s">
        <v>1126</v>
      </c>
      <c r="Y1143" s="35" t="str">
        <f>IF(Tabela2[[#This Row],[SIGLA]]="","",VLOOKUP(Tabela2[[#This Row],[SIGLA]],Tabela1[[#All],[Sigla Arte]:[Crédito]],2,0))</f>
        <v>GUSTAVO CONTI/ARQUIVO DA EDITORA</v>
      </c>
      <c r="Z1143" s="31"/>
      <c r="AA1143" s="31" t="str">
        <f>Tabela2[[#This Row],[ILUSTRADOR CRIAÇÃO]]</f>
        <v>GUSTAVO CONTI/ARQUIVO DA EDITORA</v>
      </c>
      <c r="AB1143" s="33"/>
      <c r="AC1143" s="16"/>
      <c r="AE1143" s="35" t="str">
        <f t="shared" si="17"/>
        <v>EF1 E002 Mat</v>
      </c>
    </row>
    <row r="1144" spans="1:31" ht="45" x14ac:dyDescent="0.25">
      <c r="A1144" s="31" t="s">
        <v>2410</v>
      </c>
      <c r="B1144" s="16" t="s">
        <v>32</v>
      </c>
      <c r="C1144" s="16" t="s">
        <v>164</v>
      </c>
      <c r="D1144" s="33" t="s">
        <v>34</v>
      </c>
      <c r="E1144" s="33">
        <v>155</v>
      </c>
      <c r="F1144" s="33">
        <v>3</v>
      </c>
      <c r="G1144" s="33">
        <v>7</v>
      </c>
      <c r="H1144" s="33"/>
      <c r="I1144" s="31" t="s">
        <v>46</v>
      </c>
      <c r="J1144" s="31"/>
      <c r="K1144" s="33"/>
      <c r="L1144" s="33"/>
      <c r="M1144" s="31"/>
      <c r="N1144" s="31"/>
      <c r="O1144" s="16" t="s">
        <v>2411</v>
      </c>
      <c r="P1144" s="16"/>
      <c r="Q1144" s="16"/>
      <c r="R1144" s="33"/>
      <c r="S1144" s="34"/>
      <c r="T1144" s="34"/>
      <c r="U1144" s="34"/>
      <c r="V1144" s="34"/>
      <c r="W1144" s="34"/>
      <c r="X1144" s="33" t="s">
        <v>1126</v>
      </c>
      <c r="Y1144" s="35" t="str">
        <f>IF(Tabela2[[#This Row],[SIGLA]]="","",VLOOKUP(Tabela2[[#This Row],[SIGLA]],Tabela1[[#All],[Sigla Arte]:[Crédito]],2,0))</f>
        <v>GUSTAVO CONTI/ARQUIVO DA EDITORA</v>
      </c>
      <c r="Z1144" s="31"/>
      <c r="AA1144" s="31" t="str">
        <f>Tabela2[[#This Row],[ILUSTRADOR CRIAÇÃO]]</f>
        <v>GUSTAVO CONTI/ARQUIVO DA EDITORA</v>
      </c>
      <c r="AB1144" s="33"/>
      <c r="AC1144" s="16"/>
      <c r="AE1144" s="35" t="str">
        <f t="shared" si="17"/>
        <v>EF1 E002 Mat</v>
      </c>
    </row>
    <row r="1145" spans="1:31" ht="45" x14ac:dyDescent="0.25">
      <c r="A1145" s="31" t="s">
        <v>2412</v>
      </c>
      <c r="B1145" s="16" t="s">
        <v>32</v>
      </c>
      <c r="C1145" s="16" t="s">
        <v>164</v>
      </c>
      <c r="D1145" s="33" t="s">
        <v>34</v>
      </c>
      <c r="E1145" s="33">
        <v>156</v>
      </c>
      <c r="F1145" s="33">
        <v>3</v>
      </c>
      <c r="G1145" s="33">
        <v>7</v>
      </c>
      <c r="H1145" s="33"/>
      <c r="I1145" s="31" t="s">
        <v>46</v>
      </c>
      <c r="J1145" s="31"/>
      <c r="K1145" s="33"/>
      <c r="L1145" s="33"/>
      <c r="M1145" s="31"/>
      <c r="N1145" s="31"/>
      <c r="O1145" s="16" t="s">
        <v>2413</v>
      </c>
      <c r="P1145" s="16"/>
      <c r="Q1145" s="16"/>
      <c r="R1145" s="33"/>
      <c r="S1145" s="34"/>
      <c r="T1145" s="34"/>
      <c r="U1145" s="34"/>
      <c r="V1145" s="34"/>
      <c r="W1145" s="34"/>
      <c r="X1145" s="33" t="s">
        <v>1126</v>
      </c>
      <c r="Y1145" s="35" t="str">
        <f>IF(Tabela2[[#This Row],[SIGLA]]="","",VLOOKUP(Tabela2[[#This Row],[SIGLA]],Tabela1[[#All],[Sigla Arte]:[Crédito]],2,0))</f>
        <v>GUSTAVO CONTI/ARQUIVO DA EDITORA</v>
      </c>
      <c r="Z1145" s="31"/>
      <c r="AA1145" s="31" t="str">
        <f>Tabela2[[#This Row],[ILUSTRADOR CRIAÇÃO]]</f>
        <v>GUSTAVO CONTI/ARQUIVO DA EDITORA</v>
      </c>
      <c r="AB1145" s="33"/>
      <c r="AC1145" s="16"/>
      <c r="AE1145" s="35" t="str">
        <f t="shared" si="17"/>
        <v>EF1 E002 Mat</v>
      </c>
    </row>
    <row r="1146" spans="1:31" ht="45" x14ac:dyDescent="0.25">
      <c r="A1146" s="31" t="s">
        <v>2414</v>
      </c>
      <c r="B1146" s="16" t="s">
        <v>32</v>
      </c>
      <c r="C1146" s="16" t="s">
        <v>33</v>
      </c>
      <c r="D1146" s="33" t="s">
        <v>34</v>
      </c>
      <c r="E1146" s="33">
        <v>156</v>
      </c>
      <c r="F1146" s="33">
        <v>3</v>
      </c>
      <c r="G1146" s="33">
        <v>7</v>
      </c>
      <c r="H1146" s="33"/>
      <c r="I1146" s="31" t="s">
        <v>46</v>
      </c>
      <c r="J1146" s="31"/>
      <c r="K1146" s="33"/>
      <c r="L1146" s="33"/>
      <c r="M1146" s="31"/>
      <c r="N1146" s="31"/>
      <c r="O1146" s="16" t="s">
        <v>2415</v>
      </c>
      <c r="P1146" s="16"/>
      <c r="Q1146" s="16"/>
      <c r="R1146" s="33"/>
      <c r="S1146" s="34"/>
      <c r="T1146" s="34"/>
      <c r="U1146" s="34"/>
      <c r="V1146" s="34"/>
      <c r="W1146" s="34"/>
      <c r="X1146" s="33" t="s">
        <v>184</v>
      </c>
      <c r="Y1146" s="35" t="str">
        <f>IF(Tabela2[[#This Row],[SIGLA]]="","",VLOOKUP(Tabela2[[#This Row],[SIGLA]],Tabela1[[#All],[Sigla Arte]:[Crédito]],2,0))</f>
        <v>VER DOCUMENTO DE ILS. TÉCNICAS</v>
      </c>
      <c r="Z1146" s="31"/>
      <c r="AA1146" s="31" t="str">
        <f>Tabela2[[#This Row],[ILUSTRADOR CRIAÇÃO]]</f>
        <v>VER DOCUMENTO DE ILS. TÉCNICAS</v>
      </c>
      <c r="AB1146" s="33"/>
      <c r="AC1146" s="16"/>
      <c r="AE1146" s="35" t="str">
        <f t="shared" si="17"/>
        <v>EF1 E002 Mat</v>
      </c>
    </row>
    <row r="1147" spans="1:31" ht="45" x14ac:dyDescent="0.25">
      <c r="A1147" s="31" t="s">
        <v>2416</v>
      </c>
      <c r="B1147" s="16" t="s">
        <v>32</v>
      </c>
      <c r="C1147" s="16" t="s">
        <v>33</v>
      </c>
      <c r="D1147" s="33" t="s">
        <v>34</v>
      </c>
      <c r="E1147" s="33">
        <v>157</v>
      </c>
      <c r="F1147" s="33">
        <v>3</v>
      </c>
      <c r="G1147" s="33">
        <v>7</v>
      </c>
      <c r="H1147" s="33"/>
      <c r="I1147" s="31" t="s">
        <v>46</v>
      </c>
      <c r="J1147" s="31"/>
      <c r="K1147" s="33"/>
      <c r="L1147" s="33"/>
      <c r="M1147" s="31"/>
      <c r="N1147" s="31"/>
      <c r="O1147" s="16" t="s">
        <v>2417</v>
      </c>
      <c r="P1147" s="16"/>
      <c r="Q1147" s="16"/>
      <c r="R1147" s="33"/>
      <c r="S1147" s="34"/>
      <c r="T1147" s="34"/>
      <c r="U1147" s="34"/>
      <c r="V1147" s="34"/>
      <c r="W1147" s="34"/>
      <c r="X1147" s="33" t="s">
        <v>184</v>
      </c>
      <c r="Y1147" s="35" t="str">
        <f>IF(Tabela2[[#This Row],[SIGLA]]="","",VLOOKUP(Tabela2[[#This Row],[SIGLA]],Tabela1[[#All],[Sigla Arte]:[Crédito]],2,0))</f>
        <v>VER DOCUMENTO DE ILS. TÉCNICAS</v>
      </c>
      <c r="Z1147" s="31"/>
      <c r="AA1147" s="31" t="str">
        <f>Tabela2[[#This Row],[ILUSTRADOR CRIAÇÃO]]</f>
        <v>VER DOCUMENTO DE ILS. TÉCNICAS</v>
      </c>
      <c r="AB1147" s="33"/>
      <c r="AC1147" s="16"/>
      <c r="AE1147" s="35" t="str">
        <f t="shared" si="17"/>
        <v>EF1 E002 Mat</v>
      </c>
    </row>
    <row r="1148" spans="1:31" ht="45" x14ac:dyDescent="0.25">
      <c r="A1148" s="31" t="s">
        <v>2418</v>
      </c>
      <c r="B1148" s="16" t="s">
        <v>32</v>
      </c>
      <c r="C1148" s="16" t="s">
        <v>164</v>
      </c>
      <c r="D1148" s="33" t="s">
        <v>34</v>
      </c>
      <c r="E1148" s="33">
        <v>157</v>
      </c>
      <c r="F1148" s="33">
        <v>3</v>
      </c>
      <c r="G1148" s="33">
        <v>7</v>
      </c>
      <c r="H1148" s="33"/>
      <c r="I1148" s="31" t="s">
        <v>46</v>
      </c>
      <c r="J1148" s="31"/>
      <c r="K1148" s="33"/>
      <c r="L1148" s="33"/>
      <c r="M1148" s="31"/>
      <c r="N1148" s="31"/>
      <c r="O1148" s="16" t="s">
        <v>2419</v>
      </c>
      <c r="P1148" s="16"/>
      <c r="Q1148" s="16"/>
      <c r="R1148" s="33"/>
      <c r="S1148" s="34"/>
      <c r="T1148" s="34"/>
      <c r="U1148" s="34"/>
      <c r="V1148" s="34"/>
      <c r="W1148" s="34"/>
      <c r="X1148" s="33" t="s">
        <v>1126</v>
      </c>
      <c r="Y1148" s="35" t="str">
        <f>IF(Tabela2[[#This Row],[SIGLA]]="","",VLOOKUP(Tabela2[[#This Row],[SIGLA]],Tabela1[[#All],[Sigla Arte]:[Crédito]],2,0))</f>
        <v>GUSTAVO CONTI/ARQUIVO DA EDITORA</v>
      </c>
      <c r="Z1148" s="31"/>
      <c r="AA1148" s="31" t="str">
        <f>Tabela2[[#This Row],[ILUSTRADOR CRIAÇÃO]]</f>
        <v>GUSTAVO CONTI/ARQUIVO DA EDITORA</v>
      </c>
      <c r="AB1148" s="33"/>
      <c r="AC1148" s="16"/>
      <c r="AE1148" s="35" t="str">
        <f t="shared" si="17"/>
        <v>EF1 E002 Mat</v>
      </c>
    </row>
    <row r="1149" spans="1:31" ht="45" x14ac:dyDescent="0.25">
      <c r="A1149" s="31" t="s">
        <v>2420</v>
      </c>
      <c r="B1149" s="16" t="s">
        <v>32</v>
      </c>
      <c r="C1149" s="16" t="s">
        <v>164</v>
      </c>
      <c r="D1149" s="33" t="s">
        <v>34</v>
      </c>
      <c r="E1149" s="33">
        <v>157</v>
      </c>
      <c r="F1149" s="33">
        <v>3</v>
      </c>
      <c r="G1149" s="33">
        <v>7</v>
      </c>
      <c r="H1149" s="33"/>
      <c r="I1149" s="31" t="s">
        <v>46</v>
      </c>
      <c r="J1149" s="31"/>
      <c r="K1149" s="33"/>
      <c r="L1149" s="33"/>
      <c r="M1149" s="31"/>
      <c r="N1149" s="31"/>
      <c r="O1149" s="16" t="s">
        <v>2421</v>
      </c>
      <c r="P1149" s="16"/>
      <c r="Q1149" s="16"/>
      <c r="R1149" s="33"/>
      <c r="S1149" s="34"/>
      <c r="T1149" s="34"/>
      <c r="U1149" s="34"/>
      <c r="V1149" s="34"/>
      <c r="W1149" s="34"/>
      <c r="X1149" s="33" t="s">
        <v>1126</v>
      </c>
      <c r="Y1149" s="35" t="str">
        <f>IF(Tabela2[[#This Row],[SIGLA]]="","",VLOOKUP(Tabela2[[#This Row],[SIGLA]],Tabela1[[#All],[Sigla Arte]:[Crédito]],2,0))</f>
        <v>GUSTAVO CONTI/ARQUIVO DA EDITORA</v>
      </c>
      <c r="Z1149" s="31"/>
      <c r="AA1149" s="31" t="str">
        <f>Tabela2[[#This Row],[ILUSTRADOR CRIAÇÃO]]</f>
        <v>GUSTAVO CONTI/ARQUIVO DA EDITORA</v>
      </c>
      <c r="AB1149" s="33"/>
      <c r="AC1149" s="16"/>
      <c r="AE1149" s="35" t="str">
        <f t="shared" si="17"/>
        <v>EF1 E002 Mat</v>
      </c>
    </row>
    <row r="1150" spans="1:31" ht="45" x14ac:dyDescent="0.25">
      <c r="A1150" s="31" t="s">
        <v>2422</v>
      </c>
      <c r="B1150" s="16" t="s">
        <v>32</v>
      </c>
      <c r="C1150" s="16" t="s">
        <v>164</v>
      </c>
      <c r="D1150" s="33" t="s">
        <v>34</v>
      </c>
      <c r="E1150" s="33">
        <v>157</v>
      </c>
      <c r="F1150" s="33">
        <v>3</v>
      </c>
      <c r="G1150" s="33">
        <v>7</v>
      </c>
      <c r="H1150" s="33"/>
      <c r="I1150" s="31" t="s">
        <v>46</v>
      </c>
      <c r="J1150" s="31"/>
      <c r="K1150" s="33"/>
      <c r="L1150" s="33"/>
      <c r="M1150" s="31"/>
      <c r="N1150" s="31"/>
      <c r="O1150" s="16" t="s">
        <v>2423</v>
      </c>
      <c r="P1150" s="16"/>
      <c r="Q1150" s="16"/>
      <c r="R1150" s="33"/>
      <c r="S1150" s="34"/>
      <c r="T1150" s="34"/>
      <c r="U1150" s="34"/>
      <c r="V1150" s="34"/>
      <c r="W1150" s="34"/>
      <c r="X1150" s="33" t="s">
        <v>1126</v>
      </c>
      <c r="Y1150" s="35" t="str">
        <f>IF(Tabela2[[#This Row],[SIGLA]]="","",VLOOKUP(Tabela2[[#This Row],[SIGLA]],Tabela1[[#All],[Sigla Arte]:[Crédito]],2,0))</f>
        <v>GUSTAVO CONTI/ARQUIVO DA EDITORA</v>
      </c>
      <c r="Z1150" s="31"/>
      <c r="AA1150" s="31" t="str">
        <f>Tabela2[[#This Row],[ILUSTRADOR CRIAÇÃO]]</f>
        <v>GUSTAVO CONTI/ARQUIVO DA EDITORA</v>
      </c>
      <c r="AB1150" s="33"/>
      <c r="AC1150" s="16"/>
      <c r="AE1150" s="35" t="str">
        <f t="shared" si="17"/>
        <v>EF1 E002 Mat</v>
      </c>
    </row>
    <row r="1151" spans="1:31" ht="45" x14ac:dyDescent="0.25">
      <c r="A1151" s="31" t="s">
        <v>2424</v>
      </c>
      <c r="B1151" s="16" t="s">
        <v>32</v>
      </c>
      <c r="C1151" s="16" t="s">
        <v>164</v>
      </c>
      <c r="D1151" s="33" t="s">
        <v>34</v>
      </c>
      <c r="E1151" s="33">
        <v>157</v>
      </c>
      <c r="F1151" s="33">
        <v>3</v>
      </c>
      <c r="G1151" s="33">
        <v>7</v>
      </c>
      <c r="H1151" s="33"/>
      <c r="I1151" s="31" t="s">
        <v>46</v>
      </c>
      <c r="J1151" s="31"/>
      <c r="K1151" s="33"/>
      <c r="L1151" s="33"/>
      <c r="M1151" s="31"/>
      <c r="N1151" s="31"/>
      <c r="O1151" s="16" t="s">
        <v>2425</v>
      </c>
      <c r="P1151" s="16"/>
      <c r="Q1151" s="16"/>
      <c r="R1151" s="33"/>
      <c r="S1151" s="34"/>
      <c r="T1151" s="34"/>
      <c r="U1151" s="34"/>
      <c r="V1151" s="34"/>
      <c r="W1151" s="34"/>
      <c r="X1151" s="33" t="s">
        <v>1126</v>
      </c>
      <c r="Y1151" s="35" t="str">
        <f>IF(Tabela2[[#This Row],[SIGLA]]="","",VLOOKUP(Tabela2[[#This Row],[SIGLA]],Tabela1[[#All],[Sigla Arte]:[Crédito]],2,0))</f>
        <v>GUSTAVO CONTI/ARQUIVO DA EDITORA</v>
      </c>
      <c r="Z1151" s="31"/>
      <c r="AA1151" s="31" t="str">
        <f>Tabela2[[#This Row],[ILUSTRADOR CRIAÇÃO]]</f>
        <v>GUSTAVO CONTI/ARQUIVO DA EDITORA</v>
      </c>
      <c r="AB1151" s="33"/>
      <c r="AC1151" s="16"/>
      <c r="AE1151" s="35" t="str">
        <f t="shared" si="17"/>
        <v>EF1 E002 Mat</v>
      </c>
    </row>
    <row r="1152" spans="1:31" ht="45" x14ac:dyDescent="0.25">
      <c r="A1152" s="31" t="s">
        <v>2426</v>
      </c>
      <c r="B1152" s="16" t="s">
        <v>32</v>
      </c>
      <c r="C1152" s="16" t="s">
        <v>164</v>
      </c>
      <c r="D1152" s="33" t="s">
        <v>34</v>
      </c>
      <c r="E1152" s="33">
        <v>157</v>
      </c>
      <c r="F1152" s="33">
        <v>3</v>
      </c>
      <c r="G1152" s="33">
        <v>7</v>
      </c>
      <c r="H1152" s="33"/>
      <c r="I1152" s="31" t="s">
        <v>46</v>
      </c>
      <c r="J1152" s="31"/>
      <c r="K1152" s="33"/>
      <c r="L1152" s="33"/>
      <c r="M1152" s="31"/>
      <c r="N1152" s="31"/>
      <c r="O1152" s="16" t="s">
        <v>2427</v>
      </c>
      <c r="P1152" s="16"/>
      <c r="Q1152" s="16"/>
      <c r="R1152" s="33"/>
      <c r="S1152" s="34"/>
      <c r="T1152" s="34"/>
      <c r="U1152" s="34"/>
      <c r="V1152" s="34"/>
      <c r="W1152" s="34"/>
      <c r="X1152" s="33" t="s">
        <v>1126</v>
      </c>
      <c r="Y1152" s="35" t="str">
        <f>IF(Tabela2[[#This Row],[SIGLA]]="","",VLOOKUP(Tabela2[[#This Row],[SIGLA]],Tabela1[[#All],[Sigla Arte]:[Crédito]],2,0))</f>
        <v>GUSTAVO CONTI/ARQUIVO DA EDITORA</v>
      </c>
      <c r="Z1152" s="31"/>
      <c r="AA1152" s="31" t="str">
        <f>Tabela2[[#This Row],[ILUSTRADOR CRIAÇÃO]]</f>
        <v>GUSTAVO CONTI/ARQUIVO DA EDITORA</v>
      </c>
      <c r="AB1152" s="33"/>
      <c r="AC1152" s="16"/>
      <c r="AE1152" s="35" t="str">
        <f t="shared" si="17"/>
        <v>EF1 E002 Mat</v>
      </c>
    </row>
    <row r="1153" spans="1:31" ht="45" x14ac:dyDescent="0.25">
      <c r="A1153" s="31" t="s">
        <v>2428</v>
      </c>
      <c r="B1153" s="16" t="s">
        <v>32</v>
      </c>
      <c r="C1153" s="16" t="s">
        <v>33</v>
      </c>
      <c r="D1153" s="33" t="s">
        <v>34</v>
      </c>
      <c r="E1153" s="33">
        <v>161</v>
      </c>
      <c r="F1153" s="33">
        <v>3</v>
      </c>
      <c r="G1153" s="33">
        <v>7</v>
      </c>
      <c r="H1153" s="33"/>
      <c r="I1153" s="31" t="s">
        <v>46</v>
      </c>
      <c r="J1153" s="31"/>
      <c r="K1153" s="33"/>
      <c r="L1153" s="33"/>
      <c r="M1153" s="31"/>
      <c r="N1153" s="31"/>
      <c r="O1153" s="16" t="s">
        <v>2429</v>
      </c>
      <c r="P1153" s="16"/>
      <c r="Q1153" s="16"/>
      <c r="R1153" s="33"/>
      <c r="S1153" s="34"/>
      <c r="T1153" s="34"/>
      <c r="U1153" s="34"/>
      <c r="V1153" s="34"/>
      <c r="W1153" s="34"/>
      <c r="X1153" s="33" t="s">
        <v>247</v>
      </c>
      <c r="Y1153" s="35" t="str">
        <f>IF(Tabela2[[#This Row],[SIGLA]]="","",VLOOKUP(Tabela2[[#This Row],[SIGLA]],Tabela1[[#All],[Sigla Arte]:[Crédito]],2,0))</f>
        <v>THAIS CASTRO/ARQUIVO DA EDITORA</v>
      </c>
      <c r="Z1153" s="31"/>
      <c r="AA1153" s="31" t="str">
        <f>Tabela2[[#This Row],[ILUSTRADOR CRIAÇÃO]]</f>
        <v>THAIS CASTRO/ARQUIVO DA EDITORA</v>
      </c>
      <c r="AB1153" s="33"/>
      <c r="AC1153" s="16"/>
      <c r="AE1153" s="35" t="str">
        <f t="shared" si="17"/>
        <v>EF1 E002 Mat</v>
      </c>
    </row>
    <row r="1154" spans="1:31" ht="30" x14ac:dyDescent="0.25">
      <c r="A1154" s="31" t="s">
        <v>2430</v>
      </c>
      <c r="B1154" s="16" t="s">
        <v>32</v>
      </c>
      <c r="C1154" s="16" t="s">
        <v>164</v>
      </c>
      <c r="D1154" s="33" t="s">
        <v>34</v>
      </c>
      <c r="E1154" s="33">
        <v>170</v>
      </c>
      <c r="F1154" s="33">
        <v>3</v>
      </c>
      <c r="G1154" s="33">
        <v>8</v>
      </c>
      <c r="H1154" s="33"/>
      <c r="I1154" s="31" t="s">
        <v>35</v>
      </c>
      <c r="J1154" s="31"/>
      <c r="K1154" s="33"/>
      <c r="L1154" s="33"/>
      <c r="M1154" s="31"/>
      <c r="N1154" s="31"/>
      <c r="O1154" s="16" t="s">
        <v>2431</v>
      </c>
      <c r="P1154" s="16"/>
      <c r="Q1154" s="16"/>
      <c r="R1154" s="33">
        <v>178</v>
      </c>
      <c r="S1154" s="34">
        <v>45924</v>
      </c>
      <c r="T1154" s="34">
        <v>45924</v>
      </c>
      <c r="U1154" s="34"/>
      <c r="V1154" s="34"/>
      <c r="W1154" s="34">
        <v>45924</v>
      </c>
      <c r="X1154" s="33" t="s">
        <v>1126</v>
      </c>
      <c r="Y1154" s="35" t="str">
        <f>IF(Tabela2[[#This Row],[SIGLA]]="","",VLOOKUP(Tabela2[[#This Row],[SIGLA]],Tabela1[[#All],[Sigla Arte]:[Crédito]],2,0))</f>
        <v>GUSTAVO CONTI/ARQUIVO DA EDITORA</v>
      </c>
      <c r="Z1154" s="31" t="s">
        <v>572</v>
      </c>
      <c r="AA1154" s="31" t="str">
        <f>Tabela2[[#This Row],[ILUSTRADOR CRIAÇÃO]]</f>
        <v>GUSTAVO CONTI/ARQUIVO DA EDITORA</v>
      </c>
      <c r="AB1154" s="33">
        <v>13</v>
      </c>
      <c r="AC1154" s="16" t="s">
        <v>44</v>
      </c>
      <c r="AD1154" s="16" t="s">
        <v>40</v>
      </c>
      <c r="AE1154" s="35" t="str">
        <f t="shared" ref="AE1154:AE1217" si="18">"EF1 E002 Mat"</f>
        <v>EF1 E002 Mat</v>
      </c>
    </row>
    <row r="1155" spans="1:31" ht="30" x14ac:dyDescent="0.25">
      <c r="A1155" s="31" t="s">
        <v>2432</v>
      </c>
      <c r="B1155" s="16" t="s">
        <v>401</v>
      </c>
      <c r="C1155" s="16" t="s">
        <v>164</v>
      </c>
      <c r="D1155" s="33" t="s">
        <v>34</v>
      </c>
      <c r="E1155" s="33">
        <v>171</v>
      </c>
      <c r="F1155" s="33">
        <v>3</v>
      </c>
      <c r="G1155" s="33">
        <v>8</v>
      </c>
      <c r="H1155" s="33"/>
      <c r="I1155" s="31" t="s">
        <v>46</v>
      </c>
      <c r="J1155" s="31"/>
      <c r="K1155" s="33"/>
      <c r="L1155" s="33"/>
      <c r="M1155" s="31"/>
      <c r="N1155" s="31"/>
      <c r="O1155" s="16" t="s">
        <v>2433</v>
      </c>
      <c r="P1155" s="16"/>
      <c r="Q1155" s="16"/>
      <c r="R1155" s="33"/>
      <c r="S1155" s="34"/>
      <c r="T1155" s="34"/>
      <c r="U1155" s="34"/>
      <c r="V1155" s="34"/>
      <c r="W1155" s="34"/>
      <c r="X1155" s="33" t="s">
        <v>1126</v>
      </c>
      <c r="Y1155" s="35" t="str">
        <f>IF(Tabela2[[#This Row],[SIGLA]]="","",VLOOKUP(Tabela2[[#This Row],[SIGLA]],Tabela1[[#All],[Sigla Arte]:[Crédito]],2,0))</f>
        <v>GUSTAVO CONTI/ARQUIVO DA EDITORA</v>
      </c>
      <c r="Z1155" s="31"/>
      <c r="AA1155" s="31" t="str">
        <f>Tabela2[[#This Row],[ILUSTRADOR CRIAÇÃO]]</f>
        <v>GUSTAVO CONTI/ARQUIVO DA EDITORA</v>
      </c>
      <c r="AB1155" s="33"/>
      <c r="AC1155" s="16"/>
      <c r="AE1155" s="35" t="str">
        <f t="shared" si="18"/>
        <v>EF1 E002 Mat</v>
      </c>
    </row>
    <row r="1156" spans="1:31" ht="30" x14ac:dyDescent="0.25">
      <c r="A1156" s="31" t="s">
        <v>2434</v>
      </c>
      <c r="B1156" s="16" t="s">
        <v>401</v>
      </c>
      <c r="C1156" s="16" t="s">
        <v>164</v>
      </c>
      <c r="D1156" s="33" t="s">
        <v>34</v>
      </c>
      <c r="E1156" s="33">
        <v>172</v>
      </c>
      <c r="F1156" s="33">
        <v>3</v>
      </c>
      <c r="G1156" s="33">
        <v>8</v>
      </c>
      <c r="H1156" s="33"/>
      <c r="I1156" s="31" t="s">
        <v>46</v>
      </c>
      <c r="J1156" s="31"/>
      <c r="K1156" s="33"/>
      <c r="L1156" s="33"/>
      <c r="M1156" s="31"/>
      <c r="N1156" s="31"/>
      <c r="O1156" s="16" t="s">
        <v>2435</v>
      </c>
      <c r="P1156" s="16"/>
      <c r="Q1156" s="16"/>
      <c r="R1156" s="33"/>
      <c r="S1156" s="34"/>
      <c r="T1156" s="34"/>
      <c r="U1156" s="34"/>
      <c r="V1156" s="34"/>
      <c r="W1156" s="34"/>
      <c r="X1156" s="33" t="s">
        <v>1126</v>
      </c>
      <c r="Y1156" s="35" t="str">
        <f>IF(Tabela2[[#This Row],[SIGLA]]="","",VLOOKUP(Tabela2[[#This Row],[SIGLA]],Tabela1[[#All],[Sigla Arte]:[Crédito]],2,0))</f>
        <v>GUSTAVO CONTI/ARQUIVO DA EDITORA</v>
      </c>
      <c r="Z1156" s="31"/>
      <c r="AA1156" s="31" t="str">
        <f>Tabela2[[#This Row],[ILUSTRADOR CRIAÇÃO]]</f>
        <v>GUSTAVO CONTI/ARQUIVO DA EDITORA</v>
      </c>
      <c r="AB1156" s="33"/>
      <c r="AC1156" s="16"/>
      <c r="AE1156" s="35" t="str">
        <f t="shared" si="18"/>
        <v>EF1 E002 Mat</v>
      </c>
    </row>
    <row r="1157" spans="1:31" ht="30" x14ac:dyDescent="0.25">
      <c r="A1157" s="31" t="s">
        <v>2436</v>
      </c>
      <c r="B1157" s="16" t="s">
        <v>32</v>
      </c>
      <c r="C1157" s="16" t="s">
        <v>164</v>
      </c>
      <c r="D1157" s="33" t="s">
        <v>34</v>
      </c>
      <c r="E1157" s="33">
        <v>173</v>
      </c>
      <c r="F1157" s="33">
        <v>3</v>
      </c>
      <c r="G1157" s="33">
        <v>8</v>
      </c>
      <c r="H1157" s="33"/>
      <c r="I1157" s="31" t="s">
        <v>46</v>
      </c>
      <c r="J1157" s="31"/>
      <c r="K1157" s="33"/>
      <c r="L1157" s="33"/>
      <c r="M1157" s="31"/>
      <c r="N1157" s="31"/>
      <c r="O1157" s="16" t="s">
        <v>2437</v>
      </c>
      <c r="P1157" s="16"/>
      <c r="Q1157" s="16"/>
      <c r="R1157" s="33">
        <v>178</v>
      </c>
      <c r="S1157" s="34">
        <v>45924</v>
      </c>
      <c r="T1157" s="34">
        <v>45924</v>
      </c>
      <c r="U1157" s="34"/>
      <c r="V1157" s="34"/>
      <c r="W1157" s="34">
        <v>45924</v>
      </c>
      <c r="X1157" s="33" t="s">
        <v>1126</v>
      </c>
      <c r="Y1157" s="35" t="str">
        <f>IF(Tabela2[[#This Row],[SIGLA]]="","",VLOOKUP(Tabela2[[#This Row],[SIGLA]],Tabela1[[#All],[Sigla Arte]:[Crédito]],2,0))</f>
        <v>GUSTAVO CONTI/ARQUIVO DA EDITORA</v>
      </c>
      <c r="Z1157" s="31" t="s">
        <v>572</v>
      </c>
      <c r="AA1157" s="31" t="str">
        <f>Tabela2[[#This Row],[ILUSTRADOR CRIAÇÃO]]</f>
        <v>GUSTAVO CONTI/ARQUIVO DA EDITORA</v>
      </c>
      <c r="AB1157" s="33">
        <v>13</v>
      </c>
      <c r="AC1157" s="16" t="s">
        <v>44</v>
      </c>
      <c r="AD1157" s="16" t="s">
        <v>40</v>
      </c>
      <c r="AE1157" s="35" t="str">
        <f t="shared" si="18"/>
        <v>EF1 E002 Mat</v>
      </c>
    </row>
    <row r="1158" spans="1:31" ht="30" x14ac:dyDescent="0.25">
      <c r="A1158" s="31" t="s">
        <v>2438</v>
      </c>
      <c r="B1158" s="16" t="s">
        <v>32</v>
      </c>
      <c r="C1158" s="16" t="s">
        <v>33</v>
      </c>
      <c r="D1158" s="33" t="s">
        <v>34</v>
      </c>
      <c r="E1158" s="33">
        <v>175</v>
      </c>
      <c r="F1158" s="33">
        <v>3</v>
      </c>
      <c r="G1158" s="33">
        <v>8</v>
      </c>
      <c r="H1158" s="33"/>
      <c r="I1158" s="31" t="s">
        <v>46</v>
      </c>
      <c r="J1158" s="31"/>
      <c r="K1158" s="33"/>
      <c r="L1158" s="33"/>
      <c r="M1158" s="31"/>
      <c r="N1158" s="31"/>
      <c r="O1158" s="16" t="s">
        <v>2439</v>
      </c>
      <c r="P1158" s="16"/>
      <c r="Q1158" s="16"/>
      <c r="R1158" s="33"/>
      <c r="S1158" s="34"/>
      <c r="T1158" s="34"/>
      <c r="U1158" s="34"/>
      <c r="V1158" s="34"/>
      <c r="W1158" s="34"/>
      <c r="X1158" s="33" t="s">
        <v>162</v>
      </c>
      <c r="Y1158" s="35" t="str">
        <f>IF(Tabela2[[#This Row],[SIGLA]]="","",VLOOKUP(Tabela2[[#This Row],[SIGLA]],Tabela1[[#All],[Sigla Arte]:[Crédito]],2,0))</f>
        <v>IVY NUNES/ARQUIVO DA EDITORA</v>
      </c>
      <c r="Z1158" s="31"/>
      <c r="AA1158" s="31" t="str">
        <f>Tabela2[[#This Row],[ILUSTRADOR CRIAÇÃO]]</f>
        <v>IVY NUNES/ARQUIVO DA EDITORA</v>
      </c>
      <c r="AB1158" s="33"/>
      <c r="AC1158" s="16"/>
      <c r="AE1158" s="35" t="str">
        <f t="shared" si="18"/>
        <v>EF1 E002 Mat</v>
      </c>
    </row>
    <row r="1159" spans="1:31" ht="60" x14ac:dyDescent="0.25">
      <c r="A1159" s="31" t="s">
        <v>2440</v>
      </c>
      <c r="B1159" s="16" t="s">
        <v>32</v>
      </c>
      <c r="C1159" s="16" t="s">
        <v>33</v>
      </c>
      <c r="D1159" s="33" t="s">
        <v>34</v>
      </c>
      <c r="E1159" s="33">
        <v>176</v>
      </c>
      <c r="F1159" s="33">
        <v>3</v>
      </c>
      <c r="G1159" s="33">
        <v>8</v>
      </c>
      <c r="H1159" s="33"/>
      <c r="I1159" s="31" t="s">
        <v>35</v>
      </c>
      <c r="J1159" s="31"/>
      <c r="K1159" s="33"/>
      <c r="L1159" s="33"/>
      <c r="M1159" s="31"/>
      <c r="N1159" s="31"/>
      <c r="O1159" s="16" t="s">
        <v>2441</v>
      </c>
      <c r="P1159" s="16"/>
      <c r="Q1159" s="16"/>
      <c r="R1159" s="33">
        <v>97</v>
      </c>
      <c r="S1159" s="34">
        <v>45870</v>
      </c>
      <c r="T1159" s="34">
        <v>45877</v>
      </c>
      <c r="U1159" s="34"/>
      <c r="V1159" s="34"/>
      <c r="W1159" s="34">
        <v>45877</v>
      </c>
      <c r="X1159" s="33" t="s">
        <v>1126</v>
      </c>
      <c r="Y1159" s="35" t="str">
        <f>IF(Tabela2[[#This Row],[SIGLA]]="","",VLOOKUP(Tabela2[[#This Row],[SIGLA]],Tabela1[[#All],[Sigla Arte]:[Crédito]],2,0))</f>
        <v>GUSTAVO CONTI/ARQUIVO DA EDITORA</v>
      </c>
      <c r="Z1159" s="31" t="s">
        <v>101</v>
      </c>
      <c r="AA1159" s="31" t="str">
        <f>Tabela2[[#This Row],[ILUSTRADOR CRIAÇÃO]]</f>
        <v>GUSTAVO CONTI/ARQUIVO DA EDITORA</v>
      </c>
      <c r="AB1159" s="33">
        <v>14</v>
      </c>
      <c r="AC1159" s="16" t="s">
        <v>102</v>
      </c>
      <c r="AD1159" s="16" t="s">
        <v>40</v>
      </c>
      <c r="AE1159" s="35" t="str">
        <f t="shared" si="18"/>
        <v>EF1 E002 Mat</v>
      </c>
    </row>
    <row r="1160" spans="1:31" ht="30" x14ac:dyDescent="0.25">
      <c r="A1160" s="31" t="s">
        <v>2442</v>
      </c>
      <c r="B1160" s="16" t="s">
        <v>32</v>
      </c>
      <c r="C1160" s="16" t="s">
        <v>33</v>
      </c>
      <c r="D1160" s="33" t="s">
        <v>34</v>
      </c>
      <c r="E1160" s="33">
        <v>183</v>
      </c>
      <c r="F1160" s="33">
        <v>3</v>
      </c>
      <c r="G1160" s="33">
        <v>9</v>
      </c>
      <c r="H1160" s="33"/>
      <c r="I1160" s="31" t="s">
        <v>46</v>
      </c>
      <c r="J1160" s="31"/>
      <c r="K1160" s="33"/>
      <c r="L1160" s="33"/>
      <c r="M1160" s="31"/>
      <c r="N1160" s="31"/>
      <c r="O1160" s="16" t="s">
        <v>2443</v>
      </c>
      <c r="P1160" s="16"/>
      <c r="Q1160" s="16"/>
      <c r="R1160" s="33"/>
      <c r="S1160" s="34"/>
      <c r="T1160" s="34"/>
      <c r="U1160" s="34"/>
      <c r="V1160" s="34"/>
      <c r="W1160" s="34"/>
      <c r="X1160" s="33" t="s">
        <v>162</v>
      </c>
      <c r="Y1160" s="35" t="str">
        <f>IF(Tabela2[[#This Row],[SIGLA]]="","",VLOOKUP(Tabela2[[#This Row],[SIGLA]],Tabela1[[#All],[Sigla Arte]:[Crédito]],2,0))</f>
        <v>IVY NUNES/ARQUIVO DA EDITORA</v>
      </c>
      <c r="Z1160" s="31"/>
      <c r="AA1160" s="31" t="str">
        <f>Tabela2[[#This Row],[ILUSTRADOR CRIAÇÃO]]</f>
        <v>IVY NUNES/ARQUIVO DA EDITORA</v>
      </c>
      <c r="AB1160" s="33"/>
      <c r="AC1160" s="16"/>
      <c r="AE1160" s="35" t="str">
        <f t="shared" si="18"/>
        <v>EF1 E002 Mat</v>
      </c>
    </row>
    <row r="1161" spans="1:31" ht="30" x14ac:dyDescent="0.25">
      <c r="A1161" s="31" t="s">
        <v>2444</v>
      </c>
      <c r="B1161" s="16" t="s">
        <v>32</v>
      </c>
      <c r="C1161" s="16" t="s">
        <v>33</v>
      </c>
      <c r="D1161" s="33" t="s">
        <v>34</v>
      </c>
      <c r="E1161" s="33">
        <v>183</v>
      </c>
      <c r="F1161" s="33">
        <v>3</v>
      </c>
      <c r="G1161" s="33">
        <v>9</v>
      </c>
      <c r="H1161" s="33"/>
      <c r="I1161" s="31" t="s">
        <v>35</v>
      </c>
      <c r="J1161" s="31"/>
      <c r="K1161" s="33"/>
      <c r="L1161" s="33"/>
      <c r="M1161" s="31"/>
      <c r="N1161" s="31"/>
      <c r="O1161" s="16" t="s">
        <v>2445</v>
      </c>
      <c r="P1161" s="16"/>
      <c r="Q1161" s="16"/>
      <c r="R1161" s="33">
        <v>184</v>
      </c>
      <c r="S1161" s="34">
        <v>45937</v>
      </c>
      <c r="T1161" s="34">
        <v>45937</v>
      </c>
      <c r="U1161" s="34"/>
      <c r="V1161" s="34"/>
      <c r="W1161" s="34">
        <v>45937</v>
      </c>
      <c r="X1161" s="33" t="s">
        <v>162</v>
      </c>
      <c r="Y1161" s="35" t="str">
        <f>IF(Tabela2[[#This Row],[SIGLA]]="","",VLOOKUP(Tabela2[[#This Row],[SIGLA]],Tabela1[[#All],[Sigla Arte]:[Crédito]],2,0))</f>
        <v>IVY NUNES/ARQUIVO DA EDITORA</v>
      </c>
      <c r="Z1161" s="31" t="s">
        <v>368</v>
      </c>
      <c r="AA1161" s="31" t="str">
        <f>Tabela2[[#This Row],[ILUSTRADOR CRIAÇÃO]]</f>
        <v>IVY NUNES/ARQUIVO DA EDITORA</v>
      </c>
      <c r="AB1161" s="33">
        <v>13</v>
      </c>
      <c r="AC1161" s="16" t="s">
        <v>39</v>
      </c>
      <c r="AD1161" s="16" t="s">
        <v>40</v>
      </c>
      <c r="AE1161" s="35" t="str">
        <f t="shared" si="18"/>
        <v>EF1 E002 Mat</v>
      </c>
    </row>
    <row r="1162" spans="1:31" ht="30" x14ac:dyDescent="0.25">
      <c r="A1162" s="31" t="s">
        <v>2446</v>
      </c>
      <c r="B1162" s="16" t="s">
        <v>32</v>
      </c>
      <c r="C1162" s="16" t="s">
        <v>33</v>
      </c>
      <c r="D1162" s="33" t="s">
        <v>34</v>
      </c>
      <c r="E1162" s="33">
        <v>184</v>
      </c>
      <c r="F1162" s="33">
        <v>3</v>
      </c>
      <c r="G1162" s="33">
        <v>9</v>
      </c>
      <c r="H1162" s="33"/>
      <c r="I1162" s="31" t="s">
        <v>46</v>
      </c>
      <c r="J1162" s="31"/>
      <c r="K1162" s="33"/>
      <c r="L1162" s="33"/>
      <c r="M1162" s="31"/>
      <c r="N1162" s="31"/>
      <c r="O1162" s="16" t="s">
        <v>2447</v>
      </c>
      <c r="P1162" s="16"/>
      <c r="Q1162" s="16"/>
      <c r="R1162" s="33"/>
      <c r="S1162" s="34"/>
      <c r="T1162" s="34"/>
      <c r="U1162" s="34"/>
      <c r="V1162" s="34"/>
      <c r="W1162" s="34"/>
      <c r="X1162" s="33" t="s">
        <v>162</v>
      </c>
      <c r="Y1162" s="35" t="str">
        <f>IF(Tabela2[[#This Row],[SIGLA]]="","",VLOOKUP(Tabela2[[#This Row],[SIGLA]],Tabela1[[#All],[Sigla Arte]:[Crédito]],2,0))</f>
        <v>IVY NUNES/ARQUIVO DA EDITORA</v>
      </c>
      <c r="Z1162" s="31"/>
      <c r="AA1162" s="31" t="str">
        <f>Tabela2[[#This Row],[ILUSTRADOR CRIAÇÃO]]</f>
        <v>IVY NUNES/ARQUIVO DA EDITORA</v>
      </c>
      <c r="AB1162" s="33"/>
      <c r="AC1162" s="16"/>
      <c r="AE1162" s="35" t="str">
        <f t="shared" si="18"/>
        <v>EF1 E002 Mat</v>
      </c>
    </row>
    <row r="1163" spans="1:31" ht="45" x14ac:dyDescent="0.25">
      <c r="A1163" s="31" t="s">
        <v>2448</v>
      </c>
      <c r="B1163" s="16" t="s">
        <v>32</v>
      </c>
      <c r="C1163" s="16" t="s">
        <v>33</v>
      </c>
      <c r="D1163" s="33" t="s">
        <v>34</v>
      </c>
      <c r="E1163" s="33">
        <v>185</v>
      </c>
      <c r="F1163" s="33">
        <v>3</v>
      </c>
      <c r="G1163" s="33">
        <v>9</v>
      </c>
      <c r="H1163" s="33"/>
      <c r="I1163" s="31" t="s">
        <v>46</v>
      </c>
      <c r="J1163" s="31"/>
      <c r="K1163" s="33"/>
      <c r="L1163" s="33"/>
      <c r="M1163" s="31"/>
      <c r="N1163" s="31"/>
      <c r="O1163" s="16" t="s">
        <v>2449</v>
      </c>
      <c r="P1163" s="16"/>
      <c r="Q1163" s="16"/>
      <c r="R1163" s="33"/>
      <c r="S1163" s="34"/>
      <c r="T1163" s="34"/>
      <c r="U1163" s="34"/>
      <c r="V1163" s="34"/>
      <c r="W1163" s="34"/>
      <c r="X1163" s="33" t="s">
        <v>162</v>
      </c>
      <c r="Y1163" s="35" t="str">
        <f>IF(Tabela2[[#This Row],[SIGLA]]="","",VLOOKUP(Tabela2[[#This Row],[SIGLA]],Tabela1[[#All],[Sigla Arte]:[Crédito]],2,0))</f>
        <v>IVY NUNES/ARQUIVO DA EDITORA</v>
      </c>
      <c r="Z1163" s="31"/>
      <c r="AA1163" s="31" t="str">
        <f>Tabela2[[#This Row],[ILUSTRADOR CRIAÇÃO]]</f>
        <v>IVY NUNES/ARQUIVO DA EDITORA</v>
      </c>
      <c r="AB1163" s="33"/>
      <c r="AC1163" s="16"/>
      <c r="AE1163" s="35" t="str">
        <f t="shared" si="18"/>
        <v>EF1 E002 Mat</v>
      </c>
    </row>
    <row r="1164" spans="1:31" ht="30" x14ac:dyDescent="0.25">
      <c r="A1164" s="31" t="s">
        <v>2450</v>
      </c>
      <c r="B1164" s="16" t="s">
        <v>32</v>
      </c>
      <c r="C1164" s="16" t="s">
        <v>33</v>
      </c>
      <c r="D1164" s="33" t="s">
        <v>34</v>
      </c>
      <c r="E1164" s="33">
        <v>185</v>
      </c>
      <c r="F1164" s="33">
        <v>3</v>
      </c>
      <c r="G1164" s="33">
        <v>9</v>
      </c>
      <c r="H1164" s="33"/>
      <c r="I1164" s="31" t="s">
        <v>35</v>
      </c>
      <c r="J1164" s="31"/>
      <c r="K1164" s="33"/>
      <c r="L1164" s="33"/>
      <c r="M1164" s="31"/>
      <c r="N1164" s="31"/>
      <c r="O1164" s="16" t="s">
        <v>2451</v>
      </c>
      <c r="P1164" s="16"/>
      <c r="Q1164" s="16"/>
      <c r="R1164" s="33">
        <v>184</v>
      </c>
      <c r="S1164" s="34">
        <v>45937</v>
      </c>
      <c r="T1164" s="34">
        <v>45937</v>
      </c>
      <c r="U1164" s="34"/>
      <c r="V1164" s="34"/>
      <c r="W1164" s="34">
        <v>45937</v>
      </c>
      <c r="X1164" s="33" t="s">
        <v>85</v>
      </c>
      <c r="Y1164" s="35" t="str">
        <f>IF(Tabela2[[#This Row],[SIGLA]]="","",VLOOKUP(Tabela2[[#This Row],[SIGLA]],Tabela1[[#All],[Sigla Arte]:[Crédito]],2,0))</f>
        <v>HELOÍSA PINTARELLI/ARQUIVO DA EDITORA</v>
      </c>
      <c r="Z1164" s="31" t="s">
        <v>368</v>
      </c>
      <c r="AA1164" s="31" t="str">
        <f>Tabela2[[#This Row],[ILUSTRADOR CRIAÇÃO]]</f>
        <v>HELOÍSA PINTARELLI/ARQUIVO DA EDITORA</v>
      </c>
      <c r="AB1164" s="33">
        <v>13</v>
      </c>
      <c r="AC1164" s="16" t="s">
        <v>39</v>
      </c>
      <c r="AD1164" s="16" t="s">
        <v>40</v>
      </c>
      <c r="AE1164" s="35" t="str">
        <f t="shared" si="18"/>
        <v>EF1 E002 Mat</v>
      </c>
    </row>
    <row r="1165" spans="1:31" ht="60" x14ac:dyDescent="0.25">
      <c r="A1165" s="31" t="s">
        <v>2452</v>
      </c>
      <c r="B1165" s="16" t="s">
        <v>32</v>
      </c>
      <c r="C1165" s="16" t="s">
        <v>33</v>
      </c>
      <c r="D1165" s="33" t="s">
        <v>34</v>
      </c>
      <c r="E1165" s="33">
        <v>186</v>
      </c>
      <c r="F1165" s="33">
        <v>3</v>
      </c>
      <c r="G1165" s="33">
        <v>9</v>
      </c>
      <c r="H1165" s="33"/>
      <c r="I1165" s="31" t="s">
        <v>35</v>
      </c>
      <c r="J1165" s="31"/>
      <c r="K1165" s="33"/>
      <c r="L1165" s="33"/>
      <c r="M1165" s="31"/>
      <c r="N1165" s="31"/>
      <c r="O1165" s="16" t="s">
        <v>2453</v>
      </c>
      <c r="P1165" s="16"/>
      <c r="Q1165" s="16"/>
      <c r="R1165" s="33">
        <v>28</v>
      </c>
      <c r="S1165" s="34">
        <v>45764</v>
      </c>
      <c r="T1165" s="34">
        <v>45769</v>
      </c>
      <c r="U1165" s="34"/>
      <c r="V1165" s="34"/>
      <c r="W1165" s="34">
        <v>45769</v>
      </c>
      <c r="X1165" s="33" t="s">
        <v>85</v>
      </c>
      <c r="Y1165" s="35" t="str">
        <f>IF(Tabela2[[#This Row],[SIGLA]]="","",VLOOKUP(Tabela2[[#This Row],[SIGLA]],Tabela1[[#All],[Sigla Arte]:[Crédito]],2,0))</f>
        <v>HELOÍSA PINTARELLI/ARQUIVO DA EDITORA</v>
      </c>
      <c r="Z1165" s="31" t="s">
        <v>352</v>
      </c>
      <c r="AA1165" s="31" t="str">
        <f>Tabela2[[#This Row],[ILUSTRADOR CRIAÇÃO]]</f>
        <v>HELOÍSA PINTARELLI/ARQUIVO DA EDITORA</v>
      </c>
      <c r="AB1165" s="33">
        <v>13</v>
      </c>
      <c r="AC1165" s="16" t="s">
        <v>39</v>
      </c>
      <c r="AD1165" s="16" t="s">
        <v>40</v>
      </c>
      <c r="AE1165" s="35" t="str">
        <f t="shared" si="18"/>
        <v>EF1 E002 Mat</v>
      </c>
    </row>
    <row r="1166" spans="1:31" ht="90" x14ac:dyDescent="0.25">
      <c r="A1166" s="31" t="s">
        <v>2454</v>
      </c>
      <c r="B1166" s="16" t="s">
        <v>32</v>
      </c>
      <c r="C1166" s="16" t="s">
        <v>33</v>
      </c>
      <c r="D1166" s="33" t="s">
        <v>34</v>
      </c>
      <c r="E1166" s="33">
        <v>186</v>
      </c>
      <c r="F1166" s="33">
        <v>3</v>
      </c>
      <c r="G1166" s="33">
        <v>9</v>
      </c>
      <c r="H1166" s="33"/>
      <c r="I1166" s="31" t="s">
        <v>35</v>
      </c>
      <c r="J1166" s="31"/>
      <c r="K1166" s="33"/>
      <c r="L1166" s="33"/>
      <c r="M1166" s="31"/>
      <c r="N1166" s="31"/>
      <c r="O1166" s="16" t="s">
        <v>2455</v>
      </c>
      <c r="P1166" s="16"/>
      <c r="Q1166" s="16"/>
      <c r="R1166" s="33">
        <v>28</v>
      </c>
      <c r="S1166" s="34">
        <v>45764</v>
      </c>
      <c r="T1166" s="34">
        <v>45769</v>
      </c>
      <c r="U1166" s="34"/>
      <c r="V1166" s="34"/>
      <c r="W1166" s="34">
        <v>45769</v>
      </c>
      <c r="X1166" s="33" t="s">
        <v>85</v>
      </c>
      <c r="Y1166" s="35" t="str">
        <f>IF(Tabela2[[#This Row],[SIGLA]]="","",VLOOKUP(Tabela2[[#This Row],[SIGLA]],Tabela1[[#All],[Sigla Arte]:[Crédito]],2,0))</f>
        <v>HELOÍSA PINTARELLI/ARQUIVO DA EDITORA</v>
      </c>
      <c r="Z1166" s="31" t="s">
        <v>352</v>
      </c>
      <c r="AA1166" s="31" t="str">
        <f>Tabela2[[#This Row],[ILUSTRADOR CRIAÇÃO]]</f>
        <v>HELOÍSA PINTARELLI/ARQUIVO DA EDITORA</v>
      </c>
      <c r="AB1166" s="33">
        <v>13</v>
      </c>
      <c r="AC1166" s="16" t="s">
        <v>39</v>
      </c>
      <c r="AD1166" s="16" t="s">
        <v>40</v>
      </c>
      <c r="AE1166" s="35" t="str">
        <f t="shared" si="18"/>
        <v>EF1 E002 Mat</v>
      </c>
    </row>
    <row r="1167" spans="1:31" ht="60" x14ac:dyDescent="0.25">
      <c r="A1167" s="31" t="s">
        <v>2456</v>
      </c>
      <c r="B1167" s="16" t="s">
        <v>32</v>
      </c>
      <c r="C1167" s="16" t="s">
        <v>33</v>
      </c>
      <c r="D1167" s="33" t="s">
        <v>34</v>
      </c>
      <c r="E1167" s="33">
        <v>187</v>
      </c>
      <c r="F1167" s="33">
        <v>3</v>
      </c>
      <c r="G1167" s="33">
        <v>9</v>
      </c>
      <c r="H1167" s="33"/>
      <c r="I1167" s="31" t="s">
        <v>35</v>
      </c>
      <c r="J1167" s="31"/>
      <c r="K1167" s="33"/>
      <c r="L1167" s="33"/>
      <c r="M1167" s="31"/>
      <c r="N1167" s="31"/>
      <c r="O1167" s="16" t="s">
        <v>2457</v>
      </c>
      <c r="P1167" s="16"/>
      <c r="Q1167" s="16"/>
      <c r="R1167" s="33">
        <v>103</v>
      </c>
      <c r="S1167" s="34">
        <v>45880</v>
      </c>
      <c r="T1167" s="34">
        <v>45880</v>
      </c>
      <c r="U1167" s="34"/>
      <c r="V1167" s="34"/>
      <c r="W1167" s="34">
        <v>45881</v>
      </c>
      <c r="X1167" s="33" t="s">
        <v>85</v>
      </c>
      <c r="Y1167" s="35" t="str">
        <f>IF(Tabela2[[#This Row],[SIGLA]]="","",VLOOKUP(Tabela2[[#This Row],[SIGLA]],Tabela1[[#All],[Sigla Arte]:[Crédito]],2,0))</f>
        <v>HELOÍSA PINTARELLI/ARQUIVO DA EDITORA</v>
      </c>
      <c r="Z1167" s="31" t="s">
        <v>352</v>
      </c>
      <c r="AA1167" s="31" t="str">
        <f>Tabela2[[#This Row],[ILUSTRADOR CRIAÇÃO]]</f>
        <v>HELOÍSA PINTARELLI/ARQUIVO DA EDITORA</v>
      </c>
      <c r="AB1167" s="33">
        <v>14</v>
      </c>
      <c r="AC1167" s="16" t="s">
        <v>39</v>
      </c>
      <c r="AD1167" s="16" t="s">
        <v>40</v>
      </c>
      <c r="AE1167" s="35" t="str">
        <f t="shared" si="18"/>
        <v>EF1 E002 Mat</v>
      </c>
    </row>
    <row r="1168" spans="1:31" ht="45" x14ac:dyDescent="0.25">
      <c r="A1168" s="31" t="s">
        <v>2458</v>
      </c>
      <c r="B1168" s="16" t="s">
        <v>32</v>
      </c>
      <c r="C1168" s="16" t="s">
        <v>33</v>
      </c>
      <c r="D1168" s="33" t="s">
        <v>34</v>
      </c>
      <c r="E1168" s="33">
        <v>187</v>
      </c>
      <c r="F1168" s="33">
        <v>3</v>
      </c>
      <c r="G1168" s="33">
        <v>9</v>
      </c>
      <c r="H1168" s="33"/>
      <c r="I1168" s="31" t="s">
        <v>46</v>
      </c>
      <c r="J1168" s="31"/>
      <c r="K1168" s="33"/>
      <c r="L1168" s="33"/>
      <c r="M1168" s="31"/>
      <c r="N1168" s="31"/>
      <c r="O1168" s="16" t="s">
        <v>2459</v>
      </c>
      <c r="P1168" s="16"/>
      <c r="Q1168" s="16"/>
      <c r="R1168" s="33"/>
      <c r="S1168" s="34"/>
      <c r="T1168" s="34"/>
      <c r="U1168" s="34"/>
      <c r="V1168" s="34"/>
      <c r="W1168" s="34"/>
      <c r="X1168" s="33" t="s">
        <v>85</v>
      </c>
      <c r="Y1168" s="35" t="str">
        <f>IF(Tabela2[[#This Row],[SIGLA]]="","",VLOOKUP(Tabela2[[#This Row],[SIGLA]],Tabela1[[#All],[Sigla Arte]:[Crédito]],2,0))</f>
        <v>HELOÍSA PINTARELLI/ARQUIVO DA EDITORA</v>
      </c>
      <c r="Z1168" s="31"/>
      <c r="AA1168" s="31" t="str">
        <f>Tabela2[[#This Row],[ILUSTRADOR CRIAÇÃO]]</f>
        <v>HELOÍSA PINTARELLI/ARQUIVO DA EDITORA</v>
      </c>
      <c r="AB1168" s="33"/>
      <c r="AC1168" s="16"/>
      <c r="AE1168" s="35" t="str">
        <f t="shared" si="18"/>
        <v>EF1 E002 Mat</v>
      </c>
    </row>
    <row r="1169" spans="1:31" ht="45" x14ac:dyDescent="0.25">
      <c r="A1169" s="31" t="s">
        <v>2460</v>
      </c>
      <c r="B1169" s="16" t="s">
        <v>32</v>
      </c>
      <c r="C1169" s="16" t="s">
        <v>33</v>
      </c>
      <c r="D1169" s="33" t="s">
        <v>34</v>
      </c>
      <c r="E1169" s="33">
        <v>187</v>
      </c>
      <c r="F1169" s="33">
        <v>3</v>
      </c>
      <c r="G1169" s="33">
        <v>9</v>
      </c>
      <c r="H1169" s="33"/>
      <c r="I1169" s="31" t="s">
        <v>46</v>
      </c>
      <c r="J1169" s="31"/>
      <c r="K1169" s="33"/>
      <c r="L1169" s="33"/>
      <c r="M1169" s="31"/>
      <c r="N1169" s="31"/>
      <c r="O1169" s="16" t="s">
        <v>2461</v>
      </c>
      <c r="P1169" s="16"/>
      <c r="Q1169" s="16"/>
      <c r="R1169" s="33"/>
      <c r="S1169" s="34"/>
      <c r="T1169" s="34"/>
      <c r="U1169" s="34"/>
      <c r="V1169" s="34"/>
      <c r="W1169" s="34"/>
      <c r="X1169" s="33" t="s">
        <v>85</v>
      </c>
      <c r="Y1169" s="35" t="str">
        <f>IF(Tabela2[[#This Row],[SIGLA]]="","",VLOOKUP(Tabela2[[#This Row],[SIGLA]],Tabela1[[#All],[Sigla Arte]:[Crédito]],2,0))</f>
        <v>HELOÍSA PINTARELLI/ARQUIVO DA EDITORA</v>
      </c>
      <c r="Z1169" s="31"/>
      <c r="AA1169" s="31" t="str">
        <f>Tabela2[[#This Row],[ILUSTRADOR CRIAÇÃO]]</f>
        <v>HELOÍSA PINTARELLI/ARQUIVO DA EDITORA</v>
      </c>
      <c r="AB1169" s="33"/>
      <c r="AC1169" s="16"/>
      <c r="AE1169" s="35" t="str">
        <f t="shared" si="18"/>
        <v>EF1 E002 Mat</v>
      </c>
    </row>
    <row r="1170" spans="1:31" ht="45" x14ac:dyDescent="0.25">
      <c r="A1170" s="31" t="s">
        <v>2462</v>
      </c>
      <c r="B1170" s="16" t="s">
        <v>32</v>
      </c>
      <c r="C1170" s="16" t="s">
        <v>33</v>
      </c>
      <c r="D1170" s="33" t="s">
        <v>34</v>
      </c>
      <c r="E1170" s="33">
        <v>187</v>
      </c>
      <c r="F1170" s="33">
        <v>3</v>
      </c>
      <c r="G1170" s="33">
        <v>9</v>
      </c>
      <c r="H1170" s="33"/>
      <c r="I1170" s="31" t="s">
        <v>46</v>
      </c>
      <c r="J1170" s="31"/>
      <c r="K1170" s="33"/>
      <c r="L1170" s="33"/>
      <c r="M1170" s="31"/>
      <c r="N1170" s="31"/>
      <c r="O1170" s="16" t="s">
        <v>2463</v>
      </c>
      <c r="P1170" s="16"/>
      <c r="Q1170" s="16"/>
      <c r="R1170" s="33"/>
      <c r="S1170" s="34"/>
      <c r="T1170" s="34"/>
      <c r="U1170" s="34"/>
      <c r="V1170" s="34"/>
      <c r="W1170" s="34"/>
      <c r="X1170" s="33" t="s">
        <v>85</v>
      </c>
      <c r="Y1170" s="35" t="str">
        <f>IF(Tabela2[[#This Row],[SIGLA]]="","",VLOOKUP(Tabela2[[#This Row],[SIGLA]],Tabela1[[#All],[Sigla Arte]:[Crédito]],2,0))</f>
        <v>HELOÍSA PINTARELLI/ARQUIVO DA EDITORA</v>
      </c>
      <c r="Z1170" s="31"/>
      <c r="AA1170" s="31" t="str">
        <f>Tabela2[[#This Row],[ILUSTRADOR CRIAÇÃO]]</f>
        <v>HELOÍSA PINTARELLI/ARQUIVO DA EDITORA</v>
      </c>
      <c r="AB1170" s="33"/>
      <c r="AC1170" s="16"/>
      <c r="AE1170" s="35" t="str">
        <f t="shared" si="18"/>
        <v>EF1 E002 Mat</v>
      </c>
    </row>
    <row r="1171" spans="1:31" ht="45" x14ac:dyDescent="0.25">
      <c r="A1171" s="31" t="s">
        <v>2464</v>
      </c>
      <c r="B1171" s="16" t="s">
        <v>32</v>
      </c>
      <c r="C1171" s="16" t="s">
        <v>33</v>
      </c>
      <c r="D1171" s="33" t="s">
        <v>34</v>
      </c>
      <c r="E1171" s="33">
        <v>187</v>
      </c>
      <c r="F1171" s="33">
        <v>3</v>
      </c>
      <c r="G1171" s="33">
        <v>9</v>
      </c>
      <c r="H1171" s="33"/>
      <c r="I1171" s="31" t="s">
        <v>46</v>
      </c>
      <c r="J1171" s="31"/>
      <c r="K1171" s="33"/>
      <c r="L1171" s="33"/>
      <c r="M1171" s="31"/>
      <c r="N1171" s="31"/>
      <c r="O1171" s="16" t="s">
        <v>2465</v>
      </c>
      <c r="P1171" s="16"/>
      <c r="Q1171" s="16"/>
      <c r="R1171" s="33"/>
      <c r="S1171" s="34"/>
      <c r="T1171" s="34"/>
      <c r="U1171" s="34"/>
      <c r="V1171" s="34"/>
      <c r="W1171" s="34"/>
      <c r="X1171" s="33" t="s">
        <v>85</v>
      </c>
      <c r="Y1171" s="35" t="str">
        <f>IF(Tabela2[[#This Row],[SIGLA]]="","",VLOOKUP(Tabela2[[#This Row],[SIGLA]],Tabela1[[#All],[Sigla Arte]:[Crédito]],2,0))</f>
        <v>HELOÍSA PINTARELLI/ARQUIVO DA EDITORA</v>
      </c>
      <c r="Z1171" s="31"/>
      <c r="AA1171" s="31" t="str">
        <f>Tabela2[[#This Row],[ILUSTRADOR CRIAÇÃO]]</f>
        <v>HELOÍSA PINTARELLI/ARQUIVO DA EDITORA</v>
      </c>
      <c r="AB1171" s="33"/>
      <c r="AC1171" s="16"/>
      <c r="AE1171" s="35" t="str">
        <f t="shared" si="18"/>
        <v>EF1 E002 Mat</v>
      </c>
    </row>
    <row r="1172" spans="1:31" ht="45" x14ac:dyDescent="0.25">
      <c r="A1172" s="31" t="s">
        <v>2466</v>
      </c>
      <c r="B1172" s="16" t="s">
        <v>32</v>
      </c>
      <c r="C1172" s="16" t="s">
        <v>33</v>
      </c>
      <c r="D1172" s="33" t="s">
        <v>34</v>
      </c>
      <c r="E1172" s="33">
        <v>188</v>
      </c>
      <c r="F1172" s="33">
        <v>3</v>
      </c>
      <c r="G1172" s="33">
        <v>9</v>
      </c>
      <c r="H1172" s="33"/>
      <c r="I1172" s="31" t="s">
        <v>46</v>
      </c>
      <c r="J1172" s="31"/>
      <c r="K1172" s="33"/>
      <c r="L1172" s="33"/>
      <c r="M1172" s="31"/>
      <c r="N1172" s="31"/>
      <c r="O1172" s="16" t="s">
        <v>2467</v>
      </c>
      <c r="P1172" s="16"/>
      <c r="Q1172" s="16"/>
      <c r="R1172" s="33"/>
      <c r="S1172" s="34"/>
      <c r="T1172" s="34"/>
      <c r="U1172" s="34"/>
      <c r="V1172" s="34"/>
      <c r="W1172" s="34"/>
      <c r="X1172" s="33" t="s">
        <v>1126</v>
      </c>
      <c r="Y1172" s="35" t="str">
        <f>IF(Tabela2[[#This Row],[SIGLA]]="","",VLOOKUP(Tabela2[[#This Row],[SIGLA]],Tabela1[[#All],[Sigla Arte]:[Crédito]],2,0))</f>
        <v>GUSTAVO CONTI/ARQUIVO DA EDITORA</v>
      </c>
      <c r="Z1172" s="31"/>
      <c r="AA1172" s="31" t="str">
        <f>Tabela2[[#This Row],[ILUSTRADOR CRIAÇÃO]]</f>
        <v>GUSTAVO CONTI/ARQUIVO DA EDITORA</v>
      </c>
      <c r="AB1172" s="33"/>
      <c r="AC1172" s="16"/>
      <c r="AE1172" s="35" t="str">
        <f t="shared" si="18"/>
        <v>EF1 E002 Mat</v>
      </c>
    </row>
    <row r="1173" spans="1:31" ht="75" x14ac:dyDescent="0.25">
      <c r="A1173" s="31" t="s">
        <v>2468</v>
      </c>
      <c r="B1173" s="16" t="s">
        <v>32</v>
      </c>
      <c r="C1173" s="16" t="s">
        <v>33</v>
      </c>
      <c r="D1173" s="33" t="s">
        <v>34</v>
      </c>
      <c r="E1173" s="33">
        <v>188</v>
      </c>
      <c r="F1173" s="33">
        <v>3</v>
      </c>
      <c r="G1173" s="33">
        <v>9</v>
      </c>
      <c r="H1173" s="33"/>
      <c r="I1173" s="31" t="s">
        <v>35</v>
      </c>
      <c r="J1173" s="31"/>
      <c r="K1173" s="33"/>
      <c r="L1173" s="33"/>
      <c r="M1173" s="31"/>
      <c r="N1173" s="31"/>
      <c r="O1173" s="16" t="s">
        <v>2469</v>
      </c>
      <c r="P1173" s="16"/>
      <c r="Q1173" s="16"/>
      <c r="R1173" s="33">
        <v>28</v>
      </c>
      <c r="S1173" s="34">
        <v>45764</v>
      </c>
      <c r="T1173" s="34">
        <v>45769</v>
      </c>
      <c r="U1173" s="34"/>
      <c r="V1173" s="34"/>
      <c r="W1173" s="34">
        <v>45769</v>
      </c>
      <c r="X1173" s="33" t="s">
        <v>1126</v>
      </c>
      <c r="Y1173" s="35" t="str">
        <f>IF(Tabela2[[#This Row],[SIGLA]]="","",VLOOKUP(Tabela2[[#This Row],[SIGLA]],Tabela1[[#All],[Sigla Arte]:[Crédito]],2,0))</f>
        <v>GUSTAVO CONTI/ARQUIVO DA EDITORA</v>
      </c>
      <c r="Z1173" s="31" t="s">
        <v>352</v>
      </c>
      <c r="AA1173" s="31" t="str">
        <f>Tabela2[[#This Row],[ILUSTRADOR CRIAÇÃO]]</f>
        <v>GUSTAVO CONTI/ARQUIVO DA EDITORA</v>
      </c>
      <c r="AB1173" s="33">
        <v>13</v>
      </c>
      <c r="AC1173" s="16" t="s">
        <v>39</v>
      </c>
      <c r="AD1173" s="16" t="s">
        <v>40</v>
      </c>
      <c r="AE1173" s="35" t="str">
        <f t="shared" si="18"/>
        <v>EF1 E002 Mat</v>
      </c>
    </row>
    <row r="1174" spans="1:31" ht="75" x14ac:dyDescent="0.25">
      <c r="A1174" s="31" t="s">
        <v>2470</v>
      </c>
      <c r="B1174" s="16" t="s">
        <v>32</v>
      </c>
      <c r="C1174" s="16" t="s">
        <v>33</v>
      </c>
      <c r="D1174" s="33" t="s">
        <v>34</v>
      </c>
      <c r="E1174" s="33">
        <v>189</v>
      </c>
      <c r="F1174" s="33">
        <v>3</v>
      </c>
      <c r="G1174" s="33">
        <v>9</v>
      </c>
      <c r="H1174" s="33"/>
      <c r="I1174" s="31" t="s">
        <v>35</v>
      </c>
      <c r="J1174" s="31"/>
      <c r="K1174" s="33"/>
      <c r="L1174" s="33"/>
      <c r="M1174" s="31"/>
      <c r="N1174" s="31"/>
      <c r="O1174" s="16" t="s">
        <v>2471</v>
      </c>
      <c r="P1174" s="16"/>
      <c r="Q1174" s="16"/>
      <c r="R1174" s="33">
        <v>28</v>
      </c>
      <c r="S1174" s="34">
        <v>45764</v>
      </c>
      <c r="T1174" s="34">
        <v>45769</v>
      </c>
      <c r="U1174" s="34"/>
      <c r="V1174" s="34"/>
      <c r="W1174" s="34">
        <v>45769</v>
      </c>
      <c r="X1174" s="33" t="s">
        <v>85</v>
      </c>
      <c r="Y1174" s="35" t="str">
        <f>IF(Tabela2[[#This Row],[SIGLA]]="","",VLOOKUP(Tabela2[[#This Row],[SIGLA]],Tabela1[[#All],[Sigla Arte]:[Crédito]],2,0))</f>
        <v>HELOÍSA PINTARELLI/ARQUIVO DA EDITORA</v>
      </c>
      <c r="Z1174" s="31" t="s">
        <v>352</v>
      </c>
      <c r="AA1174" s="31" t="str">
        <f>Tabela2[[#This Row],[ILUSTRADOR CRIAÇÃO]]</f>
        <v>HELOÍSA PINTARELLI/ARQUIVO DA EDITORA</v>
      </c>
      <c r="AB1174" s="33">
        <v>13</v>
      </c>
      <c r="AC1174" s="16" t="s">
        <v>39</v>
      </c>
      <c r="AD1174" s="16" t="s">
        <v>40</v>
      </c>
      <c r="AE1174" s="35" t="str">
        <f t="shared" si="18"/>
        <v>EF1 E002 Mat</v>
      </c>
    </row>
    <row r="1175" spans="1:31" ht="30" x14ac:dyDescent="0.25">
      <c r="A1175" s="31" t="s">
        <v>2472</v>
      </c>
      <c r="B1175" s="16" t="s">
        <v>32</v>
      </c>
      <c r="C1175" s="16" t="s">
        <v>33</v>
      </c>
      <c r="D1175" s="33" t="s">
        <v>34</v>
      </c>
      <c r="E1175" s="33">
        <v>182</v>
      </c>
      <c r="F1175" s="33">
        <v>3</v>
      </c>
      <c r="G1175" s="33">
        <v>9</v>
      </c>
      <c r="H1175" s="33"/>
      <c r="I1175" s="31" t="s">
        <v>35</v>
      </c>
      <c r="J1175" s="31"/>
      <c r="K1175" s="33"/>
      <c r="L1175" s="33"/>
      <c r="M1175" s="31"/>
      <c r="N1175" s="31"/>
      <c r="O1175" s="16" t="s">
        <v>2473</v>
      </c>
      <c r="P1175" s="16"/>
      <c r="Q1175" s="16"/>
      <c r="R1175" s="33">
        <v>184</v>
      </c>
      <c r="S1175" s="34">
        <v>45937</v>
      </c>
      <c r="T1175" s="34">
        <v>45937</v>
      </c>
      <c r="U1175" s="34"/>
      <c r="V1175" s="34"/>
      <c r="W1175" s="34">
        <v>45937</v>
      </c>
      <c r="X1175" s="33" t="s">
        <v>162</v>
      </c>
      <c r="Y1175" s="35" t="str">
        <f>IF(Tabela2[[#This Row],[SIGLA]]="","",VLOOKUP(Tabela2[[#This Row],[SIGLA]],Tabela1[[#All],[Sigla Arte]:[Crédito]],2,0))</f>
        <v>IVY NUNES/ARQUIVO DA EDITORA</v>
      </c>
      <c r="Z1175" s="31" t="s">
        <v>368</v>
      </c>
      <c r="AA1175" s="31" t="str">
        <f>Tabela2[[#This Row],[ILUSTRADOR CRIAÇÃO]]</f>
        <v>IVY NUNES/ARQUIVO DA EDITORA</v>
      </c>
      <c r="AB1175" s="33">
        <v>13</v>
      </c>
      <c r="AC1175" s="16" t="s">
        <v>39</v>
      </c>
      <c r="AD1175" s="16" t="s">
        <v>40</v>
      </c>
      <c r="AE1175" s="35" t="str">
        <f t="shared" si="18"/>
        <v>EF1 E002 Mat</v>
      </c>
    </row>
    <row r="1176" spans="1:31" ht="105" x14ac:dyDescent="0.25">
      <c r="A1176" s="31" t="s">
        <v>2474</v>
      </c>
      <c r="B1176" s="16" t="s">
        <v>32</v>
      </c>
      <c r="C1176" s="16" t="s">
        <v>33</v>
      </c>
      <c r="D1176" s="33" t="s">
        <v>34</v>
      </c>
      <c r="E1176" s="33">
        <v>74</v>
      </c>
      <c r="F1176" s="33">
        <v>1</v>
      </c>
      <c r="G1176" s="33">
        <v>2</v>
      </c>
      <c r="H1176" s="33"/>
      <c r="I1176" s="31" t="s">
        <v>995</v>
      </c>
      <c r="J1176" s="31"/>
      <c r="K1176" s="33"/>
      <c r="L1176" s="33"/>
      <c r="M1176" s="31"/>
      <c r="N1176" s="31"/>
      <c r="O1176" s="16" t="s">
        <v>2475</v>
      </c>
      <c r="P1176" s="16"/>
      <c r="Q1176" s="16"/>
      <c r="R1176" s="33">
        <v>29</v>
      </c>
      <c r="S1176" s="34">
        <v>45764</v>
      </c>
      <c r="T1176" s="34">
        <v>45770</v>
      </c>
      <c r="U1176" s="34"/>
      <c r="V1176" s="34"/>
      <c r="W1176" s="34">
        <v>45772</v>
      </c>
      <c r="X1176" s="33" t="s">
        <v>48</v>
      </c>
      <c r="Y1176" s="35" t="str">
        <f>IF(Tabela2[[#This Row],[SIGLA]]="","",VLOOKUP(Tabela2[[#This Row],[SIGLA]],Tabela1[[#All],[Sigla Arte]:[Crédito]],2,0))</f>
        <v>SERGIO LIMA/ARQUIVO DA EDITORA</v>
      </c>
      <c r="Z1176" s="31"/>
      <c r="AA1176" s="31" t="str">
        <f>Tabela2[[#This Row],[ILUSTRADOR CRIAÇÃO]]</f>
        <v>SERGIO LIMA/ARQUIVO DA EDITORA</v>
      </c>
      <c r="AB1176" s="33">
        <v>8</v>
      </c>
      <c r="AC1176" s="16" t="s">
        <v>2476</v>
      </c>
      <c r="AD1176" s="16" t="s">
        <v>1093</v>
      </c>
      <c r="AE1176" s="35" t="str">
        <f t="shared" si="18"/>
        <v>EF1 E002 Mat</v>
      </c>
    </row>
    <row r="1177" spans="1:31" ht="150" x14ac:dyDescent="0.25">
      <c r="A1177" s="31" t="s">
        <v>2477</v>
      </c>
      <c r="B1177" s="16" t="s">
        <v>32</v>
      </c>
      <c r="C1177" s="16" t="s">
        <v>33</v>
      </c>
      <c r="D1177" s="33" t="s">
        <v>34</v>
      </c>
      <c r="E1177" s="33">
        <v>74</v>
      </c>
      <c r="F1177" s="33">
        <v>1</v>
      </c>
      <c r="G1177" s="33">
        <v>2</v>
      </c>
      <c r="H1177" s="33"/>
      <c r="I1177" s="31" t="s">
        <v>995</v>
      </c>
      <c r="J1177" s="31"/>
      <c r="K1177" s="33"/>
      <c r="L1177" s="33"/>
      <c r="M1177" s="31"/>
      <c r="N1177" s="31"/>
      <c r="O1177" s="16" t="s">
        <v>2478</v>
      </c>
      <c r="P1177" s="16"/>
      <c r="Q1177" s="16"/>
      <c r="R1177" s="33">
        <v>29</v>
      </c>
      <c r="S1177" s="34">
        <v>45764</v>
      </c>
      <c r="T1177" s="34">
        <v>45770</v>
      </c>
      <c r="U1177" s="34"/>
      <c r="V1177" s="34"/>
      <c r="W1177" s="34">
        <v>45772</v>
      </c>
      <c r="X1177" s="33" t="s">
        <v>48</v>
      </c>
      <c r="Y1177" s="35" t="str">
        <f>IF(Tabela2[[#This Row],[SIGLA]]="","",VLOOKUP(Tabela2[[#This Row],[SIGLA]],Tabela1[[#All],[Sigla Arte]:[Crédito]],2,0))</f>
        <v>SERGIO LIMA/ARQUIVO DA EDITORA</v>
      </c>
      <c r="Z1177" s="31"/>
      <c r="AA1177" s="31" t="str">
        <f>Tabela2[[#This Row],[ILUSTRADOR CRIAÇÃO]]</f>
        <v>SERGIO LIMA/ARQUIVO DA EDITORA</v>
      </c>
      <c r="AB1177" s="33">
        <v>8</v>
      </c>
      <c r="AC1177" s="16" t="s">
        <v>2476</v>
      </c>
      <c r="AD1177" s="16" t="s">
        <v>1093</v>
      </c>
      <c r="AE1177" s="35" t="str">
        <f t="shared" si="18"/>
        <v>EF1 E002 Mat</v>
      </c>
    </row>
    <row r="1178" spans="1:31" ht="135" x14ac:dyDescent="0.25">
      <c r="A1178" s="31" t="s">
        <v>2479</v>
      </c>
      <c r="B1178" s="16" t="s">
        <v>32</v>
      </c>
      <c r="C1178" s="16" t="s">
        <v>33</v>
      </c>
      <c r="D1178" s="33" t="s">
        <v>34</v>
      </c>
      <c r="E1178" s="33">
        <v>74</v>
      </c>
      <c r="F1178" s="33">
        <v>1</v>
      </c>
      <c r="G1178" s="33">
        <v>2</v>
      </c>
      <c r="H1178" s="33"/>
      <c r="I1178" s="31" t="s">
        <v>995</v>
      </c>
      <c r="J1178" s="31"/>
      <c r="K1178" s="33"/>
      <c r="L1178" s="33"/>
      <c r="M1178" s="31"/>
      <c r="N1178" s="31"/>
      <c r="O1178" s="16" t="s">
        <v>2480</v>
      </c>
      <c r="P1178" s="16"/>
      <c r="Q1178" s="16"/>
      <c r="R1178" s="33">
        <v>29</v>
      </c>
      <c r="S1178" s="34">
        <v>45764</v>
      </c>
      <c r="T1178" s="34">
        <v>45770</v>
      </c>
      <c r="U1178" s="34"/>
      <c r="V1178" s="34"/>
      <c r="W1178" s="34">
        <v>45772</v>
      </c>
      <c r="X1178" s="33" t="s">
        <v>48</v>
      </c>
      <c r="Y1178" s="35" t="str">
        <f>IF(Tabela2[[#This Row],[SIGLA]]="","",VLOOKUP(Tabela2[[#This Row],[SIGLA]],Tabela1[[#All],[Sigla Arte]:[Crédito]],2,0))</f>
        <v>SERGIO LIMA/ARQUIVO DA EDITORA</v>
      </c>
      <c r="Z1178" s="31"/>
      <c r="AA1178" s="31" t="str">
        <f>Tabela2[[#This Row],[ILUSTRADOR CRIAÇÃO]]</f>
        <v>SERGIO LIMA/ARQUIVO DA EDITORA</v>
      </c>
      <c r="AB1178" s="33">
        <v>8</v>
      </c>
      <c r="AC1178" s="16" t="s">
        <v>2476</v>
      </c>
      <c r="AD1178" s="16" t="s">
        <v>1093</v>
      </c>
      <c r="AE1178" s="35" t="str">
        <f t="shared" si="18"/>
        <v>EF1 E002 Mat</v>
      </c>
    </row>
    <row r="1179" spans="1:31" ht="135" x14ac:dyDescent="0.25">
      <c r="A1179" s="31" t="s">
        <v>2481</v>
      </c>
      <c r="B1179" s="16" t="s">
        <v>32</v>
      </c>
      <c r="C1179" s="16" t="s">
        <v>33</v>
      </c>
      <c r="D1179" s="33" t="s">
        <v>34</v>
      </c>
      <c r="E1179" s="33">
        <v>74</v>
      </c>
      <c r="F1179" s="33">
        <v>1</v>
      </c>
      <c r="G1179" s="33">
        <v>2</v>
      </c>
      <c r="H1179" s="33"/>
      <c r="I1179" s="31" t="s">
        <v>995</v>
      </c>
      <c r="J1179" s="31"/>
      <c r="K1179" s="33"/>
      <c r="L1179" s="33"/>
      <c r="M1179" s="31"/>
      <c r="N1179" s="31"/>
      <c r="O1179" s="16" t="s">
        <v>2482</v>
      </c>
      <c r="P1179" s="16"/>
      <c r="Q1179" s="16"/>
      <c r="R1179" s="33">
        <v>29</v>
      </c>
      <c r="S1179" s="34">
        <v>45764</v>
      </c>
      <c r="T1179" s="34">
        <v>45770</v>
      </c>
      <c r="U1179" s="34"/>
      <c r="V1179" s="34"/>
      <c r="W1179" s="34">
        <v>45772</v>
      </c>
      <c r="X1179" s="33" t="s">
        <v>48</v>
      </c>
      <c r="Y1179" s="35" t="str">
        <f>IF(Tabela2[[#This Row],[SIGLA]]="","",VLOOKUP(Tabela2[[#This Row],[SIGLA]],Tabela1[[#All],[Sigla Arte]:[Crédito]],2,0))</f>
        <v>SERGIO LIMA/ARQUIVO DA EDITORA</v>
      </c>
      <c r="Z1179" s="31"/>
      <c r="AA1179" s="31" t="str">
        <f>Tabela2[[#This Row],[ILUSTRADOR CRIAÇÃO]]</f>
        <v>SERGIO LIMA/ARQUIVO DA EDITORA</v>
      </c>
      <c r="AB1179" s="33">
        <v>8</v>
      </c>
      <c r="AC1179" s="16" t="s">
        <v>2476</v>
      </c>
      <c r="AD1179" s="16" t="s">
        <v>1093</v>
      </c>
      <c r="AE1179" s="35" t="str">
        <f t="shared" si="18"/>
        <v>EF1 E002 Mat</v>
      </c>
    </row>
    <row r="1180" spans="1:31" ht="120" x14ac:dyDescent="0.25">
      <c r="A1180" s="31" t="s">
        <v>2483</v>
      </c>
      <c r="B1180" s="16" t="s">
        <v>32</v>
      </c>
      <c r="C1180" s="16" t="s">
        <v>33</v>
      </c>
      <c r="D1180" s="33" t="s">
        <v>34</v>
      </c>
      <c r="E1180" s="33">
        <v>74</v>
      </c>
      <c r="F1180" s="33">
        <v>1</v>
      </c>
      <c r="G1180" s="33">
        <v>2</v>
      </c>
      <c r="H1180" s="33"/>
      <c r="I1180" s="31" t="s">
        <v>995</v>
      </c>
      <c r="J1180" s="31"/>
      <c r="K1180" s="33"/>
      <c r="L1180" s="33"/>
      <c r="M1180" s="31"/>
      <c r="N1180" s="31"/>
      <c r="O1180" s="16" t="s">
        <v>2484</v>
      </c>
      <c r="P1180" s="16"/>
      <c r="Q1180" s="16"/>
      <c r="R1180" s="33">
        <v>29</v>
      </c>
      <c r="S1180" s="34">
        <v>45764</v>
      </c>
      <c r="T1180" s="34">
        <v>45770</v>
      </c>
      <c r="U1180" s="34"/>
      <c r="V1180" s="34"/>
      <c r="W1180" s="34">
        <v>45772</v>
      </c>
      <c r="X1180" s="33" t="s">
        <v>48</v>
      </c>
      <c r="Y1180" s="35" t="str">
        <f>IF(Tabela2[[#This Row],[SIGLA]]="","",VLOOKUP(Tabela2[[#This Row],[SIGLA]],Tabela1[[#All],[Sigla Arte]:[Crédito]],2,0))</f>
        <v>SERGIO LIMA/ARQUIVO DA EDITORA</v>
      </c>
      <c r="Z1180" s="31"/>
      <c r="AA1180" s="31" t="str">
        <f>Tabela2[[#This Row],[ILUSTRADOR CRIAÇÃO]]</f>
        <v>SERGIO LIMA/ARQUIVO DA EDITORA</v>
      </c>
      <c r="AB1180" s="33">
        <v>8</v>
      </c>
      <c r="AC1180" s="16" t="s">
        <v>2476</v>
      </c>
      <c r="AD1180" s="16" t="s">
        <v>1093</v>
      </c>
      <c r="AE1180" s="35" t="str">
        <f t="shared" si="18"/>
        <v>EF1 E002 Mat</v>
      </c>
    </row>
    <row r="1181" spans="1:31" ht="120" x14ac:dyDescent="0.25">
      <c r="A1181" s="31" t="s">
        <v>2485</v>
      </c>
      <c r="B1181" s="16" t="s">
        <v>32</v>
      </c>
      <c r="C1181" s="16" t="s">
        <v>33</v>
      </c>
      <c r="D1181" s="33" t="s">
        <v>34</v>
      </c>
      <c r="E1181" s="33">
        <v>74</v>
      </c>
      <c r="F1181" s="33">
        <v>1</v>
      </c>
      <c r="G1181" s="33">
        <v>2</v>
      </c>
      <c r="H1181" s="33"/>
      <c r="I1181" s="31" t="s">
        <v>995</v>
      </c>
      <c r="J1181" s="31"/>
      <c r="K1181" s="33"/>
      <c r="L1181" s="33"/>
      <c r="M1181" s="31"/>
      <c r="N1181" s="31"/>
      <c r="O1181" s="16" t="s">
        <v>2486</v>
      </c>
      <c r="P1181" s="16"/>
      <c r="Q1181" s="16"/>
      <c r="R1181" s="33">
        <v>29</v>
      </c>
      <c r="S1181" s="34">
        <v>45764</v>
      </c>
      <c r="T1181" s="34">
        <v>45770</v>
      </c>
      <c r="U1181" s="34"/>
      <c r="V1181" s="34"/>
      <c r="W1181" s="34">
        <v>45772</v>
      </c>
      <c r="X1181" s="33" t="s">
        <v>48</v>
      </c>
      <c r="Y1181" s="35" t="str">
        <f>IF(Tabela2[[#This Row],[SIGLA]]="","",VLOOKUP(Tabela2[[#This Row],[SIGLA]],Tabela1[[#All],[Sigla Arte]:[Crédito]],2,0))</f>
        <v>SERGIO LIMA/ARQUIVO DA EDITORA</v>
      </c>
      <c r="Z1181" s="31"/>
      <c r="AA1181" s="31" t="str">
        <f>Tabela2[[#This Row],[ILUSTRADOR CRIAÇÃO]]</f>
        <v>SERGIO LIMA/ARQUIVO DA EDITORA</v>
      </c>
      <c r="AB1181" s="33">
        <v>8</v>
      </c>
      <c r="AC1181" s="16" t="s">
        <v>2476</v>
      </c>
      <c r="AD1181" s="16" t="s">
        <v>1093</v>
      </c>
      <c r="AE1181" s="35" t="str">
        <f t="shared" si="18"/>
        <v>EF1 E002 Mat</v>
      </c>
    </row>
    <row r="1182" spans="1:31" ht="30" x14ac:dyDescent="0.25">
      <c r="A1182" s="31" t="s">
        <v>2487</v>
      </c>
      <c r="B1182" s="16" t="s">
        <v>32</v>
      </c>
      <c r="C1182" s="16" t="s">
        <v>33</v>
      </c>
      <c r="D1182" s="33" t="s">
        <v>34</v>
      </c>
      <c r="E1182" s="33">
        <v>126</v>
      </c>
      <c r="F1182" s="33">
        <v>3</v>
      </c>
      <c r="G1182" s="33">
        <v>10</v>
      </c>
      <c r="H1182" s="33"/>
      <c r="I1182" s="31" t="s">
        <v>46</v>
      </c>
      <c r="J1182" s="31"/>
      <c r="K1182" s="33"/>
      <c r="L1182" s="33"/>
      <c r="M1182" s="31"/>
      <c r="N1182" s="31"/>
      <c r="O1182" s="16" t="s">
        <v>2488</v>
      </c>
      <c r="P1182" s="16"/>
      <c r="Q1182" s="16"/>
      <c r="R1182" s="33"/>
      <c r="S1182" s="34"/>
      <c r="T1182" s="34"/>
      <c r="U1182" s="34"/>
      <c r="V1182" s="34"/>
      <c r="W1182" s="34"/>
      <c r="X1182" s="33" t="s">
        <v>85</v>
      </c>
      <c r="Y1182" s="35" t="str">
        <f>IF(Tabela2[[#This Row],[SIGLA]]="","",VLOOKUP(Tabela2[[#This Row],[SIGLA]],Tabela1[[#All],[Sigla Arte]:[Crédito]],2,0))</f>
        <v>HELOÍSA PINTARELLI/ARQUIVO DA EDITORA</v>
      </c>
      <c r="Z1182" s="31"/>
      <c r="AA1182" s="31" t="str">
        <f>Tabela2[[#This Row],[ILUSTRADOR CRIAÇÃO]]</f>
        <v>HELOÍSA PINTARELLI/ARQUIVO DA EDITORA</v>
      </c>
      <c r="AB1182" s="33"/>
      <c r="AC1182" s="16"/>
      <c r="AE1182" s="35" t="str">
        <f t="shared" si="18"/>
        <v>EF1 E002 Mat</v>
      </c>
    </row>
    <row r="1183" spans="1:31" ht="30" x14ac:dyDescent="0.25">
      <c r="A1183" s="31" t="s">
        <v>2489</v>
      </c>
      <c r="B1183" s="16" t="s">
        <v>32</v>
      </c>
      <c r="C1183" s="16" t="s">
        <v>33</v>
      </c>
      <c r="D1183" s="33" t="s">
        <v>34</v>
      </c>
      <c r="E1183" s="33">
        <v>127</v>
      </c>
      <c r="F1183" s="33">
        <v>3</v>
      </c>
      <c r="G1183" s="33">
        <v>10</v>
      </c>
      <c r="H1183" s="33"/>
      <c r="I1183" s="31" t="s">
        <v>46</v>
      </c>
      <c r="J1183" s="31"/>
      <c r="K1183" s="33"/>
      <c r="L1183" s="33"/>
      <c r="M1183" s="31"/>
      <c r="N1183" s="31"/>
      <c r="O1183" s="16" t="s">
        <v>2490</v>
      </c>
      <c r="P1183" s="16"/>
      <c r="Q1183" s="16"/>
      <c r="R1183" s="33"/>
      <c r="S1183" s="34"/>
      <c r="T1183" s="34"/>
      <c r="U1183" s="34"/>
      <c r="V1183" s="34"/>
      <c r="W1183" s="34"/>
      <c r="X1183" s="33" t="s">
        <v>162</v>
      </c>
      <c r="Y1183" s="35" t="str">
        <f>IF(Tabela2[[#This Row],[SIGLA]]="","",VLOOKUP(Tabela2[[#This Row],[SIGLA]],Tabela1[[#All],[Sigla Arte]:[Crédito]],2,0))</f>
        <v>IVY NUNES/ARQUIVO DA EDITORA</v>
      </c>
      <c r="Z1183" s="31"/>
      <c r="AA1183" s="31" t="str">
        <f>Tabela2[[#This Row],[ILUSTRADOR CRIAÇÃO]]</f>
        <v>IVY NUNES/ARQUIVO DA EDITORA</v>
      </c>
      <c r="AB1183" s="33"/>
      <c r="AC1183" s="16"/>
      <c r="AE1183" s="35" t="str">
        <f t="shared" si="18"/>
        <v>EF1 E002 Mat</v>
      </c>
    </row>
    <row r="1184" spans="1:31" ht="45" x14ac:dyDescent="0.25">
      <c r="A1184" s="31" t="s">
        <v>2491</v>
      </c>
      <c r="B1184" s="16" t="s">
        <v>32</v>
      </c>
      <c r="C1184" s="16" t="s">
        <v>33</v>
      </c>
      <c r="D1184" s="33" t="s">
        <v>34</v>
      </c>
      <c r="E1184" s="33">
        <v>127</v>
      </c>
      <c r="F1184" s="33">
        <v>3</v>
      </c>
      <c r="G1184" s="33">
        <v>10</v>
      </c>
      <c r="H1184" s="33"/>
      <c r="I1184" s="31" t="s">
        <v>35</v>
      </c>
      <c r="J1184" s="31"/>
      <c r="K1184" s="33"/>
      <c r="L1184" s="33"/>
      <c r="M1184" s="31"/>
      <c r="N1184" s="31"/>
      <c r="O1184" s="16" t="s">
        <v>2492</v>
      </c>
      <c r="P1184" s="16"/>
      <c r="Q1184" s="16"/>
      <c r="R1184" s="33">
        <v>105</v>
      </c>
      <c r="S1184" s="34">
        <v>45880</v>
      </c>
      <c r="T1184" s="34">
        <v>45881</v>
      </c>
      <c r="U1184" s="34"/>
      <c r="V1184" s="34"/>
      <c r="W1184" s="34">
        <v>45881</v>
      </c>
      <c r="X1184" s="33" t="s">
        <v>162</v>
      </c>
      <c r="Y1184" s="35" t="str">
        <f>IF(Tabela2[[#This Row],[SIGLA]]="","",VLOOKUP(Tabela2[[#This Row],[SIGLA]],Tabela1[[#All],[Sigla Arte]:[Crédito]],2,0))</f>
        <v>IVY NUNES/ARQUIVO DA EDITORA</v>
      </c>
      <c r="Z1184" s="31" t="s">
        <v>383</v>
      </c>
      <c r="AA1184" s="31" t="str">
        <f>Tabela2[[#This Row],[ILUSTRADOR CRIAÇÃO]]</f>
        <v>IVY NUNES/ARQUIVO DA EDITORA</v>
      </c>
      <c r="AB1184" s="33">
        <v>13</v>
      </c>
      <c r="AC1184" s="16" t="s">
        <v>405</v>
      </c>
      <c r="AD1184" s="16" t="s">
        <v>40</v>
      </c>
      <c r="AE1184" s="35" t="str">
        <f t="shared" si="18"/>
        <v>EF1 E002 Mat</v>
      </c>
    </row>
    <row r="1185" spans="1:31" ht="45" x14ac:dyDescent="0.25">
      <c r="A1185" s="31" t="s">
        <v>2493</v>
      </c>
      <c r="B1185" s="16" t="s">
        <v>32</v>
      </c>
      <c r="C1185" s="16" t="s">
        <v>33</v>
      </c>
      <c r="D1185" s="33" t="s">
        <v>34</v>
      </c>
      <c r="E1185" s="33">
        <v>128</v>
      </c>
      <c r="F1185" s="33">
        <v>3</v>
      </c>
      <c r="G1185" s="33">
        <v>10</v>
      </c>
      <c r="H1185" s="33"/>
      <c r="I1185" s="31" t="s">
        <v>46</v>
      </c>
      <c r="J1185" s="31"/>
      <c r="K1185" s="33"/>
      <c r="L1185" s="33"/>
      <c r="M1185" s="31"/>
      <c r="N1185" s="31"/>
      <c r="O1185" s="16" t="s">
        <v>2494</v>
      </c>
      <c r="P1185" s="16"/>
      <c r="Q1185" s="16"/>
      <c r="R1185" s="33"/>
      <c r="S1185" s="34"/>
      <c r="T1185" s="34"/>
      <c r="U1185" s="34"/>
      <c r="V1185" s="34"/>
      <c r="W1185" s="34"/>
      <c r="X1185" s="33" t="s">
        <v>2269</v>
      </c>
      <c r="Y1185" s="35" t="str">
        <f>IF(Tabela2[[#This Row],[SIGLA]]="","",VLOOKUP(Tabela2[[#This Row],[SIGLA]],Tabela1[[#All],[Sigla Arte]:[Crédito]],2,0))</f>
        <v>GUSTAVO ALMEIDA/ARQUIVO DA EDITORA</v>
      </c>
      <c r="Z1185" s="31"/>
      <c r="AA1185" s="31" t="str">
        <f>Tabela2[[#This Row],[ILUSTRADOR CRIAÇÃO]]</f>
        <v>GUSTAVO ALMEIDA/ARQUIVO DA EDITORA</v>
      </c>
      <c r="AB1185" s="33"/>
      <c r="AC1185" s="16"/>
      <c r="AE1185" s="35" t="str">
        <f t="shared" si="18"/>
        <v>EF1 E002 Mat</v>
      </c>
    </row>
    <row r="1186" spans="1:31" ht="30" x14ac:dyDescent="0.25">
      <c r="A1186" s="31" t="s">
        <v>2495</v>
      </c>
      <c r="B1186" s="16" t="s">
        <v>32</v>
      </c>
      <c r="C1186" s="16" t="s">
        <v>164</v>
      </c>
      <c r="D1186" s="33" t="s">
        <v>34</v>
      </c>
      <c r="E1186" s="33">
        <v>129</v>
      </c>
      <c r="F1186" s="33">
        <v>3</v>
      </c>
      <c r="G1186" s="33">
        <v>10</v>
      </c>
      <c r="H1186" s="33"/>
      <c r="I1186" s="31" t="s">
        <v>46</v>
      </c>
      <c r="J1186" s="31"/>
      <c r="K1186" s="33"/>
      <c r="L1186" s="33"/>
      <c r="M1186" s="31"/>
      <c r="N1186" s="31"/>
      <c r="O1186" s="16" t="s">
        <v>2496</v>
      </c>
      <c r="P1186" s="16"/>
      <c r="Q1186" s="16"/>
      <c r="R1186" s="33"/>
      <c r="S1186" s="34"/>
      <c r="T1186" s="34"/>
      <c r="U1186" s="34"/>
      <c r="V1186" s="34"/>
      <c r="W1186" s="34"/>
      <c r="X1186" s="33" t="s">
        <v>470</v>
      </c>
      <c r="Y1186" s="35" t="str">
        <f>IF(Tabela2[[#This Row],[SIGLA]]="","",VLOOKUP(Tabela2[[#This Row],[SIGLA]],Tabela1[[#All],[Sigla Arte]:[Crédito]],2,0))</f>
        <v>RENAN FONSECA/ARQUIVO DA EDITORA</v>
      </c>
      <c r="Z1186" s="31"/>
      <c r="AA1186" s="31" t="str">
        <f>Tabela2[[#This Row],[ILUSTRADOR CRIAÇÃO]]</f>
        <v>RENAN FONSECA/ARQUIVO DA EDITORA</v>
      </c>
      <c r="AB1186" s="33"/>
      <c r="AC1186" s="16"/>
      <c r="AE1186" s="35" t="str">
        <f t="shared" si="18"/>
        <v>EF1 E002 Mat</v>
      </c>
    </row>
    <row r="1187" spans="1:31" ht="45" x14ac:dyDescent="0.25">
      <c r="A1187" s="31" t="s">
        <v>2497</v>
      </c>
      <c r="B1187" s="16" t="s">
        <v>32</v>
      </c>
      <c r="C1187" s="16" t="s">
        <v>33</v>
      </c>
      <c r="D1187" s="33" t="s">
        <v>34</v>
      </c>
      <c r="E1187" s="33">
        <v>130</v>
      </c>
      <c r="F1187" s="33">
        <v>3</v>
      </c>
      <c r="G1187" s="33">
        <v>10</v>
      </c>
      <c r="H1187" s="33"/>
      <c r="I1187" s="31" t="s">
        <v>46</v>
      </c>
      <c r="J1187" s="31"/>
      <c r="K1187" s="33"/>
      <c r="L1187" s="33"/>
      <c r="M1187" s="31"/>
      <c r="N1187" s="31"/>
      <c r="O1187" s="16" t="s">
        <v>2498</v>
      </c>
      <c r="P1187" s="16"/>
      <c r="Q1187" s="16"/>
      <c r="R1187" s="33"/>
      <c r="S1187" s="34"/>
      <c r="T1187" s="34"/>
      <c r="U1187" s="34"/>
      <c r="V1187" s="34"/>
      <c r="W1187" s="34"/>
      <c r="X1187" s="33" t="s">
        <v>162</v>
      </c>
      <c r="Y1187" s="35" t="str">
        <f>IF(Tabela2[[#This Row],[SIGLA]]="","",VLOOKUP(Tabela2[[#This Row],[SIGLA]],Tabela1[[#All],[Sigla Arte]:[Crédito]],2,0))</f>
        <v>IVY NUNES/ARQUIVO DA EDITORA</v>
      </c>
      <c r="Z1187" s="31"/>
      <c r="AA1187" s="31" t="str">
        <f>Tabela2[[#This Row],[ILUSTRADOR CRIAÇÃO]]</f>
        <v>IVY NUNES/ARQUIVO DA EDITORA</v>
      </c>
      <c r="AB1187" s="33"/>
      <c r="AC1187" s="16"/>
      <c r="AE1187" s="35" t="str">
        <f t="shared" si="18"/>
        <v>EF1 E002 Mat</v>
      </c>
    </row>
    <row r="1188" spans="1:31" ht="45" x14ac:dyDescent="0.25">
      <c r="A1188" s="31" t="s">
        <v>2499</v>
      </c>
      <c r="B1188" s="16" t="s">
        <v>32</v>
      </c>
      <c r="C1188" s="16" t="s">
        <v>33</v>
      </c>
      <c r="D1188" s="33" t="s">
        <v>34</v>
      </c>
      <c r="E1188" s="33">
        <v>130</v>
      </c>
      <c r="F1188" s="33">
        <v>3</v>
      </c>
      <c r="G1188" s="33">
        <v>10</v>
      </c>
      <c r="H1188" s="33"/>
      <c r="I1188" s="31" t="s">
        <v>46</v>
      </c>
      <c r="J1188" s="31"/>
      <c r="K1188" s="33"/>
      <c r="L1188" s="33"/>
      <c r="M1188" s="31"/>
      <c r="N1188" s="31"/>
      <c r="O1188" s="16" t="s">
        <v>2500</v>
      </c>
      <c r="P1188" s="16"/>
      <c r="Q1188" s="16"/>
      <c r="R1188" s="33"/>
      <c r="S1188" s="34"/>
      <c r="T1188" s="34"/>
      <c r="U1188" s="34"/>
      <c r="V1188" s="34"/>
      <c r="W1188" s="34"/>
      <c r="X1188" s="33" t="s">
        <v>162</v>
      </c>
      <c r="Y1188" s="35" t="str">
        <f>IF(Tabela2[[#This Row],[SIGLA]]="","",VLOOKUP(Tabela2[[#This Row],[SIGLA]],Tabela1[[#All],[Sigla Arte]:[Crédito]],2,0))</f>
        <v>IVY NUNES/ARQUIVO DA EDITORA</v>
      </c>
      <c r="Z1188" s="31"/>
      <c r="AA1188" s="31" t="str">
        <f>Tabela2[[#This Row],[ILUSTRADOR CRIAÇÃO]]</f>
        <v>IVY NUNES/ARQUIVO DA EDITORA</v>
      </c>
      <c r="AB1188" s="33"/>
      <c r="AC1188" s="16"/>
      <c r="AE1188" s="35" t="str">
        <f t="shared" si="18"/>
        <v>EF1 E002 Mat</v>
      </c>
    </row>
    <row r="1189" spans="1:31" ht="45" x14ac:dyDescent="0.25">
      <c r="A1189" s="31" t="s">
        <v>2501</v>
      </c>
      <c r="B1189" s="16" t="s">
        <v>32</v>
      </c>
      <c r="C1189" s="16" t="s">
        <v>33</v>
      </c>
      <c r="D1189" s="33" t="s">
        <v>34</v>
      </c>
      <c r="E1189" s="33">
        <v>131</v>
      </c>
      <c r="F1189" s="33">
        <v>3</v>
      </c>
      <c r="G1189" s="33">
        <v>10</v>
      </c>
      <c r="H1189" s="33"/>
      <c r="I1189" s="31" t="s">
        <v>46</v>
      </c>
      <c r="J1189" s="31"/>
      <c r="K1189" s="33"/>
      <c r="L1189" s="33"/>
      <c r="M1189" s="31"/>
      <c r="N1189" s="31"/>
      <c r="O1189" s="16" t="s">
        <v>2502</v>
      </c>
      <c r="P1189" s="16"/>
      <c r="Q1189" s="16"/>
      <c r="R1189" s="33"/>
      <c r="S1189" s="34"/>
      <c r="T1189" s="34"/>
      <c r="U1189" s="34"/>
      <c r="V1189" s="34"/>
      <c r="W1189" s="34"/>
      <c r="X1189" s="33" t="s">
        <v>162</v>
      </c>
      <c r="Y1189" s="35" t="str">
        <f>IF(Tabela2[[#This Row],[SIGLA]]="","",VLOOKUP(Tabela2[[#This Row],[SIGLA]],Tabela1[[#All],[Sigla Arte]:[Crédito]],2,0))</f>
        <v>IVY NUNES/ARQUIVO DA EDITORA</v>
      </c>
      <c r="Z1189" s="31"/>
      <c r="AA1189" s="31" t="str">
        <f>Tabela2[[#This Row],[ILUSTRADOR CRIAÇÃO]]</f>
        <v>IVY NUNES/ARQUIVO DA EDITORA</v>
      </c>
      <c r="AB1189" s="33"/>
      <c r="AC1189" s="16"/>
      <c r="AE1189" s="35" t="str">
        <f t="shared" si="18"/>
        <v>EF1 E002 Mat</v>
      </c>
    </row>
    <row r="1190" spans="1:31" ht="30" x14ac:dyDescent="0.25">
      <c r="A1190" s="31" t="s">
        <v>2503</v>
      </c>
      <c r="B1190" s="16" t="s">
        <v>401</v>
      </c>
      <c r="C1190" s="16" t="s">
        <v>33</v>
      </c>
      <c r="D1190" s="33" t="s">
        <v>34</v>
      </c>
      <c r="E1190" s="33">
        <v>131</v>
      </c>
      <c r="F1190" s="33">
        <v>3</v>
      </c>
      <c r="G1190" s="33">
        <v>10</v>
      </c>
      <c r="H1190" s="33"/>
      <c r="I1190" s="31" t="s">
        <v>46</v>
      </c>
      <c r="J1190" s="31"/>
      <c r="K1190" s="33"/>
      <c r="L1190" s="33"/>
      <c r="M1190" s="31"/>
      <c r="N1190" s="31"/>
      <c r="O1190" s="16" t="s">
        <v>2504</v>
      </c>
      <c r="P1190" s="16"/>
      <c r="Q1190" s="16"/>
      <c r="R1190" s="33"/>
      <c r="S1190" s="34"/>
      <c r="T1190" s="34"/>
      <c r="U1190" s="34"/>
      <c r="V1190" s="34"/>
      <c r="W1190" s="34"/>
      <c r="X1190" s="33" t="s">
        <v>162</v>
      </c>
      <c r="Y1190" s="35" t="str">
        <f>IF(Tabela2[[#This Row],[SIGLA]]="","",VLOOKUP(Tabela2[[#This Row],[SIGLA]],Tabela1[[#All],[Sigla Arte]:[Crédito]],2,0))</f>
        <v>IVY NUNES/ARQUIVO DA EDITORA</v>
      </c>
      <c r="Z1190" s="31"/>
      <c r="AA1190" s="31" t="str">
        <f>Tabela2[[#This Row],[ILUSTRADOR CRIAÇÃO]]</f>
        <v>IVY NUNES/ARQUIVO DA EDITORA</v>
      </c>
      <c r="AB1190" s="33"/>
      <c r="AC1190" s="16"/>
      <c r="AE1190" s="35" t="str">
        <f t="shared" si="18"/>
        <v>EF1 E002 Mat</v>
      </c>
    </row>
    <row r="1191" spans="1:31" ht="45" x14ac:dyDescent="0.25">
      <c r="A1191" s="31" t="s">
        <v>2505</v>
      </c>
      <c r="B1191" s="16" t="s">
        <v>32</v>
      </c>
      <c r="C1191" s="16" t="s">
        <v>33</v>
      </c>
      <c r="D1191" s="33" t="s">
        <v>34</v>
      </c>
      <c r="E1191" s="33">
        <v>132</v>
      </c>
      <c r="F1191" s="33">
        <v>3</v>
      </c>
      <c r="G1191" s="33">
        <v>10</v>
      </c>
      <c r="H1191" s="33"/>
      <c r="I1191" s="31" t="s">
        <v>46</v>
      </c>
      <c r="J1191" s="31"/>
      <c r="K1191" s="33"/>
      <c r="L1191" s="33"/>
      <c r="M1191" s="31"/>
      <c r="N1191" s="31"/>
      <c r="O1191" s="16" t="s">
        <v>2506</v>
      </c>
      <c r="P1191" s="16"/>
      <c r="Q1191" s="16"/>
      <c r="R1191" s="33"/>
      <c r="S1191" s="34"/>
      <c r="T1191" s="34"/>
      <c r="U1191" s="34"/>
      <c r="V1191" s="34"/>
      <c r="W1191" s="34"/>
      <c r="X1191" s="33" t="s">
        <v>2269</v>
      </c>
      <c r="Y1191" s="35" t="str">
        <f>IF(Tabela2[[#This Row],[SIGLA]]="","",VLOOKUP(Tabela2[[#This Row],[SIGLA]],Tabela1[[#All],[Sigla Arte]:[Crédito]],2,0))</f>
        <v>GUSTAVO ALMEIDA/ARQUIVO DA EDITORA</v>
      </c>
      <c r="Z1191" s="31"/>
      <c r="AA1191" s="31" t="str">
        <f>Tabela2[[#This Row],[ILUSTRADOR CRIAÇÃO]]</f>
        <v>GUSTAVO ALMEIDA/ARQUIVO DA EDITORA</v>
      </c>
      <c r="AB1191" s="33"/>
      <c r="AC1191" s="16"/>
      <c r="AE1191" s="35" t="str">
        <f t="shared" si="18"/>
        <v>EF1 E002 Mat</v>
      </c>
    </row>
    <row r="1192" spans="1:31" ht="30" x14ac:dyDescent="0.25">
      <c r="A1192" s="31" t="s">
        <v>2507</v>
      </c>
      <c r="B1192" s="16" t="s">
        <v>32</v>
      </c>
      <c r="C1192" s="16" t="s">
        <v>33</v>
      </c>
      <c r="D1192" s="33" t="s">
        <v>34</v>
      </c>
      <c r="E1192" s="33">
        <v>133</v>
      </c>
      <c r="F1192" s="33">
        <v>3</v>
      </c>
      <c r="G1192" s="33">
        <v>10</v>
      </c>
      <c r="H1192" s="33"/>
      <c r="I1192" s="31" t="s">
        <v>46</v>
      </c>
      <c r="J1192" s="31"/>
      <c r="K1192" s="33"/>
      <c r="L1192" s="33"/>
      <c r="M1192" s="31"/>
      <c r="N1192" s="31"/>
      <c r="O1192" s="16" t="s">
        <v>2508</v>
      </c>
      <c r="P1192" s="16"/>
      <c r="Q1192" s="16"/>
      <c r="R1192" s="33"/>
      <c r="S1192" s="34"/>
      <c r="T1192" s="34"/>
      <c r="U1192" s="34"/>
      <c r="V1192" s="34"/>
      <c r="W1192" s="34"/>
      <c r="X1192" s="33" t="s">
        <v>48</v>
      </c>
      <c r="Y1192" s="35" t="str">
        <f>IF(Tabela2[[#This Row],[SIGLA]]="","",VLOOKUP(Tabela2[[#This Row],[SIGLA]],Tabela1[[#All],[Sigla Arte]:[Crédito]],2,0))</f>
        <v>SERGIO LIMA/ARQUIVO DA EDITORA</v>
      </c>
      <c r="Z1192" s="31"/>
      <c r="AA1192" s="31" t="str">
        <f>Tabela2[[#This Row],[ILUSTRADOR CRIAÇÃO]]</f>
        <v>SERGIO LIMA/ARQUIVO DA EDITORA</v>
      </c>
      <c r="AB1192" s="33"/>
      <c r="AC1192" s="16"/>
      <c r="AE1192" s="35" t="str">
        <f t="shared" si="18"/>
        <v>EF1 E002 Mat</v>
      </c>
    </row>
    <row r="1193" spans="1:31" ht="30" x14ac:dyDescent="0.25">
      <c r="A1193" s="31" t="s">
        <v>2509</v>
      </c>
      <c r="B1193" s="16" t="s">
        <v>32</v>
      </c>
      <c r="C1193" s="16" t="s">
        <v>33</v>
      </c>
      <c r="D1193" s="33" t="s">
        <v>34</v>
      </c>
      <c r="E1193" s="33">
        <v>134</v>
      </c>
      <c r="F1193" s="33">
        <v>3</v>
      </c>
      <c r="G1193" s="33">
        <v>10</v>
      </c>
      <c r="H1193" s="33"/>
      <c r="I1193" s="31" t="s">
        <v>46</v>
      </c>
      <c r="J1193" s="31"/>
      <c r="K1193" s="33"/>
      <c r="L1193" s="33"/>
      <c r="M1193" s="31"/>
      <c r="N1193" s="31"/>
      <c r="O1193" s="16" t="s">
        <v>2510</v>
      </c>
      <c r="P1193" s="16"/>
      <c r="Q1193" s="16"/>
      <c r="R1193" s="33"/>
      <c r="S1193" s="34"/>
      <c r="T1193" s="34"/>
      <c r="U1193" s="34"/>
      <c r="V1193" s="34"/>
      <c r="W1193" s="34"/>
      <c r="X1193" s="33" t="s">
        <v>85</v>
      </c>
      <c r="Y1193" s="35" t="str">
        <f>IF(Tabela2[[#This Row],[SIGLA]]="","",VLOOKUP(Tabela2[[#This Row],[SIGLA]],Tabela1[[#All],[Sigla Arte]:[Crédito]],2,0))</f>
        <v>HELOÍSA PINTARELLI/ARQUIVO DA EDITORA</v>
      </c>
      <c r="Z1193" s="31"/>
      <c r="AA1193" s="31" t="str">
        <f>Tabela2[[#This Row],[ILUSTRADOR CRIAÇÃO]]</f>
        <v>HELOÍSA PINTARELLI/ARQUIVO DA EDITORA</v>
      </c>
      <c r="AB1193" s="33"/>
      <c r="AC1193" s="16"/>
      <c r="AE1193" s="35" t="str">
        <f t="shared" si="18"/>
        <v>EF1 E002 Mat</v>
      </c>
    </row>
    <row r="1194" spans="1:31" ht="30" x14ac:dyDescent="0.25">
      <c r="A1194" s="31" t="s">
        <v>2511</v>
      </c>
      <c r="B1194" s="16" t="s">
        <v>32</v>
      </c>
      <c r="C1194" s="16" t="s">
        <v>33</v>
      </c>
      <c r="D1194" s="33" t="s">
        <v>34</v>
      </c>
      <c r="E1194" s="33">
        <v>134</v>
      </c>
      <c r="F1194" s="33">
        <v>3</v>
      </c>
      <c r="G1194" s="33">
        <v>10</v>
      </c>
      <c r="H1194" s="33"/>
      <c r="I1194" s="31" t="s">
        <v>46</v>
      </c>
      <c r="J1194" s="31"/>
      <c r="K1194" s="33"/>
      <c r="L1194" s="33"/>
      <c r="M1194" s="31"/>
      <c r="N1194" s="31"/>
      <c r="O1194" s="16" t="s">
        <v>2512</v>
      </c>
      <c r="P1194" s="16"/>
      <c r="Q1194" s="16"/>
      <c r="R1194" s="33"/>
      <c r="S1194" s="34"/>
      <c r="T1194" s="34"/>
      <c r="U1194" s="34"/>
      <c r="V1194" s="34"/>
      <c r="W1194" s="34"/>
      <c r="X1194" s="33" t="s">
        <v>2513</v>
      </c>
      <c r="Y1194" s="35" t="str">
        <f>IF(Tabela2[[#This Row],[SIGLA]]="","",VLOOKUP(Tabela2[[#This Row],[SIGLA]],Tabela1[[#All],[Sigla Arte]:[Crédito]],2,0))</f>
        <v>CAMILA CARMONA/ARQUIVO DA EDITORA</v>
      </c>
      <c r="Z1194" s="31"/>
      <c r="AA1194" s="31" t="str">
        <f>Tabela2[[#This Row],[ILUSTRADOR CRIAÇÃO]]</f>
        <v>CAMILA CARMONA/ARQUIVO DA EDITORA</v>
      </c>
      <c r="AB1194" s="33"/>
      <c r="AC1194" s="16"/>
      <c r="AE1194" s="35" t="str">
        <f t="shared" si="18"/>
        <v>EF1 E002 Mat</v>
      </c>
    </row>
    <row r="1195" spans="1:31" ht="30" x14ac:dyDescent="0.25">
      <c r="A1195" s="31" t="s">
        <v>2514</v>
      </c>
      <c r="B1195" s="16" t="s">
        <v>32</v>
      </c>
      <c r="C1195" s="16" t="s">
        <v>33</v>
      </c>
      <c r="D1195" s="33" t="s">
        <v>34</v>
      </c>
      <c r="E1195" s="33">
        <v>136</v>
      </c>
      <c r="F1195" s="33">
        <v>3</v>
      </c>
      <c r="G1195" s="33">
        <v>10</v>
      </c>
      <c r="H1195" s="33"/>
      <c r="I1195" s="31" t="s">
        <v>46</v>
      </c>
      <c r="J1195" s="31"/>
      <c r="K1195" s="33"/>
      <c r="L1195" s="33"/>
      <c r="M1195" s="31"/>
      <c r="N1195" s="31"/>
      <c r="O1195" s="16" t="s">
        <v>2515</v>
      </c>
      <c r="P1195" s="16"/>
      <c r="Q1195" s="16"/>
      <c r="R1195" s="33"/>
      <c r="S1195" s="34"/>
      <c r="T1195" s="34"/>
      <c r="U1195" s="34"/>
      <c r="V1195" s="34"/>
      <c r="W1195" s="34"/>
      <c r="X1195" s="33" t="s">
        <v>2269</v>
      </c>
      <c r="Y1195" s="35" t="str">
        <f>IF(Tabela2[[#This Row],[SIGLA]]="","",VLOOKUP(Tabela2[[#This Row],[SIGLA]],Tabela1[[#All],[Sigla Arte]:[Crédito]],2,0))</f>
        <v>GUSTAVO ALMEIDA/ARQUIVO DA EDITORA</v>
      </c>
      <c r="Z1195" s="31"/>
      <c r="AA1195" s="31" t="str">
        <f>Tabela2[[#This Row],[ILUSTRADOR CRIAÇÃO]]</f>
        <v>GUSTAVO ALMEIDA/ARQUIVO DA EDITORA</v>
      </c>
      <c r="AB1195" s="33"/>
      <c r="AC1195" s="16"/>
      <c r="AE1195" s="35" t="str">
        <f t="shared" si="18"/>
        <v>EF1 E002 Mat</v>
      </c>
    </row>
    <row r="1196" spans="1:31" ht="45" x14ac:dyDescent="0.25">
      <c r="A1196" s="31" t="s">
        <v>2516</v>
      </c>
      <c r="B1196" s="16" t="s">
        <v>401</v>
      </c>
      <c r="C1196" s="16" t="s">
        <v>33</v>
      </c>
      <c r="D1196" s="33" t="s">
        <v>34</v>
      </c>
      <c r="E1196" s="33">
        <v>139</v>
      </c>
      <c r="F1196" s="33">
        <v>3</v>
      </c>
      <c r="G1196" s="33">
        <v>10</v>
      </c>
      <c r="H1196" s="33"/>
      <c r="I1196" s="31" t="s">
        <v>46</v>
      </c>
      <c r="J1196" s="31"/>
      <c r="K1196" s="33"/>
      <c r="L1196" s="33"/>
      <c r="M1196" s="31"/>
      <c r="N1196" s="31"/>
      <c r="O1196" s="16" t="s">
        <v>2517</v>
      </c>
      <c r="P1196" s="16"/>
      <c r="Q1196" s="16"/>
      <c r="R1196" s="33"/>
      <c r="S1196" s="34"/>
      <c r="T1196" s="34"/>
      <c r="U1196" s="34"/>
      <c r="V1196" s="34"/>
      <c r="W1196" s="34"/>
      <c r="X1196" s="33" t="s">
        <v>2269</v>
      </c>
      <c r="Y1196" s="35" t="str">
        <f>IF(Tabela2[[#This Row],[SIGLA]]="","",VLOOKUP(Tabela2[[#This Row],[SIGLA]],Tabela1[[#All],[Sigla Arte]:[Crédito]],2,0))</f>
        <v>GUSTAVO ALMEIDA/ARQUIVO DA EDITORA</v>
      </c>
      <c r="Z1196" s="31"/>
      <c r="AA1196" s="31" t="str">
        <f>Tabela2[[#This Row],[ILUSTRADOR CRIAÇÃO]]</f>
        <v>GUSTAVO ALMEIDA/ARQUIVO DA EDITORA</v>
      </c>
      <c r="AB1196" s="33"/>
      <c r="AC1196" s="16"/>
      <c r="AE1196" s="35" t="str">
        <f t="shared" si="18"/>
        <v>EF1 E002 Mat</v>
      </c>
    </row>
    <row r="1197" spans="1:31" ht="45" x14ac:dyDescent="0.25">
      <c r="A1197" s="31" t="s">
        <v>2518</v>
      </c>
      <c r="B1197" s="16" t="s">
        <v>32</v>
      </c>
      <c r="C1197" s="16" t="s">
        <v>33</v>
      </c>
      <c r="D1197" s="33" t="s">
        <v>34</v>
      </c>
      <c r="E1197" s="33">
        <v>141</v>
      </c>
      <c r="F1197" s="33">
        <v>3</v>
      </c>
      <c r="G1197" s="33">
        <v>10</v>
      </c>
      <c r="H1197" s="33"/>
      <c r="I1197" s="31" t="s">
        <v>46</v>
      </c>
      <c r="J1197" s="31"/>
      <c r="K1197" s="33"/>
      <c r="L1197" s="33"/>
      <c r="M1197" s="31"/>
      <c r="N1197" s="31"/>
      <c r="O1197" s="16" t="s">
        <v>2519</v>
      </c>
      <c r="P1197" s="16"/>
      <c r="Q1197" s="16"/>
      <c r="R1197" s="33"/>
      <c r="S1197" s="34"/>
      <c r="T1197" s="34"/>
      <c r="U1197" s="34"/>
      <c r="V1197" s="34"/>
      <c r="W1197" s="34"/>
      <c r="X1197" s="33" t="s">
        <v>2269</v>
      </c>
      <c r="Y1197" s="35" t="str">
        <f>IF(Tabela2[[#This Row],[SIGLA]]="","",VLOOKUP(Tabela2[[#This Row],[SIGLA]],Tabela1[[#All],[Sigla Arte]:[Crédito]],2,0))</f>
        <v>GUSTAVO ALMEIDA/ARQUIVO DA EDITORA</v>
      </c>
      <c r="Z1197" s="31"/>
      <c r="AA1197" s="31" t="str">
        <f>Tabela2[[#This Row],[ILUSTRADOR CRIAÇÃO]]</f>
        <v>GUSTAVO ALMEIDA/ARQUIVO DA EDITORA</v>
      </c>
      <c r="AB1197" s="33"/>
      <c r="AC1197" s="16"/>
      <c r="AE1197" s="35" t="str">
        <f t="shared" si="18"/>
        <v>EF1 E002 Mat</v>
      </c>
    </row>
    <row r="1198" spans="1:31" ht="30" x14ac:dyDescent="0.25">
      <c r="A1198" s="31" t="s">
        <v>2520</v>
      </c>
      <c r="B1198" s="16" t="s">
        <v>32</v>
      </c>
      <c r="C1198" s="16" t="s">
        <v>33</v>
      </c>
      <c r="D1198" s="33" t="s">
        <v>34</v>
      </c>
      <c r="E1198" s="33">
        <v>142</v>
      </c>
      <c r="F1198" s="33">
        <v>3</v>
      </c>
      <c r="G1198" s="33">
        <v>10</v>
      </c>
      <c r="H1198" s="33"/>
      <c r="I1198" s="31" t="s">
        <v>46</v>
      </c>
      <c r="J1198" s="31"/>
      <c r="K1198" s="33"/>
      <c r="L1198" s="33"/>
      <c r="M1198" s="31"/>
      <c r="N1198" s="31"/>
      <c r="O1198" s="16" t="s">
        <v>2521</v>
      </c>
      <c r="P1198" s="16"/>
      <c r="Q1198" s="16"/>
      <c r="R1198" s="33"/>
      <c r="S1198" s="34"/>
      <c r="T1198" s="34"/>
      <c r="U1198" s="34"/>
      <c r="V1198" s="34"/>
      <c r="W1198" s="34"/>
      <c r="X1198" s="33" t="s">
        <v>2269</v>
      </c>
      <c r="Y1198" s="35" t="str">
        <f>IF(Tabela2[[#This Row],[SIGLA]]="","",VLOOKUP(Tabela2[[#This Row],[SIGLA]],Tabela1[[#All],[Sigla Arte]:[Crédito]],2,0))</f>
        <v>GUSTAVO ALMEIDA/ARQUIVO DA EDITORA</v>
      </c>
      <c r="Z1198" s="31"/>
      <c r="AA1198" s="31" t="str">
        <f>Tabela2[[#This Row],[ILUSTRADOR CRIAÇÃO]]</f>
        <v>GUSTAVO ALMEIDA/ARQUIVO DA EDITORA</v>
      </c>
      <c r="AB1198" s="33"/>
      <c r="AC1198" s="16"/>
      <c r="AE1198" s="35" t="str">
        <f t="shared" si="18"/>
        <v>EF1 E002 Mat</v>
      </c>
    </row>
    <row r="1199" spans="1:31" ht="105" x14ac:dyDescent="0.25">
      <c r="A1199" s="31" t="s">
        <v>2522</v>
      </c>
      <c r="B1199" s="16" t="s">
        <v>32</v>
      </c>
      <c r="C1199" s="16" t="s">
        <v>33</v>
      </c>
      <c r="D1199" s="33" t="s">
        <v>34</v>
      </c>
      <c r="E1199" s="33">
        <v>161</v>
      </c>
      <c r="F1199" s="33">
        <v>1</v>
      </c>
      <c r="G1199" s="33">
        <v>6</v>
      </c>
      <c r="H1199" s="33"/>
      <c r="I1199" s="31" t="s">
        <v>35</v>
      </c>
      <c r="J1199" s="31"/>
      <c r="K1199" s="33"/>
      <c r="L1199" s="33"/>
      <c r="M1199" s="31"/>
      <c r="N1199" s="31"/>
      <c r="O1199" s="16" t="s">
        <v>2523</v>
      </c>
      <c r="P1199" s="16"/>
      <c r="Q1199" s="16"/>
      <c r="R1199" s="33">
        <v>30</v>
      </c>
      <c r="S1199" s="34">
        <v>45771</v>
      </c>
      <c r="T1199" s="34">
        <v>45782</v>
      </c>
      <c r="U1199" s="34"/>
      <c r="V1199" s="34"/>
      <c r="W1199" s="34">
        <v>45783</v>
      </c>
      <c r="X1199" s="33" t="s">
        <v>43</v>
      </c>
      <c r="Y1199" s="35" t="str">
        <f>IF(Tabela2[[#This Row],[SIGLA]]="","",VLOOKUP(Tabela2[[#This Row],[SIGLA]],Tabela1[[#All],[Sigla Arte]:[Crédito]],2,0))</f>
        <v>GUILHERME RODRIGUES/ARQUIVO DA EDITORA</v>
      </c>
      <c r="Z1199" s="31" t="s">
        <v>438</v>
      </c>
      <c r="AA1199" s="31" t="str">
        <f>Tabela2[[#This Row],[ILUSTRADOR CRIAÇÃO]]</f>
        <v>GUILHERME RODRIGUES/ARQUIVO DA EDITORA</v>
      </c>
      <c r="AB1199" s="33">
        <v>13</v>
      </c>
      <c r="AC1199" s="16" t="s">
        <v>439</v>
      </c>
      <c r="AD1199" s="16" t="s">
        <v>40</v>
      </c>
      <c r="AE1199" s="35" t="str">
        <f t="shared" si="18"/>
        <v>EF1 E002 Mat</v>
      </c>
    </row>
    <row r="1200" spans="1:31" ht="195" x14ac:dyDescent="0.25">
      <c r="A1200" s="31" t="s">
        <v>2524</v>
      </c>
      <c r="B1200" s="16" t="s">
        <v>32</v>
      </c>
      <c r="C1200" s="16" t="s">
        <v>33</v>
      </c>
      <c r="D1200" s="33" t="s">
        <v>34</v>
      </c>
      <c r="E1200" s="33">
        <v>162</v>
      </c>
      <c r="F1200" s="33">
        <v>1</v>
      </c>
      <c r="G1200" s="33">
        <v>6</v>
      </c>
      <c r="H1200" s="33"/>
      <c r="I1200" s="31" t="s">
        <v>995</v>
      </c>
      <c r="J1200" s="31"/>
      <c r="K1200" s="33"/>
      <c r="L1200" s="33"/>
      <c r="M1200" s="31"/>
      <c r="N1200" s="31"/>
      <c r="O1200" s="16" t="s">
        <v>2525</v>
      </c>
      <c r="P1200" s="16"/>
      <c r="Q1200" s="16"/>
      <c r="R1200" s="33">
        <v>30</v>
      </c>
      <c r="S1200" s="34">
        <v>45771</v>
      </c>
      <c r="T1200" s="34">
        <v>45782</v>
      </c>
      <c r="U1200" s="34"/>
      <c r="V1200" s="34"/>
      <c r="W1200" s="34">
        <v>45785</v>
      </c>
      <c r="X1200" s="33" t="s">
        <v>48</v>
      </c>
      <c r="Y1200" s="35" t="str">
        <f>IF(Tabela2[[#This Row],[SIGLA]]="","",VLOOKUP(Tabela2[[#This Row],[SIGLA]],Tabela1[[#All],[Sigla Arte]:[Crédito]],2,0))</f>
        <v>SERGIO LIMA/ARQUIVO DA EDITORA</v>
      </c>
      <c r="Z1200" s="31"/>
      <c r="AA1200" s="31" t="str">
        <f>Tabela2[[#This Row],[ILUSTRADOR CRIAÇÃO]]</f>
        <v>SERGIO LIMA/ARQUIVO DA EDITORA</v>
      </c>
      <c r="AB1200" s="33">
        <v>7</v>
      </c>
      <c r="AC1200" s="16" t="s">
        <v>2526</v>
      </c>
      <c r="AD1200" s="16" t="s">
        <v>1093</v>
      </c>
      <c r="AE1200" s="35" t="str">
        <f t="shared" si="18"/>
        <v>EF1 E002 Mat</v>
      </c>
    </row>
    <row r="1201" spans="1:31" ht="60" x14ac:dyDescent="0.25">
      <c r="A1201" s="31" t="s">
        <v>2527</v>
      </c>
      <c r="B1201" s="16" t="s">
        <v>32</v>
      </c>
      <c r="C1201" s="16" t="s">
        <v>33</v>
      </c>
      <c r="D1201" s="33" t="s">
        <v>34</v>
      </c>
      <c r="E1201" s="33">
        <v>163</v>
      </c>
      <c r="F1201" s="33">
        <v>1</v>
      </c>
      <c r="G1201" s="33">
        <v>6</v>
      </c>
      <c r="H1201" s="33"/>
      <c r="I1201" s="31" t="s">
        <v>46</v>
      </c>
      <c r="J1201" s="31"/>
      <c r="K1201" s="33"/>
      <c r="L1201" s="33"/>
      <c r="M1201" s="31"/>
      <c r="N1201" s="31"/>
      <c r="O1201" s="16" t="s">
        <v>2528</v>
      </c>
      <c r="P1201" s="16"/>
      <c r="Q1201" s="16"/>
      <c r="R1201" s="33"/>
      <c r="S1201" s="34"/>
      <c r="T1201" s="34"/>
      <c r="U1201" s="34"/>
      <c r="V1201" s="34"/>
      <c r="W1201" s="34"/>
      <c r="X1201" s="33" t="s">
        <v>351</v>
      </c>
      <c r="Y1201" s="35" t="str">
        <f>IF(Tabela2[[#This Row],[SIGLA]]="","",VLOOKUP(Tabela2[[#This Row],[SIGLA]],Tabela1[[#All],[Sigla Arte]:[Crédito]],2,0))</f>
        <v>RAITAN OHI/ARQUIVO DA EDITORA</v>
      </c>
      <c r="Z1201" s="31"/>
      <c r="AA1201" s="31" t="str">
        <f>Tabela2[[#This Row],[ILUSTRADOR CRIAÇÃO]]</f>
        <v>RAITAN OHI/ARQUIVO DA EDITORA</v>
      </c>
      <c r="AB1201" s="33"/>
      <c r="AC1201" s="16"/>
      <c r="AE1201" s="35" t="str">
        <f t="shared" si="18"/>
        <v>EF1 E002 Mat</v>
      </c>
    </row>
    <row r="1202" spans="1:31" ht="75" x14ac:dyDescent="0.25">
      <c r="A1202" s="31" t="s">
        <v>2529</v>
      </c>
      <c r="B1202" s="16" t="s">
        <v>32</v>
      </c>
      <c r="C1202" s="16" t="s">
        <v>33</v>
      </c>
      <c r="D1202" s="33" t="s">
        <v>34</v>
      </c>
      <c r="E1202" s="33">
        <v>164</v>
      </c>
      <c r="F1202" s="33">
        <v>1</v>
      </c>
      <c r="G1202" s="33">
        <v>6</v>
      </c>
      <c r="H1202" s="33"/>
      <c r="I1202" s="31" t="s">
        <v>995</v>
      </c>
      <c r="J1202" s="31"/>
      <c r="K1202" s="33"/>
      <c r="L1202" s="33"/>
      <c r="M1202" s="31"/>
      <c r="N1202" s="31"/>
      <c r="O1202" s="16" t="s">
        <v>2530</v>
      </c>
      <c r="P1202" s="16"/>
      <c r="Q1202" s="16"/>
      <c r="R1202" s="33">
        <v>30</v>
      </c>
      <c r="S1202" s="34">
        <v>45771</v>
      </c>
      <c r="T1202" s="34">
        <v>45782</v>
      </c>
      <c r="U1202" s="34"/>
      <c r="V1202" s="34"/>
      <c r="W1202" s="34">
        <v>45785</v>
      </c>
      <c r="X1202" s="33" t="s">
        <v>48</v>
      </c>
      <c r="Y1202" s="35" t="str">
        <f>IF(Tabela2[[#This Row],[SIGLA]]="","",VLOOKUP(Tabela2[[#This Row],[SIGLA]],Tabela1[[#All],[Sigla Arte]:[Crédito]],2,0))</f>
        <v>SERGIO LIMA/ARQUIVO DA EDITORA</v>
      </c>
      <c r="Z1202" s="31"/>
      <c r="AA1202" s="31" t="str">
        <f>Tabela2[[#This Row],[ILUSTRADOR CRIAÇÃO]]</f>
        <v>SERGIO LIMA/ARQUIVO DA EDITORA</v>
      </c>
      <c r="AB1202" s="33">
        <v>7</v>
      </c>
      <c r="AC1202" s="16" t="s">
        <v>2526</v>
      </c>
      <c r="AD1202" s="16" t="s">
        <v>1093</v>
      </c>
      <c r="AE1202" s="35" t="str">
        <f t="shared" si="18"/>
        <v>EF1 E002 Mat</v>
      </c>
    </row>
    <row r="1203" spans="1:31" ht="45" x14ac:dyDescent="0.25">
      <c r="A1203" s="31" t="s">
        <v>2531</v>
      </c>
      <c r="B1203" s="16" t="s">
        <v>32</v>
      </c>
      <c r="C1203" s="16" t="s">
        <v>33</v>
      </c>
      <c r="D1203" s="33" t="s">
        <v>34</v>
      </c>
      <c r="E1203" s="33">
        <v>164</v>
      </c>
      <c r="F1203" s="33">
        <v>1</v>
      </c>
      <c r="G1203" s="33">
        <v>6</v>
      </c>
      <c r="H1203" s="33"/>
      <c r="I1203" s="31" t="s">
        <v>995</v>
      </c>
      <c r="J1203" s="31"/>
      <c r="K1203" s="33"/>
      <c r="L1203" s="33"/>
      <c r="M1203" s="31"/>
      <c r="N1203" s="31"/>
      <c r="O1203" s="16" t="s">
        <v>2532</v>
      </c>
      <c r="P1203" s="16"/>
      <c r="Q1203" s="16"/>
      <c r="R1203" s="33">
        <v>30</v>
      </c>
      <c r="S1203" s="34">
        <v>45771</v>
      </c>
      <c r="T1203" s="34">
        <v>45782</v>
      </c>
      <c r="U1203" s="34"/>
      <c r="V1203" s="34"/>
      <c r="W1203" s="34">
        <v>45785</v>
      </c>
      <c r="X1203" s="33" t="s">
        <v>48</v>
      </c>
      <c r="Y1203" s="35" t="str">
        <f>IF(Tabela2[[#This Row],[SIGLA]]="","",VLOOKUP(Tabela2[[#This Row],[SIGLA]],Tabela1[[#All],[Sigla Arte]:[Crédito]],2,0))</f>
        <v>SERGIO LIMA/ARQUIVO DA EDITORA</v>
      </c>
      <c r="Z1203" s="31"/>
      <c r="AA1203" s="31" t="str">
        <f>Tabela2[[#This Row],[ILUSTRADOR CRIAÇÃO]]</f>
        <v>SERGIO LIMA/ARQUIVO DA EDITORA</v>
      </c>
      <c r="AB1203" s="33">
        <v>7</v>
      </c>
      <c r="AC1203" s="16" t="s">
        <v>2526</v>
      </c>
      <c r="AD1203" s="16" t="s">
        <v>1093</v>
      </c>
      <c r="AE1203" s="35" t="str">
        <f t="shared" si="18"/>
        <v>EF1 E002 Mat</v>
      </c>
    </row>
    <row r="1204" spans="1:31" ht="75" x14ac:dyDescent="0.25">
      <c r="A1204" s="31" t="s">
        <v>2533</v>
      </c>
      <c r="B1204" s="16" t="s">
        <v>32</v>
      </c>
      <c r="C1204" s="16" t="s">
        <v>33</v>
      </c>
      <c r="D1204" s="33" t="s">
        <v>34</v>
      </c>
      <c r="E1204" s="33">
        <v>164</v>
      </c>
      <c r="F1204" s="33">
        <v>1</v>
      </c>
      <c r="G1204" s="33">
        <v>6</v>
      </c>
      <c r="H1204" s="33"/>
      <c r="I1204" s="31" t="s">
        <v>995</v>
      </c>
      <c r="J1204" s="31"/>
      <c r="K1204" s="33"/>
      <c r="L1204" s="33"/>
      <c r="M1204" s="31"/>
      <c r="N1204" s="31"/>
      <c r="O1204" s="16" t="s">
        <v>2534</v>
      </c>
      <c r="P1204" s="16"/>
      <c r="Q1204" s="16"/>
      <c r="R1204" s="33">
        <v>30</v>
      </c>
      <c r="S1204" s="34">
        <v>45771</v>
      </c>
      <c r="T1204" s="34">
        <v>45782</v>
      </c>
      <c r="U1204" s="34"/>
      <c r="V1204" s="34"/>
      <c r="W1204" s="34">
        <v>45785</v>
      </c>
      <c r="X1204" s="33" t="s">
        <v>48</v>
      </c>
      <c r="Y1204" s="35" t="str">
        <f>IF(Tabela2[[#This Row],[SIGLA]]="","",VLOOKUP(Tabela2[[#This Row],[SIGLA]],Tabela1[[#All],[Sigla Arte]:[Crédito]],2,0))</f>
        <v>SERGIO LIMA/ARQUIVO DA EDITORA</v>
      </c>
      <c r="Z1204" s="31"/>
      <c r="AA1204" s="31" t="str">
        <f>Tabela2[[#This Row],[ILUSTRADOR CRIAÇÃO]]</f>
        <v>SERGIO LIMA/ARQUIVO DA EDITORA</v>
      </c>
      <c r="AB1204" s="33">
        <v>7</v>
      </c>
      <c r="AC1204" s="16" t="s">
        <v>2526</v>
      </c>
      <c r="AD1204" s="16" t="s">
        <v>1093</v>
      </c>
      <c r="AE1204" s="35" t="str">
        <f t="shared" si="18"/>
        <v>EF1 E002 Mat</v>
      </c>
    </row>
    <row r="1205" spans="1:31" ht="90" x14ac:dyDescent="0.25">
      <c r="A1205" s="31" t="s">
        <v>2535</v>
      </c>
      <c r="B1205" s="16" t="s">
        <v>32</v>
      </c>
      <c r="C1205" s="16" t="s">
        <v>33</v>
      </c>
      <c r="D1205" s="33" t="s">
        <v>34</v>
      </c>
      <c r="E1205" s="33">
        <v>164</v>
      </c>
      <c r="F1205" s="33">
        <v>1</v>
      </c>
      <c r="G1205" s="33">
        <v>6</v>
      </c>
      <c r="H1205" s="33"/>
      <c r="I1205" s="31" t="s">
        <v>995</v>
      </c>
      <c r="J1205" s="31"/>
      <c r="K1205" s="33"/>
      <c r="L1205" s="33"/>
      <c r="M1205" s="31"/>
      <c r="N1205" s="31"/>
      <c r="O1205" s="16" t="s">
        <v>2536</v>
      </c>
      <c r="P1205" s="16"/>
      <c r="Q1205" s="16"/>
      <c r="R1205" s="33">
        <v>30</v>
      </c>
      <c r="S1205" s="34">
        <v>45771</v>
      </c>
      <c r="T1205" s="34">
        <v>45782</v>
      </c>
      <c r="U1205" s="34"/>
      <c r="V1205" s="34"/>
      <c r="W1205" s="34">
        <v>45785</v>
      </c>
      <c r="X1205" s="33" t="s">
        <v>48</v>
      </c>
      <c r="Y1205" s="35" t="str">
        <f>IF(Tabela2[[#This Row],[SIGLA]]="","",VLOOKUP(Tabela2[[#This Row],[SIGLA]],Tabela1[[#All],[Sigla Arte]:[Crédito]],2,0))</f>
        <v>SERGIO LIMA/ARQUIVO DA EDITORA</v>
      </c>
      <c r="Z1205" s="31"/>
      <c r="AA1205" s="31" t="str">
        <f>Tabela2[[#This Row],[ILUSTRADOR CRIAÇÃO]]</f>
        <v>SERGIO LIMA/ARQUIVO DA EDITORA</v>
      </c>
      <c r="AB1205" s="33">
        <v>7</v>
      </c>
      <c r="AC1205" s="16" t="s">
        <v>2526</v>
      </c>
      <c r="AD1205" s="16" t="s">
        <v>1093</v>
      </c>
      <c r="AE1205" s="35" t="str">
        <f t="shared" si="18"/>
        <v>EF1 E002 Mat</v>
      </c>
    </row>
    <row r="1206" spans="1:31" ht="90" x14ac:dyDescent="0.25">
      <c r="A1206" s="31" t="s">
        <v>2537</v>
      </c>
      <c r="B1206" s="16" t="s">
        <v>32</v>
      </c>
      <c r="C1206" s="16" t="s">
        <v>33</v>
      </c>
      <c r="D1206" s="33" t="s">
        <v>34</v>
      </c>
      <c r="E1206" s="33">
        <v>164</v>
      </c>
      <c r="F1206" s="33">
        <v>1</v>
      </c>
      <c r="G1206" s="33">
        <v>6</v>
      </c>
      <c r="H1206" s="33"/>
      <c r="I1206" s="31" t="s">
        <v>995</v>
      </c>
      <c r="J1206" s="31"/>
      <c r="K1206" s="33"/>
      <c r="L1206" s="33"/>
      <c r="M1206" s="31"/>
      <c r="N1206" s="31"/>
      <c r="O1206" s="16" t="s">
        <v>2538</v>
      </c>
      <c r="P1206" s="16"/>
      <c r="Q1206" s="16"/>
      <c r="R1206" s="33">
        <v>30</v>
      </c>
      <c r="S1206" s="34">
        <v>45771</v>
      </c>
      <c r="T1206" s="34">
        <v>45782</v>
      </c>
      <c r="U1206" s="34"/>
      <c r="V1206" s="34"/>
      <c r="W1206" s="34">
        <v>45785</v>
      </c>
      <c r="X1206" s="33" t="s">
        <v>48</v>
      </c>
      <c r="Y1206" s="35" t="str">
        <f>IF(Tabela2[[#This Row],[SIGLA]]="","",VLOOKUP(Tabela2[[#This Row],[SIGLA]],Tabela1[[#All],[Sigla Arte]:[Crédito]],2,0))</f>
        <v>SERGIO LIMA/ARQUIVO DA EDITORA</v>
      </c>
      <c r="Z1206" s="31"/>
      <c r="AA1206" s="31" t="str">
        <f>Tabela2[[#This Row],[ILUSTRADOR CRIAÇÃO]]</f>
        <v>SERGIO LIMA/ARQUIVO DA EDITORA</v>
      </c>
      <c r="AB1206" s="33">
        <v>7</v>
      </c>
      <c r="AC1206" s="16" t="s">
        <v>2526</v>
      </c>
      <c r="AD1206" s="16" t="s">
        <v>1093</v>
      </c>
      <c r="AE1206" s="35" t="str">
        <f t="shared" si="18"/>
        <v>EF1 E002 Mat</v>
      </c>
    </row>
    <row r="1207" spans="1:31" ht="90" x14ac:dyDescent="0.25">
      <c r="A1207" s="31" t="s">
        <v>2539</v>
      </c>
      <c r="B1207" s="16" t="s">
        <v>32</v>
      </c>
      <c r="C1207" s="16" t="s">
        <v>33</v>
      </c>
      <c r="D1207" s="33" t="s">
        <v>34</v>
      </c>
      <c r="E1207" s="33">
        <v>164</v>
      </c>
      <c r="F1207" s="33">
        <v>1</v>
      </c>
      <c r="G1207" s="33">
        <v>6</v>
      </c>
      <c r="H1207" s="33"/>
      <c r="I1207" s="31" t="s">
        <v>995</v>
      </c>
      <c r="J1207" s="31"/>
      <c r="K1207" s="33"/>
      <c r="L1207" s="33"/>
      <c r="M1207" s="31"/>
      <c r="N1207" s="31"/>
      <c r="O1207" s="16" t="s">
        <v>2540</v>
      </c>
      <c r="P1207" s="16"/>
      <c r="Q1207" s="16"/>
      <c r="R1207" s="33">
        <v>30</v>
      </c>
      <c r="S1207" s="34">
        <v>45771</v>
      </c>
      <c r="T1207" s="34">
        <v>45782</v>
      </c>
      <c r="U1207" s="34"/>
      <c r="V1207" s="34"/>
      <c r="W1207" s="34">
        <v>45785</v>
      </c>
      <c r="X1207" s="33" t="s">
        <v>48</v>
      </c>
      <c r="Y1207" s="35" t="str">
        <f>IF(Tabela2[[#This Row],[SIGLA]]="","",VLOOKUP(Tabela2[[#This Row],[SIGLA]],Tabela1[[#All],[Sigla Arte]:[Crédito]],2,0))</f>
        <v>SERGIO LIMA/ARQUIVO DA EDITORA</v>
      </c>
      <c r="Z1207" s="31"/>
      <c r="AA1207" s="31" t="str">
        <f>Tabela2[[#This Row],[ILUSTRADOR CRIAÇÃO]]</f>
        <v>SERGIO LIMA/ARQUIVO DA EDITORA</v>
      </c>
      <c r="AB1207" s="33">
        <v>7</v>
      </c>
      <c r="AC1207" s="16" t="s">
        <v>2526</v>
      </c>
      <c r="AD1207" s="16" t="s">
        <v>1093</v>
      </c>
      <c r="AE1207" s="35" t="str">
        <f t="shared" si="18"/>
        <v>EF1 E002 Mat</v>
      </c>
    </row>
    <row r="1208" spans="1:31" ht="195" x14ac:dyDescent="0.25">
      <c r="A1208" s="31" t="s">
        <v>2541</v>
      </c>
      <c r="B1208" s="16" t="s">
        <v>32</v>
      </c>
      <c r="C1208" s="16" t="s">
        <v>33</v>
      </c>
      <c r="D1208" s="33" t="s">
        <v>34</v>
      </c>
      <c r="E1208" s="33">
        <v>12</v>
      </c>
      <c r="F1208" s="33">
        <v>4</v>
      </c>
      <c r="G1208" s="33">
        <v>1</v>
      </c>
      <c r="H1208" s="33"/>
      <c r="I1208" s="31" t="s">
        <v>35</v>
      </c>
      <c r="J1208" s="31"/>
      <c r="K1208" s="33"/>
      <c r="L1208" s="33"/>
      <c r="M1208" s="31"/>
      <c r="N1208" s="31"/>
      <c r="O1208" s="16" t="s">
        <v>2542</v>
      </c>
      <c r="P1208" s="16"/>
      <c r="Q1208" s="16"/>
      <c r="R1208" s="33">
        <v>111</v>
      </c>
      <c r="S1208" s="34">
        <v>45882</v>
      </c>
      <c r="T1208" s="34">
        <v>45884</v>
      </c>
      <c r="U1208" s="34"/>
      <c r="V1208" s="34"/>
      <c r="W1208" s="34">
        <v>45887</v>
      </c>
      <c r="X1208" s="33" t="s">
        <v>37</v>
      </c>
      <c r="Y1208" s="35" t="str">
        <f>IF(Tabela2[[#This Row],[SIGLA]]="","",VLOOKUP(Tabela2[[#This Row],[SIGLA]],Tabela1[[#All],[Sigla Arte]:[Crédito]],2,0))</f>
        <v>CAIO TANAKA/ARQUIVO DA EDITORA</v>
      </c>
      <c r="Z1208" s="31" t="s">
        <v>38</v>
      </c>
      <c r="AA1208" s="31" t="str">
        <f>Tabela2[[#This Row],[ILUSTRADOR CRIAÇÃO]]</f>
        <v>CAIO TANAKA/ARQUIVO DA EDITORA</v>
      </c>
      <c r="AB1208" s="33">
        <v>13</v>
      </c>
      <c r="AC1208" s="16" t="s">
        <v>39</v>
      </c>
      <c r="AD1208" s="16" t="s">
        <v>40</v>
      </c>
      <c r="AE1208" s="35" t="str">
        <f t="shared" si="18"/>
        <v>EF1 E002 Mat</v>
      </c>
    </row>
    <row r="1209" spans="1:31" ht="30" x14ac:dyDescent="0.25">
      <c r="A1209" s="31" t="s">
        <v>2543</v>
      </c>
      <c r="B1209" s="16" t="s">
        <v>32</v>
      </c>
      <c r="C1209" s="16" t="s">
        <v>33</v>
      </c>
      <c r="D1209" s="33" t="s">
        <v>34</v>
      </c>
      <c r="E1209" s="33">
        <v>12</v>
      </c>
      <c r="F1209" s="33">
        <v>4</v>
      </c>
      <c r="G1209" s="33">
        <v>1</v>
      </c>
      <c r="H1209" s="33"/>
      <c r="I1209" s="31" t="s">
        <v>46</v>
      </c>
      <c r="J1209" s="31"/>
      <c r="K1209" s="33"/>
      <c r="L1209" s="33"/>
      <c r="M1209" s="31"/>
      <c r="N1209" s="31"/>
      <c r="O1209" s="16" t="s">
        <v>2544</v>
      </c>
      <c r="P1209" s="16"/>
      <c r="Q1209" s="16"/>
      <c r="R1209" s="33"/>
      <c r="S1209" s="34"/>
      <c r="T1209" s="34"/>
      <c r="U1209" s="34"/>
      <c r="V1209" s="34"/>
      <c r="W1209" s="34"/>
      <c r="X1209" s="33" t="s">
        <v>37</v>
      </c>
      <c r="Y1209" s="35" t="str">
        <f>IF(Tabela2[[#This Row],[SIGLA]]="","",VLOOKUP(Tabela2[[#This Row],[SIGLA]],Tabela1[[#All],[Sigla Arte]:[Crédito]],2,0))</f>
        <v>CAIO TANAKA/ARQUIVO DA EDITORA</v>
      </c>
      <c r="Z1209" s="31"/>
      <c r="AA1209" s="31" t="str">
        <f>Tabela2[[#This Row],[ILUSTRADOR CRIAÇÃO]]</f>
        <v>CAIO TANAKA/ARQUIVO DA EDITORA</v>
      </c>
      <c r="AB1209" s="33"/>
      <c r="AC1209" s="16"/>
      <c r="AE1209" s="35" t="str">
        <f t="shared" si="18"/>
        <v>EF1 E002 Mat</v>
      </c>
    </row>
    <row r="1210" spans="1:31" ht="30" x14ac:dyDescent="0.25">
      <c r="A1210" s="31" t="s">
        <v>2545</v>
      </c>
      <c r="B1210" s="16" t="s">
        <v>32</v>
      </c>
      <c r="C1210" s="16" t="s">
        <v>33</v>
      </c>
      <c r="D1210" s="33" t="s">
        <v>34</v>
      </c>
      <c r="E1210" s="33">
        <v>12</v>
      </c>
      <c r="F1210" s="33">
        <v>4</v>
      </c>
      <c r="G1210" s="33">
        <v>1</v>
      </c>
      <c r="H1210" s="33"/>
      <c r="I1210" s="31" t="s">
        <v>35</v>
      </c>
      <c r="J1210" s="31"/>
      <c r="K1210" s="33"/>
      <c r="L1210" s="33"/>
      <c r="M1210" s="31"/>
      <c r="N1210" s="31"/>
      <c r="O1210" s="16" t="s">
        <v>2546</v>
      </c>
      <c r="P1210" s="16"/>
      <c r="Q1210" s="16"/>
      <c r="R1210" s="33">
        <v>187</v>
      </c>
      <c r="S1210" s="34">
        <v>45937</v>
      </c>
      <c r="T1210" s="34">
        <v>45938</v>
      </c>
      <c r="U1210" s="34"/>
      <c r="V1210" s="34"/>
      <c r="W1210" s="34">
        <v>45938</v>
      </c>
      <c r="X1210" s="33" t="s">
        <v>37</v>
      </c>
      <c r="Y1210" s="35" t="str">
        <f>IF(Tabela2[[#This Row],[SIGLA]]="","",VLOOKUP(Tabela2[[#This Row],[SIGLA]],Tabela1[[#All],[Sigla Arte]:[Crédito]],2,0))</f>
        <v>CAIO TANAKA/ARQUIVO DA EDITORA</v>
      </c>
      <c r="Z1210" s="31" t="s">
        <v>1465</v>
      </c>
      <c r="AA1210" s="31" t="str">
        <f>Tabela2[[#This Row],[ILUSTRADOR CRIAÇÃO]]</f>
        <v>CAIO TANAKA/ARQUIVO DA EDITORA</v>
      </c>
      <c r="AB1210" s="33">
        <v>13</v>
      </c>
      <c r="AC1210" s="16"/>
      <c r="AD1210" s="16" t="s">
        <v>40</v>
      </c>
      <c r="AE1210" s="35" t="str">
        <f t="shared" si="18"/>
        <v>EF1 E002 Mat</v>
      </c>
    </row>
    <row r="1211" spans="1:31" ht="30" x14ac:dyDescent="0.25">
      <c r="A1211" s="31" t="s">
        <v>2547</v>
      </c>
      <c r="B1211" s="16" t="s">
        <v>32</v>
      </c>
      <c r="C1211" s="16" t="s">
        <v>33</v>
      </c>
      <c r="D1211" s="33" t="s">
        <v>34</v>
      </c>
      <c r="E1211" s="33">
        <v>12</v>
      </c>
      <c r="F1211" s="33">
        <v>4</v>
      </c>
      <c r="G1211" s="33">
        <v>1</v>
      </c>
      <c r="H1211" s="33"/>
      <c r="I1211" s="31" t="s">
        <v>35</v>
      </c>
      <c r="J1211" s="31"/>
      <c r="K1211" s="33"/>
      <c r="L1211" s="33"/>
      <c r="M1211" s="31"/>
      <c r="N1211" s="31"/>
      <c r="O1211" s="16" t="s">
        <v>2548</v>
      </c>
      <c r="P1211" s="16"/>
      <c r="Q1211" s="16"/>
      <c r="R1211" s="33">
        <v>188</v>
      </c>
      <c r="S1211" s="34">
        <v>45938</v>
      </c>
      <c r="T1211" s="34">
        <v>45938</v>
      </c>
      <c r="U1211" s="34"/>
      <c r="V1211" s="34"/>
      <c r="W1211" s="34">
        <v>45938</v>
      </c>
      <c r="X1211" s="33" t="s">
        <v>37</v>
      </c>
      <c r="Y1211" s="35" t="str">
        <f>IF(Tabela2[[#This Row],[SIGLA]]="","",VLOOKUP(Tabela2[[#This Row],[SIGLA]],Tabela1[[#All],[Sigla Arte]:[Crédito]],2,0))</f>
        <v>CAIO TANAKA/ARQUIVO DA EDITORA</v>
      </c>
      <c r="Z1211" s="31" t="s">
        <v>572</v>
      </c>
      <c r="AA1211" s="31" t="str">
        <f>Tabela2[[#This Row],[ILUSTRADOR CRIAÇÃO]]</f>
        <v>CAIO TANAKA/ARQUIVO DA EDITORA</v>
      </c>
      <c r="AB1211" s="33">
        <v>13</v>
      </c>
      <c r="AC1211" s="16" t="s">
        <v>44</v>
      </c>
      <c r="AD1211" s="16" t="s">
        <v>40</v>
      </c>
      <c r="AE1211" s="35" t="str">
        <f t="shared" si="18"/>
        <v>EF1 E002 Mat</v>
      </c>
    </row>
    <row r="1212" spans="1:31" ht="45" x14ac:dyDescent="0.25">
      <c r="A1212" s="31" t="s">
        <v>2549</v>
      </c>
      <c r="B1212" s="16" t="s">
        <v>32</v>
      </c>
      <c r="C1212" s="16" t="s">
        <v>33</v>
      </c>
      <c r="D1212" s="33" t="s">
        <v>34</v>
      </c>
      <c r="E1212" s="33">
        <v>13</v>
      </c>
      <c r="F1212" s="33">
        <v>4</v>
      </c>
      <c r="G1212" s="33">
        <v>1</v>
      </c>
      <c r="H1212" s="33"/>
      <c r="I1212" s="31" t="s">
        <v>35</v>
      </c>
      <c r="J1212" s="31"/>
      <c r="K1212" s="33"/>
      <c r="L1212" s="33"/>
      <c r="M1212" s="31"/>
      <c r="N1212" s="31"/>
      <c r="O1212" s="16" t="s">
        <v>2550</v>
      </c>
      <c r="P1212" s="16"/>
      <c r="Q1212" s="16"/>
      <c r="R1212" s="33">
        <v>111</v>
      </c>
      <c r="S1212" s="34">
        <v>45882</v>
      </c>
      <c r="T1212" s="34">
        <v>45884</v>
      </c>
      <c r="U1212" s="34"/>
      <c r="V1212" s="34"/>
      <c r="W1212" s="34">
        <v>45887</v>
      </c>
      <c r="X1212" s="33" t="s">
        <v>2269</v>
      </c>
      <c r="Y1212" s="35" t="str">
        <f>IF(Tabela2[[#This Row],[SIGLA]]="","",VLOOKUP(Tabela2[[#This Row],[SIGLA]],Tabela1[[#All],[Sigla Arte]:[Crédito]],2,0))</f>
        <v>GUSTAVO ALMEIDA/ARQUIVO DA EDITORA</v>
      </c>
      <c r="Z1212" s="31" t="s">
        <v>38</v>
      </c>
      <c r="AA1212" s="31" t="str">
        <f>Tabela2[[#This Row],[ILUSTRADOR CRIAÇÃO]]</f>
        <v>GUSTAVO ALMEIDA/ARQUIVO DA EDITORA</v>
      </c>
      <c r="AB1212" s="33">
        <v>13</v>
      </c>
      <c r="AC1212" s="16" t="s">
        <v>39</v>
      </c>
      <c r="AD1212" s="16" t="s">
        <v>40</v>
      </c>
      <c r="AE1212" s="35" t="str">
        <f t="shared" si="18"/>
        <v>EF1 E002 Mat</v>
      </c>
    </row>
    <row r="1213" spans="1:31" ht="30" x14ac:dyDescent="0.25">
      <c r="A1213" s="31" t="s">
        <v>2551</v>
      </c>
      <c r="B1213" s="16" t="s">
        <v>32</v>
      </c>
      <c r="C1213" s="16" t="s">
        <v>33</v>
      </c>
      <c r="D1213" s="33" t="s">
        <v>34</v>
      </c>
      <c r="E1213" s="33">
        <v>13</v>
      </c>
      <c r="F1213" s="33">
        <v>4</v>
      </c>
      <c r="G1213" s="33">
        <v>1</v>
      </c>
      <c r="H1213" s="33"/>
      <c r="I1213" s="31" t="s">
        <v>46</v>
      </c>
      <c r="J1213" s="31"/>
      <c r="K1213" s="33"/>
      <c r="L1213" s="33"/>
      <c r="M1213" s="31"/>
      <c r="N1213" s="31"/>
      <c r="O1213" s="16" t="s">
        <v>2552</v>
      </c>
      <c r="P1213" s="16"/>
      <c r="Q1213" s="16"/>
      <c r="R1213" s="33"/>
      <c r="S1213" s="34"/>
      <c r="T1213" s="34"/>
      <c r="U1213" s="34"/>
      <c r="V1213" s="34"/>
      <c r="W1213" s="34"/>
      <c r="X1213" s="33" t="s">
        <v>2269</v>
      </c>
      <c r="Y1213" s="35" t="str">
        <f>IF(Tabela2[[#This Row],[SIGLA]]="","",VLOOKUP(Tabela2[[#This Row],[SIGLA]],Tabela1[[#All],[Sigla Arte]:[Crédito]],2,0))</f>
        <v>GUSTAVO ALMEIDA/ARQUIVO DA EDITORA</v>
      </c>
      <c r="Z1213" s="31"/>
      <c r="AA1213" s="31" t="str">
        <f>Tabela2[[#This Row],[ILUSTRADOR CRIAÇÃO]]</f>
        <v>GUSTAVO ALMEIDA/ARQUIVO DA EDITORA</v>
      </c>
      <c r="AB1213" s="33"/>
      <c r="AC1213" s="16"/>
      <c r="AE1213" s="35" t="str">
        <f t="shared" si="18"/>
        <v>EF1 E002 Mat</v>
      </c>
    </row>
    <row r="1214" spans="1:31" ht="30" x14ac:dyDescent="0.25">
      <c r="A1214" s="31" t="s">
        <v>2553</v>
      </c>
      <c r="B1214" s="16" t="s">
        <v>32</v>
      </c>
      <c r="C1214" s="16" t="s">
        <v>164</v>
      </c>
      <c r="D1214" s="33" t="s">
        <v>34</v>
      </c>
      <c r="E1214" s="33">
        <v>14</v>
      </c>
      <c r="F1214" s="33">
        <v>4</v>
      </c>
      <c r="G1214" s="33">
        <v>1</v>
      </c>
      <c r="H1214" s="33"/>
      <c r="I1214" s="31" t="s">
        <v>46</v>
      </c>
      <c r="J1214" s="31"/>
      <c r="K1214" s="33"/>
      <c r="L1214" s="33"/>
      <c r="M1214" s="31"/>
      <c r="N1214" s="31"/>
      <c r="O1214" s="16" t="s">
        <v>2554</v>
      </c>
      <c r="P1214" s="16"/>
      <c r="Q1214" s="16"/>
      <c r="R1214" s="33"/>
      <c r="S1214" s="34"/>
      <c r="T1214" s="34"/>
      <c r="U1214" s="34"/>
      <c r="V1214" s="34"/>
      <c r="W1214" s="34"/>
      <c r="X1214" s="33" t="s">
        <v>470</v>
      </c>
      <c r="Y1214" s="35" t="str">
        <f>IF(Tabela2[[#This Row],[SIGLA]]="","",VLOOKUP(Tabela2[[#This Row],[SIGLA]],Tabela1[[#All],[Sigla Arte]:[Crédito]],2,0))</f>
        <v>RENAN FONSECA/ARQUIVO DA EDITORA</v>
      </c>
      <c r="Z1214" s="31"/>
      <c r="AA1214" s="31" t="str">
        <f>Tabela2[[#This Row],[ILUSTRADOR CRIAÇÃO]]</f>
        <v>RENAN FONSECA/ARQUIVO DA EDITORA</v>
      </c>
      <c r="AB1214" s="33"/>
      <c r="AC1214" s="16"/>
      <c r="AE1214" s="35" t="str">
        <f t="shared" si="18"/>
        <v>EF1 E002 Mat</v>
      </c>
    </row>
    <row r="1215" spans="1:31" ht="30" x14ac:dyDescent="0.25">
      <c r="A1215" s="31" t="s">
        <v>2555</v>
      </c>
      <c r="B1215" s="16" t="s">
        <v>32</v>
      </c>
      <c r="C1215" s="16" t="s">
        <v>164</v>
      </c>
      <c r="D1215" s="33" t="s">
        <v>34</v>
      </c>
      <c r="E1215" s="33">
        <v>14</v>
      </c>
      <c r="F1215" s="33">
        <v>4</v>
      </c>
      <c r="G1215" s="33">
        <v>1</v>
      </c>
      <c r="H1215" s="33"/>
      <c r="I1215" s="31" t="s">
        <v>46</v>
      </c>
      <c r="J1215" s="31"/>
      <c r="K1215" s="33"/>
      <c r="L1215" s="33"/>
      <c r="M1215" s="31"/>
      <c r="N1215" s="31"/>
      <c r="O1215" s="16" t="s">
        <v>2556</v>
      </c>
      <c r="P1215" s="16"/>
      <c r="Q1215" s="16"/>
      <c r="R1215" s="33"/>
      <c r="S1215" s="34"/>
      <c r="T1215" s="34"/>
      <c r="U1215" s="34"/>
      <c r="V1215" s="34"/>
      <c r="W1215" s="34"/>
      <c r="X1215" s="33" t="s">
        <v>470</v>
      </c>
      <c r="Y1215" s="35" t="str">
        <f>IF(Tabela2[[#This Row],[SIGLA]]="","",VLOOKUP(Tabela2[[#This Row],[SIGLA]],Tabela1[[#All],[Sigla Arte]:[Crédito]],2,0))</f>
        <v>RENAN FONSECA/ARQUIVO DA EDITORA</v>
      </c>
      <c r="Z1215" s="31"/>
      <c r="AA1215" s="31" t="str">
        <f>Tabela2[[#This Row],[ILUSTRADOR CRIAÇÃO]]</f>
        <v>RENAN FONSECA/ARQUIVO DA EDITORA</v>
      </c>
      <c r="AB1215" s="33"/>
      <c r="AC1215" s="16"/>
      <c r="AE1215" s="35" t="str">
        <f t="shared" si="18"/>
        <v>EF1 E002 Mat</v>
      </c>
    </row>
    <row r="1216" spans="1:31" ht="30" x14ac:dyDescent="0.25">
      <c r="A1216" s="31" t="s">
        <v>2557</v>
      </c>
      <c r="B1216" s="16" t="s">
        <v>32</v>
      </c>
      <c r="C1216" s="16" t="s">
        <v>164</v>
      </c>
      <c r="D1216" s="33" t="s">
        <v>34</v>
      </c>
      <c r="E1216" s="33">
        <v>14</v>
      </c>
      <c r="F1216" s="33">
        <v>4</v>
      </c>
      <c r="G1216" s="33">
        <v>1</v>
      </c>
      <c r="H1216" s="33"/>
      <c r="I1216" s="31" t="s">
        <v>46</v>
      </c>
      <c r="J1216" s="31"/>
      <c r="K1216" s="33"/>
      <c r="L1216" s="33"/>
      <c r="M1216" s="31"/>
      <c r="N1216" s="31"/>
      <c r="O1216" s="16" t="s">
        <v>2558</v>
      </c>
      <c r="P1216" s="16"/>
      <c r="Q1216" s="16"/>
      <c r="R1216" s="33"/>
      <c r="S1216" s="34"/>
      <c r="T1216" s="34"/>
      <c r="U1216" s="34"/>
      <c r="V1216" s="34"/>
      <c r="W1216" s="34"/>
      <c r="X1216" s="33" t="s">
        <v>470</v>
      </c>
      <c r="Y1216" s="35" t="str">
        <f>IF(Tabela2[[#This Row],[SIGLA]]="","",VLOOKUP(Tabela2[[#This Row],[SIGLA]],Tabela1[[#All],[Sigla Arte]:[Crédito]],2,0))</f>
        <v>RENAN FONSECA/ARQUIVO DA EDITORA</v>
      </c>
      <c r="Z1216" s="31"/>
      <c r="AA1216" s="31" t="str">
        <f>Tabela2[[#This Row],[ILUSTRADOR CRIAÇÃO]]</f>
        <v>RENAN FONSECA/ARQUIVO DA EDITORA</v>
      </c>
      <c r="AB1216" s="33"/>
      <c r="AC1216" s="16"/>
      <c r="AE1216" s="35" t="str">
        <f t="shared" si="18"/>
        <v>EF1 E002 Mat</v>
      </c>
    </row>
    <row r="1217" spans="1:31" ht="30" x14ac:dyDescent="0.25">
      <c r="A1217" s="31" t="s">
        <v>2559</v>
      </c>
      <c r="B1217" s="16" t="s">
        <v>32</v>
      </c>
      <c r="C1217" s="16" t="s">
        <v>164</v>
      </c>
      <c r="D1217" s="33" t="s">
        <v>34</v>
      </c>
      <c r="E1217" s="33">
        <v>14</v>
      </c>
      <c r="F1217" s="33">
        <v>4</v>
      </c>
      <c r="G1217" s="33">
        <v>1</v>
      </c>
      <c r="H1217" s="33"/>
      <c r="I1217" s="31" t="s">
        <v>46</v>
      </c>
      <c r="J1217" s="31"/>
      <c r="K1217" s="33"/>
      <c r="L1217" s="33"/>
      <c r="M1217" s="31"/>
      <c r="N1217" s="31"/>
      <c r="O1217" s="16" t="s">
        <v>2560</v>
      </c>
      <c r="P1217" s="16"/>
      <c r="Q1217" s="16"/>
      <c r="R1217" s="33"/>
      <c r="S1217" s="34"/>
      <c r="T1217" s="34"/>
      <c r="U1217" s="34"/>
      <c r="V1217" s="34"/>
      <c r="W1217" s="34"/>
      <c r="X1217" s="33" t="s">
        <v>470</v>
      </c>
      <c r="Y1217" s="35" t="str">
        <f>IF(Tabela2[[#This Row],[SIGLA]]="","",VLOOKUP(Tabela2[[#This Row],[SIGLA]],Tabela1[[#All],[Sigla Arte]:[Crédito]],2,0))</f>
        <v>RENAN FONSECA/ARQUIVO DA EDITORA</v>
      </c>
      <c r="Z1217" s="31"/>
      <c r="AA1217" s="31" t="str">
        <f>Tabela2[[#This Row],[ILUSTRADOR CRIAÇÃO]]</f>
        <v>RENAN FONSECA/ARQUIVO DA EDITORA</v>
      </c>
      <c r="AB1217" s="33"/>
      <c r="AC1217" s="16"/>
      <c r="AE1217" s="35" t="str">
        <f t="shared" si="18"/>
        <v>EF1 E002 Mat</v>
      </c>
    </row>
    <row r="1218" spans="1:31" ht="45" x14ac:dyDescent="0.25">
      <c r="A1218" s="31" t="s">
        <v>2561</v>
      </c>
      <c r="B1218" s="16" t="s">
        <v>32</v>
      </c>
      <c r="C1218" s="16" t="s">
        <v>164</v>
      </c>
      <c r="D1218" s="33" t="s">
        <v>34</v>
      </c>
      <c r="E1218" s="33">
        <v>15</v>
      </c>
      <c r="F1218" s="33">
        <v>4</v>
      </c>
      <c r="G1218" s="33">
        <v>1</v>
      </c>
      <c r="H1218" s="33"/>
      <c r="I1218" s="31" t="s">
        <v>46</v>
      </c>
      <c r="J1218" s="31"/>
      <c r="K1218" s="33"/>
      <c r="L1218" s="33"/>
      <c r="M1218" s="31"/>
      <c r="N1218" s="31"/>
      <c r="O1218" s="16" t="s">
        <v>2562</v>
      </c>
      <c r="P1218" s="16"/>
      <c r="Q1218" s="16"/>
      <c r="R1218" s="33"/>
      <c r="S1218" s="34"/>
      <c r="T1218" s="34"/>
      <c r="U1218" s="34"/>
      <c r="V1218" s="34"/>
      <c r="W1218" s="34"/>
      <c r="X1218" s="33" t="s">
        <v>470</v>
      </c>
      <c r="Y1218" s="35" t="str">
        <f>IF(Tabela2[[#This Row],[SIGLA]]="","",VLOOKUP(Tabela2[[#This Row],[SIGLA]],Tabela1[[#All],[Sigla Arte]:[Crédito]],2,0))</f>
        <v>RENAN FONSECA/ARQUIVO DA EDITORA</v>
      </c>
      <c r="Z1218" s="31"/>
      <c r="AA1218" s="31" t="str">
        <f>Tabela2[[#This Row],[ILUSTRADOR CRIAÇÃO]]</f>
        <v>RENAN FONSECA/ARQUIVO DA EDITORA</v>
      </c>
      <c r="AB1218" s="33"/>
      <c r="AC1218" s="16"/>
      <c r="AE1218" s="35" t="str">
        <f t="shared" ref="AE1218:AE1281" si="19">"EF1 E002 Mat"</f>
        <v>EF1 E002 Mat</v>
      </c>
    </row>
    <row r="1219" spans="1:31" ht="45" x14ac:dyDescent="0.25">
      <c r="A1219" s="31" t="s">
        <v>2563</v>
      </c>
      <c r="B1219" s="16" t="s">
        <v>32</v>
      </c>
      <c r="C1219" s="16" t="s">
        <v>164</v>
      </c>
      <c r="D1219" s="33" t="s">
        <v>34</v>
      </c>
      <c r="E1219" s="33">
        <v>15</v>
      </c>
      <c r="F1219" s="33">
        <v>4</v>
      </c>
      <c r="G1219" s="33">
        <v>1</v>
      </c>
      <c r="H1219" s="33"/>
      <c r="I1219" s="31" t="s">
        <v>46</v>
      </c>
      <c r="J1219" s="31"/>
      <c r="K1219" s="33"/>
      <c r="L1219" s="33"/>
      <c r="M1219" s="31"/>
      <c r="N1219" s="31"/>
      <c r="O1219" s="16" t="s">
        <v>2564</v>
      </c>
      <c r="P1219" s="16"/>
      <c r="Q1219" s="16"/>
      <c r="R1219" s="33"/>
      <c r="S1219" s="34"/>
      <c r="T1219" s="34"/>
      <c r="U1219" s="34"/>
      <c r="V1219" s="34"/>
      <c r="W1219" s="34"/>
      <c r="X1219" s="33" t="s">
        <v>470</v>
      </c>
      <c r="Y1219" s="35" t="str">
        <f>IF(Tabela2[[#This Row],[SIGLA]]="","",VLOOKUP(Tabela2[[#This Row],[SIGLA]],Tabela1[[#All],[Sigla Arte]:[Crédito]],2,0))</f>
        <v>RENAN FONSECA/ARQUIVO DA EDITORA</v>
      </c>
      <c r="Z1219" s="31"/>
      <c r="AA1219" s="31" t="str">
        <f>Tabela2[[#This Row],[ILUSTRADOR CRIAÇÃO]]</f>
        <v>RENAN FONSECA/ARQUIVO DA EDITORA</v>
      </c>
      <c r="AB1219" s="33"/>
      <c r="AC1219" s="16"/>
      <c r="AE1219" s="35" t="str">
        <f t="shared" si="19"/>
        <v>EF1 E002 Mat</v>
      </c>
    </row>
    <row r="1220" spans="1:31" ht="45" x14ac:dyDescent="0.25">
      <c r="A1220" s="31" t="s">
        <v>2565</v>
      </c>
      <c r="B1220" s="16" t="s">
        <v>32</v>
      </c>
      <c r="C1220" s="16" t="s">
        <v>164</v>
      </c>
      <c r="D1220" s="33" t="s">
        <v>34</v>
      </c>
      <c r="E1220" s="33">
        <v>15</v>
      </c>
      <c r="F1220" s="33">
        <v>4</v>
      </c>
      <c r="G1220" s="33">
        <v>1</v>
      </c>
      <c r="H1220" s="33"/>
      <c r="I1220" s="31" t="s">
        <v>46</v>
      </c>
      <c r="J1220" s="31"/>
      <c r="K1220" s="33"/>
      <c r="L1220" s="33"/>
      <c r="M1220" s="31"/>
      <c r="N1220" s="31"/>
      <c r="O1220" s="16" t="s">
        <v>2566</v>
      </c>
      <c r="P1220" s="16"/>
      <c r="Q1220" s="16"/>
      <c r="R1220" s="33"/>
      <c r="S1220" s="34"/>
      <c r="T1220" s="34"/>
      <c r="U1220" s="34"/>
      <c r="V1220" s="34"/>
      <c r="W1220" s="34"/>
      <c r="X1220" s="33" t="s">
        <v>470</v>
      </c>
      <c r="Y1220" s="35" t="str">
        <f>IF(Tabela2[[#This Row],[SIGLA]]="","",VLOOKUP(Tabela2[[#This Row],[SIGLA]],Tabela1[[#All],[Sigla Arte]:[Crédito]],2,0))</f>
        <v>RENAN FONSECA/ARQUIVO DA EDITORA</v>
      </c>
      <c r="Z1220" s="31"/>
      <c r="AA1220" s="31" t="str">
        <f>Tabela2[[#This Row],[ILUSTRADOR CRIAÇÃO]]</f>
        <v>RENAN FONSECA/ARQUIVO DA EDITORA</v>
      </c>
      <c r="AB1220" s="33"/>
      <c r="AC1220" s="16"/>
      <c r="AE1220" s="35" t="str">
        <f t="shared" si="19"/>
        <v>EF1 E002 Mat</v>
      </c>
    </row>
    <row r="1221" spans="1:31" ht="45" x14ac:dyDescent="0.25">
      <c r="A1221" s="31" t="s">
        <v>2567</v>
      </c>
      <c r="B1221" s="16" t="s">
        <v>32</v>
      </c>
      <c r="C1221" s="16" t="s">
        <v>164</v>
      </c>
      <c r="D1221" s="33" t="s">
        <v>34</v>
      </c>
      <c r="E1221" s="33">
        <v>15</v>
      </c>
      <c r="F1221" s="33">
        <v>4</v>
      </c>
      <c r="G1221" s="33">
        <v>1</v>
      </c>
      <c r="H1221" s="33"/>
      <c r="I1221" s="31" t="s">
        <v>46</v>
      </c>
      <c r="J1221" s="31"/>
      <c r="K1221" s="33"/>
      <c r="L1221" s="33"/>
      <c r="M1221" s="31"/>
      <c r="N1221" s="31"/>
      <c r="O1221" s="16" t="s">
        <v>2568</v>
      </c>
      <c r="P1221" s="16"/>
      <c r="Q1221" s="16"/>
      <c r="R1221" s="33"/>
      <c r="S1221" s="34"/>
      <c r="T1221" s="34"/>
      <c r="U1221" s="34"/>
      <c r="V1221" s="34"/>
      <c r="W1221" s="34"/>
      <c r="X1221" s="33" t="s">
        <v>470</v>
      </c>
      <c r="Y1221" s="35" t="str">
        <f>IF(Tabela2[[#This Row],[SIGLA]]="","",VLOOKUP(Tabela2[[#This Row],[SIGLA]],Tabela1[[#All],[Sigla Arte]:[Crédito]],2,0))</f>
        <v>RENAN FONSECA/ARQUIVO DA EDITORA</v>
      </c>
      <c r="Z1221" s="31"/>
      <c r="AA1221" s="31" t="str">
        <f>Tabela2[[#This Row],[ILUSTRADOR CRIAÇÃO]]</f>
        <v>RENAN FONSECA/ARQUIVO DA EDITORA</v>
      </c>
      <c r="AB1221" s="33"/>
      <c r="AC1221" s="16"/>
      <c r="AE1221" s="35" t="str">
        <f t="shared" si="19"/>
        <v>EF1 E002 Mat</v>
      </c>
    </row>
    <row r="1222" spans="1:31" ht="45" x14ac:dyDescent="0.25">
      <c r="A1222" s="31" t="s">
        <v>2569</v>
      </c>
      <c r="B1222" s="16" t="s">
        <v>32</v>
      </c>
      <c r="C1222" s="16" t="s">
        <v>164</v>
      </c>
      <c r="D1222" s="33" t="s">
        <v>34</v>
      </c>
      <c r="E1222" s="33">
        <v>15</v>
      </c>
      <c r="F1222" s="33">
        <v>4</v>
      </c>
      <c r="G1222" s="33">
        <v>1</v>
      </c>
      <c r="H1222" s="33"/>
      <c r="I1222" s="31" t="s">
        <v>46</v>
      </c>
      <c r="J1222" s="31"/>
      <c r="K1222" s="33"/>
      <c r="L1222" s="33"/>
      <c r="M1222" s="31"/>
      <c r="N1222" s="31"/>
      <c r="O1222" s="16" t="s">
        <v>2570</v>
      </c>
      <c r="P1222" s="16"/>
      <c r="Q1222" s="16"/>
      <c r="R1222" s="33"/>
      <c r="S1222" s="34"/>
      <c r="T1222" s="34"/>
      <c r="U1222" s="34"/>
      <c r="V1222" s="34"/>
      <c r="W1222" s="34"/>
      <c r="X1222" s="33" t="s">
        <v>470</v>
      </c>
      <c r="Y1222" s="35" t="str">
        <f>IF(Tabela2[[#This Row],[SIGLA]]="","",VLOOKUP(Tabela2[[#This Row],[SIGLA]],Tabela1[[#All],[Sigla Arte]:[Crédito]],2,0))</f>
        <v>RENAN FONSECA/ARQUIVO DA EDITORA</v>
      </c>
      <c r="Z1222" s="31"/>
      <c r="AA1222" s="31" t="str">
        <f>Tabela2[[#This Row],[ILUSTRADOR CRIAÇÃO]]</f>
        <v>RENAN FONSECA/ARQUIVO DA EDITORA</v>
      </c>
      <c r="AB1222" s="33"/>
      <c r="AC1222" s="16"/>
      <c r="AE1222" s="35" t="str">
        <f t="shared" si="19"/>
        <v>EF1 E002 Mat</v>
      </c>
    </row>
    <row r="1223" spans="1:31" ht="45" x14ac:dyDescent="0.25">
      <c r="A1223" s="31" t="s">
        <v>2571</v>
      </c>
      <c r="B1223" s="16" t="s">
        <v>32</v>
      </c>
      <c r="C1223" s="16" t="s">
        <v>164</v>
      </c>
      <c r="D1223" s="33" t="s">
        <v>34</v>
      </c>
      <c r="E1223" s="33">
        <v>15</v>
      </c>
      <c r="F1223" s="33">
        <v>4</v>
      </c>
      <c r="G1223" s="33">
        <v>1</v>
      </c>
      <c r="H1223" s="33"/>
      <c r="I1223" s="31" t="s">
        <v>46</v>
      </c>
      <c r="J1223" s="31"/>
      <c r="K1223" s="33"/>
      <c r="L1223" s="33"/>
      <c r="M1223" s="31"/>
      <c r="N1223" s="31"/>
      <c r="O1223" s="16" t="s">
        <v>2572</v>
      </c>
      <c r="P1223" s="16"/>
      <c r="Q1223" s="16"/>
      <c r="R1223" s="33"/>
      <c r="S1223" s="34"/>
      <c r="T1223" s="34"/>
      <c r="U1223" s="34"/>
      <c r="V1223" s="34"/>
      <c r="W1223" s="34"/>
      <c r="X1223" s="33" t="s">
        <v>470</v>
      </c>
      <c r="Y1223" s="35" t="str">
        <f>IF(Tabela2[[#This Row],[SIGLA]]="","",VLOOKUP(Tabela2[[#This Row],[SIGLA]],Tabela1[[#All],[Sigla Arte]:[Crédito]],2,0))</f>
        <v>RENAN FONSECA/ARQUIVO DA EDITORA</v>
      </c>
      <c r="Z1223" s="31"/>
      <c r="AA1223" s="31" t="str">
        <f>Tabela2[[#This Row],[ILUSTRADOR CRIAÇÃO]]</f>
        <v>RENAN FONSECA/ARQUIVO DA EDITORA</v>
      </c>
      <c r="AB1223" s="33"/>
      <c r="AC1223" s="16"/>
      <c r="AE1223" s="35" t="str">
        <f t="shared" si="19"/>
        <v>EF1 E002 Mat</v>
      </c>
    </row>
    <row r="1224" spans="1:31" ht="30" x14ac:dyDescent="0.25">
      <c r="A1224" s="31" t="s">
        <v>2573</v>
      </c>
      <c r="B1224" s="16" t="s">
        <v>32</v>
      </c>
      <c r="C1224" s="16" t="s">
        <v>164</v>
      </c>
      <c r="D1224" s="33" t="s">
        <v>34</v>
      </c>
      <c r="E1224" s="33">
        <v>16</v>
      </c>
      <c r="F1224" s="33">
        <v>4</v>
      </c>
      <c r="G1224" s="33">
        <v>1</v>
      </c>
      <c r="H1224" s="33"/>
      <c r="I1224" s="31" t="s">
        <v>46</v>
      </c>
      <c r="J1224" s="31"/>
      <c r="K1224" s="33"/>
      <c r="L1224" s="33"/>
      <c r="M1224" s="31"/>
      <c r="N1224" s="31"/>
      <c r="O1224" s="16" t="s">
        <v>2574</v>
      </c>
      <c r="P1224" s="16"/>
      <c r="Q1224" s="16"/>
      <c r="R1224" s="33"/>
      <c r="S1224" s="34"/>
      <c r="T1224" s="34"/>
      <c r="U1224" s="34"/>
      <c r="V1224" s="34"/>
      <c r="W1224" s="34"/>
      <c r="X1224" s="33" t="s">
        <v>470</v>
      </c>
      <c r="Y1224" s="35" t="str">
        <f>IF(Tabela2[[#This Row],[SIGLA]]="","",VLOOKUP(Tabela2[[#This Row],[SIGLA]],Tabela1[[#All],[Sigla Arte]:[Crédito]],2,0))</f>
        <v>RENAN FONSECA/ARQUIVO DA EDITORA</v>
      </c>
      <c r="Z1224" s="31"/>
      <c r="AA1224" s="31" t="str">
        <f>Tabela2[[#This Row],[ILUSTRADOR CRIAÇÃO]]</f>
        <v>RENAN FONSECA/ARQUIVO DA EDITORA</v>
      </c>
      <c r="AB1224" s="33"/>
      <c r="AC1224" s="16"/>
      <c r="AE1224" s="35" t="str">
        <f t="shared" si="19"/>
        <v>EF1 E002 Mat</v>
      </c>
    </row>
    <row r="1225" spans="1:31" ht="30" x14ac:dyDescent="0.25">
      <c r="A1225" s="31" t="s">
        <v>2575</v>
      </c>
      <c r="B1225" s="16" t="s">
        <v>32</v>
      </c>
      <c r="C1225" s="16" t="s">
        <v>164</v>
      </c>
      <c r="D1225" s="33" t="s">
        <v>34</v>
      </c>
      <c r="E1225" s="33">
        <v>16</v>
      </c>
      <c r="F1225" s="33">
        <v>4</v>
      </c>
      <c r="G1225" s="33">
        <v>1</v>
      </c>
      <c r="H1225" s="33"/>
      <c r="I1225" s="31" t="s">
        <v>46</v>
      </c>
      <c r="J1225" s="31"/>
      <c r="K1225" s="33"/>
      <c r="L1225" s="33"/>
      <c r="M1225" s="31"/>
      <c r="N1225" s="31"/>
      <c r="O1225" s="16" t="s">
        <v>2576</v>
      </c>
      <c r="P1225" s="16"/>
      <c r="Q1225" s="16"/>
      <c r="R1225" s="33"/>
      <c r="S1225" s="34"/>
      <c r="T1225" s="34"/>
      <c r="U1225" s="34"/>
      <c r="V1225" s="34"/>
      <c r="W1225" s="34"/>
      <c r="X1225" s="33" t="s">
        <v>470</v>
      </c>
      <c r="Y1225" s="35" t="str">
        <f>IF(Tabela2[[#This Row],[SIGLA]]="","",VLOOKUP(Tabela2[[#This Row],[SIGLA]],Tabela1[[#All],[Sigla Arte]:[Crédito]],2,0))</f>
        <v>RENAN FONSECA/ARQUIVO DA EDITORA</v>
      </c>
      <c r="Z1225" s="31"/>
      <c r="AA1225" s="31" t="str">
        <f>Tabela2[[#This Row],[ILUSTRADOR CRIAÇÃO]]</f>
        <v>RENAN FONSECA/ARQUIVO DA EDITORA</v>
      </c>
      <c r="AB1225" s="33"/>
      <c r="AC1225" s="16"/>
      <c r="AE1225" s="35" t="str">
        <f t="shared" si="19"/>
        <v>EF1 E002 Mat</v>
      </c>
    </row>
    <row r="1226" spans="1:31" ht="30" x14ac:dyDescent="0.25">
      <c r="A1226" s="31" t="s">
        <v>2577</v>
      </c>
      <c r="B1226" s="16" t="s">
        <v>32</v>
      </c>
      <c r="C1226" s="16" t="s">
        <v>164</v>
      </c>
      <c r="D1226" s="33" t="s">
        <v>34</v>
      </c>
      <c r="E1226" s="33">
        <v>17</v>
      </c>
      <c r="F1226" s="33">
        <v>4</v>
      </c>
      <c r="G1226" s="33">
        <v>1</v>
      </c>
      <c r="H1226" s="33"/>
      <c r="I1226" s="31" t="s">
        <v>46</v>
      </c>
      <c r="J1226" s="31"/>
      <c r="K1226" s="33"/>
      <c r="L1226" s="33"/>
      <c r="M1226" s="31"/>
      <c r="N1226" s="31"/>
      <c r="O1226" s="16" t="s">
        <v>2578</v>
      </c>
      <c r="P1226" s="16"/>
      <c r="Q1226" s="16"/>
      <c r="R1226" s="33"/>
      <c r="S1226" s="34"/>
      <c r="T1226" s="34"/>
      <c r="U1226" s="34"/>
      <c r="V1226" s="34"/>
      <c r="W1226" s="34"/>
      <c r="X1226" s="33" t="s">
        <v>48</v>
      </c>
      <c r="Y1226" s="35" t="str">
        <f>IF(Tabela2[[#This Row],[SIGLA]]="","",VLOOKUP(Tabela2[[#This Row],[SIGLA]],Tabela1[[#All],[Sigla Arte]:[Crédito]],2,0))</f>
        <v>SERGIO LIMA/ARQUIVO DA EDITORA</v>
      </c>
      <c r="Z1226" s="31"/>
      <c r="AA1226" s="31" t="str">
        <f>Tabela2[[#This Row],[ILUSTRADOR CRIAÇÃO]]</f>
        <v>SERGIO LIMA/ARQUIVO DA EDITORA</v>
      </c>
      <c r="AB1226" s="33"/>
      <c r="AC1226" s="16"/>
      <c r="AE1226" s="35" t="str">
        <f t="shared" si="19"/>
        <v>EF1 E002 Mat</v>
      </c>
    </row>
    <row r="1227" spans="1:31" ht="30" x14ac:dyDescent="0.25">
      <c r="A1227" s="31" t="s">
        <v>2579</v>
      </c>
      <c r="B1227" s="16" t="s">
        <v>32</v>
      </c>
      <c r="C1227" s="16" t="s">
        <v>164</v>
      </c>
      <c r="D1227" s="33" t="s">
        <v>34</v>
      </c>
      <c r="E1227" s="33">
        <v>17</v>
      </c>
      <c r="F1227" s="33">
        <v>4</v>
      </c>
      <c r="G1227" s="33">
        <v>1</v>
      </c>
      <c r="H1227" s="33"/>
      <c r="I1227" s="31" t="s">
        <v>46</v>
      </c>
      <c r="J1227" s="31"/>
      <c r="K1227" s="33"/>
      <c r="L1227" s="33"/>
      <c r="M1227" s="31"/>
      <c r="N1227" s="31"/>
      <c r="O1227" s="16" t="s">
        <v>2580</v>
      </c>
      <c r="P1227" s="16"/>
      <c r="Q1227" s="16"/>
      <c r="R1227" s="33"/>
      <c r="S1227" s="34"/>
      <c r="T1227" s="34"/>
      <c r="U1227" s="34"/>
      <c r="V1227" s="34"/>
      <c r="W1227" s="34"/>
      <c r="X1227" s="33" t="s">
        <v>48</v>
      </c>
      <c r="Y1227" s="35" t="str">
        <f>IF(Tabela2[[#This Row],[SIGLA]]="","",VLOOKUP(Tabela2[[#This Row],[SIGLA]],Tabela1[[#All],[Sigla Arte]:[Crédito]],2,0))</f>
        <v>SERGIO LIMA/ARQUIVO DA EDITORA</v>
      </c>
      <c r="Z1227" s="31"/>
      <c r="AA1227" s="31" t="str">
        <f>Tabela2[[#This Row],[ILUSTRADOR CRIAÇÃO]]</f>
        <v>SERGIO LIMA/ARQUIVO DA EDITORA</v>
      </c>
      <c r="AB1227" s="33"/>
      <c r="AC1227" s="16"/>
      <c r="AE1227" s="35" t="str">
        <f t="shared" si="19"/>
        <v>EF1 E002 Mat</v>
      </c>
    </row>
    <row r="1228" spans="1:31" ht="30" x14ac:dyDescent="0.25">
      <c r="A1228" s="31" t="s">
        <v>2581</v>
      </c>
      <c r="B1228" s="16" t="s">
        <v>32</v>
      </c>
      <c r="C1228" s="16" t="s">
        <v>164</v>
      </c>
      <c r="D1228" s="33" t="s">
        <v>34</v>
      </c>
      <c r="E1228" s="33">
        <v>17</v>
      </c>
      <c r="F1228" s="33">
        <v>4</v>
      </c>
      <c r="G1228" s="33">
        <v>1</v>
      </c>
      <c r="H1228" s="33"/>
      <c r="I1228" s="31" t="s">
        <v>46</v>
      </c>
      <c r="J1228" s="31"/>
      <c r="K1228" s="33"/>
      <c r="L1228" s="33"/>
      <c r="M1228" s="31"/>
      <c r="N1228" s="31"/>
      <c r="O1228" s="16" t="s">
        <v>2582</v>
      </c>
      <c r="P1228" s="16"/>
      <c r="Q1228" s="16"/>
      <c r="R1228" s="33"/>
      <c r="S1228" s="34"/>
      <c r="T1228" s="34"/>
      <c r="U1228" s="34"/>
      <c r="V1228" s="34"/>
      <c r="W1228" s="34"/>
      <c r="X1228" s="33" t="s">
        <v>48</v>
      </c>
      <c r="Y1228" s="35" t="str">
        <f>IF(Tabela2[[#This Row],[SIGLA]]="","",VLOOKUP(Tabela2[[#This Row],[SIGLA]],Tabela1[[#All],[Sigla Arte]:[Crédito]],2,0))</f>
        <v>SERGIO LIMA/ARQUIVO DA EDITORA</v>
      </c>
      <c r="Z1228" s="31"/>
      <c r="AA1228" s="31" t="str">
        <f>Tabela2[[#This Row],[ILUSTRADOR CRIAÇÃO]]</f>
        <v>SERGIO LIMA/ARQUIVO DA EDITORA</v>
      </c>
      <c r="AB1228" s="33"/>
      <c r="AC1228" s="16"/>
      <c r="AE1228" s="35" t="str">
        <f t="shared" si="19"/>
        <v>EF1 E002 Mat</v>
      </c>
    </row>
    <row r="1229" spans="1:31" ht="30" x14ac:dyDescent="0.25">
      <c r="A1229" s="31" t="s">
        <v>2583</v>
      </c>
      <c r="B1229" s="16" t="s">
        <v>32</v>
      </c>
      <c r="C1229" s="16" t="s">
        <v>164</v>
      </c>
      <c r="D1229" s="33" t="s">
        <v>34</v>
      </c>
      <c r="E1229" s="33">
        <v>20</v>
      </c>
      <c r="F1229" s="33">
        <v>4</v>
      </c>
      <c r="G1229" s="33">
        <v>1</v>
      </c>
      <c r="H1229" s="33"/>
      <c r="I1229" s="31" t="s">
        <v>46</v>
      </c>
      <c r="J1229" s="31"/>
      <c r="K1229" s="33"/>
      <c r="L1229" s="33"/>
      <c r="M1229" s="31"/>
      <c r="N1229" s="31"/>
      <c r="O1229" s="16" t="s">
        <v>2584</v>
      </c>
      <c r="P1229" s="16"/>
      <c r="Q1229" s="16"/>
      <c r="R1229" s="33"/>
      <c r="S1229" s="34"/>
      <c r="T1229" s="34"/>
      <c r="U1229" s="34"/>
      <c r="V1229" s="34"/>
      <c r="W1229" s="34"/>
      <c r="X1229" s="33" t="s">
        <v>48</v>
      </c>
      <c r="Y1229" s="35" t="str">
        <f>IF(Tabela2[[#This Row],[SIGLA]]="","",VLOOKUP(Tabela2[[#This Row],[SIGLA]],Tabela1[[#All],[Sigla Arte]:[Crédito]],2,0))</f>
        <v>SERGIO LIMA/ARQUIVO DA EDITORA</v>
      </c>
      <c r="Z1229" s="31"/>
      <c r="AA1229" s="31" t="str">
        <f>Tabela2[[#This Row],[ILUSTRADOR CRIAÇÃO]]</f>
        <v>SERGIO LIMA/ARQUIVO DA EDITORA</v>
      </c>
      <c r="AB1229" s="33"/>
      <c r="AC1229" s="16"/>
      <c r="AE1229" s="35" t="str">
        <f t="shared" si="19"/>
        <v>EF1 E002 Mat</v>
      </c>
    </row>
    <row r="1230" spans="1:31" ht="30" x14ac:dyDescent="0.25">
      <c r="A1230" s="31" t="s">
        <v>2585</v>
      </c>
      <c r="B1230" s="16" t="s">
        <v>32</v>
      </c>
      <c r="C1230" s="16" t="s">
        <v>164</v>
      </c>
      <c r="D1230" s="33" t="s">
        <v>34</v>
      </c>
      <c r="E1230" s="33">
        <v>20</v>
      </c>
      <c r="F1230" s="33">
        <v>4</v>
      </c>
      <c r="G1230" s="33">
        <v>1</v>
      </c>
      <c r="H1230" s="33"/>
      <c r="I1230" s="31" t="s">
        <v>46</v>
      </c>
      <c r="J1230" s="31"/>
      <c r="K1230" s="33"/>
      <c r="L1230" s="33"/>
      <c r="M1230" s="31"/>
      <c r="N1230" s="31"/>
      <c r="O1230" s="16" t="s">
        <v>2586</v>
      </c>
      <c r="P1230" s="16"/>
      <c r="Q1230" s="16"/>
      <c r="R1230" s="33"/>
      <c r="S1230" s="34"/>
      <c r="T1230" s="34"/>
      <c r="U1230" s="34"/>
      <c r="V1230" s="34"/>
      <c r="W1230" s="34"/>
      <c r="X1230" s="33" t="s">
        <v>48</v>
      </c>
      <c r="Y1230" s="35" t="str">
        <f>IF(Tabela2[[#This Row],[SIGLA]]="","",VLOOKUP(Tabela2[[#This Row],[SIGLA]],Tabela1[[#All],[Sigla Arte]:[Crédito]],2,0))</f>
        <v>SERGIO LIMA/ARQUIVO DA EDITORA</v>
      </c>
      <c r="Z1230" s="31"/>
      <c r="AA1230" s="31" t="str">
        <f>Tabela2[[#This Row],[ILUSTRADOR CRIAÇÃO]]</f>
        <v>SERGIO LIMA/ARQUIVO DA EDITORA</v>
      </c>
      <c r="AB1230" s="33"/>
      <c r="AC1230" s="16"/>
      <c r="AE1230" s="35" t="str">
        <f t="shared" si="19"/>
        <v>EF1 E002 Mat</v>
      </c>
    </row>
    <row r="1231" spans="1:31" ht="30" x14ac:dyDescent="0.25">
      <c r="A1231" s="31" t="s">
        <v>2587</v>
      </c>
      <c r="B1231" s="16" t="s">
        <v>32</v>
      </c>
      <c r="C1231" s="16" t="s">
        <v>33</v>
      </c>
      <c r="D1231" s="33" t="s">
        <v>34</v>
      </c>
      <c r="E1231" s="33">
        <v>20</v>
      </c>
      <c r="F1231" s="33">
        <v>4</v>
      </c>
      <c r="G1231" s="33">
        <v>1</v>
      </c>
      <c r="H1231" s="33"/>
      <c r="I1231" s="31" t="s">
        <v>46</v>
      </c>
      <c r="J1231" s="31"/>
      <c r="K1231" s="33"/>
      <c r="L1231" s="33"/>
      <c r="M1231" s="31"/>
      <c r="N1231" s="31"/>
      <c r="O1231" s="16" t="s">
        <v>2588</v>
      </c>
      <c r="P1231" s="16"/>
      <c r="Q1231" s="16"/>
      <c r="R1231" s="33"/>
      <c r="S1231" s="34"/>
      <c r="T1231" s="34"/>
      <c r="U1231" s="34"/>
      <c r="V1231" s="34"/>
      <c r="W1231" s="34"/>
      <c r="X1231" s="33" t="s">
        <v>48</v>
      </c>
      <c r="Y1231" s="35" t="str">
        <f>IF(Tabela2[[#This Row],[SIGLA]]="","",VLOOKUP(Tabela2[[#This Row],[SIGLA]],Tabela1[[#All],[Sigla Arte]:[Crédito]],2,0))</f>
        <v>SERGIO LIMA/ARQUIVO DA EDITORA</v>
      </c>
      <c r="Z1231" s="31"/>
      <c r="AA1231" s="31" t="str">
        <f>Tabela2[[#This Row],[ILUSTRADOR CRIAÇÃO]]</f>
        <v>SERGIO LIMA/ARQUIVO DA EDITORA</v>
      </c>
      <c r="AB1231" s="33"/>
      <c r="AC1231" s="16"/>
      <c r="AE1231" s="35" t="str">
        <f t="shared" si="19"/>
        <v>EF1 E002 Mat</v>
      </c>
    </row>
    <row r="1232" spans="1:31" ht="45" x14ac:dyDescent="0.25">
      <c r="A1232" s="31" t="s">
        <v>2589</v>
      </c>
      <c r="B1232" s="16" t="s">
        <v>32</v>
      </c>
      <c r="C1232" s="16" t="s">
        <v>33</v>
      </c>
      <c r="D1232" s="33" t="s">
        <v>34</v>
      </c>
      <c r="E1232" s="33">
        <v>22</v>
      </c>
      <c r="F1232" s="33">
        <v>4</v>
      </c>
      <c r="G1232" s="33">
        <v>1</v>
      </c>
      <c r="H1232" s="33"/>
      <c r="I1232" s="31" t="s">
        <v>35</v>
      </c>
      <c r="J1232" s="31"/>
      <c r="K1232" s="33"/>
      <c r="L1232" s="33"/>
      <c r="M1232" s="31"/>
      <c r="N1232" s="31"/>
      <c r="O1232" s="16" t="s">
        <v>2590</v>
      </c>
      <c r="P1232" s="16"/>
      <c r="Q1232" s="16"/>
      <c r="R1232" s="33">
        <v>187</v>
      </c>
      <c r="S1232" s="34">
        <v>45937</v>
      </c>
      <c r="T1232" s="34">
        <v>45938</v>
      </c>
      <c r="U1232" s="34"/>
      <c r="V1232" s="34"/>
      <c r="W1232" s="34">
        <v>45938</v>
      </c>
      <c r="X1232" s="33" t="s">
        <v>2513</v>
      </c>
      <c r="Y1232" s="35" t="str">
        <f>IF(Tabela2[[#This Row],[SIGLA]]="","",VLOOKUP(Tabela2[[#This Row],[SIGLA]],Tabela1[[#All],[Sigla Arte]:[Crédito]],2,0))</f>
        <v>CAMILA CARMONA/ARQUIVO DA EDITORA</v>
      </c>
      <c r="Z1232" s="31" t="s">
        <v>1465</v>
      </c>
      <c r="AA1232" s="31" t="str">
        <f>Tabela2[[#This Row],[ILUSTRADOR CRIAÇÃO]]</f>
        <v>CAMILA CARMONA/ARQUIVO DA EDITORA</v>
      </c>
      <c r="AB1232" s="33">
        <v>13</v>
      </c>
      <c r="AC1232" s="16"/>
      <c r="AD1232" s="16" t="s">
        <v>40</v>
      </c>
      <c r="AE1232" s="35" t="str">
        <f t="shared" si="19"/>
        <v>EF1 E002 Mat</v>
      </c>
    </row>
    <row r="1233" spans="1:31" ht="30" x14ac:dyDescent="0.25">
      <c r="A1233" s="31" t="s">
        <v>2591</v>
      </c>
      <c r="B1233" s="16" t="s">
        <v>32</v>
      </c>
      <c r="C1233" s="16" t="s">
        <v>33</v>
      </c>
      <c r="D1233" s="33" t="s">
        <v>34</v>
      </c>
      <c r="E1233" s="33">
        <v>23</v>
      </c>
      <c r="F1233" s="33">
        <v>4</v>
      </c>
      <c r="G1233" s="33">
        <v>1</v>
      </c>
      <c r="H1233" s="33"/>
      <c r="I1233" s="31" t="s">
        <v>46</v>
      </c>
      <c r="J1233" s="31"/>
      <c r="K1233" s="33"/>
      <c r="L1233" s="33"/>
      <c r="M1233" s="31"/>
      <c r="N1233" s="31"/>
      <c r="O1233" s="16" t="s">
        <v>2592</v>
      </c>
      <c r="P1233" s="16"/>
      <c r="Q1233" s="16"/>
      <c r="R1233" s="33"/>
      <c r="S1233" s="34"/>
      <c r="T1233" s="34"/>
      <c r="U1233" s="34"/>
      <c r="V1233" s="34"/>
      <c r="W1233" s="34"/>
      <c r="X1233" s="33" t="s">
        <v>2269</v>
      </c>
      <c r="Y1233" s="35" t="str">
        <f>IF(Tabela2[[#This Row],[SIGLA]]="","",VLOOKUP(Tabela2[[#This Row],[SIGLA]],Tabela1[[#All],[Sigla Arte]:[Crédito]],2,0))</f>
        <v>GUSTAVO ALMEIDA/ARQUIVO DA EDITORA</v>
      </c>
      <c r="Z1233" s="31"/>
      <c r="AA1233" s="31" t="str">
        <f>Tabela2[[#This Row],[ILUSTRADOR CRIAÇÃO]]</f>
        <v>GUSTAVO ALMEIDA/ARQUIVO DA EDITORA</v>
      </c>
      <c r="AB1233" s="33"/>
      <c r="AC1233" s="16"/>
      <c r="AE1233" s="35" t="str">
        <f t="shared" si="19"/>
        <v>EF1 E002 Mat</v>
      </c>
    </row>
    <row r="1234" spans="1:31" ht="75" x14ac:dyDescent="0.25">
      <c r="A1234" s="31" t="s">
        <v>2593</v>
      </c>
      <c r="B1234" s="16" t="s">
        <v>32</v>
      </c>
      <c r="C1234" s="16" t="s">
        <v>33</v>
      </c>
      <c r="D1234" s="33" t="s">
        <v>34</v>
      </c>
      <c r="E1234" s="33">
        <v>26</v>
      </c>
      <c r="F1234" s="33">
        <v>4</v>
      </c>
      <c r="G1234" s="33">
        <v>1</v>
      </c>
      <c r="H1234" s="33"/>
      <c r="I1234" s="31" t="s">
        <v>35</v>
      </c>
      <c r="J1234" s="31"/>
      <c r="K1234" s="33"/>
      <c r="L1234" s="33"/>
      <c r="M1234" s="31"/>
      <c r="N1234" s="31"/>
      <c r="O1234" s="16" t="s">
        <v>2594</v>
      </c>
      <c r="P1234" s="16"/>
      <c r="Q1234" s="16"/>
      <c r="R1234" s="33">
        <v>111</v>
      </c>
      <c r="S1234" s="34">
        <v>45882</v>
      </c>
      <c r="T1234" s="34">
        <v>45884</v>
      </c>
      <c r="U1234" s="34"/>
      <c r="V1234" s="34"/>
      <c r="W1234" s="34">
        <v>45887</v>
      </c>
      <c r="X1234" s="33" t="s">
        <v>1126</v>
      </c>
      <c r="Y1234" s="35" t="str">
        <f>IF(Tabela2[[#This Row],[SIGLA]]="","",VLOOKUP(Tabela2[[#This Row],[SIGLA]],Tabela1[[#All],[Sigla Arte]:[Crédito]],2,0))</f>
        <v>GUSTAVO CONTI/ARQUIVO DA EDITORA</v>
      </c>
      <c r="Z1234" s="31" t="s">
        <v>38</v>
      </c>
      <c r="AA1234" s="31" t="str">
        <f>Tabela2[[#This Row],[ILUSTRADOR CRIAÇÃO]]</f>
        <v>GUSTAVO CONTI/ARQUIVO DA EDITORA</v>
      </c>
      <c r="AB1234" s="33">
        <v>13</v>
      </c>
      <c r="AC1234" s="16" t="s">
        <v>39</v>
      </c>
      <c r="AD1234" s="16" t="s">
        <v>40</v>
      </c>
      <c r="AE1234" s="35" t="str">
        <f t="shared" si="19"/>
        <v>EF1 E002 Mat</v>
      </c>
    </row>
    <row r="1235" spans="1:31" ht="60" x14ac:dyDescent="0.25">
      <c r="A1235" s="31" t="s">
        <v>2595</v>
      </c>
      <c r="B1235" s="16" t="s">
        <v>32</v>
      </c>
      <c r="C1235" s="16" t="s">
        <v>164</v>
      </c>
      <c r="D1235" s="33" t="s">
        <v>34</v>
      </c>
      <c r="E1235" s="33">
        <v>26</v>
      </c>
      <c r="F1235" s="33">
        <v>4</v>
      </c>
      <c r="G1235" s="33">
        <v>1</v>
      </c>
      <c r="H1235" s="33"/>
      <c r="I1235" s="31" t="s">
        <v>35</v>
      </c>
      <c r="J1235" s="31"/>
      <c r="K1235" s="33"/>
      <c r="L1235" s="33"/>
      <c r="M1235" s="31"/>
      <c r="N1235" s="31"/>
      <c r="O1235" s="16" t="s">
        <v>2596</v>
      </c>
      <c r="P1235" s="16"/>
      <c r="Q1235" s="16"/>
      <c r="R1235" s="33">
        <v>31</v>
      </c>
      <c r="S1235" s="34">
        <v>45777</v>
      </c>
      <c r="T1235" s="34">
        <v>45782</v>
      </c>
      <c r="U1235" s="34"/>
      <c r="V1235" s="34"/>
      <c r="W1235" s="34">
        <v>45782</v>
      </c>
      <c r="X1235" s="33" t="s">
        <v>184</v>
      </c>
      <c r="Y1235" s="35" t="str">
        <f>IF(Tabela2[[#This Row],[SIGLA]]="","",VLOOKUP(Tabela2[[#This Row],[SIGLA]],Tabela1[[#All],[Sigla Arte]:[Crédito]],2,0))</f>
        <v>VER DOCUMENTO DE ILS. TÉCNICAS</v>
      </c>
      <c r="Z1235" s="31" t="s">
        <v>221</v>
      </c>
      <c r="AA1235" s="31" t="s">
        <v>191</v>
      </c>
      <c r="AB1235" s="33">
        <v>13</v>
      </c>
      <c r="AC1235" s="16" t="s">
        <v>39</v>
      </c>
      <c r="AD1235" s="16" t="s">
        <v>40</v>
      </c>
      <c r="AE1235" s="35" t="str">
        <f t="shared" si="19"/>
        <v>EF1 E002 Mat</v>
      </c>
    </row>
    <row r="1236" spans="1:31" ht="75" x14ac:dyDescent="0.25">
      <c r="A1236" s="31" t="s">
        <v>2597</v>
      </c>
      <c r="B1236" s="16" t="s">
        <v>32</v>
      </c>
      <c r="C1236" s="16" t="s">
        <v>164</v>
      </c>
      <c r="D1236" s="33" t="s">
        <v>34</v>
      </c>
      <c r="E1236" s="33">
        <v>27</v>
      </c>
      <c r="F1236" s="33">
        <v>4</v>
      </c>
      <c r="G1236" s="33">
        <v>1</v>
      </c>
      <c r="H1236" s="33"/>
      <c r="I1236" s="31" t="s">
        <v>35</v>
      </c>
      <c r="J1236" s="31"/>
      <c r="K1236" s="33"/>
      <c r="L1236" s="33"/>
      <c r="M1236" s="31"/>
      <c r="N1236" s="31"/>
      <c r="O1236" s="16" t="s">
        <v>2598</v>
      </c>
      <c r="P1236" s="16"/>
      <c r="Q1236" s="16"/>
      <c r="R1236" s="33">
        <v>111</v>
      </c>
      <c r="S1236" s="34">
        <v>45882</v>
      </c>
      <c r="T1236" s="34">
        <v>45884</v>
      </c>
      <c r="U1236" s="34"/>
      <c r="V1236" s="34"/>
      <c r="W1236" s="34">
        <v>45887</v>
      </c>
      <c r="X1236" s="33" t="s">
        <v>184</v>
      </c>
      <c r="Y1236" s="35" t="str">
        <f>IF(Tabela2[[#This Row],[SIGLA]]="","",VLOOKUP(Tabela2[[#This Row],[SIGLA]],Tabela1[[#All],[Sigla Arte]:[Crédito]],2,0))</f>
        <v>VER DOCUMENTO DE ILS. TÉCNICAS</v>
      </c>
      <c r="Z1236" s="31" t="s">
        <v>38</v>
      </c>
      <c r="AA1236" s="31" t="s">
        <v>2050</v>
      </c>
      <c r="AB1236" s="33">
        <v>13</v>
      </c>
      <c r="AC1236" s="16" t="s">
        <v>39</v>
      </c>
      <c r="AD1236" s="16" t="s">
        <v>40</v>
      </c>
      <c r="AE1236" s="35" t="str">
        <f t="shared" si="19"/>
        <v>EF1 E002 Mat</v>
      </c>
    </row>
    <row r="1237" spans="1:31" ht="60" x14ac:dyDescent="0.25">
      <c r="A1237" s="31" t="s">
        <v>2599</v>
      </c>
      <c r="B1237" s="16" t="s">
        <v>32</v>
      </c>
      <c r="C1237" s="16" t="s">
        <v>164</v>
      </c>
      <c r="D1237" s="33" t="s">
        <v>34</v>
      </c>
      <c r="E1237" s="33">
        <v>16</v>
      </c>
      <c r="F1237" s="33">
        <v>4</v>
      </c>
      <c r="G1237" s="33">
        <v>1</v>
      </c>
      <c r="H1237" s="33"/>
      <c r="I1237" s="31" t="s">
        <v>35</v>
      </c>
      <c r="J1237" s="31"/>
      <c r="K1237" s="33"/>
      <c r="L1237" s="33"/>
      <c r="M1237" s="31"/>
      <c r="N1237" s="31"/>
      <c r="O1237" s="16" t="s">
        <v>2600</v>
      </c>
      <c r="P1237" s="16"/>
      <c r="Q1237" s="16"/>
      <c r="R1237" s="33">
        <v>111</v>
      </c>
      <c r="S1237" s="34">
        <v>45882</v>
      </c>
      <c r="T1237" s="34">
        <v>45884</v>
      </c>
      <c r="U1237" s="34"/>
      <c r="V1237" s="34"/>
      <c r="W1237" s="34">
        <v>45887</v>
      </c>
      <c r="X1237" s="33" t="s">
        <v>470</v>
      </c>
      <c r="Y1237" s="35" t="str">
        <f>IF(Tabela2[[#This Row],[SIGLA]]="","",VLOOKUP(Tabela2[[#This Row],[SIGLA]],Tabela1[[#All],[Sigla Arte]:[Crédito]],2,0))</f>
        <v>RENAN FONSECA/ARQUIVO DA EDITORA</v>
      </c>
      <c r="Z1237" s="31" t="s">
        <v>38</v>
      </c>
      <c r="AA1237" s="31" t="str">
        <f>Tabela2[[#This Row],[ILUSTRADOR CRIAÇÃO]]</f>
        <v>RENAN FONSECA/ARQUIVO DA EDITORA</v>
      </c>
      <c r="AB1237" s="33">
        <v>13</v>
      </c>
      <c r="AC1237" s="16" t="s">
        <v>39</v>
      </c>
      <c r="AD1237" s="16" t="s">
        <v>40</v>
      </c>
      <c r="AE1237" s="35" t="str">
        <f t="shared" si="19"/>
        <v>EF1 E002 Mat</v>
      </c>
    </row>
    <row r="1238" spans="1:31" ht="45" x14ac:dyDescent="0.25">
      <c r="A1238" s="31" t="s">
        <v>2601</v>
      </c>
      <c r="B1238" s="16" t="s">
        <v>32</v>
      </c>
      <c r="C1238" s="16" t="s">
        <v>33</v>
      </c>
      <c r="D1238" s="33" t="s">
        <v>34</v>
      </c>
      <c r="E1238" s="33">
        <v>236</v>
      </c>
      <c r="F1238" s="33">
        <v>3</v>
      </c>
      <c r="G1238" s="33">
        <v>12</v>
      </c>
      <c r="H1238" s="33"/>
      <c r="I1238" s="31" t="s">
        <v>46</v>
      </c>
      <c r="J1238" s="31"/>
      <c r="K1238" s="33"/>
      <c r="L1238" s="33"/>
      <c r="M1238" s="31"/>
      <c r="N1238" s="31"/>
      <c r="O1238" s="16" t="s">
        <v>2602</v>
      </c>
      <c r="P1238" s="16"/>
      <c r="Q1238" s="16"/>
      <c r="R1238" s="33"/>
      <c r="S1238" s="34"/>
      <c r="T1238" s="34"/>
      <c r="U1238" s="34"/>
      <c r="V1238" s="34"/>
      <c r="W1238" s="34"/>
      <c r="X1238" s="33" t="s">
        <v>247</v>
      </c>
      <c r="Y1238" s="35" t="str">
        <f>IF(Tabela2[[#This Row],[SIGLA]]="","",VLOOKUP(Tabela2[[#This Row],[SIGLA]],Tabela1[[#All],[Sigla Arte]:[Crédito]],2,0))</f>
        <v>THAIS CASTRO/ARQUIVO DA EDITORA</v>
      </c>
      <c r="Z1238" s="31"/>
      <c r="AA1238" s="31" t="str">
        <f>Tabela2[[#This Row],[ILUSTRADOR CRIAÇÃO]]</f>
        <v>THAIS CASTRO/ARQUIVO DA EDITORA</v>
      </c>
      <c r="AB1238" s="33"/>
      <c r="AC1238" s="16"/>
      <c r="AE1238" s="35" t="str">
        <f t="shared" si="19"/>
        <v>EF1 E002 Mat</v>
      </c>
    </row>
    <row r="1239" spans="1:31" ht="45" x14ac:dyDescent="0.25">
      <c r="A1239" s="31" t="s">
        <v>2603</v>
      </c>
      <c r="B1239" s="16" t="s">
        <v>32</v>
      </c>
      <c r="C1239" s="16" t="s">
        <v>33</v>
      </c>
      <c r="D1239" s="33" t="s">
        <v>34</v>
      </c>
      <c r="E1239" s="33">
        <v>236</v>
      </c>
      <c r="F1239" s="33">
        <v>3</v>
      </c>
      <c r="G1239" s="33">
        <v>12</v>
      </c>
      <c r="H1239" s="33"/>
      <c r="I1239" s="31" t="s">
        <v>35</v>
      </c>
      <c r="J1239" s="31"/>
      <c r="K1239" s="33"/>
      <c r="L1239" s="33"/>
      <c r="M1239" s="31"/>
      <c r="N1239" s="31"/>
      <c r="O1239" s="16" t="s">
        <v>2604</v>
      </c>
      <c r="P1239" s="16"/>
      <c r="Q1239" s="16"/>
      <c r="R1239" s="33">
        <v>180</v>
      </c>
      <c r="S1239" s="34">
        <v>45929</v>
      </c>
      <c r="T1239" s="34">
        <v>45929</v>
      </c>
      <c r="U1239" s="34"/>
      <c r="V1239" s="34"/>
      <c r="W1239" s="34">
        <v>45929</v>
      </c>
      <c r="X1239" s="33" t="s">
        <v>184</v>
      </c>
      <c r="Y1239" s="35" t="str">
        <f>IF(Tabela2[[#This Row],[SIGLA]]="","",VLOOKUP(Tabela2[[#This Row],[SIGLA]],Tabela1[[#All],[Sigla Arte]:[Crédito]],2,0))</f>
        <v>VER DOCUMENTO DE ILS. TÉCNICAS</v>
      </c>
      <c r="Z1239" s="31" t="s">
        <v>572</v>
      </c>
      <c r="AA1239" s="31" t="s">
        <v>2605</v>
      </c>
      <c r="AB1239" s="33">
        <v>13</v>
      </c>
      <c r="AC1239" s="16" t="s">
        <v>44</v>
      </c>
      <c r="AE1239" s="35" t="str">
        <f t="shared" si="19"/>
        <v>EF1 E002 Mat</v>
      </c>
    </row>
    <row r="1240" spans="1:31" ht="45" x14ac:dyDescent="0.25">
      <c r="A1240" s="31" t="s">
        <v>2606</v>
      </c>
      <c r="B1240" s="16" t="s">
        <v>32</v>
      </c>
      <c r="C1240" s="16" t="s">
        <v>33</v>
      </c>
      <c r="D1240" s="33" t="s">
        <v>34</v>
      </c>
      <c r="E1240" s="33">
        <v>237</v>
      </c>
      <c r="F1240" s="33">
        <v>3</v>
      </c>
      <c r="G1240" s="33">
        <v>12</v>
      </c>
      <c r="H1240" s="33"/>
      <c r="I1240" s="31" t="s">
        <v>35</v>
      </c>
      <c r="J1240" s="31"/>
      <c r="K1240" s="33"/>
      <c r="L1240" s="33"/>
      <c r="M1240" s="31"/>
      <c r="N1240" s="31"/>
      <c r="O1240" s="16" t="s">
        <v>2607</v>
      </c>
      <c r="P1240" s="16"/>
      <c r="Q1240" s="16"/>
      <c r="R1240" s="33">
        <v>180</v>
      </c>
      <c r="S1240" s="34">
        <v>45929</v>
      </c>
      <c r="T1240" s="34">
        <v>45929</v>
      </c>
      <c r="U1240" s="34"/>
      <c r="V1240" s="34"/>
      <c r="W1240" s="34">
        <v>45929</v>
      </c>
      <c r="X1240" s="33" t="s">
        <v>85</v>
      </c>
      <c r="Y1240" s="35" t="str">
        <f>IF(Tabela2[[#This Row],[SIGLA]]="","",VLOOKUP(Tabela2[[#This Row],[SIGLA]],Tabela1[[#All],[Sigla Arte]:[Crédito]],2,0))</f>
        <v>HELOÍSA PINTARELLI/ARQUIVO DA EDITORA</v>
      </c>
      <c r="Z1240" s="31" t="s">
        <v>572</v>
      </c>
      <c r="AA1240" s="31" t="str">
        <f>Tabela2[[#This Row],[ILUSTRADOR CRIAÇÃO]]</f>
        <v>HELOÍSA PINTARELLI/ARQUIVO DA EDITORA</v>
      </c>
      <c r="AB1240" s="33">
        <v>13</v>
      </c>
      <c r="AC1240" s="16" t="s">
        <v>44</v>
      </c>
      <c r="AE1240" s="35" t="str">
        <f t="shared" si="19"/>
        <v>EF1 E002 Mat</v>
      </c>
    </row>
    <row r="1241" spans="1:31" ht="210" x14ac:dyDescent="0.25">
      <c r="A1241" s="31" t="s">
        <v>2608</v>
      </c>
      <c r="B1241" s="16" t="s">
        <v>32</v>
      </c>
      <c r="C1241" s="16" t="s">
        <v>33</v>
      </c>
      <c r="D1241" s="33" t="s">
        <v>34</v>
      </c>
      <c r="E1241" s="33">
        <v>237</v>
      </c>
      <c r="F1241" s="33">
        <v>3</v>
      </c>
      <c r="G1241" s="33">
        <v>12</v>
      </c>
      <c r="H1241" s="33"/>
      <c r="I1241" s="31" t="s">
        <v>35</v>
      </c>
      <c r="J1241" s="31"/>
      <c r="K1241" s="33"/>
      <c r="L1241" s="33"/>
      <c r="M1241" s="31"/>
      <c r="N1241" s="31"/>
      <c r="O1241" s="16" t="s">
        <v>2609</v>
      </c>
      <c r="P1241" s="16"/>
      <c r="Q1241" s="16"/>
      <c r="R1241" s="33">
        <v>106</v>
      </c>
      <c r="S1241" s="34">
        <v>45880</v>
      </c>
      <c r="T1241" s="34">
        <v>45882</v>
      </c>
      <c r="U1241" s="34"/>
      <c r="V1241" s="34"/>
      <c r="W1241" s="34">
        <v>45882</v>
      </c>
      <c r="X1241" s="33" t="s">
        <v>85</v>
      </c>
      <c r="Y1241" s="35" t="str">
        <f>IF(Tabela2[[#This Row],[SIGLA]]="","",VLOOKUP(Tabela2[[#This Row],[SIGLA]],Tabela1[[#All],[Sigla Arte]:[Crédito]],2,0))</f>
        <v>HELOÍSA PINTARELLI/ARQUIVO DA EDITORA</v>
      </c>
      <c r="Z1241" s="31" t="s">
        <v>221</v>
      </c>
      <c r="AA1241" s="31" t="str">
        <f>Tabela2[[#This Row],[ILUSTRADOR CRIAÇÃO]]</f>
        <v>HELOÍSA PINTARELLI/ARQUIVO DA EDITORA</v>
      </c>
      <c r="AB1241" s="33">
        <v>13</v>
      </c>
      <c r="AC1241" s="16" t="s">
        <v>222</v>
      </c>
      <c r="AD1241" s="16" t="s">
        <v>40</v>
      </c>
      <c r="AE1241" s="35" t="str">
        <f t="shared" si="19"/>
        <v>EF1 E002 Mat</v>
      </c>
    </row>
    <row r="1242" spans="1:31" ht="120" x14ac:dyDescent="0.25">
      <c r="A1242" s="31" t="s">
        <v>2610</v>
      </c>
      <c r="B1242" s="16" t="s">
        <v>32</v>
      </c>
      <c r="C1242" s="16" t="s">
        <v>33</v>
      </c>
      <c r="D1242" s="33" t="s">
        <v>34</v>
      </c>
      <c r="E1242" s="33">
        <v>239</v>
      </c>
      <c r="F1242" s="33">
        <v>3</v>
      </c>
      <c r="G1242" s="33">
        <v>12</v>
      </c>
      <c r="H1242" s="33"/>
      <c r="I1242" s="31" t="s">
        <v>35</v>
      </c>
      <c r="J1242" s="31"/>
      <c r="K1242" s="33"/>
      <c r="L1242" s="33"/>
      <c r="M1242" s="31"/>
      <c r="N1242" s="31"/>
      <c r="O1242" s="16" t="s">
        <v>2611</v>
      </c>
      <c r="P1242" s="16"/>
      <c r="Q1242" s="16"/>
      <c r="R1242" s="33">
        <v>106</v>
      </c>
      <c r="S1242" s="34">
        <v>45880</v>
      </c>
      <c r="T1242" s="34">
        <v>45882</v>
      </c>
      <c r="U1242" s="34"/>
      <c r="V1242" s="34"/>
      <c r="W1242" s="34">
        <v>45882</v>
      </c>
      <c r="X1242" s="33" t="s">
        <v>85</v>
      </c>
      <c r="Y1242" s="35" t="str">
        <f>IF(Tabela2[[#This Row],[SIGLA]]="","",VLOOKUP(Tabela2[[#This Row],[SIGLA]],Tabela1[[#All],[Sigla Arte]:[Crédito]],2,0))</f>
        <v>HELOÍSA PINTARELLI/ARQUIVO DA EDITORA</v>
      </c>
      <c r="Z1242" s="31" t="s">
        <v>221</v>
      </c>
      <c r="AA1242" s="31" t="str">
        <f>Tabela2[[#This Row],[ILUSTRADOR CRIAÇÃO]]</f>
        <v>HELOÍSA PINTARELLI/ARQUIVO DA EDITORA</v>
      </c>
      <c r="AB1242" s="33">
        <v>13</v>
      </c>
      <c r="AC1242" s="16" t="s">
        <v>222</v>
      </c>
      <c r="AD1242" s="16" t="s">
        <v>40</v>
      </c>
      <c r="AE1242" s="35" t="str">
        <f t="shared" si="19"/>
        <v>EF1 E002 Mat</v>
      </c>
    </row>
    <row r="1243" spans="1:31" ht="45" x14ac:dyDescent="0.25">
      <c r="A1243" s="31" t="s">
        <v>2612</v>
      </c>
      <c r="B1243" s="16" t="s">
        <v>32</v>
      </c>
      <c r="C1243" s="16" t="s">
        <v>33</v>
      </c>
      <c r="D1243" s="33" t="s">
        <v>34</v>
      </c>
      <c r="E1243" s="33">
        <v>239</v>
      </c>
      <c r="F1243" s="33">
        <v>3</v>
      </c>
      <c r="G1243" s="33">
        <v>12</v>
      </c>
      <c r="H1243" s="33"/>
      <c r="I1243" s="31" t="s">
        <v>46</v>
      </c>
      <c r="J1243" s="31"/>
      <c r="K1243" s="33"/>
      <c r="L1243" s="33"/>
      <c r="M1243" s="31"/>
      <c r="N1243" s="31"/>
      <c r="O1243" s="16" t="s">
        <v>2613</v>
      </c>
      <c r="P1243" s="16"/>
      <c r="Q1243" s="16"/>
      <c r="R1243" s="33"/>
      <c r="S1243" s="34"/>
      <c r="T1243" s="34"/>
      <c r="U1243" s="34"/>
      <c r="V1243" s="34"/>
      <c r="W1243" s="34"/>
      <c r="X1243" s="33" t="s">
        <v>85</v>
      </c>
      <c r="Y1243" s="35" t="str">
        <f>IF(Tabela2[[#This Row],[SIGLA]]="","",VLOOKUP(Tabela2[[#This Row],[SIGLA]],Tabela1[[#All],[Sigla Arte]:[Crédito]],2,0))</f>
        <v>HELOÍSA PINTARELLI/ARQUIVO DA EDITORA</v>
      </c>
      <c r="Z1243" s="31"/>
      <c r="AA1243" s="31" t="str">
        <f>Tabela2[[#This Row],[ILUSTRADOR CRIAÇÃO]]</f>
        <v>HELOÍSA PINTARELLI/ARQUIVO DA EDITORA</v>
      </c>
      <c r="AB1243" s="33"/>
      <c r="AC1243" s="16"/>
      <c r="AE1243" s="35" t="str">
        <f t="shared" si="19"/>
        <v>EF1 E002 Mat</v>
      </c>
    </row>
    <row r="1244" spans="1:31" ht="45" x14ac:dyDescent="0.25">
      <c r="A1244" s="31" t="s">
        <v>2614</v>
      </c>
      <c r="B1244" s="16" t="s">
        <v>32</v>
      </c>
      <c r="C1244" s="16" t="s">
        <v>33</v>
      </c>
      <c r="D1244" s="33" t="s">
        <v>34</v>
      </c>
      <c r="E1244" s="33">
        <v>240</v>
      </c>
      <c r="F1244" s="33">
        <v>3</v>
      </c>
      <c r="G1244" s="33">
        <v>12</v>
      </c>
      <c r="H1244" s="33"/>
      <c r="I1244" s="31" t="s">
        <v>46</v>
      </c>
      <c r="J1244" s="31"/>
      <c r="K1244" s="33"/>
      <c r="L1244" s="33"/>
      <c r="M1244" s="31"/>
      <c r="N1244" s="31"/>
      <c r="O1244" s="16" t="s">
        <v>2615</v>
      </c>
      <c r="P1244" s="16"/>
      <c r="Q1244" s="16"/>
      <c r="R1244" s="33"/>
      <c r="S1244" s="34"/>
      <c r="T1244" s="34"/>
      <c r="U1244" s="34"/>
      <c r="V1244" s="34"/>
      <c r="W1244" s="34"/>
      <c r="X1244" s="33" t="s">
        <v>1515</v>
      </c>
      <c r="Y1244" s="35" t="str">
        <f>IF(Tabela2[[#This Row],[SIGLA]]="","",VLOOKUP(Tabela2[[#This Row],[SIGLA]],Tabela1[[#All],[Sigla Arte]:[Crédito]],2,0))</f>
        <v>JANAINA OLIVEIRA/ARQUIVO DA EDITORA</v>
      </c>
      <c r="Z1244" s="31"/>
      <c r="AA1244" s="31" t="s">
        <v>2616</v>
      </c>
      <c r="AB1244" s="33"/>
      <c r="AC1244" s="16"/>
      <c r="AE1244" s="35" t="str">
        <f t="shared" si="19"/>
        <v>EF1 E002 Mat</v>
      </c>
    </row>
    <row r="1245" spans="1:31" ht="30" x14ac:dyDescent="0.25">
      <c r="A1245" s="31" t="s">
        <v>2617</v>
      </c>
      <c r="B1245" s="16" t="s">
        <v>32</v>
      </c>
      <c r="C1245" s="16" t="s">
        <v>164</v>
      </c>
      <c r="D1245" s="33" t="s">
        <v>34</v>
      </c>
      <c r="E1245" s="33">
        <v>240</v>
      </c>
      <c r="F1245" s="33">
        <v>3</v>
      </c>
      <c r="G1245" s="33">
        <v>12</v>
      </c>
      <c r="H1245" s="33"/>
      <c r="I1245" s="31" t="s">
        <v>46</v>
      </c>
      <c r="J1245" s="31"/>
      <c r="K1245" s="33"/>
      <c r="L1245" s="33"/>
      <c r="M1245" s="31"/>
      <c r="N1245" s="31"/>
      <c r="O1245" s="16" t="s">
        <v>2618</v>
      </c>
      <c r="P1245" s="16"/>
      <c r="Q1245" s="16"/>
      <c r="R1245" s="33"/>
      <c r="S1245" s="34"/>
      <c r="T1245" s="34"/>
      <c r="U1245" s="34"/>
      <c r="V1245" s="34"/>
      <c r="W1245" s="34"/>
      <c r="X1245" s="33" t="s">
        <v>1126</v>
      </c>
      <c r="Y1245" s="35" t="str">
        <f>IF(Tabela2[[#This Row],[SIGLA]]="","",VLOOKUP(Tabela2[[#This Row],[SIGLA]],Tabela1[[#All],[Sigla Arte]:[Crédito]],2,0))</f>
        <v>GUSTAVO CONTI/ARQUIVO DA EDITORA</v>
      </c>
      <c r="Z1245" s="31"/>
      <c r="AA1245" s="31" t="str">
        <f>Tabela2[[#This Row],[ILUSTRADOR CRIAÇÃO]]</f>
        <v>GUSTAVO CONTI/ARQUIVO DA EDITORA</v>
      </c>
      <c r="AB1245" s="33"/>
      <c r="AC1245" s="16"/>
      <c r="AE1245" s="35" t="str">
        <f t="shared" si="19"/>
        <v>EF1 E002 Mat</v>
      </c>
    </row>
    <row r="1246" spans="1:31" ht="45" x14ac:dyDescent="0.25">
      <c r="A1246" s="31" t="s">
        <v>2619</v>
      </c>
      <c r="B1246" s="16" t="s">
        <v>32</v>
      </c>
      <c r="C1246" s="16" t="s">
        <v>33</v>
      </c>
      <c r="D1246" s="33" t="s">
        <v>34</v>
      </c>
      <c r="E1246" s="33">
        <v>240</v>
      </c>
      <c r="F1246" s="33">
        <v>3</v>
      </c>
      <c r="G1246" s="33">
        <v>12</v>
      </c>
      <c r="H1246" s="33"/>
      <c r="I1246" s="31" t="s">
        <v>46</v>
      </c>
      <c r="J1246" s="31"/>
      <c r="K1246" s="33"/>
      <c r="L1246" s="33"/>
      <c r="M1246" s="31"/>
      <c r="N1246" s="31"/>
      <c r="O1246" s="16" t="s">
        <v>2620</v>
      </c>
      <c r="P1246" s="16"/>
      <c r="Q1246" s="16"/>
      <c r="R1246" s="33"/>
      <c r="S1246" s="34"/>
      <c r="T1246" s="34"/>
      <c r="U1246" s="34"/>
      <c r="V1246" s="34"/>
      <c r="W1246" s="34"/>
      <c r="X1246" s="33" t="s">
        <v>1515</v>
      </c>
      <c r="Y1246" s="35" t="str">
        <f>IF(Tabela2[[#This Row],[SIGLA]]="","",VLOOKUP(Tabela2[[#This Row],[SIGLA]],Tabela1[[#All],[Sigla Arte]:[Crédito]],2,0))</f>
        <v>JANAINA OLIVEIRA/ARQUIVO DA EDITORA</v>
      </c>
      <c r="Z1246" s="31"/>
      <c r="AA1246" s="31" t="s">
        <v>2616</v>
      </c>
      <c r="AB1246" s="33"/>
      <c r="AC1246" s="16"/>
      <c r="AE1246" s="35" t="str">
        <f t="shared" si="19"/>
        <v>EF1 E002 Mat</v>
      </c>
    </row>
    <row r="1247" spans="1:31" ht="30" x14ac:dyDescent="0.25">
      <c r="A1247" s="31" t="s">
        <v>2621</v>
      </c>
      <c r="B1247" s="16" t="s">
        <v>32</v>
      </c>
      <c r="C1247" s="16" t="s">
        <v>164</v>
      </c>
      <c r="D1247" s="33" t="s">
        <v>34</v>
      </c>
      <c r="E1247" s="33">
        <v>240</v>
      </c>
      <c r="F1247" s="33">
        <v>3</v>
      </c>
      <c r="G1247" s="33">
        <v>12</v>
      </c>
      <c r="H1247" s="33"/>
      <c r="I1247" s="31" t="s">
        <v>46</v>
      </c>
      <c r="J1247" s="31"/>
      <c r="K1247" s="33"/>
      <c r="L1247" s="33"/>
      <c r="M1247" s="31"/>
      <c r="N1247" s="31"/>
      <c r="O1247" s="16" t="s">
        <v>2622</v>
      </c>
      <c r="P1247" s="16"/>
      <c r="Q1247" s="16"/>
      <c r="R1247" s="33"/>
      <c r="S1247" s="34"/>
      <c r="T1247" s="34"/>
      <c r="U1247" s="34"/>
      <c r="V1247" s="34"/>
      <c r="W1247" s="34"/>
      <c r="X1247" s="33" t="s">
        <v>1126</v>
      </c>
      <c r="Y1247" s="35" t="str">
        <f>IF(Tabela2[[#This Row],[SIGLA]]="","",VLOOKUP(Tabela2[[#This Row],[SIGLA]],Tabela1[[#All],[Sigla Arte]:[Crédito]],2,0))</f>
        <v>GUSTAVO CONTI/ARQUIVO DA EDITORA</v>
      </c>
      <c r="Z1247" s="31"/>
      <c r="AA1247" s="31" t="str">
        <f>Tabela2[[#This Row],[ILUSTRADOR CRIAÇÃO]]</f>
        <v>GUSTAVO CONTI/ARQUIVO DA EDITORA</v>
      </c>
      <c r="AB1247" s="33"/>
      <c r="AC1247" s="16"/>
      <c r="AE1247" s="35" t="str">
        <f t="shared" si="19"/>
        <v>EF1 E002 Mat</v>
      </c>
    </row>
    <row r="1248" spans="1:31" ht="45" x14ac:dyDescent="0.25">
      <c r="A1248" s="31" t="s">
        <v>2623</v>
      </c>
      <c r="B1248" s="16" t="s">
        <v>32</v>
      </c>
      <c r="C1248" s="16" t="s">
        <v>33</v>
      </c>
      <c r="D1248" s="33" t="s">
        <v>34</v>
      </c>
      <c r="E1248" s="33">
        <v>240</v>
      </c>
      <c r="F1248" s="33">
        <v>3</v>
      </c>
      <c r="G1248" s="33">
        <v>12</v>
      </c>
      <c r="H1248" s="33"/>
      <c r="I1248" s="31" t="s">
        <v>46</v>
      </c>
      <c r="J1248" s="31"/>
      <c r="K1248" s="33"/>
      <c r="L1248" s="33"/>
      <c r="M1248" s="31"/>
      <c r="N1248" s="31"/>
      <c r="O1248" s="16" t="s">
        <v>2624</v>
      </c>
      <c r="P1248" s="16"/>
      <c r="Q1248" s="16"/>
      <c r="R1248" s="33"/>
      <c r="S1248" s="34"/>
      <c r="T1248" s="34"/>
      <c r="U1248" s="34"/>
      <c r="V1248" s="34"/>
      <c r="W1248" s="34"/>
      <c r="X1248" s="33" t="s">
        <v>1515</v>
      </c>
      <c r="Y1248" s="35" t="str">
        <f>IF(Tabela2[[#This Row],[SIGLA]]="","",VLOOKUP(Tabela2[[#This Row],[SIGLA]],Tabela1[[#All],[Sigla Arte]:[Crédito]],2,0))</f>
        <v>JANAINA OLIVEIRA/ARQUIVO DA EDITORA</v>
      </c>
      <c r="Z1248" s="31"/>
      <c r="AA1248" s="31" t="s">
        <v>2616</v>
      </c>
      <c r="AB1248" s="33"/>
      <c r="AC1248" s="16"/>
      <c r="AE1248" s="35" t="str">
        <f t="shared" si="19"/>
        <v>EF1 E002 Mat</v>
      </c>
    </row>
    <row r="1249" spans="1:31" ht="60" x14ac:dyDescent="0.25">
      <c r="A1249" s="31" t="s">
        <v>2625</v>
      </c>
      <c r="B1249" s="16" t="s">
        <v>32</v>
      </c>
      <c r="C1249" s="16" t="s">
        <v>164</v>
      </c>
      <c r="D1249" s="33" t="s">
        <v>34</v>
      </c>
      <c r="E1249" s="33">
        <v>240</v>
      </c>
      <c r="F1249" s="33">
        <v>3</v>
      </c>
      <c r="G1249" s="33">
        <v>12</v>
      </c>
      <c r="H1249" s="33"/>
      <c r="I1249" s="31" t="s">
        <v>46</v>
      </c>
      <c r="J1249" s="31"/>
      <c r="K1249" s="33"/>
      <c r="L1249" s="33"/>
      <c r="M1249" s="31"/>
      <c r="N1249" s="31"/>
      <c r="O1249" s="16" t="s">
        <v>2626</v>
      </c>
      <c r="P1249" s="16"/>
      <c r="Q1249" s="16"/>
      <c r="R1249" s="33"/>
      <c r="S1249" s="34"/>
      <c r="T1249" s="34"/>
      <c r="U1249" s="34"/>
      <c r="V1249" s="34"/>
      <c r="W1249" s="34"/>
      <c r="X1249" s="33" t="s">
        <v>1126</v>
      </c>
      <c r="Y1249" s="35" t="str">
        <f>IF(Tabela2[[#This Row],[SIGLA]]="","",VLOOKUP(Tabela2[[#This Row],[SIGLA]],Tabela1[[#All],[Sigla Arte]:[Crédito]],2,0))</f>
        <v>GUSTAVO CONTI/ARQUIVO DA EDITORA</v>
      </c>
      <c r="Z1249" s="31"/>
      <c r="AA1249" s="31" t="str">
        <f>Tabela2[[#This Row],[ILUSTRADOR CRIAÇÃO]]</f>
        <v>GUSTAVO CONTI/ARQUIVO DA EDITORA</v>
      </c>
      <c r="AB1249" s="33"/>
      <c r="AC1249" s="16"/>
      <c r="AE1249" s="35" t="str">
        <f t="shared" si="19"/>
        <v>EF1 E002 Mat</v>
      </c>
    </row>
    <row r="1250" spans="1:31" ht="75" x14ac:dyDescent="0.25">
      <c r="A1250" s="31" t="s">
        <v>2627</v>
      </c>
      <c r="B1250" s="16" t="s">
        <v>32</v>
      </c>
      <c r="C1250" s="16" t="s">
        <v>33</v>
      </c>
      <c r="D1250" s="33" t="s">
        <v>34</v>
      </c>
      <c r="E1250" s="33">
        <v>241</v>
      </c>
      <c r="F1250" s="33">
        <v>3</v>
      </c>
      <c r="G1250" s="33">
        <v>12</v>
      </c>
      <c r="H1250" s="33"/>
      <c r="I1250" s="31" t="s">
        <v>35</v>
      </c>
      <c r="J1250" s="31"/>
      <c r="K1250" s="33"/>
      <c r="L1250" s="33"/>
      <c r="M1250" s="31"/>
      <c r="N1250" s="31"/>
      <c r="O1250" s="16" t="s">
        <v>2628</v>
      </c>
      <c r="P1250" s="16"/>
      <c r="Q1250" s="16"/>
      <c r="R1250" s="33">
        <v>32</v>
      </c>
      <c r="S1250" s="34">
        <v>45778</v>
      </c>
      <c r="T1250" s="34">
        <v>45782</v>
      </c>
      <c r="U1250" s="34"/>
      <c r="V1250" s="34"/>
      <c r="W1250" s="34">
        <v>45782</v>
      </c>
      <c r="X1250" s="33" t="s">
        <v>247</v>
      </c>
      <c r="Y1250" s="35" t="str">
        <f>IF(Tabela2[[#This Row],[SIGLA]]="","",VLOOKUP(Tabela2[[#This Row],[SIGLA]],Tabela1[[#All],[Sigla Arte]:[Crédito]],2,0))</f>
        <v>THAIS CASTRO/ARQUIVO DA EDITORA</v>
      </c>
      <c r="Z1250" s="31" t="s">
        <v>221</v>
      </c>
      <c r="AA1250" s="31" t="str">
        <f>Tabela2[[#This Row],[ILUSTRADOR CRIAÇÃO]]</f>
        <v>THAIS CASTRO/ARQUIVO DA EDITORA</v>
      </c>
      <c r="AB1250" s="33">
        <v>14</v>
      </c>
      <c r="AC1250" s="16" t="s">
        <v>39</v>
      </c>
      <c r="AD1250" s="16" t="s">
        <v>40</v>
      </c>
      <c r="AE1250" s="35" t="str">
        <f t="shared" si="19"/>
        <v>EF1 E002 Mat</v>
      </c>
    </row>
    <row r="1251" spans="1:31" ht="30" x14ac:dyDescent="0.25">
      <c r="A1251" s="31" t="s">
        <v>2629</v>
      </c>
      <c r="B1251" s="16" t="s">
        <v>32</v>
      </c>
      <c r="C1251" s="16" t="s">
        <v>33</v>
      </c>
      <c r="D1251" s="33" t="s">
        <v>34</v>
      </c>
      <c r="E1251" s="33">
        <v>241</v>
      </c>
      <c r="F1251" s="33">
        <v>3</v>
      </c>
      <c r="G1251" s="33">
        <v>12</v>
      </c>
      <c r="H1251" s="33"/>
      <c r="I1251" s="31" t="s">
        <v>46</v>
      </c>
      <c r="J1251" s="31"/>
      <c r="K1251" s="33"/>
      <c r="L1251" s="33"/>
      <c r="M1251" s="31"/>
      <c r="N1251" s="31"/>
      <c r="O1251" s="16" t="s">
        <v>2630</v>
      </c>
      <c r="P1251" s="16"/>
      <c r="Q1251" s="16"/>
      <c r="R1251" s="33"/>
      <c r="S1251" s="34"/>
      <c r="T1251" s="34"/>
      <c r="U1251" s="34"/>
      <c r="V1251" s="34"/>
      <c r="W1251" s="34"/>
      <c r="X1251" s="33" t="s">
        <v>85</v>
      </c>
      <c r="Y1251" s="35" t="str">
        <f>IF(Tabela2[[#This Row],[SIGLA]]="","",VLOOKUP(Tabela2[[#This Row],[SIGLA]],Tabela1[[#All],[Sigla Arte]:[Crédito]],2,0))</f>
        <v>HELOÍSA PINTARELLI/ARQUIVO DA EDITORA</v>
      </c>
      <c r="Z1251" s="31"/>
      <c r="AA1251" s="31" t="str">
        <f>Tabela2[[#This Row],[ILUSTRADOR CRIAÇÃO]]</f>
        <v>HELOÍSA PINTARELLI/ARQUIVO DA EDITORA</v>
      </c>
      <c r="AB1251" s="33"/>
      <c r="AC1251" s="16"/>
      <c r="AE1251" s="35" t="str">
        <f t="shared" si="19"/>
        <v>EF1 E002 Mat</v>
      </c>
    </row>
    <row r="1252" spans="1:31" ht="45" x14ac:dyDescent="0.25">
      <c r="A1252" s="31" t="s">
        <v>2631</v>
      </c>
      <c r="B1252" s="16" t="s">
        <v>32</v>
      </c>
      <c r="C1252" s="16" t="s">
        <v>33</v>
      </c>
      <c r="D1252" s="33" t="s">
        <v>34</v>
      </c>
      <c r="E1252" s="33">
        <v>242</v>
      </c>
      <c r="F1252" s="33">
        <v>3</v>
      </c>
      <c r="G1252" s="33">
        <v>12</v>
      </c>
      <c r="H1252" s="33"/>
      <c r="I1252" s="31" t="s">
        <v>46</v>
      </c>
      <c r="J1252" s="31"/>
      <c r="K1252" s="33"/>
      <c r="L1252" s="33"/>
      <c r="M1252" s="31"/>
      <c r="N1252" s="31"/>
      <c r="O1252" s="16" t="s">
        <v>2632</v>
      </c>
      <c r="P1252" s="16"/>
      <c r="Q1252" s="16"/>
      <c r="R1252" s="33"/>
      <c r="S1252" s="34"/>
      <c r="T1252" s="34"/>
      <c r="U1252" s="34"/>
      <c r="V1252" s="34"/>
      <c r="W1252" s="34"/>
      <c r="X1252" s="33" t="s">
        <v>247</v>
      </c>
      <c r="Y1252" s="35" t="str">
        <f>IF(Tabela2[[#This Row],[SIGLA]]="","",VLOOKUP(Tabela2[[#This Row],[SIGLA]],Tabela1[[#All],[Sigla Arte]:[Crédito]],2,0))</f>
        <v>THAIS CASTRO/ARQUIVO DA EDITORA</v>
      </c>
      <c r="Z1252" s="31"/>
      <c r="AA1252" s="31" t="str">
        <f>Tabela2[[#This Row],[ILUSTRADOR CRIAÇÃO]]</f>
        <v>THAIS CASTRO/ARQUIVO DA EDITORA</v>
      </c>
      <c r="AB1252" s="33"/>
      <c r="AC1252" s="16"/>
      <c r="AE1252" s="35" t="str">
        <f t="shared" si="19"/>
        <v>EF1 E002 Mat</v>
      </c>
    </row>
    <row r="1253" spans="1:31" ht="45" x14ac:dyDescent="0.25">
      <c r="A1253" s="31" t="s">
        <v>2633</v>
      </c>
      <c r="B1253" s="16" t="s">
        <v>32</v>
      </c>
      <c r="C1253" s="16" t="s">
        <v>33</v>
      </c>
      <c r="D1253" s="33" t="s">
        <v>34</v>
      </c>
      <c r="E1253" s="33">
        <v>242</v>
      </c>
      <c r="F1253" s="33">
        <v>3</v>
      </c>
      <c r="G1253" s="33">
        <v>12</v>
      </c>
      <c r="H1253" s="33"/>
      <c r="I1253" s="31" t="s">
        <v>35</v>
      </c>
      <c r="J1253" s="31"/>
      <c r="K1253" s="33"/>
      <c r="L1253" s="33"/>
      <c r="M1253" s="31"/>
      <c r="N1253" s="31"/>
      <c r="O1253" s="16" t="s">
        <v>2634</v>
      </c>
      <c r="P1253" s="16"/>
      <c r="Q1253" s="16"/>
      <c r="R1253" s="33">
        <v>180</v>
      </c>
      <c r="S1253" s="34">
        <v>45929</v>
      </c>
      <c r="T1253" s="34">
        <v>45929</v>
      </c>
      <c r="U1253" s="34"/>
      <c r="V1253" s="34"/>
      <c r="W1253" s="34">
        <v>45929</v>
      </c>
      <c r="X1253" s="33" t="s">
        <v>85</v>
      </c>
      <c r="Y1253" s="35" t="str">
        <f>IF(Tabela2[[#This Row],[SIGLA]]="","",VLOOKUP(Tabela2[[#This Row],[SIGLA]],Tabela1[[#All],[Sigla Arte]:[Crédito]],2,0))</f>
        <v>HELOÍSA PINTARELLI/ARQUIVO DA EDITORA</v>
      </c>
      <c r="Z1253" s="31" t="s">
        <v>572</v>
      </c>
      <c r="AA1253" s="31" t="str">
        <f>Tabela2[[#This Row],[ILUSTRADOR CRIAÇÃO]]</f>
        <v>HELOÍSA PINTARELLI/ARQUIVO DA EDITORA</v>
      </c>
      <c r="AB1253" s="33">
        <v>13</v>
      </c>
      <c r="AC1253" s="16" t="s">
        <v>44</v>
      </c>
      <c r="AE1253" s="35" t="str">
        <f t="shared" si="19"/>
        <v>EF1 E002 Mat</v>
      </c>
    </row>
    <row r="1254" spans="1:31" ht="30" x14ac:dyDescent="0.25">
      <c r="A1254" s="31" t="s">
        <v>2635</v>
      </c>
      <c r="B1254" s="16" t="s">
        <v>32</v>
      </c>
      <c r="C1254" s="16" t="s">
        <v>33</v>
      </c>
      <c r="D1254" s="33" t="s">
        <v>34</v>
      </c>
      <c r="E1254" s="33">
        <v>243</v>
      </c>
      <c r="F1254" s="33">
        <v>3</v>
      </c>
      <c r="G1254" s="33">
        <v>12</v>
      </c>
      <c r="H1254" s="33"/>
      <c r="I1254" s="31" t="s">
        <v>46</v>
      </c>
      <c r="J1254" s="31"/>
      <c r="K1254" s="33"/>
      <c r="L1254" s="33"/>
      <c r="M1254" s="31"/>
      <c r="N1254" s="31"/>
      <c r="O1254" s="16" t="s">
        <v>2636</v>
      </c>
      <c r="P1254" s="16"/>
      <c r="Q1254" s="16"/>
      <c r="R1254" s="33"/>
      <c r="S1254" s="34"/>
      <c r="T1254" s="34"/>
      <c r="U1254" s="34"/>
      <c r="V1254" s="34"/>
      <c r="W1254" s="34"/>
      <c r="X1254" s="33" t="s">
        <v>85</v>
      </c>
      <c r="Y1254" s="35" t="str">
        <f>IF(Tabela2[[#This Row],[SIGLA]]="","",VLOOKUP(Tabela2[[#This Row],[SIGLA]],Tabela1[[#All],[Sigla Arte]:[Crédito]],2,0))</f>
        <v>HELOÍSA PINTARELLI/ARQUIVO DA EDITORA</v>
      </c>
      <c r="Z1254" s="31"/>
      <c r="AA1254" s="31" t="str">
        <f>Tabela2[[#This Row],[ILUSTRADOR CRIAÇÃO]]</f>
        <v>HELOÍSA PINTARELLI/ARQUIVO DA EDITORA</v>
      </c>
      <c r="AB1254" s="33"/>
      <c r="AC1254" s="16"/>
      <c r="AE1254" s="35" t="str">
        <f t="shared" si="19"/>
        <v>EF1 E002 Mat</v>
      </c>
    </row>
    <row r="1255" spans="1:31" ht="45" x14ac:dyDescent="0.25">
      <c r="A1255" s="31" t="s">
        <v>2637</v>
      </c>
      <c r="B1255" s="16" t="s">
        <v>32</v>
      </c>
      <c r="C1255" s="16" t="s">
        <v>33</v>
      </c>
      <c r="D1255" s="33" t="s">
        <v>34</v>
      </c>
      <c r="E1255" s="33">
        <v>243</v>
      </c>
      <c r="F1255" s="33">
        <v>3</v>
      </c>
      <c r="G1255" s="33">
        <v>12</v>
      </c>
      <c r="H1255" s="33"/>
      <c r="I1255" s="31" t="s">
        <v>46</v>
      </c>
      <c r="J1255" s="31"/>
      <c r="K1255" s="33"/>
      <c r="L1255" s="33"/>
      <c r="M1255" s="31"/>
      <c r="N1255" s="31"/>
      <c r="O1255" s="16" t="s">
        <v>2638</v>
      </c>
      <c r="P1255" s="16"/>
      <c r="Q1255" s="16"/>
      <c r="R1255" s="33"/>
      <c r="S1255" s="34"/>
      <c r="T1255" s="34"/>
      <c r="U1255" s="34"/>
      <c r="V1255" s="34"/>
      <c r="W1255" s="34"/>
      <c r="X1255" s="33" t="s">
        <v>85</v>
      </c>
      <c r="Y1255" s="35" t="str">
        <f>IF(Tabela2[[#This Row],[SIGLA]]="","",VLOOKUP(Tabela2[[#This Row],[SIGLA]],Tabela1[[#All],[Sigla Arte]:[Crédito]],2,0))</f>
        <v>HELOÍSA PINTARELLI/ARQUIVO DA EDITORA</v>
      </c>
      <c r="Z1255" s="31"/>
      <c r="AA1255" s="31" t="str">
        <f>Tabela2[[#This Row],[ILUSTRADOR CRIAÇÃO]]</f>
        <v>HELOÍSA PINTARELLI/ARQUIVO DA EDITORA</v>
      </c>
      <c r="AB1255" s="33"/>
      <c r="AC1255" s="16"/>
      <c r="AE1255" s="35" t="str">
        <f t="shared" si="19"/>
        <v>EF1 E002 Mat</v>
      </c>
    </row>
    <row r="1256" spans="1:31" ht="45" x14ac:dyDescent="0.25">
      <c r="A1256" s="31" t="s">
        <v>2639</v>
      </c>
      <c r="B1256" s="16" t="s">
        <v>32</v>
      </c>
      <c r="C1256" s="16" t="s">
        <v>33</v>
      </c>
      <c r="D1256" s="33" t="s">
        <v>34</v>
      </c>
      <c r="E1256" s="33">
        <v>244</v>
      </c>
      <c r="F1256" s="33">
        <v>3</v>
      </c>
      <c r="G1256" s="33">
        <v>12</v>
      </c>
      <c r="H1256" s="33"/>
      <c r="I1256" s="31" t="s">
        <v>46</v>
      </c>
      <c r="J1256" s="31"/>
      <c r="K1256" s="33"/>
      <c r="L1256" s="33"/>
      <c r="M1256" s="31"/>
      <c r="N1256" s="31"/>
      <c r="O1256" s="16" t="s">
        <v>2640</v>
      </c>
      <c r="P1256" s="16"/>
      <c r="Q1256" s="16"/>
      <c r="R1256" s="33"/>
      <c r="S1256" s="34"/>
      <c r="T1256" s="34"/>
      <c r="U1256" s="34"/>
      <c r="V1256" s="34"/>
      <c r="W1256" s="34"/>
      <c r="X1256" s="33" t="s">
        <v>48</v>
      </c>
      <c r="Y1256" s="35" t="str">
        <f>IF(Tabela2[[#This Row],[SIGLA]]="","",VLOOKUP(Tabela2[[#This Row],[SIGLA]],Tabela1[[#All],[Sigla Arte]:[Crédito]],2,0))</f>
        <v>SERGIO LIMA/ARQUIVO DA EDITORA</v>
      </c>
      <c r="Z1256" s="31"/>
      <c r="AA1256" s="31" t="str">
        <f>Tabela2[[#This Row],[ILUSTRADOR CRIAÇÃO]]</f>
        <v>SERGIO LIMA/ARQUIVO DA EDITORA</v>
      </c>
      <c r="AB1256" s="33"/>
      <c r="AC1256" s="16"/>
      <c r="AE1256" s="35" t="str">
        <f t="shared" si="19"/>
        <v>EF1 E002 Mat</v>
      </c>
    </row>
    <row r="1257" spans="1:31" ht="45" x14ac:dyDescent="0.25">
      <c r="A1257" s="31" t="s">
        <v>2641</v>
      </c>
      <c r="B1257" s="16" t="s">
        <v>32</v>
      </c>
      <c r="C1257" s="16" t="s">
        <v>33</v>
      </c>
      <c r="D1257" s="33" t="s">
        <v>34</v>
      </c>
      <c r="E1257" s="33">
        <v>244</v>
      </c>
      <c r="F1257" s="33">
        <v>3</v>
      </c>
      <c r="G1257" s="33">
        <v>12</v>
      </c>
      <c r="H1257" s="33"/>
      <c r="I1257" s="31" t="s">
        <v>46</v>
      </c>
      <c r="J1257" s="31"/>
      <c r="K1257" s="33"/>
      <c r="L1257" s="33"/>
      <c r="M1257" s="31"/>
      <c r="N1257" s="31"/>
      <c r="O1257" s="16" t="s">
        <v>2642</v>
      </c>
      <c r="P1257" s="16"/>
      <c r="Q1257" s="16"/>
      <c r="R1257" s="33"/>
      <c r="S1257" s="34"/>
      <c r="T1257" s="34"/>
      <c r="U1257" s="34"/>
      <c r="V1257" s="34"/>
      <c r="W1257" s="34"/>
      <c r="X1257" s="33" t="s">
        <v>48</v>
      </c>
      <c r="Y1257" s="35" t="str">
        <f>IF(Tabela2[[#This Row],[SIGLA]]="","",VLOOKUP(Tabela2[[#This Row],[SIGLA]],Tabela1[[#All],[Sigla Arte]:[Crédito]],2,0))</f>
        <v>SERGIO LIMA/ARQUIVO DA EDITORA</v>
      </c>
      <c r="Z1257" s="31"/>
      <c r="AA1257" s="31" t="str">
        <f>Tabela2[[#This Row],[ILUSTRADOR CRIAÇÃO]]</f>
        <v>SERGIO LIMA/ARQUIVO DA EDITORA</v>
      </c>
      <c r="AB1257" s="33"/>
      <c r="AC1257" s="16"/>
      <c r="AE1257" s="35" t="str">
        <f t="shared" si="19"/>
        <v>EF1 E002 Mat</v>
      </c>
    </row>
    <row r="1258" spans="1:31" ht="45" x14ac:dyDescent="0.25">
      <c r="A1258" s="31" t="s">
        <v>2643</v>
      </c>
      <c r="B1258" s="16" t="s">
        <v>32</v>
      </c>
      <c r="C1258" s="16" t="s">
        <v>33</v>
      </c>
      <c r="D1258" s="33" t="s">
        <v>34</v>
      </c>
      <c r="E1258" s="33">
        <v>244</v>
      </c>
      <c r="F1258" s="33">
        <v>3</v>
      </c>
      <c r="G1258" s="33">
        <v>12</v>
      </c>
      <c r="H1258" s="33"/>
      <c r="I1258" s="31" t="s">
        <v>46</v>
      </c>
      <c r="J1258" s="31"/>
      <c r="K1258" s="33"/>
      <c r="L1258" s="33"/>
      <c r="M1258" s="31"/>
      <c r="N1258" s="31"/>
      <c r="O1258" s="16" t="s">
        <v>2644</v>
      </c>
      <c r="P1258" s="16"/>
      <c r="Q1258" s="16"/>
      <c r="R1258" s="33"/>
      <c r="S1258" s="34"/>
      <c r="T1258" s="34"/>
      <c r="U1258" s="34"/>
      <c r="V1258" s="34"/>
      <c r="W1258" s="34"/>
      <c r="X1258" s="33" t="s">
        <v>48</v>
      </c>
      <c r="Y1258" s="35" t="str">
        <f>IF(Tabela2[[#This Row],[SIGLA]]="","",VLOOKUP(Tabela2[[#This Row],[SIGLA]],Tabela1[[#All],[Sigla Arte]:[Crédito]],2,0))</f>
        <v>SERGIO LIMA/ARQUIVO DA EDITORA</v>
      </c>
      <c r="Z1258" s="31"/>
      <c r="AA1258" s="31" t="str">
        <f>Tabela2[[#This Row],[ILUSTRADOR CRIAÇÃO]]</f>
        <v>SERGIO LIMA/ARQUIVO DA EDITORA</v>
      </c>
      <c r="AB1258" s="33"/>
      <c r="AC1258" s="16"/>
      <c r="AE1258" s="35" t="str">
        <f t="shared" si="19"/>
        <v>EF1 E002 Mat</v>
      </c>
    </row>
    <row r="1259" spans="1:31" ht="30" x14ac:dyDescent="0.25">
      <c r="A1259" s="31" t="s">
        <v>2645</v>
      </c>
      <c r="B1259" s="16" t="s">
        <v>32</v>
      </c>
      <c r="C1259" s="16" t="s">
        <v>33</v>
      </c>
      <c r="D1259" s="33" t="s">
        <v>34</v>
      </c>
      <c r="E1259" s="33">
        <v>245</v>
      </c>
      <c r="F1259" s="33">
        <v>3</v>
      </c>
      <c r="G1259" s="33">
        <v>12</v>
      </c>
      <c r="H1259" s="33"/>
      <c r="I1259" s="31" t="s">
        <v>46</v>
      </c>
      <c r="J1259" s="31"/>
      <c r="K1259" s="33"/>
      <c r="L1259" s="33"/>
      <c r="M1259" s="31"/>
      <c r="N1259" s="31"/>
      <c r="O1259" s="16" t="s">
        <v>2646</v>
      </c>
      <c r="P1259" s="16"/>
      <c r="Q1259" s="16"/>
      <c r="R1259" s="33"/>
      <c r="S1259" s="34"/>
      <c r="T1259" s="34"/>
      <c r="U1259" s="34"/>
      <c r="V1259" s="34"/>
      <c r="W1259" s="34"/>
      <c r="X1259" s="33" t="s">
        <v>85</v>
      </c>
      <c r="Y1259" s="35" t="str">
        <f>IF(Tabela2[[#This Row],[SIGLA]]="","",VLOOKUP(Tabela2[[#This Row],[SIGLA]],Tabela1[[#All],[Sigla Arte]:[Crédito]],2,0))</f>
        <v>HELOÍSA PINTARELLI/ARQUIVO DA EDITORA</v>
      </c>
      <c r="Z1259" s="31"/>
      <c r="AA1259" s="31" t="str">
        <f>Tabela2[[#This Row],[ILUSTRADOR CRIAÇÃO]]</f>
        <v>HELOÍSA PINTARELLI/ARQUIVO DA EDITORA</v>
      </c>
      <c r="AB1259" s="33"/>
      <c r="AC1259" s="16"/>
      <c r="AE1259" s="35" t="str">
        <f t="shared" si="19"/>
        <v>EF1 E002 Mat</v>
      </c>
    </row>
    <row r="1260" spans="1:31" ht="30" x14ac:dyDescent="0.25">
      <c r="A1260" s="31" t="s">
        <v>2647</v>
      </c>
      <c r="B1260" s="16" t="s">
        <v>32</v>
      </c>
      <c r="C1260" s="16" t="s">
        <v>33</v>
      </c>
      <c r="D1260" s="33" t="s">
        <v>34</v>
      </c>
      <c r="E1260" s="33">
        <v>247</v>
      </c>
      <c r="F1260" s="33">
        <v>3</v>
      </c>
      <c r="G1260" s="33">
        <v>12</v>
      </c>
      <c r="H1260" s="33"/>
      <c r="I1260" s="31" t="s">
        <v>46</v>
      </c>
      <c r="J1260" s="31"/>
      <c r="K1260" s="33"/>
      <c r="L1260" s="33"/>
      <c r="M1260" s="31"/>
      <c r="N1260" s="31"/>
      <c r="O1260" s="16" t="s">
        <v>2648</v>
      </c>
      <c r="P1260" s="16"/>
      <c r="Q1260" s="16"/>
      <c r="R1260" s="33"/>
      <c r="S1260" s="34"/>
      <c r="T1260" s="34"/>
      <c r="U1260" s="34"/>
      <c r="V1260" s="34"/>
      <c r="W1260" s="34"/>
      <c r="X1260" s="33" t="s">
        <v>247</v>
      </c>
      <c r="Y1260" s="35" t="str">
        <f>IF(Tabela2[[#This Row],[SIGLA]]="","",VLOOKUP(Tabela2[[#This Row],[SIGLA]],Tabela1[[#All],[Sigla Arte]:[Crédito]],2,0))</f>
        <v>THAIS CASTRO/ARQUIVO DA EDITORA</v>
      </c>
      <c r="Z1260" s="31"/>
      <c r="AA1260" s="31" t="str">
        <f>Tabela2[[#This Row],[ILUSTRADOR CRIAÇÃO]]</f>
        <v>THAIS CASTRO/ARQUIVO DA EDITORA</v>
      </c>
      <c r="AB1260" s="33"/>
      <c r="AC1260" s="16"/>
      <c r="AE1260" s="35" t="str">
        <f t="shared" si="19"/>
        <v>EF1 E002 Mat</v>
      </c>
    </row>
    <row r="1261" spans="1:31" ht="45" x14ac:dyDescent="0.25">
      <c r="A1261" s="31" t="s">
        <v>2649</v>
      </c>
      <c r="B1261" s="16" t="s">
        <v>32</v>
      </c>
      <c r="C1261" s="16" t="s">
        <v>33</v>
      </c>
      <c r="D1261" s="33" t="s">
        <v>34</v>
      </c>
      <c r="E1261" s="33">
        <v>32</v>
      </c>
      <c r="F1261" s="33">
        <v>4</v>
      </c>
      <c r="G1261" s="33">
        <v>2</v>
      </c>
      <c r="H1261" s="33"/>
      <c r="I1261" s="31" t="s">
        <v>46</v>
      </c>
      <c r="J1261" s="31"/>
      <c r="K1261" s="33"/>
      <c r="L1261" s="33"/>
      <c r="M1261" s="31"/>
      <c r="N1261" s="31"/>
      <c r="O1261" s="16" t="s">
        <v>2650</v>
      </c>
      <c r="P1261" s="16"/>
      <c r="Q1261" s="16"/>
      <c r="R1261" s="33"/>
      <c r="S1261" s="34"/>
      <c r="T1261" s="34"/>
      <c r="U1261" s="34"/>
      <c r="V1261" s="34"/>
      <c r="W1261" s="34"/>
      <c r="X1261" s="33" t="s">
        <v>351</v>
      </c>
      <c r="Y1261" s="35" t="str">
        <f>IF(Tabela2[[#This Row],[SIGLA]]="","",VLOOKUP(Tabela2[[#This Row],[SIGLA]],Tabela1[[#All],[Sigla Arte]:[Crédito]],2,0))</f>
        <v>RAITAN OHI/ARQUIVO DA EDITORA</v>
      </c>
      <c r="Z1261" s="31"/>
      <c r="AA1261" s="31" t="str">
        <f>Tabela2[[#This Row],[ILUSTRADOR CRIAÇÃO]]</f>
        <v>RAITAN OHI/ARQUIVO DA EDITORA</v>
      </c>
      <c r="AB1261" s="33"/>
      <c r="AC1261" s="16"/>
      <c r="AE1261" s="35" t="str">
        <f t="shared" si="19"/>
        <v>EF1 E002 Mat</v>
      </c>
    </row>
    <row r="1262" spans="1:31" ht="30" x14ac:dyDescent="0.25">
      <c r="A1262" s="31" t="s">
        <v>2651</v>
      </c>
      <c r="B1262" s="16" t="s">
        <v>32</v>
      </c>
      <c r="C1262" s="16" t="s">
        <v>33</v>
      </c>
      <c r="D1262" s="33" t="s">
        <v>34</v>
      </c>
      <c r="E1262" s="33">
        <v>33</v>
      </c>
      <c r="F1262" s="33">
        <v>4</v>
      </c>
      <c r="G1262" s="33">
        <v>2</v>
      </c>
      <c r="H1262" s="33"/>
      <c r="I1262" s="31" t="s">
        <v>46</v>
      </c>
      <c r="J1262" s="31"/>
      <c r="K1262" s="33"/>
      <c r="L1262" s="33"/>
      <c r="M1262" s="31"/>
      <c r="N1262" s="31"/>
      <c r="O1262" s="16" t="s">
        <v>2652</v>
      </c>
      <c r="P1262" s="16"/>
      <c r="Q1262" s="16"/>
      <c r="R1262" s="33"/>
      <c r="S1262" s="34"/>
      <c r="T1262" s="34"/>
      <c r="U1262" s="34"/>
      <c r="V1262" s="34"/>
      <c r="W1262" s="34"/>
      <c r="X1262" s="33" t="s">
        <v>351</v>
      </c>
      <c r="Y1262" s="35" t="str">
        <f>IF(Tabela2[[#This Row],[SIGLA]]="","",VLOOKUP(Tabela2[[#This Row],[SIGLA]],Tabela1[[#All],[Sigla Arte]:[Crédito]],2,0))</f>
        <v>RAITAN OHI/ARQUIVO DA EDITORA</v>
      </c>
      <c r="Z1262" s="31"/>
      <c r="AA1262" s="31" t="str">
        <f>Tabela2[[#This Row],[ILUSTRADOR CRIAÇÃO]]</f>
        <v>RAITAN OHI/ARQUIVO DA EDITORA</v>
      </c>
      <c r="AB1262" s="33"/>
      <c r="AC1262" s="16"/>
      <c r="AE1262" s="35" t="str">
        <f t="shared" si="19"/>
        <v>EF1 E002 Mat</v>
      </c>
    </row>
    <row r="1263" spans="1:31" ht="30" x14ac:dyDescent="0.25">
      <c r="A1263" s="31" t="s">
        <v>2653</v>
      </c>
      <c r="B1263" s="16" t="s">
        <v>32</v>
      </c>
      <c r="C1263" s="16" t="s">
        <v>33</v>
      </c>
      <c r="D1263" s="33" t="s">
        <v>34</v>
      </c>
      <c r="E1263" s="33">
        <v>34</v>
      </c>
      <c r="F1263" s="33">
        <v>4</v>
      </c>
      <c r="G1263" s="33">
        <v>2</v>
      </c>
      <c r="H1263" s="33"/>
      <c r="I1263" s="31" t="s">
        <v>46</v>
      </c>
      <c r="J1263" s="31"/>
      <c r="K1263" s="33"/>
      <c r="L1263" s="33"/>
      <c r="M1263" s="31"/>
      <c r="N1263" s="31"/>
      <c r="O1263" s="16" t="s">
        <v>2654</v>
      </c>
      <c r="P1263" s="16"/>
      <c r="Q1263" s="16"/>
      <c r="R1263" s="33"/>
      <c r="S1263" s="34"/>
      <c r="T1263" s="34"/>
      <c r="U1263" s="34"/>
      <c r="V1263" s="34"/>
      <c r="W1263" s="34"/>
      <c r="X1263" s="33" t="s">
        <v>247</v>
      </c>
      <c r="Y1263" s="35" t="str">
        <f>IF(Tabela2[[#This Row],[SIGLA]]="","",VLOOKUP(Tabela2[[#This Row],[SIGLA]],Tabela1[[#All],[Sigla Arte]:[Crédito]],2,0))</f>
        <v>THAIS CASTRO/ARQUIVO DA EDITORA</v>
      </c>
      <c r="Z1263" s="31"/>
      <c r="AA1263" s="31" t="str">
        <f>Tabela2[[#This Row],[ILUSTRADOR CRIAÇÃO]]</f>
        <v>THAIS CASTRO/ARQUIVO DA EDITORA</v>
      </c>
      <c r="AB1263" s="33"/>
      <c r="AC1263" s="16"/>
      <c r="AE1263" s="35" t="str">
        <f t="shared" si="19"/>
        <v>EF1 E002 Mat</v>
      </c>
    </row>
    <row r="1264" spans="1:31" ht="60" x14ac:dyDescent="0.25">
      <c r="A1264" s="31" t="s">
        <v>2655</v>
      </c>
      <c r="B1264" s="16" t="s">
        <v>401</v>
      </c>
      <c r="C1264" s="16" t="s">
        <v>164</v>
      </c>
      <c r="D1264" s="33" t="s">
        <v>34</v>
      </c>
      <c r="E1264" s="33">
        <v>37</v>
      </c>
      <c r="F1264" s="33">
        <v>4</v>
      </c>
      <c r="G1264" s="33">
        <v>2</v>
      </c>
      <c r="H1264" s="33"/>
      <c r="I1264" s="31" t="s">
        <v>35</v>
      </c>
      <c r="J1264" s="31"/>
      <c r="K1264" s="33"/>
      <c r="L1264" s="33"/>
      <c r="M1264" s="31"/>
      <c r="N1264" s="31"/>
      <c r="O1264" s="16" t="s">
        <v>2656</v>
      </c>
      <c r="P1264" s="16"/>
      <c r="Q1264" s="16"/>
      <c r="R1264" s="33">
        <v>33</v>
      </c>
      <c r="S1264" s="34">
        <v>45779</v>
      </c>
      <c r="T1264" s="34">
        <v>45782</v>
      </c>
      <c r="U1264" s="34"/>
      <c r="V1264" s="34"/>
      <c r="W1264" s="34">
        <v>45783</v>
      </c>
      <c r="X1264" s="33" t="s">
        <v>184</v>
      </c>
      <c r="Y1264" s="35" t="str">
        <f>IF(Tabela2[[#This Row],[SIGLA]]="","",VLOOKUP(Tabela2[[#This Row],[SIGLA]],Tabela1[[#All],[Sigla Arte]:[Crédito]],2,0))</f>
        <v>VER DOCUMENTO DE ILS. TÉCNICAS</v>
      </c>
      <c r="Z1264" s="31" t="s">
        <v>221</v>
      </c>
      <c r="AA1264" s="31" t="s">
        <v>191</v>
      </c>
      <c r="AB1264" s="33">
        <v>13</v>
      </c>
      <c r="AC1264" s="16" t="s">
        <v>222</v>
      </c>
      <c r="AD1264" s="16" t="s">
        <v>40</v>
      </c>
      <c r="AE1264" s="35" t="str">
        <f t="shared" si="19"/>
        <v>EF1 E002 Mat</v>
      </c>
    </row>
    <row r="1265" spans="1:31" ht="30" x14ac:dyDescent="0.25">
      <c r="A1265" s="31" t="s">
        <v>2657</v>
      </c>
      <c r="B1265" s="16" t="s">
        <v>401</v>
      </c>
      <c r="C1265" s="16" t="s">
        <v>33</v>
      </c>
      <c r="D1265" s="33" t="s">
        <v>34</v>
      </c>
      <c r="E1265" s="33">
        <v>38</v>
      </c>
      <c r="F1265" s="33">
        <v>4</v>
      </c>
      <c r="G1265" s="33">
        <v>2</v>
      </c>
      <c r="H1265" s="33"/>
      <c r="I1265" s="31" t="s">
        <v>46</v>
      </c>
      <c r="J1265" s="31"/>
      <c r="K1265" s="33"/>
      <c r="L1265" s="33"/>
      <c r="M1265" s="31"/>
      <c r="N1265" s="31"/>
      <c r="O1265" s="16" t="s">
        <v>2658</v>
      </c>
      <c r="P1265" s="16"/>
      <c r="Q1265" s="16"/>
      <c r="R1265" s="33"/>
      <c r="S1265" s="34"/>
      <c r="T1265" s="34"/>
      <c r="U1265" s="34"/>
      <c r="V1265" s="34"/>
      <c r="W1265" s="34"/>
      <c r="X1265" s="33" t="s">
        <v>351</v>
      </c>
      <c r="Y1265" s="35" t="str">
        <f>IF(Tabela2[[#This Row],[SIGLA]]="","",VLOOKUP(Tabela2[[#This Row],[SIGLA]],Tabela1[[#All],[Sigla Arte]:[Crédito]],2,0))</f>
        <v>RAITAN OHI/ARQUIVO DA EDITORA</v>
      </c>
      <c r="Z1265" s="31"/>
      <c r="AA1265" s="31" t="str">
        <f>Tabela2[[#This Row],[ILUSTRADOR CRIAÇÃO]]</f>
        <v>RAITAN OHI/ARQUIVO DA EDITORA</v>
      </c>
      <c r="AB1265" s="33"/>
      <c r="AC1265" s="16"/>
      <c r="AE1265" s="35" t="str">
        <f t="shared" si="19"/>
        <v>EF1 E002 Mat</v>
      </c>
    </row>
    <row r="1266" spans="1:31" ht="30" x14ac:dyDescent="0.25">
      <c r="A1266" s="31" t="s">
        <v>2659</v>
      </c>
      <c r="B1266" s="16" t="s">
        <v>32</v>
      </c>
      <c r="C1266" s="16" t="s">
        <v>33</v>
      </c>
      <c r="D1266" s="33" t="s">
        <v>34</v>
      </c>
      <c r="E1266" s="33">
        <v>38</v>
      </c>
      <c r="F1266" s="33">
        <v>4</v>
      </c>
      <c r="G1266" s="33">
        <v>2</v>
      </c>
      <c r="H1266" s="33"/>
      <c r="I1266" s="31" t="s">
        <v>46</v>
      </c>
      <c r="J1266" s="31"/>
      <c r="K1266" s="33"/>
      <c r="L1266" s="33"/>
      <c r="M1266" s="31"/>
      <c r="N1266" s="31"/>
      <c r="O1266" s="16" t="s">
        <v>2660</v>
      </c>
      <c r="P1266" s="16"/>
      <c r="Q1266" s="16"/>
      <c r="R1266" s="33"/>
      <c r="S1266" s="34"/>
      <c r="T1266" s="34"/>
      <c r="U1266" s="34"/>
      <c r="V1266" s="34"/>
      <c r="W1266" s="34"/>
      <c r="X1266" s="33" t="s">
        <v>184</v>
      </c>
      <c r="Y1266" s="35" t="str">
        <f>IF(Tabela2[[#This Row],[SIGLA]]="","",VLOOKUP(Tabela2[[#This Row],[SIGLA]],Tabela1[[#All],[Sigla Arte]:[Crédito]],2,0))</f>
        <v>VER DOCUMENTO DE ILS. TÉCNICAS</v>
      </c>
      <c r="Z1266" s="31"/>
      <c r="AA1266" s="31" t="s">
        <v>191</v>
      </c>
      <c r="AB1266" s="33"/>
      <c r="AC1266" s="16"/>
      <c r="AE1266" s="35" t="str">
        <f t="shared" si="19"/>
        <v>EF1 E002 Mat</v>
      </c>
    </row>
    <row r="1267" spans="1:31" ht="45" x14ac:dyDescent="0.25">
      <c r="A1267" s="31" t="s">
        <v>2661</v>
      </c>
      <c r="B1267" s="16" t="s">
        <v>32</v>
      </c>
      <c r="C1267" s="16" t="s">
        <v>33</v>
      </c>
      <c r="D1267" s="33" t="s">
        <v>34</v>
      </c>
      <c r="E1267" s="33">
        <v>38</v>
      </c>
      <c r="F1267" s="33">
        <v>4</v>
      </c>
      <c r="G1267" s="33">
        <v>2</v>
      </c>
      <c r="H1267" s="33"/>
      <c r="I1267" s="31" t="s">
        <v>46</v>
      </c>
      <c r="J1267" s="31"/>
      <c r="K1267" s="33"/>
      <c r="L1267" s="33"/>
      <c r="M1267" s="31"/>
      <c r="N1267" s="31"/>
      <c r="O1267" s="16" t="s">
        <v>2662</v>
      </c>
      <c r="P1267" s="16"/>
      <c r="Q1267" s="16"/>
      <c r="R1267" s="33"/>
      <c r="S1267" s="34"/>
      <c r="T1267" s="34"/>
      <c r="U1267" s="34"/>
      <c r="V1267" s="34"/>
      <c r="W1267" s="34"/>
      <c r="X1267" s="33" t="s">
        <v>351</v>
      </c>
      <c r="Y1267" s="35" t="str">
        <f>IF(Tabela2[[#This Row],[SIGLA]]="","",VLOOKUP(Tabela2[[#This Row],[SIGLA]],Tabela1[[#All],[Sigla Arte]:[Crédito]],2,0))</f>
        <v>RAITAN OHI/ARQUIVO DA EDITORA</v>
      </c>
      <c r="Z1267" s="31"/>
      <c r="AA1267" s="31" t="str">
        <f>Tabela2[[#This Row],[ILUSTRADOR CRIAÇÃO]]</f>
        <v>RAITAN OHI/ARQUIVO DA EDITORA</v>
      </c>
      <c r="AB1267" s="33"/>
      <c r="AC1267" s="16"/>
      <c r="AE1267" s="35" t="str">
        <f t="shared" si="19"/>
        <v>EF1 E002 Mat</v>
      </c>
    </row>
    <row r="1268" spans="1:31" ht="30" x14ac:dyDescent="0.25">
      <c r="A1268" s="31" t="s">
        <v>2663</v>
      </c>
      <c r="B1268" s="16" t="s">
        <v>32</v>
      </c>
      <c r="C1268" s="16" t="s">
        <v>33</v>
      </c>
      <c r="D1268" s="33" t="s">
        <v>34</v>
      </c>
      <c r="E1268" s="33">
        <v>42</v>
      </c>
      <c r="F1268" s="33">
        <v>4</v>
      </c>
      <c r="G1268" s="33">
        <v>2</v>
      </c>
      <c r="H1268" s="33"/>
      <c r="I1268" s="31" t="s">
        <v>46</v>
      </c>
      <c r="J1268" s="31"/>
      <c r="K1268" s="33"/>
      <c r="L1268" s="33"/>
      <c r="M1268" s="31"/>
      <c r="N1268" s="31"/>
      <c r="O1268" s="16" t="s">
        <v>2664</v>
      </c>
      <c r="P1268" s="16"/>
      <c r="Q1268" s="16"/>
      <c r="R1268" s="33"/>
      <c r="S1268" s="34"/>
      <c r="T1268" s="34"/>
      <c r="U1268" s="34"/>
      <c r="V1268" s="34"/>
      <c r="W1268" s="34"/>
      <c r="X1268" s="33" t="s">
        <v>247</v>
      </c>
      <c r="Y1268" s="35" t="str">
        <f>IF(Tabela2[[#This Row],[SIGLA]]="","",VLOOKUP(Tabela2[[#This Row],[SIGLA]],Tabela1[[#All],[Sigla Arte]:[Crédito]],2,0))</f>
        <v>THAIS CASTRO/ARQUIVO DA EDITORA</v>
      </c>
      <c r="Z1268" s="31"/>
      <c r="AA1268" s="31" t="str">
        <f>Tabela2[[#This Row],[ILUSTRADOR CRIAÇÃO]]</f>
        <v>THAIS CASTRO/ARQUIVO DA EDITORA</v>
      </c>
      <c r="AB1268" s="33"/>
      <c r="AC1268" s="16"/>
      <c r="AE1268" s="35" t="str">
        <f t="shared" si="19"/>
        <v>EF1 E002 Mat</v>
      </c>
    </row>
    <row r="1269" spans="1:31" ht="30" x14ac:dyDescent="0.25">
      <c r="A1269" s="31" t="s">
        <v>2665</v>
      </c>
      <c r="B1269" s="16" t="s">
        <v>32</v>
      </c>
      <c r="C1269" s="16" t="s">
        <v>33</v>
      </c>
      <c r="D1269" s="33" t="s">
        <v>34</v>
      </c>
      <c r="E1269" s="33">
        <v>45</v>
      </c>
      <c r="F1269" s="33">
        <v>4</v>
      </c>
      <c r="G1269" s="33">
        <v>3</v>
      </c>
      <c r="H1269" s="33"/>
      <c r="I1269" s="31" t="s">
        <v>46</v>
      </c>
      <c r="J1269" s="31"/>
      <c r="K1269" s="33"/>
      <c r="L1269" s="33"/>
      <c r="M1269" s="31"/>
      <c r="N1269" s="31"/>
      <c r="O1269" s="16" t="s">
        <v>2666</v>
      </c>
      <c r="P1269" s="16"/>
      <c r="Q1269" s="16"/>
      <c r="R1269" s="33"/>
      <c r="S1269" s="34"/>
      <c r="T1269" s="34"/>
      <c r="U1269" s="34"/>
      <c r="V1269" s="34"/>
      <c r="W1269" s="34"/>
      <c r="X1269" s="33" t="s">
        <v>247</v>
      </c>
      <c r="Y1269" s="35" t="str">
        <f>IF(Tabela2[[#This Row],[SIGLA]]="","",VLOOKUP(Tabela2[[#This Row],[SIGLA]],Tabela1[[#All],[Sigla Arte]:[Crédito]],2,0))</f>
        <v>THAIS CASTRO/ARQUIVO DA EDITORA</v>
      </c>
      <c r="Z1269" s="31"/>
      <c r="AA1269" s="31" t="str">
        <f>Tabela2[[#This Row],[ILUSTRADOR CRIAÇÃO]]</f>
        <v>THAIS CASTRO/ARQUIVO DA EDITORA</v>
      </c>
      <c r="AB1269" s="33"/>
      <c r="AC1269" s="16"/>
      <c r="AE1269" s="35" t="str">
        <f t="shared" si="19"/>
        <v>EF1 E002 Mat</v>
      </c>
    </row>
    <row r="1270" spans="1:31" ht="30" x14ac:dyDescent="0.25">
      <c r="A1270" s="31" t="s">
        <v>2667</v>
      </c>
      <c r="B1270" s="16" t="s">
        <v>32</v>
      </c>
      <c r="C1270" s="16" t="s">
        <v>33</v>
      </c>
      <c r="D1270" s="33" t="s">
        <v>34</v>
      </c>
      <c r="E1270" s="33">
        <v>45</v>
      </c>
      <c r="F1270" s="33">
        <v>4</v>
      </c>
      <c r="G1270" s="33">
        <v>3</v>
      </c>
      <c r="H1270" s="33"/>
      <c r="I1270" s="31" t="s">
        <v>46</v>
      </c>
      <c r="J1270" s="31"/>
      <c r="K1270" s="33"/>
      <c r="L1270" s="33"/>
      <c r="M1270" s="31"/>
      <c r="N1270" s="31"/>
      <c r="O1270" s="16" t="s">
        <v>2668</v>
      </c>
      <c r="P1270" s="16"/>
      <c r="Q1270" s="16"/>
      <c r="R1270" s="33"/>
      <c r="S1270" s="34"/>
      <c r="T1270" s="34"/>
      <c r="U1270" s="34"/>
      <c r="V1270" s="34"/>
      <c r="W1270" s="34"/>
      <c r="X1270" s="33" t="s">
        <v>247</v>
      </c>
      <c r="Y1270" s="35" t="str">
        <f>IF(Tabela2[[#This Row],[SIGLA]]="","",VLOOKUP(Tabela2[[#This Row],[SIGLA]],Tabela1[[#All],[Sigla Arte]:[Crédito]],2,0))</f>
        <v>THAIS CASTRO/ARQUIVO DA EDITORA</v>
      </c>
      <c r="Z1270" s="31"/>
      <c r="AA1270" s="31" t="str">
        <f>Tabela2[[#This Row],[ILUSTRADOR CRIAÇÃO]]</f>
        <v>THAIS CASTRO/ARQUIVO DA EDITORA</v>
      </c>
      <c r="AB1270" s="33"/>
      <c r="AC1270" s="16"/>
      <c r="AE1270" s="35" t="str">
        <f t="shared" si="19"/>
        <v>EF1 E002 Mat</v>
      </c>
    </row>
    <row r="1271" spans="1:31" ht="45" x14ac:dyDescent="0.25">
      <c r="A1271" s="31" t="s">
        <v>2669</v>
      </c>
      <c r="B1271" s="16" t="s">
        <v>32</v>
      </c>
      <c r="C1271" s="16" t="s">
        <v>164</v>
      </c>
      <c r="D1271" s="33" t="s">
        <v>34</v>
      </c>
      <c r="E1271" s="33">
        <v>45</v>
      </c>
      <c r="F1271" s="33">
        <v>4</v>
      </c>
      <c r="G1271" s="33">
        <v>3</v>
      </c>
      <c r="H1271" s="33"/>
      <c r="I1271" s="31" t="s">
        <v>46</v>
      </c>
      <c r="J1271" s="31"/>
      <c r="K1271" s="33"/>
      <c r="L1271" s="33"/>
      <c r="M1271" s="31"/>
      <c r="N1271" s="31"/>
      <c r="O1271" s="16" t="s">
        <v>2670</v>
      </c>
      <c r="P1271" s="16"/>
      <c r="Q1271" s="16"/>
      <c r="R1271" s="33"/>
      <c r="S1271" s="34"/>
      <c r="T1271" s="34"/>
      <c r="U1271" s="34"/>
      <c r="V1271" s="34"/>
      <c r="W1271" s="34"/>
      <c r="X1271" s="33" t="s">
        <v>48</v>
      </c>
      <c r="Y1271" s="35" t="str">
        <f>IF(Tabela2[[#This Row],[SIGLA]]="","",VLOOKUP(Tabela2[[#This Row],[SIGLA]],Tabela1[[#All],[Sigla Arte]:[Crédito]],2,0))</f>
        <v>SERGIO LIMA/ARQUIVO DA EDITORA</v>
      </c>
      <c r="Z1271" s="31"/>
      <c r="AA1271" s="31" t="str">
        <f>Tabela2[[#This Row],[ILUSTRADOR CRIAÇÃO]]</f>
        <v>SERGIO LIMA/ARQUIVO DA EDITORA</v>
      </c>
      <c r="AB1271" s="33"/>
      <c r="AC1271" s="16"/>
      <c r="AE1271" s="35" t="str">
        <f t="shared" si="19"/>
        <v>EF1 E002 Mat</v>
      </c>
    </row>
    <row r="1272" spans="1:31" ht="30" x14ac:dyDescent="0.25">
      <c r="A1272" s="31" t="s">
        <v>2671</v>
      </c>
      <c r="B1272" s="16" t="s">
        <v>32</v>
      </c>
      <c r="C1272" s="16" t="s">
        <v>33</v>
      </c>
      <c r="D1272" s="33" t="s">
        <v>34</v>
      </c>
      <c r="E1272" s="33">
        <v>47</v>
      </c>
      <c r="F1272" s="33">
        <v>4</v>
      </c>
      <c r="G1272" s="33">
        <v>3</v>
      </c>
      <c r="H1272" s="33"/>
      <c r="I1272" s="31" t="s">
        <v>46</v>
      </c>
      <c r="J1272" s="31"/>
      <c r="K1272" s="33"/>
      <c r="L1272" s="33"/>
      <c r="M1272" s="31"/>
      <c r="N1272" s="31"/>
      <c r="O1272" s="16" t="s">
        <v>2672</v>
      </c>
      <c r="P1272" s="16"/>
      <c r="Q1272" s="16"/>
      <c r="R1272" s="33"/>
      <c r="S1272" s="34"/>
      <c r="T1272" s="34"/>
      <c r="U1272" s="34"/>
      <c r="V1272" s="34"/>
      <c r="W1272" s="34"/>
      <c r="X1272" s="33" t="s">
        <v>247</v>
      </c>
      <c r="Y1272" s="35" t="str">
        <f>IF(Tabela2[[#This Row],[SIGLA]]="","",VLOOKUP(Tabela2[[#This Row],[SIGLA]],Tabela1[[#All],[Sigla Arte]:[Crédito]],2,0))</f>
        <v>THAIS CASTRO/ARQUIVO DA EDITORA</v>
      </c>
      <c r="Z1272" s="31"/>
      <c r="AA1272" s="31" t="str">
        <f>Tabela2[[#This Row],[ILUSTRADOR CRIAÇÃO]]</f>
        <v>THAIS CASTRO/ARQUIVO DA EDITORA</v>
      </c>
      <c r="AB1272" s="33"/>
      <c r="AC1272" s="16"/>
      <c r="AE1272" s="35" t="str">
        <f t="shared" si="19"/>
        <v>EF1 E002 Mat</v>
      </c>
    </row>
    <row r="1273" spans="1:31" ht="30" x14ac:dyDescent="0.25">
      <c r="A1273" s="31" t="s">
        <v>2673</v>
      </c>
      <c r="B1273" s="16" t="s">
        <v>32</v>
      </c>
      <c r="C1273" s="16" t="s">
        <v>33</v>
      </c>
      <c r="D1273" s="33" t="s">
        <v>34</v>
      </c>
      <c r="E1273" s="33">
        <v>47</v>
      </c>
      <c r="F1273" s="33">
        <v>4</v>
      </c>
      <c r="G1273" s="33">
        <v>3</v>
      </c>
      <c r="H1273" s="33"/>
      <c r="I1273" s="31" t="s">
        <v>46</v>
      </c>
      <c r="J1273" s="31"/>
      <c r="K1273" s="33"/>
      <c r="L1273" s="33"/>
      <c r="M1273" s="31"/>
      <c r="N1273" s="31"/>
      <c r="O1273" s="16" t="s">
        <v>2674</v>
      </c>
      <c r="P1273" s="16"/>
      <c r="Q1273" s="16"/>
      <c r="R1273" s="33"/>
      <c r="S1273" s="34"/>
      <c r="T1273" s="34"/>
      <c r="U1273" s="34"/>
      <c r="V1273" s="34"/>
      <c r="W1273" s="34"/>
      <c r="X1273" s="33" t="s">
        <v>184</v>
      </c>
      <c r="Y1273" s="35" t="str">
        <f>IF(Tabela2[[#This Row],[SIGLA]]="","",VLOOKUP(Tabela2[[#This Row],[SIGLA]],Tabela1[[#All],[Sigla Arte]:[Crédito]],2,0))</f>
        <v>VER DOCUMENTO DE ILS. TÉCNICAS</v>
      </c>
      <c r="Z1273" s="31"/>
      <c r="AA1273" s="31" t="s">
        <v>191</v>
      </c>
      <c r="AB1273" s="33"/>
      <c r="AC1273" s="16"/>
      <c r="AE1273" s="35" t="str">
        <f t="shared" si="19"/>
        <v>EF1 E002 Mat</v>
      </c>
    </row>
    <row r="1274" spans="1:31" ht="30" x14ac:dyDescent="0.25">
      <c r="A1274" s="31" t="s">
        <v>2675</v>
      </c>
      <c r="B1274" s="16" t="s">
        <v>32</v>
      </c>
      <c r="C1274" s="16" t="s">
        <v>33</v>
      </c>
      <c r="D1274" s="33" t="s">
        <v>34</v>
      </c>
      <c r="E1274" s="33">
        <v>48</v>
      </c>
      <c r="F1274" s="33">
        <v>4</v>
      </c>
      <c r="G1274" s="33">
        <v>3</v>
      </c>
      <c r="H1274" s="33"/>
      <c r="I1274" s="31" t="s">
        <v>46</v>
      </c>
      <c r="J1274" s="31"/>
      <c r="K1274" s="33"/>
      <c r="L1274" s="33"/>
      <c r="M1274" s="31"/>
      <c r="N1274" s="31"/>
      <c r="O1274" s="16" t="s">
        <v>2676</v>
      </c>
      <c r="P1274" s="16"/>
      <c r="Q1274" s="16"/>
      <c r="R1274" s="33"/>
      <c r="S1274" s="34"/>
      <c r="T1274" s="34"/>
      <c r="U1274" s="34"/>
      <c r="V1274" s="34"/>
      <c r="W1274" s="34"/>
      <c r="X1274" s="33" t="s">
        <v>399</v>
      </c>
      <c r="Y1274" s="35" t="str">
        <f>IF(Tabela2[[#This Row],[SIGLA]]="","",VLOOKUP(Tabela2[[#This Row],[SIGLA]],Tabela1[[#All],[Sigla Arte]:[Crédito]],2,0))</f>
        <v>MÁRCIO GUERRA/ARQUIVO DA EDITORA</v>
      </c>
      <c r="Z1274" s="31"/>
      <c r="AA1274" s="31" t="str">
        <f>Tabela2[[#This Row],[ILUSTRADOR CRIAÇÃO]]</f>
        <v>MÁRCIO GUERRA/ARQUIVO DA EDITORA</v>
      </c>
      <c r="AB1274" s="33"/>
      <c r="AC1274" s="16"/>
      <c r="AE1274" s="35" t="str">
        <f t="shared" si="19"/>
        <v>EF1 E002 Mat</v>
      </c>
    </row>
    <row r="1275" spans="1:31" ht="30" x14ac:dyDescent="0.25">
      <c r="A1275" s="31" t="s">
        <v>2677</v>
      </c>
      <c r="B1275" s="16" t="s">
        <v>32</v>
      </c>
      <c r="C1275" s="16" t="s">
        <v>33</v>
      </c>
      <c r="D1275" s="33" t="s">
        <v>34</v>
      </c>
      <c r="E1275" s="33">
        <v>48</v>
      </c>
      <c r="F1275" s="33">
        <v>4</v>
      </c>
      <c r="G1275" s="33">
        <v>3</v>
      </c>
      <c r="H1275" s="33"/>
      <c r="I1275" s="31" t="s">
        <v>46</v>
      </c>
      <c r="J1275" s="31"/>
      <c r="K1275" s="33"/>
      <c r="L1275" s="33"/>
      <c r="M1275" s="31"/>
      <c r="N1275" s="31"/>
      <c r="O1275" s="16" t="s">
        <v>2678</v>
      </c>
      <c r="P1275" s="16"/>
      <c r="Q1275" s="16"/>
      <c r="R1275" s="33"/>
      <c r="S1275" s="34"/>
      <c r="T1275" s="34"/>
      <c r="U1275" s="34"/>
      <c r="V1275" s="34"/>
      <c r="W1275" s="34"/>
      <c r="X1275" s="33" t="s">
        <v>399</v>
      </c>
      <c r="Y1275" s="35" t="str">
        <f>IF(Tabela2[[#This Row],[SIGLA]]="","",VLOOKUP(Tabela2[[#This Row],[SIGLA]],Tabela1[[#All],[Sigla Arte]:[Crédito]],2,0))</f>
        <v>MÁRCIO GUERRA/ARQUIVO DA EDITORA</v>
      </c>
      <c r="Z1275" s="31"/>
      <c r="AA1275" s="31" t="str">
        <f>Tabela2[[#This Row],[ILUSTRADOR CRIAÇÃO]]</f>
        <v>MÁRCIO GUERRA/ARQUIVO DA EDITORA</v>
      </c>
      <c r="AB1275" s="33"/>
      <c r="AC1275" s="16"/>
      <c r="AE1275" s="35" t="str">
        <f t="shared" si="19"/>
        <v>EF1 E002 Mat</v>
      </c>
    </row>
    <row r="1276" spans="1:31" ht="45" x14ac:dyDescent="0.25">
      <c r="A1276" s="31" t="s">
        <v>2679</v>
      </c>
      <c r="B1276" s="16" t="s">
        <v>32</v>
      </c>
      <c r="C1276" s="16" t="s">
        <v>33</v>
      </c>
      <c r="D1276" s="33" t="s">
        <v>34</v>
      </c>
      <c r="E1276" s="33">
        <v>49</v>
      </c>
      <c r="F1276" s="33">
        <v>4</v>
      </c>
      <c r="G1276" s="33">
        <v>3</v>
      </c>
      <c r="H1276" s="33"/>
      <c r="I1276" s="31" t="s">
        <v>46</v>
      </c>
      <c r="J1276" s="31"/>
      <c r="K1276" s="33"/>
      <c r="L1276" s="33"/>
      <c r="M1276" s="31"/>
      <c r="N1276" s="31"/>
      <c r="O1276" s="16" t="s">
        <v>2680</v>
      </c>
      <c r="P1276" s="16"/>
      <c r="Q1276" s="16"/>
      <c r="R1276" s="33">
        <v>186</v>
      </c>
      <c r="S1276" s="34">
        <v>45937</v>
      </c>
      <c r="T1276" s="34">
        <v>45937</v>
      </c>
      <c r="U1276" s="34"/>
      <c r="V1276" s="34"/>
      <c r="W1276" s="34">
        <v>45937</v>
      </c>
      <c r="X1276" s="33" t="s">
        <v>399</v>
      </c>
      <c r="Y1276" s="35" t="str">
        <f>IF(Tabela2[[#This Row],[SIGLA]]="","",VLOOKUP(Tabela2[[#This Row],[SIGLA]],Tabela1[[#All],[Sigla Arte]:[Crédito]],2,0))</f>
        <v>MÁRCIO GUERRA/ARQUIVO DA EDITORA</v>
      </c>
      <c r="Z1276" s="31" t="s">
        <v>539</v>
      </c>
      <c r="AA1276" s="31" t="str">
        <f>Tabela2[[#This Row],[ILUSTRADOR CRIAÇÃO]]</f>
        <v>MÁRCIO GUERRA/ARQUIVO DA EDITORA</v>
      </c>
      <c r="AB1276" s="33">
        <v>13</v>
      </c>
      <c r="AC1276" s="16" t="s">
        <v>89</v>
      </c>
      <c r="AD1276" s="16" t="s">
        <v>40</v>
      </c>
      <c r="AE1276" s="35" t="str">
        <f t="shared" si="19"/>
        <v>EF1 E002 Mat</v>
      </c>
    </row>
    <row r="1277" spans="1:31" ht="30" x14ac:dyDescent="0.25">
      <c r="A1277" s="31" t="s">
        <v>2681</v>
      </c>
      <c r="B1277" s="16" t="s">
        <v>32</v>
      </c>
      <c r="C1277" s="16" t="s">
        <v>33</v>
      </c>
      <c r="D1277" s="33" t="s">
        <v>34</v>
      </c>
      <c r="E1277" s="33">
        <v>52</v>
      </c>
      <c r="F1277" s="33">
        <v>4</v>
      </c>
      <c r="G1277" s="33">
        <v>3</v>
      </c>
      <c r="H1277" s="33"/>
      <c r="I1277" s="31" t="s">
        <v>46</v>
      </c>
      <c r="J1277" s="31"/>
      <c r="K1277" s="33"/>
      <c r="L1277" s="33"/>
      <c r="M1277" s="31"/>
      <c r="N1277" s="31"/>
      <c r="O1277" s="16" t="s">
        <v>2682</v>
      </c>
      <c r="P1277" s="16"/>
      <c r="Q1277" s="16"/>
      <c r="R1277" s="33">
        <v>186</v>
      </c>
      <c r="S1277" s="34">
        <v>45937</v>
      </c>
      <c r="T1277" s="34">
        <v>45937</v>
      </c>
      <c r="U1277" s="34"/>
      <c r="V1277" s="34"/>
      <c r="W1277" s="34">
        <v>45937</v>
      </c>
      <c r="X1277" s="33" t="s">
        <v>184</v>
      </c>
      <c r="Y1277" s="35" t="str">
        <f>IF(Tabela2[[#This Row],[SIGLA]]="","",VLOOKUP(Tabela2[[#This Row],[SIGLA]],Tabela1[[#All],[Sigla Arte]:[Crédito]],2,0))</f>
        <v>VER DOCUMENTO DE ILS. TÉCNICAS</v>
      </c>
      <c r="Z1277" s="31" t="s">
        <v>539</v>
      </c>
      <c r="AA1277" s="31" t="s">
        <v>2039</v>
      </c>
      <c r="AB1277" s="33">
        <v>13</v>
      </c>
      <c r="AC1277" s="16" t="s">
        <v>89</v>
      </c>
      <c r="AD1277" s="16" t="s">
        <v>40</v>
      </c>
      <c r="AE1277" s="35" t="str">
        <f t="shared" si="19"/>
        <v>EF1 E002 Mat</v>
      </c>
    </row>
    <row r="1278" spans="1:31" ht="75" x14ac:dyDescent="0.25">
      <c r="A1278" s="31" t="s">
        <v>2683</v>
      </c>
      <c r="B1278" s="16" t="s">
        <v>32</v>
      </c>
      <c r="C1278" s="16" t="s">
        <v>33</v>
      </c>
      <c r="D1278" s="33" t="s">
        <v>34</v>
      </c>
      <c r="E1278" s="33">
        <v>53</v>
      </c>
      <c r="F1278" s="33">
        <v>4</v>
      </c>
      <c r="G1278" s="33">
        <v>3</v>
      </c>
      <c r="H1278" s="33"/>
      <c r="I1278" s="31" t="s">
        <v>35</v>
      </c>
      <c r="J1278" s="31"/>
      <c r="K1278" s="33"/>
      <c r="L1278" s="33"/>
      <c r="M1278" s="31"/>
      <c r="N1278" s="31"/>
      <c r="O1278" s="16" t="s">
        <v>2684</v>
      </c>
      <c r="P1278" s="16"/>
      <c r="Q1278" s="16"/>
      <c r="R1278" s="33">
        <v>33</v>
      </c>
      <c r="S1278" s="34">
        <v>45779</v>
      </c>
      <c r="T1278" s="34">
        <v>45786</v>
      </c>
      <c r="U1278" s="34"/>
      <c r="V1278" s="34"/>
      <c r="W1278" s="34">
        <v>45786</v>
      </c>
      <c r="X1278" s="33" t="s">
        <v>399</v>
      </c>
      <c r="Y1278" s="35" t="str">
        <f>IF(Tabela2[[#This Row],[SIGLA]]="","",VLOOKUP(Tabela2[[#This Row],[SIGLA]],Tabela1[[#All],[Sigla Arte]:[Crédito]],2,0))</f>
        <v>MÁRCIO GUERRA/ARQUIVO DA EDITORA</v>
      </c>
      <c r="Z1278" s="31" t="s">
        <v>438</v>
      </c>
      <c r="AA1278" s="31" t="str">
        <f>Tabela2[[#This Row],[ILUSTRADOR CRIAÇÃO]]</f>
        <v>MÁRCIO GUERRA/ARQUIVO DA EDITORA</v>
      </c>
      <c r="AB1278" s="33">
        <v>13</v>
      </c>
      <c r="AC1278" s="16" t="s">
        <v>439</v>
      </c>
      <c r="AD1278" s="16" t="s">
        <v>40</v>
      </c>
      <c r="AE1278" s="35" t="str">
        <f t="shared" si="19"/>
        <v>EF1 E002 Mat</v>
      </c>
    </row>
    <row r="1279" spans="1:31" ht="30" x14ac:dyDescent="0.25">
      <c r="A1279" s="31" t="s">
        <v>2685</v>
      </c>
      <c r="B1279" s="16" t="s">
        <v>32</v>
      </c>
      <c r="C1279" s="16" t="s">
        <v>33</v>
      </c>
      <c r="D1279" s="33" t="s">
        <v>34</v>
      </c>
      <c r="E1279" s="33">
        <v>53</v>
      </c>
      <c r="F1279" s="33">
        <v>4</v>
      </c>
      <c r="G1279" s="33">
        <v>3</v>
      </c>
      <c r="H1279" s="33"/>
      <c r="I1279" s="31" t="s">
        <v>46</v>
      </c>
      <c r="J1279" s="31"/>
      <c r="K1279" s="33"/>
      <c r="L1279" s="33"/>
      <c r="M1279" s="31"/>
      <c r="N1279" s="31"/>
      <c r="O1279" s="16" t="s">
        <v>2686</v>
      </c>
      <c r="P1279" s="16"/>
      <c r="Q1279" s="16"/>
      <c r="R1279" s="33"/>
      <c r="S1279" s="34"/>
      <c r="T1279" s="34"/>
      <c r="U1279" s="34"/>
      <c r="V1279" s="34"/>
      <c r="W1279" s="34"/>
      <c r="X1279" s="33" t="s">
        <v>399</v>
      </c>
      <c r="Y1279" s="35" t="str">
        <f>IF(Tabela2[[#This Row],[SIGLA]]="","",VLOOKUP(Tabela2[[#This Row],[SIGLA]],Tabela1[[#All],[Sigla Arte]:[Crédito]],2,0))</f>
        <v>MÁRCIO GUERRA/ARQUIVO DA EDITORA</v>
      </c>
      <c r="Z1279" s="31"/>
      <c r="AA1279" s="31" t="str">
        <f>Tabela2[[#This Row],[ILUSTRADOR CRIAÇÃO]]</f>
        <v>MÁRCIO GUERRA/ARQUIVO DA EDITORA</v>
      </c>
      <c r="AB1279" s="33"/>
      <c r="AC1279" s="16"/>
      <c r="AE1279" s="35" t="str">
        <f t="shared" si="19"/>
        <v>EF1 E002 Mat</v>
      </c>
    </row>
    <row r="1280" spans="1:31" ht="45" x14ac:dyDescent="0.25">
      <c r="A1280" s="31" t="s">
        <v>2687</v>
      </c>
      <c r="B1280" s="16" t="s">
        <v>32</v>
      </c>
      <c r="C1280" s="16" t="s">
        <v>33</v>
      </c>
      <c r="D1280" s="33" t="s">
        <v>34</v>
      </c>
      <c r="E1280" s="33">
        <v>60</v>
      </c>
      <c r="F1280" s="33">
        <v>4</v>
      </c>
      <c r="G1280" s="33">
        <v>4</v>
      </c>
      <c r="H1280" s="33"/>
      <c r="I1280" s="31" t="s">
        <v>46</v>
      </c>
      <c r="J1280" s="31"/>
      <c r="K1280" s="33"/>
      <c r="L1280" s="33"/>
      <c r="M1280" s="31"/>
      <c r="N1280" s="31"/>
      <c r="O1280" s="16" t="s">
        <v>2688</v>
      </c>
      <c r="P1280" s="16"/>
      <c r="Q1280" s="16"/>
      <c r="R1280" s="33"/>
      <c r="S1280" s="34"/>
      <c r="T1280" s="34"/>
      <c r="U1280" s="34"/>
      <c r="V1280" s="34"/>
      <c r="W1280" s="34"/>
      <c r="X1280" s="33" t="s">
        <v>399</v>
      </c>
      <c r="Y1280" s="35" t="str">
        <f>IF(Tabela2[[#This Row],[SIGLA]]="","",VLOOKUP(Tabela2[[#This Row],[SIGLA]],Tabela1[[#All],[Sigla Arte]:[Crédito]],2,0))</f>
        <v>MÁRCIO GUERRA/ARQUIVO DA EDITORA</v>
      </c>
      <c r="Z1280" s="31"/>
      <c r="AA1280" s="31" t="str">
        <f>Tabela2[[#This Row],[ILUSTRADOR CRIAÇÃO]]</f>
        <v>MÁRCIO GUERRA/ARQUIVO DA EDITORA</v>
      </c>
      <c r="AB1280" s="33"/>
      <c r="AC1280" s="16"/>
      <c r="AE1280" s="35" t="str">
        <f t="shared" si="19"/>
        <v>EF1 E002 Mat</v>
      </c>
    </row>
    <row r="1281" spans="1:31" ht="45" x14ac:dyDescent="0.25">
      <c r="A1281" s="31" t="s">
        <v>2689</v>
      </c>
      <c r="B1281" s="16" t="s">
        <v>32</v>
      </c>
      <c r="C1281" s="16" t="s">
        <v>33</v>
      </c>
      <c r="D1281" s="33" t="s">
        <v>34</v>
      </c>
      <c r="E1281" s="33">
        <v>60</v>
      </c>
      <c r="F1281" s="33">
        <v>4</v>
      </c>
      <c r="G1281" s="33">
        <v>4</v>
      </c>
      <c r="H1281" s="33"/>
      <c r="I1281" s="31" t="s">
        <v>46</v>
      </c>
      <c r="J1281" s="31"/>
      <c r="K1281" s="33"/>
      <c r="L1281" s="33"/>
      <c r="M1281" s="31"/>
      <c r="N1281" s="31"/>
      <c r="O1281" s="16" t="s">
        <v>2690</v>
      </c>
      <c r="P1281" s="16"/>
      <c r="Q1281" s="16"/>
      <c r="R1281" s="33"/>
      <c r="S1281" s="34"/>
      <c r="T1281" s="34"/>
      <c r="U1281" s="34"/>
      <c r="V1281" s="34"/>
      <c r="W1281" s="34"/>
      <c r="X1281" s="33" t="s">
        <v>85</v>
      </c>
      <c r="Y1281" s="35" t="str">
        <f>IF(Tabela2[[#This Row],[SIGLA]]="","",VLOOKUP(Tabela2[[#This Row],[SIGLA]],Tabela1[[#All],[Sigla Arte]:[Crédito]],2,0))</f>
        <v>HELOÍSA PINTARELLI/ARQUIVO DA EDITORA</v>
      </c>
      <c r="Z1281" s="31"/>
      <c r="AA1281" s="31" t="str">
        <f>Tabela2[[#This Row],[ILUSTRADOR CRIAÇÃO]]</f>
        <v>HELOÍSA PINTARELLI/ARQUIVO DA EDITORA</v>
      </c>
      <c r="AB1281" s="33"/>
      <c r="AC1281" s="16"/>
      <c r="AE1281" s="35" t="str">
        <f t="shared" si="19"/>
        <v>EF1 E002 Mat</v>
      </c>
    </row>
    <row r="1282" spans="1:31" ht="30" x14ac:dyDescent="0.25">
      <c r="A1282" s="31" t="s">
        <v>2691</v>
      </c>
      <c r="B1282" s="16" t="s">
        <v>32</v>
      </c>
      <c r="C1282" s="16" t="s">
        <v>33</v>
      </c>
      <c r="D1282" s="33" t="s">
        <v>34</v>
      </c>
      <c r="E1282" s="33">
        <v>60</v>
      </c>
      <c r="F1282" s="33">
        <v>4</v>
      </c>
      <c r="G1282" s="33">
        <v>4</v>
      </c>
      <c r="H1282" s="33"/>
      <c r="I1282" s="31" t="s">
        <v>46</v>
      </c>
      <c r="J1282" s="31"/>
      <c r="K1282" s="33"/>
      <c r="L1282" s="33"/>
      <c r="M1282" s="31"/>
      <c r="N1282" s="31"/>
      <c r="O1282" s="16" t="s">
        <v>2692</v>
      </c>
      <c r="P1282" s="16"/>
      <c r="Q1282" s="16"/>
      <c r="R1282" s="33"/>
      <c r="S1282" s="34"/>
      <c r="T1282" s="34"/>
      <c r="U1282" s="34"/>
      <c r="V1282" s="34"/>
      <c r="W1282" s="34"/>
      <c r="X1282" s="33" t="s">
        <v>85</v>
      </c>
      <c r="Y1282" s="35" t="str">
        <f>IF(Tabela2[[#This Row],[SIGLA]]="","",VLOOKUP(Tabela2[[#This Row],[SIGLA]],Tabela1[[#All],[Sigla Arte]:[Crédito]],2,0))</f>
        <v>HELOÍSA PINTARELLI/ARQUIVO DA EDITORA</v>
      </c>
      <c r="Z1282" s="31"/>
      <c r="AA1282" s="31" t="str">
        <f>Tabela2[[#This Row],[ILUSTRADOR CRIAÇÃO]]</f>
        <v>HELOÍSA PINTARELLI/ARQUIVO DA EDITORA</v>
      </c>
      <c r="AB1282" s="33"/>
      <c r="AC1282" s="16"/>
      <c r="AE1282" s="35" t="str">
        <f t="shared" ref="AE1282:AE1345" si="20">"EF1 E002 Mat"</f>
        <v>EF1 E002 Mat</v>
      </c>
    </row>
    <row r="1283" spans="1:31" ht="45" x14ac:dyDescent="0.25">
      <c r="A1283" s="31" t="s">
        <v>2693</v>
      </c>
      <c r="B1283" s="16" t="s">
        <v>32</v>
      </c>
      <c r="C1283" s="16" t="s">
        <v>33</v>
      </c>
      <c r="D1283" s="33" t="s">
        <v>34</v>
      </c>
      <c r="E1283" s="33">
        <v>60</v>
      </c>
      <c r="F1283" s="33">
        <v>4</v>
      </c>
      <c r="G1283" s="33">
        <v>4</v>
      </c>
      <c r="H1283" s="33"/>
      <c r="I1283" s="31" t="s">
        <v>46</v>
      </c>
      <c r="J1283" s="31"/>
      <c r="K1283" s="33"/>
      <c r="L1283" s="33"/>
      <c r="M1283" s="31"/>
      <c r="N1283" s="31"/>
      <c r="O1283" s="16" t="s">
        <v>2694</v>
      </c>
      <c r="P1283" s="16"/>
      <c r="Q1283" s="16"/>
      <c r="R1283" s="33"/>
      <c r="S1283" s="34"/>
      <c r="T1283" s="34"/>
      <c r="U1283" s="34"/>
      <c r="V1283" s="34"/>
      <c r="W1283" s="34"/>
      <c r="X1283" s="33" t="s">
        <v>85</v>
      </c>
      <c r="Y1283" s="35" t="str">
        <f>IF(Tabela2[[#This Row],[SIGLA]]="","",VLOOKUP(Tabela2[[#This Row],[SIGLA]],Tabela1[[#All],[Sigla Arte]:[Crédito]],2,0))</f>
        <v>HELOÍSA PINTARELLI/ARQUIVO DA EDITORA</v>
      </c>
      <c r="Z1283" s="31"/>
      <c r="AA1283" s="31" t="str">
        <f>Tabela2[[#This Row],[ILUSTRADOR CRIAÇÃO]]</f>
        <v>HELOÍSA PINTARELLI/ARQUIVO DA EDITORA</v>
      </c>
      <c r="AB1283" s="33"/>
      <c r="AC1283" s="16"/>
      <c r="AE1283" s="35" t="str">
        <f t="shared" si="20"/>
        <v>EF1 E002 Mat</v>
      </c>
    </row>
    <row r="1284" spans="1:31" ht="45" x14ac:dyDescent="0.25">
      <c r="A1284" s="31" t="s">
        <v>2695</v>
      </c>
      <c r="B1284" s="16" t="s">
        <v>32</v>
      </c>
      <c r="C1284" s="16" t="s">
        <v>33</v>
      </c>
      <c r="D1284" s="33" t="s">
        <v>34</v>
      </c>
      <c r="E1284" s="33">
        <v>60</v>
      </c>
      <c r="F1284" s="33">
        <v>4</v>
      </c>
      <c r="G1284" s="33">
        <v>4</v>
      </c>
      <c r="H1284" s="33"/>
      <c r="I1284" s="31" t="s">
        <v>46</v>
      </c>
      <c r="J1284" s="31"/>
      <c r="K1284" s="33"/>
      <c r="L1284" s="33"/>
      <c r="M1284" s="31"/>
      <c r="N1284" s="31"/>
      <c r="O1284" s="16" t="s">
        <v>2696</v>
      </c>
      <c r="P1284" s="16"/>
      <c r="Q1284" s="16"/>
      <c r="R1284" s="33"/>
      <c r="S1284" s="34"/>
      <c r="T1284" s="34"/>
      <c r="U1284" s="34"/>
      <c r="V1284" s="34"/>
      <c r="W1284" s="34"/>
      <c r="X1284" s="33" t="s">
        <v>85</v>
      </c>
      <c r="Y1284" s="35" t="str">
        <f>IF(Tabela2[[#This Row],[SIGLA]]="","",VLOOKUP(Tabela2[[#This Row],[SIGLA]],Tabela1[[#All],[Sigla Arte]:[Crédito]],2,0))</f>
        <v>HELOÍSA PINTARELLI/ARQUIVO DA EDITORA</v>
      </c>
      <c r="Z1284" s="31"/>
      <c r="AA1284" s="31" t="str">
        <f>Tabela2[[#This Row],[ILUSTRADOR CRIAÇÃO]]</f>
        <v>HELOÍSA PINTARELLI/ARQUIVO DA EDITORA</v>
      </c>
      <c r="AB1284" s="33"/>
      <c r="AC1284" s="16"/>
      <c r="AE1284" s="35" t="str">
        <f t="shared" si="20"/>
        <v>EF1 E002 Mat</v>
      </c>
    </row>
    <row r="1285" spans="1:31" ht="30" x14ac:dyDescent="0.25">
      <c r="A1285" s="31" t="s">
        <v>2697</v>
      </c>
      <c r="B1285" s="16" t="s">
        <v>32</v>
      </c>
      <c r="C1285" s="16" t="s">
        <v>33</v>
      </c>
      <c r="D1285" s="33" t="s">
        <v>34</v>
      </c>
      <c r="E1285" s="33">
        <v>60</v>
      </c>
      <c r="F1285" s="33">
        <v>4</v>
      </c>
      <c r="G1285" s="33">
        <v>4</v>
      </c>
      <c r="H1285" s="33"/>
      <c r="I1285" s="31" t="s">
        <v>46</v>
      </c>
      <c r="J1285" s="31"/>
      <c r="K1285" s="33"/>
      <c r="L1285" s="33"/>
      <c r="M1285" s="31"/>
      <c r="N1285" s="31"/>
      <c r="O1285" s="16" t="s">
        <v>2698</v>
      </c>
      <c r="P1285" s="16"/>
      <c r="Q1285" s="16"/>
      <c r="R1285" s="33"/>
      <c r="S1285" s="34"/>
      <c r="T1285" s="34"/>
      <c r="U1285" s="34"/>
      <c r="V1285" s="34"/>
      <c r="W1285" s="34"/>
      <c r="X1285" s="33" t="s">
        <v>85</v>
      </c>
      <c r="Y1285" s="35" t="str">
        <f>IF(Tabela2[[#This Row],[SIGLA]]="","",VLOOKUP(Tabela2[[#This Row],[SIGLA]],Tabela1[[#All],[Sigla Arte]:[Crédito]],2,0))</f>
        <v>HELOÍSA PINTARELLI/ARQUIVO DA EDITORA</v>
      </c>
      <c r="Z1285" s="31"/>
      <c r="AA1285" s="31" t="str">
        <f>Tabela2[[#This Row],[ILUSTRADOR CRIAÇÃO]]</f>
        <v>HELOÍSA PINTARELLI/ARQUIVO DA EDITORA</v>
      </c>
      <c r="AB1285" s="33"/>
      <c r="AC1285" s="16"/>
      <c r="AE1285" s="35" t="str">
        <f t="shared" si="20"/>
        <v>EF1 E002 Mat</v>
      </c>
    </row>
    <row r="1286" spans="1:31" ht="45" x14ac:dyDescent="0.25">
      <c r="A1286" s="31" t="s">
        <v>2699</v>
      </c>
      <c r="B1286" s="16" t="s">
        <v>32</v>
      </c>
      <c r="C1286" s="16" t="s">
        <v>33</v>
      </c>
      <c r="D1286" s="33" t="s">
        <v>34</v>
      </c>
      <c r="E1286" s="33">
        <v>60</v>
      </c>
      <c r="F1286" s="33">
        <v>4</v>
      </c>
      <c r="G1286" s="33">
        <v>4</v>
      </c>
      <c r="H1286" s="33"/>
      <c r="I1286" s="31" t="s">
        <v>46</v>
      </c>
      <c r="J1286" s="31"/>
      <c r="K1286" s="33"/>
      <c r="L1286" s="33"/>
      <c r="M1286" s="31"/>
      <c r="N1286" s="31"/>
      <c r="O1286" s="16" t="s">
        <v>2700</v>
      </c>
      <c r="P1286" s="16"/>
      <c r="Q1286" s="16"/>
      <c r="R1286" s="33"/>
      <c r="S1286" s="34"/>
      <c r="T1286" s="34"/>
      <c r="U1286" s="34"/>
      <c r="V1286" s="34"/>
      <c r="W1286" s="34"/>
      <c r="X1286" s="33" t="s">
        <v>85</v>
      </c>
      <c r="Y1286" s="35" t="str">
        <f>IF(Tabela2[[#This Row],[SIGLA]]="","",VLOOKUP(Tabela2[[#This Row],[SIGLA]],Tabela1[[#All],[Sigla Arte]:[Crédito]],2,0))</f>
        <v>HELOÍSA PINTARELLI/ARQUIVO DA EDITORA</v>
      </c>
      <c r="Z1286" s="31"/>
      <c r="AA1286" s="31" t="str">
        <f>Tabela2[[#This Row],[ILUSTRADOR CRIAÇÃO]]</f>
        <v>HELOÍSA PINTARELLI/ARQUIVO DA EDITORA</v>
      </c>
      <c r="AB1286" s="33"/>
      <c r="AC1286" s="16"/>
      <c r="AE1286" s="35" t="str">
        <f t="shared" si="20"/>
        <v>EF1 E002 Mat</v>
      </c>
    </row>
    <row r="1287" spans="1:31" ht="30" x14ac:dyDescent="0.25">
      <c r="A1287" s="31" t="s">
        <v>2701</v>
      </c>
      <c r="B1287" s="16" t="s">
        <v>32</v>
      </c>
      <c r="C1287" s="16" t="s">
        <v>164</v>
      </c>
      <c r="D1287" s="33" t="s">
        <v>34</v>
      </c>
      <c r="E1287" s="33">
        <v>61</v>
      </c>
      <c r="F1287" s="33">
        <v>4</v>
      </c>
      <c r="G1287" s="33">
        <v>4</v>
      </c>
      <c r="H1287" s="33"/>
      <c r="I1287" s="31" t="s">
        <v>46</v>
      </c>
      <c r="J1287" s="31"/>
      <c r="K1287" s="33"/>
      <c r="L1287" s="33"/>
      <c r="M1287" s="31"/>
      <c r="N1287" s="31"/>
      <c r="O1287" s="16" t="s">
        <v>2702</v>
      </c>
      <c r="P1287" s="16"/>
      <c r="Q1287" s="16"/>
      <c r="R1287" s="33"/>
      <c r="S1287" s="34"/>
      <c r="T1287" s="34"/>
      <c r="U1287" s="34"/>
      <c r="V1287" s="34"/>
      <c r="W1287" s="34"/>
      <c r="X1287" s="33" t="s">
        <v>48</v>
      </c>
      <c r="Y1287" s="35" t="str">
        <f>IF(Tabela2[[#This Row],[SIGLA]]="","",VLOOKUP(Tabela2[[#This Row],[SIGLA]],Tabela1[[#All],[Sigla Arte]:[Crédito]],2,0))</f>
        <v>SERGIO LIMA/ARQUIVO DA EDITORA</v>
      </c>
      <c r="Z1287" s="31"/>
      <c r="AA1287" s="31" t="str">
        <f>Tabela2[[#This Row],[ILUSTRADOR CRIAÇÃO]]</f>
        <v>SERGIO LIMA/ARQUIVO DA EDITORA</v>
      </c>
      <c r="AB1287" s="33"/>
      <c r="AC1287" s="16"/>
      <c r="AE1287" s="35" t="str">
        <f t="shared" si="20"/>
        <v>EF1 E002 Mat</v>
      </c>
    </row>
    <row r="1288" spans="1:31" ht="45" x14ac:dyDescent="0.25">
      <c r="A1288" s="31" t="s">
        <v>2703</v>
      </c>
      <c r="B1288" s="16" t="s">
        <v>32</v>
      </c>
      <c r="C1288" s="16" t="s">
        <v>164</v>
      </c>
      <c r="D1288" s="33" t="s">
        <v>34</v>
      </c>
      <c r="E1288" s="33">
        <v>61</v>
      </c>
      <c r="F1288" s="33">
        <v>4</v>
      </c>
      <c r="G1288" s="33">
        <v>4</v>
      </c>
      <c r="H1288" s="33"/>
      <c r="I1288" s="31" t="s">
        <v>46</v>
      </c>
      <c r="J1288" s="31"/>
      <c r="K1288" s="33"/>
      <c r="L1288" s="33"/>
      <c r="M1288" s="31"/>
      <c r="N1288" s="31"/>
      <c r="O1288" s="16" t="s">
        <v>2704</v>
      </c>
      <c r="P1288" s="16"/>
      <c r="Q1288" s="16"/>
      <c r="R1288" s="33"/>
      <c r="S1288" s="34"/>
      <c r="T1288" s="34"/>
      <c r="U1288" s="34"/>
      <c r="V1288" s="34"/>
      <c r="W1288" s="34"/>
      <c r="X1288" s="33" t="s">
        <v>48</v>
      </c>
      <c r="Y1288" s="35" t="str">
        <f>IF(Tabela2[[#This Row],[SIGLA]]="","",VLOOKUP(Tabela2[[#This Row],[SIGLA]],Tabela1[[#All],[Sigla Arte]:[Crédito]],2,0))</f>
        <v>SERGIO LIMA/ARQUIVO DA EDITORA</v>
      </c>
      <c r="Z1288" s="31"/>
      <c r="AA1288" s="31" t="str">
        <f>Tabela2[[#This Row],[ILUSTRADOR CRIAÇÃO]]</f>
        <v>SERGIO LIMA/ARQUIVO DA EDITORA</v>
      </c>
      <c r="AB1288" s="33"/>
      <c r="AC1288" s="16"/>
      <c r="AE1288" s="35" t="str">
        <f t="shared" si="20"/>
        <v>EF1 E002 Mat</v>
      </c>
    </row>
    <row r="1289" spans="1:31" ht="45" x14ac:dyDescent="0.25">
      <c r="A1289" s="31" t="s">
        <v>2705</v>
      </c>
      <c r="B1289" s="16" t="s">
        <v>32</v>
      </c>
      <c r="C1289" s="16" t="s">
        <v>164</v>
      </c>
      <c r="D1289" s="33" t="s">
        <v>34</v>
      </c>
      <c r="E1289" s="33">
        <v>61</v>
      </c>
      <c r="F1289" s="33">
        <v>4</v>
      </c>
      <c r="G1289" s="33">
        <v>4</v>
      </c>
      <c r="H1289" s="33"/>
      <c r="I1289" s="31" t="s">
        <v>46</v>
      </c>
      <c r="J1289" s="31"/>
      <c r="K1289" s="33"/>
      <c r="L1289" s="33"/>
      <c r="M1289" s="31"/>
      <c r="N1289" s="31"/>
      <c r="O1289" s="16" t="s">
        <v>2706</v>
      </c>
      <c r="P1289" s="16"/>
      <c r="Q1289" s="16"/>
      <c r="R1289" s="33"/>
      <c r="S1289" s="34"/>
      <c r="T1289" s="34"/>
      <c r="U1289" s="34"/>
      <c r="V1289" s="34"/>
      <c r="W1289" s="34"/>
      <c r="X1289" s="33" t="s">
        <v>48</v>
      </c>
      <c r="Y1289" s="35" t="str">
        <f>IF(Tabela2[[#This Row],[SIGLA]]="","",VLOOKUP(Tabela2[[#This Row],[SIGLA]],Tabela1[[#All],[Sigla Arte]:[Crédito]],2,0))</f>
        <v>SERGIO LIMA/ARQUIVO DA EDITORA</v>
      </c>
      <c r="Z1289" s="31"/>
      <c r="AA1289" s="31" t="str">
        <f>Tabela2[[#This Row],[ILUSTRADOR CRIAÇÃO]]</f>
        <v>SERGIO LIMA/ARQUIVO DA EDITORA</v>
      </c>
      <c r="AB1289" s="33"/>
      <c r="AC1289" s="16"/>
      <c r="AE1289" s="35" t="str">
        <f t="shared" si="20"/>
        <v>EF1 E002 Mat</v>
      </c>
    </row>
    <row r="1290" spans="1:31" ht="30" x14ac:dyDescent="0.25">
      <c r="A1290" s="31" t="s">
        <v>2707</v>
      </c>
      <c r="B1290" s="16" t="s">
        <v>32</v>
      </c>
      <c r="C1290" s="16" t="s">
        <v>164</v>
      </c>
      <c r="D1290" s="33" t="s">
        <v>34</v>
      </c>
      <c r="E1290" s="33">
        <v>61</v>
      </c>
      <c r="F1290" s="33">
        <v>4</v>
      </c>
      <c r="G1290" s="33">
        <v>4</v>
      </c>
      <c r="H1290" s="33"/>
      <c r="I1290" s="31" t="s">
        <v>46</v>
      </c>
      <c r="J1290" s="31"/>
      <c r="K1290" s="33"/>
      <c r="L1290" s="33"/>
      <c r="M1290" s="31"/>
      <c r="N1290" s="31"/>
      <c r="O1290" s="16" t="s">
        <v>2708</v>
      </c>
      <c r="P1290" s="16"/>
      <c r="Q1290" s="16"/>
      <c r="R1290" s="33"/>
      <c r="S1290" s="34"/>
      <c r="T1290" s="34"/>
      <c r="U1290" s="34"/>
      <c r="V1290" s="34"/>
      <c r="W1290" s="34"/>
      <c r="X1290" s="33" t="s">
        <v>48</v>
      </c>
      <c r="Y1290" s="35" t="str">
        <f>IF(Tabela2[[#This Row],[SIGLA]]="","",VLOOKUP(Tabela2[[#This Row],[SIGLA]],Tabela1[[#All],[Sigla Arte]:[Crédito]],2,0))</f>
        <v>SERGIO LIMA/ARQUIVO DA EDITORA</v>
      </c>
      <c r="Z1290" s="31"/>
      <c r="AA1290" s="31" t="str">
        <f>Tabela2[[#This Row],[ILUSTRADOR CRIAÇÃO]]</f>
        <v>SERGIO LIMA/ARQUIVO DA EDITORA</v>
      </c>
      <c r="AB1290" s="33"/>
      <c r="AC1290" s="16"/>
      <c r="AE1290" s="35" t="str">
        <f t="shared" si="20"/>
        <v>EF1 E002 Mat</v>
      </c>
    </row>
    <row r="1291" spans="1:31" ht="30" x14ac:dyDescent="0.25">
      <c r="A1291" s="31" t="s">
        <v>2709</v>
      </c>
      <c r="B1291" s="16" t="s">
        <v>32</v>
      </c>
      <c r="C1291" s="16" t="s">
        <v>164</v>
      </c>
      <c r="D1291" s="33" t="s">
        <v>34</v>
      </c>
      <c r="E1291" s="33">
        <v>61</v>
      </c>
      <c r="F1291" s="33">
        <v>4</v>
      </c>
      <c r="G1291" s="33">
        <v>4</v>
      </c>
      <c r="H1291" s="33"/>
      <c r="I1291" s="31" t="s">
        <v>46</v>
      </c>
      <c r="J1291" s="31"/>
      <c r="K1291" s="33"/>
      <c r="L1291" s="33"/>
      <c r="M1291" s="31"/>
      <c r="N1291" s="31"/>
      <c r="O1291" s="16" t="s">
        <v>2710</v>
      </c>
      <c r="P1291" s="16"/>
      <c r="Q1291" s="16"/>
      <c r="R1291" s="33"/>
      <c r="S1291" s="34"/>
      <c r="T1291" s="34"/>
      <c r="U1291" s="34"/>
      <c r="V1291" s="34"/>
      <c r="W1291" s="34"/>
      <c r="X1291" s="33" t="s">
        <v>48</v>
      </c>
      <c r="Y1291" s="35" t="str">
        <f>IF(Tabela2[[#This Row],[SIGLA]]="","",VLOOKUP(Tabela2[[#This Row],[SIGLA]],Tabela1[[#All],[Sigla Arte]:[Crédito]],2,0))</f>
        <v>SERGIO LIMA/ARQUIVO DA EDITORA</v>
      </c>
      <c r="Z1291" s="31"/>
      <c r="AA1291" s="31" t="str">
        <f>Tabela2[[#This Row],[ILUSTRADOR CRIAÇÃO]]</f>
        <v>SERGIO LIMA/ARQUIVO DA EDITORA</v>
      </c>
      <c r="AB1291" s="33"/>
      <c r="AC1291" s="16"/>
      <c r="AE1291" s="35" t="str">
        <f t="shared" si="20"/>
        <v>EF1 E002 Mat</v>
      </c>
    </row>
    <row r="1292" spans="1:31" ht="30" x14ac:dyDescent="0.25">
      <c r="A1292" s="31" t="s">
        <v>2711</v>
      </c>
      <c r="B1292" s="16" t="s">
        <v>32</v>
      </c>
      <c r="C1292" s="16" t="s">
        <v>164</v>
      </c>
      <c r="D1292" s="33" t="s">
        <v>34</v>
      </c>
      <c r="E1292" s="33">
        <v>61</v>
      </c>
      <c r="F1292" s="33">
        <v>4</v>
      </c>
      <c r="G1292" s="33">
        <v>4</v>
      </c>
      <c r="H1292" s="33"/>
      <c r="I1292" s="31" t="s">
        <v>46</v>
      </c>
      <c r="J1292" s="31"/>
      <c r="K1292" s="33"/>
      <c r="L1292" s="33"/>
      <c r="M1292" s="31"/>
      <c r="N1292" s="31"/>
      <c r="O1292" s="16" t="s">
        <v>2712</v>
      </c>
      <c r="P1292" s="16"/>
      <c r="Q1292" s="16"/>
      <c r="R1292" s="33"/>
      <c r="S1292" s="34"/>
      <c r="T1292" s="34"/>
      <c r="U1292" s="34"/>
      <c r="V1292" s="34"/>
      <c r="W1292" s="34"/>
      <c r="X1292" s="33" t="s">
        <v>48</v>
      </c>
      <c r="Y1292" s="35" t="str">
        <f>IF(Tabela2[[#This Row],[SIGLA]]="","",VLOOKUP(Tabela2[[#This Row],[SIGLA]],Tabela1[[#All],[Sigla Arte]:[Crédito]],2,0))</f>
        <v>SERGIO LIMA/ARQUIVO DA EDITORA</v>
      </c>
      <c r="Z1292" s="31"/>
      <c r="AA1292" s="31" t="str">
        <f>Tabela2[[#This Row],[ILUSTRADOR CRIAÇÃO]]</f>
        <v>SERGIO LIMA/ARQUIVO DA EDITORA</v>
      </c>
      <c r="AB1292" s="33"/>
      <c r="AC1292" s="16"/>
      <c r="AE1292" s="35" t="str">
        <f t="shared" si="20"/>
        <v>EF1 E002 Mat</v>
      </c>
    </row>
    <row r="1293" spans="1:31" ht="45" x14ac:dyDescent="0.25">
      <c r="A1293" s="31" t="s">
        <v>2713</v>
      </c>
      <c r="B1293" s="16" t="s">
        <v>32</v>
      </c>
      <c r="C1293" s="16" t="s">
        <v>164</v>
      </c>
      <c r="D1293" s="33" t="s">
        <v>34</v>
      </c>
      <c r="E1293" s="33">
        <v>61</v>
      </c>
      <c r="F1293" s="33">
        <v>4</v>
      </c>
      <c r="G1293" s="33">
        <v>4</v>
      </c>
      <c r="H1293" s="33"/>
      <c r="I1293" s="31" t="s">
        <v>46</v>
      </c>
      <c r="J1293" s="31"/>
      <c r="K1293" s="33"/>
      <c r="L1293" s="33"/>
      <c r="M1293" s="31"/>
      <c r="N1293" s="31"/>
      <c r="O1293" s="16" t="s">
        <v>2714</v>
      </c>
      <c r="P1293" s="16"/>
      <c r="Q1293" s="16"/>
      <c r="R1293" s="33"/>
      <c r="S1293" s="34"/>
      <c r="T1293" s="34"/>
      <c r="U1293" s="34"/>
      <c r="V1293" s="34"/>
      <c r="W1293" s="34"/>
      <c r="X1293" s="33" t="s">
        <v>85</v>
      </c>
      <c r="Y1293" s="35" t="str">
        <f>IF(Tabela2[[#This Row],[SIGLA]]="","",VLOOKUP(Tabela2[[#This Row],[SIGLA]],Tabela1[[#All],[Sigla Arte]:[Crédito]],2,0))</f>
        <v>HELOÍSA PINTARELLI/ARQUIVO DA EDITORA</v>
      </c>
      <c r="Z1293" s="31"/>
      <c r="AA1293" s="31" t="str">
        <f>Tabela2[[#This Row],[ILUSTRADOR CRIAÇÃO]]</f>
        <v>HELOÍSA PINTARELLI/ARQUIVO DA EDITORA</v>
      </c>
      <c r="AB1293" s="33"/>
      <c r="AC1293" s="16"/>
      <c r="AE1293" s="35" t="str">
        <f t="shared" si="20"/>
        <v>EF1 E002 Mat</v>
      </c>
    </row>
    <row r="1294" spans="1:31" ht="45" x14ac:dyDescent="0.25">
      <c r="A1294" s="31" t="s">
        <v>2715</v>
      </c>
      <c r="B1294" s="16" t="s">
        <v>32</v>
      </c>
      <c r="C1294" s="16" t="s">
        <v>164</v>
      </c>
      <c r="D1294" s="33" t="s">
        <v>34</v>
      </c>
      <c r="E1294" s="33">
        <v>61</v>
      </c>
      <c r="F1294" s="33">
        <v>4</v>
      </c>
      <c r="G1294" s="33">
        <v>4</v>
      </c>
      <c r="H1294" s="33"/>
      <c r="I1294" s="31" t="s">
        <v>46</v>
      </c>
      <c r="J1294" s="31"/>
      <c r="K1294" s="33"/>
      <c r="L1294" s="33"/>
      <c r="M1294" s="31"/>
      <c r="N1294" s="31"/>
      <c r="O1294" s="16" t="s">
        <v>2716</v>
      </c>
      <c r="P1294" s="16"/>
      <c r="Q1294" s="16"/>
      <c r="R1294" s="33"/>
      <c r="S1294" s="34"/>
      <c r="T1294" s="34"/>
      <c r="U1294" s="34"/>
      <c r="V1294" s="34"/>
      <c r="W1294" s="34"/>
      <c r="X1294" s="33" t="s">
        <v>85</v>
      </c>
      <c r="Y1294" s="35" t="str">
        <f>IF(Tabela2[[#This Row],[SIGLA]]="","",VLOOKUP(Tabela2[[#This Row],[SIGLA]],Tabela1[[#All],[Sigla Arte]:[Crédito]],2,0))</f>
        <v>HELOÍSA PINTARELLI/ARQUIVO DA EDITORA</v>
      </c>
      <c r="Z1294" s="31"/>
      <c r="AA1294" s="31" t="str">
        <f>Tabela2[[#This Row],[ILUSTRADOR CRIAÇÃO]]</f>
        <v>HELOÍSA PINTARELLI/ARQUIVO DA EDITORA</v>
      </c>
      <c r="AB1294" s="33"/>
      <c r="AC1294" s="16"/>
      <c r="AE1294" s="35" t="str">
        <f t="shared" si="20"/>
        <v>EF1 E002 Mat</v>
      </c>
    </row>
    <row r="1295" spans="1:31" ht="45" x14ac:dyDescent="0.25">
      <c r="A1295" s="31" t="s">
        <v>2717</v>
      </c>
      <c r="B1295" s="16" t="s">
        <v>32</v>
      </c>
      <c r="C1295" s="16" t="s">
        <v>164</v>
      </c>
      <c r="D1295" s="33" t="s">
        <v>34</v>
      </c>
      <c r="E1295" s="33">
        <v>61</v>
      </c>
      <c r="F1295" s="33">
        <v>4</v>
      </c>
      <c r="G1295" s="33">
        <v>4</v>
      </c>
      <c r="H1295" s="33"/>
      <c r="I1295" s="31" t="s">
        <v>46</v>
      </c>
      <c r="J1295" s="31"/>
      <c r="K1295" s="33"/>
      <c r="L1295" s="33"/>
      <c r="M1295" s="31"/>
      <c r="N1295" s="31"/>
      <c r="O1295" s="16" t="s">
        <v>2718</v>
      </c>
      <c r="P1295" s="16"/>
      <c r="Q1295" s="16"/>
      <c r="R1295" s="33"/>
      <c r="S1295" s="34"/>
      <c r="T1295" s="34"/>
      <c r="U1295" s="34"/>
      <c r="V1295" s="34"/>
      <c r="W1295" s="34"/>
      <c r="X1295" s="33" t="s">
        <v>85</v>
      </c>
      <c r="Y1295" s="35" t="str">
        <f>IF(Tabela2[[#This Row],[SIGLA]]="","",VLOOKUP(Tabela2[[#This Row],[SIGLA]],Tabela1[[#All],[Sigla Arte]:[Crédito]],2,0))</f>
        <v>HELOÍSA PINTARELLI/ARQUIVO DA EDITORA</v>
      </c>
      <c r="Z1295" s="31"/>
      <c r="AA1295" s="31" t="str">
        <f>Tabela2[[#This Row],[ILUSTRADOR CRIAÇÃO]]</f>
        <v>HELOÍSA PINTARELLI/ARQUIVO DA EDITORA</v>
      </c>
      <c r="AB1295" s="33"/>
      <c r="AC1295" s="16"/>
      <c r="AE1295" s="35" t="str">
        <f t="shared" si="20"/>
        <v>EF1 E002 Mat</v>
      </c>
    </row>
    <row r="1296" spans="1:31" ht="45" x14ac:dyDescent="0.25">
      <c r="A1296" s="31" t="s">
        <v>2719</v>
      </c>
      <c r="B1296" s="16" t="s">
        <v>32</v>
      </c>
      <c r="C1296" s="16" t="s">
        <v>164</v>
      </c>
      <c r="D1296" s="33" t="s">
        <v>34</v>
      </c>
      <c r="E1296" s="33">
        <v>61</v>
      </c>
      <c r="F1296" s="33">
        <v>4</v>
      </c>
      <c r="G1296" s="33">
        <v>4</v>
      </c>
      <c r="H1296" s="33"/>
      <c r="I1296" s="31" t="s">
        <v>46</v>
      </c>
      <c r="J1296" s="31"/>
      <c r="K1296" s="33"/>
      <c r="L1296" s="33"/>
      <c r="M1296" s="31"/>
      <c r="N1296" s="31"/>
      <c r="O1296" s="16" t="s">
        <v>2720</v>
      </c>
      <c r="P1296" s="16"/>
      <c r="Q1296" s="16"/>
      <c r="R1296" s="33"/>
      <c r="S1296" s="34"/>
      <c r="T1296" s="34"/>
      <c r="U1296" s="34"/>
      <c r="V1296" s="34"/>
      <c r="W1296" s="34"/>
      <c r="X1296" s="33" t="s">
        <v>85</v>
      </c>
      <c r="Y1296" s="35" t="str">
        <f>IF(Tabela2[[#This Row],[SIGLA]]="","",VLOOKUP(Tabela2[[#This Row],[SIGLA]],Tabela1[[#All],[Sigla Arte]:[Crédito]],2,0))</f>
        <v>HELOÍSA PINTARELLI/ARQUIVO DA EDITORA</v>
      </c>
      <c r="Z1296" s="31"/>
      <c r="AA1296" s="31" t="str">
        <f>Tabela2[[#This Row],[ILUSTRADOR CRIAÇÃO]]</f>
        <v>HELOÍSA PINTARELLI/ARQUIVO DA EDITORA</v>
      </c>
      <c r="AB1296" s="33"/>
      <c r="AC1296" s="16"/>
      <c r="AE1296" s="35" t="str">
        <f t="shared" si="20"/>
        <v>EF1 E002 Mat</v>
      </c>
    </row>
    <row r="1297" spans="1:31" ht="45" x14ac:dyDescent="0.25">
      <c r="A1297" s="31" t="s">
        <v>2721</v>
      </c>
      <c r="B1297" s="16" t="s">
        <v>32</v>
      </c>
      <c r="C1297" s="16" t="s">
        <v>164</v>
      </c>
      <c r="D1297" s="33" t="s">
        <v>34</v>
      </c>
      <c r="E1297" s="33">
        <v>62</v>
      </c>
      <c r="F1297" s="33">
        <v>4</v>
      </c>
      <c r="G1297" s="33">
        <v>4</v>
      </c>
      <c r="H1297" s="33"/>
      <c r="I1297" s="31" t="s">
        <v>46</v>
      </c>
      <c r="J1297" s="31"/>
      <c r="K1297" s="33"/>
      <c r="L1297" s="33"/>
      <c r="M1297" s="31"/>
      <c r="N1297" s="31"/>
      <c r="O1297" s="16" t="s">
        <v>2722</v>
      </c>
      <c r="P1297" s="16"/>
      <c r="Q1297" s="16"/>
      <c r="R1297" s="33"/>
      <c r="S1297" s="34"/>
      <c r="T1297" s="34"/>
      <c r="U1297" s="34"/>
      <c r="V1297" s="34"/>
      <c r="W1297" s="34"/>
      <c r="X1297" s="33" t="s">
        <v>48</v>
      </c>
      <c r="Y1297" s="35" t="str">
        <f>IF(Tabela2[[#This Row],[SIGLA]]="","",VLOOKUP(Tabela2[[#This Row],[SIGLA]],Tabela1[[#All],[Sigla Arte]:[Crédito]],2,0))</f>
        <v>SERGIO LIMA/ARQUIVO DA EDITORA</v>
      </c>
      <c r="Z1297" s="31"/>
      <c r="AA1297" s="31" t="str">
        <f>Tabela2[[#This Row],[ILUSTRADOR CRIAÇÃO]]</f>
        <v>SERGIO LIMA/ARQUIVO DA EDITORA</v>
      </c>
      <c r="AB1297" s="33"/>
      <c r="AC1297" s="16"/>
      <c r="AE1297" s="35" t="str">
        <f t="shared" si="20"/>
        <v>EF1 E002 Mat</v>
      </c>
    </row>
    <row r="1298" spans="1:31" ht="45" x14ac:dyDescent="0.25">
      <c r="A1298" s="31" t="s">
        <v>2723</v>
      </c>
      <c r="B1298" s="16" t="s">
        <v>32</v>
      </c>
      <c r="C1298" s="16" t="s">
        <v>164</v>
      </c>
      <c r="D1298" s="33" t="s">
        <v>34</v>
      </c>
      <c r="E1298" s="33">
        <v>62</v>
      </c>
      <c r="F1298" s="33">
        <v>4</v>
      </c>
      <c r="G1298" s="33">
        <v>4</v>
      </c>
      <c r="H1298" s="33"/>
      <c r="I1298" s="31" t="s">
        <v>46</v>
      </c>
      <c r="J1298" s="31"/>
      <c r="K1298" s="33"/>
      <c r="L1298" s="33"/>
      <c r="M1298" s="31"/>
      <c r="N1298" s="31"/>
      <c r="O1298" s="16" t="s">
        <v>2724</v>
      </c>
      <c r="P1298" s="16"/>
      <c r="Q1298" s="16"/>
      <c r="R1298" s="33"/>
      <c r="S1298" s="34"/>
      <c r="T1298" s="34"/>
      <c r="U1298" s="34"/>
      <c r="V1298" s="34"/>
      <c r="W1298" s="34"/>
      <c r="X1298" s="33" t="s">
        <v>48</v>
      </c>
      <c r="Y1298" s="35" t="str">
        <f>IF(Tabela2[[#This Row],[SIGLA]]="","",VLOOKUP(Tabela2[[#This Row],[SIGLA]],Tabela1[[#All],[Sigla Arte]:[Crédito]],2,0))</f>
        <v>SERGIO LIMA/ARQUIVO DA EDITORA</v>
      </c>
      <c r="Z1298" s="31"/>
      <c r="AA1298" s="31" t="str">
        <f>Tabela2[[#This Row],[ILUSTRADOR CRIAÇÃO]]</f>
        <v>SERGIO LIMA/ARQUIVO DA EDITORA</v>
      </c>
      <c r="AB1298" s="33"/>
      <c r="AC1298" s="16"/>
      <c r="AE1298" s="35" t="str">
        <f t="shared" si="20"/>
        <v>EF1 E002 Mat</v>
      </c>
    </row>
    <row r="1299" spans="1:31" ht="45" x14ac:dyDescent="0.25">
      <c r="A1299" s="31" t="s">
        <v>2725</v>
      </c>
      <c r="B1299" s="16" t="s">
        <v>32</v>
      </c>
      <c r="C1299" s="16" t="s">
        <v>164</v>
      </c>
      <c r="D1299" s="33" t="s">
        <v>34</v>
      </c>
      <c r="E1299" s="33">
        <v>62</v>
      </c>
      <c r="F1299" s="33">
        <v>4</v>
      </c>
      <c r="G1299" s="33">
        <v>4</v>
      </c>
      <c r="H1299" s="33"/>
      <c r="I1299" s="31" t="s">
        <v>46</v>
      </c>
      <c r="J1299" s="31"/>
      <c r="K1299" s="33"/>
      <c r="L1299" s="33"/>
      <c r="M1299" s="31"/>
      <c r="N1299" s="31"/>
      <c r="O1299" s="16" t="s">
        <v>2726</v>
      </c>
      <c r="P1299" s="16"/>
      <c r="Q1299" s="16"/>
      <c r="R1299" s="33"/>
      <c r="S1299" s="34"/>
      <c r="T1299" s="34"/>
      <c r="U1299" s="34"/>
      <c r="V1299" s="34"/>
      <c r="W1299" s="34"/>
      <c r="X1299" s="33" t="s">
        <v>48</v>
      </c>
      <c r="Y1299" s="35" t="str">
        <f>IF(Tabela2[[#This Row],[SIGLA]]="","",VLOOKUP(Tabela2[[#This Row],[SIGLA]],Tabela1[[#All],[Sigla Arte]:[Crédito]],2,0))</f>
        <v>SERGIO LIMA/ARQUIVO DA EDITORA</v>
      </c>
      <c r="Z1299" s="31"/>
      <c r="AA1299" s="31" t="str">
        <f>Tabela2[[#This Row],[ILUSTRADOR CRIAÇÃO]]</f>
        <v>SERGIO LIMA/ARQUIVO DA EDITORA</v>
      </c>
      <c r="AB1299" s="33"/>
      <c r="AC1299" s="16"/>
      <c r="AE1299" s="35" t="str">
        <f t="shared" si="20"/>
        <v>EF1 E002 Mat</v>
      </c>
    </row>
    <row r="1300" spans="1:31" ht="45" x14ac:dyDescent="0.25">
      <c r="A1300" s="31" t="s">
        <v>2727</v>
      </c>
      <c r="B1300" s="16" t="s">
        <v>32</v>
      </c>
      <c r="C1300" s="16" t="s">
        <v>164</v>
      </c>
      <c r="D1300" s="33" t="s">
        <v>34</v>
      </c>
      <c r="E1300" s="33">
        <v>62</v>
      </c>
      <c r="F1300" s="33">
        <v>4</v>
      </c>
      <c r="G1300" s="33">
        <v>4</v>
      </c>
      <c r="H1300" s="33"/>
      <c r="I1300" s="31" t="s">
        <v>46</v>
      </c>
      <c r="J1300" s="31"/>
      <c r="K1300" s="33"/>
      <c r="L1300" s="33"/>
      <c r="M1300" s="31"/>
      <c r="N1300" s="31"/>
      <c r="O1300" s="16" t="s">
        <v>2728</v>
      </c>
      <c r="P1300" s="16"/>
      <c r="Q1300" s="16"/>
      <c r="R1300" s="33"/>
      <c r="S1300" s="34"/>
      <c r="T1300" s="34"/>
      <c r="U1300" s="34"/>
      <c r="V1300" s="34"/>
      <c r="W1300" s="34"/>
      <c r="X1300" s="33" t="s">
        <v>48</v>
      </c>
      <c r="Y1300" s="35" t="str">
        <f>IF(Tabela2[[#This Row],[SIGLA]]="","",VLOOKUP(Tabela2[[#This Row],[SIGLA]],Tabela1[[#All],[Sigla Arte]:[Crédito]],2,0))</f>
        <v>SERGIO LIMA/ARQUIVO DA EDITORA</v>
      </c>
      <c r="Z1300" s="31"/>
      <c r="AA1300" s="31" t="str">
        <f>Tabela2[[#This Row],[ILUSTRADOR CRIAÇÃO]]</f>
        <v>SERGIO LIMA/ARQUIVO DA EDITORA</v>
      </c>
      <c r="AB1300" s="33"/>
      <c r="AC1300" s="16"/>
      <c r="AE1300" s="35" t="str">
        <f t="shared" si="20"/>
        <v>EF1 E002 Mat</v>
      </c>
    </row>
    <row r="1301" spans="1:31" ht="45" x14ac:dyDescent="0.25">
      <c r="A1301" s="31" t="s">
        <v>2729</v>
      </c>
      <c r="B1301" s="16" t="s">
        <v>32</v>
      </c>
      <c r="C1301" s="16" t="s">
        <v>164</v>
      </c>
      <c r="D1301" s="33" t="s">
        <v>34</v>
      </c>
      <c r="E1301" s="33">
        <v>62</v>
      </c>
      <c r="F1301" s="33">
        <v>4</v>
      </c>
      <c r="G1301" s="33">
        <v>4</v>
      </c>
      <c r="H1301" s="33"/>
      <c r="I1301" s="31" t="s">
        <v>46</v>
      </c>
      <c r="J1301" s="31"/>
      <c r="K1301" s="33"/>
      <c r="L1301" s="33"/>
      <c r="M1301" s="31"/>
      <c r="N1301" s="31"/>
      <c r="O1301" s="16" t="s">
        <v>2730</v>
      </c>
      <c r="P1301" s="16"/>
      <c r="Q1301" s="16"/>
      <c r="R1301" s="33"/>
      <c r="S1301" s="34"/>
      <c r="T1301" s="34"/>
      <c r="U1301" s="34"/>
      <c r="V1301" s="34"/>
      <c r="W1301" s="34"/>
      <c r="X1301" s="33" t="s">
        <v>48</v>
      </c>
      <c r="Y1301" s="35" t="str">
        <f>IF(Tabela2[[#This Row],[SIGLA]]="","",VLOOKUP(Tabela2[[#This Row],[SIGLA]],Tabela1[[#All],[Sigla Arte]:[Crédito]],2,0))</f>
        <v>SERGIO LIMA/ARQUIVO DA EDITORA</v>
      </c>
      <c r="Z1301" s="31"/>
      <c r="AA1301" s="31" t="str">
        <f>Tabela2[[#This Row],[ILUSTRADOR CRIAÇÃO]]</f>
        <v>SERGIO LIMA/ARQUIVO DA EDITORA</v>
      </c>
      <c r="AB1301" s="33"/>
      <c r="AC1301" s="16"/>
      <c r="AE1301" s="35" t="str">
        <f t="shared" si="20"/>
        <v>EF1 E002 Mat</v>
      </c>
    </row>
    <row r="1302" spans="1:31" ht="45" x14ac:dyDescent="0.25">
      <c r="A1302" s="31" t="s">
        <v>2731</v>
      </c>
      <c r="B1302" s="16" t="s">
        <v>32</v>
      </c>
      <c r="C1302" s="16" t="s">
        <v>164</v>
      </c>
      <c r="D1302" s="33" t="s">
        <v>34</v>
      </c>
      <c r="E1302" s="33">
        <v>63</v>
      </c>
      <c r="F1302" s="33">
        <v>4</v>
      </c>
      <c r="G1302" s="33">
        <v>4</v>
      </c>
      <c r="H1302" s="33"/>
      <c r="I1302" s="31" t="s">
        <v>46</v>
      </c>
      <c r="J1302" s="31"/>
      <c r="K1302" s="33"/>
      <c r="L1302" s="33"/>
      <c r="M1302" s="31"/>
      <c r="N1302" s="31"/>
      <c r="O1302" s="16" t="s">
        <v>2732</v>
      </c>
      <c r="P1302" s="16"/>
      <c r="Q1302" s="16"/>
      <c r="R1302" s="33"/>
      <c r="S1302" s="34"/>
      <c r="T1302" s="34"/>
      <c r="U1302" s="34"/>
      <c r="V1302" s="34"/>
      <c r="W1302" s="34"/>
      <c r="X1302" s="33" t="s">
        <v>48</v>
      </c>
      <c r="Y1302" s="35" t="str">
        <f>IF(Tabela2[[#This Row],[SIGLA]]="","",VLOOKUP(Tabela2[[#This Row],[SIGLA]],Tabela1[[#All],[Sigla Arte]:[Crédito]],2,0))</f>
        <v>SERGIO LIMA/ARQUIVO DA EDITORA</v>
      </c>
      <c r="Z1302" s="31"/>
      <c r="AA1302" s="31" t="str">
        <f>Tabela2[[#This Row],[ILUSTRADOR CRIAÇÃO]]</f>
        <v>SERGIO LIMA/ARQUIVO DA EDITORA</v>
      </c>
      <c r="AB1302" s="33"/>
      <c r="AC1302" s="16"/>
      <c r="AE1302" s="35" t="str">
        <f t="shared" si="20"/>
        <v>EF1 E002 Mat</v>
      </c>
    </row>
    <row r="1303" spans="1:31" ht="45" x14ac:dyDescent="0.25">
      <c r="A1303" s="31" t="s">
        <v>2733</v>
      </c>
      <c r="B1303" s="16" t="s">
        <v>32</v>
      </c>
      <c r="C1303" s="16" t="s">
        <v>164</v>
      </c>
      <c r="D1303" s="33" t="s">
        <v>34</v>
      </c>
      <c r="E1303" s="33">
        <v>63</v>
      </c>
      <c r="F1303" s="33">
        <v>4</v>
      </c>
      <c r="G1303" s="33">
        <v>4</v>
      </c>
      <c r="H1303" s="33"/>
      <c r="I1303" s="31" t="s">
        <v>46</v>
      </c>
      <c r="J1303" s="31"/>
      <c r="K1303" s="33"/>
      <c r="L1303" s="33"/>
      <c r="M1303" s="31"/>
      <c r="N1303" s="31"/>
      <c r="O1303" s="16" t="s">
        <v>2734</v>
      </c>
      <c r="P1303" s="16"/>
      <c r="Q1303" s="16"/>
      <c r="R1303" s="33"/>
      <c r="S1303" s="34"/>
      <c r="T1303" s="34"/>
      <c r="U1303" s="34"/>
      <c r="V1303" s="34"/>
      <c r="W1303" s="34"/>
      <c r="X1303" s="33" t="s">
        <v>48</v>
      </c>
      <c r="Y1303" s="35" t="str">
        <f>IF(Tabela2[[#This Row],[SIGLA]]="","",VLOOKUP(Tabela2[[#This Row],[SIGLA]],Tabela1[[#All],[Sigla Arte]:[Crédito]],2,0))</f>
        <v>SERGIO LIMA/ARQUIVO DA EDITORA</v>
      </c>
      <c r="Z1303" s="31"/>
      <c r="AA1303" s="31" t="str">
        <f>Tabela2[[#This Row],[ILUSTRADOR CRIAÇÃO]]</f>
        <v>SERGIO LIMA/ARQUIVO DA EDITORA</v>
      </c>
      <c r="AB1303" s="33"/>
      <c r="AC1303" s="16"/>
      <c r="AE1303" s="35" t="str">
        <f t="shared" si="20"/>
        <v>EF1 E002 Mat</v>
      </c>
    </row>
    <row r="1304" spans="1:31" ht="45" x14ac:dyDescent="0.25">
      <c r="A1304" s="31" t="s">
        <v>2735</v>
      </c>
      <c r="B1304" s="16" t="s">
        <v>32</v>
      </c>
      <c r="C1304" s="16" t="s">
        <v>164</v>
      </c>
      <c r="D1304" s="33" t="s">
        <v>34</v>
      </c>
      <c r="E1304" s="33">
        <v>63</v>
      </c>
      <c r="F1304" s="33">
        <v>4</v>
      </c>
      <c r="G1304" s="33">
        <v>4</v>
      </c>
      <c r="H1304" s="33"/>
      <c r="I1304" s="31" t="s">
        <v>46</v>
      </c>
      <c r="J1304" s="31"/>
      <c r="K1304" s="33"/>
      <c r="L1304" s="33"/>
      <c r="M1304" s="31"/>
      <c r="N1304" s="31"/>
      <c r="O1304" s="16" t="s">
        <v>2736</v>
      </c>
      <c r="P1304" s="16"/>
      <c r="Q1304" s="16"/>
      <c r="R1304" s="33"/>
      <c r="S1304" s="34"/>
      <c r="T1304" s="34"/>
      <c r="U1304" s="34"/>
      <c r="V1304" s="34"/>
      <c r="W1304" s="34"/>
      <c r="X1304" s="33" t="s">
        <v>48</v>
      </c>
      <c r="Y1304" s="35" t="str">
        <f>IF(Tabela2[[#This Row],[SIGLA]]="","",VLOOKUP(Tabela2[[#This Row],[SIGLA]],Tabela1[[#All],[Sigla Arte]:[Crédito]],2,0))</f>
        <v>SERGIO LIMA/ARQUIVO DA EDITORA</v>
      </c>
      <c r="Z1304" s="31"/>
      <c r="AA1304" s="31" t="str">
        <f>Tabela2[[#This Row],[ILUSTRADOR CRIAÇÃO]]</f>
        <v>SERGIO LIMA/ARQUIVO DA EDITORA</v>
      </c>
      <c r="AB1304" s="33"/>
      <c r="AC1304" s="16"/>
      <c r="AE1304" s="35" t="str">
        <f t="shared" si="20"/>
        <v>EF1 E002 Mat</v>
      </c>
    </row>
    <row r="1305" spans="1:31" ht="45" x14ac:dyDescent="0.25">
      <c r="A1305" s="31" t="s">
        <v>2737</v>
      </c>
      <c r="B1305" s="16" t="s">
        <v>32</v>
      </c>
      <c r="C1305" s="16" t="s">
        <v>164</v>
      </c>
      <c r="D1305" s="33" t="s">
        <v>34</v>
      </c>
      <c r="E1305" s="33">
        <v>63</v>
      </c>
      <c r="F1305" s="33">
        <v>4</v>
      </c>
      <c r="G1305" s="33">
        <v>4</v>
      </c>
      <c r="H1305" s="33"/>
      <c r="I1305" s="31" t="s">
        <v>46</v>
      </c>
      <c r="J1305" s="31"/>
      <c r="K1305" s="33"/>
      <c r="L1305" s="33"/>
      <c r="M1305" s="31"/>
      <c r="N1305" s="31"/>
      <c r="O1305" s="16" t="s">
        <v>2738</v>
      </c>
      <c r="P1305" s="16"/>
      <c r="Q1305" s="16"/>
      <c r="R1305" s="33"/>
      <c r="S1305" s="34"/>
      <c r="T1305" s="34"/>
      <c r="U1305" s="34"/>
      <c r="V1305" s="34"/>
      <c r="W1305" s="34"/>
      <c r="X1305" s="33" t="s">
        <v>48</v>
      </c>
      <c r="Y1305" s="35" t="str">
        <f>IF(Tabela2[[#This Row],[SIGLA]]="","",VLOOKUP(Tabela2[[#This Row],[SIGLA]],Tabela1[[#All],[Sigla Arte]:[Crédito]],2,0))</f>
        <v>SERGIO LIMA/ARQUIVO DA EDITORA</v>
      </c>
      <c r="Z1305" s="31"/>
      <c r="AA1305" s="31" t="str">
        <f>Tabela2[[#This Row],[ILUSTRADOR CRIAÇÃO]]</f>
        <v>SERGIO LIMA/ARQUIVO DA EDITORA</v>
      </c>
      <c r="AB1305" s="33"/>
      <c r="AC1305" s="16"/>
      <c r="AE1305" s="35" t="str">
        <f t="shared" si="20"/>
        <v>EF1 E002 Mat</v>
      </c>
    </row>
    <row r="1306" spans="1:31" ht="30" x14ac:dyDescent="0.25">
      <c r="A1306" s="31" t="s">
        <v>2739</v>
      </c>
      <c r="B1306" s="16" t="s">
        <v>32</v>
      </c>
      <c r="C1306" s="16" t="s">
        <v>164</v>
      </c>
      <c r="D1306" s="33" t="s">
        <v>34</v>
      </c>
      <c r="E1306" s="33">
        <v>63</v>
      </c>
      <c r="F1306" s="33">
        <v>4</v>
      </c>
      <c r="G1306" s="33">
        <v>4</v>
      </c>
      <c r="H1306" s="33"/>
      <c r="I1306" s="31" t="s">
        <v>46</v>
      </c>
      <c r="J1306" s="31"/>
      <c r="K1306" s="33"/>
      <c r="L1306" s="33"/>
      <c r="M1306" s="31"/>
      <c r="N1306" s="31"/>
      <c r="O1306" s="16" t="s">
        <v>2740</v>
      </c>
      <c r="P1306" s="16"/>
      <c r="Q1306" s="16"/>
      <c r="R1306" s="33"/>
      <c r="S1306" s="34"/>
      <c r="T1306" s="34"/>
      <c r="U1306" s="34"/>
      <c r="V1306" s="34"/>
      <c r="W1306" s="34"/>
      <c r="X1306" s="33" t="s">
        <v>48</v>
      </c>
      <c r="Y1306" s="35" t="str">
        <f>IF(Tabela2[[#This Row],[SIGLA]]="","",VLOOKUP(Tabela2[[#This Row],[SIGLA]],Tabela1[[#All],[Sigla Arte]:[Crédito]],2,0))</f>
        <v>SERGIO LIMA/ARQUIVO DA EDITORA</v>
      </c>
      <c r="Z1306" s="31"/>
      <c r="AA1306" s="31" t="str">
        <f>Tabela2[[#This Row],[ILUSTRADOR CRIAÇÃO]]</f>
        <v>SERGIO LIMA/ARQUIVO DA EDITORA</v>
      </c>
      <c r="AB1306" s="33"/>
      <c r="AC1306" s="16"/>
      <c r="AE1306" s="35" t="str">
        <f t="shared" si="20"/>
        <v>EF1 E002 Mat</v>
      </c>
    </row>
    <row r="1307" spans="1:31" ht="30" x14ac:dyDescent="0.25">
      <c r="A1307" s="31" t="s">
        <v>2741</v>
      </c>
      <c r="B1307" s="16" t="s">
        <v>32</v>
      </c>
      <c r="C1307" s="16" t="s">
        <v>164</v>
      </c>
      <c r="D1307" s="33" t="s">
        <v>34</v>
      </c>
      <c r="E1307" s="33">
        <v>63</v>
      </c>
      <c r="F1307" s="33">
        <v>4</v>
      </c>
      <c r="G1307" s="33">
        <v>4</v>
      </c>
      <c r="H1307" s="33"/>
      <c r="I1307" s="31" t="s">
        <v>46</v>
      </c>
      <c r="J1307" s="31"/>
      <c r="K1307" s="33"/>
      <c r="L1307" s="33"/>
      <c r="M1307" s="31"/>
      <c r="N1307" s="31"/>
      <c r="O1307" s="16" t="s">
        <v>2742</v>
      </c>
      <c r="P1307" s="16"/>
      <c r="Q1307" s="16"/>
      <c r="R1307" s="33"/>
      <c r="S1307" s="34"/>
      <c r="T1307" s="34"/>
      <c r="U1307" s="34"/>
      <c r="V1307" s="34"/>
      <c r="W1307" s="34"/>
      <c r="X1307" s="33" t="s">
        <v>48</v>
      </c>
      <c r="Y1307" s="35" t="str">
        <f>IF(Tabela2[[#This Row],[SIGLA]]="","",VLOOKUP(Tabela2[[#This Row],[SIGLA]],Tabela1[[#All],[Sigla Arte]:[Crédito]],2,0))</f>
        <v>SERGIO LIMA/ARQUIVO DA EDITORA</v>
      </c>
      <c r="Z1307" s="31"/>
      <c r="AA1307" s="31" t="str">
        <f>Tabela2[[#This Row],[ILUSTRADOR CRIAÇÃO]]</f>
        <v>SERGIO LIMA/ARQUIVO DA EDITORA</v>
      </c>
      <c r="AB1307" s="33"/>
      <c r="AC1307" s="16"/>
      <c r="AE1307" s="35" t="str">
        <f t="shared" si="20"/>
        <v>EF1 E002 Mat</v>
      </c>
    </row>
    <row r="1308" spans="1:31" ht="30" x14ac:dyDescent="0.25">
      <c r="A1308" s="31" t="s">
        <v>2743</v>
      </c>
      <c r="B1308" s="16" t="s">
        <v>32</v>
      </c>
      <c r="C1308" s="16" t="s">
        <v>164</v>
      </c>
      <c r="D1308" s="33" t="s">
        <v>34</v>
      </c>
      <c r="E1308" s="33">
        <v>63</v>
      </c>
      <c r="F1308" s="33">
        <v>4</v>
      </c>
      <c r="G1308" s="33">
        <v>4</v>
      </c>
      <c r="H1308" s="33"/>
      <c r="I1308" s="31" t="s">
        <v>46</v>
      </c>
      <c r="J1308" s="31"/>
      <c r="K1308" s="33"/>
      <c r="L1308" s="33"/>
      <c r="M1308" s="31"/>
      <c r="N1308" s="31"/>
      <c r="O1308" s="16" t="s">
        <v>2742</v>
      </c>
      <c r="P1308" s="16"/>
      <c r="Q1308" s="16"/>
      <c r="R1308" s="33"/>
      <c r="S1308" s="34"/>
      <c r="T1308" s="34"/>
      <c r="U1308" s="34"/>
      <c r="V1308" s="34"/>
      <c r="W1308" s="34"/>
      <c r="X1308" s="33" t="s">
        <v>48</v>
      </c>
      <c r="Y1308" s="35" t="str">
        <f>IF(Tabela2[[#This Row],[SIGLA]]="","",VLOOKUP(Tabela2[[#This Row],[SIGLA]],Tabela1[[#All],[Sigla Arte]:[Crédito]],2,0))</f>
        <v>SERGIO LIMA/ARQUIVO DA EDITORA</v>
      </c>
      <c r="Z1308" s="31"/>
      <c r="AA1308" s="31" t="str">
        <f>Tabela2[[#This Row],[ILUSTRADOR CRIAÇÃO]]</f>
        <v>SERGIO LIMA/ARQUIVO DA EDITORA</v>
      </c>
      <c r="AB1308" s="33"/>
      <c r="AC1308" s="16"/>
      <c r="AE1308" s="35" t="str">
        <f t="shared" si="20"/>
        <v>EF1 E002 Mat</v>
      </c>
    </row>
    <row r="1309" spans="1:31" ht="30" x14ac:dyDescent="0.25">
      <c r="A1309" s="31" t="s">
        <v>2744</v>
      </c>
      <c r="B1309" s="16" t="s">
        <v>32</v>
      </c>
      <c r="C1309" s="16" t="s">
        <v>164</v>
      </c>
      <c r="D1309" s="33" t="s">
        <v>34</v>
      </c>
      <c r="E1309" s="33">
        <v>63</v>
      </c>
      <c r="F1309" s="33">
        <v>4</v>
      </c>
      <c r="G1309" s="33">
        <v>4</v>
      </c>
      <c r="H1309" s="33"/>
      <c r="I1309" s="31" t="s">
        <v>46</v>
      </c>
      <c r="J1309" s="31"/>
      <c r="K1309" s="33"/>
      <c r="L1309" s="33"/>
      <c r="M1309" s="31"/>
      <c r="N1309" s="31"/>
      <c r="O1309" s="16" t="s">
        <v>2745</v>
      </c>
      <c r="P1309" s="16"/>
      <c r="Q1309" s="16"/>
      <c r="R1309" s="33"/>
      <c r="S1309" s="34"/>
      <c r="T1309" s="34"/>
      <c r="U1309" s="34"/>
      <c r="V1309" s="34"/>
      <c r="W1309" s="34"/>
      <c r="X1309" s="33" t="s">
        <v>48</v>
      </c>
      <c r="Y1309" s="35" t="str">
        <f>IF(Tabela2[[#This Row],[SIGLA]]="","",VLOOKUP(Tabela2[[#This Row],[SIGLA]],Tabela1[[#All],[Sigla Arte]:[Crédito]],2,0))</f>
        <v>SERGIO LIMA/ARQUIVO DA EDITORA</v>
      </c>
      <c r="Z1309" s="31"/>
      <c r="AA1309" s="31" t="str">
        <f>Tabela2[[#This Row],[ILUSTRADOR CRIAÇÃO]]</f>
        <v>SERGIO LIMA/ARQUIVO DA EDITORA</v>
      </c>
      <c r="AB1309" s="33"/>
      <c r="AC1309" s="16"/>
      <c r="AE1309" s="35" t="str">
        <f t="shared" si="20"/>
        <v>EF1 E002 Mat</v>
      </c>
    </row>
    <row r="1310" spans="1:31" ht="45" x14ac:dyDescent="0.25">
      <c r="A1310" s="31" t="s">
        <v>2746</v>
      </c>
      <c r="B1310" s="16" t="s">
        <v>32</v>
      </c>
      <c r="C1310" s="16" t="s">
        <v>164</v>
      </c>
      <c r="D1310" s="33" t="s">
        <v>34</v>
      </c>
      <c r="E1310" s="33">
        <v>64</v>
      </c>
      <c r="F1310" s="33">
        <v>4</v>
      </c>
      <c r="G1310" s="33">
        <v>4</v>
      </c>
      <c r="H1310" s="33"/>
      <c r="I1310" s="31" t="s">
        <v>46</v>
      </c>
      <c r="J1310" s="31"/>
      <c r="K1310" s="33"/>
      <c r="L1310" s="33"/>
      <c r="M1310" s="31"/>
      <c r="N1310" s="31"/>
      <c r="O1310" s="16" t="s">
        <v>2747</v>
      </c>
      <c r="P1310" s="16"/>
      <c r="Q1310" s="16"/>
      <c r="R1310" s="33"/>
      <c r="S1310" s="34"/>
      <c r="T1310" s="34"/>
      <c r="U1310" s="34"/>
      <c r="V1310" s="34"/>
      <c r="W1310" s="34"/>
      <c r="X1310" s="33" t="s">
        <v>48</v>
      </c>
      <c r="Y1310" s="35" t="str">
        <f>IF(Tabela2[[#This Row],[SIGLA]]="","",VLOOKUP(Tabela2[[#This Row],[SIGLA]],Tabela1[[#All],[Sigla Arte]:[Crédito]],2,0))</f>
        <v>SERGIO LIMA/ARQUIVO DA EDITORA</v>
      </c>
      <c r="Z1310" s="31"/>
      <c r="AA1310" s="31" t="str">
        <f>Tabela2[[#This Row],[ILUSTRADOR CRIAÇÃO]]</f>
        <v>SERGIO LIMA/ARQUIVO DA EDITORA</v>
      </c>
      <c r="AB1310" s="33"/>
      <c r="AC1310" s="16"/>
      <c r="AE1310" s="35" t="str">
        <f t="shared" si="20"/>
        <v>EF1 E002 Mat</v>
      </c>
    </row>
    <row r="1311" spans="1:31" ht="45" x14ac:dyDescent="0.25">
      <c r="A1311" s="31" t="s">
        <v>2748</v>
      </c>
      <c r="B1311" s="16" t="s">
        <v>32</v>
      </c>
      <c r="C1311" s="16" t="s">
        <v>164</v>
      </c>
      <c r="D1311" s="33" t="s">
        <v>34</v>
      </c>
      <c r="E1311" s="33">
        <v>64</v>
      </c>
      <c r="F1311" s="33">
        <v>4</v>
      </c>
      <c r="G1311" s="33">
        <v>4</v>
      </c>
      <c r="H1311" s="33"/>
      <c r="I1311" s="31" t="s">
        <v>46</v>
      </c>
      <c r="J1311" s="31"/>
      <c r="K1311" s="33"/>
      <c r="L1311" s="33"/>
      <c r="M1311" s="31"/>
      <c r="N1311" s="31"/>
      <c r="O1311" s="16" t="s">
        <v>2749</v>
      </c>
      <c r="P1311" s="16"/>
      <c r="Q1311" s="16"/>
      <c r="R1311" s="33"/>
      <c r="S1311" s="34"/>
      <c r="T1311" s="34"/>
      <c r="U1311" s="34"/>
      <c r="V1311" s="34"/>
      <c r="W1311" s="34"/>
      <c r="X1311" s="33" t="s">
        <v>48</v>
      </c>
      <c r="Y1311" s="35" t="str">
        <f>IF(Tabela2[[#This Row],[SIGLA]]="","",VLOOKUP(Tabela2[[#This Row],[SIGLA]],Tabela1[[#All],[Sigla Arte]:[Crédito]],2,0))</f>
        <v>SERGIO LIMA/ARQUIVO DA EDITORA</v>
      </c>
      <c r="Z1311" s="31"/>
      <c r="AA1311" s="31" t="str">
        <f>Tabela2[[#This Row],[ILUSTRADOR CRIAÇÃO]]</f>
        <v>SERGIO LIMA/ARQUIVO DA EDITORA</v>
      </c>
      <c r="AB1311" s="33"/>
      <c r="AC1311" s="16"/>
      <c r="AE1311" s="35" t="str">
        <f t="shared" si="20"/>
        <v>EF1 E002 Mat</v>
      </c>
    </row>
    <row r="1312" spans="1:31" ht="45" x14ac:dyDescent="0.25">
      <c r="A1312" s="31" t="s">
        <v>2750</v>
      </c>
      <c r="B1312" s="16" t="s">
        <v>32</v>
      </c>
      <c r="C1312" s="16" t="s">
        <v>164</v>
      </c>
      <c r="D1312" s="33" t="s">
        <v>34</v>
      </c>
      <c r="E1312" s="33">
        <v>64</v>
      </c>
      <c r="F1312" s="33">
        <v>4</v>
      </c>
      <c r="G1312" s="33">
        <v>4</v>
      </c>
      <c r="H1312" s="33"/>
      <c r="I1312" s="31" t="s">
        <v>46</v>
      </c>
      <c r="J1312" s="31"/>
      <c r="K1312" s="33"/>
      <c r="L1312" s="33"/>
      <c r="M1312" s="31"/>
      <c r="N1312" s="31"/>
      <c r="O1312" s="16" t="s">
        <v>2751</v>
      </c>
      <c r="P1312" s="16"/>
      <c r="Q1312" s="16"/>
      <c r="R1312" s="33"/>
      <c r="S1312" s="34"/>
      <c r="T1312" s="34"/>
      <c r="U1312" s="34"/>
      <c r="V1312" s="34"/>
      <c r="W1312" s="34"/>
      <c r="X1312" s="33" t="s">
        <v>48</v>
      </c>
      <c r="Y1312" s="35" t="str">
        <f>IF(Tabela2[[#This Row],[SIGLA]]="","",VLOOKUP(Tabela2[[#This Row],[SIGLA]],Tabela1[[#All],[Sigla Arte]:[Crédito]],2,0))</f>
        <v>SERGIO LIMA/ARQUIVO DA EDITORA</v>
      </c>
      <c r="Z1312" s="31"/>
      <c r="AA1312" s="31" t="str">
        <f>Tabela2[[#This Row],[ILUSTRADOR CRIAÇÃO]]</f>
        <v>SERGIO LIMA/ARQUIVO DA EDITORA</v>
      </c>
      <c r="AB1312" s="33"/>
      <c r="AC1312" s="16"/>
      <c r="AE1312" s="35" t="str">
        <f t="shared" si="20"/>
        <v>EF1 E002 Mat</v>
      </c>
    </row>
    <row r="1313" spans="1:31" ht="45" x14ac:dyDescent="0.25">
      <c r="A1313" s="31" t="s">
        <v>2752</v>
      </c>
      <c r="B1313" s="16" t="s">
        <v>32</v>
      </c>
      <c r="C1313" s="16" t="s">
        <v>164</v>
      </c>
      <c r="D1313" s="33" t="s">
        <v>34</v>
      </c>
      <c r="E1313" s="33">
        <v>64</v>
      </c>
      <c r="F1313" s="33">
        <v>4</v>
      </c>
      <c r="G1313" s="33">
        <v>4</v>
      </c>
      <c r="H1313" s="33"/>
      <c r="I1313" s="31" t="s">
        <v>46</v>
      </c>
      <c r="J1313" s="31"/>
      <c r="K1313" s="33"/>
      <c r="L1313" s="33"/>
      <c r="M1313" s="31"/>
      <c r="N1313" s="31"/>
      <c r="O1313" s="16" t="s">
        <v>2753</v>
      </c>
      <c r="P1313" s="16"/>
      <c r="Q1313" s="16"/>
      <c r="R1313" s="33"/>
      <c r="S1313" s="34"/>
      <c r="T1313" s="34"/>
      <c r="U1313" s="34"/>
      <c r="V1313" s="34"/>
      <c r="W1313" s="34"/>
      <c r="X1313" s="33" t="s">
        <v>48</v>
      </c>
      <c r="Y1313" s="35" t="str">
        <f>IF(Tabela2[[#This Row],[SIGLA]]="","",VLOOKUP(Tabela2[[#This Row],[SIGLA]],Tabela1[[#All],[Sigla Arte]:[Crédito]],2,0))</f>
        <v>SERGIO LIMA/ARQUIVO DA EDITORA</v>
      </c>
      <c r="Z1313" s="31"/>
      <c r="AA1313" s="31" t="str">
        <f>Tabela2[[#This Row],[ILUSTRADOR CRIAÇÃO]]</f>
        <v>SERGIO LIMA/ARQUIVO DA EDITORA</v>
      </c>
      <c r="AB1313" s="33"/>
      <c r="AC1313" s="16"/>
      <c r="AE1313" s="35" t="str">
        <f t="shared" si="20"/>
        <v>EF1 E002 Mat</v>
      </c>
    </row>
    <row r="1314" spans="1:31" ht="45" x14ac:dyDescent="0.25">
      <c r="A1314" s="31" t="s">
        <v>2754</v>
      </c>
      <c r="B1314" s="16" t="s">
        <v>32</v>
      </c>
      <c r="C1314" s="16" t="s">
        <v>164</v>
      </c>
      <c r="D1314" s="33" t="s">
        <v>34</v>
      </c>
      <c r="E1314" s="33">
        <v>65</v>
      </c>
      <c r="F1314" s="33">
        <v>4</v>
      </c>
      <c r="G1314" s="33">
        <v>4</v>
      </c>
      <c r="H1314" s="33"/>
      <c r="I1314" s="31" t="s">
        <v>46</v>
      </c>
      <c r="J1314" s="31"/>
      <c r="K1314" s="33"/>
      <c r="L1314" s="33"/>
      <c r="M1314" s="31"/>
      <c r="N1314" s="31"/>
      <c r="O1314" s="16" t="s">
        <v>2755</v>
      </c>
      <c r="P1314" s="16"/>
      <c r="Q1314" s="16"/>
      <c r="R1314" s="33"/>
      <c r="S1314" s="34"/>
      <c r="T1314" s="34"/>
      <c r="U1314" s="34"/>
      <c r="V1314" s="34"/>
      <c r="W1314" s="34"/>
      <c r="X1314" s="33" t="s">
        <v>48</v>
      </c>
      <c r="Y1314" s="35" t="str">
        <f>IF(Tabela2[[#This Row],[SIGLA]]="","",VLOOKUP(Tabela2[[#This Row],[SIGLA]],Tabela1[[#All],[Sigla Arte]:[Crédito]],2,0))</f>
        <v>SERGIO LIMA/ARQUIVO DA EDITORA</v>
      </c>
      <c r="Z1314" s="31"/>
      <c r="AA1314" s="31" t="str">
        <f>Tabela2[[#This Row],[ILUSTRADOR CRIAÇÃO]]</f>
        <v>SERGIO LIMA/ARQUIVO DA EDITORA</v>
      </c>
      <c r="AB1314" s="33"/>
      <c r="AC1314" s="16"/>
      <c r="AE1314" s="35" t="str">
        <f t="shared" si="20"/>
        <v>EF1 E002 Mat</v>
      </c>
    </row>
    <row r="1315" spans="1:31" ht="45" x14ac:dyDescent="0.25">
      <c r="A1315" s="31" t="s">
        <v>2756</v>
      </c>
      <c r="B1315" s="16" t="s">
        <v>32</v>
      </c>
      <c r="C1315" s="16" t="s">
        <v>164</v>
      </c>
      <c r="D1315" s="33" t="s">
        <v>34</v>
      </c>
      <c r="E1315" s="33">
        <v>65</v>
      </c>
      <c r="F1315" s="33">
        <v>4</v>
      </c>
      <c r="G1315" s="33">
        <v>4</v>
      </c>
      <c r="H1315" s="33"/>
      <c r="I1315" s="31" t="s">
        <v>46</v>
      </c>
      <c r="J1315" s="31"/>
      <c r="K1315" s="33"/>
      <c r="L1315" s="33"/>
      <c r="M1315" s="31"/>
      <c r="N1315" s="31"/>
      <c r="O1315" s="16" t="s">
        <v>2757</v>
      </c>
      <c r="P1315" s="16"/>
      <c r="Q1315" s="16"/>
      <c r="R1315" s="33"/>
      <c r="S1315" s="34"/>
      <c r="T1315" s="34"/>
      <c r="U1315" s="34"/>
      <c r="V1315" s="34"/>
      <c r="W1315" s="34"/>
      <c r="X1315" s="33" t="s">
        <v>48</v>
      </c>
      <c r="Y1315" s="35" t="str">
        <f>IF(Tabela2[[#This Row],[SIGLA]]="","",VLOOKUP(Tabela2[[#This Row],[SIGLA]],Tabela1[[#All],[Sigla Arte]:[Crédito]],2,0))</f>
        <v>SERGIO LIMA/ARQUIVO DA EDITORA</v>
      </c>
      <c r="Z1315" s="31"/>
      <c r="AA1315" s="31" t="str">
        <f>Tabela2[[#This Row],[ILUSTRADOR CRIAÇÃO]]</f>
        <v>SERGIO LIMA/ARQUIVO DA EDITORA</v>
      </c>
      <c r="AB1315" s="33"/>
      <c r="AC1315" s="16"/>
      <c r="AE1315" s="35" t="str">
        <f t="shared" si="20"/>
        <v>EF1 E002 Mat</v>
      </c>
    </row>
    <row r="1316" spans="1:31" ht="45" x14ac:dyDescent="0.25">
      <c r="A1316" s="31" t="s">
        <v>2758</v>
      </c>
      <c r="B1316" s="16" t="s">
        <v>32</v>
      </c>
      <c r="C1316" s="16" t="s">
        <v>164</v>
      </c>
      <c r="D1316" s="33" t="s">
        <v>34</v>
      </c>
      <c r="E1316" s="33">
        <v>65</v>
      </c>
      <c r="F1316" s="33">
        <v>4</v>
      </c>
      <c r="G1316" s="33">
        <v>4</v>
      </c>
      <c r="H1316" s="33"/>
      <c r="I1316" s="31" t="s">
        <v>46</v>
      </c>
      <c r="J1316" s="31"/>
      <c r="K1316" s="33"/>
      <c r="L1316" s="33"/>
      <c r="M1316" s="31"/>
      <c r="N1316" s="31"/>
      <c r="O1316" s="16" t="s">
        <v>2759</v>
      </c>
      <c r="P1316" s="16"/>
      <c r="Q1316" s="16"/>
      <c r="R1316" s="33"/>
      <c r="S1316" s="34"/>
      <c r="T1316" s="34"/>
      <c r="U1316" s="34"/>
      <c r="V1316" s="34"/>
      <c r="W1316" s="34"/>
      <c r="X1316" s="33" t="s">
        <v>48</v>
      </c>
      <c r="Y1316" s="35" t="str">
        <f>IF(Tabela2[[#This Row],[SIGLA]]="","",VLOOKUP(Tabela2[[#This Row],[SIGLA]],Tabela1[[#All],[Sigla Arte]:[Crédito]],2,0))</f>
        <v>SERGIO LIMA/ARQUIVO DA EDITORA</v>
      </c>
      <c r="Z1316" s="31"/>
      <c r="AA1316" s="31" t="str">
        <f>Tabela2[[#This Row],[ILUSTRADOR CRIAÇÃO]]</f>
        <v>SERGIO LIMA/ARQUIVO DA EDITORA</v>
      </c>
      <c r="AB1316" s="33"/>
      <c r="AC1316" s="16"/>
      <c r="AE1316" s="35" t="str">
        <f t="shared" si="20"/>
        <v>EF1 E002 Mat</v>
      </c>
    </row>
    <row r="1317" spans="1:31" ht="45" x14ac:dyDescent="0.25">
      <c r="A1317" s="31" t="s">
        <v>2760</v>
      </c>
      <c r="B1317" s="16" t="s">
        <v>32</v>
      </c>
      <c r="C1317" s="16" t="s">
        <v>164</v>
      </c>
      <c r="D1317" s="33" t="s">
        <v>34</v>
      </c>
      <c r="E1317" s="33">
        <v>65</v>
      </c>
      <c r="F1317" s="33">
        <v>4</v>
      </c>
      <c r="G1317" s="33">
        <v>4</v>
      </c>
      <c r="H1317" s="33"/>
      <c r="I1317" s="31" t="s">
        <v>46</v>
      </c>
      <c r="J1317" s="31"/>
      <c r="K1317" s="33"/>
      <c r="L1317" s="33"/>
      <c r="M1317" s="31"/>
      <c r="N1317" s="31"/>
      <c r="O1317" s="16" t="s">
        <v>2761</v>
      </c>
      <c r="P1317" s="16"/>
      <c r="Q1317" s="16"/>
      <c r="R1317" s="33"/>
      <c r="S1317" s="34"/>
      <c r="T1317" s="34"/>
      <c r="U1317" s="34"/>
      <c r="V1317" s="34"/>
      <c r="W1317" s="34"/>
      <c r="X1317" s="33" t="s">
        <v>48</v>
      </c>
      <c r="Y1317" s="35" t="str">
        <f>IF(Tabela2[[#This Row],[SIGLA]]="","",VLOOKUP(Tabela2[[#This Row],[SIGLA]],Tabela1[[#All],[Sigla Arte]:[Crédito]],2,0))</f>
        <v>SERGIO LIMA/ARQUIVO DA EDITORA</v>
      </c>
      <c r="Z1317" s="31"/>
      <c r="AA1317" s="31" t="str">
        <f>Tabela2[[#This Row],[ILUSTRADOR CRIAÇÃO]]</f>
        <v>SERGIO LIMA/ARQUIVO DA EDITORA</v>
      </c>
      <c r="AB1317" s="33"/>
      <c r="AC1317" s="16"/>
      <c r="AE1317" s="35" t="str">
        <f t="shared" si="20"/>
        <v>EF1 E002 Mat</v>
      </c>
    </row>
    <row r="1318" spans="1:31" ht="45" x14ac:dyDescent="0.25">
      <c r="A1318" s="31" t="s">
        <v>2762</v>
      </c>
      <c r="B1318" s="16" t="s">
        <v>32</v>
      </c>
      <c r="C1318" s="16" t="s">
        <v>164</v>
      </c>
      <c r="D1318" s="33" t="s">
        <v>34</v>
      </c>
      <c r="E1318" s="33">
        <v>65</v>
      </c>
      <c r="F1318" s="33">
        <v>4</v>
      </c>
      <c r="G1318" s="33">
        <v>4</v>
      </c>
      <c r="H1318" s="33"/>
      <c r="I1318" s="31" t="s">
        <v>46</v>
      </c>
      <c r="J1318" s="31"/>
      <c r="K1318" s="33"/>
      <c r="L1318" s="33"/>
      <c r="M1318" s="31"/>
      <c r="N1318" s="31"/>
      <c r="O1318" s="16" t="s">
        <v>2763</v>
      </c>
      <c r="P1318" s="16"/>
      <c r="Q1318" s="16"/>
      <c r="R1318" s="33"/>
      <c r="S1318" s="34"/>
      <c r="T1318" s="34"/>
      <c r="U1318" s="34"/>
      <c r="V1318" s="34"/>
      <c r="W1318" s="34"/>
      <c r="X1318" s="33" t="s">
        <v>48</v>
      </c>
      <c r="Y1318" s="35" t="str">
        <f>IF(Tabela2[[#This Row],[SIGLA]]="","",VLOOKUP(Tabela2[[#This Row],[SIGLA]],Tabela1[[#All],[Sigla Arte]:[Crédito]],2,0))</f>
        <v>SERGIO LIMA/ARQUIVO DA EDITORA</v>
      </c>
      <c r="Z1318" s="31"/>
      <c r="AA1318" s="31" t="str">
        <f>Tabela2[[#This Row],[ILUSTRADOR CRIAÇÃO]]</f>
        <v>SERGIO LIMA/ARQUIVO DA EDITORA</v>
      </c>
      <c r="AB1318" s="33"/>
      <c r="AC1318" s="16"/>
      <c r="AE1318" s="35" t="str">
        <f t="shared" si="20"/>
        <v>EF1 E002 Mat</v>
      </c>
    </row>
    <row r="1319" spans="1:31" ht="30" x14ac:dyDescent="0.25">
      <c r="A1319" s="31" t="s">
        <v>2764</v>
      </c>
      <c r="B1319" s="16" t="s">
        <v>32</v>
      </c>
      <c r="C1319" s="16" t="s">
        <v>164</v>
      </c>
      <c r="D1319" s="33" t="s">
        <v>34</v>
      </c>
      <c r="E1319" s="33">
        <v>66</v>
      </c>
      <c r="F1319" s="33">
        <v>4</v>
      </c>
      <c r="G1319" s="33">
        <v>4</v>
      </c>
      <c r="H1319" s="33"/>
      <c r="I1319" s="31" t="s">
        <v>46</v>
      </c>
      <c r="J1319" s="31"/>
      <c r="K1319" s="33"/>
      <c r="L1319" s="33"/>
      <c r="M1319" s="31"/>
      <c r="N1319" s="31"/>
      <c r="O1319" s="16" t="s">
        <v>2765</v>
      </c>
      <c r="P1319" s="16"/>
      <c r="Q1319" s="16"/>
      <c r="R1319" s="33"/>
      <c r="S1319" s="34"/>
      <c r="T1319" s="34"/>
      <c r="U1319" s="34"/>
      <c r="V1319" s="34"/>
      <c r="W1319" s="34"/>
      <c r="X1319" s="33" t="s">
        <v>48</v>
      </c>
      <c r="Y1319" s="35" t="str">
        <f>IF(Tabela2[[#This Row],[SIGLA]]="","",VLOOKUP(Tabela2[[#This Row],[SIGLA]],Tabela1[[#All],[Sigla Arte]:[Crédito]],2,0))</f>
        <v>SERGIO LIMA/ARQUIVO DA EDITORA</v>
      </c>
      <c r="Z1319" s="31"/>
      <c r="AA1319" s="31" t="str">
        <f>Tabela2[[#This Row],[ILUSTRADOR CRIAÇÃO]]</f>
        <v>SERGIO LIMA/ARQUIVO DA EDITORA</v>
      </c>
      <c r="AB1319" s="33"/>
      <c r="AC1319" s="16"/>
      <c r="AE1319" s="35" t="str">
        <f t="shared" si="20"/>
        <v>EF1 E002 Mat</v>
      </c>
    </row>
    <row r="1320" spans="1:31" ht="45" x14ac:dyDescent="0.25">
      <c r="A1320" s="31" t="s">
        <v>2766</v>
      </c>
      <c r="B1320" s="16" t="s">
        <v>32</v>
      </c>
      <c r="C1320" s="16" t="s">
        <v>164</v>
      </c>
      <c r="D1320" s="33" t="s">
        <v>34</v>
      </c>
      <c r="E1320" s="33">
        <v>66</v>
      </c>
      <c r="F1320" s="33">
        <v>4</v>
      </c>
      <c r="G1320" s="33">
        <v>4</v>
      </c>
      <c r="H1320" s="33"/>
      <c r="I1320" s="31" t="s">
        <v>46</v>
      </c>
      <c r="J1320" s="31"/>
      <c r="K1320" s="33"/>
      <c r="L1320" s="33"/>
      <c r="M1320" s="31"/>
      <c r="N1320" s="31"/>
      <c r="O1320" s="16" t="s">
        <v>2767</v>
      </c>
      <c r="P1320" s="16"/>
      <c r="Q1320" s="16"/>
      <c r="R1320" s="33"/>
      <c r="S1320" s="34"/>
      <c r="T1320" s="34"/>
      <c r="U1320" s="34"/>
      <c r="V1320" s="34"/>
      <c r="W1320" s="34"/>
      <c r="X1320" s="33" t="s">
        <v>48</v>
      </c>
      <c r="Y1320" s="35" t="str">
        <f>IF(Tabela2[[#This Row],[SIGLA]]="","",VLOOKUP(Tabela2[[#This Row],[SIGLA]],Tabela1[[#All],[Sigla Arte]:[Crédito]],2,0))</f>
        <v>SERGIO LIMA/ARQUIVO DA EDITORA</v>
      </c>
      <c r="Z1320" s="31"/>
      <c r="AA1320" s="31" t="str">
        <f>Tabela2[[#This Row],[ILUSTRADOR CRIAÇÃO]]</f>
        <v>SERGIO LIMA/ARQUIVO DA EDITORA</v>
      </c>
      <c r="AB1320" s="33"/>
      <c r="AC1320" s="16"/>
      <c r="AE1320" s="35" t="str">
        <f t="shared" si="20"/>
        <v>EF1 E002 Mat</v>
      </c>
    </row>
    <row r="1321" spans="1:31" ht="45" x14ac:dyDescent="0.25">
      <c r="A1321" s="31" t="s">
        <v>2768</v>
      </c>
      <c r="B1321" s="16" t="s">
        <v>32</v>
      </c>
      <c r="C1321" s="16" t="s">
        <v>164</v>
      </c>
      <c r="D1321" s="33" t="s">
        <v>34</v>
      </c>
      <c r="E1321" s="33">
        <v>66</v>
      </c>
      <c r="F1321" s="33">
        <v>4</v>
      </c>
      <c r="G1321" s="33">
        <v>4</v>
      </c>
      <c r="H1321" s="33"/>
      <c r="I1321" s="31" t="s">
        <v>46</v>
      </c>
      <c r="J1321" s="31"/>
      <c r="K1321" s="33"/>
      <c r="L1321" s="33"/>
      <c r="M1321" s="31"/>
      <c r="N1321" s="31"/>
      <c r="O1321" s="16" t="s">
        <v>2769</v>
      </c>
      <c r="P1321" s="16"/>
      <c r="Q1321" s="16"/>
      <c r="R1321" s="33"/>
      <c r="S1321" s="34"/>
      <c r="T1321" s="34"/>
      <c r="U1321" s="34"/>
      <c r="V1321" s="34"/>
      <c r="W1321" s="34"/>
      <c r="X1321" s="33" t="s">
        <v>48</v>
      </c>
      <c r="Y1321" s="35" t="str">
        <f>IF(Tabela2[[#This Row],[SIGLA]]="","",VLOOKUP(Tabela2[[#This Row],[SIGLA]],Tabela1[[#All],[Sigla Arte]:[Crédito]],2,0))</f>
        <v>SERGIO LIMA/ARQUIVO DA EDITORA</v>
      </c>
      <c r="Z1321" s="31"/>
      <c r="AA1321" s="31" t="str">
        <f>Tabela2[[#This Row],[ILUSTRADOR CRIAÇÃO]]</f>
        <v>SERGIO LIMA/ARQUIVO DA EDITORA</v>
      </c>
      <c r="AB1321" s="33"/>
      <c r="AC1321" s="16"/>
      <c r="AE1321" s="35" t="str">
        <f t="shared" si="20"/>
        <v>EF1 E002 Mat</v>
      </c>
    </row>
    <row r="1322" spans="1:31" ht="45" x14ac:dyDescent="0.25">
      <c r="A1322" s="31" t="s">
        <v>2770</v>
      </c>
      <c r="B1322" s="16" t="s">
        <v>32</v>
      </c>
      <c r="C1322" s="16" t="s">
        <v>164</v>
      </c>
      <c r="D1322" s="33" t="s">
        <v>34</v>
      </c>
      <c r="E1322" s="33">
        <v>66</v>
      </c>
      <c r="F1322" s="33">
        <v>4</v>
      </c>
      <c r="G1322" s="33">
        <v>4</v>
      </c>
      <c r="H1322" s="33"/>
      <c r="I1322" s="31" t="s">
        <v>46</v>
      </c>
      <c r="J1322" s="31"/>
      <c r="K1322" s="33"/>
      <c r="L1322" s="33"/>
      <c r="M1322" s="31"/>
      <c r="N1322" s="31"/>
      <c r="O1322" s="16" t="s">
        <v>2771</v>
      </c>
      <c r="P1322" s="16"/>
      <c r="Q1322" s="16"/>
      <c r="R1322" s="33"/>
      <c r="S1322" s="34"/>
      <c r="T1322" s="34"/>
      <c r="U1322" s="34"/>
      <c r="V1322" s="34"/>
      <c r="W1322" s="34"/>
      <c r="X1322" s="33" t="s">
        <v>48</v>
      </c>
      <c r="Y1322" s="35" t="str">
        <f>IF(Tabela2[[#This Row],[SIGLA]]="","",VLOOKUP(Tabela2[[#This Row],[SIGLA]],Tabela1[[#All],[Sigla Arte]:[Crédito]],2,0))</f>
        <v>SERGIO LIMA/ARQUIVO DA EDITORA</v>
      </c>
      <c r="Z1322" s="31"/>
      <c r="AA1322" s="31" t="str">
        <f>Tabela2[[#This Row],[ILUSTRADOR CRIAÇÃO]]</f>
        <v>SERGIO LIMA/ARQUIVO DA EDITORA</v>
      </c>
      <c r="AB1322" s="33"/>
      <c r="AC1322" s="16"/>
      <c r="AE1322" s="35" t="str">
        <f t="shared" si="20"/>
        <v>EF1 E002 Mat</v>
      </c>
    </row>
    <row r="1323" spans="1:31" ht="45" x14ac:dyDescent="0.25">
      <c r="A1323" s="31" t="s">
        <v>2772</v>
      </c>
      <c r="B1323" s="16" t="s">
        <v>32</v>
      </c>
      <c r="C1323" s="16" t="s">
        <v>164</v>
      </c>
      <c r="D1323" s="33" t="s">
        <v>34</v>
      </c>
      <c r="E1323" s="33">
        <v>66</v>
      </c>
      <c r="F1323" s="33">
        <v>4</v>
      </c>
      <c r="G1323" s="33">
        <v>4</v>
      </c>
      <c r="H1323" s="33"/>
      <c r="I1323" s="31" t="s">
        <v>46</v>
      </c>
      <c r="J1323" s="31"/>
      <c r="K1323" s="33"/>
      <c r="L1323" s="33"/>
      <c r="M1323" s="31"/>
      <c r="N1323" s="31"/>
      <c r="O1323" s="16" t="s">
        <v>2773</v>
      </c>
      <c r="P1323" s="16"/>
      <c r="Q1323" s="16"/>
      <c r="R1323" s="33"/>
      <c r="S1323" s="34"/>
      <c r="T1323" s="34"/>
      <c r="U1323" s="34"/>
      <c r="V1323" s="34"/>
      <c r="W1323" s="34"/>
      <c r="X1323" s="33" t="s">
        <v>48</v>
      </c>
      <c r="Y1323" s="35" t="str">
        <f>IF(Tabela2[[#This Row],[SIGLA]]="","",VLOOKUP(Tabela2[[#This Row],[SIGLA]],Tabela1[[#All],[Sigla Arte]:[Crédito]],2,0))</f>
        <v>SERGIO LIMA/ARQUIVO DA EDITORA</v>
      </c>
      <c r="Z1323" s="31"/>
      <c r="AA1323" s="31" t="str">
        <f>Tabela2[[#This Row],[ILUSTRADOR CRIAÇÃO]]</f>
        <v>SERGIO LIMA/ARQUIVO DA EDITORA</v>
      </c>
      <c r="AB1323" s="33"/>
      <c r="AC1323" s="16"/>
      <c r="AE1323" s="35" t="str">
        <f t="shared" si="20"/>
        <v>EF1 E002 Mat</v>
      </c>
    </row>
    <row r="1324" spans="1:31" ht="45" x14ac:dyDescent="0.25">
      <c r="A1324" s="31" t="s">
        <v>2774</v>
      </c>
      <c r="B1324" s="16" t="s">
        <v>32</v>
      </c>
      <c r="C1324" s="16" t="s">
        <v>164</v>
      </c>
      <c r="D1324" s="33" t="s">
        <v>34</v>
      </c>
      <c r="E1324" s="33">
        <v>66</v>
      </c>
      <c r="F1324" s="33">
        <v>4</v>
      </c>
      <c r="G1324" s="33">
        <v>4</v>
      </c>
      <c r="H1324" s="33"/>
      <c r="I1324" s="31" t="s">
        <v>46</v>
      </c>
      <c r="J1324" s="31"/>
      <c r="K1324" s="33"/>
      <c r="L1324" s="33"/>
      <c r="M1324" s="31"/>
      <c r="N1324" s="31"/>
      <c r="O1324" s="16" t="s">
        <v>2775</v>
      </c>
      <c r="P1324" s="16"/>
      <c r="Q1324" s="16"/>
      <c r="R1324" s="33"/>
      <c r="S1324" s="34"/>
      <c r="T1324" s="34"/>
      <c r="U1324" s="34"/>
      <c r="V1324" s="34"/>
      <c r="W1324" s="34"/>
      <c r="X1324" s="33" t="s">
        <v>48</v>
      </c>
      <c r="Y1324" s="35" t="str">
        <f>IF(Tabela2[[#This Row],[SIGLA]]="","",VLOOKUP(Tabela2[[#This Row],[SIGLA]],Tabela1[[#All],[Sigla Arte]:[Crédito]],2,0))</f>
        <v>SERGIO LIMA/ARQUIVO DA EDITORA</v>
      </c>
      <c r="Z1324" s="31"/>
      <c r="AA1324" s="31" t="str">
        <f>Tabela2[[#This Row],[ILUSTRADOR CRIAÇÃO]]</f>
        <v>SERGIO LIMA/ARQUIVO DA EDITORA</v>
      </c>
      <c r="AB1324" s="33"/>
      <c r="AC1324" s="16"/>
      <c r="AE1324" s="35" t="str">
        <f t="shared" si="20"/>
        <v>EF1 E002 Mat</v>
      </c>
    </row>
    <row r="1325" spans="1:31" ht="45" x14ac:dyDescent="0.25">
      <c r="A1325" s="31" t="s">
        <v>2776</v>
      </c>
      <c r="B1325" s="16" t="s">
        <v>32</v>
      </c>
      <c r="C1325" s="16" t="s">
        <v>164</v>
      </c>
      <c r="D1325" s="33" t="s">
        <v>34</v>
      </c>
      <c r="E1325" s="33">
        <v>66</v>
      </c>
      <c r="F1325" s="33">
        <v>4</v>
      </c>
      <c r="G1325" s="33">
        <v>4</v>
      </c>
      <c r="H1325" s="33"/>
      <c r="I1325" s="31" t="s">
        <v>46</v>
      </c>
      <c r="J1325" s="31"/>
      <c r="K1325" s="33"/>
      <c r="L1325" s="33"/>
      <c r="M1325" s="31"/>
      <c r="N1325" s="31"/>
      <c r="O1325" s="16" t="s">
        <v>2777</v>
      </c>
      <c r="P1325" s="16"/>
      <c r="Q1325" s="16"/>
      <c r="R1325" s="33"/>
      <c r="S1325" s="34"/>
      <c r="T1325" s="34"/>
      <c r="U1325" s="34"/>
      <c r="V1325" s="34"/>
      <c r="W1325" s="34"/>
      <c r="X1325" s="33" t="s">
        <v>48</v>
      </c>
      <c r="Y1325" s="35" t="str">
        <f>IF(Tabela2[[#This Row],[SIGLA]]="","",VLOOKUP(Tabela2[[#This Row],[SIGLA]],Tabela1[[#All],[Sigla Arte]:[Crédito]],2,0))</f>
        <v>SERGIO LIMA/ARQUIVO DA EDITORA</v>
      </c>
      <c r="Z1325" s="31"/>
      <c r="AA1325" s="31" t="str">
        <f>Tabela2[[#This Row],[ILUSTRADOR CRIAÇÃO]]</f>
        <v>SERGIO LIMA/ARQUIVO DA EDITORA</v>
      </c>
      <c r="AB1325" s="33"/>
      <c r="AC1325" s="16"/>
      <c r="AE1325" s="35" t="str">
        <f t="shared" si="20"/>
        <v>EF1 E002 Mat</v>
      </c>
    </row>
    <row r="1326" spans="1:31" ht="30" x14ac:dyDescent="0.25">
      <c r="A1326" s="31" t="s">
        <v>2778</v>
      </c>
      <c r="B1326" s="16" t="s">
        <v>32</v>
      </c>
      <c r="C1326" s="16" t="s">
        <v>164</v>
      </c>
      <c r="D1326" s="33" t="s">
        <v>34</v>
      </c>
      <c r="E1326" s="33">
        <v>66</v>
      </c>
      <c r="F1326" s="33">
        <v>4</v>
      </c>
      <c r="G1326" s="33">
        <v>4</v>
      </c>
      <c r="H1326" s="33"/>
      <c r="I1326" s="31" t="s">
        <v>46</v>
      </c>
      <c r="J1326" s="31"/>
      <c r="K1326" s="33"/>
      <c r="L1326" s="33"/>
      <c r="M1326" s="31"/>
      <c r="N1326" s="31"/>
      <c r="O1326" s="16" t="s">
        <v>2779</v>
      </c>
      <c r="P1326" s="16"/>
      <c r="Q1326" s="16"/>
      <c r="R1326" s="33"/>
      <c r="S1326" s="34"/>
      <c r="T1326" s="34"/>
      <c r="U1326" s="34"/>
      <c r="V1326" s="34"/>
      <c r="W1326" s="34"/>
      <c r="X1326" s="33" t="s">
        <v>48</v>
      </c>
      <c r="Y1326" s="35" t="str">
        <f>IF(Tabela2[[#This Row],[SIGLA]]="","",VLOOKUP(Tabela2[[#This Row],[SIGLA]],Tabela1[[#All],[Sigla Arte]:[Crédito]],2,0))</f>
        <v>SERGIO LIMA/ARQUIVO DA EDITORA</v>
      </c>
      <c r="Z1326" s="31"/>
      <c r="AA1326" s="31" t="str">
        <f>Tabela2[[#This Row],[ILUSTRADOR CRIAÇÃO]]</f>
        <v>SERGIO LIMA/ARQUIVO DA EDITORA</v>
      </c>
      <c r="AB1326" s="33"/>
      <c r="AC1326" s="16"/>
      <c r="AE1326" s="35" t="str">
        <f t="shared" si="20"/>
        <v>EF1 E002 Mat</v>
      </c>
    </row>
    <row r="1327" spans="1:31" ht="45" x14ac:dyDescent="0.25">
      <c r="A1327" s="31" t="s">
        <v>2780</v>
      </c>
      <c r="B1327" s="16" t="s">
        <v>32</v>
      </c>
      <c r="C1327" s="16" t="s">
        <v>164</v>
      </c>
      <c r="D1327" s="33" t="s">
        <v>34</v>
      </c>
      <c r="E1327" s="33">
        <v>66</v>
      </c>
      <c r="F1327" s="33">
        <v>4</v>
      </c>
      <c r="G1327" s="33">
        <v>4</v>
      </c>
      <c r="H1327" s="33"/>
      <c r="I1327" s="31" t="s">
        <v>46</v>
      </c>
      <c r="J1327" s="31"/>
      <c r="K1327" s="33"/>
      <c r="L1327" s="33"/>
      <c r="M1327" s="31"/>
      <c r="N1327" s="31"/>
      <c r="O1327" s="16" t="s">
        <v>2781</v>
      </c>
      <c r="P1327" s="16"/>
      <c r="Q1327" s="16"/>
      <c r="R1327" s="33"/>
      <c r="S1327" s="34"/>
      <c r="T1327" s="34"/>
      <c r="U1327" s="34"/>
      <c r="V1327" s="34"/>
      <c r="W1327" s="34"/>
      <c r="X1327" s="33" t="s">
        <v>48</v>
      </c>
      <c r="Y1327" s="35" t="str">
        <f>IF(Tabela2[[#This Row],[SIGLA]]="","",VLOOKUP(Tabela2[[#This Row],[SIGLA]],Tabela1[[#All],[Sigla Arte]:[Crédito]],2,0))</f>
        <v>SERGIO LIMA/ARQUIVO DA EDITORA</v>
      </c>
      <c r="Z1327" s="31"/>
      <c r="AA1327" s="31" t="str">
        <f>Tabela2[[#This Row],[ILUSTRADOR CRIAÇÃO]]</f>
        <v>SERGIO LIMA/ARQUIVO DA EDITORA</v>
      </c>
      <c r="AB1327" s="33"/>
      <c r="AC1327" s="16"/>
      <c r="AE1327" s="35" t="str">
        <f t="shared" si="20"/>
        <v>EF1 E002 Mat</v>
      </c>
    </row>
    <row r="1328" spans="1:31" ht="30" x14ac:dyDescent="0.25">
      <c r="A1328" s="31" t="s">
        <v>2782</v>
      </c>
      <c r="B1328" s="16" t="s">
        <v>32</v>
      </c>
      <c r="C1328" s="16" t="s">
        <v>164</v>
      </c>
      <c r="D1328" s="33" t="s">
        <v>34</v>
      </c>
      <c r="E1328" s="33">
        <v>66</v>
      </c>
      <c r="F1328" s="33">
        <v>4</v>
      </c>
      <c r="G1328" s="33">
        <v>4</v>
      </c>
      <c r="H1328" s="33"/>
      <c r="I1328" s="31" t="s">
        <v>46</v>
      </c>
      <c r="J1328" s="31"/>
      <c r="K1328" s="33"/>
      <c r="L1328" s="33"/>
      <c r="M1328" s="31"/>
      <c r="N1328" s="31"/>
      <c r="O1328" s="16" t="s">
        <v>2783</v>
      </c>
      <c r="P1328" s="16"/>
      <c r="Q1328" s="16"/>
      <c r="R1328" s="33"/>
      <c r="S1328" s="34"/>
      <c r="T1328" s="34"/>
      <c r="U1328" s="34"/>
      <c r="V1328" s="34"/>
      <c r="W1328" s="34"/>
      <c r="X1328" s="33" t="s">
        <v>48</v>
      </c>
      <c r="Y1328" s="35" t="str">
        <f>IF(Tabela2[[#This Row],[SIGLA]]="","",VLOOKUP(Tabela2[[#This Row],[SIGLA]],Tabela1[[#All],[Sigla Arte]:[Crédito]],2,0))</f>
        <v>SERGIO LIMA/ARQUIVO DA EDITORA</v>
      </c>
      <c r="Z1328" s="31"/>
      <c r="AA1328" s="31" t="str">
        <f>Tabela2[[#This Row],[ILUSTRADOR CRIAÇÃO]]</f>
        <v>SERGIO LIMA/ARQUIVO DA EDITORA</v>
      </c>
      <c r="AB1328" s="33"/>
      <c r="AC1328" s="16"/>
      <c r="AE1328" s="35" t="str">
        <f t="shared" si="20"/>
        <v>EF1 E002 Mat</v>
      </c>
    </row>
    <row r="1329" spans="1:31" ht="30" x14ac:dyDescent="0.25">
      <c r="A1329" s="31" t="s">
        <v>2784</v>
      </c>
      <c r="B1329" s="16" t="s">
        <v>32</v>
      </c>
      <c r="C1329" s="16" t="s">
        <v>164</v>
      </c>
      <c r="D1329" s="33" t="s">
        <v>34</v>
      </c>
      <c r="E1329" s="33">
        <v>67</v>
      </c>
      <c r="F1329" s="33">
        <v>4</v>
      </c>
      <c r="G1329" s="33">
        <v>4</v>
      </c>
      <c r="H1329" s="33"/>
      <c r="I1329" s="31" t="s">
        <v>46</v>
      </c>
      <c r="J1329" s="31"/>
      <c r="K1329" s="33"/>
      <c r="L1329" s="33"/>
      <c r="M1329" s="31"/>
      <c r="N1329" s="31"/>
      <c r="O1329" s="16" t="s">
        <v>2785</v>
      </c>
      <c r="P1329" s="16"/>
      <c r="Q1329" s="16"/>
      <c r="R1329" s="33"/>
      <c r="S1329" s="34"/>
      <c r="T1329" s="34"/>
      <c r="U1329" s="34"/>
      <c r="V1329" s="34"/>
      <c r="W1329" s="34"/>
      <c r="X1329" s="33" t="s">
        <v>48</v>
      </c>
      <c r="Y1329" s="35" t="str">
        <f>IF(Tabela2[[#This Row],[SIGLA]]="","",VLOOKUP(Tabela2[[#This Row],[SIGLA]],Tabela1[[#All],[Sigla Arte]:[Crédito]],2,0))</f>
        <v>SERGIO LIMA/ARQUIVO DA EDITORA</v>
      </c>
      <c r="Z1329" s="31"/>
      <c r="AA1329" s="31" t="str">
        <f>Tabela2[[#This Row],[ILUSTRADOR CRIAÇÃO]]</f>
        <v>SERGIO LIMA/ARQUIVO DA EDITORA</v>
      </c>
      <c r="AB1329" s="33"/>
      <c r="AC1329" s="16"/>
      <c r="AE1329" s="35" t="str">
        <f t="shared" si="20"/>
        <v>EF1 E002 Mat</v>
      </c>
    </row>
    <row r="1330" spans="1:31" ht="30" x14ac:dyDescent="0.25">
      <c r="A1330" s="31" t="s">
        <v>2786</v>
      </c>
      <c r="B1330" s="16" t="s">
        <v>32</v>
      </c>
      <c r="C1330" s="16" t="s">
        <v>164</v>
      </c>
      <c r="D1330" s="33" t="s">
        <v>34</v>
      </c>
      <c r="E1330" s="33">
        <v>67</v>
      </c>
      <c r="F1330" s="33">
        <v>4</v>
      </c>
      <c r="G1330" s="33">
        <v>4</v>
      </c>
      <c r="H1330" s="33"/>
      <c r="I1330" s="31" t="s">
        <v>46</v>
      </c>
      <c r="J1330" s="31"/>
      <c r="K1330" s="33"/>
      <c r="L1330" s="33"/>
      <c r="M1330" s="31"/>
      <c r="N1330" s="31"/>
      <c r="O1330" s="16" t="s">
        <v>2787</v>
      </c>
      <c r="P1330" s="16"/>
      <c r="Q1330" s="16"/>
      <c r="R1330" s="33"/>
      <c r="S1330" s="34"/>
      <c r="T1330" s="34"/>
      <c r="U1330" s="34"/>
      <c r="V1330" s="34"/>
      <c r="W1330" s="34"/>
      <c r="X1330" s="33" t="s">
        <v>48</v>
      </c>
      <c r="Y1330" s="35" t="str">
        <f>IF(Tabela2[[#This Row],[SIGLA]]="","",VLOOKUP(Tabela2[[#This Row],[SIGLA]],Tabela1[[#All],[Sigla Arte]:[Crédito]],2,0))</f>
        <v>SERGIO LIMA/ARQUIVO DA EDITORA</v>
      </c>
      <c r="Z1330" s="31"/>
      <c r="AA1330" s="31" t="str">
        <f>Tabela2[[#This Row],[ILUSTRADOR CRIAÇÃO]]</f>
        <v>SERGIO LIMA/ARQUIVO DA EDITORA</v>
      </c>
      <c r="AB1330" s="33"/>
      <c r="AC1330" s="16"/>
      <c r="AE1330" s="35" t="str">
        <f t="shared" si="20"/>
        <v>EF1 E002 Mat</v>
      </c>
    </row>
    <row r="1331" spans="1:31" ht="60" x14ac:dyDescent="0.25">
      <c r="A1331" s="31" t="s">
        <v>2788</v>
      </c>
      <c r="B1331" s="16" t="s">
        <v>32</v>
      </c>
      <c r="C1331" s="16" t="s">
        <v>33</v>
      </c>
      <c r="D1331" s="33" t="s">
        <v>34</v>
      </c>
      <c r="E1331" s="33">
        <v>67</v>
      </c>
      <c r="F1331" s="33">
        <v>4</v>
      </c>
      <c r="G1331" s="33">
        <v>4</v>
      </c>
      <c r="H1331" s="33"/>
      <c r="I1331" s="31" t="s">
        <v>46</v>
      </c>
      <c r="J1331" s="31"/>
      <c r="K1331" s="33"/>
      <c r="L1331" s="33"/>
      <c r="M1331" s="31"/>
      <c r="N1331" s="31"/>
      <c r="O1331" s="16" t="s">
        <v>2789</v>
      </c>
      <c r="P1331" s="16"/>
      <c r="Q1331" s="16"/>
      <c r="R1331" s="33"/>
      <c r="S1331" s="34"/>
      <c r="T1331" s="34"/>
      <c r="U1331" s="34"/>
      <c r="V1331" s="34"/>
      <c r="W1331" s="34"/>
      <c r="X1331" s="33" t="s">
        <v>48</v>
      </c>
      <c r="Y1331" s="35" t="str">
        <f>IF(Tabela2[[#This Row],[SIGLA]]="","",VLOOKUP(Tabela2[[#This Row],[SIGLA]],Tabela1[[#All],[Sigla Arte]:[Crédito]],2,0))</f>
        <v>SERGIO LIMA/ARQUIVO DA EDITORA</v>
      </c>
      <c r="Z1331" s="31"/>
      <c r="AA1331" s="31" t="str">
        <f>Tabela2[[#This Row],[ILUSTRADOR CRIAÇÃO]]</f>
        <v>SERGIO LIMA/ARQUIVO DA EDITORA</v>
      </c>
      <c r="AB1331" s="33"/>
      <c r="AC1331" s="16"/>
      <c r="AE1331" s="35" t="str">
        <f t="shared" si="20"/>
        <v>EF1 E002 Mat</v>
      </c>
    </row>
    <row r="1332" spans="1:31" ht="90" x14ac:dyDescent="0.25">
      <c r="A1332" s="31" t="s">
        <v>2790</v>
      </c>
      <c r="B1332" s="16" t="s">
        <v>32</v>
      </c>
      <c r="C1332" s="16" t="s">
        <v>33</v>
      </c>
      <c r="D1332" s="33" t="s">
        <v>34</v>
      </c>
      <c r="E1332" s="33">
        <v>67</v>
      </c>
      <c r="F1332" s="33">
        <v>4</v>
      </c>
      <c r="G1332" s="33">
        <v>4</v>
      </c>
      <c r="H1332" s="33"/>
      <c r="I1332" s="31" t="s">
        <v>35</v>
      </c>
      <c r="J1332" s="31"/>
      <c r="K1332" s="33"/>
      <c r="L1332" s="33"/>
      <c r="M1332" s="31"/>
      <c r="N1332" s="31"/>
      <c r="O1332" s="16" t="s">
        <v>2791</v>
      </c>
      <c r="P1332" s="16"/>
      <c r="Q1332" s="16"/>
      <c r="R1332" s="33">
        <v>117</v>
      </c>
      <c r="S1332" s="34">
        <v>45884</v>
      </c>
      <c r="T1332" s="34">
        <v>45884</v>
      </c>
      <c r="U1332" s="34"/>
      <c r="V1332" s="34"/>
      <c r="W1332" s="34">
        <v>45887</v>
      </c>
      <c r="X1332" s="33" t="s">
        <v>48</v>
      </c>
      <c r="Y1332" s="35" t="str">
        <f>IF(Tabela2[[#This Row],[SIGLA]]="","",VLOOKUP(Tabela2[[#This Row],[SIGLA]],Tabela1[[#All],[Sigla Arte]:[Crédito]],2,0))</f>
        <v>SERGIO LIMA/ARQUIVO DA EDITORA</v>
      </c>
      <c r="Z1332" s="31" t="s">
        <v>924</v>
      </c>
      <c r="AA1332" s="31" t="str">
        <f>Tabela2[[#This Row],[ILUSTRADOR CRIAÇÃO]]</f>
        <v>SERGIO LIMA/ARQUIVO DA EDITORA</v>
      </c>
      <c r="AB1332" s="33">
        <v>13</v>
      </c>
      <c r="AC1332" s="16" t="s">
        <v>222</v>
      </c>
      <c r="AD1332" s="16" t="s">
        <v>40</v>
      </c>
      <c r="AE1332" s="35" t="str">
        <f t="shared" si="20"/>
        <v>EF1 E002 Mat</v>
      </c>
    </row>
    <row r="1333" spans="1:31" ht="60" x14ac:dyDescent="0.25">
      <c r="A1333" s="31" t="s">
        <v>2792</v>
      </c>
      <c r="B1333" s="16" t="s">
        <v>32</v>
      </c>
      <c r="C1333" s="16" t="s">
        <v>33</v>
      </c>
      <c r="D1333" s="33" t="s">
        <v>34</v>
      </c>
      <c r="E1333" s="33">
        <v>86</v>
      </c>
      <c r="F1333" s="33">
        <v>1</v>
      </c>
      <c r="G1333" s="33">
        <v>3</v>
      </c>
      <c r="H1333" s="33"/>
      <c r="I1333" s="31" t="s">
        <v>46</v>
      </c>
      <c r="J1333" s="31"/>
      <c r="K1333" s="33"/>
      <c r="L1333" s="33"/>
      <c r="M1333" s="31"/>
      <c r="N1333" s="31"/>
      <c r="O1333" s="16" t="s">
        <v>2793</v>
      </c>
      <c r="P1333" s="16"/>
      <c r="Q1333" s="16"/>
      <c r="R1333" s="33"/>
      <c r="S1333" s="34"/>
      <c r="T1333" s="34"/>
      <c r="U1333" s="34"/>
      <c r="V1333" s="34"/>
      <c r="W1333" s="34"/>
      <c r="X1333" s="33" t="s">
        <v>184</v>
      </c>
      <c r="Y1333" s="35" t="str">
        <f>IF(Tabela2[[#This Row],[SIGLA]]="","",VLOOKUP(Tabela2[[#This Row],[SIGLA]],Tabela1[[#All],[Sigla Arte]:[Crédito]],2,0))</f>
        <v>VER DOCUMENTO DE ILS. TÉCNICAS</v>
      </c>
      <c r="Z1333" s="31"/>
      <c r="AA1333" s="31" t="s">
        <v>921</v>
      </c>
      <c r="AB1333" s="33"/>
      <c r="AC1333" s="16"/>
      <c r="AE1333" s="35" t="str">
        <f t="shared" si="20"/>
        <v>EF1 E002 Mat</v>
      </c>
    </row>
    <row r="1334" spans="1:31" ht="60" x14ac:dyDescent="0.25">
      <c r="A1334" s="31" t="s">
        <v>2794</v>
      </c>
      <c r="B1334" s="16" t="s">
        <v>32</v>
      </c>
      <c r="C1334" s="16" t="s">
        <v>33</v>
      </c>
      <c r="D1334" s="33" t="s">
        <v>34</v>
      </c>
      <c r="E1334" s="33">
        <v>86</v>
      </c>
      <c r="F1334" s="33">
        <v>1</v>
      </c>
      <c r="G1334" s="33">
        <v>3</v>
      </c>
      <c r="H1334" s="33"/>
      <c r="I1334" s="31" t="s">
        <v>46</v>
      </c>
      <c r="J1334" s="31"/>
      <c r="K1334" s="33"/>
      <c r="L1334" s="33"/>
      <c r="M1334" s="31"/>
      <c r="N1334" s="31"/>
      <c r="O1334" s="16" t="s">
        <v>2795</v>
      </c>
      <c r="P1334" s="16"/>
      <c r="Q1334" s="16"/>
      <c r="R1334" s="33"/>
      <c r="S1334" s="34"/>
      <c r="T1334" s="34"/>
      <c r="U1334" s="34"/>
      <c r="V1334" s="34"/>
      <c r="W1334" s="34"/>
      <c r="X1334" s="33" t="s">
        <v>184</v>
      </c>
      <c r="Y1334" s="35" t="str">
        <f>IF(Tabela2[[#This Row],[SIGLA]]="","",VLOOKUP(Tabela2[[#This Row],[SIGLA]],Tabela1[[#All],[Sigla Arte]:[Crédito]],2,0))</f>
        <v>VER DOCUMENTO DE ILS. TÉCNICAS</v>
      </c>
      <c r="Z1334" s="31"/>
      <c r="AA1334" s="31" t="s">
        <v>921</v>
      </c>
      <c r="AB1334" s="33"/>
      <c r="AC1334" s="16"/>
      <c r="AE1334" s="35" t="str">
        <f t="shared" si="20"/>
        <v>EF1 E002 Mat</v>
      </c>
    </row>
    <row r="1335" spans="1:31" ht="60" x14ac:dyDescent="0.25">
      <c r="A1335" s="31" t="s">
        <v>2796</v>
      </c>
      <c r="B1335" s="16" t="s">
        <v>32</v>
      </c>
      <c r="C1335" s="16" t="s">
        <v>33</v>
      </c>
      <c r="D1335" s="33" t="s">
        <v>34</v>
      </c>
      <c r="E1335" s="33">
        <v>86</v>
      </c>
      <c r="F1335" s="33">
        <v>1</v>
      </c>
      <c r="G1335" s="33">
        <v>3</v>
      </c>
      <c r="H1335" s="33"/>
      <c r="I1335" s="31" t="s">
        <v>46</v>
      </c>
      <c r="J1335" s="31"/>
      <c r="K1335" s="33"/>
      <c r="L1335" s="33"/>
      <c r="M1335" s="31"/>
      <c r="N1335" s="31"/>
      <c r="O1335" s="16" t="s">
        <v>2797</v>
      </c>
      <c r="P1335" s="16"/>
      <c r="Q1335" s="16"/>
      <c r="R1335" s="33"/>
      <c r="S1335" s="34"/>
      <c r="T1335" s="34"/>
      <c r="U1335" s="34"/>
      <c r="V1335" s="34"/>
      <c r="W1335" s="34"/>
      <c r="X1335" s="33" t="s">
        <v>184</v>
      </c>
      <c r="Y1335" s="35" t="str">
        <f>IF(Tabela2[[#This Row],[SIGLA]]="","",VLOOKUP(Tabela2[[#This Row],[SIGLA]],Tabela1[[#All],[Sigla Arte]:[Crédito]],2,0))</f>
        <v>VER DOCUMENTO DE ILS. TÉCNICAS</v>
      </c>
      <c r="Z1335" s="31"/>
      <c r="AA1335" s="31" t="s">
        <v>921</v>
      </c>
      <c r="AB1335" s="33"/>
      <c r="AC1335" s="16"/>
      <c r="AE1335" s="35" t="str">
        <f t="shared" si="20"/>
        <v>EF1 E002 Mat</v>
      </c>
    </row>
    <row r="1336" spans="1:31" ht="60" x14ac:dyDescent="0.25">
      <c r="A1336" s="31" t="s">
        <v>2798</v>
      </c>
      <c r="B1336" s="16" t="s">
        <v>32</v>
      </c>
      <c r="C1336" s="16" t="s">
        <v>33</v>
      </c>
      <c r="D1336" s="33" t="s">
        <v>34</v>
      </c>
      <c r="E1336" s="33">
        <v>86</v>
      </c>
      <c r="F1336" s="33">
        <v>1</v>
      </c>
      <c r="G1336" s="33">
        <v>3</v>
      </c>
      <c r="H1336" s="33"/>
      <c r="I1336" s="31" t="s">
        <v>46</v>
      </c>
      <c r="J1336" s="31"/>
      <c r="K1336" s="33"/>
      <c r="L1336" s="33"/>
      <c r="M1336" s="31"/>
      <c r="N1336" s="31"/>
      <c r="O1336" s="16" t="s">
        <v>2799</v>
      </c>
      <c r="P1336" s="16"/>
      <c r="Q1336" s="16"/>
      <c r="R1336" s="33"/>
      <c r="S1336" s="34"/>
      <c r="T1336" s="34"/>
      <c r="U1336" s="34"/>
      <c r="V1336" s="34"/>
      <c r="W1336" s="34"/>
      <c r="X1336" s="33" t="s">
        <v>184</v>
      </c>
      <c r="Y1336" s="35" t="str">
        <f>IF(Tabela2[[#This Row],[SIGLA]]="","",VLOOKUP(Tabela2[[#This Row],[SIGLA]],Tabela1[[#All],[Sigla Arte]:[Crédito]],2,0))</f>
        <v>VER DOCUMENTO DE ILS. TÉCNICAS</v>
      </c>
      <c r="Z1336" s="31"/>
      <c r="AA1336" s="31" t="s">
        <v>921</v>
      </c>
      <c r="AB1336" s="33"/>
      <c r="AC1336" s="16"/>
      <c r="AE1336" s="35" t="str">
        <f t="shared" si="20"/>
        <v>EF1 E002 Mat</v>
      </c>
    </row>
    <row r="1337" spans="1:31" ht="45" x14ac:dyDescent="0.25">
      <c r="A1337" s="31" t="s">
        <v>2800</v>
      </c>
      <c r="B1337" s="16" t="s">
        <v>32</v>
      </c>
      <c r="C1337" s="16" t="s">
        <v>33</v>
      </c>
      <c r="D1337" s="33" t="s">
        <v>34</v>
      </c>
      <c r="E1337" s="33">
        <v>86</v>
      </c>
      <c r="F1337" s="33">
        <v>1</v>
      </c>
      <c r="G1337" s="33">
        <v>3</v>
      </c>
      <c r="H1337" s="33"/>
      <c r="I1337" s="31" t="s">
        <v>46</v>
      </c>
      <c r="J1337" s="31"/>
      <c r="K1337" s="33"/>
      <c r="L1337" s="33"/>
      <c r="M1337" s="31"/>
      <c r="N1337" s="31"/>
      <c r="O1337" s="16" t="s">
        <v>2801</v>
      </c>
      <c r="P1337" s="16"/>
      <c r="Q1337" s="16"/>
      <c r="R1337" s="33"/>
      <c r="S1337" s="34"/>
      <c r="T1337" s="34"/>
      <c r="U1337" s="34"/>
      <c r="V1337" s="34"/>
      <c r="W1337" s="34"/>
      <c r="X1337" s="33" t="s">
        <v>184</v>
      </c>
      <c r="Y1337" s="35" t="str">
        <f>IF(Tabela2[[#This Row],[SIGLA]]="","",VLOOKUP(Tabela2[[#This Row],[SIGLA]],Tabela1[[#All],[Sigla Arte]:[Crédito]],2,0))</f>
        <v>VER DOCUMENTO DE ILS. TÉCNICAS</v>
      </c>
      <c r="Z1337" s="31"/>
      <c r="AA1337" s="31" t="s">
        <v>921</v>
      </c>
      <c r="AB1337" s="33"/>
      <c r="AC1337" s="16"/>
      <c r="AE1337" s="35" t="str">
        <f t="shared" si="20"/>
        <v>EF1 E002 Mat</v>
      </c>
    </row>
    <row r="1338" spans="1:31" ht="45" x14ac:dyDescent="0.25">
      <c r="A1338" s="31" t="s">
        <v>2802</v>
      </c>
      <c r="B1338" s="16" t="s">
        <v>32</v>
      </c>
      <c r="C1338" s="16" t="s">
        <v>33</v>
      </c>
      <c r="D1338" s="33" t="s">
        <v>34</v>
      </c>
      <c r="E1338" s="33">
        <v>92</v>
      </c>
      <c r="F1338" s="33">
        <v>1</v>
      </c>
      <c r="G1338" s="33">
        <v>3</v>
      </c>
      <c r="H1338" s="33"/>
      <c r="I1338" s="31" t="s">
        <v>46</v>
      </c>
      <c r="J1338" s="31"/>
      <c r="K1338" s="33"/>
      <c r="L1338" s="33"/>
      <c r="M1338" s="31"/>
      <c r="N1338" s="31"/>
      <c r="O1338" s="16" t="s">
        <v>2803</v>
      </c>
      <c r="P1338" s="16"/>
      <c r="Q1338" s="16"/>
      <c r="R1338" s="33"/>
      <c r="S1338" s="34"/>
      <c r="T1338" s="34"/>
      <c r="U1338" s="34"/>
      <c r="V1338" s="34"/>
      <c r="W1338" s="34"/>
      <c r="X1338" s="33" t="s">
        <v>162</v>
      </c>
      <c r="Y1338" s="35" t="str">
        <f>IF(Tabela2[[#This Row],[SIGLA]]="","",VLOOKUP(Tabela2[[#This Row],[SIGLA]],Tabela1[[#All],[Sigla Arte]:[Crédito]],2,0))</f>
        <v>IVY NUNES/ARQUIVO DA EDITORA</v>
      </c>
      <c r="Z1338" s="31"/>
      <c r="AA1338" s="31" t="str">
        <f>Tabela2[[#This Row],[ILUSTRADOR CRIAÇÃO]]</f>
        <v>IVY NUNES/ARQUIVO DA EDITORA</v>
      </c>
      <c r="AB1338" s="33"/>
      <c r="AC1338" s="16"/>
      <c r="AE1338" s="35" t="str">
        <f t="shared" si="20"/>
        <v>EF1 E002 Mat</v>
      </c>
    </row>
    <row r="1339" spans="1:31" ht="45" x14ac:dyDescent="0.25">
      <c r="A1339" s="31" t="s">
        <v>2804</v>
      </c>
      <c r="B1339" s="16" t="s">
        <v>32</v>
      </c>
      <c r="C1339" s="16" t="s">
        <v>33</v>
      </c>
      <c r="D1339" s="33" t="s">
        <v>34</v>
      </c>
      <c r="E1339" s="33">
        <v>92</v>
      </c>
      <c r="F1339" s="33">
        <v>1</v>
      </c>
      <c r="G1339" s="33">
        <v>3</v>
      </c>
      <c r="H1339" s="33"/>
      <c r="I1339" s="31" t="s">
        <v>46</v>
      </c>
      <c r="J1339" s="31"/>
      <c r="K1339" s="33"/>
      <c r="L1339" s="33"/>
      <c r="M1339" s="31"/>
      <c r="N1339" s="31"/>
      <c r="O1339" s="16" t="s">
        <v>2805</v>
      </c>
      <c r="P1339" s="16"/>
      <c r="Q1339" s="16"/>
      <c r="R1339" s="33"/>
      <c r="S1339" s="34"/>
      <c r="T1339" s="34"/>
      <c r="U1339" s="34"/>
      <c r="V1339" s="34"/>
      <c r="W1339" s="34"/>
      <c r="X1339" s="33" t="s">
        <v>162</v>
      </c>
      <c r="Y1339" s="35" t="str">
        <f>IF(Tabela2[[#This Row],[SIGLA]]="","",VLOOKUP(Tabela2[[#This Row],[SIGLA]],Tabela1[[#All],[Sigla Arte]:[Crédito]],2,0))</f>
        <v>IVY NUNES/ARQUIVO DA EDITORA</v>
      </c>
      <c r="Z1339" s="31"/>
      <c r="AA1339" s="31" t="str">
        <f>Tabela2[[#This Row],[ILUSTRADOR CRIAÇÃO]]</f>
        <v>IVY NUNES/ARQUIVO DA EDITORA</v>
      </c>
      <c r="AB1339" s="33"/>
      <c r="AC1339" s="16"/>
      <c r="AE1339" s="35" t="str">
        <f t="shared" si="20"/>
        <v>EF1 E002 Mat</v>
      </c>
    </row>
    <row r="1340" spans="1:31" ht="75" x14ac:dyDescent="0.25">
      <c r="A1340" s="31" t="s">
        <v>2806</v>
      </c>
      <c r="B1340" s="16" t="s">
        <v>32</v>
      </c>
      <c r="C1340" s="16" t="s">
        <v>33</v>
      </c>
      <c r="D1340" s="33" t="s">
        <v>34</v>
      </c>
      <c r="E1340" s="33">
        <v>93</v>
      </c>
      <c r="F1340" s="33">
        <v>1</v>
      </c>
      <c r="G1340" s="33">
        <v>3</v>
      </c>
      <c r="H1340" s="33"/>
      <c r="I1340" s="31" t="s">
        <v>35</v>
      </c>
      <c r="J1340" s="31"/>
      <c r="K1340" s="33"/>
      <c r="L1340" s="33"/>
      <c r="M1340" s="31"/>
      <c r="N1340" s="31"/>
      <c r="O1340" s="16" t="s">
        <v>2807</v>
      </c>
      <c r="P1340" s="16"/>
      <c r="Q1340" s="16"/>
      <c r="R1340" s="33">
        <v>63</v>
      </c>
      <c r="S1340" s="34">
        <v>45828</v>
      </c>
      <c r="T1340" s="34">
        <v>45828</v>
      </c>
      <c r="U1340" s="34"/>
      <c r="V1340" s="34"/>
      <c r="W1340" s="34">
        <v>45828</v>
      </c>
      <c r="X1340" s="33" t="s">
        <v>247</v>
      </c>
      <c r="Y1340" s="35" t="str">
        <f>IF(Tabela2[[#This Row],[SIGLA]]="","",VLOOKUP(Tabela2[[#This Row],[SIGLA]],Tabela1[[#All],[Sigla Arte]:[Crédito]],2,0))</f>
        <v>THAIS CASTRO/ARQUIVO DA EDITORA</v>
      </c>
      <c r="Z1340" s="31" t="s">
        <v>438</v>
      </c>
      <c r="AA1340" s="31" t="str">
        <f>Tabela2[[#This Row],[ILUSTRADOR CRIAÇÃO]]</f>
        <v>THAIS CASTRO/ARQUIVO DA EDITORA</v>
      </c>
      <c r="AB1340" s="33">
        <v>13</v>
      </c>
      <c r="AC1340" s="16" t="s">
        <v>222</v>
      </c>
      <c r="AD1340" s="16" t="s">
        <v>40</v>
      </c>
      <c r="AE1340" s="35" t="str">
        <f t="shared" si="20"/>
        <v>EF1 E002 Mat</v>
      </c>
    </row>
    <row r="1341" spans="1:31" ht="75" x14ac:dyDescent="0.25">
      <c r="A1341" s="31" t="s">
        <v>2808</v>
      </c>
      <c r="B1341" s="16" t="s">
        <v>32</v>
      </c>
      <c r="C1341" s="16" t="s">
        <v>33</v>
      </c>
      <c r="D1341" s="33" t="s">
        <v>34</v>
      </c>
      <c r="E1341" s="33">
        <v>93</v>
      </c>
      <c r="F1341" s="33">
        <v>1</v>
      </c>
      <c r="G1341" s="33">
        <v>3</v>
      </c>
      <c r="H1341" s="33"/>
      <c r="I1341" s="31" t="s">
        <v>35</v>
      </c>
      <c r="J1341" s="31"/>
      <c r="K1341" s="33"/>
      <c r="L1341" s="33"/>
      <c r="M1341" s="31"/>
      <c r="N1341" s="31"/>
      <c r="O1341" s="16" t="s">
        <v>2809</v>
      </c>
      <c r="P1341" s="16"/>
      <c r="Q1341" s="16"/>
      <c r="R1341" s="33">
        <v>63</v>
      </c>
      <c r="S1341" s="34">
        <v>45828</v>
      </c>
      <c r="T1341" s="34">
        <v>45828</v>
      </c>
      <c r="U1341" s="34"/>
      <c r="V1341" s="34"/>
      <c r="W1341" s="34">
        <v>45828</v>
      </c>
      <c r="X1341" s="33" t="s">
        <v>247</v>
      </c>
      <c r="Y1341" s="35" t="str">
        <f>IF(Tabela2[[#This Row],[SIGLA]]="","",VLOOKUP(Tabela2[[#This Row],[SIGLA]],Tabela1[[#All],[Sigla Arte]:[Crédito]],2,0))</f>
        <v>THAIS CASTRO/ARQUIVO DA EDITORA</v>
      </c>
      <c r="Z1341" s="31" t="s">
        <v>438</v>
      </c>
      <c r="AA1341" s="31" t="str">
        <f>Tabela2[[#This Row],[ILUSTRADOR CRIAÇÃO]]</f>
        <v>THAIS CASTRO/ARQUIVO DA EDITORA</v>
      </c>
      <c r="AB1341" s="33">
        <v>13</v>
      </c>
      <c r="AC1341" s="16" t="s">
        <v>222</v>
      </c>
      <c r="AD1341" s="16" t="s">
        <v>40</v>
      </c>
      <c r="AE1341" s="35" t="str">
        <f t="shared" si="20"/>
        <v>EF1 E002 Mat</v>
      </c>
    </row>
    <row r="1342" spans="1:31" ht="45" x14ac:dyDescent="0.25">
      <c r="A1342" s="31" t="s">
        <v>2810</v>
      </c>
      <c r="B1342" s="16" t="s">
        <v>32</v>
      </c>
      <c r="C1342" s="16" t="s">
        <v>33</v>
      </c>
      <c r="D1342" s="33" t="s">
        <v>34</v>
      </c>
      <c r="E1342" s="33">
        <v>93</v>
      </c>
      <c r="F1342" s="33">
        <v>1</v>
      </c>
      <c r="G1342" s="33">
        <v>3</v>
      </c>
      <c r="H1342" s="33"/>
      <c r="I1342" s="31" t="s">
        <v>46</v>
      </c>
      <c r="J1342" s="31"/>
      <c r="K1342" s="33"/>
      <c r="L1342" s="33"/>
      <c r="M1342" s="31"/>
      <c r="N1342" s="31"/>
      <c r="O1342" s="16" t="s">
        <v>2811</v>
      </c>
      <c r="P1342" s="16"/>
      <c r="Q1342" s="16"/>
      <c r="R1342" s="33"/>
      <c r="S1342" s="34"/>
      <c r="T1342" s="34"/>
      <c r="U1342" s="34"/>
      <c r="V1342" s="34"/>
      <c r="W1342" s="34"/>
      <c r="X1342" s="33" t="s">
        <v>247</v>
      </c>
      <c r="Y1342" s="35" t="str">
        <f>IF(Tabela2[[#This Row],[SIGLA]]="","",VLOOKUP(Tabela2[[#This Row],[SIGLA]],Tabela1[[#All],[Sigla Arte]:[Crédito]],2,0))</f>
        <v>THAIS CASTRO/ARQUIVO DA EDITORA</v>
      </c>
      <c r="Z1342" s="31"/>
      <c r="AA1342" s="31" t="str">
        <f>Tabela2[[#This Row],[ILUSTRADOR CRIAÇÃO]]</f>
        <v>THAIS CASTRO/ARQUIVO DA EDITORA</v>
      </c>
      <c r="AB1342" s="33"/>
      <c r="AC1342" s="16"/>
      <c r="AE1342" s="35" t="str">
        <f t="shared" si="20"/>
        <v>EF1 E002 Mat</v>
      </c>
    </row>
    <row r="1343" spans="1:31" ht="150" x14ac:dyDescent="0.25">
      <c r="A1343" s="31" t="s">
        <v>2812</v>
      </c>
      <c r="B1343" s="16" t="s">
        <v>32</v>
      </c>
      <c r="C1343" s="16" t="s">
        <v>33</v>
      </c>
      <c r="D1343" s="33" t="s">
        <v>34</v>
      </c>
      <c r="E1343" s="33">
        <v>94</v>
      </c>
      <c r="F1343" s="33">
        <v>1</v>
      </c>
      <c r="G1343" s="33">
        <v>3</v>
      </c>
      <c r="H1343" s="33"/>
      <c r="I1343" s="31" t="s">
        <v>995</v>
      </c>
      <c r="J1343" s="31"/>
      <c r="K1343" s="33"/>
      <c r="L1343" s="33"/>
      <c r="M1343" s="31"/>
      <c r="N1343" s="31"/>
      <c r="O1343" s="16" t="s">
        <v>2813</v>
      </c>
      <c r="P1343" s="16"/>
      <c r="Q1343" s="16"/>
      <c r="R1343" s="33">
        <v>34</v>
      </c>
      <c r="S1343" s="34">
        <v>45783</v>
      </c>
      <c r="T1343" s="34">
        <v>45783</v>
      </c>
      <c r="U1343" s="34">
        <v>45786</v>
      </c>
      <c r="V1343" s="34">
        <v>45789</v>
      </c>
      <c r="W1343" s="34">
        <v>45791</v>
      </c>
      <c r="X1343" s="33" t="s">
        <v>43</v>
      </c>
      <c r="Y1343" s="35" t="str">
        <f>IF(Tabela2[[#This Row],[SIGLA]]="","",VLOOKUP(Tabela2[[#This Row],[SIGLA]],Tabela1[[#All],[Sigla Arte]:[Crédito]],2,0))</f>
        <v>GUILHERME RODRIGUES/ARQUIVO DA EDITORA</v>
      </c>
      <c r="Z1343" s="31"/>
      <c r="AA1343" s="31" t="str">
        <f>Tabela2[[#This Row],[ILUSTRADOR CRIAÇÃO]]</f>
        <v>GUILHERME RODRIGUES/ARQUIVO DA EDITORA</v>
      </c>
      <c r="AB1343" s="33">
        <v>5</v>
      </c>
      <c r="AC1343" s="16" t="s">
        <v>2814</v>
      </c>
      <c r="AD1343" s="16" t="s">
        <v>1093</v>
      </c>
      <c r="AE1343" s="35" t="str">
        <f t="shared" si="20"/>
        <v>EF1 E002 Mat</v>
      </c>
    </row>
    <row r="1344" spans="1:31" ht="45" x14ac:dyDescent="0.25">
      <c r="A1344" s="31" t="s">
        <v>2815</v>
      </c>
      <c r="B1344" s="16" t="s">
        <v>32</v>
      </c>
      <c r="C1344" s="16" t="s">
        <v>33</v>
      </c>
      <c r="D1344" s="33" t="s">
        <v>34</v>
      </c>
      <c r="E1344" s="33">
        <v>95</v>
      </c>
      <c r="F1344" s="33">
        <v>1</v>
      </c>
      <c r="G1344" s="33">
        <v>3</v>
      </c>
      <c r="H1344" s="33"/>
      <c r="I1344" s="31" t="s">
        <v>46</v>
      </c>
      <c r="J1344" s="31"/>
      <c r="K1344" s="33"/>
      <c r="L1344" s="33"/>
      <c r="M1344" s="31"/>
      <c r="N1344" s="31"/>
      <c r="O1344" s="16" t="s">
        <v>2816</v>
      </c>
      <c r="P1344" s="16"/>
      <c r="Q1344" s="16"/>
      <c r="R1344" s="33"/>
      <c r="S1344" s="34"/>
      <c r="T1344" s="34"/>
      <c r="U1344" s="34"/>
      <c r="V1344" s="34"/>
      <c r="W1344" s="34"/>
      <c r="X1344" s="33" t="s">
        <v>351</v>
      </c>
      <c r="Y1344" s="35" t="str">
        <f>IF(Tabela2[[#This Row],[SIGLA]]="","",VLOOKUP(Tabela2[[#This Row],[SIGLA]],Tabela1[[#All],[Sigla Arte]:[Crédito]],2,0))</f>
        <v>RAITAN OHI/ARQUIVO DA EDITORA</v>
      </c>
      <c r="Z1344" s="31"/>
      <c r="AA1344" s="31" t="str">
        <f>Tabela2[[#This Row],[ILUSTRADOR CRIAÇÃO]]</f>
        <v>RAITAN OHI/ARQUIVO DA EDITORA</v>
      </c>
      <c r="AB1344" s="33"/>
      <c r="AC1344" s="16"/>
      <c r="AE1344" s="35" t="str">
        <f t="shared" si="20"/>
        <v>EF1 E002 Mat</v>
      </c>
    </row>
    <row r="1345" spans="1:31" ht="45" x14ac:dyDescent="0.25">
      <c r="A1345" s="31" t="s">
        <v>2817</v>
      </c>
      <c r="B1345" s="16" t="s">
        <v>32</v>
      </c>
      <c r="C1345" s="16" t="s">
        <v>33</v>
      </c>
      <c r="D1345" s="33" t="s">
        <v>34</v>
      </c>
      <c r="E1345" s="33">
        <v>95</v>
      </c>
      <c r="F1345" s="33">
        <v>1</v>
      </c>
      <c r="G1345" s="33">
        <v>3</v>
      </c>
      <c r="H1345" s="33"/>
      <c r="I1345" s="31" t="s">
        <v>46</v>
      </c>
      <c r="J1345" s="31"/>
      <c r="K1345" s="33"/>
      <c r="L1345" s="33"/>
      <c r="M1345" s="31"/>
      <c r="N1345" s="31"/>
      <c r="O1345" s="16" t="s">
        <v>2818</v>
      </c>
      <c r="P1345" s="16"/>
      <c r="Q1345" s="16"/>
      <c r="R1345" s="33"/>
      <c r="S1345" s="34"/>
      <c r="T1345" s="34"/>
      <c r="U1345" s="34"/>
      <c r="V1345" s="34"/>
      <c r="W1345" s="34"/>
      <c r="X1345" s="33" t="s">
        <v>351</v>
      </c>
      <c r="Y1345" s="35" t="str">
        <f>IF(Tabela2[[#This Row],[SIGLA]]="","",VLOOKUP(Tabela2[[#This Row],[SIGLA]],Tabela1[[#All],[Sigla Arte]:[Crédito]],2,0))</f>
        <v>RAITAN OHI/ARQUIVO DA EDITORA</v>
      </c>
      <c r="Z1345" s="31"/>
      <c r="AA1345" s="31" t="str">
        <f>Tabela2[[#This Row],[ILUSTRADOR CRIAÇÃO]]</f>
        <v>RAITAN OHI/ARQUIVO DA EDITORA</v>
      </c>
      <c r="AB1345" s="33"/>
      <c r="AC1345" s="16"/>
      <c r="AE1345" s="35" t="str">
        <f t="shared" si="20"/>
        <v>EF1 E002 Mat</v>
      </c>
    </row>
    <row r="1346" spans="1:31" ht="105" x14ac:dyDescent="0.25">
      <c r="A1346" s="31" t="s">
        <v>2819</v>
      </c>
      <c r="B1346" s="16" t="s">
        <v>32</v>
      </c>
      <c r="C1346" s="16" t="s">
        <v>33</v>
      </c>
      <c r="D1346" s="33" t="s">
        <v>34</v>
      </c>
      <c r="E1346" s="33">
        <v>96</v>
      </c>
      <c r="F1346" s="33">
        <v>1</v>
      </c>
      <c r="G1346" s="33">
        <v>3</v>
      </c>
      <c r="H1346" s="33"/>
      <c r="I1346" s="31" t="s">
        <v>35</v>
      </c>
      <c r="J1346" s="31"/>
      <c r="K1346" s="33"/>
      <c r="L1346" s="33"/>
      <c r="M1346" s="31"/>
      <c r="N1346" s="31"/>
      <c r="O1346" s="16" t="s">
        <v>2820</v>
      </c>
      <c r="P1346" s="16"/>
      <c r="Q1346" s="16"/>
      <c r="R1346" s="33">
        <v>34</v>
      </c>
      <c r="S1346" s="34">
        <v>45783</v>
      </c>
      <c r="T1346" s="34">
        <v>45783</v>
      </c>
      <c r="U1346" s="34"/>
      <c r="V1346" s="34"/>
      <c r="W1346" s="34">
        <v>45783</v>
      </c>
      <c r="X1346" s="33" t="s">
        <v>247</v>
      </c>
      <c r="Y1346" s="35" t="str">
        <f>IF(Tabela2[[#This Row],[SIGLA]]="","",VLOOKUP(Tabela2[[#This Row],[SIGLA]],Tabela1[[#All],[Sigla Arte]:[Crédito]],2,0))</f>
        <v>THAIS CASTRO/ARQUIVO DA EDITORA</v>
      </c>
      <c r="Z1346" s="31" t="s">
        <v>221</v>
      </c>
      <c r="AA1346" s="31" t="str">
        <f>Tabela2[[#This Row],[ILUSTRADOR CRIAÇÃO]]</f>
        <v>THAIS CASTRO/ARQUIVO DA EDITORA</v>
      </c>
      <c r="AB1346" s="33">
        <v>13</v>
      </c>
      <c r="AC1346" s="16" t="s">
        <v>39</v>
      </c>
      <c r="AD1346" s="16" t="s">
        <v>40</v>
      </c>
      <c r="AE1346" s="35" t="str">
        <f t="shared" ref="AE1346:AE1409" si="21">"EF1 E002 Mat"</f>
        <v>EF1 E002 Mat</v>
      </c>
    </row>
    <row r="1347" spans="1:31" ht="180" x14ac:dyDescent="0.25">
      <c r="A1347" s="31" t="s">
        <v>2821</v>
      </c>
      <c r="B1347" s="16" t="s">
        <v>32</v>
      </c>
      <c r="C1347" s="16" t="s">
        <v>33</v>
      </c>
      <c r="D1347" s="33" t="s">
        <v>34</v>
      </c>
      <c r="E1347" s="33">
        <v>96</v>
      </c>
      <c r="F1347" s="33">
        <v>1</v>
      </c>
      <c r="G1347" s="33">
        <v>3</v>
      </c>
      <c r="H1347" s="33"/>
      <c r="I1347" s="31" t="s">
        <v>35</v>
      </c>
      <c r="J1347" s="31"/>
      <c r="K1347" s="33"/>
      <c r="L1347" s="33"/>
      <c r="M1347" s="31"/>
      <c r="N1347" s="31"/>
      <c r="O1347" s="16" t="s">
        <v>2822</v>
      </c>
      <c r="P1347" s="16"/>
      <c r="Q1347" s="16"/>
      <c r="R1347" s="33">
        <v>34</v>
      </c>
      <c r="S1347" s="34">
        <v>45783</v>
      </c>
      <c r="T1347" s="34">
        <v>45783</v>
      </c>
      <c r="U1347" s="34"/>
      <c r="V1347" s="34"/>
      <c r="W1347" s="34">
        <v>45783</v>
      </c>
      <c r="X1347" s="33" t="s">
        <v>162</v>
      </c>
      <c r="Y1347" s="35" t="str">
        <f>IF(Tabela2[[#This Row],[SIGLA]]="","",VLOOKUP(Tabela2[[#This Row],[SIGLA]],Tabela1[[#All],[Sigla Arte]:[Crédito]],2,0))</f>
        <v>IVY NUNES/ARQUIVO DA EDITORA</v>
      </c>
      <c r="Z1347" s="31" t="s">
        <v>221</v>
      </c>
      <c r="AA1347" s="31" t="str">
        <f>Tabela2[[#This Row],[ILUSTRADOR CRIAÇÃO]]</f>
        <v>IVY NUNES/ARQUIVO DA EDITORA</v>
      </c>
      <c r="AB1347" s="33">
        <v>13</v>
      </c>
      <c r="AC1347" s="16" t="s">
        <v>39</v>
      </c>
      <c r="AD1347" s="16" t="s">
        <v>40</v>
      </c>
      <c r="AE1347" s="35" t="str">
        <f t="shared" si="21"/>
        <v>EF1 E002 Mat</v>
      </c>
    </row>
    <row r="1348" spans="1:31" ht="75" x14ac:dyDescent="0.25">
      <c r="A1348" s="31" t="s">
        <v>2823</v>
      </c>
      <c r="B1348" s="16" t="s">
        <v>32</v>
      </c>
      <c r="C1348" s="16" t="s">
        <v>33</v>
      </c>
      <c r="D1348" s="33" t="s">
        <v>34</v>
      </c>
      <c r="E1348" s="33">
        <v>97</v>
      </c>
      <c r="F1348" s="33">
        <v>1</v>
      </c>
      <c r="G1348" s="33">
        <v>3</v>
      </c>
      <c r="H1348" s="33"/>
      <c r="I1348" s="31" t="s">
        <v>46</v>
      </c>
      <c r="J1348" s="31"/>
      <c r="K1348" s="33"/>
      <c r="L1348" s="33"/>
      <c r="M1348" s="31"/>
      <c r="N1348" s="31"/>
      <c r="O1348" s="16" t="s">
        <v>2824</v>
      </c>
      <c r="P1348" s="16"/>
      <c r="Q1348" s="16"/>
      <c r="R1348" s="33"/>
      <c r="S1348" s="34"/>
      <c r="T1348" s="34"/>
      <c r="U1348" s="34"/>
      <c r="V1348" s="34"/>
      <c r="W1348" s="34"/>
      <c r="X1348" s="33" t="s">
        <v>247</v>
      </c>
      <c r="Y1348" s="35" t="str">
        <f>IF(Tabela2[[#This Row],[SIGLA]]="","",VLOOKUP(Tabela2[[#This Row],[SIGLA]],Tabela1[[#All],[Sigla Arte]:[Crédito]],2,0))</f>
        <v>THAIS CASTRO/ARQUIVO DA EDITORA</v>
      </c>
      <c r="Z1348" s="31"/>
      <c r="AA1348" s="31" t="str">
        <f>Tabela2[[#This Row],[ILUSTRADOR CRIAÇÃO]]</f>
        <v>THAIS CASTRO/ARQUIVO DA EDITORA</v>
      </c>
      <c r="AB1348" s="33"/>
      <c r="AC1348" s="16"/>
      <c r="AE1348" s="35" t="str">
        <f t="shared" si="21"/>
        <v>EF1 E002 Mat</v>
      </c>
    </row>
    <row r="1349" spans="1:31" ht="90" x14ac:dyDescent="0.25">
      <c r="A1349" s="31" t="s">
        <v>2825</v>
      </c>
      <c r="B1349" s="16" t="s">
        <v>32</v>
      </c>
      <c r="C1349" s="16" t="s">
        <v>33</v>
      </c>
      <c r="D1349" s="33" t="s">
        <v>34</v>
      </c>
      <c r="E1349" s="33">
        <v>97</v>
      </c>
      <c r="F1349" s="33">
        <v>1</v>
      </c>
      <c r="G1349" s="33">
        <v>3</v>
      </c>
      <c r="H1349" s="33"/>
      <c r="I1349" s="31" t="s">
        <v>46</v>
      </c>
      <c r="J1349" s="31"/>
      <c r="K1349" s="33"/>
      <c r="L1349" s="33"/>
      <c r="M1349" s="31"/>
      <c r="N1349" s="31"/>
      <c r="O1349" s="16" t="s">
        <v>2826</v>
      </c>
      <c r="P1349" s="16"/>
      <c r="Q1349" s="16"/>
      <c r="R1349" s="33"/>
      <c r="S1349" s="34"/>
      <c r="T1349" s="34"/>
      <c r="U1349" s="34"/>
      <c r="V1349" s="34"/>
      <c r="W1349" s="34"/>
      <c r="X1349" s="33" t="s">
        <v>247</v>
      </c>
      <c r="Y1349" s="35" t="str">
        <f>IF(Tabela2[[#This Row],[SIGLA]]="","",VLOOKUP(Tabela2[[#This Row],[SIGLA]],Tabela1[[#All],[Sigla Arte]:[Crédito]],2,0))</f>
        <v>THAIS CASTRO/ARQUIVO DA EDITORA</v>
      </c>
      <c r="Z1349" s="31"/>
      <c r="AA1349" s="31" t="str">
        <f>Tabela2[[#This Row],[ILUSTRADOR CRIAÇÃO]]</f>
        <v>THAIS CASTRO/ARQUIVO DA EDITORA</v>
      </c>
      <c r="AB1349" s="33"/>
      <c r="AC1349" s="16"/>
      <c r="AE1349" s="35" t="str">
        <f t="shared" si="21"/>
        <v>EF1 E002 Mat</v>
      </c>
    </row>
    <row r="1350" spans="1:31" ht="30" x14ac:dyDescent="0.25">
      <c r="A1350" s="31" t="s">
        <v>2827</v>
      </c>
      <c r="B1350" s="16" t="s">
        <v>32</v>
      </c>
      <c r="C1350" s="16" t="s">
        <v>33</v>
      </c>
      <c r="D1350" s="33" t="s">
        <v>34</v>
      </c>
      <c r="E1350" s="33">
        <v>72</v>
      </c>
      <c r="F1350" s="33">
        <v>4</v>
      </c>
      <c r="G1350" s="33">
        <v>5</v>
      </c>
      <c r="H1350" s="33"/>
      <c r="I1350" s="31" t="s">
        <v>46</v>
      </c>
      <c r="J1350" s="31"/>
      <c r="K1350" s="33"/>
      <c r="L1350" s="33"/>
      <c r="M1350" s="31"/>
      <c r="N1350" s="31"/>
      <c r="O1350" s="16" t="s">
        <v>2828</v>
      </c>
      <c r="P1350" s="16"/>
      <c r="Q1350" s="16"/>
      <c r="R1350" s="33"/>
      <c r="S1350" s="34"/>
      <c r="T1350" s="34"/>
      <c r="U1350" s="34"/>
      <c r="V1350" s="34"/>
      <c r="W1350" s="34"/>
      <c r="X1350" s="33" t="s">
        <v>85</v>
      </c>
      <c r="Y1350" s="35" t="str">
        <f>IF(Tabela2[[#This Row],[SIGLA]]="","",VLOOKUP(Tabela2[[#This Row],[SIGLA]],Tabela1[[#All],[Sigla Arte]:[Crédito]],2,0))</f>
        <v>HELOÍSA PINTARELLI/ARQUIVO DA EDITORA</v>
      </c>
      <c r="Z1350" s="31"/>
      <c r="AA1350" s="31" t="str">
        <f>Tabela2[[#This Row],[ILUSTRADOR CRIAÇÃO]]</f>
        <v>HELOÍSA PINTARELLI/ARQUIVO DA EDITORA</v>
      </c>
      <c r="AB1350" s="33"/>
      <c r="AC1350" s="16"/>
      <c r="AE1350" s="35" t="str">
        <f t="shared" si="21"/>
        <v>EF1 E002 Mat</v>
      </c>
    </row>
    <row r="1351" spans="1:31" ht="45" x14ac:dyDescent="0.25">
      <c r="A1351" s="31" t="s">
        <v>2829</v>
      </c>
      <c r="B1351" s="16" t="s">
        <v>401</v>
      </c>
      <c r="C1351" s="16" t="s">
        <v>33</v>
      </c>
      <c r="D1351" s="33" t="s">
        <v>34</v>
      </c>
      <c r="E1351" s="33">
        <v>73</v>
      </c>
      <c r="F1351" s="33">
        <v>4</v>
      </c>
      <c r="G1351" s="33">
        <v>5</v>
      </c>
      <c r="H1351" s="33"/>
      <c r="I1351" s="31" t="s">
        <v>46</v>
      </c>
      <c r="J1351" s="31"/>
      <c r="K1351" s="33"/>
      <c r="L1351" s="33"/>
      <c r="M1351" s="31"/>
      <c r="N1351" s="31"/>
      <c r="O1351" s="16" t="s">
        <v>2830</v>
      </c>
      <c r="P1351" s="16"/>
      <c r="Q1351" s="16"/>
      <c r="R1351" s="33"/>
      <c r="S1351" s="34"/>
      <c r="T1351" s="34"/>
      <c r="U1351" s="34"/>
      <c r="V1351" s="34"/>
      <c r="W1351" s="34"/>
      <c r="X1351" s="33" t="s">
        <v>162</v>
      </c>
      <c r="Y1351" s="35" t="str">
        <f>IF(Tabela2[[#This Row],[SIGLA]]="","",VLOOKUP(Tabela2[[#This Row],[SIGLA]],Tabela1[[#All],[Sigla Arte]:[Crédito]],2,0))</f>
        <v>IVY NUNES/ARQUIVO DA EDITORA</v>
      </c>
      <c r="Z1351" s="31"/>
      <c r="AA1351" s="31" t="str">
        <f>Tabela2[[#This Row],[ILUSTRADOR CRIAÇÃO]]</f>
        <v>IVY NUNES/ARQUIVO DA EDITORA</v>
      </c>
      <c r="AB1351" s="33"/>
      <c r="AC1351" s="16"/>
      <c r="AE1351" s="35" t="str">
        <f t="shared" si="21"/>
        <v>EF1 E002 Mat</v>
      </c>
    </row>
    <row r="1352" spans="1:31" ht="30" x14ac:dyDescent="0.25">
      <c r="A1352" s="31" t="s">
        <v>2831</v>
      </c>
      <c r="B1352" s="16" t="s">
        <v>32</v>
      </c>
      <c r="C1352" s="16" t="s">
        <v>33</v>
      </c>
      <c r="D1352" s="33" t="s">
        <v>34</v>
      </c>
      <c r="E1352" s="33">
        <v>75</v>
      </c>
      <c r="F1352" s="33">
        <v>4</v>
      </c>
      <c r="G1352" s="33">
        <v>5</v>
      </c>
      <c r="H1352" s="33"/>
      <c r="I1352" s="31" t="s">
        <v>46</v>
      </c>
      <c r="J1352" s="31"/>
      <c r="K1352" s="33"/>
      <c r="L1352" s="33"/>
      <c r="M1352" s="31"/>
      <c r="N1352" s="31"/>
      <c r="O1352" s="16" t="s">
        <v>2832</v>
      </c>
      <c r="P1352" s="16"/>
      <c r="Q1352" s="16"/>
      <c r="R1352" s="33"/>
      <c r="S1352" s="34"/>
      <c r="T1352" s="34"/>
      <c r="U1352" s="34"/>
      <c r="V1352" s="34"/>
      <c r="W1352" s="34"/>
      <c r="X1352" s="33" t="s">
        <v>247</v>
      </c>
      <c r="Y1352" s="35" t="str">
        <f>IF(Tabela2[[#This Row],[SIGLA]]="","",VLOOKUP(Tabela2[[#This Row],[SIGLA]],Tabela1[[#All],[Sigla Arte]:[Crédito]],2,0))</f>
        <v>THAIS CASTRO/ARQUIVO DA EDITORA</v>
      </c>
      <c r="Z1352" s="31"/>
      <c r="AA1352" s="31" t="str">
        <f>Tabela2[[#This Row],[ILUSTRADOR CRIAÇÃO]]</f>
        <v>THAIS CASTRO/ARQUIVO DA EDITORA</v>
      </c>
      <c r="AB1352" s="33"/>
      <c r="AC1352" s="16"/>
      <c r="AE1352" s="35" t="str">
        <f t="shared" si="21"/>
        <v>EF1 E002 Mat</v>
      </c>
    </row>
    <row r="1353" spans="1:31" ht="45" x14ac:dyDescent="0.25">
      <c r="A1353" s="31" t="s">
        <v>2833</v>
      </c>
      <c r="B1353" s="16" t="s">
        <v>32</v>
      </c>
      <c r="C1353" s="16" t="s">
        <v>33</v>
      </c>
      <c r="D1353" s="33" t="s">
        <v>34</v>
      </c>
      <c r="E1353" s="33">
        <v>75</v>
      </c>
      <c r="F1353" s="33">
        <v>4</v>
      </c>
      <c r="G1353" s="33">
        <v>5</v>
      </c>
      <c r="H1353" s="33"/>
      <c r="I1353" s="31" t="s">
        <v>46</v>
      </c>
      <c r="J1353" s="31"/>
      <c r="K1353" s="33"/>
      <c r="L1353" s="33"/>
      <c r="M1353" s="31"/>
      <c r="N1353" s="31"/>
      <c r="O1353" s="16" t="s">
        <v>2834</v>
      </c>
      <c r="P1353" s="16"/>
      <c r="Q1353" s="16"/>
      <c r="R1353" s="33"/>
      <c r="S1353" s="34"/>
      <c r="T1353" s="34"/>
      <c r="U1353" s="34"/>
      <c r="V1353" s="34"/>
      <c r="W1353" s="34"/>
      <c r="X1353" s="33" t="s">
        <v>247</v>
      </c>
      <c r="Y1353" s="35" t="str">
        <f>IF(Tabela2[[#This Row],[SIGLA]]="","",VLOOKUP(Tabela2[[#This Row],[SIGLA]],Tabela1[[#All],[Sigla Arte]:[Crédito]],2,0))</f>
        <v>THAIS CASTRO/ARQUIVO DA EDITORA</v>
      </c>
      <c r="Z1353" s="31"/>
      <c r="AA1353" s="31" t="str">
        <f>Tabela2[[#This Row],[ILUSTRADOR CRIAÇÃO]]</f>
        <v>THAIS CASTRO/ARQUIVO DA EDITORA</v>
      </c>
      <c r="AB1353" s="33"/>
      <c r="AC1353" s="16"/>
      <c r="AE1353" s="35" t="str">
        <f t="shared" si="21"/>
        <v>EF1 E002 Mat</v>
      </c>
    </row>
    <row r="1354" spans="1:31" ht="105" x14ac:dyDescent="0.25">
      <c r="A1354" s="31" t="s">
        <v>2835</v>
      </c>
      <c r="B1354" s="16" t="s">
        <v>32</v>
      </c>
      <c r="C1354" s="16" t="s">
        <v>33</v>
      </c>
      <c r="D1354" s="33" t="s">
        <v>34</v>
      </c>
      <c r="E1354" s="33">
        <v>76</v>
      </c>
      <c r="F1354" s="33">
        <v>4</v>
      </c>
      <c r="G1354" s="33">
        <v>5</v>
      </c>
      <c r="H1354" s="33"/>
      <c r="I1354" s="31" t="s">
        <v>35</v>
      </c>
      <c r="J1354" s="31"/>
      <c r="K1354" s="33"/>
      <c r="L1354" s="33"/>
      <c r="M1354" s="31"/>
      <c r="N1354" s="31"/>
      <c r="O1354" s="16" t="s">
        <v>2836</v>
      </c>
      <c r="P1354" s="16"/>
      <c r="Q1354" s="16" t="s">
        <v>2837</v>
      </c>
      <c r="R1354" s="33">
        <v>118</v>
      </c>
      <c r="S1354" s="34">
        <v>45884</v>
      </c>
      <c r="T1354" s="34">
        <v>45888</v>
      </c>
      <c r="U1354" s="34"/>
      <c r="V1354" s="34"/>
      <c r="W1354" s="34">
        <v>45888</v>
      </c>
      <c r="X1354" s="33" t="s">
        <v>247</v>
      </c>
      <c r="Y1354" s="35" t="str">
        <f>IF(Tabela2[[#This Row],[SIGLA]]="","",VLOOKUP(Tabela2[[#This Row],[SIGLA]],Tabela1[[#All],[Sigla Arte]:[Crédito]],2,0))</f>
        <v>THAIS CASTRO/ARQUIVO DA EDITORA</v>
      </c>
      <c r="Z1354" s="31" t="s">
        <v>101</v>
      </c>
      <c r="AA1354" s="31" t="str">
        <f>Tabela2[[#This Row],[ILUSTRADOR CRIAÇÃO]]</f>
        <v>THAIS CASTRO/ARQUIVO DA EDITORA</v>
      </c>
      <c r="AB1354" s="33">
        <v>14</v>
      </c>
      <c r="AC1354" s="16" t="s">
        <v>102</v>
      </c>
      <c r="AD1354" s="16" t="s">
        <v>40</v>
      </c>
      <c r="AE1354" s="35" t="str">
        <f t="shared" si="21"/>
        <v>EF1 E002 Mat</v>
      </c>
    </row>
    <row r="1355" spans="1:31" ht="45" x14ac:dyDescent="0.25">
      <c r="A1355" s="31" t="s">
        <v>2838</v>
      </c>
      <c r="B1355" s="16" t="s">
        <v>32</v>
      </c>
      <c r="C1355" s="16" t="s">
        <v>33</v>
      </c>
      <c r="D1355" s="33" t="s">
        <v>34</v>
      </c>
      <c r="E1355" s="33">
        <v>76</v>
      </c>
      <c r="F1355" s="33">
        <v>4</v>
      </c>
      <c r="G1355" s="33">
        <v>5</v>
      </c>
      <c r="H1355" s="33"/>
      <c r="I1355" s="31" t="s">
        <v>46</v>
      </c>
      <c r="J1355" s="31"/>
      <c r="K1355" s="33"/>
      <c r="L1355" s="33"/>
      <c r="M1355" s="31"/>
      <c r="N1355" s="31"/>
      <c r="O1355" s="16" t="s">
        <v>2839</v>
      </c>
      <c r="P1355" s="16"/>
      <c r="Q1355" s="16"/>
      <c r="R1355" s="33"/>
      <c r="S1355" s="34"/>
      <c r="T1355" s="34"/>
      <c r="U1355" s="34"/>
      <c r="V1355" s="34"/>
      <c r="W1355" s="34"/>
      <c r="X1355" s="33" t="s">
        <v>247</v>
      </c>
      <c r="Y1355" s="35" t="str">
        <f>IF(Tabela2[[#This Row],[SIGLA]]="","",VLOOKUP(Tabela2[[#This Row],[SIGLA]],Tabela1[[#All],[Sigla Arte]:[Crédito]],2,0))</f>
        <v>THAIS CASTRO/ARQUIVO DA EDITORA</v>
      </c>
      <c r="Z1355" s="31"/>
      <c r="AA1355" s="31" t="str">
        <f>Tabela2[[#This Row],[ILUSTRADOR CRIAÇÃO]]</f>
        <v>THAIS CASTRO/ARQUIVO DA EDITORA</v>
      </c>
      <c r="AB1355" s="33"/>
      <c r="AC1355" s="16"/>
      <c r="AE1355" s="35" t="str">
        <f t="shared" si="21"/>
        <v>EF1 E002 Mat</v>
      </c>
    </row>
    <row r="1356" spans="1:31" ht="30" x14ac:dyDescent="0.25">
      <c r="A1356" s="31" t="s">
        <v>2840</v>
      </c>
      <c r="B1356" s="16" t="s">
        <v>401</v>
      </c>
      <c r="C1356" s="16" t="s">
        <v>33</v>
      </c>
      <c r="D1356" s="33" t="s">
        <v>34</v>
      </c>
      <c r="E1356" s="33">
        <v>78</v>
      </c>
      <c r="F1356" s="33">
        <v>4</v>
      </c>
      <c r="G1356" s="33">
        <v>5</v>
      </c>
      <c r="H1356" s="33"/>
      <c r="I1356" s="31" t="s">
        <v>46</v>
      </c>
      <c r="J1356" s="31"/>
      <c r="K1356" s="33"/>
      <c r="L1356" s="33"/>
      <c r="M1356" s="31"/>
      <c r="N1356" s="31"/>
      <c r="O1356" s="16" t="s">
        <v>2841</v>
      </c>
      <c r="P1356" s="16"/>
      <c r="Q1356" s="16"/>
      <c r="R1356" s="33"/>
      <c r="S1356" s="34"/>
      <c r="T1356" s="34"/>
      <c r="U1356" s="34"/>
      <c r="V1356" s="34"/>
      <c r="W1356" s="34"/>
      <c r="X1356" s="33" t="s">
        <v>162</v>
      </c>
      <c r="Y1356" s="35" t="str">
        <f>IF(Tabela2[[#This Row],[SIGLA]]="","",VLOOKUP(Tabela2[[#This Row],[SIGLA]],Tabela1[[#All],[Sigla Arte]:[Crédito]],2,0))</f>
        <v>IVY NUNES/ARQUIVO DA EDITORA</v>
      </c>
      <c r="Z1356" s="31"/>
      <c r="AA1356" s="31" t="str">
        <f>Tabela2[[#This Row],[ILUSTRADOR CRIAÇÃO]]</f>
        <v>IVY NUNES/ARQUIVO DA EDITORA</v>
      </c>
      <c r="AB1356" s="33"/>
      <c r="AC1356" s="16"/>
      <c r="AE1356" s="35" t="str">
        <f t="shared" si="21"/>
        <v>EF1 E002 Mat</v>
      </c>
    </row>
    <row r="1357" spans="1:31" ht="45" x14ac:dyDescent="0.25">
      <c r="A1357" s="31" t="s">
        <v>2842</v>
      </c>
      <c r="B1357" s="16" t="s">
        <v>32</v>
      </c>
      <c r="C1357" s="16" t="s">
        <v>164</v>
      </c>
      <c r="D1357" s="33" t="s">
        <v>34</v>
      </c>
      <c r="E1357" s="33">
        <v>79</v>
      </c>
      <c r="F1357" s="33">
        <v>4</v>
      </c>
      <c r="G1357" s="33">
        <v>5</v>
      </c>
      <c r="H1357" s="33"/>
      <c r="I1357" s="31" t="s">
        <v>46</v>
      </c>
      <c r="J1357" s="31"/>
      <c r="K1357" s="33"/>
      <c r="L1357" s="33"/>
      <c r="M1357" s="31"/>
      <c r="N1357" s="31"/>
      <c r="O1357" s="16" t="s">
        <v>2843</v>
      </c>
      <c r="P1357" s="16"/>
      <c r="Q1357" s="16"/>
      <c r="R1357" s="33"/>
      <c r="S1357" s="34"/>
      <c r="T1357" s="34"/>
      <c r="U1357" s="34"/>
      <c r="V1357" s="34"/>
      <c r="W1357" s="34"/>
      <c r="X1357" s="33" t="s">
        <v>1126</v>
      </c>
      <c r="Y1357" s="35" t="str">
        <f>IF(Tabela2[[#This Row],[SIGLA]]="","",VLOOKUP(Tabela2[[#This Row],[SIGLA]],Tabela1[[#All],[Sigla Arte]:[Crédito]],2,0))</f>
        <v>GUSTAVO CONTI/ARQUIVO DA EDITORA</v>
      </c>
      <c r="Z1357" s="31"/>
      <c r="AA1357" s="31" t="str">
        <f>Tabela2[[#This Row],[ILUSTRADOR CRIAÇÃO]]</f>
        <v>GUSTAVO CONTI/ARQUIVO DA EDITORA</v>
      </c>
      <c r="AB1357" s="33"/>
      <c r="AC1357" s="16"/>
      <c r="AE1357" s="35" t="str">
        <f t="shared" si="21"/>
        <v>EF1 E002 Mat</v>
      </c>
    </row>
    <row r="1358" spans="1:31" ht="45" x14ac:dyDescent="0.25">
      <c r="A1358" s="31" t="s">
        <v>2844</v>
      </c>
      <c r="B1358" s="16" t="s">
        <v>32</v>
      </c>
      <c r="C1358" s="16" t="s">
        <v>164</v>
      </c>
      <c r="D1358" s="33" t="s">
        <v>34</v>
      </c>
      <c r="E1358" s="33">
        <v>79</v>
      </c>
      <c r="F1358" s="33">
        <v>4</v>
      </c>
      <c r="G1358" s="33">
        <v>5</v>
      </c>
      <c r="H1358" s="33"/>
      <c r="I1358" s="31" t="s">
        <v>46</v>
      </c>
      <c r="J1358" s="31"/>
      <c r="K1358" s="33"/>
      <c r="L1358" s="33"/>
      <c r="M1358" s="31"/>
      <c r="N1358" s="31"/>
      <c r="O1358" s="16" t="s">
        <v>2845</v>
      </c>
      <c r="P1358" s="16"/>
      <c r="Q1358" s="16"/>
      <c r="R1358" s="33"/>
      <c r="S1358" s="34"/>
      <c r="T1358" s="34"/>
      <c r="U1358" s="34"/>
      <c r="V1358" s="34"/>
      <c r="W1358" s="34"/>
      <c r="X1358" s="33" t="s">
        <v>1126</v>
      </c>
      <c r="Y1358" s="35" t="str">
        <f>IF(Tabela2[[#This Row],[SIGLA]]="","",VLOOKUP(Tabela2[[#This Row],[SIGLA]],Tabela1[[#All],[Sigla Arte]:[Crédito]],2,0))</f>
        <v>GUSTAVO CONTI/ARQUIVO DA EDITORA</v>
      </c>
      <c r="Z1358" s="31"/>
      <c r="AA1358" s="31" t="str">
        <f>Tabela2[[#This Row],[ILUSTRADOR CRIAÇÃO]]</f>
        <v>GUSTAVO CONTI/ARQUIVO DA EDITORA</v>
      </c>
      <c r="AB1358" s="33"/>
      <c r="AC1358" s="16"/>
      <c r="AE1358" s="35" t="str">
        <f t="shared" si="21"/>
        <v>EF1 E002 Mat</v>
      </c>
    </row>
    <row r="1359" spans="1:31" ht="30" x14ac:dyDescent="0.25">
      <c r="A1359" s="31" t="s">
        <v>2846</v>
      </c>
      <c r="B1359" s="16" t="s">
        <v>32</v>
      </c>
      <c r="C1359" s="16" t="s">
        <v>164</v>
      </c>
      <c r="D1359" s="33" t="s">
        <v>34</v>
      </c>
      <c r="E1359" s="33">
        <v>79</v>
      </c>
      <c r="F1359" s="33">
        <v>4</v>
      </c>
      <c r="G1359" s="33">
        <v>5</v>
      </c>
      <c r="H1359" s="33"/>
      <c r="I1359" s="31" t="s">
        <v>46</v>
      </c>
      <c r="J1359" s="31"/>
      <c r="K1359" s="33"/>
      <c r="L1359" s="33"/>
      <c r="M1359" s="31"/>
      <c r="N1359" s="31"/>
      <c r="O1359" s="16" t="s">
        <v>2847</v>
      </c>
      <c r="P1359" s="16"/>
      <c r="Q1359" s="16"/>
      <c r="R1359" s="33"/>
      <c r="S1359" s="34"/>
      <c r="T1359" s="34"/>
      <c r="U1359" s="34"/>
      <c r="V1359" s="34"/>
      <c r="W1359" s="34"/>
      <c r="X1359" s="33" t="s">
        <v>1126</v>
      </c>
      <c r="Y1359" s="35" t="str">
        <f>IF(Tabela2[[#This Row],[SIGLA]]="","",VLOOKUP(Tabela2[[#This Row],[SIGLA]],Tabela1[[#All],[Sigla Arte]:[Crédito]],2,0))</f>
        <v>GUSTAVO CONTI/ARQUIVO DA EDITORA</v>
      </c>
      <c r="Z1359" s="31"/>
      <c r="AA1359" s="31" t="str">
        <f>Tabela2[[#This Row],[ILUSTRADOR CRIAÇÃO]]</f>
        <v>GUSTAVO CONTI/ARQUIVO DA EDITORA</v>
      </c>
      <c r="AB1359" s="33"/>
      <c r="AC1359" s="16"/>
      <c r="AE1359" s="35" t="str">
        <f t="shared" si="21"/>
        <v>EF1 E002 Mat</v>
      </c>
    </row>
    <row r="1360" spans="1:31" ht="45" x14ac:dyDescent="0.25">
      <c r="A1360" s="31" t="s">
        <v>2848</v>
      </c>
      <c r="B1360" s="16" t="s">
        <v>401</v>
      </c>
      <c r="C1360" s="16" t="s">
        <v>33</v>
      </c>
      <c r="D1360" s="33" t="s">
        <v>34</v>
      </c>
      <c r="E1360" s="33">
        <v>83</v>
      </c>
      <c r="F1360" s="33">
        <v>4</v>
      </c>
      <c r="G1360" s="33">
        <v>5</v>
      </c>
      <c r="H1360" s="33"/>
      <c r="I1360" s="31" t="s">
        <v>46</v>
      </c>
      <c r="J1360" s="31"/>
      <c r="K1360" s="33"/>
      <c r="L1360" s="33"/>
      <c r="M1360" s="31"/>
      <c r="N1360" s="31"/>
      <c r="O1360" s="16" t="s">
        <v>2849</v>
      </c>
      <c r="P1360" s="16"/>
      <c r="Q1360" s="16"/>
      <c r="R1360" s="33"/>
      <c r="S1360" s="34"/>
      <c r="T1360" s="34"/>
      <c r="U1360" s="34"/>
      <c r="V1360" s="34"/>
      <c r="W1360" s="34"/>
      <c r="X1360" s="33" t="s">
        <v>162</v>
      </c>
      <c r="Y1360" s="35" t="str">
        <f>IF(Tabela2[[#This Row],[SIGLA]]="","",VLOOKUP(Tabela2[[#This Row],[SIGLA]],Tabela1[[#All],[Sigla Arte]:[Crédito]],2,0))</f>
        <v>IVY NUNES/ARQUIVO DA EDITORA</v>
      </c>
      <c r="Z1360" s="31"/>
      <c r="AA1360" s="31" t="str">
        <f>Tabela2[[#This Row],[ILUSTRADOR CRIAÇÃO]]</f>
        <v>IVY NUNES/ARQUIVO DA EDITORA</v>
      </c>
      <c r="AB1360" s="33"/>
      <c r="AC1360" s="16"/>
      <c r="AE1360" s="35" t="str">
        <f t="shared" si="21"/>
        <v>EF1 E002 Mat</v>
      </c>
    </row>
    <row r="1361" spans="1:31" ht="30" x14ac:dyDescent="0.25">
      <c r="A1361" s="31" t="s">
        <v>2850</v>
      </c>
      <c r="B1361" s="16" t="s">
        <v>32</v>
      </c>
      <c r="C1361" s="16" t="s">
        <v>33</v>
      </c>
      <c r="D1361" s="33" t="s">
        <v>34</v>
      </c>
      <c r="E1361" s="33">
        <v>86</v>
      </c>
      <c r="F1361" s="33">
        <v>4</v>
      </c>
      <c r="G1361" s="33">
        <v>5</v>
      </c>
      <c r="H1361" s="33"/>
      <c r="I1361" s="31" t="s">
        <v>46</v>
      </c>
      <c r="J1361" s="31"/>
      <c r="K1361" s="33"/>
      <c r="L1361" s="33"/>
      <c r="M1361" s="31"/>
      <c r="N1361" s="31"/>
      <c r="O1361" s="16" t="s">
        <v>2851</v>
      </c>
      <c r="P1361" s="16"/>
      <c r="Q1361" s="16"/>
      <c r="R1361" s="33"/>
      <c r="S1361" s="34"/>
      <c r="T1361" s="34"/>
      <c r="U1361" s="34"/>
      <c r="V1361" s="34"/>
      <c r="W1361" s="34"/>
      <c r="X1361" s="33" t="s">
        <v>2513</v>
      </c>
      <c r="Y1361" s="35" t="str">
        <f>IF(Tabela2[[#This Row],[SIGLA]]="","",VLOOKUP(Tabela2[[#This Row],[SIGLA]],Tabela1[[#All],[Sigla Arte]:[Crédito]],2,0))</f>
        <v>CAMILA CARMONA/ARQUIVO DA EDITORA</v>
      </c>
      <c r="Z1361" s="31"/>
      <c r="AA1361" s="31" t="str">
        <f>Tabela2[[#This Row],[ILUSTRADOR CRIAÇÃO]]</f>
        <v>CAMILA CARMONA/ARQUIVO DA EDITORA</v>
      </c>
      <c r="AB1361" s="33"/>
      <c r="AC1361" s="16"/>
      <c r="AE1361" s="35" t="str">
        <f t="shared" si="21"/>
        <v>EF1 E002 Mat</v>
      </c>
    </row>
    <row r="1362" spans="1:31" ht="30" x14ac:dyDescent="0.25">
      <c r="A1362" s="31" t="s">
        <v>2852</v>
      </c>
      <c r="B1362" s="16" t="s">
        <v>32</v>
      </c>
      <c r="C1362" s="16" t="s">
        <v>33</v>
      </c>
      <c r="D1362" s="33" t="s">
        <v>34</v>
      </c>
      <c r="E1362" s="33">
        <v>86</v>
      </c>
      <c r="F1362" s="33">
        <v>4</v>
      </c>
      <c r="G1362" s="33">
        <v>5</v>
      </c>
      <c r="H1362" s="33"/>
      <c r="I1362" s="31" t="s">
        <v>35</v>
      </c>
      <c r="J1362" s="31"/>
      <c r="K1362" s="33"/>
      <c r="L1362" s="33"/>
      <c r="M1362" s="31"/>
      <c r="N1362" s="31"/>
      <c r="O1362" s="16" t="s">
        <v>2853</v>
      </c>
      <c r="P1362" s="16"/>
      <c r="Q1362" s="16"/>
      <c r="R1362" s="33">
        <v>118</v>
      </c>
      <c r="S1362" s="34">
        <v>45884</v>
      </c>
      <c r="T1362" s="34">
        <v>45888</v>
      </c>
      <c r="U1362" s="34"/>
      <c r="V1362" s="34"/>
      <c r="W1362" s="34">
        <v>45888</v>
      </c>
      <c r="X1362" s="33" t="s">
        <v>247</v>
      </c>
      <c r="Y1362" s="35" t="str">
        <f>IF(Tabela2[[#This Row],[SIGLA]]="","",VLOOKUP(Tabela2[[#This Row],[SIGLA]],Tabela1[[#All],[Sigla Arte]:[Crédito]],2,0))</f>
        <v>THAIS CASTRO/ARQUIVO DA EDITORA</v>
      </c>
      <c r="Z1362" s="31" t="s">
        <v>101</v>
      </c>
      <c r="AA1362" s="31" t="str">
        <f>Tabela2[[#This Row],[ILUSTRADOR CRIAÇÃO]]</f>
        <v>THAIS CASTRO/ARQUIVO DA EDITORA</v>
      </c>
      <c r="AB1362" s="33">
        <v>14</v>
      </c>
      <c r="AC1362" s="16" t="s">
        <v>102</v>
      </c>
      <c r="AD1362" s="16" t="s">
        <v>40</v>
      </c>
      <c r="AE1362" s="35" t="str">
        <f t="shared" si="21"/>
        <v>EF1 E002 Mat</v>
      </c>
    </row>
    <row r="1363" spans="1:31" ht="30" x14ac:dyDescent="0.25">
      <c r="A1363" s="31" t="s">
        <v>2854</v>
      </c>
      <c r="B1363" s="16" t="s">
        <v>32</v>
      </c>
      <c r="C1363" s="16" t="s">
        <v>33</v>
      </c>
      <c r="D1363" s="33" t="s">
        <v>34</v>
      </c>
      <c r="E1363" s="33">
        <v>87</v>
      </c>
      <c r="F1363" s="33">
        <v>4</v>
      </c>
      <c r="G1363" s="33">
        <v>5</v>
      </c>
      <c r="H1363" s="33"/>
      <c r="I1363" s="31" t="s">
        <v>46</v>
      </c>
      <c r="J1363" s="31"/>
      <c r="K1363" s="33"/>
      <c r="L1363" s="33"/>
      <c r="M1363" s="31"/>
      <c r="N1363" s="31"/>
      <c r="O1363" s="16" t="s">
        <v>2855</v>
      </c>
      <c r="P1363" s="16"/>
      <c r="Q1363" s="16"/>
      <c r="R1363" s="33"/>
      <c r="S1363" s="34"/>
      <c r="T1363" s="34"/>
      <c r="U1363" s="34"/>
      <c r="V1363" s="34"/>
      <c r="W1363" s="34"/>
      <c r="X1363" s="33" t="s">
        <v>247</v>
      </c>
      <c r="Y1363" s="35" t="str">
        <f>IF(Tabela2[[#This Row],[SIGLA]]="","",VLOOKUP(Tabela2[[#This Row],[SIGLA]],Tabela1[[#All],[Sigla Arte]:[Crédito]],2,0))</f>
        <v>THAIS CASTRO/ARQUIVO DA EDITORA</v>
      </c>
      <c r="Z1363" s="31"/>
      <c r="AA1363" s="31" t="str">
        <f>Tabela2[[#This Row],[ILUSTRADOR CRIAÇÃO]]</f>
        <v>THAIS CASTRO/ARQUIVO DA EDITORA</v>
      </c>
      <c r="AB1363" s="33"/>
      <c r="AC1363" s="16"/>
      <c r="AE1363" s="35" t="str">
        <f t="shared" si="21"/>
        <v>EF1 E002 Mat</v>
      </c>
    </row>
    <row r="1364" spans="1:31" ht="30" x14ac:dyDescent="0.25">
      <c r="A1364" s="31" t="s">
        <v>2856</v>
      </c>
      <c r="B1364" s="16" t="s">
        <v>32</v>
      </c>
      <c r="C1364" s="16" t="s">
        <v>33</v>
      </c>
      <c r="D1364" s="33" t="s">
        <v>34</v>
      </c>
      <c r="E1364" s="33">
        <v>88</v>
      </c>
      <c r="F1364" s="33">
        <v>4</v>
      </c>
      <c r="G1364" s="33">
        <v>5</v>
      </c>
      <c r="H1364" s="33"/>
      <c r="I1364" s="31" t="s">
        <v>46</v>
      </c>
      <c r="J1364" s="31"/>
      <c r="K1364" s="33"/>
      <c r="L1364" s="33"/>
      <c r="M1364" s="31"/>
      <c r="N1364" s="31"/>
      <c r="O1364" s="16" t="s">
        <v>2857</v>
      </c>
      <c r="P1364" s="16"/>
      <c r="Q1364" s="16"/>
      <c r="R1364" s="33"/>
      <c r="S1364" s="34"/>
      <c r="T1364" s="34"/>
      <c r="U1364" s="34"/>
      <c r="V1364" s="34"/>
      <c r="W1364" s="34"/>
      <c r="X1364" s="33" t="s">
        <v>162</v>
      </c>
      <c r="Y1364" s="35" t="str">
        <f>IF(Tabela2[[#This Row],[SIGLA]]="","",VLOOKUP(Tabela2[[#This Row],[SIGLA]],Tabela1[[#All],[Sigla Arte]:[Crédito]],2,0))</f>
        <v>IVY NUNES/ARQUIVO DA EDITORA</v>
      </c>
      <c r="Z1364" s="31"/>
      <c r="AA1364" s="31" t="str">
        <f>Tabela2[[#This Row],[ILUSTRADOR CRIAÇÃO]]</f>
        <v>IVY NUNES/ARQUIVO DA EDITORA</v>
      </c>
      <c r="AB1364" s="33"/>
      <c r="AC1364" s="16"/>
      <c r="AE1364" s="35" t="str">
        <f t="shared" si="21"/>
        <v>EF1 E002 Mat</v>
      </c>
    </row>
    <row r="1365" spans="1:31" ht="30" x14ac:dyDescent="0.25">
      <c r="A1365" s="31" t="s">
        <v>2858</v>
      </c>
      <c r="B1365" s="16" t="s">
        <v>32</v>
      </c>
      <c r="C1365" s="16" t="s">
        <v>33</v>
      </c>
      <c r="D1365" s="33" t="s">
        <v>34</v>
      </c>
      <c r="E1365" s="33">
        <v>89</v>
      </c>
      <c r="F1365" s="33">
        <v>4</v>
      </c>
      <c r="G1365" s="33">
        <v>5</v>
      </c>
      <c r="H1365" s="33"/>
      <c r="I1365" s="31" t="s">
        <v>46</v>
      </c>
      <c r="J1365" s="31"/>
      <c r="K1365" s="33"/>
      <c r="L1365" s="33"/>
      <c r="M1365" s="31"/>
      <c r="N1365" s="31"/>
      <c r="O1365" s="16" t="s">
        <v>2859</v>
      </c>
      <c r="P1365" s="16"/>
      <c r="Q1365" s="16"/>
      <c r="R1365" s="33"/>
      <c r="S1365" s="34"/>
      <c r="T1365" s="34"/>
      <c r="U1365" s="34"/>
      <c r="V1365" s="34"/>
      <c r="W1365" s="34"/>
      <c r="X1365" s="33" t="s">
        <v>162</v>
      </c>
      <c r="Y1365" s="35" t="str">
        <f>IF(Tabela2[[#This Row],[SIGLA]]="","",VLOOKUP(Tabela2[[#This Row],[SIGLA]],Tabela1[[#All],[Sigla Arte]:[Crédito]],2,0))</f>
        <v>IVY NUNES/ARQUIVO DA EDITORA</v>
      </c>
      <c r="Z1365" s="31"/>
      <c r="AA1365" s="31" t="str">
        <f>Tabela2[[#This Row],[ILUSTRADOR CRIAÇÃO]]</f>
        <v>IVY NUNES/ARQUIVO DA EDITORA</v>
      </c>
      <c r="AB1365" s="33"/>
      <c r="AC1365" s="16"/>
      <c r="AE1365" s="35" t="str">
        <f t="shared" si="21"/>
        <v>EF1 E002 Mat</v>
      </c>
    </row>
    <row r="1366" spans="1:31" ht="45" x14ac:dyDescent="0.25">
      <c r="A1366" s="31" t="s">
        <v>2860</v>
      </c>
      <c r="B1366" s="16" t="s">
        <v>32</v>
      </c>
      <c r="C1366" s="16" t="s">
        <v>164</v>
      </c>
      <c r="D1366" s="33" t="s">
        <v>34</v>
      </c>
      <c r="E1366" s="33">
        <v>136</v>
      </c>
      <c r="F1366" s="33">
        <v>4</v>
      </c>
      <c r="G1366" s="33">
        <v>7</v>
      </c>
      <c r="H1366" s="33"/>
      <c r="I1366" s="31" t="s">
        <v>46</v>
      </c>
      <c r="J1366" s="31"/>
      <c r="K1366" s="33"/>
      <c r="L1366" s="33"/>
      <c r="M1366" s="31"/>
      <c r="N1366" s="31"/>
      <c r="O1366" s="16" t="s">
        <v>2861</v>
      </c>
      <c r="P1366" s="16"/>
      <c r="Q1366" s="16"/>
      <c r="R1366" s="33"/>
      <c r="S1366" s="34"/>
      <c r="T1366" s="34"/>
      <c r="U1366" s="34"/>
      <c r="V1366" s="34"/>
      <c r="W1366" s="34"/>
      <c r="X1366" s="33" t="s">
        <v>470</v>
      </c>
      <c r="Y1366" s="35" t="str">
        <f>IF(Tabela2[[#This Row],[SIGLA]]="","",VLOOKUP(Tabela2[[#This Row],[SIGLA]],Tabela1[[#All],[Sigla Arte]:[Crédito]],2,0))</f>
        <v>RENAN FONSECA/ARQUIVO DA EDITORA</v>
      </c>
      <c r="Z1366" s="31"/>
      <c r="AA1366" s="31" t="str">
        <f>Tabela2[[#This Row],[ILUSTRADOR CRIAÇÃO]]</f>
        <v>RENAN FONSECA/ARQUIVO DA EDITORA</v>
      </c>
      <c r="AB1366" s="33"/>
      <c r="AC1366" s="16"/>
      <c r="AE1366" s="35" t="str">
        <f t="shared" si="21"/>
        <v>EF1 E002 Mat</v>
      </c>
    </row>
    <row r="1367" spans="1:31" ht="45" x14ac:dyDescent="0.25">
      <c r="A1367" s="31" t="s">
        <v>2862</v>
      </c>
      <c r="B1367" s="16" t="s">
        <v>32</v>
      </c>
      <c r="C1367" s="16" t="s">
        <v>33</v>
      </c>
      <c r="D1367" s="33" t="s">
        <v>34</v>
      </c>
      <c r="E1367" s="33">
        <v>137</v>
      </c>
      <c r="F1367" s="33">
        <v>4</v>
      </c>
      <c r="G1367" s="33">
        <v>7</v>
      </c>
      <c r="H1367" s="33"/>
      <c r="I1367" s="31" t="s">
        <v>46</v>
      </c>
      <c r="J1367" s="31"/>
      <c r="K1367" s="33"/>
      <c r="L1367" s="33"/>
      <c r="M1367" s="31"/>
      <c r="N1367" s="31"/>
      <c r="O1367" s="16" t="s">
        <v>2863</v>
      </c>
      <c r="P1367" s="16"/>
      <c r="Q1367" s="16"/>
      <c r="R1367" s="33"/>
      <c r="S1367" s="34"/>
      <c r="T1367" s="34"/>
      <c r="U1367" s="34"/>
      <c r="V1367" s="34"/>
      <c r="W1367" s="34"/>
      <c r="X1367" s="33" t="s">
        <v>470</v>
      </c>
      <c r="Y1367" s="35" t="str">
        <f>IF(Tabela2[[#This Row],[SIGLA]]="","",VLOOKUP(Tabela2[[#This Row],[SIGLA]],Tabela1[[#All],[Sigla Arte]:[Crédito]],2,0))</f>
        <v>RENAN FONSECA/ARQUIVO DA EDITORA</v>
      </c>
      <c r="Z1367" s="31"/>
      <c r="AA1367" s="31" t="s">
        <v>2864</v>
      </c>
      <c r="AB1367" s="33"/>
      <c r="AC1367" s="16"/>
      <c r="AE1367" s="35" t="str">
        <f t="shared" si="21"/>
        <v>EF1 E002 Mat</v>
      </c>
    </row>
    <row r="1368" spans="1:31" ht="45" x14ac:dyDescent="0.25">
      <c r="A1368" s="31" t="s">
        <v>2865</v>
      </c>
      <c r="B1368" s="16" t="s">
        <v>32</v>
      </c>
      <c r="C1368" s="16" t="s">
        <v>33</v>
      </c>
      <c r="D1368" s="33" t="s">
        <v>34</v>
      </c>
      <c r="E1368" s="33">
        <v>138</v>
      </c>
      <c r="F1368" s="33">
        <v>4</v>
      </c>
      <c r="G1368" s="33">
        <v>7</v>
      </c>
      <c r="H1368" s="33"/>
      <c r="I1368" s="31" t="s">
        <v>46</v>
      </c>
      <c r="J1368" s="31"/>
      <c r="K1368" s="33"/>
      <c r="L1368" s="33"/>
      <c r="M1368" s="31"/>
      <c r="N1368" s="31"/>
      <c r="O1368" s="16" t="s">
        <v>2866</v>
      </c>
      <c r="P1368" s="16"/>
      <c r="Q1368" s="16"/>
      <c r="R1368" s="33"/>
      <c r="S1368" s="34"/>
      <c r="T1368" s="34"/>
      <c r="U1368" s="34"/>
      <c r="V1368" s="34"/>
      <c r="W1368" s="34"/>
      <c r="X1368" s="33" t="s">
        <v>247</v>
      </c>
      <c r="Y1368" s="35" t="str">
        <f>IF(Tabela2[[#This Row],[SIGLA]]="","",VLOOKUP(Tabela2[[#This Row],[SIGLA]],Tabela1[[#All],[Sigla Arte]:[Crédito]],2,0))</f>
        <v>THAIS CASTRO/ARQUIVO DA EDITORA</v>
      </c>
      <c r="Z1368" s="31"/>
      <c r="AA1368" s="31" t="str">
        <f>Tabela2[[#This Row],[ILUSTRADOR CRIAÇÃO]]</f>
        <v>THAIS CASTRO/ARQUIVO DA EDITORA</v>
      </c>
      <c r="AB1368" s="33"/>
      <c r="AC1368" s="16"/>
      <c r="AE1368" s="35" t="str">
        <f t="shared" si="21"/>
        <v>EF1 E002 Mat</v>
      </c>
    </row>
    <row r="1369" spans="1:31" ht="45" x14ac:dyDescent="0.25">
      <c r="A1369" s="31" t="s">
        <v>2867</v>
      </c>
      <c r="B1369" s="16" t="s">
        <v>32</v>
      </c>
      <c r="C1369" s="16" t="s">
        <v>164</v>
      </c>
      <c r="D1369" s="33" t="s">
        <v>34</v>
      </c>
      <c r="E1369" s="33">
        <v>138</v>
      </c>
      <c r="F1369" s="33">
        <v>4</v>
      </c>
      <c r="G1369" s="33">
        <v>7</v>
      </c>
      <c r="H1369" s="33"/>
      <c r="I1369" s="31" t="s">
        <v>46</v>
      </c>
      <c r="J1369" s="31"/>
      <c r="K1369" s="33"/>
      <c r="L1369" s="33"/>
      <c r="M1369" s="31"/>
      <c r="N1369" s="31"/>
      <c r="O1369" s="16" t="s">
        <v>2868</v>
      </c>
      <c r="P1369" s="16"/>
      <c r="Q1369" s="16"/>
      <c r="R1369" s="33"/>
      <c r="S1369" s="34"/>
      <c r="T1369" s="34"/>
      <c r="U1369" s="34"/>
      <c r="V1369" s="34"/>
      <c r="W1369" s="34"/>
      <c r="X1369" s="33" t="s">
        <v>1126</v>
      </c>
      <c r="Y1369" s="35" t="str">
        <f>IF(Tabela2[[#This Row],[SIGLA]]="","",VLOOKUP(Tabela2[[#This Row],[SIGLA]],Tabela1[[#All],[Sigla Arte]:[Crédito]],2,0))</f>
        <v>GUSTAVO CONTI/ARQUIVO DA EDITORA</v>
      </c>
      <c r="Z1369" s="31"/>
      <c r="AA1369" s="31" t="str">
        <f>Tabela2[[#This Row],[ILUSTRADOR CRIAÇÃO]]</f>
        <v>GUSTAVO CONTI/ARQUIVO DA EDITORA</v>
      </c>
      <c r="AB1369" s="33"/>
      <c r="AC1369" s="16"/>
      <c r="AE1369" s="35" t="str">
        <f t="shared" si="21"/>
        <v>EF1 E002 Mat</v>
      </c>
    </row>
    <row r="1370" spans="1:31" ht="45" x14ac:dyDescent="0.25">
      <c r="A1370" s="31" t="s">
        <v>2869</v>
      </c>
      <c r="B1370" s="16" t="s">
        <v>32</v>
      </c>
      <c r="C1370" s="16" t="s">
        <v>164</v>
      </c>
      <c r="D1370" s="33" t="s">
        <v>34</v>
      </c>
      <c r="E1370" s="33">
        <v>138</v>
      </c>
      <c r="F1370" s="33">
        <v>4</v>
      </c>
      <c r="G1370" s="33">
        <v>7</v>
      </c>
      <c r="H1370" s="33"/>
      <c r="I1370" s="31" t="s">
        <v>46</v>
      </c>
      <c r="J1370" s="31"/>
      <c r="K1370" s="33"/>
      <c r="L1370" s="33"/>
      <c r="M1370" s="31"/>
      <c r="N1370" s="31"/>
      <c r="O1370" s="16" t="s">
        <v>2870</v>
      </c>
      <c r="P1370" s="16"/>
      <c r="Q1370" s="16"/>
      <c r="R1370" s="33"/>
      <c r="S1370" s="34"/>
      <c r="T1370" s="34"/>
      <c r="U1370" s="34"/>
      <c r="V1370" s="34"/>
      <c r="W1370" s="34"/>
      <c r="X1370" s="33" t="s">
        <v>1126</v>
      </c>
      <c r="Y1370" s="35" t="str">
        <f>IF(Tabela2[[#This Row],[SIGLA]]="","",VLOOKUP(Tabela2[[#This Row],[SIGLA]],Tabela1[[#All],[Sigla Arte]:[Crédito]],2,0))</f>
        <v>GUSTAVO CONTI/ARQUIVO DA EDITORA</v>
      </c>
      <c r="Z1370" s="31"/>
      <c r="AA1370" s="31" t="str">
        <f>Tabela2[[#This Row],[ILUSTRADOR CRIAÇÃO]]</f>
        <v>GUSTAVO CONTI/ARQUIVO DA EDITORA</v>
      </c>
      <c r="AB1370" s="33"/>
      <c r="AC1370" s="16"/>
      <c r="AE1370" s="35" t="str">
        <f t="shared" si="21"/>
        <v>EF1 E002 Mat</v>
      </c>
    </row>
    <row r="1371" spans="1:31" ht="45" x14ac:dyDescent="0.25">
      <c r="A1371" s="31" t="s">
        <v>2871</v>
      </c>
      <c r="B1371" s="16" t="s">
        <v>32</v>
      </c>
      <c r="C1371" s="16" t="s">
        <v>164</v>
      </c>
      <c r="D1371" s="33" t="s">
        <v>34</v>
      </c>
      <c r="E1371" s="33">
        <v>138</v>
      </c>
      <c r="F1371" s="33">
        <v>4</v>
      </c>
      <c r="G1371" s="33">
        <v>7</v>
      </c>
      <c r="H1371" s="33"/>
      <c r="I1371" s="31" t="s">
        <v>46</v>
      </c>
      <c r="J1371" s="31"/>
      <c r="K1371" s="33"/>
      <c r="L1371" s="33"/>
      <c r="M1371" s="31"/>
      <c r="N1371" s="31"/>
      <c r="O1371" s="16" t="s">
        <v>2872</v>
      </c>
      <c r="P1371" s="16"/>
      <c r="Q1371" s="16"/>
      <c r="R1371" s="33"/>
      <c r="S1371" s="34"/>
      <c r="T1371" s="34"/>
      <c r="U1371" s="34"/>
      <c r="V1371" s="34"/>
      <c r="W1371" s="34"/>
      <c r="X1371" s="33" t="s">
        <v>1126</v>
      </c>
      <c r="Y1371" s="35" t="str">
        <f>IF(Tabela2[[#This Row],[SIGLA]]="","",VLOOKUP(Tabela2[[#This Row],[SIGLA]],Tabela1[[#All],[Sigla Arte]:[Crédito]],2,0))</f>
        <v>GUSTAVO CONTI/ARQUIVO DA EDITORA</v>
      </c>
      <c r="Z1371" s="31"/>
      <c r="AA1371" s="31" t="str">
        <f>Tabela2[[#This Row],[ILUSTRADOR CRIAÇÃO]]</f>
        <v>GUSTAVO CONTI/ARQUIVO DA EDITORA</v>
      </c>
      <c r="AB1371" s="33"/>
      <c r="AC1371" s="16"/>
      <c r="AE1371" s="35" t="str">
        <f t="shared" si="21"/>
        <v>EF1 E002 Mat</v>
      </c>
    </row>
    <row r="1372" spans="1:31" ht="45" x14ac:dyDescent="0.25">
      <c r="A1372" s="31" t="s">
        <v>2873</v>
      </c>
      <c r="B1372" s="16" t="s">
        <v>32</v>
      </c>
      <c r="C1372" s="16" t="s">
        <v>164</v>
      </c>
      <c r="D1372" s="33" t="s">
        <v>34</v>
      </c>
      <c r="E1372" s="33">
        <v>138</v>
      </c>
      <c r="F1372" s="33">
        <v>4</v>
      </c>
      <c r="G1372" s="33">
        <v>7</v>
      </c>
      <c r="H1372" s="33"/>
      <c r="I1372" s="31" t="s">
        <v>46</v>
      </c>
      <c r="J1372" s="31"/>
      <c r="K1372" s="33"/>
      <c r="L1372" s="33"/>
      <c r="M1372" s="31"/>
      <c r="N1372" s="31"/>
      <c r="O1372" s="16" t="s">
        <v>2874</v>
      </c>
      <c r="P1372" s="16"/>
      <c r="Q1372" s="16"/>
      <c r="R1372" s="33"/>
      <c r="S1372" s="34"/>
      <c r="T1372" s="34"/>
      <c r="U1372" s="34"/>
      <c r="V1372" s="34"/>
      <c r="W1372" s="34"/>
      <c r="X1372" s="33" t="s">
        <v>1126</v>
      </c>
      <c r="Y1372" s="35" t="str">
        <f>IF(Tabela2[[#This Row],[SIGLA]]="","",VLOOKUP(Tabela2[[#This Row],[SIGLA]],Tabela1[[#All],[Sigla Arte]:[Crédito]],2,0))</f>
        <v>GUSTAVO CONTI/ARQUIVO DA EDITORA</v>
      </c>
      <c r="Z1372" s="31"/>
      <c r="AA1372" s="31" t="str">
        <f>Tabela2[[#This Row],[ILUSTRADOR CRIAÇÃO]]</f>
        <v>GUSTAVO CONTI/ARQUIVO DA EDITORA</v>
      </c>
      <c r="AB1372" s="33"/>
      <c r="AC1372" s="16"/>
      <c r="AE1372" s="35" t="str">
        <f t="shared" si="21"/>
        <v>EF1 E002 Mat</v>
      </c>
    </row>
    <row r="1373" spans="1:31" ht="45" x14ac:dyDescent="0.25">
      <c r="A1373" s="31" t="s">
        <v>2875</v>
      </c>
      <c r="B1373" s="16" t="s">
        <v>32</v>
      </c>
      <c r="C1373" s="16" t="s">
        <v>164</v>
      </c>
      <c r="D1373" s="33" t="s">
        <v>34</v>
      </c>
      <c r="E1373" s="33">
        <v>139</v>
      </c>
      <c r="F1373" s="33">
        <v>4</v>
      </c>
      <c r="G1373" s="33">
        <v>7</v>
      </c>
      <c r="H1373" s="33"/>
      <c r="I1373" s="31" t="s">
        <v>46</v>
      </c>
      <c r="J1373" s="31"/>
      <c r="K1373" s="33"/>
      <c r="L1373" s="33"/>
      <c r="M1373" s="31"/>
      <c r="N1373" s="31"/>
      <c r="O1373" s="16" t="s">
        <v>2876</v>
      </c>
      <c r="P1373" s="16"/>
      <c r="Q1373" s="16"/>
      <c r="R1373" s="33"/>
      <c r="S1373" s="34"/>
      <c r="T1373" s="34"/>
      <c r="U1373" s="34"/>
      <c r="V1373" s="34"/>
      <c r="W1373" s="34"/>
      <c r="X1373" s="33" t="s">
        <v>48</v>
      </c>
      <c r="Y1373" s="35" t="str">
        <f>IF(Tabela2[[#This Row],[SIGLA]]="","",VLOOKUP(Tabela2[[#This Row],[SIGLA]],Tabela1[[#All],[Sigla Arte]:[Crédito]],2,0))</f>
        <v>SERGIO LIMA/ARQUIVO DA EDITORA</v>
      </c>
      <c r="Z1373" s="31"/>
      <c r="AA1373" s="31" t="str">
        <f>Tabela2[[#This Row],[ILUSTRADOR CRIAÇÃO]]</f>
        <v>SERGIO LIMA/ARQUIVO DA EDITORA</v>
      </c>
      <c r="AB1373" s="33"/>
      <c r="AC1373" s="16"/>
      <c r="AE1373" s="35" t="str">
        <f t="shared" si="21"/>
        <v>EF1 E002 Mat</v>
      </c>
    </row>
    <row r="1374" spans="1:31" ht="45" x14ac:dyDescent="0.25">
      <c r="A1374" s="31" t="s">
        <v>2877</v>
      </c>
      <c r="B1374" s="16" t="s">
        <v>32</v>
      </c>
      <c r="C1374" s="16" t="s">
        <v>164</v>
      </c>
      <c r="D1374" s="33" t="s">
        <v>34</v>
      </c>
      <c r="E1374" s="33">
        <v>139</v>
      </c>
      <c r="F1374" s="33">
        <v>4</v>
      </c>
      <c r="G1374" s="33">
        <v>7</v>
      </c>
      <c r="H1374" s="33"/>
      <c r="I1374" s="31" t="s">
        <v>46</v>
      </c>
      <c r="J1374" s="31"/>
      <c r="K1374" s="33"/>
      <c r="L1374" s="33"/>
      <c r="M1374" s="31"/>
      <c r="N1374" s="31"/>
      <c r="O1374" s="16" t="s">
        <v>2878</v>
      </c>
      <c r="P1374" s="16"/>
      <c r="Q1374" s="16"/>
      <c r="R1374" s="33"/>
      <c r="S1374" s="34"/>
      <c r="T1374" s="34"/>
      <c r="U1374" s="34"/>
      <c r="V1374" s="34"/>
      <c r="W1374" s="34"/>
      <c r="X1374" s="33" t="s">
        <v>1126</v>
      </c>
      <c r="Y1374" s="35" t="str">
        <f>IF(Tabela2[[#This Row],[SIGLA]]="","",VLOOKUP(Tabela2[[#This Row],[SIGLA]],Tabela1[[#All],[Sigla Arte]:[Crédito]],2,0))</f>
        <v>GUSTAVO CONTI/ARQUIVO DA EDITORA</v>
      </c>
      <c r="Z1374" s="31"/>
      <c r="AA1374" s="31" t="str">
        <f>Tabela2[[#This Row],[ILUSTRADOR CRIAÇÃO]]</f>
        <v>GUSTAVO CONTI/ARQUIVO DA EDITORA</v>
      </c>
      <c r="AB1374" s="33"/>
      <c r="AC1374" s="16"/>
      <c r="AE1374" s="35" t="str">
        <f t="shared" si="21"/>
        <v>EF1 E002 Mat</v>
      </c>
    </row>
    <row r="1375" spans="1:31" ht="45" x14ac:dyDescent="0.25">
      <c r="A1375" s="31" t="s">
        <v>2879</v>
      </c>
      <c r="B1375" s="16" t="s">
        <v>32</v>
      </c>
      <c r="C1375" s="16" t="s">
        <v>164</v>
      </c>
      <c r="D1375" s="33" t="s">
        <v>34</v>
      </c>
      <c r="E1375" s="33">
        <v>139</v>
      </c>
      <c r="F1375" s="33">
        <v>4</v>
      </c>
      <c r="G1375" s="33">
        <v>7</v>
      </c>
      <c r="H1375" s="33"/>
      <c r="I1375" s="31" t="s">
        <v>46</v>
      </c>
      <c r="J1375" s="31"/>
      <c r="K1375" s="33"/>
      <c r="L1375" s="33"/>
      <c r="M1375" s="31"/>
      <c r="N1375" s="31"/>
      <c r="O1375" s="16" t="s">
        <v>2880</v>
      </c>
      <c r="P1375" s="16"/>
      <c r="Q1375" s="16"/>
      <c r="R1375" s="33"/>
      <c r="S1375" s="34"/>
      <c r="T1375" s="34"/>
      <c r="U1375" s="34"/>
      <c r="V1375" s="34"/>
      <c r="W1375" s="34"/>
      <c r="X1375" s="33" t="s">
        <v>1126</v>
      </c>
      <c r="Y1375" s="35" t="str">
        <f>IF(Tabela2[[#This Row],[SIGLA]]="","",VLOOKUP(Tabela2[[#This Row],[SIGLA]],Tabela1[[#All],[Sigla Arte]:[Crédito]],2,0))</f>
        <v>GUSTAVO CONTI/ARQUIVO DA EDITORA</v>
      </c>
      <c r="Z1375" s="31"/>
      <c r="AA1375" s="31" t="str">
        <f>Tabela2[[#This Row],[ILUSTRADOR CRIAÇÃO]]</f>
        <v>GUSTAVO CONTI/ARQUIVO DA EDITORA</v>
      </c>
      <c r="AB1375" s="33"/>
      <c r="AC1375" s="16"/>
      <c r="AE1375" s="35" t="str">
        <f t="shared" si="21"/>
        <v>EF1 E002 Mat</v>
      </c>
    </row>
    <row r="1376" spans="1:31" ht="45" x14ac:dyDescent="0.25">
      <c r="A1376" s="31" t="s">
        <v>2881</v>
      </c>
      <c r="B1376" s="16" t="s">
        <v>32</v>
      </c>
      <c r="C1376" s="16" t="s">
        <v>164</v>
      </c>
      <c r="D1376" s="33" t="s">
        <v>34</v>
      </c>
      <c r="E1376" s="33">
        <v>139</v>
      </c>
      <c r="F1376" s="33">
        <v>4</v>
      </c>
      <c r="G1376" s="33">
        <v>7</v>
      </c>
      <c r="H1376" s="33"/>
      <c r="I1376" s="31" t="s">
        <v>46</v>
      </c>
      <c r="J1376" s="31"/>
      <c r="K1376" s="33"/>
      <c r="L1376" s="33"/>
      <c r="M1376" s="31"/>
      <c r="N1376" s="31"/>
      <c r="O1376" s="16" t="s">
        <v>2882</v>
      </c>
      <c r="P1376" s="16"/>
      <c r="Q1376" s="16"/>
      <c r="R1376" s="33"/>
      <c r="S1376" s="34"/>
      <c r="T1376" s="34"/>
      <c r="U1376" s="34"/>
      <c r="V1376" s="34"/>
      <c r="W1376" s="34"/>
      <c r="X1376" s="33" t="s">
        <v>1126</v>
      </c>
      <c r="Y1376" s="35" t="str">
        <f>IF(Tabela2[[#This Row],[SIGLA]]="","",VLOOKUP(Tabela2[[#This Row],[SIGLA]],Tabela1[[#All],[Sigla Arte]:[Crédito]],2,0))</f>
        <v>GUSTAVO CONTI/ARQUIVO DA EDITORA</v>
      </c>
      <c r="Z1376" s="31"/>
      <c r="AA1376" s="31" t="str">
        <f>Tabela2[[#This Row],[ILUSTRADOR CRIAÇÃO]]</f>
        <v>GUSTAVO CONTI/ARQUIVO DA EDITORA</v>
      </c>
      <c r="AB1376" s="33"/>
      <c r="AC1376" s="16"/>
      <c r="AE1376" s="35" t="str">
        <f t="shared" si="21"/>
        <v>EF1 E002 Mat</v>
      </c>
    </row>
    <row r="1377" spans="1:31" ht="45" x14ac:dyDescent="0.25">
      <c r="A1377" s="31" t="s">
        <v>2883</v>
      </c>
      <c r="B1377" s="16" t="s">
        <v>32</v>
      </c>
      <c r="C1377" s="16" t="s">
        <v>33</v>
      </c>
      <c r="D1377" s="33" t="s">
        <v>34</v>
      </c>
      <c r="E1377" s="33">
        <v>140</v>
      </c>
      <c r="F1377" s="33">
        <v>4</v>
      </c>
      <c r="G1377" s="33">
        <v>7</v>
      </c>
      <c r="H1377" s="33"/>
      <c r="I1377" s="31" t="s">
        <v>46</v>
      </c>
      <c r="J1377" s="31"/>
      <c r="K1377" s="33"/>
      <c r="L1377" s="33"/>
      <c r="M1377" s="31"/>
      <c r="N1377" s="31"/>
      <c r="O1377" s="16" t="s">
        <v>2884</v>
      </c>
      <c r="P1377" s="16"/>
      <c r="Q1377" s="16"/>
      <c r="R1377" s="33"/>
      <c r="S1377" s="34"/>
      <c r="T1377" s="34"/>
      <c r="U1377" s="34"/>
      <c r="V1377" s="34"/>
      <c r="W1377" s="34"/>
      <c r="X1377" s="33" t="s">
        <v>1126</v>
      </c>
      <c r="Y1377" s="35" t="str">
        <f>IF(Tabela2[[#This Row],[SIGLA]]="","",VLOOKUP(Tabela2[[#This Row],[SIGLA]],Tabela1[[#All],[Sigla Arte]:[Crédito]],2,0))</f>
        <v>GUSTAVO CONTI/ARQUIVO DA EDITORA</v>
      </c>
      <c r="Z1377" s="31"/>
      <c r="AA1377" s="31" t="str">
        <f>Tabela2[[#This Row],[ILUSTRADOR CRIAÇÃO]]</f>
        <v>GUSTAVO CONTI/ARQUIVO DA EDITORA</v>
      </c>
      <c r="AB1377" s="33"/>
      <c r="AC1377" s="16"/>
      <c r="AE1377" s="35" t="str">
        <f t="shared" si="21"/>
        <v>EF1 E002 Mat</v>
      </c>
    </row>
    <row r="1378" spans="1:31" ht="90" x14ac:dyDescent="0.25">
      <c r="A1378" s="31" t="s">
        <v>2885</v>
      </c>
      <c r="B1378" s="16" t="s">
        <v>32</v>
      </c>
      <c r="C1378" s="16" t="s">
        <v>33</v>
      </c>
      <c r="D1378" s="33" t="s">
        <v>34</v>
      </c>
      <c r="E1378" s="33">
        <v>142</v>
      </c>
      <c r="F1378" s="33">
        <v>4</v>
      </c>
      <c r="G1378" s="33">
        <v>7</v>
      </c>
      <c r="H1378" s="33"/>
      <c r="I1378" s="31" t="s">
        <v>35</v>
      </c>
      <c r="J1378" s="31"/>
      <c r="K1378" s="33"/>
      <c r="L1378" s="33"/>
      <c r="M1378" s="31"/>
      <c r="N1378" s="31"/>
      <c r="O1378" s="16" t="s">
        <v>2886</v>
      </c>
      <c r="P1378" s="16"/>
      <c r="Q1378" s="16"/>
      <c r="R1378" s="33">
        <v>35</v>
      </c>
      <c r="S1378" s="34">
        <v>45784</v>
      </c>
      <c r="T1378" s="34">
        <v>45786</v>
      </c>
      <c r="U1378" s="34"/>
      <c r="V1378" s="34"/>
      <c r="W1378" s="34">
        <v>45786</v>
      </c>
      <c r="X1378" s="33" t="s">
        <v>1126</v>
      </c>
      <c r="Y1378" s="35" t="str">
        <f>IF(Tabela2[[#This Row],[SIGLA]]="","",VLOOKUP(Tabela2[[#This Row],[SIGLA]],Tabela1[[#All],[Sigla Arte]:[Crédito]],2,0))</f>
        <v>GUSTAVO CONTI/ARQUIVO DA EDITORA</v>
      </c>
      <c r="Z1378" s="31" t="s">
        <v>438</v>
      </c>
      <c r="AA1378" s="31" t="str">
        <f>Tabela2[[#This Row],[ILUSTRADOR CRIAÇÃO]]</f>
        <v>GUSTAVO CONTI/ARQUIVO DA EDITORA</v>
      </c>
      <c r="AB1378" s="33">
        <v>13</v>
      </c>
      <c r="AC1378" s="16" t="s">
        <v>439</v>
      </c>
      <c r="AD1378" s="16" t="s">
        <v>40</v>
      </c>
      <c r="AE1378" s="35" t="str">
        <f t="shared" si="21"/>
        <v>EF1 E002 Mat</v>
      </c>
    </row>
    <row r="1379" spans="1:31" ht="45" x14ac:dyDescent="0.25">
      <c r="A1379" s="31" t="s">
        <v>2887</v>
      </c>
      <c r="B1379" s="16" t="s">
        <v>32</v>
      </c>
      <c r="C1379" s="16" t="s">
        <v>33</v>
      </c>
      <c r="D1379" s="33" t="s">
        <v>34</v>
      </c>
      <c r="E1379" s="33">
        <v>143</v>
      </c>
      <c r="F1379" s="33">
        <v>4</v>
      </c>
      <c r="G1379" s="33">
        <v>7</v>
      </c>
      <c r="H1379" s="33"/>
      <c r="I1379" s="31" t="s">
        <v>46</v>
      </c>
      <c r="J1379" s="31"/>
      <c r="K1379" s="33"/>
      <c r="L1379" s="33"/>
      <c r="M1379" s="31"/>
      <c r="N1379" s="31"/>
      <c r="O1379" s="16" t="s">
        <v>2888</v>
      </c>
      <c r="P1379" s="16"/>
      <c r="Q1379" s="16"/>
      <c r="R1379" s="33"/>
      <c r="S1379" s="34"/>
      <c r="T1379" s="34"/>
      <c r="U1379" s="34"/>
      <c r="V1379" s="34"/>
      <c r="W1379" s="34"/>
      <c r="X1379" s="33" t="s">
        <v>1515</v>
      </c>
      <c r="Y1379" s="35" t="str">
        <f>IF(Tabela2[[#This Row],[SIGLA]]="","",VLOOKUP(Tabela2[[#This Row],[SIGLA]],Tabela1[[#All],[Sigla Arte]:[Crédito]],2,0))</f>
        <v>JANAINA OLIVEIRA/ARQUIVO DA EDITORA</v>
      </c>
      <c r="Z1379" s="31"/>
      <c r="AA1379" s="31" t="str">
        <f>Tabela2[[#This Row],[ILUSTRADOR CRIAÇÃO]]</f>
        <v>JANAINA OLIVEIRA/ARQUIVO DA EDITORA</v>
      </c>
      <c r="AB1379" s="33"/>
      <c r="AC1379" s="16"/>
      <c r="AE1379" s="35" t="str">
        <f t="shared" si="21"/>
        <v>EF1 E002 Mat</v>
      </c>
    </row>
    <row r="1380" spans="1:31" ht="45" x14ac:dyDescent="0.25">
      <c r="A1380" s="31" t="s">
        <v>2889</v>
      </c>
      <c r="B1380" s="16" t="s">
        <v>32</v>
      </c>
      <c r="C1380" s="16" t="s">
        <v>33</v>
      </c>
      <c r="D1380" s="33" t="s">
        <v>34</v>
      </c>
      <c r="E1380" s="33">
        <v>143</v>
      </c>
      <c r="F1380" s="33">
        <v>4</v>
      </c>
      <c r="G1380" s="33">
        <v>7</v>
      </c>
      <c r="H1380" s="33"/>
      <c r="I1380" s="31" t="s">
        <v>46</v>
      </c>
      <c r="J1380" s="31"/>
      <c r="K1380" s="33"/>
      <c r="L1380" s="33"/>
      <c r="M1380" s="31"/>
      <c r="N1380" s="31"/>
      <c r="O1380" s="16" t="s">
        <v>2890</v>
      </c>
      <c r="P1380" s="16"/>
      <c r="Q1380" s="16"/>
      <c r="R1380" s="33"/>
      <c r="S1380" s="34"/>
      <c r="T1380" s="34"/>
      <c r="U1380" s="34"/>
      <c r="V1380" s="34"/>
      <c r="W1380" s="34"/>
      <c r="X1380" s="33" t="s">
        <v>1515</v>
      </c>
      <c r="Y1380" s="35" t="str">
        <f>IF(Tabela2[[#This Row],[SIGLA]]="","",VLOOKUP(Tabela2[[#This Row],[SIGLA]],Tabela1[[#All],[Sigla Arte]:[Crédito]],2,0))</f>
        <v>JANAINA OLIVEIRA/ARQUIVO DA EDITORA</v>
      </c>
      <c r="Z1380" s="31"/>
      <c r="AA1380" s="31" t="str">
        <f>Tabela2[[#This Row],[ILUSTRADOR CRIAÇÃO]]</f>
        <v>JANAINA OLIVEIRA/ARQUIVO DA EDITORA</v>
      </c>
      <c r="AB1380" s="33"/>
      <c r="AC1380" s="16"/>
      <c r="AE1380" s="35" t="str">
        <f t="shared" si="21"/>
        <v>EF1 E002 Mat</v>
      </c>
    </row>
    <row r="1381" spans="1:31" ht="45" x14ac:dyDescent="0.25">
      <c r="A1381" s="31" t="s">
        <v>2891</v>
      </c>
      <c r="B1381" s="16" t="s">
        <v>32</v>
      </c>
      <c r="C1381" s="16" t="s">
        <v>33</v>
      </c>
      <c r="D1381" s="33" t="s">
        <v>34</v>
      </c>
      <c r="E1381" s="33">
        <v>144</v>
      </c>
      <c r="F1381" s="33">
        <v>4</v>
      </c>
      <c r="G1381" s="33">
        <v>7</v>
      </c>
      <c r="H1381" s="33"/>
      <c r="I1381" s="31" t="s">
        <v>46</v>
      </c>
      <c r="J1381" s="31"/>
      <c r="K1381" s="33"/>
      <c r="L1381" s="33"/>
      <c r="M1381" s="31"/>
      <c r="N1381" s="31"/>
      <c r="O1381" s="16" t="s">
        <v>2892</v>
      </c>
      <c r="P1381" s="16"/>
      <c r="Q1381" s="16"/>
      <c r="R1381" s="33"/>
      <c r="S1381" s="34"/>
      <c r="T1381" s="34"/>
      <c r="U1381" s="34"/>
      <c r="V1381" s="34"/>
      <c r="W1381" s="34"/>
      <c r="X1381" s="33" t="s">
        <v>247</v>
      </c>
      <c r="Y1381" s="35" t="str">
        <f>IF(Tabela2[[#This Row],[SIGLA]]="","",VLOOKUP(Tabela2[[#This Row],[SIGLA]],Tabela1[[#All],[Sigla Arte]:[Crédito]],2,0))</f>
        <v>THAIS CASTRO/ARQUIVO DA EDITORA</v>
      </c>
      <c r="Z1381" s="31"/>
      <c r="AA1381" s="31" t="str">
        <f>Tabela2[[#This Row],[ILUSTRADOR CRIAÇÃO]]</f>
        <v>THAIS CASTRO/ARQUIVO DA EDITORA</v>
      </c>
      <c r="AB1381" s="33"/>
      <c r="AC1381" s="16"/>
      <c r="AE1381" s="35" t="str">
        <f t="shared" si="21"/>
        <v>EF1 E002 Mat</v>
      </c>
    </row>
    <row r="1382" spans="1:31" ht="45" x14ac:dyDescent="0.25">
      <c r="A1382" s="31" t="s">
        <v>2893</v>
      </c>
      <c r="B1382" s="16" t="s">
        <v>32</v>
      </c>
      <c r="C1382" s="16" t="s">
        <v>33</v>
      </c>
      <c r="D1382" s="33" t="s">
        <v>34</v>
      </c>
      <c r="E1382" s="33">
        <v>144</v>
      </c>
      <c r="F1382" s="33">
        <v>4</v>
      </c>
      <c r="G1382" s="33">
        <v>7</v>
      </c>
      <c r="H1382" s="33"/>
      <c r="I1382" s="31" t="s">
        <v>46</v>
      </c>
      <c r="J1382" s="31"/>
      <c r="K1382" s="33"/>
      <c r="L1382" s="33"/>
      <c r="M1382" s="31"/>
      <c r="N1382" s="31"/>
      <c r="O1382" s="16" t="s">
        <v>2894</v>
      </c>
      <c r="P1382" s="16"/>
      <c r="Q1382" s="16"/>
      <c r="R1382" s="33"/>
      <c r="S1382" s="34"/>
      <c r="T1382" s="34"/>
      <c r="U1382" s="34"/>
      <c r="V1382" s="34"/>
      <c r="W1382" s="34"/>
      <c r="X1382" s="33" t="s">
        <v>1515</v>
      </c>
      <c r="Y1382" s="35" t="str">
        <f>IF(Tabela2[[#This Row],[SIGLA]]="","",VLOOKUP(Tabela2[[#This Row],[SIGLA]],Tabela1[[#All],[Sigla Arte]:[Crédito]],2,0))</f>
        <v>JANAINA OLIVEIRA/ARQUIVO DA EDITORA</v>
      </c>
      <c r="Z1382" s="31"/>
      <c r="AA1382" s="31" t="str">
        <f>Tabela2[[#This Row],[ILUSTRADOR CRIAÇÃO]]</f>
        <v>JANAINA OLIVEIRA/ARQUIVO DA EDITORA</v>
      </c>
      <c r="AB1382" s="33"/>
      <c r="AC1382" s="16"/>
      <c r="AE1382" s="35" t="str">
        <f t="shared" si="21"/>
        <v>EF1 E002 Mat</v>
      </c>
    </row>
    <row r="1383" spans="1:31" ht="45" x14ac:dyDescent="0.25">
      <c r="A1383" s="31" t="s">
        <v>2895</v>
      </c>
      <c r="B1383" s="16" t="s">
        <v>32</v>
      </c>
      <c r="C1383" s="16" t="s">
        <v>33</v>
      </c>
      <c r="D1383" s="33" t="s">
        <v>34</v>
      </c>
      <c r="E1383" s="33">
        <v>144</v>
      </c>
      <c r="F1383" s="33">
        <v>4</v>
      </c>
      <c r="G1383" s="33">
        <v>7</v>
      </c>
      <c r="H1383" s="33"/>
      <c r="I1383" s="31" t="s">
        <v>46</v>
      </c>
      <c r="J1383" s="31"/>
      <c r="K1383" s="33"/>
      <c r="L1383" s="33"/>
      <c r="M1383" s="31"/>
      <c r="N1383" s="31"/>
      <c r="O1383" s="16" t="s">
        <v>2896</v>
      </c>
      <c r="P1383" s="16"/>
      <c r="Q1383" s="16"/>
      <c r="R1383" s="33"/>
      <c r="S1383" s="34"/>
      <c r="T1383" s="34"/>
      <c r="U1383" s="34"/>
      <c r="V1383" s="34"/>
      <c r="W1383" s="34"/>
      <c r="X1383" s="33" t="s">
        <v>1515</v>
      </c>
      <c r="Y1383" s="35" t="str">
        <f>IF(Tabela2[[#This Row],[SIGLA]]="","",VLOOKUP(Tabela2[[#This Row],[SIGLA]],Tabela1[[#All],[Sigla Arte]:[Crédito]],2,0))</f>
        <v>JANAINA OLIVEIRA/ARQUIVO DA EDITORA</v>
      </c>
      <c r="Z1383" s="31"/>
      <c r="AA1383" s="31" t="str">
        <f>Tabela2[[#This Row],[ILUSTRADOR CRIAÇÃO]]</f>
        <v>JANAINA OLIVEIRA/ARQUIVO DA EDITORA</v>
      </c>
      <c r="AB1383" s="33"/>
      <c r="AC1383" s="16"/>
      <c r="AE1383" s="35" t="str">
        <f t="shared" si="21"/>
        <v>EF1 E002 Mat</v>
      </c>
    </row>
    <row r="1384" spans="1:31" ht="45" x14ac:dyDescent="0.25">
      <c r="A1384" s="31" t="s">
        <v>2897</v>
      </c>
      <c r="B1384" s="16" t="s">
        <v>32</v>
      </c>
      <c r="C1384" s="16" t="s">
        <v>33</v>
      </c>
      <c r="D1384" s="33" t="s">
        <v>34</v>
      </c>
      <c r="E1384" s="33">
        <v>144</v>
      </c>
      <c r="F1384" s="33">
        <v>4</v>
      </c>
      <c r="G1384" s="33">
        <v>7</v>
      </c>
      <c r="H1384" s="33"/>
      <c r="I1384" s="31" t="s">
        <v>46</v>
      </c>
      <c r="J1384" s="31"/>
      <c r="K1384" s="33"/>
      <c r="L1384" s="33"/>
      <c r="M1384" s="31"/>
      <c r="N1384" s="31"/>
      <c r="O1384" s="16" t="s">
        <v>2898</v>
      </c>
      <c r="P1384" s="16"/>
      <c r="Q1384" s="16"/>
      <c r="R1384" s="33"/>
      <c r="S1384" s="34"/>
      <c r="T1384" s="34"/>
      <c r="U1384" s="34"/>
      <c r="V1384" s="34"/>
      <c r="W1384" s="34"/>
      <c r="X1384" s="33" t="s">
        <v>1515</v>
      </c>
      <c r="Y1384" s="35" t="str">
        <f>IF(Tabela2[[#This Row],[SIGLA]]="","",VLOOKUP(Tabela2[[#This Row],[SIGLA]],Tabela1[[#All],[Sigla Arte]:[Crédito]],2,0))</f>
        <v>JANAINA OLIVEIRA/ARQUIVO DA EDITORA</v>
      </c>
      <c r="Z1384" s="31"/>
      <c r="AA1384" s="31" t="str">
        <f>Tabela2[[#This Row],[ILUSTRADOR CRIAÇÃO]]</f>
        <v>JANAINA OLIVEIRA/ARQUIVO DA EDITORA</v>
      </c>
      <c r="AB1384" s="33"/>
      <c r="AC1384" s="16"/>
      <c r="AE1384" s="35" t="str">
        <f t="shared" si="21"/>
        <v>EF1 E002 Mat</v>
      </c>
    </row>
    <row r="1385" spans="1:31" ht="45" x14ac:dyDescent="0.25">
      <c r="A1385" s="31" t="s">
        <v>2899</v>
      </c>
      <c r="B1385" s="16" t="s">
        <v>32</v>
      </c>
      <c r="C1385" s="16" t="s">
        <v>33</v>
      </c>
      <c r="D1385" s="33" t="s">
        <v>34</v>
      </c>
      <c r="E1385" s="33">
        <v>144</v>
      </c>
      <c r="F1385" s="33">
        <v>4</v>
      </c>
      <c r="G1385" s="33">
        <v>7</v>
      </c>
      <c r="H1385" s="33"/>
      <c r="I1385" s="31" t="s">
        <v>46</v>
      </c>
      <c r="J1385" s="31"/>
      <c r="K1385" s="33"/>
      <c r="L1385" s="33"/>
      <c r="M1385" s="31"/>
      <c r="N1385" s="31"/>
      <c r="O1385" s="16" t="s">
        <v>2900</v>
      </c>
      <c r="P1385" s="16"/>
      <c r="Q1385" s="16"/>
      <c r="R1385" s="33"/>
      <c r="S1385" s="34"/>
      <c r="T1385" s="34"/>
      <c r="U1385" s="34"/>
      <c r="V1385" s="34"/>
      <c r="W1385" s="34"/>
      <c r="X1385" s="33" t="s">
        <v>1515</v>
      </c>
      <c r="Y1385" s="35" t="str">
        <f>IF(Tabela2[[#This Row],[SIGLA]]="","",VLOOKUP(Tabela2[[#This Row],[SIGLA]],Tabela1[[#All],[Sigla Arte]:[Crédito]],2,0))</f>
        <v>JANAINA OLIVEIRA/ARQUIVO DA EDITORA</v>
      </c>
      <c r="Z1385" s="31"/>
      <c r="AA1385" s="31" t="str">
        <f>Tabela2[[#This Row],[ILUSTRADOR CRIAÇÃO]]</f>
        <v>JANAINA OLIVEIRA/ARQUIVO DA EDITORA</v>
      </c>
      <c r="AB1385" s="33"/>
      <c r="AC1385" s="16"/>
      <c r="AE1385" s="35" t="str">
        <f t="shared" si="21"/>
        <v>EF1 E002 Mat</v>
      </c>
    </row>
    <row r="1386" spans="1:31" ht="45" x14ac:dyDescent="0.25">
      <c r="A1386" s="31" t="s">
        <v>2901</v>
      </c>
      <c r="B1386" s="16" t="s">
        <v>32</v>
      </c>
      <c r="C1386" s="16" t="s">
        <v>33</v>
      </c>
      <c r="D1386" s="33" t="s">
        <v>34</v>
      </c>
      <c r="E1386" s="33">
        <v>144</v>
      </c>
      <c r="F1386" s="33">
        <v>4</v>
      </c>
      <c r="G1386" s="33">
        <v>7</v>
      </c>
      <c r="H1386" s="33"/>
      <c r="I1386" s="31" t="s">
        <v>46</v>
      </c>
      <c r="J1386" s="31"/>
      <c r="K1386" s="33"/>
      <c r="L1386" s="33"/>
      <c r="M1386" s="31"/>
      <c r="N1386" s="31"/>
      <c r="O1386" s="16" t="s">
        <v>2902</v>
      </c>
      <c r="P1386" s="16"/>
      <c r="Q1386" s="16"/>
      <c r="R1386" s="33"/>
      <c r="S1386" s="34"/>
      <c r="T1386" s="34"/>
      <c r="U1386" s="34"/>
      <c r="V1386" s="34"/>
      <c r="W1386" s="34"/>
      <c r="X1386" s="33" t="s">
        <v>1515</v>
      </c>
      <c r="Y1386" s="35" t="str">
        <f>IF(Tabela2[[#This Row],[SIGLA]]="","",VLOOKUP(Tabela2[[#This Row],[SIGLA]],Tabela1[[#All],[Sigla Arte]:[Crédito]],2,0))</f>
        <v>JANAINA OLIVEIRA/ARQUIVO DA EDITORA</v>
      </c>
      <c r="Z1386" s="31"/>
      <c r="AA1386" s="31" t="str">
        <f>Tabela2[[#This Row],[ILUSTRADOR CRIAÇÃO]]</f>
        <v>JANAINA OLIVEIRA/ARQUIVO DA EDITORA</v>
      </c>
      <c r="AB1386" s="33"/>
      <c r="AC1386" s="16"/>
      <c r="AE1386" s="35" t="str">
        <f t="shared" si="21"/>
        <v>EF1 E002 Mat</v>
      </c>
    </row>
    <row r="1387" spans="1:31" ht="45" x14ac:dyDescent="0.25">
      <c r="A1387" s="31" t="s">
        <v>2903</v>
      </c>
      <c r="B1387" s="16" t="s">
        <v>32</v>
      </c>
      <c r="C1387" s="16" t="s">
        <v>33</v>
      </c>
      <c r="D1387" s="33" t="s">
        <v>34</v>
      </c>
      <c r="E1387" s="33">
        <v>144</v>
      </c>
      <c r="F1387" s="33">
        <v>4</v>
      </c>
      <c r="G1387" s="33">
        <v>7</v>
      </c>
      <c r="H1387" s="33"/>
      <c r="I1387" s="31" t="s">
        <v>46</v>
      </c>
      <c r="J1387" s="31"/>
      <c r="K1387" s="33"/>
      <c r="L1387" s="33"/>
      <c r="M1387" s="31"/>
      <c r="N1387" s="31"/>
      <c r="O1387" s="16" t="s">
        <v>2904</v>
      </c>
      <c r="P1387" s="16"/>
      <c r="Q1387" s="16"/>
      <c r="R1387" s="33"/>
      <c r="S1387" s="34"/>
      <c r="T1387" s="34"/>
      <c r="U1387" s="34"/>
      <c r="V1387" s="34"/>
      <c r="W1387" s="34"/>
      <c r="X1387" s="33" t="s">
        <v>1515</v>
      </c>
      <c r="Y1387" s="35" t="str">
        <f>IF(Tabela2[[#This Row],[SIGLA]]="","",VLOOKUP(Tabela2[[#This Row],[SIGLA]],Tabela1[[#All],[Sigla Arte]:[Crédito]],2,0))</f>
        <v>JANAINA OLIVEIRA/ARQUIVO DA EDITORA</v>
      </c>
      <c r="Z1387" s="31"/>
      <c r="AA1387" s="31" t="str">
        <f>Tabela2[[#This Row],[ILUSTRADOR CRIAÇÃO]]</f>
        <v>JANAINA OLIVEIRA/ARQUIVO DA EDITORA</v>
      </c>
      <c r="AB1387" s="33"/>
      <c r="AC1387" s="16"/>
      <c r="AE1387" s="35" t="str">
        <f t="shared" si="21"/>
        <v>EF1 E002 Mat</v>
      </c>
    </row>
    <row r="1388" spans="1:31" ht="45" x14ac:dyDescent="0.25">
      <c r="A1388" s="31" t="s">
        <v>2905</v>
      </c>
      <c r="B1388" s="16" t="s">
        <v>32</v>
      </c>
      <c r="C1388" s="16" t="s">
        <v>33</v>
      </c>
      <c r="D1388" s="33" t="s">
        <v>34</v>
      </c>
      <c r="E1388" s="33">
        <v>144</v>
      </c>
      <c r="F1388" s="33">
        <v>4</v>
      </c>
      <c r="G1388" s="33">
        <v>7</v>
      </c>
      <c r="H1388" s="33"/>
      <c r="I1388" s="31" t="s">
        <v>46</v>
      </c>
      <c r="J1388" s="31"/>
      <c r="K1388" s="33"/>
      <c r="L1388" s="33"/>
      <c r="M1388" s="31"/>
      <c r="N1388" s="31"/>
      <c r="O1388" s="16" t="s">
        <v>2906</v>
      </c>
      <c r="P1388" s="16"/>
      <c r="Q1388" s="16"/>
      <c r="R1388" s="33"/>
      <c r="S1388" s="34"/>
      <c r="T1388" s="34"/>
      <c r="U1388" s="34"/>
      <c r="V1388" s="34"/>
      <c r="W1388" s="34"/>
      <c r="X1388" s="33" t="s">
        <v>1515</v>
      </c>
      <c r="Y1388" s="35" t="str">
        <f>IF(Tabela2[[#This Row],[SIGLA]]="","",VLOOKUP(Tabela2[[#This Row],[SIGLA]],Tabela1[[#All],[Sigla Arte]:[Crédito]],2,0))</f>
        <v>JANAINA OLIVEIRA/ARQUIVO DA EDITORA</v>
      </c>
      <c r="Z1388" s="31"/>
      <c r="AA1388" s="31" t="str">
        <f>Tabela2[[#This Row],[ILUSTRADOR CRIAÇÃO]]</f>
        <v>JANAINA OLIVEIRA/ARQUIVO DA EDITORA</v>
      </c>
      <c r="AB1388" s="33"/>
      <c r="AC1388" s="16"/>
      <c r="AE1388" s="35" t="str">
        <f t="shared" si="21"/>
        <v>EF1 E002 Mat</v>
      </c>
    </row>
    <row r="1389" spans="1:31" ht="45" x14ac:dyDescent="0.25">
      <c r="A1389" s="31" t="s">
        <v>2907</v>
      </c>
      <c r="B1389" s="16" t="s">
        <v>32</v>
      </c>
      <c r="C1389" s="16" t="s">
        <v>33</v>
      </c>
      <c r="D1389" s="33" t="s">
        <v>34</v>
      </c>
      <c r="E1389" s="33">
        <v>144</v>
      </c>
      <c r="F1389" s="33">
        <v>4</v>
      </c>
      <c r="G1389" s="33">
        <v>7</v>
      </c>
      <c r="H1389" s="33"/>
      <c r="I1389" s="31" t="s">
        <v>46</v>
      </c>
      <c r="J1389" s="31"/>
      <c r="K1389" s="33"/>
      <c r="L1389" s="33"/>
      <c r="M1389" s="31"/>
      <c r="N1389" s="31"/>
      <c r="O1389" s="16" t="s">
        <v>2908</v>
      </c>
      <c r="P1389" s="16"/>
      <c r="Q1389" s="16"/>
      <c r="R1389" s="33"/>
      <c r="S1389" s="34"/>
      <c r="T1389" s="34"/>
      <c r="U1389" s="34"/>
      <c r="V1389" s="34"/>
      <c r="W1389" s="34"/>
      <c r="X1389" s="33" t="s">
        <v>1515</v>
      </c>
      <c r="Y1389" s="35" t="str">
        <f>IF(Tabela2[[#This Row],[SIGLA]]="","",VLOOKUP(Tabela2[[#This Row],[SIGLA]],Tabela1[[#All],[Sigla Arte]:[Crédito]],2,0))</f>
        <v>JANAINA OLIVEIRA/ARQUIVO DA EDITORA</v>
      </c>
      <c r="Z1389" s="31"/>
      <c r="AA1389" s="31" t="str">
        <f>Tabela2[[#This Row],[ILUSTRADOR CRIAÇÃO]]</f>
        <v>JANAINA OLIVEIRA/ARQUIVO DA EDITORA</v>
      </c>
      <c r="AB1389" s="33"/>
      <c r="AC1389" s="16"/>
      <c r="AE1389" s="35" t="str">
        <f t="shared" si="21"/>
        <v>EF1 E002 Mat</v>
      </c>
    </row>
    <row r="1390" spans="1:31" ht="45" x14ac:dyDescent="0.25">
      <c r="A1390" s="31" t="s">
        <v>2909</v>
      </c>
      <c r="B1390" s="16" t="s">
        <v>32</v>
      </c>
      <c r="C1390" s="16" t="s">
        <v>33</v>
      </c>
      <c r="D1390" s="33" t="s">
        <v>34</v>
      </c>
      <c r="E1390" s="33">
        <v>145</v>
      </c>
      <c r="F1390" s="33">
        <v>4</v>
      </c>
      <c r="G1390" s="33">
        <v>7</v>
      </c>
      <c r="H1390" s="33"/>
      <c r="I1390" s="31" t="s">
        <v>46</v>
      </c>
      <c r="J1390" s="31"/>
      <c r="K1390" s="33"/>
      <c r="L1390" s="33"/>
      <c r="M1390" s="31"/>
      <c r="N1390" s="31"/>
      <c r="O1390" s="16" t="s">
        <v>2910</v>
      </c>
      <c r="P1390" s="16"/>
      <c r="Q1390" s="16"/>
      <c r="R1390" s="33"/>
      <c r="S1390" s="34"/>
      <c r="T1390" s="34"/>
      <c r="U1390" s="34"/>
      <c r="V1390" s="34"/>
      <c r="W1390" s="34"/>
      <c r="X1390" s="33" t="s">
        <v>1515</v>
      </c>
      <c r="Y1390" s="35" t="str">
        <f>IF(Tabela2[[#This Row],[SIGLA]]="","",VLOOKUP(Tabela2[[#This Row],[SIGLA]],Tabela1[[#All],[Sigla Arte]:[Crédito]],2,0))</f>
        <v>JANAINA OLIVEIRA/ARQUIVO DA EDITORA</v>
      </c>
      <c r="Z1390" s="31"/>
      <c r="AA1390" s="31" t="str">
        <f>Tabela2[[#This Row],[ILUSTRADOR CRIAÇÃO]]</f>
        <v>JANAINA OLIVEIRA/ARQUIVO DA EDITORA</v>
      </c>
      <c r="AB1390" s="33"/>
      <c r="AC1390" s="16"/>
      <c r="AE1390" s="35" t="str">
        <f t="shared" si="21"/>
        <v>EF1 E002 Mat</v>
      </c>
    </row>
    <row r="1391" spans="1:31" ht="45" x14ac:dyDescent="0.25">
      <c r="A1391" s="31" t="s">
        <v>2911</v>
      </c>
      <c r="B1391" s="16" t="s">
        <v>32</v>
      </c>
      <c r="C1391" s="16" t="s">
        <v>33</v>
      </c>
      <c r="D1391" s="33" t="s">
        <v>34</v>
      </c>
      <c r="E1391" s="33">
        <v>145</v>
      </c>
      <c r="F1391" s="33">
        <v>4</v>
      </c>
      <c r="G1391" s="33">
        <v>7</v>
      </c>
      <c r="H1391" s="33"/>
      <c r="I1391" s="31" t="s">
        <v>46</v>
      </c>
      <c r="J1391" s="31"/>
      <c r="K1391" s="33"/>
      <c r="L1391" s="33"/>
      <c r="M1391" s="31"/>
      <c r="N1391" s="31"/>
      <c r="O1391" s="16" t="s">
        <v>2912</v>
      </c>
      <c r="P1391" s="16"/>
      <c r="Q1391" s="16"/>
      <c r="R1391" s="33"/>
      <c r="S1391" s="34"/>
      <c r="T1391" s="34"/>
      <c r="U1391" s="34"/>
      <c r="V1391" s="34"/>
      <c r="W1391" s="34"/>
      <c r="X1391" s="33" t="s">
        <v>1515</v>
      </c>
      <c r="Y1391" s="35" t="str">
        <f>IF(Tabela2[[#This Row],[SIGLA]]="","",VLOOKUP(Tabela2[[#This Row],[SIGLA]],Tabela1[[#All],[Sigla Arte]:[Crédito]],2,0))</f>
        <v>JANAINA OLIVEIRA/ARQUIVO DA EDITORA</v>
      </c>
      <c r="Z1391" s="31"/>
      <c r="AA1391" s="31" t="str">
        <f>Tabela2[[#This Row],[ILUSTRADOR CRIAÇÃO]]</f>
        <v>JANAINA OLIVEIRA/ARQUIVO DA EDITORA</v>
      </c>
      <c r="AB1391" s="33"/>
      <c r="AC1391" s="16"/>
      <c r="AE1391" s="35" t="str">
        <f t="shared" si="21"/>
        <v>EF1 E002 Mat</v>
      </c>
    </row>
    <row r="1392" spans="1:31" ht="45" x14ac:dyDescent="0.25">
      <c r="A1392" s="31" t="s">
        <v>2913</v>
      </c>
      <c r="B1392" s="16" t="s">
        <v>32</v>
      </c>
      <c r="C1392" s="16" t="s">
        <v>33</v>
      </c>
      <c r="D1392" s="33" t="s">
        <v>34</v>
      </c>
      <c r="E1392" s="33">
        <v>146</v>
      </c>
      <c r="F1392" s="33">
        <v>4</v>
      </c>
      <c r="G1392" s="33">
        <v>7</v>
      </c>
      <c r="H1392" s="33"/>
      <c r="I1392" s="31" t="s">
        <v>46</v>
      </c>
      <c r="J1392" s="31"/>
      <c r="K1392" s="33"/>
      <c r="L1392" s="33"/>
      <c r="M1392" s="31"/>
      <c r="N1392" s="31"/>
      <c r="O1392" s="16" t="s">
        <v>2914</v>
      </c>
      <c r="P1392" s="16"/>
      <c r="Q1392" s="16"/>
      <c r="R1392" s="33"/>
      <c r="S1392" s="34"/>
      <c r="T1392" s="34"/>
      <c r="U1392" s="34"/>
      <c r="V1392" s="34"/>
      <c r="W1392" s="34"/>
      <c r="X1392" s="33" t="s">
        <v>1515</v>
      </c>
      <c r="Y1392" s="35" t="str">
        <f>IF(Tabela2[[#This Row],[SIGLA]]="","",VLOOKUP(Tabela2[[#This Row],[SIGLA]],Tabela1[[#All],[Sigla Arte]:[Crédito]],2,0))</f>
        <v>JANAINA OLIVEIRA/ARQUIVO DA EDITORA</v>
      </c>
      <c r="Z1392" s="31"/>
      <c r="AA1392" s="31" t="str">
        <f>Tabela2[[#This Row],[ILUSTRADOR CRIAÇÃO]]</f>
        <v>JANAINA OLIVEIRA/ARQUIVO DA EDITORA</v>
      </c>
      <c r="AB1392" s="33"/>
      <c r="AC1392" s="16"/>
      <c r="AE1392" s="35" t="str">
        <f t="shared" si="21"/>
        <v>EF1 E002 Mat</v>
      </c>
    </row>
    <row r="1393" spans="1:31" ht="45" x14ac:dyDescent="0.25">
      <c r="A1393" s="31" t="s">
        <v>2915</v>
      </c>
      <c r="B1393" s="16" t="s">
        <v>32</v>
      </c>
      <c r="C1393" s="16" t="s">
        <v>33</v>
      </c>
      <c r="D1393" s="33" t="s">
        <v>34</v>
      </c>
      <c r="E1393" s="33">
        <v>146</v>
      </c>
      <c r="F1393" s="33">
        <v>4</v>
      </c>
      <c r="G1393" s="33">
        <v>7</v>
      </c>
      <c r="H1393" s="33"/>
      <c r="I1393" s="31" t="s">
        <v>46</v>
      </c>
      <c r="J1393" s="31"/>
      <c r="K1393" s="33"/>
      <c r="L1393" s="33"/>
      <c r="M1393" s="31"/>
      <c r="N1393" s="31"/>
      <c r="O1393" s="16" t="s">
        <v>2916</v>
      </c>
      <c r="P1393" s="16"/>
      <c r="Q1393" s="16"/>
      <c r="R1393" s="33"/>
      <c r="S1393" s="34"/>
      <c r="T1393" s="34"/>
      <c r="U1393" s="34"/>
      <c r="V1393" s="34"/>
      <c r="W1393" s="34"/>
      <c r="X1393" s="33" t="s">
        <v>1515</v>
      </c>
      <c r="Y1393" s="35" t="str">
        <f>IF(Tabela2[[#This Row],[SIGLA]]="","",VLOOKUP(Tabela2[[#This Row],[SIGLA]],Tabela1[[#All],[Sigla Arte]:[Crédito]],2,0))</f>
        <v>JANAINA OLIVEIRA/ARQUIVO DA EDITORA</v>
      </c>
      <c r="Z1393" s="31"/>
      <c r="AA1393" s="31" t="str">
        <f>Tabela2[[#This Row],[ILUSTRADOR CRIAÇÃO]]</f>
        <v>JANAINA OLIVEIRA/ARQUIVO DA EDITORA</v>
      </c>
      <c r="AB1393" s="33"/>
      <c r="AC1393" s="16"/>
      <c r="AE1393" s="35" t="str">
        <f t="shared" si="21"/>
        <v>EF1 E002 Mat</v>
      </c>
    </row>
    <row r="1394" spans="1:31" ht="90" x14ac:dyDescent="0.25">
      <c r="A1394" s="31" t="s">
        <v>2917</v>
      </c>
      <c r="B1394" s="16" t="s">
        <v>32</v>
      </c>
      <c r="C1394" s="16" t="s">
        <v>33</v>
      </c>
      <c r="D1394" s="33" t="s">
        <v>34</v>
      </c>
      <c r="E1394" s="33">
        <v>146</v>
      </c>
      <c r="F1394" s="33">
        <v>4</v>
      </c>
      <c r="G1394" s="33">
        <v>7</v>
      </c>
      <c r="H1394" s="33"/>
      <c r="I1394" s="31" t="s">
        <v>35</v>
      </c>
      <c r="J1394" s="31"/>
      <c r="K1394" s="33"/>
      <c r="L1394" s="33"/>
      <c r="M1394" s="31"/>
      <c r="N1394" s="31"/>
      <c r="O1394" s="16" t="s">
        <v>2918</v>
      </c>
      <c r="P1394" s="16"/>
      <c r="Q1394" s="16"/>
      <c r="R1394" s="33">
        <v>35</v>
      </c>
      <c r="S1394" s="34">
        <v>45784</v>
      </c>
      <c r="T1394" s="34">
        <v>45786</v>
      </c>
      <c r="U1394" s="34"/>
      <c r="V1394" s="34"/>
      <c r="W1394" s="34">
        <v>45786</v>
      </c>
      <c r="X1394" s="33" t="s">
        <v>184</v>
      </c>
      <c r="Y1394" s="35" t="str">
        <f>IF(Tabela2[[#This Row],[SIGLA]]="","",VLOOKUP(Tabela2[[#This Row],[SIGLA]],Tabela1[[#All],[Sigla Arte]:[Crédito]],2,0))</f>
        <v>VER DOCUMENTO DE ILS. TÉCNICAS</v>
      </c>
      <c r="Z1394" s="31" t="s">
        <v>438</v>
      </c>
      <c r="AA1394" s="46" t="s">
        <v>921</v>
      </c>
      <c r="AB1394" s="33">
        <v>13</v>
      </c>
      <c r="AC1394" s="16" t="s">
        <v>439</v>
      </c>
      <c r="AD1394" s="16" t="s">
        <v>40</v>
      </c>
      <c r="AE1394" s="35" t="str">
        <f t="shared" si="21"/>
        <v>EF1 E002 Mat</v>
      </c>
    </row>
    <row r="1395" spans="1:31" ht="45" x14ac:dyDescent="0.25">
      <c r="A1395" s="31" t="s">
        <v>2919</v>
      </c>
      <c r="B1395" s="16" t="s">
        <v>32</v>
      </c>
      <c r="C1395" s="16" t="s">
        <v>33</v>
      </c>
      <c r="D1395" s="33" t="s">
        <v>34</v>
      </c>
      <c r="E1395" s="33">
        <v>146</v>
      </c>
      <c r="F1395" s="33">
        <v>4</v>
      </c>
      <c r="G1395" s="33">
        <v>7</v>
      </c>
      <c r="H1395" s="33"/>
      <c r="I1395" s="31" t="s">
        <v>46</v>
      </c>
      <c r="J1395" s="31"/>
      <c r="K1395" s="33"/>
      <c r="L1395" s="33"/>
      <c r="M1395" s="31"/>
      <c r="N1395" s="31"/>
      <c r="O1395" s="16" t="s">
        <v>2920</v>
      </c>
      <c r="P1395" s="16"/>
      <c r="Q1395" s="16"/>
      <c r="R1395" s="33"/>
      <c r="S1395" s="34"/>
      <c r="T1395" s="34"/>
      <c r="U1395" s="34"/>
      <c r="V1395" s="34"/>
      <c r="W1395" s="34"/>
      <c r="X1395" s="33" t="s">
        <v>1515</v>
      </c>
      <c r="Y1395" s="35" t="str">
        <f>IF(Tabela2[[#This Row],[SIGLA]]="","",VLOOKUP(Tabela2[[#This Row],[SIGLA]],Tabela1[[#All],[Sigla Arte]:[Crédito]],2,0))</f>
        <v>JANAINA OLIVEIRA/ARQUIVO DA EDITORA</v>
      </c>
      <c r="Z1395" s="31"/>
      <c r="AA1395" s="31" t="str">
        <f>Tabela2[[#This Row],[ILUSTRADOR CRIAÇÃO]]</f>
        <v>JANAINA OLIVEIRA/ARQUIVO DA EDITORA</v>
      </c>
      <c r="AB1395" s="33"/>
      <c r="AC1395" s="16"/>
      <c r="AE1395" s="35" t="str">
        <f t="shared" si="21"/>
        <v>EF1 E002 Mat</v>
      </c>
    </row>
    <row r="1396" spans="1:31" ht="75" x14ac:dyDescent="0.25">
      <c r="A1396" s="31" t="s">
        <v>2921</v>
      </c>
      <c r="B1396" s="16" t="s">
        <v>32</v>
      </c>
      <c r="C1396" s="16" t="s">
        <v>33</v>
      </c>
      <c r="D1396" s="33" t="s">
        <v>34</v>
      </c>
      <c r="E1396" s="33">
        <v>146</v>
      </c>
      <c r="F1396" s="33">
        <v>4</v>
      </c>
      <c r="G1396" s="33">
        <v>7</v>
      </c>
      <c r="H1396" s="33"/>
      <c r="I1396" s="31" t="s">
        <v>35</v>
      </c>
      <c r="J1396" s="31"/>
      <c r="K1396" s="33"/>
      <c r="L1396" s="33"/>
      <c r="M1396" s="31"/>
      <c r="N1396" s="31"/>
      <c r="O1396" s="16" t="s">
        <v>2922</v>
      </c>
      <c r="P1396" s="16"/>
      <c r="Q1396" s="16"/>
      <c r="R1396" s="33">
        <v>35</v>
      </c>
      <c r="S1396" s="34">
        <v>45784</v>
      </c>
      <c r="T1396" s="34">
        <v>45786</v>
      </c>
      <c r="U1396" s="34"/>
      <c r="V1396" s="34"/>
      <c r="W1396" s="34">
        <v>45786</v>
      </c>
      <c r="X1396" s="33" t="s">
        <v>184</v>
      </c>
      <c r="Y1396" s="35" t="str">
        <f>IF(Tabela2[[#This Row],[SIGLA]]="","",VLOOKUP(Tabela2[[#This Row],[SIGLA]],Tabela1[[#All],[Sigla Arte]:[Crédito]],2,0))</f>
        <v>VER DOCUMENTO DE ILS. TÉCNICAS</v>
      </c>
      <c r="Z1396" s="31" t="s">
        <v>438</v>
      </c>
      <c r="AA1396" s="46" t="s">
        <v>921</v>
      </c>
      <c r="AB1396" s="33">
        <v>13</v>
      </c>
      <c r="AC1396" s="16" t="s">
        <v>439</v>
      </c>
      <c r="AD1396" s="16" t="s">
        <v>40</v>
      </c>
      <c r="AE1396" s="35" t="str">
        <f t="shared" si="21"/>
        <v>EF1 E002 Mat</v>
      </c>
    </row>
    <row r="1397" spans="1:31" ht="75" x14ac:dyDescent="0.25">
      <c r="A1397" s="31" t="s">
        <v>2923</v>
      </c>
      <c r="B1397" s="16" t="s">
        <v>32</v>
      </c>
      <c r="C1397" s="16" t="s">
        <v>33</v>
      </c>
      <c r="D1397" s="33" t="s">
        <v>34</v>
      </c>
      <c r="E1397" s="33">
        <v>146</v>
      </c>
      <c r="F1397" s="33">
        <v>4</v>
      </c>
      <c r="G1397" s="33">
        <v>7</v>
      </c>
      <c r="H1397" s="33"/>
      <c r="I1397" s="31" t="s">
        <v>46</v>
      </c>
      <c r="J1397" s="31"/>
      <c r="K1397" s="33"/>
      <c r="L1397" s="33"/>
      <c r="M1397" s="31"/>
      <c r="N1397" s="31"/>
      <c r="O1397" s="16" t="s">
        <v>2922</v>
      </c>
      <c r="P1397" s="16"/>
      <c r="Q1397" s="16"/>
      <c r="R1397" s="33"/>
      <c r="S1397" s="34"/>
      <c r="T1397" s="34"/>
      <c r="U1397" s="34"/>
      <c r="V1397" s="34"/>
      <c r="W1397" s="34"/>
      <c r="X1397" s="33" t="s">
        <v>1515</v>
      </c>
      <c r="Y1397" s="35" t="str">
        <f>IF(Tabela2[[#This Row],[SIGLA]]="","",VLOOKUP(Tabela2[[#This Row],[SIGLA]],Tabela1[[#All],[Sigla Arte]:[Crédito]],2,0))</f>
        <v>JANAINA OLIVEIRA/ARQUIVO DA EDITORA</v>
      </c>
      <c r="Z1397" s="31"/>
      <c r="AA1397" s="31" t="str">
        <f>Tabela2[[#This Row],[ILUSTRADOR CRIAÇÃO]]</f>
        <v>JANAINA OLIVEIRA/ARQUIVO DA EDITORA</v>
      </c>
      <c r="AB1397" s="33"/>
      <c r="AC1397" s="16"/>
      <c r="AE1397" s="35" t="str">
        <f t="shared" si="21"/>
        <v>EF1 E002 Mat</v>
      </c>
    </row>
    <row r="1398" spans="1:31" ht="45" x14ac:dyDescent="0.25">
      <c r="A1398" s="31" t="s">
        <v>2924</v>
      </c>
      <c r="B1398" s="16" t="s">
        <v>32</v>
      </c>
      <c r="C1398" s="16" t="s">
        <v>33</v>
      </c>
      <c r="D1398" s="33" t="s">
        <v>34</v>
      </c>
      <c r="E1398" s="33">
        <v>146</v>
      </c>
      <c r="F1398" s="33">
        <v>4</v>
      </c>
      <c r="G1398" s="33">
        <v>7</v>
      </c>
      <c r="H1398" s="33"/>
      <c r="I1398" s="31" t="s">
        <v>35</v>
      </c>
      <c r="J1398" s="31"/>
      <c r="K1398" s="33"/>
      <c r="L1398" s="33"/>
      <c r="M1398" s="31"/>
      <c r="N1398" s="31"/>
      <c r="O1398" s="16" t="s">
        <v>2925</v>
      </c>
      <c r="P1398" s="16"/>
      <c r="Q1398" s="16"/>
      <c r="R1398" s="33">
        <v>35</v>
      </c>
      <c r="S1398" s="34">
        <v>45784</v>
      </c>
      <c r="T1398" s="34">
        <v>45786</v>
      </c>
      <c r="U1398" s="34"/>
      <c r="V1398" s="34"/>
      <c r="W1398" s="34">
        <v>45786</v>
      </c>
      <c r="X1398" s="33" t="s">
        <v>184</v>
      </c>
      <c r="Y1398" s="35" t="str">
        <f>IF(Tabela2[[#This Row],[SIGLA]]="","",VLOOKUP(Tabela2[[#This Row],[SIGLA]],Tabela1[[#All],[Sigla Arte]:[Crédito]],2,0))</f>
        <v>VER DOCUMENTO DE ILS. TÉCNICAS</v>
      </c>
      <c r="Z1398" s="31" t="s">
        <v>438</v>
      </c>
      <c r="AA1398" s="46" t="s">
        <v>921</v>
      </c>
      <c r="AB1398" s="33">
        <v>13</v>
      </c>
      <c r="AC1398" s="16" t="s">
        <v>439</v>
      </c>
      <c r="AD1398" s="16" t="s">
        <v>40</v>
      </c>
      <c r="AE1398" s="35" t="str">
        <f t="shared" si="21"/>
        <v>EF1 E002 Mat</v>
      </c>
    </row>
    <row r="1399" spans="1:31" ht="45" x14ac:dyDescent="0.25">
      <c r="A1399" s="31" t="s">
        <v>2926</v>
      </c>
      <c r="B1399" s="16" t="s">
        <v>32</v>
      </c>
      <c r="C1399" s="16" t="s">
        <v>33</v>
      </c>
      <c r="D1399" s="33" t="s">
        <v>34</v>
      </c>
      <c r="E1399" s="33">
        <v>146</v>
      </c>
      <c r="F1399" s="33">
        <v>4</v>
      </c>
      <c r="G1399" s="33">
        <v>7</v>
      </c>
      <c r="H1399" s="33"/>
      <c r="I1399" s="31" t="s">
        <v>46</v>
      </c>
      <c r="J1399" s="31"/>
      <c r="K1399" s="33"/>
      <c r="L1399" s="33"/>
      <c r="M1399" s="31"/>
      <c r="N1399" s="31"/>
      <c r="O1399" s="16" t="s">
        <v>2927</v>
      </c>
      <c r="P1399" s="16"/>
      <c r="Q1399" s="16"/>
      <c r="R1399" s="33"/>
      <c r="S1399" s="34"/>
      <c r="T1399" s="34"/>
      <c r="U1399" s="34"/>
      <c r="V1399" s="34"/>
      <c r="W1399" s="34"/>
      <c r="X1399" s="33" t="s">
        <v>162</v>
      </c>
      <c r="Y1399" s="35" t="str">
        <f>IF(Tabela2[[#This Row],[SIGLA]]="","",VLOOKUP(Tabela2[[#This Row],[SIGLA]],Tabela1[[#All],[Sigla Arte]:[Crédito]],2,0))</f>
        <v>IVY NUNES/ARQUIVO DA EDITORA</v>
      </c>
      <c r="Z1399" s="31"/>
      <c r="AA1399" s="31" t="str">
        <f>Tabela2[[#This Row],[ILUSTRADOR CRIAÇÃO]]</f>
        <v>IVY NUNES/ARQUIVO DA EDITORA</v>
      </c>
      <c r="AB1399" s="33"/>
      <c r="AC1399" s="16"/>
      <c r="AE1399" s="35" t="str">
        <f t="shared" si="21"/>
        <v>EF1 E002 Mat</v>
      </c>
    </row>
    <row r="1400" spans="1:31" ht="75" x14ac:dyDescent="0.25">
      <c r="A1400" s="31" t="s">
        <v>2928</v>
      </c>
      <c r="B1400" s="16" t="s">
        <v>32</v>
      </c>
      <c r="C1400" s="16" t="s">
        <v>33</v>
      </c>
      <c r="D1400" s="33" t="s">
        <v>34</v>
      </c>
      <c r="E1400" s="33">
        <v>147</v>
      </c>
      <c r="F1400" s="33">
        <v>4</v>
      </c>
      <c r="G1400" s="33">
        <v>7</v>
      </c>
      <c r="H1400" s="33"/>
      <c r="I1400" s="31" t="s">
        <v>35</v>
      </c>
      <c r="J1400" s="31"/>
      <c r="K1400" s="33"/>
      <c r="L1400" s="33"/>
      <c r="M1400" s="31"/>
      <c r="N1400" s="31"/>
      <c r="O1400" s="16" t="s">
        <v>2929</v>
      </c>
      <c r="P1400" s="16"/>
      <c r="Q1400" s="16"/>
      <c r="R1400" s="33">
        <v>35</v>
      </c>
      <c r="S1400" s="34">
        <v>45784</v>
      </c>
      <c r="T1400" s="34">
        <v>45786</v>
      </c>
      <c r="U1400" s="34"/>
      <c r="V1400" s="34"/>
      <c r="W1400" s="34">
        <v>45786</v>
      </c>
      <c r="X1400" s="33" t="s">
        <v>162</v>
      </c>
      <c r="Y1400" s="35" t="str">
        <f>IF(Tabela2[[#This Row],[SIGLA]]="","",VLOOKUP(Tabela2[[#This Row],[SIGLA]],Tabela1[[#All],[Sigla Arte]:[Crédito]],2,0))</f>
        <v>IVY NUNES/ARQUIVO DA EDITORA</v>
      </c>
      <c r="Z1400" s="31" t="s">
        <v>438</v>
      </c>
      <c r="AA1400" s="31" t="str">
        <f>Tabela2[[#This Row],[ILUSTRADOR CRIAÇÃO]]</f>
        <v>IVY NUNES/ARQUIVO DA EDITORA</v>
      </c>
      <c r="AB1400" s="33">
        <v>13</v>
      </c>
      <c r="AC1400" s="16" t="s">
        <v>439</v>
      </c>
      <c r="AD1400" s="16" t="s">
        <v>40</v>
      </c>
      <c r="AE1400" s="35" t="str">
        <f t="shared" si="21"/>
        <v>EF1 E002 Mat</v>
      </c>
    </row>
    <row r="1401" spans="1:31" ht="75" x14ac:dyDescent="0.25">
      <c r="A1401" s="31" t="s">
        <v>2930</v>
      </c>
      <c r="B1401" s="16" t="s">
        <v>32</v>
      </c>
      <c r="C1401" s="16" t="s">
        <v>33</v>
      </c>
      <c r="D1401" s="33" t="s">
        <v>34</v>
      </c>
      <c r="E1401" s="33">
        <v>149</v>
      </c>
      <c r="F1401" s="33">
        <v>4</v>
      </c>
      <c r="G1401" s="33">
        <v>7</v>
      </c>
      <c r="H1401" s="33"/>
      <c r="I1401" s="31" t="s">
        <v>35</v>
      </c>
      <c r="J1401" s="31"/>
      <c r="K1401" s="33"/>
      <c r="L1401" s="33"/>
      <c r="M1401" s="31"/>
      <c r="N1401" s="31"/>
      <c r="O1401" s="16" t="s">
        <v>2931</v>
      </c>
      <c r="P1401" s="16"/>
      <c r="Q1401" s="16"/>
      <c r="R1401" s="33">
        <v>35</v>
      </c>
      <c r="S1401" s="34">
        <v>45784</v>
      </c>
      <c r="T1401" s="34">
        <v>45786</v>
      </c>
      <c r="U1401" s="34"/>
      <c r="V1401" s="34"/>
      <c r="W1401" s="34">
        <v>45786</v>
      </c>
      <c r="X1401" s="33" t="s">
        <v>85</v>
      </c>
      <c r="Y1401" s="35" t="str">
        <f>IF(Tabela2[[#This Row],[SIGLA]]="","",VLOOKUP(Tabela2[[#This Row],[SIGLA]],Tabela1[[#All],[Sigla Arte]:[Crédito]],2,0))</f>
        <v>HELOÍSA PINTARELLI/ARQUIVO DA EDITORA</v>
      </c>
      <c r="Z1401" s="31" t="s">
        <v>438</v>
      </c>
      <c r="AA1401" s="31" t="s">
        <v>2932</v>
      </c>
      <c r="AB1401" s="33">
        <v>13</v>
      </c>
      <c r="AC1401" s="16" t="s">
        <v>439</v>
      </c>
      <c r="AD1401" s="16" t="s">
        <v>40</v>
      </c>
      <c r="AE1401" s="35" t="str">
        <f t="shared" si="21"/>
        <v>EF1 E002 Mat</v>
      </c>
    </row>
    <row r="1402" spans="1:31" ht="30" x14ac:dyDescent="0.25">
      <c r="A1402" s="31" t="s">
        <v>2933</v>
      </c>
      <c r="B1402" s="16" t="s">
        <v>32</v>
      </c>
      <c r="C1402" s="16" t="s">
        <v>164</v>
      </c>
      <c r="D1402" s="33" t="s">
        <v>34</v>
      </c>
      <c r="E1402" s="33">
        <v>148</v>
      </c>
      <c r="F1402" s="33">
        <v>4</v>
      </c>
      <c r="G1402" s="33">
        <v>8</v>
      </c>
      <c r="H1402" s="33"/>
      <c r="I1402" s="31" t="s">
        <v>46</v>
      </c>
      <c r="J1402" s="31"/>
      <c r="K1402" s="33"/>
      <c r="L1402" s="33"/>
      <c r="M1402" s="31"/>
      <c r="N1402" s="31"/>
      <c r="O1402" s="16" t="s">
        <v>2934</v>
      </c>
      <c r="P1402" s="16"/>
      <c r="Q1402" s="16"/>
      <c r="R1402" s="33"/>
      <c r="S1402" s="34"/>
      <c r="T1402" s="34"/>
      <c r="U1402" s="34"/>
      <c r="V1402" s="34"/>
      <c r="W1402" s="34"/>
      <c r="X1402" s="33" t="s">
        <v>1126</v>
      </c>
      <c r="Y1402" s="35" t="str">
        <f>IF(Tabela2[[#This Row],[SIGLA]]="","",VLOOKUP(Tabela2[[#This Row],[SIGLA]],Tabela1[[#All],[Sigla Arte]:[Crédito]],2,0))</f>
        <v>GUSTAVO CONTI/ARQUIVO DA EDITORA</v>
      </c>
      <c r="Z1402" s="31"/>
      <c r="AA1402" s="31" t="str">
        <f>Tabela2[[#This Row],[ILUSTRADOR CRIAÇÃO]]</f>
        <v>GUSTAVO CONTI/ARQUIVO DA EDITORA</v>
      </c>
      <c r="AB1402" s="33"/>
      <c r="AC1402" s="16"/>
      <c r="AE1402" s="35" t="str">
        <f t="shared" si="21"/>
        <v>EF1 E002 Mat</v>
      </c>
    </row>
    <row r="1403" spans="1:31" ht="30" x14ac:dyDescent="0.25">
      <c r="A1403" s="31" t="s">
        <v>2935</v>
      </c>
      <c r="B1403" s="16" t="s">
        <v>32</v>
      </c>
      <c r="C1403" s="16" t="s">
        <v>164</v>
      </c>
      <c r="D1403" s="33" t="s">
        <v>34</v>
      </c>
      <c r="E1403" s="33">
        <v>148</v>
      </c>
      <c r="F1403" s="33">
        <v>4</v>
      </c>
      <c r="G1403" s="33">
        <v>8</v>
      </c>
      <c r="H1403" s="33"/>
      <c r="I1403" s="31" t="s">
        <v>46</v>
      </c>
      <c r="J1403" s="31"/>
      <c r="K1403" s="33"/>
      <c r="L1403" s="33"/>
      <c r="M1403" s="31"/>
      <c r="N1403" s="31"/>
      <c r="O1403" s="16" t="s">
        <v>2936</v>
      </c>
      <c r="P1403" s="16"/>
      <c r="Q1403" s="16"/>
      <c r="R1403" s="33"/>
      <c r="S1403" s="34"/>
      <c r="T1403" s="34"/>
      <c r="U1403" s="34"/>
      <c r="V1403" s="34"/>
      <c r="W1403" s="34"/>
      <c r="X1403" s="33" t="s">
        <v>1126</v>
      </c>
      <c r="Y1403" s="35" t="str">
        <f>IF(Tabela2[[#This Row],[SIGLA]]="","",VLOOKUP(Tabela2[[#This Row],[SIGLA]],Tabela1[[#All],[Sigla Arte]:[Crédito]],2,0))</f>
        <v>GUSTAVO CONTI/ARQUIVO DA EDITORA</v>
      </c>
      <c r="Z1403" s="31"/>
      <c r="AA1403" s="31" t="str">
        <f>Tabela2[[#This Row],[ILUSTRADOR CRIAÇÃO]]</f>
        <v>GUSTAVO CONTI/ARQUIVO DA EDITORA</v>
      </c>
      <c r="AB1403" s="33"/>
      <c r="AC1403" s="16"/>
      <c r="AE1403" s="35" t="str">
        <f t="shared" si="21"/>
        <v>EF1 E002 Mat</v>
      </c>
    </row>
    <row r="1404" spans="1:31" ht="30" x14ac:dyDescent="0.25">
      <c r="A1404" s="31" t="s">
        <v>2937</v>
      </c>
      <c r="B1404" s="16" t="s">
        <v>32</v>
      </c>
      <c r="C1404" s="16" t="s">
        <v>164</v>
      </c>
      <c r="D1404" s="33" t="s">
        <v>34</v>
      </c>
      <c r="E1404" s="33">
        <v>148</v>
      </c>
      <c r="F1404" s="33">
        <v>4</v>
      </c>
      <c r="G1404" s="33">
        <v>8</v>
      </c>
      <c r="H1404" s="33"/>
      <c r="I1404" s="31" t="s">
        <v>46</v>
      </c>
      <c r="J1404" s="31"/>
      <c r="K1404" s="33"/>
      <c r="L1404" s="33"/>
      <c r="M1404" s="31"/>
      <c r="N1404" s="31"/>
      <c r="O1404" s="16" t="s">
        <v>2938</v>
      </c>
      <c r="P1404" s="16"/>
      <c r="Q1404" s="16"/>
      <c r="R1404" s="33"/>
      <c r="S1404" s="34"/>
      <c r="T1404" s="34"/>
      <c r="U1404" s="34"/>
      <c r="V1404" s="34"/>
      <c r="W1404" s="34"/>
      <c r="X1404" s="33" t="s">
        <v>1126</v>
      </c>
      <c r="Y1404" s="35" t="str">
        <f>IF(Tabela2[[#This Row],[SIGLA]]="","",VLOOKUP(Tabela2[[#This Row],[SIGLA]],Tabela1[[#All],[Sigla Arte]:[Crédito]],2,0))</f>
        <v>GUSTAVO CONTI/ARQUIVO DA EDITORA</v>
      </c>
      <c r="Z1404" s="31"/>
      <c r="AA1404" s="31" t="str">
        <f>Tabela2[[#This Row],[ILUSTRADOR CRIAÇÃO]]</f>
        <v>GUSTAVO CONTI/ARQUIVO DA EDITORA</v>
      </c>
      <c r="AB1404" s="33"/>
      <c r="AC1404" s="16"/>
      <c r="AE1404" s="35" t="str">
        <f t="shared" si="21"/>
        <v>EF1 E002 Mat</v>
      </c>
    </row>
    <row r="1405" spans="1:31" ht="30" x14ac:dyDescent="0.25">
      <c r="A1405" s="31" t="s">
        <v>2939</v>
      </c>
      <c r="B1405" s="16" t="s">
        <v>32</v>
      </c>
      <c r="C1405" s="16" t="s">
        <v>164</v>
      </c>
      <c r="D1405" s="33" t="s">
        <v>34</v>
      </c>
      <c r="E1405" s="33">
        <v>148</v>
      </c>
      <c r="F1405" s="33">
        <v>4</v>
      </c>
      <c r="G1405" s="33">
        <v>8</v>
      </c>
      <c r="H1405" s="33"/>
      <c r="I1405" s="31" t="s">
        <v>46</v>
      </c>
      <c r="J1405" s="31"/>
      <c r="K1405" s="33"/>
      <c r="L1405" s="33"/>
      <c r="M1405" s="31"/>
      <c r="N1405" s="31"/>
      <c r="O1405" s="16" t="s">
        <v>2940</v>
      </c>
      <c r="P1405" s="16"/>
      <c r="Q1405" s="16"/>
      <c r="R1405" s="33"/>
      <c r="S1405" s="34"/>
      <c r="T1405" s="34"/>
      <c r="U1405" s="34"/>
      <c r="V1405" s="34"/>
      <c r="W1405" s="34"/>
      <c r="X1405" s="33" t="s">
        <v>1126</v>
      </c>
      <c r="Y1405" s="35" t="str">
        <f>IF(Tabela2[[#This Row],[SIGLA]]="","",VLOOKUP(Tabela2[[#This Row],[SIGLA]],Tabela1[[#All],[Sigla Arte]:[Crédito]],2,0))</f>
        <v>GUSTAVO CONTI/ARQUIVO DA EDITORA</v>
      </c>
      <c r="Z1405" s="31"/>
      <c r="AA1405" s="31" t="str">
        <f>Tabela2[[#This Row],[ILUSTRADOR CRIAÇÃO]]</f>
        <v>GUSTAVO CONTI/ARQUIVO DA EDITORA</v>
      </c>
      <c r="AB1405" s="33"/>
      <c r="AC1405" s="16"/>
      <c r="AE1405" s="35" t="str">
        <f t="shared" si="21"/>
        <v>EF1 E002 Mat</v>
      </c>
    </row>
    <row r="1406" spans="1:31" ht="45" x14ac:dyDescent="0.25">
      <c r="A1406" s="31" t="s">
        <v>2941</v>
      </c>
      <c r="B1406" s="16" t="s">
        <v>32</v>
      </c>
      <c r="C1406" s="16" t="s">
        <v>164</v>
      </c>
      <c r="D1406" s="33" t="s">
        <v>34</v>
      </c>
      <c r="E1406" s="33">
        <v>150</v>
      </c>
      <c r="F1406" s="33">
        <v>4</v>
      </c>
      <c r="G1406" s="33">
        <v>8</v>
      </c>
      <c r="H1406" s="33"/>
      <c r="I1406" s="31" t="s">
        <v>46</v>
      </c>
      <c r="J1406" s="31"/>
      <c r="K1406" s="33"/>
      <c r="L1406" s="33"/>
      <c r="M1406" s="31"/>
      <c r="N1406" s="31"/>
      <c r="O1406" s="16" t="s">
        <v>2942</v>
      </c>
      <c r="P1406" s="16"/>
      <c r="Q1406" s="16"/>
      <c r="R1406" s="33"/>
      <c r="S1406" s="34"/>
      <c r="T1406" s="34"/>
      <c r="U1406" s="34"/>
      <c r="V1406" s="34"/>
      <c r="W1406" s="34"/>
      <c r="X1406" s="33" t="s">
        <v>1126</v>
      </c>
      <c r="Y1406" s="35" t="str">
        <f>IF(Tabela2[[#This Row],[SIGLA]]="","",VLOOKUP(Tabela2[[#This Row],[SIGLA]],Tabela1[[#All],[Sigla Arte]:[Crédito]],2,0))</f>
        <v>GUSTAVO CONTI/ARQUIVO DA EDITORA</v>
      </c>
      <c r="Z1406" s="31"/>
      <c r="AA1406" s="31" t="str">
        <f>Tabela2[[#This Row],[ILUSTRADOR CRIAÇÃO]]</f>
        <v>GUSTAVO CONTI/ARQUIVO DA EDITORA</v>
      </c>
      <c r="AB1406" s="33"/>
      <c r="AC1406" s="16"/>
      <c r="AE1406" s="35" t="str">
        <f t="shared" si="21"/>
        <v>EF1 E002 Mat</v>
      </c>
    </row>
    <row r="1407" spans="1:31" ht="45" x14ac:dyDescent="0.25">
      <c r="A1407" s="31" t="s">
        <v>2943</v>
      </c>
      <c r="B1407" s="16" t="s">
        <v>32</v>
      </c>
      <c r="C1407" s="16" t="s">
        <v>164</v>
      </c>
      <c r="D1407" s="33" t="s">
        <v>34</v>
      </c>
      <c r="E1407" s="33">
        <v>150</v>
      </c>
      <c r="F1407" s="33">
        <v>4</v>
      </c>
      <c r="G1407" s="33">
        <v>8</v>
      </c>
      <c r="H1407" s="33"/>
      <c r="I1407" s="31" t="s">
        <v>46</v>
      </c>
      <c r="J1407" s="31"/>
      <c r="K1407" s="33"/>
      <c r="L1407" s="33"/>
      <c r="M1407" s="31"/>
      <c r="N1407" s="31"/>
      <c r="O1407" s="16" t="s">
        <v>2944</v>
      </c>
      <c r="P1407" s="16"/>
      <c r="Q1407" s="16"/>
      <c r="R1407" s="33"/>
      <c r="S1407" s="34"/>
      <c r="T1407" s="34"/>
      <c r="U1407" s="34"/>
      <c r="V1407" s="34"/>
      <c r="W1407" s="34"/>
      <c r="X1407" s="33" t="s">
        <v>470</v>
      </c>
      <c r="Y1407" s="35" t="str">
        <f>IF(Tabela2[[#This Row],[SIGLA]]="","",VLOOKUP(Tabela2[[#This Row],[SIGLA]],Tabela1[[#All],[Sigla Arte]:[Crédito]],2,0))</f>
        <v>RENAN FONSECA/ARQUIVO DA EDITORA</v>
      </c>
      <c r="Z1407" s="31"/>
      <c r="AA1407" s="31" t="str">
        <f>Tabela2[[#This Row],[ILUSTRADOR CRIAÇÃO]]</f>
        <v>RENAN FONSECA/ARQUIVO DA EDITORA</v>
      </c>
      <c r="AB1407" s="33"/>
      <c r="AC1407" s="16"/>
      <c r="AE1407" s="35" t="str">
        <f t="shared" si="21"/>
        <v>EF1 E002 Mat</v>
      </c>
    </row>
    <row r="1408" spans="1:31" ht="45" x14ac:dyDescent="0.25">
      <c r="A1408" s="31" t="s">
        <v>2945</v>
      </c>
      <c r="B1408" s="16" t="s">
        <v>401</v>
      </c>
      <c r="C1408" s="16" t="s">
        <v>164</v>
      </c>
      <c r="D1408" s="33" t="s">
        <v>34</v>
      </c>
      <c r="E1408" s="33">
        <v>150</v>
      </c>
      <c r="F1408" s="33">
        <v>4</v>
      </c>
      <c r="G1408" s="33">
        <v>8</v>
      </c>
      <c r="H1408" s="33"/>
      <c r="I1408" s="31" t="s">
        <v>46</v>
      </c>
      <c r="J1408" s="31"/>
      <c r="K1408" s="33"/>
      <c r="L1408" s="33"/>
      <c r="M1408" s="31"/>
      <c r="N1408" s="31"/>
      <c r="O1408" s="16" t="s">
        <v>2946</v>
      </c>
      <c r="P1408" s="16"/>
      <c r="Q1408" s="16"/>
      <c r="R1408" s="33"/>
      <c r="S1408" s="34"/>
      <c r="T1408" s="34"/>
      <c r="U1408" s="34"/>
      <c r="V1408" s="34"/>
      <c r="W1408" s="34"/>
      <c r="X1408" s="33" t="s">
        <v>184</v>
      </c>
      <c r="Y1408" s="35" t="str">
        <f>IF(Tabela2[[#This Row],[SIGLA]]="","",VLOOKUP(Tabela2[[#This Row],[SIGLA]],Tabela1[[#All],[Sigla Arte]:[Crédito]],2,0))</f>
        <v>VER DOCUMENTO DE ILS. TÉCNICAS</v>
      </c>
      <c r="Z1408" s="31"/>
      <c r="AA1408" s="31" t="str">
        <f>Tabela2[[#This Row],[ILUSTRADOR CRIAÇÃO]]</f>
        <v>VER DOCUMENTO DE ILS. TÉCNICAS</v>
      </c>
      <c r="AB1408" s="33"/>
      <c r="AC1408" s="16"/>
      <c r="AE1408" s="35" t="str">
        <f t="shared" si="21"/>
        <v>EF1 E002 Mat</v>
      </c>
    </row>
    <row r="1409" spans="1:31" ht="45" x14ac:dyDescent="0.25">
      <c r="A1409" s="31" t="s">
        <v>2947</v>
      </c>
      <c r="B1409" s="16" t="s">
        <v>32</v>
      </c>
      <c r="C1409" s="16" t="s">
        <v>164</v>
      </c>
      <c r="D1409" s="33" t="s">
        <v>34</v>
      </c>
      <c r="E1409" s="33">
        <v>150</v>
      </c>
      <c r="F1409" s="33">
        <v>4</v>
      </c>
      <c r="G1409" s="33">
        <v>8</v>
      </c>
      <c r="H1409" s="33"/>
      <c r="I1409" s="31" t="s">
        <v>46</v>
      </c>
      <c r="J1409" s="31"/>
      <c r="K1409" s="33"/>
      <c r="L1409" s="33"/>
      <c r="M1409" s="31"/>
      <c r="N1409" s="31"/>
      <c r="O1409" s="16" t="s">
        <v>2948</v>
      </c>
      <c r="P1409" s="16"/>
      <c r="Q1409" s="16"/>
      <c r="R1409" s="33"/>
      <c r="S1409" s="34"/>
      <c r="T1409" s="34"/>
      <c r="U1409" s="34"/>
      <c r="V1409" s="34"/>
      <c r="W1409" s="34"/>
      <c r="X1409" s="33" t="s">
        <v>470</v>
      </c>
      <c r="Y1409" s="35" t="str">
        <f>IF(Tabela2[[#This Row],[SIGLA]]="","",VLOOKUP(Tabela2[[#This Row],[SIGLA]],Tabela1[[#All],[Sigla Arte]:[Crédito]],2,0))</f>
        <v>RENAN FONSECA/ARQUIVO DA EDITORA</v>
      </c>
      <c r="Z1409" s="31"/>
      <c r="AA1409" s="31" t="str">
        <f>Tabela2[[#This Row],[ILUSTRADOR CRIAÇÃO]]</f>
        <v>RENAN FONSECA/ARQUIVO DA EDITORA</v>
      </c>
      <c r="AB1409" s="33"/>
      <c r="AC1409" s="16"/>
      <c r="AE1409" s="35" t="str">
        <f t="shared" si="21"/>
        <v>EF1 E002 Mat</v>
      </c>
    </row>
    <row r="1410" spans="1:31" ht="45" x14ac:dyDescent="0.25">
      <c r="A1410" s="31" t="s">
        <v>2949</v>
      </c>
      <c r="B1410" s="16" t="s">
        <v>401</v>
      </c>
      <c r="C1410" s="16" t="s">
        <v>164</v>
      </c>
      <c r="D1410" s="33" t="s">
        <v>34</v>
      </c>
      <c r="E1410" s="33">
        <v>150</v>
      </c>
      <c r="F1410" s="33">
        <v>4</v>
      </c>
      <c r="G1410" s="33">
        <v>8</v>
      </c>
      <c r="H1410" s="33"/>
      <c r="I1410" s="31" t="s">
        <v>46</v>
      </c>
      <c r="J1410" s="31"/>
      <c r="K1410" s="33"/>
      <c r="L1410" s="33"/>
      <c r="M1410" s="31"/>
      <c r="N1410" s="31"/>
      <c r="O1410" s="16" t="s">
        <v>2950</v>
      </c>
      <c r="P1410" s="16"/>
      <c r="Q1410" s="16"/>
      <c r="R1410" s="33"/>
      <c r="S1410" s="34"/>
      <c r="T1410" s="34"/>
      <c r="U1410" s="34"/>
      <c r="V1410" s="34"/>
      <c r="W1410" s="34"/>
      <c r="X1410" s="33" t="s">
        <v>184</v>
      </c>
      <c r="Y1410" s="35" t="str">
        <f>IF(Tabela2[[#This Row],[SIGLA]]="","",VLOOKUP(Tabela2[[#This Row],[SIGLA]],Tabela1[[#All],[Sigla Arte]:[Crédito]],2,0))</f>
        <v>VER DOCUMENTO DE ILS. TÉCNICAS</v>
      </c>
      <c r="Z1410" s="31"/>
      <c r="AA1410" s="31" t="str">
        <f>Tabela2[[#This Row],[ILUSTRADOR CRIAÇÃO]]</f>
        <v>VER DOCUMENTO DE ILS. TÉCNICAS</v>
      </c>
      <c r="AB1410" s="33"/>
      <c r="AC1410" s="16"/>
      <c r="AE1410" s="35" t="str">
        <f t="shared" ref="AE1410:AE1473" si="22">"EF1 E002 Mat"</f>
        <v>EF1 E002 Mat</v>
      </c>
    </row>
    <row r="1411" spans="1:31" ht="45" x14ac:dyDescent="0.25">
      <c r="A1411" s="31" t="s">
        <v>2951</v>
      </c>
      <c r="B1411" s="16" t="s">
        <v>32</v>
      </c>
      <c r="C1411" s="16" t="s">
        <v>33</v>
      </c>
      <c r="D1411" s="33" t="s">
        <v>34</v>
      </c>
      <c r="E1411" s="33">
        <v>151</v>
      </c>
      <c r="F1411" s="33">
        <v>4</v>
      </c>
      <c r="G1411" s="33">
        <v>8</v>
      </c>
      <c r="H1411" s="33"/>
      <c r="I1411" s="31" t="s">
        <v>46</v>
      </c>
      <c r="J1411" s="31"/>
      <c r="K1411" s="33"/>
      <c r="L1411" s="33"/>
      <c r="M1411" s="31"/>
      <c r="N1411" s="31"/>
      <c r="O1411" s="16" t="s">
        <v>2952</v>
      </c>
      <c r="P1411" s="16"/>
      <c r="Q1411" s="16"/>
      <c r="R1411" s="33"/>
      <c r="S1411" s="34"/>
      <c r="T1411" s="34"/>
      <c r="U1411" s="34"/>
      <c r="V1411" s="34"/>
      <c r="W1411" s="34"/>
      <c r="X1411" s="33" t="s">
        <v>85</v>
      </c>
      <c r="Y1411" s="35" t="str">
        <f>IF(Tabela2[[#This Row],[SIGLA]]="","",VLOOKUP(Tabela2[[#This Row],[SIGLA]],Tabela1[[#All],[Sigla Arte]:[Crédito]],2,0))</f>
        <v>HELOÍSA PINTARELLI/ARQUIVO DA EDITORA</v>
      </c>
      <c r="Z1411" s="31"/>
      <c r="AA1411" s="31" t="str">
        <f>Tabela2[[#This Row],[ILUSTRADOR CRIAÇÃO]]</f>
        <v>HELOÍSA PINTARELLI/ARQUIVO DA EDITORA</v>
      </c>
      <c r="AB1411" s="33"/>
      <c r="AC1411" s="16"/>
      <c r="AE1411" s="35" t="str">
        <f t="shared" si="22"/>
        <v>EF1 E002 Mat</v>
      </c>
    </row>
    <row r="1412" spans="1:31" ht="60" x14ac:dyDescent="0.25">
      <c r="A1412" s="31" t="s">
        <v>2953</v>
      </c>
      <c r="B1412" s="16" t="s">
        <v>32</v>
      </c>
      <c r="C1412" s="16" t="s">
        <v>164</v>
      </c>
      <c r="D1412" s="33" t="s">
        <v>34</v>
      </c>
      <c r="E1412" s="33">
        <v>151</v>
      </c>
      <c r="F1412" s="33">
        <v>4</v>
      </c>
      <c r="G1412" s="33">
        <v>8</v>
      </c>
      <c r="H1412" s="33"/>
      <c r="I1412" s="31" t="s">
        <v>46</v>
      </c>
      <c r="J1412" s="31"/>
      <c r="K1412" s="33"/>
      <c r="L1412" s="33"/>
      <c r="M1412" s="31"/>
      <c r="N1412" s="31"/>
      <c r="O1412" s="16" t="s">
        <v>2954</v>
      </c>
      <c r="P1412" s="16"/>
      <c r="Q1412" s="16"/>
      <c r="R1412" s="33"/>
      <c r="S1412" s="34"/>
      <c r="T1412" s="34"/>
      <c r="U1412" s="34"/>
      <c r="V1412" s="34"/>
      <c r="W1412" s="34"/>
      <c r="X1412" s="33" t="s">
        <v>1126</v>
      </c>
      <c r="Y1412" s="35" t="str">
        <f>IF(Tabela2[[#This Row],[SIGLA]]="","",VLOOKUP(Tabela2[[#This Row],[SIGLA]],Tabela1[[#All],[Sigla Arte]:[Crédito]],2,0))</f>
        <v>GUSTAVO CONTI/ARQUIVO DA EDITORA</v>
      </c>
      <c r="Z1412" s="31"/>
      <c r="AA1412" s="31" t="str">
        <f>Tabela2[[#This Row],[ILUSTRADOR CRIAÇÃO]]</f>
        <v>GUSTAVO CONTI/ARQUIVO DA EDITORA</v>
      </c>
      <c r="AB1412" s="33"/>
      <c r="AC1412" s="16"/>
      <c r="AE1412" s="35" t="str">
        <f t="shared" si="22"/>
        <v>EF1 E002 Mat</v>
      </c>
    </row>
    <row r="1413" spans="1:31" ht="30" x14ac:dyDescent="0.25">
      <c r="A1413" s="31" t="s">
        <v>2955</v>
      </c>
      <c r="B1413" s="16" t="s">
        <v>32</v>
      </c>
      <c r="C1413" s="16" t="s">
        <v>164</v>
      </c>
      <c r="D1413" s="33" t="s">
        <v>34</v>
      </c>
      <c r="E1413" s="33">
        <v>151</v>
      </c>
      <c r="F1413" s="33">
        <v>4</v>
      </c>
      <c r="G1413" s="33">
        <v>8</v>
      </c>
      <c r="H1413" s="33"/>
      <c r="I1413" s="31" t="s">
        <v>46</v>
      </c>
      <c r="J1413" s="31"/>
      <c r="K1413" s="33"/>
      <c r="L1413" s="33"/>
      <c r="M1413" s="31"/>
      <c r="N1413" s="31"/>
      <c r="O1413" s="16" t="s">
        <v>2956</v>
      </c>
      <c r="P1413" s="16"/>
      <c r="Q1413" s="16"/>
      <c r="R1413" s="33"/>
      <c r="S1413" s="34"/>
      <c r="T1413" s="34"/>
      <c r="U1413" s="34"/>
      <c r="V1413" s="34"/>
      <c r="W1413" s="34"/>
      <c r="X1413" s="33" t="s">
        <v>48</v>
      </c>
      <c r="Y1413" s="35" t="str">
        <f>IF(Tabela2[[#This Row],[SIGLA]]="","",VLOOKUP(Tabela2[[#This Row],[SIGLA]],Tabela1[[#All],[Sigla Arte]:[Crédito]],2,0))</f>
        <v>SERGIO LIMA/ARQUIVO DA EDITORA</v>
      </c>
      <c r="Z1413" s="31"/>
      <c r="AA1413" s="31" t="str">
        <f>Tabela2[[#This Row],[ILUSTRADOR CRIAÇÃO]]</f>
        <v>SERGIO LIMA/ARQUIVO DA EDITORA</v>
      </c>
      <c r="AB1413" s="33"/>
      <c r="AC1413" s="16"/>
      <c r="AE1413" s="35" t="str">
        <f t="shared" si="22"/>
        <v>EF1 E002 Mat</v>
      </c>
    </row>
    <row r="1414" spans="1:31" ht="45" x14ac:dyDescent="0.25">
      <c r="A1414" s="31" t="s">
        <v>2957</v>
      </c>
      <c r="B1414" s="16" t="s">
        <v>32</v>
      </c>
      <c r="C1414" s="16" t="s">
        <v>164</v>
      </c>
      <c r="D1414" s="33" t="s">
        <v>34</v>
      </c>
      <c r="E1414" s="33">
        <v>152</v>
      </c>
      <c r="F1414" s="33">
        <v>4</v>
      </c>
      <c r="G1414" s="33">
        <v>8</v>
      </c>
      <c r="H1414" s="33"/>
      <c r="I1414" s="31" t="s">
        <v>46</v>
      </c>
      <c r="J1414" s="31"/>
      <c r="K1414" s="33"/>
      <c r="L1414" s="33"/>
      <c r="M1414" s="31"/>
      <c r="N1414" s="31"/>
      <c r="O1414" s="16" t="s">
        <v>2958</v>
      </c>
      <c r="P1414" s="16"/>
      <c r="Q1414" s="16"/>
      <c r="R1414" s="33"/>
      <c r="S1414" s="34"/>
      <c r="T1414" s="34"/>
      <c r="U1414" s="34"/>
      <c r="V1414" s="34"/>
      <c r="W1414" s="34"/>
      <c r="X1414" s="33" t="s">
        <v>1126</v>
      </c>
      <c r="Y1414" s="35" t="str">
        <f>IF(Tabela2[[#This Row],[SIGLA]]="","",VLOOKUP(Tabela2[[#This Row],[SIGLA]],Tabela1[[#All],[Sigla Arte]:[Crédito]],2,0))</f>
        <v>GUSTAVO CONTI/ARQUIVO DA EDITORA</v>
      </c>
      <c r="Z1414" s="31"/>
      <c r="AA1414" s="31" t="str">
        <f>Tabela2[[#This Row],[ILUSTRADOR CRIAÇÃO]]</f>
        <v>GUSTAVO CONTI/ARQUIVO DA EDITORA</v>
      </c>
      <c r="AB1414" s="33"/>
      <c r="AC1414" s="16"/>
      <c r="AE1414" s="35" t="str">
        <f t="shared" si="22"/>
        <v>EF1 E002 Mat</v>
      </c>
    </row>
    <row r="1415" spans="1:31" ht="30" x14ac:dyDescent="0.25">
      <c r="A1415" s="31" t="s">
        <v>2959</v>
      </c>
      <c r="B1415" s="16" t="s">
        <v>32</v>
      </c>
      <c r="C1415" s="16" t="s">
        <v>164</v>
      </c>
      <c r="D1415" s="33" t="s">
        <v>34</v>
      </c>
      <c r="E1415" s="33">
        <v>152</v>
      </c>
      <c r="F1415" s="33">
        <v>4</v>
      </c>
      <c r="G1415" s="33">
        <v>8</v>
      </c>
      <c r="H1415" s="33"/>
      <c r="I1415" s="31" t="s">
        <v>46</v>
      </c>
      <c r="J1415" s="31"/>
      <c r="K1415" s="33"/>
      <c r="L1415" s="33"/>
      <c r="M1415" s="31"/>
      <c r="N1415" s="31"/>
      <c r="O1415" s="16" t="s">
        <v>2960</v>
      </c>
      <c r="P1415" s="16"/>
      <c r="Q1415" s="16"/>
      <c r="R1415" s="33"/>
      <c r="S1415" s="34"/>
      <c r="T1415" s="34"/>
      <c r="U1415" s="34"/>
      <c r="V1415" s="34"/>
      <c r="W1415" s="34"/>
      <c r="X1415" s="33" t="s">
        <v>1126</v>
      </c>
      <c r="Y1415" s="35" t="str">
        <f>IF(Tabela2[[#This Row],[SIGLA]]="","",VLOOKUP(Tabela2[[#This Row],[SIGLA]],Tabela1[[#All],[Sigla Arte]:[Crédito]],2,0))</f>
        <v>GUSTAVO CONTI/ARQUIVO DA EDITORA</v>
      </c>
      <c r="Z1415" s="31"/>
      <c r="AA1415" s="31" t="str">
        <f>Tabela2[[#This Row],[ILUSTRADOR CRIAÇÃO]]</f>
        <v>GUSTAVO CONTI/ARQUIVO DA EDITORA</v>
      </c>
      <c r="AB1415" s="33"/>
      <c r="AC1415" s="16"/>
      <c r="AE1415" s="35" t="str">
        <f t="shared" si="22"/>
        <v>EF1 E002 Mat</v>
      </c>
    </row>
    <row r="1416" spans="1:31" ht="30" x14ac:dyDescent="0.25">
      <c r="A1416" s="31" t="s">
        <v>2961</v>
      </c>
      <c r="B1416" s="16" t="s">
        <v>32</v>
      </c>
      <c r="C1416" s="16" t="s">
        <v>164</v>
      </c>
      <c r="D1416" s="33" t="s">
        <v>34</v>
      </c>
      <c r="E1416" s="33">
        <v>152</v>
      </c>
      <c r="F1416" s="33">
        <v>4</v>
      </c>
      <c r="G1416" s="33">
        <v>8</v>
      </c>
      <c r="H1416" s="33"/>
      <c r="I1416" s="31" t="s">
        <v>46</v>
      </c>
      <c r="J1416" s="31"/>
      <c r="K1416" s="33"/>
      <c r="L1416" s="33"/>
      <c r="M1416" s="31"/>
      <c r="N1416" s="31"/>
      <c r="O1416" s="16" t="s">
        <v>2962</v>
      </c>
      <c r="P1416" s="16"/>
      <c r="Q1416" s="16"/>
      <c r="R1416" s="33"/>
      <c r="S1416" s="34"/>
      <c r="T1416" s="34"/>
      <c r="U1416" s="34"/>
      <c r="V1416" s="34"/>
      <c r="W1416" s="34"/>
      <c r="X1416" s="33" t="s">
        <v>1126</v>
      </c>
      <c r="Y1416" s="35" t="str">
        <f>IF(Tabela2[[#This Row],[SIGLA]]="","",VLOOKUP(Tabela2[[#This Row],[SIGLA]],Tabela1[[#All],[Sigla Arte]:[Crédito]],2,0))</f>
        <v>GUSTAVO CONTI/ARQUIVO DA EDITORA</v>
      </c>
      <c r="Z1416" s="31"/>
      <c r="AA1416" s="31" t="str">
        <f>Tabela2[[#This Row],[ILUSTRADOR CRIAÇÃO]]</f>
        <v>GUSTAVO CONTI/ARQUIVO DA EDITORA</v>
      </c>
      <c r="AB1416" s="33"/>
      <c r="AC1416" s="16"/>
      <c r="AE1416" s="35" t="str">
        <f t="shared" si="22"/>
        <v>EF1 E002 Mat</v>
      </c>
    </row>
    <row r="1417" spans="1:31" ht="30" x14ac:dyDescent="0.25">
      <c r="A1417" s="31" t="s">
        <v>2963</v>
      </c>
      <c r="B1417" s="16" t="s">
        <v>32</v>
      </c>
      <c r="C1417" s="16" t="s">
        <v>164</v>
      </c>
      <c r="D1417" s="33" t="s">
        <v>34</v>
      </c>
      <c r="E1417" s="33">
        <v>152</v>
      </c>
      <c r="F1417" s="33">
        <v>4</v>
      </c>
      <c r="G1417" s="33">
        <v>8</v>
      </c>
      <c r="H1417" s="33"/>
      <c r="I1417" s="31" t="s">
        <v>46</v>
      </c>
      <c r="J1417" s="31"/>
      <c r="K1417" s="33"/>
      <c r="L1417" s="33"/>
      <c r="M1417" s="31"/>
      <c r="N1417" s="31"/>
      <c r="O1417" s="16" t="s">
        <v>2964</v>
      </c>
      <c r="P1417" s="16"/>
      <c r="Q1417" s="16"/>
      <c r="R1417" s="33"/>
      <c r="S1417" s="34"/>
      <c r="T1417" s="34"/>
      <c r="U1417" s="34"/>
      <c r="V1417" s="34"/>
      <c r="W1417" s="34"/>
      <c r="X1417" s="33" t="s">
        <v>1126</v>
      </c>
      <c r="Y1417" s="35" t="str">
        <f>IF(Tabela2[[#This Row],[SIGLA]]="","",VLOOKUP(Tabela2[[#This Row],[SIGLA]],Tabela1[[#All],[Sigla Arte]:[Crédito]],2,0))</f>
        <v>GUSTAVO CONTI/ARQUIVO DA EDITORA</v>
      </c>
      <c r="Z1417" s="31"/>
      <c r="AA1417" s="31" t="str">
        <f>Tabela2[[#This Row],[ILUSTRADOR CRIAÇÃO]]</f>
        <v>GUSTAVO CONTI/ARQUIVO DA EDITORA</v>
      </c>
      <c r="AB1417" s="33"/>
      <c r="AC1417" s="16"/>
      <c r="AE1417" s="35" t="str">
        <f t="shared" si="22"/>
        <v>EF1 E002 Mat</v>
      </c>
    </row>
    <row r="1418" spans="1:31" ht="45" x14ac:dyDescent="0.25">
      <c r="A1418" s="31" t="s">
        <v>2965</v>
      </c>
      <c r="B1418" s="16" t="s">
        <v>32</v>
      </c>
      <c r="C1418" s="16" t="s">
        <v>164</v>
      </c>
      <c r="D1418" s="33" t="s">
        <v>34</v>
      </c>
      <c r="E1418" s="33">
        <v>152</v>
      </c>
      <c r="F1418" s="33">
        <v>4</v>
      </c>
      <c r="G1418" s="33">
        <v>8</v>
      </c>
      <c r="H1418" s="33"/>
      <c r="I1418" s="31" t="s">
        <v>46</v>
      </c>
      <c r="J1418" s="31"/>
      <c r="K1418" s="33"/>
      <c r="L1418" s="33"/>
      <c r="M1418" s="31"/>
      <c r="N1418" s="31"/>
      <c r="O1418" s="16" t="s">
        <v>2966</v>
      </c>
      <c r="P1418" s="16"/>
      <c r="Q1418" s="16"/>
      <c r="R1418" s="33"/>
      <c r="S1418" s="34"/>
      <c r="T1418" s="34"/>
      <c r="U1418" s="34"/>
      <c r="V1418" s="34"/>
      <c r="W1418" s="34"/>
      <c r="X1418" s="33" t="s">
        <v>470</v>
      </c>
      <c r="Y1418" s="35" t="str">
        <f>IF(Tabela2[[#This Row],[SIGLA]]="","",VLOOKUP(Tabela2[[#This Row],[SIGLA]],Tabela1[[#All],[Sigla Arte]:[Crédito]],2,0))</f>
        <v>RENAN FONSECA/ARQUIVO DA EDITORA</v>
      </c>
      <c r="Z1418" s="31"/>
      <c r="AA1418" s="31" t="str">
        <f>Tabela2[[#This Row],[ILUSTRADOR CRIAÇÃO]]</f>
        <v>RENAN FONSECA/ARQUIVO DA EDITORA</v>
      </c>
      <c r="AB1418" s="33"/>
      <c r="AC1418" s="16"/>
      <c r="AE1418" s="35" t="str">
        <f t="shared" si="22"/>
        <v>EF1 E002 Mat</v>
      </c>
    </row>
    <row r="1419" spans="1:31" ht="30" x14ac:dyDescent="0.25">
      <c r="A1419" s="31" t="s">
        <v>2967</v>
      </c>
      <c r="B1419" s="16" t="s">
        <v>32</v>
      </c>
      <c r="C1419" s="16" t="s">
        <v>33</v>
      </c>
      <c r="D1419" s="33" t="s">
        <v>34</v>
      </c>
      <c r="E1419" s="33">
        <v>153</v>
      </c>
      <c r="F1419" s="33">
        <v>4</v>
      </c>
      <c r="G1419" s="33">
        <v>8</v>
      </c>
      <c r="H1419" s="33"/>
      <c r="I1419" s="31" t="s">
        <v>46</v>
      </c>
      <c r="J1419" s="31"/>
      <c r="K1419" s="33"/>
      <c r="L1419" s="33"/>
      <c r="M1419" s="31"/>
      <c r="N1419" s="31"/>
      <c r="O1419" s="16" t="s">
        <v>2968</v>
      </c>
      <c r="P1419" s="16"/>
      <c r="Q1419" s="16"/>
      <c r="R1419" s="33"/>
      <c r="S1419" s="34"/>
      <c r="T1419" s="34"/>
      <c r="U1419" s="34"/>
      <c r="V1419" s="34"/>
      <c r="W1419" s="34"/>
      <c r="X1419" s="33" t="s">
        <v>85</v>
      </c>
      <c r="Y1419" s="35" t="str">
        <f>IF(Tabela2[[#This Row],[SIGLA]]="","",VLOOKUP(Tabela2[[#This Row],[SIGLA]],Tabela1[[#All],[Sigla Arte]:[Crédito]],2,0))</f>
        <v>HELOÍSA PINTARELLI/ARQUIVO DA EDITORA</v>
      </c>
      <c r="Z1419" s="31"/>
      <c r="AA1419" s="31" t="str">
        <f>Tabela2[[#This Row],[ILUSTRADOR CRIAÇÃO]]</f>
        <v>HELOÍSA PINTARELLI/ARQUIVO DA EDITORA</v>
      </c>
      <c r="AB1419" s="33"/>
      <c r="AC1419" s="16"/>
      <c r="AE1419" s="35" t="str">
        <f t="shared" si="22"/>
        <v>EF1 E002 Mat</v>
      </c>
    </row>
    <row r="1420" spans="1:31" ht="45" x14ac:dyDescent="0.25">
      <c r="A1420" s="31" t="s">
        <v>2969</v>
      </c>
      <c r="B1420" s="16" t="s">
        <v>32</v>
      </c>
      <c r="C1420" s="16" t="s">
        <v>33</v>
      </c>
      <c r="D1420" s="33" t="s">
        <v>34</v>
      </c>
      <c r="E1420" s="33">
        <v>154</v>
      </c>
      <c r="F1420" s="33">
        <v>4</v>
      </c>
      <c r="G1420" s="33">
        <v>8</v>
      </c>
      <c r="H1420" s="33"/>
      <c r="I1420" s="31" t="s">
        <v>46</v>
      </c>
      <c r="J1420" s="31"/>
      <c r="K1420" s="33"/>
      <c r="L1420" s="33"/>
      <c r="M1420" s="31"/>
      <c r="N1420" s="31"/>
      <c r="O1420" s="16" t="s">
        <v>2970</v>
      </c>
      <c r="P1420" s="16"/>
      <c r="Q1420" s="16"/>
      <c r="R1420" s="33"/>
      <c r="S1420" s="34"/>
      <c r="T1420" s="34"/>
      <c r="U1420" s="34"/>
      <c r="V1420" s="34"/>
      <c r="W1420" s="34"/>
      <c r="X1420" s="33" t="s">
        <v>85</v>
      </c>
      <c r="Y1420" s="35" t="str">
        <f>IF(Tabela2[[#This Row],[SIGLA]]="","",VLOOKUP(Tabela2[[#This Row],[SIGLA]],Tabela1[[#All],[Sigla Arte]:[Crédito]],2,0))</f>
        <v>HELOÍSA PINTARELLI/ARQUIVO DA EDITORA</v>
      </c>
      <c r="Z1420" s="31"/>
      <c r="AA1420" s="31" t="str">
        <f>Tabela2[[#This Row],[ILUSTRADOR CRIAÇÃO]]</f>
        <v>HELOÍSA PINTARELLI/ARQUIVO DA EDITORA</v>
      </c>
      <c r="AB1420" s="33"/>
      <c r="AC1420" s="16"/>
      <c r="AE1420" s="35" t="str">
        <f t="shared" si="22"/>
        <v>EF1 E002 Mat</v>
      </c>
    </row>
    <row r="1421" spans="1:31" ht="30" x14ac:dyDescent="0.25">
      <c r="A1421" s="31" t="s">
        <v>2971</v>
      </c>
      <c r="B1421" s="16" t="s">
        <v>32</v>
      </c>
      <c r="C1421" s="16" t="s">
        <v>33</v>
      </c>
      <c r="D1421" s="33" t="s">
        <v>34</v>
      </c>
      <c r="E1421" s="33">
        <v>154</v>
      </c>
      <c r="F1421" s="33">
        <v>4</v>
      </c>
      <c r="G1421" s="33">
        <v>8</v>
      </c>
      <c r="H1421" s="33"/>
      <c r="I1421" s="31" t="s">
        <v>46</v>
      </c>
      <c r="J1421" s="31"/>
      <c r="K1421" s="33"/>
      <c r="L1421" s="33"/>
      <c r="M1421" s="31"/>
      <c r="N1421" s="31"/>
      <c r="O1421" s="16" t="s">
        <v>2972</v>
      </c>
      <c r="P1421" s="16"/>
      <c r="Q1421" s="16"/>
      <c r="R1421" s="33"/>
      <c r="S1421" s="34"/>
      <c r="T1421" s="34"/>
      <c r="U1421" s="34"/>
      <c r="V1421" s="34"/>
      <c r="W1421" s="34"/>
      <c r="X1421" s="33" t="s">
        <v>85</v>
      </c>
      <c r="Y1421" s="35" t="str">
        <f>IF(Tabela2[[#This Row],[SIGLA]]="","",VLOOKUP(Tabela2[[#This Row],[SIGLA]],Tabela1[[#All],[Sigla Arte]:[Crédito]],2,0))</f>
        <v>HELOÍSA PINTARELLI/ARQUIVO DA EDITORA</v>
      </c>
      <c r="Z1421" s="31"/>
      <c r="AA1421" s="31" t="str">
        <f>Tabela2[[#This Row],[ILUSTRADOR CRIAÇÃO]]</f>
        <v>HELOÍSA PINTARELLI/ARQUIVO DA EDITORA</v>
      </c>
      <c r="AB1421" s="33"/>
      <c r="AC1421" s="16"/>
      <c r="AE1421" s="35" t="str">
        <f t="shared" si="22"/>
        <v>EF1 E002 Mat</v>
      </c>
    </row>
    <row r="1422" spans="1:31" ht="30" x14ac:dyDescent="0.25">
      <c r="A1422" s="31" t="s">
        <v>2973</v>
      </c>
      <c r="B1422" s="16" t="s">
        <v>32</v>
      </c>
      <c r="C1422" s="16" t="s">
        <v>33</v>
      </c>
      <c r="D1422" s="33" t="s">
        <v>34</v>
      </c>
      <c r="E1422" s="33">
        <v>154</v>
      </c>
      <c r="F1422" s="33">
        <v>4</v>
      </c>
      <c r="G1422" s="33">
        <v>8</v>
      </c>
      <c r="H1422" s="33"/>
      <c r="I1422" s="31" t="s">
        <v>46</v>
      </c>
      <c r="J1422" s="31"/>
      <c r="K1422" s="33"/>
      <c r="L1422" s="33"/>
      <c r="M1422" s="31"/>
      <c r="N1422" s="31"/>
      <c r="O1422" s="16" t="s">
        <v>2974</v>
      </c>
      <c r="P1422" s="16"/>
      <c r="Q1422" s="16"/>
      <c r="R1422" s="33"/>
      <c r="S1422" s="34"/>
      <c r="T1422" s="34"/>
      <c r="U1422" s="34"/>
      <c r="V1422" s="34"/>
      <c r="W1422" s="34"/>
      <c r="X1422" s="33" t="s">
        <v>85</v>
      </c>
      <c r="Y1422" s="35" t="str">
        <f>IF(Tabela2[[#This Row],[SIGLA]]="","",VLOOKUP(Tabela2[[#This Row],[SIGLA]],Tabela1[[#All],[Sigla Arte]:[Crédito]],2,0))</f>
        <v>HELOÍSA PINTARELLI/ARQUIVO DA EDITORA</v>
      </c>
      <c r="Z1422" s="31"/>
      <c r="AA1422" s="31" t="str">
        <f>Tabela2[[#This Row],[ILUSTRADOR CRIAÇÃO]]</f>
        <v>HELOÍSA PINTARELLI/ARQUIVO DA EDITORA</v>
      </c>
      <c r="AB1422" s="33"/>
      <c r="AC1422" s="16"/>
      <c r="AE1422" s="35" t="str">
        <f t="shared" si="22"/>
        <v>EF1 E002 Mat</v>
      </c>
    </row>
    <row r="1423" spans="1:31" ht="45" x14ac:dyDescent="0.25">
      <c r="A1423" s="31" t="s">
        <v>2975</v>
      </c>
      <c r="B1423" s="16" t="s">
        <v>32</v>
      </c>
      <c r="C1423" s="16" t="s">
        <v>327</v>
      </c>
      <c r="D1423" s="33" t="s">
        <v>34</v>
      </c>
      <c r="E1423" s="33">
        <v>156</v>
      </c>
      <c r="F1423" s="33">
        <v>4</v>
      </c>
      <c r="G1423" s="33">
        <v>8</v>
      </c>
      <c r="H1423" s="33"/>
      <c r="I1423" s="31" t="s">
        <v>46</v>
      </c>
      <c r="J1423" s="31"/>
      <c r="K1423" s="33"/>
      <c r="L1423" s="33"/>
      <c r="M1423" s="31"/>
      <c r="N1423" s="31"/>
      <c r="O1423" s="16" t="s">
        <v>2976</v>
      </c>
      <c r="P1423" s="16"/>
      <c r="Q1423" s="16"/>
      <c r="R1423" s="33">
        <v>121</v>
      </c>
      <c r="S1423" s="34">
        <v>45889</v>
      </c>
      <c r="T1423" s="34"/>
      <c r="U1423" s="34"/>
      <c r="V1423" s="34"/>
      <c r="W1423" s="34"/>
      <c r="X1423" s="33" t="s">
        <v>1126</v>
      </c>
      <c r="Y1423" s="35" t="str">
        <f>IF(Tabela2[[#This Row],[SIGLA]]="","",VLOOKUP(Tabela2[[#This Row],[SIGLA]],Tabela1[[#All],[Sigla Arte]:[Crédito]],2,0))</f>
        <v>GUSTAVO CONTI/ARQUIVO DA EDITORA</v>
      </c>
      <c r="Z1423" s="31"/>
      <c r="AA1423" s="31" t="str">
        <f>Tabela2[[#This Row],[ILUSTRADOR CRIAÇÃO]]</f>
        <v>GUSTAVO CONTI/ARQUIVO DA EDITORA</v>
      </c>
      <c r="AB1423" s="33"/>
      <c r="AC1423" s="16"/>
      <c r="AE1423" s="35" t="str">
        <f t="shared" si="22"/>
        <v>EF1 E002 Mat</v>
      </c>
    </row>
    <row r="1424" spans="1:31" ht="45" x14ac:dyDescent="0.25">
      <c r="A1424" s="31" t="s">
        <v>2977</v>
      </c>
      <c r="B1424" s="16" t="s">
        <v>32</v>
      </c>
      <c r="C1424" s="16" t="s">
        <v>164</v>
      </c>
      <c r="D1424" s="33" t="s">
        <v>34</v>
      </c>
      <c r="E1424" s="33">
        <v>157</v>
      </c>
      <c r="F1424" s="33">
        <v>4</v>
      </c>
      <c r="G1424" s="33">
        <v>8</v>
      </c>
      <c r="H1424" s="33"/>
      <c r="I1424" s="31" t="s">
        <v>46</v>
      </c>
      <c r="J1424" s="31"/>
      <c r="K1424" s="33"/>
      <c r="L1424" s="33"/>
      <c r="M1424" s="31"/>
      <c r="N1424" s="31"/>
      <c r="O1424" s="16" t="s">
        <v>2978</v>
      </c>
      <c r="P1424" s="16"/>
      <c r="Q1424" s="16"/>
      <c r="R1424" s="33"/>
      <c r="S1424" s="34"/>
      <c r="T1424" s="34"/>
      <c r="U1424" s="34"/>
      <c r="V1424" s="34"/>
      <c r="W1424" s="34"/>
      <c r="X1424" s="33" t="s">
        <v>1126</v>
      </c>
      <c r="Y1424" s="35" t="str">
        <f>IF(Tabela2[[#This Row],[SIGLA]]="","",VLOOKUP(Tabela2[[#This Row],[SIGLA]],Tabela1[[#All],[Sigla Arte]:[Crédito]],2,0))</f>
        <v>GUSTAVO CONTI/ARQUIVO DA EDITORA</v>
      </c>
      <c r="Z1424" s="31"/>
      <c r="AA1424" s="31" t="str">
        <f>Tabela2[[#This Row],[ILUSTRADOR CRIAÇÃO]]</f>
        <v>GUSTAVO CONTI/ARQUIVO DA EDITORA</v>
      </c>
      <c r="AB1424" s="33"/>
      <c r="AC1424" s="16"/>
      <c r="AE1424" s="35" t="str">
        <f t="shared" si="22"/>
        <v>EF1 E002 Mat</v>
      </c>
    </row>
    <row r="1425" spans="1:31" ht="45" x14ac:dyDescent="0.25">
      <c r="A1425" s="31" t="s">
        <v>2979</v>
      </c>
      <c r="B1425" s="16" t="s">
        <v>32</v>
      </c>
      <c r="C1425" s="16" t="s">
        <v>164</v>
      </c>
      <c r="D1425" s="33" t="s">
        <v>34</v>
      </c>
      <c r="E1425" s="33">
        <v>158</v>
      </c>
      <c r="F1425" s="33">
        <v>4</v>
      </c>
      <c r="G1425" s="33">
        <v>8</v>
      </c>
      <c r="H1425" s="33"/>
      <c r="I1425" s="31" t="s">
        <v>46</v>
      </c>
      <c r="J1425" s="31"/>
      <c r="K1425" s="33"/>
      <c r="L1425" s="33"/>
      <c r="M1425" s="31"/>
      <c r="N1425" s="31"/>
      <c r="O1425" s="16" t="s">
        <v>2980</v>
      </c>
      <c r="P1425" s="16"/>
      <c r="Q1425" s="16"/>
      <c r="R1425" s="33"/>
      <c r="S1425" s="34"/>
      <c r="T1425" s="34"/>
      <c r="U1425" s="34"/>
      <c r="V1425" s="34"/>
      <c r="W1425" s="34"/>
      <c r="X1425" s="33" t="s">
        <v>1126</v>
      </c>
      <c r="Y1425" s="35" t="str">
        <f>IF(Tabela2[[#This Row],[SIGLA]]="","",VLOOKUP(Tabela2[[#This Row],[SIGLA]],Tabela1[[#All],[Sigla Arte]:[Crédito]],2,0))</f>
        <v>GUSTAVO CONTI/ARQUIVO DA EDITORA</v>
      </c>
      <c r="Z1425" s="31"/>
      <c r="AA1425" s="31" t="str">
        <f>Tabela2[[#This Row],[ILUSTRADOR CRIAÇÃO]]</f>
        <v>GUSTAVO CONTI/ARQUIVO DA EDITORA</v>
      </c>
      <c r="AB1425" s="33"/>
      <c r="AC1425" s="16"/>
      <c r="AE1425" s="35" t="str">
        <f t="shared" si="22"/>
        <v>EF1 E002 Mat</v>
      </c>
    </row>
    <row r="1426" spans="1:31" ht="75" x14ac:dyDescent="0.25">
      <c r="A1426" s="31" t="s">
        <v>2981</v>
      </c>
      <c r="B1426" s="16" t="s">
        <v>32</v>
      </c>
      <c r="C1426" s="16" t="s">
        <v>164</v>
      </c>
      <c r="D1426" s="33" t="s">
        <v>34</v>
      </c>
      <c r="E1426" s="33">
        <v>158</v>
      </c>
      <c r="F1426" s="33">
        <v>4</v>
      </c>
      <c r="G1426" s="33">
        <v>8</v>
      </c>
      <c r="H1426" s="33"/>
      <c r="I1426" s="31" t="s">
        <v>35</v>
      </c>
      <c r="J1426" s="31"/>
      <c r="K1426" s="33"/>
      <c r="L1426" s="33"/>
      <c r="M1426" s="31"/>
      <c r="N1426" s="31"/>
      <c r="O1426" s="16" t="s">
        <v>2982</v>
      </c>
      <c r="P1426" s="16"/>
      <c r="Q1426" s="16"/>
      <c r="R1426" s="33">
        <v>36</v>
      </c>
      <c r="S1426" s="34">
        <v>45785</v>
      </c>
      <c r="T1426" s="34">
        <v>45786</v>
      </c>
      <c r="U1426" s="34"/>
      <c r="V1426" s="34"/>
      <c r="W1426" s="34">
        <v>45786</v>
      </c>
      <c r="X1426" s="33" t="s">
        <v>48</v>
      </c>
      <c r="Y1426" s="35" t="str">
        <f>IF(Tabela2[[#This Row],[SIGLA]]="","",VLOOKUP(Tabela2[[#This Row],[SIGLA]],Tabela1[[#All],[Sigla Arte]:[Crédito]],2,0))</f>
        <v>SERGIO LIMA/ARQUIVO DA EDITORA</v>
      </c>
      <c r="Z1426" s="31" t="s">
        <v>221</v>
      </c>
      <c r="AA1426" s="31" t="str">
        <f>Tabela2[[#This Row],[ILUSTRADOR CRIAÇÃO]]</f>
        <v>SERGIO LIMA/ARQUIVO DA EDITORA</v>
      </c>
      <c r="AB1426" s="33">
        <v>13</v>
      </c>
      <c r="AC1426" s="16" t="s">
        <v>39</v>
      </c>
      <c r="AD1426" s="16" t="s">
        <v>40</v>
      </c>
      <c r="AE1426" s="35" t="str">
        <f t="shared" si="22"/>
        <v>EF1 E002 Mat</v>
      </c>
    </row>
    <row r="1427" spans="1:31" ht="75" x14ac:dyDescent="0.25">
      <c r="A1427" s="31" t="s">
        <v>2983</v>
      </c>
      <c r="B1427" s="16" t="s">
        <v>32</v>
      </c>
      <c r="C1427" s="16" t="s">
        <v>164</v>
      </c>
      <c r="D1427" s="33" t="s">
        <v>34</v>
      </c>
      <c r="E1427" s="33">
        <v>158</v>
      </c>
      <c r="F1427" s="33">
        <v>4</v>
      </c>
      <c r="G1427" s="33">
        <v>8</v>
      </c>
      <c r="H1427" s="33"/>
      <c r="I1427" s="31" t="s">
        <v>35</v>
      </c>
      <c r="J1427" s="31"/>
      <c r="K1427" s="33"/>
      <c r="L1427" s="33"/>
      <c r="M1427" s="31"/>
      <c r="N1427" s="31"/>
      <c r="O1427" s="16" t="s">
        <v>2984</v>
      </c>
      <c r="P1427" s="16"/>
      <c r="Q1427" s="16"/>
      <c r="R1427" s="33">
        <v>36</v>
      </c>
      <c r="S1427" s="34">
        <v>45785</v>
      </c>
      <c r="T1427" s="34">
        <v>45786</v>
      </c>
      <c r="U1427" s="34"/>
      <c r="V1427" s="34"/>
      <c r="W1427" s="34">
        <v>45786</v>
      </c>
      <c r="X1427" s="33" t="s">
        <v>48</v>
      </c>
      <c r="Y1427" s="35" t="str">
        <f>IF(Tabela2[[#This Row],[SIGLA]]="","",VLOOKUP(Tabela2[[#This Row],[SIGLA]],Tabela1[[#All],[Sigla Arte]:[Crédito]],2,0))</f>
        <v>SERGIO LIMA/ARQUIVO DA EDITORA</v>
      </c>
      <c r="Z1427" s="31" t="s">
        <v>221</v>
      </c>
      <c r="AA1427" s="31" t="str">
        <f>Tabela2[[#This Row],[ILUSTRADOR CRIAÇÃO]]</f>
        <v>SERGIO LIMA/ARQUIVO DA EDITORA</v>
      </c>
      <c r="AB1427" s="33">
        <v>13</v>
      </c>
      <c r="AC1427" s="16" t="s">
        <v>39</v>
      </c>
      <c r="AD1427" s="16" t="s">
        <v>40</v>
      </c>
      <c r="AE1427" s="35" t="str">
        <f t="shared" si="22"/>
        <v>EF1 E002 Mat</v>
      </c>
    </row>
    <row r="1428" spans="1:31" ht="50.25" customHeight="1" x14ac:dyDescent="0.25">
      <c r="A1428" s="31" t="s">
        <v>2985</v>
      </c>
      <c r="B1428" s="16" t="s">
        <v>32</v>
      </c>
      <c r="C1428" s="16" t="s">
        <v>164</v>
      </c>
      <c r="D1428" s="33" t="s">
        <v>34</v>
      </c>
      <c r="E1428" s="33">
        <v>166</v>
      </c>
      <c r="F1428" s="33">
        <v>4</v>
      </c>
      <c r="G1428" s="33">
        <v>8</v>
      </c>
      <c r="H1428" s="33"/>
      <c r="I1428" s="31" t="s">
        <v>46</v>
      </c>
      <c r="J1428" s="31"/>
      <c r="K1428" s="33"/>
      <c r="L1428" s="33"/>
      <c r="M1428" s="31"/>
      <c r="N1428" s="31"/>
      <c r="O1428" s="16" t="s">
        <v>2986</v>
      </c>
      <c r="P1428" s="16"/>
      <c r="Q1428" s="16"/>
      <c r="R1428" s="33">
        <v>121</v>
      </c>
      <c r="S1428" s="34">
        <v>45889</v>
      </c>
      <c r="T1428" s="34"/>
      <c r="U1428" s="34"/>
      <c r="V1428" s="34"/>
      <c r="W1428" s="34"/>
      <c r="X1428" s="33" t="s">
        <v>184</v>
      </c>
      <c r="Y1428" s="35" t="str">
        <f>IF(Tabela2[[#This Row],[SIGLA]]="","",VLOOKUP(Tabela2[[#This Row],[SIGLA]],Tabela1[[#All],[Sigla Arte]:[Crédito]],2,0))</f>
        <v>VER DOCUMENTO DE ILS. TÉCNICAS</v>
      </c>
      <c r="Z1428" s="31"/>
      <c r="AA1428" s="31" t="s">
        <v>2050</v>
      </c>
      <c r="AB1428" s="33"/>
      <c r="AC1428" s="16"/>
      <c r="AE1428" s="35" t="str">
        <f t="shared" si="22"/>
        <v>EF1 E002 Mat</v>
      </c>
    </row>
    <row r="1429" spans="1:31" ht="60" x14ac:dyDescent="0.25">
      <c r="A1429" s="31" t="s">
        <v>2987</v>
      </c>
      <c r="B1429" s="16" t="s">
        <v>32</v>
      </c>
      <c r="C1429" s="16" t="s">
        <v>164</v>
      </c>
      <c r="D1429" s="33" t="s">
        <v>34</v>
      </c>
      <c r="E1429" s="33">
        <v>159</v>
      </c>
      <c r="F1429" s="33">
        <v>4</v>
      </c>
      <c r="G1429" s="33">
        <v>8</v>
      </c>
      <c r="H1429" s="33"/>
      <c r="I1429" s="31" t="s">
        <v>46</v>
      </c>
      <c r="J1429" s="31"/>
      <c r="K1429" s="33"/>
      <c r="L1429" s="33"/>
      <c r="M1429" s="31"/>
      <c r="N1429" s="31"/>
      <c r="O1429" s="16" t="s">
        <v>2988</v>
      </c>
      <c r="P1429" s="16"/>
      <c r="Q1429" s="16"/>
      <c r="R1429" s="33">
        <v>121</v>
      </c>
      <c r="S1429" s="34">
        <v>45889</v>
      </c>
      <c r="T1429" s="34"/>
      <c r="U1429" s="34"/>
      <c r="V1429" s="34"/>
      <c r="W1429" s="34"/>
      <c r="X1429" s="33" t="s">
        <v>184</v>
      </c>
      <c r="Y1429" s="35" t="str">
        <f>IF(Tabela2[[#This Row],[SIGLA]]="","",VLOOKUP(Tabela2[[#This Row],[SIGLA]],Tabela1[[#All],[Sigla Arte]:[Crédito]],2,0))</f>
        <v>VER DOCUMENTO DE ILS. TÉCNICAS</v>
      </c>
      <c r="Z1429" s="31"/>
      <c r="AA1429" s="31" t="s">
        <v>2050</v>
      </c>
      <c r="AB1429" s="33"/>
      <c r="AC1429" s="16"/>
      <c r="AE1429" s="35" t="str">
        <f t="shared" si="22"/>
        <v>EF1 E002 Mat</v>
      </c>
    </row>
    <row r="1430" spans="1:31" ht="60" x14ac:dyDescent="0.25">
      <c r="A1430" s="31" t="s">
        <v>2989</v>
      </c>
      <c r="B1430" s="16" t="s">
        <v>32</v>
      </c>
      <c r="C1430" s="16" t="s">
        <v>164</v>
      </c>
      <c r="D1430" s="33" t="s">
        <v>34</v>
      </c>
      <c r="E1430" s="33">
        <v>159</v>
      </c>
      <c r="F1430" s="33">
        <v>4</v>
      </c>
      <c r="G1430" s="33">
        <v>8</v>
      </c>
      <c r="H1430" s="33"/>
      <c r="I1430" s="31" t="s">
        <v>46</v>
      </c>
      <c r="J1430" s="31"/>
      <c r="K1430" s="33"/>
      <c r="L1430" s="33"/>
      <c r="M1430" s="31"/>
      <c r="N1430" s="31"/>
      <c r="O1430" s="16" t="s">
        <v>2990</v>
      </c>
      <c r="P1430" s="16"/>
      <c r="Q1430" s="16"/>
      <c r="R1430" s="33">
        <v>121</v>
      </c>
      <c r="S1430" s="34">
        <v>45889</v>
      </c>
      <c r="T1430" s="34">
        <v>45894</v>
      </c>
      <c r="U1430" s="34"/>
      <c r="V1430" s="34"/>
      <c r="W1430" s="34">
        <v>45894</v>
      </c>
      <c r="X1430" s="33" t="s">
        <v>184</v>
      </c>
      <c r="Y1430" s="35" t="str">
        <f>IF(Tabela2[[#This Row],[SIGLA]]="","",VLOOKUP(Tabela2[[#This Row],[SIGLA]],Tabela1[[#All],[Sigla Arte]:[Crédito]],2,0))</f>
        <v>VER DOCUMENTO DE ILS. TÉCNICAS</v>
      </c>
      <c r="Z1430" s="31" t="s">
        <v>924</v>
      </c>
      <c r="AA1430" s="31" t="s">
        <v>2050</v>
      </c>
      <c r="AB1430" s="33">
        <v>13</v>
      </c>
      <c r="AC1430" s="16" t="s">
        <v>39</v>
      </c>
      <c r="AD1430" s="16" t="s">
        <v>40</v>
      </c>
      <c r="AE1430" s="35" t="str">
        <f t="shared" si="22"/>
        <v>EF1 E002 Mat</v>
      </c>
    </row>
    <row r="1431" spans="1:31" ht="60" x14ac:dyDescent="0.25">
      <c r="A1431" s="31" t="s">
        <v>2991</v>
      </c>
      <c r="B1431" s="16" t="s">
        <v>32</v>
      </c>
      <c r="C1431" s="16" t="s">
        <v>164</v>
      </c>
      <c r="D1431" s="33" t="s">
        <v>34</v>
      </c>
      <c r="E1431" s="33">
        <v>159</v>
      </c>
      <c r="F1431" s="33">
        <v>4</v>
      </c>
      <c r="G1431" s="33">
        <v>8</v>
      </c>
      <c r="H1431" s="33"/>
      <c r="I1431" s="31" t="s">
        <v>46</v>
      </c>
      <c r="J1431" s="31"/>
      <c r="K1431" s="33"/>
      <c r="L1431" s="33"/>
      <c r="M1431" s="31"/>
      <c r="N1431" s="31"/>
      <c r="O1431" s="16" t="s">
        <v>2992</v>
      </c>
      <c r="P1431" s="16"/>
      <c r="Q1431" s="16"/>
      <c r="R1431" s="33">
        <v>121</v>
      </c>
      <c r="S1431" s="34">
        <v>45889</v>
      </c>
      <c r="T1431" s="34">
        <v>45894</v>
      </c>
      <c r="U1431" s="34"/>
      <c r="V1431" s="34"/>
      <c r="W1431" s="34">
        <v>45894</v>
      </c>
      <c r="X1431" s="33" t="s">
        <v>1126</v>
      </c>
      <c r="Y1431" s="35" t="str">
        <f>IF(Tabela2[[#This Row],[SIGLA]]="","",VLOOKUP(Tabela2[[#This Row],[SIGLA]],Tabela1[[#All],[Sigla Arte]:[Crédito]],2,0))</f>
        <v>GUSTAVO CONTI/ARQUIVO DA EDITORA</v>
      </c>
      <c r="Z1431" s="31" t="s">
        <v>924</v>
      </c>
      <c r="AA1431" s="31" t="str">
        <f>Tabela2[[#This Row],[ILUSTRADOR CRIAÇÃO]]</f>
        <v>GUSTAVO CONTI/ARQUIVO DA EDITORA</v>
      </c>
      <c r="AB1431" s="33">
        <v>13</v>
      </c>
      <c r="AC1431" s="16" t="s">
        <v>39</v>
      </c>
      <c r="AD1431" s="16" t="s">
        <v>40</v>
      </c>
      <c r="AE1431" s="35" t="str">
        <f t="shared" si="22"/>
        <v>EF1 E002 Mat</v>
      </c>
    </row>
    <row r="1432" spans="1:31" ht="60" x14ac:dyDescent="0.25">
      <c r="A1432" s="31" t="s">
        <v>2993</v>
      </c>
      <c r="B1432" s="16" t="s">
        <v>32</v>
      </c>
      <c r="C1432" s="16" t="s">
        <v>164</v>
      </c>
      <c r="D1432" s="33" t="s">
        <v>34</v>
      </c>
      <c r="E1432" s="33">
        <v>159</v>
      </c>
      <c r="F1432" s="33">
        <v>4</v>
      </c>
      <c r="G1432" s="33">
        <v>8</v>
      </c>
      <c r="H1432" s="33"/>
      <c r="I1432" s="31" t="s">
        <v>46</v>
      </c>
      <c r="J1432" s="31"/>
      <c r="K1432" s="33"/>
      <c r="L1432" s="33"/>
      <c r="M1432" s="31"/>
      <c r="N1432" s="31"/>
      <c r="O1432" s="16" t="s">
        <v>2994</v>
      </c>
      <c r="P1432" s="16"/>
      <c r="Q1432" s="16"/>
      <c r="R1432" s="33">
        <v>121</v>
      </c>
      <c r="S1432" s="34">
        <v>45889</v>
      </c>
      <c r="T1432" s="34">
        <v>45894</v>
      </c>
      <c r="U1432" s="34"/>
      <c r="V1432" s="34"/>
      <c r="W1432" s="34">
        <v>45894</v>
      </c>
      <c r="X1432" s="33" t="s">
        <v>184</v>
      </c>
      <c r="Y1432" s="35" t="str">
        <f>IF(Tabela2[[#This Row],[SIGLA]]="","",VLOOKUP(Tabela2[[#This Row],[SIGLA]],Tabela1[[#All],[Sigla Arte]:[Crédito]],2,0))</f>
        <v>VER DOCUMENTO DE ILS. TÉCNICAS</v>
      </c>
      <c r="Z1432" s="31" t="s">
        <v>924</v>
      </c>
      <c r="AA1432" s="31" t="s">
        <v>2050</v>
      </c>
      <c r="AB1432" s="33">
        <v>13</v>
      </c>
      <c r="AC1432" s="16" t="s">
        <v>39</v>
      </c>
      <c r="AD1432" s="16" t="s">
        <v>40</v>
      </c>
      <c r="AE1432" s="35" t="str">
        <f t="shared" si="22"/>
        <v>EF1 E002 Mat</v>
      </c>
    </row>
    <row r="1433" spans="1:31" ht="30" x14ac:dyDescent="0.25">
      <c r="A1433" s="31" t="s">
        <v>2995</v>
      </c>
      <c r="B1433" s="16" t="s">
        <v>32</v>
      </c>
      <c r="C1433" s="16" t="s">
        <v>33</v>
      </c>
      <c r="D1433" s="33" t="s">
        <v>34</v>
      </c>
      <c r="E1433" s="33">
        <v>111</v>
      </c>
      <c r="F1433" s="33">
        <v>4</v>
      </c>
      <c r="G1433" s="33">
        <v>6</v>
      </c>
      <c r="H1433" s="33"/>
      <c r="I1433" s="31" t="s">
        <v>46</v>
      </c>
      <c r="J1433" s="31"/>
      <c r="K1433" s="33"/>
      <c r="L1433" s="33"/>
      <c r="M1433" s="31"/>
      <c r="N1433" s="31"/>
      <c r="O1433" s="16" t="s">
        <v>2996</v>
      </c>
      <c r="P1433" s="16"/>
      <c r="Q1433" s="16"/>
      <c r="R1433" s="33"/>
      <c r="S1433" s="34"/>
      <c r="T1433" s="34"/>
      <c r="U1433" s="34"/>
      <c r="V1433" s="34"/>
      <c r="W1433" s="34"/>
      <c r="X1433" s="33" t="s">
        <v>247</v>
      </c>
      <c r="Y1433" s="35" t="str">
        <f>IF(Tabela2[[#This Row],[SIGLA]]="","",VLOOKUP(Tabela2[[#This Row],[SIGLA]],Tabela1[[#All],[Sigla Arte]:[Crédito]],2,0))</f>
        <v>THAIS CASTRO/ARQUIVO DA EDITORA</v>
      </c>
      <c r="Z1433" s="31"/>
      <c r="AA1433" s="31" t="str">
        <f>Tabela2[[#This Row],[ILUSTRADOR CRIAÇÃO]]</f>
        <v>THAIS CASTRO/ARQUIVO DA EDITORA</v>
      </c>
      <c r="AB1433" s="33"/>
      <c r="AC1433" s="16"/>
      <c r="AE1433" s="35" t="str">
        <f t="shared" si="22"/>
        <v>EF1 E002 Mat</v>
      </c>
    </row>
    <row r="1434" spans="1:31" ht="45" x14ac:dyDescent="0.25">
      <c r="A1434" s="31" t="s">
        <v>2997</v>
      </c>
      <c r="B1434" s="16" t="s">
        <v>32</v>
      </c>
      <c r="C1434" s="16" t="s">
        <v>327</v>
      </c>
      <c r="D1434" s="33" t="s">
        <v>34</v>
      </c>
      <c r="E1434" s="33">
        <v>116</v>
      </c>
      <c r="F1434" s="33">
        <v>4</v>
      </c>
      <c r="G1434" s="33">
        <v>6</v>
      </c>
      <c r="H1434" s="33"/>
      <c r="I1434" s="31" t="s">
        <v>35</v>
      </c>
      <c r="J1434" s="31"/>
      <c r="K1434" s="33"/>
      <c r="L1434" s="33"/>
      <c r="M1434" s="31"/>
      <c r="N1434" s="31"/>
      <c r="O1434" s="16" t="s">
        <v>2998</v>
      </c>
      <c r="P1434" s="16"/>
      <c r="Q1434" s="16"/>
      <c r="R1434" s="33">
        <v>119</v>
      </c>
      <c r="S1434" s="34">
        <v>45888</v>
      </c>
      <c r="T1434" s="34">
        <v>45889</v>
      </c>
      <c r="U1434" s="34"/>
      <c r="V1434" s="34"/>
      <c r="W1434" s="34">
        <v>45890</v>
      </c>
      <c r="X1434" s="33" t="s">
        <v>48</v>
      </c>
      <c r="Y1434" s="35" t="str">
        <f>IF(Tabela2[[#This Row],[SIGLA]]="","",VLOOKUP(Tabela2[[#This Row],[SIGLA]],Tabela1[[#All],[Sigla Arte]:[Crédito]],2,0))</f>
        <v>SERGIO LIMA/ARQUIVO DA EDITORA</v>
      </c>
      <c r="Z1434" s="31" t="s">
        <v>924</v>
      </c>
      <c r="AA1434" s="31" t="str">
        <f>Tabela2[[#This Row],[ILUSTRADOR CRIAÇÃO]]</f>
        <v>SERGIO LIMA/ARQUIVO DA EDITORA</v>
      </c>
      <c r="AB1434" s="33">
        <v>13</v>
      </c>
      <c r="AC1434" s="16" t="s">
        <v>39</v>
      </c>
      <c r="AD1434" s="16" t="s">
        <v>40</v>
      </c>
      <c r="AE1434" s="35" t="str">
        <f t="shared" si="22"/>
        <v>EF1 E002 Mat</v>
      </c>
    </row>
    <row r="1435" spans="1:31" ht="120" x14ac:dyDescent="0.25">
      <c r="A1435" s="31" t="s">
        <v>2999</v>
      </c>
      <c r="B1435" s="16" t="s">
        <v>32</v>
      </c>
      <c r="C1435" s="16" t="s">
        <v>33</v>
      </c>
      <c r="D1435" s="33" t="s">
        <v>34</v>
      </c>
      <c r="E1435" s="33">
        <v>117</v>
      </c>
      <c r="F1435" s="33">
        <v>4</v>
      </c>
      <c r="G1435" s="33">
        <v>6</v>
      </c>
      <c r="H1435" s="33"/>
      <c r="I1435" s="31" t="s">
        <v>35</v>
      </c>
      <c r="J1435" s="31"/>
      <c r="K1435" s="33"/>
      <c r="L1435" s="33"/>
      <c r="M1435" s="31"/>
      <c r="N1435" s="31"/>
      <c r="O1435" s="16" t="s">
        <v>3000</v>
      </c>
      <c r="P1435" s="16"/>
      <c r="Q1435" s="16"/>
      <c r="R1435" s="33">
        <v>37</v>
      </c>
      <c r="S1435" s="34">
        <v>45785</v>
      </c>
      <c r="T1435" s="34">
        <v>45786</v>
      </c>
      <c r="U1435" s="34"/>
      <c r="V1435" s="34"/>
      <c r="W1435" s="34">
        <v>45786</v>
      </c>
      <c r="X1435" s="33" t="s">
        <v>1971</v>
      </c>
      <c r="Y1435" s="35" t="str">
        <f>IF(Tabela2[[#This Row],[SIGLA]]="","",VLOOKUP(Tabela2[[#This Row],[SIGLA]],Tabela1[[#All],[Sigla Arte]:[Crédito]],2,0))</f>
        <v>PETRA MENDES/ARQUIVO DA EDITORA</v>
      </c>
      <c r="Z1435" s="31" t="s">
        <v>438</v>
      </c>
      <c r="AA1435" s="31" t="s">
        <v>3001</v>
      </c>
      <c r="AB1435" s="33">
        <v>13</v>
      </c>
      <c r="AC1435" s="16"/>
      <c r="AD1435" s="16" t="s">
        <v>40</v>
      </c>
      <c r="AE1435" s="35" t="str">
        <f t="shared" si="22"/>
        <v>EF1 E002 Mat</v>
      </c>
    </row>
    <row r="1436" spans="1:31" ht="45" x14ac:dyDescent="0.25">
      <c r="A1436" s="31" t="s">
        <v>3002</v>
      </c>
      <c r="B1436" s="16" t="s">
        <v>32</v>
      </c>
      <c r="C1436" s="16" t="s">
        <v>33</v>
      </c>
      <c r="D1436" s="33" t="s">
        <v>34</v>
      </c>
      <c r="E1436" s="33">
        <v>119</v>
      </c>
      <c r="F1436" s="33">
        <v>4</v>
      </c>
      <c r="G1436" s="33">
        <v>6</v>
      </c>
      <c r="H1436" s="33"/>
      <c r="I1436" s="31" t="s">
        <v>35</v>
      </c>
      <c r="J1436" s="31"/>
      <c r="K1436" s="33"/>
      <c r="L1436" s="33"/>
      <c r="M1436" s="31"/>
      <c r="N1436" s="31"/>
      <c r="O1436" s="16" t="s">
        <v>3003</v>
      </c>
      <c r="P1436" s="16"/>
      <c r="Q1436" s="16"/>
      <c r="R1436" s="33">
        <v>119</v>
      </c>
      <c r="S1436" s="34">
        <v>45888</v>
      </c>
      <c r="T1436" s="34">
        <v>45889</v>
      </c>
      <c r="U1436" s="34"/>
      <c r="V1436" s="34"/>
      <c r="W1436" s="34">
        <v>45890</v>
      </c>
      <c r="X1436" s="33" t="s">
        <v>399</v>
      </c>
      <c r="Y1436" s="35" t="str">
        <f>IF(Tabela2[[#This Row],[SIGLA]]="","",VLOOKUP(Tabela2[[#This Row],[SIGLA]],Tabela1[[#All],[Sigla Arte]:[Crédito]],2,0))</f>
        <v>MÁRCIO GUERRA/ARQUIVO DA EDITORA</v>
      </c>
      <c r="Z1436" s="31" t="s">
        <v>924</v>
      </c>
      <c r="AA1436" s="31" t="str">
        <f>Tabela2[[#This Row],[ILUSTRADOR CRIAÇÃO]]</f>
        <v>MÁRCIO GUERRA/ARQUIVO DA EDITORA</v>
      </c>
      <c r="AB1436" s="33">
        <v>13</v>
      </c>
      <c r="AC1436" s="16" t="s">
        <v>39</v>
      </c>
      <c r="AD1436" s="16" t="s">
        <v>40</v>
      </c>
      <c r="AE1436" s="35" t="str">
        <f t="shared" si="22"/>
        <v>EF1 E002 Mat</v>
      </c>
    </row>
    <row r="1437" spans="1:31" ht="75" x14ac:dyDescent="0.25">
      <c r="A1437" s="31" t="s">
        <v>3004</v>
      </c>
      <c r="B1437" s="16" t="s">
        <v>32</v>
      </c>
      <c r="C1437" s="16" t="s">
        <v>33</v>
      </c>
      <c r="D1437" s="33" t="s">
        <v>34</v>
      </c>
      <c r="E1437" s="33">
        <v>107</v>
      </c>
      <c r="F1437" s="33">
        <v>4</v>
      </c>
      <c r="G1437" s="33">
        <v>6</v>
      </c>
      <c r="H1437" s="33"/>
      <c r="I1437" s="31" t="s">
        <v>35</v>
      </c>
      <c r="J1437" s="31"/>
      <c r="K1437" s="33"/>
      <c r="L1437" s="33"/>
      <c r="M1437" s="31"/>
      <c r="N1437" s="31"/>
      <c r="O1437" s="16" t="s">
        <v>3005</v>
      </c>
      <c r="P1437" s="16"/>
      <c r="Q1437" s="16"/>
      <c r="R1437" s="33">
        <v>151</v>
      </c>
      <c r="S1437" s="34">
        <v>45903</v>
      </c>
      <c r="T1437" s="34">
        <v>45903</v>
      </c>
      <c r="U1437" s="34"/>
      <c r="V1437" s="34"/>
      <c r="W1437" s="34">
        <v>45903</v>
      </c>
      <c r="X1437" s="33" t="s">
        <v>85</v>
      </c>
      <c r="Y1437" s="35" t="str">
        <f>IF(Tabela2[[#This Row],[SIGLA]]="","",VLOOKUP(Tabela2[[#This Row],[SIGLA]],Tabela1[[#All],[Sigla Arte]:[Crédito]],2,0))</f>
        <v>HELOÍSA PINTARELLI/ARQUIVO DA EDITORA</v>
      </c>
      <c r="Z1437" s="31" t="s">
        <v>352</v>
      </c>
      <c r="AA1437" s="31" t="str">
        <f>Tabela2[[#This Row],[ILUSTRADOR CRIAÇÃO]]</f>
        <v>HELOÍSA PINTARELLI/ARQUIVO DA EDITORA</v>
      </c>
      <c r="AB1437" s="33">
        <v>14</v>
      </c>
      <c r="AC1437" s="16" t="s">
        <v>39</v>
      </c>
      <c r="AD1437" s="16" t="s">
        <v>40</v>
      </c>
      <c r="AE1437" s="35" t="str">
        <f t="shared" si="22"/>
        <v>EF1 E002 Mat</v>
      </c>
    </row>
    <row r="1438" spans="1:31" ht="45" x14ac:dyDescent="0.25">
      <c r="A1438" s="31" t="s">
        <v>3006</v>
      </c>
      <c r="B1438" s="16" t="s">
        <v>32</v>
      </c>
      <c r="C1438" s="16" t="s">
        <v>33</v>
      </c>
      <c r="D1438" s="33" t="s">
        <v>34</v>
      </c>
      <c r="E1438" s="33">
        <v>125</v>
      </c>
      <c r="F1438" s="33">
        <v>4</v>
      </c>
      <c r="G1438" s="33">
        <v>6</v>
      </c>
      <c r="H1438" s="33"/>
      <c r="I1438" s="31" t="s">
        <v>35</v>
      </c>
      <c r="J1438" s="31"/>
      <c r="K1438" s="33"/>
      <c r="L1438" s="33"/>
      <c r="M1438" s="31"/>
      <c r="N1438" s="31"/>
      <c r="O1438" s="16" t="s">
        <v>3007</v>
      </c>
      <c r="P1438" s="16"/>
      <c r="Q1438" s="16"/>
      <c r="R1438" s="33">
        <v>119</v>
      </c>
      <c r="S1438" s="34">
        <v>45888</v>
      </c>
      <c r="T1438" s="34">
        <v>45889</v>
      </c>
      <c r="U1438" s="34"/>
      <c r="V1438" s="34"/>
      <c r="W1438" s="34">
        <v>45890</v>
      </c>
      <c r="X1438" s="33" t="s">
        <v>399</v>
      </c>
      <c r="Y1438" s="35" t="str">
        <f>IF(Tabela2[[#This Row],[SIGLA]]="","",VLOOKUP(Tabela2[[#This Row],[SIGLA]],Tabela1[[#All],[Sigla Arte]:[Crédito]],2,0))</f>
        <v>MÁRCIO GUERRA/ARQUIVO DA EDITORA</v>
      </c>
      <c r="Z1438" s="31" t="s">
        <v>924</v>
      </c>
      <c r="AA1438" s="31" t="str">
        <f>Tabela2[[#This Row],[ILUSTRADOR CRIAÇÃO]]</f>
        <v>MÁRCIO GUERRA/ARQUIVO DA EDITORA</v>
      </c>
      <c r="AB1438" s="33">
        <v>13</v>
      </c>
      <c r="AC1438" s="16" t="s">
        <v>39</v>
      </c>
      <c r="AD1438" s="16" t="s">
        <v>40</v>
      </c>
      <c r="AE1438" s="35" t="str">
        <f t="shared" si="22"/>
        <v>EF1 E002 Mat</v>
      </c>
    </row>
    <row r="1439" spans="1:31" ht="60" x14ac:dyDescent="0.25">
      <c r="A1439" s="31" t="s">
        <v>3008</v>
      </c>
      <c r="B1439" s="16" t="s">
        <v>32</v>
      </c>
      <c r="C1439" s="16" t="s">
        <v>33</v>
      </c>
      <c r="D1439" s="33" t="s">
        <v>34</v>
      </c>
      <c r="E1439" s="33">
        <v>110</v>
      </c>
      <c r="F1439" s="33">
        <v>4</v>
      </c>
      <c r="G1439" s="33">
        <v>6</v>
      </c>
      <c r="H1439" s="33"/>
      <c r="I1439" s="31" t="s">
        <v>35</v>
      </c>
      <c r="J1439" s="31"/>
      <c r="K1439" s="33"/>
      <c r="L1439" s="33"/>
      <c r="M1439" s="31"/>
      <c r="N1439" s="31"/>
      <c r="O1439" s="16" t="s">
        <v>3009</v>
      </c>
      <c r="P1439" s="16"/>
      <c r="Q1439" s="16"/>
      <c r="R1439" s="33">
        <v>151</v>
      </c>
      <c r="S1439" s="34">
        <v>45903</v>
      </c>
      <c r="T1439" s="34">
        <v>45903</v>
      </c>
      <c r="U1439" s="34"/>
      <c r="V1439" s="34"/>
      <c r="W1439" s="34">
        <v>45903</v>
      </c>
      <c r="X1439" s="33" t="s">
        <v>247</v>
      </c>
      <c r="Y1439" s="35" t="str">
        <f>IF(Tabela2[[#This Row],[SIGLA]]="","",VLOOKUP(Tabela2[[#This Row],[SIGLA]],Tabela1[[#All],[Sigla Arte]:[Crédito]],2,0))</f>
        <v>THAIS CASTRO/ARQUIVO DA EDITORA</v>
      </c>
      <c r="Z1439" s="31" t="s">
        <v>352</v>
      </c>
      <c r="AA1439" s="31" t="str">
        <f>Tabela2[[#This Row],[ILUSTRADOR CRIAÇÃO]]</f>
        <v>THAIS CASTRO/ARQUIVO DA EDITORA</v>
      </c>
      <c r="AB1439" s="33">
        <v>14</v>
      </c>
      <c r="AC1439" s="16" t="s">
        <v>39</v>
      </c>
      <c r="AD1439" s="16" t="s">
        <v>40</v>
      </c>
      <c r="AE1439" s="35" t="str">
        <f t="shared" si="22"/>
        <v>EF1 E002 Mat</v>
      </c>
    </row>
    <row r="1440" spans="1:31" ht="105" x14ac:dyDescent="0.25">
      <c r="A1440" s="31" t="s">
        <v>3010</v>
      </c>
      <c r="B1440" s="16" t="s">
        <v>32</v>
      </c>
      <c r="C1440" s="16" t="s">
        <v>327</v>
      </c>
      <c r="D1440" s="33" t="s">
        <v>34</v>
      </c>
      <c r="E1440" s="33">
        <v>177</v>
      </c>
      <c r="F1440" s="33">
        <v>4</v>
      </c>
      <c r="G1440" s="33">
        <v>9</v>
      </c>
      <c r="H1440" s="33"/>
      <c r="I1440" s="31" t="s">
        <v>35</v>
      </c>
      <c r="J1440" s="31"/>
      <c r="K1440" s="33"/>
      <c r="L1440" s="33"/>
      <c r="M1440" s="31"/>
      <c r="N1440" s="31"/>
      <c r="O1440" s="16" t="s">
        <v>3011</v>
      </c>
      <c r="P1440" s="16"/>
      <c r="Q1440" s="16"/>
      <c r="R1440" s="33">
        <v>123</v>
      </c>
      <c r="S1440" s="34">
        <v>45890</v>
      </c>
      <c r="T1440" s="34">
        <v>45894</v>
      </c>
      <c r="U1440" s="34"/>
      <c r="V1440" s="34"/>
      <c r="W1440" s="34">
        <v>45896</v>
      </c>
      <c r="X1440" s="33" t="s">
        <v>48</v>
      </c>
      <c r="Y1440" s="35" t="str">
        <f>IF(Tabela2[[#This Row],[SIGLA]]="","",VLOOKUP(Tabela2[[#This Row],[SIGLA]],Tabela1[[#All],[Sigla Arte]:[Crédito]],2,0))</f>
        <v>SERGIO LIMA/ARQUIVO DA EDITORA</v>
      </c>
      <c r="Z1440" s="31" t="s">
        <v>352</v>
      </c>
      <c r="AA1440" s="31" t="str">
        <f>Tabela2[[#This Row],[ILUSTRADOR CRIAÇÃO]]</f>
        <v>SERGIO LIMA/ARQUIVO DA EDITORA</v>
      </c>
      <c r="AB1440" s="33">
        <v>13</v>
      </c>
      <c r="AC1440" s="16" t="s">
        <v>39</v>
      </c>
      <c r="AD1440" s="16" t="s">
        <v>40</v>
      </c>
      <c r="AE1440" s="35" t="str">
        <f t="shared" si="22"/>
        <v>EF1 E002 Mat</v>
      </c>
    </row>
    <row r="1441" spans="1:31" ht="30" x14ac:dyDescent="0.25">
      <c r="A1441" s="31" t="s">
        <v>3012</v>
      </c>
      <c r="B1441" s="16" t="s">
        <v>32</v>
      </c>
      <c r="C1441" s="16" t="s">
        <v>327</v>
      </c>
      <c r="D1441" s="33" t="s">
        <v>34</v>
      </c>
      <c r="E1441" s="33">
        <v>178</v>
      </c>
      <c r="F1441" s="33">
        <v>4</v>
      </c>
      <c r="G1441" s="33">
        <v>9</v>
      </c>
      <c r="H1441" s="33"/>
      <c r="I1441" s="31" t="s">
        <v>46</v>
      </c>
      <c r="J1441" s="31"/>
      <c r="K1441" s="33"/>
      <c r="L1441" s="33"/>
      <c r="M1441" s="31"/>
      <c r="N1441" s="31"/>
      <c r="O1441" s="16" t="s">
        <v>3013</v>
      </c>
      <c r="P1441" s="16"/>
      <c r="Q1441" s="16"/>
      <c r="R1441" s="33"/>
      <c r="S1441" s="34"/>
      <c r="T1441" s="34"/>
      <c r="U1441" s="34"/>
      <c r="V1441" s="34"/>
      <c r="W1441" s="34"/>
      <c r="X1441" s="33" t="s">
        <v>48</v>
      </c>
      <c r="Y1441" s="35" t="str">
        <f>IF(Tabela2[[#This Row],[SIGLA]]="","",VLOOKUP(Tabela2[[#This Row],[SIGLA]],Tabela1[[#All],[Sigla Arte]:[Crédito]],2,0))</f>
        <v>SERGIO LIMA/ARQUIVO DA EDITORA</v>
      </c>
      <c r="Z1441" s="31"/>
      <c r="AA1441" s="31" t="str">
        <f>Tabela2[[#This Row],[ILUSTRADOR CRIAÇÃO]]</f>
        <v>SERGIO LIMA/ARQUIVO DA EDITORA</v>
      </c>
      <c r="AB1441" s="33"/>
      <c r="AC1441" s="16"/>
      <c r="AE1441" s="35" t="str">
        <f t="shared" si="22"/>
        <v>EF1 E002 Mat</v>
      </c>
    </row>
    <row r="1442" spans="1:31" ht="30" x14ac:dyDescent="0.25">
      <c r="A1442" s="31" t="s">
        <v>3014</v>
      </c>
      <c r="B1442" s="16" t="s">
        <v>32</v>
      </c>
      <c r="C1442" s="16" t="s">
        <v>33</v>
      </c>
      <c r="D1442" s="33" t="s">
        <v>34</v>
      </c>
      <c r="E1442" s="33">
        <v>179</v>
      </c>
      <c r="F1442" s="33">
        <v>4</v>
      </c>
      <c r="G1442" s="33">
        <v>9</v>
      </c>
      <c r="H1442" s="33"/>
      <c r="I1442" s="31" t="s">
        <v>46</v>
      </c>
      <c r="J1442" s="31"/>
      <c r="K1442" s="33"/>
      <c r="L1442" s="33"/>
      <c r="M1442" s="31"/>
      <c r="N1442" s="31"/>
      <c r="O1442" s="16" t="s">
        <v>3015</v>
      </c>
      <c r="P1442" s="16"/>
      <c r="Q1442" s="16"/>
      <c r="R1442" s="33"/>
      <c r="S1442" s="34"/>
      <c r="T1442" s="34"/>
      <c r="U1442" s="34"/>
      <c r="V1442" s="34"/>
      <c r="W1442" s="34"/>
      <c r="X1442" s="33" t="s">
        <v>3016</v>
      </c>
      <c r="Y1442" s="35" t="str">
        <f>IF(Tabela2[[#This Row],[SIGLA]]="","",VLOOKUP(Tabela2[[#This Row],[SIGLA]],Tabela1[[#All],[Sigla Arte]:[Crédito]],2,0))</f>
        <v>GABI VASKO/ARQUIVO DA EDITORA</v>
      </c>
      <c r="Z1442" s="31"/>
      <c r="AA1442" s="31" t="str">
        <f>Tabela2[[#This Row],[ILUSTRADOR CRIAÇÃO]]</f>
        <v>GABI VASKO/ARQUIVO DA EDITORA</v>
      </c>
      <c r="AB1442" s="33"/>
      <c r="AC1442" s="16"/>
      <c r="AE1442" s="35" t="str">
        <f t="shared" si="22"/>
        <v>EF1 E002 Mat</v>
      </c>
    </row>
    <row r="1443" spans="1:31" ht="120" x14ac:dyDescent="0.25">
      <c r="A1443" s="31" t="s">
        <v>3017</v>
      </c>
      <c r="B1443" s="16" t="s">
        <v>32</v>
      </c>
      <c r="C1443" s="16" t="s">
        <v>33</v>
      </c>
      <c r="D1443" s="33" t="s">
        <v>34</v>
      </c>
      <c r="E1443" s="33">
        <v>179</v>
      </c>
      <c r="F1443" s="33">
        <v>4</v>
      </c>
      <c r="G1443" s="33">
        <v>9</v>
      </c>
      <c r="H1443" s="33"/>
      <c r="I1443" s="31" t="s">
        <v>35</v>
      </c>
      <c r="J1443" s="31"/>
      <c r="K1443" s="33"/>
      <c r="L1443" s="33"/>
      <c r="M1443" s="31"/>
      <c r="N1443" s="31"/>
      <c r="O1443" s="16" t="s">
        <v>3018</v>
      </c>
      <c r="P1443" s="16"/>
      <c r="Q1443" s="16"/>
      <c r="R1443" s="33">
        <v>38</v>
      </c>
      <c r="S1443" s="34">
        <v>45786</v>
      </c>
      <c r="T1443" s="34">
        <v>45786</v>
      </c>
      <c r="U1443" s="34"/>
      <c r="V1443" s="34"/>
      <c r="W1443" s="34">
        <v>45789</v>
      </c>
      <c r="X1443" s="33" t="s">
        <v>184</v>
      </c>
      <c r="Y1443" s="35" t="str">
        <f>IF(Tabela2[[#This Row],[SIGLA]]="","",VLOOKUP(Tabela2[[#This Row],[SIGLA]],Tabela1[[#All],[Sigla Arte]:[Crédito]],2,0))</f>
        <v>VER DOCUMENTO DE ILS. TÉCNICAS</v>
      </c>
      <c r="Z1443" s="31" t="s">
        <v>368</v>
      </c>
      <c r="AA1443" s="31" t="s">
        <v>3019</v>
      </c>
      <c r="AB1443" s="33">
        <v>14</v>
      </c>
      <c r="AC1443" s="16" t="s">
        <v>39</v>
      </c>
      <c r="AD1443" s="16" t="s">
        <v>40</v>
      </c>
      <c r="AE1443" s="35" t="str">
        <f t="shared" si="22"/>
        <v>EF1 E002 Mat</v>
      </c>
    </row>
    <row r="1444" spans="1:31" ht="120" x14ac:dyDescent="0.25">
      <c r="A1444" s="31" t="s">
        <v>3020</v>
      </c>
      <c r="B1444" s="16" t="s">
        <v>32</v>
      </c>
      <c r="C1444" s="16" t="s">
        <v>33</v>
      </c>
      <c r="D1444" s="33" t="s">
        <v>34</v>
      </c>
      <c r="E1444" s="33">
        <v>181</v>
      </c>
      <c r="F1444" s="33">
        <v>4</v>
      </c>
      <c r="G1444" s="33">
        <v>9</v>
      </c>
      <c r="H1444" s="33"/>
      <c r="I1444" s="31" t="s">
        <v>35</v>
      </c>
      <c r="J1444" s="31"/>
      <c r="K1444" s="33"/>
      <c r="L1444" s="33"/>
      <c r="M1444" s="31"/>
      <c r="N1444" s="31"/>
      <c r="O1444" s="16" t="s">
        <v>3021</v>
      </c>
      <c r="P1444" s="16"/>
      <c r="Q1444" s="16"/>
      <c r="R1444" s="33">
        <v>123</v>
      </c>
      <c r="S1444" s="34">
        <v>45890</v>
      </c>
      <c r="T1444" s="34">
        <v>45894</v>
      </c>
      <c r="U1444" s="34"/>
      <c r="V1444" s="34"/>
      <c r="W1444" s="34">
        <v>45896</v>
      </c>
      <c r="X1444" s="33" t="s">
        <v>3016</v>
      </c>
      <c r="Y1444" s="35" t="str">
        <f>IF(Tabela2[[#This Row],[SIGLA]]="","",VLOOKUP(Tabela2[[#This Row],[SIGLA]],Tabela1[[#All],[Sigla Arte]:[Crédito]],2,0))</f>
        <v>GABI VASKO/ARQUIVO DA EDITORA</v>
      </c>
      <c r="Z1444" s="31" t="s">
        <v>352</v>
      </c>
      <c r="AA1444" s="31" t="str">
        <f>Tabela2[[#This Row],[ILUSTRADOR CRIAÇÃO]]</f>
        <v>GABI VASKO/ARQUIVO DA EDITORA</v>
      </c>
      <c r="AB1444" s="33">
        <v>13</v>
      </c>
      <c r="AC1444" s="16" t="s">
        <v>39</v>
      </c>
      <c r="AD1444" s="16" t="s">
        <v>40</v>
      </c>
      <c r="AE1444" s="35" t="str">
        <f t="shared" si="22"/>
        <v>EF1 E002 Mat</v>
      </c>
    </row>
    <row r="1445" spans="1:31" ht="45" x14ac:dyDescent="0.25">
      <c r="A1445" s="31" t="s">
        <v>3022</v>
      </c>
      <c r="B1445" s="16" t="s">
        <v>32</v>
      </c>
      <c r="C1445" s="16" t="s">
        <v>33</v>
      </c>
      <c r="D1445" s="33" t="s">
        <v>34</v>
      </c>
      <c r="E1445" s="33">
        <v>181</v>
      </c>
      <c r="F1445" s="33">
        <v>4</v>
      </c>
      <c r="G1445" s="33">
        <v>9</v>
      </c>
      <c r="H1445" s="33"/>
      <c r="I1445" s="31" t="s">
        <v>46</v>
      </c>
      <c r="J1445" s="31"/>
      <c r="K1445" s="33"/>
      <c r="L1445" s="33"/>
      <c r="M1445" s="31"/>
      <c r="N1445" s="31"/>
      <c r="O1445" s="16" t="s">
        <v>3023</v>
      </c>
      <c r="P1445" s="16"/>
      <c r="Q1445" s="16"/>
      <c r="R1445" s="33"/>
      <c r="S1445" s="34"/>
      <c r="T1445" s="34"/>
      <c r="U1445" s="34"/>
      <c r="V1445" s="34"/>
      <c r="W1445" s="34"/>
      <c r="X1445" s="33" t="s">
        <v>3016</v>
      </c>
      <c r="Y1445" s="35" t="str">
        <f>IF(Tabela2[[#This Row],[SIGLA]]="","",VLOOKUP(Tabela2[[#This Row],[SIGLA]],Tabela1[[#All],[Sigla Arte]:[Crédito]],2,0))</f>
        <v>GABI VASKO/ARQUIVO DA EDITORA</v>
      </c>
      <c r="Z1445" s="31"/>
      <c r="AA1445" s="31" t="str">
        <f>Tabela2[[#This Row],[ILUSTRADOR CRIAÇÃO]]</f>
        <v>GABI VASKO/ARQUIVO DA EDITORA</v>
      </c>
      <c r="AB1445" s="33"/>
      <c r="AC1445" s="16"/>
      <c r="AE1445" s="35" t="str">
        <f t="shared" si="22"/>
        <v>EF1 E002 Mat</v>
      </c>
    </row>
    <row r="1446" spans="1:31" ht="30" x14ac:dyDescent="0.25">
      <c r="A1446" s="31" t="s">
        <v>3024</v>
      </c>
      <c r="B1446" s="16" t="s">
        <v>32</v>
      </c>
      <c r="C1446" s="16" t="s">
        <v>33</v>
      </c>
      <c r="D1446" s="33" t="s">
        <v>34</v>
      </c>
      <c r="E1446" s="33">
        <v>182</v>
      </c>
      <c r="F1446" s="33">
        <v>4</v>
      </c>
      <c r="G1446" s="33">
        <v>9</v>
      </c>
      <c r="H1446" s="33"/>
      <c r="I1446" s="31" t="s">
        <v>46</v>
      </c>
      <c r="J1446" s="31"/>
      <c r="K1446" s="33"/>
      <c r="L1446" s="33"/>
      <c r="M1446" s="31"/>
      <c r="N1446" s="31"/>
      <c r="O1446" s="16" t="s">
        <v>3025</v>
      </c>
      <c r="P1446" s="16"/>
      <c r="Q1446" s="16"/>
      <c r="R1446" s="33"/>
      <c r="S1446" s="34"/>
      <c r="T1446" s="34"/>
      <c r="U1446" s="34"/>
      <c r="V1446" s="34"/>
      <c r="W1446" s="34"/>
      <c r="X1446" s="33" t="s">
        <v>48</v>
      </c>
      <c r="Y1446" s="35" t="str">
        <f>IF(Tabela2[[#This Row],[SIGLA]]="","",VLOOKUP(Tabela2[[#This Row],[SIGLA]],Tabela1[[#All],[Sigla Arte]:[Crédito]],2,0))</f>
        <v>SERGIO LIMA/ARQUIVO DA EDITORA</v>
      </c>
      <c r="Z1446" s="31"/>
      <c r="AA1446" s="31" t="str">
        <f>Tabela2[[#This Row],[ILUSTRADOR CRIAÇÃO]]</f>
        <v>SERGIO LIMA/ARQUIVO DA EDITORA</v>
      </c>
      <c r="AB1446" s="33"/>
      <c r="AC1446" s="16"/>
      <c r="AE1446" s="35" t="str">
        <f t="shared" si="22"/>
        <v>EF1 E002 Mat</v>
      </c>
    </row>
    <row r="1447" spans="1:31" ht="30" x14ac:dyDescent="0.25">
      <c r="A1447" s="31" t="s">
        <v>3026</v>
      </c>
      <c r="B1447" s="16" t="s">
        <v>32</v>
      </c>
      <c r="C1447" s="16" t="s">
        <v>33</v>
      </c>
      <c r="D1447" s="33" t="s">
        <v>34</v>
      </c>
      <c r="E1447" s="33">
        <v>182</v>
      </c>
      <c r="F1447" s="33">
        <v>4</v>
      </c>
      <c r="G1447" s="33">
        <v>9</v>
      </c>
      <c r="H1447" s="33"/>
      <c r="I1447" s="31" t="s">
        <v>46</v>
      </c>
      <c r="J1447" s="31"/>
      <c r="K1447" s="33"/>
      <c r="L1447" s="33"/>
      <c r="M1447" s="31"/>
      <c r="N1447" s="31"/>
      <c r="O1447" s="16" t="s">
        <v>3027</v>
      </c>
      <c r="P1447" s="16"/>
      <c r="Q1447" s="16"/>
      <c r="R1447" s="33"/>
      <c r="S1447" s="34"/>
      <c r="T1447" s="34"/>
      <c r="U1447" s="34"/>
      <c r="V1447" s="34"/>
      <c r="W1447" s="34"/>
      <c r="X1447" s="33" t="s">
        <v>48</v>
      </c>
      <c r="Y1447" s="35" t="str">
        <f>IF(Tabela2[[#This Row],[SIGLA]]="","",VLOOKUP(Tabela2[[#This Row],[SIGLA]],Tabela1[[#All],[Sigla Arte]:[Crédito]],2,0))</f>
        <v>SERGIO LIMA/ARQUIVO DA EDITORA</v>
      </c>
      <c r="Z1447" s="31"/>
      <c r="AA1447" s="31" t="str">
        <f>Tabela2[[#This Row],[ILUSTRADOR CRIAÇÃO]]</f>
        <v>SERGIO LIMA/ARQUIVO DA EDITORA</v>
      </c>
      <c r="AB1447" s="33"/>
      <c r="AC1447" s="16"/>
      <c r="AE1447" s="35" t="str">
        <f t="shared" si="22"/>
        <v>EF1 E002 Mat</v>
      </c>
    </row>
    <row r="1448" spans="1:31" ht="30" x14ac:dyDescent="0.25">
      <c r="A1448" s="31" t="s">
        <v>3028</v>
      </c>
      <c r="B1448" s="16" t="s">
        <v>32</v>
      </c>
      <c r="C1448" s="16" t="s">
        <v>164</v>
      </c>
      <c r="D1448" s="33" t="s">
        <v>34</v>
      </c>
      <c r="E1448" s="33">
        <v>182</v>
      </c>
      <c r="F1448" s="33">
        <v>4</v>
      </c>
      <c r="G1448" s="33">
        <v>9</v>
      </c>
      <c r="H1448" s="33"/>
      <c r="I1448" s="31" t="s">
        <v>46</v>
      </c>
      <c r="J1448" s="31"/>
      <c r="K1448" s="33"/>
      <c r="L1448" s="33"/>
      <c r="M1448" s="31"/>
      <c r="N1448" s="31"/>
      <c r="O1448" s="16" t="s">
        <v>3029</v>
      </c>
      <c r="P1448" s="16"/>
      <c r="Q1448" s="16"/>
      <c r="R1448" s="33"/>
      <c r="S1448" s="34"/>
      <c r="T1448" s="34"/>
      <c r="U1448" s="34"/>
      <c r="V1448" s="34"/>
      <c r="W1448" s="34"/>
      <c r="X1448" s="33" t="s">
        <v>48</v>
      </c>
      <c r="Y1448" s="35" t="str">
        <f>IF(Tabela2[[#This Row],[SIGLA]]="","",VLOOKUP(Tabela2[[#This Row],[SIGLA]],Tabela1[[#All],[Sigla Arte]:[Crédito]],2,0))</f>
        <v>SERGIO LIMA/ARQUIVO DA EDITORA</v>
      </c>
      <c r="Z1448" s="31"/>
      <c r="AA1448" s="31" t="str">
        <f>Tabela2[[#This Row],[ILUSTRADOR CRIAÇÃO]]</f>
        <v>SERGIO LIMA/ARQUIVO DA EDITORA</v>
      </c>
      <c r="AB1448" s="33"/>
      <c r="AC1448" s="16"/>
      <c r="AE1448" s="35" t="str">
        <f t="shared" si="22"/>
        <v>EF1 E002 Mat</v>
      </c>
    </row>
    <row r="1449" spans="1:31" ht="30" x14ac:dyDescent="0.25">
      <c r="A1449" s="31" t="s">
        <v>3030</v>
      </c>
      <c r="B1449" s="16" t="s">
        <v>32</v>
      </c>
      <c r="C1449" s="16" t="s">
        <v>164</v>
      </c>
      <c r="D1449" s="33" t="s">
        <v>34</v>
      </c>
      <c r="E1449" s="33">
        <v>182</v>
      </c>
      <c r="F1449" s="33">
        <v>4</v>
      </c>
      <c r="G1449" s="33">
        <v>9</v>
      </c>
      <c r="H1449" s="33"/>
      <c r="I1449" s="31" t="s">
        <v>46</v>
      </c>
      <c r="J1449" s="31"/>
      <c r="K1449" s="33"/>
      <c r="L1449" s="33"/>
      <c r="M1449" s="31"/>
      <c r="N1449" s="31"/>
      <c r="O1449" s="16" t="s">
        <v>3031</v>
      </c>
      <c r="P1449" s="16"/>
      <c r="Q1449" s="16"/>
      <c r="R1449" s="33"/>
      <c r="S1449" s="34"/>
      <c r="T1449" s="34"/>
      <c r="U1449" s="34"/>
      <c r="V1449" s="34"/>
      <c r="W1449" s="34"/>
      <c r="X1449" s="33" t="s">
        <v>48</v>
      </c>
      <c r="Y1449" s="35" t="str">
        <f>IF(Tabela2[[#This Row],[SIGLA]]="","",VLOOKUP(Tabela2[[#This Row],[SIGLA]],Tabela1[[#All],[Sigla Arte]:[Crédito]],2,0))</f>
        <v>SERGIO LIMA/ARQUIVO DA EDITORA</v>
      </c>
      <c r="Z1449" s="31"/>
      <c r="AA1449" s="31" t="str">
        <f>Tabela2[[#This Row],[ILUSTRADOR CRIAÇÃO]]</f>
        <v>SERGIO LIMA/ARQUIVO DA EDITORA</v>
      </c>
      <c r="AB1449" s="33"/>
      <c r="AC1449" s="16"/>
      <c r="AE1449" s="35" t="str">
        <f t="shared" si="22"/>
        <v>EF1 E002 Mat</v>
      </c>
    </row>
    <row r="1450" spans="1:31" ht="30" x14ac:dyDescent="0.25">
      <c r="A1450" s="31" t="s">
        <v>3032</v>
      </c>
      <c r="B1450" s="16" t="s">
        <v>32</v>
      </c>
      <c r="C1450" s="16" t="s">
        <v>164</v>
      </c>
      <c r="D1450" s="33" t="s">
        <v>34</v>
      </c>
      <c r="E1450" s="33">
        <v>182</v>
      </c>
      <c r="F1450" s="33">
        <v>4</v>
      </c>
      <c r="G1450" s="33">
        <v>9</v>
      </c>
      <c r="H1450" s="33"/>
      <c r="I1450" s="31" t="s">
        <v>46</v>
      </c>
      <c r="J1450" s="31"/>
      <c r="K1450" s="33"/>
      <c r="L1450" s="33"/>
      <c r="M1450" s="31"/>
      <c r="N1450" s="31"/>
      <c r="O1450" s="16" t="s">
        <v>3033</v>
      </c>
      <c r="P1450" s="16"/>
      <c r="Q1450" s="16"/>
      <c r="R1450" s="33"/>
      <c r="S1450" s="34"/>
      <c r="T1450" s="34"/>
      <c r="U1450" s="34"/>
      <c r="V1450" s="34"/>
      <c r="W1450" s="34"/>
      <c r="X1450" s="33" t="s">
        <v>48</v>
      </c>
      <c r="Y1450" s="35" t="str">
        <f>IF(Tabela2[[#This Row],[SIGLA]]="","",VLOOKUP(Tabela2[[#This Row],[SIGLA]],Tabela1[[#All],[Sigla Arte]:[Crédito]],2,0))</f>
        <v>SERGIO LIMA/ARQUIVO DA EDITORA</v>
      </c>
      <c r="Z1450" s="31"/>
      <c r="AA1450" s="31" t="str">
        <f>Tabela2[[#This Row],[ILUSTRADOR CRIAÇÃO]]</f>
        <v>SERGIO LIMA/ARQUIVO DA EDITORA</v>
      </c>
      <c r="AB1450" s="33"/>
      <c r="AC1450" s="16"/>
      <c r="AE1450" s="35" t="str">
        <f t="shared" si="22"/>
        <v>EF1 E002 Mat</v>
      </c>
    </row>
    <row r="1451" spans="1:31" ht="30" x14ac:dyDescent="0.25">
      <c r="A1451" s="31" t="s">
        <v>3034</v>
      </c>
      <c r="B1451" s="16" t="s">
        <v>32</v>
      </c>
      <c r="C1451" s="16" t="s">
        <v>164</v>
      </c>
      <c r="D1451" s="33" t="s">
        <v>34</v>
      </c>
      <c r="E1451" s="33">
        <v>182</v>
      </c>
      <c r="F1451" s="33">
        <v>4</v>
      </c>
      <c r="G1451" s="33">
        <v>9</v>
      </c>
      <c r="H1451" s="33"/>
      <c r="I1451" s="31" t="s">
        <v>46</v>
      </c>
      <c r="J1451" s="31"/>
      <c r="K1451" s="33"/>
      <c r="L1451" s="33"/>
      <c r="M1451" s="31"/>
      <c r="N1451" s="31"/>
      <c r="O1451" s="16" t="s">
        <v>3035</v>
      </c>
      <c r="P1451" s="16"/>
      <c r="Q1451" s="16"/>
      <c r="R1451" s="33"/>
      <c r="S1451" s="34"/>
      <c r="T1451" s="34"/>
      <c r="U1451" s="34"/>
      <c r="V1451" s="34"/>
      <c r="W1451" s="34"/>
      <c r="X1451" s="33" t="s">
        <v>48</v>
      </c>
      <c r="Y1451" s="35" t="str">
        <f>IF(Tabela2[[#This Row],[SIGLA]]="","",VLOOKUP(Tabela2[[#This Row],[SIGLA]],Tabela1[[#All],[Sigla Arte]:[Crédito]],2,0))</f>
        <v>SERGIO LIMA/ARQUIVO DA EDITORA</v>
      </c>
      <c r="Z1451" s="31"/>
      <c r="AA1451" s="31" t="str">
        <f>Tabela2[[#This Row],[ILUSTRADOR CRIAÇÃO]]</f>
        <v>SERGIO LIMA/ARQUIVO DA EDITORA</v>
      </c>
      <c r="AB1451" s="33"/>
      <c r="AC1451" s="16"/>
      <c r="AE1451" s="35" t="str">
        <f t="shared" si="22"/>
        <v>EF1 E002 Mat</v>
      </c>
    </row>
    <row r="1452" spans="1:31" ht="30" x14ac:dyDescent="0.25">
      <c r="A1452" s="31" t="s">
        <v>3036</v>
      </c>
      <c r="B1452" s="16" t="s">
        <v>32</v>
      </c>
      <c r="C1452" s="16" t="s">
        <v>33</v>
      </c>
      <c r="D1452" s="33" t="s">
        <v>34</v>
      </c>
      <c r="E1452" s="33">
        <v>183</v>
      </c>
      <c r="F1452" s="33">
        <v>4</v>
      </c>
      <c r="G1452" s="33">
        <v>9</v>
      </c>
      <c r="H1452" s="33"/>
      <c r="I1452" s="31" t="s">
        <v>46</v>
      </c>
      <c r="J1452" s="31"/>
      <c r="K1452" s="33"/>
      <c r="L1452" s="33"/>
      <c r="M1452" s="31"/>
      <c r="N1452" s="31"/>
      <c r="O1452" s="16" t="s">
        <v>3037</v>
      </c>
      <c r="P1452" s="16"/>
      <c r="Q1452" s="16"/>
      <c r="R1452" s="33"/>
      <c r="S1452" s="34"/>
      <c r="T1452" s="34"/>
      <c r="U1452" s="34"/>
      <c r="V1452" s="34"/>
      <c r="W1452" s="34"/>
      <c r="X1452" s="33" t="s">
        <v>3016</v>
      </c>
      <c r="Y1452" s="35" t="str">
        <f>IF(Tabela2[[#This Row],[SIGLA]]="","",VLOOKUP(Tabela2[[#This Row],[SIGLA]],Tabela1[[#All],[Sigla Arte]:[Crédito]],2,0))</f>
        <v>GABI VASKO/ARQUIVO DA EDITORA</v>
      </c>
      <c r="Z1452" s="31"/>
      <c r="AA1452" s="31" t="str">
        <f>Tabela2[[#This Row],[ILUSTRADOR CRIAÇÃO]]</f>
        <v>GABI VASKO/ARQUIVO DA EDITORA</v>
      </c>
      <c r="AB1452" s="33"/>
      <c r="AC1452" s="16"/>
      <c r="AE1452" s="35" t="str">
        <f t="shared" si="22"/>
        <v>EF1 E002 Mat</v>
      </c>
    </row>
    <row r="1453" spans="1:31" ht="135" x14ac:dyDescent="0.25">
      <c r="A1453" s="31" t="s">
        <v>3038</v>
      </c>
      <c r="B1453" s="16" t="s">
        <v>32</v>
      </c>
      <c r="C1453" s="16" t="s">
        <v>33</v>
      </c>
      <c r="D1453" s="33" t="s">
        <v>34</v>
      </c>
      <c r="E1453" s="33">
        <v>184</v>
      </c>
      <c r="F1453" s="33">
        <v>4</v>
      </c>
      <c r="G1453" s="33">
        <v>9</v>
      </c>
      <c r="H1453" s="33"/>
      <c r="I1453" s="31" t="s">
        <v>35</v>
      </c>
      <c r="J1453" s="31"/>
      <c r="K1453" s="33"/>
      <c r="L1453" s="33"/>
      <c r="M1453" s="31"/>
      <c r="N1453" s="31"/>
      <c r="O1453" s="16" t="s">
        <v>3039</v>
      </c>
      <c r="P1453" s="16"/>
      <c r="Q1453" s="16"/>
      <c r="R1453" s="33">
        <v>123</v>
      </c>
      <c r="S1453" s="34">
        <v>45890</v>
      </c>
      <c r="T1453" s="34">
        <v>45894</v>
      </c>
      <c r="U1453" s="34"/>
      <c r="V1453" s="34"/>
      <c r="W1453" s="34">
        <v>45896</v>
      </c>
      <c r="X1453" s="33" t="s">
        <v>3040</v>
      </c>
      <c r="Y1453" s="35" t="str">
        <f>IF(Tabela2[[#This Row],[SIGLA]]="","",VLOOKUP(Tabela2[[#This Row],[SIGLA]],Tabela1[[#All],[Sigla Arte]:[Crédito]],2,0))</f>
        <v>CLARISSA FRANÇA/ARQUIVO DA EDITORA</v>
      </c>
      <c r="Z1453" s="31" t="s">
        <v>352</v>
      </c>
      <c r="AA1453" s="31" t="str">
        <f>Tabela2[[#This Row],[ILUSTRADOR CRIAÇÃO]]</f>
        <v>CLARISSA FRANÇA/ARQUIVO DA EDITORA</v>
      </c>
      <c r="AB1453" s="33">
        <v>13</v>
      </c>
      <c r="AC1453" s="16" t="s">
        <v>39</v>
      </c>
      <c r="AD1453" s="16" t="s">
        <v>40</v>
      </c>
      <c r="AE1453" s="35" t="str">
        <f t="shared" si="22"/>
        <v>EF1 E002 Mat</v>
      </c>
    </row>
    <row r="1454" spans="1:31" ht="60" x14ac:dyDescent="0.25">
      <c r="A1454" s="31" t="s">
        <v>3041</v>
      </c>
      <c r="B1454" s="16" t="s">
        <v>32</v>
      </c>
      <c r="C1454" s="16" t="s">
        <v>327</v>
      </c>
      <c r="D1454" s="33" t="s">
        <v>34</v>
      </c>
      <c r="E1454" s="33">
        <v>185</v>
      </c>
      <c r="F1454" s="33">
        <v>4</v>
      </c>
      <c r="G1454" s="33">
        <v>9</v>
      </c>
      <c r="H1454" s="33"/>
      <c r="I1454" s="31" t="s">
        <v>35</v>
      </c>
      <c r="J1454" s="31"/>
      <c r="K1454" s="33"/>
      <c r="L1454" s="33"/>
      <c r="M1454" s="31"/>
      <c r="N1454" s="31"/>
      <c r="O1454" s="16" t="s">
        <v>3042</v>
      </c>
      <c r="P1454" s="16"/>
      <c r="Q1454" s="16"/>
      <c r="R1454" s="33">
        <v>38</v>
      </c>
      <c r="S1454" s="34">
        <v>45786</v>
      </c>
      <c r="T1454" s="34">
        <v>45786</v>
      </c>
      <c r="U1454" s="34"/>
      <c r="V1454" s="34"/>
      <c r="W1454" s="34">
        <v>45789</v>
      </c>
      <c r="X1454" s="33" t="s">
        <v>1126</v>
      </c>
      <c r="Y1454" s="35" t="str">
        <f>IF(Tabela2[[#This Row],[SIGLA]]="","",VLOOKUP(Tabela2[[#This Row],[SIGLA]],Tabela1[[#All],[Sigla Arte]:[Crédito]],2,0))</f>
        <v>GUSTAVO CONTI/ARQUIVO DA EDITORA</v>
      </c>
      <c r="Z1454" s="31" t="s">
        <v>368</v>
      </c>
      <c r="AA1454" s="31" t="str">
        <f>Tabela2[[#This Row],[ILUSTRADOR CRIAÇÃO]]</f>
        <v>GUSTAVO CONTI/ARQUIVO DA EDITORA</v>
      </c>
      <c r="AB1454" s="33">
        <v>14</v>
      </c>
      <c r="AC1454" s="16" t="s">
        <v>39</v>
      </c>
      <c r="AD1454" s="16" t="s">
        <v>40</v>
      </c>
      <c r="AE1454" s="35" t="str">
        <f t="shared" si="22"/>
        <v>EF1 E002 Mat</v>
      </c>
    </row>
    <row r="1455" spans="1:31" ht="30" x14ac:dyDescent="0.25">
      <c r="A1455" s="31" t="s">
        <v>3043</v>
      </c>
      <c r="B1455" s="16" t="s">
        <v>32</v>
      </c>
      <c r="C1455" s="16" t="s">
        <v>33</v>
      </c>
      <c r="D1455" s="33" t="s">
        <v>34</v>
      </c>
      <c r="E1455" s="33">
        <v>191</v>
      </c>
      <c r="F1455" s="33">
        <v>1</v>
      </c>
      <c r="G1455" s="33">
        <v>8</v>
      </c>
      <c r="H1455" s="33"/>
      <c r="I1455" s="31" t="s">
        <v>46</v>
      </c>
      <c r="J1455" s="31"/>
      <c r="K1455" s="33"/>
      <c r="L1455" s="33"/>
      <c r="M1455" s="31"/>
      <c r="N1455" s="31"/>
      <c r="O1455" s="16" t="s">
        <v>3044</v>
      </c>
      <c r="P1455" s="16"/>
      <c r="Q1455" s="16"/>
      <c r="R1455" s="33"/>
      <c r="S1455" s="34"/>
      <c r="T1455" s="34"/>
      <c r="U1455" s="34"/>
      <c r="V1455" s="34"/>
      <c r="W1455" s="34"/>
      <c r="X1455" s="33" t="s">
        <v>48</v>
      </c>
      <c r="Y1455" s="35" t="str">
        <f>IF(Tabela2[[#This Row],[SIGLA]]="","",VLOOKUP(Tabela2[[#This Row],[SIGLA]],Tabela1[[#All],[Sigla Arte]:[Crédito]],2,0))</f>
        <v>SERGIO LIMA/ARQUIVO DA EDITORA</v>
      </c>
      <c r="Z1455" s="31"/>
      <c r="AA1455" s="31" t="str">
        <f>Tabela2[[#This Row],[ILUSTRADOR CRIAÇÃO]]</f>
        <v>SERGIO LIMA/ARQUIVO DA EDITORA</v>
      </c>
      <c r="AB1455" s="33"/>
      <c r="AC1455" s="16"/>
      <c r="AE1455" s="35" t="str">
        <f t="shared" si="22"/>
        <v>EF1 E002 Mat</v>
      </c>
    </row>
    <row r="1456" spans="1:31" ht="45" x14ac:dyDescent="0.25">
      <c r="A1456" s="31" t="s">
        <v>3045</v>
      </c>
      <c r="B1456" s="16" t="s">
        <v>32</v>
      </c>
      <c r="C1456" s="16" t="s">
        <v>33</v>
      </c>
      <c r="D1456" s="33" t="s">
        <v>34</v>
      </c>
      <c r="E1456" s="33">
        <v>194</v>
      </c>
      <c r="F1456" s="33">
        <v>1</v>
      </c>
      <c r="G1456" s="33">
        <v>8</v>
      </c>
      <c r="H1456" s="33"/>
      <c r="I1456" s="31" t="s">
        <v>35</v>
      </c>
      <c r="J1456" s="31"/>
      <c r="K1456" s="33"/>
      <c r="L1456" s="33"/>
      <c r="M1456" s="31"/>
      <c r="N1456" s="31"/>
      <c r="O1456" s="16" t="s">
        <v>3046</v>
      </c>
      <c r="P1456" s="16"/>
      <c r="Q1456" s="16"/>
      <c r="R1456" s="33">
        <v>39</v>
      </c>
      <c r="S1456" s="34">
        <v>45786</v>
      </c>
      <c r="T1456" s="34">
        <v>45789</v>
      </c>
      <c r="U1456" s="34"/>
      <c r="V1456" s="34"/>
      <c r="W1456" s="34">
        <v>45789</v>
      </c>
      <c r="X1456" s="33" t="s">
        <v>1126</v>
      </c>
      <c r="Y1456" s="35" t="str">
        <f>IF(Tabela2[[#This Row],[SIGLA]]="","",VLOOKUP(Tabela2[[#This Row],[SIGLA]],Tabela1[[#All],[Sigla Arte]:[Crédito]],2,0))</f>
        <v>GUSTAVO CONTI/ARQUIVO DA EDITORA</v>
      </c>
      <c r="Z1456" s="31" t="s">
        <v>221</v>
      </c>
      <c r="AA1456" s="31" t="str">
        <f>Tabela2[[#This Row],[ILUSTRADOR CRIAÇÃO]]</f>
        <v>GUSTAVO CONTI/ARQUIVO DA EDITORA</v>
      </c>
      <c r="AB1456" s="33">
        <v>13</v>
      </c>
      <c r="AC1456" s="16" t="s">
        <v>39</v>
      </c>
      <c r="AD1456" s="16" t="s">
        <v>40</v>
      </c>
      <c r="AE1456" s="35" t="str">
        <f t="shared" si="22"/>
        <v>EF1 E002 Mat</v>
      </c>
    </row>
    <row r="1457" spans="1:31" ht="45" x14ac:dyDescent="0.25">
      <c r="A1457" s="31" t="s">
        <v>3047</v>
      </c>
      <c r="B1457" s="16" t="s">
        <v>32</v>
      </c>
      <c r="C1457" s="16" t="s">
        <v>164</v>
      </c>
      <c r="D1457" s="33" t="s">
        <v>34</v>
      </c>
      <c r="E1457" s="33">
        <v>196</v>
      </c>
      <c r="F1457" s="33">
        <v>1</v>
      </c>
      <c r="G1457" s="33">
        <v>8</v>
      </c>
      <c r="H1457" s="33"/>
      <c r="I1457" s="31" t="s">
        <v>46</v>
      </c>
      <c r="J1457" s="31"/>
      <c r="K1457" s="33"/>
      <c r="L1457" s="33"/>
      <c r="M1457" s="31"/>
      <c r="N1457" s="31"/>
      <c r="O1457" s="16" t="s">
        <v>3048</v>
      </c>
      <c r="P1457" s="16"/>
      <c r="Q1457" s="16"/>
      <c r="R1457" s="33"/>
      <c r="S1457" s="34"/>
      <c r="T1457" s="34"/>
      <c r="U1457" s="34"/>
      <c r="V1457" s="34"/>
      <c r="W1457" s="34"/>
      <c r="X1457" s="33" t="s">
        <v>1126</v>
      </c>
      <c r="Y1457" s="35" t="str">
        <f>IF(Tabela2[[#This Row],[SIGLA]]="","",VLOOKUP(Tabela2[[#This Row],[SIGLA]],Tabela1[[#All],[Sigla Arte]:[Crédito]],2,0))</f>
        <v>GUSTAVO CONTI/ARQUIVO DA EDITORA</v>
      </c>
      <c r="Z1457" s="31"/>
      <c r="AA1457" s="31" t="str">
        <f>Tabela2[[#This Row],[ILUSTRADOR CRIAÇÃO]]</f>
        <v>GUSTAVO CONTI/ARQUIVO DA EDITORA</v>
      </c>
      <c r="AB1457" s="33"/>
      <c r="AC1457" s="16"/>
      <c r="AE1457" s="35" t="str">
        <f t="shared" si="22"/>
        <v>EF1 E002 Mat</v>
      </c>
    </row>
    <row r="1458" spans="1:31" ht="45" x14ac:dyDescent="0.25">
      <c r="A1458" s="31" t="s">
        <v>3049</v>
      </c>
      <c r="B1458" s="16" t="s">
        <v>32</v>
      </c>
      <c r="C1458" s="16" t="s">
        <v>164</v>
      </c>
      <c r="D1458" s="33" t="s">
        <v>34</v>
      </c>
      <c r="E1458" s="33">
        <v>196</v>
      </c>
      <c r="F1458" s="33">
        <v>1</v>
      </c>
      <c r="G1458" s="33">
        <v>8</v>
      </c>
      <c r="H1458" s="33"/>
      <c r="I1458" s="31" t="s">
        <v>46</v>
      </c>
      <c r="J1458" s="31"/>
      <c r="K1458" s="33"/>
      <c r="L1458" s="33"/>
      <c r="M1458" s="31"/>
      <c r="N1458" s="31"/>
      <c r="O1458" s="16" t="s">
        <v>3048</v>
      </c>
      <c r="P1458" s="16"/>
      <c r="Q1458" s="16"/>
      <c r="R1458" s="33"/>
      <c r="S1458" s="34"/>
      <c r="T1458" s="34"/>
      <c r="U1458" s="34"/>
      <c r="V1458" s="34"/>
      <c r="W1458" s="34"/>
      <c r="X1458" s="33" t="s">
        <v>1126</v>
      </c>
      <c r="Y1458" s="35" t="str">
        <f>IF(Tabela2[[#This Row],[SIGLA]]="","",VLOOKUP(Tabela2[[#This Row],[SIGLA]],Tabela1[[#All],[Sigla Arte]:[Crédito]],2,0))</f>
        <v>GUSTAVO CONTI/ARQUIVO DA EDITORA</v>
      </c>
      <c r="Z1458" s="31"/>
      <c r="AA1458" s="31" t="str">
        <f>Tabela2[[#This Row],[ILUSTRADOR CRIAÇÃO]]</f>
        <v>GUSTAVO CONTI/ARQUIVO DA EDITORA</v>
      </c>
      <c r="AB1458" s="33"/>
      <c r="AC1458" s="16"/>
      <c r="AE1458" s="35" t="str">
        <f t="shared" si="22"/>
        <v>EF1 E002 Mat</v>
      </c>
    </row>
    <row r="1459" spans="1:31" ht="45" x14ac:dyDescent="0.25">
      <c r="A1459" s="31" t="s">
        <v>3050</v>
      </c>
      <c r="B1459" s="16" t="s">
        <v>32</v>
      </c>
      <c r="C1459" s="16" t="s">
        <v>164</v>
      </c>
      <c r="D1459" s="33" t="s">
        <v>34</v>
      </c>
      <c r="E1459" s="33">
        <v>196</v>
      </c>
      <c r="F1459" s="33">
        <v>1</v>
      </c>
      <c r="G1459" s="33">
        <v>8</v>
      </c>
      <c r="H1459" s="33"/>
      <c r="I1459" s="31" t="s">
        <v>46</v>
      </c>
      <c r="J1459" s="31"/>
      <c r="K1459" s="33"/>
      <c r="L1459" s="33"/>
      <c r="M1459" s="31"/>
      <c r="N1459" s="31"/>
      <c r="O1459" s="16" t="s">
        <v>3051</v>
      </c>
      <c r="P1459" s="16"/>
      <c r="Q1459" s="16"/>
      <c r="R1459" s="33"/>
      <c r="S1459" s="34"/>
      <c r="T1459" s="34"/>
      <c r="U1459" s="34"/>
      <c r="V1459" s="34"/>
      <c r="W1459" s="34"/>
      <c r="X1459" s="33" t="s">
        <v>1126</v>
      </c>
      <c r="Y1459" s="35" t="str">
        <f>IF(Tabela2[[#This Row],[SIGLA]]="","",VLOOKUP(Tabela2[[#This Row],[SIGLA]],Tabela1[[#All],[Sigla Arte]:[Crédito]],2,0))</f>
        <v>GUSTAVO CONTI/ARQUIVO DA EDITORA</v>
      </c>
      <c r="Z1459" s="31"/>
      <c r="AA1459" s="31" t="str">
        <f>Tabela2[[#This Row],[ILUSTRADOR CRIAÇÃO]]</f>
        <v>GUSTAVO CONTI/ARQUIVO DA EDITORA</v>
      </c>
      <c r="AB1459" s="33"/>
      <c r="AC1459" s="16"/>
      <c r="AE1459" s="35" t="str">
        <f t="shared" si="22"/>
        <v>EF1 E002 Mat</v>
      </c>
    </row>
    <row r="1460" spans="1:31" ht="45" x14ac:dyDescent="0.25">
      <c r="A1460" s="31" t="s">
        <v>3052</v>
      </c>
      <c r="B1460" s="16" t="s">
        <v>32</v>
      </c>
      <c r="C1460" s="16" t="s">
        <v>164</v>
      </c>
      <c r="D1460" s="33" t="s">
        <v>34</v>
      </c>
      <c r="E1460" s="33">
        <v>196</v>
      </c>
      <c r="F1460" s="33">
        <v>1</v>
      </c>
      <c r="G1460" s="33">
        <v>8</v>
      </c>
      <c r="H1460" s="33"/>
      <c r="I1460" s="31" t="s">
        <v>46</v>
      </c>
      <c r="J1460" s="31"/>
      <c r="K1460" s="33"/>
      <c r="L1460" s="33"/>
      <c r="M1460" s="31"/>
      <c r="N1460" s="31"/>
      <c r="O1460" s="16" t="s">
        <v>3053</v>
      </c>
      <c r="P1460" s="16"/>
      <c r="Q1460" s="16"/>
      <c r="R1460" s="33"/>
      <c r="S1460" s="34"/>
      <c r="T1460" s="34"/>
      <c r="U1460" s="34"/>
      <c r="V1460" s="34"/>
      <c r="W1460" s="34"/>
      <c r="X1460" s="33" t="s">
        <v>1126</v>
      </c>
      <c r="Y1460" s="35" t="str">
        <f>IF(Tabela2[[#This Row],[SIGLA]]="","",VLOOKUP(Tabela2[[#This Row],[SIGLA]],Tabela1[[#All],[Sigla Arte]:[Crédito]],2,0))</f>
        <v>GUSTAVO CONTI/ARQUIVO DA EDITORA</v>
      </c>
      <c r="Z1460" s="31"/>
      <c r="AA1460" s="31" t="str">
        <f>Tabela2[[#This Row],[ILUSTRADOR CRIAÇÃO]]</f>
        <v>GUSTAVO CONTI/ARQUIVO DA EDITORA</v>
      </c>
      <c r="AB1460" s="33"/>
      <c r="AC1460" s="16"/>
      <c r="AE1460" s="35" t="str">
        <f t="shared" si="22"/>
        <v>EF1 E002 Mat</v>
      </c>
    </row>
    <row r="1461" spans="1:31" ht="180" x14ac:dyDescent="0.25">
      <c r="A1461" s="31" t="s">
        <v>3054</v>
      </c>
      <c r="B1461" s="16" t="s">
        <v>32</v>
      </c>
      <c r="C1461" s="16" t="s">
        <v>33</v>
      </c>
      <c r="D1461" s="33" t="s">
        <v>34</v>
      </c>
      <c r="E1461" s="33">
        <v>197</v>
      </c>
      <c r="F1461" s="33">
        <v>1</v>
      </c>
      <c r="G1461" s="33">
        <v>8</v>
      </c>
      <c r="H1461" s="33"/>
      <c r="I1461" s="31" t="s">
        <v>995</v>
      </c>
      <c r="J1461" s="31"/>
      <c r="K1461" s="33"/>
      <c r="L1461" s="33"/>
      <c r="M1461" s="31"/>
      <c r="N1461" s="31"/>
      <c r="O1461" s="16" t="s">
        <v>3055</v>
      </c>
      <c r="P1461" s="16"/>
      <c r="Q1461" s="16"/>
      <c r="R1461" s="33">
        <v>39</v>
      </c>
      <c r="S1461" s="34">
        <v>45786</v>
      </c>
      <c r="T1461" s="34">
        <v>45789</v>
      </c>
      <c r="U1461" s="34">
        <v>45792</v>
      </c>
      <c r="V1461" s="34">
        <v>45793</v>
      </c>
      <c r="W1461" s="34">
        <v>45800</v>
      </c>
      <c r="X1461" s="33" t="s">
        <v>3056</v>
      </c>
      <c r="Y1461" s="35" t="str">
        <f>IF(Tabela2[[#This Row],[SIGLA]]="","",VLOOKUP(Tabela2[[#This Row],[SIGLA]],Tabela1[[#All],[Sigla Arte]:[Crédito]],2,0))</f>
        <v>LEONARDO DE MOURA AMARAL/ARQUIVO DA EDITORA</v>
      </c>
      <c r="Z1461" s="31"/>
      <c r="AA1461" s="31" t="str">
        <f>Tabela2[[#This Row],[ILUSTRADOR CRIAÇÃO]]</f>
        <v>LEONARDO DE MOURA AMARAL/ARQUIVO DA EDITORA</v>
      </c>
      <c r="AB1461" s="33">
        <v>5</v>
      </c>
      <c r="AC1461" s="16" t="s">
        <v>3057</v>
      </c>
      <c r="AD1461" s="16" t="s">
        <v>1093</v>
      </c>
      <c r="AE1461" s="35" t="str">
        <f t="shared" si="22"/>
        <v>EF1 E002 Mat</v>
      </c>
    </row>
    <row r="1462" spans="1:31" ht="30" x14ac:dyDescent="0.25">
      <c r="A1462" s="31" t="s">
        <v>3058</v>
      </c>
      <c r="B1462" s="16" t="s">
        <v>32</v>
      </c>
      <c r="C1462" s="16" t="s">
        <v>164</v>
      </c>
      <c r="D1462" s="33" t="s">
        <v>34</v>
      </c>
      <c r="E1462" s="33">
        <v>190</v>
      </c>
      <c r="F1462" s="33">
        <v>4</v>
      </c>
      <c r="G1462" s="33">
        <v>10</v>
      </c>
      <c r="H1462" s="33"/>
      <c r="I1462" s="31" t="s">
        <v>46</v>
      </c>
      <c r="J1462" s="31"/>
      <c r="K1462" s="33"/>
      <c r="L1462" s="33"/>
      <c r="M1462" s="31"/>
      <c r="N1462" s="31"/>
      <c r="O1462" s="16" t="s">
        <v>3059</v>
      </c>
      <c r="P1462" s="16"/>
      <c r="Q1462" s="16"/>
      <c r="R1462" s="33"/>
      <c r="S1462" s="34"/>
      <c r="T1462" s="34"/>
      <c r="U1462" s="34"/>
      <c r="V1462" s="34"/>
      <c r="W1462" s="34"/>
      <c r="X1462" s="33" t="s">
        <v>184</v>
      </c>
      <c r="Y1462" s="35" t="str">
        <f>IF(Tabela2[[#This Row],[SIGLA]]="","",VLOOKUP(Tabela2[[#This Row],[SIGLA]],Tabela1[[#All],[Sigla Arte]:[Crédito]],2,0))</f>
        <v>VER DOCUMENTO DE ILS. TÉCNICAS</v>
      </c>
      <c r="Z1462" s="31"/>
      <c r="AA1462" s="31" t="s">
        <v>3060</v>
      </c>
      <c r="AB1462" s="33"/>
      <c r="AC1462" s="16"/>
      <c r="AE1462" s="35" t="str">
        <f t="shared" si="22"/>
        <v>EF1 E002 Mat</v>
      </c>
    </row>
    <row r="1463" spans="1:31" ht="45" x14ac:dyDescent="0.25">
      <c r="A1463" s="31" t="s">
        <v>3061</v>
      </c>
      <c r="B1463" s="16" t="s">
        <v>32</v>
      </c>
      <c r="C1463" s="16" t="s">
        <v>164</v>
      </c>
      <c r="D1463" s="33" t="s">
        <v>34</v>
      </c>
      <c r="E1463" s="33">
        <v>190</v>
      </c>
      <c r="F1463" s="33">
        <v>4</v>
      </c>
      <c r="G1463" s="33">
        <v>10</v>
      </c>
      <c r="H1463" s="33"/>
      <c r="I1463" s="31" t="s">
        <v>46</v>
      </c>
      <c r="J1463" s="31"/>
      <c r="K1463" s="33"/>
      <c r="L1463" s="33"/>
      <c r="M1463" s="31"/>
      <c r="N1463" s="31"/>
      <c r="O1463" s="16" t="s">
        <v>3062</v>
      </c>
      <c r="P1463" s="16"/>
      <c r="Q1463" s="16"/>
      <c r="R1463" s="33"/>
      <c r="S1463" s="34"/>
      <c r="T1463" s="34"/>
      <c r="U1463" s="34"/>
      <c r="V1463" s="34"/>
      <c r="W1463" s="34"/>
      <c r="X1463" s="33" t="s">
        <v>184</v>
      </c>
      <c r="Y1463" s="35" t="str">
        <f>IF(Tabela2[[#This Row],[SIGLA]]="","",VLOOKUP(Tabela2[[#This Row],[SIGLA]],Tabela1[[#All],[Sigla Arte]:[Crédito]],2,0))</f>
        <v>VER DOCUMENTO DE ILS. TÉCNICAS</v>
      </c>
      <c r="Z1463" s="31"/>
      <c r="AA1463" s="31" t="s">
        <v>185</v>
      </c>
      <c r="AB1463" s="33"/>
      <c r="AC1463" s="16"/>
      <c r="AE1463" s="35" t="str">
        <f t="shared" si="22"/>
        <v>EF1 E002 Mat</v>
      </c>
    </row>
    <row r="1464" spans="1:31" ht="30" x14ac:dyDescent="0.25">
      <c r="A1464" s="31" t="s">
        <v>3063</v>
      </c>
      <c r="B1464" s="16" t="s">
        <v>32</v>
      </c>
      <c r="C1464" s="16" t="s">
        <v>164</v>
      </c>
      <c r="D1464" s="33" t="s">
        <v>34</v>
      </c>
      <c r="E1464" s="33">
        <v>190</v>
      </c>
      <c r="F1464" s="33">
        <v>4</v>
      </c>
      <c r="G1464" s="33">
        <v>10</v>
      </c>
      <c r="H1464" s="33"/>
      <c r="I1464" s="31" t="s">
        <v>46</v>
      </c>
      <c r="J1464" s="31"/>
      <c r="K1464" s="33"/>
      <c r="L1464" s="33"/>
      <c r="M1464" s="31"/>
      <c r="N1464" s="31"/>
      <c r="O1464" s="16" t="s">
        <v>3064</v>
      </c>
      <c r="P1464" s="16"/>
      <c r="Q1464" s="16"/>
      <c r="R1464" s="33"/>
      <c r="S1464" s="34"/>
      <c r="T1464" s="34"/>
      <c r="U1464" s="34"/>
      <c r="V1464" s="34"/>
      <c r="W1464" s="34"/>
      <c r="X1464" s="33" t="s">
        <v>184</v>
      </c>
      <c r="Y1464" s="35" t="str">
        <f>IF(Tabela2[[#This Row],[SIGLA]]="","",VLOOKUP(Tabela2[[#This Row],[SIGLA]],Tabela1[[#All],[Sigla Arte]:[Crédito]],2,0))</f>
        <v>VER DOCUMENTO DE ILS. TÉCNICAS</v>
      </c>
      <c r="Z1464" s="31"/>
      <c r="AA1464" s="31" t="s">
        <v>3060</v>
      </c>
      <c r="AB1464" s="33"/>
      <c r="AC1464" s="16"/>
      <c r="AE1464" s="35" t="str">
        <f t="shared" si="22"/>
        <v>EF1 E002 Mat</v>
      </c>
    </row>
    <row r="1465" spans="1:31" ht="30" x14ac:dyDescent="0.25">
      <c r="A1465" s="31" t="s">
        <v>3065</v>
      </c>
      <c r="B1465" s="16" t="s">
        <v>32</v>
      </c>
      <c r="C1465" s="16" t="s">
        <v>164</v>
      </c>
      <c r="D1465" s="33" t="s">
        <v>34</v>
      </c>
      <c r="E1465" s="33">
        <v>190</v>
      </c>
      <c r="F1465" s="33">
        <v>4</v>
      </c>
      <c r="G1465" s="33">
        <v>10</v>
      </c>
      <c r="H1465" s="33"/>
      <c r="I1465" s="31" t="s">
        <v>46</v>
      </c>
      <c r="J1465" s="31"/>
      <c r="K1465" s="33"/>
      <c r="L1465" s="33"/>
      <c r="M1465" s="31"/>
      <c r="N1465" s="31"/>
      <c r="O1465" s="16" t="s">
        <v>3066</v>
      </c>
      <c r="P1465" s="16"/>
      <c r="Q1465" s="16"/>
      <c r="R1465" s="33"/>
      <c r="S1465" s="34"/>
      <c r="T1465" s="34"/>
      <c r="U1465" s="34"/>
      <c r="V1465" s="34"/>
      <c r="W1465" s="34"/>
      <c r="X1465" s="33" t="s">
        <v>184</v>
      </c>
      <c r="Y1465" s="35" t="str">
        <f>IF(Tabela2[[#This Row],[SIGLA]]="","",VLOOKUP(Tabela2[[#This Row],[SIGLA]],Tabela1[[#All],[Sigla Arte]:[Crédito]],2,0))</f>
        <v>VER DOCUMENTO DE ILS. TÉCNICAS</v>
      </c>
      <c r="Z1465" s="31"/>
      <c r="AA1465" s="31" t="s">
        <v>3060</v>
      </c>
      <c r="AB1465" s="33"/>
      <c r="AC1465" s="16"/>
      <c r="AE1465" s="35" t="str">
        <f t="shared" si="22"/>
        <v>EF1 E002 Mat</v>
      </c>
    </row>
    <row r="1466" spans="1:31" ht="30" x14ac:dyDescent="0.25">
      <c r="A1466" s="31" t="s">
        <v>3067</v>
      </c>
      <c r="B1466" s="16" t="s">
        <v>32</v>
      </c>
      <c r="C1466" s="16" t="s">
        <v>164</v>
      </c>
      <c r="D1466" s="33" t="s">
        <v>34</v>
      </c>
      <c r="E1466" s="33">
        <v>191</v>
      </c>
      <c r="F1466" s="33">
        <v>4</v>
      </c>
      <c r="G1466" s="33">
        <v>10</v>
      </c>
      <c r="H1466" s="33"/>
      <c r="I1466" s="31" t="s">
        <v>46</v>
      </c>
      <c r="J1466" s="31"/>
      <c r="K1466" s="33"/>
      <c r="L1466" s="33"/>
      <c r="M1466" s="31"/>
      <c r="N1466" s="31"/>
      <c r="O1466" s="16" t="s">
        <v>3068</v>
      </c>
      <c r="P1466" s="16"/>
      <c r="Q1466" s="16"/>
      <c r="R1466" s="33"/>
      <c r="S1466" s="34"/>
      <c r="T1466" s="34"/>
      <c r="U1466" s="34"/>
      <c r="V1466" s="34"/>
      <c r="W1466" s="34"/>
      <c r="X1466" s="33" t="s">
        <v>184</v>
      </c>
      <c r="Y1466" s="35" t="str">
        <f>IF(Tabela2[[#This Row],[SIGLA]]="","",VLOOKUP(Tabela2[[#This Row],[SIGLA]],Tabela1[[#All],[Sigla Arte]:[Crédito]],2,0))</f>
        <v>VER DOCUMENTO DE ILS. TÉCNICAS</v>
      </c>
      <c r="Z1466" s="31"/>
      <c r="AA1466" s="31" t="s">
        <v>3060</v>
      </c>
      <c r="AB1466" s="33"/>
      <c r="AC1466" s="16"/>
      <c r="AE1466" s="35" t="str">
        <f t="shared" si="22"/>
        <v>EF1 E002 Mat</v>
      </c>
    </row>
    <row r="1467" spans="1:31" ht="30" x14ac:dyDescent="0.25">
      <c r="A1467" s="31" t="s">
        <v>3069</v>
      </c>
      <c r="B1467" s="16" t="s">
        <v>32</v>
      </c>
      <c r="C1467" s="16" t="s">
        <v>164</v>
      </c>
      <c r="D1467" s="33" t="s">
        <v>34</v>
      </c>
      <c r="E1467" s="33">
        <v>191</v>
      </c>
      <c r="F1467" s="33">
        <v>4</v>
      </c>
      <c r="G1467" s="33">
        <v>10</v>
      </c>
      <c r="H1467" s="33"/>
      <c r="I1467" s="31" t="s">
        <v>46</v>
      </c>
      <c r="J1467" s="31"/>
      <c r="K1467" s="33"/>
      <c r="L1467" s="33"/>
      <c r="M1467" s="31"/>
      <c r="N1467" s="31"/>
      <c r="O1467" s="16" t="s">
        <v>3070</v>
      </c>
      <c r="P1467" s="16"/>
      <c r="Q1467" s="16"/>
      <c r="R1467" s="33"/>
      <c r="S1467" s="34"/>
      <c r="T1467" s="34"/>
      <c r="U1467" s="34"/>
      <c r="V1467" s="34"/>
      <c r="W1467" s="34"/>
      <c r="X1467" s="33" t="s">
        <v>184</v>
      </c>
      <c r="Y1467" s="35" t="str">
        <f>IF(Tabela2[[#This Row],[SIGLA]]="","",VLOOKUP(Tabela2[[#This Row],[SIGLA]],Tabela1[[#All],[Sigla Arte]:[Crédito]],2,0))</f>
        <v>VER DOCUMENTO DE ILS. TÉCNICAS</v>
      </c>
      <c r="Z1467" s="31"/>
      <c r="AA1467" s="31" t="s">
        <v>3060</v>
      </c>
      <c r="AB1467" s="33"/>
      <c r="AC1467" s="16"/>
      <c r="AE1467" s="35" t="str">
        <f t="shared" si="22"/>
        <v>EF1 E002 Mat</v>
      </c>
    </row>
    <row r="1468" spans="1:31" ht="30" x14ac:dyDescent="0.25">
      <c r="A1468" s="31" t="s">
        <v>3071</v>
      </c>
      <c r="B1468" s="16" t="s">
        <v>32</v>
      </c>
      <c r="C1468" s="16" t="s">
        <v>164</v>
      </c>
      <c r="D1468" s="33" t="s">
        <v>34</v>
      </c>
      <c r="E1468" s="33">
        <v>191</v>
      </c>
      <c r="F1468" s="33">
        <v>4</v>
      </c>
      <c r="G1468" s="33">
        <v>10</v>
      </c>
      <c r="H1468" s="33"/>
      <c r="I1468" s="31" t="s">
        <v>46</v>
      </c>
      <c r="J1468" s="31"/>
      <c r="K1468" s="33"/>
      <c r="L1468" s="33"/>
      <c r="M1468" s="31"/>
      <c r="N1468" s="31"/>
      <c r="O1468" s="16" t="s">
        <v>3072</v>
      </c>
      <c r="P1468" s="16"/>
      <c r="Q1468" s="16"/>
      <c r="R1468" s="33"/>
      <c r="S1468" s="34"/>
      <c r="T1468" s="34"/>
      <c r="U1468" s="34"/>
      <c r="V1468" s="34"/>
      <c r="W1468" s="34"/>
      <c r="X1468" s="33" t="s">
        <v>184</v>
      </c>
      <c r="Y1468" s="35" t="str">
        <f>IF(Tabela2[[#This Row],[SIGLA]]="","",VLOOKUP(Tabela2[[#This Row],[SIGLA]],Tabela1[[#All],[Sigla Arte]:[Crédito]],2,0))</f>
        <v>VER DOCUMENTO DE ILS. TÉCNICAS</v>
      </c>
      <c r="Z1468" s="31"/>
      <c r="AA1468" s="31" t="s">
        <v>3060</v>
      </c>
      <c r="AB1468" s="33"/>
      <c r="AC1468" s="16"/>
      <c r="AE1468" s="35" t="str">
        <f t="shared" si="22"/>
        <v>EF1 E002 Mat</v>
      </c>
    </row>
    <row r="1469" spans="1:31" ht="30" x14ac:dyDescent="0.25">
      <c r="A1469" s="31" t="s">
        <v>3073</v>
      </c>
      <c r="B1469" s="16" t="s">
        <v>32</v>
      </c>
      <c r="C1469" s="16" t="s">
        <v>164</v>
      </c>
      <c r="D1469" s="33" t="s">
        <v>34</v>
      </c>
      <c r="E1469" s="33">
        <v>191</v>
      </c>
      <c r="F1469" s="33">
        <v>4</v>
      </c>
      <c r="G1469" s="33">
        <v>10</v>
      </c>
      <c r="H1469" s="33"/>
      <c r="I1469" s="31" t="s">
        <v>46</v>
      </c>
      <c r="J1469" s="31"/>
      <c r="K1469" s="33"/>
      <c r="L1469" s="33"/>
      <c r="M1469" s="31"/>
      <c r="N1469" s="31"/>
      <c r="O1469" s="16" t="s">
        <v>3074</v>
      </c>
      <c r="P1469" s="16"/>
      <c r="Q1469" s="16"/>
      <c r="R1469" s="33"/>
      <c r="S1469" s="34"/>
      <c r="T1469" s="34"/>
      <c r="U1469" s="34"/>
      <c r="V1469" s="34"/>
      <c r="W1469" s="34"/>
      <c r="X1469" s="33" t="s">
        <v>184</v>
      </c>
      <c r="Y1469" s="35" t="str">
        <f>IF(Tabela2[[#This Row],[SIGLA]]="","",VLOOKUP(Tabela2[[#This Row],[SIGLA]],Tabela1[[#All],[Sigla Arte]:[Crédito]],2,0))</f>
        <v>VER DOCUMENTO DE ILS. TÉCNICAS</v>
      </c>
      <c r="Z1469" s="31"/>
      <c r="AA1469" s="31" t="s">
        <v>3060</v>
      </c>
      <c r="AB1469" s="33"/>
      <c r="AC1469" s="16"/>
      <c r="AE1469" s="35" t="str">
        <f t="shared" si="22"/>
        <v>EF1 E002 Mat</v>
      </c>
    </row>
    <row r="1470" spans="1:31" ht="30" x14ac:dyDescent="0.25">
      <c r="A1470" s="31" t="s">
        <v>3075</v>
      </c>
      <c r="B1470" s="16" t="s">
        <v>32</v>
      </c>
      <c r="C1470" s="16" t="s">
        <v>164</v>
      </c>
      <c r="D1470" s="33" t="s">
        <v>34</v>
      </c>
      <c r="E1470" s="33">
        <v>191</v>
      </c>
      <c r="F1470" s="33">
        <v>4</v>
      </c>
      <c r="G1470" s="33">
        <v>10</v>
      </c>
      <c r="H1470" s="33"/>
      <c r="I1470" s="31" t="s">
        <v>46</v>
      </c>
      <c r="J1470" s="31"/>
      <c r="K1470" s="33"/>
      <c r="L1470" s="33"/>
      <c r="M1470" s="31"/>
      <c r="N1470" s="31"/>
      <c r="O1470" s="16" t="s">
        <v>3076</v>
      </c>
      <c r="P1470" s="16"/>
      <c r="Q1470" s="16"/>
      <c r="R1470" s="33"/>
      <c r="S1470" s="34"/>
      <c r="T1470" s="34"/>
      <c r="U1470" s="34"/>
      <c r="V1470" s="34"/>
      <c r="W1470" s="34"/>
      <c r="X1470" s="33" t="s">
        <v>184</v>
      </c>
      <c r="Y1470" s="35" t="str">
        <f>IF(Tabela2[[#This Row],[SIGLA]]="","",VLOOKUP(Tabela2[[#This Row],[SIGLA]],Tabela1[[#All],[Sigla Arte]:[Crédito]],2,0))</f>
        <v>VER DOCUMENTO DE ILS. TÉCNICAS</v>
      </c>
      <c r="Z1470" s="31"/>
      <c r="AA1470" s="31" t="s">
        <v>3060</v>
      </c>
      <c r="AB1470" s="33"/>
      <c r="AC1470" s="16"/>
      <c r="AE1470" s="35" t="str">
        <f t="shared" si="22"/>
        <v>EF1 E002 Mat</v>
      </c>
    </row>
    <row r="1471" spans="1:31" ht="30" x14ac:dyDescent="0.25">
      <c r="A1471" s="31" t="s">
        <v>3077</v>
      </c>
      <c r="B1471" s="16" t="s">
        <v>32</v>
      </c>
      <c r="C1471" s="16" t="s">
        <v>164</v>
      </c>
      <c r="D1471" s="33" t="s">
        <v>34</v>
      </c>
      <c r="E1471" s="33">
        <v>191</v>
      </c>
      <c r="F1471" s="33">
        <v>4</v>
      </c>
      <c r="G1471" s="33">
        <v>10</v>
      </c>
      <c r="H1471" s="33"/>
      <c r="I1471" s="31" t="s">
        <v>46</v>
      </c>
      <c r="J1471" s="31"/>
      <c r="K1471" s="33"/>
      <c r="L1471" s="33"/>
      <c r="M1471" s="31"/>
      <c r="N1471" s="31"/>
      <c r="O1471" s="16" t="s">
        <v>3078</v>
      </c>
      <c r="P1471" s="16"/>
      <c r="Q1471" s="16"/>
      <c r="R1471" s="33"/>
      <c r="S1471" s="34"/>
      <c r="T1471" s="34"/>
      <c r="U1471" s="34"/>
      <c r="V1471" s="34"/>
      <c r="W1471" s="34"/>
      <c r="X1471" s="33" t="s">
        <v>184</v>
      </c>
      <c r="Y1471" s="35" t="str">
        <f>IF(Tabela2[[#This Row],[SIGLA]]="","",VLOOKUP(Tabela2[[#This Row],[SIGLA]],Tabela1[[#All],[Sigla Arte]:[Crédito]],2,0))</f>
        <v>VER DOCUMENTO DE ILS. TÉCNICAS</v>
      </c>
      <c r="Z1471" s="31"/>
      <c r="AA1471" s="31" t="s">
        <v>3060</v>
      </c>
      <c r="AB1471" s="33"/>
      <c r="AC1471" s="16"/>
      <c r="AE1471" s="35" t="str">
        <f t="shared" si="22"/>
        <v>EF1 E002 Mat</v>
      </c>
    </row>
    <row r="1472" spans="1:31" ht="30" x14ac:dyDescent="0.25">
      <c r="A1472" s="31" t="s">
        <v>3079</v>
      </c>
      <c r="B1472" s="16" t="s">
        <v>32</v>
      </c>
      <c r="C1472" s="16" t="s">
        <v>164</v>
      </c>
      <c r="D1472" s="33" t="s">
        <v>34</v>
      </c>
      <c r="E1472" s="33">
        <v>192</v>
      </c>
      <c r="F1472" s="33">
        <v>4</v>
      </c>
      <c r="G1472" s="33">
        <v>10</v>
      </c>
      <c r="H1472" s="33"/>
      <c r="I1472" s="31" t="s">
        <v>46</v>
      </c>
      <c r="J1472" s="31"/>
      <c r="K1472" s="33"/>
      <c r="L1472" s="33"/>
      <c r="M1472" s="31"/>
      <c r="N1472" s="31"/>
      <c r="O1472" s="16" t="s">
        <v>3080</v>
      </c>
      <c r="P1472" s="16"/>
      <c r="Q1472" s="16"/>
      <c r="R1472" s="33"/>
      <c r="S1472" s="34"/>
      <c r="T1472" s="34"/>
      <c r="U1472" s="34"/>
      <c r="V1472" s="34"/>
      <c r="W1472" s="34"/>
      <c r="X1472" s="33" t="s">
        <v>184</v>
      </c>
      <c r="Y1472" s="35" t="str">
        <f>IF(Tabela2[[#This Row],[SIGLA]]="","",VLOOKUP(Tabela2[[#This Row],[SIGLA]],Tabela1[[#All],[Sigla Arte]:[Crédito]],2,0))</f>
        <v>VER DOCUMENTO DE ILS. TÉCNICAS</v>
      </c>
      <c r="Z1472" s="31"/>
      <c r="AA1472" s="31" t="s">
        <v>3060</v>
      </c>
      <c r="AB1472" s="33"/>
      <c r="AC1472" s="16"/>
      <c r="AE1472" s="35" t="str">
        <f t="shared" si="22"/>
        <v>EF1 E002 Mat</v>
      </c>
    </row>
    <row r="1473" spans="1:31" ht="30" x14ac:dyDescent="0.25">
      <c r="A1473" s="31" t="s">
        <v>3081</v>
      </c>
      <c r="B1473" s="16" t="s">
        <v>32</v>
      </c>
      <c r="C1473" s="16" t="s">
        <v>164</v>
      </c>
      <c r="D1473" s="33" t="s">
        <v>34</v>
      </c>
      <c r="E1473" s="33">
        <v>192</v>
      </c>
      <c r="F1473" s="33">
        <v>4</v>
      </c>
      <c r="G1473" s="33">
        <v>10</v>
      </c>
      <c r="H1473" s="33"/>
      <c r="I1473" s="31" t="s">
        <v>46</v>
      </c>
      <c r="J1473" s="31"/>
      <c r="K1473" s="33"/>
      <c r="L1473" s="33"/>
      <c r="M1473" s="31"/>
      <c r="N1473" s="31"/>
      <c r="O1473" s="16" t="s">
        <v>3082</v>
      </c>
      <c r="P1473" s="16"/>
      <c r="Q1473" s="16"/>
      <c r="R1473" s="33"/>
      <c r="S1473" s="34"/>
      <c r="T1473" s="34"/>
      <c r="U1473" s="34"/>
      <c r="V1473" s="34"/>
      <c r="W1473" s="34"/>
      <c r="X1473" s="33" t="s">
        <v>184</v>
      </c>
      <c r="Y1473" s="35" t="str">
        <f>IF(Tabela2[[#This Row],[SIGLA]]="","",VLOOKUP(Tabela2[[#This Row],[SIGLA]],Tabela1[[#All],[Sigla Arte]:[Crédito]],2,0))</f>
        <v>VER DOCUMENTO DE ILS. TÉCNICAS</v>
      </c>
      <c r="Z1473" s="31"/>
      <c r="AA1473" s="31" t="s">
        <v>3060</v>
      </c>
      <c r="AB1473" s="33"/>
      <c r="AC1473" s="16"/>
      <c r="AE1473" s="35" t="str">
        <f t="shared" si="22"/>
        <v>EF1 E002 Mat</v>
      </c>
    </row>
    <row r="1474" spans="1:31" ht="30" x14ac:dyDescent="0.25">
      <c r="A1474" s="31" t="s">
        <v>3083</v>
      </c>
      <c r="B1474" s="16" t="s">
        <v>32</v>
      </c>
      <c r="C1474" s="16" t="s">
        <v>164</v>
      </c>
      <c r="D1474" s="33" t="s">
        <v>34</v>
      </c>
      <c r="E1474" s="33">
        <v>192</v>
      </c>
      <c r="F1474" s="33">
        <v>4</v>
      </c>
      <c r="G1474" s="33">
        <v>10</v>
      </c>
      <c r="H1474" s="33"/>
      <c r="I1474" s="31" t="s">
        <v>46</v>
      </c>
      <c r="J1474" s="31"/>
      <c r="K1474" s="33"/>
      <c r="L1474" s="33"/>
      <c r="M1474" s="31"/>
      <c r="N1474" s="31"/>
      <c r="O1474" s="16" t="s">
        <v>3084</v>
      </c>
      <c r="P1474" s="16"/>
      <c r="Q1474" s="16"/>
      <c r="R1474" s="33"/>
      <c r="S1474" s="34"/>
      <c r="T1474" s="34"/>
      <c r="U1474" s="34"/>
      <c r="V1474" s="34"/>
      <c r="W1474" s="34"/>
      <c r="X1474" s="33" t="s">
        <v>184</v>
      </c>
      <c r="Y1474" s="35" t="str">
        <f>IF(Tabela2[[#This Row],[SIGLA]]="","",VLOOKUP(Tabela2[[#This Row],[SIGLA]],Tabela1[[#All],[Sigla Arte]:[Crédito]],2,0))</f>
        <v>VER DOCUMENTO DE ILS. TÉCNICAS</v>
      </c>
      <c r="Z1474" s="31"/>
      <c r="AA1474" s="31" t="s">
        <v>3060</v>
      </c>
      <c r="AB1474" s="33"/>
      <c r="AC1474" s="16"/>
      <c r="AE1474" s="35" t="str">
        <f t="shared" ref="AE1474:AE1537" si="23">"EF1 E002 Mat"</f>
        <v>EF1 E002 Mat</v>
      </c>
    </row>
    <row r="1475" spans="1:31" ht="30" x14ac:dyDescent="0.25">
      <c r="A1475" s="31" t="s">
        <v>3085</v>
      </c>
      <c r="B1475" s="16" t="s">
        <v>32</v>
      </c>
      <c r="C1475" s="16" t="s">
        <v>164</v>
      </c>
      <c r="D1475" s="33" t="s">
        <v>34</v>
      </c>
      <c r="E1475" s="33">
        <v>192</v>
      </c>
      <c r="F1475" s="33">
        <v>4</v>
      </c>
      <c r="G1475" s="33">
        <v>10</v>
      </c>
      <c r="H1475" s="33"/>
      <c r="I1475" s="31" t="s">
        <v>46</v>
      </c>
      <c r="J1475" s="31"/>
      <c r="K1475" s="33"/>
      <c r="L1475" s="33"/>
      <c r="M1475" s="31"/>
      <c r="N1475" s="31"/>
      <c r="O1475" s="16" t="s">
        <v>3086</v>
      </c>
      <c r="P1475" s="16"/>
      <c r="Q1475" s="16"/>
      <c r="R1475" s="33"/>
      <c r="S1475" s="34"/>
      <c r="T1475" s="34"/>
      <c r="U1475" s="34"/>
      <c r="V1475" s="34"/>
      <c r="W1475" s="34"/>
      <c r="X1475" s="33" t="s">
        <v>184</v>
      </c>
      <c r="Y1475" s="35" t="str">
        <f>IF(Tabela2[[#This Row],[SIGLA]]="","",VLOOKUP(Tabela2[[#This Row],[SIGLA]],Tabela1[[#All],[Sigla Arte]:[Crédito]],2,0))</f>
        <v>VER DOCUMENTO DE ILS. TÉCNICAS</v>
      </c>
      <c r="Z1475" s="31"/>
      <c r="AA1475" s="31" t="s">
        <v>3060</v>
      </c>
      <c r="AB1475" s="33"/>
      <c r="AC1475" s="16"/>
      <c r="AE1475" s="35" t="str">
        <f t="shared" si="23"/>
        <v>EF1 E002 Mat</v>
      </c>
    </row>
    <row r="1476" spans="1:31" ht="45" x14ac:dyDescent="0.25">
      <c r="A1476" s="31" t="s">
        <v>3087</v>
      </c>
      <c r="B1476" s="16" t="s">
        <v>32</v>
      </c>
      <c r="C1476" s="16" t="s">
        <v>164</v>
      </c>
      <c r="D1476" s="33" t="s">
        <v>34</v>
      </c>
      <c r="E1476" s="33">
        <v>192</v>
      </c>
      <c r="F1476" s="33">
        <v>4</v>
      </c>
      <c r="G1476" s="33">
        <v>10</v>
      </c>
      <c r="H1476" s="33"/>
      <c r="I1476" s="31" t="s">
        <v>46</v>
      </c>
      <c r="J1476" s="31"/>
      <c r="K1476" s="33"/>
      <c r="L1476" s="33"/>
      <c r="M1476" s="31"/>
      <c r="N1476" s="31"/>
      <c r="O1476" s="16" t="s">
        <v>3088</v>
      </c>
      <c r="P1476" s="16"/>
      <c r="Q1476" s="16"/>
      <c r="R1476" s="33"/>
      <c r="S1476" s="34"/>
      <c r="T1476" s="34"/>
      <c r="U1476" s="34"/>
      <c r="V1476" s="34"/>
      <c r="W1476" s="34"/>
      <c r="X1476" s="33" t="s">
        <v>184</v>
      </c>
      <c r="Y1476" s="35" t="str">
        <f>IF(Tabela2[[#This Row],[SIGLA]]="","",VLOOKUP(Tabela2[[#This Row],[SIGLA]],Tabela1[[#All],[Sigla Arte]:[Crédito]],2,0))</f>
        <v>VER DOCUMENTO DE ILS. TÉCNICAS</v>
      </c>
      <c r="Z1476" s="31"/>
      <c r="AA1476" s="31" t="s">
        <v>3060</v>
      </c>
      <c r="AB1476" s="33"/>
      <c r="AC1476" s="16"/>
      <c r="AE1476" s="35" t="str">
        <f t="shared" si="23"/>
        <v>EF1 E002 Mat</v>
      </c>
    </row>
    <row r="1477" spans="1:31" ht="30" x14ac:dyDescent="0.25">
      <c r="A1477" s="31" t="s">
        <v>3089</v>
      </c>
      <c r="B1477" s="16" t="s">
        <v>32</v>
      </c>
      <c r="C1477" s="16" t="s">
        <v>164</v>
      </c>
      <c r="D1477" s="33" t="s">
        <v>34</v>
      </c>
      <c r="E1477" s="33">
        <v>192</v>
      </c>
      <c r="F1477" s="33">
        <v>4</v>
      </c>
      <c r="G1477" s="33">
        <v>10</v>
      </c>
      <c r="H1477" s="33"/>
      <c r="I1477" s="31" t="s">
        <v>46</v>
      </c>
      <c r="J1477" s="31"/>
      <c r="K1477" s="33"/>
      <c r="L1477" s="33"/>
      <c r="M1477" s="31"/>
      <c r="N1477" s="31"/>
      <c r="O1477" s="16" t="s">
        <v>3090</v>
      </c>
      <c r="P1477" s="16"/>
      <c r="Q1477" s="16"/>
      <c r="R1477" s="33"/>
      <c r="S1477" s="34"/>
      <c r="T1477" s="34"/>
      <c r="U1477" s="34"/>
      <c r="V1477" s="34"/>
      <c r="W1477" s="34"/>
      <c r="X1477" s="33" t="s">
        <v>184</v>
      </c>
      <c r="Y1477" s="35" t="str">
        <f>IF(Tabela2[[#This Row],[SIGLA]]="","",VLOOKUP(Tabela2[[#This Row],[SIGLA]],Tabela1[[#All],[Sigla Arte]:[Crédito]],2,0))</f>
        <v>VER DOCUMENTO DE ILS. TÉCNICAS</v>
      </c>
      <c r="Z1477" s="31"/>
      <c r="AA1477" s="31" t="s">
        <v>3060</v>
      </c>
      <c r="AB1477" s="33"/>
      <c r="AC1477" s="16"/>
      <c r="AE1477" s="35" t="str">
        <f t="shared" si="23"/>
        <v>EF1 E002 Mat</v>
      </c>
    </row>
    <row r="1478" spans="1:31" ht="30" x14ac:dyDescent="0.25">
      <c r="A1478" s="31" t="s">
        <v>3091</v>
      </c>
      <c r="B1478" s="16" t="s">
        <v>32</v>
      </c>
      <c r="C1478" s="16" t="s">
        <v>164</v>
      </c>
      <c r="D1478" s="33" t="s">
        <v>34</v>
      </c>
      <c r="E1478" s="33">
        <v>192</v>
      </c>
      <c r="F1478" s="33">
        <v>4</v>
      </c>
      <c r="G1478" s="33">
        <v>10</v>
      </c>
      <c r="H1478" s="33"/>
      <c r="I1478" s="31" t="s">
        <v>46</v>
      </c>
      <c r="J1478" s="31"/>
      <c r="K1478" s="33"/>
      <c r="L1478" s="33"/>
      <c r="M1478" s="31"/>
      <c r="N1478" s="31"/>
      <c r="O1478" s="16" t="s">
        <v>3092</v>
      </c>
      <c r="P1478" s="16"/>
      <c r="Q1478" s="16"/>
      <c r="R1478" s="33"/>
      <c r="S1478" s="34"/>
      <c r="T1478" s="34"/>
      <c r="U1478" s="34"/>
      <c r="V1478" s="34"/>
      <c r="W1478" s="34"/>
      <c r="X1478" s="33" t="s">
        <v>184</v>
      </c>
      <c r="Y1478" s="35" t="str">
        <f>IF(Tabela2[[#This Row],[SIGLA]]="","",VLOOKUP(Tabela2[[#This Row],[SIGLA]],Tabela1[[#All],[Sigla Arte]:[Crédito]],2,0))</f>
        <v>VER DOCUMENTO DE ILS. TÉCNICAS</v>
      </c>
      <c r="Z1478" s="31"/>
      <c r="AA1478" s="31" t="s">
        <v>3060</v>
      </c>
      <c r="AB1478" s="33"/>
      <c r="AC1478" s="16"/>
      <c r="AE1478" s="35" t="str">
        <f t="shared" si="23"/>
        <v>EF1 E002 Mat</v>
      </c>
    </row>
    <row r="1479" spans="1:31" ht="30" x14ac:dyDescent="0.25">
      <c r="A1479" s="31" t="s">
        <v>3093</v>
      </c>
      <c r="B1479" s="16" t="s">
        <v>32</v>
      </c>
      <c r="C1479" s="16" t="s">
        <v>164</v>
      </c>
      <c r="D1479" s="33" t="s">
        <v>34</v>
      </c>
      <c r="E1479" s="33">
        <v>192</v>
      </c>
      <c r="F1479" s="33">
        <v>4</v>
      </c>
      <c r="G1479" s="33">
        <v>10</v>
      </c>
      <c r="H1479" s="33"/>
      <c r="I1479" s="31" t="s">
        <v>46</v>
      </c>
      <c r="J1479" s="31"/>
      <c r="K1479" s="33"/>
      <c r="L1479" s="33"/>
      <c r="M1479" s="31"/>
      <c r="N1479" s="31"/>
      <c r="O1479" s="16" t="s">
        <v>3094</v>
      </c>
      <c r="P1479" s="16"/>
      <c r="Q1479" s="16"/>
      <c r="R1479" s="33"/>
      <c r="S1479" s="34"/>
      <c r="T1479" s="34"/>
      <c r="U1479" s="34"/>
      <c r="V1479" s="34"/>
      <c r="W1479" s="34"/>
      <c r="X1479" s="33" t="s">
        <v>184</v>
      </c>
      <c r="Y1479" s="35" t="str">
        <f>IF(Tabela2[[#This Row],[SIGLA]]="","",VLOOKUP(Tabela2[[#This Row],[SIGLA]],Tabela1[[#All],[Sigla Arte]:[Crédito]],2,0))</f>
        <v>VER DOCUMENTO DE ILS. TÉCNICAS</v>
      </c>
      <c r="Z1479" s="31"/>
      <c r="AA1479" s="31" t="s">
        <v>3060</v>
      </c>
      <c r="AB1479" s="33"/>
      <c r="AC1479" s="16"/>
      <c r="AE1479" s="35" t="str">
        <f t="shared" si="23"/>
        <v>EF1 E002 Mat</v>
      </c>
    </row>
    <row r="1480" spans="1:31" ht="45" x14ac:dyDescent="0.25">
      <c r="A1480" s="31" t="s">
        <v>3095</v>
      </c>
      <c r="B1480" s="16" t="s">
        <v>32</v>
      </c>
      <c r="C1480" s="16" t="s">
        <v>33</v>
      </c>
      <c r="D1480" s="33" t="s">
        <v>34</v>
      </c>
      <c r="E1480" s="33">
        <v>193</v>
      </c>
      <c r="F1480" s="33">
        <v>4</v>
      </c>
      <c r="G1480" s="33">
        <v>10</v>
      </c>
      <c r="H1480" s="33"/>
      <c r="I1480" s="31" t="s">
        <v>46</v>
      </c>
      <c r="J1480" s="31"/>
      <c r="K1480" s="33"/>
      <c r="L1480" s="33"/>
      <c r="M1480" s="31"/>
      <c r="N1480" s="31"/>
      <c r="O1480" s="16" t="s">
        <v>3096</v>
      </c>
      <c r="P1480" s="16"/>
      <c r="Q1480" s="16"/>
      <c r="R1480" s="33"/>
      <c r="S1480" s="34"/>
      <c r="T1480" s="34"/>
      <c r="U1480" s="34"/>
      <c r="V1480" s="34"/>
      <c r="W1480" s="34"/>
      <c r="X1480" s="33" t="s">
        <v>399</v>
      </c>
      <c r="Y1480" s="35" t="str">
        <f>IF(Tabela2[[#This Row],[SIGLA]]="","",VLOOKUP(Tabela2[[#This Row],[SIGLA]],Tabela1[[#All],[Sigla Arte]:[Crédito]],2,0))</f>
        <v>MÁRCIO GUERRA/ARQUIVO DA EDITORA</v>
      </c>
      <c r="Z1480" s="31"/>
      <c r="AA1480" s="31" t="str">
        <f>Tabela2[[#This Row],[ILUSTRADOR CRIAÇÃO]]</f>
        <v>MÁRCIO GUERRA/ARQUIVO DA EDITORA</v>
      </c>
      <c r="AB1480" s="33"/>
      <c r="AC1480" s="16"/>
      <c r="AE1480" s="35" t="str">
        <f t="shared" si="23"/>
        <v>EF1 E002 Mat</v>
      </c>
    </row>
    <row r="1481" spans="1:31" ht="45" x14ac:dyDescent="0.25">
      <c r="A1481" s="31" t="s">
        <v>3097</v>
      </c>
      <c r="B1481" s="16" t="s">
        <v>32</v>
      </c>
      <c r="C1481" s="16" t="s">
        <v>164</v>
      </c>
      <c r="D1481" s="33" t="s">
        <v>34</v>
      </c>
      <c r="E1481" s="33">
        <v>193</v>
      </c>
      <c r="F1481" s="33">
        <v>4</v>
      </c>
      <c r="G1481" s="33">
        <v>10</v>
      </c>
      <c r="H1481" s="33"/>
      <c r="I1481" s="31" t="s">
        <v>35</v>
      </c>
      <c r="J1481" s="31"/>
      <c r="K1481" s="33"/>
      <c r="L1481" s="33"/>
      <c r="M1481" s="31"/>
      <c r="N1481" s="31"/>
      <c r="O1481" s="16" t="s">
        <v>3098</v>
      </c>
      <c r="P1481" s="16"/>
      <c r="Q1481" s="16"/>
      <c r="R1481" s="33">
        <v>190</v>
      </c>
      <c r="S1481" s="34">
        <v>45939</v>
      </c>
      <c r="T1481" s="34">
        <v>45939</v>
      </c>
      <c r="U1481" s="34"/>
      <c r="V1481" s="34"/>
      <c r="W1481" s="34">
        <v>45939</v>
      </c>
      <c r="X1481" s="33" t="s">
        <v>399</v>
      </c>
      <c r="Y1481" s="35" t="str">
        <f>IF(Tabela2[[#This Row],[SIGLA]]="","",VLOOKUP(Tabela2[[#This Row],[SIGLA]],Tabela1[[#All],[Sigla Arte]:[Crédito]],2,0))</f>
        <v>MÁRCIO GUERRA/ARQUIVO DA EDITORA</v>
      </c>
      <c r="Z1481" s="31" t="s">
        <v>572</v>
      </c>
      <c r="AA1481" s="31" t="str">
        <f>Tabela2[[#This Row],[ILUSTRADOR CRIAÇÃO]]</f>
        <v>MÁRCIO GUERRA/ARQUIVO DA EDITORA</v>
      </c>
      <c r="AB1481" s="33">
        <v>13</v>
      </c>
      <c r="AC1481" s="16" t="s">
        <v>3099</v>
      </c>
      <c r="AD1481" s="16" t="s">
        <v>40</v>
      </c>
      <c r="AE1481" s="35" t="str">
        <f t="shared" si="23"/>
        <v>EF1 E002 Mat</v>
      </c>
    </row>
    <row r="1482" spans="1:31" ht="45" x14ac:dyDescent="0.25">
      <c r="A1482" s="31" t="s">
        <v>3100</v>
      </c>
      <c r="B1482" s="16" t="s">
        <v>32</v>
      </c>
      <c r="C1482" s="16" t="s">
        <v>33</v>
      </c>
      <c r="D1482" s="33" t="s">
        <v>34</v>
      </c>
      <c r="E1482" s="33">
        <v>193</v>
      </c>
      <c r="F1482" s="33">
        <v>4</v>
      </c>
      <c r="G1482" s="33">
        <v>10</v>
      </c>
      <c r="H1482" s="33"/>
      <c r="I1482" s="31" t="s">
        <v>46</v>
      </c>
      <c r="J1482" s="31"/>
      <c r="K1482" s="33"/>
      <c r="L1482" s="33"/>
      <c r="M1482" s="31"/>
      <c r="N1482" s="31"/>
      <c r="O1482" s="16" t="s">
        <v>3101</v>
      </c>
      <c r="P1482" s="16"/>
      <c r="Q1482" s="16"/>
      <c r="R1482" s="33"/>
      <c r="S1482" s="34"/>
      <c r="T1482" s="34"/>
      <c r="U1482" s="34"/>
      <c r="V1482" s="34"/>
      <c r="W1482" s="34"/>
      <c r="X1482" s="33" t="s">
        <v>399</v>
      </c>
      <c r="Y1482" s="35" t="str">
        <f>IF(Tabela2[[#This Row],[SIGLA]]="","",VLOOKUP(Tabela2[[#This Row],[SIGLA]],Tabela1[[#All],[Sigla Arte]:[Crédito]],2,0))</f>
        <v>MÁRCIO GUERRA/ARQUIVO DA EDITORA</v>
      </c>
      <c r="Z1482" s="31"/>
      <c r="AA1482" s="31" t="str">
        <f>Tabela2[[#This Row],[ILUSTRADOR CRIAÇÃO]]</f>
        <v>MÁRCIO GUERRA/ARQUIVO DA EDITORA</v>
      </c>
      <c r="AB1482" s="33"/>
      <c r="AC1482" s="16"/>
      <c r="AE1482" s="35" t="str">
        <f t="shared" si="23"/>
        <v>EF1 E002 Mat</v>
      </c>
    </row>
    <row r="1483" spans="1:31" ht="45" x14ac:dyDescent="0.25">
      <c r="A1483" s="31" t="s">
        <v>3102</v>
      </c>
      <c r="B1483" s="16" t="s">
        <v>32</v>
      </c>
      <c r="C1483" s="16" t="s">
        <v>164</v>
      </c>
      <c r="D1483" s="33" t="s">
        <v>34</v>
      </c>
      <c r="E1483" s="33">
        <v>193</v>
      </c>
      <c r="F1483" s="33">
        <v>4</v>
      </c>
      <c r="G1483" s="33">
        <v>10</v>
      </c>
      <c r="H1483" s="33"/>
      <c r="I1483" s="31" t="s">
        <v>46</v>
      </c>
      <c r="J1483" s="31"/>
      <c r="K1483" s="33"/>
      <c r="L1483" s="33"/>
      <c r="M1483" s="31"/>
      <c r="N1483" s="31"/>
      <c r="O1483" s="16" t="s">
        <v>3103</v>
      </c>
      <c r="P1483" s="16"/>
      <c r="Q1483" s="16"/>
      <c r="R1483" s="33"/>
      <c r="S1483" s="34"/>
      <c r="T1483" s="34"/>
      <c r="U1483" s="34"/>
      <c r="V1483" s="34"/>
      <c r="W1483" s="34"/>
      <c r="X1483" s="33" t="s">
        <v>399</v>
      </c>
      <c r="Y1483" s="35" t="str">
        <f>IF(Tabela2[[#This Row],[SIGLA]]="","",VLOOKUP(Tabela2[[#This Row],[SIGLA]],Tabela1[[#All],[Sigla Arte]:[Crédito]],2,0))</f>
        <v>MÁRCIO GUERRA/ARQUIVO DA EDITORA</v>
      </c>
      <c r="Z1483" s="31"/>
      <c r="AA1483" s="31" t="str">
        <f>Tabela2[[#This Row],[ILUSTRADOR CRIAÇÃO]]</f>
        <v>MÁRCIO GUERRA/ARQUIVO DA EDITORA</v>
      </c>
      <c r="AB1483" s="33"/>
      <c r="AC1483" s="16"/>
      <c r="AE1483" s="35" t="str">
        <f t="shared" si="23"/>
        <v>EF1 E002 Mat</v>
      </c>
    </row>
    <row r="1484" spans="1:31" ht="30" x14ac:dyDescent="0.25">
      <c r="A1484" s="31" t="s">
        <v>3104</v>
      </c>
      <c r="B1484" s="16" t="s">
        <v>32</v>
      </c>
      <c r="C1484" s="16" t="s">
        <v>164</v>
      </c>
      <c r="D1484" s="33" t="s">
        <v>34</v>
      </c>
      <c r="E1484" s="33">
        <v>193</v>
      </c>
      <c r="F1484" s="33">
        <v>4</v>
      </c>
      <c r="G1484" s="33">
        <v>10</v>
      </c>
      <c r="H1484" s="33"/>
      <c r="I1484" s="31" t="s">
        <v>46</v>
      </c>
      <c r="J1484" s="31"/>
      <c r="K1484" s="33"/>
      <c r="L1484" s="33"/>
      <c r="M1484" s="31"/>
      <c r="N1484" s="31"/>
      <c r="O1484" s="16" t="s">
        <v>3105</v>
      </c>
      <c r="P1484" s="16"/>
      <c r="Q1484" s="16"/>
      <c r="R1484" s="33"/>
      <c r="S1484" s="34"/>
      <c r="T1484" s="34"/>
      <c r="U1484" s="34"/>
      <c r="V1484" s="34"/>
      <c r="W1484" s="34"/>
      <c r="X1484" s="33" t="s">
        <v>184</v>
      </c>
      <c r="Y1484" s="35" t="str">
        <f>IF(Tabela2[[#This Row],[SIGLA]]="","",VLOOKUP(Tabela2[[#This Row],[SIGLA]],Tabela1[[#All],[Sigla Arte]:[Crédito]],2,0))</f>
        <v>VER DOCUMENTO DE ILS. TÉCNICAS</v>
      </c>
      <c r="Z1484" s="31"/>
      <c r="AA1484" s="31" t="s">
        <v>3060</v>
      </c>
      <c r="AB1484" s="33"/>
      <c r="AC1484" s="16"/>
      <c r="AE1484" s="35" t="str">
        <f t="shared" si="23"/>
        <v>EF1 E002 Mat</v>
      </c>
    </row>
    <row r="1485" spans="1:31" ht="30" x14ac:dyDescent="0.25">
      <c r="A1485" s="31" t="s">
        <v>3106</v>
      </c>
      <c r="B1485" s="16" t="s">
        <v>32</v>
      </c>
      <c r="C1485" s="16" t="s">
        <v>164</v>
      </c>
      <c r="D1485" s="33" t="s">
        <v>34</v>
      </c>
      <c r="E1485" s="33">
        <v>193</v>
      </c>
      <c r="F1485" s="33">
        <v>4</v>
      </c>
      <c r="G1485" s="33">
        <v>10</v>
      </c>
      <c r="H1485" s="33"/>
      <c r="I1485" s="31" t="s">
        <v>46</v>
      </c>
      <c r="J1485" s="31"/>
      <c r="K1485" s="33"/>
      <c r="L1485" s="33"/>
      <c r="M1485" s="31"/>
      <c r="N1485" s="31"/>
      <c r="O1485" s="16" t="s">
        <v>3107</v>
      </c>
      <c r="P1485" s="16"/>
      <c r="Q1485" s="16"/>
      <c r="R1485" s="33"/>
      <c r="S1485" s="34"/>
      <c r="T1485" s="34"/>
      <c r="U1485" s="34"/>
      <c r="V1485" s="34"/>
      <c r="W1485" s="34"/>
      <c r="X1485" s="33" t="s">
        <v>184</v>
      </c>
      <c r="Y1485" s="35" t="str">
        <f>IF(Tabela2[[#This Row],[SIGLA]]="","",VLOOKUP(Tabela2[[#This Row],[SIGLA]],Tabela1[[#All],[Sigla Arte]:[Crédito]],2,0))</f>
        <v>VER DOCUMENTO DE ILS. TÉCNICAS</v>
      </c>
      <c r="Z1485" s="31"/>
      <c r="AA1485" s="31" t="s">
        <v>3060</v>
      </c>
      <c r="AB1485" s="33"/>
      <c r="AC1485" s="16"/>
      <c r="AE1485" s="35" t="str">
        <f t="shared" si="23"/>
        <v>EF1 E002 Mat</v>
      </c>
    </row>
    <row r="1486" spans="1:31" ht="30" x14ac:dyDescent="0.25">
      <c r="A1486" s="31" t="s">
        <v>3108</v>
      </c>
      <c r="B1486" s="16" t="s">
        <v>32</v>
      </c>
      <c r="C1486" s="16" t="s">
        <v>164</v>
      </c>
      <c r="D1486" s="33" t="s">
        <v>34</v>
      </c>
      <c r="E1486" s="33">
        <v>193</v>
      </c>
      <c r="F1486" s="33">
        <v>4</v>
      </c>
      <c r="G1486" s="33">
        <v>10</v>
      </c>
      <c r="H1486" s="33"/>
      <c r="I1486" s="31" t="s">
        <v>46</v>
      </c>
      <c r="J1486" s="31"/>
      <c r="K1486" s="33"/>
      <c r="L1486" s="33"/>
      <c r="M1486" s="31"/>
      <c r="N1486" s="31"/>
      <c r="O1486" s="16" t="s">
        <v>3109</v>
      </c>
      <c r="P1486" s="16"/>
      <c r="Q1486" s="16"/>
      <c r="R1486" s="33"/>
      <c r="S1486" s="34"/>
      <c r="T1486" s="34"/>
      <c r="U1486" s="34"/>
      <c r="V1486" s="34"/>
      <c r="W1486" s="34"/>
      <c r="X1486" s="33" t="s">
        <v>184</v>
      </c>
      <c r="Y1486" s="35" t="str">
        <f>IF(Tabela2[[#This Row],[SIGLA]]="","",VLOOKUP(Tabela2[[#This Row],[SIGLA]],Tabela1[[#All],[Sigla Arte]:[Crédito]],2,0))</f>
        <v>VER DOCUMENTO DE ILS. TÉCNICAS</v>
      </c>
      <c r="Z1486" s="31"/>
      <c r="AA1486" s="31" t="s">
        <v>3060</v>
      </c>
      <c r="AB1486" s="33"/>
      <c r="AC1486" s="16"/>
      <c r="AE1486" s="35" t="str">
        <f t="shared" si="23"/>
        <v>EF1 E002 Mat</v>
      </c>
    </row>
    <row r="1487" spans="1:31" ht="30" x14ac:dyDescent="0.25">
      <c r="A1487" s="31" t="s">
        <v>3110</v>
      </c>
      <c r="B1487" s="16" t="s">
        <v>32</v>
      </c>
      <c r="C1487" s="16" t="s">
        <v>164</v>
      </c>
      <c r="D1487" s="33" t="s">
        <v>34</v>
      </c>
      <c r="E1487" s="33">
        <v>194</v>
      </c>
      <c r="F1487" s="33">
        <v>4</v>
      </c>
      <c r="G1487" s="33">
        <v>10</v>
      </c>
      <c r="H1487" s="33"/>
      <c r="I1487" s="31" t="s">
        <v>46</v>
      </c>
      <c r="J1487" s="31"/>
      <c r="K1487" s="33"/>
      <c r="L1487" s="33"/>
      <c r="M1487" s="31"/>
      <c r="N1487" s="31"/>
      <c r="O1487" s="16" t="s">
        <v>3111</v>
      </c>
      <c r="P1487" s="16"/>
      <c r="Q1487" s="16"/>
      <c r="R1487" s="33"/>
      <c r="S1487" s="34"/>
      <c r="T1487" s="34"/>
      <c r="U1487" s="34"/>
      <c r="V1487" s="34"/>
      <c r="W1487" s="34"/>
      <c r="X1487" s="33" t="s">
        <v>184</v>
      </c>
      <c r="Y1487" s="35" t="str">
        <f>IF(Tabela2[[#This Row],[SIGLA]]="","",VLOOKUP(Tabela2[[#This Row],[SIGLA]],Tabela1[[#All],[Sigla Arte]:[Crédito]],2,0))</f>
        <v>VER DOCUMENTO DE ILS. TÉCNICAS</v>
      </c>
      <c r="Z1487" s="31"/>
      <c r="AA1487" s="31" t="s">
        <v>3112</v>
      </c>
      <c r="AB1487" s="33"/>
      <c r="AC1487" s="16"/>
      <c r="AE1487" s="35" t="str">
        <f t="shared" si="23"/>
        <v>EF1 E002 Mat</v>
      </c>
    </row>
    <row r="1488" spans="1:31" ht="30" x14ac:dyDescent="0.25">
      <c r="A1488" s="31" t="s">
        <v>3113</v>
      </c>
      <c r="B1488" s="16" t="s">
        <v>32</v>
      </c>
      <c r="C1488" s="16" t="s">
        <v>164</v>
      </c>
      <c r="D1488" s="33" t="s">
        <v>34</v>
      </c>
      <c r="E1488" s="33">
        <v>194</v>
      </c>
      <c r="F1488" s="33">
        <v>4</v>
      </c>
      <c r="G1488" s="33">
        <v>10</v>
      </c>
      <c r="H1488" s="33"/>
      <c r="I1488" s="31" t="s">
        <v>46</v>
      </c>
      <c r="J1488" s="31"/>
      <c r="K1488" s="33"/>
      <c r="L1488" s="33"/>
      <c r="M1488" s="31"/>
      <c r="N1488" s="31"/>
      <c r="O1488" s="16" t="s">
        <v>3114</v>
      </c>
      <c r="P1488" s="16"/>
      <c r="Q1488" s="16"/>
      <c r="R1488" s="33"/>
      <c r="S1488" s="34"/>
      <c r="T1488" s="34"/>
      <c r="U1488" s="34"/>
      <c r="V1488" s="34"/>
      <c r="W1488" s="34"/>
      <c r="X1488" s="33" t="s">
        <v>184</v>
      </c>
      <c r="Y1488" s="35" t="str">
        <f>IF(Tabela2[[#This Row],[SIGLA]]="","",VLOOKUP(Tabela2[[#This Row],[SIGLA]],Tabela1[[#All],[Sigla Arte]:[Crédito]],2,0))</f>
        <v>VER DOCUMENTO DE ILS. TÉCNICAS</v>
      </c>
      <c r="Z1488" s="31"/>
      <c r="AA1488" s="31" t="s">
        <v>3112</v>
      </c>
      <c r="AB1488" s="33"/>
      <c r="AC1488" s="16"/>
      <c r="AE1488" s="35" t="str">
        <f t="shared" si="23"/>
        <v>EF1 E002 Mat</v>
      </c>
    </row>
    <row r="1489" spans="1:31" ht="45" x14ac:dyDescent="0.25">
      <c r="A1489" s="31" t="s">
        <v>3115</v>
      </c>
      <c r="B1489" s="16" t="s">
        <v>32</v>
      </c>
      <c r="C1489" s="16" t="s">
        <v>164</v>
      </c>
      <c r="D1489" s="33" t="s">
        <v>34</v>
      </c>
      <c r="E1489" s="33">
        <v>194</v>
      </c>
      <c r="F1489" s="33">
        <v>4</v>
      </c>
      <c r="G1489" s="33">
        <v>10</v>
      </c>
      <c r="H1489" s="33"/>
      <c r="I1489" s="31" t="s">
        <v>35</v>
      </c>
      <c r="J1489" s="31"/>
      <c r="K1489" s="33"/>
      <c r="L1489" s="33"/>
      <c r="M1489" s="31"/>
      <c r="N1489" s="31"/>
      <c r="O1489" s="16" t="s">
        <v>3116</v>
      </c>
      <c r="P1489" s="16"/>
      <c r="Q1489" s="16"/>
      <c r="R1489" s="33">
        <v>155</v>
      </c>
      <c r="S1489" s="34">
        <v>45910</v>
      </c>
      <c r="T1489" s="34">
        <v>45911</v>
      </c>
      <c r="U1489" s="34"/>
      <c r="V1489" s="34"/>
      <c r="W1489" s="34">
        <v>45911</v>
      </c>
      <c r="X1489" s="33" t="s">
        <v>184</v>
      </c>
      <c r="Y1489" s="35" t="str">
        <f>IF(Tabela2[[#This Row],[SIGLA]]="","",VLOOKUP(Tabela2[[#This Row],[SIGLA]],Tabela1[[#All],[Sigla Arte]:[Crédito]],2,0))</f>
        <v>VER DOCUMENTO DE ILS. TÉCNICAS</v>
      </c>
      <c r="Z1489" s="31" t="s">
        <v>101</v>
      </c>
      <c r="AA1489" s="31" t="s">
        <v>2050</v>
      </c>
      <c r="AB1489" s="33">
        <v>14</v>
      </c>
      <c r="AC1489" s="16" t="s">
        <v>102</v>
      </c>
      <c r="AD1489" s="16" t="s">
        <v>40</v>
      </c>
      <c r="AE1489" s="35" t="str">
        <f t="shared" si="23"/>
        <v>EF1 E002 Mat</v>
      </c>
    </row>
    <row r="1490" spans="1:31" ht="45" x14ac:dyDescent="0.25">
      <c r="A1490" s="31" t="s">
        <v>3117</v>
      </c>
      <c r="B1490" s="16" t="s">
        <v>32</v>
      </c>
      <c r="C1490" s="16" t="s">
        <v>164</v>
      </c>
      <c r="D1490" s="33" t="s">
        <v>34</v>
      </c>
      <c r="E1490" s="33">
        <v>195</v>
      </c>
      <c r="F1490" s="33">
        <v>4</v>
      </c>
      <c r="G1490" s="33">
        <v>10</v>
      </c>
      <c r="H1490" s="33"/>
      <c r="I1490" s="31" t="s">
        <v>46</v>
      </c>
      <c r="J1490" s="31"/>
      <c r="K1490" s="33"/>
      <c r="L1490" s="33"/>
      <c r="M1490" s="31"/>
      <c r="N1490" s="31"/>
      <c r="O1490" s="16" t="s">
        <v>3118</v>
      </c>
      <c r="P1490" s="16"/>
      <c r="Q1490" s="16"/>
      <c r="R1490" s="33"/>
      <c r="S1490" s="34"/>
      <c r="T1490" s="34"/>
      <c r="U1490" s="34"/>
      <c r="V1490" s="34"/>
      <c r="W1490" s="34"/>
      <c r="X1490" s="33" t="s">
        <v>184</v>
      </c>
      <c r="Y1490" s="35" t="str">
        <f>IF(Tabela2[[#This Row],[SIGLA]]="","",VLOOKUP(Tabela2[[#This Row],[SIGLA]],Tabela1[[#All],[Sigla Arte]:[Crédito]],2,0))</f>
        <v>VER DOCUMENTO DE ILS. TÉCNICAS</v>
      </c>
      <c r="Z1490" s="31"/>
      <c r="AA1490" s="31" t="s">
        <v>3112</v>
      </c>
      <c r="AB1490" s="33"/>
      <c r="AC1490" s="16"/>
      <c r="AE1490" s="35" t="str">
        <f t="shared" si="23"/>
        <v>EF1 E002 Mat</v>
      </c>
    </row>
    <row r="1491" spans="1:31" ht="30" x14ac:dyDescent="0.25">
      <c r="A1491" s="31" t="s">
        <v>3119</v>
      </c>
      <c r="B1491" s="16" t="s">
        <v>32</v>
      </c>
      <c r="C1491" s="16" t="s">
        <v>164</v>
      </c>
      <c r="D1491" s="33" t="s">
        <v>34</v>
      </c>
      <c r="E1491" s="33">
        <v>195</v>
      </c>
      <c r="F1491" s="33">
        <v>4</v>
      </c>
      <c r="G1491" s="33">
        <v>10</v>
      </c>
      <c r="H1491" s="33"/>
      <c r="I1491" s="31" t="s">
        <v>46</v>
      </c>
      <c r="J1491" s="31"/>
      <c r="K1491" s="33"/>
      <c r="L1491" s="33"/>
      <c r="M1491" s="31"/>
      <c r="N1491" s="31"/>
      <c r="O1491" s="16" t="s">
        <v>3120</v>
      </c>
      <c r="P1491" s="16"/>
      <c r="Q1491" s="16"/>
      <c r="R1491" s="33"/>
      <c r="S1491" s="34"/>
      <c r="T1491" s="34"/>
      <c r="U1491" s="34"/>
      <c r="V1491" s="34"/>
      <c r="W1491" s="34"/>
      <c r="X1491" s="33" t="s">
        <v>184</v>
      </c>
      <c r="Y1491" s="35" t="str">
        <f>IF(Tabela2[[#This Row],[SIGLA]]="","",VLOOKUP(Tabela2[[#This Row],[SIGLA]],Tabela1[[#All],[Sigla Arte]:[Crédito]],2,0))</f>
        <v>VER DOCUMENTO DE ILS. TÉCNICAS</v>
      </c>
      <c r="Z1491" s="31"/>
      <c r="AA1491" s="31" t="s">
        <v>3112</v>
      </c>
      <c r="AB1491" s="33"/>
      <c r="AC1491" s="16"/>
      <c r="AE1491" s="35" t="str">
        <f t="shared" si="23"/>
        <v>EF1 E002 Mat</v>
      </c>
    </row>
    <row r="1492" spans="1:31" ht="30" x14ac:dyDescent="0.25">
      <c r="A1492" s="31" t="s">
        <v>3121</v>
      </c>
      <c r="B1492" s="16" t="s">
        <v>32</v>
      </c>
      <c r="C1492" s="16" t="s">
        <v>164</v>
      </c>
      <c r="D1492" s="33" t="s">
        <v>34</v>
      </c>
      <c r="E1492" s="33">
        <v>195</v>
      </c>
      <c r="F1492" s="33">
        <v>4</v>
      </c>
      <c r="G1492" s="33">
        <v>10</v>
      </c>
      <c r="H1492" s="33"/>
      <c r="I1492" s="31" t="s">
        <v>46</v>
      </c>
      <c r="J1492" s="31"/>
      <c r="K1492" s="33"/>
      <c r="L1492" s="33"/>
      <c r="M1492" s="31"/>
      <c r="N1492" s="31"/>
      <c r="O1492" s="16" t="s">
        <v>3122</v>
      </c>
      <c r="P1492" s="16"/>
      <c r="Q1492" s="16"/>
      <c r="R1492" s="33"/>
      <c r="S1492" s="34"/>
      <c r="T1492" s="34"/>
      <c r="U1492" s="34"/>
      <c r="V1492" s="34"/>
      <c r="W1492" s="34"/>
      <c r="X1492" s="33" t="s">
        <v>184</v>
      </c>
      <c r="Y1492" s="35" t="str">
        <f>IF(Tabela2[[#This Row],[SIGLA]]="","",VLOOKUP(Tabela2[[#This Row],[SIGLA]],Tabela1[[#All],[Sigla Arte]:[Crédito]],2,0))</f>
        <v>VER DOCUMENTO DE ILS. TÉCNICAS</v>
      </c>
      <c r="Z1492" s="31"/>
      <c r="AA1492" s="31" t="s">
        <v>3112</v>
      </c>
      <c r="AB1492" s="33"/>
      <c r="AC1492" s="16"/>
      <c r="AE1492" s="35" t="str">
        <f t="shared" si="23"/>
        <v>EF1 E002 Mat</v>
      </c>
    </row>
    <row r="1493" spans="1:31" ht="45" x14ac:dyDescent="0.25">
      <c r="A1493" s="31" t="s">
        <v>3123</v>
      </c>
      <c r="B1493" s="16" t="s">
        <v>32</v>
      </c>
      <c r="C1493" s="16" t="s">
        <v>164</v>
      </c>
      <c r="D1493" s="33" t="s">
        <v>34</v>
      </c>
      <c r="E1493" s="33">
        <v>196</v>
      </c>
      <c r="F1493" s="33">
        <v>4</v>
      </c>
      <c r="G1493" s="33">
        <v>10</v>
      </c>
      <c r="H1493" s="33"/>
      <c r="I1493" s="31" t="s">
        <v>46</v>
      </c>
      <c r="J1493" s="31"/>
      <c r="K1493" s="33"/>
      <c r="L1493" s="33"/>
      <c r="M1493" s="31"/>
      <c r="N1493" s="31"/>
      <c r="O1493" s="16" t="s">
        <v>3124</v>
      </c>
      <c r="P1493" s="16"/>
      <c r="Q1493" s="16"/>
      <c r="R1493" s="33"/>
      <c r="S1493" s="34"/>
      <c r="T1493" s="34"/>
      <c r="U1493" s="34"/>
      <c r="V1493" s="34"/>
      <c r="W1493" s="34"/>
      <c r="X1493" s="33" t="s">
        <v>184</v>
      </c>
      <c r="Y1493" s="35" t="str">
        <f>IF(Tabela2[[#This Row],[SIGLA]]="","",VLOOKUP(Tabela2[[#This Row],[SIGLA]],Tabela1[[#All],[Sigla Arte]:[Crédito]],2,0))</f>
        <v>VER DOCUMENTO DE ILS. TÉCNICAS</v>
      </c>
      <c r="Z1493" s="31"/>
      <c r="AA1493" s="31" t="s">
        <v>3112</v>
      </c>
      <c r="AB1493" s="33"/>
      <c r="AC1493" s="16"/>
      <c r="AE1493" s="35" t="str">
        <f t="shared" si="23"/>
        <v>EF1 E002 Mat</v>
      </c>
    </row>
    <row r="1494" spans="1:31" ht="30" x14ac:dyDescent="0.25">
      <c r="A1494" s="31" t="s">
        <v>3125</v>
      </c>
      <c r="B1494" s="16" t="s">
        <v>32</v>
      </c>
      <c r="C1494" s="16" t="s">
        <v>164</v>
      </c>
      <c r="D1494" s="33" t="s">
        <v>34</v>
      </c>
      <c r="E1494" s="33">
        <v>196</v>
      </c>
      <c r="F1494" s="33">
        <v>4</v>
      </c>
      <c r="G1494" s="33">
        <v>10</v>
      </c>
      <c r="H1494" s="33"/>
      <c r="I1494" s="31" t="s">
        <v>46</v>
      </c>
      <c r="J1494" s="31"/>
      <c r="K1494" s="33"/>
      <c r="L1494" s="33"/>
      <c r="M1494" s="31"/>
      <c r="N1494" s="31"/>
      <c r="O1494" s="16" t="s">
        <v>3126</v>
      </c>
      <c r="P1494" s="16"/>
      <c r="Q1494" s="16"/>
      <c r="R1494" s="33"/>
      <c r="S1494" s="34"/>
      <c r="T1494" s="34"/>
      <c r="U1494" s="34"/>
      <c r="V1494" s="34"/>
      <c r="W1494" s="34"/>
      <c r="X1494" s="33" t="s">
        <v>184</v>
      </c>
      <c r="Y1494" s="35" t="str">
        <f>IF(Tabela2[[#This Row],[SIGLA]]="","",VLOOKUP(Tabela2[[#This Row],[SIGLA]],Tabela1[[#All],[Sigla Arte]:[Crédito]],2,0))</f>
        <v>VER DOCUMENTO DE ILS. TÉCNICAS</v>
      </c>
      <c r="Z1494" s="31"/>
      <c r="AA1494" s="31" t="s">
        <v>185</v>
      </c>
      <c r="AB1494" s="33"/>
      <c r="AC1494" s="16"/>
      <c r="AE1494" s="35" t="str">
        <f t="shared" si="23"/>
        <v>EF1 E002 Mat</v>
      </c>
    </row>
    <row r="1495" spans="1:31" ht="45" x14ac:dyDescent="0.25">
      <c r="A1495" s="31" t="s">
        <v>3127</v>
      </c>
      <c r="B1495" s="16" t="s">
        <v>32</v>
      </c>
      <c r="C1495" s="16" t="s">
        <v>164</v>
      </c>
      <c r="D1495" s="33" t="s">
        <v>34</v>
      </c>
      <c r="E1495" s="33">
        <v>196</v>
      </c>
      <c r="F1495" s="33">
        <v>4</v>
      </c>
      <c r="G1495" s="33">
        <v>10</v>
      </c>
      <c r="H1495" s="33"/>
      <c r="I1495" s="31" t="s">
        <v>46</v>
      </c>
      <c r="J1495" s="31"/>
      <c r="K1495" s="33"/>
      <c r="L1495" s="33"/>
      <c r="M1495" s="31"/>
      <c r="N1495" s="31"/>
      <c r="O1495" s="16" t="s">
        <v>3128</v>
      </c>
      <c r="P1495" s="16"/>
      <c r="Q1495" s="16"/>
      <c r="R1495" s="33"/>
      <c r="S1495" s="34"/>
      <c r="T1495" s="34"/>
      <c r="U1495" s="34"/>
      <c r="V1495" s="34"/>
      <c r="W1495" s="34"/>
      <c r="X1495" s="33" t="s">
        <v>184</v>
      </c>
      <c r="Y1495" s="35" t="str">
        <f>IF(Tabela2[[#This Row],[SIGLA]]="","",VLOOKUP(Tabela2[[#This Row],[SIGLA]],Tabela1[[#All],[Sigla Arte]:[Crédito]],2,0))</f>
        <v>VER DOCUMENTO DE ILS. TÉCNICAS</v>
      </c>
      <c r="Z1495" s="31"/>
      <c r="AA1495" s="31" t="s">
        <v>185</v>
      </c>
      <c r="AB1495" s="33"/>
      <c r="AC1495" s="16"/>
      <c r="AE1495" s="35" t="str">
        <f t="shared" si="23"/>
        <v>EF1 E002 Mat</v>
      </c>
    </row>
    <row r="1496" spans="1:31" ht="45" x14ac:dyDescent="0.25">
      <c r="A1496" s="31" t="s">
        <v>3129</v>
      </c>
      <c r="B1496" s="16" t="s">
        <v>32</v>
      </c>
      <c r="C1496" s="16" t="s">
        <v>164</v>
      </c>
      <c r="D1496" s="33" t="s">
        <v>34</v>
      </c>
      <c r="E1496" s="33">
        <v>196</v>
      </c>
      <c r="F1496" s="33">
        <v>4</v>
      </c>
      <c r="G1496" s="33">
        <v>10</v>
      </c>
      <c r="H1496" s="33"/>
      <c r="I1496" s="31" t="s">
        <v>46</v>
      </c>
      <c r="J1496" s="31"/>
      <c r="K1496" s="33"/>
      <c r="L1496" s="33"/>
      <c r="M1496" s="31"/>
      <c r="N1496" s="31"/>
      <c r="O1496" s="16" t="s">
        <v>3130</v>
      </c>
      <c r="P1496" s="16"/>
      <c r="Q1496" s="16"/>
      <c r="R1496" s="33"/>
      <c r="S1496" s="34"/>
      <c r="T1496" s="34"/>
      <c r="U1496" s="34"/>
      <c r="V1496" s="34"/>
      <c r="W1496" s="34"/>
      <c r="X1496" s="33" t="s">
        <v>184</v>
      </c>
      <c r="Y1496" s="35" t="str">
        <f>IF(Tabela2[[#This Row],[SIGLA]]="","",VLOOKUP(Tabela2[[#This Row],[SIGLA]],Tabela1[[#All],[Sigla Arte]:[Crédito]],2,0))</f>
        <v>VER DOCUMENTO DE ILS. TÉCNICAS</v>
      </c>
      <c r="Z1496" s="31"/>
      <c r="AA1496" s="31" t="s">
        <v>185</v>
      </c>
      <c r="AB1496" s="33"/>
      <c r="AC1496" s="16"/>
      <c r="AE1496" s="35" t="str">
        <f t="shared" si="23"/>
        <v>EF1 E002 Mat</v>
      </c>
    </row>
    <row r="1497" spans="1:31" ht="30" x14ac:dyDescent="0.25">
      <c r="A1497" s="31" t="s">
        <v>3131</v>
      </c>
      <c r="B1497" s="16" t="s">
        <v>32</v>
      </c>
      <c r="C1497" s="16" t="s">
        <v>164</v>
      </c>
      <c r="D1497" s="33" t="s">
        <v>34</v>
      </c>
      <c r="E1497" s="33">
        <v>197</v>
      </c>
      <c r="F1497" s="33">
        <v>4</v>
      </c>
      <c r="G1497" s="33">
        <v>10</v>
      </c>
      <c r="H1497" s="33"/>
      <c r="I1497" s="31" t="s">
        <v>46</v>
      </c>
      <c r="J1497" s="31"/>
      <c r="K1497" s="33"/>
      <c r="L1497" s="33"/>
      <c r="M1497" s="31"/>
      <c r="N1497" s="31"/>
      <c r="O1497" s="16" t="s">
        <v>3132</v>
      </c>
      <c r="P1497" s="16"/>
      <c r="Q1497" s="16"/>
      <c r="R1497" s="33"/>
      <c r="S1497" s="34"/>
      <c r="T1497" s="34"/>
      <c r="U1497" s="34"/>
      <c r="V1497" s="34"/>
      <c r="W1497" s="34"/>
      <c r="X1497" s="33" t="s">
        <v>184</v>
      </c>
      <c r="Y1497" s="35" t="str">
        <f>IF(Tabela2[[#This Row],[SIGLA]]="","",VLOOKUP(Tabela2[[#This Row],[SIGLA]],Tabela1[[#All],[Sigla Arte]:[Crédito]],2,0))</f>
        <v>VER DOCUMENTO DE ILS. TÉCNICAS</v>
      </c>
      <c r="Z1497" s="31"/>
      <c r="AA1497" s="31" t="s">
        <v>3112</v>
      </c>
      <c r="AB1497" s="33"/>
      <c r="AC1497" s="16"/>
      <c r="AE1497" s="35" t="str">
        <f t="shared" si="23"/>
        <v>EF1 E002 Mat</v>
      </c>
    </row>
    <row r="1498" spans="1:31" ht="30" x14ac:dyDescent="0.25">
      <c r="A1498" s="31" t="s">
        <v>3133</v>
      </c>
      <c r="B1498" s="16" t="s">
        <v>32</v>
      </c>
      <c r="C1498" s="16" t="s">
        <v>164</v>
      </c>
      <c r="D1498" s="33" t="s">
        <v>34</v>
      </c>
      <c r="E1498" s="33">
        <v>197</v>
      </c>
      <c r="F1498" s="33">
        <v>4</v>
      </c>
      <c r="G1498" s="33">
        <v>10</v>
      </c>
      <c r="H1498" s="33"/>
      <c r="I1498" s="31" t="s">
        <v>46</v>
      </c>
      <c r="J1498" s="31"/>
      <c r="K1498" s="33"/>
      <c r="L1498" s="33"/>
      <c r="M1498" s="31"/>
      <c r="N1498" s="31"/>
      <c r="O1498" s="16" t="s">
        <v>3134</v>
      </c>
      <c r="P1498" s="16"/>
      <c r="Q1498" s="16"/>
      <c r="R1498" s="33"/>
      <c r="S1498" s="34"/>
      <c r="T1498" s="34"/>
      <c r="U1498" s="34"/>
      <c r="V1498" s="34"/>
      <c r="W1498" s="34"/>
      <c r="X1498" s="33" t="s">
        <v>184</v>
      </c>
      <c r="Y1498" s="35" t="str">
        <f>IF(Tabela2[[#This Row],[SIGLA]]="","",VLOOKUP(Tabela2[[#This Row],[SIGLA]],Tabela1[[#All],[Sigla Arte]:[Crédito]],2,0))</f>
        <v>VER DOCUMENTO DE ILS. TÉCNICAS</v>
      </c>
      <c r="Z1498" s="31"/>
      <c r="AA1498" s="31" t="s">
        <v>3112</v>
      </c>
      <c r="AB1498" s="33"/>
      <c r="AC1498" s="16"/>
      <c r="AE1498" s="35" t="str">
        <f t="shared" si="23"/>
        <v>EF1 E002 Mat</v>
      </c>
    </row>
    <row r="1499" spans="1:31" ht="30" x14ac:dyDescent="0.25">
      <c r="A1499" s="31" t="s">
        <v>3135</v>
      </c>
      <c r="B1499" s="16" t="s">
        <v>32</v>
      </c>
      <c r="C1499" s="16" t="s">
        <v>164</v>
      </c>
      <c r="D1499" s="33" t="s">
        <v>34</v>
      </c>
      <c r="E1499" s="33">
        <v>197</v>
      </c>
      <c r="F1499" s="33">
        <v>4</v>
      </c>
      <c r="G1499" s="33">
        <v>10</v>
      </c>
      <c r="H1499" s="33"/>
      <c r="I1499" s="31" t="s">
        <v>46</v>
      </c>
      <c r="J1499" s="31"/>
      <c r="K1499" s="33"/>
      <c r="L1499" s="33"/>
      <c r="M1499" s="31"/>
      <c r="N1499" s="31"/>
      <c r="O1499" s="16" t="s">
        <v>3136</v>
      </c>
      <c r="P1499" s="16"/>
      <c r="Q1499" s="16"/>
      <c r="R1499" s="33"/>
      <c r="S1499" s="34"/>
      <c r="T1499" s="34"/>
      <c r="U1499" s="34"/>
      <c r="V1499" s="34"/>
      <c r="W1499" s="34"/>
      <c r="X1499" s="33" t="s">
        <v>184</v>
      </c>
      <c r="Y1499" s="35" t="str">
        <f>IF(Tabela2[[#This Row],[SIGLA]]="","",VLOOKUP(Tabela2[[#This Row],[SIGLA]],Tabela1[[#All],[Sigla Arte]:[Crédito]],2,0))</f>
        <v>VER DOCUMENTO DE ILS. TÉCNICAS</v>
      </c>
      <c r="Z1499" s="31"/>
      <c r="AA1499" s="31" t="s">
        <v>3112</v>
      </c>
      <c r="AB1499" s="33"/>
      <c r="AC1499" s="16"/>
      <c r="AE1499" s="35" t="str">
        <f t="shared" si="23"/>
        <v>EF1 E002 Mat</v>
      </c>
    </row>
    <row r="1500" spans="1:31" ht="30" x14ac:dyDescent="0.25">
      <c r="A1500" s="31" t="s">
        <v>3137</v>
      </c>
      <c r="B1500" s="16" t="s">
        <v>32</v>
      </c>
      <c r="C1500" s="16" t="s">
        <v>164</v>
      </c>
      <c r="D1500" s="33" t="s">
        <v>34</v>
      </c>
      <c r="E1500" s="33">
        <v>197</v>
      </c>
      <c r="F1500" s="33">
        <v>4</v>
      </c>
      <c r="G1500" s="33">
        <v>10</v>
      </c>
      <c r="H1500" s="33"/>
      <c r="I1500" s="31" t="s">
        <v>46</v>
      </c>
      <c r="J1500" s="31"/>
      <c r="K1500" s="33"/>
      <c r="L1500" s="33"/>
      <c r="M1500" s="31"/>
      <c r="N1500" s="31"/>
      <c r="O1500" s="16" t="s">
        <v>3138</v>
      </c>
      <c r="P1500" s="16"/>
      <c r="Q1500" s="16"/>
      <c r="R1500" s="33"/>
      <c r="S1500" s="34"/>
      <c r="T1500" s="34"/>
      <c r="U1500" s="34"/>
      <c r="V1500" s="34"/>
      <c r="W1500" s="34"/>
      <c r="X1500" s="33" t="s">
        <v>184</v>
      </c>
      <c r="Y1500" s="35" t="str">
        <f>IF(Tabela2[[#This Row],[SIGLA]]="","",VLOOKUP(Tabela2[[#This Row],[SIGLA]],Tabela1[[#All],[Sigla Arte]:[Crédito]],2,0))</f>
        <v>VER DOCUMENTO DE ILS. TÉCNICAS</v>
      </c>
      <c r="Z1500" s="31"/>
      <c r="AA1500" s="31" t="s">
        <v>3112</v>
      </c>
      <c r="AB1500" s="33"/>
      <c r="AC1500" s="16"/>
      <c r="AE1500" s="35" t="str">
        <f t="shared" si="23"/>
        <v>EF1 E002 Mat</v>
      </c>
    </row>
    <row r="1501" spans="1:31" ht="45" x14ac:dyDescent="0.25">
      <c r="A1501" s="31" t="s">
        <v>3139</v>
      </c>
      <c r="B1501" s="16" t="s">
        <v>32</v>
      </c>
      <c r="C1501" s="16" t="s">
        <v>164</v>
      </c>
      <c r="D1501" s="33" t="s">
        <v>34</v>
      </c>
      <c r="E1501" s="33">
        <v>198</v>
      </c>
      <c r="F1501" s="33">
        <v>4</v>
      </c>
      <c r="G1501" s="33">
        <v>10</v>
      </c>
      <c r="H1501" s="33"/>
      <c r="I1501" s="31" t="s">
        <v>46</v>
      </c>
      <c r="J1501" s="31"/>
      <c r="K1501" s="33"/>
      <c r="L1501" s="33"/>
      <c r="M1501" s="31"/>
      <c r="N1501" s="31"/>
      <c r="O1501" s="16" t="s">
        <v>3140</v>
      </c>
      <c r="P1501" s="16"/>
      <c r="Q1501" s="16"/>
      <c r="R1501" s="33"/>
      <c r="S1501" s="34"/>
      <c r="T1501" s="34"/>
      <c r="U1501" s="34"/>
      <c r="V1501" s="34"/>
      <c r="W1501" s="34"/>
      <c r="X1501" s="33" t="s">
        <v>184</v>
      </c>
      <c r="Y1501" s="35" t="str">
        <f>IF(Tabela2[[#This Row],[SIGLA]]="","",VLOOKUP(Tabela2[[#This Row],[SIGLA]],Tabela1[[#All],[Sigla Arte]:[Crédito]],2,0))</f>
        <v>VER DOCUMENTO DE ILS. TÉCNICAS</v>
      </c>
      <c r="Z1501" s="31"/>
      <c r="AA1501" s="31" t="s">
        <v>2050</v>
      </c>
      <c r="AB1501" s="33"/>
      <c r="AC1501" s="16"/>
      <c r="AE1501" s="35" t="str">
        <f t="shared" si="23"/>
        <v>EF1 E002 Mat</v>
      </c>
    </row>
    <row r="1502" spans="1:31" ht="60" x14ac:dyDescent="0.25">
      <c r="A1502" s="31" t="s">
        <v>3141</v>
      </c>
      <c r="B1502" s="16" t="s">
        <v>32</v>
      </c>
      <c r="C1502" s="16" t="s">
        <v>164</v>
      </c>
      <c r="D1502" s="33" t="s">
        <v>34</v>
      </c>
      <c r="E1502" s="33">
        <v>198</v>
      </c>
      <c r="F1502" s="33">
        <v>4</v>
      </c>
      <c r="G1502" s="33">
        <v>10</v>
      </c>
      <c r="H1502" s="33"/>
      <c r="I1502" s="31" t="s">
        <v>46</v>
      </c>
      <c r="J1502" s="31"/>
      <c r="K1502" s="33"/>
      <c r="L1502" s="33"/>
      <c r="M1502" s="31"/>
      <c r="N1502" s="31"/>
      <c r="O1502" s="16" t="s">
        <v>3142</v>
      </c>
      <c r="P1502" s="16"/>
      <c r="Q1502" s="16"/>
      <c r="R1502" s="33"/>
      <c r="S1502" s="34"/>
      <c r="T1502" s="34"/>
      <c r="U1502" s="34"/>
      <c r="V1502" s="34"/>
      <c r="W1502" s="34"/>
      <c r="X1502" s="33" t="s">
        <v>184</v>
      </c>
      <c r="Y1502" s="35" t="str">
        <f>IF(Tabela2[[#This Row],[SIGLA]]="","",VLOOKUP(Tabela2[[#This Row],[SIGLA]],Tabela1[[#All],[Sigla Arte]:[Crédito]],2,0))</f>
        <v>VER DOCUMENTO DE ILS. TÉCNICAS</v>
      </c>
      <c r="Z1502" s="31"/>
      <c r="AA1502" s="31" t="s">
        <v>2050</v>
      </c>
      <c r="AB1502" s="33"/>
      <c r="AC1502" s="16"/>
      <c r="AE1502" s="35" t="str">
        <f t="shared" si="23"/>
        <v>EF1 E002 Mat</v>
      </c>
    </row>
    <row r="1503" spans="1:31" ht="120" x14ac:dyDescent="0.25">
      <c r="A1503" s="31" t="s">
        <v>3143</v>
      </c>
      <c r="B1503" s="16" t="s">
        <v>32</v>
      </c>
      <c r="C1503" s="16" t="s">
        <v>33</v>
      </c>
      <c r="D1503" s="33" t="s">
        <v>34</v>
      </c>
      <c r="E1503" s="33">
        <v>199</v>
      </c>
      <c r="F1503" s="33">
        <v>4</v>
      </c>
      <c r="G1503" s="33">
        <v>10</v>
      </c>
      <c r="H1503" s="33"/>
      <c r="I1503" s="31" t="s">
        <v>35</v>
      </c>
      <c r="J1503" s="31"/>
      <c r="K1503" s="33"/>
      <c r="L1503" s="33"/>
      <c r="M1503" s="31"/>
      <c r="N1503" s="31"/>
      <c r="O1503" s="16" t="s">
        <v>3144</v>
      </c>
      <c r="P1503" s="16"/>
      <c r="Q1503" s="16"/>
      <c r="R1503" s="33">
        <v>40</v>
      </c>
      <c r="S1503" s="34">
        <v>45790</v>
      </c>
      <c r="T1503" s="34">
        <v>45790</v>
      </c>
      <c r="U1503" s="34"/>
      <c r="V1503" s="34"/>
      <c r="W1503" s="34">
        <v>45791</v>
      </c>
      <c r="X1503" s="33" t="s">
        <v>85</v>
      </c>
      <c r="Y1503" s="35" t="str">
        <f>IF(Tabela2[[#This Row],[SIGLA]]="","",VLOOKUP(Tabela2[[#This Row],[SIGLA]],Tabela1[[#All],[Sigla Arte]:[Crédito]],2,0))</f>
        <v>HELOÍSA PINTARELLI/ARQUIVO DA EDITORA</v>
      </c>
      <c r="Z1503" s="31" t="s">
        <v>368</v>
      </c>
      <c r="AA1503" s="31" t="str">
        <f>Tabela2[[#This Row],[ILUSTRADOR CRIAÇÃO]]</f>
        <v>HELOÍSA PINTARELLI/ARQUIVO DA EDITORA</v>
      </c>
      <c r="AB1503" s="33">
        <v>14</v>
      </c>
      <c r="AC1503" s="16" t="s">
        <v>39</v>
      </c>
      <c r="AD1503" s="16" t="s">
        <v>40</v>
      </c>
      <c r="AE1503" s="35" t="str">
        <f t="shared" si="23"/>
        <v>EF1 E002 Mat</v>
      </c>
    </row>
    <row r="1504" spans="1:31" ht="45" x14ac:dyDescent="0.25">
      <c r="A1504" s="31" t="s">
        <v>3145</v>
      </c>
      <c r="B1504" s="16" t="s">
        <v>32</v>
      </c>
      <c r="C1504" s="16" t="s">
        <v>164</v>
      </c>
      <c r="D1504" s="33" t="s">
        <v>34</v>
      </c>
      <c r="E1504" s="33">
        <v>199</v>
      </c>
      <c r="F1504" s="33">
        <v>4</v>
      </c>
      <c r="G1504" s="33">
        <v>10</v>
      </c>
      <c r="H1504" s="33"/>
      <c r="I1504" s="31" t="s">
        <v>46</v>
      </c>
      <c r="J1504" s="31"/>
      <c r="K1504" s="33"/>
      <c r="L1504" s="33"/>
      <c r="M1504" s="31"/>
      <c r="N1504" s="31"/>
      <c r="O1504" s="16" t="s">
        <v>3146</v>
      </c>
      <c r="P1504" s="16"/>
      <c r="Q1504" s="16"/>
      <c r="R1504" s="33"/>
      <c r="S1504" s="34"/>
      <c r="T1504" s="34"/>
      <c r="U1504" s="34"/>
      <c r="V1504" s="34"/>
      <c r="W1504" s="34"/>
      <c r="X1504" s="33" t="s">
        <v>184</v>
      </c>
      <c r="Y1504" s="35" t="str">
        <f>IF(Tabela2[[#This Row],[SIGLA]]="","",VLOOKUP(Tabela2[[#This Row],[SIGLA]],Tabela1[[#All],[Sigla Arte]:[Crédito]],2,0))</f>
        <v>VER DOCUMENTO DE ILS. TÉCNICAS</v>
      </c>
      <c r="Z1504" s="31"/>
      <c r="AA1504" s="31" t="s">
        <v>3112</v>
      </c>
      <c r="AB1504" s="33"/>
      <c r="AC1504" s="16"/>
      <c r="AE1504" s="35" t="str">
        <f t="shared" si="23"/>
        <v>EF1 E002 Mat</v>
      </c>
    </row>
    <row r="1505" spans="1:31" ht="45" x14ac:dyDescent="0.25">
      <c r="A1505" s="31" t="s">
        <v>3147</v>
      </c>
      <c r="B1505" s="16" t="s">
        <v>32</v>
      </c>
      <c r="C1505" s="16" t="s">
        <v>164</v>
      </c>
      <c r="D1505" s="33" t="s">
        <v>34</v>
      </c>
      <c r="E1505" s="33">
        <v>199</v>
      </c>
      <c r="F1505" s="33">
        <v>4</v>
      </c>
      <c r="G1505" s="33">
        <v>10</v>
      </c>
      <c r="H1505" s="33"/>
      <c r="I1505" s="31" t="s">
        <v>46</v>
      </c>
      <c r="J1505" s="31"/>
      <c r="K1505" s="33"/>
      <c r="L1505" s="33"/>
      <c r="M1505" s="31"/>
      <c r="N1505" s="31"/>
      <c r="O1505" s="16" t="s">
        <v>3148</v>
      </c>
      <c r="P1505" s="16"/>
      <c r="Q1505" s="16"/>
      <c r="R1505" s="33"/>
      <c r="S1505" s="34"/>
      <c r="T1505" s="34"/>
      <c r="U1505" s="34"/>
      <c r="V1505" s="34"/>
      <c r="W1505" s="34"/>
      <c r="X1505" s="33" t="s">
        <v>184</v>
      </c>
      <c r="Y1505" s="35" t="str">
        <f>IF(Tabela2[[#This Row],[SIGLA]]="","",VLOOKUP(Tabela2[[#This Row],[SIGLA]],Tabela1[[#All],[Sigla Arte]:[Crédito]],2,0))</f>
        <v>VER DOCUMENTO DE ILS. TÉCNICAS</v>
      </c>
      <c r="Z1505" s="31"/>
      <c r="AA1505" s="31" t="s">
        <v>3112</v>
      </c>
      <c r="AB1505" s="33"/>
      <c r="AC1505" s="16"/>
      <c r="AE1505" s="35" t="str">
        <f t="shared" si="23"/>
        <v>EF1 E002 Mat</v>
      </c>
    </row>
    <row r="1506" spans="1:31" ht="75" x14ac:dyDescent="0.25">
      <c r="A1506" s="31" t="s">
        <v>3149</v>
      </c>
      <c r="B1506" s="16" t="s">
        <v>32</v>
      </c>
      <c r="C1506" s="16" t="s">
        <v>33</v>
      </c>
      <c r="D1506" s="33" t="s">
        <v>34</v>
      </c>
      <c r="E1506" s="33">
        <v>200</v>
      </c>
      <c r="F1506" s="33">
        <v>4</v>
      </c>
      <c r="G1506" s="33">
        <v>10</v>
      </c>
      <c r="H1506" s="33"/>
      <c r="I1506" s="31" t="s">
        <v>35</v>
      </c>
      <c r="J1506" s="31"/>
      <c r="K1506" s="33"/>
      <c r="L1506" s="33"/>
      <c r="M1506" s="31"/>
      <c r="N1506" s="31"/>
      <c r="O1506" s="16" t="s">
        <v>3150</v>
      </c>
      <c r="P1506" s="16"/>
      <c r="Q1506" s="16"/>
      <c r="R1506" s="33">
        <v>40</v>
      </c>
      <c r="S1506" s="34">
        <v>45790</v>
      </c>
      <c r="T1506" s="34">
        <v>45790</v>
      </c>
      <c r="U1506" s="34"/>
      <c r="V1506" s="34"/>
      <c r="W1506" s="34">
        <v>45791</v>
      </c>
      <c r="X1506" s="33" t="s">
        <v>85</v>
      </c>
      <c r="Y1506" s="35" t="str">
        <f>IF(Tabela2[[#This Row],[SIGLA]]="","",VLOOKUP(Tabela2[[#This Row],[SIGLA]],Tabela1[[#All],[Sigla Arte]:[Crédito]],2,0))</f>
        <v>HELOÍSA PINTARELLI/ARQUIVO DA EDITORA</v>
      </c>
      <c r="Z1506" s="31" t="s">
        <v>368</v>
      </c>
      <c r="AA1506" s="31" t="str">
        <f>Tabela2[[#This Row],[ILUSTRADOR CRIAÇÃO]]</f>
        <v>HELOÍSA PINTARELLI/ARQUIVO DA EDITORA</v>
      </c>
      <c r="AB1506" s="33">
        <v>14</v>
      </c>
      <c r="AC1506" s="16" t="s">
        <v>39</v>
      </c>
      <c r="AD1506" s="16" t="s">
        <v>40</v>
      </c>
      <c r="AE1506" s="35" t="str">
        <f t="shared" si="23"/>
        <v>EF1 E002 Mat</v>
      </c>
    </row>
    <row r="1507" spans="1:31" ht="45" x14ac:dyDescent="0.25">
      <c r="A1507" s="31" t="s">
        <v>3151</v>
      </c>
      <c r="B1507" s="16" t="s">
        <v>32</v>
      </c>
      <c r="C1507" s="16" t="s">
        <v>164</v>
      </c>
      <c r="D1507" s="33" t="s">
        <v>34</v>
      </c>
      <c r="E1507" s="33">
        <v>200</v>
      </c>
      <c r="F1507" s="33">
        <v>4</v>
      </c>
      <c r="G1507" s="33">
        <v>10</v>
      </c>
      <c r="H1507" s="33"/>
      <c r="I1507" s="31" t="s">
        <v>46</v>
      </c>
      <c r="J1507" s="31"/>
      <c r="K1507" s="33"/>
      <c r="L1507" s="33"/>
      <c r="M1507" s="31"/>
      <c r="N1507" s="31"/>
      <c r="O1507" s="16" t="s">
        <v>3152</v>
      </c>
      <c r="P1507" s="16"/>
      <c r="Q1507" s="16"/>
      <c r="R1507" s="33"/>
      <c r="S1507" s="34"/>
      <c r="T1507" s="34"/>
      <c r="U1507" s="34"/>
      <c r="V1507" s="34"/>
      <c r="W1507" s="34"/>
      <c r="X1507" s="33" t="s">
        <v>85</v>
      </c>
      <c r="Y1507" s="35" t="str">
        <f>IF(Tabela2[[#This Row],[SIGLA]]="","",VLOOKUP(Tabela2[[#This Row],[SIGLA]],Tabela1[[#All],[Sigla Arte]:[Crédito]],2,0))</f>
        <v>HELOÍSA PINTARELLI/ARQUIVO DA EDITORA</v>
      </c>
      <c r="Z1507" s="31"/>
      <c r="AA1507" s="31" t="str">
        <f>Tabela2[[#This Row],[ILUSTRADOR CRIAÇÃO]]</f>
        <v>HELOÍSA PINTARELLI/ARQUIVO DA EDITORA</v>
      </c>
      <c r="AB1507" s="33"/>
      <c r="AC1507" s="16"/>
      <c r="AE1507" s="35" t="str">
        <f t="shared" si="23"/>
        <v>EF1 E002 Mat</v>
      </c>
    </row>
    <row r="1508" spans="1:31" ht="45" x14ac:dyDescent="0.25">
      <c r="A1508" s="31" t="s">
        <v>3153</v>
      </c>
      <c r="B1508" s="16" t="s">
        <v>32</v>
      </c>
      <c r="C1508" s="16" t="s">
        <v>164</v>
      </c>
      <c r="D1508" s="33" t="s">
        <v>34</v>
      </c>
      <c r="E1508" s="33">
        <v>202</v>
      </c>
      <c r="F1508" s="33">
        <v>4</v>
      </c>
      <c r="G1508" s="33">
        <v>10</v>
      </c>
      <c r="H1508" s="33"/>
      <c r="I1508" s="31" t="s">
        <v>46</v>
      </c>
      <c r="J1508" s="31"/>
      <c r="K1508" s="33"/>
      <c r="L1508" s="33"/>
      <c r="M1508" s="31"/>
      <c r="N1508" s="31"/>
      <c r="O1508" s="16" t="s">
        <v>3154</v>
      </c>
      <c r="P1508" s="16"/>
      <c r="Q1508" s="16"/>
      <c r="R1508" s="33"/>
      <c r="S1508" s="34"/>
      <c r="T1508" s="34"/>
      <c r="U1508" s="34"/>
      <c r="V1508" s="34"/>
      <c r="W1508" s="34"/>
      <c r="X1508" s="33" t="s">
        <v>1126</v>
      </c>
      <c r="Y1508" s="35" t="str">
        <f>IF(Tabela2[[#This Row],[SIGLA]]="","",VLOOKUP(Tabela2[[#This Row],[SIGLA]],Tabela1[[#All],[Sigla Arte]:[Crédito]],2,0))</f>
        <v>GUSTAVO CONTI/ARQUIVO DA EDITORA</v>
      </c>
      <c r="Z1508" s="31"/>
      <c r="AA1508" s="31" t="str">
        <f>Tabela2[[#This Row],[ILUSTRADOR CRIAÇÃO]]</f>
        <v>GUSTAVO CONTI/ARQUIVO DA EDITORA</v>
      </c>
      <c r="AB1508" s="33"/>
      <c r="AC1508" s="16"/>
      <c r="AE1508" s="35" t="str">
        <f t="shared" si="23"/>
        <v>EF1 E002 Mat</v>
      </c>
    </row>
    <row r="1509" spans="1:31" ht="30" x14ac:dyDescent="0.25">
      <c r="A1509" s="31" t="s">
        <v>3155</v>
      </c>
      <c r="B1509" s="16" t="s">
        <v>32</v>
      </c>
      <c r="C1509" s="16" t="s">
        <v>164</v>
      </c>
      <c r="D1509" s="33" t="s">
        <v>34</v>
      </c>
      <c r="E1509" s="33">
        <v>202</v>
      </c>
      <c r="F1509" s="33">
        <v>4</v>
      </c>
      <c r="G1509" s="33">
        <v>10</v>
      </c>
      <c r="H1509" s="33"/>
      <c r="I1509" s="31" t="s">
        <v>46</v>
      </c>
      <c r="J1509" s="31"/>
      <c r="K1509" s="33"/>
      <c r="L1509" s="33"/>
      <c r="M1509" s="31"/>
      <c r="N1509" s="31"/>
      <c r="O1509" s="16" t="s">
        <v>3156</v>
      </c>
      <c r="P1509" s="16"/>
      <c r="Q1509" s="16"/>
      <c r="R1509" s="33"/>
      <c r="S1509" s="34"/>
      <c r="T1509" s="34"/>
      <c r="U1509" s="34"/>
      <c r="V1509" s="34"/>
      <c r="W1509" s="34"/>
      <c r="X1509" s="33" t="s">
        <v>1126</v>
      </c>
      <c r="Y1509" s="35" t="str">
        <f>IF(Tabela2[[#This Row],[SIGLA]]="","",VLOOKUP(Tabela2[[#This Row],[SIGLA]],Tabela1[[#All],[Sigla Arte]:[Crédito]],2,0))</f>
        <v>GUSTAVO CONTI/ARQUIVO DA EDITORA</v>
      </c>
      <c r="Z1509" s="31"/>
      <c r="AA1509" s="31" t="str">
        <f>Tabela2[[#This Row],[ILUSTRADOR CRIAÇÃO]]</f>
        <v>GUSTAVO CONTI/ARQUIVO DA EDITORA</v>
      </c>
      <c r="AB1509" s="33"/>
      <c r="AC1509" s="16"/>
      <c r="AE1509" s="35" t="str">
        <f t="shared" si="23"/>
        <v>EF1 E002 Mat</v>
      </c>
    </row>
    <row r="1510" spans="1:31" ht="30" x14ac:dyDescent="0.25">
      <c r="A1510" s="31" t="s">
        <v>3157</v>
      </c>
      <c r="B1510" s="16" t="s">
        <v>32</v>
      </c>
      <c r="C1510" s="16" t="s">
        <v>164</v>
      </c>
      <c r="D1510" s="33" t="s">
        <v>34</v>
      </c>
      <c r="E1510" s="33">
        <v>202</v>
      </c>
      <c r="F1510" s="33">
        <v>4</v>
      </c>
      <c r="G1510" s="33">
        <v>10</v>
      </c>
      <c r="H1510" s="33"/>
      <c r="I1510" s="31" t="s">
        <v>46</v>
      </c>
      <c r="J1510" s="31"/>
      <c r="K1510" s="33"/>
      <c r="L1510" s="33"/>
      <c r="M1510" s="31"/>
      <c r="N1510" s="31"/>
      <c r="O1510" s="16" t="s">
        <v>3158</v>
      </c>
      <c r="P1510" s="16"/>
      <c r="Q1510" s="16"/>
      <c r="R1510" s="33"/>
      <c r="S1510" s="34"/>
      <c r="T1510" s="34"/>
      <c r="U1510" s="34"/>
      <c r="V1510" s="34"/>
      <c r="W1510" s="34"/>
      <c r="X1510" s="33" t="s">
        <v>1126</v>
      </c>
      <c r="Y1510" s="35" t="str">
        <f>IF(Tabela2[[#This Row],[SIGLA]]="","",VLOOKUP(Tabela2[[#This Row],[SIGLA]],Tabela1[[#All],[Sigla Arte]:[Crédito]],2,0))</f>
        <v>GUSTAVO CONTI/ARQUIVO DA EDITORA</v>
      </c>
      <c r="Z1510" s="31"/>
      <c r="AA1510" s="31" t="str">
        <f>Tabela2[[#This Row],[ILUSTRADOR CRIAÇÃO]]</f>
        <v>GUSTAVO CONTI/ARQUIVO DA EDITORA</v>
      </c>
      <c r="AB1510" s="33"/>
      <c r="AC1510" s="16"/>
      <c r="AE1510" s="35" t="str">
        <f t="shared" si="23"/>
        <v>EF1 E002 Mat</v>
      </c>
    </row>
    <row r="1511" spans="1:31" ht="30" x14ac:dyDescent="0.25">
      <c r="A1511" s="31" t="s">
        <v>3159</v>
      </c>
      <c r="B1511" s="16" t="s">
        <v>32</v>
      </c>
      <c r="C1511" s="16" t="s">
        <v>164</v>
      </c>
      <c r="D1511" s="33" t="s">
        <v>34</v>
      </c>
      <c r="E1511" s="33">
        <v>202</v>
      </c>
      <c r="F1511" s="33">
        <v>4</v>
      </c>
      <c r="G1511" s="33">
        <v>10</v>
      </c>
      <c r="H1511" s="33"/>
      <c r="I1511" s="31" t="s">
        <v>46</v>
      </c>
      <c r="J1511" s="31"/>
      <c r="K1511" s="33"/>
      <c r="L1511" s="33"/>
      <c r="M1511" s="31"/>
      <c r="N1511" s="31"/>
      <c r="O1511" s="16" t="s">
        <v>3160</v>
      </c>
      <c r="P1511" s="16"/>
      <c r="Q1511" s="16"/>
      <c r="R1511" s="33"/>
      <c r="S1511" s="34"/>
      <c r="T1511" s="34"/>
      <c r="U1511" s="34"/>
      <c r="V1511" s="34"/>
      <c r="W1511" s="34"/>
      <c r="X1511" s="33" t="s">
        <v>1126</v>
      </c>
      <c r="Y1511" s="35" t="str">
        <f>IF(Tabela2[[#This Row],[SIGLA]]="","",VLOOKUP(Tabela2[[#This Row],[SIGLA]],Tabela1[[#All],[Sigla Arte]:[Crédito]],2,0))</f>
        <v>GUSTAVO CONTI/ARQUIVO DA EDITORA</v>
      </c>
      <c r="Z1511" s="31"/>
      <c r="AA1511" s="31" t="str">
        <f>Tabela2[[#This Row],[ILUSTRADOR CRIAÇÃO]]</f>
        <v>GUSTAVO CONTI/ARQUIVO DA EDITORA</v>
      </c>
      <c r="AB1511" s="33"/>
      <c r="AC1511" s="16"/>
      <c r="AE1511" s="35" t="str">
        <f t="shared" si="23"/>
        <v>EF1 E002 Mat</v>
      </c>
    </row>
    <row r="1512" spans="1:31" ht="45" x14ac:dyDescent="0.25">
      <c r="A1512" s="31" t="s">
        <v>3161</v>
      </c>
      <c r="B1512" s="16" t="s">
        <v>32</v>
      </c>
      <c r="C1512" s="16" t="s">
        <v>164</v>
      </c>
      <c r="D1512" s="33" t="s">
        <v>34</v>
      </c>
      <c r="E1512" s="33">
        <v>202</v>
      </c>
      <c r="F1512" s="33">
        <v>4</v>
      </c>
      <c r="G1512" s="33">
        <v>10</v>
      </c>
      <c r="H1512" s="33"/>
      <c r="I1512" s="31" t="s">
        <v>46</v>
      </c>
      <c r="J1512" s="31"/>
      <c r="K1512" s="33"/>
      <c r="L1512" s="33"/>
      <c r="M1512" s="31"/>
      <c r="N1512" s="31"/>
      <c r="O1512" s="16" t="s">
        <v>3162</v>
      </c>
      <c r="P1512" s="16"/>
      <c r="Q1512" s="16"/>
      <c r="R1512" s="33"/>
      <c r="S1512" s="34"/>
      <c r="T1512" s="34"/>
      <c r="U1512" s="34"/>
      <c r="V1512" s="34"/>
      <c r="W1512" s="34"/>
      <c r="X1512" s="33" t="s">
        <v>1126</v>
      </c>
      <c r="Y1512" s="35" t="str">
        <f>IF(Tabela2[[#This Row],[SIGLA]]="","",VLOOKUP(Tabela2[[#This Row],[SIGLA]],Tabela1[[#All],[Sigla Arte]:[Crédito]],2,0))</f>
        <v>GUSTAVO CONTI/ARQUIVO DA EDITORA</v>
      </c>
      <c r="Z1512" s="31"/>
      <c r="AA1512" s="31" t="str">
        <f>Tabela2[[#This Row],[ILUSTRADOR CRIAÇÃO]]</f>
        <v>GUSTAVO CONTI/ARQUIVO DA EDITORA</v>
      </c>
      <c r="AB1512" s="33"/>
      <c r="AC1512" s="16"/>
      <c r="AE1512" s="35" t="str">
        <f t="shared" si="23"/>
        <v>EF1 E002 Mat</v>
      </c>
    </row>
    <row r="1513" spans="1:31" ht="30" x14ac:dyDescent="0.25">
      <c r="A1513" s="31" t="s">
        <v>3163</v>
      </c>
      <c r="B1513" s="16" t="s">
        <v>32</v>
      </c>
      <c r="C1513" s="16" t="s">
        <v>164</v>
      </c>
      <c r="D1513" s="33" t="s">
        <v>34</v>
      </c>
      <c r="E1513" s="33">
        <v>203</v>
      </c>
      <c r="F1513" s="33">
        <v>4</v>
      </c>
      <c r="G1513" s="33">
        <v>10</v>
      </c>
      <c r="H1513" s="33"/>
      <c r="I1513" s="31" t="s">
        <v>46</v>
      </c>
      <c r="J1513" s="31"/>
      <c r="K1513" s="33"/>
      <c r="L1513" s="33"/>
      <c r="M1513" s="31"/>
      <c r="N1513" s="31"/>
      <c r="O1513" s="16" t="s">
        <v>3164</v>
      </c>
      <c r="P1513" s="16"/>
      <c r="Q1513" s="16"/>
      <c r="R1513" s="33"/>
      <c r="S1513" s="34"/>
      <c r="T1513" s="34"/>
      <c r="U1513" s="34"/>
      <c r="V1513" s="34"/>
      <c r="W1513" s="34"/>
      <c r="X1513" s="33" t="s">
        <v>1126</v>
      </c>
      <c r="Y1513" s="35" t="str">
        <f>IF(Tabela2[[#This Row],[SIGLA]]="","",VLOOKUP(Tabela2[[#This Row],[SIGLA]],Tabela1[[#All],[Sigla Arte]:[Crédito]],2,0))</f>
        <v>GUSTAVO CONTI/ARQUIVO DA EDITORA</v>
      </c>
      <c r="Z1513" s="31"/>
      <c r="AA1513" s="31" t="str">
        <f>Tabela2[[#This Row],[ILUSTRADOR CRIAÇÃO]]</f>
        <v>GUSTAVO CONTI/ARQUIVO DA EDITORA</v>
      </c>
      <c r="AB1513" s="33"/>
      <c r="AC1513" s="16"/>
      <c r="AE1513" s="35" t="str">
        <f t="shared" si="23"/>
        <v>EF1 E002 Mat</v>
      </c>
    </row>
    <row r="1514" spans="1:31" ht="30" x14ac:dyDescent="0.25">
      <c r="A1514" s="31" t="s">
        <v>3165</v>
      </c>
      <c r="B1514" s="16" t="s">
        <v>32</v>
      </c>
      <c r="C1514" s="16" t="s">
        <v>164</v>
      </c>
      <c r="D1514" s="33" t="s">
        <v>34</v>
      </c>
      <c r="E1514" s="33">
        <v>203</v>
      </c>
      <c r="F1514" s="33">
        <v>4</v>
      </c>
      <c r="G1514" s="33">
        <v>10</v>
      </c>
      <c r="H1514" s="33"/>
      <c r="I1514" s="31" t="s">
        <v>46</v>
      </c>
      <c r="J1514" s="31"/>
      <c r="K1514" s="33"/>
      <c r="L1514" s="33"/>
      <c r="M1514" s="31"/>
      <c r="N1514" s="31"/>
      <c r="O1514" s="16" t="s">
        <v>3166</v>
      </c>
      <c r="P1514" s="16"/>
      <c r="Q1514" s="16"/>
      <c r="R1514" s="33"/>
      <c r="S1514" s="34"/>
      <c r="T1514" s="34"/>
      <c r="U1514" s="34"/>
      <c r="V1514" s="34"/>
      <c r="W1514" s="34"/>
      <c r="X1514" s="33" t="s">
        <v>1126</v>
      </c>
      <c r="Y1514" s="35" t="str">
        <f>IF(Tabela2[[#This Row],[SIGLA]]="","",VLOOKUP(Tabela2[[#This Row],[SIGLA]],Tabela1[[#All],[Sigla Arte]:[Crédito]],2,0))</f>
        <v>GUSTAVO CONTI/ARQUIVO DA EDITORA</v>
      </c>
      <c r="Z1514" s="31"/>
      <c r="AA1514" s="31" t="str">
        <f>Tabela2[[#This Row],[ILUSTRADOR CRIAÇÃO]]</f>
        <v>GUSTAVO CONTI/ARQUIVO DA EDITORA</v>
      </c>
      <c r="AB1514" s="33"/>
      <c r="AC1514" s="16"/>
      <c r="AE1514" s="35" t="str">
        <f t="shared" si="23"/>
        <v>EF1 E002 Mat</v>
      </c>
    </row>
    <row r="1515" spans="1:31" ht="30" x14ac:dyDescent="0.25">
      <c r="A1515" s="31" t="s">
        <v>3167</v>
      </c>
      <c r="B1515" s="16" t="s">
        <v>32</v>
      </c>
      <c r="C1515" s="16" t="s">
        <v>164</v>
      </c>
      <c r="D1515" s="33" t="s">
        <v>34</v>
      </c>
      <c r="E1515" s="33">
        <v>203</v>
      </c>
      <c r="F1515" s="33">
        <v>4</v>
      </c>
      <c r="G1515" s="33">
        <v>10</v>
      </c>
      <c r="H1515" s="33"/>
      <c r="I1515" s="31" t="s">
        <v>46</v>
      </c>
      <c r="J1515" s="31"/>
      <c r="K1515" s="33"/>
      <c r="L1515" s="33"/>
      <c r="M1515" s="31"/>
      <c r="N1515" s="31"/>
      <c r="O1515" s="16" t="s">
        <v>3168</v>
      </c>
      <c r="P1515" s="16"/>
      <c r="Q1515" s="16"/>
      <c r="R1515" s="33"/>
      <c r="S1515" s="34"/>
      <c r="T1515" s="34"/>
      <c r="U1515" s="34"/>
      <c r="V1515" s="34"/>
      <c r="W1515" s="34"/>
      <c r="X1515" s="33" t="s">
        <v>1126</v>
      </c>
      <c r="Y1515" s="35" t="str">
        <f>IF(Tabela2[[#This Row],[SIGLA]]="","",VLOOKUP(Tabela2[[#This Row],[SIGLA]],Tabela1[[#All],[Sigla Arte]:[Crédito]],2,0))</f>
        <v>GUSTAVO CONTI/ARQUIVO DA EDITORA</v>
      </c>
      <c r="Z1515" s="31"/>
      <c r="AA1515" s="31" t="str">
        <f>Tabela2[[#This Row],[ILUSTRADOR CRIAÇÃO]]</f>
        <v>GUSTAVO CONTI/ARQUIVO DA EDITORA</v>
      </c>
      <c r="AB1515" s="33"/>
      <c r="AC1515" s="16"/>
      <c r="AE1515" s="35" t="str">
        <f t="shared" si="23"/>
        <v>EF1 E002 Mat</v>
      </c>
    </row>
    <row r="1516" spans="1:31" ht="30" x14ac:dyDescent="0.25">
      <c r="A1516" s="31" t="s">
        <v>3169</v>
      </c>
      <c r="B1516" s="16" t="s">
        <v>32</v>
      </c>
      <c r="C1516" s="16" t="s">
        <v>164</v>
      </c>
      <c r="D1516" s="33" t="s">
        <v>34</v>
      </c>
      <c r="E1516" s="33">
        <v>203</v>
      </c>
      <c r="F1516" s="33">
        <v>4</v>
      </c>
      <c r="G1516" s="33">
        <v>10</v>
      </c>
      <c r="H1516" s="33"/>
      <c r="I1516" s="31" t="s">
        <v>46</v>
      </c>
      <c r="J1516" s="31"/>
      <c r="K1516" s="33"/>
      <c r="L1516" s="33"/>
      <c r="M1516" s="31"/>
      <c r="N1516" s="31"/>
      <c r="O1516" s="16" t="s">
        <v>3170</v>
      </c>
      <c r="P1516" s="16"/>
      <c r="Q1516" s="16"/>
      <c r="R1516" s="33"/>
      <c r="S1516" s="34"/>
      <c r="T1516" s="34"/>
      <c r="U1516" s="34"/>
      <c r="V1516" s="34"/>
      <c r="W1516" s="34"/>
      <c r="X1516" s="33" t="s">
        <v>1126</v>
      </c>
      <c r="Y1516" s="35" t="str">
        <f>IF(Tabela2[[#This Row],[SIGLA]]="","",VLOOKUP(Tabela2[[#This Row],[SIGLA]],Tabela1[[#All],[Sigla Arte]:[Crédito]],2,0))</f>
        <v>GUSTAVO CONTI/ARQUIVO DA EDITORA</v>
      </c>
      <c r="Z1516" s="31"/>
      <c r="AA1516" s="31" t="str">
        <f>Tabela2[[#This Row],[ILUSTRADOR CRIAÇÃO]]</f>
        <v>GUSTAVO CONTI/ARQUIVO DA EDITORA</v>
      </c>
      <c r="AB1516" s="33"/>
      <c r="AC1516" s="16"/>
      <c r="AE1516" s="35" t="str">
        <f t="shared" si="23"/>
        <v>EF1 E002 Mat</v>
      </c>
    </row>
    <row r="1517" spans="1:31" ht="45" x14ac:dyDescent="0.25">
      <c r="A1517" s="31" t="s">
        <v>3171</v>
      </c>
      <c r="B1517" s="16" t="s">
        <v>32</v>
      </c>
      <c r="C1517" s="16" t="s">
        <v>164</v>
      </c>
      <c r="D1517" s="33" t="s">
        <v>34</v>
      </c>
      <c r="E1517" s="33">
        <v>203</v>
      </c>
      <c r="F1517" s="33">
        <v>4</v>
      </c>
      <c r="G1517" s="33">
        <v>10</v>
      </c>
      <c r="H1517" s="33"/>
      <c r="I1517" s="31" t="s">
        <v>46</v>
      </c>
      <c r="J1517" s="31"/>
      <c r="K1517" s="33"/>
      <c r="L1517" s="33"/>
      <c r="M1517" s="31"/>
      <c r="N1517" s="31"/>
      <c r="O1517" s="16" t="s">
        <v>3172</v>
      </c>
      <c r="P1517" s="16"/>
      <c r="Q1517" s="16"/>
      <c r="R1517" s="33"/>
      <c r="S1517" s="34"/>
      <c r="T1517" s="34"/>
      <c r="U1517" s="34"/>
      <c r="V1517" s="34"/>
      <c r="W1517" s="34"/>
      <c r="X1517" s="33" t="s">
        <v>1126</v>
      </c>
      <c r="Y1517" s="35" t="str">
        <f>IF(Tabela2[[#This Row],[SIGLA]]="","",VLOOKUP(Tabela2[[#This Row],[SIGLA]],Tabela1[[#All],[Sigla Arte]:[Crédito]],2,0))</f>
        <v>GUSTAVO CONTI/ARQUIVO DA EDITORA</v>
      </c>
      <c r="Z1517" s="31"/>
      <c r="AA1517" s="31" t="str">
        <f>Tabela2[[#This Row],[ILUSTRADOR CRIAÇÃO]]</f>
        <v>GUSTAVO CONTI/ARQUIVO DA EDITORA</v>
      </c>
      <c r="AB1517" s="33"/>
      <c r="AC1517" s="16"/>
      <c r="AE1517" s="35" t="str">
        <f t="shared" si="23"/>
        <v>EF1 E002 Mat</v>
      </c>
    </row>
    <row r="1518" spans="1:31" ht="30" x14ac:dyDescent="0.25">
      <c r="A1518" s="31" t="s">
        <v>3173</v>
      </c>
      <c r="B1518" s="16" t="s">
        <v>32</v>
      </c>
      <c r="C1518" s="16" t="s">
        <v>164</v>
      </c>
      <c r="D1518" s="33" t="s">
        <v>34</v>
      </c>
      <c r="E1518" s="33">
        <v>203</v>
      </c>
      <c r="F1518" s="33">
        <v>4</v>
      </c>
      <c r="G1518" s="33">
        <v>10</v>
      </c>
      <c r="H1518" s="33"/>
      <c r="I1518" s="31" t="s">
        <v>46</v>
      </c>
      <c r="J1518" s="31"/>
      <c r="K1518" s="33"/>
      <c r="L1518" s="33"/>
      <c r="M1518" s="31"/>
      <c r="N1518" s="31"/>
      <c r="O1518" s="16" t="s">
        <v>3174</v>
      </c>
      <c r="P1518" s="16"/>
      <c r="Q1518" s="16"/>
      <c r="R1518" s="33"/>
      <c r="S1518" s="34"/>
      <c r="T1518" s="34"/>
      <c r="U1518" s="34"/>
      <c r="V1518" s="34"/>
      <c r="W1518" s="34"/>
      <c r="X1518" s="33" t="s">
        <v>1126</v>
      </c>
      <c r="Y1518" s="35" t="str">
        <f>IF(Tabela2[[#This Row],[SIGLA]]="","",VLOOKUP(Tabela2[[#This Row],[SIGLA]],Tabela1[[#All],[Sigla Arte]:[Crédito]],2,0))</f>
        <v>GUSTAVO CONTI/ARQUIVO DA EDITORA</v>
      </c>
      <c r="Z1518" s="31"/>
      <c r="AA1518" s="31" t="str">
        <f>Tabela2[[#This Row],[ILUSTRADOR CRIAÇÃO]]</f>
        <v>GUSTAVO CONTI/ARQUIVO DA EDITORA</v>
      </c>
      <c r="AB1518" s="33"/>
      <c r="AC1518" s="16"/>
      <c r="AE1518" s="35" t="str">
        <f t="shared" si="23"/>
        <v>EF1 E002 Mat</v>
      </c>
    </row>
    <row r="1519" spans="1:31" ht="30" x14ac:dyDescent="0.25">
      <c r="A1519" s="31" t="s">
        <v>3175</v>
      </c>
      <c r="B1519" s="16" t="s">
        <v>32</v>
      </c>
      <c r="C1519" s="16" t="s">
        <v>164</v>
      </c>
      <c r="D1519" s="33" t="s">
        <v>34</v>
      </c>
      <c r="E1519" s="33">
        <v>203</v>
      </c>
      <c r="F1519" s="33">
        <v>4</v>
      </c>
      <c r="G1519" s="33">
        <v>10</v>
      </c>
      <c r="H1519" s="33"/>
      <c r="I1519" s="31" t="s">
        <v>46</v>
      </c>
      <c r="J1519" s="31"/>
      <c r="K1519" s="33"/>
      <c r="L1519" s="33"/>
      <c r="M1519" s="31"/>
      <c r="N1519" s="31"/>
      <c r="O1519" s="16" t="s">
        <v>3176</v>
      </c>
      <c r="P1519" s="16"/>
      <c r="Q1519" s="16"/>
      <c r="R1519" s="33"/>
      <c r="S1519" s="34"/>
      <c r="T1519" s="34"/>
      <c r="U1519" s="34"/>
      <c r="V1519" s="34"/>
      <c r="W1519" s="34"/>
      <c r="X1519" s="33" t="s">
        <v>1126</v>
      </c>
      <c r="Y1519" s="35" t="str">
        <f>IF(Tabela2[[#This Row],[SIGLA]]="","",VLOOKUP(Tabela2[[#This Row],[SIGLA]],Tabela1[[#All],[Sigla Arte]:[Crédito]],2,0))</f>
        <v>GUSTAVO CONTI/ARQUIVO DA EDITORA</v>
      </c>
      <c r="Z1519" s="31"/>
      <c r="AA1519" s="31" t="str">
        <f>Tabela2[[#This Row],[ILUSTRADOR CRIAÇÃO]]</f>
        <v>GUSTAVO CONTI/ARQUIVO DA EDITORA</v>
      </c>
      <c r="AB1519" s="33"/>
      <c r="AC1519" s="16"/>
      <c r="AE1519" s="35" t="str">
        <f t="shared" si="23"/>
        <v>EF1 E002 Mat</v>
      </c>
    </row>
    <row r="1520" spans="1:31" ht="30" x14ac:dyDescent="0.25">
      <c r="A1520" s="31" t="s">
        <v>3177</v>
      </c>
      <c r="B1520" s="16" t="s">
        <v>32</v>
      </c>
      <c r="C1520" s="16" t="s">
        <v>164</v>
      </c>
      <c r="D1520" s="33" t="s">
        <v>34</v>
      </c>
      <c r="E1520" s="33">
        <v>183</v>
      </c>
      <c r="F1520" s="33">
        <v>4</v>
      </c>
      <c r="G1520" s="33">
        <v>10</v>
      </c>
      <c r="H1520" s="33"/>
      <c r="I1520" s="31" t="s">
        <v>46</v>
      </c>
      <c r="J1520" s="31"/>
      <c r="K1520" s="33"/>
      <c r="L1520" s="33"/>
      <c r="M1520" s="31"/>
      <c r="N1520" s="31"/>
      <c r="O1520" s="16" t="s">
        <v>3178</v>
      </c>
      <c r="P1520" s="16"/>
      <c r="Q1520" s="16"/>
      <c r="R1520" s="33"/>
      <c r="S1520" s="34"/>
      <c r="T1520" s="34"/>
      <c r="U1520" s="34"/>
      <c r="V1520" s="34"/>
      <c r="W1520" s="34"/>
      <c r="X1520" s="33" t="s">
        <v>1126</v>
      </c>
      <c r="Y1520" s="35" t="str">
        <f>IF(Tabela2[[#This Row],[SIGLA]]="","",VLOOKUP(Tabela2[[#This Row],[SIGLA]],Tabela1[[#All],[Sigla Arte]:[Crédito]],2,0))</f>
        <v>GUSTAVO CONTI/ARQUIVO DA EDITORA</v>
      </c>
      <c r="Z1520" s="31"/>
      <c r="AA1520" s="31" t="str">
        <f>Tabela2[[#This Row],[ILUSTRADOR CRIAÇÃO]]</f>
        <v>GUSTAVO CONTI/ARQUIVO DA EDITORA</v>
      </c>
      <c r="AB1520" s="33"/>
      <c r="AC1520" s="16"/>
      <c r="AE1520" s="35" t="str">
        <f t="shared" si="23"/>
        <v>EF1 E002 Mat</v>
      </c>
    </row>
    <row r="1521" spans="1:31" ht="30" x14ac:dyDescent="0.25">
      <c r="A1521" s="31" t="s">
        <v>3179</v>
      </c>
      <c r="B1521" s="16" t="s">
        <v>32</v>
      </c>
      <c r="C1521" s="16" t="s">
        <v>164</v>
      </c>
      <c r="D1521" s="33" t="s">
        <v>34</v>
      </c>
      <c r="E1521" s="33">
        <v>203</v>
      </c>
      <c r="F1521" s="33">
        <v>4</v>
      </c>
      <c r="G1521" s="33">
        <v>10</v>
      </c>
      <c r="H1521" s="33"/>
      <c r="I1521" s="31" t="s">
        <v>46</v>
      </c>
      <c r="J1521" s="31"/>
      <c r="K1521" s="33"/>
      <c r="L1521" s="33"/>
      <c r="M1521" s="31"/>
      <c r="N1521" s="31"/>
      <c r="O1521" s="16" t="s">
        <v>3180</v>
      </c>
      <c r="P1521" s="16"/>
      <c r="Q1521" s="16"/>
      <c r="R1521" s="33"/>
      <c r="S1521" s="34"/>
      <c r="T1521" s="34"/>
      <c r="U1521" s="34"/>
      <c r="V1521" s="34"/>
      <c r="W1521" s="34"/>
      <c r="X1521" s="33" t="s">
        <v>1126</v>
      </c>
      <c r="Y1521" s="35" t="str">
        <f>IF(Tabela2[[#This Row],[SIGLA]]="","",VLOOKUP(Tabela2[[#This Row],[SIGLA]],Tabela1[[#All],[Sigla Arte]:[Crédito]],2,0))</f>
        <v>GUSTAVO CONTI/ARQUIVO DA EDITORA</v>
      </c>
      <c r="Z1521" s="31"/>
      <c r="AA1521" s="31" t="str">
        <f>Tabela2[[#This Row],[ILUSTRADOR CRIAÇÃO]]</f>
        <v>GUSTAVO CONTI/ARQUIVO DA EDITORA</v>
      </c>
      <c r="AB1521" s="33"/>
      <c r="AC1521" s="16"/>
      <c r="AE1521" s="35" t="str">
        <f t="shared" si="23"/>
        <v>EF1 E002 Mat</v>
      </c>
    </row>
    <row r="1522" spans="1:31" ht="30" x14ac:dyDescent="0.25">
      <c r="A1522" s="31" t="s">
        <v>3181</v>
      </c>
      <c r="B1522" s="16" t="s">
        <v>32</v>
      </c>
      <c r="C1522" s="16" t="s">
        <v>164</v>
      </c>
      <c r="D1522" s="33" t="s">
        <v>34</v>
      </c>
      <c r="E1522" s="33">
        <v>203</v>
      </c>
      <c r="F1522" s="33">
        <v>4</v>
      </c>
      <c r="G1522" s="33">
        <v>10</v>
      </c>
      <c r="H1522" s="33"/>
      <c r="I1522" s="31" t="s">
        <v>46</v>
      </c>
      <c r="J1522" s="31"/>
      <c r="K1522" s="33"/>
      <c r="L1522" s="33"/>
      <c r="M1522" s="31"/>
      <c r="N1522" s="31"/>
      <c r="O1522" s="16" t="s">
        <v>3182</v>
      </c>
      <c r="P1522" s="16"/>
      <c r="Q1522" s="16"/>
      <c r="R1522" s="33"/>
      <c r="S1522" s="34"/>
      <c r="T1522" s="34"/>
      <c r="U1522" s="34"/>
      <c r="V1522" s="34"/>
      <c r="W1522" s="34"/>
      <c r="X1522" s="33" t="s">
        <v>1126</v>
      </c>
      <c r="Y1522" s="35" t="str">
        <f>IF(Tabela2[[#This Row],[SIGLA]]="","",VLOOKUP(Tabela2[[#This Row],[SIGLA]],Tabela1[[#All],[Sigla Arte]:[Crédito]],2,0))</f>
        <v>GUSTAVO CONTI/ARQUIVO DA EDITORA</v>
      </c>
      <c r="Z1522" s="31"/>
      <c r="AA1522" s="31" t="str">
        <f>Tabela2[[#This Row],[ILUSTRADOR CRIAÇÃO]]</f>
        <v>GUSTAVO CONTI/ARQUIVO DA EDITORA</v>
      </c>
      <c r="AB1522" s="33"/>
      <c r="AC1522" s="16"/>
      <c r="AE1522" s="35" t="str">
        <f t="shared" si="23"/>
        <v>EF1 E002 Mat</v>
      </c>
    </row>
    <row r="1523" spans="1:31" ht="30" x14ac:dyDescent="0.25">
      <c r="A1523" s="31" t="s">
        <v>3183</v>
      </c>
      <c r="B1523" s="16" t="s">
        <v>32</v>
      </c>
      <c r="C1523" s="16" t="s">
        <v>164</v>
      </c>
      <c r="D1523" s="33" t="s">
        <v>34</v>
      </c>
      <c r="E1523" s="33">
        <v>204</v>
      </c>
      <c r="F1523" s="33">
        <v>4</v>
      </c>
      <c r="G1523" s="33">
        <v>10</v>
      </c>
      <c r="H1523" s="33"/>
      <c r="I1523" s="31" t="s">
        <v>46</v>
      </c>
      <c r="J1523" s="31"/>
      <c r="K1523" s="33"/>
      <c r="L1523" s="33"/>
      <c r="M1523" s="31"/>
      <c r="N1523" s="31"/>
      <c r="O1523" s="16" t="s">
        <v>3184</v>
      </c>
      <c r="P1523" s="16"/>
      <c r="Q1523" s="16"/>
      <c r="R1523" s="33"/>
      <c r="S1523" s="34"/>
      <c r="T1523" s="34"/>
      <c r="U1523" s="34"/>
      <c r="V1523" s="34"/>
      <c r="W1523" s="34"/>
      <c r="X1523" s="33" t="s">
        <v>1126</v>
      </c>
      <c r="Y1523" s="35" t="str">
        <f>IF(Tabela2[[#This Row],[SIGLA]]="","",VLOOKUP(Tabela2[[#This Row],[SIGLA]],Tabela1[[#All],[Sigla Arte]:[Crédito]],2,0))</f>
        <v>GUSTAVO CONTI/ARQUIVO DA EDITORA</v>
      </c>
      <c r="Z1523" s="31"/>
      <c r="AA1523" s="31" t="str">
        <f>Tabela2[[#This Row],[ILUSTRADOR CRIAÇÃO]]</f>
        <v>GUSTAVO CONTI/ARQUIVO DA EDITORA</v>
      </c>
      <c r="AB1523" s="33"/>
      <c r="AC1523" s="16"/>
      <c r="AE1523" s="35" t="str">
        <f t="shared" si="23"/>
        <v>EF1 E002 Mat</v>
      </c>
    </row>
    <row r="1524" spans="1:31" ht="30" x14ac:dyDescent="0.25">
      <c r="A1524" s="31" t="s">
        <v>3185</v>
      </c>
      <c r="B1524" s="16" t="s">
        <v>32</v>
      </c>
      <c r="C1524" s="16" t="s">
        <v>164</v>
      </c>
      <c r="D1524" s="33" t="s">
        <v>34</v>
      </c>
      <c r="E1524" s="33">
        <v>204</v>
      </c>
      <c r="F1524" s="33">
        <v>4</v>
      </c>
      <c r="G1524" s="33">
        <v>10</v>
      </c>
      <c r="H1524" s="33"/>
      <c r="I1524" s="31" t="s">
        <v>46</v>
      </c>
      <c r="J1524" s="31"/>
      <c r="K1524" s="33"/>
      <c r="L1524" s="33"/>
      <c r="M1524" s="31"/>
      <c r="N1524" s="31"/>
      <c r="O1524" s="16" t="s">
        <v>3186</v>
      </c>
      <c r="P1524" s="16"/>
      <c r="Q1524" s="16"/>
      <c r="R1524" s="33"/>
      <c r="S1524" s="34"/>
      <c r="T1524" s="34"/>
      <c r="U1524" s="34"/>
      <c r="V1524" s="34"/>
      <c r="W1524" s="34"/>
      <c r="X1524" s="33" t="s">
        <v>1126</v>
      </c>
      <c r="Y1524" s="35" t="str">
        <f>IF(Tabela2[[#This Row],[SIGLA]]="","",VLOOKUP(Tabela2[[#This Row],[SIGLA]],Tabela1[[#All],[Sigla Arte]:[Crédito]],2,0))</f>
        <v>GUSTAVO CONTI/ARQUIVO DA EDITORA</v>
      </c>
      <c r="Z1524" s="31"/>
      <c r="AA1524" s="31" t="str">
        <f>Tabela2[[#This Row],[ILUSTRADOR CRIAÇÃO]]</f>
        <v>GUSTAVO CONTI/ARQUIVO DA EDITORA</v>
      </c>
      <c r="AB1524" s="33"/>
      <c r="AC1524" s="16"/>
      <c r="AE1524" s="35" t="str">
        <f t="shared" si="23"/>
        <v>EF1 E002 Mat</v>
      </c>
    </row>
    <row r="1525" spans="1:31" ht="30" x14ac:dyDescent="0.25">
      <c r="A1525" s="31" t="s">
        <v>3187</v>
      </c>
      <c r="B1525" s="16" t="s">
        <v>32</v>
      </c>
      <c r="C1525" s="16" t="s">
        <v>164</v>
      </c>
      <c r="D1525" s="33" t="s">
        <v>34</v>
      </c>
      <c r="E1525" s="33">
        <v>204</v>
      </c>
      <c r="F1525" s="33">
        <v>4</v>
      </c>
      <c r="G1525" s="33">
        <v>10</v>
      </c>
      <c r="H1525" s="33"/>
      <c r="I1525" s="31" t="s">
        <v>46</v>
      </c>
      <c r="J1525" s="31"/>
      <c r="K1525" s="33"/>
      <c r="L1525" s="33"/>
      <c r="M1525" s="31"/>
      <c r="N1525" s="31"/>
      <c r="O1525" s="16" t="s">
        <v>3188</v>
      </c>
      <c r="P1525" s="16"/>
      <c r="Q1525" s="16"/>
      <c r="R1525" s="33"/>
      <c r="S1525" s="34"/>
      <c r="T1525" s="34"/>
      <c r="U1525" s="34"/>
      <c r="V1525" s="34"/>
      <c r="W1525" s="34"/>
      <c r="X1525" s="33" t="s">
        <v>1126</v>
      </c>
      <c r="Y1525" s="35" t="str">
        <f>IF(Tabela2[[#This Row],[SIGLA]]="","",VLOOKUP(Tabela2[[#This Row],[SIGLA]],Tabela1[[#All],[Sigla Arte]:[Crédito]],2,0))</f>
        <v>GUSTAVO CONTI/ARQUIVO DA EDITORA</v>
      </c>
      <c r="Z1525" s="31"/>
      <c r="AA1525" s="31" t="str">
        <f>Tabela2[[#This Row],[ILUSTRADOR CRIAÇÃO]]</f>
        <v>GUSTAVO CONTI/ARQUIVO DA EDITORA</v>
      </c>
      <c r="AB1525" s="33"/>
      <c r="AC1525" s="16"/>
      <c r="AE1525" s="35" t="str">
        <f t="shared" si="23"/>
        <v>EF1 E002 Mat</v>
      </c>
    </row>
    <row r="1526" spans="1:31" ht="30" x14ac:dyDescent="0.25">
      <c r="A1526" s="31" t="s">
        <v>3189</v>
      </c>
      <c r="B1526" s="16" t="s">
        <v>32</v>
      </c>
      <c r="C1526" s="16" t="s">
        <v>164</v>
      </c>
      <c r="D1526" s="33" t="s">
        <v>34</v>
      </c>
      <c r="E1526" s="33">
        <v>204</v>
      </c>
      <c r="F1526" s="33">
        <v>4</v>
      </c>
      <c r="G1526" s="33">
        <v>10</v>
      </c>
      <c r="H1526" s="33"/>
      <c r="I1526" s="31" t="s">
        <v>46</v>
      </c>
      <c r="J1526" s="31"/>
      <c r="K1526" s="33"/>
      <c r="L1526" s="33"/>
      <c r="M1526" s="31"/>
      <c r="N1526" s="31"/>
      <c r="O1526" s="16" t="s">
        <v>3190</v>
      </c>
      <c r="P1526" s="16"/>
      <c r="Q1526" s="16"/>
      <c r="R1526" s="33"/>
      <c r="S1526" s="34"/>
      <c r="T1526" s="34"/>
      <c r="U1526" s="34"/>
      <c r="V1526" s="34"/>
      <c r="W1526" s="34"/>
      <c r="X1526" s="33" t="s">
        <v>1126</v>
      </c>
      <c r="Y1526" s="35" t="str">
        <f>IF(Tabela2[[#This Row],[SIGLA]]="","",VLOOKUP(Tabela2[[#This Row],[SIGLA]],Tabela1[[#All],[Sigla Arte]:[Crédito]],2,0))</f>
        <v>GUSTAVO CONTI/ARQUIVO DA EDITORA</v>
      </c>
      <c r="Z1526" s="31"/>
      <c r="AA1526" s="31" t="str">
        <f>Tabela2[[#This Row],[ILUSTRADOR CRIAÇÃO]]</f>
        <v>GUSTAVO CONTI/ARQUIVO DA EDITORA</v>
      </c>
      <c r="AB1526" s="33"/>
      <c r="AC1526" s="16"/>
      <c r="AE1526" s="35" t="str">
        <f t="shared" si="23"/>
        <v>EF1 E002 Mat</v>
      </c>
    </row>
    <row r="1527" spans="1:31" ht="30" x14ac:dyDescent="0.25">
      <c r="A1527" s="31" t="s">
        <v>3191</v>
      </c>
      <c r="B1527" s="16" t="s">
        <v>32</v>
      </c>
      <c r="C1527" s="16" t="s">
        <v>164</v>
      </c>
      <c r="D1527" s="33" t="s">
        <v>34</v>
      </c>
      <c r="E1527" s="33">
        <v>204</v>
      </c>
      <c r="F1527" s="33">
        <v>4</v>
      </c>
      <c r="G1527" s="33">
        <v>10</v>
      </c>
      <c r="H1527" s="33"/>
      <c r="I1527" s="31" t="s">
        <v>46</v>
      </c>
      <c r="J1527" s="31"/>
      <c r="K1527" s="33"/>
      <c r="L1527" s="33"/>
      <c r="M1527" s="31"/>
      <c r="N1527" s="31"/>
      <c r="O1527" s="16" t="s">
        <v>3192</v>
      </c>
      <c r="P1527" s="16"/>
      <c r="Q1527" s="16"/>
      <c r="R1527" s="33"/>
      <c r="S1527" s="34"/>
      <c r="T1527" s="34"/>
      <c r="U1527" s="34"/>
      <c r="V1527" s="34"/>
      <c r="W1527" s="34"/>
      <c r="X1527" s="33" t="s">
        <v>1126</v>
      </c>
      <c r="Y1527" s="35" t="str">
        <f>IF(Tabela2[[#This Row],[SIGLA]]="","",VLOOKUP(Tabela2[[#This Row],[SIGLA]],Tabela1[[#All],[Sigla Arte]:[Crédito]],2,0))</f>
        <v>GUSTAVO CONTI/ARQUIVO DA EDITORA</v>
      </c>
      <c r="Z1527" s="31"/>
      <c r="AA1527" s="31" t="str">
        <f>Tabela2[[#This Row],[ILUSTRADOR CRIAÇÃO]]</f>
        <v>GUSTAVO CONTI/ARQUIVO DA EDITORA</v>
      </c>
      <c r="AB1527" s="33"/>
      <c r="AC1527" s="16"/>
      <c r="AE1527" s="35" t="str">
        <f t="shared" si="23"/>
        <v>EF1 E002 Mat</v>
      </c>
    </row>
    <row r="1528" spans="1:31" ht="30" x14ac:dyDescent="0.25">
      <c r="A1528" s="31" t="s">
        <v>3193</v>
      </c>
      <c r="B1528" s="16" t="s">
        <v>32</v>
      </c>
      <c r="C1528" s="16" t="s">
        <v>164</v>
      </c>
      <c r="D1528" s="33" t="s">
        <v>34</v>
      </c>
      <c r="E1528" s="33">
        <v>204</v>
      </c>
      <c r="F1528" s="33">
        <v>4</v>
      </c>
      <c r="G1528" s="33">
        <v>10</v>
      </c>
      <c r="H1528" s="33"/>
      <c r="I1528" s="31" t="s">
        <v>46</v>
      </c>
      <c r="J1528" s="31"/>
      <c r="K1528" s="33"/>
      <c r="L1528" s="33"/>
      <c r="M1528" s="31"/>
      <c r="N1528" s="31"/>
      <c r="O1528" s="16" t="s">
        <v>3194</v>
      </c>
      <c r="P1528" s="16"/>
      <c r="Q1528" s="16"/>
      <c r="R1528" s="33"/>
      <c r="S1528" s="34"/>
      <c r="T1528" s="34"/>
      <c r="U1528" s="34"/>
      <c r="V1528" s="34"/>
      <c r="W1528" s="34"/>
      <c r="X1528" s="33" t="s">
        <v>1126</v>
      </c>
      <c r="Y1528" s="35" t="str">
        <f>IF(Tabela2[[#This Row],[SIGLA]]="","",VLOOKUP(Tabela2[[#This Row],[SIGLA]],Tabela1[[#All],[Sigla Arte]:[Crédito]],2,0))</f>
        <v>GUSTAVO CONTI/ARQUIVO DA EDITORA</v>
      </c>
      <c r="Z1528" s="31"/>
      <c r="AA1528" s="31" t="str">
        <f>Tabela2[[#This Row],[ILUSTRADOR CRIAÇÃO]]</f>
        <v>GUSTAVO CONTI/ARQUIVO DA EDITORA</v>
      </c>
      <c r="AB1528" s="33"/>
      <c r="AC1528" s="16"/>
      <c r="AE1528" s="35" t="str">
        <f t="shared" si="23"/>
        <v>EF1 E002 Mat</v>
      </c>
    </row>
    <row r="1529" spans="1:31" ht="30" x14ac:dyDescent="0.25">
      <c r="A1529" s="31" t="s">
        <v>3195</v>
      </c>
      <c r="B1529" s="16" t="s">
        <v>32</v>
      </c>
      <c r="C1529" s="16" t="s">
        <v>164</v>
      </c>
      <c r="D1529" s="33" t="s">
        <v>34</v>
      </c>
      <c r="E1529" s="33">
        <v>204</v>
      </c>
      <c r="F1529" s="33">
        <v>4</v>
      </c>
      <c r="G1529" s="33">
        <v>10</v>
      </c>
      <c r="H1529" s="33"/>
      <c r="I1529" s="31" t="s">
        <v>46</v>
      </c>
      <c r="J1529" s="31"/>
      <c r="K1529" s="33"/>
      <c r="L1529" s="33"/>
      <c r="M1529" s="31"/>
      <c r="N1529" s="31"/>
      <c r="O1529" s="16" t="s">
        <v>3196</v>
      </c>
      <c r="P1529" s="16"/>
      <c r="Q1529" s="16"/>
      <c r="R1529" s="33"/>
      <c r="S1529" s="34"/>
      <c r="T1529" s="34"/>
      <c r="U1529" s="34"/>
      <c r="V1529" s="34"/>
      <c r="W1529" s="34"/>
      <c r="X1529" s="33" t="s">
        <v>1126</v>
      </c>
      <c r="Y1529" s="35" t="str">
        <f>IF(Tabela2[[#This Row],[SIGLA]]="","",VLOOKUP(Tabela2[[#This Row],[SIGLA]],Tabela1[[#All],[Sigla Arte]:[Crédito]],2,0))</f>
        <v>GUSTAVO CONTI/ARQUIVO DA EDITORA</v>
      </c>
      <c r="Z1529" s="31"/>
      <c r="AA1529" s="31" t="str">
        <f>Tabela2[[#This Row],[ILUSTRADOR CRIAÇÃO]]</f>
        <v>GUSTAVO CONTI/ARQUIVO DA EDITORA</v>
      </c>
      <c r="AB1529" s="33"/>
      <c r="AC1529" s="16"/>
      <c r="AE1529" s="35" t="str">
        <f t="shared" si="23"/>
        <v>EF1 E002 Mat</v>
      </c>
    </row>
    <row r="1530" spans="1:31" ht="30" x14ac:dyDescent="0.25">
      <c r="A1530" s="31" t="s">
        <v>3197</v>
      </c>
      <c r="B1530" s="16" t="s">
        <v>32</v>
      </c>
      <c r="C1530" s="16" t="s">
        <v>164</v>
      </c>
      <c r="D1530" s="33" t="s">
        <v>34</v>
      </c>
      <c r="E1530" s="33">
        <v>204</v>
      </c>
      <c r="F1530" s="33">
        <v>4</v>
      </c>
      <c r="G1530" s="33">
        <v>10</v>
      </c>
      <c r="H1530" s="33"/>
      <c r="I1530" s="31" t="s">
        <v>46</v>
      </c>
      <c r="J1530" s="31"/>
      <c r="K1530" s="33"/>
      <c r="L1530" s="33"/>
      <c r="M1530" s="31"/>
      <c r="N1530" s="31"/>
      <c r="O1530" s="16" t="s">
        <v>3198</v>
      </c>
      <c r="P1530" s="16"/>
      <c r="Q1530" s="16"/>
      <c r="R1530" s="33"/>
      <c r="S1530" s="34"/>
      <c r="T1530" s="34"/>
      <c r="U1530" s="34"/>
      <c r="V1530" s="34"/>
      <c r="W1530" s="34"/>
      <c r="X1530" s="33" t="s">
        <v>1126</v>
      </c>
      <c r="Y1530" s="35" t="str">
        <f>IF(Tabela2[[#This Row],[SIGLA]]="","",VLOOKUP(Tabela2[[#This Row],[SIGLA]],Tabela1[[#All],[Sigla Arte]:[Crédito]],2,0))</f>
        <v>GUSTAVO CONTI/ARQUIVO DA EDITORA</v>
      </c>
      <c r="Z1530" s="31"/>
      <c r="AA1530" s="31" t="str">
        <f>Tabela2[[#This Row],[ILUSTRADOR CRIAÇÃO]]</f>
        <v>GUSTAVO CONTI/ARQUIVO DA EDITORA</v>
      </c>
      <c r="AB1530" s="33"/>
      <c r="AC1530" s="16"/>
      <c r="AE1530" s="35" t="str">
        <f t="shared" si="23"/>
        <v>EF1 E002 Mat</v>
      </c>
    </row>
    <row r="1531" spans="1:31" ht="30" x14ac:dyDescent="0.25">
      <c r="A1531" s="31" t="s">
        <v>3199</v>
      </c>
      <c r="B1531" s="16" t="s">
        <v>32</v>
      </c>
      <c r="C1531" s="16" t="s">
        <v>164</v>
      </c>
      <c r="D1531" s="33" t="s">
        <v>34</v>
      </c>
      <c r="E1531" s="33">
        <v>205</v>
      </c>
      <c r="F1531" s="33">
        <v>4</v>
      </c>
      <c r="G1531" s="33">
        <v>10</v>
      </c>
      <c r="H1531" s="33"/>
      <c r="I1531" s="31" t="s">
        <v>46</v>
      </c>
      <c r="J1531" s="31"/>
      <c r="K1531" s="33"/>
      <c r="L1531" s="33"/>
      <c r="M1531" s="31"/>
      <c r="N1531" s="31"/>
      <c r="O1531" s="16" t="s">
        <v>3200</v>
      </c>
      <c r="P1531" s="16"/>
      <c r="Q1531" s="16"/>
      <c r="R1531" s="33"/>
      <c r="S1531" s="34"/>
      <c r="T1531" s="34"/>
      <c r="U1531" s="34"/>
      <c r="V1531" s="34"/>
      <c r="W1531" s="34"/>
      <c r="X1531" s="33" t="s">
        <v>1126</v>
      </c>
      <c r="Y1531" s="35" t="str">
        <f>IF(Tabela2[[#This Row],[SIGLA]]="","",VLOOKUP(Tabela2[[#This Row],[SIGLA]],Tabela1[[#All],[Sigla Arte]:[Crédito]],2,0))</f>
        <v>GUSTAVO CONTI/ARQUIVO DA EDITORA</v>
      </c>
      <c r="Z1531" s="31"/>
      <c r="AA1531" s="31" t="str">
        <f>Tabela2[[#This Row],[ILUSTRADOR CRIAÇÃO]]</f>
        <v>GUSTAVO CONTI/ARQUIVO DA EDITORA</v>
      </c>
      <c r="AB1531" s="33"/>
      <c r="AC1531" s="16"/>
      <c r="AE1531" s="35" t="str">
        <f t="shared" si="23"/>
        <v>EF1 E002 Mat</v>
      </c>
    </row>
    <row r="1532" spans="1:31" ht="45" x14ac:dyDescent="0.25">
      <c r="A1532" s="31" t="s">
        <v>3201</v>
      </c>
      <c r="B1532" s="16" t="s">
        <v>32</v>
      </c>
      <c r="C1532" s="16" t="s">
        <v>164</v>
      </c>
      <c r="D1532" s="33" t="s">
        <v>34</v>
      </c>
      <c r="E1532" s="33">
        <v>205</v>
      </c>
      <c r="F1532" s="33">
        <v>4</v>
      </c>
      <c r="G1532" s="33">
        <v>10</v>
      </c>
      <c r="H1532" s="33"/>
      <c r="I1532" s="31" t="s">
        <v>46</v>
      </c>
      <c r="J1532" s="31"/>
      <c r="K1532" s="33"/>
      <c r="L1532" s="33"/>
      <c r="M1532" s="31"/>
      <c r="N1532" s="31"/>
      <c r="O1532" s="16" t="s">
        <v>3202</v>
      </c>
      <c r="P1532" s="16"/>
      <c r="Q1532" s="16"/>
      <c r="R1532" s="33"/>
      <c r="S1532" s="34"/>
      <c r="T1532" s="34"/>
      <c r="U1532" s="34"/>
      <c r="V1532" s="34"/>
      <c r="W1532" s="34"/>
      <c r="X1532" s="33" t="s">
        <v>1126</v>
      </c>
      <c r="Y1532" s="35" t="str">
        <f>IF(Tabela2[[#This Row],[SIGLA]]="","",VLOOKUP(Tabela2[[#This Row],[SIGLA]],Tabela1[[#All],[Sigla Arte]:[Crédito]],2,0))</f>
        <v>GUSTAVO CONTI/ARQUIVO DA EDITORA</v>
      </c>
      <c r="Z1532" s="31"/>
      <c r="AA1532" s="31" t="str">
        <f>Tabela2[[#This Row],[ILUSTRADOR CRIAÇÃO]]</f>
        <v>GUSTAVO CONTI/ARQUIVO DA EDITORA</v>
      </c>
      <c r="AB1532" s="33"/>
      <c r="AC1532" s="16"/>
      <c r="AE1532" s="35" t="str">
        <f t="shared" si="23"/>
        <v>EF1 E002 Mat</v>
      </c>
    </row>
    <row r="1533" spans="1:31" ht="45" x14ac:dyDescent="0.25">
      <c r="A1533" s="31" t="s">
        <v>3203</v>
      </c>
      <c r="B1533" s="16" t="s">
        <v>32</v>
      </c>
      <c r="C1533" s="16" t="s">
        <v>164</v>
      </c>
      <c r="D1533" s="33" t="s">
        <v>34</v>
      </c>
      <c r="E1533" s="33">
        <v>205</v>
      </c>
      <c r="F1533" s="33">
        <v>4</v>
      </c>
      <c r="G1533" s="33">
        <v>10</v>
      </c>
      <c r="H1533" s="33"/>
      <c r="I1533" s="31" t="s">
        <v>46</v>
      </c>
      <c r="J1533" s="31"/>
      <c r="K1533" s="33"/>
      <c r="L1533" s="33"/>
      <c r="M1533" s="31"/>
      <c r="N1533" s="31"/>
      <c r="O1533" s="16" t="s">
        <v>3204</v>
      </c>
      <c r="P1533" s="16"/>
      <c r="Q1533" s="16"/>
      <c r="R1533" s="33"/>
      <c r="S1533" s="34"/>
      <c r="T1533" s="34"/>
      <c r="U1533" s="34"/>
      <c r="V1533" s="34"/>
      <c r="W1533" s="34"/>
      <c r="X1533" s="33" t="s">
        <v>1126</v>
      </c>
      <c r="Y1533" s="35" t="str">
        <f>IF(Tabela2[[#This Row],[SIGLA]]="","",VLOOKUP(Tabela2[[#This Row],[SIGLA]],Tabela1[[#All],[Sigla Arte]:[Crédito]],2,0))</f>
        <v>GUSTAVO CONTI/ARQUIVO DA EDITORA</v>
      </c>
      <c r="Z1533" s="31"/>
      <c r="AA1533" s="31" t="str">
        <f>Tabela2[[#This Row],[ILUSTRADOR CRIAÇÃO]]</f>
        <v>GUSTAVO CONTI/ARQUIVO DA EDITORA</v>
      </c>
      <c r="AB1533" s="33"/>
      <c r="AC1533" s="16"/>
      <c r="AE1533" s="35" t="str">
        <f t="shared" si="23"/>
        <v>EF1 E002 Mat</v>
      </c>
    </row>
    <row r="1534" spans="1:31" ht="45" x14ac:dyDescent="0.25">
      <c r="A1534" s="31" t="s">
        <v>3205</v>
      </c>
      <c r="B1534" s="16" t="s">
        <v>32</v>
      </c>
      <c r="C1534" s="16" t="s">
        <v>164</v>
      </c>
      <c r="D1534" s="33" t="s">
        <v>34</v>
      </c>
      <c r="E1534" s="33">
        <v>205</v>
      </c>
      <c r="F1534" s="33">
        <v>4</v>
      </c>
      <c r="G1534" s="33">
        <v>10</v>
      </c>
      <c r="H1534" s="33"/>
      <c r="I1534" s="31" t="s">
        <v>46</v>
      </c>
      <c r="J1534" s="31"/>
      <c r="K1534" s="33"/>
      <c r="L1534" s="33"/>
      <c r="M1534" s="31"/>
      <c r="N1534" s="31"/>
      <c r="O1534" s="16" t="s">
        <v>3206</v>
      </c>
      <c r="P1534" s="16"/>
      <c r="Q1534" s="16"/>
      <c r="R1534" s="33"/>
      <c r="S1534" s="34"/>
      <c r="T1534" s="34"/>
      <c r="U1534" s="34"/>
      <c r="V1534" s="34"/>
      <c r="W1534" s="34"/>
      <c r="X1534" s="33" t="s">
        <v>1126</v>
      </c>
      <c r="Y1534" s="35" t="str">
        <f>IF(Tabela2[[#This Row],[SIGLA]]="","",VLOOKUP(Tabela2[[#This Row],[SIGLA]],Tabela1[[#All],[Sigla Arte]:[Crédito]],2,0))</f>
        <v>GUSTAVO CONTI/ARQUIVO DA EDITORA</v>
      </c>
      <c r="Z1534" s="31"/>
      <c r="AA1534" s="31" t="str">
        <f>Tabela2[[#This Row],[ILUSTRADOR CRIAÇÃO]]</f>
        <v>GUSTAVO CONTI/ARQUIVO DA EDITORA</v>
      </c>
      <c r="AB1534" s="33"/>
      <c r="AC1534" s="16"/>
      <c r="AE1534" s="35" t="str">
        <f t="shared" si="23"/>
        <v>EF1 E002 Mat</v>
      </c>
    </row>
    <row r="1535" spans="1:31" ht="45" x14ac:dyDescent="0.25">
      <c r="A1535" s="31" t="s">
        <v>3207</v>
      </c>
      <c r="B1535" s="16" t="s">
        <v>32</v>
      </c>
      <c r="C1535" s="16" t="s">
        <v>164</v>
      </c>
      <c r="D1535" s="33" t="s">
        <v>34</v>
      </c>
      <c r="E1535" s="33">
        <v>206</v>
      </c>
      <c r="F1535" s="33">
        <v>4</v>
      </c>
      <c r="G1535" s="33">
        <v>10</v>
      </c>
      <c r="H1535" s="33"/>
      <c r="I1535" s="31" t="s">
        <v>46</v>
      </c>
      <c r="J1535" s="31"/>
      <c r="K1535" s="33"/>
      <c r="L1535" s="33"/>
      <c r="M1535" s="31"/>
      <c r="N1535" s="31"/>
      <c r="O1535" s="16" t="s">
        <v>3208</v>
      </c>
      <c r="P1535" s="16"/>
      <c r="Q1535" s="16"/>
      <c r="R1535" s="33"/>
      <c r="S1535" s="34"/>
      <c r="T1535" s="34"/>
      <c r="U1535" s="34"/>
      <c r="V1535" s="34"/>
      <c r="W1535" s="34"/>
      <c r="X1535" s="33" t="s">
        <v>48</v>
      </c>
      <c r="Y1535" s="35" t="str">
        <f>IF(Tabela2[[#This Row],[SIGLA]]="","",VLOOKUP(Tabela2[[#This Row],[SIGLA]],Tabela1[[#All],[Sigla Arte]:[Crédito]],2,0))</f>
        <v>SERGIO LIMA/ARQUIVO DA EDITORA</v>
      </c>
      <c r="Z1535" s="31"/>
      <c r="AA1535" s="31" t="str">
        <f>Tabela2[[#This Row],[ILUSTRADOR CRIAÇÃO]]</f>
        <v>SERGIO LIMA/ARQUIVO DA EDITORA</v>
      </c>
      <c r="AB1535" s="33"/>
      <c r="AC1535" s="16"/>
      <c r="AE1535" s="35" t="str">
        <f t="shared" si="23"/>
        <v>EF1 E002 Mat</v>
      </c>
    </row>
    <row r="1536" spans="1:31" ht="30" x14ac:dyDescent="0.25">
      <c r="A1536" s="31" t="s">
        <v>3209</v>
      </c>
      <c r="B1536" s="16" t="s">
        <v>32</v>
      </c>
      <c r="C1536" s="16" t="s">
        <v>164</v>
      </c>
      <c r="D1536" s="33" t="s">
        <v>34</v>
      </c>
      <c r="E1536" s="33">
        <v>206</v>
      </c>
      <c r="F1536" s="33">
        <v>4</v>
      </c>
      <c r="G1536" s="33">
        <v>10</v>
      </c>
      <c r="H1536" s="33"/>
      <c r="I1536" s="31" t="s">
        <v>46</v>
      </c>
      <c r="J1536" s="31"/>
      <c r="K1536" s="33"/>
      <c r="L1536" s="33"/>
      <c r="M1536" s="31"/>
      <c r="N1536" s="31"/>
      <c r="O1536" s="16" t="s">
        <v>3210</v>
      </c>
      <c r="P1536" s="16"/>
      <c r="Q1536" s="16"/>
      <c r="R1536" s="33"/>
      <c r="S1536" s="34"/>
      <c r="T1536" s="34"/>
      <c r="U1536" s="34"/>
      <c r="V1536" s="34"/>
      <c r="W1536" s="34"/>
      <c r="X1536" s="33" t="s">
        <v>1126</v>
      </c>
      <c r="Y1536" s="35" t="str">
        <f>IF(Tabela2[[#This Row],[SIGLA]]="","",VLOOKUP(Tabela2[[#This Row],[SIGLA]],Tabela1[[#All],[Sigla Arte]:[Crédito]],2,0))</f>
        <v>GUSTAVO CONTI/ARQUIVO DA EDITORA</v>
      </c>
      <c r="Z1536" s="31"/>
      <c r="AA1536" s="31" t="str">
        <f>Tabela2[[#This Row],[ILUSTRADOR CRIAÇÃO]]</f>
        <v>GUSTAVO CONTI/ARQUIVO DA EDITORA</v>
      </c>
      <c r="AB1536" s="33"/>
      <c r="AC1536" s="16"/>
      <c r="AE1536" s="35" t="str">
        <f t="shared" si="23"/>
        <v>EF1 E002 Mat</v>
      </c>
    </row>
    <row r="1537" spans="1:31" ht="45" x14ac:dyDescent="0.25">
      <c r="A1537" s="31" t="s">
        <v>3211</v>
      </c>
      <c r="B1537" s="16" t="s">
        <v>32</v>
      </c>
      <c r="C1537" s="16" t="s">
        <v>164</v>
      </c>
      <c r="D1537" s="33" t="s">
        <v>34</v>
      </c>
      <c r="E1537" s="33">
        <v>206</v>
      </c>
      <c r="F1537" s="33">
        <v>4</v>
      </c>
      <c r="G1537" s="33">
        <v>10</v>
      </c>
      <c r="H1537" s="33"/>
      <c r="I1537" s="31" t="s">
        <v>46</v>
      </c>
      <c r="J1537" s="31"/>
      <c r="K1537" s="33"/>
      <c r="L1537" s="33"/>
      <c r="M1537" s="31"/>
      <c r="N1537" s="31"/>
      <c r="O1537" s="16" t="s">
        <v>3212</v>
      </c>
      <c r="P1537" s="16"/>
      <c r="Q1537" s="16"/>
      <c r="R1537" s="33"/>
      <c r="S1537" s="34"/>
      <c r="T1537" s="34"/>
      <c r="U1537" s="34"/>
      <c r="V1537" s="34"/>
      <c r="W1537" s="34"/>
      <c r="X1537" s="33" t="s">
        <v>1126</v>
      </c>
      <c r="Y1537" s="35" t="str">
        <f>IF(Tabela2[[#This Row],[SIGLA]]="","",VLOOKUP(Tabela2[[#This Row],[SIGLA]],Tabela1[[#All],[Sigla Arte]:[Crédito]],2,0))</f>
        <v>GUSTAVO CONTI/ARQUIVO DA EDITORA</v>
      </c>
      <c r="Z1537" s="31"/>
      <c r="AA1537" s="31" t="str">
        <f>Tabela2[[#This Row],[ILUSTRADOR CRIAÇÃO]]</f>
        <v>GUSTAVO CONTI/ARQUIVO DA EDITORA</v>
      </c>
      <c r="AB1537" s="33"/>
      <c r="AC1537" s="16"/>
      <c r="AE1537" s="35" t="str">
        <f t="shared" si="23"/>
        <v>EF1 E002 Mat</v>
      </c>
    </row>
    <row r="1538" spans="1:31" ht="45" x14ac:dyDescent="0.25">
      <c r="A1538" s="31" t="s">
        <v>3213</v>
      </c>
      <c r="B1538" s="16" t="s">
        <v>401</v>
      </c>
      <c r="C1538" s="16" t="s">
        <v>164</v>
      </c>
      <c r="D1538" s="33" t="s">
        <v>34</v>
      </c>
      <c r="E1538" s="33">
        <v>187</v>
      </c>
      <c r="F1538" s="33">
        <v>4</v>
      </c>
      <c r="G1538" s="33">
        <v>10</v>
      </c>
      <c r="H1538" s="33"/>
      <c r="I1538" s="31" t="s">
        <v>46</v>
      </c>
      <c r="J1538" s="31"/>
      <c r="K1538" s="33"/>
      <c r="L1538" s="33"/>
      <c r="M1538" s="31"/>
      <c r="N1538" s="31"/>
      <c r="O1538" s="16" t="s">
        <v>3214</v>
      </c>
      <c r="P1538" s="16"/>
      <c r="Q1538" s="16"/>
      <c r="R1538" s="33"/>
      <c r="S1538" s="34"/>
      <c r="T1538" s="34"/>
      <c r="U1538" s="34"/>
      <c r="V1538" s="34"/>
      <c r="W1538" s="34"/>
      <c r="X1538" s="33" t="s">
        <v>1126</v>
      </c>
      <c r="Y1538" s="35" t="str">
        <f>IF(Tabela2[[#This Row],[SIGLA]]="","",VLOOKUP(Tabela2[[#This Row],[SIGLA]],Tabela1[[#All],[Sigla Arte]:[Crédito]],2,0))</f>
        <v>GUSTAVO CONTI/ARQUIVO DA EDITORA</v>
      </c>
      <c r="Z1538" s="31"/>
      <c r="AA1538" s="31" t="str">
        <f>Tabela2[[#This Row],[ILUSTRADOR CRIAÇÃO]]</f>
        <v>GUSTAVO CONTI/ARQUIVO DA EDITORA</v>
      </c>
      <c r="AB1538" s="33"/>
      <c r="AC1538" s="16"/>
      <c r="AE1538" s="35" t="str">
        <f t="shared" ref="AE1538:AE1601" si="24">"EF1 E002 Mat"</f>
        <v>EF1 E002 Mat</v>
      </c>
    </row>
    <row r="1539" spans="1:31" ht="45" x14ac:dyDescent="0.25">
      <c r="A1539" s="31" t="s">
        <v>3215</v>
      </c>
      <c r="B1539" s="16" t="s">
        <v>32</v>
      </c>
      <c r="C1539" s="16" t="s">
        <v>164</v>
      </c>
      <c r="D1539" s="33" t="s">
        <v>34</v>
      </c>
      <c r="E1539" s="33">
        <v>207</v>
      </c>
      <c r="F1539" s="33">
        <v>4</v>
      </c>
      <c r="G1539" s="33">
        <v>10</v>
      </c>
      <c r="H1539" s="33"/>
      <c r="I1539" s="31" t="s">
        <v>35</v>
      </c>
      <c r="J1539" s="31"/>
      <c r="K1539" s="33"/>
      <c r="L1539" s="33"/>
      <c r="M1539" s="31"/>
      <c r="N1539" s="31"/>
      <c r="O1539" s="16" t="s">
        <v>3216</v>
      </c>
      <c r="P1539" s="16"/>
      <c r="Q1539" s="16"/>
      <c r="R1539" s="33">
        <v>124</v>
      </c>
      <c r="S1539" s="34">
        <v>45891</v>
      </c>
      <c r="T1539" s="34">
        <v>45894</v>
      </c>
      <c r="U1539" s="34"/>
      <c r="V1539" s="34"/>
      <c r="W1539" s="34">
        <v>45894</v>
      </c>
      <c r="X1539" s="33" t="s">
        <v>1126</v>
      </c>
      <c r="Y1539" s="35" t="str">
        <f>IF(Tabela2[[#This Row],[SIGLA]]="","",VLOOKUP(Tabela2[[#This Row],[SIGLA]],Tabela1[[#All],[Sigla Arte]:[Crédito]],2,0))</f>
        <v>GUSTAVO CONTI/ARQUIVO DA EDITORA</v>
      </c>
      <c r="Z1539" s="31" t="s">
        <v>924</v>
      </c>
      <c r="AA1539" s="31" t="str">
        <f>Tabela2[[#This Row],[ILUSTRADOR CRIAÇÃO]]</f>
        <v>GUSTAVO CONTI/ARQUIVO DA EDITORA</v>
      </c>
      <c r="AB1539" s="33">
        <v>13</v>
      </c>
      <c r="AC1539" s="16" t="s">
        <v>222</v>
      </c>
      <c r="AD1539" s="16" t="s">
        <v>40</v>
      </c>
      <c r="AE1539" s="35" t="str">
        <f t="shared" si="24"/>
        <v>EF1 E002 Mat</v>
      </c>
    </row>
    <row r="1540" spans="1:31" ht="30" x14ac:dyDescent="0.25">
      <c r="A1540" s="31" t="s">
        <v>3217</v>
      </c>
      <c r="B1540" s="16" t="s">
        <v>32</v>
      </c>
      <c r="C1540" s="16" t="s">
        <v>164</v>
      </c>
      <c r="D1540" s="33" t="s">
        <v>34</v>
      </c>
      <c r="E1540" s="33">
        <v>187</v>
      </c>
      <c r="F1540" s="33">
        <v>4</v>
      </c>
      <c r="G1540" s="33">
        <v>10</v>
      </c>
      <c r="H1540" s="33"/>
      <c r="I1540" s="31" t="s">
        <v>46</v>
      </c>
      <c r="J1540" s="31"/>
      <c r="K1540" s="33"/>
      <c r="L1540" s="33"/>
      <c r="M1540" s="31"/>
      <c r="N1540" s="31"/>
      <c r="O1540" s="16" t="s">
        <v>3218</v>
      </c>
      <c r="P1540" s="16"/>
      <c r="Q1540" s="16"/>
      <c r="R1540" s="33"/>
      <c r="S1540" s="34"/>
      <c r="T1540" s="34"/>
      <c r="U1540" s="34"/>
      <c r="V1540" s="34"/>
      <c r="W1540" s="34"/>
      <c r="X1540" s="33" t="s">
        <v>1126</v>
      </c>
      <c r="Y1540" s="35" t="str">
        <f>IF(Tabela2[[#This Row],[SIGLA]]="","",VLOOKUP(Tabela2[[#This Row],[SIGLA]],Tabela1[[#All],[Sigla Arte]:[Crédito]],2,0))</f>
        <v>GUSTAVO CONTI/ARQUIVO DA EDITORA</v>
      </c>
      <c r="Z1540" s="31"/>
      <c r="AA1540" s="31" t="str">
        <f>Tabela2[[#This Row],[ILUSTRADOR CRIAÇÃO]]</f>
        <v>GUSTAVO CONTI/ARQUIVO DA EDITORA</v>
      </c>
      <c r="AB1540" s="33"/>
      <c r="AC1540" s="16"/>
      <c r="AE1540" s="35" t="str">
        <f t="shared" si="24"/>
        <v>EF1 E002 Mat</v>
      </c>
    </row>
    <row r="1541" spans="1:31" ht="45" x14ac:dyDescent="0.25">
      <c r="A1541" s="31" t="s">
        <v>3219</v>
      </c>
      <c r="B1541" s="16" t="s">
        <v>32</v>
      </c>
      <c r="C1541" s="16" t="s">
        <v>164</v>
      </c>
      <c r="D1541" s="33" t="s">
        <v>34</v>
      </c>
      <c r="E1541" s="33">
        <v>208</v>
      </c>
      <c r="F1541" s="33">
        <v>4</v>
      </c>
      <c r="G1541" s="33">
        <v>10</v>
      </c>
      <c r="H1541" s="33"/>
      <c r="I1541" s="31" t="s">
        <v>35</v>
      </c>
      <c r="J1541" s="31"/>
      <c r="K1541" s="33"/>
      <c r="L1541" s="33"/>
      <c r="M1541" s="31"/>
      <c r="N1541" s="31"/>
      <c r="O1541" s="16" t="s">
        <v>3220</v>
      </c>
      <c r="P1541" s="16"/>
      <c r="Q1541" s="16"/>
      <c r="R1541" s="33">
        <v>190</v>
      </c>
      <c r="S1541" s="34">
        <v>45939</v>
      </c>
      <c r="T1541" s="34">
        <v>45939</v>
      </c>
      <c r="U1541" s="34"/>
      <c r="V1541" s="34"/>
      <c r="W1541" s="34">
        <v>45939</v>
      </c>
      <c r="X1541" s="33" t="s">
        <v>1126</v>
      </c>
      <c r="Y1541" s="35" t="str">
        <f>IF(Tabela2[[#This Row],[SIGLA]]="","",VLOOKUP(Tabela2[[#This Row],[SIGLA]],Tabela1[[#All],[Sigla Arte]:[Crédito]],2,0))</f>
        <v>GUSTAVO CONTI/ARQUIVO DA EDITORA</v>
      </c>
      <c r="Z1541" s="31" t="s">
        <v>572</v>
      </c>
      <c r="AA1541" s="31" t="str">
        <f>Tabela2[[#This Row],[ILUSTRADOR CRIAÇÃO]]</f>
        <v>GUSTAVO CONTI/ARQUIVO DA EDITORA</v>
      </c>
      <c r="AB1541" s="33">
        <v>13</v>
      </c>
      <c r="AC1541" s="16" t="s">
        <v>3099</v>
      </c>
      <c r="AD1541" s="16" t="s">
        <v>40</v>
      </c>
      <c r="AE1541" s="35" t="str">
        <f t="shared" si="24"/>
        <v>EF1 E002 Mat</v>
      </c>
    </row>
    <row r="1542" spans="1:31" ht="45" x14ac:dyDescent="0.25">
      <c r="A1542" s="31" t="s">
        <v>3221</v>
      </c>
      <c r="B1542" s="16" t="s">
        <v>32</v>
      </c>
      <c r="C1542" s="16" t="s">
        <v>164</v>
      </c>
      <c r="D1542" s="33" t="s">
        <v>34</v>
      </c>
      <c r="E1542" s="33">
        <v>208</v>
      </c>
      <c r="F1542" s="33">
        <v>4</v>
      </c>
      <c r="G1542" s="33">
        <v>10</v>
      </c>
      <c r="H1542" s="33"/>
      <c r="I1542" s="31" t="s">
        <v>46</v>
      </c>
      <c r="J1542" s="31"/>
      <c r="K1542" s="33"/>
      <c r="L1542" s="33"/>
      <c r="M1542" s="31"/>
      <c r="N1542" s="31"/>
      <c r="O1542" s="16" t="s">
        <v>3222</v>
      </c>
      <c r="P1542" s="16"/>
      <c r="Q1542" s="16"/>
      <c r="R1542" s="33"/>
      <c r="S1542" s="34"/>
      <c r="T1542" s="34"/>
      <c r="U1542" s="34"/>
      <c r="V1542" s="34"/>
      <c r="W1542" s="34"/>
      <c r="X1542" s="33" t="s">
        <v>1126</v>
      </c>
      <c r="Y1542" s="35" t="str">
        <f>IF(Tabela2[[#This Row],[SIGLA]]="","",VLOOKUP(Tabela2[[#This Row],[SIGLA]],Tabela1[[#All],[Sigla Arte]:[Crédito]],2,0))</f>
        <v>GUSTAVO CONTI/ARQUIVO DA EDITORA</v>
      </c>
      <c r="Z1542" s="31"/>
      <c r="AA1542" s="31" t="str">
        <f>Tabela2[[#This Row],[ILUSTRADOR CRIAÇÃO]]</f>
        <v>GUSTAVO CONTI/ARQUIVO DA EDITORA</v>
      </c>
      <c r="AB1542" s="33"/>
      <c r="AC1542" s="16"/>
      <c r="AE1542" s="35" t="str">
        <f t="shared" si="24"/>
        <v>EF1 E002 Mat</v>
      </c>
    </row>
    <row r="1543" spans="1:31" ht="45" x14ac:dyDescent="0.25">
      <c r="A1543" s="31" t="s">
        <v>3223</v>
      </c>
      <c r="B1543" s="16" t="s">
        <v>32</v>
      </c>
      <c r="C1543" s="16" t="s">
        <v>164</v>
      </c>
      <c r="D1543" s="33" t="s">
        <v>34</v>
      </c>
      <c r="E1543" s="33">
        <v>208</v>
      </c>
      <c r="F1543" s="33">
        <v>4</v>
      </c>
      <c r="G1543" s="33">
        <v>10</v>
      </c>
      <c r="H1543" s="33"/>
      <c r="I1543" s="31" t="s">
        <v>46</v>
      </c>
      <c r="J1543" s="31"/>
      <c r="K1543" s="33"/>
      <c r="L1543" s="33"/>
      <c r="M1543" s="31"/>
      <c r="N1543" s="31"/>
      <c r="O1543" s="16" t="s">
        <v>3224</v>
      </c>
      <c r="P1543" s="16"/>
      <c r="Q1543" s="16"/>
      <c r="R1543" s="33"/>
      <c r="S1543" s="34"/>
      <c r="T1543" s="34"/>
      <c r="U1543" s="34"/>
      <c r="V1543" s="34"/>
      <c r="W1543" s="34"/>
      <c r="X1543" s="33" t="s">
        <v>1126</v>
      </c>
      <c r="Y1543" s="35" t="str">
        <f>IF(Tabela2[[#This Row],[SIGLA]]="","",VLOOKUP(Tabela2[[#This Row],[SIGLA]],Tabela1[[#All],[Sigla Arte]:[Crédito]],2,0))</f>
        <v>GUSTAVO CONTI/ARQUIVO DA EDITORA</v>
      </c>
      <c r="Z1543" s="31"/>
      <c r="AA1543" s="31" t="str">
        <f>Tabela2[[#This Row],[ILUSTRADOR CRIAÇÃO]]</f>
        <v>GUSTAVO CONTI/ARQUIVO DA EDITORA</v>
      </c>
      <c r="AB1543" s="33"/>
      <c r="AC1543" s="16"/>
      <c r="AE1543" s="35" t="str">
        <f t="shared" si="24"/>
        <v>EF1 E002 Mat</v>
      </c>
    </row>
    <row r="1544" spans="1:31" ht="90" x14ac:dyDescent="0.25">
      <c r="A1544" s="31" t="s">
        <v>3225</v>
      </c>
      <c r="B1544" s="16" t="s">
        <v>32</v>
      </c>
      <c r="C1544" s="16" t="s">
        <v>164</v>
      </c>
      <c r="D1544" s="33" t="s">
        <v>34</v>
      </c>
      <c r="E1544" s="33">
        <v>208</v>
      </c>
      <c r="F1544" s="33">
        <v>4</v>
      </c>
      <c r="G1544" s="33">
        <v>10</v>
      </c>
      <c r="H1544" s="33"/>
      <c r="I1544" s="31" t="s">
        <v>35</v>
      </c>
      <c r="J1544" s="31"/>
      <c r="K1544" s="33"/>
      <c r="L1544" s="33"/>
      <c r="M1544" s="31"/>
      <c r="N1544" s="31"/>
      <c r="O1544" s="16" t="s">
        <v>3226</v>
      </c>
      <c r="P1544" s="16"/>
      <c r="Q1544" s="16"/>
      <c r="R1544" s="33">
        <v>40</v>
      </c>
      <c r="S1544" s="34">
        <v>45790</v>
      </c>
      <c r="T1544" s="34">
        <v>45790</v>
      </c>
      <c r="U1544" s="34"/>
      <c r="V1544" s="34"/>
      <c r="W1544" s="34">
        <v>45791</v>
      </c>
      <c r="X1544" s="33" t="s">
        <v>1126</v>
      </c>
      <c r="Y1544" s="35" t="str">
        <f>IF(Tabela2[[#This Row],[SIGLA]]="","",VLOOKUP(Tabela2[[#This Row],[SIGLA]],Tabela1[[#All],[Sigla Arte]:[Crédito]],2,0))</f>
        <v>GUSTAVO CONTI/ARQUIVO DA EDITORA</v>
      </c>
      <c r="Z1544" s="31" t="s">
        <v>368</v>
      </c>
      <c r="AA1544" s="31" t="str">
        <f>Tabela2[[#This Row],[ILUSTRADOR CRIAÇÃO]]</f>
        <v>GUSTAVO CONTI/ARQUIVO DA EDITORA</v>
      </c>
      <c r="AB1544" s="33">
        <v>14</v>
      </c>
      <c r="AC1544" s="16" t="s">
        <v>39</v>
      </c>
      <c r="AD1544" s="16" t="s">
        <v>40</v>
      </c>
      <c r="AE1544" s="35" t="str">
        <f t="shared" si="24"/>
        <v>EF1 E002 Mat</v>
      </c>
    </row>
    <row r="1545" spans="1:31" ht="90" x14ac:dyDescent="0.25">
      <c r="A1545" s="31" t="s">
        <v>3227</v>
      </c>
      <c r="B1545" s="16" t="s">
        <v>32</v>
      </c>
      <c r="C1545" s="16" t="s">
        <v>33</v>
      </c>
      <c r="D1545" s="33" t="s">
        <v>34</v>
      </c>
      <c r="E1545" s="33">
        <v>189</v>
      </c>
      <c r="F1545" s="33">
        <v>4</v>
      </c>
      <c r="G1545" s="33">
        <v>10</v>
      </c>
      <c r="H1545" s="33"/>
      <c r="I1545" s="31" t="s">
        <v>35</v>
      </c>
      <c r="J1545" s="31"/>
      <c r="K1545" s="33"/>
      <c r="L1545" s="33"/>
      <c r="M1545" s="31"/>
      <c r="N1545" s="31"/>
      <c r="O1545" s="16" t="s">
        <v>3228</v>
      </c>
      <c r="P1545" s="16"/>
      <c r="Q1545" s="16"/>
      <c r="R1545" s="33">
        <v>40</v>
      </c>
      <c r="S1545" s="34">
        <v>45790</v>
      </c>
      <c r="T1545" s="34">
        <v>45790</v>
      </c>
      <c r="U1545" s="34"/>
      <c r="V1545" s="34"/>
      <c r="W1545" s="34">
        <v>45791</v>
      </c>
      <c r="X1545" s="33" t="s">
        <v>184</v>
      </c>
      <c r="Y1545" s="35" t="str">
        <f>IF(Tabela2[[#This Row],[SIGLA]]="","",VLOOKUP(Tabela2[[#This Row],[SIGLA]],Tabela1[[#All],[Sigla Arte]:[Crédito]],2,0))</f>
        <v>VER DOCUMENTO DE ILS. TÉCNICAS</v>
      </c>
      <c r="Z1545" s="31" t="s">
        <v>368</v>
      </c>
      <c r="AA1545" s="31" t="s">
        <v>3229</v>
      </c>
      <c r="AB1545" s="33">
        <v>14</v>
      </c>
      <c r="AC1545" s="16" t="s">
        <v>39</v>
      </c>
      <c r="AD1545" s="16" t="s">
        <v>40</v>
      </c>
      <c r="AE1545" s="35" t="str">
        <f t="shared" si="24"/>
        <v>EF1 E002 Mat</v>
      </c>
    </row>
    <row r="1546" spans="1:31" ht="45" x14ac:dyDescent="0.25">
      <c r="A1546" s="31" t="s">
        <v>3230</v>
      </c>
      <c r="B1546" s="16" t="s">
        <v>32</v>
      </c>
      <c r="C1546" s="16" t="s">
        <v>164</v>
      </c>
      <c r="D1546" s="33" t="s">
        <v>34</v>
      </c>
      <c r="E1546" s="33">
        <v>209</v>
      </c>
      <c r="F1546" s="33">
        <v>4</v>
      </c>
      <c r="G1546" s="33">
        <v>10</v>
      </c>
      <c r="H1546" s="33"/>
      <c r="I1546" s="31" t="s">
        <v>46</v>
      </c>
      <c r="J1546" s="31"/>
      <c r="K1546" s="33"/>
      <c r="L1546" s="33"/>
      <c r="M1546" s="31"/>
      <c r="N1546" s="31"/>
      <c r="O1546" s="16" t="s">
        <v>3231</v>
      </c>
      <c r="P1546" s="16"/>
      <c r="Q1546" s="16"/>
      <c r="R1546" s="33"/>
      <c r="S1546" s="34"/>
      <c r="T1546" s="34"/>
      <c r="U1546" s="34"/>
      <c r="V1546" s="34"/>
      <c r="W1546" s="34"/>
      <c r="X1546" s="33" t="s">
        <v>184</v>
      </c>
      <c r="Y1546" s="35" t="str">
        <f>IF(Tabela2[[#This Row],[SIGLA]]="","",VLOOKUP(Tabela2[[#This Row],[SIGLA]],Tabela1[[#All],[Sigla Arte]:[Crédito]],2,0))</f>
        <v>VER DOCUMENTO DE ILS. TÉCNICAS</v>
      </c>
      <c r="Z1546" s="31"/>
      <c r="AA1546" s="31" t="s">
        <v>185</v>
      </c>
      <c r="AB1546" s="33"/>
      <c r="AC1546" s="16"/>
      <c r="AE1546" s="35" t="str">
        <f t="shared" si="24"/>
        <v>EF1 E002 Mat</v>
      </c>
    </row>
    <row r="1547" spans="1:31" ht="45" x14ac:dyDescent="0.25">
      <c r="A1547" s="31" t="s">
        <v>3232</v>
      </c>
      <c r="B1547" s="16" t="s">
        <v>32</v>
      </c>
      <c r="C1547" s="16" t="s">
        <v>33</v>
      </c>
      <c r="D1547" s="33" t="s">
        <v>34</v>
      </c>
      <c r="E1547" s="33">
        <v>209</v>
      </c>
      <c r="F1547" s="33">
        <v>4</v>
      </c>
      <c r="G1547" s="33">
        <v>10</v>
      </c>
      <c r="H1547" s="33"/>
      <c r="I1547" s="31" t="s">
        <v>46</v>
      </c>
      <c r="J1547" s="31"/>
      <c r="K1547" s="33"/>
      <c r="L1547" s="33"/>
      <c r="M1547" s="31"/>
      <c r="N1547" s="31"/>
      <c r="O1547" s="16" t="s">
        <v>3233</v>
      </c>
      <c r="P1547" s="16"/>
      <c r="Q1547" s="16"/>
      <c r="R1547" s="33"/>
      <c r="S1547" s="34"/>
      <c r="T1547" s="34"/>
      <c r="U1547" s="34"/>
      <c r="V1547" s="34"/>
      <c r="W1547" s="34"/>
      <c r="X1547" s="33" t="s">
        <v>1126</v>
      </c>
      <c r="Y1547" s="35" t="str">
        <f>IF(Tabela2[[#This Row],[SIGLA]]="","",VLOOKUP(Tabela2[[#This Row],[SIGLA]],Tabela1[[#All],[Sigla Arte]:[Crédito]],2,0))</f>
        <v>GUSTAVO CONTI/ARQUIVO DA EDITORA</v>
      </c>
      <c r="Z1547" s="31"/>
      <c r="AA1547" s="31" t="str">
        <f>Tabela2[[#This Row],[ILUSTRADOR CRIAÇÃO]]</f>
        <v>GUSTAVO CONTI/ARQUIVO DA EDITORA</v>
      </c>
      <c r="AB1547" s="33"/>
      <c r="AC1547" s="16"/>
      <c r="AE1547" s="35" t="str">
        <f t="shared" si="24"/>
        <v>EF1 E002 Mat</v>
      </c>
    </row>
    <row r="1548" spans="1:31" ht="45" x14ac:dyDescent="0.25">
      <c r="A1548" s="31" t="s">
        <v>3234</v>
      </c>
      <c r="B1548" s="16" t="s">
        <v>32</v>
      </c>
      <c r="C1548" s="16" t="s">
        <v>33</v>
      </c>
      <c r="D1548" s="33" t="s">
        <v>34</v>
      </c>
      <c r="E1548" s="33">
        <v>209</v>
      </c>
      <c r="F1548" s="33">
        <v>4</v>
      </c>
      <c r="G1548" s="33">
        <v>10</v>
      </c>
      <c r="H1548" s="33"/>
      <c r="I1548" s="31" t="s">
        <v>46</v>
      </c>
      <c r="J1548" s="31"/>
      <c r="K1548" s="33"/>
      <c r="L1548" s="33"/>
      <c r="M1548" s="31"/>
      <c r="N1548" s="31"/>
      <c r="O1548" s="16" t="s">
        <v>3235</v>
      </c>
      <c r="P1548" s="16"/>
      <c r="Q1548" s="16"/>
      <c r="R1548" s="33"/>
      <c r="S1548" s="34"/>
      <c r="T1548" s="34"/>
      <c r="U1548" s="34"/>
      <c r="V1548" s="34"/>
      <c r="W1548" s="34"/>
      <c r="X1548" s="33" t="s">
        <v>1126</v>
      </c>
      <c r="Y1548" s="35" t="str">
        <f>IF(Tabela2[[#This Row],[SIGLA]]="","",VLOOKUP(Tabela2[[#This Row],[SIGLA]],Tabela1[[#All],[Sigla Arte]:[Crédito]],2,0))</f>
        <v>GUSTAVO CONTI/ARQUIVO DA EDITORA</v>
      </c>
      <c r="Z1548" s="31"/>
      <c r="AA1548" s="31" t="str">
        <f>Tabela2[[#This Row],[ILUSTRADOR CRIAÇÃO]]</f>
        <v>GUSTAVO CONTI/ARQUIVO DA EDITORA</v>
      </c>
      <c r="AB1548" s="33"/>
      <c r="AC1548" s="16"/>
      <c r="AE1548" s="35" t="str">
        <f t="shared" si="24"/>
        <v>EF1 E002 Mat</v>
      </c>
    </row>
    <row r="1549" spans="1:31" ht="45" x14ac:dyDescent="0.25">
      <c r="A1549" s="31" t="s">
        <v>3236</v>
      </c>
      <c r="B1549" s="16" t="s">
        <v>32</v>
      </c>
      <c r="C1549" s="16" t="s">
        <v>33</v>
      </c>
      <c r="D1549" s="33" t="s">
        <v>34</v>
      </c>
      <c r="E1549" s="33">
        <v>209</v>
      </c>
      <c r="F1549" s="33">
        <v>4</v>
      </c>
      <c r="G1549" s="33">
        <v>10</v>
      </c>
      <c r="H1549" s="33"/>
      <c r="I1549" s="31" t="s">
        <v>46</v>
      </c>
      <c r="J1549" s="31"/>
      <c r="K1549" s="33"/>
      <c r="L1549" s="33"/>
      <c r="M1549" s="31"/>
      <c r="N1549" s="31"/>
      <c r="O1549" s="16" t="s">
        <v>3237</v>
      </c>
      <c r="P1549" s="16"/>
      <c r="Q1549" s="16"/>
      <c r="R1549" s="33"/>
      <c r="S1549" s="34"/>
      <c r="T1549" s="34"/>
      <c r="U1549" s="34"/>
      <c r="V1549" s="34"/>
      <c r="W1549" s="34"/>
      <c r="X1549" s="33" t="s">
        <v>1126</v>
      </c>
      <c r="Y1549" s="35" t="str">
        <f>IF(Tabela2[[#This Row],[SIGLA]]="","",VLOOKUP(Tabela2[[#This Row],[SIGLA]],Tabela1[[#All],[Sigla Arte]:[Crédito]],2,0))</f>
        <v>GUSTAVO CONTI/ARQUIVO DA EDITORA</v>
      </c>
      <c r="Z1549" s="31"/>
      <c r="AA1549" s="31" t="str">
        <f>Tabela2[[#This Row],[ILUSTRADOR CRIAÇÃO]]</f>
        <v>GUSTAVO CONTI/ARQUIVO DA EDITORA</v>
      </c>
      <c r="AB1549" s="33"/>
      <c r="AC1549" s="16"/>
      <c r="AE1549" s="35" t="str">
        <f t="shared" si="24"/>
        <v>EF1 E002 Mat</v>
      </c>
    </row>
    <row r="1550" spans="1:31" ht="45" x14ac:dyDescent="0.25">
      <c r="A1550" s="31" t="s">
        <v>3238</v>
      </c>
      <c r="B1550" s="16" t="s">
        <v>32</v>
      </c>
      <c r="C1550" s="16" t="s">
        <v>33</v>
      </c>
      <c r="D1550" s="33" t="s">
        <v>34</v>
      </c>
      <c r="E1550" s="33">
        <v>209</v>
      </c>
      <c r="F1550" s="33">
        <v>4</v>
      </c>
      <c r="G1550" s="33">
        <v>10</v>
      </c>
      <c r="H1550" s="33"/>
      <c r="I1550" s="31" t="s">
        <v>46</v>
      </c>
      <c r="J1550" s="31"/>
      <c r="K1550" s="33"/>
      <c r="L1550" s="33"/>
      <c r="M1550" s="31"/>
      <c r="N1550" s="31"/>
      <c r="O1550" s="16" t="s">
        <v>3239</v>
      </c>
      <c r="P1550" s="16"/>
      <c r="Q1550" s="16"/>
      <c r="R1550" s="33"/>
      <c r="S1550" s="34"/>
      <c r="T1550" s="34"/>
      <c r="U1550" s="34"/>
      <c r="V1550" s="34"/>
      <c r="W1550" s="34"/>
      <c r="X1550" s="33" t="s">
        <v>1126</v>
      </c>
      <c r="Y1550" s="35" t="str">
        <f>IF(Tabela2[[#This Row],[SIGLA]]="","",VLOOKUP(Tabela2[[#This Row],[SIGLA]],Tabela1[[#All],[Sigla Arte]:[Crédito]],2,0))</f>
        <v>GUSTAVO CONTI/ARQUIVO DA EDITORA</v>
      </c>
      <c r="Z1550" s="31"/>
      <c r="AA1550" s="31" t="str">
        <f>Tabela2[[#This Row],[ILUSTRADOR CRIAÇÃO]]</f>
        <v>GUSTAVO CONTI/ARQUIVO DA EDITORA</v>
      </c>
      <c r="AB1550" s="33"/>
      <c r="AC1550" s="16"/>
      <c r="AE1550" s="35" t="str">
        <f t="shared" si="24"/>
        <v>EF1 E002 Mat</v>
      </c>
    </row>
    <row r="1551" spans="1:31" ht="105" x14ac:dyDescent="0.25">
      <c r="A1551" s="31" t="s">
        <v>3240</v>
      </c>
      <c r="B1551" s="16" t="s">
        <v>32</v>
      </c>
      <c r="C1551" s="16" t="s">
        <v>164</v>
      </c>
      <c r="D1551" s="33" t="s">
        <v>34</v>
      </c>
      <c r="E1551" s="33">
        <v>210</v>
      </c>
      <c r="F1551" s="33">
        <v>4</v>
      </c>
      <c r="G1551" s="33">
        <v>10</v>
      </c>
      <c r="H1551" s="33"/>
      <c r="I1551" s="31" t="s">
        <v>35</v>
      </c>
      <c r="J1551" s="31"/>
      <c r="K1551" s="33"/>
      <c r="L1551" s="33"/>
      <c r="M1551" s="31"/>
      <c r="N1551" s="31"/>
      <c r="O1551" s="16" t="s">
        <v>3241</v>
      </c>
      <c r="P1551" s="16"/>
      <c r="Q1551" s="16"/>
      <c r="R1551" s="33">
        <v>40</v>
      </c>
      <c r="S1551" s="34">
        <v>45790</v>
      </c>
      <c r="T1551" s="34">
        <v>45790</v>
      </c>
      <c r="U1551" s="34"/>
      <c r="V1551" s="34"/>
      <c r="W1551" s="34">
        <v>45791</v>
      </c>
      <c r="X1551" s="33" t="s">
        <v>1126</v>
      </c>
      <c r="Y1551" s="35" t="str">
        <f>IF(Tabela2[[#This Row],[SIGLA]]="","",VLOOKUP(Tabela2[[#This Row],[SIGLA]],Tabela1[[#All],[Sigla Arte]:[Crédito]],2,0))</f>
        <v>GUSTAVO CONTI/ARQUIVO DA EDITORA</v>
      </c>
      <c r="Z1551" s="31" t="s">
        <v>368</v>
      </c>
      <c r="AA1551" s="31" t="str">
        <f>Tabela2[[#This Row],[ILUSTRADOR CRIAÇÃO]]</f>
        <v>GUSTAVO CONTI/ARQUIVO DA EDITORA</v>
      </c>
      <c r="AB1551" s="33">
        <v>14</v>
      </c>
      <c r="AC1551" s="16" t="s">
        <v>39</v>
      </c>
      <c r="AD1551" s="16" t="s">
        <v>40</v>
      </c>
      <c r="AE1551" s="35" t="str">
        <f t="shared" si="24"/>
        <v>EF1 E002 Mat</v>
      </c>
    </row>
    <row r="1552" spans="1:31" ht="105" x14ac:dyDescent="0.25">
      <c r="A1552" s="31" t="s">
        <v>3242</v>
      </c>
      <c r="B1552" s="16" t="s">
        <v>32</v>
      </c>
      <c r="C1552" s="16" t="s">
        <v>164</v>
      </c>
      <c r="D1552" s="33" t="s">
        <v>34</v>
      </c>
      <c r="E1552" s="33">
        <v>210</v>
      </c>
      <c r="F1552" s="33">
        <v>4</v>
      </c>
      <c r="G1552" s="33">
        <v>10</v>
      </c>
      <c r="H1552" s="33"/>
      <c r="I1552" s="31" t="s">
        <v>35</v>
      </c>
      <c r="J1552" s="31"/>
      <c r="K1552" s="33"/>
      <c r="L1552" s="33"/>
      <c r="M1552" s="31"/>
      <c r="N1552" s="31"/>
      <c r="O1552" s="16" t="s">
        <v>3243</v>
      </c>
      <c r="P1552" s="16"/>
      <c r="Q1552" s="16"/>
      <c r="R1552" s="33">
        <v>40</v>
      </c>
      <c r="S1552" s="34">
        <v>45790</v>
      </c>
      <c r="T1552" s="34">
        <v>45790</v>
      </c>
      <c r="U1552" s="34"/>
      <c r="V1552" s="34"/>
      <c r="W1552" s="34">
        <v>45791</v>
      </c>
      <c r="X1552" s="33" t="s">
        <v>1126</v>
      </c>
      <c r="Y1552" s="35" t="str">
        <f>IF(Tabela2[[#This Row],[SIGLA]]="","",VLOOKUP(Tabela2[[#This Row],[SIGLA]],Tabela1[[#All],[Sigla Arte]:[Crédito]],2,0))</f>
        <v>GUSTAVO CONTI/ARQUIVO DA EDITORA</v>
      </c>
      <c r="Z1552" s="31" t="s">
        <v>368</v>
      </c>
      <c r="AA1552" s="31" t="str">
        <f>Tabela2[[#This Row],[ILUSTRADOR CRIAÇÃO]]</f>
        <v>GUSTAVO CONTI/ARQUIVO DA EDITORA</v>
      </c>
      <c r="AB1552" s="33">
        <v>14</v>
      </c>
      <c r="AC1552" s="16" t="s">
        <v>39</v>
      </c>
      <c r="AD1552" s="16" t="s">
        <v>40</v>
      </c>
      <c r="AE1552" s="35" t="str">
        <f t="shared" si="24"/>
        <v>EF1 E002 Mat</v>
      </c>
    </row>
    <row r="1553" spans="1:31" ht="30" x14ac:dyDescent="0.25">
      <c r="A1553" s="31" t="s">
        <v>3244</v>
      </c>
      <c r="B1553" s="16" t="s">
        <v>32</v>
      </c>
      <c r="C1553" s="16" t="s">
        <v>164</v>
      </c>
      <c r="D1553" s="33" t="s">
        <v>34</v>
      </c>
      <c r="E1553" s="33">
        <v>210</v>
      </c>
      <c r="F1553" s="33">
        <v>4</v>
      </c>
      <c r="G1553" s="33">
        <v>10</v>
      </c>
      <c r="H1553" s="33"/>
      <c r="I1553" s="31" t="s">
        <v>46</v>
      </c>
      <c r="J1553" s="31"/>
      <c r="K1553" s="33"/>
      <c r="L1553" s="33"/>
      <c r="M1553" s="31"/>
      <c r="N1553" s="31"/>
      <c r="O1553" s="16" t="s">
        <v>3245</v>
      </c>
      <c r="P1553" s="16"/>
      <c r="Q1553" s="16"/>
      <c r="R1553" s="33"/>
      <c r="S1553" s="34"/>
      <c r="T1553" s="34"/>
      <c r="U1553" s="34"/>
      <c r="V1553" s="34"/>
      <c r="W1553" s="34"/>
      <c r="X1553" s="33" t="s">
        <v>1126</v>
      </c>
      <c r="Y1553" s="35" t="str">
        <f>IF(Tabela2[[#This Row],[SIGLA]]="","",VLOOKUP(Tabela2[[#This Row],[SIGLA]],Tabela1[[#All],[Sigla Arte]:[Crédito]],2,0))</f>
        <v>GUSTAVO CONTI/ARQUIVO DA EDITORA</v>
      </c>
      <c r="Z1553" s="31"/>
      <c r="AA1553" s="31" t="str">
        <f>Tabela2[[#This Row],[ILUSTRADOR CRIAÇÃO]]</f>
        <v>GUSTAVO CONTI/ARQUIVO DA EDITORA</v>
      </c>
      <c r="AB1553" s="33"/>
      <c r="AC1553" s="16"/>
      <c r="AE1553" s="35" t="str">
        <f t="shared" si="24"/>
        <v>EF1 E002 Mat</v>
      </c>
    </row>
    <row r="1554" spans="1:31" ht="30" x14ac:dyDescent="0.25">
      <c r="A1554" s="31" t="s">
        <v>3246</v>
      </c>
      <c r="B1554" s="16" t="s">
        <v>32</v>
      </c>
      <c r="C1554" s="16" t="s">
        <v>164</v>
      </c>
      <c r="D1554" s="33" t="s">
        <v>34</v>
      </c>
      <c r="E1554" s="33">
        <v>210</v>
      </c>
      <c r="F1554" s="33">
        <v>4</v>
      </c>
      <c r="G1554" s="33">
        <v>10</v>
      </c>
      <c r="H1554" s="33"/>
      <c r="I1554" s="31" t="s">
        <v>46</v>
      </c>
      <c r="J1554" s="31"/>
      <c r="K1554" s="33"/>
      <c r="L1554" s="33"/>
      <c r="M1554" s="31"/>
      <c r="N1554" s="31"/>
      <c r="O1554" s="16" t="s">
        <v>3247</v>
      </c>
      <c r="P1554" s="16"/>
      <c r="Q1554" s="16"/>
      <c r="R1554" s="33"/>
      <c r="S1554" s="34"/>
      <c r="T1554" s="34"/>
      <c r="U1554" s="34"/>
      <c r="V1554" s="34"/>
      <c r="W1554" s="34"/>
      <c r="X1554" s="33" t="s">
        <v>1126</v>
      </c>
      <c r="Y1554" s="35" t="str">
        <f>IF(Tabela2[[#This Row],[SIGLA]]="","",VLOOKUP(Tabela2[[#This Row],[SIGLA]],Tabela1[[#All],[Sigla Arte]:[Crédito]],2,0))</f>
        <v>GUSTAVO CONTI/ARQUIVO DA EDITORA</v>
      </c>
      <c r="Z1554" s="31"/>
      <c r="AA1554" s="31" t="str">
        <f>Tabela2[[#This Row],[ILUSTRADOR CRIAÇÃO]]</f>
        <v>GUSTAVO CONTI/ARQUIVO DA EDITORA</v>
      </c>
      <c r="AB1554" s="33"/>
      <c r="AC1554" s="16"/>
      <c r="AE1554" s="35" t="str">
        <f t="shared" si="24"/>
        <v>EF1 E002 Mat</v>
      </c>
    </row>
    <row r="1555" spans="1:31" ht="60" x14ac:dyDescent="0.25">
      <c r="A1555" s="31" t="s">
        <v>3248</v>
      </c>
      <c r="B1555" s="16" t="s">
        <v>32</v>
      </c>
      <c r="C1555" s="16" t="s">
        <v>164</v>
      </c>
      <c r="D1555" s="33" t="s">
        <v>34</v>
      </c>
      <c r="E1555" s="33">
        <v>210</v>
      </c>
      <c r="F1555" s="33">
        <v>4</v>
      </c>
      <c r="G1555" s="33">
        <v>10</v>
      </c>
      <c r="H1555" s="33"/>
      <c r="I1555" s="31" t="s">
        <v>35</v>
      </c>
      <c r="J1555" s="31"/>
      <c r="K1555" s="33"/>
      <c r="L1555" s="33"/>
      <c r="M1555" s="31"/>
      <c r="N1555" s="31"/>
      <c r="O1555" s="16" t="s">
        <v>3249</v>
      </c>
      <c r="P1555" s="16"/>
      <c r="Q1555" s="16"/>
      <c r="R1555" s="33">
        <v>40</v>
      </c>
      <c r="S1555" s="34">
        <v>45790</v>
      </c>
      <c r="T1555" s="34">
        <v>45790</v>
      </c>
      <c r="U1555" s="34"/>
      <c r="V1555" s="34"/>
      <c r="W1555" s="34">
        <v>45791</v>
      </c>
      <c r="X1555" s="33" t="s">
        <v>1126</v>
      </c>
      <c r="Y1555" s="35" t="str">
        <f>IF(Tabela2[[#This Row],[SIGLA]]="","",VLOOKUP(Tabela2[[#This Row],[SIGLA]],Tabela1[[#All],[Sigla Arte]:[Crédito]],2,0))</f>
        <v>GUSTAVO CONTI/ARQUIVO DA EDITORA</v>
      </c>
      <c r="Z1555" s="31" t="s">
        <v>368</v>
      </c>
      <c r="AA1555" s="31" t="str">
        <f>Tabela2[[#This Row],[ILUSTRADOR CRIAÇÃO]]</f>
        <v>GUSTAVO CONTI/ARQUIVO DA EDITORA</v>
      </c>
      <c r="AB1555" s="33">
        <v>14</v>
      </c>
      <c r="AC1555" s="16" t="s">
        <v>39</v>
      </c>
      <c r="AD1555" s="16" t="s">
        <v>40</v>
      </c>
      <c r="AE1555" s="35" t="str">
        <f t="shared" si="24"/>
        <v>EF1 E002 Mat</v>
      </c>
    </row>
    <row r="1556" spans="1:31" ht="105" x14ac:dyDescent="0.25">
      <c r="A1556" s="31" t="s">
        <v>3250</v>
      </c>
      <c r="B1556" s="16" t="s">
        <v>32</v>
      </c>
      <c r="C1556" s="16" t="s">
        <v>164</v>
      </c>
      <c r="D1556" s="33" t="s">
        <v>34</v>
      </c>
      <c r="E1556" s="33">
        <v>210</v>
      </c>
      <c r="F1556" s="33">
        <v>4</v>
      </c>
      <c r="G1556" s="33">
        <v>10</v>
      </c>
      <c r="H1556" s="33"/>
      <c r="I1556" s="31" t="s">
        <v>35</v>
      </c>
      <c r="J1556" s="31"/>
      <c r="K1556" s="33"/>
      <c r="L1556" s="33"/>
      <c r="M1556" s="31"/>
      <c r="N1556" s="31"/>
      <c r="O1556" s="16" t="s">
        <v>3251</v>
      </c>
      <c r="P1556" s="16"/>
      <c r="Q1556" s="16"/>
      <c r="R1556" s="33">
        <v>40</v>
      </c>
      <c r="S1556" s="34">
        <v>45790</v>
      </c>
      <c r="T1556" s="34">
        <v>45790</v>
      </c>
      <c r="U1556" s="34"/>
      <c r="V1556" s="34"/>
      <c r="W1556" s="34">
        <v>45791</v>
      </c>
      <c r="X1556" s="33" t="s">
        <v>1126</v>
      </c>
      <c r="Y1556" s="35" t="str">
        <f>IF(Tabela2[[#This Row],[SIGLA]]="","",VLOOKUP(Tabela2[[#This Row],[SIGLA]],Tabela1[[#All],[Sigla Arte]:[Crédito]],2,0))</f>
        <v>GUSTAVO CONTI/ARQUIVO DA EDITORA</v>
      </c>
      <c r="Z1556" s="31" t="s">
        <v>368</v>
      </c>
      <c r="AA1556" s="31" t="str">
        <f>Tabela2[[#This Row],[ILUSTRADOR CRIAÇÃO]]</f>
        <v>GUSTAVO CONTI/ARQUIVO DA EDITORA</v>
      </c>
      <c r="AB1556" s="33">
        <v>14</v>
      </c>
      <c r="AC1556" s="16" t="s">
        <v>39</v>
      </c>
      <c r="AD1556" s="16" t="s">
        <v>40</v>
      </c>
      <c r="AE1556" s="35" t="str">
        <f t="shared" si="24"/>
        <v>EF1 E002 Mat</v>
      </c>
    </row>
    <row r="1557" spans="1:31" ht="90" x14ac:dyDescent="0.25">
      <c r="A1557" s="31" t="s">
        <v>3252</v>
      </c>
      <c r="B1557" s="16" t="s">
        <v>32</v>
      </c>
      <c r="C1557" s="16" t="s">
        <v>164</v>
      </c>
      <c r="D1557" s="33" t="s">
        <v>34</v>
      </c>
      <c r="E1557" s="33">
        <v>211</v>
      </c>
      <c r="F1557" s="33">
        <v>4</v>
      </c>
      <c r="G1557" s="33">
        <v>10</v>
      </c>
      <c r="H1557" s="33"/>
      <c r="I1557" s="31" t="s">
        <v>35</v>
      </c>
      <c r="J1557" s="31"/>
      <c r="K1557" s="33"/>
      <c r="L1557" s="33"/>
      <c r="M1557" s="31"/>
      <c r="N1557" s="31"/>
      <c r="O1557" s="16" t="s">
        <v>3253</v>
      </c>
      <c r="P1557" s="16"/>
      <c r="Q1557" s="16"/>
      <c r="R1557" s="33">
        <v>40</v>
      </c>
      <c r="S1557" s="34">
        <v>45790</v>
      </c>
      <c r="T1557" s="34">
        <v>45790</v>
      </c>
      <c r="U1557" s="34"/>
      <c r="V1557" s="34"/>
      <c r="W1557" s="34">
        <v>45791</v>
      </c>
      <c r="X1557" s="33" t="s">
        <v>1126</v>
      </c>
      <c r="Y1557" s="35" t="str">
        <f>IF(Tabela2[[#This Row],[SIGLA]]="","",VLOOKUP(Tabela2[[#This Row],[SIGLA]],Tabela1[[#All],[Sigla Arte]:[Crédito]],2,0))</f>
        <v>GUSTAVO CONTI/ARQUIVO DA EDITORA</v>
      </c>
      <c r="Z1557" s="31" t="s">
        <v>368</v>
      </c>
      <c r="AA1557" s="31" t="str">
        <f>Tabela2[[#This Row],[ILUSTRADOR CRIAÇÃO]]</f>
        <v>GUSTAVO CONTI/ARQUIVO DA EDITORA</v>
      </c>
      <c r="AB1557" s="33">
        <v>14</v>
      </c>
      <c r="AC1557" s="16" t="s">
        <v>39</v>
      </c>
      <c r="AD1557" s="16" t="s">
        <v>40</v>
      </c>
      <c r="AE1557" s="35" t="str">
        <f t="shared" si="24"/>
        <v>EF1 E002 Mat</v>
      </c>
    </row>
    <row r="1558" spans="1:31" ht="45" x14ac:dyDescent="0.25">
      <c r="A1558" s="31" t="s">
        <v>3254</v>
      </c>
      <c r="B1558" s="16" t="s">
        <v>32</v>
      </c>
      <c r="C1558" s="16" t="s">
        <v>33</v>
      </c>
      <c r="D1558" s="33" t="s">
        <v>34</v>
      </c>
      <c r="E1558" s="33">
        <v>211</v>
      </c>
      <c r="F1558" s="33">
        <v>4</v>
      </c>
      <c r="G1558" s="33">
        <v>10</v>
      </c>
      <c r="H1558" s="33"/>
      <c r="I1558" s="31" t="s">
        <v>46</v>
      </c>
      <c r="J1558" s="31"/>
      <c r="K1558" s="33"/>
      <c r="L1558" s="33"/>
      <c r="M1558" s="31"/>
      <c r="N1558" s="31"/>
      <c r="O1558" s="16" t="s">
        <v>3255</v>
      </c>
      <c r="P1558" s="16"/>
      <c r="Q1558" s="16"/>
      <c r="R1558" s="33"/>
      <c r="S1558" s="34"/>
      <c r="T1558" s="34"/>
      <c r="U1558" s="34"/>
      <c r="V1558" s="34"/>
      <c r="W1558" s="34"/>
      <c r="X1558" s="33" t="s">
        <v>48</v>
      </c>
      <c r="Y1558" s="35" t="str">
        <f>IF(Tabela2[[#This Row],[SIGLA]]="","",VLOOKUP(Tabela2[[#This Row],[SIGLA]],Tabela1[[#All],[Sigla Arte]:[Crédito]],2,0))</f>
        <v>SERGIO LIMA/ARQUIVO DA EDITORA</v>
      </c>
      <c r="Z1558" s="31"/>
      <c r="AA1558" s="31" t="str">
        <f>Tabela2[[#This Row],[ILUSTRADOR CRIAÇÃO]]</f>
        <v>SERGIO LIMA/ARQUIVO DA EDITORA</v>
      </c>
      <c r="AB1558" s="33"/>
      <c r="AC1558" s="16"/>
      <c r="AE1558" s="35" t="str">
        <f t="shared" si="24"/>
        <v>EF1 E002 Mat</v>
      </c>
    </row>
    <row r="1559" spans="1:31" ht="60" x14ac:dyDescent="0.25">
      <c r="A1559" s="31" t="s">
        <v>3256</v>
      </c>
      <c r="B1559" s="16" t="s">
        <v>32</v>
      </c>
      <c r="C1559" s="16" t="s">
        <v>33</v>
      </c>
      <c r="D1559" s="33" t="s">
        <v>34</v>
      </c>
      <c r="E1559" s="33">
        <v>211</v>
      </c>
      <c r="F1559" s="33">
        <v>4</v>
      </c>
      <c r="G1559" s="33">
        <v>10</v>
      </c>
      <c r="H1559" s="33"/>
      <c r="I1559" s="31" t="s">
        <v>46</v>
      </c>
      <c r="J1559" s="31"/>
      <c r="K1559" s="33"/>
      <c r="L1559" s="33"/>
      <c r="M1559" s="31"/>
      <c r="N1559" s="31"/>
      <c r="O1559" s="16" t="s">
        <v>3257</v>
      </c>
      <c r="P1559" s="16"/>
      <c r="Q1559" s="16"/>
      <c r="R1559" s="33"/>
      <c r="S1559" s="34"/>
      <c r="T1559" s="34"/>
      <c r="U1559" s="34"/>
      <c r="V1559" s="34"/>
      <c r="W1559" s="34"/>
      <c r="X1559" s="33" t="s">
        <v>48</v>
      </c>
      <c r="Y1559" s="35" t="str">
        <f>IF(Tabela2[[#This Row],[SIGLA]]="","",VLOOKUP(Tabela2[[#This Row],[SIGLA]],Tabela1[[#All],[Sigla Arte]:[Crédito]],2,0))</f>
        <v>SERGIO LIMA/ARQUIVO DA EDITORA</v>
      </c>
      <c r="Z1559" s="31"/>
      <c r="AA1559" s="31" t="str">
        <f>Tabela2[[#This Row],[ILUSTRADOR CRIAÇÃO]]</f>
        <v>SERGIO LIMA/ARQUIVO DA EDITORA</v>
      </c>
      <c r="AB1559" s="33"/>
      <c r="AC1559" s="16"/>
      <c r="AE1559" s="35" t="str">
        <f t="shared" si="24"/>
        <v>EF1 E002 Mat</v>
      </c>
    </row>
    <row r="1560" spans="1:31" ht="45" x14ac:dyDescent="0.25">
      <c r="A1560" s="31" t="s">
        <v>3258</v>
      </c>
      <c r="B1560" s="16" t="s">
        <v>32</v>
      </c>
      <c r="C1560" s="16" t="s">
        <v>33</v>
      </c>
      <c r="D1560" s="33" t="s">
        <v>34</v>
      </c>
      <c r="E1560" s="33">
        <v>211</v>
      </c>
      <c r="F1560" s="33">
        <v>4</v>
      </c>
      <c r="G1560" s="33">
        <v>10</v>
      </c>
      <c r="H1560" s="33"/>
      <c r="I1560" s="31" t="s">
        <v>46</v>
      </c>
      <c r="J1560" s="31"/>
      <c r="K1560" s="33"/>
      <c r="L1560" s="33"/>
      <c r="M1560" s="31"/>
      <c r="N1560" s="31"/>
      <c r="O1560" s="16" t="s">
        <v>3259</v>
      </c>
      <c r="P1560" s="16"/>
      <c r="Q1560" s="16"/>
      <c r="R1560" s="33"/>
      <c r="S1560" s="34"/>
      <c r="T1560" s="34"/>
      <c r="U1560" s="34"/>
      <c r="V1560" s="34"/>
      <c r="W1560" s="34"/>
      <c r="X1560" s="33" t="s">
        <v>48</v>
      </c>
      <c r="Y1560" s="35" t="str">
        <f>IF(Tabela2[[#This Row],[SIGLA]]="","",VLOOKUP(Tabela2[[#This Row],[SIGLA]],Tabela1[[#All],[Sigla Arte]:[Crédito]],2,0))</f>
        <v>SERGIO LIMA/ARQUIVO DA EDITORA</v>
      </c>
      <c r="Z1560" s="31"/>
      <c r="AA1560" s="31" t="str">
        <f>Tabela2[[#This Row],[ILUSTRADOR CRIAÇÃO]]</f>
        <v>SERGIO LIMA/ARQUIVO DA EDITORA</v>
      </c>
      <c r="AB1560" s="33"/>
      <c r="AC1560" s="16"/>
      <c r="AE1560" s="35" t="str">
        <f t="shared" si="24"/>
        <v>EF1 E002 Mat</v>
      </c>
    </row>
    <row r="1561" spans="1:31" ht="45" x14ac:dyDescent="0.25">
      <c r="A1561" s="31" t="s">
        <v>3260</v>
      </c>
      <c r="B1561" s="16" t="s">
        <v>32</v>
      </c>
      <c r="C1561" s="16" t="s">
        <v>33</v>
      </c>
      <c r="D1561" s="33" t="s">
        <v>34</v>
      </c>
      <c r="E1561" s="33">
        <v>211</v>
      </c>
      <c r="F1561" s="33">
        <v>4</v>
      </c>
      <c r="G1561" s="33">
        <v>10</v>
      </c>
      <c r="H1561" s="33"/>
      <c r="I1561" s="31" t="s">
        <v>46</v>
      </c>
      <c r="J1561" s="31"/>
      <c r="K1561" s="33"/>
      <c r="L1561" s="33"/>
      <c r="M1561" s="31"/>
      <c r="N1561" s="31"/>
      <c r="O1561" s="16" t="s">
        <v>3261</v>
      </c>
      <c r="P1561" s="16"/>
      <c r="Q1561" s="16"/>
      <c r="R1561" s="33"/>
      <c r="S1561" s="34"/>
      <c r="T1561" s="34"/>
      <c r="U1561" s="34"/>
      <c r="V1561" s="34"/>
      <c r="W1561" s="34"/>
      <c r="X1561" s="33" t="s">
        <v>48</v>
      </c>
      <c r="Y1561" s="35" t="str">
        <f>IF(Tabela2[[#This Row],[SIGLA]]="","",VLOOKUP(Tabela2[[#This Row],[SIGLA]],Tabela1[[#All],[Sigla Arte]:[Crédito]],2,0))</f>
        <v>SERGIO LIMA/ARQUIVO DA EDITORA</v>
      </c>
      <c r="Z1561" s="31"/>
      <c r="AA1561" s="31" t="str">
        <f>Tabela2[[#This Row],[ILUSTRADOR CRIAÇÃO]]</f>
        <v>SERGIO LIMA/ARQUIVO DA EDITORA</v>
      </c>
      <c r="AB1561" s="33"/>
      <c r="AC1561" s="16"/>
      <c r="AE1561" s="35" t="str">
        <f t="shared" si="24"/>
        <v>EF1 E002 Mat</v>
      </c>
    </row>
    <row r="1562" spans="1:31" ht="45" x14ac:dyDescent="0.25">
      <c r="A1562" s="31" t="s">
        <v>3262</v>
      </c>
      <c r="B1562" s="16" t="s">
        <v>32</v>
      </c>
      <c r="C1562" s="16" t="s">
        <v>164</v>
      </c>
      <c r="D1562" s="33" t="s">
        <v>34</v>
      </c>
      <c r="E1562" s="33">
        <v>192</v>
      </c>
      <c r="F1562" s="33">
        <v>4</v>
      </c>
      <c r="G1562" s="33">
        <v>10</v>
      </c>
      <c r="H1562" s="33"/>
      <c r="I1562" s="31" t="s">
        <v>46</v>
      </c>
      <c r="J1562" s="31"/>
      <c r="K1562" s="33"/>
      <c r="L1562" s="33"/>
      <c r="M1562" s="31"/>
      <c r="N1562" s="31"/>
      <c r="O1562" s="16" t="s">
        <v>3263</v>
      </c>
      <c r="P1562" s="16"/>
      <c r="Q1562" s="16"/>
      <c r="R1562" s="33"/>
      <c r="S1562" s="34"/>
      <c r="T1562" s="34"/>
      <c r="U1562" s="34"/>
      <c r="V1562" s="34"/>
      <c r="W1562" s="34"/>
      <c r="X1562" s="33" t="s">
        <v>1126</v>
      </c>
      <c r="Y1562" s="35" t="str">
        <f>IF(Tabela2[[#This Row],[SIGLA]]="","",VLOOKUP(Tabela2[[#This Row],[SIGLA]],Tabela1[[#All],[Sigla Arte]:[Crédito]],2,0))</f>
        <v>GUSTAVO CONTI/ARQUIVO DA EDITORA</v>
      </c>
      <c r="Z1562" s="31"/>
      <c r="AA1562" s="31" t="str">
        <f>Tabela2[[#This Row],[ILUSTRADOR CRIAÇÃO]]</f>
        <v>GUSTAVO CONTI/ARQUIVO DA EDITORA</v>
      </c>
      <c r="AB1562" s="33"/>
      <c r="AC1562" s="16"/>
      <c r="AE1562" s="35" t="str">
        <f t="shared" si="24"/>
        <v>EF1 E002 Mat</v>
      </c>
    </row>
    <row r="1563" spans="1:31" ht="45" x14ac:dyDescent="0.25">
      <c r="A1563" s="31" t="s">
        <v>3264</v>
      </c>
      <c r="B1563" s="16" t="s">
        <v>32</v>
      </c>
      <c r="C1563" s="16" t="s">
        <v>164</v>
      </c>
      <c r="D1563" s="33" t="s">
        <v>34</v>
      </c>
      <c r="E1563" s="33">
        <v>212</v>
      </c>
      <c r="F1563" s="33">
        <v>4</v>
      </c>
      <c r="G1563" s="33">
        <v>10</v>
      </c>
      <c r="H1563" s="33"/>
      <c r="I1563" s="31" t="s">
        <v>46</v>
      </c>
      <c r="J1563" s="31"/>
      <c r="K1563" s="33"/>
      <c r="L1563" s="33"/>
      <c r="M1563" s="31"/>
      <c r="N1563" s="31"/>
      <c r="O1563" s="16" t="s">
        <v>3265</v>
      </c>
      <c r="P1563" s="16"/>
      <c r="Q1563" s="16"/>
      <c r="R1563" s="33"/>
      <c r="S1563" s="34"/>
      <c r="T1563" s="34"/>
      <c r="U1563" s="34"/>
      <c r="V1563" s="34"/>
      <c r="W1563" s="34"/>
      <c r="X1563" s="33" t="s">
        <v>1126</v>
      </c>
      <c r="Y1563" s="35" t="str">
        <f>IF(Tabela2[[#This Row],[SIGLA]]="","",VLOOKUP(Tabela2[[#This Row],[SIGLA]],Tabela1[[#All],[Sigla Arte]:[Crédito]],2,0))</f>
        <v>GUSTAVO CONTI/ARQUIVO DA EDITORA</v>
      </c>
      <c r="Z1563" s="31"/>
      <c r="AA1563" s="31" t="str">
        <f>Tabela2[[#This Row],[ILUSTRADOR CRIAÇÃO]]</f>
        <v>GUSTAVO CONTI/ARQUIVO DA EDITORA</v>
      </c>
      <c r="AB1563" s="33"/>
      <c r="AC1563" s="16"/>
      <c r="AE1563" s="35" t="str">
        <f t="shared" si="24"/>
        <v>EF1 E002 Mat</v>
      </c>
    </row>
    <row r="1564" spans="1:31" ht="45" x14ac:dyDescent="0.25">
      <c r="A1564" s="31" t="s">
        <v>3266</v>
      </c>
      <c r="B1564" s="16" t="s">
        <v>32</v>
      </c>
      <c r="C1564" s="16" t="s">
        <v>164</v>
      </c>
      <c r="D1564" s="33" t="s">
        <v>34</v>
      </c>
      <c r="E1564" s="33">
        <v>212</v>
      </c>
      <c r="F1564" s="33">
        <v>4</v>
      </c>
      <c r="G1564" s="33">
        <v>10</v>
      </c>
      <c r="H1564" s="33"/>
      <c r="I1564" s="31" t="s">
        <v>46</v>
      </c>
      <c r="J1564" s="31"/>
      <c r="K1564" s="33"/>
      <c r="L1564" s="33"/>
      <c r="M1564" s="31"/>
      <c r="N1564" s="31"/>
      <c r="O1564" s="16" t="s">
        <v>3267</v>
      </c>
      <c r="P1564" s="16"/>
      <c r="Q1564" s="16"/>
      <c r="R1564" s="33"/>
      <c r="S1564" s="34"/>
      <c r="T1564" s="34"/>
      <c r="U1564" s="34"/>
      <c r="V1564" s="34"/>
      <c r="W1564" s="34"/>
      <c r="X1564" s="33" t="s">
        <v>1126</v>
      </c>
      <c r="Y1564" s="35" t="str">
        <f>IF(Tabela2[[#This Row],[SIGLA]]="","",VLOOKUP(Tabela2[[#This Row],[SIGLA]],Tabela1[[#All],[Sigla Arte]:[Crédito]],2,0))</f>
        <v>GUSTAVO CONTI/ARQUIVO DA EDITORA</v>
      </c>
      <c r="Z1564" s="31"/>
      <c r="AA1564" s="31" t="str">
        <f>Tabela2[[#This Row],[ILUSTRADOR CRIAÇÃO]]</f>
        <v>GUSTAVO CONTI/ARQUIVO DA EDITORA</v>
      </c>
      <c r="AB1564" s="33"/>
      <c r="AC1564" s="16"/>
      <c r="AE1564" s="35" t="str">
        <f t="shared" si="24"/>
        <v>EF1 E002 Mat</v>
      </c>
    </row>
    <row r="1565" spans="1:31" ht="45" x14ac:dyDescent="0.25">
      <c r="A1565" s="31" t="s">
        <v>3268</v>
      </c>
      <c r="B1565" s="16" t="s">
        <v>32</v>
      </c>
      <c r="C1565" s="16" t="s">
        <v>164</v>
      </c>
      <c r="D1565" s="33" t="s">
        <v>34</v>
      </c>
      <c r="E1565" s="33">
        <v>212</v>
      </c>
      <c r="F1565" s="33">
        <v>4</v>
      </c>
      <c r="G1565" s="33">
        <v>10</v>
      </c>
      <c r="H1565" s="33"/>
      <c r="I1565" s="31" t="s">
        <v>46</v>
      </c>
      <c r="J1565" s="31"/>
      <c r="K1565" s="33"/>
      <c r="L1565" s="33"/>
      <c r="M1565" s="31"/>
      <c r="N1565" s="31"/>
      <c r="O1565" s="16" t="s">
        <v>3269</v>
      </c>
      <c r="P1565" s="16"/>
      <c r="Q1565" s="16"/>
      <c r="R1565" s="33"/>
      <c r="S1565" s="34"/>
      <c r="T1565" s="34"/>
      <c r="U1565" s="34"/>
      <c r="V1565" s="34"/>
      <c r="W1565" s="34"/>
      <c r="X1565" s="33" t="s">
        <v>1126</v>
      </c>
      <c r="Y1565" s="35" t="str">
        <f>IF(Tabela2[[#This Row],[SIGLA]]="","",VLOOKUP(Tabela2[[#This Row],[SIGLA]],Tabela1[[#All],[Sigla Arte]:[Crédito]],2,0))</f>
        <v>GUSTAVO CONTI/ARQUIVO DA EDITORA</v>
      </c>
      <c r="Z1565" s="31"/>
      <c r="AA1565" s="31" t="str">
        <f>Tabela2[[#This Row],[ILUSTRADOR CRIAÇÃO]]</f>
        <v>GUSTAVO CONTI/ARQUIVO DA EDITORA</v>
      </c>
      <c r="AB1565" s="33"/>
      <c r="AC1565" s="16"/>
      <c r="AE1565" s="35" t="str">
        <f t="shared" si="24"/>
        <v>EF1 E002 Mat</v>
      </c>
    </row>
    <row r="1566" spans="1:31" ht="45" x14ac:dyDescent="0.25">
      <c r="A1566" s="31" t="s">
        <v>3270</v>
      </c>
      <c r="B1566" s="16" t="s">
        <v>32</v>
      </c>
      <c r="C1566" s="16" t="s">
        <v>164</v>
      </c>
      <c r="D1566" s="33" t="s">
        <v>34</v>
      </c>
      <c r="E1566" s="33">
        <v>212</v>
      </c>
      <c r="F1566" s="33">
        <v>4</v>
      </c>
      <c r="G1566" s="33">
        <v>10</v>
      </c>
      <c r="H1566" s="33"/>
      <c r="I1566" s="31" t="s">
        <v>46</v>
      </c>
      <c r="J1566" s="31"/>
      <c r="K1566" s="33"/>
      <c r="L1566" s="33"/>
      <c r="M1566" s="31"/>
      <c r="N1566" s="31"/>
      <c r="O1566" s="16" t="s">
        <v>3271</v>
      </c>
      <c r="P1566" s="16"/>
      <c r="Q1566" s="16"/>
      <c r="R1566" s="33"/>
      <c r="S1566" s="34"/>
      <c r="T1566" s="34"/>
      <c r="U1566" s="34"/>
      <c r="V1566" s="34"/>
      <c r="W1566" s="34"/>
      <c r="X1566" s="33" t="s">
        <v>1126</v>
      </c>
      <c r="Y1566" s="35" t="str">
        <f>IF(Tabela2[[#This Row],[SIGLA]]="","",VLOOKUP(Tabela2[[#This Row],[SIGLA]],Tabela1[[#All],[Sigla Arte]:[Crédito]],2,0))</f>
        <v>GUSTAVO CONTI/ARQUIVO DA EDITORA</v>
      </c>
      <c r="Z1566" s="31"/>
      <c r="AA1566" s="31" t="str">
        <f>Tabela2[[#This Row],[ILUSTRADOR CRIAÇÃO]]</f>
        <v>GUSTAVO CONTI/ARQUIVO DA EDITORA</v>
      </c>
      <c r="AB1566" s="33"/>
      <c r="AC1566" s="16"/>
      <c r="AE1566" s="35" t="str">
        <f t="shared" si="24"/>
        <v>EF1 E002 Mat</v>
      </c>
    </row>
    <row r="1567" spans="1:31" ht="45" x14ac:dyDescent="0.25">
      <c r="A1567" s="31" t="s">
        <v>3272</v>
      </c>
      <c r="B1567" s="16" t="s">
        <v>32</v>
      </c>
      <c r="C1567" s="16" t="s">
        <v>33</v>
      </c>
      <c r="D1567" s="33" t="s">
        <v>34</v>
      </c>
      <c r="E1567" s="33">
        <v>213</v>
      </c>
      <c r="F1567" s="33">
        <v>4</v>
      </c>
      <c r="G1567" s="33">
        <v>10</v>
      </c>
      <c r="H1567" s="33"/>
      <c r="I1567" s="31" t="s">
        <v>46</v>
      </c>
      <c r="J1567" s="31"/>
      <c r="K1567" s="33"/>
      <c r="L1567" s="33"/>
      <c r="M1567" s="31"/>
      <c r="N1567" s="31"/>
      <c r="O1567" s="16" t="s">
        <v>3273</v>
      </c>
      <c r="P1567" s="16"/>
      <c r="Q1567" s="16"/>
      <c r="R1567" s="33"/>
      <c r="S1567" s="34"/>
      <c r="T1567" s="34"/>
      <c r="U1567" s="34"/>
      <c r="V1567" s="34"/>
      <c r="W1567" s="34"/>
      <c r="X1567" s="33" t="s">
        <v>1126</v>
      </c>
      <c r="Y1567" s="35" t="str">
        <f>IF(Tabela2[[#This Row],[SIGLA]]="","",VLOOKUP(Tabela2[[#This Row],[SIGLA]],Tabela1[[#All],[Sigla Arte]:[Crédito]],2,0))</f>
        <v>GUSTAVO CONTI/ARQUIVO DA EDITORA</v>
      </c>
      <c r="Z1567" s="31"/>
      <c r="AA1567" s="31" t="str">
        <f>Tabela2[[#This Row],[ILUSTRADOR CRIAÇÃO]]</f>
        <v>GUSTAVO CONTI/ARQUIVO DA EDITORA</v>
      </c>
      <c r="AB1567" s="33"/>
      <c r="AC1567" s="16"/>
      <c r="AE1567" s="35" t="str">
        <f t="shared" si="24"/>
        <v>EF1 E002 Mat</v>
      </c>
    </row>
    <row r="1568" spans="1:31" ht="30" x14ac:dyDescent="0.25">
      <c r="A1568" s="31" t="s">
        <v>3274</v>
      </c>
      <c r="B1568" s="16" t="s">
        <v>32</v>
      </c>
      <c r="C1568" s="16" t="s">
        <v>33</v>
      </c>
      <c r="D1568" s="33" t="s">
        <v>34</v>
      </c>
      <c r="E1568" s="33">
        <v>213</v>
      </c>
      <c r="F1568" s="33">
        <v>4</v>
      </c>
      <c r="G1568" s="33">
        <v>10</v>
      </c>
      <c r="H1568" s="33"/>
      <c r="I1568" s="31" t="s">
        <v>46</v>
      </c>
      <c r="J1568" s="31"/>
      <c r="K1568" s="33"/>
      <c r="L1568" s="33"/>
      <c r="M1568" s="31"/>
      <c r="N1568" s="31"/>
      <c r="O1568" s="16" t="s">
        <v>3275</v>
      </c>
      <c r="P1568" s="16"/>
      <c r="Q1568" s="16"/>
      <c r="R1568" s="33"/>
      <c r="S1568" s="34"/>
      <c r="T1568" s="34"/>
      <c r="U1568" s="34"/>
      <c r="V1568" s="34"/>
      <c r="W1568" s="34"/>
      <c r="X1568" s="33" t="s">
        <v>1126</v>
      </c>
      <c r="Y1568" s="35" t="str">
        <f>IF(Tabela2[[#This Row],[SIGLA]]="","",VLOOKUP(Tabela2[[#This Row],[SIGLA]],Tabela1[[#All],[Sigla Arte]:[Crédito]],2,0))</f>
        <v>GUSTAVO CONTI/ARQUIVO DA EDITORA</v>
      </c>
      <c r="Z1568" s="31"/>
      <c r="AA1568" s="31" t="str">
        <f>Tabela2[[#This Row],[ILUSTRADOR CRIAÇÃO]]</f>
        <v>GUSTAVO CONTI/ARQUIVO DA EDITORA</v>
      </c>
      <c r="AB1568" s="33"/>
      <c r="AC1568" s="16"/>
      <c r="AE1568" s="35" t="str">
        <f t="shared" si="24"/>
        <v>EF1 E002 Mat</v>
      </c>
    </row>
    <row r="1569" spans="1:31" ht="45" x14ac:dyDescent="0.25">
      <c r="A1569" s="31" t="s">
        <v>3276</v>
      </c>
      <c r="B1569" s="16" t="s">
        <v>32</v>
      </c>
      <c r="C1569" s="16" t="s">
        <v>33</v>
      </c>
      <c r="D1569" s="33" t="s">
        <v>34</v>
      </c>
      <c r="E1569" s="33">
        <v>213</v>
      </c>
      <c r="F1569" s="33">
        <v>4</v>
      </c>
      <c r="G1569" s="33">
        <v>10</v>
      </c>
      <c r="H1569" s="33"/>
      <c r="I1569" s="31" t="s">
        <v>46</v>
      </c>
      <c r="J1569" s="31"/>
      <c r="K1569" s="33"/>
      <c r="L1569" s="33"/>
      <c r="M1569" s="31"/>
      <c r="N1569" s="31"/>
      <c r="O1569" s="16" t="s">
        <v>3277</v>
      </c>
      <c r="P1569" s="16"/>
      <c r="Q1569" s="16"/>
      <c r="R1569" s="33"/>
      <c r="S1569" s="34"/>
      <c r="T1569" s="34"/>
      <c r="U1569" s="34"/>
      <c r="V1569" s="34"/>
      <c r="W1569" s="34"/>
      <c r="X1569" s="33" t="s">
        <v>1126</v>
      </c>
      <c r="Y1569" s="35" t="str">
        <f>IF(Tabela2[[#This Row],[SIGLA]]="","",VLOOKUP(Tabela2[[#This Row],[SIGLA]],Tabela1[[#All],[Sigla Arte]:[Crédito]],2,0))</f>
        <v>GUSTAVO CONTI/ARQUIVO DA EDITORA</v>
      </c>
      <c r="Z1569" s="31"/>
      <c r="AA1569" s="31" t="str">
        <f>Tabela2[[#This Row],[ILUSTRADOR CRIAÇÃO]]</f>
        <v>GUSTAVO CONTI/ARQUIVO DA EDITORA</v>
      </c>
      <c r="AB1569" s="33"/>
      <c r="AC1569" s="16"/>
      <c r="AE1569" s="35" t="str">
        <f t="shared" si="24"/>
        <v>EF1 E002 Mat</v>
      </c>
    </row>
    <row r="1570" spans="1:31" ht="45" x14ac:dyDescent="0.25">
      <c r="A1570" s="31" t="s">
        <v>3278</v>
      </c>
      <c r="B1570" s="16" t="s">
        <v>32</v>
      </c>
      <c r="C1570" s="16" t="s">
        <v>33</v>
      </c>
      <c r="D1570" s="33" t="s">
        <v>34</v>
      </c>
      <c r="E1570" s="33">
        <v>213</v>
      </c>
      <c r="F1570" s="33">
        <v>4</v>
      </c>
      <c r="G1570" s="33">
        <v>10</v>
      </c>
      <c r="H1570" s="33"/>
      <c r="I1570" s="31" t="s">
        <v>46</v>
      </c>
      <c r="J1570" s="31"/>
      <c r="K1570" s="33"/>
      <c r="L1570" s="33"/>
      <c r="M1570" s="31"/>
      <c r="N1570" s="31"/>
      <c r="O1570" s="16" t="s">
        <v>3279</v>
      </c>
      <c r="P1570" s="16"/>
      <c r="Q1570" s="16"/>
      <c r="R1570" s="33"/>
      <c r="S1570" s="34"/>
      <c r="T1570" s="34"/>
      <c r="U1570" s="34"/>
      <c r="V1570" s="34"/>
      <c r="W1570" s="34"/>
      <c r="X1570" s="33" t="s">
        <v>1126</v>
      </c>
      <c r="Y1570" s="35" t="str">
        <f>IF(Tabela2[[#This Row],[SIGLA]]="","",VLOOKUP(Tabela2[[#This Row],[SIGLA]],Tabela1[[#All],[Sigla Arte]:[Crédito]],2,0))</f>
        <v>GUSTAVO CONTI/ARQUIVO DA EDITORA</v>
      </c>
      <c r="Z1570" s="31"/>
      <c r="AA1570" s="31" t="str">
        <f>Tabela2[[#This Row],[ILUSTRADOR CRIAÇÃO]]</f>
        <v>GUSTAVO CONTI/ARQUIVO DA EDITORA</v>
      </c>
      <c r="AB1570" s="33"/>
      <c r="AC1570" s="16"/>
      <c r="AE1570" s="35" t="str">
        <f t="shared" si="24"/>
        <v>EF1 E002 Mat</v>
      </c>
    </row>
    <row r="1571" spans="1:31" ht="60" x14ac:dyDescent="0.25">
      <c r="A1571" s="31" t="s">
        <v>3280</v>
      </c>
      <c r="B1571" s="16" t="s">
        <v>32</v>
      </c>
      <c r="C1571" s="16" t="s">
        <v>33</v>
      </c>
      <c r="D1571" s="33" t="s">
        <v>34</v>
      </c>
      <c r="E1571" s="33">
        <v>213</v>
      </c>
      <c r="F1571" s="33">
        <v>4</v>
      </c>
      <c r="G1571" s="33">
        <v>10</v>
      </c>
      <c r="H1571" s="33"/>
      <c r="I1571" s="31" t="s">
        <v>46</v>
      </c>
      <c r="J1571" s="31"/>
      <c r="K1571" s="33"/>
      <c r="L1571" s="33"/>
      <c r="M1571" s="31"/>
      <c r="N1571" s="31"/>
      <c r="O1571" s="16" t="s">
        <v>3281</v>
      </c>
      <c r="P1571" s="16"/>
      <c r="Q1571" s="16"/>
      <c r="R1571" s="33"/>
      <c r="S1571" s="34"/>
      <c r="T1571" s="34"/>
      <c r="U1571" s="34"/>
      <c r="V1571" s="34"/>
      <c r="W1571" s="34"/>
      <c r="X1571" s="33" t="s">
        <v>1126</v>
      </c>
      <c r="Y1571" s="35" t="str">
        <f>IF(Tabela2[[#This Row],[SIGLA]]="","",VLOOKUP(Tabela2[[#This Row],[SIGLA]],Tabela1[[#All],[Sigla Arte]:[Crédito]],2,0))</f>
        <v>GUSTAVO CONTI/ARQUIVO DA EDITORA</v>
      </c>
      <c r="Z1571" s="31"/>
      <c r="AA1571" s="31" t="str">
        <f>Tabela2[[#This Row],[ILUSTRADOR CRIAÇÃO]]</f>
        <v>GUSTAVO CONTI/ARQUIVO DA EDITORA</v>
      </c>
      <c r="AB1571" s="33"/>
      <c r="AC1571" s="16"/>
      <c r="AE1571" s="35" t="str">
        <f t="shared" si="24"/>
        <v>EF1 E002 Mat</v>
      </c>
    </row>
    <row r="1572" spans="1:31" ht="45" x14ac:dyDescent="0.25">
      <c r="A1572" s="31" t="s">
        <v>3282</v>
      </c>
      <c r="B1572" s="16" t="s">
        <v>32</v>
      </c>
      <c r="C1572" s="16" t="s">
        <v>33</v>
      </c>
      <c r="D1572" s="33" t="s">
        <v>34</v>
      </c>
      <c r="E1572" s="33">
        <v>213</v>
      </c>
      <c r="F1572" s="33">
        <v>4</v>
      </c>
      <c r="G1572" s="33">
        <v>10</v>
      </c>
      <c r="H1572" s="33"/>
      <c r="I1572" s="31" t="s">
        <v>46</v>
      </c>
      <c r="J1572" s="31"/>
      <c r="K1572" s="33"/>
      <c r="L1572" s="33"/>
      <c r="M1572" s="31"/>
      <c r="N1572" s="31"/>
      <c r="O1572" s="16" t="s">
        <v>3283</v>
      </c>
      <c r="P1572" s="16"/>
      <c r="Q1572" s="16"/>
      <c r="R1572" s="33"/>
      <c r="S1572" s="34"/>
      <c r="T1572" s="34"/>
      <c r="U1572" s="34"/>
      <c r="V1572" s="34"/>
      <c r="W1572" s="34"/>
      <c r="X1572" s="33" t="s">
        <v>1126</v>
      </c>
      <c r="Y1572" s="35" t="str">
        <f>IF(Tabela2[[#This Row],[SIGLA]]="","",VLOOKUP(Tabela2[[#This Row],[SIGLA]],Tabela1[[#All],[Sigla Arte]:[Crédito]],2,0))</f>
        <v>GUSTAVO CONTI/ARQUIVO DA EDITORA</v>
      </c>
      <c r="Z1572" s="31"/>
      <c r="AA1572" s="31" t="str">
        <f>Tabela2[[#This Row],[ILUSTRADOR CRIAÇÃO]]</f>
        <v>GUSTAVO CONTI/ARQUIVO DA EDITORA</v>
      </c>
      <c r="AB1572" s="33"/>
      <c r="AC1572" s="16"/>
      <c r="AE1572" s="35" t="str">
        <f t="shared" si="24"/>
        <v>EF1 E002 Mat</v>
      </c>
    </row>
    <row r="1573" spans="1:31" ht="45" x14ac:dyDescent="0.25">
      <c r="A1573" s="31" t="s">
        <v>3284</v>
      </c>
      <c r="B1573" s="16" t="s">
        <v>32</v>
      </c>
      <c r="C1573" s="16" t="s">
        <v>33</v>
      </c>
      <c r="D1573" s="33" t="s">
        <v>34</v>
      </c>
      <c r="E1573" s="33">
        <v>213</v>
      </c>
      <c r="F1573" s="33">
        <v>4</v>
      </c>
      <c r="G1573" s="33">
        <v>10</v>
      </c>
      <c r="H1573" s="33"/>
      <c r="I1573" s="31" t="s">
        <v>46</v>
      </c>
      <c r="J1573" s="31"/>
      <c r="K1573" s="33"/>
      <c r="L1573" s="33"/>
      <c r="M1573" s="31"/>
      <c r="N1573" s="31"/>
      <c r="O1573" s="16" t="s">
        <v>3285</v>
      </c>
      <c r="P1573" s="16"/>
      <c r="Q1573" s="16"/>
      <c r="R1573" s="33"/>
      <c r="S1573" s="34"/>
      <c r="T1573" s="34"/>
      <c r="U1573" s="34"/>
      <c r="V1573" s="34"/>
      <c r="W1573" s="34"/>
      <c r="X1573" s="33" t="s">
        <v>1126</v>
      </c>
      <c r="Y1573" s="35" t="str">
        <f>IF(Tabela2[[#This Row],[SIGLA]]="","",VLOOKUP(Tabela2[[#This Row],[SIGLA]],Tabela1[[#All],[Sigla Arte]:[Crédito]],2,0))</f>
        <v>GUSTAVO CONTI/ARQUIVO DA EDITORA</v>
      </c>
      <c r="Z1573" s="31"/>
      <c r="AA1573" s="31" t="str">
        <f>Tabela2[[#This Row],[ILUSTRADOR CRIAÇÃO]]</f>
        <v>GUSTAVO CONTI/ARQUIVO DA EDITORA</v>
      </c>
      <c r="AB1573" s="33"/>
      <c r="AC1573" s="16"/>
      <c r="AE1573" s="35" t="str">
        <f t="shared" si="24"/>
        <v>EF1 E002 Mat</v>
      </c>
    </row>
    <row r="1574" spans="1:31" ht="45" x14ac:dyDescent="0.25">
      <c r="A1574" s="31" t="s">
        <v>3286</v>
      </c>
      <c r="B1574" s="16" t="s">
        <v>32</v>
      </c>
      <c r="C1574" s="16" t="s">
        <v>33</v>
      </c>
      <c r="D1574" s="33" t="s">
        <v>34</v>
      </c>
      <c r="E1574" s="33">
        <v>213</v>
      </c>
      <c r="F1574" s="33">
        <v>4</v>
      </c>
      <c r="G1574" s="33">
        <v>10</v>
      </c>
      <c r="H1574" s="33"/>
      <c r="I1574" s="31" t="s">
        <v>46</v>
      </c>
      <c r="J1574" s="31"/>
      <c r="K1574" s="33"/>
      <c r="L1574" s="33"/>
      <c r="M1574" s="31"/>
      <c r="N1574" s="31"/>
      <c r="O1574" s="16" t="s">
        <v>3287</v>
      </c>
      <c r="P1574" s="16"/>
      <c r="Q1574" s="16"/>
      <c r="R1574" s="33"/>
      <c r="S1574" s="34"/>
      <c r="T1574" s="34"/>
      <c r="U1574" s="34"/>
      <c r="V1574" s="34"/>
      <c r="W1574" s="34"/>
      <c r="X1574" s="33" t="s">
        <v>1126</v>
      </c>
      <c r="Y1574" s="35" t="str">
        <f>IF(Tabela2[[#This Row],[SIGLA]]="","",VLOOKUP(Tabela2[[#This Row],[SIGLA]],Tabela1[[#All],[Sigla Arte]:[Crédito]],2,0))</f>
        <v>GUSTAVO CONTI/ARQUIVO DA EDITORA</v>
      </c>
      <c r="Z1574" s="31"/>
      <c r="AA1574" s="31" t="str">
        <f>Tabela2[[#This Row],[ILUSTRADOR CRIAÇÃO]]</f>
        <v>GUSTAVO CONTI/ARQUIVO DA EDITORA</v>
      </c>
      <c r="AB1574" s="33"/>
      <c r="AC1574" s="16"/>
      <c r="AE1574" s="35" t="str">
        <f t="shared" si="24"/>
        <v>EF1 E002 Mat</v>
      </c>
    </row>
    <row r="1575" spans="1:31" ht="45" x14ac:dyDescent="0.25">
      <c r="A1575" s="31" t="s">
        <v>3288</v>
      </c>
      <c r="B1575" s="16" t="s">
        <v>32</v>
      </c>
      <c r="C1575" s="16" t="s">
        <v>164</v>
      </c>
      <c r="D1575" s="33" t="s">
        <v>34</v>
      </c>
      <c r="E1575" s="33">
        <v>214</v>
      </c>
      <c r="F1575" s="33">
        <v>4</v>
      </c>
      <c r="G1575" s="33">
        <v>10</v>
      </c>
      <c r="H1575" s="33"/>
      <c r="I1575" s="31" t="s">
        <v>46</v>
      </c>
      <c r="J1575" s="31"/>
      <c r="K1575" s="33"/>
      <c r="L1575" s="33"/>
      <c r="M1575" s="31"/>
      <c r="N1575" s="31"/>
      <c r="O1575" s="16" t="s">
        <v>3289</v>
      </c>
      <c r="P1575" s="16"/>
      <c r="Q1575" s="16"/>
      <c r="R1575" s="33"/>
      <c r="S1575" s="34"/>
      <c r="T1575" s="34"/>
      <c r="U1575" s="34"/>
      <c r="V1575" s="34"/>
      <c r="W1575" s="34"/>
      <c r="X1575" s="33" t="s">
        <v>1126</v>
      </c>
      <c r="Y1575" s="35" t="str">
        <f>IF(Tabela2[[#This Row],[SIGLA]]="","",VLOOKUP(Tabela2[[#This Row],[SIGLA]],Tabela1[[#All],[Sigla Arte]:[Crédito]],2,0))</f>
        <v>GUSTAVO CONTI/ARQUIVO DA EDITORA</v>
      </c>
      <c r="Z1575" s="31"/>
      <c r="AA1575" s="31" t="str">
        <f>Tabela2[[#This Row],[ILUSTRADOR CRIAÇÃO]]</f>
        <v>GUSTAVO CONTI/ARQUIVO DA EDITORA</v>
      </c>
      <c r="AB1575" s="33"/>
      <c r="AC1575" s="16"/>
      <c r="AE1575" s="35" t="str">
        <f t="shared" si="24"/>
        <v>EF1 E002 Mat</v>
      </c>
    </row>
    <row r="1576" spans="1:31" ht="60" x14ac:dyDescent="0.25">
      <c r="A1576" s="31" t="s">
        <v>3290</v>
      </c>
      <c r="B1576" s="16" t="s">
        <v>32</v>
      </c>
      <c r="C1576" s="16" t="s">
        <v>164</v>
      </c>
      <c r="D1576" s="33" t="s">
        <v>34</v>
      </c>
      <c r="E1576" s="33">
        <v>214</v>
      </c>
      <c r="F1576" s="33">
        <v>4</v>
      </c>
      <c r="G1576" s="33">
        <v>10</v>
      </c>
      <c r="H1576" s="33"/>
      <c r="I1576" s="31" t="s">
        <v>46</v>
      </c>
      <c r="J1576" s="31"/>
      <c r="K1576" s="33"/>
      <c r="L1576" s="33"/>
      <c r="M1576" s="31"/>
      <c r="N1576" s="31"/>
      <c r="O1576" s="16" t="s">
        <v>3291</v>
      </c>
      <c r="P1576" s="16"/>
      <c r="Q1576" s="16"/>
      <c r="R1576" s="33"/>
      <c r="S1576" s="34"/>
      <c r="T1576" s="34"/>
      <c r="U1576" s="34"/>
      <c r="V1576" s="34"/>
      <c r="W1576" s="34"/>
      <c r="X1576" s="33" t="s">
        <v>1126</v>
      </c>
      <c r="Y1576" s="35" t="str">
        <f>IF(Tabela2[[#This Row],[SIGLA]]="","",VLOOKUP(Tabela2[[#This Row],[SIGLA]],Tabela1[[#All],[Sigla Arte]:[Crédito]],2,0))</f>
        <v>GUSTAVO CONTI/ARQUIVO DA EDITORA</v>
      </c>
      <c r="Z1576" s="31"/>
      <c r="AA1576" s="31" t="str">
        <f>Tabela2[[#This Row],[ILUSTRADOR CRIAÇÃO]]</f>
        <v>GUSTAVO CONTI/ARQUIVO DA EDITORA</v>
      </c>
      <c r="AB1576" s="33"/>
      <c r="AC1576" s="16"/>
      <c r="AE1576" s="35" t="str">
        <f t="shared" si="24"/>
        <v>EF1 E002 Mat</v>
      </c>
    </row>
    <row r="1577" spans="1:31" ht="60" x14ac:dyDescent="0.25">
      <c r="A1577" s="31" t="s">
        <v>3292</v>
      </c>
      <c r="B1577" s="16" t="s">
        <v>32</v>
      </c>
      <c r="C1577" s="16" t="s">
        <v>164</v>
      </c>
      <c r="D1577" s="33" t="s">
        <v>34</v>
      </c>
      <c r="E1577" s="33">
        <v>214</v>
      </c>
      <c r="F1577" s="33">
        <v>4</v>
      </c>
      <c r="G1577" s="33">
        <v>10</v>
      </c>
      <c r="H1577" s="33"/>
      <c r="I1577" s="31" t="s">
        <v>46</v>
      </c>
      <c r="J1577" s="31"/>
      <c r="K1577" s="33"/>
      <c r="L1577" s="33"/>
      <c r="M1577" s="31"/>
      <c r="N1577" s="31"/>
      <c r="O1577" s="16" t="s">
        <v>3293</v>
      </c>
      <c r="P1577" s="16"/>
      <c r="Q1577" s="16"/>
      <c r="R1577" s="33"/>
      <c r="S1577" s="34"/>
      <c r="T1577" s="34"/>
      <c r="U1577" s="34"/>
      <c r="V1577" s="34"/>
      <c r="W1577" s="34"/>
      <c r="X1577" s="33" t="s">
        <v>1126</v>
      </c>
      <c r="Y1577" s="35" t="str">
        <f>IF(Tabela2[[#This Row],[SIGLA]]="","",VLOOKUP(Tabela2[[#This Row],[SIGLA]],Tabela1[[#All],[Sigla Arte]:[Crédito]],2,0))</f>
        <v>GUSTAVO CONTI/ARQUIVO DA EDITORA</v>
      </c>
      <c r="Z1577" s="31"/>
      <c r="AA1577" s="31" t="str">
        <f>Tabela2[[#This Row],[ILUSTRADOR CRIAÇÃO]]</f>
        <v>GUSTAVO CONTI/ARQUIVO DA EDITORA</v>
      </c>
      <c r="AB1577" s="33"/>
      <c r="AC1577" s="16"/>
      <c r="AE1577" s="35" t="str">
        <f t="shared" si="24"/>
        <v>EF1 E002 Mat</v>
      </c>
    </row>
    <row r="1578" spans="1:31" ht="105" x14ac:dyDescent="0.25">
      <c r="A1578" s="31" t="s">
        <v>3294</v>
      </c>
      <c r="B1578" s="16" t="s">
        <v>32</v>
      </c>
      <c r="C1578" s="16" t="s">
        <v>164</v>
      </c>
      <c r="D1578" s="33" t="s">
        <v>34</v>
      </c>
      <c r="E1578" s="33">
        <v>214</v>
      </c>
      <c r="F1578" s="33">
        <v>4</v>
      </c>
      <c r="G1578" s="33">
        <v>10</v>
      </c>
      <c r="H1578" s="33"/>
      <c r="I1578" s="31" t="s">
        <v>35</v>
      </c>
      <c r="J1578" s="31"/>
      <c r="K1578" s="33"/>
      <c r="L1578" s="33"/>
      <c r="M1578" s="31"/>
      <c r="N1578" s="31"/>
      <c r="O1578" s="16" t="s">
        <v>3295</v>
      </c>
      <c r="P1578" s="16"/>
      <c r="Q1578" s="16"/>
      <c r="R1578" s="33">
        <v>40</v>
      </c>
      <c r="S1578" s="34">
        <v>45790</v>
      </c>
      <c r="T1578" s="34">
        <v>45790</v>
      </c>
      <c r="U1578" s="34"/>
      <c r="V1578" s="34"/>
      <c r="W1578" s="34">
        <v>45791</v>
      </c>
      <c r="X1578" s="33" t="s">
        <v>1126</v>
      </c>
      <c r="Y1578" s="35" t="str">
        <f>IF(Tabela2[[#This Row],[SIGLA]]="","",VLOOKUP(Tabela2[[#This Row],[SIGLA]],Tabela1[[#All],[Sigla Arte]:[Crédito]],2,0))</f>
        <v>GUSTAVO CONTI/ARQUIVO DA EDITORA</v>
      </c>
      <c r="Z1578" s="31" t="s">
        <v>368</v>
      </c>
      <c r="AA1578" s="31" t="str">
        <f>Tabela2[[#This Row],[ILUSTRADOR CRIAÇÃO]]</f>
        <v>GUSTAVO CONTI/ARQUIVO DA EDITORA</v>
      </c>
      <c r="AB1578" s="33">
        <v>14</v>
      </c>
      <c r="AC1578" s="16" t="s">
        <v>39</v>
      </c>
      <c r="AD1578" s="16" t="s">
        <v>40</v>
      </c>
      <c r="AE1578" s="35" t="str">
        <f t="shared" si="24"/>
        <v>EF1 E002 Mat</v>
      </c>
    </row>
    <row r="1579" spans="1:31" ht="45" x14ac:dyDescent="0.25">
      <c r="A1579" s="31" t="s">
        <v>3296</v>
      </c>
      <c r="B1579" s="16" t="s">
        <v>32</v>
      </c>
      <c r="C1579" s="16" t="s">
        <v>164</v>
      </c>
      <c r="D1579" s="33" t="s">
        <v>34</v>
      </c>
      <c r="E1579" s="33">
        <v>199</v>
      </c>
      <c r="F1579" s="33">
        <v>4</v>
      </c>
      <c r="G1579" s="33">
        <v>10</v>
      </c>
      <c r="H1579" s="33"/>
      <c r="I1579" s="31" t="s">
        <v>46</v>
      </c>
      <c r="J1579" s="31"/>
      <c r="K1579" s="33"/>
      <c r="L1579" s="33"/>
      <c r="M1579" s="31"/>
      <c r="N1579" s="31"/>
      <c r="O1579" s="16" t="s">
        <v>3297</v>
      </c>
      <c r="P1579" s="16"/>
      <c r="Q1579" s="16"/>
      <c r="R1579" s="33"/>
      <c r="S1579" s="34"/>
      <c r="T1579" s="34"/>
      <c r="U1579" s="34"/>
      <c r="V1579" s="34"/>
      <c r="W1579" s="34"/>
      <c r="X1579" s="33" t="s">
        <v>184</v>
      </c>
      <c r="Y1579" s="35" t="str">
        <f>IF(Tabela2[[#This Row],[SIGLA]]="","",VLOOKUP(Tabela2[[#This Row],[SIGLA]],Tabela1[[#All],[Sigla Arte]:[Crédito]],2,0))</f>
        <v>VER DOCUMENTO DE ILS. TÉCNICAS</v>
      </c>
      <c r="Z1579" s="31"/>
      <c r="AA1579" s="31" t="s">
        <v>3112</v>
      </c>
      <c r="AB1579" s="33"/>
      <c r="AC1579" s="16"/>
      <c r="AE1579" s="35" t="str">
        <f t="shared" si="24"/>
        <v>EF1 E002 Mat</v>
      </c>
    </row>
    <row r="1580" spans="1:31" ht="30" x14ac:dyDescent="0.25">
      <c r="A1580" s="31" t="s">
        <v>3298</v>
      </c>
      <c r="B1580" s="16" t="s">
        <v>397</v>
      </c>
      <c r="C1580" s="16" t="s">
        <v>33</v>
      </c>
      <c r="D1580" s="33" t="s">
        <v>34</v>
      </c>
      <c r="E1580" s="33">
        <v>78</v>
      </c>
      <c r="F1580" s="33">
        <v>1</v>
      </c>
      <c r="G1580" s="33" t="s">
        <v>3299</v>
      </c>
      <c r="H1580" s="33"/>
      <c r="I1580" s="31" t="s">
        <v>35</v>
      </c>
      <c r="J1580" s="31"/>
      <c r="K1580" s="33"/>
      <c r="L1580" s="33"/>
      <c r="M1580" s="31"/>
      <c r="N1580" s="31"/>
      <c r="O1580" s="16" t="s">
        <v>3300</v>
      </c>
      <c r="P1580" s="16"/>
      <c r="Q1580" s="16"/>
      <c r="R1580" s="33">
        <v>166</v>
      </c>
      <c r="S1580" s="34">
        <v>45917</v>
      </c>
      <c r="T1580" s="34">
        <v>45917</v>
      </c>
      <c r="U1580" s="34"/>
      <c r="V1580" s="34"/>
      <c r="W1580" s="34">
        <v>45917</v>
      </c>
      <c r="X1580" s="33" t="s">
        <v>162</v>
      </c>
      <c r="Y1580" s="35" t="str">
        <f>IF(Tabela2[[#This Row],[SIGLA]]="","",VLOOKUP(Tabela2[[#This Row],[SIGLA]],Tabela1[[#All],[Sigla Arte]:[Crédito]],2,0))</f>
        <v>IVY NUNES/ARQUIVO DA EDITORA</v>
      </c>
      <c r="Z1580" s="31" t="s">
        <v>383</v>
      </c>
      <c r="AA1580" s="31" t="str">
        <f>Tabela2[[#This Row],[ILUSTRADOR CRIAÇÃO]]</f>
        <v>IVY NUNES/ARQUIVO DA EDITORA</v>
      </c>
      <c r="AB1580" s="33">
        <v>13</v>
      </c>
      <c r="AC1580" s="16" t="s">
        <v>405</v>
      </c>
      <c r="AD1580" s="16" t="s">
        <v>40</v>
      </c>
      <c r="AE1580" s="35" t="str">
        <f t="shared" si="24"/>
        <v>EF1 E002 Mat</v>
      </c>
    </row>
    <row r="1581" spans="1:31" ht="30" x14ac:dyDescent="0.25">
      <c r="A1581" s="31" t="s">
        <v>3301</v>
      </c>
      <c r="B1581" s="16" t="s">
        <v>32</v>
      </c>
      <c r="C1581" s="16" t="s">
        <v>164</v>
      </c>
      <c r="D1581" s="33" t="s">
        <v>34</v>
      </c>
      <c r="E1581" s="33">
        <v>79</v>
      </c>
      <c r="F1581" s="33">
        <v>1</v>
      </c>
      <c r="G1581" s="33" t="s">
        <v>3299</v>
      </c>
      <c r="H1581" s="33"/>
      <c r="I1581" s="31" t="s">
        <v>3302</v>
      </c>
      <c r="J1581" s="31"/>
      <c r="K1581" s="33"/>
      <c r="L1581" s="33"/>
      <c r="M1581" s="31"/>
      <c r="N1581" s="31"/>
      <c r="O1581" s="16" t="s">
        <v>3303</v>
      </c>
      <c r="P1581" s="16"/>
      <c r="Q1581" s="16"/>
      <c r="R1581" s="33"/>
      <c r="S1581" s="34"/>
      <c r="T1581" s="34"/>
      <c r="U1581" s="34"/>
      <c r="V1581" s="34"/>
      <c r="W1581" s="34"/>
      <c r="X1581" s="33" t="s">
        <v>48</v>
      </c>
      <c r="Y1581" s="35" t="str">
        <f>IF(Tabela2[[#This Row],[SIGLA]]="","",VLOOKUP(Tabela2[[#This Row],[SIGLA]],Tabela1[[#All],[Sigla Arte]:[Crédito]],2,0))</f>
        <v>SERGIO LIMA/ARQUIVO DA EDITORA</v>
      </c>
      <c r="Z1581" s="31"/>
      <c r="AA1581" s="31" t="str">
        <f>Tabela2[[#This Row],[ILUSTRADOR CRIAÇÃO]]</f>
        <v>SERGIO LIMA/ARQUIVO DA EDITORA</v>
      </c>
      <c r="AB1581" s="33"/>
      <c r="AC1581" s="16"/>
      <c r="AE1581" s="35" t="str">
        <f t="shared" si="24"/>
        <v>EF1 E002 Mat</v>
      </c>
    </row>
    <row r="1582" spans="1:31" ht="30" x14ac:dyDescent="0.25">
      <c r="A1582" s="31" t="s">
        <v>3304</v>
      </c>
      <c r="B1582" s="16" t="s">
        <v>32</v>
      </c>
      <c r="C1582" s="16" t="s">
        <v>164</v>
      </c>
      <c r="D1582" s="33" t="s">
        <v>34</v>
      </c>
      <c r="E1582" s="33">
        <v>79</v>
      </c>
      <c r="F1582" s="33">
        <v>1</v>
      </c>
      <c r="G1582" s="33" t="s">
        <v>3299</v>
      </c>
      <c r="H1582" s="33"/>
      <c r="I1582" s="31" t="s">
        <v>3302</v>
      </c>
      <c r="J1582" s="31"/>
      <c r="K1582" s="33"/>
      <c r="L1582" s="33"/>
      <c r="M1582" s="31"/>
      <c r="N1582" s="31"/>
      <c r="O1582" s="16" t="s">
        <v>3305</v>
      </c>
      <c r="P1582" s="16"/>
      <c r="Q1582" s="16"/>
      <c r="R1582" s="33"/>
      <c r="S1582" s="34"/>
      <c r="T1582" s="34"/>
      <c r="U1582" s="34"/>
      <c r="V1582" s="34"/>
      <c r="W1582" s="34"/>
      <c r="X1582" s="33" t="s">
        <v>48</v>
      </c>
      <c r="Y1582" s="35" t="str">
        <f>IF(Tabela2[[#This Row],[SIGLA]]="","",VLOOKUP(Tabela2[[#This Row],[SIGLA]],Tabela1[[#All],[Sigla Arte]:[Crédito]],2,0))</f>
        <v>SERGIO LIMA/ARQUIVO DA EDITORA</v>
      </c>
      <c r="Z1582" s="31"/>
      <c r="AA1582" s="31" t="str">
        <f>Tabela2[[#This Row],[ILUSTRADOR CRIAÇÃO]]</f>
        <v>SERGIO LIMA/ARQUIVO DA EDITORA</v>
      </c>
      <c r="AB1582" s="33"/>
      <c r="AC1582" s="16"/>
      <c r="AE1582" s="35" t="str">
        <f t="shared" si="24"/>
        <v>EF1 E002 Mat</v>
      </c>
    </row>
    <row r="1583" spans="1:31" ht="30" x14ac:dyDescent="0.25">
      <c r="A1583" s="31" t="s">
        <v>3306</v>
      </c>
      <c r="B1583" s="16" t="s">
        <v>32</v>
      </c>
      <c r="C1583" s="16" t="s">
        <v>164</v>
      </c>
      <c r="D1583" s="33" t="s">
        <v>34</v>
      </c>
      <c r="E1583" s="33">
        <v>79</v>
      </c>
      <c r="F1583" s="33">
        <v>1</v>
      </c>
      <c r="G1583" s="33" t="s">
        <v>3299</v>
      </c>
      <c r="H1583" s="33"/>
      <c r="I1583" s="31" t="s">
        <v>3302</v>
      </c>
      <c r="J1583" s="31"/>
      <c r="K1583" s="33"/>
      <c r="L1583" s="33"/>
      <c r="M1583" s="31"/>
      <c r="N1583" s="31"/>
      <c r="O1583" s="16" t="s">
        <v>3307</v>
      </c>
      <c r="P1583" s="16"/>
      <c r="Q1583" s="16"/>
      <c r="R1583" s="33"/>
      <c r="S1583" s="34"/>
      <c r="T1583" s="34"/>
      <c r="U1583" s="34"/>
      <c r="V1583" s="34"/>
      <c r="W1583" s="34"/>
      <c r="X1583" s="33" t="s">
        <v>48</v>
      </c>
      <c r="Y1583" s="35" t="str">
        <f>IF(Tabela2[[#This Row],[SIGLA]]="","",VLOOKUP(Tabela2[[#This Row],[SIGLA]],Tabela1[[#All],[Sigla Arte]:[Crédito]],2,0))</f>
        <v>SERGIO LIMA/ARQUIVO DA EDITORA</v>
      </c>
      <c r="Z1583" s="31"/>
      <c r="AA1583" s="31" t="str">
        <f>Tabela2[[#This Row],[ILUSTRADOR CRIAÇÃO]]</f>
        <v>SERGIO LIMA/ARQUIVO DA EDITORA</v>
      </c>
      <c r="AB1583" s="33"/>
      <c r="AC1583" s="16"/>
      <c r="AE1583" s="35" t="str">
        <f t="shared" si="24"/>
        <v>EF1 E002 Mat</v>
      </c>
    </row>
    <row r="1584" spans="1:31" ht="30" x14ac:dyDescent="0.25">
      <c r="A1584" s="31" t="s">
        <v>3308</v>
      </c>
      <c r="B1584" s="16" t="s">
        <v>32</v>
      </c>
      <c r="C1584" s="16" t="s">
        <v>164</v>
      </c>
      <c r="D1584" s="33" t="s">
        <v>34</v>
      </c>
      <c r="E1584" s="33">
        <v>79</v>
      </c>
      <c r="F1584" s="33">
        <v>1</v>
      </c>
      <c r="G1584" s="33" t="s">
        <v>3299</v>
      </c>
      <c r="H1584" s="33"/>
      <c r="I1584" s="31" t="s">
        <v>3302</v>
      </c>
      <c r="J1584" s="31"/>
      <c r="K1584" s="33"/>
      <c r="L1584" s="33"/>
      <c r="M1584" s="31"/>
      <c r="N1584" s="31"/>
      <c r="O1584" s="16" t="s">
        <v>3309</v>
      </c>
      <c r="P1584" s="16"/>
      <c r="Q1584" s="16"/>
      <c r="R1584" s="33"/>
      <c r="S1584" s="34"/>
      <c r="T1584" s="34"/>
      <c r="U1584" s="34"/>
      <c r="V1584" s="34"/>
      <c r="W1584" s="34"/>
      <c r="X1584" s="33" t="s">
        <v>48</v>
      </c>
      <c r="Y1584" s="35" t="str">
        <f>IF(Tabela2[[#This Row],[SIGLA]]="","",VLOOKUP(Tabela2[[#This Row],[SIGLA]],Tabela1[[#All],[Sigla Arte]:[Crédito]],2,0))</f>
        <v>SERGIO LIMA/ARQUIVO DA EDITORA</v>
      </c>
      <c r="Z1584" s="31"/>
      <c r="AA1584" s="31" t="str">
        <f>Tabela2[[#This Row],[ILUSTRADOR CRIAÇÃO]]</f>
        <v>SERGIO LIMA/ARQUIVO DA EDITORA</v>
      </c>
      <c r="AB1584" s="33"/>
      <c r="AC1584" s="16"/>
      <c r="AE1584" s="35" t="str">
        <f t="shared" si="24"/>
        <v>EF1 E002 Mat</v>
      </c>
    </row>
    <row r="1585" spans="1:31" ht="30" x14ac:dyDescent="0.25">
      <c r="A1585" s="31" t="s">
        <v>3310</v>
      </c>
      <c r="B1585" s="16" t="s">
        <v>32</v>
      </c>
      <c r="C1585" s="16" t="s">
        <v>164</v>
      </c>
      <c r="D1585" s="33" t="s">
        <v>34</v>
      </c>
      <c r="E1585" s="33">
        <v>79</v>
      </c>
      <c r="F1585" s="33">
        <v>1</v>
      </c>
      <c r="G1585" s="33" t="s">
        <v>3299</v>
      </c>
      <c r="H1585" s="33"/>
      <c r="I1585" s="31" t="s">
        <v>3302</v>
      </c>
      <c r="J1585" s="31"/>
      <c r="K1585" s="33"/>
      <c r="L1585" s="33"/>
      <c r="M1585" s="31"/>
      <c r="N1585" s="31"/>
      <c r="O1585" s="16" t="s">
        <v>3311</v>
      </c>
      <c r="P1585" s="16"/>
      <c r="Q1585" s="16"/>
      <c r="R1585" s="33"/>
      <c r="S1585" s="34"/>
      <c r="T1585" s="34"/>
      <c r="U1585" s="34"/>
      <c r="V1585" s="34"/>
      <c r="W1585" s="34"/>
      <c r="X1585" s="33" t="s">
        <v>48</v>
      </c>
      <c r="Y1585" s="35" t="str">
        <f>IF(Tabela2[[#This Row],[SIGLA]]="","",VLOOKUP(Tabela2[[#This Row],[SIGLA]],Tabela1[[#All],[Sigla Arte]:[Crédito]],2,0))</f>
        <v>SERGIO LIMA/ARQUIVO DA EDITORA</v>
      </c>
      <c r="Z1585" s="31"/>
      <c r="AA1585" s="31" t="str">
        <f>Tabela2[[#This Row],[ILUSTRADOR CRIAÇÃO]]</f>
        <v>SERGIO LIMA/ARQUIVO DA EDITORA</v>
      </c>
      <c r="AB1585" s="33"/>
      <c r="AC1585" s="16"/>
      <c r="AE1585" s="35" t="str">
        <f t="shared" si="24"/>
        <v>EF1 E002 Mat</v>
      </c>
    </row>
    <row r="1586" spans="1:31" ht="30" x14ac:dyDescent="0.25">
      <c r="A1586" s="31" t="s">
        <v>3312</v>
      </c>
      <c r="B1586" s="16" t="s">
        <v>32</v>
      </c>
      <c r="C1586" s="16" t="s">
        <v>33</v>
      </c>
      <c r="D1586" s="33" t="s">
        <v>34</v>
      </c>
      <c r="E1586" s="33">
        <v>79</v>
      </c>
      <c r="F1586" s="33">
        <v>1</v>
      </c>
      <c r="G1586" s="33" t="s">
        <v>3299</v>
      </c>
      <c r="H1586" s="33"/>
      <c r="I1586" s="31" t="s">
        <v>3302</v>
      </c>
      <c r="J1586" s="31"/>
      <c r="K1586" s="33"/>
      <c r="L1586" s="33"/>
      <c r="M1586" s="31"/>
      <c r="N1586" s="31"/>
      <c r="O1586" s="16" t="s">
        <v>3313</v>
      </c>
      <c r="P1586" s="16"/>
      <c r="Q1586" s="16"/>
      <c r="R1586" s="33"/>
      <c r="S1586" s="34"/>
      <c r="T1586" s="34"/>
      <c r="U1586" s="34"/>
      <c r="V1586" s="34"/>
      <c r="W1586" s="34"/>
      <c r="X1586" s="33" t="s">
        <v>162</v>
      </c>
      <c r="Y1586" s="35" t="str">
        <f>IF(Tabela2[[#This Row],[SIGLA]]="","",VLOOKUP(Tabela2[[#This Row],[SIGLA]],Tabela1[[#All],[Sigla Arte]:[Crédito]],2,0))</f>
        <v>IVY NUNES/ARQUIVO DA EDITORA</v>
      </c>
      <c r="Z1586" s="31"/>
      <c r="AA1586" s="31" t="str">
        <f>Tabela2[[#This Row],[ILUSTRADOR CRIAÇÃO]]</f>
        <v>IVY NUNES/ARQUIVO DA EDITORA</v>
      </c>
      <c r="AB1586" s="33"/>
      <c r="AC1586" s="16"/>
      <c r="AE1586" s="35" t="str">
        <f t="shared" si="24"/>
        <v>EF1 E002 Mat</v>
      </c>
    </row>
    <row r="1587" spans="1:31" ht="90" x14ac:dyDescent="0.25">
      <c r="A1587" s="31" t="s">
        <v>3314</v>
      </c>
      <c r="B1587" s="16" t="s">
        <v>32</v>
      </c>
      <c r="C1587" s="16" t="s">
        <v>164</v>
      </c>
      <c r="D1587" s="33" t="s">
        <v>34</v>
      </c>
      <c r="E1587" s="33">
        <v>79</v>
      </c>
      <c r="F1587" s="33">
        <v>1</v>
      </c>
      <c r="G1587" s="33" t="s">
        <v>3299</v>
      </c>
      <c r="H1587" s="33"/>
      <c r="I1587" s="31" t="s">
        <v>35</v>
      </c>
      <c r="J1587" s="31"/>
      <c r="K1587" s="33"/>
      <c r="L1587" s="33"/>
      <c r="M1587" s="31"/>
      <c r="N1587" s="31"/>
      <c r="O1587" s="16" t="s">
        <v>3315</v>
      </c>
      <c r="P1587" s="16"/>
      <c r="Q1587" s="16"/>
      <c r="R1587" s="33">
        <v>41</v>
      </c>
      <c r="S1587" s="34">
        <v>45791</v>
      </c>
      <c r="T1587" s="34">
        <v>45792</v>
      </c>
      <c r="U1587" s="34"/>
      <c r="V1587" s="34"/>
      <c r="W1587" s="34">
        <v>45792</v>
      </c>
      <c r="X1587" s="33" t="s">
        <v>1126</v>
      </c>
      <c r="Y1587" s="35" t="str">
        <f>IF(Tabela2[[#This Row],[SIGLA]]="","",VLOOKUP(Tabela2[[#This Row],[SIGLA]],Tabela1[[#All],[Sigla Arte]:[Crédito]],2,0))</f>
        <v>GUSTAVO CONTI/ARQUIVO DA EDITORA</v>
      </c>
      <c r="Z1587" s="31" t="s">
        <v>221</v>
      </c>
      <c r="AA1587" s="31" t="str">
        <f>Tabela2[[#This Row],[ILUSTRADOR CRIAÇÃO]]</f>
        <v>GUSTAVO CONTI/ARQUIVO DA EDITORA</v>
      </c>
      <c r="AB1587" s="33">
        <v>13</v>
      </c>
      <c r="AC1587" s="16" t="s">
        <v>39</v>
      </c>
      <c r="AD1587" s="16" t="s">
        <v>40</v>
      </c>
      <c r="AE1587" s="35" t="str">
        <f t="shared" si="24"/>
        <v>EF1 E002 Mat</v>
      </c>
    </row>
    <row r="1588" spans="1:31" ht="90" x14ac:dyDescent="0.25">
      <c r="A1588" s="31" t="s">
        <v>3316</v>
      </c>
      <c r="B1588" s="16" t="s">
        <v>32</v>
      </c>
      <c r="C1588" s="16" t="s">
        <v>164</v>
      </c>
      <c r="D1588" s="33" t="s">
        <v>34</v>
      </c>
      <c r="E1588" s="33">
        <v>79</v>
      </c>
      <c r="F1588" s="33">
        <v>1</v>
      </c>
      <c r="G1588" s="33" t="s">
        <v>3299</v>
      </c>
      <c r="H1588" s="33"/>
      <c r="I1588" s="31" t="s">
        <v>35</v>
      </c>
      <c r="J1588" s="31"/>
      <c r="K1588" s="33"/>
      <c r="L1588" s="33"/>
      <c r="M1588" s="31"/>
      <c r="N1588" s="31"/>
      <c r="O1588" s="16" t="s">
        <v>3317</v>
      </c>
      <c r="P1588" s="16"/>
      <c r="Q1588" s="16"/>
      <c r="R1588" s="33">
        <v>41</v>
      </c>
      <c r="S1588" s="34">
        <v>45791</v>
      </c>
      <c r="T1588" s="34">
        <v>45792</v>
      </c>
      <c r="U1588" s="34"/>
      <c r="V1588" s="34"/>
      <c r="W1588" s="34">
        <v>45792</v>
      </c>
      <c r="X1588" s="33" t="s">
        <v>1126</v>
      </c>
      <c r="Y1588" s="35" t="str">
        <f>IF(Tabela2[[#This Row],[SIGLA]]="","",VLOOKUP(Tabela2[[#This Row],[SIGLA]],Tabela1[[#All],[Sigla Arte]:[Crédito]],2,0))</f>
        <v>GUSTAVO CONTI/ARQUIVO DA EDITORA</v>
      </c>
      <c r="Z1588" s="31" t="s">
        <v>221</v>
      </c>
      <c r="AA1588" s="31" t="str">
        <f>Tabela2[[#This Row],[ILUSTRADOR CRIAÇÃO]]</f>
        <v>GUSTAVO CONTI/ARQUIVO DA EDITORA</v>
      </c>
      <c r="AB1588" s="33">
        <v>13</v>
      </c>
      <c r="AC1588" s="16" t="s">
        <v>39</v>
      </c>
      <c r="AD1588" s="16" t="s">
        <v>40</v>
      </c>
      <c r="AE1588" s="35" t="str">
        <f t="shared" si="24"/>
        <v>EF1 E002 Mat</v>
      </c>
    </row>
    <row r="1589" spans="1:31" ht="45" x14ac:dyDescent="0.25">
      <c r="A1589" s="31" t="s">
        <v>3318</v>
      </c>
      <c r="B1589" s="16" t="s">
        <v>32</v>
      </c>
      <c r="C1589" s="16" t="s">
        <v>33</v>
      </c>
      <c r="D1589" s="33" t="s">
        <v>34</v>
      </c>
      <c r="E1589" s="33">
        <v>202</v>
      </c>
      <c r="F1589" s="33">
        <v>1</v>
      </c>
      <c r="G1589" s="33" t="s">
        <v>3299</v>
      </c>
      <c r="H1589" s="33"/>
      <c r="I1589" s="31" t="s">
        <v>35</v>
      </c>
      <c r="J1589" s="31"/>
      <c r="K1589" s="33"/>
      <c r="L1589" s="33"/>
      <c r="M1589" s="31"/>
      <c r="N1589" s="31"/>
      <c r="O1589" s="16" t="s">
        <v>3319</v>
      </c>
      <c r="P1589" s="16"/>
      <c r="Q1589" s="16"/>
      <c r="R1589" s="33">
        <v>41</v>
      </c>
      <c r="S1589" s="34">
        <v>45791</v>
      </c>
      <c r="T1589" s="34">
        <v>45792</v>
      </c>
      <c r="U1589" s="34"/>
      <c r="V1589" s="34"/>
      <c r="W1589" s="34">
        <v>45792</v>
      </c>
      <c r="X1589" s="33" t="s">
        <v>85</v>
      </c>
      <c r="Y1589" s="35" t="str">
        <f>IF(Tabela2[[#This Row],[SIGLA]]="","",VLOOKUP(Tabela2[[#This Row],[SIGLA]],Tabela1[[#All],[Sigla Arte]:[Crédito]],2,0))</f>
        <v>HELOÍSA PINTARELLI/ARQUIVO DA EDITORA</v>
      </c>
      <c r="Z1589" s="31" t="s">
        <v>221</v>
      </c>
      <c r="AA1589" s="31" t="str">
        <f>Tabela2[[#This Row],[ILUSTRADOR CRIAÇÃO]]</f>
        <v>HELOÍSA PINTARELLI/ARQUIVO DA EDITORA</v>
      </c>
      <c r="AB1589" s="33">
        <v>13</v>
      </c>
      <c r="AC1589" s="16" t="s">
        <v>39</v>
      </c>
      <c r="AD1589" s="16" t="s">
        <v>40</v>
      </c>
      <c r="AE1589" s="35" t="str">
        <f t="shared" si="24"/>
        <v>EF1 E002 Mat</v>
      </c>
    </row>
    <row r="1590" spans="1:31" ht="30" x14ac:dyDescent="0.25">
      <c r="A1590" s="31" t="s">
        <v>3320</v>
      </c>
      <c r="B1590" s="16" t="s">
        <v>32</v>
      </c>
      <c r="C1590" s="16" t="s">
        <v>33</v>
      </c>
      <c r="D1590" s="33" t="s">
        <v>34</v>
      </c>
      <c r="E1590" s="33">
        <v>203</v>
      </c>
      <c r="F1590" s="33">
        <v>1</v>
      </c>
      <c r="G1590" s="33" t="s">
        <v>3299</v>
      </c>
      <c r="H1590" s="33"/>
      <c r="I1590" s="31" t="s">
        <v>3302</v>
      </c>
      <c r="J1590" s="31"/>
      <c r="K1590" s="33"/>
      <c r="L1590" s="33"/>
      <c r="M1590" s="31"/>
      <c r="N1590" s="31"/>
      <c r="O1590" s="16" t="s">
        <v>3321</v>
      </c>
      <c r="P1590" s="16"/>
      <c r="Q1590" s="16"/>
      <c r="R1590" s="33"/>
      <c r="S1590" s="34"/>
      <c r="T1590" s="34"/>
      <c r="U1590" s="34"/>
      <c r="V1590" s="34"/>
      <c r="W1590" s="34"/>
      <c r="X1590" s="33" t="s">
        <v>85</v>
      </c>
      <c r="Y1590" s="35" t="str">
        <f>IF(Tabela2[[#This Row],[SIGLA]]="","",VLOOKUP(Tabela2[[#This Row],[SIGLA]],Tabela1[[#All],[Sigla Arte]:[Crédito]],2,0))</f>
        <v>HELOÍSA PINTARELLI/ARQUIVO DA EDITORA</v>
      </c>
      <c r="Z1590" s="31"/>
      <c r="AA1590" s="31" t="str">
        <f>Tabela2[[#This Row],[ILUSTRADOR CRIAÇÃO]]</f>
        <v>HELOÍSA PINTARELLI/ARQUIVO DA EDITORA</v>
      </c>
      <c r="AB1590" s="33"/>
      <c r="AC1590" s="16"/>
      <c r="AE1590" s="35" t="str">
        <f t="shared" si="24"/>
        <v>EF1 E002 Mat</v>
      </c>
    </row>
    <row r="1591" spans="1:31" ht="30" x14ac:dyDescent="0.25">
      <c r="A1591" s="31" t="s">
        <v>3322</v>
      </c>
      <c r="B1591" s="16" t="s">
        <v>32</v>
      </c>
      <c r="C1591" s="16" t="s">
        <v>33</v>
      </c>
      <c r="D1591" s="33" t="s">
        <v>34</v>
      </c>
      <c r="E1591" s="33">
        <v>203</v>
      </c>
      <c r="F1591" s="33">
        <v>1</v>
      </c>
      <c r="G1591" s="33" t="s">
        <v>3299</v>
      </c>
      <c r="H1591" s="33"/>
      <c r="I1591" s="31" t="s">
        <v>3302</v>
      </c>
      <c r="J1591" s="31"/>
      <c r="K1591" s="33"/>
      <c r="L1591" s="33"/>
      <c r="M1591" s="31"/>
      <c r="N1591" s="31"/>
      <c r="O1591" s="16" t="s">
        <v>3323</v>
      </c>
      <c r="P1591" s="16"/>
      <c r="Q1591" s="16"/>
      <c r="R1591" s="33"/>
      <c r="S1591" s="34"/>
      <c r="T1591" s="34"/>
      <c r="U1591" s="34"/>
      <c r="V1591" s="34"/>
      <c r="W1591" s="34"/>
      <c r="X1591" s="33" t="s">
        <v>85</v>
      </c>
      <c r="Y1591" s="35" t="str">
        <f>IF(Tabela2[[#This Row],[SIGLA]]="","",VLOOKUP(Tabela2[[#This Row],[SIGLA]],Tabela1[[#All],[Sigla Arte]:[Crédito]],2,0))</f>
        <v>HELOÍSA PINTARELLI/ARQUIVO DA EDITORA</v>
      </c>
      <c r="Z1591" s="31"/>
      <c r="AA1591" s="31" t="str">
        <f>Tabela2[[#This Row],[ILUSTRADOR CRIAÇÃO]]</f>
        <v>HELOÍSA PINTARELLI/ARQUIVO DA EDITORA</v>
      </c>
      <c r="AB1591" s="33"/>
      <c r="AC1591" s="16"/>
      <c r="AE1591" s="35" t="str">
        <f t="shared" si="24"/>
        <v>EF1 E002 Mat</v>
      </c>
    </row>
    <row r="1592" spans="1:31" ht="30" x14ac:dyDescent="0.25">
      <c r="A1592" s="31" t="s">
        <v>3324</v>
      </c>
      <c r="B1592" s="16" t="s">
        <v>32</v>
      </c>
      <c r="C1592" s="16" t="s">
        <v>33</v>
      </c>
      <c r="D1592" s="33" t="s">
        <v>34</v>
      </c>
      <c r="E1592" s="33">
        <v>203</v>
      </c>
      <c r="F1592" s="33">
        <v>1</v>
      </c>
      <c r="G1592" s="33" t="s">
        <v>3299</v>
      </c>
      <c r="H1592" s="33"/>
      <c r="I1592" s="31" t="s">
        <v>3302</v>
      </c>
      <c r="J1592" s="31"/>
      <c r="K1592" s="33"/>
      <c r="L1592" s="33"/>
      <c r="M1592" s="31"/>
      <c r="N1592" s="31"/>
      <c r="O1592" s="16" t="s">
        <v>3325</v>
      </c>
      <c r="P1592" s="16"/>
      <c r="Q1592" s="16"/>
      <c r="R1592" s="33"/>
      <c r="S1592" s="34"/>
      <c r="T1592" s="34"/>
      <c r="U1592" s="34"/>
      <c r="V1592" s="34"/>
      <c r="W1592" s="34"/>
      <c r="X1592" s="33" t="s">
        <v>85</v>
      </c>
      <c r="Y1592" s="35" t="str">
        <f>IF(Tabela2[[#This Row],[SIGLA]]="","",VLOOKUP(Tabela2[[#This Row],[SIGLA]],Tabela1[[#All],[Sigla Arte]:[Crédito]],2,0))</f>
        <v>HELOÍSA PINTARELLI/ARQUIVO DA EDITORA</v>
      </c>
      <c r="Z1592" s="31"/>
      <c r="AA1592" s="31" t="str">
        <f>Tabela2[[#This Row],[ILUSTRADOR CRIAÇÃO]]</f>
        <v>HELOÍSA PINTARELLI/ARQUIVO DA EDITORA</v>
      </c>
      <c r="AB1592" s="33"/>
      <c r="AC1592" s="16"/>
      <c r="AE1592" s="35" t="str">
        <f t="shared" si="24"/>
        <v>EF1 E002 Mat</v>
      </c>
    </row>
    <row r="1593" spans="1:31" ht="30" x14ac:dyDescent="0.25">
      <c r="A1593" s="31" t="s">
        <v>3326</v>
      </c>
      <c r="B1593" s="16" t="s">
        <v>32</v>
      </c>
      <c r="C1593" s="16" t="s">
        <v>33</v>
      </c>
      <c r="D1593" s="33" t="s">
        <v>34</v>
      </c>
      <c r="E1593" s="33">
        <v>203</v>
      </c>
      <c r="F1593" s="33">
        <v>1</v>
      </c>
      <c r="G1593" s="33" t="s">
        <v>3299</v>
      </c>
      <c r="H1593" s="33"/>
      <c r="I1593" s="31" t="s">
        <v>3302</v>
      </c>
      <c r="J1593" s="31"/>
      <c r="K1593" s="33"/>
      <c r="L1593" s="33"/>
      <c r="M1593" s="31"/>
      <c r="N1593" s="31"/>
      <c r="O1593" s="16" t="s">
        <v>3327</v>
      </c>
      <c r="P1593" s="16"/>
      <c r="Q1593" s="16"/>
      <c r="R1593" s="33"/>
      <c r="S1593" s="34"/>
      <c r="T1593" s="34"/>
      <c r="U1593" s="34"/>
      <c r="V1593" s="34"/>
      <c r="W1593" s="34"/>
      <c r="X1593" s="33" t="s">
        <v>85</v>
      </c>
      <c r="Y1593" s="35" t="str">
        <f>IF(Tabela2[[#This Row],[SIGLA]]="","",VLOOKUP(Tabela2[[#This Row],[SIGLA]],Tabela1[[#All],[Sigla Arte]:[Crédito]],2,0))</f>
        <v>HELOÍSA PINTARELLI/ARQUIVO DA EDITORA</v>
      </c>
      <c r="Z1593" s="31"/>
      <c r="AA1593" s="31" t="str">
        <f>Tabela2[[#This Row],[ILUSTRADOR CRIAÇÃO]]</f>
        <v>HELOÍSA PINTARELLI/ARQUIVO DA EDITORA</v>
      </c>
      <c r="AB1593" s="33"/>
      <c r="AC1593" s="16"/>
      <c r="AE1593" s="35" t="str">
        <f t="shared" si="24"/>
        <v>EF1 E002 Mat</v>
      </c>
    </row>
    <row r="1594" spans="1:31" ht="30" x14ac:dyDescent="0.25">
      <c r="A1594" s="31" t="s">
        <v>3328</v>
      </c>
      <c r="B1594" s="16" t="s">
        <v>32</v>
      </c>
      <c r="C1594" s="16" t="s">
        <v>33</v>
      </c>
      <c r="D1594" s="33" t="s">
        <v>34</v>
      </c>
      <c r="E1594" s="33">
        <v>244</v>
      </c>
      <c r="F1594" s="33">
        <v>1</v>
      </c>
      <c r="G1594" s="33" t="s">
        <v>3299</v>
      </c>
      <c r="H1594" s="33"/>
      <c r="I1594" s="31" t="s">
        <v>3302</v>
      </c>
      <c r="J1594" s="31"/>
      <c r="K1594" s="33"/>
      <c r="L1594" s="33"/>
      <c r="M1594" s="31"/>
      <c r="N1594" s="31"/>
      <c r="O1594" s="16" t="s">
        <v>3329</v>
      </c>
      <c r="P1594" s="16"/>
      <c r="Q1594" s="16"/>
      <c r="R1594" s="33"/>
      <c r="S1594" s="34"/>
      <c r="T1594" s="34"/>
      <c r="U1594" s="34"/>
      <c r="V1594" s="34"/>
      <c r="W1594" s="34"/>
      <c r="X1594" s="33" t="s">
        <v>85</v>
      </c>
      <c r="Y1594" s="35" t="str">
        <f>IF(Tabela2[[#This Row],[SIGLA]]="","",VLOOKUP(Tabela2[[#This Row],[SIGLA]],Tabela1[[#All],[Sigla Arte]:[Crédito]],2,0))</f>
        <v>HELOÍSA PINTARELLI/ARQUIVO DA EDITORA</v>
      </c>
      <c r="Z1594" s="31"/>
      <c r="AA1594" s="31" t="str">
        <f>Tabela2[[#This Row],[ILUSTRADOR CRIAÇÃO]]</f>
        <v>HELOÍSA PINTARELLI/ARQUIVO DA EDITORA</v>
      </c>
      <c r="AB1594" s="33"/>
      <c r="AC1594" s="16"/>
      <c r="AE1594" s="35" t="str">
        <f t="shared" si="24"/>
        <v>EF1 E002 Mat</v>
      </c>
    </row>
    <row r="1595" spans="1:31" ht="105" x14ac:dyDescent="0.25">
      <c r="A1595" s="31" t="s">
        <v>3330</v>
      </c>
      <c r="B1595" s="16" t="s">
        <v>32</v>
      </c>
      <c r="C1595" s="16" t="s">
        <v>33</v>
      </c>
      <c r="D1595" s="33" t="s">
        <v>34</v>
      </c>
      <c r="E1595" s="33">
        <v>16</v>
      </c>
      <c r="F1595" s="33">
        <v>1</v>
      </c>
      <c r="G1595" s="33">
        <v>1</v>
      </c>
      <c r="H1595" s="33"/>
      <c r="I1595" s="31" t="s">
        <v>995</v>
      </c>
      <c r="J1595" s="31"/>
      <c r="K1595" s="33"/>
      <c r="L1595" s="33"/>
      <c r="M1595" s="31"/>
      <c r="N1595" s="31"/>
      <c r="O1595" s="16" t="s">
        <v>3331</v>
      </c>
      <c r="P1595" s="16"/>
      <c r="Q1595" s="16"/>
      <c r="R1595" s="33">
        <v>42</v>
      </c>
      <c r="S1595" s="34">
        <v>45792</v>
      </c>
      <c r="T1595" s="34">
        <v>45796</v>
      </c>
      <c r="U1595" s="34">
        <v>45800</v>
      </c>
      <c r="V1595" s="34">
        <v>45803</v>
      </c>
      <c r="W1595" s="34">
        <v>45804</v>
      </c>
      <c r="X1595" s="33" t="s">
        <v>194</v>
      </c>
      <c r="Y1595" s="35" t="str">
        <f>IF(Tabela2[[#This Row],[SIGLA]]="","",VLOOKUP(Tabela2[[#This Row],[SIGLA]],Tabela1[[#All],[Sigla Arte]:[Crédito]],2,0))</f>
        <v>LEANDRO LASSMAR/ARQUIVO DA EDITORA</v>
      </c>
      <c r="Z1595" s="31"/>
      <c r="AA1595" s="31" t="str">
        <f>Tabela2[[#This Row],[ILUSTRADOR CRIAÇÃO]]</f>
        <v>LEANDRO LASSMAR/ARQUIVO DA EDITORA</v>
      </c>
      <c r="AB1595" s="33">
        <v>6</v>
      </c>
      <c r="AC1595" s="16" t="s">
        <v>3332</v>
      </c>
      <c r="AD1595" s="16" t="s">
        <v>1093</v>
      </c>
      <c r="AE1595" s="35" t="str">
        <f t="shared" si="24"/>
        <v>EF1 E002 Mat</v>
      </c>
    </row>
    <row r="1596" spans="1:31" ht="105" x14ac:dyDescent="0.25">
      <c r="A1596" s="31" t="s">
        <v>3333</v>
      </c>
      <c r="B1596" s="16" t="s">
        <v>32</v>
      </c>
      <c r="C1596" s="16" t="s">
        <v>33</v>
      </c>
      <c r="D1596" s="33" t="s">
        <v>34</v>
      </c>
      <c r="E1596" s="33">
        <v>16</v>
      </c>
      <c r="F1596" s="33">
        <v>1</v>
      </c>
      <c r="G1596" s="33">
        <v>1</v>
      </c>
      <c r="H1596" s="33"/>
      <c r="I1596" s="31" t="s">
        <v>995</v>
      </c>
      <c r="J1596" s="31"/>
      <c r="K1596" s="33"/>
      <c r="L1596" s="33"/>
      <c r="M1596" s="31"/>
      <c r="N1596" s="31"/>
      <c r="O1596" s="16" t="s">
        <v>3334</v>
      </c>
      <c r="P1596" s="16"/>
      <c r="Q1596" s="16"/>
      <c r="R1596" s="33">
        <v>42</v>
      </c>
      <c r="S1596" s="34">
        <v>45792</v>
      </c>
      <c r="T1596" s="34">
        <v>45796</v>
      </c>
      <c r="U1596" s="34">
        <v>45800</v>
      </c>
      <c r="V1596" s="34">
        <v>45803</v>
      </c>
      <c r="W1596" s="34">
        <v>45804</v>
      </c>
      <c r="X1596" s="33" t="s">
        <v>194</v>
      </c>
      <c r="Y1596" s="35" t="str">
        <f>IF(Tabela2[[#This Row],[SIGLA]]="","",VLOOKUP(Tabela2[[#This Row],[SIGLA]],Tabela1[[#All],[Sigla Arte]:[Crédito]],2,0))</f>
        <v>LEANDRO LASSMAR/ARQUIVO DA EDITORA</v>
      </c>
      <c r="Z1596" s="31"/>
      <c r="AA1596" s="31" t="str">
        <f>Tabela2[[#This Row],[ILUSTRADOR CRIAÇÃO]]</f>
        <v>LEANDRO LASSMAR/ARQUIVO DA EDITORA</v>
      </c>
      <c r="AB1596" s="33">
        <v>6</v>
      </c>
      <c r="AC1596" s="16" t="s">
        <v>3332</v>
      </c>
      <c r="AD1596" s="16" t="s">
        <v>1093</v>
      </c>
      <c r="AE1596" s="35" t="str">
        <f t="shared" si="24"/>
        <v>EF1 E002 Mat</v>
      </c>
    </row>
    <row r="1597" spans="1:31" ht="60" x14ac:dyDescent="0.25">
      <c r="A1597" s="31" t="s">
        <v>3335</v>
      </c>
      <c r="B1597" s="16" t="s">
        <v>32</v>
      </c>
      <c r="C1597" s="16" t="s">
        <v>33</v>
      </c>
      <c r="D1597" s="33" t="s">
        <v>34</v>
      </c>
      <c r="E1597" s="33">
        <v>24</v>
      </c>
      <c r="F1597" s="33">
        <v>1</v>
      </c>
      <c r="G1597" s="33">
        <v>1</v>
      </c>
      <c r="H1597" s="33"/>
      <c r="I1597" s="31" t="s">
        <v>35</v>
      </c>
      <c r="J1597" s="31"/>
      <c r="K1597" s="33"/>
      <c r="L1597" s="33"/>
      <c r="M1597" s="31"/>
      <c r="N1597" s="31"/>
      <c r="O1597" s="16" t="s">
        <v>3336</v>
      </c>
      <c r="P1597" s="16"/>
      <c r="Q1597" s="16"/>
      <c r="R1597" s="33">
        <v>42</v>
      </c>
      <c r="S1597" s="34">
        <v>45792</v>
      </c>
      <c r="T1597" s="34">
        <v>45796</v>
      </c>
      <c r="U1597" s="34"/>
      <c r="V1597" s="34"/>
      <c r="W1597" s="34">
        <v>45797</v>
      </c>
      <c r="X1597" s="33" t="s">
        <v>43</v>
      </c>
      <c r="Y1597" s="35" t="str">
        <f>IF(Tabela2[[#This Row],[SIGLA]]="","",VLOOKUP(Tabela2[[#This Row],[SIGLA]],Tabela1[[#All],[Sigla Arte]:[Crédito]],2,0))</f>
        <v>GUILHERME RODRIGUES/ARQUIVO DA EDITORA</v>
      </c>
      <c r="Z1597" s="31" t="s">
        <v>38</v>
      </c>
      <c r="AA1597" s="31" t="str">
        <f>Tabela2[[#This Row],[ILUSTRADOR CRIAÇÃO]]</f>
        <v>GUILHERME RODRIGUES/ARQUIVO DA EDITORA</v>
      </c>
      <c r="AB1597" s="33">
        <v>14</v>
      </c>
      <c r="AC1597" s="16" t="s">
        <v>39</v>
      </c>
      <c r="AD1597" s="16" t="s">
        <v>40</v>
      </c>
      <c r="AE1597" s="35" t="str">
        <f t="shared" si="24"/>
        <v>EF1 E002 Mat</v>
      </c>
    </row>
    <row r="1598" spans="1:31" ht="30" x14ac:dyDescent="0.25">
      <c r="A1598" s="31" t="s">
        <v>3337</v>
      </c>
      <c r="B1598" s="16" t="s">
        <v>32</v>
      </c>
      <c r="C1598" s="16" t="s">
        <v>164</v>
      </c>
      <c r="D1598" s="33" t="s">
        <v>34</v>
      </c>
      <c r="E1598" s="33">
        <v>26</v>
      </c>
      <c r="F1598" s="33">
        <v>1</v>
      </c>
      <c r="G1598" s="33">
        <v>1</v>
      </c>
      <c r="H1598" s="33"/>
      <c r="I1598" s="31" t="s">
        <v>995</v>
      </c>
      <c r="J1598" s="31"/>
      <c r="K1598" s="33"/>
      <c r="L1598" s="33"/>
      <c r="M1598" s="31"/>
      <c r="N1598" s="31"/>
      <c r="O1598" s="16" t="s">
        <v>3338</v>
      </c>
      <c r="P1598" s="16"/>
      <c r="Q1598" s="16"/>
      <c r="R1598" s="33">
        <v>42</v>
      </c>
      <c r="S1598" s="34">
        <v>45792</v>
      </c>
      <c r="T1598" s="34">
        <v>45796</v>
      </c>
      <c r="U1598" s="34"/>
      <c r="V1598" s="34"/>
      <c r="W1598" s="34">
        <v>45797</v>
      </c>
      <c r="X1598" s="33"/>
      <c r="Y1598" s="35" t="str">
        <f>IF(Tabela2[[#This Row],[SIGLA]]="","",VLOOKUP(Tabela2[[#This Row],[SIGLA]],Tabela1[[#All],[Sigla Arte]:[Crédito]],2,0))</f>
        <v/>
      </c>
      <c r="Z1598" s="31" t="s">
        <v>38</v>
      </c>
      <c r="AA1598" s="46" t="s">
        <v>949</v>
      </c>
      <c r="AB1598" s="33">
        <v>14</v>
      </c>
      <c r="AC1598" s="16" t="s">
        <v>39</v>
      </c>
      <c r="AD1598" s="16" t="s">
        <v>40</v>
      </c>
      <c r="AE1598" s="35" t="str">
        <f t="shared" si="24"/>
        <v>EF1 E002 Mat</v>
      </c>
    </row>
    <row r="1599" spans="1:31" ht="45" x14ac:dyDescent="0.25">
      <c r="A1599" s="31" t="s">
        <v>3339</v>
      </c>
      <c r="B1599" s="16" t="s">
        <v>32</v>
      </c>
      <c r="C1599" s="16" t="s">
        <v>33</v>
      </c>
      <c r="D1599" s="33" t="s">
        <v>34</v>
      </c>
      <c r="E1599" s="33">
        <v>28</v>
      </c>
      <c r="F1599" s="33">
        <v>1</v>
      </c>
      <c r="G1599" s="33">
        <v>1</v>
      </c>
      <c r="H1599" s="33"/>
      <c r="I1599" s="31" t="s">
        <v>46</v>
      </c>
      <c r="J1599" s="31"/>
      <c r="K1599" s="33"/>
      <c r="L1599" s="33"/>
      <c r="M1599" s="31"/>
      <c r="N1599" s="31"/>
      <c r="O1599" s="16" t="s">
        <v>3340</v>
      </c>
      <c r="P1599" s="16"/>
      <c r="Q1599" s="16"/>
      <c r="R1599" s="33"/>
      <c r="S1599" s="34"/>
      <c r="T1599" s="34"/>
      <c r="U1599" s="34"/>
      <c r="V1599" s="34"/>
      <c r="W1599" s="34"/>
      <c r="X1599" s="33" t="s">
        <v>194</v>
      </c>
      <c r="Y1599" s="35" t="str">
        <f>IF(Tabela2[[#This Row],[SIGLA]]="","",VLOOKUP(Tabela2[[#This Row],[SIGLA]],Tabela1[[#All],[Sigla Arte]:[Crédito]],2,0))</f>
        <v>LEANDRO LASSMAR/ARQUIVO DA EDITORA</v>
      </c>
      <c r="Z1599" s="31"/>
      <c r="AA1599" s="31" t="str">
        <f>Tabela2[[#This Row],[ILUSTRADOR CRIAÇÃO]]</f>
        <v>LEANDRO LASSMAR/ARQUIVO DA EDITORA</v>
      </c>
      <c r="AB1599" s="33"/>
      <c r="AC1599" s="16"/>
      <c r="AE1599" s="35" t="str">
        <f t="shared" si="24"/>
        <v>EF1 E002 Mat</v>
      </c>
    </row>
    <row r="1600" spans="1:31" ht="120" x14ac:dyDescent="0.25">
      <c r="A1600" s="31" t="s">
        <v>3341</v>
      </c>
      <c r="B1600" s="16" t="s">
        <v>32</v>
      </c>
      <c r="C1600" s="16" t="s">
        <v>33</v>
      </c>
      <c r="D1600" s="33" t="s">
        <v>34</v>
      </c>
      <c r="E1600" s="33">
        <v>29</v>
      </c>
      <c r="F1600" s="33">
        <v>1</v>
      </c>
      <c r="G1600" s="33">
        <v>1</v>
      </c>
      <c r="H1600" s="33"/>
      <c r="I1600" s="31" t="s">
        <v>35</v>
      </c>
      <c r="J1600" s="31"/>
      <c r="K1600" s="33"/>
      <c r="L1600" s="33"/>
      <c r="M1600" s="31"/>
      <c r="N1600" s="31"/>
      <c r="O1600" s="16" t="s">
        <v>3342</v>
      </c>
      <c r="P1600" s="16"/>
      <c r="Q1600" s="16"/>
      <c r="R1600" s="33">
        <v>42</v>
      </c>
      <c r="S1600" s="34">
        <v>45792</v>
      </c>
      <c r="T1600" s="34">
        <v>45796</v>
      </c>
      <c r="U1600" s="34"/>
      <c r="V1600" s="34"/>
      <c r="W1600" s="34">
        <v>45797</v>
      </c>
      <c r="X1600" s="33" t="s">
        <v>333</v>
      </c>
      <c r="Y1600" s="35" t="str">
        <f>IF(Tabela2[[#This Row],[SIGLA]]="","",VLOOKUP(Tabela2[[#This Row],[SIGLA]],Tabela1[[#All],[Sigla Arte]:[Crédito]],2,0))</f>
        <v>LISLLEY GOMES FEIGE/ARQUIVO DA EDITORA</v>
      </c>
      <c r="Z1600" s="31" t="s">
        <v>38</v>
      </c>
      <c r="AA1600" s="31" t="str">
        <f>Tabela2[[#This Row],[ILUSTRADOR CRIAÇÃO]]</f>
        <v>LISLLEY GOMES FEIGE/ARQUIVO DA EDITORA</v>
      </c>
      <c r="AB1600" s="33">
        <v>14</v>
      </c>
      <c r="AC1600" s="16" t="s">
        <v>39</v>
      </c>
      <c r="AD1600" s="16" t="s">
        <v>40</v>
      </c>
      <c r="AE1600" s="35" t="str">
        <f t="shared" si="24"/>
        <v>EF1 E002 Mat</v>
      </c>
    </row>
    <row r="1601" spans="1:31" ht="45" x14ac:dyDescent="0.25">
      <c r="A1601" s="31" t="s">
        <v>3343</v>
      </c>
      <c r="B1601" s="16" t="s">
        <v>32</v>
      </c>
      <c r="C1601" s="16" t="s">
        <v>164</v>
      </c>
      <c r="D1601" s="33" t="s">
        <v>34</v>
      </c>
      <c r="E1601" s="33">
        <v>33</v>
      </c>
      <c r="F1601" s="33">
        <v>1</v>
      </c>
      <c r="G1601" s="33">
        <v>1</v>
      </c>
      <c r="H1601" s="33"/>
      <c r="I1601" s="31" t="s">
        <v>35</v>
      </c>
      <c r="J1601" s="31"/>
      <c r="K1601" s="33"/>
      <c r="L1601" s="33"/>
      <c r="M1601" s="31"/>
      <c r="N1601" s="31"/>
      <c r="O1601" s="16" t="s">
        <v>3344</v>
      </c>
      <c r="P1601" s="16"/>
      <c r="Q1601" s="16"/>
      <c r="R1601" s="33">
        <v>42</v>
      </c>
      <c r="S1601" s="34">
        <v>45792</v>
      </c>
      <c r="T1601" s="34">
        <v>45797</v>
      </c>
      <c r="U1601" s="34"/>
      <c r="V1601" s="34"/>
      <c r="W1601" s="34">
        <v>45797</v>
      </c>
      <c r="X1601" s="33" t="s">
        <v>85</v>
      </c>
      <c r="Y1601" s="35" t="str">
        <f>IF(Tabela2[[#This Row],[SIGLA]]="","",VLOOKUP(Tabela2[[#This Row],[SIGLA]],Tabela1[[#All],[Sigla Arte]:[Crédito]],2,0))</f>
        <v>HELOÍSA PINTARELLI/ARQUIVO DA EDITORA</v>
      </c>
      <c r="Z1601" s="31" t="s">
        <v>38</v>
      </c>
      <c r="AA1601" s="31" t="str">
        <f>Tabela2[[#This Row],[ILUSTRADOR CRIAÇÃO]]</f>
        <v>HELOÍSA PINTARELLI/ARQUIVO DA EDITORA</v>
      </c>
      <c r="AB1601" s="33">
        <v>14</v>
      </c>
      <c r="AC1601" s="16" t="s">
        <v>39</v>
      </c>
      <c r="AD1601" s="16" t="s">
        <v>40</v>
      </c>
      <c r="AE1601" s="35" t="str">
        <f t="shared" si="24"/>
        <v>EF1 E002 Mat</v>
      </c>
    </row>
    <row r="1602" spans="1:31" ht="45" x14ac:dyDescent="0.25">
      <c r="A1602" s="31" t="s">
        <v>3345</v>
      </c>
      <c r="B1602" s="16" t="s">
        <v>32</v>
      </c>
      <c r="C1602" s="16" t="s">
        <v>164</v>
      </c>
      <c r="D1602" s="33" t="s">
        <v>34</v>
      </c>
      <c r="E1602" s="33">
        <v>38</v>
      </c>
      <c r="F1602" s="33">
        <v>1</v>
      </c>
      <c r="G1602" s="33">
        <v>1</v>
      </c>
      <c r="H1602" s="33"/>
      <c r="I1602" s="31" t="s">
        <v>35</v>
      </c>
      <c r="J1602" s="31"/>
      <c r="K1602" s="33"/>
      <c r="L1602" s="33"/>
      <c r="M1602" s="31"/>
      <c r="N1602" s="31"/>
      <c r="O1602" s="16" t="s">
        <v>3346</v>
      </c>
      <c r="P1602" s="16"/>
      <c r="Q1602" s="16"/>
      <c r="R1602" s="33">
        <v>42</v>
      </c>
      <c r="S1602" s="34">
        <v>45792</v>
      </c>
      <c r="T1602" s="34">
        <v>45796</v>
      </c>
      <c r="U1602" s="34"/>
      <c r="V1602" s="34"/>
      <c r="W1602" s="34">
        <v>45797</v>
      </c>
      <c r="X1602" s="33" t="s">
        <v>48</v>
      </c>
      <c r="Y1602" s="35" t="str">
        <f>IF(Tabela2[[#This Row],[SIGLA]]="","",VLOOKUP(Tabela2[[#This Row],[SIGLA]],Tabela1[[#All],[Sigla Arte]:[Crédito]],2,0))</f>
        <v>SERGIO LIMA/ARQUIVO DA EDITORA</v>
      </c>
      <c r="Z1602" s="31" t="s">
        <v>38</v>
      </c>
      <c r="AA1602" s="31" t="str">
        <f>Tabela2[[#This Row],[ILUSTRADOR CRIAÇÃO]]</f>
        <v>SERGIO LIMA/ARQUIVO DA EDITORA</v>
      </c>
      <c r="AB1602" s="33">
        <v>14</v>
      </c>
      <c r="AC1602" s="16" t="s">
        <v>39</v>
      </c>
      <c r="AD1602" s="16" t="s">
        <v>40</v>
      </c>
      <c r="AE1602" s="35" t="str">
        <f t="shared" ref="AE1602:AE1643" si="25">"EF1 E002 Mat"</f>
        <v>EF1 E002 Mat</v>
      </c>
    </row>
    <row r="1603" spans="1:31" ht="45" x14ac:dyDescent="0.25">
      <c r="A1603" s="31" t="s">
        <v>3347</v>
      </c>
      <c r="B1603" s="16" t="s">
        <v>32</v>
      </c>
      <c r="C1603" s="16" t="s">
        <v>164</v>
      </c>
      <c r="D1603" s="33" t="s">
        <v>34</v>
      </c>
      <c r="E1603" s="33">
        <v>49</v>
      </c>
      <c r="F1603" s="33">
        <v>1</v>
      </c>
      <c r="G1603" s="33">
        <v>1</v>
      </c>
      <c r="H1603" s="33"/>
      <c r="I1603" s="31" t="s">
        <v>46</v>
      </c>
      <c r="J1603" s="31"/>
      <c r="K1603" s="33"/>
      <c r="L1603" s="33"/>
      <c r="M1603" s="31"/>
      <c r="N1603" s="31"/>
      <c r="O1603" s="16" t="s">
        <v>3348</v>
      </c>
      <c r="P1603" s="16"/>
      <c r="Q1603" s="16"/>
      <c r="R1603" s="33"/>
      <c r="S1603" s="34"/>
      <c r="T1603" s="34"/>
      <c r="U1603" s="34"/>
      <c r="V1603" s="34"/>
      <c r="W1603" s="34"/>
      <c r="X1603" s="33" t="s">
        <v>470</v>
      </c>
      <c r="Y1603" s="35" t="str">
        <f>IF(Tabela2[[#This Row],[SIGLA]]="","",VLOOKUP(Tabela2[[#This Row],[SIGLA]],Tabela1[[#All],[Sigla Arte]:[Crédito]],2,0))</f>
        <v>RENAN FONSECA/ARQUIVO DA EDITORA</v>
      </c>
      <c r="Z1603" s="31"/>
      <c r="AA1603" s="31" t="str">
        <f>Tabela2[[#This Row],[ILUSTRADOR CRIAÇÃO]]</f>
        <v>RENAN FONSECA/ARQUIVO DA EDITORA</v>
      </c>
      <c r="AB1603" s="33"/>
      <c r="AC1603" s="16"/>
      <c r="AE1603" s="35" t="str">
        <f t="shared" si="25"/>
        <v>EF1 E002 Mat</v>
      </c>
    </row>
    <row r="1604" spans="1:31" ht="45" x14ac:dyDescent="0.25">
      <c r="A1604" s="31" t="s">
        <v>3349</v>
      </c>
      <c r="B1604" s="16" t="s">
        <v>32</v>
      </c>
      <c r="C1604" s="16" t="s">
        <v>164</v>
      </c>
      <c r="D1604" s="33" t="s">
        <v>34</v>
      </c>
      <c r="E1604" s="33">
        <v>49</v>
      </c>
      <c r="F1604" s="33">
        <v>1</v>
      </c>
      <c r="G1604" s="33">
        <v>1</v>
      </c>
      <c r="H1604" s="33"/>
      <c r="I1604" s="31" t="s">
        <v>46</v>
      </c>
      <c r="J1604" s="31"/>
      <c r="K1604" s="33"/>
      <c r="L1604" s="33"/>
      <c r="M1604" s="31"/>
      <c r="N1604" s="31"/>
      <c r="O1604" s="16" t="s">
        <v>3350</v>
      </c>
      <c r="P1604" s="16"/>
      <c r="Q1604" s="16"/>
      <c r="R1604" s="33"/>
      <c r="S1604" s="34"/>
      <c r="T1604" s="34"/>
      <c r="U1604" s="34"/>
      <c r="V1604" s="34"/>
      <c r="W1604" s="34"/>
      <c r="X1604" s="33" t="s">
        <v>470</v>
      </c>
      <c r="Y1604" s="35" t="str">
        <f>IF(Tabela2[[#This Row],[SIGLA]]="","",VLOOKUP(Tabela2[[#This Row],[SIGLA]],Tabela1[[#All],[Sigla Arte]:[Crédito]],2,0))</f>
        <v>RENAN FONSECA/ARQUIVO DA EDITORA</v>
      </c>
      <c r="Z1604" s="31"/>
      <c r="AA1604" s="31" t="str">
        <f>Tabela2[[#This Row],[ILUSTRADOR CRIAÇÃO]]</f>
        <v>RENAN FONSECA/ARQUIVO DA EDITORA</v>
      </c>
      <c r="AB1604" s="33"/>
      <c r="AC1604" s="16"/>
      <c r="AE1604" s="35" t="str">
        <f t="shared" si="25"/>
        <v>EF1 E002 Mat</v>
      </c>
    </row>
    <row r="1605" spans="1:31" ht="75" x14ac:dyDescent="0.25">
      <c r="A1605" s="31" t="s">
        <v>3351</v>
      </c>
      <c r="B1605" s="16" t="s">
        <v>32</v>
      </c>
      <c r="C1605" s="16" t="s">
        <v>164</v>
      </c>
      <c r="D1605" s="33" t="s">
        <v>34</v>
      </c>
      <c r="E1605" s="33">
        <v>49</v>
      </c>
      <c r="F1605" s="33">
        <v>1</v>
      </c>
      <c r="G1605" s="33">
        <v>1</v>
      </c>
      <c r="H1605" s="33"/>
      <c r="I1605" s="31" t="s">
        <v>35</v>
      </c>
      <c r="J1605" s="31"/>
      <c r="K1605" s="33"/>
      <c r="L1605" s="33"/>
      <c r="M1605" s="31"/>
      <c r="N1605" s="31"/>
      <c r="O1605" s="16" t="s">
        <v>3352</v>
      </c>
      <c r="P1605" s="16"/>
      <c r="Q1605" s="16"/>
      <c r="R1605" s="33">
        <v>42</v>
      </c>
      <c r="S1605" s="34">
        <v>45792</v>
      </c>
      <c r="T1605" s="34">
        <v>45796</v>
      </c>
      <c r="U1605" s="34"/>
      <c r="V1605" s="34"/>
      <c r="W1605" s="34">
        <v>45797</v>
      </c>
      <c r="X1605" s="33" t="s">
        <v>470</v>
      </c>
      <c r="Y1605" s="35" t="str">
        <f>IF(Tabela2[[#This Row],[SIGLA]]="","",VLOOKUP(Tabela2[[#This Row],[SIGLA]],Tabela1[[#All],[Sigla Arte]:[Crédito]],2,0))</f>
        <v>RENAN FONSECA/ARQUIVO DA EDITORA</v>
      </c>
      <c r="Z1605" s="31" t="s">
        <v>38</v>
      </c>
      <c r="AA1605" s="31" t="str">
        <f>Tabela2[[#This Row],[ILUSTRADOR CRIAÇÃO]]</f>
        <v>RENAN FONSECA/ARQUIVO DA EDITORA</v>
      </c>
      <c r="AB1605" s="33">
        <v>14</v>
      </c>
      <c r="AC1605" s="16" t="s">
        <v>39</v>
      </c>
      <c r="AD1605" s="16" t="s">
        <v>40</v>
      </c>
      <c r="AE1605" s="35" t="str">
        <f t="shared" si="25"/>
        <v>EF1 E002 Mat</v>
      </c>
    </row>
    <row r="1606" spans="1:31" ht="75" x14ac:dyDescent="0.25">
      <c r="A1606" s="31" t="s">
        <v>3353</v>
      </c>
      <c r="B1606" s="16" t="s">
        <v>32</v>
      </c>
      <c r="C1606" s="16" t="s">
        <v>164</v>
      </c>
      <c r="D1606" s="33" t="s">
        <v>34</v>
      </c>
      <c r="E1606" s="33">
        <v>49</v>
      </c>
      <c r="F1606" s="33">
        <v>1</v>
      </c>
      <c r="G1606" s="33">
        <v>1</v>
      </c>
      <c r="H1606" s="33"/>
      <c r="I1606" s="31" t="s">
        <v>35</v>
      </c>
      <c r="J1606" s="31"/>
      <c r="K1606" s="33"/>
      <c r="L1606" s="33"/>
      <c r="M1606" s="31"/>
      <c r="N1606" s="31"/>
      <c r="O1606" s="16" t="s">
        <v>3354</v>
      </c>
      <c r="P1606" s="16"/>
      <c r="Q1606" s="16"/>
      <c r="R1606" s="33">
        <v>42</v>
      </c>
      <c r="S1606" s="34">
        <v>45792</v>
      </c>
      <c r="T1606" s="34">
        <v>45796</v>
      </c>
      <c r="U1606" s="34"/>
      <c r="V1606" s="34"/>
      <c r="W1606" s="34">
        <v>45797</v>
      </c>
      <c r="X1606" s="33" t="s">
        <v>470</v>
      </c>
      <c r="Y1606" s="35" t="str">
        <f>IF(Tabela2[[#This Row],[SIGLA]]="","",VLOOKUP(Tabela2[[#This Row],[SIGLA]],Tabela1[[#All],[Sigla Arte]:[Crédito]],2,0))</f>
        <v>RENAN FONSECA/ARQUIVO DA EDITORA</v>
      </c>
      <c r="Z1606" s="31" t="s">
        <v>38</v>
      </c>
      <c r="AA1606" s="31" t="str">
        <f>Tabela2[[#This Row],[ILUSTRADOR CRIAÇÃO]]</f>
        <v>RENAN FONSECA/ARQUIVO DA EDITORA</v>
      </c>
      <c r="AB1606" s="33">
        <v>14</v>
      </c>
      <c r="AC1606" s="16" t="s">
        <v>39</v>
      </c>
      <c r="AD1606" s="16" t="s">
        <v>40</v>
      </c>
      <c r="AE1606" s="35" t="str">
        <f t="shared" si="25"/>
        <v>EF1 E002 Mat</v>
      </c>
    </row>
    <row r="1607" spans="1:31" ht="75" x14ac:dyDescent="0.25">
      <c r="A1607" s="31" t="s">
        <v>3355</v>
      </c>
      <c r="B1607" s="16" t="s">
        <v>32</v>
      </c>
      <c r="C1607" s="16" t="s">
        <v>164</v>
      </c>
      <c r="D1607" s="33" t="s">
        <v>34</v>
      </c>
      <c r="E1607" s="33">
        <v>49</v>
      </c>
      <c r="F1607" s="33">
        <v>1</v>
      </c>
      <c r="G1607" s="33">
        <v>1</v>
      </c>
      <c r="H1607" s="33"/>
      <c r="I1607" s="31" t="s">
        <v>35</v>
      </c>
      <c r="J1607" s="31"/>
      <c r="K1607" s="33"/>
      <c r="L1607" s="33"/>
      <c r="M1607" s="31"/>
      <c r="N1607" s="31"/>
      <c r="O1607" s="16" t="s">
        <v>3356</v>
      </c>
      <c r="P1607" s="16"/>
      <c r="Q1607" s="16"/>
      <c r="R1607" s="33">
        <v>42</v>
      </c>
      <c r="S1607" s="34">
        <v>45792</v>
      </c>
      <c r="T1607" s="34">
        <v>45796</v>
      </c>
      <c r="U1607" s="34"/>
      <c r="V1607" s="34"/>
      <c r="W1607" s="34">
        <v>45797</v>
      </c>
      <c r="X1607" s="33" t="s">
        <v>470</v>
      </c>
      <c r="Y1607" s="35" t="str">
        <f>IF(Tabela2[[#This Row],[SIGLA]]="","",VLOOKUP(Tabela2[[#This Row],[SIGLA]],Tabela1[[#All],[Sigla Arte]:[Crédito]],2,0))</f>
        <v>RENAN FONSECA/ARQUIVO DA EDITORA</v>
      </c>
      <c r="Z1607" s="31" t="s">
        <v>38</v>
      </c>
      <c r="AA1607" s="31" t="str">
        <f>Tabela2[[#This Row],[ILUSTRADOR CRIAÇÃO]]</f>
        <v>RENAN FONSECA/ARQUIVO DA EDITORA</v>
      </c>
      <c r="AB1607" s="33">
        <v>14</v>
      </c>
      <c r="AC1607" s="16" t="s">
        <v>39</v>
      </c>
      <c r="AD1607" s="16" t="s">
        <v>40</v>
      </c>
      <c r="AE1607" s="35" t="str">
        <f t="shared" si="25"/>
        <v>EF1 E002 Mat</v>
      </c>
    </row>
    <row r="1608" spans="1:31" ht="75" x14ac:dyDescent="0.25">
      <c r="A1608" s="31" t="s">
        <v>3357</v>
      </c>
      <c r="B1608" s="16" t="s">
        <v>32</v>
      </c>
      <c r="C1608" s="16" t="s">
        <v>164</v>
      </c>
      <c r="D1608" s="33" t="s">
        <v>34</v>
      </c>
      <c r="E1608" s="33">
        <v>49</v>
      </c>
      <c r="F1608" s="33">
        <v>1</v>
      </c>
      <c r="G1608" s="33">
        <v>1</v>
      </c>
      <c r="H1608" s="33"/>
      <c r="I1608" s="31" t="s">
        <v>35</v>
      </c>
      <c r="J1608" s="31"/>
      <c r="K1608" s="33"/>
      <c r="L1608" s="33"/>
      <c r="M1608" s="31"/>
      <c r="N1608" s="31"/>
      <c r="O1608" s="16" t="s">
        <v>3358</v>
      </c>
      <c r="P1608" s="16"/>
      <c r="Q1608" s="16"/>
      <c r="R1608" s="33">
        <v>42</v>
      </c>
      <c r="S1608" s="34">
        <v>45792</v>
      </c>
      <c r="T1608" s="34">
        <v>45796</v>
      </c>
      <c r="U1608" s="34"/>
      <c r="V1608" s="34"/>
      <c r="W1608" s="34">
        <v>45797</v>
      </c>
      <c r="X1608" s="33" t="s">
        <v>470</v>
      </c>
      <c r="Y1608" s="35" t="str">
        <f>IF(Tabela2[[#This Row],[SIGLA]]="","",VLOOKUP(Tabela2[[#This Row],[SIGLA]],Tabela1[[#All],[Sigla Arte]:[Crédito]],2,0))</f>
        <v>RENAN FONSECA/ARQUIVO DA EDITORA</v>
      </c>
      <c r="Z1608" s="31" t="s">
        <v>38</v>
      </c>
      <c r="AA1608" s="31" t="str">
        <f>Tabela2[[#This Row],[ILUSTRADOR CRIAÇÃO]]</f>
        <v>RENAN FONSECA/ARQUIVO DA EDITORA</v>
      </c>
      <c r="AB1608" s="33">
        <v>14</v>
      </c>
      <c r="AC1608" s="16" t="s">
        <v>39</v>
      </c>
      <c r="AD1608" s="16" t="s">
        <v>40</v>
      </c>
      <c r="AE1608" s="35" t="str">
        <f t="shared" si="25"/>
        <v>EF1 E002 Mat</v>
      </c>
    </row>
    <row r="1609" spans="1:31" ht="75" x14ac:dyDescent="0.25">
      <c r="A1609" s="31" t="s">
        <v>3359</v>
      </c>
      <c r="B1609" s="16" t="s">
        <v>32</v>
      </c>
      <c r="C1609" s="16" t="s">
        <v>164</v>
      </c>
      <c r="D1609" s="33" t="s">
        <v>34</v>
      </c>
      <c r="E1609" s="33">
        <v>49</v>
      </c>
      <c r="F1609" s="33">
        <v>1</v>
      </c>
      <c r="G1609" s="33">
        <v>1</v>
      </c>
      <c r="H1609" s="33"/>
      <c r="I1609" s="31" t="s">
        <v>35</v>
      </c>
      <c r="J1609" s="31"/>
      <c r="K1609" s="33"/>
      <c r="L1609" s="33"/>
      <c r="M1609" s="31"/>
      <c r="N1609" s="31"/>
      <c r="O1609" s="16" t="s">
        <v>3360</v>
      </c>
      <c r="P1609" s="16"/>
      <c r="Q1609" s="16"/>
      <c r="R1609" s="33">
        <v>42</v>
      </c>
      <c r="S1609" s="34">
        <v>45792</v>
      </c>
      <c r="T1609" s="34">
        <v>45796</v>
      </c>
      <c r="U1609" s="34"/>
      <c r="V1609" s="34"/>
      <c r="W1609" s="34">
        <v>45797</v>
      </c>
      <c r="X1609" s="33" t="s">
        <v>470</v>
      </c>
      <c r="Y1609" s="35" t="str">
        <f>IF(Tabela2[[#This Row],[SIGLA]]="","",VLOOKUP(Tabela2[[#This Row],[SIGLA]],Tabela1[[#All],[Sigla Arte]:[Crédito]],2,0))</f>
        <v>RENAN FONSECA/ARQUIVO DA EDITORA</v>
      </c>
      <c r="Z1609" s="31" t="s">
        <v>38</v>
      </c>
      <c r="AA1609" s="31" t="str">
        <f>Tabela2[[#This Row],[ILUSTRADOR CRIAÇÃO]]</f>
        <v>RENAN FONSECA/ARQUIVO DA EDITORA</v>
      </c>
      <c r="AB1609" s="33">
        <v>14</v>
      </c>
      <c r="AC1609" s="16" t="s">
        <v>39</v>
      </c>
      <c r="AD1609" s="16" t="s">
        <v>40</v>
      </c>
      <c r="AE1609" s="35" t="str">
        <f t="shared" si="25"/>
        <v>EF1 E002 Mat</v>
      </c>
    </row>
    <row r="1610" spans="1:31" ht="75" x14ac:dyDescent="0.25">
      <c r="A1610" s="31" t="s">
        <v>3361</v>
      </c>
      <c r="B1610" s="16" t="s">
        <v>32</v>
      </c>
      <c r="C1610" s="16" t="s">
        <v>164</v>
      </c>
      <c r="D1610" s="33" t="s">
        <v>34</v>
      </c>
      <c r="E1610" s="33">
        <v>49</v>
      </c>
      <c r="F1610" s="33">
        <v>1</v>
      </c>
      <c r="G1610" s="33">
        <v>1</v>
      </c>
      <c r="H1610" s="33"/>
      <c r="I1610" s="31" t="s">
        <v>35</v>
      </c>
      <c r="J1610" s="31"/>
      <c r="K1610" s="33"/>
      <c r="L1610" s="33"/>
      <c r="M1610" s="31"/>
      <c r="N1610" s="31"/>
      <c r="O1610" s="16" t="s">
        <v>3362</v>
      </c>
      <c r="P1610" s="16"/>
      <c r="Q1610" s="16"/>
      <c r="R1610" s="33">
        <v>42</v>
      </c>
      <c r="S1610" s="34">
        <v>45792</v>
      </c>
      <c r="T1610" s="34">
        <v>45796</v>
      </c>
      <c r="U1610" s="34"/>
      <c r="V1610" s="34"/>
      <c r="W1610" s="34">
        <v>45797</v>
      </c>
      <c r="X1610" s="33" t="s">
        <v>470</v>
      </c>
      <c r="Y1610" s="35" t="str">
        <f>IF(Tabela2[[#This Row],[SIGLA]]="","",VLOOKUP(Tabela2[[#This Row],[SIGLA]],Tabela1[[#All],[Sigla Arte]:[Crédito]],2,0))</f>
        <v>RENAN FONSECA/ARQUIVO DA EDITORA</v>
      </c>
      <c r="Z1610" s="31" t="s">
        <v>38</v>
      </c>
      <c r="AA1610" s="31" t="str">
        <f>Tabela2[[#This Row],[ILUSTRADOR CRIAÇÃO]]</f>
        <v>RENAN FONSECA/ARQUIVO DA EDITORA</v>
      </c>
      <c r="AB1610" s="33">
        <v>14</v>
      </c>
      <c r="AC1610" s="16" t="s">
        <v>39</v>
      </c>
      <c r="AD1610" s="16" t="s">
        <v>40</v>
      </c>
      <c r="AE1610" s="35" t="str">
        <f t="shared" si="25"/>
        <v>EF1 E002 Mat</v>
      </c>
    </row>
    <row r="1611" spans="1:31" ht="75" x14ac:dyDescent="0.25">
      <c r="A1611" s="31" t="s">
        <v>3363</v>
      </c>
      <c r="B1611" s="16" t="s">
        <v>32</v>
      </c>
      <c r="C1611" s="16" t="s">
        <v>164</v>
      </c>
      <c r="D1611" s="33" t="s">
        <v>34</v>
      </c>
      <c r="E1611" s="33">
        <v>49</v>
      </c>
      <c r="F1611" s="33">
        <v>1</v>
      </c>
      <c r="G1611" s="33">
        <v>1</v>
      </c>
      <c r="H1611" s="33"/>
      <c r="I1611" s="31" t="s">
        <v>35</v>
      </c>
      <c r="J1611" s="31"/>
      <c r="K1611" s="33"/>
      <c r="L1611" s="33"/>
      <c r="M1611" s="31"/>
      <c r="N1611" s="31"/>
      <c r="O1611" s="16" t="s">
        <v>3364</v>
      </c>
      <c r="P1611" s="16"/>
      <c r="Q1611" s="16"/>
      <c r="R1611" s="33">
        <v>42</v>
      </c>
      <c r="S1611" s="34">
        <v>45792</v>
      </c>
      <c r="T1611" s="34">
        <v>45796</v>
      </c>
      <c r="U1611" s="34"/>
      <c r="V1611" s="34"/>
      <c r="W1611" s="34">
        <v>45797</v>
      </c>
      <c r="X1611" s="33" t="s">
        <v>470</v>
      </c>
      <c r="Y1611" s="35" t="str">
        <f>IF(Tabela2[[#This Row],[SIGLA]]="","",VLOOKUP(Tabela2[[#This Row],[SIGLA]],Tabela1[[#All],[Sigla Arte]:[Crédito]],2,0))</f>
        <v>RENAN FONSECA/ARQUIVO DA EDITORA</v>
      </c>
      <c r="Z1611" s="31" t="s">
        <v>38</v>
      </c>
      <c r="AA1611" s="31" t="str">
        <f>Tabela2[[#This Row],[ILUSTRADOR CRIAÇÃO]]</f>
        <v>RENAN FONSECA/ARQUIVO DA EDITORA</v>
      </c>
      <c r="AB1611" s="33">
        <v>14</v>
      </c>
      <c r="AC1611" s="16" t="s">
        <v>39</v>
      </c>
      <c r="AD1611" s="16" t="s">
        <v>40</v>
      </c>
      <c r="AE1611" s="35" t="str">
        <f t="shared" si="25"/>
        <v>EF1 E002 Mat</v>
      </c>
    </row>
    <row r="1612" spans="1:31" ht="75" x14ac:dyDescent="0.25">
      <c r="A1612" s="31" t="s">
        <v>3365</v>
      </c>
      <c r="B1612" s="16" t="s">
        <v>32</v>
      </c>
      <c r="C1612" s="16" t="s">
        <v>164</v>
      </c>
      <c r="D1612" s="33" t="s">
        <v>34</v>
      </c>
      <c r="E1612" s="33">
        <v>49</v>
      </c>
      <c r="F1612" s="33">
        <v>1</v>
      </c>
      <c r="G1612" s="33">
        <v>1</v>
      </c>
      <c r="H1612" s="33"/>
      <c r="I1612" s="31" t="s">
        <v>35</v>
      </c>
      <c r="J1612" s="31"/>
      <c r="K1612" s="33"/>
      <c r="L1612" s="33"/>
      <c r="M1612" s="31"/>
      <c r="N1612" s="31"/>
      <c r="O1612" s="16" t="s">
        <v>3366</v>
      </c>
      <c r="P1612" s="16"/>
      <c r="Q1612" s="16"/>
      <c r="R1612" s="33">
        <v>42</v>
      </c>
      <c r="S1612" s="34">
        <v>45792</v>
      </c>
      <c r="T1612" s="34">
        <v>45796</v>
      </c>
      <c r="U1612" s="34"/>
      <c r="V1612" s="34"/>
      <c r="W1612" s="34">
        <v>45797</v>
      </c>
      <c r="X1612" s="33" t="s">
        <v>470</v>
      </c>
      <c r="Y1612" s="35" t="str">
        <f>IF(Tabela2[[#This Row],[SIGLA]]="","",VLOOKUP(Tabela2[[#This Row],[SIGLA]],Tabela1[[#All],[Sigla Arte]:[Crédito]],2,0))</f>
        <v>RENAN FONSECA/ARQUIVO DA EDITORA</v>
      </c>
      <c r="Z1612" s="31" t="s">
        <v>38</v>
      </c>
      <c r="AA1612" s="31" t="str">
        <f>Tabela2[[#This Row],[ILUSTRADOR CRIAÇÃO]]</f>
        <v>RENAN FONSECA/ARQUIVO DA EDITORA</v>
      </c>
      <c r="AB1612" s="33">
        <v>14</v>
      </c>
      <c r="AC1612" s="16" t="s">
        <v>39</v>
      </c>
      <c r="AD1612" s="16" t="s">
        <v>40</v>
      </c>
      <c r="AE1612" s="35" t="str">
        <f t="shared" si="25"/>
        <v>EF1 E002 Mat</v>
      </c>
    </row>
    <row r="1613" spans="1:31" ht="75" x14ac:dyDescent="0.25">
      <c r="A1613" s="31" t="s">
        <v>3367</v>
      </c>
      <c r="B1613" s="16" t="s">
        <v>32</v>
      </c>
      <c r="C1613" s="16" t="s">
        <v>164</v>
      </c>
      <c r="D1613" s="33" t="s">
        <v>34</v>
      </c>
      <c r="E1613" s="33">
        <v>49</v>
      </c>
      <c r="F1613" s="33">
        <v>1</v>
      </c>
      <c r="G1613" s="33">
        <v>1</v>
      </c>
      <c r="H1613" s="33"/>
      <c r="I1613" s="31" t="s">
        <v>35</v>
      </c>
      <c r="J1613" s="31"/>
      <c r="K1613" s="33"/>
      <c r="L1613" s="33"/>
      <c r="M1613" s="31"/>
      <c r="N1613" s="31"/>
      <c r="O1613" s="16" t="s">
        <v>3368</v>
      </c>
      <c r="P1613" s="16"/>
      <c r="Q1613" s="16"/>
      <c r="R1613" s="33">
        <v>42</v>
      </c>
      <c r="S1613" s="34">
        <v>45792</v>
      </c>
      <c r="T1613" s="34">
        <v>45796</v>
      </c>
      <c r="U1613" s="34"/>
      <c r="V1613" s="34"/>
      <c r="W1613" s="34">
        <v>45797</v>
      </c>
      <c r="X1613" s="33" t="s">
        <v>470</v>
      </c>
      <c r="Y1613" s="35" t="str">
        <f>IF(Tabela2[[#This Row],[SIGLA]]="","",VLOOKUP(Tabela2[[#This Row],[SIGLA]],Tabela1[[#All],[Sigla Arte]:[Crédito]],2,0))</f>
        <v>RENAN FONSECA/ARQUIVO DA EDITORA</v>
      </c>
      <c r="Z1613" s="31" t="s">
        <v>38</v>
      </c>
      <c r="AA1613" s="31" t="str">
        <f>Tabela2[[#This Row],[ILUSTRADOR CRIAÇÃO]]</f>
        <v>RENAN FONSECA/ARQUIVO DA EDITORA</v>
      </c>
      <c r="AB1613" s="33">
        <v>14</v>
      </c>
      <c r="AC1613" s="16" t="s">
        <v>39</v>
      </c>
      <c r="AD1613" s="16" t="s">
        <v>40</v>
      </c>
      <c r="AE1613" s="35" t="str">
        <f t="shared" si="25"/>
        <v>EF1 E002 Mat</v>
      </c>
    </row>
    <row r="1614" spans="1:31" ht="45" x14ac:dyDescent="0.25">
      <c r="A1614" s="31" t="s">
        <v>3369</v>
      </c>
      <c r="B1614" s="16" t="s">
        <v>97</v>
      </c>
      <c r="C1614" s="16" t="s">
        <v>164</v>
      </c>
      <c r="D1614" s="33" t="s">
        <v>34</v>
      </c>
      <c r="E1614" s="33">
        <v>218</v>
      </c>
      <c r="F1614" s="33">
        <v>4</v>
      </c>
      <c r="G1614" s="33">
        <v>11</v>
      </c>
      <c r="H1614" s="33"/>
      <c r="I1614" s="31" t="s">
        <v>46</v>
      </c>
      <c r="J1614" s="31"/>
      <c r="K1614" s="33"/>
      <c r="L1614" s="33"/>
      <c r="M1614" s="31"/>
      <c r="N1614" s="31"/>
      <c r="O1614" s="16" t="s">
        <v>3370</v>
      </c>
      <c r="P1614" s="16"/>
      <c r="Q1614" s="16"/>
      <c r="R1614" s="33"/>
      <c r="S1614" s="34"/>
      <c r="T1614" s="34"/>
      <c r="U1614" s="34"/>
      <c r="V1614" s="34"/>
      <c r="W1614" s="34"/>
      <c r="X1614" s="33" t="s">
        <v>48</v>
      </c>
      <c r="Y1614" s="35" t="str">
        <f>IF(Tabela2[[#This Row],[SIGLA]]="","",VLOOKUP(Tabela2[[#This Row],[SIGLA]],Tabela1[[#All],[Sigla Arte]:[Crédito]],2,0))</f>
        <v>SERGIO LIMA/ARQUIVO DA EDITORA</v>
      </c>
      <c r="Z1614" s="31"/>
      <c r="AA1614" s="31" t="str">
        <f>Tabela2[[#This Row],[ILUSTRADOR CRIAÇÃO]]</f>
        <v>SERGIO LIMA/ARQUIVO DA EDITORA</v>
      </c>
      <c r="AB1614" s="33"/>
      <c r="AC1614" s="16"/>
      <c r="AE1614" s="35" t="str">
        <f t="shared" si="25"/>
        <v>EF1 E002 Mat</v>
      </c>
    </row>
    <row r="1615" spans="1:31" ht="45" x14ac:dyDescent="0.25">
      <c r="A1615" s="31" t="s">
        <v>3371</v>
      </c>
      <c r="B1615" s="16" t="s">
        <v>97</v>
      </c>
      <c r="C1615" s="16" t="s">
        <v>164</v>
      </c>
      <c r="D1615" s="33" t="s">
        <v>34</v>
      </c>
      <c r="E1615" s="33">
        <v>218</v>
      </c>
      <c r="F1615" s="33">
        <v>4</v>
      </c>
      <c r="G1615" s="33">
        <v>11</v>
      </c>
      <c r="H1615" s="33"/>
      <c r="I1615" s="31" t="s">
        <v>46</v>
      </c>
      <c r="J1615" s="31"/>
      <c r="K1615" s="33"/>
      <c r="L1615" s="33"/>
      <c r="M1615" s="31"/>
      <c r="N1615" s="31"/>
      <c r="O1615" s="16" t="s">
        <v>3372</v>
      </c>
      <c r="P1615" s="16"/>
      <c r="Q1615" s="16"/>
      <c r="R1615" s="33"/>
      <c r="S1615" s="34"/>
      <c r="T1615" s="34"/>
      <c r="U1615" s="34"/>
      <c r="V1615" s="34"/>
      <c r="W1615" s="34"/>
      <c r="X1615" s="33" t="s">
        <v>48</v>
      </c>
      <c r="Y1615" s="35" t="str">
        <f>IF(Tabela2[[#This Row],[SIGLA]]="","",VLOOKUP(Tabela2[[#This Row],[SIGLA]],Tabela1[[#All],[Sigla Arte]:[Crédito]],2,0))</f>
        <v>SERGIO LIMA/ARQUIVO DA EDITORA</v>
      </c>
      <c r="Z1615" s="31"/>
      <c r="AA1615" s="31" t="str">
        <f>Tabela2[[#This Row],[ILUSTRADOR CRIAÇÃO]]</f>
        <v>SERGIO LIMA/ARQUIVO DA EDITORA</v>
      </c>
      <c r="AB1615" s="33"/>
      <c r="AC1615" s="16"/>
      <c r="AE1615" s="35" t="str">
        <f t="shared" si="25"/>
        <v>EF1 E002 Mat</v>
      </c>
    </row>
    <row r="1616" spans="1:31" ht="45" x14ac:dyDescent="0.25">
      <c r="A1616" s="31" t="s">
        <v>3373</v>
      </c>
      <c r="B1616" s="16" t="s">
        <v>97</v>
      </c>
      <c r="C1616" s="16" t="s">
        <v>164</v>
      </c>
      <c r="D1616" s="33" t="s">
        <v>34</v>
      </c>
      <c r="E1616" s="33">
        <v>219</v>
      </c>
      <c r="F1616" s="33">
        <v>4</v>
      </c>
      <c r="G1616" s="33">
        <v>11</v>
      </c>
      <c r="H1616" s="33"/>
      <c r="I1616" s="31" t="s">
        <v>46</v>
      </c>
      <c r="J1616" s="31"/>
      <c r="K1616" s="33"/>
      <c r="L1616" s="33"/>
      <c r="M1616" s="31"/>
      <c r="N1616" s="31"/>
      <c r="O1616" s="16" t="s">
        <v>3374</v>
      </c>
      <c r="P1616" s="16"/>
      <c r="Q1616" s="16"/>
      <c r="R1616" s="33"/>
      <c r="S1616" s="34"/>
      <c r="T1616" s="34"/>
      <c r="U1616" s="34"/>
      <c r="V1616" s="34"/>
      <c r="W1616" s="34"/>
      <c r="X1616" s="33" t="s">
        <v>48</v>
      </c>
      <c r="Y1616" s="35" t="str">
        <f>IF(Tabela2[[#This Row],[SIGLA]]="","",VLOOKUP(Tabela2[[#This Row],[SIGLA]],Tabela1[[#All],[Sigla Arte]:[Crédito]],2,0))</f>
        <v>SERGIO LIMA/ARQUIVO DA EDITORA</v>
      </c>
      <c r="Z1616" s="31"/>
      <c r="AA1616" s="31" t="str">
        <f>Tabela2[[#This Row],[ILUSTRADOR CRIAÇÃO]]</f>
        <v>SERGIO LIMA/ARQUIVO DA EDITORA</v>
      </c>
      <c r="AB1616" s="33"/>
      <c r="AC1616" s="16"/>
      <c r="AE1616" s="35" t="str">
        <f t="shared" si="25"/>
        <v>EF1 E002 Mat</v>
      </c>
    </row>
    <row r="1617" spans="1:31" ht="45" x14ac:dyDescent="0.25">
      <c r="A1617" s="31" t="s">
        <v>3375</v>
      </c>
      <c r="B1617" s="16" t="s">
        <v>97</v>
      </c>
      <c r="C1617" s="16" t="s">
        <v>164</v>
      </c>
      <c r="D1617" s="33" t="s">
        <v>34</v>
      </c>
      <c r="E1617" s="33">
        <v>219</v>
      </c>
      <c r="F1617" s="33">
        <v>4</v>
      </c>
      <c r="G1617" s="33">
        <v>11</v>
      </c>
      <c r="H1617" s="33"/>
      <c r="I1617" s="31" t="s">
        <v>46</v>
      </c>
      <c r="J1617" s="31"/>
      <c r="K1617" s="33"/>
      <c r="L1617" s="33"/>
      <c r="M1617" s="31"/>
      <c r="N1617" s="31"/>
      <c r="O1617" s="16" t="s">
        <v>3376</v>
      </c>
      <c r="P1617" s="16"/>
      <c r="Q1617" s="16"/>
      <c r="R1617" s="33"/>
      <c r="S1617" s="34"/>
      <c r="T1617" s="34"/>
      <c r="U1617" s="34"/>
      <c r="V1617" s="34"/>
      <c r="W1617" s="34"/>
      <c r="X1617" s="33" t="s">
        <v>48</v>
      </c>
      <c r="Y1617" s="35" t="str">
        <f>IF(Tabela2[[#This Row],[SIGLA]]="","",VLOOKUP(Tabela2[[#This Row],[SIGLA]],Tabela1[[#All],[Sigla Arte]:[Crédito]],2,0))</f>
        <v>SERGIO LIMA/ARQUIVO DA EDITORA</v>
      </c>
      <c r="Z1617" s="31"/>
      <c r="AA1617" s="31" t="str">
        <f>Tabela2[[#This Row],[ILUSTRADOR CRIAÇÃO]]</f>
        <v>SERGIO LIMA/ARQUIVO DA EDITORA</v>
      </c>
      <c r="AB1617" s="33"/>
      <c r="AC1617" s="16"/>
      <c r="AE1617" s="35" t="str">
        <f t="shared" si="25"/>
        <v>EF1 E002 Mat</v>
      </c>
    </row>
    <row r="1618" spans="1:31" ht="75" x14ac:dyDescent="0.25">
      <c r="A1618" s="31" t="s">
        <v>3377</v>
      </c>
      <c r="B1618" s="16" t="s">
        <v>97</v>
      </c>
      <c r="C1618" s="16" t="s">
        <v>164</v>
      </c>
      <c r="D1618" s="33" t="s">
        <v>34</v>
      </c>
      <c r="E1618" s="33">
        <v>219</v>
      </c>
      <c r="F1618" s="33">
        <v>4</v>
      </c>
      <c r="G1618" s="33">
        <v>11</v>
      </c>
      <c r="H1618" s="33"/>
      <c r="I1618" s="31" t="s">
        <v>35</v>
      </c>
      <c r="J1618" s="31"/>
      <c r="K1618" s="33"/>
      <c r="L1618" s="33"/>
      <c r="M1618" s="31"/>
      <c r="N1618" s="31"/>
      <c r="O1618" s="16" t="s">
        <v>3378</v>
      </c>
      <c r="P1618" s="16"/>
      <c r="Q1618" s="16"/>
      <c r="R1618" s="33">
        <v>43</v>
      </c>
      <c r="S1618" s="34">
        <v>45792</v>
      </c>
      <c r="T1618" s="34">
        <v>45797</v>
      </c>
      <c r="U1618" s="34"/>
      <c r="V1618" s="34"/>
      <c r="W1618" s="34">
        <v>45798</v>
      </c>
      <c r="X1618" s="33" t="s">
        <v>48</v>
      </c>
      <c r="Y1618" s="35" t="str">
        <f>IF(Tabela2[[#This Row],[SIGLA]]="","",VLOOKUP(Tabela2[[#This Row],[SIGLA]],Tabela1[[#All],[Sigla Arte]:[Crédito]],2,0))</f>
        <v>SERGIO LIMA/ARQUIVO DA EDITORA</v>
      </c>
      <c r="Z1618" s="31" t="s">
        <v>38</v>
      </c>
      <c r="AA1618" s="31" t="str">
        <f>Tabela2[[#This Row],[ILUSTRADOR CRIAÇÃO]]</f>
        <v>SERGIO LIMA/ARQUIVO DA EDITORA</v>
      </c>
      <c r="AB1618" s="33">
        <v>14</v>
      </c>
      <c r="AC1618" s="16" t="s">
        <v>39</v>
      </c>
      <c r="AD1618" s="16" t="s">
        <v>40</v>
      </c>
      <c r="AE1618" s="35" t="str">
        <f t="shared" si="25"/>
        <v>EF1 E002 Mat</v>
      </c>
    </row>
    <row r="1619" spans="1:31" ht="30" x14ac:dyDescent="0.25">
      <c r="A1619" s="31" t="s">
        <v>3379</v>
      </c>
      <c r="B1619" s="16" t="s">
        <v>97</v>
      </c>
      <c r="C1619" s="16" t="s">
        <v>164</v>
      </c>
      <c r="D1619" s="33" t="s">
        <v>34</v>
      </c>
      <c r="E1619" s="33">
        <v>219</v>
      </c>
      <c r="F1619" s="33">
        <v>4</v>
      </c>
      <c r="G1619" s="33">
        <v>11</v>
      </c>
      <c r="H1619" s="33"/>
      <c r="I1619" s="31" t="s">
        <v>46</v>
      </c>
      <c r="J1619" s="31"/>
      <c r="K1619" s="33"/>
      <c r="L1619" s="33"/>
      <c r="M1619" s="31"/>
      <c r="N1619" s="31"/>
      <c r="O1619" s="16" t="s">
        <v>3380</v>
      </c>
      <c r="P1619" s="16"/>
      <c r="Q1619" s="16"/>
      <c r="R1619" s="33"/>
      <c r="S1619" s="34"/>
      <c r="T1619" s="34"/>
      <c r="U1619" s="34"/>
      <c r="V1619" s="34"/>
      <c r="W1619" s="34"/>
      <c r="X1619" s="33" t="s">
        <v>48</v>
      </c>
      <c r="Y1619" s="35" t="str">
        <f>IF(Tabela2[[#This Row],[SIGLA]]="","",VLOOKUP(Tabela2[[#This Row],[SIGLA]],Tabela1[[#All],[Sigla Arte]:[Crédito]],2,0))</f>
        <v>SERGIO LIMA/ARQUIVO DA EDITORA</v>
      </c>
      <c r="Z1619" s="31"/>
      <c r="AA1619" s="31" t="str">
        <f>Tabela2[[#This Row],[ILUSTRADOR CRIAÇÃO]]</f>
        <v>SERGIO LIMA/ARQUIVO DA EDITORA</v>
      </c>
      <c r="AB1619" s="33"/>
      <c r="AC1619" s="16"/>
      <c r="AE1619" s="35" t="str">
        <f t="shared" si="25"/>
        <v>EF1 E002 Mat</v>
      </c>
    </row>
    <row r="1620" spans="1:31" ht="45" x14ac:dyDescent="0.25">
      <c r="A1620" s="31" t="s">
        <v>3381</v>
      </c>
      <c r="B1620" s="16" t="s">
        <v>97</v>
      </c>
      <c r="C1620" s="16" t="s">
        <v>33</v>
      </c>
      <c r="D1620" s="33" t="s">
        <v>34</v>
      </c>
      <c r="E1620" s="33">
        <v>220</v>
      </c>
      <c r="F1620" s="33">
        <v>4</v>
      </c>
      <c r="G1620" s="33">
        <v>11</v>
      </c>
      <c r="H1620" s="33"/>
      <c r="I1620" s="31" t="s">
        <v>46</v>
      </c>
      <c r="J1620" s="31"/>
      <c r="K1620" s="33"/>
      <c r="L1620" s="33"/>
      <c r="M1620" s="31"/>
      <c r="N1620" s="31"/>
      <c r="O1620" s="16" t="s">
        <v>3382</v>
      </c>
      <c r="P1620" s="16"/>
      <c r="Q1620" s="16"/>
      <c r="R1620" s="33"/>
      <c r="S1620" s="34"/>
      <c r="T1620" s="34"/>
      <c r="U1620" s="34"/>
      <c r="V1620" s="34"/>
      <c r="W1620" s="34"/>
      <c r="X1620" s="33" t="s">
        <v>399</v>
      </c>
      <c r="Y1620" s="35" t="str">
        <f>IF(Tabela2[[#This Row],[SIGLA]]="","",VLOOKUP(Tabela2[[#This Row],[SIGLA]],Tabela1[[#All],[Sigla Arte]:[Crédito]],2,0))</f>
        <v>MÁRCIO GUERRA/ARQUIVO DA EDITORA</v>
      </c>
      <c r="Z1620" s="31"/>
      <c r="AA1620" s="31" t="str">
        <f>Tabela2[[#This Row],[ILUSTRADOR CRIAÇÃO]]</f>
        <v>MÁRCIO GUERRA/ARQUIVO DA EDITORA</v>
      </c>
      <c r="AB1620" s="33"/>
      <c r="AC1620" s="16"/>
      <c r="AE1620" s="35" t="str">
        <f t="shared" si="25"/>
        <v>EF1 E002 Mat</v>
      </c>
    </row>
    <row r="1621" spans="1:31" ht="30" x14ac:dyDescent="0.25">
      <c r="A1621" s="31" t="s">
        <v>3383</v>
      </c>
      <c r="B1621" s="16" t="s">
        <v>97</v>
      </c>
      <c r="C1621" s="16" t="s">
        <v>164</v>
      </c>
      <c r="D1621" s="33" t="s">
        <v>34</v>
      </c>
      <c r="E1621" s="33">
        <v>220</v>
      </c>
      <c r="F1621" s="33">
        <v>4</v>
      </c>
      <c r="G1621" s="33">
        <v>11</v>
      </c>
      <c r="H1621" s="33"/>
      <c r="I1621" s="31" t="s">
        <v>46</v>
      </c>
      <c r="J1621" s="31"/>
      <c r="K1621" s="33"/>
      <c r="L1621" s="33"/>
      <c r="M1621" s="31"/>
      <c r="N1621" s="31"/>
      <c r="O1621" s="16" t="s">
        <v>3384</v>
      </c>
      <c r="P1621" s="16"/>
      <c r="Q1621" s="16"/>
      <c r="R1621" s="33"/>
      <c r="S1621" s="34"/>
      <c r="T1621" s="34"/>
      <c r="U1621" s="34"/>
      <c r="V1621" s="34"/>
      <c r="W1621" s="34"/>
      <c r="X1621" s="33" t="s">
        <v>48</v>
      </c>
      <c r="Y1621" s="35" t="str">
        <f>IF(Tabela2[[#This Row],[SIGLA]]="","",VLOOKUP(Tabela2[[#This Row],[SIGLA]],Tabela1[[#All],[Sigla Arte]:[Crédito]],2,0))</f>
        <v>SERGIO LIMA/ARQUIVO DA EDITORA</v>
      </c>
      <c r="Z1621" s="31"/>
      <c r="AA1621" s="31" t="str">
        <f>Tabela2[[#This Row],[ILUSTRADOR CRIAÇÃO]]</f>
        <v>SERGIO LIMA/ARQUIVO DA EDITORA</v>
      </c>
      <c r="AB1621" s="33"/>
      <c r="AC1621" s="16"/>
      <c r="AE1621" s="35" t="str">
        <f t="shared" si="25"/>
        <v>EF1 E002 Mat</v>
      </c>
    </row>
    <row r="1622" spans="1:31" ht="30" x14ac:dyDescent="0.25">
      <c r="A1622" s="31" t="s">
        <v>3385</v>
      </c>
      <c r="B1622" s="16" t="s">
        <v>97</v>
      </c>
      <c r="C1622" s="16" t="s">
        <v>164</v>
      </c>
      <c r="D1622" s="33" t="s">
        <v>34</v>
      </c>
      <c r="E1622" s="33">
        <v>220</v>
      </c>
      <c r="F1622" s="33">
        <v>4</v>
      </c>
      <c r="G1622" s="33">
        <v>11</v>
      </c>
      <c r="H1622" s="33"/>
      <c r="I1622" s="31" t="s">
        <v>46</v>
      </c>
      <c r="J1622" s="31"/>
      <c r="K1622" s="33"/>
      <c r="L1622" s="33"/>
      <c r="M1622" s="31"/>
      <c r="N1622" s="31"/>
      <c r="O1622" s="16" t="s">
        <v>3386</v>
      </c>
      <c r="P1622" s="16"/>
      <c r="Q1622" s="16"/>
      <c r="R1622" s="33"/>
      <c r="S1622" s="34"/>
      <c r="T1622" s="34"/>
      <c r="U1622" s="34"/>
      <c r="V1622" s="34"/>
      <c r="W1622" s="34"/>
      <c r="X1622" s="33" t="s">
        <v>48</v>
      </c>
      <c r="Y1622" s="35" t="str">
        <f>IF(Tabela2[[#This Row],[SIGLA]]="","",VLOOKUP(Tabela2[[#This Row],[SIGLA]],Tabela1[[#All],[Sigla Arte]:[Crédito]],2,0))</f>
        <v>SERGIO LIMA/ARQUIVO DA EDITORA</v>
      </c>
      <c r="Z1622" s="31"/>
      <c r="AA1622" s="31" t="str">
        <f>Tabela2[[#This Row],[ILUSTRADOR CRIAÇÃO]]</f>
        <v>SERGIO LIMA/ARQUIVO DA EDITORA</v>
      </c>
      <c r="AB1622" s="33"/>
      <c r="AC1622" s="16"/>
      <c r="AE1622" s="35" t="str">
        <f t="shared" si="25"/>
        <v>EF1 E002 Mat</v>
      </c>
    </row>
    <row r="1623" spans="1:31" ht="30" x14ac:dyDescent="0.25">
      <c r="A1623" s="31" t="s">
        <v>3387</v>
      </c>
      <c r="B1623" s="16" t="s">
        <v>97</v>
      </c>
      <c r="C1623" s="16" t="s">
        <v>164</v>
      </c>
      <c r="D1623" s="33" t="s">
        <v>34</v>
      </c>
      <c r="E1623" s="33">
        <v>220</v>
      </c>
      <c r="F1623" s="33">
        <v>4</v>
      </c>
      <c r="G1623" s="33">
        <v>11</v>
      </c>
      <c r="H1623" s="33"/>
      <c r="I1623" s="31" t="s">
        <v>46</v>
      </c>
      <c r="J1623" s="31"/>
      <c r="K1623" s="33"/>
      <c r="L1623" s="33"/>
      <c r="M1623" s="31"/>
      <c r="N1623" s="31"/>
      <c r="O1623" s="16" t="s">
        <v>3388</v>
      </c>
      <c r="P1623" s="16"/>
      <c r="Q1623" s="16"/>
      <c r="R1623" s="33"/>
      <c r="S1623" s="34"/>
      <c r="T1623" s="34"/>
      <c r="U1623" s="34"/>
      <c r="V1623" s="34"/>
      <c r="W1623" s="34"/>
      <c r="X1623" s="33" t="s">
        <v>48</v>
      </c>
      <c r="Y1623" s="35" t="str">
        <f>IF(Tabela2[[#This Row],[SIGLA]]="","",VLOOKUP(Tabela2[[#This Row],[SIGLA]],Tabela1[[#All],[Sigla Arte]:[Crédito]],2,0))</f>
        <v>SERGIO LIMA/ARQUIVO DA EDITORA</v>
      </c>
      <c r="Z1623" s="31"/>
      <c r="AA1623" s="31" t="str">
        <f>Tabela2[[#This Row],[ILUSTRADOR CRIAÇÃO]]</f>
        <v>SERGIO LIMA/ARQUIVO DA EDITORA</v>
      </c>
      <c r="AB1623" s="33"/>
      <c r="AC1623" s="16"/>
      <c r="AE1623" s="35" t="str">
        <f t="shared" si="25"/>
        <v>EF1 E002 Mat</v>
      </c>
    </row>
    <row r="1624" spans="1:31" ht="45" x14ac:dyDescent="0.25">
      <c r="A1624" s="31" t="s">
        <v>3389</v>
      </c>
      <c r="B1624" s="16" t="s">
        <v>97</v>
      </c>
      <c r="C1624" s="16" t="s">
        <v>164</v>
      </c>
      <c r="D1624" s="33" t="s">
        <v>34</v>
      </c>
      <c r="E1624" s="33">
        <v>221</v>
      </c>
      <c r="F1624" s="33">
        <v>4</v>
      </c>
      <c r="G1624" s="33">
        <v>11</v>
      </c>
      <c r="H1624" s="33"/>
      <c r="I1624" s="31" t="s">
        <v>46</v>
      </c>
      <c r="J1624" s="31"/>
      <c r="K1624" s="33"/>
      <c r="L1624" s="33"/>
      <c r="M1624" s="31"/>
      <c r="N1624" s="31"/>
      <c r="O1624" s="16" t="s">
        <v>3390</v>
      </c>
      <c r="P1624" s="16"/>
      <c r="Q1624" s="16"/>
      <c r="R1624" s="33"/>
      <c r="S1624" s="34"/>
      <c r="T1624" s="34"/>
      <c r="U1624" s="34"/>
      <c r="V1624" s="34"/>
      <c r="W1624" s="34"/>
      <c r="X1624" s="33" t="s">
        <v>48</v>
      </c>
      <c r="Y1624" s="35" t="str">
        <f>IF(Tabela2[[#This Row],[SIGLA]]="","",VLOOKUP(Tabela2[[#This Row],[SIGLA]],Tabela1[[#All],[Sigla Arte]:[Crédito]],2,0))</f>
        <v>SERGIO LIMA/ARQUIVO DA EDITORA</v>
      </c>
      <c r="Z1624" s="31"/>
      <c r="AA1624" s="31" t="str">
        <f>Tabela2[[#This Row],[ILUSTRADOR CRIAÇÃO]]</f>
        <v>SERGIO LIMA/ARQUIVO DA EDITORA</v>
      </c>
      <c r="AB1624" s="33"/>
      <c r="AC1624" s="16"/>
      <c r="AE1624" s="35" t="str">
        <f t="shared" si="25"/>
        <v>EF1 E002 Mat</v>
      </c>
    </row>
    <row r="1625" spans="1:31" ht="45" x14ac:dyDescent="0.25">
      <c r="A1625" s="31" t="s">
        <v>3391</v>
      </c>
      <c r="B1625" s="16" t="s">
        <v>97</v>
      </c>
      <c r="C1625" s="16" t="s">
        <v>164</v>
      </c>
      <c r="D1625" s="33" t="s">
        <v>34</v>
      </c>
      <c r="E1625" s="33">
        <v>221</v>
      </c>
      <c r="F1625" s="33">
        <v>4</v>
      </c>
      <c r="G1625" s="33">
        <v>11</v>
      </c>
      <c r="H1625" s="33"/>
      <c r="I1625" s="31" t="s">
        <v>46</v>
      </c>
      <c r="J1625" s="31"/>
      <c r="K1625" s="33"/>
      <c r="L1625" s="33"/>
      <c r="M1625" s="31"/>
      <c r="N1625" s="31"/>
      <c r="O1625" s="16" t="s">
        <v>3392</v>
      </c>
      <c r="P1625" s="16"/>
      <c r="Q1625" s="16"/>
      <c r="R1625" s="33"/>
      <c r="S1625" s="34"/>
      <c r="T1625" s="34"/>
      <c r="U1625" s="34"/>
      <c r="V1625" s="34"/>
      <c r="W1625" s="34"/>
      <c r="X1625" s="33" t="s">
        <v>48</v>
      </c>
      <c r="Y1625" s="35" t="str">
        <f>IF(Tabela2[[#This Row],[SIGLA]]="","",VLOOKUP(Tabela2[[#This Row],[SIGLA]],Tabela1[[#All],[Sigla Arte]:[Crédito]],2,0))</f>
        <v>SERGIO LIMA/ARQUIVO DA EDITORA</v>
      </c>
      <c r="Z1625" s="31"/>
      <c r="AA1625" s="31" t="str">
        <f>Tabela2[[#This Row],[ILUSTRADOR CRIAÇÃO]]</f>
        <v>SERGIO LIMA/ARQUIVO DA EDITORA</v>
      </c>
      <c r="AB1625" s="33"/>
      <c r="AC1625" s="16"/>
      <c r="AE1625" s="35" t="str">
        <f t="shared" si="25"/>
        <v>EF1 E002 Mat</v>
      </c>
    </row>
    <row r="1626" spans="1:31" ht="45" x14ac:dyDescent="0.25">
      <c r="A1626" s="31" t="s">
        <v>3393</v>
      </c>
      <c r="B1626" s="16" t="s">
        <v>97</v>
      </c>
      <c r="C1626" s="16" t="s">
        <v>164</v>
      </c>
      <c r="D1626" s="33" t="s">
        <v>34</v>
      </c>
      <c r="E1626" s="33">
        <v>221</v>
      </c>
      <c r="F1626" s="33">
        <v>4</v>
      </c>
      <c r="G1626" s="33">
        <v>11</v>
      </c>
      <c r="H1626" s="33"/>
      <c r="I1626" s="31" t="s">
        <v>46</v>
      </c>
      <c r="J1626" s="31"/>
      <c r="K1626" s="33"/>
      <c r="L1626" s="33"/>
      <c r="M1626" s="31"/>
      <c r="N1626" s="31"/>
      <c r="O1626" s="16" t="s">
        <v>3394</v>
      </c>
      <c r="P1626" s="16"/>
      <c r="Q1626" s="16"/>
      <c r="R1626" s="33"/>
      <c r="S1626" s="34"/>
      <c r="T1626" s="34"/>
      <c r="U1626" s="34"/>
      <c r="V1626" s="34"/>
      <c r="W1626" s="34"/>
      <c r="X1626" s="33" t="s">
        <v>48</v>
      </c>
      <c r="Y1626" s="35" t="str">
        <f>IF(Tabela2[[#This Row],[SIGLA]]="","",VLOOKUP(Tabela2[[#This Row],[SIGLA]],Tabela1[[#All],[Sigla Arte]:[Crédito]],2,0))</f>
        <v>SERGIO LIMA/ARQUIVO DA EDITORA</v>
      </c>
      <c r="Z1626" s="31"/>
      <c r="AA1626" s="31" t="str">
        <f>Tabela2[[#This Row],[ILUSTRADOR CRIAÇÃO]]</f>
        <v>SERGIO LIMA/ARQUIVO DA EDITORA</v>
      </c>
      <c r="AB1626" s="33"/>
      <c r="AC1626" s="16"/>
      <c r="AE1626" s="35" t="str">
        <f t="shared" si="25"/>
        <v>EF1 E002 Mat</v>
      </c>
    </row>
    <row r="1627" spans="1:31" ht="60" x14ac:dyDescent="0.25">
      <c r="A1627" s="31" t="s">
        <v>3395</v>
      </c>
      <c r="B1627" s="16" t="s">
        <v>97</v>
      </c>
      <c r="C1627" s="16" t="s">
        <v>33</v>
      </c>
      <c r="D1627" s="33" t="s">
        <v>34</v>
      </c>
      <c r="E1627" s="33">
        <v>222</v>
      </c>
      <c r="F1627" s="33">
        <v>4</v>
      </c>
      <c r="G1627" s="33">
        <v>11</v>
      </c>
      <c r="H1627" s="33"/>
      <c r="I1627" s="31" t="s">
        <v>35</v>
      </c>
      <c r="J1627" s="31"/>
      <c r="K1627" s="33"/>
      <c r="L1627" s="33"/>
      <c r="M1627" s="31"/>
      <c r="N1627" s="31"/>
      <c r="O1627" s="16" t="s">
        <v>3396</v>
      </c>
      <c r="P1627" s="16"/>
      <c r="Q1627" s="16"/>
      <c r="R1627" s="33">
        <v>43</v>
      </c>
      <c r="S1627" s="34">
        <v>45792</v>
      </c>
      <c r="T1627" s="34">
        <v>45797</v>
      </c>
      <c r="U1627" s="34"/>
      <c r="V1627" s="34"/>
      <c r="W1627" s="34">
        <v>45798</v>
      </c>
      <c r="X1627" s="33" t="s">
        <v>48</v>
      </c>
      <c r="Y1627" s="35" t="str">
        <f>IF(Tabela2[[#This Row],[SIGLA]]="","",VLOOKUP(Tabela2[[#This Row],[SIGLA]],Tabela1[[#All],[Sigla Arte]:[Crédito]],2,0))</f>
        <v>SERGIO LIMA/ARQUIVO DA EDITORA</v>
      </c>
      <c r="Z1627" s="31" t="s">
        <v>38</v>
      </c>
      <c r="AA1627" s="31" t="str">
        <f>Tabela2[[#This Row],[ILUSTRADOR CRIAÇÃO]]</f>
        <v>SERGIO LIMA/ARQUIVO DA EDITORA</v>
      </c>
      <c r="AB1627" s="33">
        <v>14</v>
      </c>
      <c r="AC1627" s="16" t="s">
        <v>39</v>
      </c>
      <c r="AD1627" s="16" t="s">
        <v>40</v>
      </c>
      <c r="AE1627" s="35" t="str">
        <f t="shared" si="25"/>
        <v>EF1 E002 Mat</v>
      </c>
    </row>
    <row r="1628" spans="1:31" ht="60" x14ac:dyDescent="0.25">
      <c r="A1628" s="31" t="s">
        <v>3397</v>
      </c>
      <c r="B1628" s="16" t="s">
        <v>97</v>
      </c>
      <c r="C1628" s="16" t="s">
        <v>164</v>
      </c>
      <c r="D1628" s="33" t="s">
        <v>34</v>
      </c>
      <c r="E1628" s="33">
        <v>222</v>
      </c>
      <c r="F1628" s="33">
        <v>4</v>
      </c>
      <c r="G1628" s="33">
        <v>11</v>
      </c>
      <c r="H1628" s="33"/>
      <c r="I1628" s="31" t="s">
        <v>46</v>
      </c>
      <c r="J1628" s="31"/>
      <c r="K1628" s="33"/>
      <c r="L1628" s="33"/>
      <c r="M1628" s="31"/>
      <c r="N1628" s="31"/>
      <c r="O1628" s="16" t="s">
        <v>3398</v>
      </c>
      <c r="P1628" s="16"/>
      <c r="Q1628" s="16"/>
      <c r="R1628" s="33"/>
      <c r="S1628" s="34"/>
      <c r="T1628" s="34"/>
      <c r="U1628" s="34"/>
      <c r="V1628" s="34"/>
      <c r="W1628" s="34"/>
      <c r="X1628" s="33" t="s">
        <v>48</v>
      </c>
      <c r="Y1628" s="35" t="str">
        <f>IF(Tabela2[[#This Row],[SIGLA]]="","",VLOOKUP(Tabela2[[#This Row],[SIGLA]],Tabela1[[#All],[Sigla Arte]:[Crédito]],2,0))</f>
        <v>SERGIO LIMA/ARQUIVO DA EDITORA</v>
      </c>
      <c r="Z1628" s="31"/>
      <c r="AA1628" s="31" t="str">
        <f>Tabela2[[#This Row],[ILUSTRADOR CRIAÇÃO]]</f>
        <v>SERGIO LIMA/ARQUIVO DA EDITORA</v>
      </c>
      <c r="AB1628" s="33"/>
      <c r="AC1628" s="16"/>
      <c r="AE1628" s="35" t="str">
        <f t="shared" si="25"/>
        <v>EF1 E002 Mat</v>
      </c>
    </row>
    <row r="1629" spans="1:31" ht="45" x14ac:dyDescent="0.25">
      <c r="A1629" s="31" t="s">
        <v>3399</v>
      </c>
      <c r="B1629" s="16" t="s">
        <v>97</v>
      </c>
      <c r="C1629" s="16" t="s">
        <v>33</v>
      </c>
      <c r="D1629" s="33" t="s">
        <v>34</v>
      </c>
      <c r="E1629" s="33">
        <v>223</v>
      </c>
      <c r="F1629" s="33">
        <v>4</v>
      </c>
      <c r="G1629" s="33">
        <v>11</v>
      </c>
      <c r="H1629" s="33"/>
      <c r="I1629" s="31" t="s">
        <v>46</v>
      </c>
      <c r="J1629" s="31"/>
      <c r="K1629" s="33"/>
      <c r="L1629" s="33"/>
      <c r="M1629" s="31"/>
      <c r="N1629" s="31"/>
      <c r="O1629" s="16" t="s">
        <v>3400</v>
      </c>
      <c r="P1629" s="16"/>
      <c r="Q1629" s="16"/>
      <c r="R1629" s="33"/>
      <c r="S1629" s="34"/>
      <c r="T1629" s="34"/>
      <c r="U1629" s="34"/>
      <c r="V1629" s="34"/>
      <c r="W1629" s="34"/>
      <c r="X1629" s="33" t="s">
        <v>399</v>
      </c>
      <c r="Y1629" s="35" t="str">
        <f>IF(Tabela2[[#This Row],[SIGLA]]="","",VLOOKUP(Tabela2[[#This Row],[SIGLA]],Tabela1[[#All],[Sigla Arte]:[Crédito]],2,0))</f>
        <v>MÁRCIO GUERRA/ARQUIVO DA EDITORA</v>
      </c>
      <c r="Z1629" s="31"/>
      <c r="AA1629" s="31" t="str">
        <f>Tabela2[[#This Row],[ILUSTRADOR CRIAÇÃO]]</f>
        <v>MÁRCIO GUERRA/ARQUIVO DA EDITORA</v>
      </c>
      <c r="AB1629" s="33"/>
      <c r="AC1629" s="16"/>
      <c r="AE1629" s="35" t="str">
        <f t="shared" si="25"/>
        <v>EF1 E002 Mat</v>
      </c>
    </row>
    <row r="1630" spans="1:31" ht="30" x14ac:dyDescent="0.25">
      <c r="A1630" s="31" t="s">
        <v>3401</v>
      </c>
      <c r="B1630" s="16" t="s">
        <v>97</v>
      </c>
      <c r="C1630" s="16" t="s">
        <v>164</v>
      </c>
      <c r="D1630" s="33" t="s">
        <v>34</v>
      </c>
      <c r="E1630" s="33">
        <v>225</v>
      </c>
      <c r="F1630" s="33">
        <v>4</v>
      </c>
      <c r="G1630" s="33">
        <v>11</v>
      </c>
      <c r="H1630" s="33"/>
      <c r="I1630" s="31" t="s">
        <v>46</v>
      </c>
      <c r="J1630" s="31"/>
      <c r="K1630" s="33"/>
      <c r="L1630" s="33"/>
      <c r="M1630" s="31"/>
      <c r="N1630" s="31"/>
      <c r="O1630" s="16" t="s">
        <v>3402</v>
      </c>
      <c r="P1630" s="16"/>
      <c r="Q1630" s="16"/>
      <c r="R1630" s="33"/>
      <c r="S1630" s="34"/>
      <c r="T1630" s="34"/>
      <c r="U1630" s="34"/>
      <c r="V1630" s="34"/>
      <c r="W1630" s="34"/>
      <c r="X1630" s="33" t="s">
        <v>470</v>
      </c>
      <c r="Y1630" s="35" t="str">
        <f>IF(Tabela2[[#This Row],[SIGLA]]="","",VLOOKUP(Tabela2[[#This Row],[SIGLA]],Tabela1[[#All],[Sigla Arte]:[Crédito]],2,0))</f>
        <v>RENAN FONSECA/ARQUIVO DA EDITORA</v>
      </c>
      <c r="Z1630" s="31"/>
      <c r="AA1630" s="31" t="str">
        <f>Tabela2[[#This Row],[ILUSTRADOR CRIAÇÃO]]</f>
        <v>RENAN FONSECA/ARQUIVO DA EDITORA</v>
      </c>
      <c r="AB1630" s="33"/>
      <c r="AC1630" s="16"/>
      <c r="AE1630" s="35" t="str">
        <f t="shared" si="25"/>
        <v>EF1 E002 Mat</v>
      </c>
    </row>
    <row r="1631" spans="1:31" ht="30" x14ac:dyDescent="0.25">
      <c r="A1631" s="31" t="s">
        <v>3403</v>
      </c>
      <c r="B1631" s="16" t="s">
        <v>97</v>
      </c>
      <c r="C1631" s="16" t="s">
        <v>164</v>
      </c>
      <c r="D1631" s="33" t="s">
        <v>34</v>
      </c>
      <c r="E1631" s="33">
        <v>225</v>
      </c>
      <c r="F1631" s="33">
        <v>4</v>
      </c>
      <c r="G1631" s="33">
        <v>11</v>
      </c>
      <c r="H1631" s="33"/>
      <c r="I1631" s="31" t="s">
        <v>46</v>
      </c>
      <c r="J1631" s="31"/>
      <c r="K1631" s="33"/>
      <c r="L1631" s="33"/>
      <c r="M1631" s="31"/>
      <c r="N1631" s="31"/>
      <c r="O1631" s="16" t="s">
        <v>3404</v>
      </c>
      <c r="P1631" s="16"/>
      <c r="Q1631" s="16"/>
      <c r="R1631" s="33"/>
      <c r="S1631" s="34"/>
      <c r="T1631" s="34"/>
      <c r="U1631" s="34"/>
      <c r="V1631" s="34"/>
      <c r="W1631" s="34"/>
      <c r="X1631" s="33" t="s">
        <v>470</v>
      </c>
      <c r="Y1631" s="35" t="str">
        <f>IF(Tabela2[[#This Row],[SIGLA]]="","",VLOOKUP(Tabela2[[#This Row],[SIGLA]],Tabela1[[#All],[Sigla Arte]:[Crédito]],2,0))</f>
        <v>RENAN FONSECA/ARQUIVO DA EDITORA</v>
      </c>
      <c r="Z1631" s="31"/>
      <c r="AA1631" s="31" t="str">
        <f>Tabela2[[#This Row],[ILUSTRADOR CRIAÇÃO]]</f>
        <v>RENAN FONSECA/ARQUIVO DA EDITORA</v>
      </c>
      <c r="AB1631" s="33"/>
      <c r="AC1631" s="16"/>
      <c r="AE1631" s="35" t="str">
        <f t="shared" si="25"/>
        <v>EF1 E002 Mat</v>
      </c>
    </row>
    <row r="1632" spans="1:31" ht="30" x14ac:dyDescent="0.25">
      <c r="A1632" s="31" t="s">
        <v>3405</v>
      </c>
      <c r="B1632" s="16" t="s">
        <v>97</v>
      </c>
      <c r="C1632" s="16" t="s">
        <v>164</v>
      </c>
      <c r="D1632" s="33" t="s">
        <v>34</v>
      </c>
      <c r="E1632" s="33">
        <v>225</v>
      </c>
      <c r="F1632" s="33">
        <v>4</v>
      </c>
      <c r="G1632" s="33">
        <v>11</v>
      </c>
      <c r="H1632" s="33"/>
      <c r="I1632" s="31" t="s">
        <v>46</v>
      </c>
      <c r="J1632" s="31"/>
      <c r="K1632" s="33"/>
      <c r="L1632" s="33"/>
      <c r="M1632" s="31"/>
      <c r="N1632" s="31"/>
      <c r="O1632" s="16" t="s">
        <v>3406</v>
      </c>
      <c r="P1632" s="16"/>
      <c r="Q1632" s="16"/>
      <c r="R1632" s="33"/>
      <c r="S1632" s="34"/>
      <c r="T1632" s="34"/>
      <c r="U1632" s="34"/>
      <c r="V1632" s="34"/>
      <c r="W1632" s="34"/>
      <c r="X1632" s="33" t="s">
        <v>470</v>
      </c>
      <c r="Y1632" s="35" t="str">
        <f>IF(Tabela2[[#This Row],[SIGLA]]="","",VLOOKUP(Tabela2[[#This Row],[SIGLA]],Tabela1[[#All],[Sigla Arte]:[Crédito]],2,0))</f>
        <v>RENAN FONSECA/ARQUIVO DA EDITORA</v>
      </c>
      <c r="Z1632" s="31"/>
      <c r="AA1632" s="31" t="str">
        <f>Tabela2[[#This Row],[ILUSTRADOR CRIAÇÃO]]</f>
        <v>RENAN FONSECA/ARQUIVO DA EDITORA</v>
      </c>
      <c r="AB1632" s="33"/>
      <c r="AC1632" s="16"/>
      <c r="AE1632" s="35" t="str">
        <f t="shared" si="25"/>
        <v>EF1 E002 Mat</v>
      </c>
    </row>
    <row r="1633" spans="1:31" ht="30" x14ac:dyDescent="0.25">
      <c r="A1633" s="31" t="s">
        <v>3407</v>
      </c>
      <c r="B1633" s="16" t="s">
        <v>97</v>
      </c>
      <c r="C1633" s="16" t="s">
        <v>164</v>
      </c>
      <c r="D1633" s="33" t="s">
        <v>34</v>
      </c>
      <c r="E1633" s="33">
        <v>225</v>
      </c>
      <c r="F1633" s="33">
        <v>4</v>
      </c>
      <c r="G1633" s="33">
        <v>11</v>
      </c>
      <c r="H1633" s="33"/>
      <c r="I1633" s="31" t="s">
        <v>46</v>
      </c>
      <c r="J1633" s="31"/>
      <c r="K1633" s="33"/>
      <c r="L1633" s="33"/>
      <c r="M1633" s="31"/>
      <c r="N1633" s="31"/>
      <c r="O1633" s="16" t="s">
        <v>3408</v>
      </c>
      <c r="P1633" s="16"/>
      <c r="Q1633" s="16"/>
      <c r="R1633" s="33"/>
      <c r="S1633" s="34"/>
      <c r="T1633" s="34"/>
      <c r="U1633" s="34"/>
      <c r="V1633" s="34"/>
      <c r="W1633" s="34"/>
      <c r="X1633" s="33" t="s">
        <v>470</v>
      </c>
      <c r="Y1633" s="35" t="str">
        <f>IF(Tabela2[[#This Row],[SIGLA]]="","",VLOOKUP(Tabela2[[#This Row],[SIGLA]],Tabela1[[#All],[Sigla Arte]:[Crédito]],2,0))</f>
        <v>RENAN FONSECA/ARQUIVO DA EDITORA</v>
      </c>
      <c r="Z1633" s="31"/>
      <c r="AA1633" s="31" t="str">
        <f>Tabela2[[#This Row],[ILUSTRADOR CRIAÇÃO]]</f>
        <v>RENAN FONSECA/ARQUIVO DA EDITORA</v>
      </c>
      <c r="AB1633" s="33"/>
      <c r="AC1633" s="16"/>
      <c r="AE1633" s="35" t="str">
        <f t="shared" si="25"/>
        <v>EF1 E002 Mat</v>
      </c>
    </row>
    <row r="1634" spans="1:31" ht="30" x14ac:dyDescent="0.25">
      <c r="A1634" s="31" t="s">
        <v>3409</v>
      </c>
      <c r="B1634" s="16" t="s">
        <v>97</v>
      </c>
      <c r="C1634" s="16" t="s">
        <v>164</v>
      </c>
      <c r="D1634" s="33" t="s">
        <v>34</v>
      </c>
      <c r="E1634" s="33">
        <v>226</v>
      </c>
      <c r="F1634" s="33">
        <v>4</v>
      </c>
      <c r="G1634" s="33">
        <v>11</v>
      </c>
      <c r="H1634" s="33"/>
      <c r="I1634" s="31" t="s">
        <v>46</v>
      </c>
      <c r="J1634" s="31"/>
      <c r="K1634" s="33"/>
      <c r="L1634" s="33"/>
      <c r="M1634" s="31"/>
      <c r="N1634" s="31"/>
      <c r="O1634" s="16" t="s">
        <v>3410</v>
      </c>
      <c r="P1634" s="16"/>
      <c r="Q1634" s="16"/>
      <c r="R1634" s="33"/>
      <c r="S1634" s="34"/>
      <c r="T1634" s="34"/>
      <c r="U1634" s="34"/>
      <c r="V1634" s="34"/>
      <c r="W1634" s="34"/>
      <c r="X1634" s="33" t="s">
        <v>48</v>
      </c>
      <c r="Y1634" s="35" t="str">
        <f>IF(Tabela2[[#This Row],[SIGLA]]="","",VLOOKUP(Tabela2[[#This Row],[SIGLA]],Tabela1[[#All],[Sigla Arte]:[Crédito]],2,0))</f>
        <v>SERGIO LIMA/ARQUIVO DA EDITORA</v>
      </c>
      <c r="Z1634" s="31"/>
      <c r="AA1634" s="31" t="str">
        <f>Tabela2[[#This Row],[ILUSTRADOR CRIAÇÃO]]</f>
        <v>SERGIO LIMA/ARQUIVO DA EDITORA</v>
      </c>
      <c r="AB1634" s="33"/>
      <c r="AC1634" s="16"/>
      <c r="AE1634" s="35" t="str">
        <f t="shared" si="25"/>
        <v>EF1 E002 Mat</v>
      </c>
    </row>
    <row r="1635" spans="1:31" ht="30" x14ac:dyDescent="0.25">
      <c r="A1635" s="31" t="s">
        <v>3411</v>
      </c>
      <c r="B1635" s="16" t="s">
        <v>97</v>
      </c>
      <c r="C1635" s="16" t="s">
        <v>164</v>
      </c>
      <c r="D1635" s="33" t="s">
        <v>34</v>
      </c>
      <c r="E1635" s="33">
        <v>226</v>
      </c>
      <c r="F1635" s="33">
        <v>4</v>
      </c>
      <c r="G1635" s="33">
        <v>11</v>
      </c>
      <c r="H1635" s="33"/>
      <c r="I1635" s="31" t="s">
        <v>46</v>
      </c>
      <c r="J1635" s="31"/>
      <c r="K1635" s="33"/>
      <c r="L1635" s="33"/>
      <c r="M1635" s="31"/>
      <c r="N1635" s="31"/>
      <c r="O1635" s="16" t="s">
        <v>3412</v>
      </c>
      <c r="P1635" s="16"/>
      <c r="Q1635" s="16"/>
      <c r="R1635" s="33"/>
      <c r="S1635" s="34"/>
      <c r="T1635" s="34"/>
      <c r="U1635" s="34"/>
      <c r="V1635" s="34"/>
      <c r="W1635" s="34"/>
      <c r="X1635" s="33" t="s">
        <v>48</v>
      </c>
      <c r="Y1635" s="35" t="str">
        <f>IF(Tabela2[[#This Row],[SIGLA]]="","",VLOOKUP(Tabela2[[#This Row],[SIGLA]],Tabela1[[#All],[Sigla Arte]:[Crédito]],2,0))</f>
        <v>SERGIO LIMA/ARQUIVO DA EDITORA</v>
      </c>
      <c r="Z1635" s="31"/>
      <c r="AA1635" s="31" t="str">
        <f>Tabela2[[#This Row],[ILUSTRADOR CRIAÇÃO]]</f>
        <v>SERGIO LIMA/ARQUIVO DA EDITORA</v>
      </c>
      <c r="AB1635" s="33"/>
      <c r="AC1635" s="16"/>
      <c r="AE1635" s="35" t="str">
        <f t="shared" si="25"/>
        <v>EF1 E002 Mat</v>
      </c>
    </row>
    <row r="1636" spans="1:31" ht="30" x14ac:dyDescent="0.25">
      <c r="A1636" s="31" t="s">
        <v>3413</v>
      </c>
      <c r="B1636" s="16" t="s">
        <v>97</v>
      </c>
      <c r="C1636" s="16" t="s">
        <v>164</v>
      </c>
      <c r="D1636" s="33" t="s">
        <v>34</v>
      </c>
      <c r="E1636" s="33">
        <v>226</v>
      </c>
      <c r="F1636" s="33">
        <v>4</v>
      </c>
      <c r="G1636" s="33">
        <v>11</v>
      </c>
      <c r="H1636" s="33"/>
      <c r="I1636" s="31" t="s">
        <v>46</v>
      </c>
      <c r="J1636" s="31"/>
      <c r="K1636" s="33"/>
      <c r="L1636" s="33"/>
      <c r="M1636" s="31"/>
      <c r="N1636" s="31"/>
      <c r="O1636" s="16" t="s">
        <v>3414</v>
      </c>
      <c r="P1636" s="16"/>
      <c r="Q1636" s="16"/>
      <c r="R1636" s="33"/>
      <c r="S1636" s="34"/>
      <c r="T1636" s="34"/>
      <c r="U1636" s="34"/>
      <c r="V1636" s="34"/>
      <c r="W1636" s="34"/>
      <c r="X1636" s="33" t="s">
        <v>470</v>
      </c>
      <c r="Y1636" s="35" t="str">
        <f>IF(Tabela2[[#This Row],[SIGLA]]="","",VLOOKUP(Tabela2[[#This Row],[SIGLA]],Tabela1[[#All],[Sigla Arte]:[Crédito]],2,0))</f>
        <v>RENAN FONSECA/ARQUIVO DA EDITORA</v>
      </c>
      <c r="Z1636" s="31"/>
      <c r="AA1636" s="31" t="str">
        <f>Tabela2[[#This Row],[ILUSTRADOR CRIAÇÃO]]</f>
        <v>RENAN FONSECA/ARQUIVO DA EDITORA</v>
      </c>
      <c r="AB1636" s="33"/>
      <c r="AC1636" s="16"/>
      <c r="AE1636" s="35" t="str">
        <f t="shared" si="25"/>
        <v>EF1 E002 Mat</v>
      </c>
    </row>
    <row r="1637" spans="1:31" ht="30" x14ac:dyDescent="0.25">
      <c r="A1637" s="31" t="s">
        <v>3415</v>
      </c>
      <c r="B1637" s="16" t="s">
        <v>97</v>
      </c>
      <c r="C1637" s="16" t="s">
        <v>164</v>
      </c>
      <c r="D1637" s="33" t="s">
        <v>34</v>
      </c>
      <c r="E1637" s="33">
        <v>226</v>
      </c>
      <c r="F1637" s="33">
        <v>4</v>
      </c>
      <c r="G1637" s="33">
        <v>11</v>
      </c>
      <c r="H1637" s="33"/>
      <c r="I1637" s="31" t="s">
        <v>46</v>
      </c>
      <c r="J1637" s="31"/>
      <c r="K1637" s="33"/>
      <c r="L1637" s="33"/>
      <c r="M1637" s="31"/>
      <c r="N1637" s="31"/>
      <c r="O1637" s="16" t="s">
        <v>3416</v>
      </c>
      <c r="P1637" s="16"/>
      <c r="Q1637" s="16"/>
      <c r="R1637" s="33"/>
      <c r="S1637" s="34"/>
      <c r="T1637" s="34"/>
      <c r="U1637" s="34"/>
      <c r="V1637" s="34"/>
      <c r="W1637" s="34"/>
      <c r="X1637" s="33" t="s">
        <v>470</v>
      </c>
      <c r="Y1637" s="35" t="str">
        <f>IF(Tabela2[[#This Row],[SIGLA]]="","",VLOOKUP(Tabela2[[#This Row],[SIGLA]],Tabela1[[#All],[Sigla Arte]:[Crédito]],2,0))</f>
        <v>RENAN FONSECA/ARQUIVO DA EDITORA</v>
      </c>
      <c r="Z1637" s="31"/>
      <c r="AA1637" s="31" t="str">
        <f>Tabela2[[#This Row],[ILUSTRADOR CRIAÇÃO]]</f>
        <v>RENAN FONSECA/ARQUIVO DA EDITORA</v>
      </c>
      <c r="AB1637" s="33"/>
      <c r="AC1637" s="16"/>
      <c r="AE1637" s="35" t="str">
        <f t="shared" si="25"/>
        <v>EF1 E002 Mat</v>
      </c>
    </row>
    <row r="1638" spans="1:31" ht="45" x14ac:dyDescent="0.25">
      <c r="A1638" s="31" t="s">
        <v>3417</v>
      </c>
      <c r="B1638" s="16" t="s">
        <v>97</v>
      </c>
      <c r="C1638" s="16" t="s">
        <v>164</v>
      </c>
      <c r="D1638" s="33" t="s">
        <v>34</v>
      </c>
      <c r="E1638" s="33">
        <v>229</v>
      </c>
      <c r="F1638" s="33">
        <v>4</v>
      </c>
      <c r="G1638" s="33">
        <v>11</v>
      </c>
      <c r="H1638" s="33"/>
      <c r="I1638" s="31" t="s">
        <v>46</v>
      </c>
      <c r="J1638" s="31"/>
      <c r="K1638" s="33"/>
      <c r="L1638" s="33"/>
      <c r="M1638" s="31"/>
      <c r="N1638" s="31"/>
      <c r="O1638" s="16" t="s">
        <v>3418</v>
      </c>
      <c r="P1638" s="16"/>
      <c r="Q1638" s="16"/>
      <c r="R1638" s="33"/>
      <c r="S1638" s="34"/>
      <c r="T1638" s="34"/>
      <c r="U1638" s="34"/>
      <c r="V1638" s="34"/>
      <c r="W1638" s="34"/>
      <c r="X1638" s="33" t="s">
        <v>48</v>
      </c>
      <c r="Y1638" s="35" t="str">
        <f>IF(Tabela2[[#This Row],[SIGLA]]="","",VLOOKUP(Tabela2[[#This Row],[SIGLA]],Tabela1[[#All],[Sigla Arte]:[Crédito]],2,0))</f>
        <v>SERGIO LIMA/ARQUIVO DA EDITORA</v>
      </c>
      <c r="Z1638" s="31"/>
      <c r="AA1638" s="31" t="str">
        <f>Tabela2[[#This Row],[ILUSTRADOR CRIAÇÃO]]</f>
        <v>SERGIO LIMA/ARQUIVO DA EDITORA</v>
      </c>
      <c r="AB1638" s="33"/>
      <c r="AC1638" s="16"/>
      <c r="AE1638" s="35" t="str">
        <f t="shared" si="25"/>
        <v>EF1 E002 Mat</v>
      </c>
    </row>
    <row r="1639" spans="1:31" ht="75" x14ac:dyDescent="0.25">
      <c r="A1639" s="31" t="s">
        <v>3419</v>
      </c>
      <c r="B1639" s="16" t="s">
        <v>97</v>
      </c>
      <c r="C1639" s="16" t="s">
        <v>164</v>
      </c>
      <c r="D1639" s="33" t="s">
        <v>34</v>
      </c>
      <c r="E1639" s="33">
        <v>230</v>
      </c>
      <c r="F1639" s="33">
        <v>4</v>
      </c>
      <c r="G1639" s="33">
        <v>11</v>
      </c>
      <c r="H1639" s="33"/>
      <c r="I1639" s="31" t="s">
        <v>35</v>
      </c>
      <c r="J1639" s="31"/>
      <c r="K1639" s="33"/>
      <c r="L1639" s="33"/>
      <c r="M1639" s="31"/>
      <c r="N1639" s="31"/>
      <c r="O1639" s="16" t="s">
        <v>3420</v>
      </c>
      <c r="P1639" s="16"/>
      <c r="Q1639" s="16"/>
      <c r="R1639" s="33">
        <v>127</v>
      </c>
      <c r="S1639" s="34">
        <v>45894</v>
      </c>
      <c r="T1639" s="34">
        <v>45894</v>
      </c>
      <c r="U1639" s="34"/>
      <c r="V1639" s="34"/>
      <c r="W1639" s="34">
        <v>45896</v>
      </c>
      <c r="X1639" s="33" t="s">
        <v>184</v>
      </c>
      <c r="Y1639" s="35" t="str">
        <f>IF(Tabela2[[#This Row],[SIGLA]]="","",VLOOKUP(Tabela2[[#This Row],[SIGLA]],Tabela1[[#All],[Sigla Arte]:[Crédito]],2,0))</f>
        <v>VER DOCUMENTO DE ILS. TÉCNICAS</v>
      </c>
      <c r="Z1639" s="31" t="s">
        <v>539</v>
      </c>
      <c r="AA1639" s="31" t="s">
        <v>185</v>
      </c>
      <c r="AB1639" s="33">
        <v>13</v>
      </c>
      <c r="AC1639" s="16" t="s">
        <v>89</v>
      </c>
      <c r="AD1639" s="16" t="s">
        <v>40</v>
      </c>
      <c r="AE1639" s="35" t="str">
        <f t="shared" si="25"/>
        <v>EF1 E002 Mat</v>
      </c>
    </row>
    <row r="1640" spans="1:31" ht="75" x14ac:dyDescent="0.25">
      <c r="A1640" s="31" t="s">
        <v>3421</v>
      </c>
      <c r="B1640" s="16" t="s">
        <v>97</v>
      </c>
      <c r="C1640" s="16" t="s">
        <v>164</v>
      </c>
      <c r="D1640" s="33" t="s">
        <v>34</v>
      </c>
      <c r="E1640" s="33">
        <v>230</v>
      </c>
      <c r="F1640" s="33">
        <v>4</v>
      </c>
      <c r="G1640" s="33">
        <v>11</v>
      </c>
      <c r="H1640" s="33"/>
      <c r="I1640" s="31" t="s">
        <v>35</v>
      </c>
      <c r="J1640" s="31"/>
      <c r="K1640" s="33"/>
      <c r="L1640" s="33"/>
      <c r="M1640" s="31"/>
      <c r="N1640" s="31"/>
      <c r="O1640" s="16" t="s">
        <v>3422</v>
      </c>
      <c r="P1640" s="16"/>
      <c r="Q1640" s="16"/>
      <c r="R1640" s="33">
        <v>127</v>
      </c>
      <c r="S1640" s="34">
        <v>45894</v>
      </c>
      <c r="T1640" s="34">
        <v>45894</v>
      </c>
      <c r="U1640" s="34"/>
      <c r="V1640" s="34"/>
      <c r="W1640" s="34">
        <v>45896</v>
      </c>
      <c r="X1640" s="33" t="s">
        <v>184</v>
      </c>
      <c r="Y1640" s="35" t="str">
        <f>IF(Tabela2[[#This Row],[SIGLA]]="","",VLOOKUP(Tabela2[[#This Row],[SIGLA]],Tabela1[[#All],[Sigla Arte]:[Crédito]],2,0))</f>
        <v>VER DOCUMENTO DE ILS. TÉCNICAS</v>
      </c>
      <c r="Z1640" s="31" t="s">
        <v>539</v>
      </c>
      <c r="AA1640" s="46" t="s">
        <v>185</v>
      </c>
      <c r="AB1640" s="33">
        <v>13</v>
      </c>
      <c r="AC1640" s="16" t="s">
        <v>89</v>
      </c>
      <c r="AD1640" s="16" t="s">
        <v>40</v>
      </c>
      <c r="AE1640" s="35" t="str">
        <f t="shared" si="25"/>
        <v>EF1 E002 Mat</v>
      </c>
    </row>
    <row r="1641" spans="1:31" ht="75" x14ac:dyDescent="0.25">
      <c r="A1641" s="31" t="s">
        <v>3423</v>
      </c>
      <c r="B1641" s="16" t="s">
        <v>97</v>
      </c>
      <c r="C1641" s="16" t="s">
        <v>164</v>
      </c>
      <c r="D1641" s="33" t="s">
        <v>34</v>
      </c>
      <c r="E1641" s="33">
        <v>230</v>
      </c>
      <c r="F1641" s="33">
        <v>4</v>
      </c>
      <c r="G1641" s="33">
        <v>11</v>
      </c>
      <c r="H1641" s="33"/>
      <c r="I1641" s="31" t="s">
        <v>35</v>
      </c>
      <c r="J1641" s="31"/>
      <c r="K1641" s="33"/>
      <c r="L1641" s="33"/>
      <c r="M1641" s="31"/>
      <c r="N1641" s="31"/>
      <c r="O1641" s="16" t="s">
        <v>3424</v>
      </c>
      <c r="P1641" s="16"/>
      <c r="Q1641" s="16"/>
      <c r="R1641" s="33">
        <v>127</v>
      </c>
      <c r="S1641" s="34">
        <v>45894</v>
      </c>
      <c r="T1641" s="34">
        <v>45894</v>
      </c>
      <c r="U1641" s="34"/>
      <c r="V1641" s="34"/>
      <c r="W1641" s="34">
        <v>45896</v>
      </c>
      <c r="X1641" s="33" t="s">
        <v>184</v>
      </c>
      <c r="Y1641" s="35" t="str">
        <f>IF(Tabela2[[#This Row],[SIGLA]]="","",VLOOKUP(Tabela2[[#This Row],[SIGLA]],Tabela1[[#All],[Sigla Arte]:[Crédito]],2,0))</f>
        <v>VER DOCUMENTO DE ILS. TÉCNICAS</v>
      </c>
      <c r="Z1641" s="31" t="s">
        <v>539</v>
      </c>
      <c r="AA1641" s="31" t="s">
        <v>185</v>
      </c>
      <c r="AB1641" s="33">
        <v>13</v>
      </c>
      <c r="AC1641" s="16" t="s">
        <v>89</v>
      </c>
      <c r="AD1641" s="16" t="s">
        <v>40</v>
      </c>
      <c r="AE1641" s="35" t="str">
        <f t="shared" si="25"/>
        <v>EF1 E002 Mat</v>
      </c>
    </row>
    <row r="1642" spans="1:31" ht="45" x14ac:dyDescent="0.25">
      <c r="A1642" s="31" t="s">
        <v>3425</v>
      </c>
      <c r="B1642" s="16" t="s">
        <v>97</v>
      </c>
      <c r="C1642" s="16" t="s">
        <v>164</v>
      </c>
      <c r="D1642" s="33" t="s">
        <v>34</v>
      </c>
      <c r="E1642" s="33">
        <v>233</v>
      </c>
      <c r="F1642" s="33">
        <v>4</v>
      </c>
      <c r="G1642" s="33">
        <v>11</v>
      </c>
      <c r="H1642" s="33"/>
      <c r="I1642" s="31" t="s">
        <v>46</v>
      </c>
      <c r="J1642" s="31"/>
      <c r="K1642" s="33"/>
      <c r="L1642" s="33"/>
      <c r="M1642" s="31"/>
      <c r="N1642" s="31"/>
      <c r="O1642" s="16" t="s">
        <v>3426</v>
      </c>
      <c r="P1642" s="16"/>
      <c r="Q1642" s="16"/>
      <c r="R1642" s="33"/>
      <c r="S1642" s="34"/>
      <c r="T1642" s="34"/>
      <c r="U1642" s="34"/>
      <c r="V1642" s="34"/>
      <c r="W1642" s="34"/>
      <c r="X1642" s="33" t="s">
        <v>48</v>
      </c>
      <c r="Y1642" s="35" t="str">
        <f>IF(Tabela2[[#This Row],[SIGLA]]="","",VLOOKUP(Tabela2[[#This Row],[SIGLA]],Tabela1[[#All],[Sigla Arte]:[Crédito]],2,0))</f>
        <v>SERGIO LIMA/ARQUIVO DA EDITORA</v>
      </c>
      <c r="Z1642" s="31"/>
      <c r="AA1642" s="31" t="str">
        <f>Tabela2[[#This Row],[ILUSTRADOR CRIAÇÃO]]</f>
        <v>SERGIO LIMA/ARQUIVO DA EDITORA</v>
      </c>
      <c r="AB1642" s="33"/>
      <c r="AC1642" s="16"/>
      <c r="AE1642" s="35" t="str">
        <f t="shared" si="25"/>
        <v>EF1 E002 Mat</v>
      </c>
    </row>
    <row r="1643" spans="1:31" ht="30" x14ac:dyDescent="0.25">
      <c r="A1643" s="31" t="s">
        <v>3427</v>
      </c>
      <c r="B1643" s="16" t="s">
        <v>97</v>
      </c>
      <c r="C1643" s="16" t="s">
        <v>164</v>
      </c>
      <c r="D1643" s="33" t="s">
        <v>34</v>
      </c>
      <c r="E1643" s="33">
        <v>234</v>
      </c>
      <c r="F1643" s="33">
        <v>4</v>
      </c>
      <c r="G1643" s="33">
        <v>11</v>
      </c>
      <c r="H1643" s="33"/>
      <c r="I1643" s="31" t="s">
        <v>46</v>
      </c>
      <c r="J1643" s="31"/>
      <c r="K1643" s="33"/>
      <c r="L1643" s="33"/>
      <c r="M1643" s="31"/>
      <c r="N1643" s="31"/>
      <c r="O1643" s="16" t="s">
        <v>3428</v>
      </c>
      <c r="P1643" s="16"/>
      <c r="Q1643" s="16"/>
      <c r="R1643" s="33"/>
      <c r="S1643" s="34"/>
      <c r="T1643" s="34"/>
      <c r="U1643" s="34"/>
      <c r="V1643" s="34"/>
      <c r="W1643" s="34"/>
      <c r="X1643" s="33" t="s">
        <v>470</v>
      </c>
      <c r="Y1643" s="35" t="str">
        <f>IF(Tabela2[[#This Row],[SIGLA]]="","",VLOOKUP(Tabela2[[#This Row],[SIGLA]],Tabela1[[#All],[Sigla Arte]:[Crédito]],2,0))</f>
        <v>RENAN FONSECA/ARQUIVO DA EDITORA</v>
      </c>
      <c r="Z1643" s="31"/>
      <c r="AA1643" s="31" t="str">
        <f>Tabela2[[#This Row],[ILUSTRADOR CRIAÇÃO]]</f>
        <v>RENAN FONSECA/ARQUIVO DA EDITORA</v>
      </c>
      <c r="AB1643" s="33"/>
      <c r="AC1643" s="16"/>
      <c r="AE1643" s="35" t="str">
        <f t="shared" si="25"/>
        <v>EF1 E002 Mat</v>
      </c>
    </row>
    <row r="1644" spans="1:31" ht="45" x14ac:dyDescent="0.25">
      <c r="A1644" s="31" t="s">
        <v>3429</v>
      </c>
      <c r="B1644" s="16" t="s">
        <v>97</v>
      </c>
      <c r="C1644" s="16" t="s">
        <v>164</v>
      </c>
      <c r="D1644" s="33" t="s">
        <v>34</v>
      </c>
      <c r="E1644" s="33">
        <v>234</v>
      </c>
      <c r="F1644" s="33">
        <v>4</v>
      </c>
      <c r="G1644" s="33">
        <v>11</v>
      </c>
      <c r="H1644" s="33"/>
      <c r="I1644" s="31" t="s">
        <v>46</v>
      </c>
      <c r="J1644" s="31"/>
      <c r="K1644" s="33"/>
      <c r="L1644" s="33"/>
      <c r="M1644" s="31"/>
      <c r="N1644" s="31"/>
      <c r="O1644" s="16" t="s">
        <v>3430</v>
      </c>
      <c r="P1644" s="16"/>
      <c r="Q1644" s="16"/>
      <c r="R1644" s="33"/>
      <c r="S1644" s="34"/>
      <c r="T1644" s="34"/>
      <c r="U1644" s="34"/>
      <c r="V1644" s="34"/>
      <c r="W1644" s="34"/>
      <c r="X1644" s="33" t="s">
        <v>470</v>
      </c>
      <c r="Y1644" s="35" t="str">
        <f>IF(Tabela2[[#This Row],[SIGLA]]="","",VLOOKUP(Tabela2[[#This Row],[SIGLA]],Tabela1[[#All],[Sigla Arte]:[Crédito]],2,0))</f>
        <v>RENAN FONSECA/ARQUIVO DA EDITORA</v>
      </c>
      <c r="Z1644" s="31"/>
      <c r="AA1644" s="31" t="str">
        <f>Tabela2[[#This Row],[ILUSTRADOR CRIAÇÃO]]</f>
        <v>RENAN FONSECA/ARQUIVO DA EDITORA</v>
      </c>
      <c r="AB1644" s="33"/>
      <c r="AC1644" s="16"/>
      <c r="AE1644" s="35" t="str">
        <f t="shared" ref="AE1644:AE1649" si="26">"EF1 E002 Mat"</f>
        <v>EF1 E002 Mat</v>
      </c>
    </row>
    <row r="1645" spans="1:31" ht="45" x14ac:dyDescent="0.25">
      <c r="A1645" s="31" t="s">
        <v>3431</v>
      </c>
      <c r="B1645" s="16" t="s">
        <v>97</v>
      </c>
      <c r="C1645" s="16" t="s">
        <v>164</v>
      </c>
      <c r="D1645" s="33" t="s">
        <v>34</v>
      </c>
      <c r="E1645" s="33">
        <v>234</v>
      </c>
      <c r="F1645" s="33">
        <v>4</v>
      </c>
      <c r="G1645" s="33">
        <v>11</v>
      </c>
      <c r="H1645" s="33"/>
      <c r="I1645" s="31" t="s">
        <v>46</v>
      </c>
      <c r="J1645" s="31"/>
      <c r="K1645" s="33"/>
      <c r="L1645" s="33"/>
      <c r="M1645" s="31"/>
      <c r="N1645" s="31"/>
      <c r="O1645" s="16" t="s">
        <v>3432</v>
      </c>
      <c r="P1645" s="16"/>
      <c r="Q1645" s="16"/>
      <c r="R1645" s="33"/>
      <c r="S1645" s="34"/>
      <c r="T1645" s="34"/>
      <c r="U1645" s="34"/>
      <c r="V1645" s="34"/>
      <c r="W1645" s="34"/>
      <c r="X1645" s="33" t="s">
        <v>470</v>
      </c>
      <c r="Y1645" s="35" t="str">
        <f>IF(Tabela2[[#This Row],[SIGLA]]="","",VLOOKUP(Tabela2[[#This Row],[SIGLA]],Tabela1[[#All],[Sigla Arte]:[Crédito]],2,0))</f>
        <v>RENAN FONSECA/ARQUIVO DA EDITORA</v>
      </c>
      <c r="Z1645" s="31"/>
      <c r="AA1645" s="31" t="str">
        <f>Tabela2[[#This Row],[ILUSTRADOR CRIAÇÃO]]</f>
        <v>RENAN FONSECA/ARQUIVO DA EDITORA</v>
      </c>
      <c r="AB1645" s="33"/>
      <c r="AC1645" s="16"/>
      <c r="AE1645" s="35" t="str">
        <f t="shared" si="26"/>
        <v>EF1 E002 Mat</v>
      </c>
    </row>
    <row r="1646" spans="1:31" ht="45" x14ac:dyDescent="0.25">
      <c r="A1646" s="31" t="s">
        <v>3433</v>
      </c>
      <c r="B1646" s="16" t="s">
        <v>97</v>
      </c>
      <c r="C1646" s="16" t="s">
        <v>164</v>
      </c>
      <c r="D1646" s="33" t="s">
        <v>34</v>
      </c>
      <c r="E1646" s="33">
        <v>236</v>
      </c>
      <c r="F1646" s="33">
        <v>4</v>
      </c>
      <c r="G1646" s="33">
        <v>11</v>
      </c>
      <c r="H1646" s="33"/>
      <c r="I1646" s="31" t="s">
        <v>46</v>
      </c>
      <c r="J1646" s="31"/>
      <c r="K1646" s="33"/>
      <c r="L1646" s="33"/>
      <c r="M1646" s="31"/>
      <c r="N1646" s="31"/>
      <c r="O1646" s="16" t="s">
        <v>3434</v>
      </c>
      <c r="P1646" s="16"/>
      <c r="Q1646" s="16"/>
      <c r="R1646" s="33"/>
      <c r="S1646" s="34"/>
      <c r="T1646" s="34"/>
      <c r="U1646" s="34"/>
      <c r="V1646" s="34"/>
      <c r="W1646" s="34"/>
      <c r="X1646" s="33" t="s">
        <v>48</v>
      </c>
      <c r="Y1646" s="35" t="str">
        <f>IF(Tabela2[[#This Row],[SIGLA]]="","",VLOOKUP(Tabela2[[#This Row],[SIGLA]],Tabela1[[#All],[Sigla Arte]:[Crédito]],2,0))</f>
        <v>SERGIO LIMA/ARQUIVO DA EDITORA</v>
      </c>
      <c r="Z1646" s="31"/>
      <c r="AA1646" s="31" t="str">
        <f>Tabela2[[#This Row],[ILUSTRADOR CRIAÇÃO]]</f>
        <v>SERGIO LIMA/ARQUIVO DA EDITORA</v>
      </c>
      <c r="AB1646" s="33"/>
      <c r="AC1646" s="16"/>
      <c r="AE1646" s="35" t="str">
        <f t="shared" si="26"/>
        <v>EF1 E002 Mat</v>
      </c>
    </row>
    <row r="1647" spans="1:31" ht="60" x14ac:dyDescent="0.25">
      <c r="A1647" s="31" t="s">
        <v>3435</v>
      </c>
      <c r="B1647" s="16" t="s">
        <v>97</v>
      </c>
      <c r="C1647" s="16" t="s">
        <v>164</v>
      </c>
      <c r="D1647" s="33" t="s">
        <v>34</v>
      </c>
      <c r="E1647" s="33">
        <v>237</v>
      </c>
      <c r="F1647" s="33">
        <v>4</v>
      </c>
      <c r="G1647" s="33">
        <v>11</v>
      </c>
      <c r="H1647" s="33"/>
      <c r="I1647" s="31" t="s">
        <v>35</v>
      </c>
      <c r="J1647" s="31"/>
      <c r="K1647" s="33"/>
      <c r="L1647" s="33"/>
      <c r="M1647" s="31"/>
      <c r="N1647" s="31"/>
      <c r="O1647" s="16" t="s">
        <v>3436</v>
      </c>
      <c r="P1647" s="16"/>
      <c r="Q1647" s="16"/>
      <c r="R1647" s="33">
        <v>43</v>
      </c>
      <c r="S1647" s="34">
        <v>45792</v>
      </c>
      <c r="T1647" s="34">
        <v>45797</v>
      </c>
      <c r="U1647" s="34"/>
      <c r="V1647" s="34"/>
      <c r="W1647" s="34">
        <v>45798</v>
      </c>
      <c r="X1647" s="33" t="s">
        <v>184</v>
      </c>
      <c r="Y1647" s="35" t="str">
        <f>IF(Tabela2[[#This Row],[SIGLA]]="","",VLOOKUP(Tabela2[[#This Row],[SIGLA]],Tabela1[[#All],[Sigla Arte]:[Crédito]],2,0))</f>
        <v>VER DOCUMENTO DE ILS. TÉCNICAS</v>
      </c>
      <c r="Z1647" s="31" t="s">
        <v>38</v>
      </c>
      <c r="AA1647" s="31" t="s">
        <v>935</v>
      </c>
      <c r="AB1647" s="33">
        <v>14</v>
      </c>
      <c r="AC1647" s="16" t="s">
        <v>39</v>
      </c>
      <c r="AD1647" s="16" t="s">
        <v>40</v>
      </c>
      <c r="AE1647" s="35" t="str">
        <f t="shared" si="26"/>
        <v>EF1 E002 Mat</v>
      </c>
    </row>
    <row r="1648" spans="1:31" ht="30" x14ac:dyDescent="0.25">
      <c r="A1648" s="31" t="s">
        <v>3437</v>
      </c>
      <c r="B1648" s="16" t="s">
        <v>97</v>
      </c>
      <c r="C1648" s="16" t="s">
        <v>164</v>
      </c>
      <c r="D1648" s="33" t="s">
        <v>34</v>
      </c>
      <c r="E1648" s="33">
        <v>239</v>
      </c>
      <c r="F1648" s="33">
        <v>4</v>
      </c>
      <c r="G1648" s="33">
        <v>11</v>
      </c>
      <c r="H1648" s="33"/>
      <c r="I1648" s="31" t="s">
        <v>46</v>
      </c>
      <c r="J1648" s="31"/>
      <c r="K1648" s="33"/>
      <c r="L1648" s="33"/>
      <c r="M1648" s="31"/>
      <c r="N1648" s="31"/>
      <c r="O1648" s="16" t="s">
        <v>3438</v>
      </c>
      <c r="P1648" s="16"/>
      <c r="Q1648" s="16"/>
      <c r="R1648" s="33"/>
      <c r="S1648" s="34"/>
      <c r="T1648" s="34"/>
      <c r="U1648" s="34"/>
      <c r="V1648" s="34"/>
      <c r="W1648" s="34"/>
      <c r="X1648" s="33" t="s">
        <v>37</v>
      </c>
      <c r="Y1648" s="35" t="str">
        <f>IF(Tabela2[[#This Row],[SIGLA]]="","",VLOOKUP(Tabela2[[#This Row],[SIGLA]],Tabela1[[#All],[Sigla Arte]:[Crédito]],2,0))</f>
        <v>CAIO TANAKA/ARQUIVO DA EDITORA</v>
      </c>
      <c r="Z1648" s="31"/>
      <c r="AA1648" s="31" t="str">
        <f>Tabela2[[#This Row],[ILUSTRADOR CRIAÇÃO]]</f>
        <v>CAIO TANAKA/ARQUIVO DA EDITORA</v>
      </c>
      <c r="AB1648" s="33"/>
      <c r="AC1648" s="16"/>
      <c r="AE1648" s="35" t="str">
        <f t="shared" si="26"/>
        <v>EF1 E002 Mat</v>
      </c>
    </row>
    <row r="1649" spans="1:31" ht="45" x14ac:dyDescent="0.25">
      <c r="A1649" s="31" t="s">
        <v>3439</v>
      </c>
      <c r="B1649" s="16" t="s">
        <v>97</v>
      </c>
      <c r="C1649" s="16" t="s">
        <v>33</v>
      </c>
      <c r="D1649" s="33" t="s">
        <v>34</v>
      </c>
      <c r="E1649" s="33">
        <v>239</v>
      </c>
      <c r="F1649" s="33">
        <v>4</v>
      </c>
      <c r="G1649" s="33">
        <v>11</v>
      </c>
      <c r="H1649" s="33"/>
      <c r="I1649" s="31" t="s">
        <v>35</v>
      </c>
      <c r="J1649" s="31"/>
      <c r="K1649" s="33"/>
      <c r="L1649" s="33"/>
      <c r="M1649" s="31"/>
      <c r="N1649" s="31"/>
      <c r="O1649" s="16" t="s">
        <v>3440</v>
      </c>
      <c r="P1649" s="16"/>
      <c r="Q1649" s="16"/>
      <c r="R1649" s="33">
        <v>191</v>
      </c>
      <c r="S1649" s="34">
        <v>45939</v>
      </c>
      <c r="T1649" s="34">
        <v>45939</v>
      </c>
      <c r="U1649" s="34"/>
      <c r="V1649" s="34"/>
      <c r="W1649" s="34">
        <v>45939</v>
      </c>
      <c r="X1649" s="33" t="s">
        <v>399</v>
      </c>
      <c r="Y1649" s="35" t="str">
        <f>IF(Tabela2[[#This Row],[SIGLA]]="","",VLOOKUP(Tabela2[[#This Row],[SIGLA]],Tabela1[[#All],[Sigla Arte]:[Crédito]],2,0))</f>
        <v>MÁRCIO GUERRA/ARQUIVO DA EDITORA</v>
      </c>
      <c r="Z1649" s="31" t="s">
        <v>1465</v>
      </c>
      <c r="AA1649" s="31" t="str">
        <f>Tabela2[[#This Row],[ILUSTRADOR CRIAÇÃO]]</f>
        <v>MÁRCIO GUERRA/ARQUIVO DA EDITORA</v>
      </c>
      <c r="AB1649" s="33">
        <v>13</v>
      </c>
      <c r="AC1649" s="16" t="s">
        <v>439</v>
      </c>
      <c r="AD1649" s="16" t="s">
        <v>40</v>
      </c>
      <c r="AE1649" s="35" t="str">
        <f t="shared" si="26"/>
        <v>EF1 E002 Mat</v>
      </c>
    </row>
    <row r="1650" spans="1:31" ht="375" x14ac:dyDescent="0.25">
      <c r="A1650" s="31" t="s">
        <v>3441</v>
      </c>
      <c r="B1650" s="16" t="s">
        <v>32</v>
      </c>
      <c r="C1650" s="16" t="s">
        <v>1192</v>
      </c>
      <c r="D1650" s="33" t="s">
        <v>34</v>
      </c>
      <c r="E1650" s="33">
        <v>52</v>
      </c>
      <c r="F1650" s="33">
        <v>1</v>
      </c>
      <c r="G1650" s="33">
        <v>1</v>
      </c>
      <c r="H1650" s="33"/>
      <c r="I1650" s="31" t="s">
        <v>995</v>
      </c>
      <c r="J1650" s="31"/>
      <c r="K1650" s="33"/>
      <c r="L1650" s="33"/>
      <c r="M1650" s="31"/>
      <c r="N1650" s="31"/>
      <c r="O1650" s="16" t="s">
        <v>3442</v>
      </c>
      <c r="P1650" s="16"/>
      <c r="Q1650" s="16"/>
      <c r="R1650" s="33">
        <v>42</v>
      </c>
      <c r="S1650" s="34">
        <v>45792</v>
      </c>
      <c r="T1650" s="34">
        <v>45939</v>
      </c>
      <c r="U1650" s="34"/>
      <c r="V1650" s="34"/>
      <c r="W1650" s="34">
        <v>45797</v>
      </c>
      <c r="X1650" s="33" t="s">
        <v>3443</v>
      </c>
      <c r="Y1650" s="35" t="str">
        <f>IF(Tabela2[[#This Row],[SIGLA]]="","",VLOOKUP(Tabela2[[#This Row],[SIGLA]],Tabela1[[#All],[Sigla Arte]:[Crédito]],2,0))</f>
        <v>VINÍCIUS COSTA/ARQUIVO DA EDITORA</v>
      </c>
      <c r="Z1650" s="31"/>
      <c r="AA1650" s="31" t="str">
        <f>Tabela2[[#This Row],[ILUSTRADOR CRIAÇÃO]]</f>
        <v>VINÍCIUS COSTA/ARQUIVO DA EDITORA</v>
      </c>
      <c r="AB1650" s="33">
        <v>8</v>
      </c>
      <c r="AC1650" s="16" t="s">
        <v>924</v>
      </c>
      <c r="AD1650" s="16" t="s">
        <v>40</v>
      </c>
      <c r="AE1650" s="35" t="str">
        <f t="shared" ref="AE1650:AE1713" si="27">"EF1 E002 Mat"</f>
        <v>EF1 E002 Mat</v>
      </c>
    </row>
    <row r="1651" spans="1:31" ht="75" x14ac:dyDescent="0.25">
      <c r="A1651" s="31" t="s">
        <v>3444</v>
      </c>
      <c r="B1651" s="16" t="s">
        <v>32</v>
      </c>
      <c r="C1651" s="16" t="s">
        <v>33</v>
      </c>
      <c r="D1651" s="33" t="s">
        <v>34</v>
      </c>
      <c r="E1651" s="33">
        <v>54</v>
      </c>
      <c r="F1651" s="33">
        <v>1</v>
      </c>
      <c r="G1651" s="33">
        <v>1</v>
      </c>
      <c r="H1651" s="33"/>
      <c r="I1651" s="31" t="s">
        <v>995</v>
      </c>
      <c r="J1651" s="31"/>
      <c r="K1651" s="33"/>
      <c r="L1651" s="33"/>
      <c r="M1651" s="31"/>
      <c r="N1651" s="31"/>
      <c r="O1651" s="16" t="s">
        <v>3445</v>
      </c>
      <c r="P1651" s="16"/>
      <c r="Q1651" s="16"/>
      <c r="R1651" s="33">
        <v>42</v>
      </c>
      <c r="S1651" s="34">
        <v>45792</v>
      </c>
      <c r="T1651" s="34">
        <v>45796</v>
      </c>
      <c r="U1651" s="34">
        <v>45800</v>
      </c>
      <c r="V1651" s="34">
        <v>45803</v>
      </c>
      <c r="W1651" s="34">
        <v>45804</v>
      </c>
      <c r="X1651" s="33" t="s">
        <v>194</v>
      </c>
      <c r="Y1651" s="35" t="str">
        <f>IF(Tabela2[[#This Row],[SIGLA]]="","",VLOOKUP(Tabela2[[#This Row],[SIGLA]],Tabela1[[#All],[Sigla Arte]:[Crédito]],2,0))</f>
        <v>LEANDRO LASSMAR/ARQUIVO DA EDITORA</v>
      </c>
      <c r="Z1651" s="31"/>
      <c r="AA1651" s="31" t="str">
        <f>Tabela2[[#This Row],[ILUSTRADOR CRIAÇÃO]]</f>
        <v>LEANDRO LASSMAR/ARQUIVO DA EDITORA</v>
      </c>
      <c r="AB1651" s="33">
        <v>5</v>
      </c>
      <c r="AC1651" s="16" t="s">
        <v>3332</v>
      </c>
      <c r="AD1651" s="16" t="s">
        <v>1093</v>
      </c>
      <c r="AE1651" s="35" t="str">
        <f t="shared" si="27"/>
        <v>EF1 E002 Mat</v>
      </c>
    </row>
    <row r="1652" spans="1:31" ht="60" x14ac:dyDescent="0.25">
      <c r="A1652" s="31" t="s">
        <v>3446</v>
      </c>
      <c r="B1652" s="16" t="s">
        <v>32</v>
      </c>
      <c r="C1652" s="16" t="s">
        <v>33</v>
      </c>
      <c r="D1652" s="33" t="s">
        <v>34</v>
      </c>
      <c r="E1652" s="33">
        <v>54</v>
      </c>
      <c r="F1652" s="33">
        <v>1</v>
      </c>
      <c r="G1652" s="33">
        <v>1</v>
      </c>
      <c r="H1652" s="33"/>
      <c r="I1652" s="31" t="s">
        <v>995</v>
      </c>
      <c r="J1652" s="31"/>
      <c r="K1652" s="33"/>
      <c r="L1652" s="33"/>
      <c r="M1652" s="31"/>
      <c r="N1652" s="31"/>
      <c r="O1652" s="16" t="s">
        <v>3447</v>
      </c>
      <c r="P1652" s="16"/>
      <c r="Q1652" s="16"/>
      <c r="R1652" s="33">
        <v>42</v>
      </c>
      <c r="S1652" s="34">
        <v>45792</v>
      </c>
      <c r="T1652" s="34">
        <v>45796</v>
      </c>
      <c r="U1652" s="34">
        <v>45800</v>
      </c>
      <c r="V1652" s="34">
        <v>45803</v>
      </c>
      <c r="W1652" s="34">
        <v>45804</v>
      </c>
      <c r="X1652" s="33" t="s">
        <v>194</v>
      </c>
      <c r="Y1652" s="35" t="str">
        <f>IF(Tabela2[[#This Row],[SIGLA]]="","",VLOOKUP(Tabela2[[#This Row],[SIGLA]],Tabela1[[#All],[Sigla Arte]:[Crédito]],2,0))</f>
        <v>LEANDRO LASSMAR/ARQUIVO DA EDITORA</v>
      </c>
      <c r="Z1652" s="31"/>
      <c r="AA1652" s="31" t="str">
        <f>Tabela2[[#This Row],[ILUSTRADOR CRIAÇÃO]]</f>
        <v>LEANDRO LASSMAR/ARQUIVO DA EDITORA</v>
      </c>
      <c r="AB1652" s="33">
        <v>5</v>
      </c>
      <c r="AC1652" s="16" t="s">
        <v>3332</v>
      </c>
      <c r="AD1652" s="16" t="s">
        <v>1093</v>
      </c>
      <c r="AE1652" s="35" t="str">
        <f t="shared" si="27"/>
        <v>EF1 E002 Mat</v>
      </c>
    </row>
    <row r="1653" spans="1:31" ht="45" x14ac:dyDescent="0.25">
      <c r="A1653" s="31" t="s">
        <v>3448</v>
      </c>
      <c r="B1653" s="16" t="s">
        <v>401</v>
      </c>
      <c r="C1653" s="16" t="s">
        <v>33</v>
      </c>
      <c r="D1653" s="33" t="s">
        <v>34</v>
      </c>
      <c r="E1653" s="33">
        <v>55</v>
      </c>
      <c r="F1653" s="33">
        <v>1</v>
      </c>
      <c r="G1653" s="33">
        <v>1</v>
      </c>
      <c r="H1653" s="33"/>
      <c r="I1653" s="31" t="s">
        <v>995</v>
      </c>
      <c r="J1653" s="31"/>
      <c r="K1653" s="33"/>
      <c r="L1653" s="33"/>
      <c r="M1653" s="31"/>
      <c r="N1653" s="31"/>
      <c r="O1653" s="16" t="s">
        <v>3449</v>
      </c>
      <c r="P1653" s="16"/>
      <c r="Q1653" s="16" t="s">
        <v>3450</v>
      </c>
      <c r="R1653" s="33">
        <v>42</v>
      </c>
      <c r="S1653" s="34">
        <v>45792</v>
      </c>
      <c r="T1653" s="34"/>
      <c r="U1653" s="34"/>
      <c r="V1653" s="34"/>
      <c r="W1653" s="34"/>
      <c r="X1653" s="33"/>
      <c r="Y1653" s="35" t="str">
        <f>IF(Tabela2[[#This Row],[SIGLA]]="","",VLOOKUP(Tabela2[[#This Row],[SIGLA]],Tabela1[[#All],[Sigla Arte]:[Crédito]],2,0))</f>
        <v/>
      </c>
      <c r="Z1653" s="31"/>
      <c r="AA1653" s="31" t="str">
        <f>Tabela2[[#This Row],[ILUSTRADOR CRIAÇÃO]]</f>
        <v/>
      </c>
      <c r="AB1653" s="33"/>
      <c r="AC1653" s="16"/>
      <c r="AE1653" s="35" t="str">
        <f t="shared" si="27"/>
        <v>EF1 E002 Mat</v>
      </c>
    </row>
    <row r="1654" spans="1:31" ht="150" x14ac:dyDescent="0.25">
      <c r="A1654" s="31" t="s">
        <v>3451</v>
      </c>
      <c r="B1654" s="16" t="s">
        <v>32</v>
      </c>
      <c r="C1654" s="16" t="s">
        <v>33</v>
      </c>
      <c r="D1654" s="33" t="s">
        <v>34</v>
      </c>
      <c r="E1654" s="33">
        <v>56</v>
      </c>
      <c r="F1654" s="33">
        <v>1</v>
      </c>
      <c r="G1654" s="33">
        <v>1</v>
      </c>
      <c r="H1654" s="33"/>
      <c r="I1654" s="31" t="s">
        <v>995</v>
      </c>
      <c r="J1654" s="31"/>
      <c r="K1654" s="33"/>
      <c r="L1654" s="33"/>
      <c r="M1654" s="31"/>
      <c r="N1654" s="31"/>
      <c r="O1654" s="16" t="s">
        <v>3452</v>
      </c>
      <c r="P1654" s="16"/>
      <c r="Q1654" s="16"/>
      <c r="R1654" s="33">
        <v>42</v>
      </c>
      <c r="S1654" s="34">
        <v>45792</v>
      </c>
      <c r="T1654" s="34">
        <v>45797</v>
      </c>
      <c r="U1654" s="34">
        <v>45799</v>
      </c>
      <c r="V1654" s="34">
        <v>45803</v>
      </c>
      <c r="W1654" s="34">
        <v>45806</v>
      </c>
      <c r="X1654" s="33" t="s">
        <v>3453</v>
      </c>
      <c r="Y1654" s="35" t="str">
        <f>IF(Tabela2[[#This Row],[SIGLA]]="","",VLOOKUP(Tabela2[[#This Row],[SIGLA]],Tabela1[[#All],[Sigla Arte]:[Crédito]],2,0))</f>
        <v>RAFAEL LUZIO/ARQUIVO DA EDITORA</v>
      </c>
      <c r="Z1654" s="31"/>
      <c r="AA1654" s="31" t="str">
        <f>Tabela2[[#This Row],[ILUSTRADOR CRIAÇÃO]]</f>
        <v>RAFAEL LUZIO/ARQUIVO DA EDITORA</v>
      </c>
      <c r="AB1654" s="33">
        <v>5</v>
      </c>
      <c r="AC1654" s="16" t="s">
        <v>3454</v>
      </c>
      <c r="AD1654" s="16" t="s">
        <v>1093</v>
      </c>
      <c r="AE1654" s="35" t="str">
        <f t="shared" si="27"/>
        <v>EF1 E002 Mat</v>
      </c>
    </row>
    <row r="1655" spans="1:31" ht="30" x14ac:dyDescent="0.25">
      <c r="A1655" s="31" t="s">
        <v>3455</v>
      </c>
      <c r="B1655" s="16" t="s">
        <v>32</v>
      </c>
      <c r="C1655" s="16" t="s">
        <v>164</v>
      </c>
      <c r="D1655" s="33" t="s">
        <v>34</v>
      </c>
      <c r="E1655" s="33">
        <v>57</v>
      </c>
      <c r="F1655" s="33">
        <v>1</v>
      </c>
      <c r="G1655" s="33">
        <v>1</v>
      </c>
      <c r="H1655" s="33"/>
      <c r="I1655" s="31" t="s">
        <v>995</v>
      </c>
      <c r="J1655" s="31"/>
      <c r="K1655" s="33"/>
      <c r="L1655" s="33"/>
      <c r="M1655" s="31"/>
      <c r="N1655" s="31"/>
      <c r="O1655" s="16" t="s">
        <v>3456</v>
      </c>
      <c r="P1655" s="16"/>
      <c r="Q1655" s="16"/>
      <c r="R1655" s="33">
        <v>42</v>
      </c>
      <c r="S1655" s="34">
        <v>45792</v>
      </c>
      <c r="T1655" s="34">
        <v>45796</v>
      </c>
      <c r="U1655" s="34"/>
      <c r="V1655" s="34"/>
      <c r="W1655" s="34">
        <v>45797</v>
      </c>
      <c r="X1655" s="33" t="s">
        <v>3443</v>
      </c>
      <c r="Y1655" s="35" t="str">
        <f>IF(Tabela2[[#This Row],[SIGLA]]="","",VLOOKUP(Tabela2[[#This Row],[SIGLA]],Tabela1[[#All],[Sigla Arte]:[Crédito]],2,0))</f>
        <v>VINÍCIUS COSTA/ARQUIVO DA EDITORA</v>
      </c>
      <c r="Z1655" s="31"/>
      <c r="AA1655" s="31" t="str">
        <f>Tabela2[[#This Row],[ILUSTRADOR CRIAÇÃO]]</f>
        <v>VINÍCIUS COSTA/ARQUIVO DA EDITORA</v>
      </c>
      <c r="AB1655" s="33">
        <v>8</v>
      </c>
      <c r="AC1655" s="16" t="s">
        <v>924</v>
      </c>
      <c r="AD1655" s="16" t="s">
        <v>40</v>
      </c>
      <c r="AE1655" s="35" t="str">
        <f t="shared" si="27"/>
        <v>EF1 E002 Mat</v>
      </c>
    </row>
    <row r="1656" spans="1:31" ht="45" x14ac:dyDescent="0.25">
      <c r="A1656" s="31" t="s">
        <v>3457</v>
      </c>
      <c r="B1656" s="16" t="s">
        <v>32</v>
      </c>
      <c r="C1656" s="16" t="s">
        <v>164</v>
      </c>
      <c r="D1656" s="33" t="s">
        <v>34</v>
      </c>
      <c r="E1656" s="33">
        <v>57</v>
      </c>
      <c r="F1656" s="33">
        <v>1</v>
      </c>
      <c r="G1656" s="33">
        <v>1</v>
      </c>
      <c r="H1656" s="33"/>
      <c r="I1656" s="31" t="s">
        <v>995</v>
      </c>
      <c r="J1656" s="31"/>
      <c r="K1656" s="33"/>
      <c r="L1656" s="33"/>
      <c r="M1656" s="31"/>
      <c r="N1656" s="31"/>
      <c r="O1656" s="16" t="s">
        <v>3458</v>
      </c>
      <c r="P1656" s="16"/>
      <c r="Q1656" s="16"/>
      <c r="R1656" s="33">
        <v>42</v>
      </c>
      <c r="S1656" s="34">
        <v>45792</v>
      </c>
      <c r="T1656" s="34">
        <v>45796</v>
      </c>
      <c r="U1656" s="34"/>
      <c r="V1656" s="34"/>
      <c r="W1656" s="34">
        <v>45797</v>
      </c>
      <c r="X1656" s="33" t="s">
        <v>3443</v>
      </c>
      <c r="Y1656" s="35" t="str">
        <f>IF(Tabela2[[#This Row],[SIGLA]]="","",VLOOKUP(Tabela2[[#This Row],[SIGLA]],Tabela1[[#All],[Sigla Arte]:[Crédito]],2,0))</f>
        <v>VINÍCIUS COSTA/ARQUIVO DA EDITORA</v>
      </c>
      <c r="Z1656" s="31"/>
      <c r="AA1656" s="31" t="str">
        <f>Tabela2[[#This Row],[ILUSTRADOR CRIAÇÃO]]</f>
        <v>VINÍCIUS COSTA/ARQUIVO DA EDITORA</v>
      </c>
      <c r="AB1656" s="33">
        <v>8</v>
      </c>
      <c r="AC1656" s="16" t="s">
        <v>924</v>
      </c>
      <c r="AD1656" s="16" t="s">
        <v>40</v>
      </c>
      <c r="AE1656" s="35" t="str">
        <f t="shared" si="27"/>
        <v>EF1 E002 Mat</v>
      </c>
    </row>
    <row r="1657" spans="1:31" ht="60" x14ac:dyDescent="0.25">
      <c r="A1657" s="31" t="s">
        <v>3459</v>
      </c>
      <c r="B1657" s="16" t="s">
        <v>32</v>
      </c>
      <c r="C1657" s="16" t="s">
        <v>164</v>
      </c>
      <c r="D1657" s="33" t="s">
        <v>34</v>
      </c>
      <c r="E1657" s="33">
        <v>16</v>
      </c>
      <c r="F1657" s="33">
        <v>5</v>
      </c>
      <c r="G1657" s="33">
        <v>1</v>
      </c>
      <c r="H1657" s="33"/>
      <c r="I1657" s="31" t="s">
        <v>35</v>
      </c>
      <c r="J1657" s="31"/>
      <c r="K1657" s="33"/>
      <c r="L1657" s="33"/>
      <c r="M1657" s="31"/>
      <c r="N1657" s="31"/>
      <c r="O1657" s="16" t="s">
        <v>3460</v>
      </c>
      <c r="P1657" s="16"/>
      <c r="Q1657" s="16"/>
      <c r="R1657" s="33">
        <v>43</v>
      </c>
      <c r="S1657" s="34">
        <v>45792</v>
      </c>
      <c r="T1657" s="34">
        <v>45798</v>
      </c>
      <c r="U1657" s="34"/>
      <c r="V1657" s="34"/>
      <c r="W1657" s="34">
        <v>45798</v>
      </c>
      <c r="X1657" s="33" t="s">
        <v>470</v>
      </c>
      <c r="Y1657" s="35" t="str">
        <f>IF(Tabela2[[#This Row],[SIGLA]]="","",VLOOKUP(Tabela2[[#This Row],[SIGLA]],Tabela1[[#All],[Sigla Arte]:[Crédito]],2,0))</f>
        <v>RENAN FONSECA/ARQUIVO DA EDITORA</v>
      </c>
      <c r="Z1657" s="31" t="s">
        <v>352</v>
      </c>
      <c r="AA1657" s="31" t="str">
        <f>Tabela2[[#This Row],[ILUSTRADOR CRIAÇÃO]]</f>
        <v>RENAN FONSECA/ARQUIVO DA EDITORA</v>
      </c>
      <c r="AB1657" s="33">
        <v>14</v>
      </c>
      <c r="AC1657" s="16" t="s">
        <v>39</v>
      </c>
      <c r="AD1657" s="16" t="s">
        <v>40</v>
      </c>
      <c r="AE1657" s="35" t="str">
        <f t="shared" si="27"/>
        <v>EF1 E002 Mat</v>
      </c>
    </row>
    <row r="1658" spans="1:31" ht="60" x14ac:dyDescent="0.25">
      <c r="A1658" s="31" t="s">
        <v>3461</v>
      </c>
      <c r="B1658" s="16" t="s">
        <v>32</v>
      </c>
      <c r="C1658" s="16" t="s">
        <v>164</v>
      </c>
      <c r="D1658" s="33" t="s">
        <v>34</v>
      </c>
      <c r="E1658" s="33">
        <v>16</v>
      </c>
      <c r="F1658" s="33">
        <v>5</v>
      </c>
      <c r="G1658" s="33">
        <v>1</v>
      </c>
      <c r="H1658" s="33"/>
      <c r="I1658" s="31" t="s">
        <v>35</v>
      </c>
      <c r="J1658" s="31"/>
      <c r="K1658" s="33"/>
      <c r="L1658" s="33"/>
      <c r="M1658" s="31"/>
      <c r="N1658" s="31"/>
      <c r="O1658" s="16" t="s">
        <v>3462</v>
      </c>
      <c r="P1658" s="16"/>
      <c r="Q1658" s="16"/>
      <c r="R1658" s="33">
        <v>43</v>
      </c>
      <c r="S1658" s="34">
        <v>45792</v>
      </c>
      <c r="T1658" s="34">
        <v>45798</v>
      </c>
      <c r="U1658" s="34"/>
      <c r="V1658" s="34"/>
      <c r="W1658" s="34">
        <v>45798</v>
      </c>
      <c r="X1658" s="33" t="s">
        <v>470</v>
      </c>
      <c r="Y1658" s="35" t="str">
        <f>IF(Tabela2[[#This Row],[SIGLA]]="","",VLOOKUP(Tabela2[[#This Row],[SIGLA]],Tabela1[[#All],[Sigla Arte]:[Crédito]],2,0))</f>
        <v>RENAN FONSECA/ARQUIVO DA EDITORA</v>
      </c>
      <c r="Z1658" s="31" t="s">
        <v>352</v>
      </c>
      <c r="AA1658" s="31" t="str">
        <f>Tabela2[[#This Row],[ILUSTRADOR CRIAÇÃO]]</f>
        <v>RENAN FONSECA/ARQUIVO DA EDITORA</v>
      </c>
      <c r="AB1658" s="33">
        <v>14</v>
      </c>
      <c r="AC1658" s="16" t="s">
        <v>39</v>
      </c>
      <c r="AD1658" s="16" t="s">
        <v>40</v>
      </c>
      <c r="AE1658" s="35" t="str">
        <f t="shared" si="27"/>
        <v>EF1 E002 Mat</v>
      </c>
    </row>
    <row r="1659" spans="1:31" ht="60" x14ac:dyDescent="0.25">
      <c r="A1659" s="31" t="s">
        <v>3463</v>
      </c>
      <c r="B1659" s="16" t="s">
        <v>32</v>
      </c>
      <c r="C1659" s="16" t="s">
        <v>164</v>
      </c>
      <c r="D1659" s="33" t="s">
        <v>34</v>
      </c>
      <c r="E1659" s="33">
        <v>16</v>
      </c>
      <c r="F1659" s="33">
        <v>5</v>
      </c>
      <c r="G1659" s="33">
        <v>1</v>
      </c>
      <c r="H1659" s="33"/>
      <c r="I1659" s="31" t="s">
        <v>35</v>
      </c>
      <c r="J1659" s="31"/>
      <c r="K1659" s="33"/>
      <c r="L1659" s="33"/>
      <c r="M1659" s="31"/>
      <c r="N1659" s="31"/>
      <c r="O1659" s="16" t="s">
        <v>3464</v>
      </c>
      <c r="P1659" s="16"/>
      <c r="Q1659" s="16"/>
      <c r="R1659" s="33">
        <v>43</v>
      </c>
      <c r="S1659" s="34">
        <v>45792</v>
      </c>
      <c r="T1659" s="34">
        <v>45798</v>
      </c>
      <c r="U1659" s="34"/>
      <c r="V1659" s="34"/>
      <c r="W1659" s="34">
        <v>45798</v>
      </c>
      <c r="X1659" s="33" t="s">
        <v>470</v>
      </c>
      <c r="Y1659" s="35" t="str">
        <f>IF(Tabela2[[#This Row],[SIGLA]]="","",VLOOKUP(Tabela2[[#This Row],[SIGLA]],Tabela1[[#All],[Sigla Arte]:[Crédito]],2,0))</f>
        <v>RENAN FONSECA/ARQUIVO DA EDITORA</v>
      </c>
      <c r="Z1659" s="31" t="s">
        <v>352</v>
      </c>
      <c r="AA1659" s="31" t="str">
        <f>Tabela2[[#This Row],[ILUSTRADOR CRIAÇÃO]]</f>
        <v>RENAN FONSECA/ARQUIVO DA EDITORA</v>
      </c>
      <c r="AB1659" s="33">
        <v>14</v>
      </c>
      <c r="AC1659" s="16" t="s">
        <v>39</v>
      </c>
      <c r="AD1659" s="16" t="s">
        <v>40</v>
      </c>
      <c r="AE1659" s="35" t="str">
        <f t="shared" si="27"/>
        <v>EF1 E002 Mat</v>
      </c>
    </row>
    <row r="1660" spans="1:31" ht="45" x14ac:dyDescent="0.25">
      <c r="A1660" s="31" t="s">
        <v>3465</v>
      </c>
      <c r="B1660" s="16" t="s">
        <v>32</v>
      </c>
      <c r="C1660" s="16" t="s">
        <v>164</v>
      </c>
      <c r="D1660" s="33" t="s">
        <v>34</v>
      </c>
      <c r="E1660" s="33">
        <v>17</v>
      </c>
      <c r="F1660" s="33">
        <v>5</v>
      </c>
      <c r="G1660" s="33">
        <v>1</v>
      </c>
      <c r="H1660" s="33"/>
      <c r="I1660" s="31" t="s">
        <v>46</v>
      </c>
      <c r="J1660" s="31"/>
      <c r="K1660" s="33"/>
      <c r="L1660" s="33"/>
      <c r="M1660" s="31"/>
      <c r="N1660" s="31"/>
      <c r="O1660" s="16" t="s">
        <v>3466</v>
      </c>
      <c r="P1660" s="16"/>
      <c r="Q1660" s="16"/>
      <c r="R1660" s="33"/>
      <c r="S1660" s="34"/>
      <c r="T1660" s="34"/>
      <c r="U1660" s="34"/>
      <c r="V1660" s="34"/>
      <c r="W1660" s="34"/>
      <c r="X1660" s="33" t="s">
        <v>3467</v>
      </c>
      <c r="Y1660" s="35" t="str">
        <f>IF(Tabela2[[#This Row],[SIGLA]]="","",VLOOKUP(Tabela2[[#This Row],[SIGLA]],Tabela1[[#All],[Sigla Arte]:[Crédito]],2,0))</f>
        <v>RAFAEL L. GAION/ARQUIVO DA EDITORA</v>
      </c>
      <c r="Z1660" s="31"/>
      <c r="AA1660" s="31" t="str">
        <f>Tabela2[[#This Row],[ILUSTRADOR CRIAÇÃO]]</f>
        <v>RAFAEL L. GAION/ARQUIVO DA EDITORA</v>
      </c>
      <c r="AB1660" s="33"/>
      <c r="AC1660" s="16"/>
      <c r="AE1660" s="35" t="str">
        <f t="shared" si="27"/>
        <v>EF1 E002 Mat</v>
      </c>
    </row>
    <row r="1661" spans="1:31" ht="30" x14ac:dyDescent="0.25">
      <c r="A1661" s="31" t="s">
        <v>3468</v>
      </c>
      <c r="B1661" s="16" t="s">
        <v>32</v>
      </c>
      <c r="C1661" s="16" t="s">
        <v>164</v>
      </c>
      <c r="D1661" s="33" t="s">
        <v>34</v>
      </c>
      <c r="E1661" s="33">
        <v>18</v>
      </c>
      <c r="F1661" s="33">
        <v>5</v>
      </c>
      <c r="G1661" s="33">
        <v>1</v>
      </c>
      <c r="H1661" s="33"/>
      <c r="I1661" s="31" t="s">
        <v>46</v>
      </c>
      <c r="J1661" s="31"/>
      <c r="K1661" s="33"/>
      <c r="L1661" s="33"/>
      <c r="M1661" s="31"/>
      <c r="N1661" s="31"/>
      <c r="O1661" s="16" t="s">
        <v>3469</v>
      </c>
      <c r="P1661" s="16"/>
      <c r="Q1661" s="16"/>
      <c r="R1661" s="33"/>
      <c r="S1661" s="34"/>
      <c r="T1661" s="34"/>
      <c r="U1661" s="34"/>
      <c r="V1661" s="34"/>
      <c r="W1661" s="34"/>
      <c r="X1661" s="33" t="s">
        <v>470</v>
      </c>
      <c r="Y1661" s="35" t="str">
        <f>IF(Tabela2[[#This Row],[SIGLA]]="","",VLOOKUP(Tabela2[[#This Row],[SIGLA]],Tabela1[[#All],[Sigla Arte]:[Crédito]],2,0))</f>
        <v>RENAN FONSECA/ARQUIVO DA EDITORA</v>
      </c>
      <c r="Z1661" s="31"/>
      <c r="AA1661" s="31" t="str">
        <f>Tabela2[[#This Row],[ILUSTRADOR CRIAÇÃO]]</f>
        <v>RENAN FONSECA/ARQUIVO DA EDITORA</v>
      </c>
      <c r="AB1661" s="33"/>
      <c r="AC1661" s="16"/>
      <c r="AE1661" s="35" t="str">
        <f t="shared" si="27"/>
        <v>EF1 E002 Mat</v>
      </c>
    </row>
    <row r="1662" spans="1:31" ht="30" x14ac:dyDescent="0.25">
      <c r="A1662" s="31" t="s">
        <v>3470</v>
      </c>
      <c r="B1662" s="16" t="s">
        <v>32</v>
      </c>
      <c r="C1662" s="16" t="s">
        <v>164</v>
      </c>
      <c r="D1662" s="33" t="s">
        <v>34</v>
      </c>
      <c r="E1662" s="33">
        <v>18</v>
      </c>
      <c r="F1662" s="33">
        <v>5</v>
      </c>
      <c r="G1662" s="33">
        <v>1</v>
      </c>
      <c r="H1662" s="33"/>
      <c r="I1662" s="31" t="s">
        <v>46</v>
      </c>
      <c r="J1662" s="31"/>
      <c r="K1662" s="33"/>
      <c r="L1662" s="33"/>
      <c r="M1662" s="31"/>
      <c r="N1662" s="31"/>
      <c r="O1662" s="16" t="s">
        <v>3471</v>
      </c>
      <c r="P1662" s="16"/>
      <c r="Q1662" s="16"/>
      <c r="R1662" s="33"/>
      <c r="S1662" s="34"/>
      <c r="T1662" s="34"/>
      <c r="U1662" s="34"/>
      <c r="V1662" s="34"/>
      <c r="W1662" s="34"/>
      <c r="X1662" s="33" t="s">
        <v>470</v>
      </c>
      <c r="Y1662" s="35" t="str">
        <f>IF(Tabela2[[#This Row],[SIGLA]]="","",VLOOKUP(Tabela2[[#This Row],[SIGLA]],Tabela1[[#All],[Sigla Arte]:[Crédito]],2,0))</f>
        <v>RENAN FONSECA/ARQUIVO DA EDITORA</v>
      </c>
      <c r="Z1662" s="31"/>
      <c r="AA1662" s="31" t="str">
        <f>Tabela2[[#This Row],[ILUSTRADOR CRIAÇÃO]]</f>
        <v>RENAN FONSECA/ARQUIVO DA EDITORA</v>
      </c>
      <c r="AB1662" s="33"/>
      <c r="AC1662" s="16"/>
      <c r="AE1662" s="35" t="str">
        <f t="shared" si="27"/>
        <v>EF1 E002 Mat</v>
      </c>
    </row>
    <row r="1663" spans="1:31" ht="30" x14ac:dyDescent="0.25">
      <c r="A1663" s="31" t="s">
        <v>3472</v>
      </c>
      <c r="B1663" s="16" t="s">
        <v>32</v>
      </c>
      <c r="C1663" s="16" t="s">
        <v>164</v>
      </c>
      <c r="D1663" s="33" t="s">
        <v>34</v>
      </c>
      <c r="E1663" s="33">
        <v>18</v>
      </c>
      <c r="F1663" s="33">
        <v>5</v>
      </c>
      <c r="G1663" s="33">
        <v>1</v>
      </c>
      <c r="H1663" s="33"/>
      <c r="I1663" s="31" t="s">
        <v>46</v>
      </c>
      <c r="J1663" s="31"/>
      <c r="K1663" s="33"/>
      <c r="L1663" s="33"/>
      <c r="M1663" s="31"/>
      <c r="N1663" s="31"/>
      <c r="O1663" s="16" t="s">
        <v>3473</v>
      </c>
      <c r="P1663" s="16"/>
      <c r="Q1663" s="16"/>
      <c r="R1663" s="33"/>
      <c r="S1663" s="34"/>
      <c r="T1663" s="34"/>
      <c r="U1663" s="34"/>
      <c r="V1663" s="34"/>
      <c r="W1663" s="34"/>
      <c r="X1663" s="33" t="s">
        <v>470</v>
      </c>
      <c r="Y1663" s="35" t="str">
        <f>IF(Tabela2[[#This Row],[SIGLA]]="","",VLOOKUP(Tabela2[[#This Row],[SIGLA]],Tabela1[[#All],[Sigla Arte]:[Crédito]],2,0))</f>
        <v>RENAN FONSECA/ARQUIVO DA EDITORA</v>
      </c>
      <c r="Z1663" s="31"/>
      <c r="AA1663" s="31" t="str">
        <f>Tabela2[[#This Row],[ILUSTRADOR CRIAÇÃO]]</f>
        <v>RENAN FONSECA/ARQUIVO DA EDITORA</v>
      </c>
      <c r="AB1663" s="33"/>
      <c r="AC1663" s="16"/>
      <c r="AE1663" s="35" t="str">
        <f t="shared" si="27"/>
        <v>EF1 E002 Mat</v>
      </c>
    </row>
    <row r="1664" spans="1:31" ht="30" x14ac:dyDescent="0.25">
      <c r="A1664" s="31" t="s">
        <v>3474</v>
      </c>
      <c r="B1664" s="16" t="s">
        <v>32</v>
      </c>
      <c r="C1664" s="16" t="s">
        <v>33</v>
      </c>
      <c r="D1664" s="33" t="s">
        <v>34</v>
      </c>
      <c r="E1664" s="33">
        <v>20</v>
      </c>
      <c r="F1664" s="33">
        <v>5</v>
      </c>
      <c r="G1664" s="33">
        <v>1</v>
      </c>
      <c r="H1664" s="33"/>
      <c r="I1664" s="31" t="s">
        <v>46</v>
      </c>
      <c r="J1664" s="31"/>
      <c r="K1664" s="33"/>
      <c r="L1664" s="33"/>
      <c r="M1664" s="31"/>
      <c r="N1664" s="31"/>
      <c r="O1664" s="16" t="s">
        <v>3475</v>
      </c>
      <c r="P1664" s="16"/>
      <c r="Q1664" s="16"/>
      <c r="R1664" s="33"/>
      <c r="S1664" s="34"/>
      <c r="T1664" s="34"/>
      <c r="U1664" s="34"/>
      <c r="V1664" s="34"/>
      <c r="W1664" s="34"/>
      <c r="X1664" s="33" t="s">
        <v>48</v>
      </c>
      <c r="Y1664" s="35" t="str">
        <f>IF(Tabela2[[#This Row],[SIGLA]]="","",VLOOKUP(Tabela2[[#This Row],[SIGLA]],Tabela1[[#All],[Sigla Arte]:[Crédito]],2,0))</f>
        <v>SERGIO LIMA/ARQUIVO DA EDITORA</v>
      </c>
      <c r="Z1664" s="31"/>
      <c r="AA1664" s="31" t="str">
        <f>Tabela2[[#This Row],[ILUSTRADOR CRIAÇÃO]]</f>
        <v>SERGIO LIMA/ARQUIVO DA EDITORA</v>
      </c>
      <c r="AB1664" s="33"/>
      <c r="AC1664" s="16"/>
      <c r="AE1664" s="35" t="str">
        <f t="shared" si="27"/>
        <v>EF1 E002 Mat</v>
      </c>
    </row>
    <row r="1665" spans="1:31" ht="30" x14ac:dyDescent="0.25">
      <c r="A1665" s="31" t="s">
        <v>3476</v>
      </c>
      <c r="B1665" s="16" t="s">
        <v>32</v>
      </c>
      <c r="C1665" s="16" t="s">
        <v>33</v>
      </c>
      <c r="D1665" s="33" t="s">
        <v>34</v>
      </c>
      <c r="E1665" s="33">
        <v>20</v>
      </c>
      <c r="F1665" s="33">
        <v>5</v>
      </c>
      <c r="G1665" s="33">
        <v>1</v>
      </c>
      <c r="H1665" s="33"/>
      <c r="I1665" s="31" t="s">
        <v>46</v>
      </c>
      <c r="J1665" s="31"/>
      <c r="K1665" s="33"/>
      <c r="L1665" s="33"/>
      <c r="M1665" s="31"/>
      <c r="N1665" s="31"/>
      <c r="O1665" s="16" t="s">
        <v>3477</v>
      </c>
      <c r="P1665" s="16"/>
      <c r="Q1665" s="16"/>
      <c r="R1665" s="33"/>
      <c r="S1665" s="34"/>
      <c r="T1665" s="34"/>
      <c r="U1665" s="34"/>
      <c r="V1665" s="34"/>
      <c r="W1665" s="34"/>
      <c r="X1665" s="33" t="s">
        <v>48</v>
      </c>
      <c r="Y1665" s="35" t="str">
        <f>IF(Tabela2[[#This Row],[SIGLA]]="","",VLOOKUP(Tabela2[[#This Row],[SIGLA]],Tabela1[[#All],[Sigla Arte]:[Crédito]],2,0))</f>
        <v>SERGIO LIMA/ARQUIVO DA EDITORA</v>
      </c>
      <c r="Z1665" s="31"/>
      <c r="AA1665" s="31" t="str">
        <f>Tabela2[[#This Row],[ILUSTRADOR CRIAÇÃO]]</f>
        <v>SERGIO LIMA/ARQUIVO DA EDITORA</v>
      </c>
      <c r="AB1665" s="33"/>
      <c r="AC1665" s="16"/>
      <c r="AE1665" s="35" t="str">
        <f t="shared" si="27"/>
        <v>EF1 E002 Mat</v>
      </c>
    </row>
    <row r="1666" spans="1:31" ht="30" x14ac:dyDescent="0.25">
      <c r="A1666" s="31" t="s">
        <v>3478</v>
      </c>
      <c r="B1666" s="16" t="s">
        <v>32</v>
      </c>
      <c r="C1666" s="16" t="s">
        <v>33</v>
      </c>
      <c r="D1666" s="33" t="s">
        <v>34</v>
      </c>
      <c r="E1666" s="33">
        <v>20</v>
      </c>
      <c r="F1666" s="33">
        <v>5</v>
      </c>
      <c r="G1666" s="33">
        <v>1</v>
      </c>
      <c r="H1666" s="33"/>
      <c r="I1666" s="31" t="s">
        <v>46</v>
      </c>
      <c r="J1666" s="31"/>
      <c r="K1666" s="33"/>
      <c r="L1666" s="33"/>
      <c r="M1666" s="31"/>
      <c r="N1666" s="31"/>
      <c r="O1666" s="16" t="s">
        <v>3479</v>
      </c>
      <c r="P1666" s="16"/>
      <c r="Q1666" s="16"/>
      <c r="R1666" s="33"/>
      <c r="S1666" s="34"/>
      <c r="T1666" s="34"/>
      <c r="U1666" s="34"/>
      <c r="V1666" s="34"/>
      <c r="W1666" s="34"/>
      <c r="X1666" s="33" t="s">
        <v>48</v>
      </c>
      <c r="Y1666" s="35" t="str">
        <f>IF(Tabela2[[#This Row],[SIGLA]]="","",VLOOKUP(Tabela2[[#This Row],[SIGLA]],Tabela1[[#All],[Sigla Arte]:[Crédito]],2,0))</f>
        <v>SERGIO LIMA/ARQUIVO DA EDITORA</v>
      </c>
      <c r="Z1666" s="31"/>
      <c r="AA1666" s="31" t="str">
        <f>Tabela2[[#This Row],[ILUSTRADOR CRIAÇÃO]]</f>
        <v>SERGIO LIMA/ARQUIVO DA EDITORA</v>
      </c>
      <c r="AB1666" s="33"/>
      <c r="AC1666" s="16"/>
      <c r="AE1666" s="35" t="str">
        <f t="shared" si="27"/>
        <v>EF1 E002 Mat</v>
      </c>
    </row>
    <row r="1667" spans="1:31" ht="30" x14ac:dyDescent="0.25">
      <c r="A1667" s="31" t="s">
        <v>3480</v>
      </c>
      <c r="B1667" s="16" t="s">
        <v>32</v>
      </c>
      <c r="C1667" s="16" t="s">
        <v>33</v>
      </c>
      <c r="D1667" s="33" t="s">
        <v>34</v>
      </c>
      <c r="E1667" s="33">
        <v>20</v>
      </c>
      <c r="F1667" s="33">
        <v>5</v>
      </c>
      <c r="G1667" s="33">
        <v>1</v>
      </c>
      <c r="H1667" s="33"/>
      <c r="I1667" s="31" t="s">
        <v>46</v>
      </c>
      <c r="J1667" s="31"/>
      <c r="K1667" s="33"/>
      <c r="L1667" s="33"/>
      <c r="M1667" s="31"/>
      <c r="N1667" s="31"/>
      <c r="O1667" s="16" t="s">
        <v>3481</v>
      </c>
      <c r="P1667" s="16"/>
      <c r="Q1667" s="16"/>
      <c r="R1667" s="33"/>
      <c r="S1667" s="34"/>
      <c r="T1667" s="34"/>
      <c r="U1667" s="34"/>
      <c r="V1667" s="34"/>
      <c r="W1667" s="34"/>
      <c r="X1667" s="33" t="s">
        <v>48</v>
      </c>
      <c r="Y1667" s="35" t="str">
        <f>IF(Tabela2[[#This Row],[SIGLA]]="","",VLOOKUP(Tabela2[[#This Row],[SIGLA]],Tabela1[[#All],[Sigla Arte]:[Crédito]],2,0))</f>
        <v>SERGIO LIMA/ARQUIVO DA EDITORA</v>
      </c>
      <c r="Z1667" s="31"/>
      <c r="AA1667" s="31" t="str">
        <f>Tabela2[[#This Row],[ILUSTRADOR CRIAÇÃO]]</f>
        <v>SERGIO LIMA/ARQUIVO DA EDITORA</v>
      </c>
      <c r="AB1667" s="33"/>
      <c r="AC1667" s="16"/>
      <c r="AE1667" s="35" t="str">
        <f t="shared" si="27"/>
        <v>EF1 E002 Mat</v>
      </c>
    </row>
    <row r="1668" spans="1:31" ht="30" x14ac:dyDescent="0.25">
      <c r="A1668" s="31" t="s">
        <v>3482</v>
      </c>
      <c r="B1668" s="16" t="s">
        <v>32</v>
      </c>
      <c r="C1668" s="16" t="s">
        <v>33</v>
      </c>
      <c r="D1668" s="33" t="s">
        <v>34</v>
      </c>
      <c r="E1668" s="33">
        <v>20</v>
      </c>
      <c r="F1668" s="33">
        <v>5</v>
      </c>
      <c r="G1668" s="33">
        <v>1</v>
      </c>
      <c r="H1668" s="33"/>
      <c r="I1668" s="31" t="s">
        <v>46</v>
      </c>
      <c r="J1668" s="31"/>
      <c r="K1668" s="33"/>
      <c r="L1668" s="33"/>
      <c r="M1668" s="31"/>
      <c r="N1668" s="31"/>
      <c r="O1668" s="16" t="s">
        <v>3483</v>
      </c>
      <c r="P1668" s="16"/>
      <c r="Q1668" s="16"/>
      <c r="R1668" s="33"/>
      <c r="S1668" s="34"/>
      <c r="T1668" s="34"/>
      <c r="U1668" s="34"/>
      <c r="V1668" s="34"/>
      <c r="W1668" s="34"/>
      <c r="X1668" s="33" t="s">
        <v>48</v>
      </c>
      <c r="Y1668" s="35" t="str">
        <f>IF(Tabela2[[#This Row],[SIGLA]]="","",VLOOKUP(Tabela2[[#This Row],[SIGLA]],Tabela1[[#All],[Sigla Arte]:[Crédito]],2,0))</f>
        <v>SERGIO LIMA/ARQUIVO DA EDITORA</v>
      </c>
      <c r="Z1668" s="31"/>
      <c r="AA1668" s="31" t="str">
        <f>Tabela2[[#This Row],[ILUSTRADOR CRIAÇÃO]]</f>
        <v>SERGIO LIMA/ARQUIVO DA EDITORA</v>
      </c>
      <c r="AB1668" s="33"/>
      <c r="AC1668" s="16"/>
      <c r="AE1668" s="35" t="str">
        <f t="shared" si="27"/>
        <v>EF1 E002 Mat</v>
      </c>
    </row>
    <row r="1669" spans="1:31" ht="60" x14ac:dyDescent="0.25">
      <c r="A1669" s="31" t="s">
        <v>3484</v>
      </c>
      <c r="B1669" s="16" t="s">
        <v>32</v>
      </c>
      <c r="C1669" s="16" t="s">
        <v>33</v>
      </c>
      <c r="D1669" s="33" t="s">
        <v>34</v>
      </c>
      <c r="E1669" s="33">
        <v>25</v>
      </c>
      <c r="F1669" s="33">
        <v>5</v>
      </c>
      <c r="G1669" s="33">
        <v>1</v>
      </c>
      <c r="H1669" s="33"/>
      <c r="I1669" s="31" t="s">
        <v>35</v>
      </c>
      <c r="J1669" s="31"/>
      <c r="K1669" s="33"/>
      <c r="L1669" s="33"/>
      <c r="M1669" s="31"/>
      <c r="N1669" s="31"/>
      <c r="O1669" s="16" t="s">
        <v>3485</v>
      </c>
      <c r="P1669" s="16"/>
      <c r="Q1669" s="16"/>
      <c r="R1669" s="33">
        <v>43</v>
      </c>
      <c r="S1669" s="34">
        <v>45792</v>
      </c>
      <c r="T1669" s="34">
        <v>45798</v>
      </c>
      <c r="U1669" s="34"/>
      <c r="V1669" s="34"/>
      <c r="W1669" s="34">
        <v>45798</v>
      </c>
      <c r="X1669" s="33" t="s">
        <v>48</v>
      </c>
      <c r="Y1669" s="35" t="str">
        <f>IF(Tabela2[[#This Row],[SIGLA]]="","",VLOOKUP(Tabela2[[#This Row],[SIGLA]],Tabela1[[#All],[Sigla Arte]:[Crédito]],2,0))</f>
        <v>SERGIO LIMA/ARQUIVO DA EDITORA</v>
      </c>
      <c r="Z1669" s="31" t="s">
        <v>352</v>
      </c>
      <c r="AA1669" s="31" t="str">
        <f>Tabela2[[#This Row],[ILUSTRADOR CRIAÇÃO]]</f>
        <v>SERGIO LIMA/ARQUIVO DA EDITORA</v>
      </c>
      <c r="AB1669" s="33">
        <v>14</v>
      </c>
      <c r="AC1669" s="16" t="s">
        <v>39</v>
      </c>
      <c r="AD1669" s="16" t="s">
        <v>40</v>
      </c>
      <c r="AE1669" s="35" t="str">
        <f t="shared" si="27"/>
        <v>EF1 E002 Mat</v>
      </c>
    </row>
    <row r="1670" spans="1:31" ht="30" x14ac:dyDescent="0.25">
      <c r="A1670" s="31" t="s">
        <v>3486</v>
      </c>
      <c r="B1670" s="16" t="s">
        <v>32</v>
      </c>
      <c r="C1670" s="16" t="s">
        <v>164</v>
      </c>
      <c r="D1670" s="33" t="s">
        <v>34</v>
      </c>
      <c r="E1670" s="33">
        <v>26</v>
      </c>
      <c r="F1670" s="33">
        <v>5</v>
      </c>
      <c r="G1670" s="33">
        <v>1</v>
      </c>
      <c r="H1670" s="33"/>
      <c r="I1670" s="31" t="s">
        <v>46</v>
      </c>
      <c r="J1670" s="31"/>
      <c r="K1670" s="33"/>
      <c r="L1670" s="33"/>
      <c r="M1670" s="31"/>
      <c r="N1670" s="31"/>
      <c r="O1670" s="16" t="s">
        <v>3487</v>
      </c>
      <c r="P1670" s="16"/>
      <c r="Q1670" s="16"/>
      <c r="R1670" s="33"/>
      <c r="S1670" s="34"/>
      <c r="T1670" s="34"/>
      <c r="U1670" s="34"/>
      <c r="V1670" s="34"/>
      <c r="W1670" s="34"/>
      <c r="X1670" s="33" t="s">
        <v>1126</v>
      </c>
      <c r="Y1670" s="35" t="str">
        <f>IF(Tabela2[[#This Row],[SIGLA]]="","",VLOOKUP(Tabela2[[#This Row],[SIGLA]],Tabela1[[#All],[Sigla Arte]:[Crédito]],2,0))</f>
        <v>GUSTAVO CONTI/ARQUIVO DA EDITORA</v>
      </c>
      <c r="Z1670" s="31"/>
      <c r="AA1670" s="31" t="str">
        <f>Tabela2[[#This Row],[ILUSTRADOR CRIAÇÃO]]</f>
        <v>GUSTAVO CONTI/ARQUIVO DA EDITORA</v>
      </c>
      <c r="AB1670" s="33"/>
      <c r="AC1670" s="16"/>
      <c r="AE1670" s="35" t="str">
        <f t="shared" si="27"/>
        <v>EF1 E002 Mat</v>
      </c>
    </row>
    <row r="1671" spans="1:31" ht="45" x14ac:dyDescent="0.25">
      <c r="A1671" s="31" t="s">
        <v>3488</v>
      </c>
      <c r="B1671" s="16" t="s">
        <v>32</v>
      </c>
      <c r="C1671" s="16" t="s">
        <v>33</v>
      </c>
      <c r="D1671" s="33" t="s">
        <v>34</v>
      </c>
      <c r="E1671" s="33">
        <v>27</v>
      </c>
      <c r="F1671" s="33">
        <v>5</v>
      </c>
      <c r="G1671" s="33">
        <v>1</v>
      </c>
      <c r="H1671" s="33"/>
      <c r="I1671" s="31" t="s">
        <v>35</v>
      </c>
      <c r="J1671" s="31"/>
      <c r="K1671" s="33"/>
      <c r="L1671" s="33"/>
      <c r="M1671" s="31"/>
      <c r="N1671" s="31"/>
      <c r="O1671" s="16" t="s">
        <v>3489</v>
      </c>
      <c r="P1671" s="16"/>
      <c r="Q1671" s="16"/>
      <c r="R1671" s="33">
        <v>194</v>
      </c>
      <c r="S1671" s="34">
        <v>45939</v>
      </c>
      <c r="T1671" s="34">
        <v>45939</v>
      </c>
      <c r="U1671" s="34"/>
      <c r="V1671" s="34"/>
      <c r="W1671" s="34">
        <v>45939</v>
      </c>
      <c r="X1671" s="33" t="s">
        <v>1126</v>
      </c>
      <c r="Y1671" s="35" t="str">
        <f>IF(Tabela2[[#This Row],[SIGLA]]="","",VLOOKUP(Tabela2[[#This Row],[SIGLA]],Tabela1[[#All],[Sigla Arte]:[Crédito]],2,0))</f>
        <v>GUSTAVO CONTI/ARQUIVO DA EDITORA</v>
      </c>
      <c r="Z1671" s="31" t="s">
        <v>1465</v>
      </c>
      <c r="AA1671" s="31" t="str">
        <f>Tabela2[[#This Row],[ILUSTRADOR CRIAÇÃO]]</f>
        <v>GUSTAVO CONTI/ARQUIVO DA EDITORA</v>
      </c>
      <c r="AB1671" s="33">
        <v>13</v>
      </c>
      <c r="AC1671" s="16"/>
      <c r="AD1671" s="16" t="s">
        <v>40</v>
      </c>
      <c r="AE1671" s="35" t="str">
        <f t="shared" si="27"/>
        <v>EF1 E002 Mat</v>
      </c>
    </row>
    <row r="1672" spans="1:31" ht="30" x14ac:dyDescent="0.25">
      <c r="A1672" s="31" t="s">
        <v>3490</v>
      </c>
      <c r="B1672" s="16" t="s">
        <v>401</v>
      </c>
      <c r="C1672" s="16" t="s">
        <v>164</v>
      </c>
      <c r="D1672" s="33" t="s">
        <v>34</v>
      </c>
      <c r="E1672" s="33">
        <v>28</v>
      </c>
      <c r="F1672" s="33">
        <v>5</v>
      </c>
      <c r="G1672" s="33">
        <v>1</v>
      </c>
      <c r="H1672" s="33"/>
      <c r="I1672" s="31" t="s">
        <v>35</v>
      </c>
      <c r="J1672" s="31"/>
      <c r="K1672" s="33"/>
      <c r="L1672" s="33"/>
      <c r="M1672" s="31"/>
      <c r="N1672" s="31"/>
      <c r="O1672" s="16" t="s">
        <v>3491</v>
      </c>
      <c r="P1672" s="16"/>
      <c r="Q1672" s="16"/>
      <c r="R1672" s="33"/>
      <c r="S1672" s="34"/>
      <c r="T1672" s="34"/>
      <c r="U1672" s="34"/>
      <c r="V1672" s="34"/>
      <c r="W1672" s="34"/>
      <c r="X1672" s="33" t="s">
        <v>1126</v>
      </c>
      <c r="Y1672" s="35" t="str">
        <f>IF(Tabela2[[#This Row],[SIGLA]]="","",VLOOKUP(Tabela2[[#This Row],[SIGLA]],Tabela1[[#All],[Sigla Arte]:[Crédito]],2,0))</f>
        <v>GUSTAVO CONTI/ARQUIVO DA EDITORA</v>
      </c>
      <c r="Z1672" s="31"/>
      <c r="AA1672" s="31" t="str">
        <f>Tabela2[[#This Row],[ILUSTRADOR CRIAÇÃO]]</f>
        <v>GUSTAVO CONTI/ARQUIVO DA EDITORA</v>
      </c>
      <c r="AB1672" s="33"/>
      <c r="AC1672" s="16"/>
      <c r="AE1672" s="35" t="str">
        <f t="shared" si="27"/>
        <v>EF1 E002 Mat</v>
      </c>
    </row>
    <row r="1673" spans="1:31" ht="30" x14ac:dyDescent="0.25">
      <c r="A1673" s="31" t="s">
        <v>3492</v>
      </c>
      <c r="B1673" s="16" t="s">
        <v>401</v>
      </c>
      <c r="C1673" s="16" t="s">
        <v>164</v>
      </c>
      <c r="D1673" s="33" t="s">
        <v>34</v>
      </c>
      <c r="E1673" s="33">
        <v>28</v>
      </c>
      <c r="F1673" s="33">
        <v>5</v>
      </c>
      <c r="G1673" s="33">
        <v>1</v>
      </c>
      <c r="H1673" s="33"/>
      <c r="I1673" s="31" t="s">
        <v>35</v>
      </c>
      <c r="J1673" s="31"/>
      <c r="K1673" s="33"/>
      <c r="L1673" s="33"/>
      <c r="M1673" s="31"/>
      <c r="N1673" s="31"/>
      <c r="O1673" s="16" t="s">
        <v>3493</v>
      </c>
      <c r="P1673" s="16"/>
      <c r="Q1673" s="16"/>
      <c r="R1673" s="33"/>
      <c r="S1673" s="34"/>
      <c r="T1673" s="34"/>
      <c r="U1673" s="34"/>
      <c r="V1673" s="34"/>
      <c r="W1673" s="34"/>
      <c r="X1673" s="33" t="s">
        <v>1126</v>
      </c>
      <c r="Y1673" s="35" t="str">
        <f>IF(Tabela2[[#This Row],[SIGLA]]="","",VLOOKUP(Tabela2[[#This Row],[SIGLA]],Tabela1[[#All],[Sigla Arte]:[Crédito]],2,0))</f>
        <v>GUSTAVO CONTI/ARQUIVO DA EDITORA</v>
      </c>
      <c r="Z1673" s="31"/>
      <c r="AA1673" s="31" t="str">
        <f>Tabela2[[#This Row],[ILUSTRADOR CRIAÇÃO]]</f>
        <v>GUSTAVO CONTI/ARQUIVO DA EDITORA</v>
      </c>
      <c r="AB1673" s="33"/>
      <c r="AC1673" s="16"/>
      <c r="AE1673" s="35" t="str">
        <f t="shared" si="27"/>
        <v>EF1 E002 Mat</v>
      </c>
    </row>
    <row r="1674" spans="1:31" ht="30" x14ac:dyDescent="0.25">
      <c r="A1674" s="31" t="s">
        <v>3494</v>
      </c>
      <c r="B1674" s="16" t="s">
        <v>32</v>
      </c>
      <c r="C1674" s="16" t="s">
        <v>164</v>
      </c>
      <c r="D1674" s="33" t="s">
        <v>34</v>
      </c>
      <c r="E1674" s="33">
        <v>59</v>
      </c>
      <c r="F1674" s="33">
        <v>1</v>
      </c>
      <c r="G1674" s="33">
        <v>1</v>
      </c>
      <c r="H1674" s="33"/>
      <c r="I1674" s="31" t="s">
        <v>995</v>
      </c>
      <c r="J1674" s="31"/>
      <c r="K1674" s="33"/>
      <c r="L1674" s="33"/>
      <c r="M1674" s="31"/>
      <c r="N1674" s="31"/>
      <c r="O1674" s="16" t="s">
        <v>3495</v>
      </c>
      <c r="P1674" s="16"/>
      <c r="Q1674" s="16"/>
      <c r="R1674" s="33">
        <v>42</v>
      </c>
      <c r="S1674" s="34">
        <v>45792</v>
      </c>
      <c r="T1674" s="34">
        <v>45796</v>
      </c>
      <c r="U1674" s="34"/>
      <c r="V1674" s="34"/>
      <c r="W1674" s="34">
        <v>45797</v>
      </c>
      <c r="X1674" s="33" t="s">
        <v>3443</v>
      </c>
      <c r="Y1674" s="35" t="str">
        <f>IF(Tabela2[[#This Row],[SIGLA]]="","",VLOOKUP(Tabela2[[#This Row],[SIGLA]],Tabela1[[#All],[Sigla Arte]:[Crédito]],2,0))</f>
        <v>VINÍCIUS COSTA/ARQUIVO DA EDITORA</v>
      </c>
      <c r="Z1674" s="31"/>
      <c r="AA1674" s="31" t="str">
        <f>Tabela2[[#This Row],[ILUSTRADOR CRIAÇÃO]]</f>
        <v>VINÍCIUS COSTA/ARQUIVO DA EDITORA</v>
      </c>
      <c r="AB1674" s="33">
        <v>8</v>
      </c>
      <c r="AC1674" s="16" t="s">
        <v>924</v>
      </c>
      <c r="AD1674" s="16" t="s">
        <v>40</v>
      </c>
      <c r="AE1674" s="35" t="str">
        <f t="shared" si="27"/>
        <v>EF1 E002 Mat</v>
      </c>
    </row>
    <row r="1675" spans="1:31" ht="120" x14ac:dyDescent="0.25">
      <c r="A1675" s="31" t="s">
        <v>3496</v>
      </c>
      <c r="B1675" s="16" t="s">
        <v>32</v>
      </c>
      <c r="C1675" s="16" t="s">
        <v>164</v>
      </c>
      <c r="D1675" s="33" t="s">
        <v>34</v>
      </c>
      <c r="E1675" s="33">
        <v>60</v>
      </c>
      <c r="F1675" s="33">
        <v>1</v>
      </c>
      <c r="G1675" s="33">
        <v>1</v>
      </c>
      <c r="H1675" s="33"/>
      <c r="I1675" s="31" t="s">
        <v>995</v>
      </c>
      <c r="J1675" s="31"/>
      <c r="K1675" s="33"/>
      <c r="L1675" s="33"/>
      <c r="M1675" s="31"/>
      <c r="N1675" s="31"/>
      <c r="O1675" s="16" t="s">
        <v>3497</v>
      </c>
      <c r="P1675" s="16"/>
      <c r="Q1675" s="16"/>
      <c r="R1675" s="33">
        <v>42</v>
      </c>
      <c r="S1675" s="34">
        <v>45792</v>
      </c>
      <c r="T1675" s="34">
        <v>45796</v>
      </c>
      <c r="U1675" s="34">
        <v>45800</v>
      </c>
      <c r="V1675" s="34">
        <v>45803</v>
      </c>
      <c r="W1675" s="34">
        <v>45804</v>
      </c>
      <c r="X1675" s="33" t="s">
        <v>194</v>
      </c>
      <c r="Y1675" s="35" t="str">
        <f>IF(Tabela2[[#This Row],[SIGLA]]="","",VLOOKUP(Tabela2[[#This Row],[SIGLA]],Tabela1[[#All],[Sigla Arte]:[Crédito]],2,0))</f>
        <v>LEANDRO LASSMAR/ARQUIVO DA EDITORA</v>
      </c>
      <c r="Z1675" s="31"/>
      <c r="AA1675" s="31" t="str">
        <f>Tabela2[[#This Row],[ILUSTRADOR CRIAÇÃO]]</f>
        <v>LEANDRO LASSMAR/ARQUIVO DA EDITORA</v>
      </c>
      <c r="AB1675" s="33">
        <v>7</v>
      </c>
      <c r="AC1675" s="16" t="s">
        <v>3332</v>
      </c>
      <c r="AD1675" s="16" t="s">
        <v>1093</v>
      </c>
      <c r="AE1675" s="35" t="str">
        <f t="shared" si="27"/>
        <v>EF1 E002 Mat</v>
      </c>
    </row>
    <row r="1676" spans="1:31" ht="150" x14ac:dyDescent="0.25">
      <c r="A1676" s="31" t="s">
        <v>3498</v>
      </c>
      <c r="B1676" s="16" t="s">
        <v>97</v>
      </c>
      <c r="C1676" s="16" t="s">
        <v>33</v>
      </c>
      <c r="D1676" s="33" t="s">
        <v>34</v>
      </c>
      <c r="E1676" s="33">
        <v>94</v>
      </c>
      <c r="F1676" s="33">
        <v>1</v>
      </c>
      <c r="G1676" s="33">
        <v>3</v>
      </c>
      <c r="H1676" s="33"/>
      <c r="I1676" s="31" t="s">
        <v>35</v>
      </c>
      <c r="J1676" s="31"/>
      <c r="K1676" s="33"/>
      <c r="L1676" s="33"/>
      <c r="M1676" s="31"/>
      <c r="N1676" s="31"/>
      <c r="O1676" s="16" t="s">
        <v>3499</v>
      </c>
      <c r="P1676" s="16"/>
      <c r="Q1676" s="16"/>
      <c r="R1676" s="33">
        <v>44</v>
      </c>
      <c r="S1676" s="34">
        <v>45793</v>
      </c>
      <c r="T1676" s="34">
        <v>45796</v>
      </c>
      <c r="U1676" s="34"/>
      <c r="V1676" s="34"/>
      <c r="W1676" s="34">
        <v>45797</v>
      </c>
      <c r="X1676" s="33" t="s">
        <v>333</v>
      </c>
      <c r="Y1676" s="35" t="str">
        <f>IF(Tabela2[[#This Row],[SIGLA]]="","",VLOOKUP(Tabela2[[#This Row],[SIGLA]],Tabela1[[#All],[Sigla Arte]:[Crédito]],2,0))</f>
        <v>LISLLEY GOMES FEIGE/ARQUIVO DA EDITORA</v>
      </c>
      <c r="Z1676" s="31" t="s">
        <v>221</v>
      </c>
      <c r="AA1676" s="31" t="str">
        <f>Tabela2[[#This Row],[ILUSTRADOR CRIAÇÃO]]</f>
        <v>LISLLEY GOMES FEIGE/ARQUIVO DA EDITORA</v>
      </c>
      <c r="AB1676" s="33">
        <v>13</v>
      </c>
      <c r="AC1676" s="16" t="s">
        <v>39</v>
      </c>
      <c r="AD1676" s="16" t="s">
        <v>40</v>
      </c>
      <c r="AE1676" s="35" t="str">
        <f t="shared" si="27"/>
        <v>EF1 E002 Mat</v>
      </c>
    </row>
    <row r="1677" spans="1:31" ht="45" x14ac:dyDescent="0.25">
      <c r="A1677" s="31" t="s">
        <v>3500</v>
      </c>
      <c r="B1677" s="16" t="s">
        <v>32</v>
      </c>
      <c r="C1677" s="16" t="s">
        <v>33</v>
      </c>
      <c r="D1677" s="33" t="s">
        <v>34</v>
      </c>
      <c r="E1677" s="33">
        <v>245</v>
      </c>
      <c r="F1677" s="33">
        <v>4</v>
      </c>
      <c r="G1677" s="33">
        <v>12</v>
      </c>
      <c r="H1677" s="33"/>
      <c r="I1677" s="31" t="s">
        <v>46</v>
      </c>
      <c r="J1677" s="31"/>
      <c r="K1677" s="33"/>
      <c r="L1677" s="33"/>
      <c r="M1677" s="31"/>
      <c r="N1677" s="31"/>
      <c r="O1677" s="16" t="s">
        <v>3501</v>
      </c>
      <c r="P1677" s="16"/>
      <c r="Q1677" s="16"/>
      <c r="R1677" s="33"/>
      <c r="S1677" s="34"/>
      <c r="T1677" s="34"/>
      <c r="U1677" s="34"/>
      <c r="V1677" s="34"/>
      <c r="W1677" s="34"/>
      <c r="X1677" s="33" t="s">
        <v>85</v>
      </c>
      <c r="Y1677" s="35" t="str">
        <f>IF(Tabela2[[#This Row],[SIGLA]]="","",VLOOKUP(Tabela2[[#This Row],[SIGLA]],Tabela1[[#All],[Sigla Arte]:[Crédito]],2,0))</f>
        <v>HELOÍSA PINTARELLI/ARQUIVO DA EDITORA</v>
      </c>
      <c r="Z1677" s="31"/>
      <c r="AA1677" s="31" t="str">
        <f>Tabela2[[#This Row],[ILUSTRADOR CRIAÇÃO]]</f>
        <v>HELOÍSA PINTARELLI/ARQUIVO DA EDITORA</v>
      </c>
      <c r="AB1677" s="33"/>
      <c r="AC1677" s="16"/>
      <c r="AE1677" s="35" t="str">
        <f t="shared" si="27"/>
        <v>EF1 E002 Mat</v>
      </c>
    </row>
    <row r="1678" spans="1:31" ht="45" x14ac:dyDescent="0.25">
      <c r="A1678" s="31" t="s">
        <v>3502</v>
      </c>
      <c r="B1678" s="16" t="s">
        <v>32</v>
      </c>
      <c r="C1678" s="16" t="s">
        <v>33</v>
      </c>
      <c r="D1678" s="33" t="s">
        <v>34</v>
      </c>
      <c r="E1678" s="33">
        <v>245</v>
      </c>
      <c r="F1678" s="33">
        <v>4</v>
      </c>
      <c r="G1678" s="33">
        <v>12</v>
      </c>
      <c r="H1678" s="33"/>
      <c r="I1678" s="31" t="s">
        <v>46</v>
      </c>
      <c r="J1678" s="31"/>
      <c r="K1678" s="33"/>
      <c r="L1678" s="33"/>
      <c r="M1678" s="31"/>
      <c r="N1678" s="31"/>
      <c r="O1678" s="16" t="s">
        <v>3503</v>
      </c>
      <c r="P1678" s="16"/>
      <c r="Q1678" s="16"/>
      <c r="R1678" s="33"/>
      <c r="S1678" s="34"/>
      <c r="T1678" s="34"/>
      <c r="U1678" s="34"/>
      <c r="V1678" s="34"/>
      <c r="W1678" s="34"/>
      <c r="X1678" s="33" t="s">
        <v>85</v>
      </c>
      <c r="Y1678" s="35" t="str">
        <f>IF(Tabela2[[#This Row],[SIGLA]]="","",VLOOKUP(Tabela2[[#This Row],[SIGLA]],Tabela1[[#All],[Sigla Arte]:[Crédito]],2,0))</f>
        <v>HELOÍSA PINTARELLI/ARQUIVO DA EDITORA</v>
      </c>
      <c r="Z1678" s="31"/>
      <c r="AA1678" s="31" t="str">
        <f>Tabela2[[#This Row],[ILUSTRADOR CRIAÇÃO]]</f>
        <v>HELOÍSA PINTARELLI/ARQUIVO DA EDITORA</v>
      </c>
      <c r="AB1678" s="33"/>
      <c r="AC1678" s="16"/>
      <c r="AE1678" s="35" t="str">
        <f t="shared" si="27"/>
        <v>EF1 E002 Mat</v>
      </c>
    </row>
    <row r="1679" spans="1:31" ht="45" x14ac:dyDescent="0.25">
      <c r="A1679" s="31" t="s">
        <v>3504</v>
      </c>
      <c r="B1679" s="16" t="s">
        <v>32</v>
      </c>
      <c r="C1679" s="16" t="s">
        <v>33</v>
      </c>
      <c r="D1679" s="33" t="s">
        <v>34</v>
      </c>
      <c r="E1679" s="33">
        <v>245</v>
      </c>
      <c r="F1679" s="33">
        <v>4</v>
      </c>
      <c r="G1679" s="33">
        <v>12</v>
      </c>
      <c r="H1679" s="33"/>
      <c r="I1679" s="31" t="s">
        <v>46</v>
      </c>
      <c r="J1679" s="31"/>
      <c r="K1679" s="33"/>
      <c r="L1679" s="33"/>
      <c r="M1679" s="31"/>
      <c r="N1679" s="31"/>
      <c r="O1679" s="16" t="s">
        <v>3505</v>
      </c>
      <c r="P1679" s="16"/>
      <c r="Q1679" s="16"/>
      <c r="R1679" s="33"/>
      <c r="S1679" s="34"/>
      <c r="T1679" s="34"/>
      <c r="U1679" s="34"/>
      <c r="V1679" s="34"/>
      <c r="W1679" s="34"/>
      <c r="X1679" s="33" t="s">
        <v>85</v>
      </c>
      <c r="Y1679" s="35" t="str">
        <f>IF(Tabela2[[#This Row],[SIGLA]]="","",VLOOKUP(Tabela2[[#This Row],[SIGLA]],Tabela1[[#All],[Sigla Arte]:[Crédito]],2,0))</f>
        <v>HELOÍSA PINTARELLI/ARQUIVO DA EDITORA</v>
      </c>
      <c r="Z1679" s="31"/>
      <c r="AA1679" s="31" t="str">
        <f>Tabela2[[#This Row],[ILUSTRADOR CRIAÇÃO]]</f>
        <v>HELOÍSA PINTARELLI/ARQUIVO DA EDITORA</v>
      </c>
      <c r="AB1679" s="33"/>
      <c r="AC1679" s="16"/>
      <c r="AE1679" s="35" t="str">
        <f t="shared" si="27"/>
        <v>EF1 E002 Mat</v>
      </c>
    </row>
    <row r="1680" spans="1:31" ht="30" x14ac:dyDescent="0.25">
      <c r="A1680" s="31" t="s">
        <v>3506</v>
      </c>
      <c r="B1680" s="16" t="s">
        <v>32</v>
      </c>
      <c r="C1680" s="16" t="s">
        <v>33</v>
      </c>
      <c r="D1680" s="33" t="s">
        <v>34</v>
      </c>
      <c r="E1680" s="33">
        <v>246</v>
      </c>
      <c r="F1680" s="33">
        <v>4</v>
      </c>
      <c r="G1680" s="33">
        <v>12</v>
      </c>
      <c r="H1680" s="33"/>
      <c r="I1680" s="31" t="s">
        <v>46</v>
      </c>
      <c r="J1680" s="31"/>
      <c r="K1680" s="33"/>
      <c r="L1680" s="33"/>
      <c r="M1680" s="31"/>
      <c r="N1680" s="31"/>
      <c r="O1680" s="16" t="s">
        <v>3507</v>
      </c>
      <c r="P1680" s="16"/>
      <c r="Q1680" s="16"/>
      <c r="R1680" s="33"/>
      <c r="S1680" s="34"/>
      <c r="T1680" s="34"/>
      <c r="U1680" s="34"/>
      <c r="V1680" s="34"/>
      <c r="W1680" s="34"/>
      <c r="X1680" s="33" t="s">
        <v>85</v>
      </c>
      <c r="Y1680" s="35" t="str">
        <f>IF(Tabela2[[#This Row],[SIGLA]]="","",VLOOKUP(Tabela2[[#This Row],[SIGLA]],Tabela1[[#All],[Sigla Arte]:[Crédito]],2,0))</f>
        <v>HELOÍSA PINTARELLI/ARQUIVO DA EDITORA</v>
      </c>
      <c r="Z1680" s="31"/>
      <c r="AA1680" s="31" t="str">
        <f>Tabela2[[#This Row],[ILUSTRADOR CRIAÇÃO]]</f>
        <v>HELOÍSA PINTARELLI/ARQUIVO DA EDITORA</v>
      </c>
      <c r="AB1680" s="33"/>
      <c r="AC1680" s="16"/>
      <c r="AE1680" s="35" t="str">
        <f t="shared" si="27"/>
        <v>EF1 E002 Mat</v>
      </c>
    </row>
    <row r="1681" spans="1:31" ht="30" x14ac:dyDescent="0.25">
      <c r="A1681" s="31" t="s">
        <v>3508</v>
      </c>
      <c r="B1681" s="16" t="s">
        <v>32</v>
      </c>
      <c r="C1681" s="16" t="s">
        <v>33</v>
      </c>
      <c r="D1681" s="33" t="s">
        <v>34</v>
      </c>
      <c r="E1681" s="33">
        <v>246</v>
      </c>
      <c r="F1681" s="33">
        <v>4</v>
      </c>
      <c r="G1681" s="33">
        <v>12</v>
      </c>
      <c r="H1681" s="33"/>
      <c r="I1681" s="31" t="s">
        <v>46</v>
      </c>
      <c r="J1681" s="31"/>
      <c r="K1681" s="33"/>
      <c r="L1681" s="33"/>
      <c r="M1681" s="31"/>
      <c r="N1681" s="31"/>
      <c r="O1681" s="16" t="s">
        <v>3509</v>
      </c>
      <c r="P1681" s="16"/>
      <c r="Q1681" s="16"/>
      <c r="R1681" s="33"/>
      <c r="S1681" s="34"/>
      <c r="T1681" s="34"/>
      <c r="U1681" s="34"/>
      <c r="V1681" s="34"/>
      <c r="W1681" s="34"/>
      <c r="X1681" s="33" t="s">
        <v>85</v>
      </c>
      <c r="Y1681" s="35" t="str">
        <f>IF(Tabela2[[#This Row],[SIGLA]]="","",VLOOKUP(Tabela2[[#This Row],[SIGLA]],Tabela1[[#All],[Sigla Arte]:[Crédito]],2,0))</f>
        <v>HELOÍSA PINTARELLI/ARQUIVO DA EDITORA</v>
      </c>
      <c r="Z1681" s="31"/>
      <c r="AA1681" s="31" t="str">
        <f>Tabela2[[#This Row],[ILUSTRADOR CRIAÇÃO]]</f>
        <v>HELOÍSA PINTARELLI/ARQUIVO DA EDITORA</v>
      </c>
      <c r="AB1681" s="33"/>
      <c r="AC1681" s="16"/>
      <c r="AE1681" s="35" t="str">
        <f t="shared" si="27"/>
        <v>EF1 E002 Mat</v>
      </c>
    </row>
    <row r="1682" spans="1:31" ht="30" x14ac:dyDescent="0.25">
      <c r="A1682" s="31" t="s">
        <v>3510</v>
      </c>
      <c r="B1682" s="16" t="s">
        <v>32</v>
      </c>
      <c r="C1682" s="16" t="s">
        <v>33</v>
      </c>
      <c r="D1682" s="33" t="s">
        <v>34</v>
      </c>
      <c r="E1682" s="33">
        <v>246</v>
      </c>
      <c r="F1682" s="33">
        <v>4</v>
      </c>
      <c r="G1682" s="33">
        <v>12</v>
      </c>
      <c r="H1682" s="33"/>
      <c r="I1682" s="31" t="s">
        <v>46</v>
      </c>
      <c r="J1682" s="31"/>
      <c r="K1682" s="33"/>
      <c r="L1682" s="33"/>
      <c r="M1682" s="31"/>
      <c r="N1682" s="31"/>
      <c r="O1682" s="16" t="s">
        <v>3511</v>
      </c>
      <c r="P1682" s="16"/>
      <c r="Q1682" s="16"/>
      <c r="R1682" s="33"/>
      <c r="S1682" s="34"/>
      <c r="T1682" s="34"/>
      <c r="U1682" s="34"/>
      <c r="V1682" s="34"/>
      <c r="W1682" s="34"/>
      <c r="X1682" s="33" t="s">
        <v>85</v>
      </c>
      <c r="Y1682" s="35" t="str">
        <f>IF(Tabela2[[#This Row],[SIGLA]]="","",VLOOKUP(Tabela2[[#This Row],[SIGLA]],Tabela1[[#All],[Sigla Arte]:[Crédito]],2,0))</f>
        <v>HELOÍSA PINTARELLI/ARQUIVO DA EDITORA</v>
      </c>
      <c r="Z1682" s="31"/>
      <c r="AA1682" s="31" t="str">
        <f>Tabela2[[#This Row],[ILUSTRADOR CRIAÇÃO]]</f>
        <v>HELOÍSA PINTARELLI/ARQUIVO DA EDITORA</v>
      </c>
      <c r="AB1682" s="33"/>
      <c r="AC1682" s="16"/>
      <c r="AE1682" s="35" t="str">
        <f t="shared" si="27"/>
        <v>EF1 E002 Mat</v>
      </c>
    </row>
    <row r="1683" spans="1:31" ht="30" x14ac:dyDescent="0.25">
      <c r="A1683" s="31" t="s">
        <v>3512</v>
      </c>
      <c r="B1683" s="16" t="s">
        <v>32</v>
      </c>
      <c r="C1683" s="16" t="s">
        <v>33</v>
      </c>
      <c r="D1683" s="33" t="s">
        <v>34</v>
      </c>
      <c r="E1683" s="33">
        <v>248</v>
      </c>
      <c r="F1683" s="33">
        <v>4</v>
      </c>
      <c r="G1683" s="33">
        <v>12</v>
      </c>
      <c r="H1683" s="33"/>
      <c r="I1683" s="31" t="s">
        <v>46</v>
      </c>
      <c r="J1683" s="31"/>
      <c r="K1683" s="33"/>
      <c r="L1683" s="33"/>
      <c r="M1683" s="31"/>
      <c r="N1683" s="31"/>
      <c r="O1683" s="16" t="s">
        <v>3513</v>
      </c>
      <c r="P1683" s="16"/>
      <c r="Q1683" s="16"/>
      <c r="R1683" s="33"/>
      <c r="S1683" s="34"/>
      <c r="T1683" s="34"/>
      <c r="U1683" s="34"/>
      <c r="V1683" s="34"/>
      <c r="W1683" s="34"/>
      <c r="X1683" s="33" t="s">
        <v>162</v>
      </c>
      <c r="Y1683" s="35" t="str">
        <f>IF(Tabela2[[#This Row],[SIGLA]]="","",VLOOKUP(Tabela2[[#This Row],[SIGLA]],Tabela1[[#All],[Sigla Arte]:[Crédito]],2,0))</f>
        <v>IVY NUNES/ARQUIVO DA EDITORA</v>
      </c>
      <c r="Z1683" s="31"/>
      <c r="AA1683" s="31" t="str">
        <f>Tabela2[[#This Row],[ILUSTRADOR CRIAÇÃO]]</f>
        <v>IVY NUNES/ARQUIVO DA EDITORA</v>
      </c>
      <c r="AB1683" s="33"/>
      <c r="AC1683" s="16"/>
      <c r="AE1683" s="35" t="str">
        <f t="shared" si="27"/>
        <v>EF1 E002 Mat</v>
      </c>
    </row>
    <row r="1684" spans="1:31" ht="45" x14ac:dyDescent="0.25">
      <c r="A1684" s="31" t="s">
        <v>3514</v>
      </c>
      <c r="B1684" s="16" t="s">
        <v>32</v>
      </c>
      <c r="C1684" s="16" t="s">
        <v>33</v>
      </c>
      <c r="D1684" s="33" t="s">
        <v>34</v>
      </c>
      <c r="E1684" s="33">
        <v>249</v>
      </c>
      <c r="F1684" s="33">
        <v>4</v>
      </c>
      <c r="G1684" s="33">
        <v>12</v>
      </c>
      <c r="H1684" s="33"/>
      <c r="I1684" s="31" t="s">
        <v>46</v>
      </c>
      <c r="J1684" s="31"/>
      <c r="K1684" s="33"/>
      <c r="L1684" s="33"/>
      <c r="M1684" s="31"/>
      <c r="N1684" s="31"/>
      <c r="O1684" s="16" t="s">
        <v>3515</v>
      </c>
      <c r="P1684" s="16"/>
      <c r="Q1684" s="16"/>
      <c r="R1684" s="33"/>
      <c r="S1684" s="34"/>
      <c r="T1684" s="34"/>
      <c r="U1684" s="34"/>
      <c r="V1684" s="34"/>
      <c r="W1684" s="34"/>
      <c r="X1684" s="33" t="s">
        <v>85</v>
      </c>
      <c r="Y1684" s="35" t="str">
        <f>IF(Tabela2[[#This Row],[SIGLA]]="","",VLOOKUP(Tabela2[[#This Row],[SIGLA]],Tabela1[[#All],[Sigla Arte]:[Crédito]],2,0))</f>
        <v>HELOÍSA PINTARELLI/ARQUIVO DA EDITORA</v>
      </c>
      <c r="Z1684" s="31"/>
      <c r="AA1684" s="31" t="str">
        <f>Tabela2[[#This Row],[ILUSTRADOR CRIAÇÃO]]</f>
        <v>HELOÍSA PINTARELLI/ARQUIVO DA EDITORA</v>
      </c>
      <c r="AB1684" s="33"/>
      <c r="AC1684" s="16"/>
      <c r="AE1684" s="35" t="str">
        <f t="shared" si="27"/>
        <v>EF1 E002 Mat</v>
      </c>
    </row>
    <row r="1685" spans="1:31" ht="30" x14ac:dyDescent="0.25">
      <c r="A1685" s="31" t="s">
        <v>3516</v>
      </c>
      <c r="B1685" s="16" t="s">
        <v>32</v>
      </c>
      <c r="C1685" s="16" t="s">
        <v>33</v>
      </c>
      <c r="D1685" s="33" t="s">
        <v>34</v>
      </c>
      <c r="E1685" s="33">
        <v>250</v>
      </c>
      <c r="F1685" s="33">
        <v>4</v>
      </c>
      <c r="G1685" s="33">
        <v>12</v>
      </c>
      <c r="H1685" s="33"/>
      <c r="I1685" s="31" t="s">
        <v>46</v>
      </c>
      <c r="J1685" s="31"/>
      <c r="K1685" s="33"/>
      <c r="L1685" s="33"/>
      <c r="M1685" s="31"/>
      <c r="N1685" s="31"/>
      <c r="O1685" s="16" t="s">
        <v>3517</v>
      </c>
      <c r="P1685" s="16"/>
      <c r="Q1685" s="16"/>
      <c r="R1685" s="33"/>
      <c r="S1685" s="34"/>
      <c r="T1685" s="34"/>
      <c r="U1685" s="34"/>
      <c r="V1685" s="34"/>
      <c r="W1685" s="34"/>
      <c r="X1685" s="33" t="s">
        <v>85</v>
      </c>
      <c r="Y1685" s="35" t="str">
        <f>IF(Tabela2[[#This Row],[SIGLA]]="","",VLOOKUP(Tabela2[[#This Row],[SIGLA]],Tabela1[[#All],[Sigla Arte]:[Crédito]],2,0))</f>
        <v>HELOÍSA PINTARELLI/ARQUIVO DA EDITORA</v>
      </c>
      <c r="Z1685" s="31"/>
      <c r="AA1685" s="31" t="str">
        <f>Tabela2[[#This Row],[ILUSTRADOR CRIAÇÃO]]</f>
        <v>HELOÍSA PINTARELLI/ARQUIVO DA EDITORA</v>
      </c>
      <c r="AB1685" s="33"/>
      <c r="AC1685" s="16"/>
      <c r="AE1685" s="35" t="str">
        <f t="shared" si="27"/>
        <v>EF1 E002 Mat</v>
      </c>
    </row>
    <row r="1686" spans="1:31" ht="30" x14ac:dyDescent="0.25">
      <c r="A1686" s="31" t="s">
        <v>3518</v>
      </c>
      <c r="B1686" s="16" t="s">
        <v>32</v>
      </c>
      <c r="C1686" s="16" t="s">
        <v>33</v>
      </c>
      <c r="D1686" s="33" t="s">
        <v>34</v>
      </c>
      <c r="E1686" s="33">
        <v>251</v>
      </c>
      <c r="F1686" s="33">
        <v>4</v>
      </c>
      <c r="G1686" s="33">
        <v>12</v>
      </c>
      <c r="H1686" s="33"/>
      <c r="I1686" s="31" t="s">
        <v>46</v>
      </c>
      <c r="J1686" s="31"/>
      <c r="K1686" s="33"/>
      <c r="L1686" s="33"/>
      <c r="M1686" s="31"/>
      <c r="N1686" s="31"/>
      <c r="O1686" s="16" t="s">
        <v>3519</v>
      </c>
      <c r="P1686" s="16"/>
      <c r="Q1686" s="16"/>
      <c r="R1686" s="33"/>
      <c r="S1686" s="34"/>
      <c r="T1686" s="34"/>
      <c r="U1686" s="34"/>
      <c r="V1686" s="34"/>
      <c r="W1686" s="34"/>
      <c r="X1686" s="33" t="s">
        <v>85</v>
      </c>
      <c r="Y1686" s="35" t="str">
        <f>IF(Tabela2[[#This Row],[SIGLA]]="","",VLOOKUP(Tabela2[[#This Row],[SIGLA]],Tabela1[[#All],[Sigla Arte]:[Crédito]],2,0))</f>
        <v>HELOÍSA PINTARELLI/ARQUIVO DA EDITORA</v>
      </c>
      <c r="Z1686" s="31"/>
      <c r="AA1686" s="31" t="str">
        <f>Tabela2[[#This Row],[ILUSTRADOR CRIAÇÃO]]</f>
        <v>HELOÍSA PINTARELLI/ARQUIVO DA EDITORA</v>
      </c>
      <c r="AB1686" s="33"/>
      <c r="AC1686" s="16"/>
      <c r="AE1686" s="35" t="str">
        <f t="shared" si="27"/>
        <v>EF1 E002 Mat</v>
      </c>
    </row>
    <row r="1687" spans="1:31" ht="30" x14ac:dyDescent="0.25">
      <c r="A1687" s="31" t="s">
        <v>3520</v>
      </c>
      <c r="B1687" s="16" t="s">
        <v>32</v>
      </c>
      <c r="C1687" s="16" t="s">
        <v>33</v>
      </c>
      <c r="D1687" s="33" t="s">
        <v>34</v>
      </c>
      <c r="E1687" s="33">
        <v>251</v>
      </c>
      <c r="F1687" s="33">
        <v>4</v>
      </c>
      <c r="G1687" s="33">
        <v>12</v>
      </c>
      <c r="H1687" s="33"/>
      <c r="I1687" s="31" t="s">
        <v>46</v>
      </c>
      <c r="J1687" s="31"/>
      <c r="K1687" s="33"/>
      <c r="L1687" s="33"/>
      <c r="M1687" s="31"/>
      <c r="N1687" s="31"/>
      <c r="O1687" s="16" t="s">
        <v>3521</v>
      </c>
      <c r="P1687" s="16"/>
      <c r="Q1687" s="16"/>
      <c r="R1687" s="33"/>
      <c r="S1687" s="34"/>
      <c r="T1687" s="34"/>
      <c r="U1687" s="34"/>
      <c r="V1687" s="34"/>
      <c r="W1687" s="34"/>
      <c r="X1687" s="33" t="s">
        <v>85</v>
      </c>
      <c r="Y1687" s="35" t="str">
        <f>IF(Tabela2[[#This Row],[SIGLA]]="","",VLOOKUP(Tabela2[[#This Row],[SIGLA]],Tabela1[[#All],[Sigla Arte]:[Crédito]],2,0))</f>
        <v>HELOÍSA PINTARELLI/ARQUIVO DA EDITORA</v>
      </c>
      <c r="Z1687" s="31"/>
      <c r="AA1687" s="31" t="str">
        <f>Tabela2[[#This Row],[ILUSTRADOR CRIAÇÃO]]</f>
        <v>HELOÍSA PINTARELLI/ARQUIVO DA EDITORA</v>
      </c>
      <c r="AB1687" s="33"/>
      <c r="AC1687" s="16"/>
      <c r="AE1687" s="35" t="str">
        <f t="shared" si="27"/>
        <v>EF1 E002 Mat</v>
      </c>
    </row>
    <row r="1688" spans="1:31" ht="45" x14ac:dyDescent="0.25">
      <c r="A1688" s="31" t="s">
        <v>3522</v>
      </c>
      <c r="B1688" s="16" t="s">
        <v>32</v>
      </c>
      <c r="C1688" s="16" t="s">
        <v>33</v>
      </c>
      <c r="D1688" s="33" t="s">
        <v>34</v>
      </c>
      <c r="E1688" s="33">
        <v>252</v>
      </c>
      <c r="F1688" s="33">
        <v>4</v>
      </c>
      <c r="G1688" s="33">
        <v>12</v>
      </c>
      <c r="H1688" s="33"/>
      <c r="I1688" s="31" t="s">
        <v>46</v>
      </c>
      <c r="J1688" s="31"/>
      <c r="K1688" s="33"/>
      <c r="L1688" s="33"/>
      <c r="M1688" s="31"/>
      <c r="N1688" s="31"/>
      <c r="O1688" s="16" t="s">
        <v>3523</v>
      </c>
      <c r="P1688" s="16"/>
      <c r="Q1688" s="16"/>
      <c r="R1688" s="33"/>
      <c r="S1688" s="34"/>
      <c r="T1688" s="34"/>
      <c r="U1688" s="34"/>
      <c r="V1688" s="34"/>
      <c r="W1688" s="34"/>
      <c r="X1688" s="33" t="s">
        <v>85</v>
      </c>
      <c r="Y1688" s="35" t="str">
        <f>IF(Tabela2[[#This Row],[SIGLA]]="","",VLOOKUP(Tabela2[[#This Row],[SIGLA]],Tabela1[[#All],[Sigla Arte]:[Crédito]],2,0))</f>
        <v>HELOÍSA PINTARELLI/ARQUIVO DA EDITORA</v>
      </c>
      <c r="Z1688" s="31"/>
      <c r="AA1688" s="31" t="str">
        <f>Tabela2[[#This Row],[ILUSTRADOR CRIAÇÃO]]</f>
        <v>HELOÍSA PINTARELLI/ARQUIVO DA EDITORA</v>
      </c>
      <c r="AB1688" s="33"/>
      <c r="AC1688" s="16"/>
      <c r="AE1688" s="35" t="str">
        <f t="shared" si="27"/>
        <v>EF1 E002 Mat</v>
      </c>
    </row>
    <row r="1689" spans="1:31" ht="45" x14ac:dyDescent="0.25">
      <c r="A1689" s="31" t="s">
        <v>3524</v>
      </c>
      <c r="B1689" s="16" t="s">
        <v>32</v>
      </c>
      <c r="C1689" s="16" t="s">
        <v>33</v>
      </c>
      <c r="D1689" s="33" t="s">
        <v>34</v>
      </c>
      <c r="E1689" s="33">
        <v>253</v>
      </c>
      <c r="F1689" s="33">
        <v>4</v>
      </c>
      <c r="G1689" s="33">
        <v>12</v>
      </c>
      <c r="H1689" s="33"/>
      <c r="I1689" s="31" t="s">
        <v>46</v>
      </c>
      <c r="J1689" s="31"/>
      <c r="K1689" s="33"/>
      <c r="L1689" s="33"/>
      <c r="M1689" s="31"/>
      <c r="N1689" s="31"/>
      <c r="O1689" s="16" t="s">
        <v>3525</v>
      </c>
      <c r="P1689" s="16"/>
      <c r="Q1689" s="16"/>
      <c r="R1689" s="33"/>
      <c r="S1689" s="34"/>
      <c r="T1689" s="34"/>
      <c r="U1689" s="34"/>
      <c r="V1689" s="34"/>
      <c r="W1689" s="34"/>
      <c r="X1689" s="33" t="s">
        <v>85</v>
      </c>
      <c r="Y1689" s="35" t="str">
        <f>IF(Tabela2[[#This Row],[SIGLA]]="","",VLOOKUP(Tabela2[[#This Row],[SIGLA]],Tabela1[[#All],[Sigla Arte]:[Crédito]],2,0))</f>
        <v>HELOÍSA PINTARELLI/ARQUIVO DA EDITORA</v>
      </c>
      <c r="Z1689" s="31"/>
      <c r="AA1689" s="31" t="str">
        <f>Tabela2[[#This Row],[ILUSTRADOR CRIAÇÃO]]</f>
        <v>HELOÍSA PINTARELLI/ARQUIVO DA EDITORA</v>
      </c>
      <c r="AB1689" s="33"/>
      <c r="AC1689" s="16"/>
      <c r="AE1689" s="35" t="str">
        <f t="shared" si="27"/>
        <v>EF1 E002 Mat</v>
      </c>
    </row>
    <row r="1690" spans="1:31" ht="45" x14ac:dyDescent="0.25">
      <c r="A1690" s="31" t="s">
        <v>3526</v>
      </c>
      <c r="B1690" s="16" t="s">
        <v>32</v>
      </c>
      <c r="C1690" s="16" t="s">
        <v>33</v>
      </c>
      <c r="D1690" s="33" t="s">
        <v>34</v>
      </c>
      <c r="E1690" s="33">
        <v>253</v>
      </c>
      <c r="F1690" s="33">
        <v>4</v>
      </c>
      <c r="G1690" s="33">
        <v>12</v>
      </c>
      <c r="H1690" s="33"/>
      <c r="I1690" s="31" t="s">
        <v>46</v>
      </c>
      <c r="J1690" s="31"/>
      <c r="K1690" s="33"/>
      <c r="L1690" s="33"/>
      <c r="M1690" s="31"/>
      <c r="N1690" s="31"/>
      <c r="O1690" s="16" t="s">
        <v>3527</v>
      </c>
      <c r="P1690" s="16"/>
      <c r="Q1690" s="16"/>
      <c r="R1690" s="33"/>
      <c r="S1690" s="34"/>
      <c r="T1690" s="34"/>
      <c r="U1690" s="34"/>
      <c r="V1690" s="34"/>
      <c r="W1690" s="34"/>
      <c r="X1690" s="33" t="s">
        <v>85</v>
      </c>
      <c r="Y1690" s="35" t="str">
        <f>IF(Tabela2[[#This Row],[SIGLA]]="","",VLOOKUP(Tabela2[[#This Row],[SIGLA]],Tabela1[[#All],[Sigla Arte]:[Crédito]],2,0))</f>
        <v>HELOÍSA PINTARELLI/ARQUIVO DA EDITORA</v>
      </c>
      <c r="Z1690" s="31"/>
      <c r="AA1690" s="31" t="str">
        <f>Tabela2[[#This Row],[ILUSTRADOR CRIAÇÃO]]</f>
        <v>HELOÍSA PINTARELLI/ARQUIVO DA EDITORA</v>
      </c>
      <c r="AB1690" s="33"/>
      <c r="AC1690" s="16"/>
      <c r="AE1690" s="35" t="str">
        <f t="shared" si="27"/>
        <v>EF1 E002 Mat</v>
      </c>
    </row>
    <row r="1691" spans="1:31" ht="45" x14ac:dyDescent="0.25">
      <c r="A1691" s="31" t="s">
        <v>3528</v>
      </c>
      <c r="B1691" s="16" t="s">
        <v>32</v>
      </c>
      <c r="C1691" s="16" t="s">
        <v>33</v>
      </c>
      <c r="D1691" s="33" t="s">
        <v>34</v>
      </c>
      <c r="E1691" s="33">
        <v>253</v>
      </c>
      <c r="F1691" s="33">
        <v>4</v>
      </c>
      <c r="G1691" s="33">
        <v>12</v>
      </c>
      <c r="H1691" s="33"/>
      <c r="I1691" s="31" t="s">
        <v>46</v>
      </c>
      <c r="J1691" s="31"/>
      <c r="K1691" s="33"/>
      <c r="L1691" s="33"/>
      <c r="M1691" s="31"/>
      <c r="N1691" s="31"/>
      <c r="O1691" s="16" t="s">
        <v>3529</v>
      </c>
      <c r="P1691" s="16"/>
      <c r="Q1691" s="16"/>
      <c r="R1691" s="33"/>
      <c r="S1691" s="34"/>
      <c r="T1691" s="34"/>
      <c r="U1691" s="34"/>
      <c r="V1691" s="34"/>
      <c r="W1691" s="34"/>
      <c r="X1691" s="33" t="s">
        <v>85</v>
      </c>
      <c r="Y1691" s="35" t="str">
        <f>IF(Tabela2[[#This Row],[SIGLA]]="","",VLOOKUP(Tabela2[[#This Row],[SIGLA]],Tabela1[[#All],[Sigla Arte]:[Crédito]],2,0))</f>
        <v>HELOÍSA PINTARELLI/ARQUIVO DA EDITORA</v>
      </c>
      <c r="Z1691" s="31"/>
      <c r="AA1691" s="31" t="str">
        <f>Tabela2[[#This Row],[ILUSTRADOR CRIAÇÃO]]</f>
        <v>HELOÍSA PINTARELLI/ARQUIVO DA EDITORA</v>
      </c>
      <c r="AB1691" s="33"/>
      <c r="AC1691" s="16"/>
      <c r="AE1691" s="35" t="str">
        <f t="shared" si="27"/>
        <v>EF1 E002 Mat</v>
      </c>
    </row>
    <row r="1692" spans="1:31" ht="60" x14ac:dyDescent="0.25">
      <c r="A1692" s="31" t="s">
        <v>3530</v>
      </c>
      <c r="B1692" s="16" t="s">
        <v>397</v>
      </c>
      <c r="C1692" s="16" t="s">
        <v>33</v>
      </c>
      <c r="D1692" s="33" t="s">
        <v>34</v>
      </c>
      <c r="E1692" s="33">
        <v>61</v>
      </c>
      <c r="F1692" s="33">
        <v>5</v>
      </c>
      <c r="G1692" s="33">
        <v>3</v>
      </c>
      <c r="H1692" s="33"/>
      <c r="I1692" s="31" t="s">
        <v>35</v>
      </c>
      <c r="J1692" s="31"/>
      <c r="K1692" s="33"/>
      <c r="L1692" s="33"/>
      <c r="M1692" s="31"/>
      <c r="N1692" s="31"/>
      <c r="O1692" s="16" t="s">
        <v>3531</v>
      </c>
      <c r="P1692" s="16"/>
      <c r="Q1692" s="16"/>
      <c r="R1692" s="33">
        <v>195</v>
      </c>
      <c r="S1692" s="34">
        <v>45940</v>
      </c>
      <c r="T1692" s="34">
        <v>45940</v>
      </c>
      <c r="U1692" s="34"/>
      <c r="V1692" s="34"/>
      <c r="W1692" s="34">
        <v>45940</v>
      </c>
      <c r="X1692" s="33" t="s">
        <v>2513</v>
      </c>
      <c r="Y1692" s="35" t="str">
        <f>IF(Tabela2[[#This Row],[SIGLA]]="","",VLOOKUP(Tabela2[[#This Row],[SIGLA]],Tabela1[[#All],[Sigla Arte]:[Crédito]],2,0))</f>
        <v>CAMILA CARMONA/ARQUIVO DA EDITORA</v>
      </c>
      <c r="Z1692" s="31" t="s">
        <v>539</v>
      </c>
      <c r="AA1692" s="31" t="str">
        <f>Tabela2[[#This Row],[ILUSTRADOR CRIAÇÃO]]</f>
        <v>CAMILA CARMONA/ARQUIVO DA EDITORA</v>
      </c>
      <c r="AB1692" s="33">
        <v>13</v>
      </c>
      <c r="AC1692" s="16" t="s">
        <v>89</v>
      </c>
      <c r="AD1692" s="16" t="s">
        <v>40</v>
      </c>
      <c r="AE1692" s="35" t="str">
        <f t="shared" si="27"/>
        <v>EF1 E002 Mat</v>
      </c>
    </row>
    <row r="1693" spans="1:31" ht="45" x14ac:dyDescent="0.25">
      <c r="A1693" s="31" t="s">
        <v>3532</v>
      </c>
      <c r="B1693" s="16" t="s">
        <v>32</v>
      </c>
      <c r="C1693" s="16" t="s">
        <v>33</v>
      </c>
      <c r="D1693" s="33" t="s">
        <v>34</v>
      </c>
      <c r="E1693" s="33">
        <v>63</v>
      </c>
      <c r="F1693" s="33">
        <v>5</v>
      </c>
      <c r="G1693" s="33">
        <v>3</v>
      </c>
      <c r="H1693" s="33"/>
      <c r="I1693" s="31" t="s">
        <v>46</v>
      </c>
      <c r="J1693" s="31"/>
      <c r="K1693" s="33"/>
      <c r="L1693" s="33"/>
      <c r="M1693" s="31"/>
      <c r="N1693" s="31"/>
      <c r="O1693" s="16" t="s">
        <v>3533</v>
      </c>
      <c r="P1693" s="16"/>
      <c r="Q1693" s="16"/>
      <c r="R1693" s="33"/>
      <c r="S1693" s="34"/>
      <c r="T1693" s="34"/>
      <c r="U1693" s="34"/>
      <c r="V1693" s="34"/>
      <c r="W1693" s="34"/>
      <c r="X1693" s="33" t="s">
        <v>1515</v>
      </c>
      <c r="Y1693" s="35" t="str">
        <f>IF(Tabela2[[#This Row],[SIGLA]]="","",VLOOKUP(Tabela2[[#This Row],[SIGLA]],Tabela1[[#All],[Sigla Arte]:[Crédito]],2,0))</f>
        <v>JANAINA OLIVEIRA/ARQUIVO DA EDITORA</v>
      </c>
      <c r="Z1693" s="31"/>
      <c r="AA1693" s="31" t="str">
        <f>Tabela2[[#This Row],[ILUSTRADOR CRIAÇÃO]]</f>
        <v>JANAINA OLIVEIRA/ARQUIVO DA EDITORA</v>
      </c>
      <c r="AB1693" s="33"/>
      <c r="AC1693" s="16"/>
      <c r="AE1693" s="35" t="str">
        <f t="shared" si="27"/>
        <v>EF1 E002 Mat</v>
      </c>
    </row>
    <row r="1694" spans="1:31" ht="45" x14ac:dyDescent="0.25">
      <c r="A1694" s="31" t="s">
        <v>3534</v>
      </c>
      <c r="B1694" s="16" t="s">
        <v>32</v>
      </c>
      <c r="C1694" s="16" t="s">
        <v>33</v>
      </c>
      <c r="D1694" s="33" t="s">
        <v>34</v>
      </c>
      <c r="E1694" s="33">
        <v>63</v>
      </c>
      <c r="F1694" s="33">
        <v>5</v>
      </c>
      <c r="G1694" s="33">
        <v>3</v>
      </c>
      <c r="H1694" s="33"/>
      <c r="I1694" s="31" t="s">
        <v>46</v>
      </c>
      <c r="J1694" s="31"/>
      <c r="K1694" s="33"/>
      <c r="L1694" s="33"/>
      <c r="M1694" s="31"/>
      <c r="N1694" s="31"/>
      <c r="O1694" s="16" t="s">
        <v>3535</v>
      </c>
      <c r="P1694" s="16"/>
      <c r="Q1694" s="16"/>
      <c r="R1694" s="33"/>
      <c r="S1694" s="34"/>
      <c r="T1694" s="34"/>
      <c r="U1694" s="34"/>
      <c r="V1694" s="34"/>
      <c r="W1694" s="34"/>
      <c r="X1694" s="33" t="s">
        <v>1515</v>
      </c>
      <c r="Y1694" s="35" t="str">
        <f>IF(Tabela2[[#This Row],[SIGLA]]="","",VLOOKUP(Tabela2[[#This Row],[SIGLA]],Tabela1[[#All],[Sigla Arte]:[Crédito]],2,0))</f>
        <v>JANAINA OLIVEIRA/ARQUIVO DA EDITORA</v>
      </c>
      <c r="Z1694" s="31"/>
      <c r="AA1694" s="31" t="str">
        <f>Tabela2[[#This Row],[ILUSTRADOR CRIAÇÃO]]</f>
        <v>JANAINA OLIVEIRA/ARQUIVO DA EDITORA</v>
      </c>
      <c r="AB1694" s="33"/>
      <c r="AC1694" s="16"/>
      <c r="AE1694" s="35" t="str">
        <f t="shared" si="27"/>
        <v>EF1 E002 Mat</v>
      </c>
    </row>
    <row r="1695" spans="1:31" ht="90" x14ac:dyDescent="0.25">
      <c r="A1695" s="31" t="s">
        <v>3536</v>
      </c>
      <c r="B1695" s="16" t="s">
        <v>32</v>
      </c>
      <c r="C1695" s="16" t="s">
        <v>33</v>
      </c>
      <c r="D1695" s="33" t="s">
        <v>34</v>
      </c>
      <c r="E1695" s="33">
        <v>63</v>
      </c>
      <c r="F1695" s="33">
        <v>5</v>
      </c>
      <c r="G1695" s="33">
        <v>3</v>
      </c>
      <c r="H1695" s="33"/>
      <c r="I1695" s="31" t="s">
        <v>35</v>
      </c>
      <c r="J1695" s="31"/>
      <c r="K1695" s="33"/>
      <c r="L1695" s="33"/>
      <c r="M1695" s="31"/>
      <c r="N1695" s="31"/>
      <c r="O1695" s="16" t="s">
        <v>3537</v>
      </c>
      <c r="P1695" s="16"/>
      <c r="Q1695" s="16"/>
      <c r="R1695" s="33">
        <v>45</v>
      </c>
      <c r="S1695" s="34">
        <v>45796</v>
      </c>
      <c r="T1695" s="34"/>
      <c r="U1695" s="34"/>
      <c r="V1695" s="34"/>
      <c r="W1695" s="34">
        <v>45804</v>
      </c>
      <c r="X1695" s="33"/>
      <c r="Y1695" s="35" t="str">
        <f>IF(Tabela2[[#This Row],[SIGLA]]="","",VLOOKUP(Tabela2[[#This Row],[SIGLA]],Tabela1[[#All],[Sigla Arte]:[Crédito]],2,0))</f>
        <v/>
      </c>
      <c r="Z1695" s="31" t="s">
        <v>1226</v>
      </c>
      <c r="AA1695" s="31" t="s">
        <v>3538</v>
      </c>
      <c r="AB1695" s="33"/>
      <c r="AC1695" s="16"/>
      <c r="AD1695" s="16" t="s">
        <v>40</v>
      </c>
      <c r="AE1695" s="35" t="str">
        <f t="shared" si="27"/>
        <v>EF1 E002 Mat</v>
      </c>
    </row>
    <row r="1696" spans="1:31" ht="45" x14ac:dyDescent="0.25">
      <c r="A1696" s="31" t="s">
        <v>3539</v>
      </c>
      <c r="B1696" s="16" t="s">
        <v>401</v>
      </c>
      <c r="C1696" s="16" t="s">
        <v>33</v>
      </c>
      <c r="D1696" s="33" t="s">
        <v>34</v>
      </c>
      <c r="E1696" s="33"/>
      <c r="F1696" s="33">
        <v>5</v>
      </c>
      <c r="G1696" s="33">
        <v>3</v>
      </c>
      <c r="H1696" s="33"/>
      <c r="I1696" s="31" t="s">
        <v>46</v>
      </c>
      <c r="J1696" s="31"/>
      <c r="K1696" s="33"/>
      <c r="L1696" s="33"/>
      <c r="M1696" s="31"/>
      <c r="N1696" s="31"/>
      <c r="O1696" s="16" t="s">
        <v>3540</v>
      </c>
      <c r="P1696" s="16" t="s">
        <v>3541</v>
      </c>
      <c r="Q1696" s="16"/>
      <c r="R1696" s="33"/>
      <c r="S1696" s="34"/>
      <c r="T1696" s="34"/>
      <c r="U1696" s="34"/>
      <c r="V1696" s="34"/>
      <c r="W1696" s="34"/>
      <c r="X1696" s="33" t="s">
        <v>3542</v>
      </c>
      <c r="Y1696" s="35" t="str">
        <f>IF(Tabela2[[#This Row],[SIGLA]]="","",VLOOKUP(Tabela2[[#This Row],[SIGLA]],Tabela1[[#All],[Sigla Arte]:[Crédito]],2,0))</f>
        <v>HELOÍSA PINTARELLI/ARQUIVO DA EDITORA</v>
      </c>
      <c r="Z1696" s="31"/>
      <c r="AA1696" s="31" t="str">
        <f>Tabela2[[#This Row],[ILUSTRADOR CRIAÇÃO]]</f>
        <v>HELOÍSA PINTARELLI/ARQUIVO DA EDITORA</v>
      </c>
      <c r="AB1696" s="33"/>
      <c r="AC1696" s="16"/>
      <c r="AE1696" s="35" t="str">
        <f t="shared" si="27"/>
        <v>EF1 E002 Mat</v>
      </c>
    </row>
    <row r="1697" spans="1:31" ht="49.5" customHeight="1" x14ac:dyDescent="0.25">
      <c r="A1697" s="31" t="s">
        <v>3543</v>
      </c>
      <c r="B1697" s="16" t="s">
        <v>32</v>
      </c>
      <c r="C1697" s="16" t="s">
        <v>33</v>
      </c>
      <c r="D1697" s="33" t="s">
        <v>34</v>
      </c>
      <c r="E1697" s="33">
        <v>65</v>
      </c>
      <c r="F1697" s="33">
        <v>5</v>
      </c>
      <c r="G1697" s="33">
        <v>3</v>
      </c>
      <c r="H1697" s="33"/>
      <c r="I1697" s="31" t="s">
        <v>35</v>
      </c>
      <c r="J1697" s="31"/>
      <c r="K1697" s="33"/>
      <c r="L1697" s="33"/>
      <c r="M1697" s="31"/>
      <c r="N1697" s="31"/>
      <c r="O1697" s="16" t="s">
        <v>3544</v>
      </c>
      <c r="P1697" s="16"/>
      <c r="Q1697" s="16"/>
      <c r="R1697" s="33">
        <v>130</v>
      </c>
      <c r="S1697" s="34">
        <v>45896</v>
      </c>
      <c r="T1697" s="34">
        <v>45896</v>
      </c>
      <c r="U1697" s="34"/>
      <c r="V1697" s="34"/>
      <c r="W1697" s="34">
        <v>45897</v>
      </c>
      <c r="X1697" s="33" t="s">
        <v>470</v>
      </c>
      <c r="Y1697" s="35" t="str">
        <f>IF(Tabela2[[#This Row],[SIGLA]]="","",VLOOKUP(Tabela2[[#This Row],[SIGLA]],Tabela1[[#All],[Sigla Arte]:[Crédito]],2,0))</f>
        <v>RENAN FONSECA/ARQUIVO DA EDITORA</v>
      </c>
      <c r="Z1697" s="31" t="s">
        <v>572</v>
      </c>
      <c r="AA1697" s="31" t="str">
        <f>Tabela2[[#This Row],[ILUSTRADOR CRIAÇÃO]]</f>
        <v>RENAN FONSECA/ARQUIVO DA EDITORA</v>
      </c>
      <c r="AB1697" s="33">
        <v>13</v>
      </c>
      <c r="AC1697" s="16" t="s">
        <v>44</v>
      </c>
      <c r="AD1697" s="16" t="s">
        <v>40</v>
      </c>
      <c r="AE1697" s="35" t="str">
        <f t="shared" si="27"/>
        <v>EF1 E002 Mat</v>
      </c>
    </row>
    <row r="1698" spans="1:31" ht="135" x14ac:dyDescent="0.25">
      <c r="A1698" s="31" t="s">
        <v>3545</v>
      </c>
      <c r="B1698" s="16" t="s">
        <v>32</v>
      </c>
      <c r="C1698" s="16" t="s">
        <v>33</v>
      </c>
      <c r="D1698" s="33" t="s">
        <v>34</v>
      </c>
      <c r="E1698" s="33">
        <v>36</v>
      </c>
      <c r="F1698" s="33">
        <v>5</v>
      </c>
      <c r="G1698" s="33">
        <v>2</v>
      </c>
      <c r="H1698" s="33"/>
      <c r="I1698" s="31" t="s">
        <v>35</v>
      </c>
      <c r="J1698" s="31"/>
      <c r="K1698" s="33"/>
      <c r="L1698" s="33"/>
      <c r="M1698" s="31"/>
      <c r="N1698" s="31"/>
      <c r="O1698" s="16" t="s">
        <v>3546</v>
      </c>
      <c r="P1698" s="16"/>
      <c r="Q1698" s="16"/>
      <c r="R1698" s="33">
        <v>46</v>
      </c>
      <c r="S1698" s="34">
        <v>45797</v>
      </c>
      <c r="T1698" s="34">
        <v>45805</v>
      </c>
      <c r="U1698" s="34"/>
      <c r="V1698" s="34"/>
      <c r="W1698" s="34">
        <v>45806</v>
      </c>
      <c r="X1698" s="33" t="s">
        <v>3542</v>
      </c>
      <c r="Y1698" s="35" t="str">
        <f>IF(Tabela2[[#This Row],[SIGLA]]="","",VLOOKUP(Tabela2[[#This Row],[SIGLA]],Tabela1[[#All],[Sigla Arte]:[Crédito]],2,0))</f>
        <v>HELOÍSA PINTARELLI/ARQUIVO DA EDITORA</v>
      </c>
      <c r="Z1698" s="31" t="s">
        <v>1465</v>
      </c>
      <c r="AA1698" s="31" t="str">
        <f>Tabela2[[#This Row],[ILUSTRADOR CRIAÇÃO]]</f>
        <v>HELOÍSA PINTARELLI/ARQUIVO DA EDITORA</v>
      </c>
      <c r="AB1698" s="33">
        <v>13</v>
      </c>
      <c r="AC1698" s="16"/>
      <c r="AD1698" s="16" t="s">
        <v>40</v>
      </c>
      <c r="AE1698" s="35" t="str">
        <f t="shared" si="27"/>
        <v>EF1 E002 Mat</v>
      </c>
    </row>
    <row r="1699" spans="1:31" ht="60" x14ac:dyDescent="0.25">
      <c r="A1699" s="31" t="s">
        <v>3547</v>
      </c>
      <c r="B1699" s="16" t="s">
        <v>32</v>
      </c>
      <c r="C1699" s="16" t="s">
        <v>33</v>
      </c>
      <c r="D1699" s="33" t="s">
        <v>34</v>
      </c>
      <c r="E1699" s="33">
        <v>42</v>
      </c>
      <c r="F1699" s="33">
        <v>5</v>
      </c>
      <c r="G1699" s="33">
        <v>2</v>
      </c>
      <c r="H1699" s="33"/>
      <c r="I1699" s="31" t="s">
        <v>46</v>
      </c>
      <c r="J1699" s="31"/>
      <c r="K1699" s="33"/>
      <c r="L1699" s="33"/>
      <c r="M1699" s="31"/>
      <c r="N1699" s="31"/>
      <c r="O1699" s="16" t="s">
        <v>3548</v>
      </c>
      <c r="P1699" s="16"/>
      <c r="Q1699" s="16"/>
      <c r="R1699" s="33"/>
      <c r="S1699" s="34"/>
      <c r="T1699" s="34"/>
      <c r="U1699" s="34"/>
      <c r="V1699" s="34"/>
      <c r="W1699" s="34"/>
      <c r="X1699" s="33" t="s">
        <v>3542</v>
      </c>
      <c r="Y1699" s="35" t="str">
        <f>IF(Tabela2[[#This Row],[SIGLA]]="","",VLOOKUP(Tabela2[[#This Row],[SIGLA]],Tabela1[[#All],[Sigla Arte]:[Crédito]],2,0))</f>
        <v>HELOÍSA PINTARELLI/ARQUIVO DA EDITORA</v>
      </c>
      <c r="Z1699" s="31"/>
      <c r="AA1699" s="31" t="str">
        <f>Tabela2[[#This Row],[ILUSTRADOR CRIAÇÃO]]</f>
        <v>HELOÍSA PINTARELLI/ARQUIVO DA EDITORA</v>
      </c>
      <c r="AB1699" s="33"/>
      <c r="AC1699" s="16"/>
      <c r="AE1699" s="35" t="str">
        <f t="shared" si="27"/>
        <v>EF1 E002 Mat</v>
      </c>
    </row>
    <row r="1700" spans="1:31" ht="45" x14ac:dyDescent="0.25">
      <c r="A1700" s="31" t="s">
        <v>3549</v>
      </c>
      <c r="B1700" s="16" t="s">
        <v>32</v>
      </c>
      <c r="C1700" s="16" t="s">
        <v>33</v>
      </c>
      <c r="D1700" s="33" t="s">
        <v>34</v>
      </c>
      <c r="E1700" s="33">
        <v>47</v>
      </c>
      <c r="F1700" s="33">
        <v>5</v>
      </c>
      <c r="G1700" s="33">
        <v>2</v>
      </c>
      <c r="H1700" s="33"/>
      <c r="I1700" s="31" t="s">
        <v>46</v>
      </c>
      <c r="J1700" s="31"/>
      <c r="K1700" s="33"/>
      <c r="L1700" s="33"/>
      <c r="M1700" s="31"/>
      <c r="N1700" s="31"/>
      <c r="O1700" s="16" t="s">
        <v>3550</v>
      </c>
      <c r="P1700" s="16"/>
      <c r="Q1700" s="16"/>
      <c r="R1700" s="33"/>
      <c r="S1700" s="34"/>
      <c r="T1700" s="34"/>
      <c r="U1700" s="34"/>
      <c r="V1700" s="34"/>
      <c r="W1700" s="34"/>
      <c r="X1700" s="33" t="s">
        <v>162</v>
      </c>
      <c r="Y1700" s="35" t="str">
        <f>IF(Tabela2[[#This Row],[SIGLA]]="","",VLOOKUP(Tabela2[[#This Row],[SIGLA]],Tabela1[[#All],[Sigla Arte]:[Crédito]],2,0))</f>
        <v>IVY NUNES/ARQUIVO DA EDITORA</v>
      </c>
      <c r="Z1700" s="31"/>
      <c r="AA1700" s="31" t="str">
        <f>Tabela2[[#This Row],[ILUSTRADOR CRIAÇÃO]]</f>
        <v>IVY NUNES/ARQUIVO DA EDITORA</v>
      </c>
      <c r="AB1700" s="33"/>
      <c r="AC1700" s="16"/>
      <c r="AE1700" s="35" t="str">
        <f t="shared" si="27"/>
        <v>EF1 E002 Mat</v>
      </c>
    </row>
    <row r="1701" spans="1:31" ht="60" x14ac:dyDescent="0.25">
      <c r="A1701" s="31" t="s">
        <v>3551</v>
      </c>
      <c r="B1701" s="16" t="s">
        <v>32</v>
      </c>
      <c r="C1701" s="16" t="s">
        <v>164</v>
      </c>
      <c r="D1701" s="33" t="s">
        <v>34</v>
      </c>
      <c r="E1701" s="33">
        <v>50</v>
      </c>
      <c r="F1701" s="33">
        <v>5</v>
      </c>
      <c r="G1701" s="33">
        <v>2</v>
      </c>
      <c r="H1701" s="33"/>
      <c r="I1701" s="31" t="s">
        <v>35</v>
      </c>
      <c r="J1701" s="31"/>
      <c r="K1701" s="33"/>
      <c r="L1701" s="33"/>
      <c r="M1701" s="31"/>
      <c r="N1701" s="31"/>
      <c r="O1701" s="16" t="s">
        <v>3552</v>
      </c>
      <c r="P1701" s="16"/>
      <c r="Q1701" s="16"/>
      <c r="R1701" s="33">
        <v>46</v>
      </c>
      <c r="S1701" s="34">
        <v>45797</v>
      </c>
      <c r="T1701" s="34">
        <v>45805</v>
      </c>
      <c r="U1701" s="34"/>
      <c r="V1701" s="34"/>
      <c r="W1701" s="34">
        <v>45806</v>
      </c>
      <c r="X1701" s="33" t="s">
        <v>1449</v>
      </c>
      <c r="Y1701" s="35" t="str">
        <f>IF(Tabela2[[#This Row],[SIGLA]]="","",VLOOKUP(Tabela2[[#This Row],[SIGLA]],Tabela1[[#All],[Sigla Arte]:[Crédito]],2,0))</f>
        <v>CARLOS BORIN/ARQUIVO DA EDITORA</v>
      </c>
      <c r="Z1701" s="31" t="s">
        <v>1465</v>
      </c>
      <c r="AA1701" s="31" t="str">
        <f>Tabela2[[#This Row],[ILUSTRADOR CRIAÇÃO]]</f>
        <v>CARLOS BORIN/ARQUIVO DA EDITORA</v>
      </c>
      <c r="AB1701" s="33">
        <v>13</v>
      </c>
      <c r="AC1701" s="16"/>
      <c r="AD1701" s="16" t="s">
        <v>40</v>
      </c>
      <c r="AE1701" s="35" t="str">
        <f t="shared" si="27"/>
        <v>EF1 E002 Mat</v>
      </c>
    </row>
    <row r="1702" spans="1:31" ht="120" x14ac:dyDescent="0.25">
      <c r="A1702" s="31" t="s">
        <v>3553</v>
      </c>
      <c r="B1702" s="16" t="s">
        <v>32</v>
      </c>
      <c r="C1702" s="16" t="s">
        <v>33</v>
      </c>
      <c r="D1702" s="33" t="s">
        <v>34</v>
      </c>
      <c r="E1702" s="33">
        <v>52</v>
      </c>
      <c r="F1702" s="33">
        <v>5</v>
      </c>
      <c r="G1702" s="33">
        <v>2</v>
      </c>
      <c r="H1702" s="33"/>
      <c r="I1702" s="31" t="s">
        <v>35</v>
      </c>
      <c r="J1702" s="31"/>
      <c r="K1702" s="33"/>
      <c r="L1702" s="33"/>
      <c r="M1702" s="31"/>
      <c r="N1702" s="31"/>
      <c r="O1702" s="16" t="s">
        <v>3554</v>
      </c>
      <c r="P1702" s="16"/>
      <c r="Q1702" s="16"/>
      <c r="R1702" s="33">
        <v>46</v>
      </c>
      <c r="S1702" s="34">
        <v>45797</v>
      </c>
      <c r="T1702" s="34">
        <v>45805</v>
      </c>
      <c r="U1702" s="34"/>
      <c r="V1702" s="34"/>
      <c r="W1702" s="34">
        <v>45806</v>
      </c>
      <c r="X1702" s="33" t="s">
        <v>48</v>
      </c>
      <c r="Y1702" s="35" t="str">
        <f>IF(Tabela2[[#This Row],[SIGLA]]="","",VLOOKUP(Tabela2[[#This Row],[SIGLA]],Tabela1[[#All],[Sigla Arte]:[Crédito]],2,0))</f>
        <v>SERGIO LIMA/ARQUIVO DA EDITORA</v>
      </c>
      <c r="Z1702" s="31" t="s">
        <v>1465</v>
      </c>
      <c r="AA1702" s="31" t="s">
        <v>3555</v>
      </c>
      <c r="AB1702" s="33">
        <v>13</v>
      </c>
      <c r="AC1702" s="16"/>
      <c r="AD1702" s="16" t="s">
        <v>40</v>
      </c>
      <c r="AE1702" s="35" t="str">
        <f t="shared" si="27"/>
        <v>EF1 E002 Mat</v>
      </c>
    </row>
    <row r="1703" spans="1:31" ht="45" x14ac:dyDescent="0.25">
      <c r="A1703" s="31" t="s">
        <v>3556</v>
      </c>
      <c r="B1703" s="16" t="s">
        <v>32</v>
      </c>
      <c r="C1703" s="16" t="s">
        <v>33</v>
      </c>
      <c r="D1703" s="33" t="s">
        <v>34</v>
      </c>
      <c r="E1703" s="33">
        <v>53</v>
      </c>
      <c r="F1703" s="33">
        <v>5</v>
      </c>
      <c r="G1703" s="33">
        <v>2</v>
      </c>
      <c r="H1703" s="33"/>
      <c r="I1703" s="31" t="s">
        <v>46</v>
      </c>
      <c r="J1703" s="31"/>
      <c r="K1703" s="33"/>
      <c r="L1703" s="33"/>
      <c r="M1703" s="31"/>
      <c r="N1703" s="31"/>
      <c r="O1703" s="16" t="s">
        <v>3557</v>
      </c>
      <c r="P1703" s="16"/>
      <c r="Q1703" s="16"/>
      <c r="R1703" s="33"/>
      <c r="S1703" s="34"/>
      <c r="T1703" s="34"/>
      <c r="U1703" s="34"/>
      <c r="V1703" s="34"/>
      <c r="W1703" s="34"/>
      <c r="X1703" s="33" t="s">
        <v>162</v>
      </c>
      <c r="Y1703" s="35" t="str">
        <f>IF(Tabela2[[#This Row],[SIGLA]]="","",VLOOKUP(Tabela2[[#This Row],[SIGLA]],Tabela1[[#All],[Sigla Arte]:[Crédito]],2,0))</f>
        <v>IVY NUNES/ARQUIVO DA EDITORA</v>
      </c>
      <c r="Z1703" s="31"/>
      <c r="AA1703" s="31" t="str">
        <f>Tabela2[[#This Row],[ILUSTRADOR CRIAÇÃO]]</f>
        <v>IVY NUNES/ARQUIVO DA EDITORA</v>
      </c>
      <c r="AB1703" s="33"/>
      <c r="AC1703" s="16"/>
      <c r="AE1703" s="35" t="str">
        <f t="shared" si="27"/>
        <v>EF1 E002 Mat</v>
      </c>
    </row>
    <row r="1704" spans="1:31" ht="45" x14ac:dyDescent="0.25">
      <c r="A1704" s="31" t="s">
        <v>3558</v>
      </c>
      <c r="B1704" s="16" t="s">
        <v>32</v>
      </c>
      <c r="C1704" s="16" t="s">
        <v>33</v>
      </c>
      <c r="D1704" s="33" t="s">
        <v>34</v>
      </c>
      <c r="E1704" s="33">
        <v>54</v>
      </c>
      <c r="F1704" s="33">
        <v>5</v>
      </c>
      <c r="G1704" s="33">
        <v>2</v>
      </c>
      <c r="H1704" s="33"/>
      <c r="I1704" s="31" t="s">
        <v>46</v>
      </c>
      <c r="J1704" s="31"/>
      <c r="K1704" s="33"/>
      <c r="L1704" s="33"/>
      <c r="M1704" s="31"/>
      <c r="N1704" s="31"/>
      <c r="O1704" s="16" t="s">
        <v>3559</v>
      </c>
      <c r="P1704" s="16"/>
      <c r="Q1704" s="16"/>
      <c r="R1704" s="33"/>
      <c r="S1704" s="34"/>
      <c r="T1704" s="34"/>
      <c r="U1704" s="34"/>
      <c r="V1704" s="34"/>
      <c r="W1704" s="34"/>
      <c r="X1704" s="33" t="s">
        <v>3542</v>
      </c>
      <c r="Y1704" s="35" t="str">
        <f>IF(Tabela2[[#This Row],[SIGLA]]="","",VLOOKUP(Tabela2[[#This Row],[SIGLA]],Tabela1[[#All],[Sigla Arte]:[Crédito]],2,0))</f>
        <v>HELOÍSA PINTARELLI/ARQUIVO DA EDITORA</v>
      </c>
      <c r="Z1704" s="31"/>
      <c r="AA1704" s="31" t="str">
        <f>Tabela2[[#This Row],[ILUSTRADOR CRIAÇÃO]]</f>
        <v>HELOÍSA PINTARELLI/ARQUIVO DA EDITORA</v>
      </c>
      <c r="AB1704" s="33"/>
      <c r="AC1704" s="16"/>
      <c r="AE1704" s="35" t="str">
        <f t="shared" si="27"/>
        <v>EF1 E002 Mat</v>
      </c>
    </row>
    <row r="1705" spans="1:31" ht="30" x14ac:dyDescent="0.25">
      <c r="A1705" s="31" t="s">
        <v>3560</v>
      </c>
      <c r="B1705" s="16" t="s">
        <v>32</v>
      </c>
      <c r="C1705" s="16" t="s">
        <v>164</v>
      </c>
      <c r="D1705" s="33" t="s">
        <v>34</v>
      </c>
      <c r="E1705" s="33">
        <v>71</v>
      </c>
      <c r="F1705" s="33">
        <v>5</v>
      </c>
      <c r="G1705" s="33">
        <v>4</v>
      </c>
      <c r="H1705" s="33"/>
      <c r="I1705" s="31" t="s">
        <v>46</v>
      </c>
      <c r="J1705" s="31"/>
      <c r="K1705" s="33"/>
      <c r="L1705" s="33"/>
      <c r="M1705" s="31"/>
      <c r="N1705" s="31"/>
      <c r="O1705" s="16" t="s">
        <v>3561</v>
      </c>
      <c r="P1705" s="16"/>
      <c r="Q1705" s="16"/>
      <c r="R1705" s="33"/>
      <c r="S1705" s="34"/>
      <c r="T1705" s="34"/>
      <c r="U1705" s="34"/>
      <c r="V1705" s="34"/>
      <c r="W1705" s="34"/>
      <c r="X1705" s="33" t="s">
        <v>48</v>
      </c>
      <c r="Y1705" s="35" t="str">
        <f>IF(Tabela2[[#This Row],[SIGLA]]="","",VLOOKUP(Tabela2[[#This Row],[SIGLA]],Tabela1[[#All],[Sigla Arte]:[Crédito]],2,0))</f>
        <v>SERGIO LIMA/ARQUIVO DA EDITORA</v>
      </c>
      <c r="Z1705" s="31"/>
      <c r="AA1705" s="31" t="str">
        <f>Tabela2[[#This Row],[ILUSTRADOR CRIAÇÃO]]</f>
        <v>SERGIO LIMA/ARQUIVO DA EDITORA</v>
      </c>
      <c r="AB1705" s="33"/>
      <c r="AC1705" s="16"/>
      <c r="AE1705" s="35" t="str">
        <f t="shared" si="27"/>
        <v>EF1 E002 Mat</v>
      </c>
    </row>
    <row r="1706" spans="1:31" ht="30" x14ac:dyDescent="0.25">
      <c r="A1706" s="31" t="s">
        <v>3562</v>
      </c>
      <c r="B1706" s="16" t="s">
        <v>32</v>
      </c>
      <c r="C1706" s="16" t="s">
        <v>164</v>
      </c>
      <c r="D1706" s="33" t="s">
        <v>34</v>
      </c>
      <c r="E1706" s="33">
        <v>71</v>
      </c>
      <c r="F1706" s="33">
        <v>5</v>
      </c>
      <c r="G1706" s="33">
        <v>4</v>
      </c>
      <c r="H1706" s="33"/>
      <c r="I1706" s="31" t="s">
        <v>46</v>
      </c>
      <c r="J1706" s="31"/>
      <c r="K1706" s="33"/>
      <c r="L1706" s="33"/>
      <c r="M1706" s="31"/>
      <c r="N1706" s="31"/>
      <c r="O1706" s="16" t="s">
        <v>3563</v>
      </c>
      <c r="P1706" s="16"/>
      <c r="Q1706" s="16"/>
      <c r="R1706" s="33"/>
      <c r="S1706" s="34"/>
      <c r="T1706" s="34"/>
      <c r="U1706" s="34"/>
      <c r="V1706" s="34"/>
      <c r="W1706" s="34"/>
      <c r="X1706" s="33" t="s">
        <v>48</v>
      </c>
      <c r="Y1706" s="35" t="str">
        <f>IF(Tabela2[[#This Row],[SIGLA]]="","",VLOOKUP(Tabela2[[#This Row],[SIGLA]],Tabela1[[#All],[Sigla Arte]:[Crédito]],2,0))</f>
        <v>SERGIO LIMA/ARQUIVO DA EDITORA</v>
      </c>
      <c r="Z1706" s="31"/>
      <c r="AA1706" s="31" t="str">
        <f>Tabela2[[#This Row],[ILUSTRADOR CRIAÇÃO]]</f>
        <v>SERGIO LIMA/ARQUIVO DA EDITORA</v>
      </c>
      <c r="AB1706" s="33"/>
      <c r="AC1706" s="16"/>
      <c r="AE1706" s="35" t="str">
        <f t="shared" si="27"/>
        <v>EF1 E002 Mat</v>
      </c>
    </row>
    <row r="1707" spans="1:31" ht="30" x14ac:dyDescent="0.25">
      <c r="A1707" s="31" t="s">
        <v>3564</v>
      </c>
      <c r="B1707" s="16" t="s">
        <v>32</v>
      </c>
      <c r="C1707" s="16" t="s">
        <v>164</v>
      </c>
      <c r="D1707" s="33" t="s">
        <v>34</v>
      </c>
      <c r="E1707" s="33">
        <v>71</v>
      </c>
      <c r="F1707" s="33">
        <v>5</v>
      </c>
      <c r="G1707" s="33">
        <v>4</v>
      </c>
      <c r="H1707" s="33"/>
      <c r="I1707" s="31" t="s">
        <v>46</v>
      </c>
      <c r="J1707" s="31"/>
      <c r="K1707" s="33"/>
      <c r="L1707" s="33"/>
      <c r="M1707" s="31"/>
      <c r="N1707" s="31"/>
      <c r="O1707" s="16" t="s">
        <v>3565</v>
      </c>
      <c r="P1707" s="16"/>
      <c r="Q1707" s="16"/>
      <c r="R1707" s="33"/>
      <c r="S1707" s="34"/>
      <c r="T1707" s="34"/>
      <c r="U1707" s="34"/>
      <c r="V1707" s="34"/>
      <c r="W1707" s="34"/>
      <c r="X1707" s="33" t="s">
        <v>48</v>
      </c>
      <c r="Y1707" s="35" t="str">
        <f>IF(Tabela2[[#This Row],[SIGLA]]="","",VLOOKUP(Tabela2[[#This Row],[SIGLA]],Tabela1[[#All],[Sigla Arte]:[Crédito]],2,0))</f>
        <v>SERGIO LIMA/ARQUIVO DA EDITORA</v>
      </c>
      <c r="Z1707" s="31"/>
      <c r="AA1707" s="31" t="str">
        <f>Tabela2[[#This Row],[ILUSTRADOR CRIAÇÃO]]</f>
        <v>SERGIO LIMA/ARQUIVO DA EDITORA</v>
      </c>
      <c r="AB1707" s="33"/>
      <c r="AC1707" s="16"/>
      <c r="AE1707" s="35" t="str">
        <f t="shared" si="27"/>
        <v>EF1 E002 Mat</v>
      </c>
    </row>
    <row r="1708" spans="1:31" ht="30" x14ac:dyDescent="0.25">
      <c r="A1708" s="31" t="s">
        <v>3566</v>
      </c>
      <c r="B1708" s="16" t="s">
        <v>32</v>
      </c>
      <c r="C1708" s="16" t="s">
        <v>164</v>
      </c>
      <c r="D1708" s="33" t="s">
        <v>34</v>
      </c>
      <c r="E1708" s="33">
        <v>71</v>
      </c>
      <c r="F1708" s="33">
        <v>5</v>
      </c>
      <c r="G1708" s="33">
        <v>4</v>
      </c>
      <c r="H1708" s="33"/>
      <c r="I1708" s="31" t="s">
        <v>46</v>
      </c>
      <c r="J1708" s="31"/>
      <c r="K1708" s="33"/>
      <c r="L1708" s="33"/>
      <c r="M1708" s="31"/>
      <c r="N1708" s="31"/>
      <c r="O1708" s="16" t="s">
        <v>3567</v>
      </c>
      <c r="P1708" s="16"/>
      <c r="Q1708" s="16"/>
      <c r="R1708" s="33"/>
      <c r="S1708" s="34"/>
      <c r="T1708" s="34"/>
      <c r="U1708" s="34"/>
      <c r="V1708" s="34"/>
      <c r="W1708" s="34"/>
      <c r="X1708" s="33" t="s">
        <v>48</v>
      </c>
      <c r="Y1708" s="35" t="str">
        <f>IF(Tabela2[[#This Row],[SIGLA]]="","",VLOOKUP(Tabela2[[#This Row],[SIGLA]],Tabela1[[#All],[Sigla Arte]:[Crédito]],2,0))</f>
        <v>SERGIO LIMA/ARQUIVO DA EDITORA</v>
      </c>
      <c r="Z1708" s="31"/>
      <c r="AA1708" s="31" t="str">
        <f>Tabela2[[#This Row],[ILUSTRADOR CRIAÇÃO]]</f>
        <v>SERGIO LIMA/ARQUIVO DA EDITORA</v>
      </c>
      <c r="AB1708" s="33"/>
      <c r="AC1708" s="16"/>
      <c r="AE1708" s="35" t="str">
        <f t="shared" si="27"/>
        <v>EF1 E002 Mat</v>
      </c>
    </row>
    <row r="1709" spans="1:31" ht="30" x14ac:dyDescent="0.25">
      <c r="A1709" s="31" t="s">
        <v>3568</v>
      </c>
      <c r="B1709" s="16" t="s">
        <v>32</v>
      </c>
      <c r="C1709" s="16" t="s">
        <v>164</v>
      </c>
      <c r="D1709" s="33" t="s">
        <v>34</v>
      </c>
      <c r="E1709" s="33">
        <v>71</v>
      </c>
      <c r="F1709" s="33">
        <v>5</v>
      </c>
      <c r="G1709" s="33">
        <v>4</v>
      </c>
      <c r="H1709" s="33"/>
      <c r="I1709" s="31" t="s">
        <v>46</v>
      </c>
      <c r="J1709" s="31"/>
      <c r="K1709" s="33"/>
      <c r="L1709" s="33"/>
      <c r="M1709" s="31"/>
      <c r="N1709" s="31"/>
      <c r="O1709" s="16" t="s">
        <v>3569</v>
      </c>
      <c r="P1709" s="16"/>
      <c r="Q1709" s="16"/>
      <c r="R1709" s="33"/>
      <c r="S1709" s="34"/>
      <c r="T1709" s="34"/>
      <c r="U1709" s="34"/>
      <c r="V1709" s="34"/>
      <c r="W1709" s="34"/>
      <c r="X1709" s="33" t="s">
        <v>48</v>
      </c>
      <c r="Y1709" s="35" t="str">
        <f>IF(Tabela2[[#This Row],[SIGLA]]="","",VLOOKUP(Tabela2[[#This Row],[SIGLA]],Tabela1[[#All],[Sigla Arte]:[Crédito]],2,0))</f>
        <v>SERGIO LIMA/ARQUIVO DA EDITORA</v>
      </c>
      <c r="Z1709" s="31"/>
      <c r="AA1709" s="31" t="str">
        <f>Tabela2[[#This Row],[ILUSTRADOR CRIAÇÃO]]</f>
        <v>SERGIO LIMA/ARQUIVO DA EDITORA</v>
      </c>
      <c r="AB1709" s="33"/>
      <c r="AC1709" s="16"/>
      <c r="AE1709" s="35" t="str">
        <f t="shared" si="27"/>
        <v>EF1 E002 Mat</v>
      </c>
    </row>
    <row r="1710" spans="1:31" ht="30" x14ac:dyDescent="0.25">
      <c r="A1710" s="31" t="s">
        <v>3570</v>
      </c>
      <c r="B1710" s="16" t="s">
        <v>32</v>
      </c>
      <c r="C1710" s="16" t="s">
        <v>164</v>
      </c>
      <c r="D1710" s="33" t="s">
        <v>34</v>
      </c>
      <c r="E1710" s="33">
        <v>71</v>
      </c>
      <c r="F1710" s="33">
        <v>5</v>
      </c>
      <c r="G1710" s="33">
        <v>4</v>
      </c>
      <c r="H1710" s="33"/>
      <c r="I1710" s="31" t="s">
        <v>46</v>
      </c>
      <c r="J1710" s="31"/>
      <c r="K1710" s="33"/>
      <c r="L1710" s="33"/>
      <c r="M1710" s="31"/>
      <c r="N1710" s="31"/>
      <c r="O1710" s="16" t="s">
        <v>3571</v>
      </c>
      <c r="P1710" s="16"/>
      <c r="Q1710" s="16"/>
      <c r="R1710" s="33"/>
      <c r="S1710" s="34"/>
      <c r="T1710" s="34"/>
      <c r="U1710" s="34"/>
      <c r="V1710" s="34"/>
      <c r="W1710" s="34"/>
      <c r="X1710" s="33" t="s">
        <v>48</v>
      </c>
      <c r="Y1710" s="35" t="str">
        <f>IF(Tabela2[[#This Row],[SIGLA]]="","",VLOOKUP(Tabela2[[#This Row],[SIGLA]],Tabela1[[#All],[Sigla Arte]:[Crédito]],2,0))</f>
        <v>SERGIO LIMA/ARQUIVO DA EDITORA</v>
      </c>
      <c r="Z1710" s="31"/>
      <c r="AA1710" s="31" t="str">
        <f>Tabela2[[#This Row],[ILUSTRADOR CRIAÇÃO]]</f>
        <v>SERGIO LIMA/ARQUIVO DA EDITORA</v>
      </c>
      <c r="AB1710" s="33"/>
      <c r="AC1710" s="16"/>
      <c r="AE1710" s="35" t="str">
        <f t="shared" si="27"/>
        <v>EF1 E002 Mat</v>
      </c>
    </row>
    <row r="1711" spans="1:31" ht="30" x14ac:dyDescent="0.25">
      <c r="A1711" s="31" t="s">
        <v>3572</v>
      </c>
      <c r="B1711" s="16" t="s">
        <v>32</v>
      </c>
      <c r="C1711" s="16" t="s">
        <v>164</v>
      </c>
      <c r="D1711" s="33" t="s">
        <v>34</v>
      </c>
      <c r="E1711" s="33">
        <v>71</v>
      </c>
      <c r="F1711" s="33">
        <v>5</v>
      </c>
      <c r="G1711" s="33">
        <v>4</v>
      </c>
      <c r="H1711" s="33"/>
      <c r="I1711" s="31" t="s">
        <v>46</v>
      </c>
      <c r="J1711" s="31"/>
      <c r="K1711" s="33"/>
      <c r="L1711" s="33"/>
      <c r="M1711" s="31"/>
      <c r="N1711" s="31"/>
      <c r="O1711" s="16" t="s">
        <v>3573</v>
      </c>
      <c r="P1711" s="16"/>
      <c r="Q1711" s="16"/>
      <c r="R1711" s="33"/>
      <c r="S1711" s="34"/>
      <c r="T1711" s="34"/>
      <c r="U1711" s="34"/>
      <c r="V1711" s="34"/>
      <c r="W1711" s="34"/>
      <c r="X1711" s="33" t="s">
        <v>48</v>
      </c>
      <c r="Y1711" s="35" t="str">
        <f>IF(Tabela2[[#This Row],[SIGLA]]="","",VLOOKUP(Tabela2[[#This Row],[SIGLA]],Tabela1[[#All],[Sigla Arte]:[Crédito]],2,0))</f>
        <v>SERGIO LIMA/ARQUIVO DA EDITORA</v>
      </c>
      <c r="Z1711" s="31"/>
      <c r="AA1711" s="31" t="str">
        <f>Tabela2[[#This Row],[ILUSTRADOR CRIAÇÃO]]</f>
        <v>SERGIO LIMA/ARQUIVO DA EDITORA</v>
      </c>
      <c r="AB1711" s="33"/>
      <c r="AC1711" s="16"/>
      <c r="AE1711" s="35" t="str">
        <f t="shared" si="27"/>
        <v>EF1 E002 Mat</v>
      </c>
    </row>
    <row r="1712" spans="1:31" ht="30" x14ac:dyDescent="0.25">
      <c r="A1712" s="31" t="s">
        <v>3574</v>
      </c>
      <c r="B1712" s="16" t="s">
        <v>32</v>
      </c>
      <c r="C1712" s="16" t="s">
        <v>164</v>
      </c>
      <c r="D1712" s="33" t="s">
        <v>34</v>
      </c>
      <c r="E1712" s="33">
        <v>71</v>
      </c>
      <c r="F1712" s="33">
        <v>5</v>
      </c>
      <c r="G1712" s="33">
        <v>4</v>
      </c>
      <c r="H1712" s="33"/>
      <c r="I1712" s="31" t="s">
        <v>46</v>
      </c>
      <c r="J1712" s="31"/>
      <c r="K1712" s="33"/>
      <c r="L1712" s="33"/>
      <c r="M1712" s="31"/>
      <c r="N1712" s="31"/>
      <c r="O1712" s="16" t="s">
        <v>3575</v>
      </c>
      <c r="P1712" s="16"/>
      <c r="Q1712" s="16"/>
      <c r="R1712" s="33"/>
      <c r="S1712" s="34"/>
      <c r="T1712" s="34"/>
      <c r="U1712" s="34"/>
      <c r="V1712" s="34"/>
      <c r="W1712" s="34"/>
      <c r="X1712" s="33" t="s">
        <v>48</v>
      </c>
      <c r="Y1712" s="35" t="str">
        <f>IF(Tabela2[[#This Row],[SIGLA]]="","",VLOOKUP(Tabela2[[#This Row],[SIGLA]],Tabela1[[#All],[Sigla Arte]:[Crédito]],2,0))</f>
        <v>SERGIO LIMA/ARQUIVO DA EDITORA</v>
      </c>
      <c r="Z1712" s="31"/>
      <c r="AA1712" s="31" t="str">
        <f>Tabela2[[#This Row],[ILUSTRADOR CRIAÇÃO]]</f>
        <v>SERGIO LIMA/ARQUIVO DA EDITORA</v>
      </c>
      <c r="AB1712" s="33"/>
      <c r="AC1712" s="16"/>
      <c r="AE1712" s="35" t="str">
        <f t="shared" si="27"/>
        <v>EF1 E002 Mat</v>
      </c>
    </row>
    <row r="1713" spans="1:31" ht="30" x14ac:dyDescent="0.25">
      <c r="A1713" s="31" t="s">
        <v>3576</v>
      </c>
      <c r="B1713" s="16" t="s">
        <v>32</v>
      </c>
      <c r="C1713" s="16" t="s">
        <v>164</v>
      </c>
      <c r="D1713" s="33" t="s">
        <v>34</v>
      </c>
      <c r="E1713" s="33">
        <v>71</v>
      </c>
      <c r="F1713" s="33">
        <v>5</v>
      </c>
      <c r="G1713" s="33">
        <v>4</v>
      </c>
      <c r="H1713" s="33"/>
      <c r="I1713" s="31" t="s">
        <v>46</v>
      </c>
      <c r="J1713" s="31"/>
      <c r="K1713" s="33"/>
      <c r="L1713" s="33"/>
      <c r="M1713" s="31"/>
      <c r="N1713" s="31"/>
      <c r="O1713" s="16" t="s">
        <v>3577</v>
      </c>
      <c r="P1713" s="16"/>
      <c r="Q1713" s="16"/>
      <c r="R1713" s="33"/>
      <c r="S1713" s="34"/>
      <c r="T1713" s="34"/>
      <c r="U1713" s="34"/>
      <c r="V1713" s="34"/>
      <c r="W1713" s="34"/>
      <c r="X1713" s="33" t="s">
        <v>48</v>
      </c>
      <c r="Y1713" s="35" t="str">
        <f>IF(Tabela2[[#This Row],[SIGLA]]="","",VLOOKUP(Tabela2[[#This Row],[SIGLA]],Tabela1[[#All],[Sigla Arte]:[Crédito]],2,0))</f>
        <v>SERGIO LIMA/ARQUIVO DA EDITORA</v>
      </c>
      <c r="Z1713" s="31"/>
      <c r="AA1713" s="31" t="str">
        <f>Tabela2[[#This Row],[ILUSTRADOR CRIAÇÃO]]</f>
        <v>SERGIO LIMA/ARQUIVO DA EDITORA</v>
      </c>
      <c r="AB1713" s="33"/>
      <c r="AC1713" s="16"/>
      <c r="AE1713" s="35" t="str">
        <f t="shared" si="27"/>
        <v>EF1 E002 Mat</v>
      </c>
    </row>
    <row r="1714" spans="1:31" ht="30" x14ac:dyDescent="0.25">
      <c r="A1714" s="31" t="s">
        <v>3578</v>
      </c>
      <c r="B1714" s="16" t="s">
        <v>32</v>
      </c>
      <c r="C1714" s="16" t="s">
        <v>164</v>
      </c>
      <c r="D1714" s="33" t="s">
        <v>34</v>
      </c>
      <c r="E1714" s="33">
        <v>71</v>
      </c>
      <c r="F1714" s="33">
        <v>5</v>
      </c>
      <c r="G1714" s="33">
        <v>4</v>
      </c>
      <c r="H1714" s="33"/>
      <c r="I1714" s="31" t="s">
        <v>46</v>
      </c>
      <c r="J1714" s="31"/>
      <c r="K1714" s="33"/>
      <c r="L1714" s="33"/>
      <c r="M1714" s="31"/>
      <c r="N1714" s="31"/>
      <c r="O1714" s="16" t="s">
        <v>3579</v>
      </c>
      <c r="P1714" s="16"/>
      <c r="Q1714" s="16"/>
      <c r="R1714" s="33"/>
      <c r="S1714" s="34"/>
      <c r="T1714" s="34"/>
      <c r="U1714" s="34"/>
      <c r="V1714" s="34"/>
      <c r="W1714" s="34"/>
      <c r="X1714" s="33" t="s">
        <v>1126</v>
      </c>
      <c r="Y1714" s="35" t="str">
        <f>IF(Tabela2[[#This Row],[SIGLA]]="","",VLOOKUP(Tabela2[[#This Row],[SIGLA]],Tabela1[[#All],[Sigla Arte]:[Crédito]],2,0))</f>
        <v>GUSTAVO CONTI/ARQUIVO DA EDITORA</v>
      </c>
      <c r="Z1714" s="31"/>
      <c r="AA1714" s="31" t="str">
        <f>Tabela2[[#This Row],[ILUSTRADOR CRIAÇÃO]]</f>
        <v>GUSTAVO CONTI/ARQUIVO DA EDITORA</v>
      </c>
      <c r="AB1714" s="33"/>
      <c r="AC1714" s="16"/>
      <c r="AE1714" s="35" t="str">
        <f t="shared" ref="AE1714:AE1777" si="28">"EF1 E002 Mat"</f>
        <v>EF1 E002 Mat</v>
      </c>
    </row>
    <row r="1715" spans="1:31" ht="45" x14ac:dyDescent="0.25">
      <c r="A1715" s="31" t="s">
        <v>3580</v>
      </c>
      <c r="B1715" s="16" t="s">
        <v>32</v>
      </c>
      <c r="C1715" s="16" t="s">
        <v>164</v>
      </c>
      <c r="D1715" s="33" t="s">
        <v>34</v>
      </c>
      <c r="E1715" s="33">
        <v>72</v>
      </c>
      <c r="F1715" s="33">
        <v>5</v>
      </c>
      <c r="G1715" s="33">
        <v>4</v>
      </c>
      <c r="H1715" s="33"/>
      <c r="I1715" s="31" t="s">
        <v>46</v>
      </c>
      <c r="J1715" s="31"/>
      <c r="K1715" s="33"/>
      <c r="L1715" s="33"/>
      <c r="M1715" s="31"/>
      <c r="N1715" s="31"/>
      <c r="O1715" s="16" t="s">
        <v>3581</v>
      </c>
      <c r="P1715" s="16"/>
      <c r="Q1715" s="16"/>
      <c r="R1715" s="33"/>
      <c r="S1715" s="34"/>
      <c r="T1715" s="34"/>
      <c r="U1715" s="34"/>
      <c r="V1715" s="34"/>
      <c r="W1715" s="34"/>
      <c r="X1715" s="33" t="s">
        <v>184</v>
      </c>
      <c r="Y1715" s="35" t="str">
        <f>IF(Tabela2[[#This Row],[SIGLA]]="","",VLOOKUP(Tabela2[[#This Row],[SIGLA]],Tabela1[[#All],[Sigla Arte]:[Crédito]],2,0))</f>
        <v>VER DOCUMENTO DE ILS. TÉCNICAS</v>
      </c>
      <c r="Z1715" s="31"/>
      <c r="AA1715" s="31" t="s">
        <v>2050</v>
      </c>
      <c r="AB1715" s="33"/>
      <c r="AC1715" s="16"/>
      <c r="AE1715" s="35" t="str">
        <f t="shared" si="28"/>
        <v>EF1 E002 Mat</v>
      </c>
    </row>
    <row r="1716" spans="1:31" ht="30" x14ac:dyDescent="0.25">
      <c r="A1716" s="31" t="s">
        <v>3582</v>
      </c>
      <c r="B1716" s="16" t="s">
        <v>32</v>
      </c>
      <c r="C1716" s="16" t="s">
        <v>164</v>
      </c>
      <c r="D1716" s="33" t="s">
        <v>34</v>
      </c>
      <c r="E1716" s="33">
        <v>72</v>
      </c>
      <c r="F1716" s="33">
        <v>5</v>
      </c>
      <c r="G1716" s="33">
        <v>4</v>
      </c>
      <c r="H1716" s="33"/>
      <c r="I1716" s="31" t="s">
        <v>46</v>
      </c>
      <c r="J1716" s="31"/>
      <c r="K1716" s="33"/>
      <c r="L1716" s="33"/>
      <c r="M1716" s="31"/>
      <c r="N1716" s="31"/>
      <c r="O1716" s="16" t="s">
        <v>3583</v>
      </c>
      <c r="P1716" s="16"/>
      <c r="Q1716" s="16"/>
      <c r="R1716" s="33"/>
      <c r="S1716" s="34"/>
      <c r="T1716" s="34"/>
      <c r="U1716" s="34"/>
      <c r="V1716" s="34"/>
      <c r="W1716" s="34"/>
      <c r="X1716" s="33" t="s">
        <v>3584</v>
      </c>
      <c r="Y1716" s="35" t="str">
        <f>IF(Tabela2[[#This Row],[SIGLA]]="","",VLOOKUP(Tabela2[[#This Row],[SIGLA]],Tabela1[[#All],[Sigla Arte]:[Crédito]],2,0))</f>
        <v>FERNANDA PARDINI BIAGIO/ARQUIVO DA EDITORA</v>
      </c>
      <c r="Z1716" s="31"/>
      <c r="AA1716" s="31" t="str">
        <f>Tabela2[[#This Row],[ILUSTRADOR CRIAÇÃO]]</f>
        <v>FERNANDA PARDINI BIAGIO/ARQUIVO DA EDITORA</v>
      </c>
      <c r="AB1716" s="33"/>
      <c r="AC1716" s="16"/>
      <c r="AE1716" s="35" t="str">
        <f t="shared" si="28"/>
        <v>EF1 E002 Mat</v>
      </c>
    </row>
    <row r="1717" spans="1:31" ht="30" x14ac:dyDescent="0.25">
      <c r="A1717" s="31" t="s">
        <v>3585</v>
      </c>
      <c r="B1717" s="16" t="s">
        <v>32</v>
      </c>
      <c r="C1717" s="16" t="s">
        <v>164</v>
      </c>
      <c r="D1717" s="33" t="s">
        <v>34</v>
      </c>
      <c r="E1717" s="33">
        <v>72</v>
      </c>
      <c r="F1717" s="33">
        <v>5</v>
      </c>
      <c r="G1717" s="33">
        <v>4</v>
      </c>
      <c r="H1717" s="33"/>
      <c r="I1717" s="31" t="s">
        <v>46</v>
      </c>
      <c r="J1717" s="31"/>
      <c r="K1717" s="33"/>
      <c r="L1717" s="33"/>
      <c r="M1717" s="31"/>
      <c r="N1717" s="31"/>
      <c r="O1717" s="16" t="s">
        <v>3586</v>
      </c>
      <c r="P1717" s="16"/>
      <c r="Q1717" s="16"/>
      <c r="R1717" s="33"/>
      <c r="S1717" s="34"/>
      <c r="T1717" s="34"/>
      <c r="U1717" s="34"/>
      <c r="V1717" s="34"/>
      <c r="W1717" s="34"/>
      <c r="X1717" s="33" t="s">
        <v>3584</v>
      </c>
      <c r="Y1717" s="35" t="str">
        <f>IF(Tabela2[[#This Row],[SIGLA]]="","",VLOOKUP(Tabela2[[#This Row],[SIGLA]],Tabela1[[#All],[Sigla Arte]:[Crédito]],2,0))</f>
        <v>FERNANDA PARDINI BIAGIO/ARQUIVO DA EDITORA</v>
      </c>
      <c r="Z1717" s="31"/>
      <c r="AA1717" s="31" t="str">
        <f>Tabela2[[#This Row],[ILUSTRADOR CRIAÇÃO]]</f>
        <v>FERNANDA PARDINI BIAGIO/ARQUIVO DA EDITORA</v>
      </c>
      <c r="AB1717" s="33"/>
      <c r="AC1717" s="16"/>
      <c r="AE1717" s="35" t="str">
        <f t="shared" si="28"/>
        <v>EF1 E002 Mat</v>
      </c>
    </row>
    <row r="1718" spans="1:31" ht="30" x14ac:dyDescent="0.25">
      <c r="A1718" s="31" t="s">
        <v>3587</v>
      </c>
      <c r="B1718" s="16" t="s">
        <v>32</v>
      </c>
      <c r="C1718" s="16" t="s">
        <v>164</v>
      </c>
      <c r="D1718" s="33" t="s">
        <v>34</v>
      </c>
      <c r="E1718" s="33">
        <v>72</v>
      </c>
      <c r="F1718" s="33">
        <v>5</v>
      </c>
      <c r="G1718" s="33">
        <v>4</v>
      </c>
      <c r="H1718" s="33"/>
      <c r="I1718" s="31" t="s">
        <v>46</v>
      </c>
      <c r="J1718" s="31"/>
      <c r="K1718" s="33"/>
      <c r="L1718" s="33"/>
      <c r="M1718" s="31"/>
      <c r="N1718" s="31"/>
      <c r="O1718" s="16" t="s">
        <v>3588</v>
      </c>
      <c r="P1718" s="16"/>
      <c r="Q1718" s="16"/>
      <c r="R1718" s="33"/>
      <c r="S1718" s="34"/>
      <c r="T1718" s="34"/>
      <c r="U1718" s="34"/>
      <c r="V1718" s="34"/>
      <c r="W1718" s="34"/>
      <c r="X1718" s="33" t="s">
        <v>3584</v>
      </c>
      <c r="Y1718" s="35" t="str">
        <f>IF(Tabela2[[#This Row],[SIGLA]]="","",VLOOKUP(Tabela2[[#This Row],[SIGLA]],Tabela1[[#All],[Sigla Arte]:[Crédito]],2,0))</f>
        <v>FERNANDA PARDINI BIAGIO/ARQUIVO DA EDITORA</v>
      </c>
      <c r="Z1718" s="31"/>
      <c r="AA1718" s="31" t="str">
        <f>Tabela2[[#This Row],[ILUSTRADOR CRIAÇÃO]]</f>
        <v>FERNANDA PARDINI BIAGIO/ARQUIVO DA EDITORA</v>
      </c>
      <c r="AB1718" s="33"/>
      <c r="AC1718" s="16"/>
      <c r="AE1718" s="35" t="str">
        <f t="shared" si="28"/>
        <v>EF1 E002 Mat</v>
      </c>
    </row>
    <row r="1719" spans="1:31" ht="30" x14ac:dyDescent="0.25">
      <c r="A1719" s="31" t="s">
        <v>3589</v>
      </c>
      <c r="B1719" s="16" t="s">
        <v>32</v>
      </c>
      <c r="C1719" s="16" t="s">
        <v>164</v>
      </c>
      <c r="D1719" s="33" t="s">
        <v>34</v>
      </c>
      <c r="E1719" s="33">
        <v>72</v>
      </c>
      <c r="F1719" s="33">
        <v>5</v>
      </c>
      <c r="G1719" s="33">
        <v>4</v>
      </c>
      <c r="H1719" s="33"/>
      <c r="I1719" s="31" t="s">
        <v>46</v>
      </c>
      <c r="J1719" s="31"/>
      <c r="K1719" s="33"/>
      <c r="L1719" s="33"/>
      <c r="M1719" s="31"/>
      <c r="N1719" s="31"/>
      <c r="O1719" s="16" t="s">
        <v>3590</v>
      </c>
      <c r="P1719" s="16"/>
      <c r="Q1719" s="16"/>
      <c r="R1719" s="33"/>
      <c r="S1719" s="34"/>
      <c r="T1719" s="34"/>
      <c r="U1719" s="34"/>
      <c r="V1719" s="34"/>
      <c r="W1719" s="34"/>
      <c r="X1719" s="33" t="s">
        <v>3584</v>
      </c>
      <c r="Y1719" s="35" t="str">
        <f>IF(Tabela2[[#This Row],[SIGLA]]="","",VLOOKUP(Tabela2[[#This Row],[SIGLA]],Tabela1[[#All],[Sigla Arte]:[Crédito]],2,0))</f>
        <v>FERNANDA PARDINI BIAGIO/ARQUIVO DA EDITORA</v>
      </c>
      <c r="Z1719" s="31"/>
      <c r="AA1719" s="31" t="str">
        <f>Tabela2[[#This Row],[ILUSTRADOR CRIAÇÃO]]</f>
        <v>FERNANDA PARDINI BIAGIO/ARQUIVO DA EDITORA</v>
      </c>
      <c r="AB1719" s="33"/>
      <c r="AC1719" s="16"/>
      <c r="AE1719" s="35" t="str">
        <f t="shared" si="28"/>
        <v>EF1 E002 Mat</v>
      </c>
    </row>
    <row r="1720" spans="1:31" ht="30" x14ac:dyDescent="0.25">
      <c r="A1720" s="31" t="s">
        <v>3591</v>
      </c>
      <c r="B1720" s="16" t="s">
        <v>32</v>
      </c>
      <c r="C1720" s="16" t="s">
        <v>164</v>
      </c>
      <c r="D1720" s="33" t="s">
        <v>34</v>
      </c>
      <c r="E1720" s="33">
        <v>72</v>
      </c>
      <c r="F1720" s="33">
        <v>5</v>
      </c>
      <c r="G1720" s="33">
        <v>4</v>
      </c>
      <c r="H1720" s="33"/>
      <c r="I1720" s="31" t="s">
        <v>46</v>
      </c>
      <c r="J1720" s="31"/>
      <c r="K1720" s="33"/>
      <c r="L1720" s="33"/>
      <c r="M1720" s="31"/>
      <c r="N1720" s="31"/>
      <c r="O1720" s="16" t="s">
        <v>3592</v>
      </c>
      <c r="P1720" s="16"/>
      <c r="Q1720" s="16"/>
      <c r="R1720" s="33"/>
      <c r="S1720" s="34"/>
      <c r="T1720" s="34"/>
      <c r="U1720" s="34"/>
      <c r="V1720" s="34"/>
      <c r="W1720" s="34"/>
      <c r="X1720" s="33" t="s">
        <v>3584</v>
      </c>
      <c r="Y1720" s="35" t="str">
        <f>IF(Tabela2[[#This Row],[SIGLA]]="","",VLOOKUP(Tabela2[[#This Row],[SIGLA]],Tabela1[[#All],[Sigla Arte]:[Crédito]],2,0))</f>
        <v>FERNANDA PARDINI BIAGIO/ARQUIVO DA EDITORA</v>
      </c>
      <c r="Z1720" s="31"/>
      <c r="AA1720" s="31" t="str">
        <f>Tabela2[[#This Row],[ILUSTRADOR CRIAÇÃO]]</f>
        <v>FERNANDA PARDINI BIAGIO/ARQUIVO DA EDITORA</v>
      </c>
      <c r="AB1720" s="33"/>
      <c r="AC1720" s="16"/>
      <c r="AE1720" s="35" t="str">
        <f t="shared" si="28"/>
        <v>EF1 E002 Mat</v>
      </c>
    </row>
    <row r="1721" spans="1:31" ht="30" x14ac:dyDescent="0.25">
      <c r="A1721" s="31" t="s">
        <v>3593</v>
      </c>
      <c r="B1721" s="16" t="s">
        <v>32</v>
      </c>
      <c r="C1721" s="16" t="s">
        <v>164</v>
      </c>
      <c r="D1721" s="33" t="s">
        <v>34</v>
      </c>
      <c r="E1721" s="33">
        <v>72</v>
      </c>
      <c r="F1721" s="33">
        <v>5</v>
      </c>
      <c r="G1721" s="33">
        <v>4</v>
      </c>
      <c r="H1721" s="33"/>
      <c r="I1721" s="31" t="s">
        <v>46</v>
      </c>
      <c r="J1721" s="31"/>
      <c r="K1721" s="33"/>
      <c r="L1721" s="33"/>
      <c r="M1721" s="31"/>
      <c r="N1721" s="31"/>
      <c r="O1721" s="16" t="s">
        <v>3594</v>
      </c>
      <c r="P1721" s="16"/>
      <c r="Q1721" s="16"/>
      <c r="R1721" s="33"/>
      <c r="S1721" s="34"/>
      <c r="T1721" s="34"/>
      <c r="U1721" s="34"/>
      <c r="V1721" s="34"/>
      <c r="W1721" s="34"/>
      <c r="X1721" s="33" t="s">
        <v>3584</v>
      </c>
      <c r="Y1721" s="35" t="str">
        <f>IF(Tabela2[[#This Row],[SIGLA]]="","",VLOOKUP(Tabela2[[#This Row],[SIGLA]],Tabela1[[#All],[Sigla Arte]:[Crédito]],2,0))</f>
        <v>FERNANDA PARDINI BIAGIO/ARQUIVO DA EDITORA</v>
      </c>
      <c r="Z1721" s="31"/>
      <c r="AA1721" s="31" t="str">
        <f>Tabela2[[#This Row],[ILUSTRADOR CRIAÇÃO]]</f>
        <v>FERNANDA PARDINI BIAGIO/ARQUIVO DA EDITORA</v>
      </c>
      <c r="AB1721" s="33"/>
      <c r="AC1721" s="16"/>
      <c r="AE1721" s="35" t="str">
        <f t="shared" si="28"/>
        <v>EF1 E002 Mat</v>
      </c>
    </row>
    <row r="1722" spans="1:31" ht="30" x14ac:dyDescent="0.25">
      <c r="A1722" s="31" t="s">
        <v>3595</v>
      </c>
      <c r="B1722" s="16" t="s">
        <v>32</v>
      </c>
      <c r="C1722" s="16" t="s">
        <v>164</v>
      </c>
      <c r="D1722" s="33" t="s">
        <v>34</v>
      </c>
      <c r="E1722" s="33">
        <v>73</v>
      </c>
      <c r="F1722" s="33">
        <v>5</v>
      </c>
      <c r="G1722" s="33">
        <v>4</v>
      </c>
      <c r="H1722" s="33"/>
      <c r="I1722" s="31" t="s">
        <v>46</v>
      </c>
      <c r="J1722" s="31"/>
      <c r="K1722" s="33"/>
      <c r="L1722" s="33"/>
      <c r="M1722" s="31"/>
      <c r="N1722" s="31"/>
      <c r="O1722" s="16" t="s">
        <v>3596</v>
      </c>
      <c r="P1722" s="16"/>
      <c r="Q1722" s="16"/>
      <c r="R1722" s="33"/>
      <c r="S1722" s="34"/>
      <c r="T1722" s="34"/>
      <c r="U1722" s="34"/>
      <c r="V1722" s="34"/>
      <c r="W1722" s="34"/>
      <c r="X1722" s="33" t="s">
        <v>48</v>
      </c>
      <c r="Y1722" s="35" t="str">
        <f>IF(Tabela2[[#This Row],[SIGLA]]="","",VLOOKUP(Tabela2[[#This Row],[SIGLA]],Tabela1[[#All],[Sigla Arte]:[Crédito]],2,0))</f>
        <v>SERGIO LIMA/ARQUIVO DA EDITORA</v>
      </c>
      <c r="Z1722" s="31"/>
      <c r="AA1722" s="31" t="str">
        <f>Tabela2[[#This Row],[ILUSTRADOR CRIAÇÃO]]</f>
        <v>SERGIO LIMA/ARQUIVO DA EDITORA</v>
      </c>
      <c r="AB1722" s="33"/>
      <c r="AC1722" s="16"/>
      <c r="AE1722" s="35" t="str">
        <f t="shared" si="28"/>
        <v>EF1 E002 Mat</v>
      </c>
    </row>
    <row r="1723" spans="1:31" ht="30" x14ac:dyDescent="0.25">
      <c r="A1723" s="31" t="s">
        <v>3597</v>
      </c>
      <c r="B1723" s="16" t="s">
        <v>32</v>
      </c>
      <c r="C1723" s="16" t="s">
        <v>164</v>
      </c>
      <c r="D1723" s="33" t="s">
        <v>34</v>
      </c>
      <c r="E1723" s="33">
        <v>73</v>
      </c>
      <c r="F1723" s="33">
        <v>5</v>
      </c>
      <c r="G1723" s="33">
        <v>4</v>
      </c>
      <c r="H1723" s="33"/>
      <c r="I1723" s="31" t="s">
        <v>46</v>
      </c>
      <c r="J1723" s="31"/>
      <c r="K1723" s="33"/>
      <c r="L1723" s="33"/>
      <c r="M1723" s="31"/>
      <c r="N1723" s="31"/>
      <c r="O1723" s="16" t="s">
        <v>3598</v>
      </c>
      <c r="P1723" s="16"/>
      <c r="Q1723" s="16"/>
      <c r="R1723" s="33"/>
      <c r="S1723" s="34"/>
      <c r="T1723" s="34"/>
      <c r="U1723" s="34"/>
      <c r="V1723" s="34"/>
      <c r="W1723" s="34"/>
      <c r="X1723" s="33" t="s">
        <v>48</v>
      </c>
      <c r="Y1723" s="35" t="str">
        <f>IF(Tabela2[[#This Row],[SIGLA]]="","",VLOOKUP(Tabela2[[#This Row],[SIGLA]],Tabela1[[#All],[Sigla Arte]:[Crédito]],2,0))</f>
        <v>SERGIO LIMA/ARQUIVO DA EDITORA</v>
      </c>
      <c r="Z1723" s="31"/>
      <c r="AA1723" s="31" t="str">
        <f>Tabela2[[#This Row],[ILUSTRADOR CRIAÇÃO]]</f>
        <v>SERGIO LIMA/ARQUIVO DA EDITORA</v>
      </c>
      <c r="AB1723" s="33"/>
      <c r="AC1723" s="16"/>
      <c r="AE1723" s="35" t="str">
        <f t="shared" si="28"/>
        <v>EF1 E002 Mat</v>
      </c>
    </row>
    <row r="1724" spans="1:31" ht="30" x14ac:dyDescent="0.25">
      <c r="A1724" s="31" t="s">
        <v>3599</v>
      </c>
      <c r="B1724" s="16" t="s">
        <v>32</v>
      </c>
      <c r="C1724" s="16" t="s">
        <v>164</v>
      </c>
      <c r="D1724" s="33" t="s">
        <v>34</v>
      </c>
      <c r="E1724" s="33">
        <v>73</v>
      </c>
      <c r="F1724" s="33">
        <v>5</v>
      </c>
      <c r="G1724" s="33">
        <v>4</v>
      </c>
      <c r="H1724" s="33"/>
      <c r="I1724" s="31" t="s">
        <v>46</v>
      </c>
      <c r="J1724" s="31"/>
      <c r="K1724" s="33"/>
      <c r="L1724" s="33"/>
      <c r="M1724" s="31"/>
      <c r="N1724" s="31"/>
      <c r="O1724" s="16" t="s">
        <v>3600</v>
      </c>
      <c r="P1724" s="16"/>
      <c r="Q1724" s="16"/>
      <c r="R1724" s="33"/>
      <c r="S1724" s="34"/>
      <c r="T1724" s="34"/>
      <c r="U1724" s="34"/>
      <c r="V1724" s="34"/>
      <c r="W1724" s="34"/>
      <c r="X1724" s="33" t="s">
        <v>48</v>
      </c>
      <c r="Y1724" s="35" t="str">
        <f>IF(Tabela2[[#This Row],[SIGLA]]="","",VLOOKUP(Tabela2[[#This Row],[SIGLA]],Tabela1[[#All],[Sigla Arte]:[Crédito]],2,0))</f>
        <v>SERGIO LIMA/ARQUIVO DA EDITORA</v>
      </c>
      <c r="Z1724" s="31"/>
      <c r="AA1724" s="31" t="str">
        <f>Tabela2[[#This Row],[ILUSTRADOR CRIAÇÃO]]</f>
        <v>SERGIO LIMA/ARQUIVO DA EDITORA</v>
      </c>
      <c r="AB1724" s="33"/>
      <c r="AC1724" s="16"/>
      <c r="AE1724" s="35" t="str">
        <f t="shared" si="28"/>
        <v>EF1 E002 Mat</v>
      </c>
    </row>
    <row r="1725" spans="1:31" ht="30" x14ac:dyDescent="0.25">
      <c r="A1725" s="31" t="s">
        <v>3601</v>
      </c>
      <c r="B1725" s="16" t="s">
        <v>32</v>
      </c>
      <c r="C1725" s="16" t="s">
        <v>164</v>
      </c>
      <c r="D1725" s="33" t="s">
        <v>34</v>
      </c>
      <c r="E1725" s="33">
        <v>73</v>
      </c>
      <c r="F1725" s="33">
        <v>5</v>
      </c>
      <c r="G1725" s="33">
        <v>4</v>
      </c>
      <c r="H1725" s="33"/>
      <c r="I1725" s="31" t="s">
        <v>46</v>
      </c>
      <c r="J1725" s="31"/>
      <c r="K1725" s="33"/>
      <c r="L1725" s="33"/>
      <c r="M1725" s="31"/>
      <c r="N1725" s="31"/>
      <c r="O1725" s="16" t="s">
        <v>3602</v>
      </c>
      <c r="P1725" s="16"/>
      <c r="Q1725" s="16"/>
      <c r="R1725" s="33"/>
      <c r="S1725" s="34"/>
      <c r="T1725" s="34"/>
      <c r="U1725" s="34"/>
      <c r="V1725" s="34"/>
      <c r="W1725" s="34"/>
      <c r="X1725" s="33" t="s">
        <v>48</v>
      </c>
      <c r="Y1725" s="35" t="str">
        <f>IF(Tabela2[[#This Row],[SIGLA]]="","",VLOOKUP(Tabela2[[#This Row],[SIGLA]],Tabela1[[#All],[Sigla Arte]:[Crédito]],2,0))</f>
        <v>SERGIO LIMA/ARQUIVO DA EDITORA</v>
      </c>
      <c r="Z1725" s="31"/>
      <c r="AA1725" s="31" t="str">
        <f>Tabela2[[#This Row],[ILUSTRADOR CRIAÇÃO]]</f>
        <v>SERGIO LIMA/ARQUIVO DA EDITORA</v>
      </c>
      <c r="AB1725" s="33"/>
      <c r="AC1725" s="16"/>
      <c r="AE1725" s="35" t="str">
        <f t="shared" si="28"/>
        <v>EF1 E002 Mat</v>
      </c>
    </row>
    <row r="1726" spans="1:31" ht="30" x14ac:dyDescent="0.25">
      <c r="A1726" s="31" t="s">
        <v>3603</v>
      </c>
      <c r="B1726" s="16" t="s">
        <v>32</v>
      </c>
      <c r="C1726" s="16" t="s">
        <v>164</v>
      </c>
      <c r="D1726" s="33" t="s">
        <v>34</v>
      </c>
      <c r="E1726" s="33">
        <v>73</v>
      </c>
      <c r="F1726" s="33">
        <v>5</v>
      </c>
      <c r="G1726" s="33">
        <v>4</v>
      </c>
      <c r="H1726" s="33"/>
      <c r="I1726" s="31" t="s">
        <v>46</v>
      </c>
      <c r="J1726" s="31"/>
      <c r="K1726" s="33"/>
      <c r="L1726" s="33"/>
      <c r="M1726" s="31"/>
      <c r="N1726" s="31"/>
      <c r="O1726" s="16" t="s">
        <v>3604</v>
      </c>
      <c r="P1726" s="16"/>
      <c r="Q1726" s="16"/>
      <c r="R1726" s="33"/>
      <c r="S1726" s="34"/>
      <c r="T1726" s="34"/>
      <c r="U1726" s="34"/>
      <c r="V1726" s="34"/>
      <c r="W1726" s="34"/>
      <c r="X1726" s="33" t="s">
        <v>3584</v>
      </c>
      <c r="Y1726" s="35" t="str">
        <f>IF(Tabela2[[#This Row],[SIGLA]]="","",VLOOKUP(Tabela2[[#This Row],[SIGLA]],Tabela1[[#All],[Sigla Arte]:[Crédito]],2,0))</f>
        <v>FERNANDA PARDINI BIAGIO/ARQUIVO DA EDITORA</v>
      </c>
      <c r="Z1726" s="31"/>
      <c r="AA1726" s="31" t="str">
        <f>Tabela2[[#This Row],[ILUSTRADOR CRIAÇÃO]]</f>
        <v>FERNANDA PARDINI BIAGIO/ARQUIVO DA EDITORA</v>
      </c>
      <c r="AB1726" s="33"/>
      <c r="AC1726" s="16"/>
      <c r="AE1726" s="35" t="str">
        <f t="shared" si="28"/>
        <v>EF1 E002 Mat</v>
      </c>
    </row>
    <row r="1727" spans="1:31" ht="30" x14ac:dyDescent="0.25">
      <c r="A1727" s="31" t="s">
        <v>3605</v>
      </c>
      <c r="B1727" s="16" t="s">
        <v>32</v>
      </c>
      <c r="C1727" s="16" t="s">
        <v>164</v>
      </c>
      <c r="D1727" s="33" t="s">
        <v>34</v>
      </c>
      <c r="E1727" s="33">
        <v>73</v>
      </c>
      <c r="F1727" s="33">
        <v>5</v>
      </c>
      <c r="G1727" s="33">
        <v>4</v>
      </c>
      <c r="H1727" s="33"/>
      <c r="I1727" s="31" t="s">
        <v>46</v>
      </c>
      <c r="J1727" s="31"/>
      <c r="K1727" s="33"/>
      <c r="L1727" s="33"/>
      <c r="M1727" s="31"/>
      <c r="N1727" s="31"/>
      <c r="O1727" s="16" t="s">
        <v>3606</v>
      </c>
      <c r="P1727" s="16"/>
      <c r="Q1727" s="16"/>
      <c r="R1727" s="33"/>
      <c r="S1727" s="34"/>
      <c r="T1727" s="34"/>
      <c r="U1727" s="34"/>
      <c r="V1727" s="34"/>
      <c r="W1727" s="34"/>
      <c r="X1727" s="33" t="s">
        <v>48</v>
      </c>
      <c r="Y1727" s="35" t="str">
        <f>IF(Tabela2[[#This Row],[SIGLA]]="","",VLOOKUP(Tabela2[[#This Row],[SIGLA]],Tabela1[[#All],[Sigla Arte]:[Crédito]],2,0))</f>
        <v>SERGIO LIMA/ARQUIVO DA EDITORA</v>
      </c>
      <c r="Z1727" s="31"/>
      <c r="AA1727" s="31" t="str">
        <f>Tabela2[[#This Row],[ILUSTRADOR CRIAÇÃO]]</f>
        <v>SERGIO LIMA/ARQUIVO DA EDITORA</v>
      </c>
      <c r="AB1727" s="33"/>
      <c r="AC1727" s="16"/>
      <c r="AE1727" s="35" t="str">
        <f t="shared" si="28"/>
        <v>EF1 E002 Mat</v>
      </c>
    </row>
    <row r="1728" spans="1:31" ht="30" x14ac:dyDescent="0.25">
      <c r="A1728" s="31" t="s">
        <v>3607</v>
      </c>
      <c r="B1728" s="16" t="s">
        <v>32</v>
      </c>
      <c r="C1728" s="16" t="s">
        <v>164</v>
      </c>
      <c r="D1728" s="33" t="s">
        <v>34</v>
      </c>
      <c r="E1728" s="33">
        <v>73</v>
      </c>
      <c r="F1728" s="33">
        <v>5</v>
      </c>
      <c r="G1728" s="33">
        <v>4</v>
      </c>
      <c r="H1728" s="33"/>
      <c r="I1728" s="31" t="s">
        <v>46</v>
      </c>
      <c r="J1728" s="31"/>
      <c r="K1728" s="33"/>
      <c r="L1728" s="33"/>
      <c r="M1728" s="31"/>
      <c r="N1728" s="31"/>
      <c r="O1728" s="16" t="s">
        <v>3608</v>
      </c>
      <c r="P1728" s="16"/>
      <c r="Q1728" s="16"/>
      <c r="R1728" s="33"/>
      <c r="S1728" s="34"/>
      <c r="T1728" s="34"/>
      <c r="U1728" s="34"/>
      <c r="V1728" s="34"/>
      <c r="W1728" s="34"/>
      <c r="X1728" s="33" t="s">
        <v>48</v>
      </c>
      <c r="Y1728" s="35" t="str">
        <f>IF(Tabela2[[#This Row],[SIGLA]]="","",VLOOKUP(Tabela2[[#This Row],[SIGLA]],Tabela1[[#All],[Sigla Arte]:[Crédito]],2,0))</f>
        <v>SERGIO LIMA/ARQUIVO DA EDITORA</v>
      </c>
      <c r="Z1728" s="31"/>
      <c r="AA1728" s="31" t="str">
        <f>Tabela2[[#This Row],[ILUSTRADOR CRIAÇÃO]]</f>
        <v>SERGIO LIMA/ARQUIVO DA EDITORA</v>
      </c>
      <c r="AB1728" s="33"/>
      <c r="AC1728" s="16"/>
      <c r="AE1728" s="35" t="str">
        <f t="shared" si="28"/>
        <v>EF1 E002 Mat</v>
      </c>
    </row>
    <row r="1729" spans="1:31" ht="30" x14ac:dyDescent="0.25">
      <c r="A1729" s="31" t="s">
        <v>3609</v>
      </c>
      <c r="B1729" s="16" t="s">
        <v>32</v>
      </c>
      <c r="C1729" s="16" t="s">
        <v>164</v>
      </c>
      <c r="D1729" s="33" t="s">
        <v>34</v>
      </c>
      <c r="E1729" s="33">
        <v>73</v>
      </c>
      <c r="F1729" s="33">
        <v>5</v>
      </c>
      <c r="G1729" s="33">
        <v>4</v>
      </c>
      <c r="H1729" s="33"/>
      <c r="I1729" s="31" t="s">
        <v>46</v>
      </c>
      <c r="J1729" s="31"/>
      <c r="K1729" s="33"/>
      <c r="L1729" s="33"/>
      <c r="M1729" s="31"/>
      <c r="N1729" s="31"/>
      <c r="O1729" s="16" t="s">
        <v>3610</v>
      </c>
      <c r="P1729" s="16"/>
      <c r="Q1729" s="16"/>
      <c r="R1729" s="33"/>
      <c r="S1729" s="34"/>
      <c r="T1729" s="34"/>
      <c r="U1729" s="34"/>
      <c r="V1729" s="34"/>
      <c r="W1729" s="34"/>
      <c r="X1729" s="33" t="s">
        <v>48</v>
      </c>
      <c r="Y1729" s="35" t="str">
        <f>IF(Tabela2[[#This Row],[SIGLA]]="","",VLOOKUP(Tabela2[[#This Row],[SIGLA]],Tabela1[[#All],[Sigla Arte]:[Crédito]],2,0))</f>
        <v>SERGIO LIMA/ARQUIVO DA EDITORA</v>
      </c>
      <c r="Z1729" s="31"/>
      <c r="AA1729" s="31" t="str">
        <f>Tabela2[[#This Row],[ILUSTRADOR CRIAÇÃO]]</f>
        <v>SERGIO LIMA/ARQUIVO DA EDITORA</v>
      </c>
      <c r="AB1729" s="33"/>
      <c r="AC1729" s="16"/>
      <c r="AE1729" s="35" t="str">
        <f t="shared" si="28"/>
        <v>EF1 E002 Mat</v>
      </c>
    </row>
    <row r="1730" spans="1:31" ht="30" x14ac:dyDescent="0.25">
      <c r="A1730" s="31" t="s">
        <v>3611</v>
      </c>
      <c r="B1730" s="16" t="s">
        <v>32</v>
      </c>
      <c r="C1730" s="16" t="s">
        <v>164</v>
      </c>
      <c r="D1730" s="33" t="s">
        <v>34</v>
      </c>
      <c r="E1730" s="33">
        <v>73</v>
      </c>
      <c r="F1730" s="33">
        <v>5</v>
      </c>
      <c r="G1730" s="33">
        <v>4</v>
      </c>
      <c r="H1730" s="33"/>
      <c r="I1730" s="31" t="s">
        <v>46</v>
      </c>
      <c r="J1730" s="31"/>
      <c r="K1730" s="33"/>
      <c r="L1730" s="33"/>
      <c r="M1730" s="31"/>
      <c r="N1730" s="31"/>
      <c r="O1730" s="16" t="s">
        <v>3612</v>
      </c>
      <c r="P1730" s="16"/>
      <c r="Q1730" s="16"/>
      <c r="R1730" s="33"/>
      <c r="S1730" s="34"/>
      <c r="T1730" s="34"/>
      <c r="U1730" s="34"/>
      <c r="V1730" s="34"/>
      <c r="W1730" s="34"/>
      <c r="X1730" s="33" t="s">
        <v>48</v>
      </c>
      <c r="Y1730" s="35" t="str">
        <f>IF(Tabela2[[#This Row],[SIGLA]]="","",VLOOKUP(Tabela2[[#This Row],[SIGLA]],Tabela1[[#All],[Sigla Arte]:[Crédito]],2,0))</f>
        <v>SERGIO LIMA/ARQUIVO DA EDITORA</v>
      </c>
      <c r="Z1730" s="31"/>
      <c r="AA1730" s="31" t="str">
        <f>Tabela2[[#This Row],[ILUSTRADOR CRIAÇÃO]]</f>
        <v>SERGIO LIMA/ARQUIVO DA EDITORA</v>
      </c>
      <c r="AB1730" s="33"/>
      <c r="AC1730" s="16"/>
      <c r="AE1730" s="35" t="str">
        <f t="shared" si="28"/>
        <v>EF1 E002 Mat</v>
      </c>
    </row>
    <row r="1731" spans="1:31" ht="30" x14ac:dyDescent="0.25">
      <c r="A1731" s="31" t="s">
        <v>3613</v>
      </c>
      <c r="B1731" s="16" t="s">
        <v>32</v>
      </c>
      <c r="C1731" s="16" t="s">
        <v>164</v>
      </c>
      <c r="D1731" s="33" t="s">
        <v>34</v>
      </c>
      <c r="E1731" s="33">
        <v>73</v>
      </c>
      <c r="F1731" s="33">
        <v>5</v>
      </c>
      <c r="G1731" s="33">
        <v>4</v>
      </c>
      <c r="H1731" s="33"/>
      <c r="I1731" s="31" t="s">
        <v>46</v>
      </c>
      <c r="J1731" s="31"/>
      <c r="K1731" s="33"/>
      <c r="L1731" s="33"/>
      <c r="M1731" s="31"/>
      <c r="N1731" s="31"/>
      <c r="O1731" s="16" t="s">
        <v>3614</v>
      </c>
      <c r="P1731" s="16"/>
      <c r="Q1731" s="16"/>
      <c r="R1731" s="33"/>
      <c r="S1731" s="34"/>
      <c r="T1731" s="34"/>
      <c r="U1731" s="34"/>
      <c r="V1731" s="34"/>
      <c r="W1731" s="34"/>
      <c r="X1731" s="33" t="s">
        <v>3584</v>
      </c>
      <c r="Y1731" s="35" t="str">
        <f>IF(Tabela2[[#This Row],[SIGLA]]="","",VLOOKUP(Tabela2[[#This Row],[SIGLA]],Tabela1[[#All],[Sigla Arte]:[Crédito]],2,0))</f>
        <v>FERNANDA PARDINI BIAGIO/ARQUIVO DA EDITORA</v>
      </c>
      <c r="Z1731" s="31"/>
      <c r="AA1731" s="31" t="str">
        <f>Tabela2[[#This Row],[ILUSTRADOR CRIAÇÃO]]</f>
        <v>FERNANDA PARDINI BIAGIO/ARQUIVO DA EDITORA</v>
      </c>
      <c r="AB1731" s="33"/>
      <c r="AC1731" s="16"/>
      <c r="AE1731" s="35" t="str">
        <f t="shared" si="28"/>
        <v>EF1 E002 Mat</v>
      </c>
    </row>
    <row r="1732" spans="1:31" ht="30" x14ac:dyDescent="0.25">
      <c r="A1732" s="31" t="s">
        <v>3615</v>
      </c>
      <c r="B1732" s="16" t="s">
        <v>32</v>
      </c>
      <c r="C1732" s="16" t="s">
        <v>164</v>
      </c>
      <c r="D1732" s="33" t="s">
        <v>34</v>
      </c>
      <c r="E1732" s="33">
        <v>73</v>
      </c>
      <c r="F1732" s="33">
        <v>5</v>
      </c>
      <c r="G1732" s="33">
        <v>4</v>
      </c>
      <c r="H1732" s="33"/>
      <c r="I1732" s="31" t="s">
        <v>46</v>
      </c>
      <c r="J1732" s="31"/>
      <c r="K1732" s="33"/>
      <c r="L1732" s="33"/>
      <c r="M1732" s="31"/>
      <c r="N1732" s="31"/>
      <c r="O1732" s="16" t="s">
        <v>3616</v>
      </c>
      <c r="P1732" s="16"/>
      <c r="Q1732" s="16"/>
      <c r="R1732" s="33"/>
      <c r="S1732" s="34"/>
      <c r="T1732" s="34"/>
      <c r="U1732" s="34"/>
      <c r="V1732" s="34"/>
      <c r="W1732" s="34"/>
      <c r="X1732" s="33" t="s">
        <v>3584</v>
      </c>
      <c r="Y1732" s="35" t="str">
        <f>IF(Tabela2[[#This Row],[SIGLA]]="","",VLOOKUP(Tabela2[[#This Row],[SIGLA]],Tabela1[[#All],[Sigla Arte]:[Crédito]],2,0))</f>
        <v>FERNANDA PARDINI BIAGIO/ARQUIVO DA EDITORA</v>
      </c>
      <c r="Z1732" s="31"/>
      <c r="AA1732" s="31" t="str">
        <f>Tabela2[[#This Row],[ILUSTRADOR CRIAÇÃO]]</f>
        <v>FERNANDA PARDINI BIAGIO/ARQUIVO DA EDITORA</v>
      </c>
      <c r="AB1732" s="33"/>
      <c r="AC1732" s="16"/>
      <c r="AE1732" s="35" t="str">
        <f t="shared" si="28"/>
        <v>EF1 E002 Mat</v>
      </c>
    </row>
    <row r="1733" spans="1:31" ht="30" x14ac:dyDescent="0.25">
      <c r="A1733" s="31" t="s">
        <v>3617</v>
      </c>
      <c r="B1733" s="16" t="s">
        <v>32</v>
      </c>
      <c r="C1733" s="16" t="s">
        <v>164</v>
      </c>
      <c r="D1733" s="33" t="s">
        <v>34</v>
      </c>
      <c r="E1733" s="33">
        <v>73</v>
      </c>
      <c r="F1733" s="33">
        <v>5</v>
      </c>
      <c r="G1733" s="33">
        <v>4</v>
      </c>
      <c r="H1733" s="33"/>
      <c r="I1733" s="31" t="s">
        <v>46</v>
      </c>
      <c r="J1733" s="31"/>
      <c r="K1733" s="33"/>
      <c r="L1733" s="33"/>
      <c r="M1733" s="31"/>
      <c r="N1733" s="31"/>
      <c r="O1733" s="16" t="s">
        <v>3618</v>
      </c>
      <c r="P1733" s="16"/>
      <c r="Q1733" s="16"/>
      <c r="R1733" s="33"/>
      <c r="S1733" s="34"/>
      <c r="T1733" s="34"/>
      <c r="U1733" s="34"/>
      <c r="V1733" s="34"/>
      <c r="W1733" s="34"/>
      <c r="X1733" s="33" t="s">
        <v>3584</v>
      </c>
      <c r="Y1733" s="35" t="str">
        <f>IF(Tabela2[[#This Row],[SIGLA]]="","",VLOOKUP(Tabela2[[#This Row],[SIGLA]],Tabela1[[#All],[Sigla Arte]:[Crédito]],2,0))</f>
        <v>FERNANDA PARDINI BIAGIO/ARQUIVO DA EDITORA</v>
      </c>
      <c r="Z1733" s="31"/>
      <c r="AA1733" s="31" t="str">
        <f>Tabela2[[#This Row],[ILUSTRADOR CRIAÇÃO]]</f>
        <v>FERNANDA PARDINI BIAGIO/ARQUIVO DA EDITORA</v>
      </c>
      <c r="AB1733" s="33"/>
      <c r="AC1733" s="16"/>
      <c r="AE1733" s="35" t="str">
        <f t="shared" si="28"/>
        <v>EF1 E002 Mat</v>
      </c>
    </row>
    <row r="1734" spans="1:31" ht="30" x14ac:dyDescent="0.25">
      <c r="A1734" s="31" t="s">
        <v>3619</v>
      </c>
      <c r="B1734" s="16" t="s">
        <v>32</v>
      </c>
      <c r="C1734" s="16" t="s">
        <v>164</v>
      </c>
      <c r="D1734" s="33" t="s">
        <v>34</v>
      </c>
      <c r="E1734" s="33">
        <v>73</v>
      </c>
      <c r="F1734" s="33">
        <v>5</v>
      </c>
      <c r="G1734" s="33">
        <v>4</v>
      </c>
      <c r="H1734" s="33"/>
      <c r="I1734" s="31" t="s">
        <v>46</v>
      </c>
      <c r="J1734" s="31"/>
      <c r="K1734" s="33"/>
      <c r="L1734" s="33"/>
      <c r="M1734" s="31"/>
      <c r="N1734" s="31"/>
      <c r="O1734" s="16" t="s">
        <v>3620</v>
      </c>
      <c r="P1734" s="16"/>
      <c r="Q1734" s="16"/>
      <c r="R1734" s="33"/>
      <c r="S1734" s="34"/>
      <c r="T1734" s="34"/>
      <c r="U1734" s="34"/>
      <c r="V1734" s="34"/>
      <c r="W1734" s="34"/>
      <c r="X1734" s="33" t="s">
        <v>3584</v>
      </c>
      <c r="Y1734" s="35" t="str">
        <f>IF(Tabela2[[#This Row],[SIGLA]]="","",VLOOKUP(Tabela2[[#This Row],[SIGLA]],Tabela1[[#All],[Sigla Arte]:[Crédito]],2,0))</f>
        <v>FERNANDA PARDINI BIAGIO/ARQUIVO DA EDITORA</v>
      </c>
      <c r="Z1734" s="31"/>
      <c r="AA1734" s="31" t="str">
        <f>Tabela2[[#This Row],[ILUSTRADOR CRIAÇÃO]]</f>
        <v>FERNANDA PARDINI BIAGIO/ARQUIVO DA EDITORA</v>
      </c>
      <c r="AB1734" s="33"/>
      <c r="AC1734" s="16"/>
      <c r="AE1734" s="35" t="str">
        <f t="shared" si="28"/>
        <v>EF1 E002 Mat</v>
      </c>
    </row>
    <row r="1735" spans="1:31" ht="30" x14ac:dyDescent="0.25">
      <c r="A1735" s="31" t="s">
        <v>3621</v>
      </c>
      <c r="B1735" s="16" t="s">
        <v>32</v>
      </c>
      <c r="C1735" s="16" t="s">
        <v>164</v>
      </c>
      <c r="D1735" s="33" t="s">
        <v>34</v>
      </c>
      <c r="E1735" s="33">
        <v>74</v>
      </c>
      <c r="F1735" s="33">
        <v>5</v>
      </c>
      <c r="G1735" s="33">
        <v>4</v>
      </c>
      <c r="H1735" s="33"/>
      <c r="I1735" s="31" t="s">
        <v>46</v>
      </c>
      <c r="J1735" s="31"/>
      <c r="K1735" s="33"/>
      <c r="L1735" s="33"/>
      <c r="M1735" s="31"/>
      <c r="N1735" s="31"/>
      <c r="O1735" s="16" t="s">
        <v>3622</v>
      </c>
      <c r="P1735" s="16"/>
      <c r="Q1735" s="16"/>
      <c r="R1735" s="33"/>
      <c r="S1735" s="34"/>
      <c r="T1735" s="34"/>
      <c r="U1735" s="34"/>
      <c r="V1735" s="34"/>
      <c r="W1735" s="34"/>
      <c r="X1735" s="33" t="s">
        <v>48</v>
      </c>
      <c r="Y1735" s="35" t="str">
        <f>IF(Tabela2[[#This Row],[SIGLA]]="","",VLOOKUP(Tabela2[[#This Row],[SIGLA]],Tabela1[[#All],[Sigla Arte]:[Crédito]],2,0))</f>
        <v>SERGIO LIMA/ARQUIVO DA EDITORA</v>
      </c>
      <c r="Z1735" s="31"/>
      <c r="AA1735" s="31" t="str">
        <f>Tabela2[[#This Row],[ILUSTRADOR CRIAÇÃO]]</f>
        <v>SERGIO LIMA/ARQUIVO DA EDITORA</v>
      </c>
      <c r="AB1735" s="33"/>
      <c r="AC1735" s="16"/>
      <c r="AE1735" s="35" t="str">
        <f t="shared" si="28"/>
        <v>EF1 E002 Mat</v>
      </c>
    </row>
    <row r="1736" spans="1:31" ht="30" x14ac:dyDescent="0.25">
      <c r="A1736" s="31" t="s">
        <v>3623</v>
      </c>
      <c r="B1736" s="16" t="s">
        <v>32</v>
      </c>
      <c r="C1736" s="16" t="s">
        <v>164</v>
      </c>
      <c r="D1736" s="33" t="s">
        <v>34</v>
      </c>
      <c r="E1736" s="33">
        <v>74</v>
      </c>
      <c r="F1736" s="33">
        <v>5</v>
      </c>
      <c r="G1736" s="33">
        <v>4</v>
      </c>
      <c r="H1736" s="33"/>
      <c r="I1736" s="31" t="s">
        <v>46</v>
      </c>
      <c r="J1736" s="31"/>
      <c r="K1736" s="33"/>
      <c r="L1736" s="33"/>
      <c r="M1736" s="31"/>
      <c r="N1736" s="31"/>
      <c r="O1736" s="16" t="s">
        <v>3624</v>
      </c>
      <c r="P1736" s="16"/>
      <c r="Q1736" s="16"/>
      <c r="R1736" s="33"/>
      <c r="S1736" s="34"/>
      <c r="T1736" s="34"/>
      <c r="U1736" s="34"/>
      <c r="V1736" s="34"/>
      <c r="W1736" s="34"/>
      <c r="X1736" s="33" t="s">
        <v>3584</v>
      </c>
      <c r="Y1736" s="35" t="str">
        <f>IF(Tabela2[[#This Row],[SIGLA]]="","",VLOOKUP(Tabela2[[#This Row],[SIGLA]],Tabela1[[#All],[Sigla Arte]:[Crédito]],2,0))</f>
        <v>FERNANDA PARDINI BIAGIO/ARQUIVO DA EDITORA</v>
      </c>
      <c r="Z1736" s="31"/>
      <c r="AA1736" s="31" t="str">
        <f>Tabela2[[#This Row],[ILUSTRADOR CRIAÇÃO]]</f>
        <v>FERNANDA PARDINI BIAGIO/ARQUIVO DA EDITORA</v>
      </c>
      <c r="AB1736" s="33"/>
      <c r="AC1736" s="16"/>
      <c r="AE1736" s="35" t="str">
        <f t="shared" si="28"/>
        <v>EF1 E002 Mat</v>
      </c>
    </row>
    <row r="1737" spans="1:31" ht="30" x14ac:dyDescent="0.25">
      <c r="A1737" s="31" t="s">
        <v>3625</v>
      </c>
      <c r="B1737" s="16" t="s">
        <v>32</v>
      </c>
      <c r="C1737" s="16" t="s">
        <v>164</v>
      </c>
      <c r="D1737" s="33" t="s">
        <v>34</v>
      </c>
      <c r="E1737" s="33">
        <v>74</v>
      </c>
      <c r="F1737" s="33">
        <v>5</v>
      </c>
      <c r="G1737" s="33">
        <v>4</v>
      </c>
      <c r="H1737" s="33"/>
      <c r="I1737" s="31" t="s">
        <v>46</v>
      </c>
      <c r="J1737" s="31"/>
      <c r="K1737" s="33"/>
      <c r="L1737" s="33"/>
      <c r="M1737" s="31"/>
      <c r="N1737" s="31"/>
      <c r="O1737" s="16" t="s">
        <v>3626</v>
      </c>
      <c r="P1737" s="16"/>
      <c r="Q1737" s="16"/>
      <c r="R1737" s="33"/>
      <c r="S1737" s="34"/>
      <c r="T1737" s="34"/>
      <c r="U1737" s="34"/>
      <c r="V1737" s="34"/>
      <c r="W1737" s="34"/>
      <c r="X1737" s="33" t="s">
        <v>48</v>
      </c>
      <c r="Y1737" s="35" t="str">
        <f>IF(Tabela2[[#This Row],[SIGLA]]="","",VLOOKUP(Tabela2[[#This Row],[SIGLA]],Tabela1[[#All],[Sigla Arte]:[Crédito]],2,0))</f>
        <v>SERGIO LIMA/ARQUIVO DA EDITORA</v>
      </c>
      <c r="Z1737" s="31"/>
      <c r="AA1737" s="31" t="str">
        <f>Tabela2[[#This Row],[ILUSTRADOR CRIAÇÃO]]</f>
        <v>SERGIO LIMA/ARQUIVO DA EDITORA</v>
      </c>
      <c r="AB1737" s="33"/>
      <c r="AC1737" s="16"/>
      <c r="AE1737" s="35" t="str">
        <f t="shared" si="28"/>
        <v>EF1 E002 Mat</v>
      </c>
    </row>
    <row r="1738" spans="1:31" ht="30" x14ac:dyDescent="0.25">
      <c r="A1738" s="31" t="s">
        <v>3627</v>
      </c>
      <c r="B1738" s="16" t="s">
        <v>32</v>
      </c>
      <c r="C1738" s="16" t="s">
        <v>164</v>
      </c>
      <c r="D1738" s="33" t="s">
        <v>34</v>
      </c>
      <c r="E1738" s="33">
        <v>74</v>
      </c>
      <c r="F1738" s="33">
        <v>5</v>
      </c>
      <c r="G1738" s="33">
        <v>4</v>
      </c>
      <c r="H1738" s="33"/>
      <c r="I1738" s="31" t="s">
        <v>46</v>
      </c>
      <c r="J1738" s="31"/>
      <c r="K1738" s="33"/>
      <c r="L1738" s="33"/>
      <c r="M1738" s="31"/>
      <c r="N1738" s="31"/>
      <c r="O1738" s="16" t="s">
        <v>3628</v>
      </c>
      <c r="P1738" s="16"/>
      <c r="Q1738" s="16"/>
      <c r="R1738" s="33"/>
      <c r="S1738" s="34"/>
      <c r="T1738" s="34"/>
      <c r="U1738" s="34"/>
      <c r="V1738" s="34"/>
      <c r="W1738" s="34"/>
      <c r="X1738" s="33" t="s">
        <v>48</v>
      </c>
      <c r="Y1738" s="35" t="str">
        <f>IF(Tabela2[[#This Row],[SIGLA]]="","",VLOOKUP(Tabela2[[#This Row],[SIGLA]],Tabela1[[#All],[Sigla Arte]:[Crédito]],2,0))</f>
        <v>SERGIO LIMA/ARQUIVO DA EDITORA</v>
      </c>
      <c r="Z1738" s="31"/>
      <c r="AA1738" s="31" t="str">
        <f>Tabela2[[#This Row],[ILUSTRADOR CRIAÇÃO]]</f>
        <v>SERGIO LIMA/ARQUIVO DA EDITORA</v>
      </c>
      <c r="AB1738" s="33"/>
      <c r="AC1738" s="16"/>
      <c r="AE1738" s="35" t="str">
        <f t="shared" si="28"/>
        <v>EF1 E002 Mat</v>
      </c>
    </row>
    <row r="1739" spans="1:31" ht="30" x14ac:dyDescent="0.25">
      <c r="A1739" s="31" t="s">
        <v>3629</v>
      </c>
      <c r="B1739" s="16" t="s">
        <v>32</v>
      </c>
      <c r="C1739" s="16" t="s">
        <v>164</v>
      </c>
      <c r="D1739" s="33" t="s">
        <v>34</v>
      </c>
      <c r="E1739" s="33">
        <v>74</v>
      </c>
      <c r="F1739" s="33">
        <v>5</v>
      </c>
      <c r="G1739" s="33">
        <v>4</v>
      </c>
      <c r="H1739" s="33"/>
      <c r="I1739" s="31" t="s">
        <v>46</v>
      </c>
      <c r="J1739" s="31"/>
      <c r="K1739" s="33"/>
      <c r="L1739" s="33"/>
      <c r="M1739" s="31"/>
      <c r="N1739" s="31"/>
      <c r="O1739" s="16" t="s">
        <v>3630</v>
      </c>
      <c r="P1739" s="16"/>
      <c r="Q1739" s="16"/>
      <c r="R1739" s="33"/>
      <c r="S1739" s="34"/>
      <c r="T1739" s="34"/>
      <c r="U1739" s="34"/>
      <c r="V1739" s="34"/>
      <c r="W1739" s="34"/>
      <c r="X1739" s="33" t="s">
        <v>48</v>
      </c>
      <c r="Y1739" s="35" t="str">
        <f>IF(Tabela2[[#This Row],[SIGLA]]="","",VLOOKUP(Tabela2[[#This Row],[SIGLA]],Tabela1[[#All],[Sigla Arte]:[Crédito]],2,0))</f>
        <v>SERGIO LIMA/ARQUIVO DA EDITORA</v>
      </c>
      <c r="Z1739" s="31"/>
      <c r="AA1739" s="31" t="str">
        <f>Tabela2[[#This Row],[ILUSTRADOR CRIAÇÃO]]</f>
        <v>SERGIO LIMA/ARQUIVO DA EDITORA</v>
      </c>
      <c r="AB1739" s="33"/>
      <c r="AC1739" s="16"/>
      <c r="AE1739" s="35" t="str">
        <f t="shared" si="28"/>
        <v>EF1 E002 Mat</v>
      </c>
    </row>
    <row r="1740" spans="1:31" ht="30" x14ac:dyDescent="0.25">
      <c r="A1740" s="31" t="s">
        <v>3631</v>
      </c>
      <c r="B1740" s="16" t="s">
        <v>32</v>
      </c>
      <c r="C1740" s="16" t="s">
        <v>164</v>
      </c>
      <c r="D1740" s="33" t="s">
        <v>34</v>
      </c>
      <c r="E1740" s="33">
        <v>74</v>
      </c>
      <c r="F1740" s="33">
        <v>5</v>
      </c>
      <c r="G1740" s="33">
        <v>4</v>
      </c>
      <c r="H1740" s="33"/>
      <c r="I1740" s="31" t="s">
        <v>46</v>
      </c>
      <c r="J1740" s="31"/>
      <c r="K1740" s="33"/>
      <c r="L1740" s="33"/>
      <c r="M1740" s="31"/>
      <c r="N1740" s="31"/>
      <c r="O1740" s="16" t="s">
        <v>3632</v>
      </c>
      <c r="P1740" s="16"/>
      <c r="Q1740" s="16"/>
      <c r="R1740" s="33"/>
      <c r="S1740" s="34"/>
      <c r="T1740" s="34"/>
      <c r="U1740" s="34"/>
      <c r="V1740" s="34"/>
      <c r="W1740" s="34"/>
      <c r="X1740" s="33" t="s">
        <v>48</v>
      </c>
      <c r="Y1740" s="35" t="str">
        <f>IF(Tabela2[[#This Row],[SIGLA]]="","",VLOOKUP(Tabela2[[#This Row],[SIGLA]],Tabela1[[#All],[Sigla Arte]:[Crédito]],2,0))</f>
        <v>SERGIO LIMA/ARQUIVO DA EDITORA</v>
      </c>
      <c r="Z1740" s="31"/>
      <c r="AA1740" s="31" t="str">
        <f>Tabela2[[#This Row],[ILUSTRADOR CRIAÇÃO]]</f>
        <v>SERGIO LIMA/ARQUIVO DA EDITORA</v>
      </c>
      <c r="AB1740" s="33"/>
      <c r="AC1740" s="16"/>
      <c r="AE1740" s="35" t="str">
        <f t="shared" si="28"/>
        <v>EF1 E002 Mat</v>
      </c>
    </row>
    <row r="1741" spans="1:31" ht="30" x14ac:dyDescent="0.25">
      <c r="A1741" s="31" t="s">
        <v>3633</v>
      </c>
      <c r="B1741" s="16" t="s">
        <v>32</v>
      </c>
      <c r="C1741" s="16" t="s">
        <v>164</v>
      </c>
      <c r="D1741" s="33" t="s">
        <v>34</v>
      </c>
      <c r="E1741" s="33">
        <v>74</v>
      </c>
      <c r="F1741" s="33">
        <v>5</v>
      </c>
      <c r="G1741" s="33">
        <v>4</v>
      </c>
      <c r="H1741" s="33"/>
      <c r="I1741" s="31" t="s">
        <v>46</v>
      </c>
      <c r="J1741" s="31"/>
      <c r="K1741" s="33"/>
      <c r="L1741" s="33"/>
      <c r="M1741" s="31"/>
      <c r="N1741" s="31"/>
      <c r="O1741" s="16" t="s">
        <v>3634</v>
      </c>
      <c r="P1741" s="16"/>
      <c r="Q1741" s="16"/>
      <c r="R1741" s="33"/>
      <c r="S1741" s="34"/>
      <c r="T1741" s="34"/>
      <c r="U1741" s="34"/>
      <c r="V1741" s="34"/>
      <c r="W1741" s="34"/>
      <c r="X1741" s="33" t="s">
        <v>48</v>
      </c>
      <c r="Y1741" s="35" t="str">
        <f>IF(Tabela2[[#This Row],[SIGLA]]="","",VLOOKUP(Tabela2[[#This Row],[SIGLA]],Tabela1[[#All],[Sigla Arte]:[Crédito]],2,0))</f>
        <v>SERGIO LIMA/ARQUIVO DA EDITORA</v>
      </c>
      <c r="Z1741" s="31"/>
      <c r="AA1741" s="31" t="str">
        <f>Tabela2[[#This Row],[ILUSTRADOR CRIAÇÃO]]</f>
        <v>SERGIO LIMA/ARQUIVO DA EDITORA</v>
      </c>
      <c r="AB1741" s="33"/>
      <c r="AC1741" s="16"/>
      <c r="AE1741" s="35" t="str">
        <f t="shared" si="28"/>
        <v>EF1 E002 Mat</v>
      </c>
    </row>
    <row r="1742" spans="1:31" ht="30" x14ac:dyDescent="0.25">
      <c r="A1742" s="31" t="s">
        <v>3635</v>
      </c>
      <c r="B1742" s="16" t="s">
        <v>32</v>
      </c>
      <c r="C1742" s="16" t="s">
        <v>164</v>
      </c>
      <c r="D1742" s="33" t="s">
        <v>34</v>
      </c>
      <c r="E1742" s="33">
        <v>74</v>
      </c>
      <c r="F1742" s="33">
        <v>5</v>
      </c>
      <c r="G1742" s="33">
        <v>4</v>
      </c>
      <c r="H1742" s="33"/>
      <c r="I1742" s="31" t="s">
        <v>46</v>
      </c>
      <c r="J1742" s="31"/>
      <c r="K1742" s="33"/>
      <c r="L1742" s="33"/>
      <c r="M1742" s="31"/>
      <c r="N1742" s="31"/>
      <c r="O1742" s="16" t="s">
        <v>3636</v>
      </c>
      <c r="P1742" s="16"/>
      <c r="Q1742" s="16"/>
      <c r="R1742" s="33"/>
      <c r="S1742" s="34"/>
      <c r="T1742" s="34"/>
      <c r="U1742" s="34"/>
      <c r="V1742" s="34"/>
      <c r="W1742" s="34"/>
      <c r="X1742" s="33" t="s">
        <v>48</v>
      </c>
      <c r="Y1742" s="35" t="str">
        <f>IF(Tabela2[[#This Row],[SIGLA]]="","",VLOOKUP(Tabela2[[#This Row],[SIGLA]],Tabela1[[#All],[Sigla Arte]:[Crédito]],2,0))</f>
        <v>SERGIO LIMA/ARQUIVO DA EDITORA</v>
      </c>
      <c r="Z1742" s="31"/>
      <c r="AA1742" s="31" t="str">
        <f>Tabela2[[#This Row],[ILUSTRADOR CRIAÇÃO]]</f>
        <v>SERGIO LIMA/ARQUIVO DA EDITORA</v>
      </c>
      <c r="AB1742" s="33"/>
      <c r="AC1742" s="16"/>
      <c r="AE1742" s="35" t="str">
        <f t="shared" si="28"/>
        <v>EF1 E002 Mat</v>
      </c>
    </row>
    <row r="1743" spans="1:31" ht="30" x14ac:dyDescent="0.25">
      <c r="A1743" s="31" t="s">
        <v>3637</v>
      </c>
      <c r="B1743" s="16" t="s">
        <v>32</v>
      </c>
      <c r="C1743" s="16" t="s">
        <v>164</v>
      </c>
      <c r="D1743" s="33" t="s">
        <v>34</v>
      </c>
      <c r="E1743" s="33">
        <v>75</v>
      </c>
      <c r="F1743" s="33">
        <v>5</v>
      </c>
      <c r="G1743" s="33">
        <v>4</v>
      </c>
      <c r="H1743" s="33"/>
      <c r="I1743" s="31" t="s">
        <v>46</v>
      </c>
      <c r="J1743" s="31"/>
      <c r="K1743" s="33"/>
      <c r="L1743" s="33"/>
      <c r="M1743" s="31"/>
      <c r="N1743" s="31"/>
      <c r="O1743" s="16" t="s">
        <v>3638</v>
      </c>
      <c r="P1743" s="16"/>
      <c r="Q1743" s="16"/>
      <c r="R1743" s="33"/>
      <c r="S1743" s="34"/>
      <c r="T1743" s="34"/>
      <c r="U1743" s="34"/>
      <c r="V1743" s="34"/>
      <c r="W1743" s="34"/>
      <c r="X1743" s="33" t="s">
        <v>48</v>
      </c>
      <c r="Y1743" s="35" t="str">
        <f>IF(Tabela2[[#This Row],[SIGLA]]="","",VLOOKUP(Tabela2[[#This Row],[SIGLA]],Tabela1[[#All],[Sigla Arte]:[Crédito]],2,0))</f>
        <v>SERGIO LIMA/ARQUIVO DA EDITORA</v>
      </c>
      <c r="Z1743" s="31"/>
      <c r="AA1743" s="31" t="str">
        <f>Tabela2[[#This Row],[ILUSTRADOR CRIAÇÃO]]</f>
        <v>SERGIO LIMA/ARQUIVO DA EDITORA</v>
      </c>
      <c r="AB1743" s="33"/>
      <c r="AC1743" s="16"/>
      <c r="AE1743" s="35" t="str">
        <f t="shared" si="28"/>
        <v>EF1 E002 Mat</v>
      </c>
    </row>
    <row r="1744" spans="1:31" ht="45" x14ac:dyDescent="0.25">
      <c r="A1744" s="31" t="s">
        <v>3639</v>
      </c>
      <c r="B1744" s="16" t="s">
        <v>32</v>
      </c>
      <c r="C1744" s="16" t="s">
        <v>164</v>
      </c>
      <c r="D1744" s="33" t="s">
        <v>34</v>
      </c>
      <c r="E1744" s="33">
        <v>75</v>
      </c>
      <c r="F1744" s="33">
        <v>5</v>
      </c>
      <c r="G1744" s="33">
        <v>4</v>
      </c>
      <c r="H1744" s="33"/>
      <c r="I1744" s="31" t="s">
        <v>46</v>
      </c>
      <c r="J1744" s="31"/>
      <c r="K1744" s="33"/>
      <c r="L1744" s="33"/>
      <c r="M1744" s="31"/>
      <c r="N1744" s="31"/>
      <c r="O1744" s="16" t="s">
        <v>3640</v>
      </c>
      <c r="P1744" s="16"/>
      <c r="Q1744" s="16"/>
      <c r="R1744" s="33"/>
      <c r="S1744" s="34"/>
      <c r="T1744" s="34"/>
      <c r="U1744" s="34"/>
      <c r="V1744" s="34"/>
      <c r="W1744" s="34"/>
      <c r="X1744" s="33" t="s">
        <v>48</v>
      </c>
      <c r="Y1744" s="35" t="str">
        <f>IF(Tabela2[[#This Row],[SIGLA]]="","",VLOOKUP(Tabela2[[#This Row],[SIGLA]],Tabela1[[#All],[Sigla Arte]:[Crédito]],2,0))</f>
        <v>SERGIO LIMA/ARQUIVO DA EDITORA</v>
      </c>
      <c r="Z1744" s="31"/>
      <c r="AA1744" s="31" t="str">
        <f>Tabela2[[#This Row],[ILUSTRADOR CRIAÇÃO]]</f>
        <v>SERGIO LIMA/ARQUIVO DA EDITORA</v>
      </c>
      <c r="AB1744" s="33"/>
      <c r="AC1744" s="16"/>
      <c r="AE1744" s="35" t="str">
        <f t="shared" si="28"/>
        <v>EF1 E002 Mat</v>
      </c>
    </row>
    <row r="1745" spans="1:31" ht="45" x14ac:dyDescent="0.25">
      <c r="A1745" s="31" t="s">
        <v>3641</v>
      </c>
      <c r="B1745" s="16" t="s">
        <v>32</v>
      </c>
      <c r="C1745" s="16" t="s">
        <v>164</v>
      </c>
      <c r="D1745" s="33" t="s">
        <v>34</v>
      </c>
      <c r="E1745" s="33">
        <v>75</v>
      </c>
      <c r="F1745" s="33">
        <v>5</v>
      </c>
      <c r="G1745" s="33">
        <v>4</v>
      </c>
      <c r="H1745" s="33"/>
      <c r="I1745" s="31" t="s">
        <v>46</v>
      </c>
      <c r="J1745" s="31"/>
      <c r="K1745" s="33"/>
      <c r="L1745" s="33"/>
      <c r="M1745" s="31"/>
      <c r="N1745" s="31"/>
      <c r="O1745" s="16" t="s">
        <v>3642</v>
      </c>
      <c r="P1745" s="16"/>
      <c r="Q1745" s="16"/>
      <c r="R1745" s="33"/>
      <c r="S1745" s="34"/>
      <c r="T1745" s="34"/>
      <c r="U1745" s="34"/>
      <c r="V1745" s="34"/>
      <c r="W1745" s="34"/>
      <c r="X1745" s="33" t="s">
        <v>48</v>
      </c>
      <c r="Y1745" s="35" t="str">
        <f>IF(Tabela2[[#This Row],[SIGLA]]="","",VLOOKUP(Tabela2[[#This Row],[SIGLA]],Tabela1[[#All],[Sigla Arte]:[Crédito]],2,0))</f>
        <v>SERGIO LIMA/ARQUIVO DA EDITORA</v>
      </c>
      <c r="Z1745" s="31"/>
      <c r="AA1745" s="31" t="str">
        <f>Tabela2[[#This Row],[ILUSTRADOR CRIAÇÃO]]</f>
        <v>SERGIO LIMA/ARQUIVO DA EDITORA</v>
      </c>
      <c r="AB1745" s="33"/>
      <c r="AC1745" s="16"/>
      <c r="AE1745" s="35" t="str">
        <f t="shared" si="28"/>
        <v>EF1 E002 Mat</v>
      </c>
    </row>
    <row r="1746" spans="1:31" ht="30" x14ac:dyDescent="0.25">
      <c r="A1746" s="31" t="s">
        <v>3643</v>
      </c>
      <c r="B1746" s="16" t="s">
        <v>32</v>
      </c>
      <c r="C1746" s="16" t="s">
        <v>164</v>
      </c>
      <c r="D1746" s="33" t="s">
        <v>34</v>
      </c>
      <c r="E1746" s="33">
        <v>75</v>
      </c>
      <c r="F1746" s="33">
        <v>5</v>
      </c>
      <c r="G1746" s="33">
        <v>4</v>
      </c>
      <c r="H1746" s="33"/>
      <c r="I1746" s="31" t="s">
        <v>46</v>
      </c>
      <c r="J1746" s="31"/>
      <c r="K1746" s="33"/>
      <c r="L1746" s="33"/>
      <c r="M1746" s="31"/>
      <c r="N1746" s="31"/>
      <c r="O1746" s="16" t="s">
        <v>3644</v>
      </c>
      <c r="P1746" s="16"/>
      <c r="Q1746" s="16"/>
      <c r="R1746" s="33"/>
      <c r="S1746" s="34"/>
      <c r="T1746" s="34"/>
      <c r="U1746" s="34"/>
      <c r="V1746" s="34"/>
      <c r="W1746" s="34"/>
      <c r="X1746" s="33" t="s">
        <v>48</v>
      </c>
      <c r="Y1746" s="35" t="str">
        <f>IF(Tabela2[[#This Row],[SIGLA]]="","",VLOOKUP(Tabela2[[#This Row],[SIGLA]],Tabela1[[#All],[Sigla Arte]:[Crédito]],2,0))</f>
        <v>SERGIO LIMA/ARQUIVO DA EDITORA</v>
      </c>
      <c r="Z1746" s="31"/>
      <c r="AA1746" s="31" t="str">
        <f>Tabela2[[#This Row],[ILUSTRADOR CRIAÇÃO]]</f>
        <v>SERGIO LIMA/ARQUIVO DA EDITORA</v>
      </c>
      <c r="AB1746" s="33"/>
      <c r="AC1746" s="16"/>
      <c r="AE1746" s="35" t="str">
        <f t="shared" si="28"/>
        <v>EF1 E002 Mat</v>
      </c>
    </row>
    <row r="1747" spans="1:31" ht="30" x14ac:dyDescent="0.25">
      <c r="A1747" s="31" t="s">
        <v>3645</v>
      </c>
      <c r="B1747" s="16" t="s">
        <v>32</v>
      </c>
      <c r="C1747" s="16" t="s">
        <v>164</v>
      </c>
      <c r="D1747" s="33" t="s">
        <v>34</v>
      </c>
      <c r="E1747" s="33">
        <v>75</v>
      </c>
      <c r="F1747" s="33">
        <v>5</v>
      </c>
      <c r="G1747" s="33">
        <v>4</v>
      </c>
      <c r="H1747" s="33"/>
      <c r="I1747" s="31" t="s">
        <v>46</v>
      </c>
      <c r="J1747" s="31"/>
      <c r="K1747" s="33"/>
      <c r="L1747" s="33"/>
      <c r="M1747" s="31"/>
      <c r="N1747" s="31"/>
      <c r="O1747" s="16" t="s">
        <v>3646</v>
      </c>
      <c r="P1747" s="16"/>
      <c r="Q1747" s="16"/>
      <c r="R1747" s="33"/>
      <c r="S1747" s="34"/>
      <c r="T1747" s="34"/>
      <c r="U1747" s="34"/>
      <c r="V1747" s="34"/>
      <c r="W1747" s="34"/>
      <c r="X1747" s="33" t="s">
        <v>48</v>
      </c>
      <c r="Y1747" s="35" t="str">
        <f>IF(Tabela2[[#This Row],[SIGLA]]="","",VLOOKUP(Tabela2[[#This Row],[SIGLA]],Tabela1[[#All],[Sigla Arte]:[Crédito]],2,0))</f>
        <v>SERGIO LIMA/ARQUIVO DA EDITORA</v>
      </c>
      <c r="Z1747" s="31"/>
      <c r="AA1747" s="31" t="str">
        <f>Tabela2[[#This Row],[ILUSTRADOR CRIAÇÃO]]</f>
        <v>SERGIO LIMA/ARQUIVO DA EDITORA</v>
      </c>
      <c r="AB1747" s="33"/>
      <c r="AC1747" s="16"/>
      <c r="AE1747" s="35" t="str">
        <f t="shared" si="28"/>
        <v>EF1 E002 Mat</v>
      </c>
    </row>
    <row r="1748" spans="1:31" ht="30" x14ac:dyDescent="0.25">
      <c r="A1748" s="31" t="s">
        <v>3647</v>
      </c>
      <c r="B1748" s="16" t="s">
        <v>32</v>
      </c>
      <c r="C1748" s="16" t="s">
        <v>164</v>
      </c>
      <c r="D1748" s="33" t="s">
        <v>34</v>
      </c>
      <c r="E1748" s="33">
        <v>75</v>
      </c>
      <c r="F1748" s="33">
        <v>5</v>
      </c>
      <c r="G1748" s="33">
        <v>4</v>
      </c>
      <c r="H1748" s="33"/>
      <c r="I1748" s="31" t="s">
        <v>46</v>
      </c>
      <c r="J1748" s="31"/>
      <c r="K1748" s="33"/>
      <c r="L1748" s="33"/>
      <c r="M1748" s="31"/>
      <c r="N1748" s="31"/>
      <c r="O1748" s="16" t="s">
        <v>3648</v>
      </c>
      <c r="P1748" s="16"/>
      <c r="Q1748" s="16"/>
      <c r="R1748" s="33"/>
      <c r="S1748" s="34"/>
      <c r="T1748" s="34"/>
      <c r="U1748" s="34"/>
      <c r="V1748" s="34"/>
      <c r="W1748" s="34"/>
      <c r="X1748" s="33" t="s">
        <v>48</v>
      </c>
      <c r="Y1748" s="35" t="str">
        <f>IF(Tabela2[[#This Row],[SIGLA]]="","",VLOOKUP(Tabela2[[#This Row],[SIGLA]],Tabela1[[#All],[Sigla Arte]:[Crédito]],2,0))</f>
        <v>SERGIO LIMA/ARQUIVO DA EDITORA</v>
      </c>
      <c r="Z1748" s="31"/>
      <c r="AA1748" s="31" t="str">
        <f>Tabela2[[#This Row],[ILUSTRADOR CRIAÇÃO]]</f>
        <v>SERGIO LIMA/ARQUIVO DA EDITORA</v>
      </c>
      <c r="AB1748" s="33"/>
      <c r="AC1748" s="16"/>
      <c r="AE1748" s="35" t="str">
        <f t="shared" si="28"/>
        <v>EF1 E002 Mat</v>
      </c>
    </row>
    <row r="1749" spans="1:31" ht="30" x14ac:dyDescent="0.25">
      <c r="A1749" s="31" t="s">
        <v>3649</v>
      </c>
      <c r="B1749" s="16" t="s">
        <v>32</v>
      </c>
      <c r="C1749" s="16" t="s">
        <v>164</v>
      </c>
      <c r="D1749" s="33" t="s">
        <v>34</v>
      </c>
      <c r="E1749" s="33">
        <v>75</v>
      </c>
      <c r="F1749" s="33">
        <v>5</v>
      </c>
      <c r="G1749" s="33">
        <v>4</v>
      </c>
      <c r="H1749" s="33"/>
      <c r="I1749" s="31" t="s">
        <v>46</v>
      </c>
      <c r="J1749" s="31"/>
      <c r="K1749" s="33"/>
      <c r="L1749" s="33"/>
      <c r="M1749" s="31"/>
      <c r="N1749" s="31"/>
      <c r="O1749" s="16" t="s">
        <v>3650</v>
      </c>
      <c r="P1749" s="16"/>
      <c r="Q1749" s="16"/>
      <c r="R1749" s="33"/>
      <c r="S1749" s="34"/>
      <c r="T1749" s="34"/>
      <c r="U1749" s="34"/>
      <c r="V1749" s="34"/>
      <c r="W1749" s="34"/>
      <c r="X1749" s="33" t="s">
        <v>48</v>
      </c>
      <c r="Y1749" s="35" t="str">
        <f>IF(Tabela2[[#This Row],[SIGLA]]="","",VLOOKUP(Tabela2[[#This Row],[SIGLA]],Tabela1[[#All],[Sigla Arte]:[Crédito]],2,0))</f>
        <v>SERGIO LIMA/ARQUIVO DA EDITORA</v>
      </c>
      <c r="Z1749" s="31"/>
      <c r="AA1749" s="31" t="str">
        <f>Tabela2[[#This Row],[ILUSTRADOR CRIAÇÃO]]</f>
        <v>SERGIO LIMA/ARQUIVO DA EDITORA</v>
      </c>
      <c r="AB1749" s="33"/>
      <c r="AC1749" s="16"/>
      <c r="AE1749" s="35" t="str">
        <f t="shared" si="28"/>
        <v>EF1 E002 Mat</v>
      </c>
    </row>
    <row r="1750" spans="1:31" ht="30" x14ac:dyDescent="0.25">
      <c r="A1750" s="31" t="s">
        <v>3651</v>
      </c>
      <c r="B1750" s="16" t="s">
        <v>32</v>
      </c>
      <c r="C1750" s="16" t="s">
        <v>164</v>
      </c>
      <c r="D1750" s="33" t="s">
        <v>34</v>
      </c>
      <c r="E1750" s="33">
        <v>75</v>
      </c>
      <c r="F1750" s="33">
        <v>5</v>
      </c>
      <c r="G1750" s="33">
        <v>4</v>
      </c>
      <c r="H1750" s="33"/>
      <c r="I1750" s="31" t="s">
        <v>46</v>
      </c>
      <c r="J1750" s="31"/>
      <c r="K1750" s="33"/>
      <c r="L1750" s="33"/>
      <c r="M1750" s="31"/>
      <c r="N1750" s="31"/>
      <c r="O1750" s="16" t="s">
        <v>3652</v>
      </c>
      <c r="P1750" s="16"/>
      <c r="Q1750" s="16"/>
      <c r="R1750" s="33"/>
      <c r="S1750" s="34"/>
      <c r="T1750" s="34"/>
      <c r="U1750" s="34"/>
      <c r="V1750" s="34"/>
      <c r="W1750" s="34"/>
      <c r="X1750" s="33" t="s">
        <v>48</v>
      </c>
      <c r="Y1750" s="35" t="str">
        <f>IF(Tabela2[[#This Row],[SIGLA]]="","",VLOOKUP(Tabela2[[#This Row],[SIGLA]],Tabela1[[#All],[Sigla Arte]:[Crédito]],2,0))</f>
        <v>SERGIO LIMA/ARQUIVO DA EDITORA</v>
      </c>
      <c r="Z1750" s="31"/>
      <c r="AA1750" s="31" t="str">
        <f>Tabela2[[#This Row],[ILUSTRADOR CRIAÇÃO]]</f>
        <v>SERGIO LIMA/ARQUIVO DA EDITORA</v>
      </c>
      <c r="AB1750" s="33"/>
      <c r="AC1750" s="16"/>
      <c r="AE1750" s="35" t="str">
        <f t="shared" si="28"/>
        <v>EF1 E002 Mat</v>
      </c>
    </row>
    <row r="1751" spans="1:31" ht="45" x14ac:dyDescent="0.25">
      <c r="A1751" s="31" t="s">
        <v>3653</v>
      </c>
      <c r="B1751" s="16" t="s">
        <v>32</v>
      </c>
      <c r="C1751" s="16" t="s">
        <v>164</v>
      </c>
      <c r="D1751" s="33" t="s">
        <v>34</v>
      </c>
      <c r="E1751" s="33">
        <v>75</v>
      </c>
      <c r="F1751" s="33">
        <v>5</v>
      </c>
      <c r="G1751" s="33">
        <v>4</v>
      </c>
      <c r="H1751" s="33"/>
      <c r="I1751" s="31" t="s">
        <v>46</v>
      </c>
      <c r="J1751" s="31"/>
      <c r="K1751" s="33"/>
      <c r="L1751" s="33"/>
      <c r="M1751" s="31"/>
      <c r="N1751" s="31"/>
      <c r="O1751" s="16" t="s">
        <v>3654</v>
      </c>
      <c r="P1751" s="16"/>
      <c r="Q1751" s="16"/>
      <c r="R1751" s="33"/>
      <c r="S1751" s="34"/>
      <c r="T1751" s="34"/>
      <c r="U1751" s="34"/>
      <c r="V1751" s="34"/>
      <c r="W1751" s="34"/>
      <c r="X1751" s="33" t="s">
        <v>3584</v>
      </c>
      <c r="Y1751" s="35" t="str">
        <f>IF(Tabela2[[#This Row],[SIGLA]]="","",VLOOKUP(Tabela2[[#This Row],[SIGLA]],Tabela1[[#All],[Sigla Arte]:[Crédito]],2,0))</f>
        <v>FERNANDA PARDINI BIAGIO/ARQUIVO DA EDITORA</v>
      </c>
      <c r="Z1751" s="31"/>
      <c r="AA1751" s="31" t="str">
        <f>Tabela2[[#This Row],[ILUSTRADOR CRIAÇÃO]]</f>
        <v>FERNANDA PARDINI BIAGIO/ARQUIVO DA EDITORA</v>
      </c>
      <c r="AB1751" s="33"/>
      <c r="AC1751" s="16"/>
      <c r="AE1751" s="35" t="str">
        <f t="shared" si="28"/>
        <v>EF1 E002 Mat</v>
      </c>
    </row>
    <row r="1752" spans="1:31" ht="30" x14ac:dyDescent="0.25">
      <c r="A1752" s="31" t="s">
        <v>3655</v>
      </c>
      <c r="B1752" s="16" t="s">
        <v>32</v>
      </c>
      <c r="C1752" s="16" t="s">
        <v>164</v>
      </c>
      <c r="D1752" s="33" t="s">
        <v>34</v>
      </c>
      <c r="E1752" s="33">
        <v>76</v>
      </c>
      <c r="F1752" s="33">
        <v>5</v>
      </c>
      <c r="G1752" s="33">
        <v>4</v>
      </c>
      <c r="H1752" s="33"/>
      <c r="I1752" s="31" t="s">
        <v>46</v>
      </c>
      <c r="J1752" s="31"/>
      <c r="K1752" s="33"/>
      <c r="L1752" s="33"/>
      <c r="M1752" s="31"/>
      <c r="N1752" s="31"/>
      <c r="O1752" s="16" t="s">
        <v>3656</v>
      </c>
      <c r="P1752" s="16"/>
      <c r="Q1752" s="16"/>
      <c r="R1752" s="33"/>
      <c r="S1752" s="34"/>
      <c r="T1752" s="34"/>
      <c r="U1752" s="34"/>
      <c r="V1752" s="34"/>
      <c r="W1752" s="34"/>
      <c r="X1752" s="33" t="s">
        <v>3584</v>
      </c>
      <c r="Y1752" s="35" t="str">
        <f>IF(Tabela2[[#This Row],[SIGLA]]="","",VLOOKUP(Tabela2[[#This Row],[SIGLA]],Tabela1[[#All],[Sigla Arte]:[Crédito]],2,0))</f>
        <v>FERNANDA PARDINI BIAGIO/ARQUIVO DA EDITORA</v>
      </c>
      <c r="Z1752" s="31"/>
      <c r="AA1752" s="31" t="str">
        <f>Tabela2[[#This Row],[ILUSTRADOR CRIAÇÃO]]</f>
        <v>FERNANDA PARDINI BIAGIO/ARQUIVO DA EDITORA</v>
      </c>
      <c r="AB1752" s="33"/>
      <c r="AC1752" s="16"/>
      <c r="AE1752" s="35" t="str">
        <f t="shared" si="28"/>
        <v>EF1 E002 Mat</v>
      </c>
    </row>
    <row r="1753" spans="1:31" ht="30" x14ac:dyDescent="0.25">
      <c r="A1753" s="31" t="s">
        <v>3657</v>
      </c>
      <c r="B1753" s="16" t="s">
        <v>32</v>
      </c>
      <c r="C1753" s="16" t="s">
        <v>164</v>
      </c>
      <c r="D1753" s="33" t="s">
        <v>34</v>
      </c>
      <c r="E1753" s="33">
        <v>76</v>
      </c>
      <c r="F1753" s="33">
        <v>5</v>
      </c>
      <c r="G1753" s="33">
        <v>4</v>
      </c>
      <c r="H1753" s="33"/>
      <c r="I1753" s="31" t="s">
        <v>46</v>
      </c>
      <c r="J1753" s="31"/>
      <c r="K1753" s="33"/>
      <c r="L1753" s="33"/>
      <c r="M1753" s="31"/>
      <c r="N1753" s="31"/>
      <c r="O1753" s="16" t="s">
        <v>3658</v>
      </c>
      <c r="P1753" s="16"/>
      <c r="Q1753" s="16"/>
      <c r="R1753" s="33"/>
      <c r="S1753" s="34"/>
      <c r="T1753" s="34"/>
      <c r="U1753" s="34"/>
      <c r="V1753" s="34"/>
      <c r="W1753" s="34"/>
      <c r="X1753" s="33" t="s">
        <v>3584</v>
      </c>
      <c r="Y1753" s="35" t="str">
        <f>IF(Tabela2[[#This Row],[SIGLA]]="","",VLOOKUP(Tabela2[[#This Row],[SIGLA]],Tabela1[[#All],[Sigla Arte]:[Crédito]],2,0))</f>
        <v>FERNANDA PARDINI BIAGIO/ARQUIVO DA EDITORA</v>
      </c>
      <c r="Z1753" s="31"/>
      <c r="AA1753" s="31" t="str">
        <f>Tabela2[[#This Row],[ILUSTRADOR CRIAÇÃO]]</f>
        <v>FERNANDA PARDINI BIAGIO/ARQUIVO DA EDITORA</v>
      </c>
      <c r="AB1753" s="33"/>
      <c r="AC1753" s="16"/>
      <c r="AE1753" s="35" t="str">
        <f t="shared" si="28"/>
        <v>EF1 E002 Mat</v>
      </c>
    </row>
    <row r="1754" spans="1:31" ht="30" x14ac:dyDescent="0.25">
      <c r="A1754" s="31" t="s">
        <v>3659</v>
      </c>
      <c r="B1754" s="16" t="s">
        <v>32</v>
      </c>
      <c r="C1754" s="16" t="s">
        <v>164</v>
      </c>
      <c r="D1754" s="33" t="s">
        <v>34</v>
      </c>
      <c r="E1754" s="33">
        <v>76</v>
      </c>
      <c r="F1754" s="33">
        <v>5</v>
      </c>
      <c r="G1754" s="33">
        <v>4</v>
      </c>
      <c r="H1754" s="33"/>
      <c r="I1754" s="31" t="s">
        <v>46</v>
      </c>
      <c r="J1754" s="31"/>
      <c r="K1754" s="33"/>
      <c r="L1754" s="33"/>
      <c r="M1754" s="31"/>
      <c r="N1754" s="31"/>
      <c r="O1754" s="16" t="s">
        <v>3660</v>
      </c>
      <c r="P1754" s="16"/>
      <c r="Q1754" s="16"/>
      <c r="R1754" s="33"/>
      <c r="S1754" s="34"/>
      <c r="T1754" s="34"/>
      <c r="U1754" s="34"/>
      <c r="V1754" s="34"/>
      <c r="W1754" s="34"/>
      <c r="X1754" s="33" t="s">
        <v>3584</v>
      </c>
      <c r="Y1754" s="35" t="str">
        <f>IF(Tabela2[[#This Row],[SIGLA]]="","",VLOOKUP(Tabela2[[#This Row],[SIGLA]],Tabela1[[#All],[Sigla Arte]:[Crédito]],2,0))</f>
        <v>FERNANDA PARDINI BIAGIO/ARQUIVO DA EDITORA</v>
      </c>
      <c r="Z1754" s="31"/>
      <c r="AA1754" s="31" t="str">
        <f>Tabela2[[#This Row],[ILUSTRADOR CRIAÇÃO]]</f>
        <v>FERNANDA PARDINI BIAGIO/ARQUIVO DA EDITORA</v>
      </c>
      <c r="AB1754" s="33"/>
      <c r="AC1754" s="16"/>
      <c r="AE1754" s="35" t="str">
        <f t="shared" si="28"/>
        <v>EF1 E002 Mat</v>
      </c>
    </row>
    <row r="1755" spans="1:31" ht="30" x14ac:dyDescent="0.25">
      <c r="A1755" s="31" t="s">
        <v>3661</v>
      </c>
      <c r="B1755" s="16" t="s">
        <v>32</v>
      </c>
      <c r="C1755" s="16" t="s">
        <v>164</v>
      </c>
      <c r="D1755" s="33" t="s">
        <v>34</v>
      </c>
      <c r="E1755" s="33">
        <v>76</v>
      </c>
      <c r="F1755" s="33">
        <v>5</v>
      </c>
      <c r="G1755" s="33">
        <v>4</v>
      </c>
      <c r="H1755" s="33"/>
      <c r="I1755" s="31" t="s">
        <v>46</v>
      </c>
      <c r="J1755" s="31"/>
      <c r="K1755" s="33"/>
      <c r="L1755" s="33"/>
      <c r="M1755" s="31"/>
      <c r="N1755" s="31"/>
      <c r="O1755" s="16" t="s">
        <v>3662</v>
      </c>
      <c r="P1755" s="16"/>
      <c r="Q1755" s="16"/>
      <c r="R1755" s="33"/>
      <c r="S1755" s="34"/>
      <c r="T1755" s="34"/>
      <c r="U1755" s="34"/>
      <c r="V1755" s="34"/>
      <c r="W1755" s="34"/>
      <c r="X1755" s="33" t="s">
        <v>3584</v>
      </c>
      <c r="Y1755" s="35" t="str">
        <f>IF(Tabela2[[#This Row],[SIGLA]]="","",VLOOKUP(Tabela2[[#This Row],[SIGLA]],Tabela1[[#All],[Sigla Arte]:[Crédito]],2,0))</f>
        <v>FERNANDA PARDINI BIAGIO/ARQUIVO DA EDITORA</v>
      </c>
      <c r="Z1755" s="31"/>
      <c r="AA1755" s="31" t="str">
        <f>Tabela2[[#This Row],[ILUSTRADOR CRIAÇÃO]]</f>
        <v>FERNANDA PARDINI BIAGIO/ARQUIVO DA EDITORA</v>
      </c>
      <c r="AB1755" s="33"/>
      <c r="AC1755" s="16"/>
      <c r="AE1755" s="35" t="str">
        <f t="shared" si="28"/>
        <v>EF1 E002 Mat</v>
      </c>
    </row>
    <row r="1756" spans="1:31" ht="30" x14ac:dyDescent="0.25">
      <c r="A1756" s="31" t="s">
        <v>3663</v>
      </c>
      <c r="B1756" s="16" t="s">
        <v>32</v>
      </c>
      <c r="C1756" s="16" t="s">
        <v>164</v>
      </c>
      <c r="D1756" s="33" t="s">
        <v>34</v>
      </c>
      <c r="E1756" s="33">
        <v>76</v>
      </c>
      <c r="F1756" s="33">
        <v>5</v>
      </c>
      <c r="G1756" s="33">
        <v>4</v>
      </c>
      <c r="H1756" s="33"/>
      <c r="I1756" s="31" t="s">
        <v>46</v>
      </c>
      <c r="J1756" s="31"/>
      <c r="K1756" s="33"/>
      <c r="L1756" s="33"/>
      <c r="M1756" s="31"/>
      <c r="N1756" s="31"/>
      <c r="O1756" s="16" t="s">
        <v>3664</v>
      </c>
      <c r="P1756" s="16"/>
      <c r="Q1756" s="16"/>
      <c r="R1756" s="33"/>
      <c r="S1756" s="34"/>
      <c r="T1756" s="34"/>
      <c r="U1756" s="34"/>
      <c r="V1756" s="34"/>
      <c r="W1756" s="34"/>
      <c r="X1756" s="33" t="s">
        <v>48</v>
      </c>
      <c r="Y1756" s="35" t="str">
        <f>IF(Tabela2[[#This Row],[SIGLA]]="","",VLOOKUP(Tabela2[[#This Row],[SIGLA]],Tabela1[[#All],[Sigla Arte]:[Crédito]],2,0))</f>
        <v>SERGIO LIMA/ARQUIVO DA EDITORA</v>
      </c>
      <c r="Z1756" s="31"/>
      <c r="AA1756" s="31" t="str">
        <f>Tabela2[[#This Row],[ILUSTRADOR CRIAÇÃO]]</f>
        <v>SERGIO LIMA/ARQUIVO DA EDITORA</v>
      </c>
      <c r="AB1756" s="33"/>
      <c r="AC1756" s="16"/>
      <c r="AE1756" s="35" t="str">
        <f t="shared" si="28"/>
        <v>EF1 E002 Mat</v>
      </c>
    </row>
    <row r="1757" spans="1:31" ht="45" x14ac:dyDescent="0.25">
      <c r="A1757" s="31" t="s">
        <v>3665</v>
      </c>
      <c r="B1757" s="16" t="s">
        <v>32</v>
      </c>
      <c r="C1757" s="16" t="s">
        <v>164</v>
      </c>
      <c r="D1757" s="33" t="s">
        <v>34</v>
      </c>
      <c r="E1757" s="33">
        <v>76</v>
      </c>
      <c r="F1757" s="33">
        <v>5</v>
      </c>
      <c r="G1757" s="33">
        <v>4</v>
      </c>
      <c r="H1757" s="33"/>
      <c r="I1757" s="31" t="s">
        <v>46</v>
      </c>
      <c r="J1757" s="31"/>
      <c r="K1757" s="33"/>
      <c r="L1757" s="33"/>
      <c r="M1757" s="31"/>
      <c r="N1757" s="31"/>
      <c r="O1757" s="16" t="s">
        <v>3666</v>
      </c>
      <c r="P1757" s="16"/>
      <c r="Q1757" s="16"/>
      <c r="R1757" s="33"/>
      <c r="S1757" s="34"/>
      <c r="T1757" s="34"/>
      <c r="U1757" s="34"/>
      <c r="V1757" s="34"/>
      <c r="W1757" s="34"/>
      <c r="X1757" s="33" t="s">
        <v>48</v>
      </c>
      <c r="Y1757" s="35" t="str">
        <f>IF(Tabela2[[#This Row],[SIGLA]]="","",VLOOKUP(Tabela2[[#This Row],[SIGLA]],Tabela1[[#All],[Sigla Arte]:[Crédito]],2,0))</f>
        <v>SERGIO LIMA/ARQUIVO DA EDITORA</v>
      </c>
      <c r="Z1757" s="31"/>
      <c r="AA1757" s="31" t="str">
        <f>Tabela2[[#This Row],[ILUSTRADOR CRIAÇÃO]]</f>
        <v>SERGIO LIMA/ARQUIVO DA EDITORA</v>
      </c>
      <c r="AB1757" s="33"/>
      <c r="AC1757" s="16"/>
      <c r="AE1757" s="35" t="str">
        <f t="shared" si="28"/>
        <v>EF1 E002 Mat</v>
      </c>
    </row>
    <row r="1758" spans="1:31" ht="30" x14ac:dyDescent="0.25">
      <c r="A1758" s="31" t="s">
        <v>3667</v>
      </c>
      <c r="B1758" s="16" t="s">
        <v>32</v>
      </c>
      <c r="C1758" s="16" t="s">
        <v>164</v>
      </c>
      <c r="D1758" s="33" t="s">
        <v>34</v>
      </c>
      <c r="E1758" s="33">
        <v>76</v>
      </c>
      <c r="F1758" s="33">
        <v>5</v>
      </c>
      <c r="G1758" s="33">
        <v>4</v>
      </c>
      <c r="H1758" s="33"/>
      <c r="I1758" s="31" t="s">
        <v>46</v>
      </c>
      <c r="J1758" s="31"/>
      <c r="K1758" s="33"/>
      <c r="L1758" s="33"/>
      <c r="M1758" s="31"/>
      <c r="N1758" s="31"/>
      <c r="O1758" s="16" t="s">
        <v>3668</v>
      </c>
      <c r="P1758" s="16"/>
      <c r="Q1758" s="16"/>
      <c r="R1758" s="33"/>
      <c r="S1758" s="34"/>
      <c r="T1758" s="34"/>
      <c r="U1758" s="34"/>
      <c r="V1758" s="34"/>
      <c r="W1758" s="34"/>
      <c r="X1758" s="33" t="s">
        <v>48</v>
      </c>
      <c r="Y1758" s="35" t="str">
        <f>IF(Tabela2[[#This Row],[SIGLA]]="","",VLOOKUP(Tabela2[[#This Row],[SIGLA]],Tabela1[[#All],[Sigla Arte]:[Crédito]],2,0))</f>
        <v>SERGIO LIMA/ARQUIVO DA EDITORA</v>
      </c>
      <c r="Z1758" s="31"/>
      <c r="AA1758" s="31" t="str">
        <f>Tabela2[[#This Row],[ILUSTRADOR CRIAÇÃO]]</f>
        <v>SERGIO LIMA/ARQUIVO DA EDITORA</v>
      </c>
      <c r="AB1758" s="33"/>
      <c r="AC1758" s="16"/>
      <c r="AE1758" s="35" t="str">
        <f t="shared" si="28"/>
        <v>EF1 E002 Mat</v>
      </c>
    </row>
    <row r="1759" spans="1:31" ht="45" x14ac:dyDescent="0.25">
      <c r="A1759" s="31" t="s">
        <v>3669</v>
      </c>
      <c r="B1759" s="16" t="s">
        <v>32</v>
      </c>
      <c r="C1759" s="16" t="s">
        <v>164</v>
      </c>
      <c r="D1759" s="33" t="s">
        <v>34</v>
      </c>
      <c r="E1759" s="33">
        <v>76</v>
      </c>
      <c r="F1759" s="33">
        <v>5</v>
      </c>
      <c r="G1759" s="33">
        <v>4</v>
      </c>
      <c r="H1759" s="33"/>
      <c r="I1759" s="31" t="s">
        <v>46</v>
      </c>
      <c r="J1759" s="31"/>
      <c r="K1759" s="33"/>
      <c r="L1759" s="33"/>
      <c r="M1759" s="31"/>
      <c r="N1759" s="31"/>
      <c r="O1759" s="16" t="s">
        <v>3670</v>
      </c>
      <c r="P1759" s="16"/>
      <c r="Q1759" s="16"/>
      <c r="R1759" s="33"/>
      <c r="S1759" s="34"/>
      <c r="T1759" s="34"/>
      <c r="U1759" s="34"/>
      <c r="V1759" s="34"/>
      <c r="W1759" s="34"/>
      <c r="X1759" s="33" t="s">
        <v>48</v>
      </c>
      <c r="Y1759" s="35" t="str">
        <f>IF(Tabela2[[#This Row],[SIGLA]]="","",VLOOKUP(Tabela2[[#This Row],[SIGLA]],Tabela1[[#All],[Sigla Arte]:[Crédito]],2,0))</f>
        <v>SERGIO LIMA/ARQUIVO DA EDITORA</v>
      </c>
      <c r="Z1759" s="31"/>
      <c r="AA1759" s="31" t="str">
        <f>Tabela2[[#This Row],[ILUSTRADOR CRIAÇÃO]]</f>
        <v>SERGIO LIMA/ARQUIVO DA EDITORA</v>
      </c>
      <c r="AB1759" s="33"/>
      <c r="AC1759" s="16"/>
      <c r="AE1759" s="35" t="str">
        <f t="shared" si="28"/>
        <v>EF1 E002 Mat</v>
      </c>
    </row>
    <row r="1760" spans="1:31" ht="30" x14ac:dyDescent="0.25">
      <c r="A1760" s="31" t="s">
        <v>3671</v>
      </c>
      <c r="B1760" s="16" t="s">
        <v>32</v>
      </c>
      <c r="C1760" s="16" t="s">
        <v>164</v>
      </c>
      <c r="D1760" s="33" t="s">
        <v>34</v>
      </c>
      <c r="E1760" s="33">
        <v>76</v>
      </c>
      <c r="F1760" s="33">
        <v>5</v>
      </c>
      <c r="G1760" s="33">
        <v>4</v>
      </c>
      <c r="H1760" s="33"/>
      <c r="I1760" s="31" t="s">
        <v>46</v>
      </c>
      <c r="J1760" s="31"/>
      <c r="K1760" s="33"/>
      <c r="L1760" s="33"/>
      <c r="M1760" s="31"/>
      <c r="N1760" s="31"/>
      <c r="O1760" s="16" t="s">
        <v>3672</v>
      </c>
      <c r="P1760" s="16"/>
      <c r="Q1760" s="16"/>
      <c r="R1760" s="33"/>
      <c r="S1760" s="34"/>
      <c r="T1760" s="34"/>
      <c r="U1760" s="34"/>
      <c r="V1760" s="34"/>
      <c r="W1760" s="34"/>
      <c r="X1760" s="33" t="s">
        <v>48</v>
      </c>
      <c r="Y1760" s="35" t="str">
        <f>IF(Tabela2[[#This Row],[SIGLA]]="","",VLOOKUP(Tabela2[[#This Row],[SIGLA]],Tabela1[[#All],[Sigla Arte]:[Crédito]],2,0))</f>
        <v>SERGIO LIMA/ARQUIVO DA EDITORA</v>
      </c>
      <c r="Z1760" s="31"/>
      <c r="AA1760" s="31" t="str">
        <f>Tabela2[[#This Row],[ILUSTRADOR CRIAÇÃO]]</f>
        <v>SERGIO LIMA/ARQUIVO DA EDITORA</v>
      </c>
      <c r="AB1760" s="33"/>
      <c r="AC1760" s="16"/>
      <c r="AE1760" s="35" t="str">
        <f t="shared" si="28"/>
        <v>EF1 E002 Mat</v>
      </c>
    </row>
    <row r="1761" spans="1:31" ht="30" x14ac:dyDescent="0.25">
      <c r="A1761" s="31" t="s">
        <v>3673</v>
      </c>
      <c r="B1761" s="16" t="s">
        <v>32</v>
      </c>
      <c r="C1761" s="16" t="s">
        <v>164</v>
      </c>
      <c r="D1761" s="33" t="s">
        <v>34</v>
      </c>
      <c r="E1761" s="33">
        <v>77</v>
      </c>
      <c r="F1761" s="33">
        <v>5</v>
      </c>
      <c r="G1761" s="33">
        <v>4</v>
      </c>
      <c r="H1761" s="33"/>
      <c r="I1761" s="31" t="s">
        <v>46</v>
      </c>
      <c r="J1761" s="31"/>
      <c r="K1761" s="33"/>
      <c r="L1761" s="33"/>
      <c r="M1761" s="31"/>
      <c r="N1761" s="31"/>
      <c r="O1761" s="16" t="s">
        <v>3674</v>
      </c>
      <c r="P1761" s="16"/>
      <c r="Q1761" s="16"/>
      <c r="R1761" s="33"/>
      <c r="S1761" s="34"/>
      <c r="T1761" s="34"/>
      <c r="U1761" s="34"/>
      <c r="V1761" s="34"/>
      <c r="W1761" s="34"/>
      <c r="X1761" s="33" t="s">
        <v>48</v>
      </c>
      <c r="Y1761" s="35" t="str">
        <f>IF(Tabela2[[#This Row],[SIGLA]]="","",VLOOKUP(Tabela2[[#This Row],[SIGLA]],Tabela1[[#All],[Sigla Arte]:[Crédito]],2,0))</f>
        <v>SERGIO LIMA/ARQUIVO DA EDITORA</v>
      </c>
      <c r="Z1761" s="31"/>
      <c r="AA1761" s="31" t="str">
        <f>Tabela2[[#This Row],[ILUSTRADOR CRIAÇÃO]]</f>
        <v>SERGIO LIMA/ARQUIVO DA EDITORA</v>
      </c>
      <c r="AB1761" s="33"/>
      <c r="AC1761" s="16"/>
      <c r="AE1761" s="35" t="str">
        <f t="shared" si="28"/>
        <v>EF1 E002 Mat</v>
      </c>
    </row>
    <row r="1762" spans="1:31" ht="30" x14ac:dyDescent="0.25">
      <c r="A1762" s="31" t="s">
        <v>3675</v>
      </c>
      <c r="B1762" s="16" t="s">
        <v>32</v>
      </c>
      <c r="C1762" s="16" t="s">
        <v>164</v>
      </c>
      <c r="D1762" s="33" t="s">
        <v>34</v>
      </c>
      <c r="E1762" s="33">
        <v>77</v>
      </c>
      <c r="F1762" s="33">
        <v>5</v>
      </c>
      <c r="G1762" s="33">
        <v>4</v>
      </c>
      <c r="H1762" s="33"/>
      <c r="I1762" s="31" t="s">
        <v>46</v>
      </c>
      <c r="J1762" s="31"/>
      <c r="K1762" s="33"/>
      <c r="L1762" s="33"/>
      <c r="M1762" s="31"/>
      <c r="N1762" s="31"/>
      <c r="O1762" s="16" t="s">
        <v>3676</v>
      </c>
      <c r="P1762" s="16"/>
      <c r="Q1762" s="16"/>
      <c r="R1762" s="33"/>
      <c r="S1762" s="34"/>
      <c r="T1762" s="34"/>
      <c r="U1762" s="34"/>
      <c r="V1762" s="34"/>
      <c r="W1762" s="34"/>
      <c r="X1762" s="33" t="s">
        <v>3584</v>
      </c>
      <c r="Y1762" s="35" t="str">
        <f>IF(Tabela2[[#This Row],[SIGLA]]="","",VLOOKUP(Tabela2[[#This Row],[SIGLA]],Tabela1[[#All],[Sigla Arte]:[Crédito]],2,0))</f>
        <v>FERNANDA PARDINI BIAGIO/ARQUIVO DA EDITORA</v>
      </c>
      <c r="Z1762" s="31"/>
      <c r="AA1762" s="31" t="str">
        <f>Tabela2[[#This Row],[ILUSTRADOR CRIAÇÃO]]</f>
        <v>FERNANDA PARDINI BIAGIO/ARQUIVO DA EDITORA</v>
      </c>
      <c r="AB1762" s="33"/>
      <c r="AC1762" s="16"/>
      <c r="AE1762" s="35" t="str">
        <f t="shared" si="28"/>
        <v>EF1 E002 Mat</v>
      </c>
    </row>
    <row r="1763" spans="1:31" ht="30" x14ac:dyDescent="0.25">
      <c r="A1763" s="31" t="s">
        <v>3677</v>
      </c>
      <c r="B1763" s="16" t="s">
        <v>32</v>
      </c>
      <c r="C1763" s="16" t="s">
        <v>164</v>
      </c>
      <c r="D1763" s="33" t="s">
        <v>34</v>
      </c>
      <c r="E1763" s="33">
        <v>77</v>
      </c>
      <c r="F1763" s="33">
        <v>5</v>
      </c>
      <c r="G1763" s="33">
        <v>4</v>
      </c>
      <c r="H1763" s="33"/>
      <c r="I1763" s="31" t="s">
        <v>46</v>
      </c>
      <c r="J1763" s="31"/>
      <c r="K1763" s="33"/>
      <c r="L1763" s="33"/>
      <c r="M1763" s="31"/>
      <c r="N1763" s="31"/>
      <c r="O1763" s="16" t="s">
        <v>3678</v>
      </c>
      <c r="P1763" s="16"/>
      <c r="Q1763" s="16"/>
      <c r="R1763" s="33"/>
      <c r="S1763" s="34"/>
      <c r="T1763" s="34"/>
      <c r="U1763" s="34"/>
      <c r="V1763" s="34"/>
      <c r="W1763" s="34"/>
      <c r="X1763" s="33" t="s">
        <v>3584</v>
      </c>
      <c r="Y1763" s="35" t="str">
        <f>IF(Tabela2[[#This Row],[SIGLA]]="","",VLOOKUP(Tabela2[[#This Row],[SIGLA]],Tabela1[[#All],[Sigla Arte]:[Crédito]],2,0))</f>
        <v>FERNANDA PARDINI BIAGIO/ARQUIVO DA EDITORA</v>
      </c>
      <c r="Z1763" s="31"/>
      <c r="AA1763" s="31" t="str">
        <f>Tabela2[[#This Row],[ILUSTRADOR CRIAÇÃO]]</f>
        <v>FERNANDA PARDINI BIAGIO/ARQUIVO DA EDITORA</v>
      </c>
      <c r="AB1763" s="33"/>
      <c r="AC1763" s="16"/>
      <c r="AE1763" s="35" t="str">
        <f t="shared" si="28"/>
        <v>EF1 E002 Mat</v>
      </c>
    </row>
    <row r="1764" spans="1:31" ht="30" x14ac:dyDescent="0.25">
      <c r="A1764" s="31" t="s">
        <v>3679</v>
      </c>
      <c r="B1764" s="16" t="s">
        <v>32</v>
      </c>
      <c r="C1764" s="16" t="s">
        <v>164</v>
      </c>
      <c r="D1764" s="33" t="s">
        <v>34</v>
      </c>
      <c r="E1764" s="33">
        <v>78</v>
      </c>
      <c r="F1764" s="33">
        <v>5</v>
      </c>
      <c r="G1764" s="33">
        <v>4</v>
      </c>
      <c r="H1764" s="33"/>
      <c r="I1764" s="31" t="s">
        <v>46</v>
      </c>
      <c r="J1764" s="31"/>
      <c r="K1764" s="33"/>
      <c r="L1764" s="33"/>
      <c r="M1764" s="31"/>
      <c r="N1764" s="31"/>
      <c r="O1764" s="16" t="s">
        <v>3680</v>
      </c>
      <c r="P1764" s="16"/>
      <c r="Q1764" s="16"/>
      <c r="R1764" s="33"/>
      <c r="S1764" s="34"/>
      <c r="T1764" s="34"/>
      <c r="U1764" s="34"/>
      <c r="V1764" s="34"/>
      <c r="W1764" s="34"/>
      <c r="X1764" s="33" t="s">
        <v>48</v>
      </c>
      <c r="Y1764" s="35" t="str">
        <f>IF(Tabela2[[#This Row],[SIGLA]]="","",VLOOKUP(Tabela2[[#This Row],[SIGLA]],Tabela1[[#All],[Sigla Arte]:[Crédito]],2,0))</f>
        <v>SERGIO LIMA/ARQUIVO DA EDITORA</v>
      </c>
      <c r="Z1764" s="31"/>
      <c r="AA1764" s="31" t="str">
        <f>Tabela2[[#This Row],[ILUSTRADOR CRIAÇÃO]]</f>
        <v>SERGIO LIMA/ARQUIVO DA EDITORA</v>
      </c>
      <c r="AB1764" s="33"/>
      <c r="AC1764" s="16"/>
      <c r="AE1764" s="35" t="str">
        <f t="shared" si="28"/>
        <v>EF1 E002 Mat</v>
      </c>
    </row>
    <row r="1765" spans="1:31" ht="30" x14ac:dyDescent="0.25">
      <c r="A1765" s="31" t="s">
        <v>3681</v>
      </c>
      <c r="B1765" s="16" t="s">
        <v>32</v>
      </c>
      <c r="C1765" s="16" t="s">
        <v>164</v>
      </c>
      <c r="D1765" s="33" t="s">
        <v>34</v>
      </c>
      <c r="E1765" s="33">
        <v>78</v>
      </c>
      <c r="F1765" s="33">
        <v>5</v>
      </c>
      <c r="G1765" s="33">
        <v>4</v>
      </c>
      <c r="H1765" s="33"/>
      <c r="I1765" s="31" t="s">
        <v>46</v>
      </c>
      <c r="J1765" s="31"/>
      <c r="K1765" s="33"/>
      <c r="L1765" s="33"/>
      <c r="M1765" s="31"/>
      <c r="N1765" s="31"/>
      <c r="O1765" s="16" t="s">
        <v>3682</v>
      </c>
      <c r="P1765" s="16"/>
      <c r="Q1765" s="16"/>
      <c r="R1765" s="33"/>
      <c r="S1765" s="34"/>
      <c r="T1765" s="34"/>
      <c r="U1765" s="34"/>
      <c r="V1765" s="34"/>
      <c r="W1765" s="34"/>
      <c r="X1765" s="33" t="s">
        <v>3584</v>
      </c>
      <c r="Y1765" s="35" t="str">
        <f>IF(Tabela2[[#This Row],[SIGLA]]="","",VLOOKUP(Tabela2[[#This Row],[SIGLA]],Tabela1[[#All],[Sigla Arte]:[Crédito]],2,0))</f>
        <v>FERNANDA PARDINI BIAGIO/ARQUIVO DA EDITORA</v>
      </c>
      <c r="Z1765" s="31"/>
      <c r="AA1765" s="31" t="str">
        <f>Tabela2[[#This Row],[ILUSTRADOR CRIAÇÃO]]</f>
        <v>FERNANDA PARDINI BIAGIO/ARQUIVO DA EDITORA</v>
      </c>
      <c r="AB1765" s="33"/>
      <c r="AC1765" s="16"/>
      <c r="AE1765" s="35" t="str">
        <f t="shared" si="28"/>
        <v>EF1 E002 Mat</v>
      </c>
    </row>
    <row r="1766" spans="1:31" ht="30" x14ac:dyDescent="0.25">
      <c r="A1766" s="31" t="s">
        <v>3683</v>
      </c>
      <c r="B1766" s="16" t="s">
        <v>32</v>
      </c>
      <c r="C1766" s="16" t="s">
        <v>164</v>
      </c>
      <c r="D1766" s="33" t="s">
        <v>34</v>
      </c>
      <c r="E1766" s="33">
        <v>78</v>
      </c>
      <c r="F1766" s="33">
        <v>5</v>
      </c>
      <c r="G1766" s="33">
        <v>4</v>
      </c>
      <c r="H1766" s="33"/>
      <c r="I1766" s="31" t="s">
        <v>46</v>
      </c>
      <c r="J1766" s="31"/>
      <c r="K1766" s="33"/>
      <c r="L1766" s="33"/>
      <c r="M1766" s="31"/>
      <c r="N1766" s="31"/>
      <c r="O1766" s="16" t="s">
        <v>3684</v>
      </c>
      <c r="P1766" s="16"/>
      <c r="Q1766" s="16"/>
      <c r="R1766" s="33"/>
      <c r="S1766" s="34"/>
      <c r="T1766" s="34"/>
      <c r="U1766" s="34"/>
      <c r="V1766" s="34"/>
      <c r="W1766" s="34"/>
      <c r="X1766" s="33" t="s">
        <v>3584</v>
      </c>
      <c r="Y1766" s="35" t="str">
        <f>IF(Tabela2[[#This Row],[SIGLA]]="","",VLOOKUP(Tabela2[[#This Row],[SIGLA]],Tabela1[[#All],[Sigla Arte]:[Crédito]],2,0))</f>
        <v>FERNANDA PARDINI BIAGIO/ARQUIVO DA EDITORA</v>
      </c>
      <c r="Z1766" s="31"/>
      <c r="AA1766" s="31" t="str">
        <f>Tabela2[[#This Row],[ILUSTRADOR CRIAÇÃO]]</f>
        <v>FERNANDA PARDINI BIAGIO/ARQUIVO DA EDITORA</v>
      </c>
      <c r="AB1766" s="33"/>
      <c r="AC1766" s="16"/>
      <c r="AE1766" s="35" t="str">
        <f t="shared" si="28"/>
        <v>EF1 E002 Mat</v>
      </c>
    </row>
    <row r="1767" spans="1:31" ht="30" x14ac:dyDescent="0.25">
      <c r="A1767" s="31" t="s">
        <v>3685</v>
      </c>
      <c r="B1767" s="16" t="s">
        <v>32</v>
      </c>
      <c r="C1767" s="16" t="s">
        <v>164</v>
      </c>
      <c r="D1767" s="33" t="s">
        <v>34</v>
      </c>
      <c r="E1767" s="33">
        <v>78</v>
      </c>
      <c r="F1767" s="33">
        <v>5</v>
      </c>
      <c r="G1767" s="33">
        <v>4</v>
      </c>
      <c r="H1767" s="33"/>
      <c r="I1767" s="31" t="s">
        <v>46</v>
      </c>
      <c r="J1767" s="31"/>
      <c r="K1767" s="33"/>
      <c r="L1767" s="33"/>
      <c r="M1767" s="31"/>
      <c r="N1767" s="31"/>
      <c r="O1767" s="16" t="s">
        <v>3686</v>
      </c>
      <c r="P1767" s="16"/>
      <c r="Q1767" s="16"/>
      <c r="R1767" s="33"/>
      <c r="S1767" s="34"/>
      <c r="T1767" s="34"/>
      <c r="U1767" s="34"/>
      <c r="V1767" s="34"/>
      <c r="W1767" s="34"/>
      <c r="X1767" s="33" t="s">
        <v>3584</v>
      </c>
      <c r="Y1767" s="35" t="str">
        <f>IF(Tabela2[[#This Row],[SIGLA]]="","",VLOOKUP(Tabela2[[#This Row],[SIGLA]],Tabela1[[#All],[Sigla Arte]:[Crédito]],2,0))</f>
        <v>FERNANDA PARDINI BIAGIO/ARQUIVO DA EDITORA</v>
      </c>
      <c r="Z1767" s="31"/>
      <c r="AA1767" s="31" t="str">
        <f>Tabela2[[#This Row],[ILUSTRADOR CRIAÇÃO]]</f>
        <v>FERNANDA PARDINI BIAGIO/ARQUIVO DA EDITORA</v>
      </c>
      <c r="AB1767" s="33"/>
      <c r="AC1767" s="16"/>
      <c r="AE1767" s="35" t="str">
        <f t="shared" si="28"/>
        <v>EF1 E002 Mat</v>
      </c>
    </row>
    <row r="1768" spans="1:31" ht="30" x14ac:dyDescent="0.25">
      <c r="A1768" s="31" t="s">
        <v>3687</v>
      </c>
      <c r="B1768" s="16" t="s">
        <v>32</v>
      </c>
      <c r="C1768" s="16" t="s">
        <v>164</v>
      </c>
      <c r="D1768" s="33" t="s">
        <v>34</v>
      </c>
      <c r="E1768" s="33">
        <v>78</v>
      </c>
      <c r="F1768" s="33">
        <v>5</v>
      </c>
      <c r="G1768" s="33">
        <v>4</v>
      </c>
      <c r="H1768" s="33"/>
      <c r="I1768" s="31" t="s">
        <v>46</v>
      </c>
      <c r="J1768" s="31"/>
      <c r="K1768" s="33"/>
      <c r="L1768" s="33"/>
      <c r="M1768" s="31"/>
      <c r="N1768" s="31"/>
      <c r="O1768" s="16" t="s">
        <v>3688</v>
      </c>
      <c r="P1768" s="16"/>
      <c r="Q1768" s="16"/>
      <c r="R1768" s="33"/>
      <c r="S1768" s="34"/>
      <c r="T1768" s="34"/>
      <c r="U1768" s="34"/>
      <c r="V1768" s="34"/>
      <c r="W1768" s="34"/>
      <c r="X1768" s="33" t="s">
        <v>3584</v>
      </c>
      <c r="Y1768" s="35" t="str">
        <f>IF(Tabela2[[#This Row],[SIGLA]]="","",VLOOKUP(Tabela2[[#This Row],[SIGLA]],Tabela1[[#All],[Sigla Arte]:[Crédito]],2,0))</f>
        <v>FERNANDA PARDINI BIAGIO/ARQUIVO DA EDITORA</v>
      </c>
      <c r="Z1768" s="31"/>
      <c r="AA1768" s="31" t="str">
        <f>Tabela2[[#This Row],[ILUSTRADOR CRIAÇÃO]]</f>
        <v>FERNANDA PARDINI BIAGIO/ARQUIVO DA EDITORA</v>
      </c>
      <c r="AB1768" s="33"/>
      <c r="AC1768" s="16"/>
      <c r="AE1768" s="35" t="str">
        <f t="shared" si="28"/>
        <v>EF1 E002 Mat</v>
      </c>
    </row>
    <row r="1769" spans="1:31" ht="45" x14ac:dyDescent="0.25">
      <c r="A1769" s="31" t="s">
        <v>3689</v>
      </c>
      <c r="B1769" s="16" t="s">
        <v>32</v>
      </c>
      <c r="C1769" s="16" t="s">
        <v>164</v>
      </c>
      <c r="D1769" s="33" t="s">
        <v>34</v>
      </c>
      <c r="E1769" s="33">
        <v>78</v>
      </c>
      <c r="F1769" s="33">
        <v>5</v>
      </c>
      <c r="G1769" s="33">
        <v>4</v>
      </c>
      <c r="H1769" s="33"/>
      <c r="I1769" s="31" t="s">
        <v>46</v>
      </c>
      <c r="J1769" s="31"/>
      <c r="K1769" s="33"/>
      <c r="L1769" s="33"/>
      <c r="M1769" s="31"/>
      <c r="N1769" s="31"/>
      <c r="O1769" s="16" t="s">
        <v>3690</v>
      </c>
      <c r="P1769" s="16"/>
      <c r="Q1769" s="16"/>
      <c r="R1769" s="33"/>
      <c r="S1769" s="34"/>
      <c r="T1769" s="34"/>
      <c r="U1769" s="34"/>
      <c r="V1769" s="34"/>
      <c r="W1769" s="34"/>
      <c r="X1769" s="33" t="s">
        <v>3584</v>
      </c>
      <c r="Y1769" s="35" t="str">
        <f>IF(Tabela2[[#This Row],[SIGLA]]="","",VLOOKUP(Tabela2[[#This Row],[SIGLA]],Tabela1[[#All],[Sigla Arte]:[Crédito]],2,0))</f>
        <v>FERNANDA PARDINI BIAGIO/ARQUIVO DA EDITORA</v>
      </c>
      <c r="Z1769" s="31"/>
      <c r="AA1769" s="31" t="str">
        <f>Tabela2[[#This Row],[ILUSTRADOR CRIAÇÃO]]</f>
        <v>FERNANDA PARDINI BIAGIO/ARQUIVO DA EDITORA</v>
      </c>
      <c r="AB1769" s="33"/>
      <c r="AC1769" s="16"/>
      <c r="AE1769" s="35" t="str">
        <f t="shared" si="28"/>
        <v>EF1 E002 Mat</v>
      </c>
    </row>
    <row r="1770" spans="1:31" ht="30" x14ac:dyDescent="0.25">
      <c r="A1770" s="31" t="s">
        <v>3691</v>
      </c>
      <c r="B1770" s="16" t="s">
        <v>32</v>
      </c>
      <c r="C1770" s="16" t="s">
        <v>164</v>
      </c>
      <c r="D1770" s="33" t="s">
        <v>34</v>
      </c>
      <c r="E1770" s="33">
        <v>78</v>
      </c>
      <c r="F1770" s="33">
        <v>5</v>
      </c>
      <c r="G1770" s="33">
        <v>4</v>
      </c>
      <c r="H1770" s="33"/>
      <c r="I1770" s="31" t="s">
        <v>46</v>
      </c>
      <c r="J1770" s="31"/>
      <c r="K1770" s="33"/>
      <c r="L1770" s="33"/>
      <c r="M1770" s="31"/>
      <c r="N1770" s="31"/>
      <c r="O1770" s="16" t="s">
        <v>3692</v>
      </c>
      <c r="P1770" s="16"/>
      <c r="Q1770" s="16"/>
      <c r="R1770" s="33"/>
      <c r="S1770" s="34"/>
      <c r="T1770" s="34"/>
      <c r="U1770" s="34"/>
      <c r="V1770" s="34"/>
      <c r="W1770" s="34"/>
      <c r="X1770" s="33" t="s">
        <v>3584</v>
      </c>
      <c r="Y1770" s="35" t="str">
        <f>IF(Tabela2[[#This Row],[SIGLA]]="","",VLOOKUP(Tabela2[[#This Row],[SIGLA]],Tabela1[[#All],[Sigla Arte]:[Crédito]],2,0))</f>
        <v>FERNANDA PARDINI BIAGIO/ARQUIVO DA EDITORA</v>
      </c>
      <c r="Z1770" s="31"/>
      <c r="AA1770" s="31" t="str">
        <f>Tabela2[[#This Row],[ILUSTRADOR CRIAÇÃO]]</f>
        <v>FERNANDA PARDINI BIAGIO/ARQUIVO DA EDITORA</v>
      </c>
      <c r="AB1770" s="33"/>
      <c r="AC1770" s="16"/>
      <c r="AE1770" s="35" t="str">
        <f t="shared" si="28"/>
        <v>EF1 E002 Mat</v>
      </c>
    </row>
    <row r="1771" spans="1:31" ht="30" x14ac:dyDescent="0.25">
      <c r="A1771" s="31" t="s">
        <v>3693</v>
      </c>
      <c r="B1771" s="16" t="s">
        <v>32</v>
      </c>
      <c r="C1771" s="16" t="s">
        <v>164</v>
      </c>
      <c r="D1771" s="33" t="s">
        <v>34</v>
      </c>
      <c r="E1771" s="33">
        <v>78</v>
      </c>
      <c r="F1771" s="33">
        <v>5</v>
      </c>
      <c r="G1771" s="33">
        <v>4</v>
      </c>
      <c r="H1771" s="33"/>
      <c r="I1771" s="31" t="s">
        <v>46</v>
      </c>
      <c r="J1771" s="31"/>
      <c r="K1771" s="33"/>
      <c r="L1771" s="33"/>
      <c r="M1771" s="31"/>
      <c r="N1771" s="31"/>
      <c r="O1771" s="16" t="s">
        <v>3694</v>
      </c>
      <c r="P1771" s="16"/>
      <c r="Q1771" s="16"/>
      <c r="R1771" s="33"/>
      <c r="S1771" s="34"/>
      <c r="T1771" s="34"/>
      <c r="U1771" s="34"/>
      <c r="V1771" s="34"/>
      <c r="W1771" s="34"/>
      <c r="X1771" s="33" t="s">
        <v>3584</v>
      </c>
      <c r="Y1771" s="35" t="str">
        <f>IF(Tabela2[[#This Row],[SIGLA]]="","",VLOOKUP(Tabela2[[#This Row],[SIGLA]],Tabela1[[#All],[Sigla Arte]:[Crédito]],2,0))</f>
        <v>FERNANDA PARDINI BIAGIO/ARQUIVO DA EDITORA</v>
      </c>
      <c r="Z1771" s="31"/>
      <c r="AA1771" s="31" t="str">
        <f>Tabela2[[#This Row],[ILUSTRADOR CRIAÇÃO]]</f>
        <v>FERNANDA PARDINI BIAGIO/ARQUIVO DA EDITORA</v>
      </c>
      <c r="AB1771" s="33"/>
      <c r="AC1771" s="16"/>
      <c r="AE1771" s="35" t="str">
        <f t="shared" si="28"/>
        <v>EF1 E002 Mat</v>
      </c>
    </row>
    <row r="1772" spans="1:31" ht="45" x14ac:dyDescent="0.25">
      <c r="A1772" s="31" t="s">
        <v>3695</v>
      </c>
      <c r="B1772" s="16" t="s">
        <v>32</v>
      </c>
      <c r="C1772" s="16" t="s">
        <v>164</v>
      </c>
      <c r="D1772" s="33" t="s">
        <v>34</v>
      </c>
      <c r="E1772" s="33">
        <v>78</v>
      </c>
      <c r="F1772" s="33">
        <v>5</v>
      </c>
      <c r="G1772" s="33">
        <v>4</v>
      </c>
      <c r="H1772" s="33"/>
      <c r="I1772" s="31" t="s">
        <v>46</v>
      </c>
      <c r="J1772" s="31"/>
      <c r="K1772" s="33"/>
      <c r="L1772" s="33"/>
      <c r="M1772" s="31"/>
      <c r="N1772" s="31"/>
      <c r="O1772" s="16" t="s">
        <v>3696</v>
      </c>
      <c r="P1772" s="16"/>
      <c r="Q1772" s="16"/>
      <c r="R1772" s="33"/>
      <c r="S1772" s="34"/>
      <c r="T1772" s="34"/>
      <c r="U1772" s="34"/>
      <c r="V1772" s="34"/>
      <c r="W1772" s="34"/>
      <c r="X1772" s="33" t="s">
        <v>3584</v>
      </c>
      <c r="Y1772" s="35" t="str">
        <f>IF(Tabela2[[#This Row],[SIGLA]]="","",VLOOKUP(Tabela2[[#This Row],[SIGLA]],Tabela1[[#All],[Sigla Arte]:[Crédito]],2,0))</f>
        <v>FERNANDA PARDINI BIAGIO/ARQUIVO DA EDITORA</v>
      </c>
      <c r="Z1772" s="31"/>
      <c r="AA1772" s="31" t="str">
        <f>Tabela2[[#This Row],[ILUSTRADOR CRIAÇÃO]]</f>
        <v>FERNANDA PARDINI BIAGIO/ARQUIVO DA EDITORA</v>
      </c>
      <c r="AB1772" s="33"/>
      <c r="AC1772" s="16"/>
      <c r="AE1772" s="35" t="str">
        <f t="shared" si="28"/>
        <v>EF1 E002 Mat</v>
      </c>
    </row>
    <row r="1773" spans="1:31" ht="30" x14ac:dyDescent="0.25">
      <c r="A1773" s="31" t="s">
        <v>3697</v>
      </c>
      <c r="B1773" s="16" t="s">
        <v>32</v>
      </c>
      <c r="C1773" s="16" t="s">
        <v>164</v>
      </c>
      <c r="D1773" s="33" t="s">
        <v>34</v>
      </c>
      <c r="E1773" s="33">
        <v>79</v>
      </c>
      <c r="F1773" s="33">
        <v>5</v>
      </c>
      <c r="G1773" s="33">
        <v>4</v>
      </c>
      <c r="H1773" s="33"/>
      <c r="I1773" s="31" t="s">
        <v>46</v>
      </c>
      <c r="J1773" s="31"/>
      <c r="K1773" s="33"/>
      <c r="L1773" s="33"/>
      <c r="M1773" s="31"/>
      <c r="N1773" s="31"/>
      <c r="O1773" s="16" t="s">
        <v>3698</v>
      </c>
      <c r="P1773" s="16"/>
      <c r="Q1773" s="16"/>
      <c r="R1773" s="33"/>
      <c r="S1773" s="34"/>
      <c r="T1773" s="34"/>
      <c r="U1773" s="34"/>
      <c r="V1773" s="34"/>
      <c r="W1773" s="34"/>
      <c r="X1773" s="33" t="s">
        <v>48</v>
      </c>
      <c r="Y1773" s="35" t="str">
        <f>IF(Tabela2[[#This Row],[SIGLA]]="","",VLOOKUP(Tabela2[[#This Row],[SIGLA]],Tabela1[[#All],[Sigla Arte]:[Crédito]],2,0))</f>
        <v>SERGIO LIMA/ARQUIVO DA EDITORA</v>
      </c>
      <c r="Z1773" s="31"/>
      <c r="AA1773" s="31" t="str">
        <f>Tabela2[[#This Row],[ILUSTRADOR CRIAÇÃO]]</f>
        <v>SERGIO LIMA/ARQUIVO DA EDITORA</v>
      </c>
      <c r="AB1773" s="33"/>
      <c r="AC1773" s="16"/>
      <c r="AE1773" s="35" t="str">
        <f t="shared" si="28"/>
        <v>EF1 E002 Mat</v>
      </c>
    </row>
    <row r="1774" spans="1:31" ht="30" x14ac:dyDescent="0.25">
      <c r="A1774" s="31" t="s">
        <v>3699</v>
      </c>
      <c r="B1774" s="16" t="s">
        <v>32</v>
      </c>
      <c r="C1774" s="16" t="s">
        <v>164</v>
      </c>
      <c r="D1774" s="33" t="s">
        <v>34</v>
      </c>
      <c r="E1774" s="33">
        <v>79</v>
      </c>
      <c r="F1774" s="33">
        <v>5</v>
      </c>
      <c r="G1774" s="33">
        <v>4</v>
      </c>
      <c r="H1774" s="33"/>
      <c r="I1774" s="31" t="s">
        <v>46</v>
      </c>
      <c r="J1774" s="31"/>
      <c r="K1774" s="33"/>
      <c r="L1774" s="33"/>
      <c r="M1774" s="31"/>
      <c r="N1774" s="31"/>
      <c r="O1774" s="16" t="s">
        <v>3700</v>
      </c>
      <c r="P1774" s="16"/>
      <c r="Q1774" s="16"/>
      <c r="R1774" s="33"/>
      <c r="S1774" s="34"/>
      <c r="T1774" s="34"/>
      <c r="U1774" s="34"/>
      <c r="V1774" s="34"/>
      <c r="W1774" s="34"/>
      <c r="X1774" s="33" t="s">
        <v>48</v>
      </c>
      <c r="Y1774" s="35" t="str">
        <f>IF(Tabela2[[#This Row],[SIGLA]]="","",VLOOKUP(Tabela2[[#This Row],[SIGLA]],Tabela1[[#All],[Sigla Arte]:[Crédito]],2,0))</f>
        <v>SERGIO LIMA/ARQUIVO DA EDITORA</v>
      </c>
      <c r="Z1774" s="31"/>
      <c r="AA1774" s="31" t="str">
        <f>Tabela2[[#This Row],[ILUSTRADOR CRIAÇÃO]]</f>
        <v>SERGIO LIMA/ARQUIVO DA EDITORA</v>
      </c>
      <c r="AB1774" s="33"/>
      <c r="AC1774" s="16"/>
      <c r="AE1774" s="35" t="str">
        <f t="shared" si="28"/>
        <v>EF1 E002 Mat</v>
      </c>
    </row>
    <row r="1775" spans="1:31" ht="30" x14ac:dyDescent="0.25">
      <c r="A1775" s="31" t="s">
        <v>3701</v>
      </c>
      <c r="B1775" s="16" t="s">
        <v>32</v>
      </c>
      <c r="C1775" s="16" t="s">
        <v>164</v>
      </c>
      <c r="D1775" s="33" t="s">
        <v>34</v>
      </c>
      <c r="E1775" s="33">
        <v>79</v>
      </c>
      <c r="F1775" s="33">
        <v>5</v>
      </c>
      <c r="G1775" s="33">
        <v>4</v>
      </c>
      <c r="H1775" s="33"/>
      <c r="I1775" s="31" t="s">
        <v>46</v>
      </c>
      <c r="J1775" s="31"/>
      <c r="K1775" s="33"/>
      <c r="L1775" s="33"/>
      <c r="M1775" s="31"/>
      <c r="N1775" s="31"/>
      <c r="O1775" s="16" t="s">
        <v>3702</v>
      </c>
      <c r="P1775" s="16"/>
      <c r="Q1775" s="16"/>
      <c r="R1775" s="33"/>
      <c r="S1775" s="34"/>
      <c r="T1775" s="34"/>
      <c r="U1775" s="34"/>
      <c r="V1775" s="34"/>
      <c r="W1775" s="34"/>
      <c r="X1775" s="33" t="s">
        <v>3703</v>
      </c>
      <c r="Y1775" s="35" t="str">
        <f>IF(Tabela2[[#This Row],[SIGLA]]="","",VLOOKUP(Tabela2[[#This Row],[SIGLA]],Tabela1[[#All],[Sigla Arte]:[Crédito]],2,0))</f>
        <v>FABIO EUGENIO/ARQUIVO DA EDITORA</v>
      </c>
      <c r="Z1775" s="31"/>
      <c r="AA1775" s="31" t="str">
        <f>Tabela2[[#This Row],[ILUSTRADOR CRIAÇÃO]]</f>
        <v>FABIO EUGENIO/ARQUIVO DA EDITORA</v>
      </c>
      <c r="AB1775" s="33"/>
      <c r="AC1775" s="16"/>
      <c r="AE1775" s="35" t="str">
        <f t="shared" si="28"/>
        <v>EF1 E002 Mat</v>
      </c>
    </row>
    <row r="1776" spans="1:31" ht="30" x14ac:dyDescent="0.25">
      <c r="A1776" s="31" t="s">
        <v>3704</v>
      </c>
      <c r="B1776" s="16" t="s">
        <v>32</v>
      </c>
      <c r="C1776" s="16" t="s">
        <v>164</v>
      </c>
      <c r="D1776" s="33" t="s">
        <v>34</v>
      </c>
      <c r="E1776" s="33">
        <v>79</v>
      </c>
      <c r="F1776" s="33">
        <v>5</v>
      </c>
      <c r="G1776" s="33">
        <v>4</v>
      </c>
      <c r="H1776" s="33"/>
      <c r="I1776" s="31" t="s">
        <v>46</v>
      </c>
      <c r="J1776" s="31"/>
      <c r="K1776" s="33"/>
      <c r="L1776" s="33"/>
      <c r="M1776" s="31"/>
      <c r="N1776" s="31"/>
      <c r="O1776" s="16" t="s">
        <v>3705</v>
      </c>
      <c r="P1776" s="16"/>
      <c r="Q1776" s="16"/>
      <c r="R1776" s="33"/>
      <c r="S1776" s="34"/>
      <c r="T1776" s="34"/>
      <c r="U1776" s="34"/>
      <c r="V1776" s="34"/>
      <c r="W1776" s="34"/>
      <c r="X1776" s="33" t="s">
        <v>48</v>
      </c>
      <c r="Y1776" s="35" t="str">
        <f>IF(Tabela2[[#This Row],[SIGLA]]="","",VLOOKUP(Tabela2[[#This Row],[SIGLA]],Tabela1[[#All],[Sigla Arte]:[Crédito]],2,0))</f>
        <v>SERGIO LIMA/ARQUIVO DA EDITORA</v>
      </c>
      <c r="Z1776" s="31"/>
      <c r="AA1776" s="31" t="str">
        <f>Tabela2[[#This Row],[ILUSTRADOR CRIAÇÃO]]</f>
        <v>SERGIO LIMA/ARQUIVO DA EDITORA</v>
      </c>
      <c r="AB1776" s="33"/>
      <c r="AC1776" s="16"/>
      <c r="AE1776" s="35" t="str">
        <f t="shared" si="28"/>
        <v>EF1 E002 Mat</v>
      </c>
    </row>
    <row r="1777" spans="1:31" ht="30" x14ac:dyDescent="0.25">
      <c r="A1777" s="31" t="s">
        <v>3706</v>
      </c>
      <c r="B1777" s="16" t="s">
        <v>32</v>
      </c>
      <c r="C1777" s="16" t="s">
        <v>164</v>
      </c>
      <c r="D1777" s="33" t="s">
        <v>34</v>
      </c>
      <c r="E1777" s="33">
        <v>79</v>
      </c>
      <c r="F1777" s="33">
        <v>5</v>
      </c>
      <c r="G1777" s="33">
        <v>4</v>
      </c>
      <c r="H1777" s="33"/>
      <c r="I1777" s="31" t="s">
        <v>46</v>
      </c>
      <c r="J1777" s="31"/>
      <c r="K1777" s="33"/>
      <c r="L1777" s="33"/>
      <c r="M1777" s="31"/>
      <c r="N1777" s="31"/>
      <c r="O1777" s="16" t="s">
        <v>3707</v>
      </c>
      <c r="P1777" s="16"/>
      <c r="Q1777" s="16"/>
      <c r="R1777" s="33"/>
      <c r="S1777" s="34"/>
      <c r="T1777" s="34"/>
      <c r="U1777" s="34"/>
      <c r="V1777" s="34"/>
      <c r="W1777" s="34"/>
      <c r="X1777" s="33" t="s">
        <v>48</v>
      </c>
      <c r="Y1777" s="35" t="str">
        <f>IF(Tabela2[[#This Row],[SIGLA]]="","",VLOOKUP(Tabela2[[#This Row],[SIGLA]],Tabela1[[#All],[Sigla Arte]:[Crédito]],2,0))</f>
        <v>SERGIO LIMA/ARQUIVO DA EDITORA</v>
      </c>
      <c r="Z1777" s="31"/>
      <c r="AA1777" s="31" t="str">
        <f>Tabela2[[#This Row],[ILUSTRADOR CRIAÇÃO]]</f>
        <v>SERGIO LIMA/ARQUIVO DA EDITORA</v>
      </c>
      <c r="AB1777" s="33"/>
      <c r="AC1777" s="16"/>
      <c r="AE1777" s="35" t="str">
        <f t="shared" si="28"/>
        <v>EF1 E002 Mat</v>
      </c>
    </row>
    <row r="1778" spans="1:31" ht="30" x14ac:dyDescent="0.25">
      <c r="A1778" s="31" t="s">
        <v>3708</v>
      </c>
      <c r="B1778" s="16" t="s">
        <v>32</v>
      </c>
      <c r="C1778" s="16" t="s">
        <v>164</v>
      </c>
      <c r="D1778" s="33" t="s">
        <v>34</v>
      </c>
      <c r="E1778" s="33">
        <v>79</v>
      </c>
      <c r="F1778" s="33">
        <v>5</v>
      </c>
      <c r="G1778" s="33">
        <v>4</v>
      </c>
      <c r="H1778" s="33"/>
      <c r="I1778" s="31" t="s">
        <v>46</v>
      </c>
      <c r="J1778" s="31"/>
      <c r="K1778" s="33"/>
      <c r="L1778" s="33"/>
      <c r="M1778" s="31"/>
      <c r="N1778" s="31"/>
      <c r="O1778" s="16" t="s">
        <v>3709</v>
      </c>
      <c r="P1778" s="16"/>
      <c r="Q1778" s="16"/>
      <c r="R1778" s="33"/>
      <c r="S1778" s="34"/>
      <c r="T1778" s="34"/>
      <c r="U1778" s="34"/>
      <c r="V1778" s="34"/>
      <c r="W1778" s="34"/>
      <c r="X1778" s="33" t="s">
        <v>48</v>
      </c>
      <c r="Y1778" s="35" t="str">
        <f>IF(Tabela2[[#This Row],[SIGLA]]="","",VLOOKUP(Tabela2[[#This Row],[SIGLA]],Tabela1[[#All],[Sigla Arte]:[Crédito]],2,0))</f>
        <v>SERGIO LIMA/ARQUIVO DA EDITORA</v>
      </c>
      <c r="Z1778" s="31"/>
      <c r="AA1778" s="31" t="str">
        <f>Tabela2[[#This Row],[ILUSTRADOR CRIAÇÃO]]</f>
        <v>SERGIO LIMA/ARQUIVO DA EDITORA</v>
      </c>
      <c r="AB1778" s="33"/>
      <c r="AC1778" s="16"/>
      <c r="AE1778" s="35" t="str">
        <f t="shared" ref="AE1778:AE1841" si="29">"EF1 E002 Mat"</f>
        <v>EF1 E002 Mat</v>
      </c>
    </row>
    <row r="1779" spans="1:31" ht="45" x14ac:dyDescent="0.25">
      <c r="A1779" s="31" t="s">
        <v>3710</v>
      </c>
      <c r="B1779" s="16" t="s">
        <v>32</v>
      </c>
      <c r="C1779" s="16" t="s">
        <v>164</v>
      </c>
      <c r="D1779" s="33" t="s">
        <v>34</v>
      </c>
      <c r="E1779" s="33">
        <v>80</v>
      </c>
      <c r="F1779" s="33">
        <v>5</v>
      </c>
      <c r="G1779" s="33">
        <v>4</v>
      </c>
      <c r="H1779" s="33"/>
      <c r="I1779" s="31" t="s">
        <v>46</v>
      </c>
      <c r="J1779" s="31"/>
      <c r="K1779" s="33"/>
      <c r="L1779" s="33"/>
      <c r="M1779" s="31"/>
      <c r="N1779" s="31"/>
      <c r="O1779" s="16" t="s">
        <v>3711</v>
      </c>
      <c r="P1779" s="16"/>
      <c r="Q1779" s="16"/>
      <c r="R1779" s="33"/>
      <c r="S1779" s="34"/>
      <c r="T1779" s="34"/>
      <c r="U1779" s="34"/>
      <c r="V1779" s="34"/>
      <c r="W1779" s="34"/>
      <c r="X1779" s="33" t="s">
        <v>48</v>
      </c>
      <c r="Y1779" s="35" t="str">
        <f>IF(Tabela2[[#This Row],[SIGLA]]="","",VLOOKUP(Tabela2[[#This Row],[SIGLA]],Tabela1[[#All],[Sigla Arte]:[Crédito]],2,0))</f>
        <v>SERGIO LIMA/ARQUIVO DA EDITORA</v>
      </c>
      <c r="Z1779" s="31"/>
      <c r="AA1779" s="31" t="str">
        <f>Tabela2[[#This Row],[ILUSTRADOR CRIAÇÃO]]</f>
        <v>SERGIO LIMA/ARQUIVO DA EDITORA</v>
      </c>
      <c r="AB1779" s="33"/>
      <c r="AC1779" s="16"/>
      <c r="AE1779" s="35" t="str">
        <f t="shared" si="29"/>
        <v>EF1 E002 Mat</v>
      </c>
    </row>
    <row r="1780" spans="1:31" ht="30" x14ac:dyDescent="0.25">
      <c r="A1780" s="31" t="s">
        <v>3712</v>
      </c>
      <c r="B1780" s="16" t="s">
        <v>32</v>
      </c>
      <c r="C1780" s="16" t="s">
        <v>164</v>
      </c>
      <c r="D1780" s="33" t="s">
        <v>34</v>
      </c>
      <c r="E1780" s="33">
        <v>80</v>
      </c>
      <c r="F1780" s="33">
        <v>5</v>
      </c>
      <c r="G1780" s="33">
        <v>4</v>
      </c>
      <c r="H1780" s="33"/>
      <c r="I1780" s="31" t="s">
        <v>46</v>
      </c>
      <c r="J1780" s="31"/>
      <c r="K1780" s="33"/>
      <c r="L1780" s="33"/>
      <c r="M1780" s="31"/>
      <c r="N1780" s="31"/>
      <c r="O1780" s="16" t="s">
        <v>3713</v>
      </c>
      <c r="P1780" s="16"/>
      <c r="Q1780" s="16"/>
      <c r="R1780" s="33"/>
      <c r="S1780" s="34"/>
      <c r="T1780" s="34"/>
      <c r="U1780" s="34"/>
      <c r="V1780" s="34"/>
      <c r="W1780" s="34"/>
      <c r="X1780" s="33" t="s">
        <v>48</v>
      </c>
      <c r="Y1780" s="35" t="str">
        <f>IF(Tabela2[[#This Row],[SIGLA]]="","",VLOOKUP(Tabela2[[#This Row],[SIGLA]],Tabela1[[#All],[Sigla Arte]:[Crédito]],2,0))</f>
        <v>SERGIO LIMA/ARQUIVO DA EDITORA</v>
      </c>
      <c r="Z1780" s="31"/>
      <c r="AA1780" s="31" t="str">
        <f>Tabela2[[#This Row],[ILUSTRADOR CRIAÇÃO]]</f>
        <v>SERGIO LIMA/ARQUIVO DA EDITORA</v>
      </c>
      <c r="AB1780" s="33"/>
      <c r="AC1780" s="16"/>
      <c r="AE1780" s="35" t="str">
        <f t="shared" si="29"/>
        <v>EF1 E002 Mat</v>
      </c>
    </row>
    <row r="1781" spans="1:31" ht="45" x14ac:dyDescent="0.25">
      <c r="A1781" s="31" t="s">
        <v>3714</v>
      </c>
      <c r="B1781" s="16" t="s">
        <v>32</v>
      </c>
      <c r="C1781" s="16" t="s">
        <v>164</v>
      </c>
      <c r="D1781" s="33" t="s">
        <v>34</v>
      </c>
      <c r="E1781" s="33">
        <v>80</v>
      </c>
      <c r="F1781" s="33">
        <v>5</v>
      </c>
      <c r="G1781" s="33">
        <v>4</v>
      </c>
      <c r="H1781" s="33"/>
      <c r="I1781" s="31" t="s">
        <v>46</v>
      </c>
      <c r="J1781" s="31"/>
      <c r="K1781" s="33"/>
      <c r="L1781" s="33"/>
      <c r="M1781" s="31"/>
      <c r="N1781" s="31"/>
      <c r="O1781" s="16" t="s">
        <v>3715</v>
      </c>
      <c r="P1781" s="16"/>
      <c r="Q1781" s="16"/>
      <c r="R1781" s="33"/>
      <c r="S1781" s="34"/>
      <c r="T1781" s="34"/>
      <c r="U1781" s="34"/>
      <c r="V1781" s="34"/>
      <c r="W1781" s="34"/>
      <c r="X1781" s="33" t="s">
        <v>48</v>
      </c>
      <c r="Y1781" s="35" t="str">
        <f>IF(Tabela2[[#This Row],[SIGLA]]="","",VLOOKUP(Tabela2[[#This Row],[SIGLA]],Tabela1[[#All],[Sigla Arte]:[Crédito]],2,0))</f>
        <v>SERGIO LIMA/ARQUIVO DA EDITORA</v>
      </c>
      <c r="Z1781" s="31"/>
      <c r="AA1781" s="31" t="str">
        <f>Tabela2[[#This Row],[ILUSTRADOR CRIAÇÃO]]</f>
        <v>SERGIO LIMA/ARQUIVO DA EDITORA</v>
      </c>
      <c r="AB1781" s="33"/>
      <c r="AC1781" s="16"/>
      <c r="AE1781" s="35" t="str">
        <f t="shared" si="29"/>
        <v>EF1 E002 Mat</v>
      </c>
    </row>
    <row r="1782" spans="1:31" ht="30" x14ac:dyDescent="0.25">
      <c r="A1782" s="31" t="s">
        <v>3716</v>
      </c>
      <c r="B1782" s="16" t="s">
        <v>32</v>
      </c>
      <c r="C1782" s="16" t="s">
        <v>164</v>
      </c>
      <c r="D1782" s="33" t="s">
        <v>34</v>
      </c>
      <c r="E1782" s="33">
        <v>80</v>
      </c>
      <c r="F1782" s="33">
        <v>5</v>
      </c>
      <c r="G1782" s="33">
        <v>4</v>
      </c>
      <c r="H1782" s="33"/>
      <c r="I1782" s="31" t="s">
        <v>46</v>
      </c>
      <c r="J1782" s="31"/>
      <c r="K1782" s="33"/>
      <c r="L1782" s="33"/>
      <c r="M1782" s="31"/>
      <c r="N1782" s="31"/>
      <c r="O1782" s="16" t="s">
        <v>3717</v>
      </c>
      <c r="P1782" s="16"/>
      <c r="Q1782" s="16"/>
      <c r="R1782" s="33"/>
      <c r="S1782" s="34"/>
      <c r="T1782" s="34"/>
      <c r="U1782" s="34"/>
      <c r="V1782" s="34"/>
      <c r="W1782" s="34"/>
      <c r="X1782" s="33" t="s">
        <v>48</v>
      </c>
      <c r="Y1782" s="35" t="str">
        <f>IF(Tabela2[[#This Row],[SIGLA]]="","",VLOOKUP(Tabela2[[#This Row],[SIGLA]],Tabela1[[#All],[Sigla Arte]:[Crédito]],2,0))</f>
        <v>SERGIO LIMA/ARQUIVO DA EDITORA</v>
      </c>
      <c r="Z1782" s="31"/>
      <c r="AA1782" s="31" t="str">
        <f>Tabela2[[#This Row],[ILUSTRADOR CRIAÇÃO]]</f>
        <v>SERGIO LIMA/ARQUIVO DA EDITORA</v>
      </c>
      <c r="AB1782" s="33"/>
      <c r="AC1782" s="16"/>
      <c r="AE1782" s="35" t="str">
        <f t="shared" si="29"/>
        <v>EF1 E002 Mat</v>
      </c>
    </row>
    <row r="1783" spans="1:31" ht="45" x14ac:dyDescent="0.25">
      <c r="A1783" s="31" t="s">
        <v>3718</v>
      </c>
      <c r="B1783" s="16" t="s">
        <v>32</v>
      </c>
      <c r="C1783" s="16" t="s">
        <v>164</v>
      </c>
      <c r="D1783" s="33" t="s">
        <v>34</v>
      </c>
      <c r="E1783" s="33">
        <v>80</v>
      </c>
      <c r="F1783" s="33">
        <v>5</v>
      </c>
      <c r="G1783" s="33">
        <v>4</v>
      </c>
      <c r="H1783" s="33"/>
      <c r="I1783" s="31" t="s">
        <v>46</v>
      </c>
      <c r="J1783" s="31"/>
      <c r="K1783" s="33"/>
      <c r="L1783" s="33"/>
      <c r="M1783" s="31"/>
      <c r="N1783" s="31"/>
      <c r="O1783" s="16" t="s">
        <v>3719</v>
      </c>
      <c r="P1783" s="16"/>
      <c r="Q1783" s="16"/>
      <c r="R1783" s="33"/>
      <c r="S1783" s="34"/>
      <c r="T1783" s="34"/>
      <c r="U1783" s="34"/>
      <c r="V1783" s="34"/>
      <c r="W1783" s="34"/>
      <c r="X1783" s="33" t="s">
        <v>48</v>
      </c>
      <c r="Y1783" s="35" t="str">
        <f>IF(Tabela2[[#This Row],[SIGLA]]="","",VLOOKUP(Tabela2[[#This Row],[SIGLA]],Tabela1[[#All],[Sigla Arte]:[Crédito]],2,0))</f>
        <v>SERGIO LIMA/ARQUIVO DA EDITORA</v>
      </c>
      <c r="Z1783" s="31"/>
      <c r="AA1783" s="31" t="str">
        <f>Tabela2[[#This Row],[ILUSTRADOR CRIAÇÃO]]</f>
        <v>SERGIO LIMA/ARQUIVO DA EDITORA</v>
      </c>
      <c r="AB1783" s="33"/>
      <c r="AC1783" s="16"/>
      <c r="AE1783" s="35" t="str">
        <f t="shared" si="29"/>
        <v>EF1 E002 Mat</v>
      </c>
    </row>
    <row r="1784" spans="1:31" ht="30" x14ac:dyDescent="0.25">
      <c r="A1784" s="31" t="s">
        <v>3720</v>
      </c>
      <c r="B1784" s="16" t="s">
        <v>32</v>
      </c>
      <c r="C1784" s="16" t="s">
        <v>164</v>
      </c>
      <c r="D1784" s="33" t="s">
        <v>34</v>
      </c>
      <c r="E1784" s="33">
        <v>80</v>
      </c>
      <c r="F1784" s="33">
        <v>5</v>
      </c>
      <c r="G1784" s="33">
        <v>4</v>
      </c>
      <c r="H1784" s="33"/>
      <c r="I1784" s="31" t="s">
        <v>46</v>
      </c>
      <c r="J1784" s="31"/>
      <c r="K1784" s="33"/>
      <c r="L1784" s="33"/>
      <c r="M1784" s="31"/>
      <c r="N1784" s="31"/>
      <c r="O1784" s="16" t="s">
        <v>3721</v>
      </c>
      <c r="P1784" s="16"/>
      <c r="Q1784" s="16"/>
      <c r="R1784" s="33"/>
      <c r="S1784" s="34"/>
      <c r="T1784" s="34"/>
      <c r="U1784" s="34"/>
      <c r="V1784" s="34"/>
      <c r="W1784" s="34"/>
      <c r="X1784" s="33" t="s">
        <v>48</v>
      </c>
      <c r="Y1784" s="35" t="str">
        <f>IF(Tabela2[[#This Row],[SIGLA]]="","",VLOOKUP(Tabela2[[#This Row],[SIGLA]],Tabela1[[#All],[Sigla Arte]:[Crédito]],2,0))</f>
        <v>SERGIO LIMA/ARQUIVO DA EDITORA</v>
      </c>
      <c r="Z1784" s="31"/>
      <c r="AA1784" s="31" t="str">
        <f>Tabela2[[#This Row],[ILUSTRADOR CRIAÇÃO]]</f>
        <v>SERGIO LIMA/ARQUIVO DA EDITORA</v>
      </c>
      <c r="AB1784" s="33"/>
      <c r="AC1784" s="16"/>
      <c r="AE1784" s="35" t="str">
        <f t="shared" si="29"/>
        <v>EF1 E002 Mat</v>
      </c>
    </row>
    <row r="1785" spans="1:31" ht="90" x14ac:dyDescent="0.25">
      <c r="A1785" s="31" t="s">
        <v>3722</v>
      </c>
      <c r="B1785" s="16" t="s">
        <v>32</v>
      </c>
      <c r="C1785" s="16" t="s">
        <v>164</v>
      </c>
      <c r="D1785" s="33" t="s">
        <v>34</v>
      </c>
      <c r="E1785" s="33">
        <v>81</v>
      </c>
      <c r="F1785" s="33">
        <v>5</v>
      </c>
      <c r="G1785" s="33">
        <v>4</v>
      </c>
      <c r="H1785" s="33"/>
      <c r="I1785" s="31" t="s">
        <v>35</v>
      </c>
      <c r="J1785" s="31"/>
      <c r="K1785" s="33"/>
      <c r="L1785" s="33"/>
      <c r="M1785" s="31"/>
      <c r="N1785" s="31"/>
      <c r="O1785" s="16" t="s">
        <v>3723</v>
      </c>
      <c r="P1785" s="16"/>
      <c r="Q1785" s="16"/>
      <c r="R1785" s="33">
        <v>47</v>
      </c>
      <c r="S1785" s="34">
        <v>45798</v>
      </c>
      <c r="T1785" s="34"/>
      <c r="U1785" s="34"/>
      <c r="V1785" s="34"/>
      <c r="W1785" s="34">
        <v>45804</v>
      </c>
      <c r="X1785" s="33" t="s">
        <v>48</v>
      </c>
      <c r="Y1785" s="35" t="str">
        <f>IF(Tabela2[[#This Row],[SIGLA]]="","",VLOOKUP(Tabela2[[#This Row],[SIGLA]],Tabela1[[#All],[Sigla Arte]:[Crédito]],2,0))</f>
        <v>SERGIO LIMA/ARQUIVO DA EDITORA</v>
      </c>
      <c r="Z1785" s="31" t="s">
        <v>1226</v>
      </c>
      <c r="AA1785" s="31" t="str">
        <f>Tabela2[[#This Row],[ILUSTRADOR CRIAÇÃO]]</f>
        <v>SERGIO LIMA/ARQUIVO DA EDITORA</v>
      </c>
      <c r="AB1785" s="33"/>
      <c r="AC1785" s="16"/>
      <c r="AD1785" s="16" t="s">
        <v>40</v>
      </c>
      <c r="AE1785" s="35" t="str">
        <f t="shared" si="29"/>
        <v>EF1 E002 Mat</v>
      </c>
    </row>
    <row r="1786" spans="1:31" ht="45" x14ac:dyDescent="0.25">
      <c r="A1786" s="31" t="s">
        <v>3724</v>
      </c>
      <c r="B1786" s="16" t="s">
        <v>32</v>
      </c>
      <c r="C1786" s="16" t="s">
        <v>164</v>
      </c>
      <c r="D1786" s="33" t="s">
        <v>34</v>
      </c>
      <c r="E1786" s="33">
        <v>81</v>
      </c>
      <c r="F1786" s="33">
        <v>5</v>
      </c>
      <c r="G1786" s="33">
        <v>4</v>
      </c>
      <c r="H1786" s="33"/>
      <c r="I1786" s="31" t="s">
        <v>46</v>
      </c>
      <c r="J1786" s="31"/>
      <c r="K1786" s="33"/>
      <c r="L1786" s="33"/>
      <c r="M1786" s="31"/>
      <c r="N1786" s="31"/>
      <c r="O1786" s="16" t="s">
        <v>3725</v>
      </c>
      <c r="P1786" s="16"/>
      <c r="Q1786" s="16"/>
      <c r="R1786" s="33"/>
      <c r="S1786" s="34"/>
      <c r="T1786" s="34"/>
      <c r="U1786" s="34"/>
      <c r="V1786" s="34"/>
      <c r="W1786" s="34"/>
      <c r="X1786" s="33" t="s">
        <v>48</v>
      </c>
      <c r="Y1786" s="35" t="str">
        <f>IF(Tabela2[[#This Row],[SIGLA]]="","",VLOOKUP(Tabela2[[#This Row],[SIGLA]],Tabela1[[#All],[Sigla Arte]:[Crédito]],2,0))</f>
        <v>SERGIO LIMA/ARQUIVO DA EDITORA</v>
      </c>
      <c r="Z1786" s="31"/>
      <c r="AA1786" s="31" t="str">
        <f>Tabela2[[#This Row],[ILUSTRADOR CRIAÇÃO]]</f>
        <v>SERGIO LIMA/ARQUIVO DA EDITORA</v>
      </c>
      <c r="AB1786" s="33"/>
      <c r="AC1786" s="16"/>
      <c r="AE1786" s="35" t="str">
        <f t="shared" si="29"/>
        <v>EF1 E002 Mat</v>
      </c>
    </row>
    <row r="1787" spans="1:31" ht="30" x14ac:dyDescent="0.25">
      <c r="A1787" s="31" t="s">
        <v>3726</v>
      </c>
      <c r="B1787" s="16" t="s">
        <v>32</v>
      </c>
      <c r="C1787" s="16" t="s">
        <v>164</v>
      </c>
      <c r="D1787" s="33" t="s">
        <v>34</v>
      </c>
      <c r="E1787" s="33">
        <v>81</v>
      </c>
      <c r="F1787" s="33">
        <v>5</v>
      </c>
      <c r="G1787" s="33">
        <v>4</v>
      </c>
      <c r="H1787" s="33"/>
      <c r="I1787" s="31" t="s">
        <v>46</v>
      </c>
      <c r="J1787" s="31"/>
      <c r="K1787" s="33"/>
      <c r="L1787" s="33"/>
      <c r="M1787" s="31"/>
      <c r="N1787" s="31"/>
      <c r="O1787" s="16" t="s">
        <v>3727</v>
      </c>
      <c r="P1787" s="16"/>
      <c r="Q1787" s="16"/>
      <c r="R1787" s="33"/>
      <c r="S1787" s="34"/>
      <c r="T1787" s="34"/>
      <c r="U1787" s="34"/>
      <c r="V1787" s="34"/>
      <c r="W1787" s="34"/>
      <c r="X1787" s="33" t="s">
        <v>48</v>
      </c>
      <c r="Y1787" s="35" t="str">
        <f>IF(Tabela2[[#This Row],[SIGLA]]="","",VLOOKUP(Tabela2[[#This Row],[SIGLA]],Tabela1[[#All],[Sigla Arte]:[Crédito]],2,0))</f>
        <v>SERGIO LIMA/ARQUIVO DA EDITORA</v>
      </c>
      <c r="Z1787" s="31"/>
      <c r="AA1787" s="31" t="str">
        <f>Tabela2[[#This Row],[ILUSTRADOR CRIAÇÃO]]</f>
        <v>SERGIO LIMA/ARQUIVO DA EDITORA</v>
      </c>
      <c r="AB1787" s="33"/>
      <c r="AC1787" s="16"/>
      <c r="AE1787" s="35" t="str">
        <f t="shared" si="29"/>
        <v>EF1 E002 Mat</v>
      </c>
    </row>
    <row r="1788" spans="1:31" ht="30" x14ac:dyDescent="0.25">
      <c r="A1788" s="31" t="s">
        <v>3728</v>
      </c>
      <c r="B1788" s="16" t="s">
        <v>32</v>
      </c>
      <c r="C1788" s="16" t="s">
        <v>164</v>
      </c>
      <c r="D1788" s="33" t="s">
        <v>34</v>
      </c>
      <c r="E1788" s="33">
        <v>81</v>
      </c>
      <c r="F1788" s="33">
        <v>5</v>
      </c>
      <c r="G1788" s="33">
        <v>4</v>
      </c>
      <c r="H1788" s="33"/>
      <c r="I1788" s="31" t="s">
        <v>46</v>
      </c>
      <c r="J1788" s="31"/>
      <c r="K1788" s="33"/>
      <c r="L1788" s="33"/>
      <c r="M1788" s="31"/>
      <c r="N1788" s="31"/>
      <c r="O1788" s="16" t="s">
        <v>3729</v>
      </c>
      <c r="P1788" s="16"/>
      <c r="Q1788" s="16"/>
      <c r="R1788" s="33"/>
      <c r="S1788" s="34"/>
      <c r="T1788" s="34"/>
      <c r="U1788" s="34"/>
      <c r="V1788" s="34"/>
      <c r="W1788" s="34"/>
      <c r="X1788" s="33" t="s">
        <v>48</v>
      </c>
      <c r="Y1788" s="35" t="str">
        <f>IF(Tabela2[[#This Row],[SIGLA]]="","",VLOOKUP(Tabela2[[#This Row],[SIGLA]],Tabela1[[#All],[Sigla Arte]:[Crédito]],2,0))</f>
        <v>SERGIO LIMA/ARQUIVO DA EDITORA</v>
      </c>
      <c r="Z1788" s="31"/>
      <c r="AA1788" s="31" t="str">
        <f>Tabela2[[#This Row],[ILUSTRADOR CRIAÇÃO]]</f>
        <v>SERGIO LIMA/ARQUIVO DA EDITORA</v>
      </c>
      <c r="AB1788" s="33"/>
      <c r="AC1788" s="16"/>
      <c r="AE1788" s="35" t="str">
        <f t="shared" si="29"/>
        <v>EF1 E002 Mat</v>
      </c>
    </row>
    <row r="1789" spans="1:31" ht="45" x14ac:dyDescent="0.25">
      <c r="A1789" s="31" t="s">
        <v>3730</v>
      </c>
      <c r="B1789" s="16" t="s">
        <v>32</v>
      </c>
      <c r="C1789" s="16" t="s">
        <v>164</v>
      </c>
      <c r="D1789" s="33" t="s">
        <v>34</v>
      </c>
      <c r="E1789" s="33">
        <v>83</v>
      </c>
      <c r="F1789" s="33">
        <v>5</v>
      </c>
      <c r="G1789" s="33">
        <v>4</v>
      </c>
      <c r="H1789" s="33"/>
      <c r="I1789" s="31" t="s">
        <v>46</v>
      </c>
      <c r="J1789" s="31"/>
      <c r="K1789" s="33"/>
      <c r="L1789" s="33"/>
      <c r="M1789" s="31"/>
      <c r="N1789" s="31"/>
      <c r="O1789" s="16" t="s">
        <v>3731</v>
      </c>
      <c r="P1789" s="16"/>
      <c r="Q1789" s="16"/>
      <c r="R1789" s="33"/>
      <c r="S1789" s="34"/>
      <c r="T1789" s="34"/>
      <c r="U1789" s="34"/>
      <c r="V1789" s="34"/>
      <c r="W1789" s="34"/>
      <c r="X1789" s="33" t="s">
        <v>1126</v>
      </c>
      <c r="Y1789" s="35" t="str">
        <f>IF(Tabela2[[#This Row],[SIGLA]]="","",VLOOKUP(Tabela2[[#This Row],[SIGLA]],Tabela1[[#All],[Sigla Arte]:[Crédito]],2,0))</f>
        <v>GUSTAVO CONTI/ARQUIVO DA EDITORA</v>
      </c>
      <c r="Z1789" s="31"/>
      <c r="AA1789" s="31" t="str">
        <f>Tabela2[[#This Row],[ILUSTRADOR CRIAÇÃO]]</f>
        <v>GUSTAVO CONTI/ARQUIVO DA EDITORA</v>
      </c>
      <c r="AB1789" s="33"/>
      <c r="AC1789" s="16"/>
      <c r="AE1789" s="35" t="str">
        <f t="shared" si="29"/>
        <v>EF1 E002 Mat</v>
      </c>
    </row>
    <row r="1790" spans="1:31" ht="45" x14ac:dyDescent="0.25">
      <c r="A1790" s="31" t="s">
        <v>3732</v>
      </c>
      <c r="B1790" s="16" t="s">
        <v>32</v>
      </c>
      <c r="C1790" s="16" t="s">
        <v>164</v>
      </c>
      <c r="D1790" s="33" t="s">
        <v>34</v>
      </c>
      <c r="E1790" s="33">
        <v>83</v>
      </c>
      <c r="F1790" s="33">
        <v>5</v>
      </c>
      <c r="G1790" s="33">
        <v>4</v>
      </c>
      <c r="H1790" s="33"/>
      <c r="I1790" s="31" t="s">
        <v>46</v>
      </c>
      <c r="J1790" s="31"/>
      <c r="K1790" s="33"/>
      <c r="L1790" s="33"/>
      <c r="M1790" s="31"/>
      <c r="N1790" s="31"/>
      <c r="O1790" s="16" t="s">
        <v>3733</v>
      </c>
      <c r="P1790" s="16"/>
      <c r="Q1790" s="16"/>
      <c r="R1790" s="33"/>
      <c r="S1790" s="34"/>
      <c r="T1790" s="34"/>
      <c r="U1790" s="34"/>
      <c r="V1790" s="34"/>
      <c r="W1790" s="34"/>
      <c r="X1790" s="33" t="s">
        <v>1126</v>
      </c>
      <c r="Y1790" s="35" t="str">
        <f>IF(Tabela2[[#This Row],[SIGLA]]="","",VLOOKUP(Tabela2[[#This Row],[SIGLA]],Tabela1[[#All],[Sigla Arte]:[Crédito]],2,0))</f>
        <v>GUSTAVO CONTI/ARQUIVO DA EDITORA</v>
      </c>
      <c r="Z1790" s="31"/>
      <c r="AA1790" s="31" t="str">
        <f>Tabela2[[#This Row],[ILUSTRADOR CRIAÇÃO]]</f>
        <v>GUSTAVO CONTI/ARQUIVO DA EDITORA</v>
      </c>
      <c r="AB1790" s="33"/>
      <c r="AC1790" s="16"/>
      <c r="AE1790" s="35" t="str">
        <f t="shared" si="29"/>
        <v>EF1 E002 Mat</v>
      </c>
    </row>
    <row r="1791" spans="1:31" ht="45" x14ac:dyDescent="0.25">
      <c r="A1791" s="31" t="s">
        <v>3734</v>
      </c>
      <c r="B1791" s="16" t="s">
        <v>32</v>
      </c>
      <c r="C1791" s="16" t="s">
        <v>164</v>
      </c>
      <c r="D1791" s="33" t="s">
        <v>34</v>
      </c>
      <c r="E1791" s="33">
        <v>83</v>
      </c>
      <c r="F1791" s="33">
        <v>5</v>
      </c>
      <c r="G1791" s="33">
        <v>4</v>
      </c>
      <c r="H1791" s="33"/>
      <c r="I1791" s="31" t="s">
        <v>46</v>
      </c>
      <c r="J1791" s="31"/>
      <c r="K1791" s="33"/>
      <c r="L1791" s="33"/>
      <c r="M1791" s="31"/>
      <c r="N1791" s="31"/>
      <c r="O1791" s="16" t="s">
        <v>3735</v>
      </c>
      <c r="P1791" s="16"/>
      <c r="Q1791" s="16"/>
      <c r="R1791" s="33"/>
      <c r="S1791" s="34"/>
      <c r="T1791" s="34"/>
      <c r="U1791" s="34"/>
      <c r="V1791" s="34"/>
      <c r="W1791" s="34"/>
      <c r="X1791" s="33" t="s">
        <v>1126</v>
      </c>
      <c r="Y1791" s="35" t="str">
        <f>IF(Tabela2[[#This Row],[SIGLA]]="","",VLOOKUP(Tabela2[[#This Row],[SIGLA]],Tabela1[[#All],[Sigla Arte]:[Crédito]],2,0))</f>
        <v>GUSTAVO CONTI/ARQUIVO DA EDITORA</v>
      </c>
      <c r="Z1791" s="31"/>
      <c r="AA1791" s="31" t="str">
        <f>Tabela2[[#This Row],[ILUSTRADOR CRIAÇÃO]]</f>
        <v>GUSTAVO CONTI/ARQUIVO DA EDITORA</v>
      </c>
      <c r="AB1791" s="33"/>
      <c r="AC1791" s="16"/>
      <c r="AE1791" s="35" t="str">
        <f t="shared" si="29"/>
        <v>EF1 E002 Mat</v>
      </c>
    </row>
    <row r="1792" spans="1:31" ht="45" x14ac:dyDescent="0.25">
      <c r="A1792" s="31" t="s">
        <v>3736</v>
      </c>
      <c r="B1792" s="16" t="s">
        <v>32</v>
      </c>
      <c r="C1792" s="16" t="s">
        <v>164</v>
      </c>
      <c r="D1792" s="33" t="s">
        <v>34</v>
      </c>
      <c r="E1792" s="33">
        <v>83</v>
      </c>
      <c r="F1792" s="33">
        <v>5</v>
      </c>
      <c r="G1792" s="33">
        <v>4</v>
      </c>
      <c r="H1792" s="33"/>
      <c r="I1792" s="31" t="s">
        <v>46</v>
      </c>
      <c r="J1792" s="31"/>
      <c r="K1792" s="33"/>
      <c r="L1792" s="33"/>
      <c r="M1792" s="31"/>
      <c r="N1792" s="31"/>
      <c r="O1792" s="16" t="s">
        <v>3737</v>
      </c>
      <c r="P1792" s="16"/>
      <c r="Q1792" s="16"/>
      <c r="R1792" s="33"/>
      <c r="S1792" s="34"/>
      <c r="T1792" s="34"/>
      <c r="U1792" s="34"/>
      <c r="V1792" s="34"/>
      <c r="W1792" s="34"/>
      <c r="X1792" s="33" t="s">
        <v>1126</v>
      </c>
      <c r="Y1792" s="35" t="str">
        <f>IF(Tabela2[[#This Row],[SIGLA]]="","",VLOOKUP(Tabela2[[#This Row],[SIGLA]],Tabela1[[#All],[Sigla Arte]:[Crédito]],2,0))</f>
        <v>GUSTAVO CONTI/ARQUIVO DA EDITORA</v>
      </c>
      <c r="Z1792" s="31"/>
      <c r="AA1792" s="31" t="str">
        <f>Tabela2[[#This Row],[ILUSTRADOR CRIAÇÃO]]</f>
        <v>GUSTAVO CONTI/ARQUIVO DA EDITORA</v>
      </c>
      <c r="AB1792" s="33"/>
      <c r="AC1792" s="16"/>
      <c r="AE1792" s="35" t="str">
        <f t="shared" si="29"/>
        <v>EF1 E002 Mat</v>
      </c>
    </row>
    <row r="1793" spans="1:31" ht="150" x14ac:dyDescent="0.25">
      <c r="A1793" s="31" t="s">
        <v>3738</v>
      </c>
      <c r="B1793" s="16" t="s">
        <v>32</v>
      </c>
      <c r="C1793" s="16" t="s">
        <v>33</v>
      </c>
      <c r="D1793" s="33" t="s">
        <v>34</v>
      </c>
      <c r="E1793" s="33">
        <v>172</v>
      </c>
      <c r="F1793" s="33">
        <v>1</v>
      </c>
      <c r="G1793" s="33">
        <v>7</v>
      </c>
      <c r="H1793" s="33"/>
      <c r="I1793" s="31" t="s">
        <v>35</v>
      </c>
      <c r="J1793" s="31"/>
      <c r="K1793" s="33"/>
      <c r="L1793" s="33"/>
      <c r="M1793" s="31"/>
      <c r="N1793" s="31"/>
      <c r="O1793" s="16" t="s">
        <v>3739</v>
      </c>
      <c r="P1793" s="16"/>
      <c r="Q1793" s="16"/>
      <c r="R1793" s="33">
        <v>48</v>
      </c>
      <c r="S1793" s="34">
        <v>45798</v>
      </c>
      <c r="T1793" s="34">
        <v>45798</v>
      </c>
      <c r="U1793" s="34"/>
      <c r="V1793" s="34"/>
      <c r="W1793" s="34">
        <v>45800</v>
      </c>
      <c r="X1793" s="33" t="s">
        <v>162</v>
      </c>
      <c r="Y1793" s="35" t="str">
        <f>IF(Tabela2[[#This Row],[SIGLA]]="","",VLOOKUP(Tabela2[[#This Row],[SIGLA]],Tabela1[[#All],[Sigla Arte]:[Crédito]],2,0))</f>
        <v>IVY NUNES/ARQUIVO DA EDITORA</v>
      </c>
      <c r="Z1793" s="31" t="s">
        <v>88</v>
      </c>
      <c r="AA1793" s="31" t="str">
        <f>Tabela2[[#This Row],[ILUSTRADOR CRIAÇÃO]]</f>
        <v>IVY NUNES/ARQUIVO DA EDITORA</v>
      </c>
      <c r="AB1793" s="33">
        <v>14</v>
      </c>
      <c r="AC1793" s="16" t="s">
        <v>39</v>
      </c>
      <c r="AD1793" s="16" t="s">
        <v>40</v>
      </c>
      <c r="AE1793" s="35" t="str">
        <f t="shared" si="29"/>
        <v>EF1 E002 Mat</v>
      </c>
    </row>
    <row r="1794" spans="1:31" ht="60" x14ac:dyDescent="0.25">
      <c r="A1794" s="31" t="s">
        <v>3740</v>
      </c>
      <c r="B1794" s="16" t="s">
        <v>32</v>
      </c>
      <c r="C1794" s="16" t="s">
        <v>164</v>
      </c>
      <c r="D1794" s="33" t="s">
        <v>34</v>
      </c>
      <c r="E1794" s="33">
        <v>173</v>
      </c>
      <c r="F1794" s="33">
        <v>1</v>
      </c>
      <c r="G1794" s="33">
        <v>7</v>
      </c>
      <c r="H1794" s="33"/>
      <c r="I1794" s="31" t="s">
        <v>35</v>
      </c>
      <c r="J1794" s="31"/>
      <c r="K1794" s="33"/>
      <c r="L1794" s="33"/>
      <c r="M1794" s="31"/>
      <c r="N1794" s="31"/>
      <c r="O1794" s="16" t="s">
        <v>3741</v>
      </c>
      <c r="P1794" s="16"/>
      <c r="Q1794" s="16"/>
      <c r="R1794" s="33">
        <v>48</v>
      </c>
      <c r="S1794" s="34">
        <v>45798</v>
      </c>
      <c r="T1794" s="34">
        <v>45798</v>
      </c>
      <c r="U1794" s="34"/>
      <c r="V1794" s="34"/>
      <c r="W1794" s="34">
        <v>45800</v>
      </c>
      <c r="X1794" s="33" t="s">
        <v>184</v>
      </c>
      <c r="Y1794" s="35" t="str">
        <f>IF(Tabela2[[#This Row],[SIGLA]]="","",VLOOKUP(Tabela2[[#This Row],[SIGLA]],Tabela1[[#All],[Sigla Arte]:[Crédito]],2,0))</f>
        <v>VER DOCUMENTO DE ILS. TÉCNICAS</v>
      </c>
      <c r="Z1794" s="31" t="s">
        <v>88</v>
      </c>
      <c r="AA1794" s="31" t="s">
        <v>949</v>
      </c>
      <c r="AB1794" s="33">
        <v>14</v>
      </c>
      <c r="AC1794" s="16" t="s">
        <v>39</v>
      </c>
      <c r="AD1794" s="16" t="s">
        <v>40</v>
      </c>
      <c r="AE1794" s="35" t="str">
        <f t="shared" si="29"/>
        <v>EF1 E002 Mat</v>
      </c>
    </row>
    <row r="1795" spans="1:31" ht="45" x14ac:dyDescent="0.25">
      <c r="A1795" s="31" t="s">
        <v>3742</v>
      </c>
      <c r="B1795" s="16" t="s">
        <v>32</v>
      </c>
      <c r="C1795" s="16" t="s">
        <v>164</v>
      </c>
      <c r="D1795" s="33" t="s">
        <v>34</v>
      </c>
      <c r="E1795" s="33">
        <v>174</v>
      </c>
      <c r="F1795" s="33">
        <v>1</v>
      </c>
      <c r="G1795" s="33">
        <v>7</v>
      </c>
      <c r="H1795" s="33"/>
      <c r="I1795" s="31" t="s">
        <v>46</v>
      </c>
      <c r="J1795" s="31"/>
      <c r="K1795" s="33"/>
      <c r="L1795" s="33"/>
      <c r="M1795" s="31"/>
      <c r="N1795" s="31"/>
      <c r="O1795" s="16" t="s">
        <v>3743</v>
      </c>
      <c r="P1795" s="16"/>
      <c r="Q1795" s="16"/>
      <c r="R1795" s="33"/>
      <c r="S1795" s="34"/>
      <c r="T1795" s="34"/>
      <c r="U1795" s="34"/>
      <c r="V1795" s="34"/>
      <c r="W1795" s="34"/>
      <c r="X1795" s="33" t="s">
        <v>1126</v>
      </c>
      <c r="Y1795" s="35" t="str">
        <f>IF(Tabela2[[#This Row],[SIGLA]]="","",VLOOKUP(Tabela2[[#This Row],[SIGLA]],Tabela1[[#All],[Sigla Arte]:[Crédito]],2,0))</f>
        <v>GUSTAVO CONTI/ARQUIVO DA EDITORA</v>
      </c>
      <c r="Z1795" s="31"/>
      <c r="AA1795" s="31" t="str">
        <f>Tabela2[[#This Row],[ILUSTRADOR CRIAÇÃO]]</f>
        <v>GUSTAVO CONTI/ARQUIVO DA EDITORA</v>
      </c>
      <c r="AB1795" s="33"/>
      <c r="AC1795" s="16"/>
      <c r="AE1795" s="35" t="str">
        <f t="shared" si="29"/>
        <v>EF1 E002 Mat</v>
      </c>
    </row>
    <row r="1796" spans="1:31" ht="210" x14ac:dyDescent="0.25">
      <c r="A1796" s="31" t="s">
        <v>3744</v>
      </c>
      <c r="B1796" s="16" t="s">
        <v>401</v>
      </c>
      <c r="C1796" s="16" t="s">
        <v>164</v>
      </c>
      <c r="D1796" s="33" t="s">
        <v>34</v>
      </c>
      <c r="E1796" s="33">
        <v>182</v>
      </c>
      <c r="F1796" s="33">
        <v>1</v>
      </c>
      <c r="G1796" s="33">
        <v>7</v>
      </c>
      <c r="H1796" s="33"/>
      <c r="I1796" s="31" t="s">
        <v>995</v>
      </c>
      <c r="J1796" s="31"/>
      <c r="K1796" s="33"/>
      <c r="L1796" s="33"/>
      <c r="M1796" s="31"/>
      <c r="N1796" s="31"/>
      <c r="O1796" s="16" t="s">
        <v>3745</v>
      </c>
      <c r="P1796" s="16"/>
      <c r="Q1796" s="16" t="s">
        <v>3746</v>
      </c>
      <c r="R1796" s="33"/>
      <c r="S1796" s="34"/>
      <c r="T1796" s="34"/>
      <c r="U1796" s="34"/>
      <c r="V1796" s="34"/>
      <c r="W1796" s="34"/>
      <c r="X1796" s="33"/>
      <c r="Y1796" s="35" t="str">
        <f>IF(Tabela2[[#This Row],[SIGLA]]="","",VLOOKUP(Tabela2[[#This Row],[SIGLA]],Tabela1[[#All],[Sigla Arte]:[Crédito]],2,0))</f>
        <v/>
      </c>
      <c r="Z1796" s="31"/>
      <c r="AA1796" s="31" t="str">
        <f>Tabela2[[#This Row],[ILUSTRADOR CRIAÇÃO]]</f>
        <v/>
      </c>
      <c r="AB1796" s="33"/>
      <c r="AC1796" s="16"/>
      <c r="AE1796" s="35" t="str">
        <f t="shared" si="29"/>
        <v>EF1 E002 Mat</v>
      </c>
    </row>
    <row r="1797" spans="1:31" ht="60" x14ac:dyDescent="0.25">
      <c r="A1797" s="31" t="s">
        <v>3747</v>
      </c>
      <c r="B1797" s="16" t="s">
        <v>32</v>
      </c>
      <c r="C1797" s="16" t="s">
        <v>164</v>
      </c>
      <c r="D1797" s="33" t="s">
        <v>34</v>
      </c>
      <c r="E1797" s="33">
        <v>184</v>
      </c>
      <c r="F1797" s="33">
        <v>1</v>
      </c>
      <c r="G1797" s="33">
        <v>7</v>
      </c>
      <c r="H1797" s="33"/>
      <c r="I1797" s="31" t="s">
        <v>995</v>
      </c>
      <c r="J1797" s="31"/>
      <c r="K1797" s="33"/>
      <c r="L1797" s="33"/>
      <c r="M1797" s="31"/>
      <c r="N1797" s="31"/>
      <c r="O1797" s="16" t="s">
        <v>3748</v>
      </c>
      <c r="P1797" s="16"/>
      <c r="Q1797" s="16"/>
      <c r="R1797" s="33">
        <v>48</v>
      </c>
      <c r="S1797" s="34">
        <v>45798</v>
      </c>
      <c r="T1797" s="34">
        <v>45798</v>
      </c>
      <c r="U1797" s="34"/>
      <c r="V1797" s="34"/>
      <c r="W1797" s="34">
        <v>45800</v>
      </c>
      <c r="X1797" s="33" t="s">
        <v>3749</v>
      </c>
      <c r="Y1797" s="35" t="str">
        <f>IF(Tabela2[[#This Row],[SIGLA]]="","",VLOOKUP(Tabela2[[#This Row],[SIGLA]],Tabela1[[#All],[Sigla Arte]:[Crédito]],2,0))</f>
        <v>TATIANE GALHEIRO/ARQUIVO DA EDITORA</v>
      </c>
      <c r="Z1797" s="31"/>
      <c r="AA1797" s="31" t="str">
        <f>Tabela2[[#This Row],[ILUSTRADOR CRIAÇÃO]]</f>
        <v>TATIANE GALHEIRO/ARQUIVO DA EDITORA</v>
      </c>
      <c r="AB1797" s="33">
        <v>14</v>
      </c>
      <c r="AC1797" s="16" t="s">
        <v>3750</v>
      </c>
      <c r="AD1797" s="16" t="s">
        <v>40</v>
      </c>
      <c r="AE1797" s="35" t="str">
        <f t="shared" si="29"/>
        <v>EF1 E002 Mat</v>
      </c>
    </row>
    <row r="1798" spans="1:31" ht="30" x14ac:dyDescent="0.25">
      <c r="A1798" s="31" t="s">
        <v>3751</v>
      </c>
      <c r="B1798" s="16" t="s">
        <v>32</v>
      </c>
      <c r="C1798" s="16" t="s">
        <v>164</v>
      </c>
      <c r="D1798" s="33" t="s">
        <v>34</v>
      </c>
      <c r="E1798" s="33">
        <v>186</v>
      </c>
      <c r="F1798" s="33">
        <v>1</v>
      </c>
      <c r="G1798" s="33">
        <v>7</v>
      </c>
      <c r="H1798" s="33"/>
      <c r="I1798" s="31" t="s">
        <v>995</v>
      </c>
      <c r="J1798" s="31"/>
      <c r="K1798" s="33"/>
      <c r="L1798" s="33"/>
      <c r="M1798" s="31"/>
      <c r="N1798" s="31"/>
      <c r="O1798" s="16" t="s">
        <v>3752</v>
      </c>
      <c r="P1798" s="16"/>
      <c r="Q1798" s="16"/>
      <c r="R1798" s="33">
        <v>48</v>
      </c>
      <c r="S1798" s="34">
        <v>45798</v>
      </c>
      <c r="T1798" s="34">
        <v>45798</v>
      </c>
      <c r="U1798" s="34"/>
      <c r="V1798" s="34"/>
      <c r="W1798" s="34">
        <v>45800</v>
      </c>
      <c r="X1798" s="33" t="s">
        <v>184</v>
      </c>
      <c r="Y1798" s="35" t="str">
        <f>IF(Tabela2[[#This Row],[SIGLA]]="","",VLOOKUP(Tabela2[[#This Row],[SIGLA]],Tabela1[[#All],[Sigla Arte]:[Crédito]],2,0))</f>
        <v>VER DOCUMENTO DE ILS. TÉCNICAS</v>
      </c>
      <c r="Z1798" s="31" t="s">
        <v>88</v>
      </c>
      <c r="AA1798" s="31" t="s">
        <v>191</v>
      </c>
      <c r="AB1798" s="33">
        <v>14</v>
      </c>
      <c r="AC1798" s="16" t="s">
        <v>3750</v>
      </c>
      <c r="AD1798" s="16" t="s">
        <v>40</v>
      </c>
      <c r="AE1798" s="35" t="str">
        <f t="shared" si="29"/>
        <v>EF1 E002 Mat</v>
      </c>
    </row>
    <row r="1799" spans="1:31" ht="30" x14ac:dyDescent="0.25">
      <c r="A1799" s="31" t="s">
        <v>3753</v>
      </c>
      <c r="B1799" s="16" t="s">
        <v>32</v>
      </c>
      <c r="C1799" s="16" t="s">
        <v>164</v>
      </c>
      <c r="D1799" s="33" t="s">
        <v>34</v>
      </c>
      <c r="E1799" s="33">
        <v>186</v>
      </c>
      <c r="F1799" s="33">
        <v>1</v>
      </c>
      <c r="G1799" s="33">
        <v>7</v>
      </c>
      <c r="H1799" s="33"/>
      <c r="I1799" s="31" t="s">
        <v>995</v>
      </c>
      <c r="J1799" s="31"/>
      <c r="K1799" s="33"/>
      <c r="L1799" s="33"/>
      <c r="M1799" s="31"/>
      <c r="N1799" s="31"/>
      <c r="O1799" s="16" t="s">
        <v>3754</v>
      </c>
      <c r="P1799" s="16"/>
      <c r="Q1799" s="16"/>
      <c r="R1799" s="33">
        <v>48</v>
      </c>
      <c r="S1799" s="34">
        <v>45798</v>
      </c>
      <c r="T1799" s="34">
        <v>45798</v>
      </c>
      <c r="U1799" s="34"/>
      <c r="V1799" s="34"/>
      <c r="W1799" s="34">
        <v>45800</v>
      </c>
      <c r="X1799" s="33" t="s">
        <v>184</v>
      </c>
      <c r="Y1799" s="35" t="str">
        <f>IF(Tabela2[[#This Row],[SIGLA]]="","",VLOOKUP(Tabela2[[#This Row],[SIGLA]],Tabela1[[#All],[Sigla Arte]:[Crédito]],2,0))</f>
        <v>VER DOCUMENTO DE ILS. TÉCNICAS</v>
      </c>
      <c r="Z1799" s="31" t="s">
        <v>88</v>
      </c>
      <c r="AA1799" s="31" t="s">
        <v>191</v>
      </c>
      <c r="AB1799" s="33">
        <v>14</v>
      </c>
      <c r="AC1799" s="16" t="s">
        <v>3750</v>
      </c>
      <c r="AD1799" s="16" t="s">
        <v>40</v>
      </c>
      <c r="AE1799" s="35" t="str">
        <f t="shared" si="29"/>
        <v>EF1 E002 Mat</v>
      </c>
    </row>
    <row r="1800" spans="1:31" ht="30" x14ac:dyDescent="0.25">
      <c r="A1800" s="31" t="s">
        <v>3755</v>
      </c>
      <c r="B1800" s="16" t="s">
        <v>32</v>
      </c>
      <c r="C1800" s="16" t="s">
        <v>164</v>
      </c>
      <c r="D1800" s="33" t="s">
        <v>34</v>
      </c>
      <c r="E1800" s="33">
        <v>186</v>
      </c>
      <c r="F1800" s="33">
        <v>1</v>
      </c>
      <c r="G1800" s="33">
        <v>7</v>
      </c>
      <c r="H1800" s="33"/>
      <c r="I1800" s="31" t="s">
        <v>995</v>
      </c>
      <c r="J1800" s="31"/>
      <c r="K1800" s="33"/>
      <c r="L1800" s="33"/>
      <c r="M1800" s="31"/>
      <c r="N1800" s="31"/>
      <c r="O1800" s="16" t="s">
        <v>3756</v>
      </c>
      <c r="P1800" s="16"/>
      <c r="Q1800" s="16"/>
      <c r="R1800" s="33">
        <v>48</v>
      </c>
      <c r="S1800" s="34">
        <v>45798</v>
      </c>
      <c r="T1800" s="34">
        <v>45798</v>
      </c>
      <c r="U1800" s="34"/>
      <c r="V1800" s="34"/>
      <c r="W1800" s="34">
        <v>45800</v>
      </c>
      <c r="X1800" s="33" t="s">
        <v>184</v>
      </c>
      <c r="Y1800" s="35" t="str">
        <f>IF(Tabela2[[#This Row],[SIGLA]]="","",VLOOKUP(Tabela2[[#This Row],[SIGLA]],Tabela1[[#All],[Sigla Arte]:[Crédito]],2,0))</f>
        <v>VER DOCUMENTO DE ILS. TÉCNICAS</v>
      </c>
      <c r="Z1800" s="31" t="s">
        <v>88</v>
      </c>
      <c r="AA1800" s="31" t="s">
        <v>191</v>
      </c>
      <c r="AB1800" s="33">
        <v>14</v>
      </c>
      <c r="AC1800" s="16" t="s">
        <v>3750</v>
      </c>
      <c r="AD1800" s="16" t="s">
        <v>40</v>
      </c>
      <c r="AE1800" s="35" t="str">
        <f t="shared" si="29"/>
        <v>EF1 E002 Mat</v>
      </c>
    </row>
    <row r="1801" spans="1:31" ht="90" x14ac:dyDescent="0.25">
      <c r="A1801" s="31" t="s">
        <v>3757</v>
      </c>
      <c r="B1801" s="16" t="s">
        <v>32</v>
      </c>
      <c r="C1801" s="16" t="s">
        <v>164</v>
      </c>
      <c r="D1801" s="33" t="s">
        <v>34</v>
      </c>
      <c r="E1801" s="33">
        <v>187</v>
      </c>
      <c r="F1801" s="33">
        <v>1</v>
      </c>
      <c r="G1801" s="33">
        <v>7</v>
      </c>
      <c r="H1801" s="33"/>
      <c r="I1801" s="31" t="s">
        <v>995</v>
      </c>
      <c r="J1801" s="31"/>
      <c r="K1801" s="33"/>
      <c r="L1801" s="33"/>
      <c r="M1801" s="31"/>
      <c r="N1801" s="31"/>
      <c r="O1801" s="16" t="s">
        <v>3758</v>
      </c>
      <c r="P1801" s="16"/>
      <c r="Q1801" s="16"/>
      <c r="R1801" s="33">
        <v>48</v>
      </c>
      <c r="S1801" s="34">
        <v>45798</v>
      </c>
      <c r="T1801" s="34">
        <v>45800</v>
      </c>
      <c r="U1801" s="34">
        <v>45804</v>
      </c>
      <c r="V1801" s="34">
        <v>45806</v>
      </c>
      <c r="W1801" s="34">
        <v>45807</v>
      </c>
      <c r="X1801" s="33" t="s">
        <v>43</v>
      </c>
      <c r="Y1801" s="35" t="str">
        <f>IF(Tabela2[[#This Row],[SIGLA]]="","",VLOOKUP(Tabela2[[#This Row],[SIGLA]],Tabela1[[#All],[Sigla Arte]:[Crédito]],2,0))</f>
        <v>GUILHERME RODRIGUES/ARQUIVO DA EDITORA</v>
      </c>
      <c r="Z1801" s="31"/>
      <c r="AA1801" s="31" t="str">
        <f>Tabela2[[#This Row],[ILUSTRADOR CRIAÇÃO]]</f>
        <v>GUILHERME RODRIGUES/ARQUIVO DA EDITORA</v>
      </c>
      <c r="AB1801" s="33">
        <v>5</v>
      </c>
      <c r="AC1801" s="16" t="s">
        <v>3759</v>
      </c>
      <c r="AD1801" s="16" t="s">
        <v>1093</v>
      </c>
      <c r="AE1801" s="35" t="str">
        <f t="shared" si="29"/>
        <v>EF1 E002 Mat</v>
      </c>
    </row>
    <row r="1802" spans="1:31" ht="105" x14ac:dyDescent="0.25">
      <c r="A1802" s="31" t="s">
        <v>3760</v>
      </c>
      <c r="B1802" s="16" t="s">
        <v>32</v>
      </c>
      <c r="C1802" s="16" t="s">
        <v>33</v>
      </c>
      <c r="D1802" s="33" t="s">
        <v>34</v>
      </c>
      <c r="E1802" s="33">
        <v>211</v>
      </c>
      <c r="F1802" s="33">
        <v>1</v>
      </c>
      <c r="G1802" s="33">
        <v>9</v>
      </c>
      <c r="H1802" s="33"/>
      <c r="I1802" s="31" t="s">
        <v>35</v>
      </c>
      <c r="J1802" s="31"/>
      <c r="K1802" s="33"/>
      <c r="L1802" s="33"/>
      <c r="M1802" s="31"/>
      <c r="N1802" s="31"/>
      <c r="O1802" s="16" t="s">
        <v>3761</v>
      </c>
      <c r="P1802" s="16"/>
      <c r="Q1802" s="16"/>
      <c r="R1802" s="33">
        <v>49</v>
      </c>
      <c r="S1802" s="34">
        <v>45799</v>
      </c>
      <c r="T1802" s="34">
        <v>45800</v>
      </c>
      <c r="U1802" s="34"/>
      <c r="V1802" s="34"/>
      <c r="W1802" s="34">
        <v>45800</v>
      </c>
      <c r="X1802" s="33" t="s">
        <v>184</v>
      </c>
      <c r="Y1802" s="35" t="str">
        <f>IF(Tabela2[[#This Row],[SIGLA]]="","",VLOOKUP(Tabela2[[#This Row],[SIGLA]],Tabela1[[#All],[Sigla Arte]:[Crédito]],2,0))</f>
        <v>VER DOCUMENTO DE ILS. TÉCNICAS</v>
      </c>
      <c r="Z1802" s="31" t="s">
        <v>221</v>
      </c>
      <c r="AA1802" s="31" t="s">
        <v>191</v>
      </c>
      <c r="AB1802" s="33">
        <v>13</v>
      </c>
      <c r="AC1802" s="16" t="s">
        <v>39</v>
      </c>
      <c r="AD1802" s="16" t="s">
        <v>40</v>
      </c>
      <c r="AE1802" s="35" t="str">
        <f t="shared" si="29"/>
        <v>EF1 E002 Mat</v>
      </c>
    </row>
    <row r="1803" spans="1:31" ht="90" x14ac:dyDescent="0.25">
      <c r="A1803" s="31" t="s">
        <v>3762</v>
      </c>
      <c r="B1803" s="16" t="s">
        <v>97</v>
      </c>
      <c r="C1803" s="16" t="s">
        <v>327</v>
      </c>
      <c r="D1803" s="33" t="s">
        <v>34</v>
      </c>
      <c r="E1803" s="33">
        <v>213</v>
      </c>
      <c r="F1803" s="33">
        <v>1</v>
      </c>
      <c r="G1803" s="33">
        <v>9</v>
      </c>
      <c r="H1803" s="33"/>
      <c r="I1803" s="31" t="s">
        <v>35</v>
      </c>
      <c r="J1803" s="31"/>
      <c r="K1803" s="33"/>
      <c r="L1803" s="33"/>
      <c r="M1803" s="31"/>
      <c r="N1803" s="31"/>
      <c r="O1803" s="16" t="s">
        <v>3763</v>
      </c>
      <c r="P1803" s="16"/>
      <c r="Q1803" s="16"/>
      <c r="R1803" s="33">
        <v>49</v>
      </c>
      <c r="S1803" s="34">
        <v>45799</v>
      </c>
      <c r="T1803" s="34">
        <v>45800</v>
      </c>
      <c r="U1803" s="34"/>
      <c r="V1803" s="34"/>
      <c r="W1803" s="34">
        <v>45800</v>
      </c>
      <c r="X1803" s="33" t="s">
        <v>3764</v>
      </c>
      <c r="Y1803" s="35" t="str">
        <f>IF(Tabela2[[#This Row],[SIGLA]]="","",VLOOKUP(Tabela2[[#This Row],[SIGLA]],Tabela1[[#All],[Sigla Arte]:[Crédito]],2,0))</f>
        <v>GUSTAVO CONTI/ARQUIVO DA EDITORA</v>
      </c>
      <c r="Z1803" s="31" t="s">
        <v>221</v>
      </c>
      <c r="AA1803" s="31" t="str">
        <f>Tabela2[[#This Row],[ILUSTRADOR CRIAÇÃO]]</f>
        <v>GUSTAVO CONTI/ARQUIVO DA EDITORA</v>
      </c>
      <c r="AB1803" s="33">
        <v>13</v>
      </c>
      <c r="AC1803" s="16" t="s">
        <v>39</v>
      </c>
      <c r="AD1803" s="16" t="s">
        <v>40</v>
      </c>
      <c r="AE1803" s="35" t="str">
        <f t="shared" si="29"/>
        <v>EF1 E002 Mat</v>
      </c>
    </row>
    <row r="1804" spans="1:31" ht="60" x14ac:dyDescent="0.25">
      <c r="A1804" s="31" t="s">
        <v>3765</v>
      </c>
      <c r="B1804" s="16" t="s">
        <v>32</v>
      </c>
      <c r="C1804" s="16" t="s">
        <v>33</v>
      </c>
      <c r="D1804" s="33" t="s">
        <v>34</v>
      </c>
      <c r="E1804" s="33">
        <v>220</v>
      </c>
      <c r="F1804" s="33">
        <v>1</v>
      </c>
      <c r="G1804" s="33">
        <v>9</v>
      </c>
      <c r="H1804" s="33"/>
      <c r="I1804" s="31" t="s">
        <v>46</v>
      </c>
      <c r="J1804" s="31"/>
      <c r="K1804" s="33"/>
      <c r="L1804" s="33"/>
      <c r="M1804" s="31"/>
      <c r="N1804" s="31"/>
      <c r="O1804" s="16" t="s">
        <v>3766</v>
      </c>
      <c r="P1804" s="16"/>
      <c r="Q1804" s="16"/>
      <c r="R1804" s="33"/>
      <c r="S1804" s="34"/>
      <c r="T1804" s="34"/>
      <c r="U1804" s="34"/>
      <c r="V1804" s="34"/>
      <c r="W1804" s="34"/>
      <c r="X1804" s="33" t="s">
        <v>470</v>
      </c>
      <c r="Y1804" s="35" t="str">
        <f>IF(Tabela2[[#This Row],[SIGLA]]="","",VLOOKUP(Tabela2[[#This Row],[SIGLA]],Tabela1[[#All],[Sigla Arte]:[Crédito]],2,0))</f>
        <v>RENAN FONSECA/ARQUIVO DA EDITORA</v>
      </c>
      <c r="Z1804" s="31"/>
      <c r="AA1804" s="31" t="str">
        <f>Tabela2[[#This Row],[ILUSTRADOR CRIAÇÃO]]</f>
        <v>RENAN FONSECA/ARQUIVO DA EDITORA</v>
      </c>
      <c r="AB1804" s="33"/>
      <c r="AC1804" s="16"/>
      <c r="AE1804" s="35" t="str">
        <f t="shared" si="29"/>
        <v>EF1 E002 Mat</v>
      </c>
    </row>
    <row r="1805" spans="1:31" ht="60" x14ac:dyDescent="0.25">
      <c r="A1805" s="31" t="s">
        <v>3767</v>
      </c>
      <c r="B1805" s="16" t="s">
        <v>32</v>
      </c>
      <c r="C1805" s="16" t="s">
        <v>33</v>
      </c>
      <c r="D1805" s="33" t="s">
        <v>34</v>
      </c>
      <c r="E1805" s="33">
        <v>220</v>
      </c>
      <c r="F1805" s="33">
        <v>1</v>
      </c>
      <c r="G1805" s="33">
        <v>9</v>
      </c>
      <c r="H1805" s="33"/>
      <c r="I1805" s="31" t="s">
        <v>46</v>
      </c>
      <c r="J1805" s="31"/>
      <c r="K1805" s="33"/>
      <c r="L1805" s="33"/>
      <c r="M1805" s="31"/>
      <c r="N1805" s="31"/>
      <c r="O1805" s="16" t="s">
        <v>3768</v>
      </c>
      <c r="P1805" s="16"/>
      <c r="Q1805" s="16"/>
      <c r="R1805" s="33"/>
      <c r="S1805" s="34"/>
      <c r="T1805" s="34"/>
      <c r="U1805" s="34"/>
      <c r="V1805" s="34"/>
      <c r="W1805" s="34"/>
      <c r="X1805" s="33" t="s">
        <v>470</v>
      </c>
      <c r="Y1805" s="35" t="str">
        <f>IF(Tabela2[[#This Row],[SIGLA]]="","",VLOOKUP(Tabela2[[#This Row],[SIGLA]],Tabela1[[#All],[Sigla Arte]:[Crédito]],2,0))</f>
        <v>RENAN FONSECA/ARQUIVO DA EDITORA</v>
      </c>
      <c r="Z1805" s="31"/>
      <c r="AA1805" s="31" t="str">
        <f>Tabela2[[#This Row],[ILUSTRADOR CRIAÇÃO]]</f>
        <v>RENAN FONSECA/ARQUIVO DA EDITORA</v>
      </c>
      <c r="AB1805" s="33"/>
      <c r="AC1805" s="16"/>
      <c r="AE1805" s="35" t="str">
        <f t="shared" si="29"/>
        <v>EF1 E002 Mat</v>
      </c>
    </row>
    <row r="1806" spans="1:31" ht="60" x14ac:dyDescent="0.25">
      <c r="A1806" s="31" t="s">
        <v>3769</v>
      </c>
      <c r="B1806" s="16" t="s">
        <v>32</v>
      </c>
      <c r="C1806" s="16" t="s">
        <v>33</v>
      </c>
      <c r="D1806" s="33" t="s">
        <v>34</v>
      </c>
      <c r="E1806" s="33">
        <v>220</v>
      </c>
      <c r="F1806" s="33">
        <v>1</v>
      </c>
      <c r="G1806" s="33">
        <v>9</v>
      </c>
      <c r="H1806" s="33"/>
      <c r="I1806" s="31" t="s">
        <v>46</v>
      </c>
      <c r="J1806" s="31"/>
      <c r="K1806" s="33"/>
      <c r="L1806" s="33"/>
      <c r="M1806" s="31"/>
      <c r="N1806" s="31"/>
      <c r="O1806" s="16" t="s">
        <v>3770</v>
      </c>
      <c r="P1806" s="16"/>
      <c r="Q1806" s="16"/>
      <c r="R1806" s="33"/>
      <c r="S1806" s="34"/>
      <c r="T1806" s="34"/>
      <c r="U1806" s="34"/>
      <c r="V1806" s="34"/>
      <c r="W1806" s="34"/>
      <c r="X1806" s="33" t="s">
        <v>470</v>
      </c>
      <c r="Y1806" s="35" t="str">
        <f>IF(Tabela2[[#This Row],[SIGLA]]="","",VLOOKUP(Tabela2[[#This Row],[SIGLA]],Tabela1[[#All],[Sigla Arte]:[Crédito]],2,0))</f>
        <v>RENAN FONSECA/ARQUIVO DA EDITORA</v>
      </c>
      <c r="Z1806" s="31"/>
      <c r="AA1806" s="31" t="str">
        <f>Tabela2[[#This Row],[ILUSTRADOR CRIAÇÃO]]</f>
        <v>RENAN FONSECA/ARQUIVO DA EDITORA</v>
      </c>
      <c r="AB1806" s="33"/>
      <c r="AC1806" s="16"/>
      <c r="AE1806" s="35" t="str">
        <f t="shared" si="29"/>
        <v>EF1 E002 Mat</v>
      </c>
    </row>
    <row r="1807" spans="1:31" ht="60" x14ac:dyDescent="0.25">
      <c r="A1807" s="31" t="s">
        <v>3771</v>
      </c>
      <c r="B1807" s="16" t="s">
        <v>32</v>
      </c>
      <c r="C1807" s="16" t="s">
        <v>33</v>
      </c>
      <c r="D1807" s="33" t="s">
        <v>34</v>
      </c>
      <c r="E1807" s="33">
        <v>220</v>
      </c>
      <c r="F1807" s="33">
        <v>1</v>
      </c>
      <c r="G1807" s="33">
        <v>9</v>
      </c>
      <c r="H1807" s="33"/>
      <c r="I1807" s="31" t="s">
        <v>46</v>
      </c>
      <c r="J1807" s="31"/>
      <c r="K1807" s="33"/>
      <c r="L1807" s="33"/>
      <c r="M1807" s="31"/>
      <c r="N1807" s="31"/>
      <c r="O1807" s="16" t="s">
        <v>3772</v>
      </c>
      <c r="P1807" s="16"/>
      <c r="Q1807" s="16"/>
      <c r="R1807" s="33"/>
      <c r="S1807" s="34"/>
      <c r="T1807" s="34"/>
      <c r="U1807" s="34"/>
      <c r="V1807" s="34"/>
      <c r="W1807" s="34"/>
      <c r="X1807" s="33" t="s">
        <v>470</v>
      </c>
      <c r="Y1807" s="35" t="str">
        <f>IF(Tabela2[[#This Row],[SIGLA]]="","",VLOOKUP(Tabela2[[#This Row],[SIGLA]],Tabela1[[#All],[Sigla Arte]:[Crédito]],2,0))</f>
        <v>RENAN FONSECA/ARQUIVO DA EDITORA</v>
      </c>
      <c r="Z1807" s="31"/>
      <c r="AA1807" s="31" t="str">
        <f>Tabela2[[#This Row],[ILUSTRADOR CRIAÇÃO]]</f>
        <v>RENAN FONSECA/ARQUIVO DA EDITORA</v>
      </c>
      <c r="AB1807" s="33"/>
      <c r="AC1807" s="16"/>
      <c r="AE1807" s="35" t="str">
        <f t="shared" si="29"/>
        <v>EF1 E002 Mat</v>
      </c>
    </row>
    <row r="1808" spans="1:31" ht="60" x14ac:dyDescent="0.25">
      <c r="A1808" s="31" t="s">
        <v>3773</v>
      </c>
      <c r="B1808" s="16" t="s">
        <v>32</v>
      </c>
      <c r="C1808" s="16" t="s">
        <v>33</v>
      </c>
      <c r="D1808" s="33" t="s">
        <v>34</v>
      </c>
      <c r="E1808" s="33">
        <v>223</v>
      </c>
      <c r="F1808" s="33">
        <v>1</v>
      </c>
      <c r="G1808" s="33">
        <v>9</v>
      </c>
      <c r="H1808" s="33"/>
      <c r="I1808" s="31" t="s">
        <v>35</v>
      </c>
      <c r="J1808" s="31"/>
      <c r="K1808" s="33"/>
      <c r="L1808" s="33"/>
      <c r="M1808" s="31"/>
      <c r="N1808" s="31"/>
      <c r="O1808" s="16" t="s">
        <v>3774</v>
      </c>
      <c r="P1808" s="16"/>
      <c r="Q1808" s="16"/>
      <c r="R1808" s="33">
        <v>49</v>
      </c>
      <c r="S1808" s="34">
        <v>45799</v>
      </c>
      <c r="T1808" s="34">
        <v>45800</v>
      </c>
      <c r="U1808" s="34"/>
      <c r="V1808" s="34"/>
      <c r="W1808" s="34">
        <v>45800</v>
      </c>
      <c r="X1808" s="33" t="s">
        <v>85</v>
      </c>
      <c r="Y1808" s="35" t="str">
        <f>IF(Tabela2[[#This Row],[SIGLA]]="","",VLOOKUP(Tabela2[[#This Row],[SIGLA]],Tabela1[[#All],[Sigla Arte]:[Crédito]],2,0))</f>
        <v>HELOÍSA PINTARELLI/ARQUIVO DA EDITORA</v>
      </c>
      <c r="Z1808" s="31" t="s">
        <v>221</v>
      </c>
      <c r="AA1808" s="31" t="str">
        <f>Tabela2[[#This Row],[ILUSTRADOR CRIAÇÃO]]</f>
        <v>HELOÍSA PINTARELLI/ARQUIVO DA EDITORA</v>
      </c>
      <c r="AB1808" s="33">
        <v>13</v>
      </c>
      <c r="AC1808" s="16" t="s">
        <v>39</v>
      </c>
      <c r="AD1808" s="16" t="s">
        <v>40</v>
      </c>
      <c r="AE1808" s="35" t="str">
        <f t="shared" si="29"/>
        <v>EF1 E002 Mat</v>
      </c>
    </row>
    <row r="1809" spans="1:31" ht="45" x14ac:dyDescent="0.25">
      <c r="A1809" s="31" t="s">
        <v>3775</v>
      </c>
      <c r="B1809" s="16" t="s">
        <v>32</v>
      </c>
      <c r="C1809" s="16" t="s">
        <v>33</v>
      </c>
      <c r="D1809" s="33" t="s">
        <v>34</v>
      </c>
      <c r="E1809" s="33">
        <v>224</v>
      </c>
      <c r="F1809" s="33">
        <v>1</v>
      </c>
      <c r="G1809" s="33">
        <v>9</v>
      </c>
      <c r="H1809" s="33"/>
      <c r="I1809" s="31" t="s">
        <v>46</v>
      </c>
      <c r="J1809" s="31"/>
      <c r="K1809" s="33"/>
      <c r="L1809" s="33"/>
      <c r="M1809" s="31"/>
      <c r="N1809" s="31"/>
      <c r="O1809" s="16" t="s">
        <v>3776</v>
      </c>
      <c r="P1809" s="16"/>
      <c r="Q1809" s="16"/>
      <c r="R1809" s="33"/>
      <c r="S1809" s="34"/>
      <c r="T1809" s="34"/>
      <c r="U1809" s="34"/>
      <c r="V1809" s="34"/>
      <c r="W1809" s="34"/>
      <c r="X1809" s="33" t="s">
        <v>48</v>
      </c>
      <c r="Y1809" s="35" t="str">
        <f>IF(Tabela2[[#This Row],[SIGLA]]="","",VLOOKUP(Tabela2[[#This Row],[SIGLA]],Tabela1[[#All],[Sigla Arte]:[Crédito]],2,0))</f>
        <v>SERGIO LIMA/ARQUIVO DA EDITORA</v>
      </c>
      <c r="Z1809" s="31"/>
      <c r="AA1809" s="31" t="str">
        <f>Tabela2[[#This Row],[ILUSTRADOR CRIAÇÃO]]</f>
        <v>SERGIO LIMA/ARQUIVO DA EDITORA</v>
      </c>
      <c r="AB1809" s="33"/>
      <c r="AC1809" s="16"/>
      <c r="AE1809" s="35" t="str">
        <f t="shared" si="29"/>
        <v>EF1 E002 Mat</v>
      </c>
    </row>
    <row r="1810" spans="1:31" ht="45" x14ac:dyDescent="0.25">
      <c r="A1810" s="31" t="s">
        <v>3777</v>
      </c>
      <c r="B1810" s="16" t="s">
        <v>32</v>
      </c>
      <c r="C1810" s="16" t="s">
        <v>33</v>
      </c>
      <c r="D1810" s="33" t="s">
        <v>34</v>
      </c>
      <c r="E1810" s="33">
        <v>224</v>
      </c>
      <c r="F1810" s="33">
        <v>1</v>
      </c>
      <c r="G1810" s="33">
        <v>9</v>
      </c>
      <c r="H1810" s="33"/>
      <c r="I1810" s="31" t="s">
        <v>46</v>
      </c>
      <c r="J1810" s="31"/>
      <c r="K1810" s="33"/>
      <c r="L1810" s="33"/>
      <c r="M1810" s="31"/>
      <c r="N1810" s="31"/>
      <c r="O1810" s="16" t="s">
        <v>3778</v>
      </c>
      <c r="P1810" s="16"/>
      <c r="Q1810" s="16"/>
      <c r="R1810" s="33"/>
      <c r="S1810" s="34"/>
      <c r="T1810" s="34"/>
      <c r="U1810" s="34"/>
      <c r="V1810" s="34"/>
      <c r="W1810" s="34"/>
      <c r="X1810" s="33" t="s">
        <v>48</v>
      </c>
      <c r="Y1810" s="35" t="str">
        <f>IF(Tabela2[[#This Row],[SIGLA]]="","",VLOOKUP(Tabela2[[#This Row],[SIGLA]],Tabela1[[#All],[Sigla Arte]:[Crédito]],2,0))</f>
        <v>SERGIO LIMA/ARQUIVO DA EDITORA</v>
      </c>
      <c r="Z1810" s="31"/>
      <c r="AA1810" s="31" t="str">
        <f>Tabela2[[#This Row],[ILUSTRADOR CRIAÇÃO]]</f>
        <v>SERGIO LIMA/ARQUIVO DA EDITORA</v>
      </c>
      <c r="AB1810" s="33"/>
      <c r="AC1810" s="16"/>
      <c r="AE1810" s="35" t="str">
        <f t="shared" si="29"/>
        <v>EF1 E002 Mat</v>
      </c>
    </row>
    <row r="1811" spans="1:31" ht="45" x14ac:dyDescent="0.25">
      <c r="A1811" s="31" t="s">
        <v>3779</v>
      </c>
      <c r="B1811" s="16" t="s">
        <v>32</v>
      </c>
      <c r="C1811" s="16" t="s">
        <v>33</v>
      </c>
      <c r="D1811" s="33" t="s">
        <v>34</v>
      </c>
      <c r="E1811" s="33">
        <v>224</v>
      </c>
      <c r="F1811" s="33">
        <v>1</v>
      </c>
      <c r="G1811" s="33">
        <v>9</v>
      </c>
      <c r="H1811" s="33"/>
      <c r="I1811" s="31" t="s">
        <v>46</v>
      </c>
      <c r="J1811" s="31"/>
      <c r="K1811" s="33"/>
      <c r="L1811" s="33"/>
      <c r="M1811" s="31"/>
      <c r="N1811" s="31"/>
      <c r="O1811" s="16" t="s">
        <v>3780</v>
      </c>
      <c r="P1811" s="16"/>
      <c r="Q1811" s="16"/>
      <c r="R1811" s="33"/>
      <c r="S1811" s="34"/>
      <c r="T1811" s="34"/>
      <c r="U1811" s="34"/>
      <c r="V1811" s="34"/>
      <c r="W1811" s="34"/>
      <c r="X1811" s="33" t="s">
        <v>48</v>
      </c>
      <c r="Y1811" s="35" t="str">
        <f>IF(Tabela2[[#This Row],[SIGLA]]="","",VLOOKUP(Tabela2[[#This Row],[SIGLA]],Tabela1[[#All],[Sigla Arte]:[Crédito]],2,0))</f>
        <v>SERGIO LIMA/ARQUIVO DA EDITORA</v>
      </c>
      <c r="Z1811" s="31"/>
      <c r="AA1811" s="31" t="str">
        <f>Tabela2[[#This Row],[ILUSTRADOR CRIAÇÃO]]</f>
        <v>SERGIO LIMA/ARQUIVO DA EDITORA</v>
      </c>
      <c r="AB1811" s="33"/>
      <c r="AC1811" s="16"/>
      <c r="AE1811" s="35" t="str">
        <f t="shared" si="29"/>
        <v>EF1 E002 Mat</v>
      </c>
    </row>
    <row r="1812" spans="1:31" ht="30" x14ac:dyDescent="0.25">
      <c r="A1812" s="31" t="s">
        <v>3781</v>
      </c>
      <c r="B1812" s="16" t="s">
        <v>32</v>
      </c>
      <c r="C1812" s="16" t="s">
        <v>33</v>
      </c>
      <c r="D1812" s="33" t="s">
        <v>34</v>
      </c>
      <c r="E1812" s="33">
        <v>90</v>
      </c>
      <c r="F1812" s="33">
        <v>5</v>
      </c>
      <c r="G1812" s="33">
        <v>5</v>
      </c>
      <c r="H1812" s="33"/>
      <c r="I1812" s="31" t="s">
        <v>46</v>
      </c>
      <c r="J1812" s="31"/>
      <c r="K1812" s="33"/>
      <c r="L1812" s="33"/>
      <c r="M1812" s="31"/>
      <c r="N1812" s="31"/>
      <c r="O1812" s="16" t="s">
        <v>3782</v>
      </c>
      <c r="P1812" s="16"/>
      <c r="Q1812" s="16"/>
      <c r="R1812" s="33"/>
      <c r="S1812" s="34"/>
      <c r="T1812" s="34"/>
      <c r="U1812" s="34"/>
      <c r="V1812" s="34"/>
      <c r="W1812" s="34"/>
      <c r="X1812" s="33" t="s">
        <v>708</v>
      </c>
      <c r="Y1812" s="35" t="str">
        <f>IF(Tabela2[[#This Row],[SIGLA]]="","",VLOOKUP(Tabela2[[#This Row],[SIGLA]],Tabela1[[#All],[Sigla Arte]:[Crédito]],2,0))</f>
        <v>KATHARINE FROTA/ARQUIVO DA EDITORA</v>
      </c>
      <c r="Z1812" s="31"/>
      <c r="AA1812" s="31" t="str">
        <f>Tabela2[[#This Row],[ILUSTRADOR CRIAÇÃO]]</f>
        <v>KATHARINE FROTA/ARQUIVO DA EDITORA</v>
      </c>
      <c r="AB1812" s="33"/>
      <c r="AC1812" s="16"/>
      <c r="AE1812" s="35" t="str">
        <f t="shared" si="29"/>
        <v>EF1 E002 Mat</v>
      </c>
    </row>
    <row r="1813" spans="1:31" ht="30" x14ac:dyDescent="0.25">
      <c r="A1813" s="31" t="s">
        <v>3783</v>
      </c>
      <c r="B1813" s="16" t="s">
        <v>32</v>
      </c>
      <c r="C1813" s="16" t="s">
        <v>33</v>
      </c>
      <c r="D1813" s="33" t="s">
        <v>34</v>
      </c>
      <c r="E1813" s="33">
        <v>92</v>
      </c>
      <c r="F1813" s="33">
        <v>5</v>
      </c>
      <c r="G1813" s="33">
        <v>5</v>
      </c>
      <c r="H1813" s="33"/>
      <c r="I1813" s="31" t="s">
        <v>46</v>
      </c>
      <c r="J1813" s="31"/>
      <c r="K1813" s="33"/>
      <c r="L1813" s="33"/>
      <c r="M1813" s="31"/>
      <c r="N1813" s="31"/>
      <c r="O1813" s="16" t="s">
        <v>3784</v>
      </c>
      <c r="P1813" s="16"/>
      <c r="Q1813" s="16"/>
      <c r="R1813" s="33"/>
      <c r="S1813" s="34"/>
      <c r="T1813" s="34"/>
      <c r="U1813" s="34"/>
      <c r="V1813" s="34"/>
      <c r="W1813" s="34"/>
      <c r="X1813" s="33" t="s">
        <v>85</v>
      </c>
      <c r="Y1813" s="35" t="str">
        <f>IF(Tabela2[[#This Row],[SIGLA]]="","",VLOOKUP(Tabela2[[#This Row],[SIGLA]],Tabela1[[#All],[Sigla Arte]:[Crédito]],2,0))</f>
        <v>HELOÍSA PINTARELLI/ARQUIVO DA EDITORA</v>
      </c>
      <c r="Z1813" s="31"/>
      <c r="AA1813" s="31" t="str">
        <f>Tabela2[[#This Row],[ILUSTRADOR CRIAÇÃO]]</f>
        <v>HELOÍSA PINTARELLI/ARQUIVO DA EDITORA</v>
      </c>
      <c r="AB1813" s="33"/>
      <c r="AC1813" s="16"/>
      <c r="AE1813" s="35" t="str">
        <f t="shared" si="29"/>
        <v>EF1 E002 Mat</v>
      </c>
    </row>
    <row r="1814" spans="1:31" ht="30" x14ac:dyDescent="0.25">
      <c r="A1814" s="31" t="s">
        <v>3785</v>
      </c>
      <c r="B1814" s="16" t="s">
        <v>32</v>
      </c>
      <c r="C1814" s="16" t="s">
        <v>33</v>
      </c>
      <c r="D1814" s="33" t="s">
        <v>34</v>
      </c>
      <c r="E1814" s="33">
        <v>92</v>
      </c>
      <c r="F1814" s="33">
        <v>5</v>
      </c>
      <c r="G1814" s="33">
        <v>5</v>
      </c>
      <c r="H1814" s="33"/>
      <c r="I1814" s="31" t="s">
        <v>46</v>
      </c>
      <c r="J1814" s="31"/>
      <c r="K1814" s="33"/>
      <c r="L1814" s="33"/>
      <c r="M1814" s="31"/>
      <c r="N1814" s="31"/>
      <c r="O1814" s="16" t="s">
        <v>3786</v>
      </c>
      <c r="P1814" s="16"/>
      <c r="Q1814" s="16"/>
      <c r="R1814" s="33"/>
      <c r="S1814" s="34"/>
      <c r="T1814" s="34"/>
      <c r="U1814" s="34"/>
      <c r="V1814" s="34"/>
      <c r="W1814" s="34"/>
      <c r="X1814" s="33" t="s">
        <v>85</v>
      </c>
      <c r="Y1814" s="35" t="str">
        <f>IF(Tabela2[[#This Row],[SIGLA]]="","",VLOOKUP(Tabela2[[#This Row],[SIGLA]],Tabela1[[#All],[Sigla Arte]:[Crédito]],2,0))</f>
        <v>HELOÍSA PINTARELLI/ARQUIVO DA EDITORA</v>
      </c>
      <c r="Z1814" s="31"/>
      <c r="AA1814" s="31" t="str">
        <f>Tabela2[[#This Row],[ILUSTRADOR CRIAÇÃO]]</f>
        <v>HELOÍSA PINTARELLI/ARQUIVO DA EDITORA</v>
      </c>
      <c r="AB1814" s="33"/>
      <c r="AC1814" s="16"/>
      <c r="AE1814" s="35" t="str">
        <f t="shared" si="29"/>
        <v>EF1 E002 Mat</v>
      </c>
    </row>
    <row r="1815" spans="1:31" ht="30" x14ac:dyDescent="0.25">
      <c r="A1815" s="31" t="s">
        <v>3787</v>
      </c>
      <c r="B1815" s="16" t="s">
        <v>32</v>
      </c>
      <c r="C1815" s="16" t="s">
        <v>33</v>
      </c>
      <c r="D1815" s="33" t="s">
        <v>34</v>
      </c>
      <c r="E1815" s="33">
        <v>92</v>
      </c>
      <c r="F1815" s="33">
        <v>5</v>
      </c>
      <c r="G1815" s="33">
        <v>5</v>
      </c>
      <c r="H1815" s="33"/>
      <c r="I1815" s="31" t="s">
        <v>46</v>
      </c>
      <c r="J1815" s="31"/>
      <c r="K1815" s="33"/>
      <c r="L1815" s="33"/>
      <c r="M1815" s="31"/>
      <c r="N1815" s="31"/>
      <c r="O1815" s="16" t="s">
        <v>3788</v>
      </c>
      <c r="P1815" s="16"/>
      <c r="Q1815" s="16"/>
      <c r="R1815" s="33"/>
      <c r="S1815" s="34"/>
      <c r="T1815" s="34"/>
      <c r="U1815" s="34"/>
      <c r="V1815" s="34"/>
      <c r="W1815" s="34"/>
      <c r="X1815" s="33" t="s">
        <v>85</v>
      </c>
      <c r="Y1815" s="35" t="str">
        <f>IF(Tabela2[[#This Row],[SIGLA]]="","",VLOOKUP(Tabela2[[#This Row],[SIGLA]],Tabela1[[#All],[Sigla Arte]:[Crédito]],2,0))</f>
        <v>HELOÍSA PINTARELLI/ARQUIVO DA EDITORA</v>
      </c>
      <c r="Z1815" s="31"/>
      <c r="AA1815" s="31" t="str">
        <f>Tabela2[[#This Row],[ILUSTRADOR CRIAÇÃO]]</f>
        <v>HELOÍSA PINTARELLI/ARQUIVO DA EDITORA</v>
      </c>
      <c r="AB1815" s="33"/>
      <c r="AC1815" s="16"/>
      <c r="AE1815" s="35" t="str">
        <f t="shared" si="29"/>
        <v>EF1 E002 Mat</v>
      </c>
    </row>
    <row r="1816" spans="1:31" ht="30" x14ac:dyDescent="0.25">
      <c r="A1816" s="31" t="s">
        <v>3789</v>
      </c>
      <c r="B1816" s="16" t="s">
        <v>32</v>
      </c>
      <c r="C1816" s="16" t="s">
        <v>33</v>
      </c>
      <c r="D1816" s="33" t="s">
        <v>34</v>
      </c>
      <c r="E1816" s="33">
        <v>92</v>
      </c>
      <c r="F1816" s="33">
        <v>5</v>
      </c>
      <c r="G1816" s="33">
        <v>5</v>
      </c>
      <c r="H1816" s="33"/>
      <c r="I1816" s="31" t="s">
        <v>46</v>
      </c>
      <c r="J1816" s="31"/>
      <c r="K1816" s="33"/>
      <c r="L1816" s="33"/>
      <c r="M1816" s="31"/>
      <c r="N1816" s="31"/>
      <c r="O1816" s="16" t="s">
        <v>3790</v>
      </c>
      <c r="P1816" s="16"/>
      <c r="Q1816" s="16"/>
      <c r="R1816" s="33"/>
      <c r="S1816" s="34"/>
      <c r="T1816" s="34"/>
      <c r="U1816" s="34"/>
      <c r="V1816" s="34"/>
      <c r="W1816" s="34"/>
      <c r="X1816" s="33" t="s">
        <v>85</v>
      </c>
      <c r="Y1816" s="35" t="str">
        <f>IF(Tabela2[[#This Row],[SIGLA]]="","",VLOOKUP(Tabela2[[#This Row],[SIGLA]],Tabela1[[#All],[Sigla Arte]:[Crédito]],2,0))</f>
        <v>HELOÍSA PINTARELLI/ARQUIVO DA EDITORA</v>
      </c>
      <c r="Z1816" s="31"/>
      <c r="AA1816" s="31" t="str">
        <f>Tabela2[[#This Row],[ILUSTRADOR CRIAÇÃO]]</f>
        <v>HELOÍSA PINTARELLI/ARQUIVO DA EDITORA</v>
      </c>
      <c r="AB1816" s="33"/>
      <c r="AC1816" s="16"/>
      <c r="AE1816" s="35" t="str">
        <f t="shared" si="29"/>
        <v>EF1 E002 Mat</v>
      </c>
    </row>
    <row r="1817" spans="1:31" ht="30" x14ac:dyDescent="0.25">
      <c r="A1817" s="31" t="s">
        <v>3791</v>
      </c>
      <c r="B1817" s="16" t="s">
        <v>32</v>
      </c>
      <c r="C1817" s="16" t="s">
        <v>33</v>
      </c>
      <c r="D1817" s="33" t="s">
        <v>34</v>
      </c>
      <c r="E1817" s="33">
        <v>92</v>
      </c>
      <c r="F1817" s="33">
        <v>5</v>
      </c>
      <c r="G1817" s="33">
        <v>5</v>
      </c>
      <c r="H1817" s="33"/>
      <c r="I1817" s="31" t="s">
        <v>46</v>
      </c>
      <c r="J1817" s="31"/>
      <c r="K1817" s="33"/>
      <c r="L1817" s="33"/>
      <c r="M1817" s="31"/>
      <c r="N1817" s="31"/>
      <c r="O1817" s="16" t="s">
        <v>3792</v>
      </c>
      <c r="P1817" s="16"/>
      <c r="Q1817" s="16"/>
      <c r="R1817" s="33"/>
      <c r="S1817" s="34"/>
      <c r="T1817" s="34"/>
      <c r="U1817" s="34"/>
      <c r="V1817" s="34"/>
      <c r="W1817" s="34"/>
      <c r="X1817" s="33" t="s">
        <v>85</v>
      </c>
      <c r="Y1817" s="35" t="str">
        <f>IF(Tabela2[[#This Row],[SIGLA]]="","",VLOOKUP(Tabela2[[#This Row],[SIGLA]],Tabela1[[#All],[Sigla Arte]:[Crédito]],2,0))</f>
        <v>HELOÍSA PINTARELLI/ARQUIVO DA EDITORA</v>
      </c>
      <c r="Z1817" s="31"/>
      <c r="AA1817" s="31" t="str">
        <f>Tabela2[[#This Row],[ILUSTRADOR CRIAÇÃO]]</f>
        <v>HELOÍSA PINTARELLI/ARQUIVO DA EDITORA</v>
      </c>
      <c r="AB1817" s="33"/>
      <c r="AC1817" s="16"/>
      <c r="AE1817" s="35" t="str">
        <f t="shared" si="29"/>
        <v>EF1 E002 Mat</v>
      </c>
    </row>
    <row r="1818" spans="1:31" ht="45" x14ac:dyDescent="0.25">
      <c r="A1818" s="31" t="s">
        <v>3793</v>
      </c>
      <c r="B1818" s="16" t="s">
        <v>32</v>
      </c>
      <c r="C1818" s="16" t="s">
        <v>33</v>
      </c>
      <c r="D1818" s="33" t="s">
        <v>34</v>
      </c>
      <c r="E1818" s="33">
        <v>92</v>
      </c>
      <c r="F1818" s="33">
        <v>5</v>
      </c>
      <c r="G1818" s="33">
        <v>5</v>
      </c>
      <c r="H1818" s="33"/>
      <c r="I1818" s="31" t="s">
        <v>46</v>
      </c>
      <c r="J1818" s="31"/>
      <c r="K1818" s="33"/>
      <c r="L1818" s="33"/>
      <c r="M1818" s="31"/>
      <c r="N1818" s="31"/>
      <c r="O1818" s="16" t="s">
        <v>3794</v>
      </c>
      <c r="P1818" s="16"/>
      <c r="Q1818" s="16"/>
      <c r="R1818" s="33"/>
      <c r="S1818" s="34"/>
      <c r="T1818" s="34"/>
      <c r="U1818" s="34"/>
      <c r="V1818" s="34"/>
      <c r="W1818" s="34"/>
      <c r="X1818" s="33" t="s">
        <v>85</v>
      </c>
      <c r="Y1818" s="35" t="str">
        <f>IF(Tabela2[[#This Row],[SIGLA]]="","",VLOOKUP(Tabela2[[#This Row],[SIGLA]],Tabela1[[#All],[Sigla Arte]:[Crédito]],2,0))</f>
        <v>HELOÍSA PINTARELLI/ARQUIVO DA EDITORA</v>
      </c>
      <c r="Z1818" s="31"/>
      <c r="AA1818" s="31" t="str">
        <f>Tabela2[[#This Row],[ILUSTRADOR CRIAÇÃO]]</f>
        <v>HELOÍSA PINTARELLI/ARQUIVO DA EDITORA</v>
      </c>
      <c r="AB1818" s="33"/>
      <c r="AC1818" s="16"/>
      <c r="AE1818" s="35" t="str">
        <f t="shared" si="29"/>
        <v>EF1 E002 Mat</v>
      </c>
    </row>
    <row r="1819" spans="1:31" ht="45" x14ac:dyDescent="0.25">
      <c r="A1819" s="31" t="s">
        <v>3795</v>
      </c>
      <c r="B1819" s="16" t="s">
        <v>32</v>
      </c>
      <c r="C1819" s="16" t="s">
        <v>33</v>
      </c>
      <c r="D1819" s="33" t="s">
        <v>34</v>
      </c>
      <c r="E1819" s="33">
        <v>92</v>
      </c>
      <c r="F1819" s="33">
        <v>5</v>
      </c>
      <c r="G1819" s="33">
        <v>5</v>
      </c>
      <c r="H1819" s="33"/>
      <c r="I1819" s="31" t="s">
        <v>46</v>
      </c>
      <c r="J1819" s="31"/>
      <c r="K1819" s="33"/>
      <c r="L1819" s="33"/>
      <c r="M1819" s="31"/>
      <c r="N1819" s="31"/>
      <c r="O1819" s="16" t="s">
        <v>3796</v>
      </c>
      <c r="P1819" s="16"/>
      <c r="Q1819" s="16"/>
      <c r="R1819" s="33"/>
      <c r="S1819" s="34"/>
      <c r="T1819" s="34"/>
      <c r="U1819" s="34"/>
      <c r="V1819" s="34"/>
      <c r="W1819" s="34"/>
      <c r="X1819" s="33" t="s">
        <v>85</v>
      </c>
      <c r="Y1819" s="35" t="str">
        <f>IF(Tabela2[[#This Row],[SIGLA]]="","",VLOOKUP(Tabela2[[#This Row],[SIGLA]],Tabela1[[#All],[Sigla Arte]:[Crédito]],2,0))</f>
        <v>HELOÍSA PINTARELLI/ARQUIVO DA EDITORA</v>
      </c>
      <c r="Z1819" s="31"/>
      <c r="AA1819" s="31" t="str">
        <f>Tabela2[[#This Row],[ILUSTRADOR CRIAÇÃO]]</f>
        <v>HELOÍSA PINTARELLI/ARQUIVO DA EDITORA</v>
      </c>
      <c r="AB1819" s="33"/>
      <c r="AC1819" s="16"/>
      <c r="AE1819" s="35" t="str">
        <f t="shared" si="29"/>
        <v>EF1 E002 Mat</v>
      </c>
    </row>
    <row r="1820" spans="1:31" ht="30" x14ac:dyDescent="0.25">
      <c r="A1820" s="31" t="s">
        <v>3797</v>
      </c>
      <c r="B1820" s="16" t="s">
        <v>32</v>
      </c>
      <c r="C1820" s="16" t="s">
        <v>33</v>
      </c>
      <c r="D1820" s="33" t="s">
        <v>34</v>
      </c>
      <c r="E1820" s="33">
        <v>92</v>
      </c>
      <c r="F1820" s="33">
        <v>5</v>
      </c>
      <c r="G1820" s="33">
        <v>5</v>
      </c>
      <c r="H1820" s="33"/>
      <c r="I1820" s="31" t="s">
        <v>46</v>
      </c>
      <c r="J1820" s="31"/>
      <c r="K1820" s="33"/>
      <c r="L1820" s="33"/>
      <c r="M1820" s="31"/>
      <c r="N1820" s="31"/>
      <c r="O1820" s="16" t="s">
        <v>3798</v>
      </c>
      <c r="P1820" s="16"/>
      <c r="Q1820" s="16"/>
      <c r="R1820" s="33"/>
      <c r="S1820" s="34"/>
      <c r="T1820" s="34"/>
      <c r="U1820" s="34"/>
      <c r="V1820" s="34"/>
      <c r="W1820" s="34"/>
      <c r="X1820" s="33" t="s">
        <v>85</v>
      </c>
      <c r="Y1820" s="35" t="str">
        <f>IF(Tabela2[[#This Row],[SIGLA]]="","",VLOOKUP(Tabela2[[#This Row],[SIGLA]],Tabela1[[#All],[Sigla Arte]:[Crédito]],2,0))</f>
        <v>HELOÍSA PINTARELLI/ARQUIVO DA EDITORA</v>
      </c>
      <c r="Z1820" s="31"/>
      <c r="AA1820" s="31" t="str">
        <f>Tabela2[[#This Row],[ILUSTRADOR CRIAÇÃO]]</f>
        <v>HELOÍSA PINTARELLI/ARQUIVO DA EDITORA</v>
      </c>
      <c r="AB1820" s="33"/>
      <c r="AC1820" s="16"/>
      <c r="AE1820" s="35" t="str">
        <f t="shared" si="29"/>
        <v>EF1 E002 Mat</v>
      </c>
    </row>
    <row r="1821" spans="1:31" ht="45" x14ac:dyDescent="0.25">
      <c r="A1821" s="31" t="s">
        <v>3799</v>
      </c>
      <c r="B1821" s="16" t="s">
        <v>32</v>
      </c>
      <c r="C1821" s="16" t="s">
        <v>33</v>
      </c>
      <c r="D1821" s="33" t="s">
        <v>34</v>
      </c>
      <c r="E1821" s="33">
        <v>92</v>
      </c>
      <c r="F1821" s="33">
        <v>5</v>
      </c>
      <c r="G1821" s="33">
        <v>5</v>
      </c>
      <c r="H1821" s="33"/>
      <c r="I1821" s="31" t="s">
        <v>46</v>
      </c>
      <c r="J1821" s="31"/>
      <c r="K1821" s="33"/>
      <c r="L1821" s="33"/>
      <c r="M1821" s="31"/>
      <c r="N1821" s="31"/>
      <c r="O1821" s="16" t="s">
        <v>3800</v>
      </c>
      <c r="P1821" s="16"/>
      <c r="Q1821" s="16"/>
      <c r="R1821" s="33"/>
      <c r="S1821" s="34"/>
      <c r="T1821" s="34"/>
      <c r="U1821" s="34"/>
      <c r="V1821" s="34"/>
      <c r="W1821" s="34"/>
      <c r="X1821" s="33" t="s">
        <v>85</v>
      </c>
      <c r="Y1821" s="35" t="str">
        <f>IF(Tabela2[[#This Row],[SIGLA]]="","",VLOOKUP(Tabela2[[#This Row],[SIGLA]],Tabela1[[#All],[Sigla Arte]:[Crédito]],2,0))</f>
        <v>HELOÍSA PINTARELLI/ARQUIVO DA EDITORA</v>
      </c>
      <c r="Z1821" s="31"/>
      <c r="AA1821" s="31" t="str">
        <f>Tabela2[[#This Row],[ILUSTRADOR CRIAÇÃO]]</f>
        <v>HELOÍSA PINTARELLI/ARQUIVO DA EDITORA</v>
      </c>
      <c r="AB1821" s="33"/>
      <c r="AC1821" s="16"/>
      <c r="AE1821" s="35" t="str">
        <f t="shared" si="29"/>
        <v>EF1 E002 Mat</v>
      </c>
    </row>
    <row r="1822" spans="1:31" ht="45" x14ac:dyDescent="0.25">
      <c r="A1822" s="31" t="s">
        <v>3801</v>
      </c>
      <c r="B1822" s="16" t="s">
        <v>3802</v>
      </c>
      <c r="C1822" s="16" t="s">
        <v>33</v>
      </c>
      <c r="D1822" s="33" t="s">
        <v>34</v>
      </c>
      <c r="E1822" s="33">
        <v>92</v>
      </c>
      <c r="F1822" s="33">
        <v>5</v>
      </c>
      <c r="G1822" s="33">
        <v>5</v>
      </c>
      <c r="H1822" s="33"/>
      <c r="I1822" s="31" t="s">
        <v>35</v>
      </c>
      <c r="J1822" s="31"/>
      <c r="K1822" s="33"/>
      <c r="L1822" s="33"/>
      <c r="M1822" s="31"/>
      <c r="N1822" s="31"/>
      <c r="O1822" s="16" t="s">
        <v>3803</v>
      </c>
      <c r="P1822" s="16"/>
      <c r="Q1822" s="16"/>
      <c r="R1822" s="33">
        <v>198</v>
      </c>
      <c r="S1822" s="34">
        <v>45941</v>
      </c>
      <c r="T1822" s="34">
        <v>45941</v>
      </c>
      <c r="U1822" s="34"/>
      <c r="V1822" s="34"/>
      <c r="W1822" s="34">
        <v>45941</v>
      </c>
      <c r="X1822" s="33" t="s">
        <v>85</v>
      </c>
      <c r="Y1822" s="35" t="str">
        <f>IF(Tabela2[[#This Row],[SIGLA]]="","",VLOOKUP(Tabela2[[#This Row],[SIGLA]],Tabela1[[#All],[Sigla Arte]:[Crédito]],2,0))</f>
        <v>HELOÍSA PINTARELLI/ARQUIVO DA EDITORA</v>
      </c>
      <c r="Z1822" s="31" t="s">
        <v>88</v>
      </c>
      <c r="AA1822" s="31" t="str">
        <f>Tabela2[[#This Row],[ILUSTRADOR CRIAÇÃO]]</f>
        <v>HELOÍSA PINTARELLI/ARQUIVO DA EDITORA</v>
      </c>
      <c r="AB1822" s="33">
        <v>13</v>
      </c>
      <c r="AC1822" s="16" t="s">
        <v>39</v>
      </c>
      <c r="AD1822" s="16" t="s">
        <v>40</v>
      </c>
      <c r="AE1822" s="35" t="str">
        <f t="shared" si="29"/>
        <v>EF1 E002 Mat</v>
      </c>
    </row>
    <row r="1823" spans="1:31" ht="30" x14ac:dyDescent="0.25">
      <c r="A1823" s="31" t="s">
        <v>3804</v>
      </c>
      <c r="B1823" s="16" t="s">
        <v>32</v>
      </c>
      <c r="C1823" s="16" t="s">
        <v>33</v>
      </c>
      <c r="D1823" s="33" t="s">
        <v>34</v>
      </c>
      <c r="E1823" s="33">
        <v>93</v>
      </c>
      <c r="F1823" s="33">
        <v>5</v>
      </c>
      <c r="G1823" s="33">
        <v>5</v>
      </c>
      <c r="H1823" s="33"/>
      <c r="I1823" s="31" t="s">
        <v>46</v>
      </c>
      <c r="J1823" s="31"/>
      <c r="K1823" s="33"/>
      <c r="L1823" s="33"/>
      <c r="M1823" s="31"/>
      <c r="N1823" s="31"/>
      <c r="O1823" s="16" t="s">
        <v>3805</v>
      </c>
      <c r="P1823" s="16"/>
      <c r="Q1823" s="16"/>
      <c r="R1823" s="33"/>
      <c r="S1823" s="34"/>
      <c r="T1823" s="34"/>
      <c r="U1823" s="34"/>
      <c r="V1823" s="34"/>
      <c r="W1823" s="34"/>
      <c r="X1823" s="33" t="s">
        <v>162</v>
      </c>
      <c r="Y1823" s="35" t="str">
        <f>IF(Tabela2[[#This Row],[SIGLA]]="","",VLOOKUP(Tabela2[[#This Row],[SIGLA]],Tabela1[[#All],[Sigla Arte]:[Crédito]],2,0))</f>
        <v>IVY NUNES/ARQUIVO DA EDITORA</v>
      </c>
      <c r="Z1823" s="31"/>
      <c r="AA1823" s="31" t="str">
        <f>Tabela2[[#This Row],[ILUSTRADOR CRIAÇÃO]]</f>
        <v>IVY NUNES/ARQUIVO DA EDITORA</v>
      </c>
      <c r="AB1823" s="33"/>
      <c r="AC1823" s="16"/>
      <c r="AE1823" s="35" t="str">
        <f t="shared" si="29"/>
        <v>EF1 E002 Mat</v>
      </c>
    </row>
    <row r="1824" spans="1:31" ht="45" x14ac:dyDescent="0.25">
      <c r="A1824" s="31" t="s">
        <v>3806</v>
      </c>
      <c r="B1824" s="16" t="s">
        <v>32</v>
      </c>
      <c r="C1824" s="16" t="s">
        <v>33</v>
      </c>
      <c r="D1824" s="33" t="s">
        <v>34</v>
      </c>
      <c r="E1824" s="33">
        <v>93</v>
      </c>
      <c r="F1824" s="33">
        <v>5</v>
      </c>
      <c r="G1824" s="33">
        <v>5</v>
      </c>
      <c r="H1824" s="33"/>
      <c r="I1824" s="31" t="s">
        <v>46</v>
      </c>
      <c r="J1824" s="31"/>
      <c r="K1824" s="33"/>
      <c r="L1824" s="33"/>
      <c r="M1824" s="31"/>
      <c r="N1824" s="31"/>
      <c r="O1824" s="16" t="s">
        <v>3807</v>
      </c>
      <c r="P1824" s="16"/>
      <c r="Q1824" s="16"/>
      <c r="R1824" s="33"/>
      <c r="S1824" s="34"/>
      <c r="T1824" s="34"/>
      <c r="U1824" s="34"/>
      <c r="V1824" s="34"/>
      <c r="W1824" s="34"/>
      <c r="X1824" s="33" t="s">
        <v>162</v>
      </c>
      <c r="Y1824" s="35" t="str">
        <f>IF(Tabela2[[#This Row],[SIGLA]]="","",VLOOKUP(Tabela2[[#This Row],[SIGLA]],Tabela1[[#All],[Sigla Arte]:[Crédito]],2,0))</f>
        <v>IVY NUNES/ARQUIVO DA EDITORA</v>
      </c>
      <c r="Z1824" s="31"/>
      <c r="AA1824" s="31" t="str">
        <f>Tabela2[[#This Row],[ILUSTRADOR CRIAÇÃO]]</f>
        <v>IVY NUNES/ARQUIVO DA EDITORA</v>
      </c>
      <c r="AB1824" s="33"/>
      <c r="AC1824" s="16"/>
      <c r="AE1824" s="35" t="str">
        <f t="shared" si="29"/>
        <v>EF1 E002 Mat</v>
      </c>
    </row>
    <row r="1825" spans="1:31" ht="45" x14ac:dyDescent="0.25">
      <c r="A1825" s="31" t="s">
        <v>3808</v>
      </c>
      <c r="B1825" s="16" t="s">
        <v>397</v>
      </c>
      <c r="C1825" s="16" t="s">
        <v>33</v>
      </c>
      <c r="D1825" s="33" t="s">
        <v>34</v>
      </c>
      <c r="E1825" s="33">
        <v>100</v>
      </c>
      <c r="F1825" s="33">
        <v>5</v>
      </c>
      <c r="G1825" s="33">
        <v>5</v>
      </c>
      <c r="H1825" s="33"/>
      <c r="I1825" s="31" t="s">
        <v>35</v>
      </c>
      <c r="J1825" s="31"/>
      <c r="K1825" s="33"/>
      <c r="L1825" s="33"/>
      <c r="M1825" s="31"/>
      <c r="N1825" s="31"/>
      <c r="O1825" s="16" t="s">
        <v>3809</v>
      </c>
      <c r="P1825" s="16"/>
      <c r="Q1825" s="16"/>
      <c r="R1825" s="33">
        <v>183</v>
      </c>
      <c r="S1825" s="34">
        <v>45936</v>
      </c>
      <c r="T1825" s="34">
        <v>45936</v>
      </c>
      <c r="U1825" s="34"/>
      <c r="V1825" s="34"/>
      <c r="W1825" s="34">
        <v>45936</v>
      </c>
      <c r="X1825" s="33" t="s">
        <v>247</v>
      </c>
      <c r="Y1825" s="35" t="str">
        <f>IF(Tabela2[[#This Row],[SIGLA]]="","",VLOOKUP(Tabela2[[#This Row],[SIGLA]],Tabela1[[#All],[Sigla Arte]:[Crédito]],2,0))</f>
        <v>THAIS CASTRO/ARQUIVO DA EDITORA</v>
      </c>
      <c r="Z1825" s="31" t="s">
        <v>572</v>
      </c>
      <c r="AA1825" s="31" t="str">
        <f>Tabela2[[#This Row],[ILUSTRADOR CRIAÇÃO]]</f>
        <v>THAIS CASTRO/ARQUIVO DA EDITORA</v>
      </c>
      <c r="AB1825" s="33">
        <v>13</v>
      </c>
      <c r="AC1825" s="16" t="s">
        <v>44</v>
      </c>
      <c r="AD1825" s="16" t="s">
        <v>40</v>
      </c>
      <c r="AE1825" s="35" t="str">
        <f t="shared" si="29"/>
        <v>EF1 E002 Mat</v>
      </c>
    </row>
    <row r="1826" spans="1:31" ht="30" x14ac:dyDescent="0.25">
      <c r="A1826" s="31" t="s">
        <v>3810</v>
      </c>
      <c r="B1826" s="16" t="s">
        <v>32</v>
      </c>
      <c r="C1826" s="16" t="s">
        <v>33</v>
      </c>
      <c r="D1826" s="33" t="s">
        <v>34</v>
      </c>
      <c r="E1826" s="33">
        <v>101</v>
      </c>
      <c r="F1826" s="33">
        <v>5</v>
      </c>
      <c r="G1826" s="33">
        <v>5</v>
      </c>
      <c r="H1826" s="33"/>
      <c r="I1826" s="31" t="s">
        <v>46</v>
      </c>
      <c r="J1826" s="31"/>
      <c r="K1826" s="33"/>
      <c r="L1826" s="33"/>
      <c r="M1826" s="31"/>
      <c r="N1826" s="31"/>
      <c r="O1826" s="16" t="s">
        <v>3811</v>
      </c>
      <c r="P1826" s="16"/>
      <c r="Q1826" s="16"/>
      <c r="R1826" s="33"/>
      <c r="S1826" s="34"/>
      <c r="T1826" s="34"/>
      <c r="U1826" s="34"/>
      <c r="V1826" s="34"/>
      <c r="W1826" s="34"/>
      <c r="X1826" s="33" t="s">
        <v>247</v>
      </c>
      <c r="Y1826" s="35" t="str">
        <f>IF(Tabela2[[#This Row],[SIGLA]]="","",VLOOKUP(Tabela2[[#This Row],[SIGLA]],Tabela1[[#All],[Sigla Arte]:[Crédito]],2,0))</f>
        <v>THAIS CASTRO/ARQUIVO DA EDITORA</v>
      </c>
      <c r="Z1826" s="31"/>
      <c r="AA1826" s="31" t="str">
        <f>Tabela2[[#This Row],[ILUSTRADOR CRIAÇÃO]]</f>
        <v>THAIS CASTRO/ARQUIVO DA EDITORA</v>
      </c>
      <c r="AB1826" s="33"/>
      <c r="AC1826" s="16"/>
      <c r="AE1826" s="35" t="str">
        <f t="shared" si="29"/>
        <v>EF1 E002 Mat</v>
      </c>
    </row>
    <row r="1827" spans="1:31" ht="45" x14ac:dyDescent="0.25">
      <c r="A1827" s="31" t="s">
        <v>3812</v>
      </c>
      <c r="B1827" s="16" t="s">
        <v>32</v>
      </c>
      <c r="C1827" s="16" t="s">
        <v>33</v>
      </c>
      <c r="D1827" s="33" t="s">
        <v>34</v>
      </c>
      <c r="E1827" s="33">
        <v>102</v>
      </c>
      <c r="F1827" s="33">
        <v>5</v>
      </c>
      <c r="G1827" s="33">
        <v>5</v>
      </c>
      <c r="H1827" s="33"/>
      <c r="I1827" s="31" t="s">
        <v>46</v>
      </c>
      <c r="J1827" s="31"/>
      <c r="K1827" s="33"/>
      <c r="L1827" s="33"/>
      <c r="M1827" s="31"/>
      <c r="N1827" s="31"/>
      <c r="O1827" s="16" t="s">
        <v>3813</v>
      </c>
      <c r="P1827" s="16"/>
      <c r="Q1827" s="16"/>
      <c r="R1827" s="33"/>
      <c r="S1827" s="34"/>
      <c r="T1827" s="34"/>
      <c r="U1827" s="34"/>
      <c r="V1827" s="34"/>
      <c r="W1827" s="34"/>
      <c r="X1827" s="33" t="s">
        <v>247</v>
      </c>
      <c r="Y1827" s="35" t="str">
        <f>IF(Tabela2[[#This Row],[SIGLA]]="","",VLOOKUP(Tabela2[[#This Row],[SIGLA]],Tabela1[[#All],[Sigla Arte]:[Crédito]],2,0))</f>
        <v>THAIS CASTRO/ARQUIVO DA EDITORA</v>
      </c>
      <c r="Z1827" s="31"/>
      <c r="AA1827" s="31" t="str">
        <f>Tabela2[[#This Row],[ILUSTRADOR CRIAÇÃO]]</f>
        <v>THAIS CASTRO/ARQUIVO DA EDITORA</v>
      </c>
      <c r="AB1827" s="33"/>
      <c r="AC1827" s="16"/>
      <c r="AE1827" s="35" t="str">
        <f t="shared" si="29"/>
        <v>EF1 E002 Mat</v>
      </c>
    </row>
    <row r="1828" spans="1:31" ht="30" x14ac:dyDescent="0.25">
      <c r="A1828" s="31" t="s">
        <v>3814</v>
      </c>
      <c r="B1828" s="16" t="s">
        <v>32</v>
      </c>
      <c r="C1828" s="16" t="s">
        <v>33</v>
      </c>
      <c r="D1828" s="33" t="s">
        <v>34</v>
      </c>
      <c r="E1828" s="33">
        <v>107</v>
      </c>
      <c r="F1828" s="33">
        <v>5</v>
      </c>
      <c r="G1828" s="33">
        <v>5</v>
      </c>
      <c r="H1828" s="33"/>
      <c r="I1828" s="31" t="s">
        <v>46</v>
      </c>
      <c r="J1828" s="31"/>
      <c r="K1828" s="33"/>
      <c r="L1828" s="33"/>
      <c r="M1828" s="31"/>
      <c r="N1828" s="31"/>
      <c r="O1828" s="16" t="s">
        <v>3815</v>
      </c>
      <c r="P1828" s="16"/>
      <c r="Q1828" s="16"/>
      <c r="R1828" s="33"/>
      <c r="S1828" s="34"/>
      <c r="T1828" s="34"/>
      <c r="U1828" s="34"/>
      <c r="V1828" s="34"/>
      <c r="W1828" s="34"/>
      <c r="X1828" s="33" t="s">
        <v>2513</v>
      </c>
      <c r="Y1828" s="35" t="str">
        <f>IF(Tabela2[[#This Row],[SIGLA]]="","",VLOOKUP(Tabela2[[#This Row],[SIGLA]],Tabela1[[#All],[Sigla Arte]:[Crédito]],2,0))</f>
        <v>CAMILA CARMONA/ARQUIVO DA EDITORA</v>
      </c>
      <c r="Z1828" s="31"/>
      <c r="AA1828" s="31" t="str">
        <f>Tabela2[[#This Row],[ILUSTRADOR CRIAÇÃO]]</f>
        <v>CAMILA CARMONA/ARQUIVO DA EDITORA</v>
      </c>
      <c r="AB1828" s="33"/>
      <c r="AC1828" s="16"/>
      <c r="AE1828" s="35" t="str">
        <f t="shared" si="29"/>
        <v>EF1 E002 Mat</v>
      </c>
    </row>
    <row r="1829" spans="1:31" ht="75" x14ac:dyDescent="0.25">
      <c r="A1829" s="31" t="s">
        <v>3816</v>
      </c>
      <c r="B1829" s="16" t="s">
        <v>32</v>
      </c>
      <c r="C1829" s="16" t="s">
        <v>33</v>
      </c>
      <c r="D1829" s="33" t="s">
        <v>34</v>
      </c>
      <c r="E1829" s="33">
        <v>232</v>
      </c>
      <c r="F1829" s="33">
        <v>1</v>
      </c>
      <c r="G1829" s="33">
        <v>10</v>
      </c>
      <c r="H1829" s="33"/>
      <c r="I1829" s="31" t="s">
        <v>35</v>
      </c>
      <c r="J1829" s="31"/>
      <c r="K1829" s="33"/>
      <c r="L1829" s="33"/>
      <c r="M1829" s="31"/>
      <c r="N1829" s="31"/>
      <c r="O1829" s="16" t="s">
        <v>3817</v>
      </c>
      <c r="P1829" s="16"/>
      <c r="Q1829" s="16"/>
      <c r="R1829" s="33">
        <v>50</v>
      </c>
      <c r="S1829" s="34">
        <v>45804</v>
      </c>
      <c r="T1829" s="34">
        <v>45805</v>
      </c>
      <c r="U1829" s="34"/>
      <c r="V1829" s="34"/>
      <c r="W1829" s="34">
        <v>45805</v>
      </c>
      <c r="X1829" s="33" t="s">
        <v>703</v>
      </c>
      <c r="Y1829" s="35" t="str">
        <f>IF(Tabela2[[#This Row],[SIGLA]]="","",VLOOKUP(Tabela2[[#This Row],[SIGLA]],Tabela1[[#All],[Sigla Arte]:[Crédito]],2,0))</f>
        <v>KLEBER MAURÍCIO COELHO/ARQUIVO DA EDITORA</v>
      </c>
      <c r="Z1829" s="31" t="s">
        <v>221</v>
      </c>
      <c r="AA1829" s="31" t="str">
        <f>Tabela2[[#This Row],[ILUSTRADOR CRIAÇÃO]]</f>
        <v>KLEBER MAURÍCIO COELHO/ARQUIVO DA EDITORA</v>
      </c>
      <c r="AB1829" s="33">
        <v>13</v>
      </c>
      <c r="AC1829" s="16" t="s">
        <v>39</v>
      </c>
      <c r="AD1829" s="16" t="s">
        <v>40</v>
      </c>
      <c r="AE1829" s="35" t="str">
        <f t="shared" si="29"/>
        <v>EF1 E002 Mat</v>
      </c>
    </row>
    <row r="1830" spans="1:31" ht="90" x14ac:dyDescent="0.25">
      <c r="A1830" s="31" t="s">
        <v>3818</v>
      </c>
      <c r="B1830" s="16" t="s">
        <v>32</v>
      </c>
      <c r="C1830" s="16" t="s">
        <v>33</v>
      </c>
      <c r="D1830" s="33" t="s">
        <v>34</v>
      </c>
      <c r="E1830" s="33">
        <v>110</v>
      </c>
      <c r="F1830" s="33">
        <v>5</v>
      </c>
      <c r="G1830" s="33">
        <v>6</v>
      </c>
      <c r="H1830" s="33"/>
      <c r="I1830" s="31" t="s">
        <v>35</v>
      </c>
      <c r="J1830" s="31"/>
      <c r="K1830" s="33"/>
      <c r="L1830" s="33"/>
      <c r="M1830" s="31"/>
      <c r="N1830" s="31"/>
      <c r="O1830" s="16" t="s">
        <v>3819</v>
      </c>
      <c r="P1830" s="16"/>
      <c r="Q1830" s="16"/>
      <c r="R1830" s="33">
        <v>51</v>
      </c>
      <c r="S1830" s="34">
        <v>45804</v>
      </c>
      <c r="T1830" s="34">
        <v>45811</v>
      </c>
      <c r="U1830" s="34"/>
      <c r="V1830" s="34"/>
      <c r="W1830" s="34">
        <v>45811</v>
      </c>
      <c r="X1830" s="33" t="s">
        <v>48</v>
      </c>
      <c r="Y1830" s="35" t="str">
        <f>IF(Tabela2[[#This Row],[SIGLA]]="","",VLOOKUP(Tabela2[[#This Row],[SIGLA]],Tabela1[[#All],[Sigla Arte]:[Crédito]],2,0))</f>
        <v>SERGIO LIMA/ARQUIVO DA EDITORA</v>
      </c>
      <c r="Z1830" s="31" t="s">
        <v>1226</v>
      </c>
      <c r="AA1830" s="31" t="s">
        <v>3820</v>
      </c>
      <c r="AB1830" s="33"/>
      <c r="AC1830" s="16" t="s">
        <v>44</v>
      </c>
      <c r="AD1830" s="16" t="s">
        <v>40</v>
      </c>
      <c r="AE1830" s="35" t="str">
        <f t="shared" si="29"/>
        <v>EF1 E002 Mat</v>
      </c>
    </row>
    <row r="1831" spans="1:31" ht="45" x14ac:dyDescent="0.25">
      <c r="A1831" s="31" t="s">
        <v>3821</v>
      </c>
      <c r="B1831" s="16" t="s">
        <v>32</v>
      </c>
      <c r="C1831" s="16" t="s">
        <v>164</v>
      </c>
      <c r="D1831" s="33" t="s">
        <v>34</v>
      </c>
      <c r="E1831" s="33">
        <v>111</v>
      </c>
      <c r="F1831" s="33">
        <v>5</v>
      </c>
      <c r="G1831" s="33">
        <v>6</v>
      </c>
      <c r="H1831" s="33"/>
      <c r="I1831" s="31" t="s">
        <v>46</v>
      </c>
      <c r="J1831" s="31"/>
      <c r="K1831" s="33"/>
      <c r="L1831" s="33"/>
      <c r="M1831" s="31"/>
      <c r="N1831" s="31"/>
      <c r="O1831" s="16" t="s">
        <v>3822</v>
      </c>
      <c r="P1831" s="16"/>
      <c r="Q1831" s="16"/>
      <c r="R1831" s="33"/>
      <c r="S1831" s="34"/>
      <c r="T1831" s="34"/>
      <c r="U1831" s="34"/>
      <c r="V1831" s="34"/>
      <c r="W1831" s="34"/>
      <c r="X1831" s="33" t="s">
        <v>3823</v>
      </c>
      <c r="Y1831" s="35" t="str">
        <f>IF(Tabela2[[#This Row],[SIGLA]]="","",VLOOKUP(Tabela2[[#This Row],[SIGLA]],Tabela1[[#All],[Sigla Arte]:[Crédito]],2,0))</f>
        <v>RONALDO LUCENA/ARQUIVO DA EDITORA</v>
      </c>
      <c r="Z1831" s="31"/>
      <c r="AA1831" s="31" t="str">
        <f>Tabela2[[#This Row],[ILUSTRADOR CRIAÇÃO]]</f>
        <v>RONALDO LUCENA/ARQUIVO DA EDITORA</v>
      </c>
      <c r="AB1831" s="33"/>
      <c r="AC1831" s="16"/>
      <c r="AE1831" s="35" t="str">
        <f t="shared" si="29"/>
        <v>EF1 E002 Mat</v>
      </c>
    </row>
    <row r="1832" spans="1:31" ht="30" x14ac:dyDescent="0.25">
      <c r="A1832" s="31" t="s">
        <v>3824</v>
      </c>
      <c r="B1832" s="16" t="s">
        <v>32</v>
      </c>
      <c r="C1832" s="16" t="s">
        <v>164</v>
      </c>
      <c r="D1832" s="33" t="s">
        <v>34</v>
      </c>
      <c r="E1832" s="33">
        <v>111</v>
      </c>
      <c r="F1832" s="33">
        <v>5</v>
      </c>
      <c r="G1832" s="33">
        <v>6</v>
      </c>
      <c r="H1832" s="33"/>
      <c r="I1832" s="31" t="s">
        <v>46</v>
      </c>
      <c r="J1832" s="31"/>
      <c r="K1832" s="33"/>
      <c r="L1832" s="33"/>
      <c r="M1832" s="31"/>
      <c r="N1832" s="31"/>
      <c r="O1832" s="16" t="s">
        <v>3825</v>
      </c>
      <c r="P1832" s="16"/>
      <c r="Q1832" s="16"/>
      <c r="R1832" s="33"/>
      <c r="S1832" s="34"/>
      <c r="T1832" s="34"/>
      <c r="U1832" s="34"/>
      <c r="V1832" s="34"/>
      <c r="W1832" s="34"/>
      <c r="X1832" s="33" t="s">
        <v>3823</v>
      </c>
      <c r="Y1832" s="35" t="str">
        <f>IF(Tabela2[[#This Row],[SIGLA]]="","",VLOOKUP(Tabela2[[#This Row],[SIGLA]],Tabela1[[#All],[Sigla Arte]:[Crédito]],2,0))</f>
        <v>RONALDO LUCENA/ARQUIVO DA EDITORA</v>
      </c>
      <c r="Z1832" s="31"/>
      <c r="AA1832" s="31" t="str">
        <f>Tabela2[[#This Row],[ILUSTRADOR CRIAÇÃO]]</f>
        <v>RONALDO LUCENA/ARQUIVO DA EDITORA</v>
      </c>
      <c r="AB1832" s="33"/>
      <c r="AC1832" s="16"/>
      <c r="AE1832" s="35" t="str">
        <f t="shared" si="29"/>
        <v>EF1 E002 Mat</v>
      </c>
    </row>
    <row r="1833" spans="1:31" ht="30" x14ac:dyDescent="0.25">
      <c r="A1833" s="31" t="s">
        <v>3826</v>
      </c>
      <c r="B1833" s="16" t="s">
        <v>32</v>
      </c>
      <c r="C1833" s="16" t="s">
        <v>164</v>
      </c>
      <c r="D1833" s="33" t="s">
        <v>34</v>
      </c>
      <c r="E1833" s="33">
        <v>111</v>
      </c>
      <c r="F1833" s="33">
        <v>5</v>
      </c>
      <c r="G1833" s="33">
        <v>6</v>
      </c>
      <c r="H1833" s="33"/>
      <c r="I1833" s="31" t="s">
        <v>46</v>
      </c>
      <c r="J1833" s="31"/>
      <c r="K1833" s="33"/>
      <c r="L1833" s="33"/>
      <c r="M1833" s="31"/>
      <c r="N1833" s="31"/>
      <c r="O1833" s="16" t="s">
        <v>3827</v>
      </c>
      <c r="P1833" s="16"/>
      <c r="Q1833" s="16"/>
      <c r="R1833" s="33"/>
      <c r="S1833" s="34"/>
      <c r="T1833" s="34"/>
      <c r="U1833" s="34"/>
      <c r="V1833" s="34"/>
      <c r="W1833" s="34"/>
      <c r="X1833" s="33" t="s">
        <v>3823</v>
      </c>
      <c r="Y1833" s="35" t="str">
        <f>IF(Tabela2[[#This Row],[SIGLA]]="","",VLOOKUP(Tabela2[[#This Row],[SIGLA]],Tabela1[[#All],[Sigla Arte]:[Crédito]],2,0))</f>
        <v>RONALDO LUCENA/ARQUIVO DA EDITORA</v>
      </c>
      <c r="Z1833" s="31"/>
      <c r="AA1833" s="31" t="str">
        <f>Tabela2[[#This Row],[ILUSTRADOR CRIAÇÃO]]</f>
        <v>RONALDO LUCENA/ARQUIVO DA EDITORA</v>
      </c>
      <c r="AB1833" s="33"/>
      <c r="AC1833" s="16"/>
      <c r="AE1833" s="35" t="str">
        <f t="shared" si="29"/>
        <v>EF1 E002 Mat</v>
      </c>
    </row>
    <row r="1834" spans="1:31" ht="30" x14ac:dyDescent="0.25">
      <c r="A1834" s="31" t="s">
        <v>3828</v>
      </c>
      <c r="B1834" s="16" t="s">
        <v>32</v>
      </c>
      <c r="C1834" s="16" t="s">
        <v>164</v>
      </c>
      <c r="D1834" s="33" t="s">
        <v>34</v>
      </c>
      <c r="E1834" s="33">
        <v>111</v>
      </c>
      <c r="F1834" s="33">
        <v>5</v>
      </c>
      <c r="G1834" s="33">
        <v>6</v>
      </c>
      <c r="H1834" s="33"/>
      <c r="I1834" s="31" t="s">
        <v>46</v>
      </c>
      <c r="J1834" s="31"/>
      <c r="K1834" s="33"/>
      <c r="L1834" s="33"/>
      <c r="M1834" s="31"/>
      <c r="N1834" s="31"/>
      <c r="O1834" s="16" t="s">
        <v>3829</v>
      </c>
      <c r="P1834" s="16"/>
      <c r="Q1834" s="16"/>
      <c r="R1834" s="33"/>
      <c r="S1834" s="34"/>
      <c r="T1834" s="34"/>
      <c r="U1834" s="34"/>
      <c r="V1834" s="34"/>
      <c r="W1834" s="34"/>
      <c r="X1834" s="33" t="s">
        <v>3823</v>
      </c>
      <c r="Y1834" s="35" t="str">
        <f>IF(Tabela2[[#This Row],[SIGLA]]="","",VLOOKUP(Tabela2[[#This Row],[SIGLA]],Tabela1[[#All],[Sigla Arte]:[Crédito]],2,0))</f>
        <v>RONALDO LUCENA/ARQUIVO DA EDITORA</v>
      </c>
      <c r="Z1834" s="31"/>
      <c r="AA1834" s="31" t="str">
        <f>Tabela2[[#This Row],[ILUSTRADOR CRIAÇÃO]]</f>
        <v>RONALDO LUCENA/ARQUIVO DA EDITORA</v>
      </c>
      <c r="AB1834" s="33"/>
      <c r="AC1834" s="16"/>
      <c r="AE1834" s="35" t="str">
        <f t="shared" si="29"/>
        <v>EF1 E002 Mat</v>
      </c>
    </row>
    <row r="1835" spans="1:31" ht="30" x14ac:dyDescent="0.25">
      <c r="A1835" s="31" t="s">
        <v>3830</v>
      </c>
      <c r="B1835" s="16" t="s">
        <v>32</v>
      </c>
      <c r="C1835" s="16" t="s">
        <v>164</v>
      </c>
      <c r="D1835" s="33" t="s">
        <v>34</v>
      </c>
      <c r="E1835" s="33">
        <v>112</v>
      </c>
      <c r="F1835" s="33">
        <v>5</v>
      </c>
      <c r="G1835" s="33">
        <v>6</v>
      </c>
      <c r="H1835" s="33"/>
      <c r="I1835" s="31" t="s">
        <v>46</v>
      </c>
      <c r="J1835" s="31"/>
      <c r="K1835" s="33"/>
      <c r="L1835" s="33"/>
      <c r="M1835" s="31"/>
      <c r="N1835" s="31"/>
      <c r="O1835" s="16" t="s">
        <v>3831</v>
      </c>
      <c r="P1835" s="16"/>
      <c r="Q1835" s="16"/>
      <c r="R1835" s="33"/>
      <c r="S1835" s="34"/>
      <c r="T1835" s="34"/>
      <c r="U1835" s="34"/>
      <c r="V1835" s="34"/>
      <c r="W1835" s="34"/>
      <c r="X1835" s="33" t="s">
        <v>3443</v>
      </c>
      <c r="Y1835" s="35" t="str">
        <f>IF(Tabela2[[#This Row],[SIGLA]]="","",VLOOKUP(Tabela2[[#This Row],[SIGLA]],Tabela1[[#All],[Sigla Arte]:[Crédito]],2,0))</f>
        <v>VINÍCIUS COSTA/ARQUIVO DA EDITORA</v>
      </c>
      <c r="Z1835" s="31"/>
      <c r="AA1835" s="31" t="str">
        <f>Tabela2[[#This Row],[ILUSTRADOR CRIAÇÃO]]</f>
        <v>VINÍCIUS COSTA/ARQUIVO DA EDITORA</v>
      </c>
      <c r="AB1835" s="33"/>
      <c r="AC1835" s="16"/>
      <c r="AE1835" s="35" t="str">
        <f t="shared" si="29"/>
        <v>EF1 E002 Mat</v>
      </c>
    </row>
    <row r="1836" spans="1:31" ht="30" x14ac:dyDescent="0.25">
      <c r="A1836" s="31" t="s">
        <v>3832</v>
      </c>
      <c r="B1836" s="16" t="s">
        <v>32</v>
      </c>
      <c r="C1836" s="16" t="s">
        <v>164</v>
      </c>
      <c r="D1836" s="33" t="s">
        <v>34</v>
      </c>
      <c r="E1836" s="33">
        <v>112</v>
      </c>
      <c r="F1836" s="33">
        <v>5</v>
      </c>
      <c r="G1836" s="33">
        <v>6</v>
      </c>
      <c r="H1836" s="33"/>
      <c r="I1836" s="31" t="s">
        <v>46</v>
      </c>
      <c r="J1836" s="31"/>
      <c r="K1836" s="33"/>
      <c r="L1836" s="33"/>
      <c r="M1836" s="31"/>
      <c r="N1836" s="31"/>
      <c r="O1836" s="16" t="s">
        <v>3833</v>
      </c>
      <c r="P1836" s="16"/>
      <c r="Q1836" s="16"/>
      <c r="R1836" s="33"/>
      <c r="S1836" s="34"/>
      <c r="T1836" s="34"/>
      <c r="U1836" s="34"/>
      <c r="V1836" s="34"/>
      <c r="W1836" s="34"/>
      <c r="X1836" s="33" t="s">
        <v>3443</v>
      </c>
      <c r="Y1836" s="35" t="str">
        <f>IF(Tabela2[[#This Row],[SIGLA]]="","",VLOOKUP(Tabela2[[#This Row],[SIGLA]],Tabela1[[#All],[Sigla Arte]:[Crédito]],2,0))</f>
        <v>VINÍCIUS COSTA/ARQUIVO DA EDITORA</v>
      </c>
      <c r="Z1836" s="31"/>
      <c r="AA1836" s="31" t="str">
        <f>Tabela2[[#This Row],[ILUSTRADOR CRIAÇÃO]]</f>
        <v>VINÍCIUS COSTA/ARQUIVO DA EDITORA</v>
      </c>
      <c r="AB1836" s="33"/>
      <c r="AC1836" s="16"/>
      <c r="AE1836" s="35" t="str">
        <f t="shared" si="29"/>
        <v>EF1 E002 Mat</v>
      </c>
    </row>
    <row r="1837" spans="1:31" ht="30" x14ac:dyDescent="0.25">
      <c r="A1837" s="31" t="s">
        <v>3834</v>
      </c>
      <c r="B1837" s="16" t="s">
        <v>32</v>
      </c>
      <c r="C1837" s="16" t="s">
        <v>164</v>
      </c>
      <c r="D1837" s="33" t="s">
        <v>34</v>
      </c>
      <c r="E1837" s="33">
        <v>112</v>
      </c>
      <c r="F1837" s="33">
        <v>5</v>
      </c>
      <c r="G1837" s="33">
        <v>6</v>
      </c>
      <c r="H1837" s="33"/>
      <c r="I1837" s="31" t="s">
        <v>46</v>
      </c>
      <c r="J1837" s="31"/>
      <c r="K1837" s="33"/>
      <c r="L1837" s="33"/>
      <c r="M1837" s="31"/>
      <c r="N1837" s="31"/>
      <c r="O1837" s="16" t="s">
        <v>3835</v>
      </c>
      <c r="P1837" s="16"/>
      <c r="Q1837" s="16"/>
      <c r="R1837" s="33"/>
      <c r="S1837" s="34"/>
      <c r="T1837" s="34"/>
      <c r="U1837" s="34"/>
      <c r="V1837" s="34"/>
      <c r="W1837" s="34"/>
      <c r="X1837" s="33" t="s">
        <v>3443</v>
      </c>
      <c r="Y1837" s="35" t="str">
        <f>IF(Tabela2[[#This Row],[SIGLA]]="","",VLOOKUP(Tabela2[[#This Row],[SIGLA]],Tabela1[[#All],[Sigla Arte]:[Crédito]],2,0))</f>
        <v>VINÍCIUS COSTA/ARQUIVO DA EDITORA</v>
      </c>
      <c r="Z1837" s="31"/>
      <c r="AA1837" s="31" t="str">
        <f>Tabela2[[#This Row],[ILUSTRADOR CRIAÇÃO]]</f>
        <v>VINÍCIUS COSTA/ARQUIVO DA EDITORA</v>
      </c>
      <c r="AB1837" s="33"/>
      <c r="AC1837" s="16"/>
      <c r="AE1837" s="35" t="str">
        <f t="shared" si="29"/>
        <v>EF1 E002 Mat</v>
      </c>
    </row>
    <row r="1838" spans="1:31" ht="30" x14ac:dyDescent="0.25">
      <c r="A1838" s="31" t="s">
        <v>3836</v>
      </c>
      <c r="B1838" s="16" t="s">
        <v>32</v>
      </c>
      <c r="C1838" s="16" t="s">
        <v>164</v>
      </c>
      <c r="D1838" s="33" t="s">
        <v>34</v>
      </c>
      <c r="E1838" s="33">
        <v>112</v>
      </c>
      <c r="F1838" s="33">
        <v>5</v>
      </c>
      <c r="G1838" s="33">
        <v>6</v>
      </c>
      <c r="H1838" s="33"/>
      <c r="I1838" s="31" t="s">
        <v>46</v>
      </c>
      <c r="J1838" s="31"/>
      <c r="K1838" s="33"/>
      <c r="L1838" s="33"/>
      <c r="M1838" s="31"/>
      <c r="N1838" s="31"/>
      <c r="O1838" s="16" t="s">
        <v>3837</v>
      </c>
      <c r="P1838" s="16"/>
      <c r="Q1838" s="16"/>
      <c r="R1838" s="33"/>
      <c r="S1838" s="34"/>
      <c r="T1838" s="34"/>
      <c r="U1838" s="34"/>
      <c r="V1838" s="34"/>
      <c r="W1838" s="34"/>
      <c r="X1838" s="33" t="s">
        <v>3443</v>
      </c>
      <c r="Y1838" s="35" t="str">
        <f>IF(Tabela2[[#This Row],[SIGLA]]="","",VLOOKUP(Tabela2[[#This Row],[SIGLA]],Tabela1[[#All],[Sigla Arte]:[Crédito]],2,0))</f>
        <v>VINÍCIUS COSTA/ARQUIVO DA EDITORA</v>
      </c>
      <c r="Z1838" s="31"/>
      <c r="AA1838" s="31" t="str">
        <f>Tabela2[[#This Row],[ILUSTRADOR CRIAÇÃO]]</f>
        <v>VINÍCIUS COSTA/ARQUIVO DA EDITORA</v>
      </c>
      <c r="AB1838" s="33"/>
      <c r="AC1838" s="16"/>
      <c r="AE1838" s="35" t="str">
        <f t="shared" si="29"/>
        <v>EF1 E002 Mat</v>
      </c>
    </row>
    <row r="1839" spans="1:31" ht="30" x14ac:dyDescent="0.25">
      <c r="A1839" s="31" t="s">
        <v>3838</v>
      </c>
      <c r="B1839" s="16" t="s">
        <v>32</v>
      </c>
      <c r="C1839" s="16" t="s">
        <v>164</v>
      </c>
      <c r="D1839" s="33" t="s">
        <v>34</v>
      </c>
      <c r="E1839" s="33">
        <v>112</v>
      </c>
      <c r="F1839" s="33">
        <v>5</v>
      </c>
      <c r="G1839" s="33">
        <v>6</v>
      </c>
      <c r="H1839" s="33"/>
      <c r="I1839" s="31" t="s">
        <v>46</v>
      </c>
      <c r="J1839" s="31"/>
      <c r="K1839" s="33"/>
      <c r="L1839" s="33"/>
      <c r="M1839" s="31"/>
      <c r="N1839" s="31"/>
      <c r="O1839" s="16" t="s">
        <v>3839</v>
      </c>
      <c r="P1839" s="16"/>
      <c r="Q1839" s="16"/>
      <c r="R1839" s="33"/>
      <c r="S1839" s="34"/>
      <c r="T1839" s="34"/>
      <c r="U1839" s="34"/>
      <c r="V1839" s="34"/>
      <c r="W1839" s="34"/>
      <c r="X1839" s="33" t="s">
        <v>3443</v>
      </c>
      <c r="Y1839" s="35" t="str">
        <f>IF(Tabela2[[#This Row],[SIGLA]]="","",VLOOKUP(Tabela2[[#This Row],[SIGLA]],Tabela1[[#All],[Sigla Arte]:[Crédito]],2,0))</f>
        <v>VINÍCIUS COSTA/ARQUIVO DA EDITORA</v>
      </c>
      <c r="Z1839" s="31"/>
      <c r="AA1839" s="31" t="str">
        <f>Tabela2[[#This Row],[ILUSTRADOR CRIAÇÃO]]</f>
        <v>VINÍCIUS COSTA/ARQUIVO DA EDITORA</v>
      </c>
      <c r="AB1839" s="33"/>
      <c r="AC1839" s="16"/>
      <c r="AE1839" s="35" t="str">
        <f t="shared" si="29"/>
        <v>EF1 E002 Mat</v>
      </c>
    </row>
    <row r="1840" spans="1:31" ht="30" x14ac:dyDescent="0.25">
      <c r="A1840" s="31" t="s">
        <v>3840</v>
      </c>
      <c r="B1840" s="16" t="s">
        <v>401</v>
      </c>
      <c r="C1840" s="16" t="s">
        <v>164</v>
      </c>
      <c r="D1840" s="33" t="s">
        <v>34</v>
      </c>
      <c r="E1840" s="33">
        <v>116</v>
      </c>
      <c r="F1840" s="33">
        <v>5</v>
      </c>
      <c r="G1840" s="33">
        <v>6</v>
      </c>
      <c r="H1840" s="33"/>
      <c r="I1840" s="31" t="s">
        <v>46</v>
      </c>
      <c r="J1840" s="31"/>
      <c r="K1840" s="33"/>
      <c r="L1840" s="33"/>
      <c r="M1840" s="31"/>
      <c r="N1840" s="31"/>
      <c r="O1840" s="16" t="s">
        <v>3841</v>
      </c>
      <c r="P1840" s="16"/>
      <c r="Q1840" s="16"/>
      <c r="R1840" s="33"/>
      <c r="S1840" s="34"/>
      <c r="T1840" s="34"/>
      <c r="U1840" s="34"/>
      <c r="V1840" s="34"/>
      <c r="W1840" s="34"/>
      <c r="X1840" s="33" t="s">
        <v>3443</v>
      </c>
      <c r="Y1840" s="35" t="str">
        <f>IF(Tabela2[[#This Row],[SIGLA]]="","",VLOOKUP(Tabela2[[#This Row],[SIGLA]],Tabela1[[#All],[Sigla Arte]:[Crédito]],2,0))</f>
        <v>VINÍCIUS COSTA/ARQUIVO DA EDITORA</v>
      </c>
      <c r="Z1840" s="31"/>
      <c r="AA1840" s="31" t="str">
        <f>Tabela2[[#This Row],[ILUSTRADOR CRIAÇÃO]]</f>
        <v>VINÍCIUS COSTA/ARQUIVO DA EDITORA</v>
      </c>
      <c r="AB1840" s="33"/>
      <c r="AC1840" s="16"/>
      <c r="AE1840" s="35" t="str">
        <f t="shared" si="29"/>
        <v>EF1 E002 Mat</v>
      </c>
    </row>
    <row r="1841" spans="1:31" ht="30" x14ac:dyDescent="0.25">
      <c r="A1841" s="31" t="s">
        <v>3842</v>
      </c>
      <c r="B1841" s="16" t="s">
        <v>32</v>
      </c>
      <c r="C1841" s="16" t="s">
        <v>164</v>
      </c>
      <c r="D1841" s="33" t="s">
        <v>34</v>
      </c>
      <c r="E1841" s="33">
        <v>112</v>
      </c>
      <c r="F1841" s="33">
        <v>5</v>
      </c>
      <c r="G1841" s="33">
        <v>6</v>
      </c>
      <c r="H1841" s="33"/>
      <c r="I1841" s="31" t="s">
        <v>46</v>
      </c>
      <c r="J1841" s="31"/>
      <c r="K1841" s="33"/>
      <c r="L1841" s="33"/>
      <c r="M1841" s="31"/>
      <c r="N1841" s="31"/>
      <c r="O1841" s="16" t="s">
        <v>3843</v>
      </c>
      <c r="P1841" s="16"/>
      <c r="Q1841" s="16"/>
      <c r="R1841" s="33"/>
      <c r="S1841" s="34"/>
      <c r="T1841" s="34"/>
      <c r="U1841" s="34"/>
      <c r="V1841" s="34"/>
      <c r="W1841" s="34"/>
      <c r="X1841" s="33" t="s">
        <v>3443</v>
      </c>
      <c r="Y1841" s="35" t="str">
        <f>IF(Tabela2[[#This Row],[SIGLA]]="","",VLOOKUP(Tabela2[[#This Row],[SIGLA]],Tabela1[[#All],[Sigla Arte]:[Crédito]],2,0))</f>
        <v>VINÍCIUS COSTA/ARQUIVO DA EDITORA</v>
      </c>
      <c r="Z1841" s="31"/>
      <c r="AA1841" s="31" t="str">
        <f>Tabela2[[#This Row],[ILUSTRADOR CRIAÇÃO]]</f>
        <v>VINÍCIUS COSTA/ARQUIVO DA EDITORA</v>
      </c>
      <c r="AB1841" s="33"/>
      <c r="AC1841" s="16"/>
      <c r="AE1841" s="35" t="str">
        <f t="shared" si="29"/>
        <v>EF1 E002 Mat</v>
      </c>
    </row>
    <row r="1842" spans="1:31" ht="30" x14ac:dyDescent="0.25">
      <c r="A1842" s="31" t="s">
        <v>3844</v>
      </c>
      <c r="B1842" s="16" t="s">
        <v>32</v>
      </c>
      <c r="C1842" s="16" t="s">
        <v>33</v>
      </c>
      <c r="D1842" s="33" t="s">
        <v>34</v>
      </c>
      <c r="E1842" s="33">
        <v>113</v>
      </c>
      <c r="F1842" s="33">
        <v>5</v>
      </c>
      <c r="G1842" s="33">
        <v>6</v>
      </c>
      <c r="H1842" s="33"/>
      <c r="I1842" s="31" t="s">
        <v>46</v>
      </c>
      <c r="J1842" s="31"/>
      <c r="K1842" s="33"/>
      <c r="L1842" s="33"/>
      <c r="M1842" s="31"/>
      <c r="N1842" s="31"/>
      <c r="O1842" s="16" t="s">
        <v>3845</v>
      </c>
      <c r="P1842" s="16"/>
      <c r="Q1842" s="16"/>
      <c r="R1842" s="33"/>
      <c r="S1842" s="34"/>
      <c r="T1842" s="34"/>
      <c r="U1842" s="34"/>
      <c r="V1842" s="34"/>
      <c r="W1842" s="34"/>
      <c r="X1842" s="33" t="s">
        <v>1971</v>
      </c>
      <c r="Y1842" s="35" t="str">
        <f>IF(Tabela2[[#This Row],[SIGLA]]="","",VLOOKUP(Tabela2[[#This Row],[SIGLA]],Tabela1[[#All],[Sigla Arte]:[Crédito]],2,0))</f>
        <v>PETRA MENDES/ARQUIVO DA EDITORA</v>
      </c>
      <c r="Z1842" s="31"/>
      <c r="AA1842" s="31" t="str">
        <f>Tabela2[[#This Row],[ILUSTRADOR CRIAÇÃO]]</f>
        <v>PETRA MENDES/ARQUIVO DA EDITORA</v>
      </c>
      <c r="AB1842" s="33"/>
      <c r="AC1842" s="16"/>
      <c r="AE1842" s="35" t="str">
        <f t="shared" ref="AE1842:AE1905" si="30">"EF1 E002 Mat"</f>
        <v>EF1 E002 Mat</v>
      </c>
    </row>
    <row r="1843" spans="1:31" ht="30" x14ac:dyDescent="0.25">
      <c r="A1843" s="31" t="s">
        <v>3846</v>
      </c>
      <c r="B1843" s="16" t="s">
        <v>32</v>
      </c>
      <c r="C1843" s="16" t="s">
        <v>33</v>
      </c>
      <c r="D1843" s="33" t="s">
        <v>34</v>
      </c>
      <c r="E1843" s="33">
        <v>114</v>
      </c>
      <c r="F1843" s="33">
        <v>5</v>
      </c>
      <c r="G1843" s="33">
        <v>6</v>
      </c>
      <c r="H1843" s="33"/>
      <c r="I1843" s="31" t="s">
        <v>46</v>
      </c>
      <c r="J1843" s="31"/>
      <c r="K1843" s="33"/>
      <c r="L1843" s="33"/>
      <c r="M1843" s="31"/>
      <c r="N1843" s="31"/>
      <c r="O1843" s="16" t="s">
        <v>3847</v>
      </c>
      <c r="P1843" s="16"/>
      <c r="Q1843" s="16"/>
      <c r="R1843" s="33"/>
      <c r="S1843" s="34"/>
      <c r="T1843" s="34"/>
      <c r="U1843" s="34"/>
      <c r="V1843" s="34"/>
      <c r="W1843" s="34"/>
      <c r="X1843" s="33" t="s">
        <v>48</v>
      </c>
      <c r="Y1843" s="35" t="str">
        <f>IF(Tabela2[[#This Row],[SIGLA]]="","",VLOOKUP(Tabela2[[#This Row],[SIGLA]],Tabela1[[#All],[Sigla Arte]:[Crédito]],2,0))</f>
        <v>SERGIO LIMA/ARQUIVO DA EDITORA</v>
      </c>
      <c r="Z1843" s="31"/>
      <c r="AA1843" s="31" t="str">
        <f>Tabela2[[#This Row],[ILUSTRADOR CRIAÇÃO]]</f>
        <v>SERGIO LIMA/ARQUIVO DA EDITORA</v>
      </c>
      <c r="AB1843" s="33"/>
      <c r="AC1843" s="16"/>
      <c r="AE1843" s="35" t="str">
        <f t="shared" si="30"/>
        <v>EF1 E002 Mat</v>
      </c>
    </row>
    <row r="1844" spans="1:31" ht="30" x14ac:dyDescent="0.25">
      <c r="A1844" s="31" t="s">
        <v>3848</v>
      </c>
      <c r="B1844" s="16" t="s">
        <v>32</v>
      </c>
      <c r="C1844" s="16" t="s">
        <v>33</v>
      </c>
      <c r="D1844" s="33" t="s">
        <v>34</v>
      </c>
      <c r="E1844" s="33">
        <v>114</v>
      </c>
      <c r="F1844" s="33">
        <v>5</v>
      </c>
      <c r="G1844" s="33">
        <v>6</v>
      </c>
      <c r="H1844" s="33"/>
      <c r="I1844" s="31" t="s">
        <v>46</v>
      </c>
      <c r="J1844" s="31"/>
      <c r="K1844" s="33"/>
      <c r="L1844" s="33"/>
      <c r="M1844" s="31"/>
      <c r="N1844" s="31"/>
      <c r="O1844" s="16" t="s">
        <v>3849</v>
      </c>
      <c r="P1844" s="16"/>
      <c r="Q1844" s="16"/>
      <c r="R1844" s="33"/>
      <c r="S1844" s="34"/>
      <c r="T1844" s="34"/>
      <c r="U1844" s="34"/>
      <c r="V1844" s="34"/>
      <c r="W1844" s="34"/>
      <c r="X1844" s="33" t="s">
        <v>48</v>
      </c>
      <c r="Y1844" s="35" t="str">
        <f>IF(Tabela2[[#This Row],[SIGLA]]="","",VLOOKUP(Tabela2[[#This Row],[SIGLA]],Tabela1[[#All],[Sigla Arte]:[Crédito]],2,0))</f>
        <v>SERGIO LIMA/ARQUIVO DA EDITORA</v>
      </c>
      <c r="Z1844" s="31"/>
      <c r="AA1844" s="31" t="str">
        <f>Tabela2[[#This Row],[ILUSTRADOR CRIAÇÃO]]</f>
        <v>SERGIO LIMA/ARQUIVO DA EDITORA</v>
      </c>
      <c r="AB1844" s="33"/>
      <c r="AC1844" s="16"/>
      <c r="AE1844" s="35" t="str">
        <f t="shared" si="30"/>
        <v>EF1 E002 Mat</v>
      </c>
    </row>
    <row r="1845" spans="1:31" ht="30" x14ac:dyDescent="0.25">
      <c r="A1845" s="31" t="s">
        <v>3850</v>
      </c>
      <c r="B1845" s="16" t="s">
        <v>32</v>
      </c>
      <c r="C1845" s="16" t="s">
        <v>33</v>
      </c>
      <c r="D1845" s="33" t="s">
        <v>34</v>
      </c>
      <c r="E1845" s="33">
        <v>114</v>
      </c>
      <c r="F1845" s="33">
        <v>5</v>
      </c>
      <c r="G1845" s="33">
        <v>6</v>
      </c>
      <c r="H1845" s="33"/>
      <c r="I1845" s="31" t="s">
        <v>46</v>
      </c>
      <c r="J1845" s="31"/>
      <c r="K1845" s="33"/>
      <c r="L1845" s="33"/>
      <c r="M1845" s="31"/>
      <c r="N1845" s="31"/>
      <c r="O1845" s="16" t="s">
        <v>3851</v>
      </c>
      <c r="P1845" s="16"/>
      <c r="Q1845" s="16"/>
      <c r="R1845" s="33"/>
      <c r="S1845" s="34"/>
      <c r="T1845" s="34"/>
      <c r="U1845" s="34"/>
      <c r="V1845" s="34"/>
      <c r="W1845" s="34"/>
      <c r="X1845" s="33" t="s">
        <v>48</v>
      </c>
      <c r="Y1845" s="35" t="str">
        <f>IF(Tabela2[[#This Row],[SIGLA]]="","",VLOOKUP(Tabela2[[#This Row],[SIGLA]],Tabela1[[#All],[Sigla Arte]:[Crédito]],2,0))</f>
        <v>SERGIO LIMA/ARQUIVO DA EDITORA</v>
      </c>
      <c r="Z1845" s="31"/>
      <c r="AA1845" s="31" t="str">
        <f>Tabela2[[#This Row],[ILUSTRADOR CRIAÇÃO]]</f>
        <v>SERGIO LIMA/ARQUIVO DA EDITORA</v>
      </c>
      <c r="AB1845" s="33"/>
      <c r="AC1845" s="16"/>
      <c r="AE1845" s="35" t="str">
        <f t="shared" si="30"/>
        <v>EF1 E002 Mat</v>
      </c>
    </row>
    <row r="1846" spans="1:31" ht="30" x14ac:dyDescent="0.25">
      <c r="A1846" s="31" t="s">
        <v>3852</v>
      </c>
      <c r="B1846" s="16" t="s">
        <v>32</v>
      </c>
      <c r="C1846" s="16" t="s">
        <v>33</v>
      </c>
      <c r="D1846" s="33" t="s">
        <v>34</v>
      </c>
      <c r="E1846" s="33">
        <v>116</v>
      </c>
      <c r="F1846" s="33">
        <v>5</v>
      </c>
      <c r="G1846" s="33">
        <v>6</v>
      </c>
      <c r="H1846" s="33"/>
      <c r="I1846" s="31" t="s">
        <v>46</v>
      </c>
      <c r="J1846" s="31"/>
      <c r="K1846" s="33"/>
      <c r="L1846" s="33"/>
      <c r="M1846" s="31"/>
      <c r="N1846" s="31"/>
      <c r="O1846" s="16" t="s">
        <v>3853</v>
      </c>
      <c r="P1846" s="16"/>
      <c r="Q1846" s="16"/>
      <c r="R1846" s="33"/>
      <c r="S1846" s="34"/>
      <c r="T1846" s="34"/>
      <c r="U1846" s="34"/>
      <c r="V1846" s="34"/>
      <c r="W1846" s="34"/>
      <c r="X1846" s="33" t="s">
        <v>3854</v>
      </c>
      <c r="Y1846" s="35" t="str">
        <f>IF(Tabela2[[#This Row],[SIGLA]]="","",VLOOKUP(Tabela2[[#This Row],[SIGLA]],Tabela1[[#All],[Sigla Arte]:[Crédito]],2,0))</f>
        <v>ROGÉRIO CASAGRANDE/ARQUIVO DA EDITORA</v>
      </c>
      <c r="Z1846" s="31"/>
      <c r="AA1846" s="31" t="str">
        <f>Tabela2[[#This Row],[ILUSTRADOR CRIAÇÃO]]</f>
        <v>ROGÉRIO CASAGRANDE/ARQUIVO DA EDITORA</v>
      </c>
      <c r="AB1846" s="33"/>
      <c r="AC1846" s="16"/>
      <c r="AE1846" s="35" t="str">
        <f t="shared" si="30"/>
        <v>EF1 E002 Mat</v>
      </c>
    </row>
    <row r="1847" spans="1:31" ht="45" x14ac:dyDescent="0.25">
      <c r="A1847" s="31" t="s">
        <v>3855</v>
      </c>
      <c r="B1847" s="16" t="s">
        <v>32</v>
      </c>
      <c r="C1847" s="16" t="s">
        <v>33</v>
      </c>
      <c r="D1847" s="33" t="s">
        <v>34</v>
      </c>
      <c r="E1847" s="33">
        <v>117</v>
      </c>
      <c r="F1847" s="33">
        <v>5</v>
      </c>
      <c r="G1847" s="33">
        <v>6</v>
      </c>
      <c r="H1847" s="33"/>
      <c r="I1847" s="31" t="s">
        <v>46</v>
      </c>
      <c r="J1847" s="31"/>
      <c r="K1847" s="33"/>
      <c r="L1847" s="33"/>
      <c r="M1847" s="31"/>
      <c r="N1847" s="31"/>
      <c r="O1847" s="16" t="s">
        <v>3856</v>
      </c>
      <c r="P1847" s="16"/>
      <c r="Q1847" s="16"/>
      <c r="R1847" s="33"/>
      <c r="S1847" s="34"/>
      <c r="T1847" s="34"/>
      <c r="U1847" s="34"/>
      <c r="V1847" s="34"/>
      <c r="W1847" s="34"/>
      <c r="X1847" s="33" t="s">
        <v>48</v>
      </c>
      <c r="Y1847" s="35" t="str">
        <f>IF(Tabela2[[#This Row],[SIGLA]]="","",VLOOKUP(Tabela2[[#This Row],[SIGLA]],Tabela1[[#All],[Sigla Arte]:[Crédito]],2,0))</f>
        <v>SERGIO LIMA/ARQUIVO DA EDITORA</v>
      </c>
      <c r="Z1847" s="31"/>
      <c r="AA1847" s="31" t="s">
        <v>3820</v>
      </c>
      <c r="AB1847" s="33"/>
      <c r="AC1847" s="16"/>
      <c r="AE1847" s="35" t="str">
        <f t="shared" si="30"/>
        <v>EF1 E002 Mat</v>
      </c>
    </row>
    <row r="1848" spans="1:31" ht="30" x14ac:dyDescent="0.25">
      <c r="A1848" s="31" t="s">
        <v>3857</v>
      </c>
      <c r="B1848" s="16" t="s">
        <v>32</v>
      </c>
      <c r="C1848" s="16" t="s">
        <v>164</v>
      </c>
      <c r="D1848" s="33" t="s">
        <v>34</v>
      </c>
      <c r="E1848" s="33">
        <v>117</v>
      </c>
      <c r="F1848" s="33">
        <v>5</v>
      </c>
      <c r="G1848" s="33">
        <v>6</v>
      </c>
      <c r="H1848" s="33"/>
      <c r="I1848" s="31" t="s">
        <v>46</v>
      </c>
      <c r="J1848" s="31"/>
      <c r="K1848" s="33"/>
      <c r="L1848" s="33"/>
      <c r="M1848" s="31"/>
      <c r="N1848" s="31"/>
      <c r="O1848" s="16" t="s">
        <v>3858</v>
      </c>
      <c r="P1848" s="16"/>
      <c r="Q1848" s="16"/>
      <c r="R1848" s="33"/>
      <c r="S1848" s="34"/>
      <c r="T1848" s="34"/>
      <c r="U1848" s="34"/>
      <c r="V1848" s="34"/>
      <c r="W1848" s="34"/>
      <c r="X1848" s="33" t="s">
        <v>3823</v>
      </c>
      <c r="Y1848" s="35" t="str">
        <f>IF(Tabela2[[#This Row],[SIGLA]]="","",VLOOKUP(Tabela2[[#This Row],[SIGLA]],Tabela1[[#All],[Sigla Arte]:[Crédito]],2,0))</f>
        <v>RONALDO LUCENA/ARQUIVO DA EDITORA</v>
      </c>
      <c r="Z1848" s="31"/>
      <c r="AA1848" s="31" t="str">
        <f>Tabela2[[#This Row],[ILUSTRADOR CRIAÇÃO]]</f>
        <v>RONALDO LUCENA/ARQUIVO DA EDITORA</v>
      </c>
      <c r="AB1848" s="33"/>
      <c r="AC1848" s="16"/>
      <c r="AE1848" s="35" t="str">
        <f t="shared" si="30"/>
        <v>EF1 E002 Mat</v>
      </c>
    </row>
    <row r="1849" spans="1:31" ht="30" x14ac:dyDescent="0.25">
      <c r="A1849" s="31" t="s">
        <v>3859</v>
      </c>
      <c r="B1849" s="16" t="s">
        <v>32</v>
      </c>
      <c r="C1849" s="16" t="s">
        <v>164</v>
      </c>
      <c r="D1849" s="33" t="s">
        <v>34</v>
      </c>
      <c r="E1849" s="33">
        <v>118</v>
      </c>
      <c r="F1849" s="33">
        <v>5</v>
      </c>
      <c r="G1849" s="33">
        <v>6</v>
      </c>
      <c r="H1849" s="33"/>
      <c r="I1849" s="31" t="s">
        <v>46</v>
      </c>
      <c r="J1849" s="31"/>
      <c r="K1849" s="33"/>
      <c r="L1849" s="33"/>
      <c r="M1849" s="31"/>
      <c r="N1849" s="31"/>
      <c r="O1849" s="16" t="s">
        <v>3860</v>
      </c>
      <c r="P1849" s="16"/>
      <c r="Q1849" s="16"/>
      <c r="R1849" s="33"/>
      <c r="S1849" s="34"/>
      <c r="T1849" s="34"/>
      <c r="U1849" s="34"/>
      <c r="V1849" s="34"/>
      <c r="W1849" s="34"/>
      <c r="X1849" s="33" t="s">
        <v>3823</v>
      </c>
      <c r="Y1849" s="35" t="str">
        <f>IF(Tabela2[[#This Row],[SIGLA]]="","",VLOOKUP(Tabela2[[#This Row],[SIGLA]],Tabela1[[#All],[Sigla Arte]:[Crédito]],2,0))</f>
        <v>RONALDO LUCENA/ARQUIVO DA EDITORA</v>
      </c>
      <c r="Z1849" s="31"/>
      <c r="AA1849" s="31" t="str">
        <f>Tabela2[[#This Row],[ILUSTRADOR CRIAÇÃO]]</f>
        <v>RONALDO LUCENA/ARQUIVO DA EDITORA</v>
      </c>
      <c r="AB1849" s="33"/>
      <c r="AC1849" s="16"/>
      <c r="AE1849" s="35" t="str">
        <f t="shared" si="30"/>
        <v>EF1 E002 Mat</v>
      </c>
    </row>
    <row r="1850" spans="1:31" ht="30" x14ac:dyDescent="0.25">
      <c r="A1850" s="31" t="s">
        <v>3861</v>
      </c>
      <c r="B1850" s="16" t="s">
        <v>32</v>
      </c>
      <c r="C1850" s="16" t="s">
        <v>164</v>
      </c>
      <c r="D1850" s="33" t="s">
        <v>34</v>
      </c>
      <c r="E1850" s="33">
        <v>118</v>
      </c>
      <c r="F1850" s="33">
        <v>5</v>
      </c>
      <c r="G1850" s="33">
        <v>6</v>
      </c>
      <c r="H1850" s="33"/>
      <c r="I1850" s="31" t="s">
        <v>46</v>
      </c>
      <c r="J1850" s="31"/>
      <c r="K1850" s="33"/>
      <c r="L1850" s="33"/>
      <c r="M1850" s="31"/>
      <c r="N1850" s="31"/>
      <c r="O1850" s="16" t="s">
        <v>3862</v>
      </c>
      <c r="P1850" s="16"/>
      <c r="Q1850" s="16"/>
      <c r="R1850" s="33"/>
      <c r="S1850" s="34"/>
      <c r="T1850" s="34"/>
      <c r="U1850" s="34"/>
      <c r="V1850" s="34"/>
      <c r="W1850" s="34"/>
      <c r="X1850" s="33" t="s">
        <v>3823</v>
      </c>
      <c r="Y1850" s="35" t="str">
        <f>IF(Tabela2[[#This Row],[SIGLA]]="","",VLOOKUP(Tabela2[[#This Row],[SIGLA]],Tabela1[[#All],[Sigla Arte]:[Crédito]],2,0))</f>
        <v>RONALDO LUCENA/ARQUIVO DA EDITORA</v>
      </c>
      <c r="Z1850" s="31"/>
      <c r="AA1850" s="31" t="str">
        <f>Tabela2[[#This Row],[ILUSTRADOR CRIAÇÃO]]</f>
        <v>RONALDO LUCENA/ARQUIVO DA EDITORA</v>
      </c>
      <c r="AB1850" s="33"/>
      <c r="AC1850" s="16"/>
      <c r="AE1850" s="35" t="str">
        <f t="shared" si="30"/>
        <v>EF1 E002 Mat</v>
      </c>
    </row>
    <row r="1851" spans="1:31" ht="30" x14ac:dyDescent="0.25">
      <c r="A1851" s="31" t="s">
        <v>3863</v>
      </c>
      <c r="B1851" s="16" t="s">
        <v>32</v>
      </c>
      <c r="C1851" s="16" t="s">
        <v>164</v>
      </c>
      <c r="D1851" s="33" t="s">
        <v>34</v>
      </c>
      <c r="E1851" s="33">
        <v>119</v>
      </c>
      <c r="F1851" s="33">
        <v>5</v>
      </c>
      <c r="G1851" s="33">
        <v>6</v>
      </c>
      <c r="H1851" s="33"/>
      <c r="I1851" s="31" t="s">
        <v>46</v>
      </c>
      <c r="J1851" s="31"/>
      <c r="K1851" s="33"/>
      <c r="L1851" s="33"/>
      <c r="M1851" s="31"/>
      <c r="N1851" s="31"/>
      <c r="O1851" s="16" t="s">
        <v>3864</v>
      </c>
      <c r="P1851" s="16"/>
      <c r="Q1851" s="16"/>
      <c r="R1851" s="33"/>
      <c r="S1851" s="34"/>
      <c r="T1851" s="34"/>
      <c r="U1851" s="34"/>
      <c r="V1851" s="34"/>
      <c r="W1851" s="34"/>
      <c r="X1851" s="33" t="s">
        <v>3443</v>
      </c>
      <c r="Y1851" s="35" t="str">
        <f>IF(Tabela2[[#This Row],[SIGLA]]="","",VLOOKUP(Tabela2[[#This Row],[SIGLA]],Tabela1[[#All],[Sigla Arte]:[Crédito]],2,0))</f>
        <v>VINÍCIUS COSTA/ARQUIVO DA EDITORA</v>
      </c>
      <c r="Z1851" s="31"/>
      <c r="AA1851" s="31" t="str">
        <f>Tabela2[[#This Row],[ILUSTRADOR CRIAÇÃO]]</f>
        <v>VINÍCIUS COSTA/ARQUIVO DA EDITORA</v>
      </c>
      <c r="AB1851" s="33"/>
      <c r="AC1851" s="16"/>
      <c r="AE1851" s="35" t="str">
        <f t="shared" si="30"/>
        <v>EF1 E002 Mat</v>
      </c>
    </row>
    <row r="1852" spans="1:31" ht="30" x14ac:dyDescent="0.25">
      <c r="A1852" s="31" t="s">
        <v>3865</v>
      </c>
      <c r="B1852" s="16" t="s">
        <v>32</v>
      </c>
      <c r="C1852" s="16" t="s">
        <v>164</v>
      </c>
      <c r="D1852" s="33" t="s">
        <v>34</v>
      </c>
      <c r="E1852" s="33">
        <v>119</v>
      </c>
      <c r="F1852" s="33">
        <v>5</v>
      </c>
      <c r="G1852" s="33">
        <v>6</v>
      </c>
      <c r="H1852" s="33"/>
      <c r="I1852" s="31" t="s">
        <v>46</v>
      </c>
      <c r="J1852" s="31"/>
      <c r="K1852" s="33"/>
      <c r="L1852" s="33"/>
      <c r="M1852" s="31"/>
      <c r="N1852" s="31"/>
      <c r="O1852" s="16" t="s">
        <v>3866</v>
      </c>
      <c r="P1852" s="16"/>
      <c r="Q1852" s="16"/>
      <c r="R1852" s="33"/>
      <c r="S1852" s="34"/>
      <c r="T1852" s="34"/>
      <c r="U1852" s="34"/>
      <c r="V1852" s="34"/>
      <c r="W1852" s="34"/>
      <c r="X1852" s="33" t="s">
        <v>3443</v>
      </c>
      <c r="Y1852" s="35" t="str">
        <f>IF(Tabela2[[#This Row],[SIGLA]]="","",VLOOKUP(Tabela2[[#This Row],[SIGLA]],Tabela1[[#All],[Sigla Arte]:[Crédito]],2,0))</f>
        <v>VINÍCIUS COSTA/ARQUIVO DA EDITORA</v>
      </c>
      <c r="Z1852" s="31"/>
      <c r="AA1852" s="31" t="str">
        <f>Tabela2[[#This Row],[ILUSTRADOR CRIAÇÃO]]</f>
        <v>VINÍCIUS COSTA/ARQUIVO DA EDITORA</v>
      </c>
      <c r="AB1852" s="33"/>
      <c r="AC1852" s="16"/>
      <c r="AE1852" s="35" t="str">
        <f t="shared" si="30"/>
        <v>EF1 E002 Mat</v>
      </c>
    </row>
    <row r="1853" spans="1:31" ht="30" x14ac:dyDescent="0.25">
      <c r="A1853" s="31" t="s">
        <v>3867</v>
      </c>
      <c r="B1853" s="16" t="s">
        <v>32</v>
      </c>
      <c r="C1853" s="16" t="s">
        <v>164</v>
      </c>
      <c r="D1853" s="33" t="s">
        <v>34</v>
      </c>
      <c r="E1853" s="33">
        <v>119</v>
      </c>
      <c r="F1853" s="33">
        <v>5</v>
      </c>
      <c r="G1853" s="33">
        <v>6</v>
      </c>
      <c r="H1853" s="33"/>
      <c r="I1853" s="31" t="s">
        <v>46</v>
      </c>
      <c r="J1853" s="31"/>
      <c r="K1853" s="33"/>
      <c r="L1853" s="33"/>
      <c r="M1853" s="31"/>
      <c r="N1853" s="31"/>
      <c r="O1853" s="16" t="s">
        <v>3868</v>
      </c>
      <c r="P1853" s="16"/>
      <c r="Q1853" s="16"/>
      <c r="R1853" s="33"/>
      <c r="S1853" s="34"/>
      <c r="T1853" s="34"/>
      <c r="U1853" s="34"/>
      <c r="V1853" s="34"/>
      <c r="W1853" s="34"/>
      <c r="X1853" s="33" t="s">
        <v>3443</v>
      </c>
      <c r="Y1853" s="35" t="str">
        <f>IF(Tabela2[[#This Row],[SIGLA]]="","",VLOOKUP(Tabela2[[#This Row],[SIGLA]],Tabela1[[#All],[Sigla Arte]:[Crédito]],2,0))</f>
        <v>VINÍCIUS COSTA/ARQUIVO DA EDITORA</v>
      </c>
      <c r="Z1853" s="31"/>
      <c r="AA1853" s="31" t="str">
        <f>Tabela2[[#This Row],[ILUSTRADOR CRIAÇÃO]]</f>
        <v>VINÍCIUS COSTA/ARQUIVO DA EDITORA</v>
      </c>
      <c r="AB1853" s="33"/>
      <c r="AC1853" s="16"/>
      <c r="AE1853" s="35" t="str">
        <f t="shared" si="30"/>
        <v>EF1 E002 Mat</v>
      </c>
    </row>
    <row r="1854" spans="1:31" ht="30" x14ac:dyDescent="0.25">
      <c r="A1854" s="31" t="s">
        <v>3869</v>
      </c>
      <c r="B1854" s="16" t="s">
        <v>32</v>
      </c>
      <c r="C1854" s="16" t="s">
        <v>164</v>
      </c>
      <c r="D1854" s="33" t="s">
        <v>34</v>
      </c>
      <c r="E1854" s="33">
        <v>119</v>
      </c>
      <c r="F1854" s="33">
        <v>5</v>
      </c>
      <c r="G1854" s="33">
        <v>6</v>
      </c>
      <c r="H1854" s="33"/>
      <c r="I1854" s="31" t="s">
        <v>46</v>
      </c>
      <c r="J1854" s="31"/>
      <c r="K1854" s="33"/>
      <c r="L1854" s="33"/>
      <c r="M1854" s="31"/>
      <c r="N1854" s="31"/>
      <c r="O1854" s="16" t="s">
        <v>3870</v>
      </c>
      <c r="P1854" s="16"/>
      <c r="Q1854" s="16"/>
      <c r="R1854" s="33"/>
      <c r="S1854" s="34"/>
      <c r="T1854" s="34"/>
      <c r="U1854" s="34"/>
      <c r="V1854" s="34"/>
      <c r="W1854" s="34"/>
      <c r="X1854" s="33" t="s">
        <v>3443</v>
      </c>
      <c r="Y1854" s="35" t="str">
        <f>IF(Tabela2[[#This Row],[SIGLA]]="","",VLOOKUP(Tabela2[[#This Row],[SIGLA]],Tabela1[[#All],[Sigla Arte]:[Crédito]],2,0))</f>
        <v>VINÍCIUS COSTA/ARQUIVO DA EDITORA</v>
      </c>
      <c r="Z1854" s="31"/>
      <c r="AA1854" s="31" t="str">
        <f>Tabela2[[#This Row],[ILUSTRADOR CRIAÇÃO]]</f>
        <v>VINÍCIUS COSTA/ARQUIVO DA EDITORA</v>
      </c>
      <c r="AB1854" s="33"/>
      <c r="AC1854" s="16"/>
      <c r="AE1854" s="35" t="str">
        <f t="shared" si="30"/>
        <v>EF1 E002 Mat</v>
      </c>
    </row>
    <row r="1855" spans="1:31" ht="30" x14ac:dyDescent="0.25">
      <c r="A1855" s="31" t="s">
        <v>3871</v>
      </c>
      <c r="B1855" s="16" t="s">
        <v>32</v>
      </c>
      <c r="C1855" s="16" t="s">
        <v>164</v>
      </c>
      <c r="D1855" s="33" t="s">
        <v>34</v>
      </c>
      <c r="E1855" s="33">
        <v>120</v>
      </c>
      <c r="F1855" s="33">
        <v>5</v>
      </c>
      <c r="G1855" s="33">
        <v>6</v>
      </c>
      <c r="H1855" s="33"/>
      <c r="I1855" s="31" t="s">
        <v>46</v>
      </c>
      <c r="J1855" s="31"/>
      <c r="K1855" s="33"/>
      <c r="L1855" s="33"/>
      <c r="M1855" s="31"/>
      <c r="N1855" s="31"/>
      <c r="O1855" s="16" t="s">
        <v>3872</v>
      </c>
      <c r="P1855" s="16"/>
      <c r="Q1855" s="16"/>
      <c r="R1855" s="33"/>
      <c r="S1855" s="34"/>
      <c r="T1855" s="34"/>
      <c r="U1855" s="34"/>
      <c r="V1855" s="34"/>
      <c r="W1855" s="34"/>
      <c r="X1855" s="33" t="s">
        <v>3443</v>
      </c>
      <c r="Y1855" s="35" t="str">
        <f>IF(Tabela2[[#This Row],[SIGLA]]="","",VLOOKUP(Tabela2[[#This Row],[SIGLA]],Tabela1[[#All],[Sigla Arte]:[Crédito]],2,0))</f>
        <v>VINÍCIUS COSTA/ARQUIVO DA EDITORA</v>
      </c>
      <c r="Z1855" s="31"/>
      <c r="AA1855" s="31" t="str">
        <f>Tabela2[[#This Row],[ILUSTRADOR CRIAÇÃO]]</f>
        <v>VINÍCIUS COSTA/ARQUIVO DA EDITORA</v>
      </c>
      <c r="AB1855" s="33"/>
      <c r="AC1855" s="16"/>
      <c r="AE1855" s="35" t="str">
        <f t="shared" si="30"/>
        <v>EF1 E002 Mat</v>
      </c>
    </row>
    <row r="1856" spans="1:31" ht="30" x14ac:dyDescent="0.25">
      <c r="A1856" s="31" t="s">
        <v>3873</v>
      </c>
      <c r="B1856" s="16" t="s">
        <v>32</v>
      </c>
      <c r="C1856" s="16" t="s">
        <v>164</v>
      </c>
      <c r="D1856" s="33" t="s">
        <v>34</v>
      </c>
      <c r="E1856" s="33">
        <v>120</v>
      </c>
      <c r="F1856" s="33">
        <v>5</v>
      </c>
      <c r="G1856" s="33">
        <v>6</v>
      </c>
      <c r="H1856" s="33"/>
      <c r="I1856" s="31" t="s">
        <v>46</v>
      </c>
      <c r="J1856" s="31"/>
      <c r="K1856" s="33"/>
      <c r="L1856" s="33"/>
      <c r="M1856" s="31"/>
      <c r="N1856" s="31"/>
      <c r="O1856" s="16" t="s">
        <v>3874</v>
      </c>
      <c r="P1856" s="16"/>
      <c r="Q1856" s="16"/>
      <c r="R1856" s="33"/>
      <c r="S1856" s="34"/>
      <c r="T1856" s="34"/>
      <c r="U1856" s="34"/>
      <c r="V1856" s="34"/>
      <c r="W1856" s="34"/>
      <c r="X1856" s="33" t="s">
        <v>3443</v>
      </c>
      <c r="Y1856" s="35" t="str">
        <f>IF(Tabela2[[#This Row],[SIGLA]]="","",VLOOKUP(Tabela2[[#This Row],[SIGLA]],Tabela1[[#All],[Sigla Arte]:[Crédito]],2,0))</f>
        <v>VINÍCIUS COSTA/ARQUIVO DA EDITORA</v>
      </c>
      <c r="Z1856" s="31"/>
      <c r="AA1856" s="31" t="str">
        <f>Tabela2[[#This Row],[ILUSTRADOR CRIAÇÃO]]</f>
        <v>VINÍCIUS COSTA/ARQUIVO DA EDITORA</v>
      </c>
      <c r="AB1856" s="33"/>
      <c r="AC1856" s="16"/>
      <c r="AE1856" s="35" t="str">
        <f t="shared" si="30"/>
        <v>EF1 E002 Mat</v>
      </c>
    </row>
    <row r="1857" spans="1:31" ht="30" x14ac:dyDescent="0.25">
      <c r="A1857" s="31" t="s">
        <v>3875</v>
      </c>
      <c r="B1857" s="16" t="s">
        <v>32</v>
      </c>
      <c r="C1857" s="16" t="s">
        <v>164</v>
      </c>
      <c r="D1857" s="33" t="s">
        <v>34</v>
      </c>
      <c r="E1857" s="33">
        <v>120</v>
      </c>
      <c r="F1857" s="33">
        <v>5</v>
      </c>
      <c r="G1857" s="33">
        <v>6</v>
      </c>
      <c r="H1857" s="33"/>
      <c r="I1857" s="31" t="s">
        <v>46</v>
      </c>
      <c r="J1857" s="31"/>
      <c r="K1857" s="33"/>
      <c r="L1857" s="33"/>
      <c r="M1857" s="31"/>
      <c r="N1857" s="31"/>
      <c r="O1857" s="16" t="s">
        <v>3876</v>
      </c>
      <c r="P1857" s="16"/>
      <c r="Q1857" s="16"/>
      <c r="R1857" s="33"/>
      <c r="S1857" s="34"/>
      <c r="T1857" s="34"/>
      <c r="U1857" s="34"/>
      <c r="V1857" s="34"/>
      <c r="W1857" s="34"/>
      <c r="X1857" s="33" t="s">
        <v>3443</v>
      </c>
      <c r="Y1857" s="35" t="str">
        <f>IF(Tabela2[[#This Row],[SIGLA]]="","",VLOOKUP(Tabela2[[#This Row],[SIGLA]],Tabela1[[#All],[Sigla Arte]:[Crédito]],2,0))</f>
        <v>VINÍCIUS COSTA/ARQUIVO DA EDITORA</v>
      </c>
      <c r="Z1857" s="31"/>
      <c r="AA1857" s="31" t="str">
        <f>Tabela2[[#This Row],[ILUSTRADOR CRIAÇÃO]]</f>
        <v>VINÍCIUS COSTA/ARQUIVO DA EDITORA</v>
      </c>
      <c r="AB1857" s="33"/>
      <c r="AC1857" s="16"/>
      <c r="AE1857" s="35" t="str">
        <f t="shared" si="30"/>
        <v>EF1 E002 Mat</v>
      </c>
    </row>
    <row r="1858" spans="1:31" ht="30" x14ac:dyDescent="0.25">
      <c r="A1858" s="31" t="s">
        <v>3877</v>
      </c>
      <c r="B1858" s="16" t="s">
        <v>32</v>
      </c>
      <c r="C1858" s="16" t="s">
        <v>164</v>
      </c>
      <c r="D1858" s="33" t="s">
        <v>34</v>
      </c>
      <c r="E1858" s="33">
        <v>120</v>
      </c>
      <c r="F1858" s="33">
        <v>5</v>
      </c>
      <c r="G1858" s="33">
        <v>6</v>
      </c>
      <c r="H1858" s="33"/>
      <c r="I1858" s="31" t="s">
        <v>46</v>
      </c>
      <c r="J1858" s="31"/>
      <c r="K1858" s="33"/>
      <c r="L1858" s="33"/>
      <c r="M1858" s="31"/>
      <c r="N1858" s="31"/>
      <c r="O1858" s="16" t="s">
        <v>3878</v>
      </c>
      <c r="P1858" s="16"/>
      <c r="Q1858" s="16"/>
      <c r="R1858" s="33"/>
      <c r="S1858" s="34"/>
      <c r="T1858" s="34"/>
      <c r="U1858" s="34"/>
      <c r="V1858" s="34"/>
      <c r="W1858" s="34"/>
      <c r="X1858" s="33" t="s">
        <v>3443</v>
      </c>
      <c r="Y1858" s="35" t="str">
        <f>IF(Tabela2[[#This Row],[SIGLA]]="","",VLOOKUP(Tabela2[[#This Row],[SIGLA]],Tabela1[[#All],[Sigla Arte]:[Crédito]],2,0))</f>
        <v>VINÍCIUS COSTA/ARQUIVO DA EDITORA</v>
      </c>
      <c r="Z1858" s="31"/>
      <c r="AA1858" s="31" t="str">
        <f>Tabela2[[#This Row],[ILUSTRADOR CRIAÇÃO]]</f>
        <v>VINÍCIUS COSTA/ARQUIVO DA EDITORA</v>
      </c>
      <c r="AB1858" s="33"/>
      <c r="AC1858" s="16"/>
      <c r="AE1858" s="35" t="str">
        <f t="shared" si="30"/>
        <v>EF1 E002 Mat</v>
      </c>
    </row>
    <row r="1859" spans="1:31" ht="30" x14ac:dyDescent="0.25">
      <c r="A1859" s="31" t="s">
        <v>3879</v>
      </c>
      <c r="B1859" s="16" t="s">
        <v>32</v>
      </c>
      <c r="C1859" s="16" t="s">
        <v>164</v>
      </c>
      <c r="D1859" s="33" t="s">
        <v>34</v>
      </c>
      <c r="E1859" s="33">
        <v>120</v>
      </c>
      <c r="F1859" s="33">
        <v>5</v>
      </c>
      <c r="G1859" s="33">
        <v>6</v>
      </c>
      <c r="H1859" s="33"/>
      <c r="I1859" s="31" t="s">
        <v>46</v>
      </c>
      <c r="J1859" s="31"/>
      <c r="K1859" s="33"/>
      <c r="L1859" s="33"/>
      <c r="M1859" s="31"/>
      <c r="N1859" s="31"/>
      <c r="O1859" s="16" t="s">
        <v>3880</v>
      </c>
      <c r="P1859" s="16"/>
      <c r="Q1859" s="16"/>
      <c r="R1859" s="33"/>
      <c r="S1859" s="34"/>
      <c r="T1859" s="34"/>
      <c r="U1859" s="34"/>
      <c r="V1859" s="34"/>
      <c r="W1859" s="34"/>
      <c r="X1859" s="33" t="s">
        <v>3443</v>
      </c>
      <c r="Y1859" s="35" t="str">
        <f>IF(Tabela2[[#This Row],[SIGLA]]="","",VLOOKUP(Tabela2[[#This Row],[SIGLA]],Tabela1[[#All],[Sigla Arte]:[Crédito]],2,0))</f>
        <v>VINÍCIUS COSTA/ARQUIVO DA EDITORA</v>
      </c>
      <c r="Z1859" s="31"/>
      <c r="AA1859" s="31" t="str">
        <f>Tabela2[[#This Row],[ILUSTRADOR CRIAÇÃO]]</f>
        <v>VINÍCIUS COSTA/ARQUIVO DA EDITORA</v>
      </c>
      <c r="AB1859" s="33"/>
      <c r="AC1859" s="16"/>
      <c r="AE1859" s="35" t="str">
        <f t="shared" si="30"/>
        <v>EF1 E002 Mat</v>
      </c>
    </row>
    <row r="1860" spans="1:31" ht="30" x14ac:dyDescent="0.25">
      <c r="A1860" s="31" t="s">
        <v>3881</v>
      </c>
      <c r="B1860" s="16" t="s">
        <v>32</v>
      </c>
      <c r="C1860" s="16" t="s">
        <v>164</v>
      </c>
      <c r="D1860" s="33" t="s">
        <v>34</v>
      </c>
      <c r="E1860" s="33">
        <v>120</v>
      </c>
      <c r="F1860" s="33">
        <v>5</v>
      </c>
      <c r="G1860" s="33">
        <v>6</v>
      </c>
      <c r="H1860" s="33"/>
      <c r="I1860" s="31" t="s">
        <v>46</v>
      </c>
      <c r="J1860" s="31"/>
      <c r="K1860" s="33"/>
      <c r="L1860" s="33"/>
      <c r="M1860" s="31"/>
      <c r="N1860" s="31"/>
      <c r="O1860" s="16" t="s">
        <v>3882</v>
      </c>
      <c r="P1860" s="16"/>
      <c r="Q1860" s="16"/>
      <c r="R1860" s="33"/>
      <c r="S1860" s="34"/>
      <c r="T1860" s="34"/>
      <c r="U1860" s="34"/>
      <c r="V1860" s="34"/>
      <c r="W1860" s="34"/>
      <c r="X1860" s="33" t="s">
        <v>3443</v>
      </c>
      <c r="Y1860" s="35" t="str">
        <f>IF(Tabela2[[#This Row],[SIGLA]]="","",VLOOKUP(Tabela2[[#This Row],[SIGLA]],Tabela1[[#All],[Sigla Arte]:[Crédito]],2,0))</f>
        <v>VINÍCIUS COSTA/ARQUIVO DA EDITORA</v>
      </c>
      <c r="Z1860" s="31"/>
      <c r="AA1860" s="31" t="str">
        <f>Tabela2[[#This Row],[ILUSTRADOR CRIAÇÃO]]</f>
        <v>VINÍCIUS COSTA/ARQUIVO DA EDITORA</v>
      </c>
      <c r="AB1860" s="33"/>
      <c r="AC1860" s="16"/>
      <c r="AE1860" s="35" t="str">
        <f t="shared" si="30"/>
        <v>EF1 E002 Mat</v>
      </c>
    </row>
    <row r="1861" spans="1:31" ht="30" x14ac:dyDescent="0.25">
      <c r="A1861" s="31" t="s">
        <v>3883</v>
      </c>
      <c r="B1861" s="16" t="s">
        <v>32</v>
      </c>
      <c r="C1861" s="16" t="s">
        <v>164</v>
      </c>
      <c r="D1861" s="33" t="s">
        <v>34</v>
      </c>
      <c r="E1861" s="33">
        <v>121</v>
      </c>
      <c r="F1861" s="33">
        <v>5</v>
      </c>
      <c r="G1861" s="33">
        <v>6</v>
      </c>
      <c r="H1861" s="33"/>
      <c r="I1861" s="31" t="s">
        <v>46</v>
      </c>
      <c r="J1861" s="31"/>
      <c r="K1861" s="33"/>
      <c r="L1861" s="33"/>
      <c r="M1861" s="31"/>
      <c r="N1861" s="31"/>
      <c r="O1861" s="16" t="s">
        <v>3884</v>
      </c>
      <c r="P1861" s="16"/>
      <c r="Q1861" s="16"/>
      <c r="R1861" s="33"/>
      <c r="S1861" s="34"/>
      <c r="T1861" s="34"/>
      <c r="U1861" s="34"/>
      <c r="V1861" s="34"/>
      <c r="W1861" s="34"/>
      <c r="X1861" s="33" t="s">
        <v>48</v>
      </c>
      <c r="Y1861" s="35" t="str">
        <f>IF(Tabela2[[#This Row],[SIGLA]]="","",VLOOKUP(Tabela2[[#This Row],[SIGLA]],Tabela1[[#All],[Sigla Arte]:[Crédito]],2,0))</f>
        <v>SERGIO LIMA/ARQUIVO DA EDITORA</v>
      </c>
      <c r="Z1861" s="31"/>
      <c r="AA1861" s="31" t="str">
        <f>Tabela2[[#This Row],[ILUSTRADOR CRIAÇÃO]]</f>
        <v>SERGIO LIMA/ARQUIVO DA EDITORA</v>
      </c>
      <c r="AB1861" s="33"/>
      <c r="AC1861" s="16"/>
      <c r="AE1861" s="35" t="str">
        <f t="shared" si="30"/>
        <v>EF1 E002 Mat</v>
      </c>
    </row>
    <row r="1862" spans="1:31" ht="30" x14ac:dyDescent="0.25">
      <c r="A1862" s="31" t="s">
        <v>3885</v>
      </c>
      <c r="B1862" s="16" t="s">
        <v>32</v>
      </c>
      <c r="C1862" s="16" t="s">
        <v>164</v>
      </c>
      <c r="D1862" s="33" t="s">
        <v>34</v>
      </c>
      <c r="E1862" s="33">
        <v>121</v>
      </c>
      <c r="F1862" s="33">
        <v>5</v>
      </c>
      <c r="G1862" s="33">
        <v>6</v>
      </c>
      <c r="H1862" s="33"/>
      <c r="I1862" s="31" t="s">
        <v>46</v>
      </c>
      <c r="J1862" s="31"/>
      <c r="K1862" s="33"/>
      <c r="L1862" s="33"/>
      <c r="M1862" s="31"/>
      <c r="N1862" s="31"/>
      <c r="O1862" s="16" t="s">
        <v>3886</v>
      </c>
      <c r="P1862" s="16"/>
      <c r="Q1862" s="16"/>
      <c r="R1862" s="33"/>
      <c r="S1862" s="34"/>
      <c r="T1862" s="34"/>
      <c r="U1862" s="34"/>
      <c r="V1862" s="34"/>
      <c r="W1862" s="34"/>
      <c r="X1862" s="33" t="s">
        <v>48</v>
      </c>
      <c r="Y1862" s="35" t="str">
        <f>IF(Tabela2[[#This Row],[SIGLA]]="","",VLOOKUP(Tabela2[[#This Row],[SIGLA]],Tabela1[[#All],[Sigla Arte]:[Crédito]],2,0))</f>
        <v>SERGIO LIMA/ARQUIVO DA EDITORA</v>
      </c>
      <c r="Z1862" s="31"/>
      <c r="AA1862" s="31" t="str">
        <f>Tabela2[[#This Row],[ILUSTRADOR CRIAÇÃO]]</f>
        <v>SERGIO LIMA/ARQUIVO DA EDITORA</v>
      </c>
      <c r="AB1862" s="33"/>
      <c r="AC1862" s="16"/>
      <c r="AE1862" s="35" t="str">
        <f t="shared" si="30"/>
        <v>EF1 E002 Mat</v>
      </c>
    </row>
    <row r="1863" spans="1:31" ht="30" x14ac:dyDescent="0.25">
      <c r="A1863" s="31" t="s">
        <v>3887</v>
      </c>
      <c r="B1863" s="16" t="s">
        <v>32</v>
      </c>
      <c r="C1863" s="16" t="s">
        <v>164</v>
      </c>
      <c r="D1863" s="33" t="s">
        <v>34</v>
      </c>
      <c r="E1863" s="33">
        <v>121</v>
      </c>
      <c r="F1863" s="33">
        <v>5</v>
      </c>
      <c r="G1863" s="33">
        <v>6</v>
      </c>
      <c r="H1863" s="33"/>
      <c r="I1863" s="31" t="s">
        <v>46</v>
      </c>
      <c r="J1863" s="31"/>
      <c r="K1863" s="33"/>
      <c r="L1863" s="33"/>
      <c r="M1863" s="31"/>
      <c r="N1863" s="31"/>
      <c r="O1863" s="16" t="s">
        <v>3888</v>
      </c>
      <c r="P1863" s="16"/>
      <c r="Q1863" s="16"/>
      <c r="R1863" s="33"/>
      <c r="S1863" s="34"/>
      <c r="T1863" s="34"/>
      <c r="U1863" s="34"/>
      <c r="V1863" s="34"/>
      <c r="W1863" s="34"/>
      <c r="X1863" s="33" t="s">
        <v>48</v>
      </c>
      <c r="Y1863" s="35" t="str">
        <f>IF(Tabela2[[#This Row],[SIGLA]]="","",VLOOKUP(Tabela2[[#This Row],[SIGLA]],Tabela1[[#All],[Sigla Arte]:[Crédito]],2,0))</f>
        <v>SERGIO LIMA/ARQUIVO DA EDITORA</v>
      </c>
      <c r="Z1863" s="31"/>
      <c r="AA1863" s="31" t="str">
        <f>Tabela2[[#This Row],[ILUSTRADOR CRIAÇÃO]]</f>
        <v>SERGIO LIMA/ARQUIVO DA EDITORA</v>
      </c>
      <c r="AB1863" s="33"/>
      <c r="AC1863" s="16"/>
      <c r="AE1863" s="35" t="str">
        <f t="shared" si="30"/>
        <v>EF1 E002 Mat</v>
      </c>
    </row>
    <row r="1864" spans="1:31" ht="45" x14ac:dyDescent="0.25">
      <c r="A1864" s="31" t="s">
        <v>3889</v>
      </c>
      <c r="B1864" s="16" t="s">
        <v>32</v>
      </c>
      <c r="C1864" s="16" t="s">
        <v>164</v>
      </c>
      <c r="D1864" s="33" t="s">
        <v>34</v>
      </c>
      <c r="E1864" s="33">
        <v>124</v>
      </c>
      <c r="F1864" s="33">
        <v>5</v>
      </c>
      <c r="G1864" s="33">
        <v>6</v>
      </c>
      <c r="H1864" s="33"/>
      <c r="I1864" s="31" t="s">
        <v>46</v>
      </c>
      <c r="J1864" s="31"/>
      <c r="K1864" s="33"/>
      <c r="L1864" s="33"/>
      <c r="M1864" s="31"/>
      <c r="N1864" s="31"/>
      <c r="O1864" s="16" t="s">
        <v>3890</v>
      </c>
      <c r="P1864" s="16"/>
      <c r="Q1864" s="16"/>
      <c r="R1864" s="33"/>
      <c r="S1864" s="34"/>
      <c r="T1864" s="34"/>
      <c r="U1864" s="34"/>
      <c r="V1864" s="34"/>
      <c r="W1864" s="34"/>
      <c r="X1864" s="33" t="s">
        <v>3823</v>
      </c>
      <c r="Y1864" s="35" t="str">
        <f>IF(Tabela2[[#This Row],[SIGLA]]="","",VLOOKUP(Tabela2[[#This Row],[SIGLA]],Tabela1[[#All],[Sigla Arte]:[Crédito]],2,0))</f>
        <v>RONALDO LUCENA/ARQUIVO DA EDITORA</v>
      </c>
      <c r="Z1864" s="31"/>
      <c r="AA1864" s="31" t="str">
        <f>Tabela2[[#This Row],[ILUSTRADOR CRIAÇÃO]]</f>
        <v>RONALDO LUCENA/ARQUIVO DA EDITORA</v>
      </c>
      <c r="AB1864" s="33"/>
      <c r="AC1864" s="16"/>
      <c r="AE1864" s="35" t="str">
        <f t="shared" si="30"/>
        <v>EF1 E002 Mat</v>
      </c>
    </row>
    <row r="1865" spans="1:31" ht="30" x14ac:dyDescent="0.25">
      <c r="A1865" s="31" t="s">
        <v>3891</v>
      </c>
      <c r="B1865" s="16" t="s">
        <v>32</v>
      </c>
      <c r="C1865" s="16" t="s">
        <v>164</v>
      </c>
      <c r="D1865" s="33" t="s">
        <v>34</v>
      </c>
      <c r="E1865" s="33">
        <v>126</v>
      </c>
      <c r="F1865" s="33">
        <v>5</v>
      </c>
      <c r="G1865" s="33">
        <v>6</v>
      </c>
      <c r="H1865" s="33"/>
      <c r="I1865" s="31" t="s">
        <v>46</v>
      </c>
      <c r="J1865" s="31"/>
      <c r="K1865" s="33"/>
      <c r="L1865" s="33"/>
      <c r="M1865" s="31"/>
      <c r="N1865" s="31"/>
      <c r="O1865" s="16" t="s">
        <v>3892</v>
      </c>
      <c r="P1865" s="16"/>
      <c r="Q1865" s="16"/>
      <c r="R1865" s="33"/>
      <c r="S1865" s="34"/>
      <c r="T1865" s="34"/>
      <c r="U1865" s="34"/>
      <c r="V1865" s="34"/>
      <c r="W1865" s="34"/>
      <c r="X1865" s="33" t="s">
        <v>3443</v>
      </c>
      <c r="Y1865" s="35" t="str">
        <f>IF(Tabela2[[#This Row],[SIGLA]]="","",VLOOKUP(Tabela2[[#This Row],[SIGLA]],Tabela1[[#All],[Sigla Arte]:[Crédito]],2,0))</f>
        <v>VINÍCIUS COSTA/ARQUIVO DA EDITORA</v>
      </c>
      <c r="Z1865" s="31"/>
      <c r="AA1865" s="31" t="str">
        <f>Tabela2[[#This Row],[ILUSTRADOR CRIAÇÃO]]</f>
        <v>VINÍCIUS COSTA/ARQUIVO DA EDITORA</v>
      </c>
      <c r="AB1865" s="33"/>
      <c r="AC1865" s="16"/>
      <c r="AE1865" s="35" t="str">
        <f t="shared" si="30"/>
        <v>EF1 E002 Mat</v>
      </c>
    </row>
    <row r="1866" spans="1:31" ht="30" x14ac:dyDescent="0.25">
      <c r="A1866" s="31" t="s">
        <v>3893</v>
      </c>
      <c r="B1866" s="16" t="s">
        <v>32</v>
      </c>
      <c r="C1866" s="16" t="s">
        <v>164</v>
      </c>
      <c r="D1866" s="33" t="s">
        <v>34</v>
      </c>
      <c r="E1866" s="33">
        <v>127</v>
      </c>
      <c r="F1866" s="33">
        <v>5</v>
      </c>
      <c r="G1866" s="33">
        <v>6</v>
      </c>
      <c r="H1866" s="33"/>
      <c r="I1866" s="31" t="s">
        <v>35</v>
      </c>
      <c r="J1866" s="31"/>
      <c r="K1866" s="33"/>
      <c r="L1866" s="33"/>
      <c r="M1866" s="31"/>
      <c r="N1866" s="31"/>
      <c r="O1866" s="16" t="s">
        <v>3894</v>
      </c>
      <c r="P1866" s="16"/>
      <c r="Q1866" s="16"/>
      <c r="R1866" s="33">
        <v>158</v>
      </c>
      <c r="S1866" s="34">
        <v>45915</v>
      </c>
      <c r="T1866" s="34">
        <v>45915</v>
      </c>
      <c r="U1866" s="34"/>
      <c r="V1866" s="34"/>
      <c r="W1866" s="34">
        <v>45915</v>
      </c>
      <c r="X1866" s="33" t="s">
        <v>3823</v>
      </c>
      <c r="Y1866" s="35" t="str">
        <f>IF(Tabela2[[#This Row],[SIGLA]]="","",VLOOKUP(Tabela2[[#This Row],[SIGLA]],Tabela1[[#All],[Sigla Arte]:[Crédito]],2,0))</f>
        <v>RONALDO LUCENA/ARQUIVO DA EDITORA</v>
      </c>
      <c r="Z1866" s="31" t="s">
        <v>352</v>
      </c>
      <c r="AA1866" s="31" t="str">
        <f>Tabela2[[#This Row],[ILUSTRADOR CRIAÇÃO]]</f>
        <v>RONALDO LUCENA/ARQUIVO DA EDITORA</v>
      </c>
      <c r="AB1866" s="33">
        <v>14</v>
      </c>
      <c r="AC1866" s="16" t="s">
        <v>39</v>
      </c>
      <c r="AD1866" s="16" t="s">
        <v>40</v>
      </c>
      <c r="AE1866" s="35" t="str">
        <f t="shared" si="30"/>
        <v>EF1 E002 Mat</v>
      </c>
    </row>
    <row r="1867" spans="1:31" ht="30" x14ac:dyDescent="0.25">
      <c r="A1867" s="31" t="s">
        <v>3895</v>
      </c>
      <c r="B1867" s="16" t="s">
        <v>32</v>
      </c>
      <c r="C1867" s="16" t="s">
        <v>164</v>
      </c>
      <c r="D1867" s="33" t="s">
        <v>34</v>
      </c>
      <c r="E1867" s="33">
        <v>127</v>
      </c>
      <c r="F1867" s="33">
        <v>5</v>
      </c>
      <c r="G1867" s="33">
        <v>6</v>
      </c>
      <c r="H1867" s="33"/>
      <c r="I1867" s="31" t="s">
        <v>35</v>
      </c>
      <c r="J1867" s="31"/>
      <c r="K1867" s="33"/>
      <c r="L1867" s="33"/>
      <c r="M1867" s="31"/>
      <c r="N1867" s="31"/>
      <c r="O1867" s="16" t="s">
        <v>3896</v>
      </c>
      <c r="P1867" s="16"/>
      <c r="Q1867" s="16"/>
      <c r="R1867" s="33">
        <v>158</v>
      </c>
      <c r="S1867" s="34">
        <v>45915</v>
      </c>
      <c r="T1867" s="34">
        <v>45915</v>
      </c>
      <c r="U1867" s="34"/>
      <c r="V1867" s="34"/>
      <c r="W1867" s="34">
        <v>45915</v>
      </c>
      <c r="X1867" s="33" t="s">
        <v>3823</v>
      </c>
      <c r="Y1867" s="35" t="str">
        <f>IF(Tabela2[[#This Row],[SIGLA]]="","",VLOOKUP(Tabela2[[#This Row],[SIGLA]],Tabela1[[#All],[Sigla Arte]:[Crédito]],2,0))</f>
        <v>RONALDO LUCENA/ARQUIVO DA EDITORA</v>
      </c>
      <c r="Z1867" s="31" t="s">
        <v>352</v>
      </c>
      <c r="AA1867" s="31" t="str">
        <f>Tabela2[[#This Row],[ILUSTRADOR CRIAÇÃO]]</f>
        <v>RONALDO LUCENA/ARQUIVO DA EDITORA</v>
      </c>
      <c r="AB1867" s="33">
        <v>14</v>
      </c>
      <c r="AC1867" s="16" t="s">
        <v>39</v>
      </c>
      <c r="AD1867" s="16" t="s">
        <v>40</v>
      </c>
      <c r="AE1867" s="35" t="str">
        <f t="shared" si="30"/>
        <v>EF1 E002 Mat</v>
      </c>
    </row>
    <row r="1868" spans="1:31" ht="45" x14ac:dyDescent="0.25">
      <c r="A1868" s="31" t="s">
        <v>3897</v>
      </c>
      <c r="B1868" s="16" t="s">
        <v>401</v>
      </c>
      <c r="C1868" s="16" t="s">
        <v>33</v>
      </c>
      <c r="D1868" s="33" t="s">
        <v>34</v>
      </c>
      <c r="E1868" s="33">
        <v>132</v>
      </c>
      <c r="F1868" s="33">
        <v>5</v>
      </c>
      <c r="G1868" s="33">
        <v>6</v>
      </c>
      <c r="H1868" s="33"/>
      <c r="I1868" s="31" t="s">
        <v>46</v>
      </c>
      <c r="J1868" s="31"/>
      <c r="K1868" s="33"/>
      <c r="L1868" s="33"/>
      <c r="M1868" s="31"/>
      <c r="N1868" s="31"/>
      <c r="O1868" s="16" t="s">
        <v>3898</v>
      </c>
      <c r="P1868" s="16"/>
      <c r="Q1868" s="16"/>
      <c r="R1868" s="33"/>
      <c r="S1868" s="34"/>
      <c r="T1868" s="34"/>
      <c r="U1868" s="34"/>
      <c r="V1868" s="34"/>
      <c r="W1868" s="34"/>
      <c r="X1868" s="33" t="s">
        <v>1971</v>
      </c>
      <c r="Y1868" s="35" t="str">
        <f>IF(Tabela2[[#This Row],[SIGLA]]="","",VLOOKUP(Tabela2[[#This Row],[SIGLA]],Tabela1[[#All],[Sigla Arte]:[Crédito]],2,0))</f>
        <v>PETRA MENDES/ARQUIVO DA EDITORA</v>
      </c>
      <c r="Z1868" s="31"/>
      <c r="AA1868" s="31" t="str">
        <f>Tabela2[[#This Row],[ILUSTRADOR CRIAÇÃO]]</f>
        <v>PETRA MENDES/ARQUIVO DA EDITORA</v>
      </c>
      <c r="AB1868" s="33"/>
      <c r="AC1868" s="16"/>
      <c r="AE1868" s="35" t="str">
        <f t="shared" si="30"/>
        <v>EF1 E002 Mat</v>
      </c>
    </row>
    <row r="1869" spans="1:31" ht="45" x14ac:dyDescent="0.25">
      <c r="A1869" s="31" t="s">
        <v>3899</v>
      </c>
      <c r="B1869" s="16" t="s">
        <v>32</v>
      </c>
      <c r="C1869" s="16" t="s">
        <v>33</v>
      </c>
      <c r="D1869" s="33" t="s">
        <v>34</v>
      </c>
      <c r="E1869" s="33">
        <v>129</v>
      </c>
      <c r="F1869" s="33">
        <v>5</v>
      </c>
      <c r="G1869" s="33">
        <v>6</v>
      </c>
      <c r="H1869" s="33"/>
      <c r="I1869" s="31" t="s">
        <v>46</v>
      </c>
      <c r="J1869" s="31"/>
      <c r="K1869" s="33"/>
      <c r="L1869" s="33"/>
      <c r="M1869" s="31"/>
      <c r="N1869" s="31"/>
      <c r="O1869" s="16" t="s">
        <v>3900</v>
      </c>
      <c r="P1869" s="16"/>
      <c r="Q1869" s="16"/>
      <c r="R1869" s="33"/>
      <c r="S1869" s="34"/>
      <c r="T1869" s="34"/>
      <c r="U1869" s="34"/>
      <c r="V1869" s="34"/>
      <c r="W1869" s="34"/>
      <c r="X1869" s="33" t="s">
        <v>48</v>
      </c>
      <c r="Y1869" s="35" t="str">
        <f>IF(Tabela2[[#This Row],[SIGLA]]="","",VLOOKUP(Tabela2[[#This Row],[SIGLA]],Tabela1[[#All],[Sigla Arte]:[Crédito]],2,0))</f>
        <v>SERGIO LIMA/ARQUIVO DA EDITORA</v>
      </c>
      <c r="Z1869" s="31"/>
      <c r="AA1869" s="31" t="s">
        <v>3901</v>
      </c>
      <c r="AB1869" s="33"/>
      <c r="AC1869" s="16"/>
      <c r="AE1869" s="35" t="str">
        <f t="shared" si="30"/>
        <v>EF1 E002 Mat</v>
      </c>
    </row>
    <row r="1870" spans="1:31" ht="30" x14ac:dyDescent="0.25">
      <c r="A1870" s="31" t="s">
        <v>3902</v>
      </c>
      <c r="B1870" s="16" t="s">
        <v>32</v>
      </c>
      <c r="C1870" s="16" t="s">
        <v>164</v>
      </c>
      <c r="D1870" s="33" t="s">
        <v>34</v>
      </c>
      <c r="E1870" s="33">
        <v>138</v>
      </c>
      <c r="F1870" s="33">
        <v>5</v>
      </c>
      <c r="G1870" s="33">
        <v>7</v>
      </c>
      <c r="H1870" s="33"/>
      <c r="I1870" s="31" t="s">
        <v>46</v>
      </c>
      <c r="J1870" s="31"/>
      <c r="K1870" s="33"/>
      <c r="L1870" s="33"/>
      <c r="M1870" s="31"/>
      <c r="N1870" s="31"/>
      <c r="O1870" s="16" t="s">
        <v>3903</v>
      </c>
      <c r="P1870" s="16"/>
      <c r="Q1870" s="16"/>
      <c r="R1870" s="33"/>
      <c r="S1870" s="34"/>
      <c r="T1870" s="34"/>
      <c r="U1870" s="34"/>
      <c r="V1870" s="34"/>
      <c r="W1870" s="34"/>
      <c r="X1870" s="33" t="s">
        <v>48</v>
      </c>
      <c r="Y1870" s="35" t="str">
        <f>IF(Tabela2[[#This Row],[SIGLA]]="","",VLOOKUP(Tabela2[[#This Row],[SIGLA]],Tabela1[[#All],[Sigla Arte]:[Crédito]],2,0))</f>
        <v>SERGIO LIMA/ARQUIVO DA EDITORA</v>
      </c>
      <c r="Z1870" s="31"/>
      <c r="AA1870" s="31" t="str">
        <f>Tabela2[[#This Row],[ILUSTRADOR CRIAÇÃO]]</f>
        <v>SERGIO LIMA/ARQUIVO DA EDITORA</v>
      </c>
      <c r="AB1870" s="33"/>
      <c r="AC1870" s="16"/>
      <c r="AE1870" s="35" t="str">
        <f t="shared" si="30"/>
        <v>EF1 E002 Mat</v>
      </c>
    </row>
    <row r="1871" spans="1:31" ht="30" x14ac:dyDescent="0.25">
      <c r="A1871" s="31" t="s">
        <v>3904</v>
      </c>
      <c r="B1871" s="16" t="s">
        <v>32</v>
      </c>
      <c r="C1871" s="16" t="s">
        <v>164</v>
      </c>
      <c r="D1871" s="33" t="s">
        <v>34</v>
      </c>
      <c r="E1871" s="33">
        <v>138</v>
      </c>
      <c r="F1871" s="33">
        <v>5</v>
      </c>
      <c r="G1871" s="33">
        <v>7</v>
      </c>
      <c r="H1871" s="33"/>
      <c r="I1871" s="31" t="s">
        <v>46</v>
      </c>
      <c r="J1871" s="31"/>
      <c r="K1871" s="33"/>
      <c r="L1871" s="33"/>
      <c r="M1871" s="31"/>
      <c r="N1871" s="31"/>
      <c r="O1871" s="16" t="s">
        <v>3905</v>
      </c>
      <c r="P1871" s="16"/>
      <c r="Q1871" s="16"/>
      <c r="R1871" s="33"/>
      <c r="S1871" s="34"/>
      <c r="T1871" s="34"/>
      <c r="U1871" s="34"/>
      <c r="V1871" s="34"/>
      <c r="W1871" s="34"/>
      <c r="X1871" s="33" t="s">
        <v>48</v>
      </c>
      <c r="Y1871" s="35" t="str">
        <f>IF(Tabela2[[#This Row],[SIGLA]]="","",VLOOKUP(Tabela2[[#This Row],[SIGLA]],Tabela1[[#All],[Sigla Arte]:[Crédito]],2,0))</f>
        <v>SERGIO LIMA/ARQUIVO DA EDITORA</v>
      </c>
      <c r="Z1871" s="31"/>
      <c r="AA1871" s="31" t="str">
        <f>Tabela2[[#This Row],[ILUSTRADOR CRIAÇÃO]]</f>
        <v>SERGIO LIMA/ARQUIVO DA EDITORA</v>
      </c>
      <c r="AB1871" s="33"/>
      <c r="AC1871" s="16"/>
      <c r="AE1871" s="35" t="str">
        <f t="shared" si="30"/>
        <v>EF1 E002 Mat</v>
      </c>
    </row>
    <row r="1872" spans="1:31" ht="45" x14ac:dyDescent="0.25">
      <c r="A1872" s="31" t="s">
        <v>3906</v>
      </c>
      <c r="B1872" s="16" t="s">
        <v>32</v>
      </c>
      <c r="C1872" s="16" t="s">
        <v>164</v>
      </c>
      <c r="D1872" s="33" t="s">
        <v>34</v>
      </c>
      <c r="E1872" s="33">
        <v>138</v>
      </c>
      <c r="F1872" s="33">
        <v>5</v>
      </c>
      <c r="G1872" s="33">
        <v>7</v>
      </c>
      <c r="H1872" s="33"/>
      <c r="I1872" s="31" t="s">
        <v>46</v>
      </c>
      <c r="J1872" s="31"/>
      <c r="K1872" s="33"/>
      <c r="L1872" s="33"/>
      <c r="M1872" s="31"/>
      <c r="N1872" s="31"/>
      <c r="O1872" s="16" t="s">
        <v>3907</v>
      </c>
      <c r="P1872" s="16"/>
      <c r="Q1872" s="16"/>
      <c r="R1872" s="33"/>
      <c r="S1872" s="34"/>
      <c r="T1872" s="34"/>
      <c r="U1872" s="34"/>
      <c r="V1872" s="34"/>
      <c r="W1872" s="34"/>
      <c r="X1872" s="33" t="s">
        <v>3823</v>
      </c>
      <c r="Y1872" s="35" t="str">
        <f>IF(Tabela2[[#This Row],[SIGLA]]="","",VLOOKUP(Tabela2[[#This Row],[SIGLA]],Tabela1[[#All],[Sigla Arte]:[Crédito]],2,0))</f>
        <v>RONALDO LUCENA/ARQUIVO DA EDITORA</v>
      </c>
      <c r="Z1872" s="31"/>
      <c r="AA1872" s="31" t="str">
        <f>Tabela2[[#This Row],[ILUSTRADOR CRIAÇÃO]]</f>
        <v>RONALDO LUCENA/ARQUIVO DA EDITORA</v>
      </c>
      <c r="AB1872" s="33"/>
      <c r="AC1872" s="16"/>
      <c r="AE1872" s="35" t="str">
        <f t="shared" si="30"/>
        <v>EF1 E002 Mat</v>
      </c>
    </row>
    <row r="1873" spans="1:31" ht="45" x14ac:dyDescent="0.25">
      <c r="A1873" s="31" t="s">
        <v>3908</v>
      </c>
      <c r="B1873" s="16" t="s">
        <v>32</v>
      </c>
      <c r="C1873" s="16" t="s">
        <v>164</v>
      </c>
      <c r="D1873" s="33" t="s">
        <v>34</v>
      </c>
      <c r="E1873" s="33">
        <v>138</v>
      </c>
      <c r="F1873" s="33">
        <v>5</v>
      </c>
      <c r="G1873" s="33">
        <v>7</v>
      </c>
      <c r="H1873" s="33"/>
      <c r="I1873" s="31" t="s">
        <v>46</v>
      </c>
      <c r="J1873" s="31"/>
      <c r="K1873" s="33"/>
      <c r="L1873" s="33"/>
      <c r="M1873" s="31"/>
      <c r="N1873" s="31"/>
      <c r="O1873" s="16" t="s">
        <v>3909</v>
      </c>
      <c r="P1873" s="16"/>
      <c r="Q1873" s="16"/>
      <c r="R1873" s="33"/>
      <c r="S1873" s="34"/>
      <c r="T1873" s="34"/>
      <c r="U1873" s="34"/>
      <c r="V1873" s="34"/>
      <c r="W1873" s="34"/>
      <c r="X1873" s="33" t="s">
        <v>3823</v>
      </c>
      <c r="Y1873" s="35" t="str">
        <f>IF(Tabela2[[#This Row],[SIGLA]]="","",VLOOKUP(Tabela2[[#This Row],[SIGLA]],Tabela1[[#All],[Sigla Arte]:[Crédito]],2,0))</f>
        <v>RONALDO LUCENA/ARQUIVO DA EDITORA</v>
      </c>
      <c r="Z1873" s="31"/>
      <c r="AA1873" s="31" t="str">
        <f>Tabela2[[#This Row],[ILUSTRADOR CRIAÇÃO]]</f>
        <v>RONALDO LUCENA/ARQUIVO DA EDITORA</v>
      </c>
      <c r="AB1873" s="33"/>
      <c r="AC1873" s="16"/>
      <c r="AE1873" s="35" t="str">
        <f t="shared" si="30"/>
        <v>EF1 E002 Mat</v>
      </c>
    </row>
    <row r="1874" spans="1:31" ht="30" x14ac:dyDescent="0.25">
      <c r="A1874" s="31" t="s">
        <v>3910</v>
      </c>
      <c r="B1874" s="16" t="s">
        <v>32</v>
      </c>
      <c r="C1874" s="16" t="s">
        <v>164</v>
      </c>
      <c r="D1874" s="33" t="s">
        <v>34</v>
      </c>
      <c r="E1874" s="33">
        <v>138</v>
      </c>
      <c r="F1874" s="33">
        <v>5</v>
      </c>
      <c r="G1874" s="33">
        <v>7</v>
      </c>
      <c r="H1874" s="33"/>
      <c r="I1874" s="31" t="s">
        <v>46</v>
      </c>
      <c r="J1874" s="31"/>
      <c r="K1874" s="33"/>
      <c r="L1874" s="33"/>
      <c r="M1874" s="31"/>
      <c r="N1874" s="31"/>
      <c r="O1874" s="16" t="s">
        <v>3911</v>
      </c>
      <c r="P1874" s="16"/>
      <c r="Q1874" s="16"/>
      <c r="R1874" s="33"/>
      <c r="S1874" s="34"/>
      <c r="T1874" s="34"/>
      <c r="U1874" s="34"/>
      <c r="V1874" s="34"/>
      <c r="W1874" s="34"/>
      <c r="X1874" s="33" t="s">
        <v>3443</v>
      </c>
      <c r="Y1874" s="35" t="str">
        <f>IF(Tabela2[[#This Row],[SIGLA]]="","",VLOOKUP(Tabela2[[#This Row],[SIGLA]],Tabela1[[#All],[Sigla Arte]:[Crédito]],2,0))</f>
        <v>VINÍCIUS COSTA/ARQUIVO DA EDITORA</v>
      </c>
      <c r="Z1874" s="31"/>
      <c r="AA1874" s="31" t="str">
        <f>Tabela2[[#This Row],[ILUSTRADOR CRIAÇÃO]]</f>
        <v>VINÍCIUS COSTA/ARQUIVO DA EDITORA</v>
      </c>
      <c r="AB1874" s="33"/>
      <c r="AC1874" s="16"/>
      <c r="AE1874" s="35" t="str">
        <f t="shared" si="30"/>
        <v>EF1 E002 Mat</v>
      </c>
    </row>
    <row r="1875" spans="1:31" ht="45" x14ac:dyDescent="0.25">
      <c r="A1875" s="31" t="s">
        <v>3912</v>
      </c>
      <c r="B1875" s="16" t="s">
        <v>32</v>
      </c>
      <c r="C1875" s="16" t="s">
        <v>164</v>
      </c>
      <c r="D1875" s="33" t="s">
        <v>34</v>
      </c>
      <c r="E1875" s="33">
        <v>138</v>
      </c>
      <c r="F1875" s="33">
        <v>5</v>
      </c>
      <c r="G1875" s="33">
        <v>7</v>
      </c>
      <c r="H1875" s="33"/>
      <c r="I1875" s="31" t="s">
        <v>46</v>
      </c>
      <c r="J1875" s="31"/>
      <c r="K1875" s="33"/>
      <c r="L1875" s="33"/>
      <c r="M1875" s="31"/>
      <c r="N1875" s="31"/>
      <c r="O1875" s="16" t="s">
        <v>3913</v>
      </c>
      <c r="P1875" s="16"/>
      <c r="Q1875" s="16"/>
      <c r="R1875" s="33"/>
      <c r="S1875" s="34"/>
      <c r="T1875" s="34"/>
      <c r="U1875" s="34"/>
      <c r="V1875" s="34"/>
      <c r="W1875" s="34"/>
      <c r="X1875" s="33" t="s">
        <v>3443</v>
      </c>
      <c r="Y1875" s="35" t="str">
        <f>IF(Tabela2[[#This Row],[SIGLA]]="","",VLOOKUP(Tabela2[[#This Row],[SIGLA]],Tabela1[[#All],[Sigla Arte]:[Crédito]],2,0))</f>
        <v>VINÍCIUS COSTA/ARQUIVO DA EDITORA</v>
      </c>
      <c r="Z1875" s="31"/>
      <c r="AA1875" s="31" t="str">
        <f>Tabela2[[#This Row],[ILUSTRADOR CRIAÇÃO]]</f>
        <v>VINÍCIUS COSTA/ARQUIVO DA EDITORA</v>
      </c>
      <c r="AB1875" s="33"/>
      <c r="AC1875" s="16"/>
      <c r="AE1875" s="35" t="str">
        <f t="shared" si="30"/>
        <v>EF1 E002 Mat</v>
      </c>
    </row>
    <row r="1876" spans="1:31" ht="45" x14ac:dyDescent="0.25">
      <c r="A1876" s="31" t="s">
        <v>3914</v>
      </c>
      <c r="B1876" s="16" t="s">
        <v>32</v>
      </c>
      <c r="C1876" s="16" t="s">
        <v>164</v>
      </c>
      <c r="D1876" s="33" t="s">
        <v>34</v>
      </c>
      <c r="E1876" s="33">
        <v>139</v>
      </c>
      <c r="F1876" s="33">
        <v>5</v>
      </c>
      <c r="G1876" s="33">
        <v>7</v>
      </c>
      <c r="H1876" s="33"/>
      <c r="I1876" s="31" t="s">
        <v>46</v>
      </c>
      <c r="J1876" s="31"/>
      <c r="K1876" s="33"/>
      <c r="L1876" s="33"/>
      <c r="M1876" s="31"/>
      <c r="N1876" s="31"/>
      <c r="O1876" s="16" t="s">
        <v>3915</v>
      </c>
      <c r="P1876" s="16"/>
      <c r="Q1876" s="16"/>
      <c r="R1876" s="33"/>
      <c r="S1876" s="34"/>
      <c r="T1876" s="34"/>
      <c r="U1876" s="34"/>
      <c r="V1876" s="34"/>
      <c r="W1876" s="34"/>
      <c r="X1876" s="33" t="s">
        <v>3443</v>
      </c>
      <c r="Y1876" s="35" t="str">
        <f>IF(Tabela2[[#This Row],[SIGLA]]="","",VLOOKUP(Tabela2[[#This Row],[SIGLA]],Tabela1[[#All],[Sigla Arte]:[Crédito]],2,0))</f>
        <v>VINÍCIUS COSTA/ARQUIVO DA EDITORA</v>
      </c>
      <c r="Z1876" s="31"/>
      <c r="AA1876" s="31" t="str">
        <f>Tabela2[[#This Row],[ILUSTRADOR CRIAÇÃO]]</f>
        <v>VINÍCIUS COSTA/ARQUIVO DA EDITORA</v>
      </c>
      <c r="AB1876" s="33"/>
      <c r="AC1876" s="16"/>
      <c r="AE1876" s="35" t="str">
        <f t="shared" si="30"/>
        <v>EF1 E002 Mat</v>
      </c>
    </row>
    <row r="1877" spans="1:31" ht="45" x14ac:dyDescent="0.25">
      <c r="A1877" s="31" t="s">
        <v>3916</v>
      </c>
      <c r="B1877" s="16" t="s">
        <v>32</v>
      </c>
      <c r="C1877" s="16" t="s">
        <v>164</v>
      </c>
      <c r="D1877" s="33" t="s">
        <v>34</v>
      </c>
      <c r="E1877" s="33">
        <v>139</v>
      </c>
      <c r="F1877" s="33">
        <v>5</v>
      </c>
      <c r="G1877" s="33">
        <v>7</v>
      </c>
      <c r="H1877" s="33"/>
      <c r="I1877" s="31" t="s">
        <v>46</v>
      </c>
      <c r="J1877" s="31"/>
      <c r="K1877" s="33"/>
      <c r="L1877" s="33"/>
      <c r="M1877" s="31"/>
      <c r="N1877" s="31"/>
      <c r="O1877" s="16" t="s">
        <v>3917</v>
      </c>
      <c r="P1877" s="16"/>
      <c r="Q1877" s="16"/>
      <c r="R1877" s="33"/>
      <c r="S1877" s="34"/>
      <c r="T1877" s="34"/>
      <c r="U1877" s="34"/>
      <c r="V1877" s="34"/>
      <c r="W1877" s="34"/>
      <c r="X1877" s="33" t="s">
        <v>3443</v>
      </c>
      <c r="Y1877" s="35" t="str">
        <f>IF(Tabela2[[#This Row],[SIGLA]]="","",VLOOKUP(Tabela2[[#This Row],[SIGLA]],Tabela1[[#All],[Sigla Arte]:[Crédito]],2,0))</f>
        <v>VINÍCIUS COSTA/ARQUIVO DA EDITORA</v>
      </c>
      <c r="Z1877" s="31"/>
      <c r="AA1877" s="31" t="str">
        <f>Tabela2[[#This Row],[ILUSTRADOR CRIAÇÃO]]</f>
        <v>VINÍCIUS COSTA/ARQUIVO DA EDITORA</v>
      </c>
      <c r="AB1877" s="33"/>
      <c r="AC1877" s="16"/>
      <c r="AE1877" s="35" t="str">
        <f t="shared" si="30"/>
        <v>EF1 E002 Mat</v>
      </c>
    </row>
    <row r="1878" spans="1:31" ht="45" x14ac:dyDescent="0.25">
      <c r="A1878" s="31" t="s">
        <v>3918</v>
      </c>
      <c r="B1878" s="16" t="s">
        <v>32</v>
      </c>
      <c r="C1878" s="16" t="s">
        <v>164</v>
      </c>
      <c r="D1878" s="33" t="s">
        <v>34</v>
      </c>
      <c r="E1878" s="33">
        <v>139</v>
      </c>
      <c r="F1878" s="33">
        <v>5</v>
      </c>
      <c r="G1878" s="33">
        <v>7</v>
      </c>
      <c r="H1878" s="33"/>
      <c r="I1878" s="31" t="s">
        <v>46</v>
      </c>
      <c r="J1878" s="31"/>
      <c r="K1878" s="33"/>
      <c r="L1878" s="33"/>
      <c r="M1878" s="31"/>
      <c r="N1878" s="31"/>
      <c r="O1878" s="16" t="s">
        <v>3919</v>
      </c>
      <c r="P1878" s="16"/>
      <c r="Q1878" s="16"/>
      <c r="R1878" s="33"/>
      <c r="S1878" s="34"/>
      <c r="T1878" s="34"/>
      <c r="U1878" s="34"/>
      <c r="V1878" s="34"/>
      <c r="W1878" s="34"/>
      <c r="X1878" s="33" t="s">
        <v>3443</v>
      </c>
      <c r="Y1878" s="35" t="str">
        <f>IF(Tabela2[[#This Row],[SIGLA]]="","",VLOOKUP(Tabela2[[#This Row],[SIGLA]],Tabela1[[#All],[Sigla Arte]:[Crédito]],2,0))</f>
        <v>VINÍCIUS COSTA/ARQUIVO DA EDITORA</v>
      </c>
      <c r="Z1878" s="31"/>
      <c r="AA1878" s="31" t="str">
        <f>Tabela2[[#This Row],[ILUSTRADOR CRIAÇÃO]]</f>
        <v>VINÍCIUS COSTA/ARQUIVO DA EDITORA</v>
      </c>
      <c r="AB1878" s="33"/>
      <c r="AC1878" s="16"/>
      <c r="AE1878" s="35" t="str">
        <f t="shared" si="30"/>
        <v>EF1 E002 Mat</v>
      </c>
    </row>
    <row r="1879" spans="1:31" ht="45" x14ac:dyDescent="0.25">
      <c r="A1879" s="31" t="s">
        <v>3920</v>
      </c>
      <c r="B1879" s="16" t="s">
        <v>32</v>
      </c>
      <c r="C1879" s="16" t="s">
        <v>164</v>
      </c>
      <c r="D1879" s="33" t="s">
        <v>34</v>
      </c>
      <c r="E1879" s="33">
        <v>139</v>
      </c>
      <c r="F1879" s="33">
        <v>5</v>
      </c>
      <c r="G1879" s="33">
        <v>7</v>
      </c>
      <c r="H1879" s="33"/>
      <c r="I1879" s="31" t="s">
        <v>46</v>
      </c>
      <c r="J1879" s="31"/>
      <c r="K1879" s="33"/>
      <c r="L1879" s="33"/>
      <c r="M1879" s="31"/>
      <c r="N1879" s="31"/>
      <c r="O1879" s="16" t="s">
        <v>3921</v>
      </c>
      <c r="P1879" s="16"/>
      <c r="Q1879" s="16"/>
      <c r="R1879" s="33"/>
      <c r="S1879" s="34"/>
      <c r="T1879" s="34"/>
      <c r="U1879" s="34"/>
      <c r="V1879" s="34"/>
      <c r="W1879" s="34"/>
      <c r="X1879" s="33" t="s">
        <v>3443</v>
      </c>
      <c r="Y1879" s="35" t="str">
        <f>IF(Tabela2[[#This Row],[SIGLA]]="","",VLOOKUP(Tabela2[[#This Row],[SIGLA]],Tabela1[[#All],[Sigla Arte]:[Crédito]],2,0))</f>
        <v>VINÍCIUS COSTA/ARQUIVO DA EDITORA</v>
      </c>
      <c r="Z1879" s="31"/>
      <c r="AA1879" s="31" t="str">
        <f>Tabela2[[#This Row],[ILUSTRADOR CRIAÇÃO]]</f>
        <v>VINÍCIUS COSTA/ARQUIVO DA EDITORA</v>
      </c>
      <c r="AB1879" s="33"/>
      <c r="AC1879" s="16"/>
      <c r="AE1879" s="35" t="str">
        <f t="shared" si="30"/>
        <v>EF1 E002 Mat</v>
      </c>
    </row>
    <row r="1880" spans="1:31" ht="60" x14ac:dyDescent="0.25">
      <c r="A1880" s="31" t="s">
        <v>3922</v>
      </c>
      <c r="B1880" s="16" t="s">
        <v>32</v>
      </c>
      <c r="C1880" s="16" t="s">
        <v>33</v>
      </c>
      <c r="D1880" s="33" t="s">
        <v>34</v>
      </c>
      <c r="E1880" s="33">
        <v>139</v>
      </c>
      <c r="F1880" s="33">
        <v>5</v>
      </c>
      <c r="G1880" s="33">
        <v>7</v>
      </c>
      <c r="H1880" s="33"/>
      <c r="I1880" s="31" t="s">
        <v>46</v>
      </c>
      <c r="J1880" s="31"/>
      <c r="K1880" s="33"/>
      <c r="L1880" s="33"/>
      <c r="M1880" s="31"/>
      <c r="N1880" s="31"/>
      <c r="O1880" s="16" t="s">
        <v>3923</v>
      </c>
      <c r="P1880" s="16"/>
      <c r="Q1880" s="16"/>
      <c r="R1880" s="33"/>
      <c r="S1880" s="34"/>
      <c r="T1880" s="34"/>
      <c r="U1880" s="34"/>
      <c r="V1880" s="34"/>
      <c r="W1880" s="34"/>
      <c r="X1880" s="33" t="s">
        <v>1126</v>
      </c>
      <c r="Y1880" s="35" t="str">
        <f>IF(Tabela2[[#This Row],[SIGLA]]="","",VLOOKUP(Tabela2[[#This Row],[SIGLA]],Tabela1[[#All],[Sigla Arte]:[Crédito]],2,0))</f>
        <v>GUSTAVO CONTI/ARQUIVO DA EDITORA</v>
      </c>
      <c r="Z1880" s="31"/>
      <c r="AA1880" s="31" t="str">
        <f>Tabela2[[#This Row],[ILUSTRADOR CRIAÇÃO]]</f>
        <v>GUSTAVO CONTI/ARQUIVO DA EDITORA</v>
      </c>
      <c r="AB1880" s="33"/>
      <c r="AC1880" s="16"/>
      <c r="AE1880" s="35" t="str">
        <f t="shared" si="30"/>
        <v>EF1 E002 Mat</v>
      </c>
    </row>
    <row r="1881" spans="1:31" ht="45" x14ac:dyDescent="0.25">
      <c r="A1881" s="31" t="s">
        <v>3924</v>
      </c>
      <c r="B1881" s="16" t="s">
        <v>97</v>
      </c>
      <c r="C1881" s="16" t="s">
        <v>1192</v>
      </c>
      <c r="D1881" s="33" t="s">
        <v>34</v>
      </c>
      <c r="E1881" s="33">
        <v>140</v>
      </c>
      <c r="F1881" s="33">
        <v>5</v>
      </c>
      <c r="G1881" s="33">
        <v>7</v>
      </c>
      <c r="H1881" s="33"/>
      <c r="I1881" s="31" t="s">
        <v>46</v>
      </c>
      <c r="J1881" s="31"/>
      <c r="K1881" s="33"/>
      <c r="L1881" s="33"/>
      <c r="M1881" s="31"/>
      <c r="N1881" s="31"/>
      <c r="O1881" s="16" t="s">
        <v>3925</v>
      </c>
      <c r="P1881" s="16"/>
      <c r="Q1881" s="16"/>
      <c r="R1881" s="33"/>
      <c r="S1881" s="34"/>
      <c r="T1881" s="34"/>
      <c r="U1881" s="34"/>
      <c r="V1881" s="34"/>
      <c r="W1881" s="34"/>
      <c r="X1881" s="33" t="s">
        <v>1201</v>
      </c>
      <c r="Y1881" s="35" t="str">
        <f>IF(Tabela2[[#This Row],[SIGLA]]="","",VLOOKUP(Tabela2[[#This Row],[SIGLA]],Tabela1[[#All],[Sigla Arte]:[Crédito]],2,0))</f>
        <v>RAFAELA PANISSA/ARQUIVO DA EDITORA</v>
      </c>
      <c r="Z1881" s="31"/>
      <c r="AA1881" s="31" t="s">
        <v>3926</v>
      </c>
      <c r="AB1881" s="33"/>
      <c r="AC1881" s="16"/>
      <c r="AE1881" s="35" t="str">
        <f t="shared" si="30"/>
        <v>EF1 E002 Mat</v>
      </c>
    </row>
    <row r="1882" spans="1:31" ht="45" x14ac:dyDescent="0.25">
      <c r="A1882" s="31" t="s">
        <v>3927</v>
      </c>
      <c r="B1882" s="16" t="s">
        <v>97</v>
      </c>
      <c r="C1882" s="16" t="s">
        <v>1192</v>
      </c>
      <c r="D1882" s="33" t="s">
        <v>34</v>
      </c>
      <c r="E1882" s="33">
        <v>140</v>
      </c>
      <c r="F1882" s="33">
        <v>5</v>
      </c>
      <c r="G1882" s="33">
        <v>7</v>
      </c>
      <c r="H1882" s="33"/>
      <c r="I1882" s="31" t="s">
        <v>46</v>
      </c>
      <c r="J1882" s="31"/>
      <c r="K1882" s="33"/>
      <c r="L1882" s="33"/>
      <c r="M1882" s="31"/>
      <c r="N1882" s="31"/>
      <c r="O1882" s="16" t="s">
        <v>3928</v>
      </c>
      <c r="P1882" s="16"/>
      <c r="Q1882" s="16"/>
      <c r="R1882" s="33"/>
      <c r="S1882" s="34"/>
      <c r="T1882" s="34"/>
      <c r="U1882" s="34"/>
      <c r="V1882" s="34"/>
      <c r="W1882" s="34"/>
      <c r="X1882" s="33" t="s">
        <v>1201</v>
      </c>
      <c r="Y1882" s="35" t="str">
        <f>IF(Tabela2[[#This Row],[SIGLA]]="","",VLOOKUP(Tabela2[[#This Row],[SIGLA]],Tabela1[[#All],[Sigla Arte]:[Crédito]],2,0))</f>
        <v>RAFAELA PANISSA/ARQUIVO DA EDITORA</v>
      </c>
      <c r="Z1882" s="31"/>
      <c r="AA1882" s="31" t="s">
        <v>3926</v>
      </c>
      <c r="AB1882" s="33"/>
      <c r="AC1882" s="16"/>
      <c r="AE1882" s="35" t="str">
        <f t="shared" si="30"/>
        <v>EF1 E002 Mat</v>
      </c>
    </row>
    <row r="1883" spans="1:31" ht="30" x14ac:dyDescent="0.25">
      <c r="A1883" s="31" t="s">
        <v>3929</v>
      </c>
      <c r="B1883" s="16" t="s">
        <v>32</v>
      </c>
      <c r="C1883" s="16" t="s">
        <v>164</v>
      </c>
      <c r="D1883" s="33" t="s">
        <v>34</v>
      </c>
      <c r="E1883" s="33">
        <v>141</v>
      </c>
      <c r="F1883" s="33">
        <v>5</v>
      </c>
      <c r="G1883" s="33">
        <v>7</v>
      </c>
      <c r="H1883" s="33"/>
      <c r="I1883" s="31" t="s">
        <v>46</v>
      </c>
      <c r="J1883" s="31"/>
      <c r="K1883" s="33"/>
      <c r="L1883" s="33"/>
      <c r="M1883" s="31"/>
      <c r="N1883" s="31"/>
      <c r="O1883" s="16" t="s">
        <v>3930</v>
      </c>
      <c r="P1883" s="16"/>
      <c r="Q1883" s="16"/>
      <c r="R1883" s="33"/>
      <c r="S1883" s="34"/>
      <c r="T1883" s="34"/>
      <c r="U1883" s="34"/>
      <c r="V1883" s="34"/>
      <c r="W1883" s="34"/>
      <c r="X1883" s="33" t="s">
        <v>3443</v>
      </c>
      <c r="Y1883" s="35" t="str">
        <f>IF(Tabela2[[#This Row],[SIGLA]]="","",VLOOKUP(Tabela2[[#This Row],[SIGLA]],Tabela1[[#All],[Sigla Arte]:[Crédito]],2,0))</f>
        <v>VINÍCIUS COSTA/ARQUIVO DA EDITORA</v>
      </c>
      <c r="Z1883" s="31"/>
      <c r="AA1883" s="31" t="str">
        <f>Tabela2[[#This Row],[ILUSTRADOR CRIAÇÃO]]</f>
        <v>VINÍCIUS COSTA/ARQUIVO DA EDITORA</v>
      </c>
      <c r="AB1883" s="33"/>
      <c r="AC1883" s="16"/>
      <c r="AE1883" s="35" t="str">
        <f t="shared" si="30"/>
        <v>EF1 E002 Mat</v>
      </c>
    </row>
    <row r="1884" spans="1:31" ht="30" x14ac:dyDescent="0.25">
      <c r="A1884" s="31" t="s">
        <v>3931</v>
      </c>
      <c r="B1884" s="16" t="s">
        <v>32</v>
      </c>
      <c r="C1884" s="16" t="s">
        <v>164</v>
      </c>
      <c r="D1884" s="33" t="s">
        <v>34</v>
      </c>
      <c r="E1884" s="33">
        <v>141</v>
      </c>
      <c r="F1884" s="33">
        <v>5</v>
      </c>
      <c r="G1884" s="33">
        <v>7</v>
      </c>
      <c r="H1884" s="33"/>
      <c r="I1884" s="31" t="s">
        <v>46</v>
      </c>
      <c r="J1884" s="31"/>
      <c r="K1884" s="33"/>
      <c r="L1884" s="33"/>
      <c r="M1884" s="31"/>
      <c r="N1884" s="31"/>
      <c r="O1884" s="16" t="s">
        <v>3932</v>
      </c>
      <c r="P1884" s="16"/>
      <c r="Q1884" s="16"/>
      <c r="R1884" s="33"/>
      <c r="S1884" s="34"/>
      <c r="T1884" s="34"/>
      <c r="U1884" s="34"/>
      <c r="V1884" s="34"/>
      <c r="W1884" s="34"/>
      <c r="X1884" s="33" t="s">
        <v>3443</v>
      </c>
      <c r="Y1884" s="35" t="str">
        <f>IF(Tabela2[[#This Row],[SIGLA]]="","",VLOOKUP(Tabela2[[#This Row],[SIGLA]],Tabela1[[#All],[Sigla Arte]:[Crédito]],2,0))</f>
        <v>VINÍCIUS COSTA/ARQUIVO DA EDITORA</v>
      </c>
      <c r="Z1884" s="31"/>
      <c r="AA1884" s="31" t="str">
        <f>Tabela2[[#This Row],[ILUSTRADOR CRIAÇÃO]]</f>
        <v>VINÍCIUS COSTA/ARQUIVO DA EDITORA</v>
      </c>
      <c r="AB1884" s="33"/>
      <c r="AC1884" s="16"/>
      <c r="AE1884" s="35" t="str">
        <f t="shared" si="30"/>
        <v>EF1 E002 Mat</v>
      </c>
    </row>
    <row r="1885" spans="1:31" ht="45" x14ac:dyDescent="0.25">
      <c r="A1885" s="31" t="s">
        <v>3933</v>
      </c>
      <c r="B1885" s="16" t="s">
        <v>32</v>
      </c>
      <c r="C1885" s="16" t="s">
        <v>164</v>
      </c>
      <c r="D1885" s="33" t="s">
        <v>34</v>
      </c>
      <c r="E1885" s="33">
        <v>141</v>
      </c>
      <c r="F1885" s="33">
        <v>5</v>
      </c>
      <c r="G1885" s="33">
        <v>7</v>
      </c>
      <c r="H1885" s="33"/>
      <c r="I1885" s="31" t="s">
        <v>46</v>
      </c>
      <c r="J1885" s="31"/>
      <c r="K1885" s="33"/>
      <c r="L1885" s="33"/>
      <c r="M1885" s="31"/>
      <c r="N1885" s="31"/>
      <c r="O1885" s="16" t="s">
        <v>3934</v>
      </c>
      <c r="P1885" s="16"/>
      <c r="Q1885" s="16"/>
      <c r="R1885" s="33"/>
      <c r="S1885" s="34"/>
      <c r="T1885" s="34"/>
      <c r="U1885" s="34"/>
      <c r="V1885" s="34"/>
      <c r="W1885" s="34"/>
      <c r="X1885" s="33" t="s">
        <v>3443</v>
      </c>
      <c r="Y1885" s="35" t="str">
        <f>IF(Tabela2[[#This Row],[SIGLA]]="","",VLOOKUP(Tabela2[[#This Row],[SIGLA]],Tabela1[[#All],[Sigla Arte]:[Crédito]],2,0))</f>
        <v>VINÍCIUS COSTA/ARQUIVO DA EDITORA</v>
      </c>
      <c r="Z1885" s="31"/>
      <c r="AA1885" s="31" t="str">
        <f>Tabela2[[#This Row],[ILUSTRADOR CRIAÇÃO]]</f>
        <v>VINÍCIUS COSTA/ARQUIVO DA EDITORA</v>
      </c>
      <c r="AB1885" s="33"/>
      <c r="AC1885" s="16"/>
      <c r="AE1885" s="35" t="str">
        <f t="shared" si="30"/>
        <v>EF1 E002 Mat</v>
      </c>
    </row>
    <row r="1886" spans="1:31" ht="45" x14ac:dyDescent="0.25">
      <c r="A1886" s="31" t="s">
        <v>3935</v>
      </c>
      <c r="B1886" s="16" t="s">
        <v>32</v>
      </c>
      <c r="C1886" s="16" t="s">
        <v>164</v>
      </c>
      <c r="D1886" s="33" t="s">
        <v>34</v>
      </c>
      <c r="E1886" s="33">
        <v>141</v>
      </c>
      <c r="F1886" s="33">
        <v>5</v>
      </c>
      <c r="G1886" s="33">
        <v>7</v>
      </c>
      <c r="H1886" s="33"/>
      <c r="I1886" s="31" t="s">
        <v>46</v>
      </c>
      <c r="J1886" s="31"/>
      <c r="K1886" s="33"/>
      <c r="L1886" s="33"/>
      <c r="M1886" s="31"/>
      <c r="N1886" s="31"/>
      <c r="O1886" s="16" t="s">
        <v>3936</v>
      </c>
      <c r="P1886" s="16"/>
      <c r="Q1886" s="16"/>
      <c r="R1886" s="33"/>
      <c r="S1886" s="34"/>
      <c r="T1886" s="34"/>
      <c r="U1886" s="34"/>
      <c r="V1886" s="34"/>
      <c r="W1886" s="34"/>
      <c r="X1886" s="33" t="s">
        <v>3443</v>
      </c>
      <c r="Y1886" s="35" t="str">
        <f>IF(Tabela2[[#This Row],[SIGLA]]="","",VLOOKUP(Tabela2[[#This Row],[SIGLA]],Tabela1[[#All],[Sigla Arte]:[Crédito]],2,0))</f>
        <v>VINÍCIUS COSTA/ARQUIVO DA EDITORA</v>
      </c>
      <c r="Z1886" s="31"/>
      <c r="AA1886" s="31" t="str">
        <f>Tabela2[[#This Row],[ILUSTRADOR CRIAÇÃO]]</f>
        <v>VINÍCIUS COSTA/ARQUIVO DA EDITORA</v>
      </c>
      <c r="AB1886" s="33"/>
      <c r="AC1886" s="16"/>
      <c r="AE1886" s="35" t="str">
        <f t="shared" si="30"/>
        <v>EF1 E002 Mat</v>
      </c>
    </row>
    <row r="1887" spans="1:31" ht="45" x14ac:dyDescent="0.25">
      <c r="A1887" s="31" t="s">
        <v>3937</v>
      </c>
      <c r="B1887" s="16" t="s">
        <v>32</v>
      </c>
      <c r="C1887" s="16" t="s">
        <v>164</v>
      </c>
      <c r="D1887" s="33" t="s">
        <v>34</v>
      </c>
      <c r="E1887" s="33">
        <v>141</v>
      </c>
      <c r="F1887" s="33">
        <v>5</v>
      </c>
      <c r="G1887" s="33">
        <v>7</v>
      </c>
      <c r="H1887" s="33"/>
      <c r="I1887" s="31" t="s">
        <v>46</v>
      </c>
      <c r="J1887" s="31"/>
      <c r="K1887" s="33"/>
      <c r="L1887" s="33"/>
      <c r="M1887" s="31"/>
      <c r="N1887" s="31"/>
      <c r="O1887" s="16" t="s">
        <v>3938</v>
      </c>
      <c r="P1887" s="16"/>
      <c r="Q1887" s="16"/>
      <c r="R1887" s="33"/>
      <c r="S1887" s="34"/>
      <c r="T1887" s="34"/>
      <c r="U1887" s="34"/>
      <c r="V1887" s="34"/>
      <c r="W1887" s="34"/>
      <c r="X1887" s="33" t="s">
        <v>3443</v>
      </c>
      <c r="Y1887" s="35" t="str">
        <f>IF(Tabela2[[#This Row],[SIGLA]]="","",VLOOKUP(Tabela2[[#This Row],[SIGLA]],Tabela1[[#All],[Sigla Arte]:[Crédito]],2,0))</f>
        <v>VINÍCIUS COSTA/ARQUIVO DA EDITORA</v>
      </c>
      <c r="Z1887" s="31"/>
      <c r="AA1887" s="31" t="str">
        <f>Tabela2[[#This Row],[ILUSTRADOR CRIAÇÃO]]</f>
        <v>VINÍCIUS COSTA/ARQUIVO DA EDITORA</v>
      </c>
      <c r="AB1887" s="33"/>
      <c r="AC1887" s="16"/>
      <c r="AE1887" s="35" t="str">
        <f t="shared" si="30"/>
        <v>EF1 E002 Mat</v>
      </c>
    </row>
    <row r="1888" spans="1:31" ht="30" x14ac:dyDescent="0.25">
      <c r="A1888" s="31" t="s">
        <v>3939</v>
      </c>
      <c r="B1888" s="16" t="s">
        <v>32</v>
      </c>
      <c r="C1888" s="16" t="s">
        <v>164</v>
      </c>
      <c r="D1888" s="33" t="s">
        <v>34</v>
      </c>
      <c r="E1888" s="33">
        <v>141</v>
      </c>
      <c r="F1888" s="33">
        <v>5</v>
      </c>
      <c r="G1888" s="33">
        <v>7</v>
      </c>
      <c r="H1888" s="33"/>
      <c r="I1888" s="31" t="s">
        <v>46</v>
      </c>
      <c r="J1888" s="31"/>
      <c r="K1888" s="33"/>
      <c r="L1888" s="33"/>
      <c r="M1888" s="31"/>
      <c r="N1888" s="31"/>
      <c r="O1888" s="16" t="s">
        <v>3940</v>
      </c>
      <c r="P1888" s="16"/>
      <c r="Q1888" s="16"/>
      <c r="R1888" s="33"/>
      <c r="S1888" s="34"/>
      <c r="T1888" s="34"/>
      <c r="U1888" s="34"/>
      <c r="V1888" s="34"/>
      <c r="W1888" s="34"/>
      <c r="X1888" s="33" t="s">
        <v>3443</v>
      </c>
      <c r="Y1888" s="35" t="str">
        <f>IF(Tabela2[[#This Row],[SIGLA]]="","",VLOOKUP(Tabela2[[#This Row],[SIGLA]],Tabela1[[#All],[Sigla Arte]:[Crédito]],2,0))</f>
        <v>VINÍCIUS COSTA/ARQUIVO DA EDITORA</v>
      </c>
      <c r="Z1888" s="31"/>
      <c r="AA1888" s="31" t="str">
        <f>Tabela2[[#This Row],[ILUSTRADOR CRIAÇÃO]]</f>
        <v>VINÍCIUS COSTA/ARQUIVO DA EDITORA</v>
      </c>
      <c r="AB1888" s="33"/>
      <c r="AC1888" s="16"/>
      <c r="AE1888" s="35" t="str">
        <f t="shared" si="30"/>
        <v>EF1 E002 Mat</v>
      </c>
    </row>
    <row r="1889" spans="1:31" ht="45" x14ac:dyDescent="0.25">
      <c r="A1889" s="31" t="s">
        <v>3941</v>
      </c>
      <c r="B1889" s="16" t="s">
        <v>32</v>
      </c>
      <c r="C1889" s="16" t="s">
        <v>164</v>
      </c>
      <c r="D1889" s="33" t="s">
        <v>34</v>
      </c>
      <c r="E1889" s="33">
        <v>141</v>
      </c>
      <c r="F1889" s="33">
        <v>5</v>
      </c>
      <c r="G1889" s="33">
        <v>7</v>
      </c>
      <c r="H1889" s="33"/>
      <c r="I1889" s="31" t="s">
        <v>46</v>
      </c>
      <c r="J1889" s="31"/>
      <c r="K1889" s="33"/>
      <c r="L1889" s="33"/>
      <c r="M1889" s="31"/>
      <c r="N1889" s="31"/>
      <c r="O1889" s="16" t="s">
        <v>3942</v>
      </c>
      <c r="P1889" s="16"/>
      <c r="Q1889" s="16"/>
      <c r="R1889" s="33"/>
      <c r="S1889" s="34"/>
      <c r="T1889" s="34"/>
      <c r="U1889" s="34"/>
      <c r="V1889" s="34"/>
      <c r="W1889" s="34"/>
      <c r="X1889" s="33" t="s">
        <v>3443</v>
      </c>
      <c r="Y1889" s="35" t="str">
        <f>IF(Tabela2[[#This Row],[SIGLA]]="","",VLOOKUP(Tabela2[[#This Row],[SIGLA]],Tabela1[[#All],[Sigla Arte]:[Crédito]],2,0))</f>
        <v>VINÍCIUS COSTA/ARQUIVO DA EDITORA</v>
      </c>
      <c r="Z1889" s="31"/>
      <c r="AA1889" s="31" t="str">
        <f>Tabela2[[#This Row],[ILUSTRADOR CRIAÇÃO]]</f>
        <v>VINÍCIUS COSTA/ARQUIVO DA EDITORA</v>
      </c>
      <c r="AB1889" s="33"/>
      <c r="AC1889" s="16"/>
      <c r="AE1889" s="35" t="str">
        <f t="shared" si="30"/>
        <v>EF1 E002 Mat</v>
      </c>
    </row>
    <row r="1890" spans="1:31" ht="45" x14ac:dyDescent="0.25">
      <c r="A1890" s="31" t="s">
        <v>3943</v>
      </c>
      <c r="B1890" s="16" t="s">
        <v>32</v>
      </c>
      <c r="C1890" s="16" t="s">
        <v>164</v>
      </c>
      <c r="D1890" s="33" t="s">
        <v>34</v>
      </c>
      <c r="E1890" s="33">
        <v>141</v>
      </c>
      <c r="F1890" s="33">
        <v>5</v>
      </c>
      <c r="G1890" s="33">
        <v>7</v>
      </c>
      <c r="H1890" s="33"/>
      <c r="I1890" s="31" t="s">
        <v>46</v>
      </c>
      <c r="J1890" s="31"/>
      <c r="K1890" s="33"/>
      <c r="L1890" s="33"/>
      <c r="M1890" s="31"/>
      <c r="N1890" s="31"/>
      <c r="O1890" s="16" t="s">
        <v>3944</v>
      </c>
      <c r="P1890" s="16"/>
      <c r="Q1890" s="16"/>
      <c r="R1890" s="33"/>
      <c r="S1890" s="34"/>
      <c r="T1890" s="34"/>
      <c r="U1890" s="34"/>
      <c r="V1890" s="34"/>
      <c r="W1890" s="34"/>
      <c r="X1890" s="33" t="s">
        <v>3443</v>
      </c>
      <c r="Y1890" s="35" t="str">
        <f>IF(Tabela2[[#This Row],[SIGLA]]="","",VLOOKUP(Tabela2[[#This Row],[SIGLA]],Tabela1[[#All],[Sigla Arte]:[Crédito]],2,0))</f>
        <v>VINÍCIUS COSTA/ARQUIVO DA EDITORA</v>
      </c>
      <c r="Z1890" s="31"/>
      <c r="AA1890" s="31" t="str">
        <f>Tabela2[[#This Row],[ILUSTRADOR CRIAÇÃO]]</f>
        <v>VINÍCIUS COSTA/ARQUIVO DA EDITORA</v>
      </c>
      <c r="AB1890" s="33"/>
      <c r="AC1890" s="16"/>
      <c r="AE1890" s="35" t="str">
        <f t="shared" si="30"/>
        <v>EF1 E002 Mat</v>
      </c>
    </row>
    <row r="1891" spans="1:31" ht="45" x14ac:dyDescent="0.25">
      <c r="A1891" s="31" t="s">
        <v>3945</v>
      </c>
      <c r="B1891" s="16" t="s">
        <v>32</v>
      </c>
      <c r="C1891" s="16" t="s">
        <v>164</v>
      </c>
      <c r="D1891" s="33" t="s">
        <v>34</v>
      </c>
      <c r="E1891" s="33">
        <v>141</v>
      </c>
      <c r="F1891" s="33">
        <v>5</v>
      </c>
      <c r="G1891" s="33">
        <v>7</v>
      </c>
      <c r="H1891" s="33"/>
      <c r="I1891" s="31" t="s">
        <v>46</v>
      </c>
      <c r="J1891" s="31"/>
      <c r="K1891" s="33"/>
      <c r="L1891" s="33"/>
      <c r="M1891" s="31"/>
      <c r="N1891" s="31"/>
      <c r="O1891" s="16" t="s">
        <v>3946</v>
      </c>
      <c r="P1891" s="16"/>
      <c r="Q1891" s="16"/>
      <c r="R1891" s="33"/>
      <c r="S1891" s="34"/>
      <c r="T1891" s="34"/>
      <c r="U1891" s="34"/>
      <c r="V1891" s="34"/>
      <c r="W1891" s="34"/>
      <c r="X1891" s="33" t="s">
        <v>3443</v>
      </c>
      <c r="Y1891" s="35" t="str">
        <f>IF(Tabela2[[#This Row],[SIGLA]]="","",VLOOKUP(Tabela2[[#This Row],[SIGLA]],Tabela1[[#All],[Sigla Arte]:[Crédito]],2,0))</f>
        <v>VINÍCIUS COSTA/ARQUIVO DA EDITORA</v>
      </c>
      <c r="Z1891" s="31"/>
      <c r="AA1891" s="31" t="str">
        <f>Tabela2[[#This Row],[ILUSTRADOR CRIAÇÃO]]</f>
        <v>VINÍCIUS COSTA/ARQUIVO DA EDITORA</v>
      </c>
      <c r="AB1891" s="33"/>
      <c r="AC1891" s="16"/>
      <c r="AE1891" s="35" t="str">
        <f t="shared" si="30"/>
        <v>EF1 E002 Mat</v>
      </c>
    </row>
    <row r="1892" spans="1:31" ht="45" x14ac:dyDescent="0.25">
      <c r="A1892" s="31" t="s">
        <v>3947</v>
      </c>
      <c r="B1892" s="16" t="s">
        <v>32</v>
      </c>
      <c r="C1892" s="16" t="s">
        <v>164</v>
      </c>
      <c r="D1892" s="33" t="s">
        <v>34</v>
      </c>
      <c r="E1892" s="33">
        <v>141</v>
      </c>
      <c r="F1892" s="33">
        <v>5</v>
      </c>
      <c r="G1892" s="33">
        <v>7</v>
      </c>
      <c r="H1892" s="33"/>
      <c r="I1892" s="31" t="s">
        <v>46</v>
      </c>
      <c r="J1892" s="31"/>
      <c r="K1892" s="33"/>
      <c r="L1892" s="33"/>
      <c r="M1892" s="31"/>
      <c r="N1892" s="31"/>
      <c r="O1892" s="16" t="s">
        <v>3948</v>
      </c>
      <c r="P1892" s="16"/>
      <c r="Q1892" s="16"/>
      <c r="R1892" s="33"/>
      <c r="S1892" s="34"/>
      <c r="T1892" s="34"/>
      <c r="U1892" s="34"/>
      <c r="V1892" s="34"/>
      <c r="W1892" s="34"/>
      <c r="X1892" s="33" t="s">
        <v>3443</v>
      </c>
      <c r="Y1892" s="35" t="str">
        <f>IF(Tabela2[[#This Row],[SIGLA]]="","",VLOOKUP(Tabela2[[#This Row],[SIGLA]],Tabela1[[#All],[Sigla Arte]:[Crédito]],2,0))</f>
        <v>VINÍCIUS COSTA/ARQUIVO DA EDITORA</v>
      </c>
      <c r="Z1892" s="31"/>
      <c r="AA1892" s="31" t="str">
        <f>Tabela2[[#This Row],[ILUSTRADOR CRIAÇÃO]]</f>
        <v>VINÍCIUS COSTA/ARQUIVO DA EDITORA</v>
      </c>
      <c r="AB1892" s="33"/>
      <c r="AC1892" s="16"/>
      <c r="AE1892" s="35" t="str">
        <f t="shared" si="30"/>
        <v>EF1 E002 Mat</v>
      </c>
    </row>
    <row r="1893" spans="1:31" ht="45" x14ac:dyDescent="0.25">
      <c r="A1893" s="31" t="s">
        <v>3949</v>
      </c>
      <c r="B1893" s="16" t="s">
        <v>32</v>
      </c>
      <c r="C1893" s="16" t="s">
        <v>164</v>
      </c>
      <c r="D1893" s="33" t="s">
        <v>34</v>
      </c>
      <c r="E1893" s="33">
        <v>141</v>
      </c>
      <c r="F1893" s="33">
        <v>5</v>
      </c>
      <c r="G1893" s="33">
        <v>7</v>
      </c>
      <c r="H1893" s="33"/>
      <c r="I1893" s="31" t="s">
        <v>46</v>
      </c>
      <c r="J1893" s="31"/>
      <c r="K1893" s="33"/>
      <c r="L1893" s="33"/>
      <c r="M1893" s="31"/>
      <c r="N1893" s="31"/>
      <c r="O1893" s="16" t="s">
        <v>3950</v>
      </c>
      <c r="P1893" s="16"/>
      <c r="Q1893" s="16"/>
      <c r="R1893" s="33"/>
      <c r="S1893" s="34"/>
      <c r="T1893" s="34"/>
      <c r="U1893" s="34"/>
      <c r="V1893" s="34"/>
      <c r="W1893" s="34"/>
      <c r="X1893" s="33" t="s">
        <v>3443</v>
      </c>
      <c r="Y1893" s="35" t="str">
        <f>IF(Tabela2[[#This Row],[SIGLA]]="","",VLOOKUP(Tabela2[[#This Row],[SIGLA]],Tabela1[[#All],[Sigla Arte]:[Crédito]],2,0))</f>
        <v>VINÍCIUS COSTA/ARQUIVO DA EDITORA</v>
      </c>
      <c r="Z1893" s="31"/>
      <c r="AA1893" s="31" t="str">
        <f>Tabela2[[#This Row],[ILUSTRADOR CRIAÇÃO]]</f>
        <v>VINÍCIUS COSTA/ARQUIVO DA EDITORA</v>
      </c>
      <c r="AB1893" s="33"/>
      <c r="AC1893" s="16"/>
      <c r="AE1893" s="35" t="str">
        <f t="shared" si="30"/>
        <v>EF1 E002 Mat</v>
      </c>
    </row>
    <row r="1894" spans="1:31" ht="45" x14ac:dyDescent="0.25">
      <c r="A1894" s="31" t="s">
        <v>3951</v>
      </c>
      <c r="B1894" s="16" t="s">
        <v>32</v>
      </c>
      <c r="C1894" s="16" t="s">
        <v>164</v>
      </c>
      <c r="D1894" s="33" t="s">
        <v>34</v>
      </c>
      <c r="E1894" s="33">
        <v>141</v>
      </c>
      <c r="F1894" s="33">
        <v>5</v>
      </c>
      <c r="G1894" s="33">
        <v>7</v>
      </c>
      <c r="H1894" s="33"/>
      <c r="I1894" s="31" t="s">
        <v>46</v>
      </c>
      <c r="J1894" s="31"/>
      <c r="K1894" s="33"/>
      <c r="L1894" s="33"/>
      <c r="M1894" s="31"/>
      <c r="N1894" s="31"/>
      <c r="O1894" s="16" t="s">
        <v>3952</v>
      </c>
      <c r="P1894" s="16"/>
      <c r="Q1894" s="16"/>
      <c r="R1894" s="33"/>
      <c r="S1894" s="34"/>
      <c r="T1894" s="34"/>
      <c r="U1894" s="34"/>
      <c r="V1894" s="34"/>
      <c r="W1894" s="34"/>
      <c r="X1894" s="33" t="s">
        <v>3443</v>
      </c>
      <c r="Y1894" s="35" t="str">
        <f>IF(Tabela2[[#This Row],[SIGLA]]="","",VLOOKUP(Tabela2[[#This Row],[SIGLA]],Tabela1[[#All],[Sigla Arte]:[Crédito]],2,0))</f>
        <v>VINÍCIUS COSTA/ARQUIVO DA EDITORA</v>
      </c>
      <c r="Z1894" s="31"/>
      <c r="AA1894" s="31" t="str">
        <f>Tabela2[[#This Row],[ILUSTRADOR CRIAÇÃO]]</f>
        <v>VINÍCIUS COSTA/ARQUIVO DA EDITORA</v>
      </c>
      <c r="AB1894" s="33"/>
      <c r="AC1894" s="16"/>
      <c r="AE1894" s="35" t="str">
        <f t="shared" si="30"/>
        <v>EF1 E002 Mat</v>
      </c>
    </row>
    <row r="1895" spans="1:31" ht="45" x14ac:dyDescent="0.25">
      <c r="A1895" s="31" t="s">
        <v>3953</v>
      </c>
      <c r="B1895" s="16" t="s">
        <v>32</v>
      </c>
      <c r="C1895" s="16" t="s">
        <v>164</v>
      </c>
      <c r="D1895" s="33" t="s">
        <v>34</v>
      </c>
      <c r="E1895" s="33">
        <v>141</v>
      </c>
      <c r="F1895" s="33">
        <v>5</v>
      </c>
      <c r="G1895" s="33">
        <v>7</v>
      </c>
      <c r="H1895" s="33"/>
      <c r="I1895" s="31" t="s">
        <v>46</v>
      </c>
      <c r="J1895" s="31"/>
      <c r="K1895" s="33"/>
      <c r="L1895" s="33"/>
      <c r="M1895" s="31"/>
      <c r="N1895" s="31"/>
      <c r="O1895" s="16" t="s">
        <v>3954</v>
      </c>
      <c r="P1895" s="16"/>
      <c r="Q1895" s="16"/>
      <c r="R1895" s="33"/>
      <c r="S1895" s="34"/>
      <c r="T1895" s="34"/>
      <c r="U1895" s="34"/>
      <c r="V1895" s="34"/>
      <c r="W1895" s="34"/>
      <c r="X1895" s="33" t="s">
        <v>3443</v>
      </c>
      <c r="Y1895" s="35" t="str">
        <f>IF(Tabela2[[#This Row],[SIGLA]]="","",VLOOKUP(Tabela2[[#This Row],[SIGLA]],Tabela1[[#All],[Sigla Arte]:[Crédito]],2,0))</f>
        <v>VINÍCIUS COSTA/ARQUIVO DA EDITORA</v>
      </c>
      <c r="Z1895" s="31"/>
      <c r="AA1895" s="31" t="str">
        <f>Tabela2[[#This Row],[ILUSTRADOR CRIAÇÃO]]</f>
        <v>VINÍCIUS COSTA/ARQUIVO DA EDITORA</v>
      </c>
      <c r="AB1895" s="33"/>
      <c r="AC1895" s="16"/>
      <c r="AE1895" s="35" t="str">
        <f t="shared" si="30"/>
        <v>EF1 E002 Mat</v>
      </c>
    </row>
    <row r="1896" spans="1:31" ht="45" x14ac:dyDescent="0.25">
      <c r="A1896" s="31" t="s">
        <v>3955</v>
      </c>
      <c r="B1896" s="16" t="s">
        <v>32</v>
      </c>
      <c r="C1896" s="16" t="s">
        <v>164</v>
      </c>
      <c r="D1896" s="33" t="s">
        <v>34</v>
      </c>
      <c r="E1896" s="33">
        <v>142</v>
      </c>
      <c r="F1896" s="33">
        <v>5</v>
      </c>
      <c r="G1896" s="33">
        <v>7</v>
      </c>
      <c r="H1896" s="33"/>
      <c r="I1896" s="31" t="s">
        <v>46</v>
      </c>
      <c r="J1896" s="31"/>
      <c r="K1896" s="33"/>
      <c r="L1896" s="33"/>
      <c r="M1896" s="31"/>
      <c r="N1896" s="31"/>
      <c r="O1896" s="16" t="s">
        <v>3956</v>
      </c>
      <c r="P1896" s="16"/>
      <c r="Q1896" s="16"/>
      <c r="R1896" s="33"/>
      <c r="S1896" s="34"/>
      <c r="T1896" s="34"/>
      <c r="U1896" s="34"/>
      <c r="V1896" s="34"/>
      <c r="W1896" s="34"/>
      <c r="X1896" s="33" t="s">
        <v>3823</v>
      </c>
      <c r="Y1896" s="35" t="str">
        <f>IF(Tabela2[[#This Row],[SIGLA]]="","",VLOOKUP(Tabela2[[#This Row],[SIGLA]],Tabela1[[#All],[Sigla Arte]:[Crédito]],2,0))</f>
        <v>RONALDO LUCENA/ARQUIVO DA EDITORA</v>
      </c>
      <c r="Z1896" s="31"/>
      <c r="AA1896" s="31" t="str">
        <f>Tabela2[[#This Row],[ILUSTRADOR CRIAÇÃO]]</f>
        <v>RONALDO LUCENA/ARQUIVO DA EDITORA</v>
      </c>
      <c r="AB1896" s="33"/>
      <c r="AC1896" s="16"/>
      <c r="AE1896" s="35" t="str">
        <f t="shared" si="30"/>
        <v>EF1 E002 Mat</v>
      </c>
    </row>
    <row r="1897" spans="1:31" ht="45" x14ac:dyDescent="0.25">
      <c r="A1897" s="31" t="s">
        <v>3957</v>
      </c>
      <c r="B1897" s="16" t="s">
        <v>32</v>
      </c>
      <c r="C1897" s="16" t="s">
        <v>164</v>
      </c>
      <c r="D1897" s="33" t="s">
        <v>34</v>
      </c>
      <c r="E1897" s="33">
        <v>142</v>
      </c>
      <c r="F1897" s="33">
        <v>5</v>
      </c>
      <c r="G1897" s="33">
        <v>7</v>
      </c>
      <c r="H1897" s="33"/>
      <c r="I1897" s="31" t="s">
        <v>46</v>
      </c>
      <c r="J1897" s="31"/>
      <c r="K1897" s="33"/>
      <c r="L1897" s="33"/>
      <c r="M1897" s="31"/>
      <c r="N1897" s="31"/>
      <c r="O1897" s="16" t="s">
        <v>3958</v>
      </c>
      <c r="P1897" s="16"/>
      <c r="Q1897" s="16"/>
      <c r="R1897" s="33"/>
      <c r="S1897" s="34"/>
      <c r="T1897" s="34"/>
      <c r="U1897" s="34"/>
      <c r="V1897" s="34"/>
      <c r="W1897" s="34"/>
      <c r="X1897" s="33" t="s">
        <v>3823</v>
      </c>
      <c r="Y1897" s="35" t="str">
        <f>IF(Tabela2[[#This Row],[SIGLA]]="","",VLOOKUP(Tabela2[[#This Row],[SIGLA]],Tabela1[[#All],[Sigla Arte]:[Crédito]],2,0))</f>
        <v>RONALDO LUCENA/ARQUIVO DA EDITORA</v>
      </c>
      <c r="Z1897" s="31"/>
      <c r="AA1897" s="31" t="str">
        <f>Tabela2[[#This Row],[ILUSTRADOR CRIAÇÃO]]</f>
        <v>RONALDO LUCENA/ARQUIVO DA EDITORA</v>
      </c>
      <c r="AB1897" s="33"/>
      <c r="AC1897" s="16"/>
      <c r="AE1897" s="35" t="str">
        <f t="shared" si="30"/>
        <v>EF1 E002 Mat</v>
      </c>
    </row>
    <row r="1898" spans="1:31" ht="45" x14ac:dyDescent="0.25">
      <c r="A1898" s="31" t="s">
        <v>3959</v>
      </c>
      <c r="B1898" s="16" t="s">
        <v>32</v>
      </c>
      <c r="C1898" s="16" t="s">
        <v>164</v>
      </c>
      <c r="D1898" s="33" t="s">
        <v>34</v>
      </c>
      <c r="E1898" s="33">
        <v>142</v>
      </c>
      <c r="F1898" s="33">
        <v>5</v>
      </c>
      <c r="G1898" s="33">
        <v>7</v>
      </c>
      <c r="H1898" s="33"/>
      <c r="I1898" s="31" t="s">
        <v>46</v>
      </c>
      <c r="J1898" s="31"/>
      <c r="K1898" s="33"/>
      <c r="L1898" s="33"/>
      <c r="M1898" s="31"/>
      <c r="N1898" s="31"/>
      <c r="O1898" s="16" t="s">
        <v>3960</v>
      </c>
      <c r="P1898" s="16"/>
      <c r="Q1898" s="16"/>
      <c r="R1898" s="33"/>
      <c r="S1898" s="34"/>
      <c r="T1898" s="34"/>
      <c r="U1898" s="34"/>
      <c r="V1898" s="34"/>
      <c r="W1898" s="34"/>
      <c r="X1898" s="33" t="s">
        <v>3823</v>
      </c>
      <c r="Y1898" s="35" t="str">
        <f>IF(Tabela2[[#This Row],[SIGLA]]="","",VLOOKUP(Tabela2[[#This Row],[SIGLA]],Tabela1[[#All],[Sigla Arte]:[Crédito]],2,0))</f>
        <v>RONALDO LUCENA/ARQUIVO DA EDITORA</v>
      </c>
      <c r="Z1898" s="31"/>
      <c r="AA1898" s="31" t="str">
        <f>Tabela2[[#This Row],[ILUSTRADOR CRIAÇÃO]]</f>
        <v>RONALDO LUCENA/ARQUIVO DA EDITORA</v>
      </c>
      <c r="AB1898" s="33"/>
      <c r="AC1898" s="16"/>
      <c r="AE1898" s="35" t="str">
        <f t="shared" si="30"/>
        <v>EF1 E002 Mat</v>
      </c>
    </row>
    <row r="1899" spans="1:31" ht="45" x14ac:dyDescent="0.25">
      <c r="A1899" s="31" t="s">
        <v>3961</v>
      </c>
      <c r="B1899" s="16" t="s">
        <v>32</v>
      </c>
      <c r="C1899" s="16" t="s">
        <v>164</v>
      </c>
      <c r="D1899" s="33" t="s">
        <v>34</v>
      </c>
      <c r="E1899" s="33">
        <v>142</v>
      </c>
      <c r="F1899" s="33">
        <v>5</v>
      </c>
      <c r="G1899" s="33">
        <v>7</v>
      </c>
      <c r="H1899" s="33"/>
      <c r="I1899" s="31" t="s">
        <v>46</v>
      </c>
      <c r="J1899" s="31"/>
      <c r="K1899" s="33"/>
      <c r="L1899" s="33"/>
      <c r="M1899" s="31"/>
      <c r="N1899" s="31"/>
      <c r="O1899" s="16" t="s">
        <v>3962</v>
      </c>
      <c r="P1899" s="16"/>
      <c r="Q1899" s="16"/>
      <c r="R1899" s="33"/>
      <c r="S1899" s="34"/>
      <c r="T1899" s="34"/>
      <c r="U1899" s="34"/>
      <c r="V1899" s="34"/>
      <c r="W1899" s="34"/>
      <c r="X1899" s="33" t="s">
        <v>3823</v>
      </c>
      <c r="Y1899" s="35" t="str">
        <f>IF(Tabela2[[#This Row],[SIGLA]]="","",VLOOKUP(Tabela2[[#This Row],[SIGLA]],Tabela1[[#All],[Sigla Arte]:[Crédito]],2,0))</f>
        <v>RONALDO LUCENA/ARQUIVO DA EDITORA</v>
      </c>
      <c r="Z1899" s="31"/>
      <c r="AA1899" s="31" t="str">
        <f>Tabela2[[#This Row],[ILUSTRADOR CRIAÇÃO]]</f>
        <v>RONALDO LUCENA/ARQUIVO DA EDITORA</v>
      </c>
      <c r="AB1899" s="33"/>
      <c r="AC1899" s="16"/>
      <c r="AE1899" s="35" t="str">
        <f t="shared" si="30"/>
        <v>EF1 E002 Mat</v>
      </c>
    </row>
    <row r="1900" spans="1:31" ht="45" x14ac:dyDescent="0.25">
      <c r="A1900" s="31" t="s">
        <v>3963</v>
      </c>
      <c r="B1900" s="16" t="s">
        <v>32</v>
      </c>
      <c r="C1900" s="16" t="s">
        <v>164</v>
      </c>
      <c r="D1900" s="33" t="s">
        <v>34</v>
      </c>
      <c r="E1900" s="33">
        <v>142</v>
      </c>
      <c r="F1900" s="33">
        <v>5</v>
      </c>
      <c r="G1900" s="33">
        <v>7</v>
      </c>
      <c r="H1900" s="33"/>
      <c r="I1900" s="31" t="s">
        <v>46</v>
      </c>
      <c r="J1900" s="31"/>
      <c r="K1900" s="33"/>
      <c r="L1900" s="33"/>
      <c r="M1900" s="31"/>
      <c r="N1900" s="31"/>
      <c r="O1900" s="16" t="s">
        <v>3964</v>
      </c>
      <c r="P1900" s="16"/>
      <c r="Q1900" s="16"/>
      <c r="R1900" s="33"/>
      <c r="S1900" s="34"/>
      <c r="T1900" s="34"/>
      <c r="U1900" s="34"/>
      <c r="V1900" s="34"/>
      <c r="W1900" s="34"/>
      <c r="X1900" s="33" t="s">
        <v>3823</v>
      </c>
      <c r="Y1900" s="35" t="str">
        <f>IF(Tabela2[[#This Row],[SIGLA]]="","",VLOOKUP(Tabela2[[#This Row],[SIGLA]],Tabela1[[#All],[Sigla Arte]:[Crédito]],2,0))</f>
        <v>RONALDO LUCENA/ARQUIVO DA EDITORA</v>
      </c>
      <c r="Z1900" s="31"/>
      <c r="AA1900" s="31" t="str">
        <f>Tabela2[[#This Row],[ILUSTRADOR CRIAÇÃO]]</f>
        <v>RONALDO LUCENA/ARQUIVO DA EDITORA</v>
      </c>
      <c r="AB1900" s="33"/>
      <c r="AC1900" s="16"/>
      <c r="AE1900" s="35" t="str">
        <f t="shared" si="30"/>
        <v>EF1 E002 Mat</v>
      </c>
    </row>
    <row r="1901" spans="1:31" ht="45" x14ac:dyDescent="0.25">
      <c r="A1901" s="31" t="s">
        <v>3965</v>
      </c>
      <c r="B1901" s="16" t="s">
        <v>32</v>
      </c>
      <c r="C1901" s="16" t="s">
        <v>164</v>
      </c>
      <c r="D1901" s="33" t="s">
        <v>34</v>
      </c>
      <c r="E1901" s="33">
        <v>142</v>
      </c>
      <c r="F1901" s="33">
        <v>5</v>
      </c>
      <c r="G1901" s="33">
        <v>7</v>
      </c>
      <c r="H1901" s="33"/>
      <c r="I1901" s="31" t="s">
        <v>46</v>
      </c>
      <c r="J1901" s="31"/>
      <c r="K1901" s="33"/>
      <c r="L1901" s="33"/>
      <c r="M1901" s="31"/>
      <c r="N1901" s="31"/>
      <c r="O1901" s="16" t="s">
        <v>3966</v>
      </c>
      <c r="P1901" s="16"/>
      <c r="Q1901" s="16"/>
      <c r="R1901" s="33"/>
      <c r="S1901" s="34"/>
      <c r="T1901" s="34"/>
      <c r="U1901" s="34"/>
      <c r="V1901" s="34"/>
      <c r="W1901" s="34"/>
      <c r="X1901" s="33" t="s">
        <v>3823</v>
      </c>
      <c r="Y1901" s="35" t="str">
        <f>IF(Tabela2[[#This Row],[SIGLA]]="","",VLOOKUP(Tabela2[[#This Row],[SIGLA]],Tabela1[[#All],[Sigla Arte]:[Crédito]],2,0))</f>
        <v>RONALDO LUCENA/ARQUIVO DA EDITORA</v>
      </c>
      <c r="Z1901" s="31"/>
      <c r="AA1901" s="31" t="str">
        <f>Tabela2[[#This Row],[ILUSTRADOR CRIAÇÃO]]</f>
        <v>RONALDO LUCENA/ARQUIVO DA EDITORA</v>
      </c>
      <c r="AB1901" s="33"/>
      <c r="AC1901" s="16"/>
      <c r="AE1901" s="35" t="str">
        <f t="shared" si="30"/>
        <v>EF1 E002 Mat</v>
      </c>
    </row>
    <row r="1902" spans="1:31" ht="45" x14ac:dyDescent="0.25">
      <c r="A1902" s="31" t="s">
        <v>3967</v>
      </c>
      <c r="B1902" s="16" t="s">
        <v>32</v>
      </c>
      <c r="C1902" s="16" t="s">
        <v>33</v>
      </c>
      <c r="D1902" s="33" t="s">
        <v>34</v>
      </c>
      <c r="E1902" s="33">
        <v>142</v>
      </c>
      <c r="F1902" s="33">
        <v>5</v>
      </c>
      <c r="G1902" s="33">
        <v>7</v>
      </c>
      <c r="H1902" s="33"/>
      <c r="I1902" s="31" t="s">
        <v>46</v>
      </c>
      <c r="J1902" s="31"/>
      <c r="K1902" s="33"/>
      <c r="L1902" s="33"/>
      <c r="M1902" s="31"/>
      <c r="N1902" s="31"/>
      <c r="O1902" s="16" t="s">
        <v>3968</v>
      </c>
      <c r="P1902" s="16"/>
      <c r="Q1902" s="16"/>
      <c r="R1902" s="33"/>
      <c r="S1902" s="34"/>
      <c r="T1902" s="34"/>
      <c r="U1902" s="34"/>
      <c r="V1902" s="34"/>
      <c r="W1902" s="34"/>
      <c r="X1902" s="33" t="s">
        <v>3443</v>
      </c>
      <c r="Y1902" s="35" t="str">
        <f>IF(Tabela2[[#This Row],[SIGLA]]="","",VLOOKUP(Tabela2[[#This Row],[SIGLA]],Tabela1[[#All],[Sigla Arte]:[Crédito]],2,0))</f>
        <v>VINÍCIUS COSTA/ARQUIVO DA EDITORA</v>
      </c>
      <c r="Z1902" s="31"/>
      <c r="AA1902" s="31" t="str">
        <f>Tabela2[[#This Row],[ILUSTRADOR CRIAÇÃO]]</f>
        <v>VINÍCIUS COSTA/ARQUIVO DA EDITORA</v>
      </c>
      <c r="AB1902" s="33"/>
      <c r="AC1902" s="16"/>
      <c r="AE1902" s="35" t="str">
        <f t="shared" si="30"/>
        <v>EF1 E002 Mat</v>
      </c>
    </row>
    <row r="1903" spans="1:31" ht="45" x14ac:dyDescent="0.25">
      <c r="A1903" s="31" t="s">
        <v>3969</v>
      </c>
      <c r="B1903" s="16" t="s">
        <v>32</v>
      </c>
      <c r="C1903" s="16" t="s">
        <v>33</v>
      </c>
      <c r="D1903" s="33" t="s">
        <v>34</v>
      </c>
      <c r="E1903" s="33">
        <v>142</v>
      </c>
      <c r="F1903" s="33">
        <v>5</v>
      </c>
      <c r="G1903" s="33">
        <v>7</v>
      </c>
      <c r="H1903" s="33"/>
      <c r="I1903" s="31" t="s">
        <v>46</v>
      </c>
      <c r="J1903" s="31"/>
      <c r="K1903" s="33"/>
      <c r="L1903" s="33"/>
      <c r="M1903" s="31"/>
      <c r="N1903" s="31"/>
      <c r="O1903" s="16" t="s">
        <v>3970</v>
      </c>
      <c r="P1903" s="16"/>
      <c r="Q1903" s="16"/>
      <c r="R1903" s="33"/>
      <c r="S1903" s="34"/>
      <c r="T1903" s="34"/>
      <c r="U1903" s="34"/>
      <c r="V1903" s="34"/>
      <c r="W1903" s="34"/>
      <c r="X1903" s="33" t="s">
        <v>3443</v>
      </c>
      <c r="Y1903" s="35" t="str">
        <f>IF(Tabela2[[#This Row],[SIGLA]]="","",VLOOKUP(Tabela2[[#This Row],[SIGLA]],Tabela1[[#All],[Sigla Arte]:[Crédito]],2,0))</f>
        <v>VINÍCIUS COSTA/ARQUIVO DA EDITORA</v>
      </c>
      <c r="Z1903" s="31"/>
      <c r="AA1903" s="31" t="str">
        <f>Tabela2[[#This Row],[ILUSTRADOR CRIAÇÃO]]</f>
        <v>VINÍCIUS COSTA/ARQUIVO DA EDITORA</v>
      </c>
      <c r="AB1903" s="33"/>
      <c r="AC1903" s="16"/>
      <c r="AE1903" s="35" t="str">
        <f t="shared" si="30"/>
        <v>EF1 E002 Mat</v>
      </c>
    </row>
    <row r="1904" spans="1:31" ht="45" x14ac:dyDescent="0.25">
      <c r="A1904" s="31" t="s">
        <v>3971</v>
      </c>
      <c r="B1904" s="16" t="s">
        <v>32</v>
      </c>
      <c r="C1904" s="16" t="s">
        <v>33</v>
      </c>
      <c r="D1904" s="33" t="s">
        <v>34</v>
      </c>
      <c r="E1904" s="33">
        <v>142</v>
      </c>
      <c r="F1904" s="33">
        <v>5</v>
      </c>
      <c r="G1904" s="33">
        <v>7</v>
      </c>
      <c r="H1904" s="33"/>
      <c r="I1904" s="31" t="s">
        <v>46</v>
      </c>
      <c r="J1904" s="31"/>
      <c r="K1904" s="33"/>
      <c r="L1904" s="33"/>
      <c r="M1904" s="31"/>
      <c r="N1904" s="31"/>
      <c r="O1904" s="16" t="s">
        <v>3972</v>
      </c>
      <c r="P1904" s="16"/>
      <c r="Q1904" s="16"/>
      <c r="R1904" s="33"/>
      <c r="S1904" s="34"/>
      <c r="T1904" s="34"/>
      <c r="U1904" s="34"/>
      <c r="V1904" s="34"/>
      <c r="W1904" s="34"/>
      <c r="X1904" s="33" t="s">
        <v>3443</v>
      </c>
      <c r="Y1904" s="35" t="str">
        <f>IF(Tabela2[[#This Row],[SIGLA]]="","",VLOOKUP(Tabela2[[#This Row],[SIGLA]],Tabela1[[#All],[Sigla Arte]:[Crédito]],2,0))</f>
        <v>VINÍCIUS COSTA/ARQUIVO DA EDITORA</v>
      </c>
      <c r="Z1904" s="31"/>
      <c r="AA1904" s="31" t="str">
        <f>Tabela2[[#This Row],[ILUSTRADOR CRIAÇÃO]]</f>
        <v>VINÍCIUS COSTA/ARQUIVO DA EDITORA</v>
      </c>
      <c r="AB1904" s="33"/>
      <c r="AC1904" s="16"/>
      <c r="AE1904" s="35" t="str">
        <f t="shared" si="30"/>
        <v>EF1 E002 Mat</v>
      </c>
    </row>
    <row r="1905" spans="1:31" ht="45" x14ac:dyDescent="0.25">
      <c r="A1905" s="31" t="s">
        <v>3973</v>
      </c>
      <c r="B1905" s="16" t="s">
        <v>32</v>
      </c>
      <c r="C1905" s="16" t="s">
        <v>164</v>
      </c>
      <c r="D1905" s="33" t="s">
        <v>34</v>
      </c>
      <c r="E1905" s="33">
        <v>144</v>
      </c>
      <c r="F1905" s="33">
        <v>5</v>
      </c>
      <c r="G1905" s="33">
        <v>7</v>
      </c>
      <c r="H1905" s="33"/>
      <c r="I1905" s="31" t="s">
        <v>46</v>
      </c>
      <c r="J1905" s="31"/>
      <c r="K1905" s="33"/>
      <c r="L1905" s="33"/>
      <c r="M1905" s="31"/>
      <c r="N1905" s="31"/>
      <c r="O1905" s="16" t="s">
        <v>3974</v>
      </c>
      <c r="P1905" s="16"/>
      <c r="Q1905" s="16"/>
      <c r="R1905" s="33"/>
      <c r="S1905" s="34"/>
      <c r="T1905" s="34"/>
      <c r="U1905" s="34"/>
      <c r="V1905" s="34"/>
      <c r="W1905" s="34"/>
      <c r="X1905" s="33" t="s">
        <v>3443</v>
      </c>
      <c r="Y1905" s="35" t="str">
        <f>IF(Tabela2[[#This Row],[SIGLA]]="","",VLOOKUP(Tabela2[[#This Row],[SIGLA]],Tabela1[[#All],[Sigla Arte]:[Crédito]],2,0))</f>
        <v>VINÍCIUS COSTA/ARQUIVO DA EDITORA</v>
      </c>
      <c r="Z1905" s="31"/>
      <c r="AA1905" s="31" t="str">
        <f>Tabela2[[#This Row],[ILUSTRADOR CRIAÇÃO]]</f>
        <v>VINÍCIUS COSTA/ARQUIVO DA EDITORA</v>
      </c>
      <c r="AB1905" s="33"/>
      <c r="AC1905" s="16"/>
      <c r="AE1905" s="35" t="str">
        <f t="shared" si="30"/>
        <v>EF1 E002 Mat</v>
      </c>
    </row>
    <row r="1906" spans="1:31" ht="45" x14ac:dyDescent="0.25">
      <c r="A1906" s="31" t="s">
        <v>3975</v>
      </c>
      <c r="B1906" s="16" t="s">
        <v>32</v>
      </c>
      <c r="C1906" s="16" t="s">
        <v>164</v>
      </c>
      <c r="D1906" s="33" t="s">
        <v>34</v>
      </c>
      <c r="E1906" s="33">
        <v>144</v>
      </c>
      <c r="F1906" s="33">
        <v>5</v>
      </c>
      <c r="G1906" s="33">
        <v>7</v>
      </c>
      <c r="H1906" s="33"/>
      <c r="I1906" s="31" t="s">
        <v>46</v>
      </c>
      <c r="J1906" s="31"/>
      <c r="K1906" s="33"/>
      <c r="L1906" s="33"/>
      <c r="M1906" s="31"/>
      <c r="N1906" s="31"/>
      <c r="O1906" s="16" t="s">
        <v>3976</v>
      </c>
      <c r="P1906" s="16"/>
      <c r="Q1906" s="16"/>
      <c r="R1906" s="33"/>
      <c r="S1906" s="34"/>
      <c r="T1906" s="34"/>
      <c r="U1906" s="34"/>
      <c r="V1906" s="34"/>
      <c r="W1906" s="34"/>
      <c r="X1906" s="33" t="s">
        <v>3823</v>
      </c>
      <c r="Y1906" s="35" t="str">
        <f>IF(Tabela2[[#This Row],[SIGLA]]="","",VLOOKUP(Tabela2[[#This Row],[SIGLA]],Tabela1[[#All],[Sigla Arte]:[Crédito]],2,0))</f>
        <v>RONALDO LUCENA/ARQUIVO DA EDITORA</v>
      </c>
      <c r="Z1906" s="31"/>
      <c r="AA1906" s="31" t="str">
        <f>Tabela2[[#This Row],[ILUSTRADOR CRIAÇÃO]]</f>
        <v>RONALDO LUCENA/ARQUIVO DA EDITORA</v>
      </c>
      <c r="AB1906" s="33"/>
      <c r="AC1906" s="16"/>
      <c r="AE1906" s="35" t="str">
        <f t="shared" ref="AE1906:AE1969" si="31">"EF1 E002 Mat"</f>
        <v>EF1 E002 Mat</v>
      </c>
    </row>
    <row r="1907" spans="1:31" ht="45" x14ac:dyDescent="0.25">
      <c r="A1907" s="31" t="s">
        <v>3977</v>
      </c>
      <c r="B1907" s="16" t="s">
        <v>32</v>
      </c>
      <c r="C1907" s="16" t="s">
        <v>164</v>
      </c>
      <c r="D1907" s="33" t="s">
        <v>34</v>
      </c>
      <c r="E1907" s="33">
        <v>144</v>
      </c>
      <c r="F1907" s="33">
        <v>5</v>
      </c>
      <c r="G1907" s="33">
        <v>7</v>
      </c>
      <c r="H1907" s="33"/>
      <c r="I1907" s="31" t="s">
        <v>46</v>
      </c>
      <c r="J1907" s="31"/>
      <c r="K1907" s="33"/>
      <c r="L1907" s="33"/>
      <c r="M1907" s="31"/>
      <c r="N1907" s="31"/>
      <c r="O1907" s="16" t="s">
        <v>3978</v>
      </c>
      <c r="P1907" s="16"/>
      <c r="Q1907" s="16"/>
      <c r="R1907" s="33"/>
      <c r="S1907" s="34"/>
      <c r="T1907" s="34"/>
      <c r="U1907" s="34"/>
      <c r="V1907" s="34"/>
      <c r="W1907" s="34"/>
      <c r="X1907" s="33" t="s">
        <v>3823</v>
      </c>
      <c r="Y1907" s="35" t="str">
        <f>IF(Tabela2[[#This Row],[SIGLA]]="","",VLOOKUP(Tabela2[[#This Row],[SIGLA]],Tabela1[[#All],[Sigla Arte]:[Crédito]],2,0))</f>
        <v>RONALDO LUCENA/ARQUIVO DA EDITORA</v>
      </c>
      <c r="Z1907" s="31"/>
      <c r="AA1907" s="31" t="str">
        <f>Tabela2[[#This Row],[ILUSTRADOR CRIAÇÃO]]</f>
        <v>RONALDO LUCENA/ARQUIVO DA EDITORA</v>
      </c>
      <c r="AB1907" s="33"/>
      <c r="AC1907" s="16"/>
      <c r="AE1907" s="35" t="str">
        <f t="shared" si="31"/>
        <v>EF1 E002 Mat</v>
      </c>
    </row>
    <row r="1908" spans="1:31" ht="45" x14ac:dyDescent="0.25">
      <c r="A1908" s="31" t="s">
        <v>3979</v>
      </c>
      <c r="B1908" s="16" t="s">
        <v>32</v>
      </c>
      <c r="C1908" s="16" t="s">
        <v>164</v>
      </c>
      <c r="D1908" s="33" t="s">
        <v>34</v>
      </c>
      <c r="E1908" s="33">
        <v>144</v>
      </c>
      <c r="F1908" s="33">
        <v>5</v>
      </c>
      <c r="G1908" s="33">
        <v>7</v>
      </c>
      <c r="H1908" s="33"/>
      <c r="I1908" s="31" t="s">
        <v>46</v>
      </c>
      <c r="J1908" s="31"/>
      <c r="K1908" s="33"/>
      <c r="L1908" s="33"/>
      <c r="M1908" s="31"/>
      <c r="N1908" s="31"/>
      <c r="O1908" s="16" t="s">
        <v>3980</v>
      </c>
      <c r="P1908" s="16"/>
      <c r="Q1908" s="16"/>
      <c r="R1908" s="33"/>
      <c r="S1908" s="34"/>
      <c r="T1908" s="34"/>
      <c r="U1908" s="34"/>
      <c r="V1908" s="34"/>
      <c r="W1908" s="34"/>
      <c r="X1908" s="33" t="s">
        <v>3823</v>
      </c>
      <c r="Y1908" s="35" t="str">
        <f>IF(Tabela2[[#This Row],[SIGLA]]="","",VLOOKUP(Tabela2[[#This Row],[SIGLA]],Tabela1[[#All],[Sigla Arte]:[Crédito]],2,0))</f>
        <v>RONALDO LUCENA/ARQUIVO DA EDITORA</v>
      </c>
      <c r="Z1908" s="31"/>
      <c r="AA1908" s="31" t="str">
        <f>Tabela2[[#This Row],[ILUSTRADOR CRIAÇÃO]]</f>
        <v>RONALDO LUCENA/ARQUIVO DA EDITORA</v>
      </c>
      <c r="AB1908" s="33"/>
      <c r="AC1908" s="16"/>
      <c r="AE1908" s="35" t="str">
        <f t="shared" si="31"/>
        <v>EF1 E002 Mat</v>
      </c>
    </row>
    <row r="1909" spans="1:31" ht="45" x14ac:dyDescent="0.25">
      <c r="A1909" s="31" t="s">
        <v>3981</v>
      </c>
      <c r="B1909" s="16" t="s">
        <v>3802</v>
      </c>
      <c r="C1909" s="16" t="s">
        <v>33</v>
      </c>
      <c r="D1909" s="33" t="s">
        <v>34</v>
      </c>
      <c r="E1909" s="33">
        <v>145</v>
      </c>
      <c r="F1909" s="33">
        <v>5</v>
      </c>
      <c r="G1909" s="33">
        <v>7</v>
      </c>
      <c r="H1909" s="33"/>
      <c r="I1909" s="31" t="s">
        <v>35</v>
      </c>
      <c r="J1909" s="31"/>
      <c r="K1909" s="33"/>
      <c r="L1909" s="33"/>
      <c r="M1909" s="31"/>
      <c r="N1909" s="31"/>
      <c r="O1909" s="16" t="s">
        <v>3982</v>
      </c>
      <c r="P1909" s="16"/>
      <c r="Q1909" s="16"/>
      <c r="R1909" s="33">
        <v>199</v>
      </c>
      <c r="S1909" s="34">
        <v>45943</v>
      </c>
      <c r="T1909" s="34">
        <v>45943</v>
      </c>
      <c r="U1909" s="34"/>
      <c r="V1909" s="34"/>
      <c r="W1909" s="34">
        <v>45943</v>
      </c>
      <c r="X1909" s="33" t="s">
        <v>184</v>
      </c>
      <c r="Y1909" s="35" t="str">
        <f>IF(Tabela2[[#This Row],[SIGLA]]="","",VLOOKUP(Tabela2[[#This Row],[SIGLA]],Tabela1[[#All],[Sigla Arte]:[Crédito]],2,0))</f>
        <v>VER DOCUMENTO DE ILS. TÉCNICAS</v>
      </c>
      <c r="Z1909" s="31" t="s">
        <v>1465</v>
      </c>
      <c r="AA1909" s="31" t="s">
        <v>3229</v>
      </c>
      <c r="AB1909" s="33">
        <v>13</v>
      </c>
      <c r="AC1909" s="16"/>
      <c r="AD1909" s="16" t="s">
        <v>40</v>
      </c>
      <c r="AE1909" s="35" t="str">
        <f t="shared" si="31"/>
        <v>EF1 E002 Mat</v>
      </c>
    </row>
    <row r="1910" spans="1:31" ht="60" x14ac:dyDescent="0.25">
      <c r="A1910" s="31" t="s">
        <v>3983</v>
      </c>
      <c r="B1910" s="16" t="s">
        <v>3802</v>
      </c>
      <c r="C1910" s="16" t="s">
        <v>33</v>
      </c>
      <c r="D1910" s="33" t="s">
        <v>34</v>
      </c>
      <c r="E1910" s="33">
        <v>145</v>
      </c>
      <c r="F1910" s="33">
        <v>5</v>
      </c>
      <c r="G1910" s="33">
        <v>7</v>
      </c>
      <c r="H1910" s="33"/>
      <c r="I1910" s="31" t="s">
        <v>35</v>
      </c>
      <c r="J1910" s="31"/>
      <c r="K1910" s="33"/>
      <c r="L1910" s="33"/>
      <c r="M1910" s="31"/>
      <c r="N1910" s="31"/>
      <c r="O1910" s="16" t="s">
        <v>3984</v>
      </c>
      <c r="P1910" s="16"/>
      <c r="Q1910" s="16"/>
      <c r="R1910" s="33">
        <v>199</v>
      </c>
      <c r="S1910" s="34">
        <v>45943</v>
      </c>
      <c r="T1910" s="34">
        <v>45943</v>
      </c>
      <c r="U1910" s="34"/>
      <c r="V1910" s="34"/>
      <c r="W1910" s="34">
        <v>45943</v>
      </c>
      <c r="X1910" s="33" t="s">
        <v>715</v>
      </c>
      <c r="Y1910" s="35" t="str">
        <f>IF(Tabela2[[#This Row],[SIGLA]]="","",VLOOKUP(Tabela2[[#This Row],[SIGLA]],Tabela1[[#All],[Sigla Arte]:[Crédito]],2,0))</f>
        <v>RAFAELA H. PEREIRA/ARQUIVO DA EDITORA</v>
      </c>
      <c r="Z1910" s="31" t="s">
        <v>1465</v>
      </c>
      <c r="AA1910" s="31" t="str">
        <f>Tabela2[[#This Row],[ILUSTRADOR CRIAÇÃO]]</f>
        <v>RAFAELA H. PEREIRA/ARQUIVO DA EDITORA</v>
      </c>
      <c r="AB1910" s="33">
        <v>13</v>
      </c>
      <c r="AC1910" s="16"/>
      <c r="AD1910" s="16" t="s">
        <v>40</v>
      </c>
      <c r="AE1910" s="35" t="str">
        <f t="shared" si="31"/>
        <v>EF1 E002 Mat</v>
      </c>
    </row>
    <row r="1911" spans="1:31" ht="60" x14ac:dyDescent="0.25">
      <c r="A1911" s="31" t="s">
        <v>3985</v>
      </c>
      <c r="B1911" s="16" t="s">
        <v>3802</v>
      </c>
      <c r="C1911" s="16" t="s">
        <v>33</v>
      </c>
      <c r="D1911" s="33" t="s">
        <v>34</v>
      </c>
      <c r="E1911" s="33">
        <v>145</v>
      </c>
      <c r="F1911" s="33">
        <v>5</v>
      </c>
      <c r="G1911" s="33">
        <v>7</v>
      </c>
      <c r="H1911" s="33"/>
      <c r="I1911" s="31" t="s">
        <v>35</v>
      </c>
      <c r="J1911" s="31"/>
      <c r="K1911" s="33"/>
      <c r="L1911" s="33"/>
      <c r="M1911" s="31"/>
      <c r="N1911" s="31"/>
      <c r="O1911" s="16" t="s">
        <v>3986</v>
      </c>
      <c r="P1911" s="16"/>
      <c r="Q1911" s="16"/>
      <c r="R1911" s="33">
        <v>199</v>
      </c>
      <c r="S1911" s="34">
        <v>45943</v>
      </c>
      <c r="T1911" s="34">
        <v>45943</v>
      </c>
      <c r="U1911" s="34"/>
      <c r="V1911" s="34"/>
      <c r="W1911" s="34">
        <v>45943</v>
      </c>
      <c r="X1911" s="33" t="s">
        <v>715</v>
      </c>
      <c r="Y1911" s="35" t="str">
        <f>IF(Tabela2[[#This Row],[SIGLA]]="","",VLOOKUP(Tabela2[[#This Row],[SIGLA]],Tabela1[[#All],[Sigla Arte]:[Crédito]],2,0))</f>
        <v>RAFAELA H. PEREIRA/ARQUIVO DA EDITORA</v>
      </c>
      <c r="Z1911" s="31" t="s">
        <v>1465</v>
      </c>
      <c r="AA1911" s="31" t="str">
        <f>Tabela2[[#This Row],[ILUSTRADOR CRIAÇÃO]]</f>
        <v>RAFAELA H. PEREIRA/ARQUIVO DA EDITORA</v>
      </c>
      <c r="AB1911" s="33">
        <v>13</v>
      </c>
      <c r="AC1911" s="16"/>
      <c r="AD1911" s="16" t="s">
        <v>40</v>
      </c>
      <c r="AE1911" s="35" t="str">
        <f t="shared" si="31"/>
        <v>EF1 E002 Mat</v>
      </c>
    </row>
    <row r="1912" spans="1:31" ht="60" x14ac:dyDescent="0.25">
      <c r="A1912" s="31" t="s">
        <v>3987</v>
      </c>
      <c r="B1912" s="16" t="s">
        <v>3802</v>
      </c>
      <c r="C1912" s="16" t="s">
        <v>164</v>
      </c>
      <c r="D1912" s="33" t="s">
        <v>34</v>
      </c>
      <c r="E1912" s="33">
        <v>145</v>
      </c>
      <c r="F1912" s="33">
        <v>5</v>
      </c>
      <c r="G1912" s="33">
        <v>7</v>
      </c>
      <c r="H1912" s="33"/>
      <c r="I1912" s="31" t="s">
        <v>35</v>
      </c>
      <c r="J1912" s="31"/>
      <c r="K1912" s="33"/>
      <c r="L1912" s="33"/>
      <c r="M1912" s="31"/>
      <c r="N1912" s="31"/>
      <c r="O1912" s="16" t="s">
        <v>3988</v>
      </c>
      <c r="P1912" s="16"/>
      <c r="Q1912" s="16"/>
      <c r="R1912" s="33">
        <v>199</v>
      </c>
      <c r="S1912" s="34">
        <v>45943</v>
      </c>
      <c r="T1912" s="34">
        <v>45943</v>
      </c>
      <c r="U1912" s="34"/>
      <c r="V1912" s="34"/>
      <c r="W1912" s="34">
        <v>45943</v>
      </c>
      <c r="X1912" s="33" t="s">
        <v>715</v>
      </c>
      <c r="Y1912" s="35" t="str">
        <f>IF(Tabela2[[#This Row],[SIGLA]]="","",VLOOKUP(Tabela2[[#This Row],[SIGLA]],Tabela1[[#All],[Sigla Arte]:[Crédito]],2,0))</f>
        <v>RAFAELA H. PEREIRA/ARQUIVO DA EDITORA</v>
      </c>
      <c r="Z1912" s="31" t="s">
        <v>1465</v>
      </c>
      <c r="AA1912" s="31" t="str">
        <f>Tabela2[[#This Row],[ILUSTRADOR CRIAÇÃO]]</f>
        <v>RAFAELA H. PEREIRA/ARQUIVO DA EDITORA</v>
      </c>
      <c r="AB1912" s="33">
        <v>13</v>
      </c>
      <c r="AC1912" s="16"/>
      <c r="AD1912" s="16" t="s">
        <v>40</v>
      </c>
      <c r="AE1912" s="35" t="str">
        <f t="shared" si="31"/>
        <v>EF1 E002 Mat</v>
      </c>
    </row>
    <row r="1913" spans="1:31" ht="45" x14ac:dyDescent="0.25">
      <c r="A1913" s="31" t="s">
        <v>3989</v>
      </c>
      <c r="B1913" s="16" t="s">
        <v>401</v>
      </c>
      <c r="C1913" s="16" t="s">
        <v>164</v>
      </c>
      <c r="D1913" s="33" t="s">
        <v>34</v>
      </c>
      <c r="E1913" s="33">
        <v>101</v>
      </c>
      <c r="F1913" s="33">
        <v>5</v>
      </c>
      <c r="G1913" s="33">
        <v>7</v>
      </c>
      <c r="H1913" s="33"/>
      <c r="I1913" s="31" t="s">
        <v>46</v>
      </c>
      <c r="J1913" s="31"/>
      <c r="K1913" s="33"/>
      <c r="L1913" s="33"/>
      <c r="M1913" s="31"/>
      <c r="N1913" s="31"/>
      <c r="O1913" s="16" t="s">
        <v>3990</v>
      </c>
      <c r="P1913" s="16"/>
      <c r="Q1913" s="16"/>
      <c r="R1913" s="33"/>
      <c r="S1913" s="34"/>
      <c r="T1913" s="34"/>
      <c r="U1913" s="34"/>
      <c r="V1913" s="34"/>
      <c r="W1913" s="34"/>
      <c r="X1913" s="33" t="s">
        <v>3823</v>
      </c>
      <c r="Y1913" s="35" t="str">
        <f>IF(Tabela2[[#This Row],[SIGLA]]="","",VLOOKUP(Tabela2[[#This Row],[SIGLA]],Tabela1[[#All],[Sigla Arte]:[Crédito]],2,0))</f>
        <v>RONALDO LUCENA/ARQUIVO DA EDITORA</v>
      </c>
      <c r="Z1913" s="31"/>
      <c r="AA1913" s="31" t="str">
        <f>Tabela2[[#This Row],[ILUSTRADOR CRIAÇÃO]]</f>
        <v>RONALDO LUCENA/ARQUIVO DA EDITORA</v>
      </c>
      <c r="AB1913" s="33"/>
      <c r="AC1913" s="16"/>
      <c r="AE1913" s="35" t="str">
        <f t="shared" si="31"/>
        <v>EF1 E002 Mat</v>
      </c>
    </row>
    <row r="1914" spans="1:31" ht="45" x14ac:dyDescent="0.25">
      <c r="A1914" s="31" t="s">
        <v>3991</v>
      </c>
      <c r="B1914" s="16" t="s">
        <v>401</v>
      </c>
      <c r="C1914" s="16" t="s">
        <v>164</v>
      </c>
      <c r="D1914" s="33" t="s">
        <v>34</v>
      </c>
      <c r="E1914" s="33">
        <v>101</v>
      </c>
      <c r="F1914" s="33">
        <v>5</v>
      </c>
      <c r="G1914" s="33">
        <v>7</v>
      </c>
      <c r="H1914" s="33"/>
      <c r="I1914" s="31" t="s">
        <v>46</v>
      </c>
      <c r="J1914" s="31"/>
      <c r="K1914" s="33"/>
      <c r="L1914" s="33"/>
      <c r="M1914" s="31"/>
      <c r="N1914" s="31"/>
      <c r="O1914" s="16" t="s">
        <v>3992</v>
      </c>
      <c r="P1914" s="16"/>
      <c r="Q1914" s="16"/>
      <c r="R1914" s="33"/>
      <c r="S1914" s="34"/>
      <c r="T1914" s="34"/>
      <c r="U1914" s="34"/>
      <c r="V1914" s="34"/>
      <c r="W1914" s="34"/>
      <c r="X1914" s="33" t="s">
        <v>3823</v>
      </c>
      <c r="Y1914" s="35" t="str">
        <f>IF(Tabela2[[#This Row],[SIGLA]]="","",VLOOKUP(Tabela2[[#This Row],[SIGLA]],Tabela1[[#All],[Sigla Arte]:[Crédito]],2,0))</f>
        <v>RONALDO LUCENA/ARQUIVO DA EDITORA</v>
      </c>
      <c r="Z1914" s="31"/>
      <c r="AA1914" s="31" t="str">
        <f>Tabela2[[#This Row],[ILUSTRADOR CRIAÇÃO]]</f>
        <v>RONALDO LUCENA/ARQUIVO DA EDITORA</v>
      </c>
      <c r="AB1914" s="33"/>
      <c r="AC1914" s="16"/>
      <c r="AE1914" s="35" t="str">
        <f t="shared" si="31"/>
        <v>EF1 E002 Mat</v>
      </c>
    </row>
    <row r="1915" spans="1:31" ht="45" x14ac:dyDescent="0.25">
      <c r="A1915" s="31" t="s">
        <v>3993</v>
      </c>
      <c r="B1915" s="16" t="s">
        <v>401</v>
      </c>
      <c r="C1915" s="16" t="s">
        <v>164</v>
      </c>
      <c r="D1915" s="33" t="s">
        <v>34</v>
      </c>
      <c r="E1915" s="33">
        <v>101</v>
      </c>
      <c r="F1915" s="33">
        <v>5</v>
      </c>
      <c r="G1915" s="33">
        <v>7</v>
      </c>
      <c r="H1915" s="33"/>
      <c r="I1915" s="31" t="s">
        <v>46</v>
      </c>
      <c r="J1915" s="31"/>
      <c r="K1915" s="33"/>
      <c r="L1915" s="33"/>
      <c r="M1915" s="31"/>
      <c r="N1915" s="31"/>
      <c r="O1915" s="16" t="s">
        <v>3994</v>
      </c>
      <c r="P1915" s="16"/>
      <c r="Q1915" s="16"/>
      <c r="R1915" s="33"/>
      <c r="S1915" s="34"/>
      <c r="T1915" s="34"/>
      <c r="U1915" s="34"/>
      <c r="V1915" s="34"/>
      <c r="W1915" s="34"/>
      <c r="X1915" s="33" t="s">
        <v>3823</v>
      </c>
      <c r="Y1915" s="35" t="str">
        <f>IF(Tabela2[[#This Row],[SIGLA]]="","",VLOOKUP(Tabela2[[#This Row],[SIGLA]],Tabela1[[#All],[Sigla Arte]:[Crédito]],2,0))</f>
        <v>RONALDO LUCENA/ARQUIVO DA EDITORA</v>
      </c>
      <c r="Z1915" s="31"/>
      <c r="AA1915" s="31" t="str">
        <f>Tabela2[[#This Row],[ILUSTRADOR CRIAÇÃO]]</f>
        <v>RONALDO LUCENA/ARQUIVO DA EDITORA</v>
      </c>
      <c r="AB1915" s="33"/>
      <c r="AC1915" s="16"/>
      <c r="AE1915" s="35" t="str">
        <f t="shared" si="31"/>
        <v>EF1 E002 Mat</v>
      </c>
    </row>
    <row r="1916" spans="1:31" ht="45" x14ac:dyDescent="0.25">
      <c r="A1916" s="31" t="s">
        <v>3995</v>
      </c>
      <c r="B1916" s="16" t="s">
        <v>401</v>
      </c>
      <c r="C1916" s="16" t="s">
        <v>164</v>
      </c>
      <c r="D1916" s="33" t="s">
        <v>34</v>
      </c>
      <c r="E1916" s="33">
        <v>101</v>
      </c>
      <c r="F1916" s="33">
        <v>5</v>
      </c>
      <c r="G1916" s="33">
        <v>7</v>
      </c>
      <c r="H1916" s="33"/>
      <c r="I1916" s="31" t="s">
        <v>46</v>
      </c>
      <c r="J1916" s="31"/>
      <c r="K1916" s="33"/>
      <c r="L1916" s="33"/>
      <c r="M1916" s="31"/>
      <c r="N1916" s="31"/>
      <c r="O1916" s="16" t="s">
        <v>3996</v>
      </c>
      <c r="P1916" s="16"/>
      <c r="Q1916" s="16"/>
      <c r="R1916" s="33"/>
      <c r="S1916" s="34"/>
      <c r="T1916" s="34"/>
      <c r="U1916" s="34"/>
      <c r="V1916" s="34"/>
      <c r="W1916" s="34"/>
      <c r="X1916" s="33" t="s">
        <v>3823</v>
      </c>
      <c r="Y1916" s="35" t="str">
        <f>IF(Tabela2[[#This Row],[SIGLA]]="","",VLOOKUP(Tabela2[[#This Row],[SIGLA]],Tabela1[[#All],[Sigla Arte]:[Crédito]],2,0))</f>
        <v>RONALDO LUCENA/ARQUIVO DA EDITORA</v>
      </c>
      <c r="Z1916" s="31"/>
      <c r="AA1916" s="31" t="str">
        <f>Tabela2[[#This Row],[ILUSTRADOR CRIAÇÃO]]</f>
        <v>RONALDO LUCENA/ARQUIVO DA EDITORA</v>
      </c>
      <c r="AB1916" s="33"/>
      <c r="AC1916" s="16"/>
      <c r="AE1916" s="35" t="str">
        <f t="shared" si="31"/>
        <v>EF1 E002 Mat</v>
      </c>
    </row>
    <row r="1917" spans="1:31" ht="45" x14ac:dyDescent="0.25">
      <c r="A1917" s="31" t="s">
        <v>3997</v>
      </c>
      <c r="B1917" s="16" t="s">
        <v>32</v>
      </c>
      <c r="C1917" s="16" t="s">
        <v>164</v>
      </c>
      <c r="D1917" s="33" t="s">
        <v>34</v>
      </c>
      <c r="E1917" s="33">
        <v>146</v>
      </c>
      <c r="F1917" s="33">
        <v>5</v>
      </c>
      <c r="G1917" s="33">
        <v>7</v>
      </c>
      <c r="H1917" s="33"/>
      <c r="I1917" s="31" t="s">
        <v>46</v>
      </c>
      <c r="J1917" s="31"/>
      <c r="K1917" s="33"/>
      <c r="L1917" s="33"/>
      <c r="M1917" s="31"/>
      <c r="N1917" s="31"/>
      <c r="O1917" s="16" t="s">
        <v>3998</v>
      </c>
      <c r="P1917" s="16"/>
      <c r="Q1917" s="16"/>
      <c r="R1917" s="33"/>
      <c r="S1917" s="34"/>
      <c r="T1917" s="34"/>
      <c r="U1917" s="34"/>
      <c r="V1917" s="34"/>
      <c r="W1917" s="34"/>
      <c r="X1917" s="33" t="s">
        <v>3443</v>
      </c>
      <c r="Y1917" s="35" t="str">
        <f>IF(Tabela2[[#This Row],[SIGLA]]="","",VLOOKUP(Tabela2[[#This Row],[SIGLA]],Tabela1[[#All],[Sigla Arte]:[Crédito]],2,0))</f>
        <v>VINÍCIUS COSTA/ARQUIVO DA EDITORA</v>
      </c>
      <c r="Z1917" s="31"/>
      <c r="AA1917" s="31" t="str">
        <f>Tabela2[[#This Row],[ILUSTRADOR CRIAÇÃO]]</f>
        <v>VINÍCIUS COSTA/ARQUIVO DA EDITORA</v>
      </c>
      <c r="AB1917" s="33"/>
      <c r="AC1917" s="16"/>
      <c r="AE1917" s="35" t="str">
        <f t="shared" si="31"/>
        <v>EF1 E002 Mat</v>
      </c>
    </row>
    <row r="1918" spans="1:31" ht="45" x14ac:dyDescent="0.25">
      <c r="A1918" s="31" t="s">
        <v>3999</v>
      </c>
      <c r="B1918" s="16" t="s">
        <v>32</v>
      </c>
      <c r="C1918" s="16" t="s">
        <v>164</v>
      </c>
      <c r="D1918" s="33" t="s">
        <v>34</v>
      </c>
      <c r="E1918" s="33">
        <v>146</v>
      </c>
      <c r="F1918" s="33">
        <v>5</v>
      </c>
      <c r="G1918" s="33">
        <v>7</v>
      </c>
      <c r="H1918" s="33"/>
      <c r="I1918" s="31" t="s">
        <v>46</v>
      </c>
      <c r="J1918" s="31"/>
      <c r="K1918" s="33"/>
      <c r="L1918" s="33"/>
      <c r="M1918" s="31"/>
      <c r="N1918" s="31"/>
      <c r="O1918" s="16" t="s">
        <v>4000</v>
      </c>
      <c r="P1918" s="16"/>
      <c r="Q1918" s="16"/>
      <c r="R1918" s="33"/>
      <c r="S1918" s="34"/>
      <c r="T1918" s="34"/>
      <c r="U1918" s="34"/>
      <c r="V1918" s="34"/>
      <c r="W1918" s="34"/>
      <c r="X1918" s="33" t="s">
        <v>3443</v>
      </c>
      <c r="Y1918" s="35" t="str">
        <f>IF(Tabela2[[#This Row],[SIGLA]]="","",VLOOKUP(Tabela2[[#This Row],[SIGLA]],Tabela1[[#All],[Sigla Arte]:[Crédito]],2,0))</f>
        <v>VINÍCIUS COSTA/ARQUIVO DA EDITORA</v>
      </c>
      <c r="Z1918" s="31"/>
      <c r="AA1918" s="31" t="str">
        <f>Tabela2[[#This Row],[ILUSTRADOR CRIAÇÃO]]</f>
        <v>VINÍCIUS COSTA/ARQUIVO DA EDITORA</v>
      </c>
      <c r="AB1918" s="33"/>
      <c r="AC1918" s="16"/>
      <c r="AE1918" s="35" t="str">
        <f t="shared" si="31"/>
        <v>EF1 E002 Mat</v>
      </c>
    </row>
    <row r="1919" spans="1:31" ht="60" x14ac:dyDescent="0.25">
      <c r="A1919" s="31" t="s">
        <v>4001</v>
      </c>
      <c r="B1919" s="16" t="s">
        <v>32</v>
      </c>
      <c r="C1919" s="16" t="s">
        <v>33</v>
      </c>
      <c r="D1919" s="33" t="s">
        <v>34</v>
      </c>
      <c r="E1919" s="33">
        <v>146</v>
      </c>
      <c r="F1919" s="33">
        <v>5</v>
      </c>
      <c r="G1919" s="33">
        <v>7</v>
      </c>
      <c r="H1919" s="33"/>
      <c r="I1919" s="31" t="s">
        <v>46</v>
      </c>
      <c r="J1919" s="31"/>
      <c r="K1919" s="33"/>
      <c r="L1919" s="33"/>
      <c r="M1919" s="31"/>
      <c r="N1919" s="31"/>
      <c r="O1919" s="16" t="s">
        <v>4002</v>
      </c>
      <c r="P1919" s="16"/>
      <c r="Q1919" s="16"/>
      <c r="R1919" s="33"/>
      <c r="S1919" s="34"/>
      <c r="T1919" s="34"/>
      <c r="U1919" s="34"/>
      <c r="V1919" s="34"/>
      <c r="W1919" s="34"/>
      <c r="X1919" s="33" t="s">
        <v>3443</v>
      </c>
      <c r="Y1919" s="35" t="str">
        <f>IF(Tabela2[[#This Row],[SIGLA]]="","",VLOOKUP(Tabela2[[#This Row],[SIGLA]],Tabela1[[#All],[Sigla Arte]:[Crédito]],2,0))</f>
        <v>VINÍCIUS COSTA/ARQUIVO DA EDITORA</v>
      </c>
      <c r="Z1919" s="31"/>
      <c r="AA1919" s="31" t="str">
        <f>Tabela2[[#This Row],[ILUSTRADOR CRIAÇÃO]]</f>
        <v>VINÍCIUS COSTA/ARQUIVO DA EDITORA</v>
      </c>
      <c r="AB1919" s="33"/>
      <c r="AC1919" s="16"/>
      <c r="AE1919" s="35" t="str">
        <f t="shared" si="31"/>
        <v>EF1 E002 Mat</v>
      </c>
    </row>
    <row r="1920" spans="1:31" ht="60" x14ac:dyDescent="0.25">
      <c r="A1920" s="31" t="s">
        <v>4003</v>
      </c>
      <c r="B1920" s="16" t="s">
        <v>32</v>
      </c>
      <c r="C1920" s="16" t="s">
        <v>33</v>
      </c>
      <c r="D1920" s="33" t="s">
        <v>34</v>
      </c>
      <c r="E1920" s="33">
        <v>146</v>
      </c>
      <c r="F1920" s="33">
        <v>5</v>
      </c>
      <c r="G1920" s="33">
        <v>7</v>
      </c>
      <c r="H1920" s="33"/>
      <c r="I1920" s="31" t="s">
        <v>46</v>
      </c>
      <c r="J1920" s="31"/>
      <c r="K1920" s="33"/>
      <c r="L1920" s="33"/>
      <c r="M1920" s="31"/>
      <c r="N1920" s="31"/>
      <c r="O1920" s="16" t="s">
        <v>4004</v>
      </c>
      <c r="P1920" s="16"/>
      <c r="Q1920" s="16"/>
      <c r="R1920" s="33"/>
      <c r="S1920" s="34"/>
      <c r="T1920" s="34"/>
      <c r="U1920" s="34"/>
      <c r="V1920" s="34"/>
      <c r="W1920" s="34"/>
      <c r="X1920" s="33" t="s">
        <v>3443</v>
      </c>
      <c r="Y1920" s="35" t="str">
        <f>IF(Tabela2[[#This Row],[SIGLA]]="","",VLOOKUP(Tabela2[[#This Row],[SIGLA]],Tabela1[[#All],[Sigla Arte]:[Crédito]],2,0))</f>
        <v>VINÍCIUS COSTA/ARQUIVO DA EDITORA</v>
      </c>
      <c r="Z1920" s="31"/>
      <c r="AA1920" s="31" t="str">
        <f>Tabela2[[#This Row],[ILUSTRADOR CRIAÇÃO]]</f>
        <v>VINÍCIUS COSTA/ARQUIVO DA EDITORA</v>
      </c>
      <c r="AB1920" s="33"/>
      <c r="AC1920" s="16"/>
      <c r="AE1920" s="35" t="str">
        <f t="shared" si="31"/>
        <v>EF1 E002 Mat</v>
      </c>
    </row>
    <row r="1921" spans="1:31" ht="45" x14ac:dyDescent="0.25">
      <c r="A1921" s="31" t="s">
        <v>4005</v>
      </c>
      <c r="B1921" s="16" t="s">
        <v>32</v>
      </c>
      <c r="C1921" s="16" t="s">
        <v>33</v>
      </c>
      <c r="D1921" s="33" t="s">
        <v>34</v>
      </c>
      <c r="E1921" s="33">
        <v>146</v>
      </c>
      <c r="F1921" s="33">
        <v>5</v>
      </c>
      <c r="G1921" s="33">
        <v>7</v>
      </c>
      <c r="H1921" s="33"/>
      <c r="I1921" s="31" t="s">
        <v>46</v>
      </c>
      <c r="J1921" s="31"/>
      <c r="K1921" s="33"/>
      <c r="L1921" s="33"/>
      <c r="M1921" s="31"/>
      <c r="N1921" s="31"/>
      <c r="O1921" s="16" t="s">
        <v>4006</v>
      </c>
      <c r="P1921" s="16"/>
      <c r="Q1921" s="16"/>
      <c r="R1921" s="33"/>
      <c r="S1921" s="34"/>
      <c r="T1921" s="34"/>
      <c r="U1921" s="34"/>
      <c r="V1921" s="34"/>
      <c r="W1921" s="34"/>
      <c r="X1921" s="33" t="s">
        <v>3443</v>
      </c>
      <c r="Y1921" s="35" t="str">
        <f>IF(Tabela2[[#This Row],[SIGLA]]="","",VLOOKUP(Tabela2[[#This Row],[SIGLA]],Tabela1[[#All],[Sigla Arte]:[Crédito]],2,0))</f>
        <v>VINÍCIUS COSTA/ARQUIVO DA EDITORA</v>
      </c>
      <c r="Z1921" s="31"/>
      <c r="AA1921" s="31" t="str">
        <f>Tabela2[[#This Row],[ILUSTRADOR CRIAÇÃO]]</f>
        <v>VINÍCIUS COSTA/ARQUIVO DA EDITORA</v>
      </c>
      <c r="AB1921" s="33"/>
      <c r="AC1921" s="16"/>
      <c r="AE1921" s="35" t="str">
        <f t="shared" si="31"/>
        <v>EF1 E002 Mat</v>
      </c>
    </row>
    <row r="1922" spans="1:31" ht="45" x14ac:dyDescent="0.25">
      <c r="A1922" s="31" t="s">
        <v>4007</v>
      </c>
      <c r="B1922" s="16" t="s">
        <v>401</v>
      </c>
      <c r="C1922" s="16" t="s">
        <v>164</v>
      </c>
      <c r="D1922" s="33" t="s">
        <v>34</v>
      </c>
      <c r="E1922" s="33">
        <v>102</v>
      </c>
      <c r="F1922" s="33">
        <v>5</v>
      </c>
      <c r="G1922" s="33">
        <v>7</v>
      </c>
      <c r="H1922" s="33"/>
      <c r="I1922" s="31" t="s">
        <v>46</v>
      </c>
      <c r="J1922" s="31"/>
      <c r="K1922" s="33"/>
      <c r="L1922" s="33"/>
      <c r="M1922" s="31"/>
      <c r="N1922" s="31"/>
      <c r="O1922" s="16" t="s">
        <v>4008</v>
      </c>
      <c r="P1922" s="16"/>
      <c r="Q1922" s="16"/>
      <c r="R1922" s="33"/>
      <c r="S1922" s="34"/>
      <c r="T1922" s="34"/>
      <c r="U1922" s="34"/>
      <c r="V1922" s="34"/>
      <c r="W1922" s="34"/>
      <c r="X1922" s="33" t="s">
        <v>3823</v>
      </c>
      <c r="Y1922" s="35" t="str">
        <f>IF(Tabela2[[#This Row],[SIGLA]]="","",VLOOKUP(Tabela2[[#This Row],[SIGLA]],Tabela1[[#All],[Sigla Arte]:[Crédito]],2,0))</f>
        <v>RONALDO LUCENA/ARQUIVO DA EDITORA</v>
      </c>
      <c r="Z1922" s="31"/>
      <c r="AA1922" s="31" t="str">
        <f>Tabela2[[#This Row],[ILUSTRADOR CRIAÇÃO]]</f>
        <v>RONALDO LUCENA/ARQUIVO DA EDITORA</v>
      </c>
      <c r="AB1922" s="33"/>
      <c r="AC1922" s="16"/>
      <c r="AE1922" s="35" t="str">
        <f t="shared" si="31"/>
        <v>EF1 E002 Mat</v>
      </c>
    </row>
    <row r="1923" spans="1:31" ht="45" x14ac:dyDescent="0.25">
      <c r="A1923" s="31" t="s">
        <v>4009</v>
      </c>
      <c r="B1923" s="16" t="s">
        <v>401</v>
      </c>
      <c r="C1923" s="16" t="s">
        <v>164</v>
      </c>
      <c r="D1923" s="33" t="s">
        <v>34</v>
      </c>
      <c r="E1923" s="33">
        <v>102</v>
      </c>
      <c r="F1923" s="33">
        <v>5</v>
      </c>
      <c r="G1923" s="33">
        <v>7</v>
      </c>
      <c r="H1923" s="33"/>
      <c r="I1923" s="31" t="s">
        <v>46</v>
      </c>
      <c r="J1923" s="31"/>
      <c r="K1923" s="33"/>
      <c r="L1923" s="33"/>
      <c r="M1923" s="31"/>
      <c r="N1923" s="31"/>
      <c r="O1923" s="16" t="s">
        <v>4010</v>
      </c>
      <c r="P1923" s="16"/>
      <c r="Q1923" s="16"/>
      <c r="R1923" s="33"/>
      <c r="S1923" s="34"/>
      <c r="T1923" s="34"/>
      <c r="U1923" s="34"/>
      <c r="V1923" s="34"/>
      <c r="W1923" s="34"/>
      <c r="X1923" s="33" t="s">
        <v>3823</v>
      </c>
      <c r="Y1923" s="35" t="str">
        <f>IF(Tabela2[[#This Row],[SIGLA]]="","",VLOOKUP(Tabela2[[#This Row],[SIGLA]],Tabela1[[#All],[Sigla Arte]:[Crédito]],2,0))</f>
        <v>RONALDO LUCENA/ARQUIVO DA EDITORA</v>
      </c>
      <c r="Z1923" s="31"/>
      <c r="AA1923" s="31" t="str">
        <f>Tabela2[[#This Row],[ILUSTRADOR CRIAÇÃO]]</f>
        <v>RONALDO LUCENA/ARQUIVO DA EDITORA</v>
      </c>
      <c r="AB1923" s="33"/>
      <c r="AC1923" s="16"/>
      <c r="AE1923" s="35" t="str">
        <f t="shared" si="31"/>
        <v>EF1 E002 Mat</v>
      </c>
    </row>
    <row r="1924" spans="1:31" ht="45" x14ac:dyDescent="0.25">
      <c r="A1924" s="31" t="s">
        <v>4011</v>
      </c>
      <c r="B1924" s="16" t="s">
        <v>401</v>
      </c>
      <c r="C1924" s="16" t="s">
        <v>164</v>
      </c>
      <c r="D1924" s="33" t="s">
        <v>34</v>
      </c>
      <c r="E1924" s="33">
        <v>102</v>
      </c>
      <c r="F1924" s="33">
        <v>5</v>
      </c>
      <c r="G1924" s="33">
        <v>7</v>
      </c>
      <c r="H1924" s="33"/>
      <c r="I1924" s="31" t="s">
        <v>46</v>
      </c>
      <c r="J1924" s="31"/>
      <c r="K1924" s="33"/>
      <c r="L1924" s="33"/>
      <c r="M1924" s="31"/>
      <c r="N1924" s="31"/>
      <c r="O1924" s="16" t="s">
        <v>4012</v>
      </c>
      <c r="P1924" s="16"/>
      <c r="Q1924" s="16"/>
      <c r="R1924" s="33"/>
      <c r="S1924" s="34"/>
      <c r="T1924" s="34"/>
      <c r="U1924" s="34"/>
      <c r="V1924" s="34"/>
      <c r="W1924" s="34"/>
      <c r="X1924" s="33" t="s">
        <v>3823</v>
      </c>
      <c r="Y1924" s="35" t="str">
        <f>IF(Tabela2[[#This Row],[SIGLA]]="","",VLOOKUP(Tabela2[[#This Row],[SIGLA]],Tabela1[[#All],[Sigla Arte]:[Crédito]],2,0))</f>
        <v>RONALDO LUCENA/ARQUIVO DA EDITORA</v>
      </c>
      <c r="Z1924" s="31"/>
      <c r="AA1924" s="31" t="str">
        <f>Tabela2[[#This Row],[ILUSTRADOR CRIAÇÃO]]</f>
        <v>RONALDO LUCENA/ARQUIVO DA EDITORA</v>
      </c>
      <c r="AB1924" s="33"/>
      <c r="AC1924" s="16"/>
      <c r="AE1924" s="35" t="str">
        <f t="shared" si="31"/>
        <v>EF1 E002 Mat</v>
      </c>
    </row>
    <row r="1925" spans="1:31" ht="45" x14ac:dyDescent="0.25">
      <c r="A1925" s="31" t="s">
        <v>4013</v>
      </c>
      <c r="B1925" s="16" t="s">
        <v>32</v>
      </c>
      <c r="C1925" s="16" t="s">
        <v>164</v>
      </c>
      <c r="D1925" s="33" t="s">
        <v>34</v>
      </c>
      <c r="E1925" s="33">
        <v>147</v>
      </c>
      <c r="F1925" s="33">
        <v>5</v>
      </c>
      <c r="G1925" s="33">
        <v>7</v>
      </c>
      <c r="H1925" s="33"/>
      <c r="I1925" s="31" t="s">
        <v>46</v>
      </c>
      <c r="J1925" s="31"/>
      <c r="K1925" s="33"/>
      <c r="L1925" s="33"/>
      <c r="M1925" s="31"/>
      <c r="N1925" s="31"/>
      <c r="O1925" s="16" t="s">
        <v>4014</v>
      </c>
      <c r="P1925" s="16"/>
      <c r="Q1925" s="16"/>
      <c r="R1925" s="33"/>
      <c r="S1925" s="34"/>
      <c r="T1925" s="34"/>
      <c r="U1925" s="34"/>
      <c r="V1925" s="34"/>
      <c r="W1925" s="34"/>
      <c r="X1925" s="33" t="s">
        <v>4015</v>
      </c>
      <c r="Y1925" s="35" t="str">
        <f>IF(Tabela2[[#This Row],[SIGLA]]="","",VLOOKUP(Tabela2[[#This Row],[SIGLA]],Tabela1[[#All],[Sigla Arte]:[Crédito]],2,0))</f>
        <v xml:space="preserve">NOME DO ESTADO/ARQUIVO DA EDITORA
</v>
      </c>
      <c r="Z1925" s="31"/>
      <c r="AA1925" s="47" t="s">
        <v>4016</v>
      </c>
      <c r="AB1925" s="33"/>
      <c r="AC1925" s="16"/>
      <c r="AE1925" s="35" t="str">
        <f t="shared" si="31"/>
        <v>EF1 E002 Mat</v>
      </c>
    </row>
    <row r="1926" spans="1:31" ht="45" x14ac:dyDescent="0.25">
      <c r="A1926" s="31" t="s">
        <v>4017</v>
      </c>
      <c r="B1926" s="16" t="s">
        <v>32</v>
      </c>
      <c r="C1926" s="16" t="s">
        <v>164</v>
      </c>
      <c r="D1926" s="33" t="s">
        <v>34</v>
      </c>
      <c r="E1926" s="33">
        <v>147</v>
      </c>
      <c r="F1926" s="33">
        <v>5</v>
      </c>
      <c r="G1926" s="33">
        <v>7</v>
      </c>
      <c r="H1926" s="33"/>
      <c r="I1926" s="31" t="s">
        <v>46</v>
      </c>
      <c r="J1926" s="31"/>
      <c r="K1926" s="33"/>
      <c r="L1926" s="33"/>
      <c r="M1926" s="31"/>
      <c r="N1926" s="31"/>
      <c r="O1926" s="16" t="s">
        <v>4018</v>
      </c>
      <c r="P1926" s="16"/>
      <c r="Q1926" s="16"/>
      <c r="R1926" s="33"/>
      <c r="S1926" s="34"/>
      <c r="T1926" s="34"/>
      <c r="U1926" s="34"/>
      <c r="V1926" s="34"/>
      <c r="W1926" s="34"/>
      <c r="X1926" s="33" t="s">
        <v>3823</v>
      </c>
      <c r="Y1926" s="35" t="str">
        <f>IF(Tabela2[[#This Row],[SIGLA]]="","",VLOOKUP(Tabela2[[#This Row],[SIGLA]],Tabela1[[#All],[Sigla Arte]:[Crédito]],2,0))</f>
        <v>RONALDO LUCENA/ARQUIVO DA EDITORA</v>
      </c>
      <c r="Z1926" s="31"/>
      <c r="AA1926" s="31" t="str">
        <f>Tabela2[[#This Row],[ILUSTRADOR CRIAÇÃO]]</f>
        <v>RONALDO LUCENA/ARQUIVO DA EDITORA</v>
      </c>
      <c r="AB1926" s="33"/>
      <c r="AC1926" s="16"/>
      <c r="AE1926" s="35" t="str">
        <f t="shared" si="31"/>
        <v>EF1 E002 Mat</v>
      </c>
    </row>
    <row r="1927" spans="1:31" ht="45" x14ac:dyDescent="0.25">
      <c r="A1927" s="31" t="s">
        <v>4019</v>
      </c>
      <c r="B1927" s="16" t="s">
        <v>32</v>
      </c>
      <c r="C1927" s="16" t="s">
        <v>164</v>
      </c>
      <c r="D1927" s="33" t="s">
        <v>34</v>
      </c>
      <c r="E1927" s="33">
        <v>147</v>
      </c>
      <c r="F1927" s="33">
        <v>5</v>
      </c>
      <c r="G1927" s="33">
        <v>7</v>
      </c>
      <c r="H1927" s="33"/>
      <c r="I1927" s="31" t="s">
        <v>46</v>
      </c>
      <c r="J1927" s="31"/>
      <c r="K1927" s="33"/>
      <c r="L1927" s="33"/>
      <c r="M1927" s="31"/>
      <c r="N1927" s="31"/>
      <c r="O1927" s="16" t="s">
        <v>4020</v>
      </c>
      <c r="P1927" s="16"/>
      <c r="Q1927" s="16"/>
      <c r="R1927" s="33"/>
      <c r="S1927" s="34"/>
      <c r="T1927" s="34"/>
      <c r="U1927" s="34"/>
      <c r="V1927" s="34"/>
      <c r="W1927" s="34"/>
      <c r="X1927" s="33" t="s">
        <v>3823</v>
      </c>
      <c r="Y1927" s="35" t="str">
        <f>IF(Tabela2[[#This Row],[SIGLA]]="","",VLOOKUP(Tabela2[[#This Row],[SIGLA]],Tabela1[[#All],[Sigla Arte]:[Crédito]],2,0))</f>
        <v>RONALDO LUCENA/ARQUIVO DA EDITORA</v>
      </c>
      <c r="Z1927" s="31"/>
      <c r="AA1927" s="31" t="str">
        <f>Tabela2[[#This Row],[ILUSTRADOR CRIAÇÃO]]</f>
        <v>RONALDO LUCENA/ARQUIVO DA EDITORA</v>
      </c>
      <c r="AB1927" s="33"/>
      <c r="AC1927" s="16"/>
      <c r="AE1927" s="35" t="str">
        <f t="shared" si="31"/>
        <v>EF1 E002 Mat</v>
      </c>
    </row>
    <row r="1928" spans="1:31" ht="45" x14ac:dyDescent="0.25">
      <c r="A1928" s="31" t="s">
        <v>4021</v>
      </c>
      <c r="B1928" s="16" t="s">
        <v>32</v>
      </c>
      <c r="C1928" s="16" t="s">
        <v>164</v>
      </c>
      <c r="D1928" s="33" t="s">
        <v>34</v>
      </c>
      <c r="E1928" s="33">
        <v>147</v>
      </c>
      <c r="F1928" s="33">
        <v>5</v>
      </c>
      <c r="G1928" s="33">
        <v>7</v>
      </c>
      <c r="H1928" s="33"/>
      <c r="I1928" s="31" t="s">
        <v>46</v>
      </c>
      <c r="J1928" s="31"/>
      <c r="K1928" s="33"/>
      <c r="L1928" s="33"/>
      <c r="M1928" s="31"/>
      <c r="N1928" s="31"/>
      <c r="O1928" s="16" t="s">
        <v>4022</v>
      </c>
      <c r="P1928" s="16"/>
      <c r="Q1928" s="16"/>
      <c r="R1928" s="33"/>
      <c r="S1928" s="34"/>
      <c r="T1928" s="34"/>
      <c r="U1928" s="34"/>
      <c r="V1928" s="34"/>
      <c r="W1928" s="34"/>
      <c r="X1928" s="33" t="s">
        <v>3823</v>
      </c>
      <c r="Y1928" s="35" t="str">
        <f>IF(Tabela2[[#This Row],[SIGLA]]="","",VLOOKUP(Tabela2[[#This Row],[SIGLA]],Tabela1[[#All],[Sigla Arte]:[Crédito]],2,0))</f>
        <v>RONALDO LUCENA/ARQUIVO DA EDITORA</v>
      </c>
      <c r="Z1928" s="31"/>
      <c r="AA1928" s="31" t="str">
        <f>Tabela2[[#This Row],[ILUSTRADOR CRIAÇÃO]]</f>
        <v>RONALDO LUCENA/ARQUIVO DA EDITORA</v>
      </c>
      <c r="AB1928" s="33"/>
      <c r="AC1928" s="16"/>
      <c r="AE1928" s="35" t="str">
        <f t="shared" si="31"/>
        <v>EF1 E002 Mat</v>
      </c>
    </row>
    <row r="1929" spans="1:31" ht="45" x14ac:dyDescent="0.25">
      <c r="A1929" s="31" t="s">
        <v>4023</v>
      </c>
      <c r="B1929" s="16" t="s">
        <v>32</v>
      </c>
      <c r="C1929" s="16" t="s">
        <v>164</v>
      </c>
      <c r="D1929" s="33" t="s">
        <v>34</v>
      </c>
      <c r="E1929" s="33">
        <v>148</v>
      </c>
      <c r="F1929" s="33">
        <v>5</v>
      </c>
      <c r="G1929" s="33">
        <v>7</v>
      </c>
      <c r="H1929" s="33"/>
      <c r="I1929" s="31" t="s">
        <v>46</v>
      </c>
      <c r="J1929" s="31"/>
      <c r="K1929" s="33"/>
      <c r="L1929" s="33"/>
      <c r="M1929" s="31"/>
      <c r="N1929" s="31"/>
      <c r="O1929" s="16" t="s">
        <v>4024</v>
      </c>
      <c r="P1929" s="16"/>
      <c r="Q1929" s="16"/>
      <c r="R1929" s="33"/>
      <c r="S1929" s="34"/>
      <c r="T1929" s="34"/>
      <c r="U1929" s="34"/>
      <c r="V1929" s="34"/>
      <c r="W1929" s="34"/>
      <c r="X1929" s="33" t="s">
        <v>3443</v>
      </c>
      <c r="Y1929" s="35" t="str">
        <f>IF(Tabela2[[#This Row],[SIGLA]]="","",VLOOKUP(Tabela2[[#This Row],[SIGLA]],Tabela1[[#All],[Sigla Arte]:[Crédito]],2,0))</f>
        <v>VINÍCIUS COSTA/ARQUIVO DA EDITORA</v>
      </c>
      <c r="Z1929" s="31"/>
      <c r="AA1929" s="31" t="str">
        <f>Tabela2[[#This Row],[ILUSTRADOR CRIAÇÃO]]</f>
        <v>VINÍCIUS COSTA/ARQUIVO DA EDITORA</v>
      </c>
      <c r="AB1929" s="33"/>
      <c r="AC1929" s="16"/>
      <c r="AE1929" s="35" t="str">
        <f t="shared" si="31"/>
        <v>EF1 E002 Mat</v>
      </c>
    </row>
    <row r="1930" spans="1:31" ht="45" x14ac:dyDescent="0.25">
      <c r="A1930" s="31" t="s">
        <v>4025</v>
      </c>
      <c r="B1930" s="16" t="s">
        <v>32</v>
      </c>
      <c r="C1930" s="16" t="s">
        <v>164</v>
      </c>
      <c r="D1930" s="33" t="s">
        <v>34</v>
      </c>
      <c r="E1930" s="33">
        <v>147</v>
      </c>
      <c r="F1930" s="33">
        <v>5</v>
      </c>
      <c r="G1930" s="33">
        <v>7</v>
      </c>
      <c r="H1930" s="33"/>
      <c r="I1930" s="31" t="s">
        <v>46</v>
      </c>
      <c r="J1930" s="31"/>
      <c r="K1930" s="33"/>
      <c r="L1930" s="33"/>
      <c r="M1930" s="31"/>
      <c r="N1930" s="31"/>
      <c r="O1930" s="16" t="s">
        <v>4026</v>
      </c>
      <c r="P1930" s="16"/>
      <c r="Q1930" s="16"/>
      <c r="R1930" s="33"/>
      <c r="S1930" s="34"/>
      <c r="T1930" s="34"/>
      <c r="U1930" s="34"/>
      <c r="V1930" s="34"/>
      <c r="W1930" s="34"/>
      <c r="X1930" s="33" t="s">
        <v>184</v>
      </c>
      <c r="Y1930" s="35" t="str">
        <f>IF(Tabela2[[#This Row],[SIGLA]]="","",VLOOKUP(Tabela2[[#This Row],[SIGLA]],Tabela1[[#All],[Sigla Arte]:[Crédito]],2,0))</f>
        <v>VER DOCUMENTO DE ILS. TÉCNICAS</v>
      </c>
      <c r="Z1930" s="31"/>
      <c r="AA1930" s="31" t="s">
        <v>2050</v>
      </c>
      <c r="AB1930" s="33"/>
      <c r="AC1930" s="16"/>
      <c r="AE1930" s="35" t="str">
        <f t="shared" si="31"/>
        <v>EF1 E002 Mat</v>
      </c>
    </row>
    <row r="1931" spans="1:31" ht="60" x14ac:dyDescent="0.25">
      <c r="A1931" s="31" t="s">
        <v>4027</v>
      </c>
      <c r="B1931" s="16" t="s">
        <v>32</v>
      </c>
      <c r="C1931" s="16" t="s">
        <v>164</v>
      </c>
      <c r="D1931" s="33" t="s">
        <v>34</v>
      </c>
      <c r="E1931" s="33">
        <v>149</v>
      </c>
      <c r="F1931" s="33">
        <v>5</v>
      </c>
      <c r="G1931" s="33">
        <v>7</v>
      </c>
      <c r="H1931" s="33"/>
      <c r="I1931" s="31" t="s">
        <v>46</v>
      </c>
      <c r="J1931" s="31"/>
      <c r="K1931" s="33"/>
      <c r="L1931" s="33"/>
      <c r="M1931" s="31"/>
      <c r="N1931" s="31"/>
      <c r="O1931" s="16" t="s">
        <v>4028</v>
      </c>
      <c r="P1931" s="16"/>
      <c r="Q1931" s="16"/>
      <c r="R1931" s="33"/>
      <c r="S1931" s="34"/>
      <c r="T1931" s="34"/>
      <c r="U1931" s="34"/>
      <c r="V1931" s="34"/>
      <c r="W1931" s="34"/>
      <c r="X1931" s="33" t="s">
        <v>184</v>
      </c>
      <c r="Y1931" s="35" t="str">
        <f>IF(Tabela2[[#This Row],[SIGLA]]="","",VLOOKUP(Tabela2[[#This Row],[SIGLA]],Tabela1[[#All],[Sigla Arte]:[Crédito]],2,0))</f>
        <v>VER DOCUMENTO DE ILS. TÉCNICAS</v>
      </c>
      <c r="Z1931" s="31"/>
      <c r="AA1931" s="31" t="s">
        <v>2050</v>
      </c>
      <c r="AB1931" s="33"/>
      <c r="AC1931" s="16"/>
      <c r="AE1931" s="35" t="str">
        <f t="shared" si="31"/>
        <v>EF1 E002 Mat</v>
      </c>
    </row>
    <row r="1932" spans="1:31" ht="45" x14ac:dyDescent="0.25">
      <c r="A1932" s="31" t="s">
        <v>4029</v>
      </c>
      <c r="B1932" s="16" t="s">
        <v>32</v>
      </c>
      <c r="C1932" s="16" t="s">
        <v>164</v>
      </c>
      <c r="D1932" s="33" t="s">
        <v>34</v>
      </c>
      <c r="E1932" s="33">
        <v>150</v>
      </c>
      <c r="F1932" s="33">
        <v>5</v>
      </c>
      <c r="G1932" s="33">
        <v>7</v>
      </c>
      <c r="H1932" s="33"/>
      <c r="I1932" s="31" t="s">
        <v>46</v>
      </c>
      <c r="J1932" s="31"/>
      <c r="K1932" s="33"/>
      <c r="L1932" s="33"/>
      <c r="M1932" s="31"/>
      <c r="N1932" s="31"/>
      <c r="O1932" s="16" t="s">
        <v>4030</v>
      </c>
      <c r="P1932" s="16"/>
      <c r="Q1932" s="16"/>
      <c r="R1932" s="33"/>
      <c r="S1932" s="34"/>
      <c r="T1932" s="34"/>
      <c r="U1932" s="34"/>
      <c r="V1932" s="34"/>
      <c r="W1932" s="34"/>
      <c r="X1932" s="33" t="s">
        <v>3823</v>
      </c>
      <c r="Y1932" s="35" t="str">
        <f>IF(Tabela2[[#This Row],[SIGLA]]="","",VLOOKUP(Tabela2[[#This Row],[SIGLA]],Tabela1[[#All],[Sigla Arte]:[Crédito]],2,0))</f>
        <v>RONALDO LUCENA/ARQUIVO DA EDITORA</v>
      </c>
      <c r="Z1932" s="31"/>
      <c r="AA1932" s="31" t="str">
        <f>Tabela2[[#This Row],[ILUSTRADOR CRIAÇÃO]]</f>
        <v>RONALDO LUCENA/ARQUIVO DA EDITORA</v>
      </c>
      <c r="AB1932" s="33"/>
      <c r="AC1932" s="16"/>
      <c r="AE1932" s="35" t="str">
        <f t="shared" si="31"/>
        <v>EF1 E002 Mat</v>
      </c>
    </row>
    <row r="1933" spans="1:31" ht="30" x14ac:dyDescent="0.25">
      <c r="A1933" s="31" t="s">
        <v>4031</v>
      </c>
      <c r="B1933" s="16" t="s">
        <v>32</v>
      </c>
      <c r="C1933" s="16" t="s">
        <v>164</v>
      </c>
      <c r="D1933" s="33" t="s">
        <v>34</v>
      </c>
      <c r="E1933" s="33">
        <v>150</v>
      </c>
      <c r="F1933" s="33">
        <v>5</v>
      </c>
      <c r="G1933" s="33">
        <v>7</v>
      </c>
      <c r="H1933" s="33"/>
      <c r="I1933" s="31" t="s">
        <v>46</v>
      </c>
      <c r="J1933" s="31"/>
      <c r="K1933" s="33"/>
      <c r="L1933" s="33"/>
      <c r="M1933" s="31"/>
      <c r="N1933" s="31"/>
      <c r="O1933" s="16" t="s">
        <v>4032</v>
      </c>
      <c r="P1933" s="16"/>
      <c r="Q1933" s="16"/>
      <c r="R1933" s="33"/>
      <c r="S1933" s="34"/>
      <c r="T1933" s="34"/>
      <c r="U1933" s="34"/>
      <c r="V1933" s="34"/>
      <c r="W1933" s="34"/>
      <c r="X1933" s="33" t="s">
        <v>3823</v>
      </c>
      <c r="Y1933" s="35" t="str">
        <f>IF(Tabela2[[#This Row],[SIGLA]]="","",VLOOKUP(Tabela2[[#This Row],[SIGLA]],Tabela1[[#All],[Sigla Arte]:[Crédito]],2,0))</f>
        <v>RONALDO LUCENA/ARQUIVO DA EDITORA</v>
      </c>
      <c r="Z1933" s="31"/>
      <c r="AA1933" s="31" t="str">
        <f>Tabela2[[#This Row],[ILUSTRADOR CRIAÇÃO]]</f>
        <v>RONALDO LUCENA/ARQUIVO DA EDITORA</v>
      </c>
      <c r="AB1933" s="33"/>
      <c r="AC1933" s="16"/>
      <c r="AE1933" s="35" t="str">
        <f t="shared" si="31"/>
        <v>EF1 E002 Mat</v>
      </c>
    </row>
    <row r="1934" spans="1:31" ht="30" x14ac:dyDescent="0.25">
      <c r="A1934" s="31" t="s">
        <v>4033</v>
      </c>
      <c r="B1934" s="16" t="s">
        <v>32</v>
      </c>
      <c r="C1934" s="16" t="s">
        <v>164</v>
      </c>
      <c r="D1934" s="33" t="s">
        <v>34</v>
      </c>
      <c r="E1934" s="33">
        <v>150</v>
      </c>
      <c r="F1934" s="33">
        <v>5</v>
      </c>
      <c r="G1934" s="33">
        <v>7</v>
      </c>
      <c r="H1934" s="33"/>
      <c r="I1934" s="31" t="s">
        <v>46</v>
      </c>
      <c r="J1934" s="31"/>
      <c r="K1934" s="33"/>
      <c r="L1934" s="33"/>
      <c r="M1934" s="31"/>
      <c r="N1934" s="31"/>
      <c r="O1934" s="16" t="s">
        <v>4034</v>
      </c>
      <c r="P1934" s="16"/>
      <c r="Q1934" s="16"/>
      <c r="R1934" s="33"/>
      <c r="S1934" s="34"/>
      <c r="T1934" s="34"/>
      <c r="U1934" s="34"/>
      <c r="V1934" s="34"/>
      <c r="W1934" s="34"/>
      <c r="X1934" s="33" t="s">
        <v>3823</v>
      </c>
      <c r="Y1934" s="35" t="str">
        <f>IF(Tabela2[[#This Row],[SIGLA]]="","",VLOOKUP(Tabela2[[#This Row],[SIGLA]],Tabela1[[#All],[Sigla Arte]:[Crédito]],2,0))</f>
        <v>RONALDO LUCENA/ARQUIVO DA EDITORA</v>
      </c>
      <c r="Z1934" s="31"/>
      <c r="AA1934" s="31" t="str">
        <f>Tabela2[[#This Row],[ILUSTRADOR CRIAÇÃO]]</f>
        <v>RONALDO LUCENA/ARQUIVO DA EDITORA</v>
      </c>
      <c r="AB1934" s="33"/>
      <c r="AC1934" s="16"/>
      <c r="AE1934" s="35" t="str">
        <f t="shared" si="31"/>
        <v>EF1 E002 Mat</v>
      </c>
    </row>
    <row r="1935" spans="1:31" ht="30" x14ac:dyDescent="0.25">
      <c r="A1935" s="31" t="s">
        <v>4035</v>
      </c>
      <c r="B1935" s="16" t="s">
        <v>32</v>
      </c>
      <c r="C1935" s="16" t="s">
        <v>164</v>
      </c>
      <c r="D1935" s="33" t="s">
        <v>34</v>
      </c>
      <c r="E1935" s="33">
        <v>150</v>
      </c>
      <c r="F1935" s="33">
        <v>5</v>
      </c>
      <c r="G1935" s="33">
        <v>7</v>
      </c>
      <c r="H1935" s="33"/>
      <c r="I1935" s="31" t="s">
        <v>46</v>
      </c>
      <c r="J1935" s="31"/>
      <c r="K1935" s="33"/>
      <c r="L1935" s="33"/>
      <c r="M1935" s="31"/>
      <c r="N1935" s="31"/>
      <c r="O1935" s="16" t="s">
        <v>4036</v>
      </c>
      <c r="P1935" s="16"/>
      <c r="Q1935" s="16"/>
      <c r="R1935" s="33"/>
      <c r="S1935" s="34"/>
      <c r="T1935" s="34"/>
      <c r="U1935" s="34"/>
      <c r="V1935" s="34"/>
      <c r="W1935" s="34"/>
      <c r="X1935" s="33" t="s">
        <v>3823</v>
      </c>
      <c r="Y1935" s="35" t="str">
        <f>IF(Tabela2[[#This Row],[SIGLA]]="","",VLOOKUP(Tabela2[[#This Row],[SIGLA]],Tabela1[[#All],[Sigla Arte]:[Crédito]],2,0))</f>
        <v>RONALDO LUCENA/ARQUIVO DA EDITORA</v>
      </c>
      <c r="Z1935" s="31"/>
      <c r="AA1935" s="31" t="str">
        <f>Tabela2[[#This Row],[ILUSTRADOR CRIAÇÃO]]</f>
        <v>RONALDO LUCENA/ARQUIVO DA EDITORA</v>
      </c>
      <c r="AB1935" s="33"/>
      <c r="AC1935" s="16"/>
      <c r="AE1935" s="35" t="str">
        <f t="shared" si="31"/>
        <v>EF1 E002 Mat</v>
      </c>
    </row>
    <row r="1936" spans="1:31" ht="45" x14ac:dyDescent="0.25">
      <c r="A1936" s="31" t="s">
        <v>4037</v>
      </c>
      <c r="B1936" s="16" t="s">
        <v>32</v>
      </c>
      <c r="C1936" s="16" t="s">
        <v>164</v>
      </c>
      <c r="D1936" s="33" t="s">
        <v>34</v>
      </c>
      <c r="E1936" s="33">
        <v>150</v>
      </c>
      <c r="F1936" s="33">
        <v>5</v>
      </c>
      <c r="G1936" s="33">
        <v>7</v>
      </c>
      <c r="H1936" s="33"/>
      <c r="I1936" s="31" t="s">
        <v>46</v>
      </c>
      <c r="J1936" s="31"/>
      <c r="K1936" s="33"/>
      <c r="L1936" s="33"/>
      <c r="M1936" s="31"/>
      <c r="N1936" s="31"/>
      <c r="O1936" s="16" t="s">
        <v>4038</v>
      </c>
      <c r="P1936" s="16"/>
      <c r="Q1936" s="16"/>
      <c r="R1936" s="33"/>
      <c r="S1936" s="34"/>
      <c r="T1936" s="34"/>
      <c r="U1936" s="34"/>
      <c r="V1936" s="34"/>
      <c r="W1936" s="34"/>
      <c r="X1936" s="33" t="s">
        <v>3823</v>
      </c>
      <c r="Y1936" s="35" t="str">
        <f>IF(Tabela2[[#This Row],[SIGLA]]="","",VLOOKUP(Tabela2[[#This Row],[SIGLA]],Tabela1[[#All],[Sigla Arte]:[Crédito]],2,0))</f>
        <v>RONALDO LUCENA/ARQUIVO DA EDITORA</v>
      </c>
      <c r="Z1936" s="31"/>
      <c r="AA1936" s="31" t="str">
        <f>Tabela2[[#This Row],[ILUSTRADOR CRIAÇÃO]]</f>
        <v>RONALDO LUCENA/ARQUIVO DA EDITORA</v>
      </c>
      <c r="AB1936" s="33"/>
      <c r="AC1936" s="16"/>
      <c r="AE1936" s="35" t="str">
        <f t="shared" si="31"/>
        <v>EF1 E002 Mat</v>
      </c>
    </row>
    <row r="1937" spans="1:31" ht="45" x14ac:dyDescent="0.25">
      <c r="A1937" s="31" t="s">
        <v>4039</v>
      </c>
      <c r="B1937" s="16" t="s">
        <v>32</v>
      </c>
      <c r="C1937" s="16" t="s">
        <v>164</v>
      </c>
      <c r="D1937" s="33" t="s">
        <v>34</v>
      </c>
      <c r="E1937" s="33">
        <v>150</v>
      </c>
      <c r="F1937" s="33">
        <v>5</v>
      </c>
      <c r="G1937" s="33">
        <v>7</v>
      </c>
      <c r="H1937" s="33"/>
      <c r="I1937" s="31" t="s">
        <v>46</v>
      </c>
      <c r="J1937" s="31"/>
      <c r="K1937" s="33"/>
      <c r="L1937" s="33"/>
      <c r="M1937" s="31"/>
      <c r="N1937" s="31"/>
      <c r="O1937" s="16" t="s">
        <v>4040</v>
      </c>
      <c r="P1937" s="16"/>
      <c r="Q1937" s="16"/>
      <c r="R1937" s="33"/>
      <c r="S1937" s="34"/>
      <c r="T1937" s="34"/>
      <c r="U1937" s="34"/>
      <c r="V1937" s="34"/>
      <c r="W1937" s="34"/>
      <c r="X1937" s="33" t="s">
        <v>3823</v>
      </c>
      <c r="Y1937" s="35" t="str">
        <f>IF(Tabela2[[#This Row],[SIGLA]]="","",VLOOKUP(Tabela2[[#This Row],[SIGLA]],Tabela1[[#All],[Sigla Arte]:[Crédito]],2,0))</f>
        <v>RONALDO LUCENA/ARQUIVO DA EDITORA</v>
      </c>
      <c r="Z1937" s="31"/>
      <c r="AA1937" s="31" t="str">
        <f>Tabela2[[#This Row],[ILUSTRADOR CRIAÇÃO]]</f>
        <v>RONALDO LUCENA/ARQUIVO DA EDITORA</v>
      </c>
      <c r="AB1937" s="33"/>
      <c r="AC1937" s="16"/>
      <c r="AE1937" s="35" t="str">
        <f t="shared" si="31"/>
        <v>EF1 E002 Mat</v>
      </c>
    </row>
    <row r="1938" spans="1:31" ht="60" x14ac:dyDescent="0.25">
      <c r="A1938" s="31" t="s">
        <v>4041</v>
      </c>
      <c r="B1938" s="16" t="s">
        <v>32</v>
      </c>
      <c r="C1938" s="16" t="s">
        <v>164</v>
      </c>
      <c r="D1938" s="33" t="s">
        <v>34</v>
      </c>
      <c r="E1938" s="33">
        <v>150</v>
      </c>
      <c r="F1938" s="33">
        <v>5</v>
      </c>
      <c r="G1938" s="33">
        <v>7</v>
      </c>
      <c r="H1938" s="33"/>
      <c r="I1938" s="31" t="s">
        <v>46</v>
      </c>
      <c r="J1938" s="31"/>
      <c r="K1938" s="33"/>
      <c r="L1938" s="33"/>
      <c r="M1938" s="31"/>
      <c r="N1938" s="31"/>
      <c r="O1938" s="16" t="s">
        <v>4042</v>
      </c>
      <c r="P1938" s="16"/>
      <c r="Q1938" s="16"/>
      <c r="R1938" s="33"/>
      <c r="S1938" s="34"/>
      <c r="T1938" s="34"/>
      <c r="U1938" s="34"/>
      <c r="V1938" s="34"/>
      <c r="W1938" s="34"/>
      <c r="X1938" s="33" t="s">
        <v>3823</v>
      </c>
      <c r="Y1938" s="35" t="str">
        <f>IF(Tabela2[[#This Row],[SIGLA]]="","",VLOOKUP(Tabela2[[#This Row],[SIGLA]],Tabela1[[#All],[Sigla Arte]:[Crédito]],2,0))</f>
        <v>RONALDO LUCENA/ARQUIVO DA EDITORA</v>
      </c>
      <c r="Z1938" s="31"/>
      <c r="AA1938" s="31" t="str">
        <f>Tabela2[[#This Row],[ILUSTRADOR CRIAÇÃO]]</f>
        <v>RONALDO LUCENA/ARQUIVO DA EDITORA</v>
      </c>
      <c r="AB1938" s="33"/>
      <c r="AC1938" s="16"/>
      <c r="AE1938" s="35" t="str">
        <f t="shared" si="31"/>
        <v>EF1 E002 Mat</v>
      </c>
    </row>
    <row r="1939" spans="1:31" ht="60" x14ac:dyDescent="0.25">
      <c r="A1939" s="31" t="s">
        <v>4043</v>
      </c>
      <c r="B1939" s="16" t="s">
        <v>32</v>
      </c>
      <c r="C1939" s="16" t="s">
        <v>33</v>
      </c>
      <c r="D1939" s="33" t="s">
        <v>34</v>
      </c>
      <c r="E1939" s="33">
        <v>151</v>
      </c>
      <c r="F1939" s="33">
        <v>5</v>
      </c>
      <c r="G1939" s="33">
        <v>7</v>
      </c>
      <c r="H1939" s="33"/>
      <c r="I1939" s="31" t="s">
        <v>46</v>
      </c>
      <c r="J1939" s="31"/>
      <c r="K1939" s="33"/>
      <c r="L1939" s="33"/>
      <c r="M1939" s="31"/>
      <c r="N1939" s="31"/>
      <c r="O1939" s="16" t="s">
        <v>4044</v>
      </c>
      <c r="P1939" s="16"/>
      <c r="Q1939" s="16"/>
      <c r="R1939" s="33"/>
      <c r="S1939" s="34"/>
      <c r="T1939" s="34"/>
      <c r="U1939" s="34"/>
      <c r="V1939" s="34"/>
      <c r="W1939" s="34"/>
      <c r="X1939" s="33" t="s">
        <v>184</v>
      </c>
      <c r="Y1939" s="35" t="str">
        <f>IF(Tabela2[[#This Row],[SIGLA]]="","",VLOOKUP(Tabela2[[#This Row],[SIGLA]],Tabela1[[#All],[Sigla Arte]:[Crédito]],2,0))</f>
        <v>VER DOCUMENTO DE ILS. TÉCNICAS</v>
      </c>
      <c r="Z1939" s="31"/>
      <c r="AA1939" s="31" t="s">
        <v>3229</v>
      </c>
      <c r="AB1939" s="33"/>
      <c r="AC1939" s="16"/>
      <c r="AE1939" s="35" t="str">
        <f t="shared" si="31"/>
        <v>EF1 E002 Mat</v>
      </c>
    </row>
    <row r="1940" spans="1:31" ht="60" x14ac:dyDescent="0.25">
      <c r="A1940" s="31" t="s">
        <v>4045</v>
      </c>
      <c r="B1940" s="16" t="s">
        <v>32</v>
      </c>
      <c r="C1940" s="16" t="s">
        <v>33</v>
      </c>
      <c r="D1940" s="33" t="s">
        <v>34</v>
      </c>
      <c r="E1940" s="33">
        <v>151</v>
      </c>
      <c r="F1940" s="33">
        <v>5</v>
      </c>
      <c r="G1940" s="33">
        <v>7</v>
      </c>
      <c r="H1940" s="33"/>
      <c r="I1940" s="31" t="s">
        <v>46</v>
      </c>
      <c r="J1940" s="31"/>
      <c r="K1940" s="33"/>
      <c r="L1940" s="33"/>
      <c r="M1940" s="31"/>
      <c r="N1940" s="31"/>
      <c r="O1940" s="16" t="s">
        <v>4046</v>
      </c>
      <c r="P1940" s="16"/>
      <c r="Q1940" s="16"/>
      <c r="R1940" s="33"/>
      <c r="S1940" s="34"/>
      <c r="T1940" s="34"/>
      <c r="U1940" s="34"/>
      <c r="V1940" s="34"/>
      <c r="W1940" s="34"/>
      <c r="X1940" s="33" t="s">
        <v>715</v>
      </c>
      <c r="Y1940" s="35" t="str">
        <f>IF(Tabela2[[#This Row],[SIGLA]]="","",VLOOKUP(Tabela2[[#This Row],[SIGLA]],Tabela1[[#All],[Sigla Arte]:[Crédito]],2,0))</f>
        <v>RAFAELA H. PEREIRA/ARQUIVO DA EDITORA</v>
      </c>
      <c r="Z1940" s="31"/>
      <c r="AA1940" s="31" t="str">
        <f>Tabela2[[#This Row],[ILUSTRADOR CRIAÇÃO]]</f>
        <v>RAFAELA H. PEREIRA/ARQUIVO DA EDITORA</v>
      </c>
      <c r="AB1940" s="33"/>
      <c r="AC1940" s="16"/>
      <c r="AE1940" s="35" t="str">
        <f t="shared" si="31"/>
        <v>EF1 E002 Mat</v>
      </c>
    </row>
    <row r="1941" spans="1:31" ht="45" x14ac:dyDescent="0.25">
      <c r="A1941" s="31" t="s">
        <v>4047</v>
      </c>
      <c r="B1941" s="16" t="s">
        <v>32</v>
      </c>
      <c r="C1941" s="16" t="s">
        <v>33</v>
      </c>
      <c r="D1941" s="33" t="s">
        <v>34</v>
      </c>
      <c r="E1941" s="33">
        <v>151</v>
      </c>
      <c r="F1941" s="33">
        <v>5</v>
      </c>
      <c r="G1941" s="33">
        <v>7</v>
      </c>
      <c r="H1941" s="33"/>
      <c r="I1941" s="31" t="s">
        <v>46</v>
      </c>
      <c r="J1941" s="31"/>
      <c r="K1941" s="33"/>
      <c r="L1941" s="33"/>
      <c r="M1941" s="31"/>
      <c r="N1941" s="31"/>
      <c r="O1941" s="16" t="s">
        <v>4048</v>
      </c>
      <c r="P1941" s="16"/>
      <c r="Q1941" s="16"/>
      <c r="R1941" s="33"/>
      <c r="S1941" s="34"/>
      <c r="T1941" s="34"/>
      <c r="U1941" s="34"/>
      <c r="V1941" s="34"/>
      <c r="W1941" s="34"/>
      <c r="X1941" s="33" t="s">
        <v>715</v>
      </c>
      <c r="Y1941" s="35" t="str">
        <f>IF(Tabela2[[#This Row],[SIGLA]]="","",VLOOKUP(Tabela2[[#This Row],[SIGLA]],Tabela1[[#All],[Sigla Arte]:[Crédito]],2,0))</f>
        <v>RAFAELA H. PEREIRA/ARQUIVO DA EDITORA</v>
      </c>
      <c r="Z1941" s="31"/>
      <c r="AA1941" s="31" t="str">
        <f>Tabela2[[#This Row],[ILUSTRADOR CRIAÇÃO]]</f>
        <v>RAFAELA H. PEREIRA/ARQUIVO DA EDITORA</v>
      </c>
      <c r="AB1941" s="33"/>
      <c r="AC1941" s="16"/>
      <c r="AE1941" s="35" t="str">
        <f t="shared" si="31"/>
        <v>EF1 E002 Mat</v>
      </c>
    </row>
    <row r="1942" spans="1:31" ht="75" x14ac:dyDescent="0.25">
      <c r="A1942" s="31" t="s">
        <v>4049</v>
      </c>
      <c r="B1942" s="16" t="s">
        <v>32</v>
      </c>
      <c r="C1942" s="16" t="s">
        <v>164</v>
      </c>
      <c r="D1942" s="33" t="s">
        <v>34</v>
      </c>
      <c r="E1942" s="33">
        <v>151</v>
      </c>
      <c r="F1942" s="33">
        <v>5</v>
      </c>
      <c r="G1942" s="33">
        <v>7</v>
      </c>
      <c r="H1942" s="33"/>
      <c r="I1942" s="31" t="s">
        <v>46</v>
      </c>
      <c r="J1942" s="31"/>
      <c r="K1942" s="33"/>
      <c r="L1942" s="33"/>
      <c r="M1942" s="31"/>
      <c r="N1942" s="31"/>
      <c r="O1942" s="16" t="s">
        <v>4050</v>
      </c>
      <c r="P1942" s="16"/>
      <c r="Q1942" s="16"/>
      <c r="R1942" s="33"/>
      <c r="S1942" s="34"/>
      <c r="T1942" s="34"/>
      <c r="U1942" s="34"/>
      <c r="V1942" s="34"/>
      <c r="W1942" s="34"/>
      <c r="X1942" s="33" t="s">
        <v>715</v>
      </c>
      <c r="Y1942" s="35" t="str">
        <f>IF(Tabela2[[#This Row],[SIGLA]]="","",VLOOKUP(Tabela2[[#This Row],[SIGLA]],Tabela1[[#All],[Sigla Arte]:[Crédito]],2,0))</f>
        <v>RAFAELA H. PEREIRA/ARQUIVO DA EDITORA</v>
      </c>
      <c r="Z1942" s="31"/>
      <c r="AA1942" s="31" t="str">
        <f>Tabela2[[#This Row],[ILUSTRADOR CRIAÇÃO]]</f>
        <v>RAFAELA H. PEREIRA/ARQUIVO DA EDITORA</v>
      </c>
      <c r="AB1942" s="33"/>
      <c r="AC1942" s="16"/>
      <c r="AE1942" s="35" t="str">
        <f t="shared" si="31"/>
        <v>EF1 E002 Mat</v>
      </c>
    </row>
    <row r="1943" spans="1:31" ht="45" x14ac:dyDescent="0.25">
      <c r="A1943" s="31" t="s">
        <v>4051</v>
      </c>
      <c r="B1943" s="16" t="s">
        <v>32</v>
      </c>
      <c r="C1943" s="16" t="s">
        <v>164</v>
      </c>
      <c r="D1943" s="33" t="s">
        <v>34</v>
      </c>
      <c r="E1943" s="33">
        <v>153</v>
      </c>
      <c r="F1943" s="33">
        <v>5</v>
      </c>
      <c r="G1943" s="33">
        <v>7</v>
      </c>
      <c r="H1943" s="33"/>
      <c r="I1943" s="31" t="s">
        <v>46</v>
      </c>
      <c r="J1943" s="31"/>
      <c r="K1943" s="33"/>
      <c r="L1943" s="33"/>
      <c r="M1943" s="31"/>
      <c r="N1943" s="31"/>
      <c r="O1943" s="16" t="s">
        <v>4052</v>
      </c>
      <c r="P1943" s="16"/>
      <c r="Q1943" s="16"/>
      <c r="R1943" s="33"/>
      <c r="S1943" s="34"/>
      <c r="T1943" s="34"/>
      <c r="U1943" s="34"/>
      <c r="V1943" s="34"/>
      <c r="W1943" s="34"/>
      <c r="X1943" s="33" t="s">
        <v>184</v>
      </c>
      <c r="Y1943" s="35" t="str">
        <f>IF(Tabela2[[#This Row],[SIGLA]]="","",VLOOKUP(Tabela2[[#This Row],[SIGLA]],Tabela1[[#All],[Sigla Arte]:[Crédito]],2,0))</f>
        <v>VER DOCUMENTO DE ILS. TÉCNICAS</v>
      </c>
      <c r="Z1943" s="31"/>
      <c r="AA1943" s="31" t="s">
        <v>2050</v>
      </c>
      <c r="AB1943" s="33"/>
      <c r="AC1943" s="16"/>
      <c r="AE1943" s="35" t="str">
        <f t="shared" si="31"/>
        <v>EF1 E002 Mat</v>
      </c>
    </row>
    <row r="1944" spans="1:31" ht="90" x14ac:dyDescent="0.25">
      <c r="A1944" s="31" t="s">
        <v>4053</v>
      </c>
      <c r="B1944" s="16" t="s">
        <v>32</v>
      </c>
      <c r="C1944" s="16" t="s">
        <v>164</v>
      </c>
      <c r="D1944" s="33" t="s">
        <v>34</v>
      </c>
      <c r="E1944" s="33">
        <v>154</v>
      </c>
      <c r="F1944" s="33">
        <v>5</v>
      </c>
      <c r="G1944" s="33">
        <v>7</v>
      </c>
      <c r="H1944" s="33"/>
      <c r="I1944" s="31" t="s">
        <v>35</v>
      </c>
      <c r="J1944" s="31"/>
      <c r="K1944" s="33"/>
      <c r="L1944" s="33"/>
      <c r="M1944" s="31"/>
      <c r="N1944" s="31"/>
      <c r="O1944" s="16" t="s">
        <v>4054</v>
      </c>
      <c r="P1944" s="16"/>
      <c r="Q1944" s="16"/>
      <c r="R1944" s="33">
        <v>52</v>
      </c>
      <c r="S1944" s="34">
        <v>45811</v>
      </c>
      <c r="T1944" s="34">
        <v>45812</v>
      </c>
      <c r="U1944" s="34"/>
      <c r="V1944" s="34"/>
      <c r="W1944" s="34">
        <v>45812</v>
      </c>
      <c r="X1944" s="33" t="s">
        <v>184</v>
      </c>
      <c r="Y1944" s="35" t="str">
        <f>IF(Tabela2[[#This Row],[SIGLA]]="","",VLOOKUP(Tabela2[[#This Row],[SIGLA]],Tabela1[[#All],[Sigla Arte]:[Crédito]],2,0))</f>
        <v>VER DOCUMENTO DE ILS. TÉCNICAS</v>
      </c>
      <c r="Z1944" s="31" t="s">
        <v>1226</v>
      </c>
      <c r="AA1944" s="31" t="s">
        <v>2050</v>
      </c>
      <c r="AB1944" s="33"/>
      <c r="AC1944" s="16" t="s">
        <v>44</v>
      </c>
      <c r="AD1944" s="16" t="s">
        <v>40</v>
      </c>
      <c r="AE1944" s="35" t="str">
        <f t="shared" si="31"/>
        <v>EF1 E002 Mat</v>
      </c>
    </row>
    <row r="1945" spans="1:31" ht="45" x14ac:dyDescent="0.25">
      <c r="A1945" s="31" t="s">
        <v>4055</v>
      </c>
      <c r="B1945" s="16" t="s">
        <v>32</v>
      </c>
      <c r="C1945" s="16" t="s">
        <v>164</v>
      </c>
      <c r="D1945" s="33" t="s">
        <v>34</v>
      </c>
      <c r="E1945" s="33">
        <v>154</v>
      </c>
      <c r="F1945" s="33">
        <v>5</v>
      </c>
      <c r="G1945" s="33">
        <v>7</v>
      </c>
      <c r="H1945" s="33"/>
      <c r="I1945" s="31" t="s">
        <v>46</v>
      </c>
      <c r="J1945" s="31"/>
      <c r="K1945" s="33"/>
      <c r="L1945" s="33"/>
      <c r="M1945" s="31"/>
      <c r="N1945" s="31"/>
      <c r="O1945" s="16" t="s">
        <v>4056</v>
      </c>
      <c r="P1945" s="16"/>
      <c r="Q1945" s="16"/>
      <c r="R1945" s="33"/>
      <c r="S1945" s="34"/>
      <c r="T1945" s="34"/>
      <c r="U1945" s="34"/>
      <c r="V1945" s="34"/>
      <c r="W1945" s="34"/>
      <c r="X1945" s="33" t="s">
        <v>48</v>
      </c>
      <c r="Y1945" s="35" t="str">
        <f>IF(Tabela2[[#This Row],[SIGLA]]="","",VLOOKUP(Tabela2[[#This Row],[SIGLA]],Tabela1[[#All],[Sigla Arte]:[Crédito]],2,0))</f>
        <v>SERGIO LIMA/ARQUIVO DA EDITORA</v>
      </c>
      <c r="Z1945" s="31"/>
      <c r="AA1945" s="31" t="str">
        <f>Tabela2[[#This Row],[ILUSTRADOR CRIAÇÃO]]</f>
        <v>SERGIO LIMA/ARQUIVO DA EDITORA</v>
      </c>
      <c r="AB1945" s="33"/>
      <c r="AC1945" s="16"/>
      <c r="AE1945" s="35" t="str">
        <f t="shared" si="31"/>
        <v>EF1 E002 Mat</v>
      </c>
    </row>
    <row r="1946" spans="1:31" ht="45" x14ac:dyDescent="0.25">
      <c r="A1946" s="31" t="s">
        <v>4057</v>
      </c>
      <c r="B1946" s="16" t="s">
        <v>32</v>
      </c>
      <c r="C1946" s="16" t="s">
        <v>164</v>
      </c>
      <c r="D1946" s="33" t="s">
        <v>34</v>
      </c>
      <c r="E1946" s="33">
        <v>154</v>
      </c>
      <c r="F1946" s="33">
        <v>5</v>
      </c>
      <c r="G1946" s="33">
        <v>7</v>
      </c>
      <c r="H1946" s="33"/>
      <c r="I1946" s="31" t="s">
        <v>46</v>
      </c>
      <c r="J1946" s="31"/>
      <c r="K1946" s="33"/>
      <c r="L1946" s="33"/>
      <c r="M1946" s="31"/>
      <c r="N1946" s="31"/>
      <c r="O1946" s="16" t="s">
        <v>4058</v>
      </c>
      <c r="P1946" s="16"/>
      <c r="Q1946" s="16"/>
      <c r="R1946" s="33"/>
      <c r="S1946" s="34"/>
      <c r="T1946" s="34"/>
      <c r="U1946" s="34"/>
      <c r="V1946" s="34"/>
      <c r="W1946" s="34"/>
      <c r="X1946" s="33" t="s">
        <v>184</v>
      </c>
      <c r="Y1946" s="35" t="str">
        <f>IF(Tabela2[[#This Row],[SIGLA]]="","",VLOOKUP(Tabela2[[#This Row],[SIGLA]],Tabela1[[#All],[Sigla Arte]:[Crédito]],2,0))</f>
        <v>VER DOCUMENTO DE ILS. TÉCNICAS</v>
      </c>
      <c r="Z1946" s="31"/>
      <c r="AA1946" s="31" t="s">
        <v>2050</v>
      </c>
      <c r="AB1946" s="33"/>
      <c r="AC1946" s="16"/>
      <c r="AE1946" s="35" t="str">
        <f t="shared" si="31"/>
        <v>EF1 E002 Mat</v>
      </c>
    </row>
    <row r="1947" spans="1:31" ht="75" x14ac:dyDescent="0.25">
      <c r="A1947" s="31" t="s">
        <v>4059</v>
      </c>
      <c r="B1947" s="16" t="s">
        <v>32</v>
      </c>
      <c r="C1947" s="16" t="s">
        <v>164</v>
      </c>
      <c r="D1947" s="33" t="s">
        <v>34</v>
      </c>
      <c r="E1947" s="33">
        <v>240</v>
      </c>
      <c r="F1947" s="33">
        <v>5</v>
      </c>
      <c r="G1947" s="33">
        <v>11</v>
      </c>
      <c r="H1947" s="33"/>
      <c r="I1947" s="31" t="s">
        <v>35</v>
      </c>
      <c r="J1947" s="31"/>
      <c r="K1947" s="33"/>
      <c r="L1947" s="33"/>
      <c r="M1947" s="31"/>
      <c r="N1947" s="31"/>
      <c r="O1947" s="16" t="s">
        <v>4060</v>
      </c>
      <c r="P1947" s="16"/>
      <c r="Q1947" s="16"/>
      <c r="R1947" s="33">
        <v>53</v>
      </c>
      <c r="S1947" s="34">
        <v>45813</v>
      </c>
      <c r="T1947" s="34">
        <v>45821</v>
      </c>
      <c r="U1947" s="34"/>
      <c r="V1947" s="34"/>
      <c r="W1947" s="34">
        <v>45821</v>
      </c>
      <c r="X1947" s="33" t="s">
        <v>184</v>
      </c>
      <c r="Y1947" s="35" t="str">
        <f>IF(Tabela2[[#This Row],[SIGLA]]="","",VLOOKUP(Tabela2[[#This Row],[SIGLA]],Tabela1[[#All],[Sigla Arte]:[Crédito]],2,0))</f>
        <v>VER DOCUMENTO DE ILS. TÉCNICAS</v>
      </c>
      <c r="Z1947" s="31" t="s">
        <v>1226</v>
      </c>
      <c r="AA1947" s="31" t="s">
        <v>2050</v>
      </c>
      <c r="AB1947" s="33">
        <v>13</v>
      </c>
      <c r="AC1947" s="16" t="s">
        <v>44</v>
      </c>
      <c r="AD1947" s="16" t="s">
        <v>40</v>
      </c>
      <c r="AE1947" s="35" t="str">
        <f t="shared" si="31"/>
        <v>EF1 E002 Mat</v>
      </c>
    </row>
    <row r="1948" spans="1:31" ht="60" x14ac:dyDescent="0.25">
      <c r="A1948" s="31" t="s">
        <v>4061</v>
      </c>
      <c r="B1948" s="16" t="s">
        <v>32</v>
      </c>
      <c r="C1948" s="16" t="s">
        <v>33</v>
      </c>
      <c r="D1948" s="33" t="s">
        <v>34</v>
      </c>
      <c r="E1948" s="33">
        <v>241</v>
      </c>
      <c r="F1948" s="33">
        <v>5</v>
      </c>
      <c r="G1948" s="33">
        <v>11</v>
      </c>
      <c r="H1948" s="33"/>
      <c r="I1948" s="31" t="s">
        <v>46</v>
      </c>
      <c r="J1948" s="31"/>
      <c r="K1948" s="33"/>
      <c r="L1948" s="33"/>
      <c r="M1948" s="31"/>
      <c r="N1948" s="31"/>
      <c r="O1948" s="16" t="s">
        <v>4062</v>
      </c>
      <c r="P1948" s="16"/>
      <c r="Q1948" s="16"/>
      <c r="R1948" s="33"/>
      <c r="S1948" s="34"/>
      <c r="T1948" s="34"/>
      <c r="U1948" s="34"/>
      <c r="V1948" s="34"/>
      <c r="W1948" s="34"/>
      <c r="X1948" s="33" t="s">
        <v>3443</v>
      </c>
      <c r="Y1948" s="35" t="str">
        <f>IF(Tabela2[[#This Row],[SIGLA]]="","",VLOOKUP(Tabela2[[#This Row],[SIGLA]],Tabela1[[#All],[Sigla Arte]:[Crédito]],2,0))</f>
        <v>VINÍCIUS COSTA/ARQUIVO DA EDITORA</v>
      </c>
      <c r="Z1948" s="31"/>
      <c r="AA1948" s="31" t="s">
        <v>4063</v>
      </c>
      <c r="AB1948" s="33"/>
      <c r="AC1948" s="16"/>
      <c r="AE1948" s="35" t="str">
        <f t="shared" si="31"/>
        <v>EF1 E002 Mat</v>
      </c>
    </row>
    <row r="1949" spans="1:31" ht="90" x14ac:dyDescent="0.25">
      <c r="A1949" s="31" t="s">
        <v>4064</v>
      </c>
      <c r="B1949" s="16" t="s">
        <v>32</v>
      </c>
      <c r="C1949" s="16" t="s">
        <v>33</v>
      </c>
      <c r="D1949" s="33" t="s">
        <v>34</v>
      </c>
      <c r="E1949" s="33">
        <v>242</v>
      </c>
      <c r="F1949" s="33">
        <v>5</v>
      </c>
      <c r="G1949" s="33">
        <v>11</v>
      </c>
      <c r="H1949" s="33"/>
      <c r="I1949" s="31" t="s">
        <v>35</v>
      </c>
      <c r="J1949" s="31"/>
      <c r="K1949" s="33"/>
      <c r="L1949" s="33"/>
      <c r="M1949" s="31"/>
      <c r="N1949" s="31"/>
      <c r="O1949" s="16" t="s">
        <v>4065</v>
      </c>
      <c r="P1949" s="16"/>
      <c r="Q1949" s="16"/>
      <c r="R1949" s="33">
        <v>163</v>
      </c>
      <c r="S1949" s="34">
        <v>45916</v>
      </c>
      <c r="T1949" s="34">
        <v>45916</v>
      </c>
      <c r="U1949" s="34"/>
      <c r="V1949" s="34"/>
      <c r="W1949" s="34">
        <v>45917</v>
      </c>
      <c r="X1949" s="33" t="s">
        <v>184</v>
      </c>
      <c r="Y1949" s="35" t="str">
        <f>IF(Tabela2[[#This Row],[SIGLA]]="","",VLOOKUP(Tabela2[[#This Row],[SIGLA]],Tabela1[[#All],[Sigla Arte]:[Crédito]],2,0))</f>
        <v>VER DOCUMENTO DE ILS. TÉCNICAS</v>
      </c>
      <c r="Z1949" s="31" t="s">
        <v>572</v>
      </c>
      <c r="AA1949" s="31" t="s">
        <v>4066</v>
      </c>
      <c r="AB1949" s="33">
        <v>13</v>
      </c>
      <c r="AC1949" s="16" t="s">
        <v>44</v>
      </c>
      <c r="AD1949" s="16" t="s">
        <v>40</v>
      </c>
      <c r="AE1949" s="35" t="str">
        <f t="shared" si="31"/>
        <v>EF1 E002 Mat</v>
      </c>
    </row>
    <row r="1950" spans="1:31" ht="90" x14ac:dyDescent="0.25">
      <c r="A1950" s="31" t="s">
        <v>4067</v>
      </c>
      <c r="B1950" s="16" t="s">
        <v>32</v>
      </c>
      <c r="C1950" s="16" t="s">
        <v>33</v>
      </c>
      <c r="D1950" s="33" t="s">
        <v>34</v>
      </c>
      <c r="E1950" s="33">
        <v>242</v>
      </c>
      <c r="F1950" s="33">
        <v>5</v>
      </c>
      <c r="G1950" s="33">
        <v>11</v>
      </c>
      <c r="H1950" s="33"/>
      <c r="I1950" s="31" t="s">
        <v>35</v>
      </c>
      <c r="J1950" s="31"/>
      <c r="K1950" s="33"/>
      <c r="L1950" s="33"/>
      <c r="M1950" s="31"/>
      <c r="N1950" s="31"/>
      <c r="O1950" s="16" t="s">
        <v>4068</v>
      </c>
      <c r="P1950" s="16"/>
      <c r="Q1950" s="16"/>
      <c r="R1950" s="33">
        <v>163</v>
      </c>
      <c r="S1950" s="34">
        <v>45916</v>
      </c>
      <c r="T1950" s="34">
        <v>45916</v>
      </c>
      <c r="U1950" s="34"/>
      <c r="V1950" s="34"/>
      <c r="W1950" s="34">
        <v>45917</v>
      </c>
      <c r="X1950" s="33" t="s">
        <v>184</v>
      </c>
      <c r="Y1950" s="35" t="str">
        <f>IF(Tabela2[[#This Row],[SIGLA]]="","",VLOOKUP(Tabela2[[#This Row],[SIGLA]],Tabela1[[#All],[Sigla Arte]:[Crédito]],2,0))</f>
        <v>VER DOCUMENTO DE ILS. TÉCNICAS</v>
      </c>
      <c r="Z1950" s="31" t="s">
        <v>572</v>
      </c>
      <c r="AA1950" s="31" t="s">
        <v>4066</v>
      </c>
      <c r="AB1950" s="33">
        <v>13</v>
      </c>
      <c r="AC1950" s="16" t="s">
        <v>44</v>
      </c>
      <c r="AD1950" s="16" t="s">
        <v>40</v>
      </c>
      <c r="AE1950" s="35" t="str">
        <f t="shared" si="31"/>
        <v>EF1 E002 Mat</v>
      </c>
    </row>
    <row r="1951" spans="1:31" ht="90" x14ac:dyDescent="0.25">
      <c r="A1951" s="31" t="s">
        <v>4069</v>
      </c>
      <c r="B1951" s="16" t="s">
        <v>32</v>
      </c>
      <c r="C1951" s="16" t="s">
        <v>33</v>
      </c>
      <c r="D1951" s="33" t="s">
        <v>34</v>
      </c>
      <c r="E1951" s="33">
        <v>242</v>
      </c>
      <c r="F1951" s="33">
        <v>5</v>
      </c>
      <c r="G1951" s="33">
        <v>11</v>
      </c>
      <c r="H1951" s="33"/>
      <c r="I1951" s="31" t="s">
        <v>35</v>
      </c>
      <c r="J1951" s="31"/>
      <c r="K1951" s="33"/>
      <c r="L1951" s="33"/>
      <c r="M1951" s="31"/>
      <c r="N1951" s="31"/>
      <c r="O1951" s="16" t="s">
        <v>4070</v>
      </c>
      <c r="P1951" s="16"/>
      <c r="Q1951" s="16"/>
      <c r="R1951" s="33">
        <v>163</v>
      </c>
      <c r="S1951" s="34">
        <v>45916</v>
      </c>
      <c r="T1951" s="34">
        <v>45916</v>
      </c>
      <c r="U1951" s="34"/>
      <c r="V1951" s="34"/>
      <c r="W1951" s="34">
        <v>45917</v>
      </c>
      <c r="X1951" s="33" t="s">
        <v>184</v>
      </c>
      <c r="Y1951" s="35" t="str">
        <f>IF(Tabela2[[#This Row],[SIGLA]]="","",VLOOKUP(Tabela2[[#This Row],[SIGLA]],Tabela1[[#All],[Sigla Arte]:[Crédito]],2,0))</f>
        <v>VER DOCUMENTO DE ILS. TÉCNICAS</v>
      </c>
      <c r="Z1951" s="31" t="s">
        <v>572</v>
      </c>
      <c r="AA1951" s="31" t="s">
        <v>4066</v>
      </c>
      <c r="AB1951" s="33">
        <v>13</v>
      </c>
      <c r="AC1951" s="16" t="s">
        <v>44</v>
      </c>
      <c r="AD1951" s="16" t="s">
        <v>40</v>
      </c>
      <c r="AE1951" s="35" t="str">
        <f t="shared" si="31"/>
        <v>EF1 E002 Mat</v>
      </c>
    </row>
    <row r="1952" spans="1:31" ht="90" x14ac:dyDescent="0.25">
      <c r="A1952" s="31" t="s">
        <v>4071</v>
      </c>
      <c r="B1952" s="16" t="s">
        <v>32</v>
      </c>
      <c r="C1952" s="16" t="s">
        <v>33</v>
      </c>
      <c r="D1952" s="33" t="s">
        <v>34</v>
      </c>
      <c r="E1952" s="33">
        <v>242</v>
      </c>
      <c r="F1952" s="33">
        <v>5</v>
      </c>
      <c r="G1952" s="33">
        <v>11</v>
      </c>
      <c r="H1952" s="33"/>
      <c r="I1952" s="31" t="s">
        <v>35</v>
      </c>
      <c r="J1952" s="31"/>
      <c r="K1952" s="33"/>
      <c r="L1952" s="33"/>
      <c r="M1952" s="31"/>
      <c r="N1952" s="31"/>
      <c r="O1952" s="16" t="s">
        <v>4072</v>
      </c>
      <c r="P1952" s="16"/>
      <c r="Q1952" s="16"/>
      <c r="R1952" s="33">
        <v>163</v>
      </c>
      <c r="S1952" s="34">
        <v>45916</v>
      </c>
      <c r="T1952" s="34">
        <v>45916</v>
      </c>
      <c r="U1952" s="34"/>
      <c r="V1952" s="34"/>
      <c r="W1952" s="34">
        <v>45917</v>
      </c>
      <c r="X1952" s="33" t="s">
        <v>184</v>
      </c>
      <c r="Y1952" s="35" t="str">
        <f>IF(Tabela2[[#This Row],[SIGLA]]="","",VLOOKUP(Tabela2[[#This Row],[SIGLA]],Tabela1[[#All],[Sigla Arte]:[Crédito]],2,0))</f>
        <v>VER DOCUMENTO DE ILS. TÉCNICAS</v>
      </c>
      <c r="Z1952" s="31" t="s">
        <v>572</v>
      </c>
      <c r="AA1952" s="31" t="s">
        <v>4066</v>
      </c>
      <c r="AB1952" s="33">
        <v>13</v>
      </c>
      <c r="AC1952" s="16" t="s">
        <v>44</v>
      </c>
      <c r="AD1952" s="16" t="s">
        <v>40</v>
      </c>
      <c r="AE1952" s="35" t="str">
        <f t="shared" si="31"/>
        <v>EF1 E002 Mat</v>
      </c>
    </row>
    <row r="1953" spans="1:31" ht="90" x14ac:dyDescent="0.25">
      <c r="A1953" s="31" t="s">
        <v>4073</v>
      </c>
      <c r="B1953" s="16" t="s">
        <v>32</v>
      </c>
      <c r="C1953" s="16" t="s">
        <v>33</v>
      </c>
      <c r="D1953" s="33" t="s">
        <v>34</v>
      </c>
      <c r="E1953" s="33">
        <v>242</v>
      </c>
      <c r="F1953" s="33">
        <v>5</v>
      </c>
      <c r="G1953" s="33">
        <v>11</v>
      </c>
      <c r="H1953" s="33"/>
      <c r="I1953" s="31" t="s">
        <v>35</v>
      </c>
      <c r="J1953" s="31"/>
      <c r="K1953" s="33"/>
      <c r="L1953" s="33"/>
      <c r="M1953" s="31"/>
      <c r="N1953" s="31"/>
      <c r="O1953" s="16" t="s">
        <v>4074</v>
      </c>
      <c r="P1953" s="16"/>
      <c r="Q1953" s="16"/>
      <c r="R1953" s="33">
        <v>163</v>
      </c>
      <c r="S1953" s="34">
        <v>45916</v>
      </c>
      <c r="T1953" s="34">
        <v>45916</v>
      </c>
      <c r="U1953" s="34"/>
      <c r="V1953" s="34"/>
      <c r="W1953" s="34">
        <v>45917</v>
      </c>
      <c r="X1953" s="33" t="s">
        <v>184</v>
      </c>
      <c r="Y1953" s="35" t="str">
        <f>IF(Tabela2[[#This Row],[SIGLA]]="","",VLOOKUP(Tabela2[[#This Row],[SIGLA]],Tabela1[[#All],[Sigla Arte]:[Crédito]],2,0))</f>
        <v>VER DOCUMENTO DE ILS. TÉCNICAS</v>
      </c>
      <c r="Z1953" s="31" t="s">
        <v>572</v>
      </c>
      <c r="AA1953" s="31" t="s">
        <v>4066</v>
      </c>
      <c r="AB1953" s="33">
        <v>13</v>
      </c>
      <c r="AC1953" s="16" t="s">
        <v>44</v>
      </c>
      <c r="AD1953" s="16" t="s">
        <v>40</v>
      </c>
      <c r="AE1953" s="35" t="str">
        <f t="shared" si="31"/>
        <v>EF1 E002 Mat</v>
      </c>
    </row>
    <row r="1954" spans="1:31" ht="90" x14ac:dyDescent="0.25">
      <c r="A1954" s="31" t="s">
        <v>4075</v>
      </c>
      <c r="B1954" s="16" t="s">
        <v>32</v>
      </c>
      <c r="C1954" s="16" t="s">
        <v>33</v>
      </c>
      <c r="D1954" s="33" t="s">
        <v>34</v>
      </c>
      <c r="E1954" s="33">
        <v>242</v>
      </c>
      <c r="F1954" s="33">
        <v>5</v>
      </c>
      <c r="G1954" s="33">
        <v>11</v>
      </c>
      <c r="H1954" s="33"/>
      <c r="I1954" s="31" t="s">
        <v>35</v>
      </c>
      <c r="J1954" s="31"/>
      <c r="K1954" s="33"/>
      <c r="L1954" s="33"/>
      <c r="M1954" s="31"/>
      <c r="N1954" s="31"/>
      <c r="O1954" s="16" t="s">
        <v>4076</v>
      </c>
      <c r="P1954" s="16"/>
      <c r="Q1954" s="16"/>
      <c r="R1954" s="33">
        <v>163</v>
      </c>
      <c r="S1954" s="34">
        <v>45916</v>
      </c>
      <c r="T1954" s="34">
        <v>45916</v>
      </c>
      <c r="U1954" s="34"/>
      <c r="V1954" s="34"/>
      <c r="W1954" s="34">
        <v>45917</v>
      </c>
      <c r="X1954" s="33" t="s">
        <v>184</v>
      </c>
      <c r="Y1954" s="35" t="str">
        <f>IF(Tabela2[[#This Row],[SIGLA]]="","",VLOOKUP(Tabela2[[#This Row],[SIGLA]],Tabela1[[#All],[Sigla Arte]:[Crédito]],2,0))</f>
        <v>VER DOCUMENTO DE ILS. TÉCNICAS</v>
      </c>
      <c r="Z1954" s="31" t="s">
        <v>572</v>
      </c>
      <c r="AA1954" s="31" t="s">
        <v>4066</v>
      </c>
      <c r="AB1954" s="33">
        <v>13</v>
      </c>
      <c r="AC1954" s="16" t="s">
        <v>44</v>
      </c>
      <c r="AD1954" s="16" t="s">
        <v>40</v>
      </c>
      <c r="AE1954" s="35" t="str">
        <f t="shared" si="31"/>
        <v>EF1 E002 Mat</v>
      </c>
    </row>
    <row r="1955" spans="1:31" ht="45" x14ac:dyDescent="0.25">
      <c r="A1955" s="31" t="s">
        <v>4077</v>
      </c>
      <c r="B1955" s="16" t="s">
        <v>32</v>
      </c>
      <c r="C1955" s="16" t="s">
        <v>33</v>
      </c>
      <c r="D1955" s="33" t="s">
        <v>34</v>
      </c>
      <c r="E1955" s="33">
        <v>242</v>
      </c>
      <c r="F1955" s="33">
        <v>5</v>
      </c>
      <c r="G1955" s="33">
        <v>11</v>
      </c>
      <c r="H1955" s="33"/>
      <c r="I1955" s="31" t="s">
        <v>46</v>
      </c>
      <c r="J1955" s="31"/>
      <c r="K1955" s="33"/>
      <c r="L1955" s="33"/>
      <c r="M1955" s="31"/>
      <c r="N1955" s="31"/>
      <c r="O1955" s="16" t="s">
        <v>4078</v>
      </c>
      <c r="P1955" s="16"/>
      <c r="Q1955" s="16"/>
      <c r="R1955" s="33"/>
      <c r="S1955" s="34"/>
      <c r="T1955" s="34"/>
      <c r="U1955" s="34"/>
      <c r="V1955" s="34"/>
      <c r="W1955" s="34"/>
      <c r="X1955" s="33" t="s">
        <v>1119</v>
      </c>
      <c r="Y1955" s="35" t="str">
        <f>IF(Tabela2[[#This Row],[SIGLA]]="","",VLOOKUP(Tabela2[[#This Row],[SIGLA]],Tabela1[[#All],[Sigla Arte]:[Crédito]],2,0))</f>
        <v>CYNTHIA SEKIGUCHI/ARQUIVO DA EDITORA</v>
      </c>
      <c r="Z1955" s="31"/>
      <c r="AA1955" s="31" t="s">
        <v>4066</v>
      </c>
      <c r="AB1955" s="33"/>
      <c r="AC1955" s="16"/>
      <c r="AE1955" s="35" t="str">
        <f t="shared" si="31"/>
        <v>EF1 E002 Mat</v>
      </c>
    </row>
    <row r="1956" spans="1:31" ht="180" x14ac:dyDescent="0.25">
      <c r="A1956" s="31" t="s">
        <v>4079</v>
      </c>
      <c r="B1956" s="16" t="s">
        <v>32</v>
      </c>
      <c r="C1956" s="16" t="s">
        <v>33</v>
      </c>
      <c r="D1956" s="33" t="s">
        <v>34</v>
      </c>
      <c r="E1956" s="33">
        <v>243</v>
      </c>
      <c r="F1956" s="33">
        <v>5</v>
      </c>
      <c r="G1956" s="33">
        <v>11</v>
      </c>
      <c r="H1956" s="33"/>
      <c r="I1956" s="31" t="s">
        <v>35</v>
      </c>
      <c r="J1956" s="31"/>
      <c r="K1956" s="33"/>
      <c r="L1956" s="33"/>
      <c r="M1956" s="31"/>
      <c r="N1956" s="31"/>
      <c r="O1956" s="16" t="s">
        <v>4080</v>
      </c>
      <c r="P1956" s="16"/>
      <c r="Q1956" s="16"/>
      <c r="R1956" s="33">
        <v>53</v>
      </c>
      <c r="S1956" s="34">
        <v>45813</v>
      </c>
      <c r="T1956" s="34">
        <v>45821</v>
      </c>
      <c r="U1956" s="34"/>
      <c r="V1956" s="34"/>
      <c r="W1956" s="34">
        <v>45821</v>
      </c>
      <c r="X1956" s="33" t="s">
        <v>3443</v>
      </c>
      <c r="Y1956" s="35" t="str">
        <f>IF(Tabela2[[#This Row],[SIGLA]]="","",VLOOKUP(Tabela2[[#This Row],[SIGLA]],Tabela1[[#All],[Sigla Arte]:[Crédito]],2,0))</f>
        <v>VINÍCIUS COSTA/ARQUIVO DA EDITORA</v>
      </c>
      <c r="Z1956" s="31" t="s">
        <v>1226</v>
      </c>
      <c r="AA1956" s="31" t="s">
        <v>4081</v>
      </c>
      <c r="AB1956" s="33">
        <v>13</v>
      </c>
      <c r="AC1956" s="49" t="s">
        <v>44</v>
      </c>
      <c r="AD1956" s="16" t="s">
        <v>40</v>
      </c>
      <c r="AE1956" s="35" t="str">
        <f t="shared" si="31"/>
        <v>EF1 E002 Mat</v>
      </c>
    </row>
    <row r="1957" spans="1:31" ht="45" x14ac:dyDescent="0.25">
      <c r="A1957" s="31" t="s">
        <v>4082</v>
      </c>
      <c r="B1957" s="16" t="s">
        <v>32</v>
      </c>
      <c r="C1957" s="16" t="s">
        <v>327</v>
      </c>
      <c r="D1957" s="33" t="s">
        <v>34</v>
      </c>
      <c r="E1957" s="33">
        <v>244</v>
      </c>
      <c r="F1957" s="33">
        <v>5</v>
      </c>
      <c r="G1957" s="33">
        <v>11</v>
      </c>
      <c r="H1957" s="33"/>
      <c r="I1957" s="31" t="s">
        <v>46</v>
      </c>
      <c r="J1957" s="31"/>
      <c r="K1957" s="33"/>
      <c r="L1957" s="33"/>
      <c r="M1957" s="31"/>
      <c r="N1957" s="31"/>
      <c r="O1957" s="16" t="s">
        <v>4083</v>
      </c>
      <c r="P1957" s="16"/>
      <c r="Q1957" s="16"/>
      <c r="R1957" s="33"/>
      <c r="S1957" s="34"/>
      <c r="T1957" s="34"/>
      <c r="U1957" s="34"/>
      <c r="V1957" s="34"/>
      <c r="W1957" s="34"/>
      <c r="X1957" s="33" t="s">
        <v>1126</v>
      </c>
      <c r="Y1957" s="35" t="str">
        <f>IF(Tabela2[[#This Row],[SIGLA]]="","",VLOOKUP(Tabela2[[#This Row],[SIGLA]],Tabela1[[#All],[Sigla Arte]:[Crédito]],2,0))</f>
        <v>GUSTAVO CONTI/ARQUIVO DA EDITORA</v>
      </c>
      <c r="Z1957" s="31"/>
      <c r="AA1957" s="31" t="s">
        <v>2050</v>
      </c>
      <c r="AB1957" s="33"/>
      <c r="AC1957" s="16"/>
      <c r="AE1957" s="35" t="str">
        <f t="shared" si="31"/>
        <v>EF1 E002 Mat</v>
      </c>
    </row>
    <row r="1958" spans="1:31" ht="45" x14ac:dyDescent="0.25">
      <c r="A1958" s="31" t="s">
        <v>4084</v>
      </c>
      <c r="B1958" s="16" t="s">
        <v>32</v>
      </c>
      <c r="C1958" s="16" t="s">
        <v>4085</v>
      </c>
      <c r="D1958" s="33" t="s">
        <v>34</v>
      </c>
      <c r="E1958" s="33">
        <v>244</v>
      </c>
      <c r="F1958" s="33">
        <v>5</v>
      </c>
      <c r="G1958" s="33">
        <v>11</v>
      </c>
      <c r="H1958" s="33"/>
      <c r="I1958" s="31" t="s">
        <v>46</v>
      </c>
      <c r="J1958" s="31"/>
      <c r="K1958" s="33"/>
      <c r="L1958" s="33"/>
      <c r="M1958" s="31"/>
      <c r="N1958" s="31"/>
      <c r="O1958" s="16" t="s">
        <v>4086</v>
      </c>
      <c r="P1958" s="16"/>
      <c r="Q1958" s="16"/>
      <c r="R1958" s="33"/>
      <c r="S1958" s="34"/>
      <c r="T1958" s="34"/>
      <c r="U1958" s="34"/>
      <c r="V1958" s="34"/>
      <c r="W1958" s="34"/>
      <c r="X1958" s="33" t="s">
        <v>1126</v>
      </c>
      <c r="Y1958" s="35" t="str">
        <f>IF(Tabela2[[#This Row],[SIGLA]]="","",VLOOKUP(Tabela2[[#This Row],[SIGLA]],Tabela1[[#All],[Sigla Arte]:[Crédito]],2,0))</f>
        <v>GUSTAVO CONTI/ARQUIVO DA EDITORA</v>
      </c>
      <c r="Z1958" s="31"/>
      <c r="AA1958" s="31" t="s">
        <v>2050</v>
      </c>
      <c r="AB1958" s="33"/>
      <c r="AC1958" s="16"/>
      <c r="AE1958" s="35" t="str">
        <f t="shared" si="31"/>
        <v>EF1 E002 Mat</v>
      </c>
    </row>
    <row r="1959" spans="1:31" ht="60" x14ac:dyDescent="0.25">
      <c r="A1959" s="31" t="s">
        <v>4087</v>
      </c>
      <c r="B1959" s="16" t="s">
        <v>32</v>
      </c>
      <c r="C1959" s="16" t="s">
        <v>327</v>
      </c>
      <c r="D1959" s="33" t="s">
        <v>34</v>
      </c>
      <c r="E1959" s="33">
        <v>245</v>
      </c>
      <c r="F1959" s="33">
        <v>5</v>
      </c>
      <c r="G1959" s="33">
        <v>11</v>
      </c>
      <c r="H1959" s="33"/>
      <c r="I1959" s="31" t="s">
        <v>35</v>
      </c>
      <c r="J1959" s="31"/>
      <c r="K1959" s="33"/>
      <c r="L1959" s="33"/>
      <c r="M1959" s="31"/>
      <c r="N1959" s="31"/>
      <c r="O1959" s="16" t="s">
        <v>4088</v>
      </c>
      <c r="P1959" s="16"/>
      <c r="Q1959" s="16"/>
      <c r="R1959" s="33">
        <v>201</v>
      </c>
      <c r="S1959" s="34">
        <v>45943</v>
      </c>
      <c r="T1959" s="34">
        <v>45943</v>
      </c>
      <c r="U1959" s="34"/>
      <c r="V1959" s="34"/>
      <c r="W1959" s="34">
        <v>45943</v>
      </c>
      <c r="X1959" s="33" t="s">
        <v>48</v>
      </c>
      <c r="Y1959" s="35" t="str">
        <f>IF(Tabela2[[#This Row],[SIGLA]]="","",VLOOKUP(Tabela2[[#This Row],[SIGLA]],Tabela1[[#All],[Sigla Arte]:[Crédito]],2,0))</f>
        <v>SERGIO LIMA/ARQUIVO DA EDITORA</v>
      </c>
      <c r="Z1959" s="31" t="s">
        <v>572</v>
      </c>
      <c r="AA1959" s="31" t="str">
        <f>Tabela2[[#This Row],[ILUSTRADOR CRIAÇÃO]]</f>
        <v>SERGIO LIMA/ARQUIVO DA EDITORA</v>
      </c>
      <c r="AB1959" s="33">
        <v>13</v>
      </c>
      <c r="AC1959" s="16" t="s">
        <v>44</v>
      </c>
      <c r="AD1959" s="16" t="s">
        <v>40</v>
      </c>
      <c r="AE1959" s="35" t="str">
        <f t="shared" si="31"/>
        <v>EF1 E002 Mat</v>
      </c>
    </row>
    <row r="1960" spans="1:31" ht="75" x14ac:dyDescent="0.25">
      <c r="A1960" s="31" t="s">
        <v>4089</v>
      </c>
      <c r="B1960" s="16" t="s">
        <v>32</v>
      </c>
      <c r="C1960" s="16" t="s">
        <v>327</v>
      </c>
      <c r="D1960" s="33" t="s">
        <v>34</v>
      </c>
      <c r="E1960" s="33">
        <v>245</v>
      </c>
      <c r="F1960" s="33">
        <v>5</v>
      </c>
      <c r="G1960" s="33">
        <v>11</v>
      </c>
      <c r="H1960" s="33"/>
      <c r="I1960" s="31" t="s">
        <v>35</v>
      </c>
      <c r="J1960" s="31"/>
      <c r="K1960" s="33"/>
      <c r="L1960" s="33"/>
      <c r="M1960" s="31"/>
      <c r="N1960" s="31"/>
      <c r="O1960" s="16" t="s">
        <v>4090</v>
      </c>
      <c r="P1960" s="16"/>
      <c r="Q1960" s="16"/>
      <c r="R1960" s="33">
        <v>53</v>
      </c>
      <c r="S1960" s="34">
        <v>45813</v>
      </c>
      <c r="T1960" s="34">
        <v>13</v>
      </c>
      <c r="U1960" s="34"/>
      <c r="V1960" s="34"/>
      <c r="W1960" s="34">
        <v>45821</v>
      </c>
      <c r="X1960" s="33" t="s">
        <v>1126</v>
      </c>
      <c r="Y1960" s="35" t="str">
        <f>IF(Tabela2[[#This Row],[SIGLA]]="","",VLOOKUP(Tabela2[[#This Row],[SIGLA]],Tabela1[[#All],[Sigla Arte]:[Crédito]],2,0))</f>
        <v>GUSTAVO CONTI/ARQUIVO DA EDITORA</v>
      </c>
      <c r="Z1960" s="31" t="s">
        <v>1226</v>
      </c>
      <c r="AA1960" s="31" t="str">
        <f>Tabela2[[#This Row],[ILUSTRADOR CRIAÇÃO]]</f>
        <v>GUSTAVO CONTI/ARQUIVO DA EDITORA</v>
      </c>
      <c r="AB1960" s="33">
        <v>13</v>
      </c>
      <c r="AC1960" s="16" t="s">
        <v>44</v>
      </c>
      <c r="AD1960" s="16" t="s">
        <v>40</v>
      </c>
      <c r="AE1960" s="35" t="str">
        <f t="shared" si="31"/>
        <v>EF1 E002 Mat</v>
      </c>
    </row>
    <row r="1961" spans="1:31" ht="75" x14ac:dyDescent="0.25">
      <c r="A1961" s="31" t="s">
        <v>4091</v>
      </c>
      <c r="B1961" s="16" t="s">
        <v>32</v>
      </c>
      <c r="C1961" s="16" t="s">
        <v>327</v>
      </c>
      <c r="D1961" s="33" t="s">
        <v>34</v>
      </c>
      <c r="E1961" s="33">
        <v>245</v>
      </c>
      <c r="F1961" s="33">
        <v>5</v>
      </c>
      <c r="G1961" s="33">
        <v>11</v>
      </c>
      <c r="H1961" s="33"/>
      <c r="I1961" s="31" t="s">
        <v>35</v>
      </c>
      <c r="J1961" s="31"/>
      <c r="K1961" s="33"/>
      <c r="L1961" s="33"/>
      <c r="M1961" s="31"/>
      <c r="N1961" s="31"/>
      <c r="O1961" s="16" t="s">
        <v>4092</v>
      </c>
      <c r="P1961" s="16"/>
      <c r="Q1961" s="16"/>
      <c r="R1961" s="33">
        <v>53</v>
      </c>
      <c r="S1961" s="34">
        <v>45813</v>
      </c>
      <c r="T1961" s="34">
        <v>13</v>
      </c>
      <c r="U1961" s="34"/>
      <c r="V1961" s="34"/>
      <c r="W1961" s="34">
        <v>45821</v>
      </c>
      <c r="X1961" s="33" t="s">
        <v>1126</v>
      </c>
      <c r="Y1961" s="35" t="str">
        <f>IF(Tabela2[[#This Row],[SIGLA]]="","",VLOOKUP(Tabela2[[#This Row],[SIGLA]],Tabela1[[#All],[Sigla Arte]:[Crédito]],2,0))</f>
        <v>GUSTAVO CONTI/ARQUIVO DA EDITORA</v>
      </c>
      <c r="Z1961" s="31" t="s">
        <v>1226</v>
      </c>
      <c r="AA1961" s="31" t="str">
        <f>Tabela2[[#This Row],[ILUSTRADOR CRIAÇÃO]]</f>
        <v>GUSTAVO CONTI/ARQUIVO DA EDITORA</v>
      </c>
      <c r="AB1961" s="33">
        <v>13</v>
      </c>
      <c r="AC1961" s="16" t="s">
        <v>44</v>
      </c>
      <c r="AD1961" s="16" t="s">
        <v>40</v>
      </c>
      <c r="AE1961" s="35" t="str">
        <f t="shared" si="31"/>
        <v>EF1 E002 Mat</v>
      </c>
    </row>
    <row r="1962" spans="1:31" ht="135" x14ac:dyDescent="0.25">
      <c r="A1962" s="31" t="s">
        <v>4093</v>
      </c>
      <c r="B1962" s="16" t="s">
        <v>32</v>
      </c>
      <c r="C1962" s="16" t="s">
        <v>164</v>
      </c>
      <c r="D1962" s="33" t="s">
        <v>34</v>
      </c>
      <c r="E1962" s="33">
        <v>246</v>
      </c>
      <c r="F1962" s="33">
        <v>5</v>
      </c>
      <c r="G1962" s="33">
        <v>11</v>
      </c>
      <c r="H1962" s="33"/>
      <c r="I1962" s="31" t="s">
        <v>46</v>
      </c>
      <c r="J1962" s="31"/>
      <c r="K1962" s="33"/>
      <c r="L1962" s="33"/>
      <c r="M1962" s="31"/>
      <c r="N1962" s="31"/>
      <c r="O1962" s="16" t="s">
        <v>4094</v>
      </c>
      <c r="P1962" s="16"/>
      <c r="Q1962" s="16"/>
      <c r="R1962" s="33"/>
      <c r="S1962" s="34"/>
      <c r="T1962" s="34">
        <v>45821</v>
      </c>
      <c r="U1962" s="34"/>
      <c r="V1962" s="34"/>
      <c r="W1962" s="34">
        <v>45821</v>
      </c>
      <c r="X1962" s="33" t="s">
        <v>3443</v>
      </c>
      <c r="Y1962" s="35" t="str">
        <f>IF(Tabela2[[#This Row],[SIGLA]]="","",VLOOKUP(Tabela2[[#This Row],[SIGLA]],Tabela1[[#All],[Sigla Arte]:[Crédito]],2,0))</f>
        <v>VINÍCIUS COSTA/ARQUIVO DA EDITORA</v>
      </c>
      <c r="Z1962" s="31" t="s">
        <v>1226</v>
      </c>
      <c r="AA1962" s="31" t="s">
        <v>4095</v>
      </c>
      <c r="AB1962" s="33">
        <v>13</v>
      </c>
      <c r="AC1962" s="49" t="s">
        <v>44</v>
      </c>
      <c r="AD1962" s="16" t="s">
        <v>40</v>
      </c>
      <c r="AE1962" s="35" t="str">
        <f t="shared" si="31"/>
        <v>EF1 E002 Mat</v>
      </c>
    </row>
    <row r="1963" spans="1:31" ht="60" x14ac:dyDescent="0.25">
      <c r="A1963" s="31" t="s">
        <v>4096</v>
      </c>
      <c r="B1963" s="16" t="s">
        <v>32</v>
      </c>
      <c r="C1963" s="16" t="s">
        <v>164</v>
      </c>
      <c r="D1963" s="33" t="s">
        <v>34</v>
      </c>
      <c r="E1963" s="33">
        <v>246</v>
      </c>
      <c r="F1963" s="33">
        <v>5</v>
      </c>
      <c r="G1963" s="33">
        <v>11</v>
      </c>
      <c r="H1963" s="33"/>
      <c r="I1963" s="31" t="s">
        <v>35</v>
      </c>
      <c r="J1963" s="31"/>
      <c r="K1963" s="33"/>
      <c r="L1963" s="33"/>
      <c r="M1963" s="31"/>
      <c r="N1963" s="31"/>
      <c r="O1963" s="16" t="s">
        <v>4097</v>
      </c>
      <c r="P1963" s="16"/>
      <c r="Q1963" s="16"/>
      <c r="R1963" s="33">
        <v>162</v>
      </c>
      <c r="S1963" s="34">
        <v>45916</v>
      </c>
      <c r="T1963" s="34">
        <v>45916</v>
      </c>
      <c r="U1963" s="34"/>
      <c r="V1963" s="34"/>
      <c r="W1963" s="34">
        <v>45916</v>
      </c>
      <c r="X1963" s="33" t="s">
        <v>3443</v>
      </c>
      <c r="Y1963" s="35" t="str">
        <f>IF(Tabela2[[#This Row],[SIGLA]]="","",VLOOKUP(Tabela2[[#This Row],[SIGLA]],Tabela1[[#All],[Sigla Arte]:[Crédito]],2,0))</f>
        <v>VINÍCIUS COSTA/ARQUIVO DA EDITORA</v>
      </c>
      <c r="Z1963" s="31" t="s">
        <v>383</v>
      </c>
      <c r="AA1963" s="31" t="s">
        <v>4098</v>
      </c>
      <c r="AB1963" s="33">
        <v>13</v>
      </c>
      <c r="AC1963" s="16" t="s">
        <v>405</v>
      </c>
      <c r="AD1963" s="16" t="s">
        <v>40</v>
      </c>
      <c r="AE1963" s="35" t="str">
        <f t="shared" si="31"/>
        <v>EF1 E002 Mat</v>
      </c>
    </row>
    <row r="1964" spans="1:31" ht="45" x14ac:dyDescent="0.25">
      <c r="A1964" s="31" t="s">
        <v>4099</v>
      </c>
      <c r="B1964" s="16" t="s">
        <v>32</v>
      </c>
      <c r="C1964" s="16" t="s">
        <v>164</v>
      </c>
      <c r="D1964" s="33" t="s">
        <v>34</v>
      </c>
      <c r="E1964" s="33">
        <v>247</v>
      </c>
      <c r="F1964" s="33">
        <v>5</v>
      </c>
      <c r="G1964" s="33">
        <v>11</v>
      </c>
      <c r="H1964" s="33"/>
      <c r="I1964" s="31" t="s">
        <v>46</v>
      </c>
      <c r="J1964" s="31"/>
      <c r="K1964" s="33"/>
      <c r="L1964" s="33"/>
      <c r="M1964" s="31"/>
      <c r="N1964" s="31"/>
      <c r="O1964" s="16" t="s">
        <v>4100</v>
      </c>
      <c r="P1964" s="16"/>
      <c r="Q1964" s="16"/>
      <c r="R1964" s="33"/>
      <c r="S1964" s="34"/>
      <c r="T1964" s="34"/>
      <c r="U1964" s="34"/>
      <c r="V1964" s="34"/>
      <c r="W1964" s="34"/>
      <c r="X1964" s="33" t="s">
        <v>48</v>
      </c>
      <c r="Y1964" s="35" t="str">
        <f>IF(Tabela2[[#This Row],[SIGLA]]="","",VLOOKUP(Tabela2[[#This Row],[SIGLA]],Tabela1[[#All],[Sigla Arte]:[Crédito]],2,0))</f>
        <v>SERGIO LIMA/ARQUIVO DA EDITORA</v>
      </c>
      <c r="Z1964" s="31"/>
      <c r="AA1964" s="31" t="str">
        <f>Tabela2[[#This Row],[ILUSTRADOR CRIAÇÃO]]</f>
        <v>SERGIO LIMA/ARQUIVO DA EDITORA</v>
      </c>
      <c r="AB1964" s="33"/>
      <c r="AC1964" s="16"/>
      <c r="AE1964" s="35" t="str">
        <f t="shared" si="31"/>
        <v>EF1 E002 Mat</v>
      </c>
    </row>
    <row r="1965" spans="1:31" ht="45" x14ac:dyDescent="0.25">
      <c r="A1965" s="31" t="s">
        <v>4101</v>
      </c>
      <c r="B1965" s="16" t="s">
        <v>32</v>
      </c>
      <c r="C1965" s="16" t="s">
        <v>164</v>
      </c>
      <c r="D1965" s="33" t="s">
        <v>34</v>
      </c>
      <c r="E1965" s="33">
        <v>247</v>
      </c>
      <c r="F1965" s="33">
        <v>5</v>
      </c>
      <c r="G1965" s="33">
        <v>11</v>
      </c>
      <c r="H1965" s="33"/>
      <c r="I1965" s="31" t="s">
        <v>46</v>
      </c>
      <c r="J1965" s="31"/>
      <c r="K1965" s="33"/>
      <c r="L1965" s="33"/>
      <c r="M1965" s="31"/>
      <c r="N1965" s="31"/>
      <c r="O1965" s="16" t="s">
        <v>4102</v>
      </c>
      <c r="P1965" s="16"/>
      <c r="Q1965" s="16"/>
      <c r="R1965" s="33"/>
      <c r="S1965" s="34"/>
      <c r="T1965" s="34"/>
      <c r="U1965" s="34"/>
      <c r="V1965" s="34"/>
      <c r="W1965" s="34"/>
      <c r="X1965" s="33" t="s">
        <v>48</v>
      </c>
      <c r="Y1965" s="35" t="str">
        <f>IF(Tabela2[[#This Row],[SIGLA]]="","",VLOOKUP(Tabela2[[#This Row],[SIGLA]],Tabela1[[#All],[Sigla Arte]:[Crédito]],2,0))</f>
        <v>SERGIO LIMA/ARQUIVO DA EDITORA</v>
      </c>
      <c r="Z1965" s="31"/>
      <c r="AA1965" s="31" t="str">
        <f>Tabela2[[#This Row],[ILUSTRADOR CRIAÇÃO]]</f>
        <v>SERGIO LIMA/ARQUIVO DA EDITORA</v>
      </c>
      <c r="AB1965" s="33"/>
      <c r="AC1965" s="16"/>
      <c r="AE1965" s="35" t="str">
        <f t="shared" si="31"/>
        <v>EF1 E002 Mat</v>
      </c>
    </row>
    <row r="1966" spans="1:31" ht="75" x14ac:dyDescent="0.25">
      <c r="A1966" s="31" t="s">
        <v>4103</v>
      </c>
      <c r="B1966" s="16" t="s">
        <v>32</v>
      </c>
      <c r="C1966" s="16" t="s">
        <v>164</v>
      </c>
      <c r="D1966" s="33" t="s">
        <v>34</v>
      </c>
      <c r="E1966" s="33">
        <v>247</v>
      </c>
      <c r="F1966" s="33">
        <v>5</v>
      </c>
      <c r="G1966" s="33">
        <v>11</v>
      </c>
      <c r="H1966" s="33"/>
      <c r="I1966" s="31" t="s">
        <v>35</v>
      </c>
      <c r="J1966" s="31"/>
      <c r="K1966" s="33"/>
      <c r="L1966" s="33"/>
      <c r="M1966" s="31"/>
      <c r="N1966" s="31"/>
      <c r="O1966" s="16" t="s">
        <v>4104</v>
      </c>
      <c r="P1966" s="16"/>
      <c r="Q1966" s="16"/>
      <c r="R1966" s="33">
        <v>53</v>
      </c>
      <c r="S1966" s="34">
        <v>45813</v>
      </c>
      <c r="T1966" s="34">
        <v>45821</v>
      </c>
      <c r="U1966" s="34"/>
      <c r="V1966" s="34"/>
      <c r="W1966" s="34">
        <v>45821</v>
      </c>
      <c r="X1966" s="33" t="s">
        <v>3443</v>
      </c>
      <c r="Y1966" s="35" t="str">
        <f>IF(Tabela2[[#This Row],[SIGLA]]="","",VLOOKUP(Tabela2[[#This Row],[SIGLA]],Tabela1[[#All],[Sigla Arte]:[Crédito]],2,0))</f>
        <v>VINÍCIUS COSTA/ARQUIVO DA EDITORA</v>
      </c>
      <c r="Z1966" s="31" t="s">
        <v>1226</v>
      </c>
      <c r="AA1966" s="31" t="s">
        <v>4105</v>
      </c>
      <c r="AB1966" s="33">
        <v>13</v>
      </c>
      <c r="AC1966" s="49" t="s">
        <v>44</v>
      </c>
      <c r="AD1966" s="16" t="s">
        <v>40</v>
      </c>
      <c r="AE1966" s="35" t="str">
        <f t="shared" si="31"/>
        <v>EF1 E002 Mat</v>
      </c>
    </row>
    <row r="1967" spans="1:31" ht="75" x14ac:dyDescent="0.25">
      <c r="A1967" s="31" t="s">
        <v>4106</v>
      </c>
      <c r="B1967" s="16" t="s">
        <v>32</v>
      </c>
      <c r="C1967" s="16" t="s">
        <v>164</v>
      </c>
      <c r="D1967" s="33" t="s">
        <v>34</v>
      </c>
      <c r="E1967" s="33">
        <v>247</v>
      </c>
      <c r="F1967" s="33">
        <v>5</v>
      </c>
      <c r="G1967" s="33">
        <v>11</v>
      </c>
      <c r="H1967" s="33"/>
      <c r="I1967" s="31" t="s">
        <v>35</v>
      </c>
      <c r="J1967" s="31"/>
      <c r="K1967" s="33"/>
      <c r="L1967" s="33"/>
      <c r="M1967" s="31"/>
      <c r="N1967" s="31"/>
      <c r="O1967" s="16" t="s">
        <v>4107</v>
      </c>
      <c r="P1967" s="16"/>
      <c r="Q1967" s="16"/>
      <c r="R1967" s="33">
        <v>162</v>
      </c>
      <c r="S1967" s="34">
        <v>45916</v>
      </c>
      <c r="T1967" s="34">
        <v>45916</v>
      </c>
      <c r="U1967" s="34"/>
      <c r="V1967" s="34"/>
      <c r="W1967" s="34">
        <v>45916</v>
      </c>
      <c r="X1967" s="33" t="s">
        <v>3443</v>
      </c>
      <c r="Y1967" s="35" t="str">
        <f>IF(Tabela2[[#This Row],[SIGLA]]="","",VLOOKUP(Tabela2[[#This Row],[SIGLA]],Tabela1[[#All],[Sigla Arte]:[Crédito]],2,0))</f>
        <v>VINÍCIUS COSTA/ARQUIVO DA EDITORA</v>
      </c>
      <c r="Z1967" s="31" t="s">
        <v>383</v>
      </c>
      <c r="AA1967" s="31" t="s">
        <v>4105</v>
      </c>
      <c r="AB1967" s="33">
        <v>13</v>
      </c>
      <c r="AC1967" s="16" t="s">
        <v>405</v>
      </c>
      <c r="AD1967" s="16" t="s">
        <v>40</v>
      </c>
      <c r="AE1967" s="35" t="str">
        <f t="shared" si="31"/>
        <v>EF1 E002 Mat</v>
      </c>
    </row>
    <row r="1968" spans="1:31" ht="75" x14ac:dyDescent="0.25">
      <c r="A1968" s="31" t="s">
        <v>4108</v>
      </c>
      <c r="B1968" s="16" t="s">
        <v>32</v>
      </c>
      <c r="C1968" s="16" t="s">
        <v>164</v>
      </c>
      <c r="D1968" s="33" t="s">
        <v>34</v>
      </c>
      <c r="E1968" s="33">
        <v>249</v>
      </c>
      <c r="F1968" s="33">
        <v>5</v>
      </c>
      <c r="G1968" s="33">
        <v>11</v>
      </c>
      <c r="H1968" s="33"/>
      <c r="I1968" s="31" t="s">
        <v>35</v>
      </c>
      <c r="J1968" s="31"/>
      <c r="K1968" s="33"/>
      <c r="L1968" s="33"/>
      <c r="M1968" s="31"/>
      <c r="N1968" s="31"/>
      <c r="O1968" s="16" t="s">
        <v>4109</v>
      </c>
      <c r="P1968" s="16"/>
      <c r="Q1968" s="16"/>
      <c r="R1968" s="33">
        <v>53</v>
      </c>
      <c r="S1968" s="34">
        <v>45813</v>
      </c>
      <c r="T1968" s="34">
        <v>45821</v>
      </c>
      <c r="U1968" s="34"/>
      <c r="V1968" s="34"/>
      <c r="W1968" s="34">
        <v>45821</v>
      </c>
      <c r="X1968" s="33" t="s">
        <v>1971</v>
      </c>
      <c r="Y1968" s="35" t="str">
        <f>IF(Tabela2[[#This Row],[SIGLA]]="","",VLOOKUP(Tabela2[[#This Row],[SIGLA]],Tabela1[[#All],[Sigla Arte]:[Crédito]],2,0))</f>
        <v>PETRA MENDES/ARQUIVO DA EDITORA</v>
      </c>
      <c r="Z1968" s="31" t="s">
        <v>1226</v>
      </c>
      <c r="AA1968" s="31" t="str">
        <f>Tabela2[[#This Row],[ILUSTRADOR CRIAÇÃO]]</f>
        <v>PETRA MENDES/ARQUIVO DA EDITORA</v>
      </c>
      <c r="AB1968" s="33">
        <v>13</v>
      </c>
      <c r="AC1968" s="16" t="s">
        <v>44</v>
      </c>
      <c r="AD1968" s="16" t="s">
        <v>40</v>
      </c>
      <c r="AE1968" s="35" t="str">
        <f t="shared" si="31"/>
        <v>EF1 E002 Mat</v>
      </c>
    </row>
    <row r="1969" spans="1:31" ht="90" x14ac:dyDescent="0.25">
      <c r="A1969" s="31" t="s">
        <v>4110</v>
      </c>
      <c r="B1969" s="16" t="s">
        <v>32</v>
      </c>
      <c r="C1969" s="16" t="s">
        <v>33</v>
      </c>
      <c r="D1969" s="33" t="s">
        <v>34</v>
      </c>
      <c r="E1969" s="33">
        <v>222</v>
      </c>
      <c r="F1969" s="33">
        <v>5</v>
      </c>
      <c r="G1969" s="33">
        <v>10</v>
      </c>
      <c r="H1969" s="33"/>
      <c r="I1969" s="31" t="s">
        <v>46</v>
      </c>
      <c r="J1969" s="31"/>
      <c r="K1969" s="33"/>
      <c r="L1969" s="33"/>
      <c r="M1969" s="31"/>
      <c r="N1969" s="31"/>
      <c r="O1969" s="16" t="s">
        <v>4111</v>
      </c>
      <c r="P1969" s="16"/>
      <c r="Q1969" s="16"/>
      <c r="R1969" s="33"/>
      <c r="S1969" s="34"/>
      <c r="T1969" s="34"/>
      <c r="U1969" s="34"/>
      <c r="V1969" s="34"/>
      <c r="W1969" s="34"/>
      <c r="X1969" s="33" t="s">
        <v>1332</v>
      </c>
      <c r="Y1969" s="35" t="str">
        <f>IF(Tabela2[[#This Row],[SIGLA]]="","",VLOOKUP(Tabela2[[#This Row],[SIGLA]],Tabela1[[#All],[Sigla Arte]:[Crédito]],2,0))</f>
        <v>LUCAS PALMA/ARQUIVO DA EDITORA</v>
      </c>
      <c r="Z1969" s="31"/>
      <c r="AA1969" s="31" t="str">
        <f>Tabela2[[#This Row],[ILUSTRADOR CRIAÇÃO]]</f>
        <v>LUCAS PALMA/ARQUIVO DA EDITORA</v>
      </c>
      <c r="AB1969" s="33"/>
      <c r="AC1969" s="16"/>
      <c r="AE1969" s="35" t="str">
        <f t="shared" si="31"/>
        <v>EF1 E002 Mat</v>
      </c>
    </row>
    <row r="1970" spans="1:31" ht="60" x14ac:dyDescent="0.25">
      <c r="A1970" s="31" t="s">
        <v>4112</v>
      </c>
      <c r="B1970" s="16" t="s">
        <v>32</v>
      </c>
      <c r="C1970" s="16" t="s">
        <v>327</v>
      </c>
      <c r="D1970" s="33" t="s">
        <v>34</v>
      </c>
      <c r="E1970" s="33">
        <v>227</v>
      </c>
      <c r="F1970" s="33">
        <v>5</v>
      </c>
      <c r="G1970" s="33">
        <v>10</v>
      </c>
      <c r="H1970" s="33"/>
      <c r="I1970" s="31" t="s">
        <v>35</v>
      </c>
      <c r="J1970" s="31"/>
      <c r="K1970" s="33"/>
      <c r="L1970" s="33"/>
      <c r="M1970" s="31"/>
      <c r="N1970" s="31"/>
      <c r="O1970" s="16" t="s">
        <v>4113</v>
      </c>
      <c r="P1970" s="16"/>
      <c r="Q1970" s="16"/>
      <c r="R1970" s="33">
        <v>200</v>
      </c>
      <c r="S1970" s="34"/>
      <c r="T1970" s="34">
        <v>45943</v>
      </c>
      <c r="U1970" s="34"/>
      <c r="V1970" s="34"/>
      <c r="W1970" s="34">
        <v>45943</v>
      </c>
      <c r="X1970" s="33" t="s">
        <v>48</v>
      </c>
      <c r="Y1970" s="35" t="str">
        <f>IF(Tabela2[[#This Row],[SIGLA]]="","",VLOOKUP(Tabela2[[#This Row],[SIGLA]],Tabela1[[#All],[Sigla Arte]:[Crédito]],2,0))</f>
        <v>SERGIO LIMA/ARQUIVO DA EDITORA</v>
      </c>
      <c r="Z1970" s="31" t="s">
        <v>1465</v>
      </c>
      <c r="AA1970" s="31" t="str">
        <f>Tabela2[[#This Row],[ILUSTRADOR CRIAÇÃO]]</f>
        <v>SERGIO LIMA/ARQUIVO DA EDITORA</v>
      </c>
      <c r="AB1970" s="33">
        <v>13</v>
      </c>
      <c r="AC1970" s="16" t="s">
        <v>2102</v>
      </c>
      <c r="AD1970" s="16" t="s">
        <v>40</v>
      </c>
      <c r="AE1970" s="35" t="str">
        <f t="shared" ref="AE1970:AE2033" si="32">"EF1 E002 Mat"</f>
        <v>EF1 E002 Mat</v>
      </c>
    </row>
    <row r="1971" spans="1:31" ht="60" x14ac:dyDescent="0.25">
      <c r="A1971" s="31" t="s">
        <v>4114</v>
      </c>
      <c r="B1971" s="16" t="s">
        <v>32</v>
      </c>
      <c r="C1971" s="16" t="s">
        <v>327</v>
      </c>
      <c r="D1971" s="33" t="s">
        <v>34</v>
      </c>
      <c r="E1971" s="33">
        <v>231</v>
      </c>
      <c r="F1971" s="33">
        <v>5</v>
      </c>
      <c r="G1971" s="33">
        <v>10</v>
      </c>
      <c r="H1971" s="33"/>
      <c r="I1971" s="31" t="s">
        <v>35</v>
      </c>
      <c r="J1971" s="31"/>
      <c r="K1971" s="33"/>
      <c r="L1971" s="33"/>
      <c r="M1971" s="31"/>
      <c r="N1971" s="31"/>
      <c r="O1971" s="16" t="s">
        <v>4115</v>
      </c>
      <c r="P1971" s="16"/>
      <c r="Q1971" s="16"/>
      <c r="R1971" s="33">
        <v>203</v>
      </c>
      <c r="S1971" s="34"/>
      <c r="T1971" s="34">
        <v>45945</v>
      </c>
      <c r="U1971" s="34"/>
      <c r="V1971" s="34"/>
      <c r="W1971" s="34">
        <v>45945</v>
      </c>
      <c r="X1971" s="33" t="s">
        <v>1126</v>
      </c>
      <c r="Y1971" s="35" t="str">
        <f>IF(Tabela2[[#This Row],[SIGLA]]="","",VLOOKUP(Tabela2[[#This Row],[SIGLA]],Tabela1[[#All],[Sigla Arte]:[Crédito]],2,0))</f>
        <v>GUSTAVO CONTI/ARQUIVO DA EDITORA</v>
      </c>
      <c r="Z1971" s="31" t="s">
        <v>572</v>
      </c>
      <c r="AA1971" s="31" t="str">
        <f>Tabela2[[#This Row],[ILUSTRADOR CRIAÇÃO]]</f>
        <v>GUSTAVO CONTI/ARQUIVO DA EDITORA</v>
      </c>
      <c r="AB1971" s="33">
        <v>13</v>
      </c>
      <c r="AC1971" s="16" t="s">
        <v>44</v>
      </c>
      <c r="AD1971" s="16" t="s">
        <v>40</v>
      </c>
      <c r="AE1971" s="35" t="str">
        <f t="shared" si="32"/>
        <v>EF1 E002 Mat</v>
      </c>
    </row>
    <row r="1972" spans="1:31" ht="45" x14ac:dyDescent="0.25">
      <c r="A1972" s="31" t="s">
        <v>4116</v>
      </c>
      <c r="B1972" s="16" t="s">
        <v>32</v>
      </c>
      <c r="C1972" s="16" t="s">
        <v>33</v>
      </c>
      <c r="D1972" s="33" t="s">
        <v>34</v>
      </c>
      <c r="E1972" s="33">
        <v>234</v>
      </c>
      <c r="F1972" s="33">
        <v>5</v>
      </c>
      <c r="G1972" s="33">
        <v>10</v>
      </c>
      <c r="H1972" s="33"/>
      <c r="I1972" s="31" t="s">
        <v>46</v>
      </c>
      <c r="J1972" s="31"/>
      <c r="K1972" s="33"/>
      <c r="L1972" s="33"/>
      <c r="M1972" s="31"/>
      <c r="N1972" s="31"/>
      <c r="O1972" s="16" t="s">
        <v>4117</v>
      </c>
      <c r="P1972" s="16"/>
      <c r="Q1972" s="16"/>
      <c r="R1972" s="33"/>
      <c r="S1972" s="34"/>
      <c r="T1972" s="34"/>
      <c r="U1972" s="34"/>
      <c r="V1972" s="34"/>
      <c r="W1972" s="34"/>
      <c r="X1972" s="33" t="s">
        <v>48</v>
      </c>
      <c r="Y1972" s="35" t="str">
        <f>IF(Tabela2[[#This Row],[SIGLA]]="","",VLOOKUP(Tabela2[[#This Row],[SIGLA]],Tabela1[[#All],[Sigla Arte]:[Crédito]],2,0))</f>
        <v>SERGIO LIMA/ARQUIVO DA EDITORA</v>
      </c>
      <c r="Z1972" s="31"/>
      <c r="AA1972" s="31" t="str">
        <f>Tabela2[[#This Row],[ILUSTRADOR CRIAÇÃO]]</f>
        <v>SERGIO LIMA/ARQUIVO DA EDITORA</v>
      </c>
      <c r="AB1972" s="33"/>
      <c r="AC1972" s="16"/>
      <c r="AE1972" s="35" t="str">
        <f t="shared" si="32"/>
        <v>EF1 E002 Mat</v>
      </c>
    </row>
    <row r="1973" spans="1:31" ht="45" x14ac:dyDescent="0.25">
      <c r="A1973" s="31" t="s">
        <v>4118</v>
      </c>
      <c r="B1973" s="16" t="s">
        <v>32</v>
      </c>
      <c r="C1973" s="16" t="s">
        <v>33</v>
      </c>
      <c r="D1973" s="33" t="s">
        <v>34</v>
      </c>
      <c r="E1973" s="33">
        <v>234</v>
      </c>
      <c r="F1973" s="33">
        <v>5</v>
      </c>
      <c r="G1973" s="33">
        <v>10</v>
      </c>
      <c r="H1973" s="33"/>
      <c r="I1973" s="31" t="s">
        <v>35</v>
      </c>
      <c r="J1973" s="31"/>
      <c r="K1973" s="33"/>
      <c r="L1973" s="33"/>
      <c r="M1973" s="31"/>
      <c r="N1973" s="31"/>
      <c r="O1973" s="16" t="s">
        <v>4119</v>
      </c>
      <c r="P1973" s="16"/>
      <c r="Q1973" s="16"/>
      <c r="R1973" s="33">
        <v>200</v>
      </c>
      <c r="S1973" s="34"/>
      <c r="T1973" s="34">
        <v>45943</v>
      </c>
      <c r="U1973" s="34"/>
      <c r="V1973" s="34"/>
      <c r="W1973" s="34">
        <v>45943</v>
      </c>
      <c r="X1973" s="33" t="s">
        <v>48</v>
      </c>
      <c r="Y1973" s="35" t="str">
        <f>IF(Tabela2[[#This Row],[SIGLA]]="","",VLOOKUP(Tabela2[[#This Row],[SIGLA]],Tabela1[[#All],[Sigla Arte]:[Crédito]],2,0))</f>
        <v>SERGIO LIMA/ARQUIVO DA EDITORA</v>
      </c>
      <c r="Z1973" s="31" t="s">
        <v>1465</v>
      </c>
      <c r="AA1973" s="31" t="str">
        <f>Tabela2[[#This Row],[ILUSTRADOR CRIAÇÃO]]</f>
        <v>SERGIO LIMA/ARQUIVO DA EDITORA</v>
      </c>
      <c r="AB1973" s="33">
        <v>13</v>
      </c>
      <c r="AC1973" s="16" t="s">
        <v>2102</v>
      </c>
      <c r="AD1973" s="16" t="s">
        <v>40</v>
      </c>
      <c r="AE1973" s="35" t="str">
        <f t="shared" si="32"/>
        <v>EF1 E002 Mat</v>
      </c>
    </row>
    <row r="1974" spans="1:31" ht="30" x14ac:dyDescent="0.25">
      <c r="A1974" s="31" t="s">
        <v>4120</v>
      </c>
      <c r="B1974" s="16" t="s">
        <v>32</v>
      </c>
      <c r="C1974" s="16" t="s">
        <v>33</v>
      </c>
      <c r="D1974" s="33" t="s">
        <v>34</v>
      </c>
      <c r="E1974" s="33">
        <v>235</v>
      </c>
      <c r="F1974" s="33">
        <v>5</v>
      </c>
      <c r="G1974" s="33">
        <v>10</v>
      </c>
      <c r="H1974" s="33"/>
      <c r="I1974" s="31" t="s">
        <v>46</v>
      </c>
      <c r="J1974" s="31"/>
      <c r="K1974" s="33"/>
      <c r="L1974" s="33"/>
      <c r="M1974" s="31"/>
      <c r="N1974" s="31"/>
      <c r="O1974" s="16" t="s">
        <v>4121</v>
      </c>
      <c r="P1974" s="16"/>
      <c r="Q1974" s="16"/>
      <c r="R1974" s="33"/>
      <c r="S1974" s="34"/>
      <c r="T1974" s="34"/>
      <c r="U1974" s="34"/>
      <c r="V1974" s="34"/>
      <c r="W1974" s="34"/>
      <c r="X1974" s="33" t="s">
        <v>48</v>
      </c>
      <c r="Y1974" s="35" t="str">
        <f>IF(Tabela2[[#This Row],[SIGLA]]="","",VLOOKUP(Tabela2[[#This Row],[SIGLA]],Tabela1[[#All],[Sigla Arte]:[Crédito]],2,0))</f>
        <v>SERGIO LIMA/ARQUIVO DA EDITORA</v>
      </c>
      <c r="Z1974" s="31"/>
      <c r="AA1974" s="31" t="str">
        <f>Tabela2[[#This Row],[ILUSTRADOR CRIAÇÃO]]</f>
        <v>SERGIO LIMA/ARQUIVO DA EDITORA</v>
      </c>
      <c r="AB1974" s="33"/>
      <c r="AC1974" s="16"/>
      <c r="AE1974" s="35" t="str">
        <f t="shared" si="32"/>
        <v>EF1 E002 Mat</v>
      </c>
    </row>
    <row r="1975" spans="1:31" ht="45" x14ac:dyDescent="0.25">
      <c r="A1975" s="31" t="s">
        <v>4122</v>
      </c>
      <c r="B1975" s="16" t="s">
        <v>32</v>
      </c>
      <c r="C1975" s="16" t="s">
        <v>33</v>
      </c>
      <c r="D1975" s="33" t="s">
        <v>34</v>
      </c>
      <c r="E1975" s="33">
        <v>236</v>
      </c>
      <c r="F1975" s="33">
        <v>5</v>
      </c>
      <c r="G1975" s="33">
        <v>10</v>
      </c>
      <c r="H1975" s="33"/>
      <c r="I1975" s="31" t="s">
        <v>46</v>
      </c>
      <c r="J1975" s="31"/>
      <c r="K1975" s="33"/>
      <c r="L1975" s="33"/>
      <c r="M1975" s="31"/>
      <c r="N1975" s="31"/>
      <c r="O1975" s="16" t="s">
        <v>4123</v>
      </c>
      <c r="P1975" s="16"/>
      <c r="Q1975" s="16"/>
      <c r="R1975" s="33"/>
      <c r="S1975" s="34"/>
      <c r="T1975" s="34"/>
      <c r="U1975" s="34"/>
      <c r="V1975" s="34"/>
      <c r="W1975" s="34"/>
      <c r="X1975" s="33" t="s">
        <v>1126</v>
      </c>
      <c r="Y1975" s="35" t="str">
        <f>IF(Tabela2[[#This Row],[SIGLA]]="","",VLOOKUP(Tabela2[[#This Row],[SIGLA]],Tabela1[[#All],[Sigla Arte]:[Crédito]],2,0))</f>
        <v>GUSTAVO CONTI/ARQUIVO DA EDITORA</v>
      </c>
      <c r="Z1975" s="31"/>
      <c r="AA1975" s="31" t="str">
        <f>Tabela2[[#This Row],[ILUSTRADOR CRIAÇÃO]]</f>
        <v>GUSTAVO CONTI/ARQUIVO DA EDITORA</v>
      </c>
      <c r="AB1975" s="33"/>
      <c r="AC1975" s="16"/>
      <c r="AE1975" s="35" t="str">
        <f t="shared" si="32"/>
        <v>EF1 E002 Mat</v>
      </c>
    </row>
    <row r="1976" spans="1:31" ht="30" x14ac:dyDescent="0.25">
      <c r="A1976" s="31" t="s">
        <v>4124</v>
      </c>
      <c r="B1976" s="16" t="s">
        <v>32</v>
      </c>
      <c r="C1976" s="16" t="s">
        <v>33</v>
      </c>
      <c r="D1976" s="33" t="s">
        <v>34</v>
      </c>
      <c r="E1976" s="33">
        <v>236</v>
      </c>
      <c r="F1976" s="33">
        <v>5</v>
      </c>
      <c r="G1976" s="33">
        <v>10</v>
      </c>
      <c r="H1976" s="33"/>
      <c r="I1976" s="31" t="s">
        <v>46</v>
      </c>
      <c r="J1976" s="31"/>
      <c r="K1976" s="33"/>
      <c r="L1976" s="33"/>
      <c r="M1976" s="31"/>
      <c r="N1976" s="31"/>
      <c r="O1976" s="16" t="s">
        <v>4125</v>
      </c>
      <c r="P1976" s="16"/>
      <c r="Q1976" s="16"/>
      <c r="R1976" s="33"/>
      <c r="S1976" s="34"/>
      <c r="T1976" s="34"/>
      <c r="U1976" s="34"/>
      <c r="V1976" s="34"/>
      <c r="W1976" s="34"/>
      <c r="X1976" s="33" t="s">
        <v>715</v>
      </c>
      <c r="Y1976" s="35" t="str">
        <f>IF(Tabela2[[#This Row],[SIGLA]]="","",VLOOKUP(Tabela2[[#This Row],[SIGLA]],Tabela1[[#All],[Sigla Arte]:[Crédito]],2,0))</f>
        <v>RAFAELA H. PEREIRA/ARQUIVO DA EDITORA</v>
      </c>
      <c r="Z1976" s="31"/>
      <c r="AA1976" s="31" t="str">
        <f>Tabela2[[#This Row],[ILUSTRADOR CRIAÇÃO]]</f>
        <v>RAFAELA H. PEREIRA/ARQUIVO DA EDITORA</v>
      </c>
      <c r="AB1976" s="33"/>
      <c r="AC1976" s="16"/>
      <c r="AE1976" s="35" t="str">
        <f t="shared" si="32"/>
        <v>EF1 E002 Mat</v>
      </c>
    </row>
    <row r="1977" spans="1:31" ht="30" x14ac:dyDescent="0.25">
      <c r="A1977" s="31" t="s">
        <v>4126</v>
      </c>
      <c r="B1977" s="16" t="s">
        <v>32</v>
      </c>
      <c r="C1977" s="16" t="s">
        <v>164</v>
      </c>
      <c r="D1977" s="33" t="s">
        <v>34</v>
      </c>
      <c r="E1977" s="33">
        <v>159</v>
      </c>
      <c r="F1977" s="33">
        <v>5</v>
      </c>
      <c r="G1977" s="33">
        <v>8</v>
      </c>
      <c r="H1977" s="33"/>
      <c r="I1977" s="31" t="s">
        <v>46</v>
      </c>
      <c r="J1977" s="31"/>
      <c r="K1977" s="33"/>
      <c r="L1977" s="33"/>
      <c r="M1977" s="31"/>
      <c r="N1977" s="31"/>
      <c r="O1977" s="16" t="s">
        <v>4127</v>
      </c>
      <c r="P1977" s="16"/>
      <c r="Q1977" s="16"/>
      <c r="R1977" s="33"/>
      <c r="S1977" s="34"/>
      <c r="T1977" s="34"/>
      <c r="U1977" s="34"/>
      <c r="V1977" s="34"/>
      <c r="W1977" s="34"/>
      <c r="X1977" s="33" t="s">
        <v>48</v>
      </c>
      <c r="Y1977" s="35" t="str">
        <f>IF(Tabela2[[#This Row],[SIGLA]]="","",VLOOKUP(Tabela2[[#This Row],[SIGLA]],Tabela1[[#All],[Sigla Arte]:[Crédito]],2,0))</f>
        <v>SERGIO LIMA/ARQUIVO DA EDITORA</v>
      </c>
      <c r="Z1977" s="31"/>
      <c r="AA1977" s="31" t="str">
        <f>Tabela2[[#This Row],[ILUSTRADOR CRIAÇÃO]]</f>
        <v>SERGIO LIMA/ARQUIVO DA EDITORA</v>
      </c>
      <c r="AB1977" s="33"/>
      <c r="AC1977" s="16"/>
      <c r="AE1977" s="35" t="str">
        <f t="shared" si="32"/>
        <v>EF1 E002 Mat</v>
      </c>
    </row>
    <row r="1978" spans="1:31" ht="30" x14ac:dyDescent="0.25">
      <c r="A1978" s="31" t="s">
        <v>4128</v>
      </c>
      <c r="B1978" s="16" t="s">
        <v>32</v>
      </c>
      <c r="C1978" s="16" t="s">
        <v>164</v>
      </c>
      <c r="D1978" s="33" t="s">
        <v>34</v>
      </c>
      <c r="E1978" s="33">
        <v>159</v>
      </c>
      <c r="F1978" s="33">
        <v>5</v>
      </c>
      <c r="G1978" s="33">
        <v>8</v>
      </c>
      <c r="H1978" s="33"/>
      <c r="I1978" s="31" t="s">
        <v>46</v>
      </c>
      <c r="J1978" s="31"/>
      <c r="K1978" s="33"/>
      <c r="L1978" s="33"/>
      <c r="M1978" s="31"/>
      <c r="N1978" s="31"/>
      <c r="O1978" s="16" t="s">
        <v>4129</v>
      </c>
      <c r="P1978" s="16"/>
      <c r="Q1978" s="16"/>
      <c r="R1978" s="33"/>
      <c r="S1978" s="34"/>
      <c r="T1978" s="34"/>
      <c r="U1978" s="34"/>
      <c r="V1978" s="34"/>
      <c r="W1978" s="34"/>
      <c r="X1978" s="33" t="s">
        <v>48</v>
      </c>
      <c r="Y1978" s="35" t="str">
        <f>IF(Tabela2[[#This Row],[SIGLA]]="","",VLOOKUP(Tabela2[[#This Row],[SIGLA]],Tabela1[[#All],[Sigla Arte]:[Crédito]],2,0))</f>
        <v>SERGIO LIMA/ARQUIVO DA EDITORA</v>
      </c>
      <c r="Z1978" s="31"/>
      <c r="AA1978" s="31" t="str">
        <f>Tabela2[[#This Row],[ILUSTRADOR CRIAÇÃO]]</f>
        <v>SERGIO LIMA/ARQUIVO DA EDITORA</v>
      </c>
      <c r="AB1978" s="33"/>
      <c r="AC1978" s="16"/>
      <c r="AE1978" s="35" t="str">
        <f t="shared" si="32"/>
        <v>EF1 E002 Mat</v>
      </c>
    </row>
    <row r="1979" spans="1:31" ht="30" x14ac:dyDescent="0.25">
      <c r="A1979" s="31" t="s">
        <v>4130</v>
      </c>
      <c r="B1979" s="16" t="s">
        <v>32</v>
      </c>
      <c r="C1979" s="16" t="s">
        <v>164</v>
      </c>
      <c r="D1979" s="33" t="s">
        <v>34</v>
      </c>
      <c r="E1979" s="33">
        <v>159</v>
      </c>
      <c r="F1979" s="33">
        <v>5</v>
      </c>
      <c r="G1979" s="33">
        <v>8</v>
      </c>
      <c r="H1979" s="33"/>
      <c r="I1979" s="31" t="s">
        <v>46</v>
      </c>
      <c r="J1979" s="31"/>
      <c r="K1979" s="33"/>
      <c r="L1979" s="33"/>
      <c r="M1979" s="31"/>
      <c r="N1979" s="31"/>
      <c r="O1979" s="16" t="s">
        <v>4131</v>
      </c>
      <c r="P1979" s="16"/>
      <c r="Q1979" s="16"/>
      <c r="R1979" s="33"/>
      <c r="S1979" s="34"/>
      <c r="T1979" s="34"/>
      <c r="U1979" s="34"/>
      <c r="V1979" s="34"/>
      <c r="W1979" s="34"/>
      <c r="X1979" s="33" t="s">
        <v>48</v>
      </c>
      <c r="Y1979" s="35" t="str">
        <f>IF(Tabela2[[#This Row],[SIGLA]]="","",VLOOKUP(Tabela2[[#This Row],[SIGLA]],Tabela1[[#All],[Sigla Arte]:[Crédito]],2,0))</f>
        <v>SERGIO LIMA/ARQUIVO DA EDITORA</v>
      </c>
      <c r="Z1979" s="31"/>
      <c r="AA1979" s="31" t="str">
        <f>Tabela2[[#This Row],[ILUSTRADOR CRIAÇÃO]]</f>
        <v>SERGIO LIMA/ARQUIVO DA EDITORA</v>
      </c>
      <c r="AB1979" s="33"/>
      <c r="AC1979" s="16"/>
      <c r="AE1979" s="35" t="str">
        <f t="shared" si="32"/>
        <v>EF1 E002 Mat</v>
      </c>
    </row>
    <row r="1980" spans="1:31" ht="45" x14ac:dyDescent="0.25">
      <c r="A1980" s="31" t="s">
        <v>4132</v>
      </c>
      <c r="B1980" s="16" t="s">
        <v>32</v>
      </c>
      <c r="C1980" s="16" t="s">
        <v>164</v>
      </c>
      <c r="D1980" s="33" t="s">
        <v>34</v>
      </c>
      <c r="E1980" s="33">
        <v>160</v>
      </c>
      <c r="F1980" s="33">
        <v>5</v>
      </c>
      <c r="G1980" s="33">
        <v>8</v>
      </c>
      <c r="H1980" s="33"/>
      <c r="I1980" s="31" t="s">
        <v>46</v>
      </c>
      <c r="J1980" s="31"/>
      <c r="K1980" s="33"/>
      <c r="L1980" s="33"/>
      <c r="M1980" s="31"/>
      <c r="N1980" s="31"/>
      <c r="O1980" s="16" t="s">
        <v>4133</v>
      </c>
      <c r="P1980" s="16"/>
      <c r="Q1980" s="16"/>
      <c r="R1980" s="33"/>
      <c r="S1980" s="34"/>
      <c r="T1980" s="34"/>
      <c r="U1980" s="34"/>
      <c r="V1980" s="34"/>
      <c r="W1980" s="34"/>
      <c r="X1980" s="33" t="s">
        <v>1126</v>
      </c>
      <c r="Y1980" s="35" t="str">
        <f>IF(Tabela2[[#This Row],[SIGLA]]="","",VLOOKUP(Tabela2[[#This Row],[SIGLA]],Tabela1[[#All],[Sigla Arte]:[Crédito]],2,0))</f>
        <v>GUSTAVO CONTI/ARQUIVO DA EDITORA</v>
      </c>
      <c r="Z1980" s="31"/>
      <c r="AA1980" s="31" t="s">
        <v>2050</v>
      </c>
      <c r="AB1980" s="33"/>
      <c r="AC1980" s="16"/>
      <c r="AE1980" s="35" t="str">
        <f t="shared" si="32"/>
        <v>EF1 E002 Mat</v>
      </c>
    </row>
    <row r="1981" spans="1:31" ht="45" x14ac:dyDescent="0.25">
      <c r="A1981" s="31" t="s">
        <v>4134</v>
      </c>
      <c r="B1981" s="16" t="s">
        <v>32</v>
      </c>
      <c r="C1981" s="16" t="s">
        <v>164</v>
      </c>
      <c r="D1981" s="33" t="s">
        <v>34</v>
      </c>
      <c r="E1981" s="33">
        <v>160</v>
      </c>
      <c r="F1981" s="33">
        <v>5</v>
      </c>
      <c r="G1981" s="33">
        <v>8</v>
      </c>
      <c r="H1981" s="33"/>
      <c r="I1981" s="31" t="s">
        <v>46</v>
      </c>
      <c r="J1981" s="31"/>
      <c r="K1981" s="33"/>
      <c r="L1981" s="33"/>
      <c r="M1981" s="31"/>
      <c r="N1981" s="31"/>
      <c r="O1981" s="16" t="s">
        <v>4135</v>
      </c>
      <c r="P1981" s="16"/>
      <c r="Q1981" s="16"/>
      <c r="R1981" s="33"/>
      <c r="S1981" s="34"/>
      <c r="T1981" s="34"/>
      <c r="U1981" s="34"/>
      <c r="V1981" s="34"/>
      <c r="W1981" s="34"/>
      <c r="X1981" s="33" t="s">
        <v>1126</v>
      </c>
      <c r="Y1981" s="35" t="str">
        <f>IF(Tabela2[[#This Row],[SIGLA]]="","",VLOOKUP(Tabela2[[#This Row],[SIGLA]],Tabela1[[#All],[Sigla Arte]:[Crédito]],2,0))</f>
        <v>GUSTAVO CONTI/ARQUIVO DA EDITORA</v>
      </c>
      <c r="Z1981" s="31"/>
      <c r="AA1981" s="31" t="s">
        <v>2050</v>
      </c>
      <c r="AB1981" s="33"/>
      <c r="AC1981" s="16"/>
      <c r="AE1981" s="35" t="str">
        <f t="shared" si="32"/>
        <v>EF1 E002 Mat</v>
      </c>
    </row>
    <row r="1982" spans="1:31" ht="45" x14ac:dyDescent="0.25">
      <c r="A1982" s="31" t="s">
        <v>4136</v>
      </c>
      <c r="B1982" s="16" t="s">
        <v>32</v>
      </c>
      <c r="C1982" s="16" t="s">
        <v>164</v>
      </c>
      <c r="D1982" s="33" t="s">
        <v>34</v>
      </c>
      <c r="E1982" s="33">
        <v>160</v>
      </c>
      <c r="F1982" s="33">
        <v>5</v>
      </c>
      <c r="G1982" s="33">
        <v>8</v>
      </c>
      <c r="H1982" s="33"/>
      <c r="I1982" s="31" t="s">
        <v>46</v>
      </c>
      <c r="J1982" s="31"/>
      <c r="K1982" s="33"/>
      <c r="L1982" s="33"/>
      <c r="M1982" s="31"/>
      <c r="N1982" s="31"/>
      <c r="O1982" s="16" t="s">
        <v>4137</v>
      </c>
      <c r="P1982" s="16"/>
      <c r="Q1982" s="16"/>
      <c r="R1982" s="33"/>
      <c r="S1982" s="34"/>
      <c r="T1982" s="34"/>
      <c r="U1982" s="34"/>
      <c r="V1982" s="34"/>
      <c r="W1982" s="34"/>
      <c r="X1982" s="33" t="s">
        <v>1126</v>
      </c>
      <c r="Y1982" s="35" t="str">
        <f>IF(Tabela2[[#This Row],[SIGLA]]="","",VLOOKUP(Tabela2[[#This Row],[SIGLA]],Tabela1[[#All],[Sigla Arte]:[Crédito]],2,0))</f>
        <v>GUSTAVO CONTI/ARQUIVO DA EDITORA</v>
      </c>
      <c r="Z1982" s="31"/>
      <c r="AA1982" s="31" t="s">
        <v>2050</v>
      </c>
      <c r="AB1982" s="33"/>
      <c r="AC1982" s="16"/>
      <c r="AE1982" s="35" t="str">
        <f t="shared" si="32"/>
        <v>EF1 E002 Mat</v>
      </c>
    </row>
    <row r="1983" spans="1:31" ht="45" x14ac:dyDescent="0.25">
      <c r="A1983" s="31" t="s">
        <v>4138</v>
      </c>
      <c r="B1983" s="16" t="s">
        <v>32</v>
      </c>
      <c r="C1983" s="16" t="s">
        <v>164</v>
      </c>
      <c r="D1983" s="33" t="s">
        <v>34</v>
      </c>
      <c r="E1983" s="33">
        <v>160</v>
      </c>
      <c r="F1983" s="33">
        <v>5</v>
      </c>
      <c r="G1983" s="33">
        <v>8</v>
      </c>
      <c r="H1983" s="33"/>
      <c r="I1983" s="31" t="s">
        <v>46</v>
      </c>
      <c r="J1983" s="31"/>
      <c r="K1983" s="33"/>
      <c r="L1983" s="33"/>
      <c r="M1983" s="31"/>
      <c r="N1983" s="31"/>
      <c r="O1983" s="16" t="s">
        <v>4139</v>
      </c>
      <c r="P1983" s="16"/>
      <c r="Q1983" s="16"/>
      <c r="R1983" s="33"/>
      <c r="S1983" s="34"/>
      <c r="T1983" s="34"/>
      <c r="U1983" s="34"/>
      <c r="V1983" s="34"/>
      <c r="W1983" s="34"/>
      <c r="X1983" s="33" t="s">
        <v>1126</v>
      </c>
      <c r="Y1983" s="35" t="str">
        <f>IF(Tabela2[[#This Row],[SIGLA]]="","",VLOOKUP(Tabela2[[#This Row],[SIGLA]],Tabela1[[#All],[Sigla Arte]:[Crédito]],2,0))</f>
        <v>GUSTAVO CONTI/ARQUIVO DA EDITORA</v>
      </c>
      <c r="Z1983" s="31"/>
      <c r="AA1983" s="31" t="s">
        <v>2050</v>
      </c>
      <c r="AB1983" s="33"/>
      <c r="AC1983" s="16"/>
      <c r="AE1983" s="35" t="str">
        <f t="shared" si="32"/>
        <v>EF1 E002 Mat</v>
      </c>
    </row>
    <row r="1984" spans="1:31" ht="45" x14ac:dyDescent="0.25">
      <c r="A1984" s="31" t="s">
        <v>4140</v>
      </c>
      <c r="B1984" s="16" t="s">
        <v>32</v>
      </c>
      <c r="C1984" s="16" t="s">
        <v>164</v>
      </c>
      <c r="D1984" s="33" t="s">
        <v>34</v>
      </c>
      <c r="E1984" s="33">
        <v>160</v>
      </c>
      <c r="F1984" s="33">
        <v>5</v>
      </c>
      <c r="G1984" s="33">
        <v>8</v>
      </c>
      <c r="H1984" s="33"/>
      <c r="I1984" s="31" t="s">
        <v>46</v>
      </c>
      <c r="J1984" s="31"/>
      <c r="K1984" s="33"/>
      <c r="L1984" s="33"/>
      <c r="M1984" s="31"/>
      <c r="N1984" s="31"/>
      <c r="O1984" s="16" t="s">
        <v>4141</v>
      </c>
      <c r="P1984" s="16"/>
      <c r="Q1984" s="16"/>
      <c r="R1984" s="33"/>
      <c r="S1984" s="34"/>
      <c r="T1984" s="34"/>
      <c r="U1984" s="34"/>
      <c r="V1984" s="34"/>
      <c r="W1984" s="34"/>
      <c r="X1984" s="33" t="s">
        <v>1126</v>
      </c>
      <c r="Y1984" s="35" t="str">
        <f>IF(Tabela2[[#This Row],[SIGLA]]="","",VLOOKUP(Tabela2[[#This Row],[SIGLA]],Tabela1[[#All],[Sigla Arte]:[Crédito]],2,0))</f>
        <v>GUSTAVO CONTI/ARQUIVO DA EDITORA</v>
      </c>
      <c r="Z1984" s="31"/>
      <c r="AA1984" s="31" t="s">
        <v>2050</v>
      </c>
      <c r="AB1984" s="33"/>
      <c r="AC1984" s="16"/>
      <c r="AE1984" s="35" t="str">
        <f t="shared" si="32"/>
        <v>EF1 E002 Mat</v>
      </c>
    </row>
    <row r="1985" spans="1:31" ht="45" x14ac:dyDescent="0.25">
      <c r="A1985" s="31" t="s">
        <v>4142</v>
      </c>
      <c r="B1985" s="16" t="s">
        <v>32</v>
      </c>
      <c r="C1985" s="16" t="s">
        <v>164</v>
      </c>
      <c r="D1985" s="33" t="s">
        <v>34</v>
      </c>
      <c r="E1985" s="33">
        <v>160</v>
      </c>
      <c r="F1985" s="33">
        <v>5</v>
      </c>
      <c r="G1985" s="33">
        <v>8</v>
      </c>
      <c r="H1985" s="33"/>
      <c r="I1985" s="31" t="s">
        <v>46</v>
      </c>
      <c r="J1985" s="31"/>
      <c r="K1985" s="33"/>
      <c r="L1985" s="33"/>
      <c r="M1985" s="31"/>
      <c r="N1985" s="31"/>
      <c r="O1985" s="16" t="s">
        <v>4143</v>
      </c>
      <c r="P1985" s="16"/>
      <c r="Q1985" s="16"/>
      <c r="R1985" s="33"/>
      <c r="S1985" s="34"/>
      <c r="T1985" s="34"/>
      <c r="U1985" s="34"/>
      <c r="V1985" s="34"/>
      <c r="W1985" s="34"/>
      <c r="X1985" s="33" t="s">
        <v>1126</v>
      </c>
      <c r="Y1985" s="35" t="str">
        <f>IF(Tabela2[[#This Row],[SIGLA]]="","",VLOOKUP(Tabela2[[#This Row],[SIGLA]],Tabela1[[#All],[Sigla Arte]:[Crédito]],2,0))</f>
        <v>GUSTAVO CONTI/ARQUIVO DA EDITORA</v>
      </c>
      <c r="Z1985" s="31"/>
      <c r="AA1985" s="31" t="s">
        <v>2050</v>
      </c>
      <c r="AB1985" s="33"/>
      <c r="AC1985" s="16"/>
      <c r="AE1985" s="35" t="str">
        <f t="shared" si="32"/>
        <v>EF1 E002 Mat</v>
      </c>
    </row>
    <row r="1986" spans="1:31" ht="75" x14ac:dyDescent="0.25">
      <c r="A1986" s="31" t="s">
        <v>4144</v>
      </c>
      <c r="B1986" s="16" t="s">
        <v>32</v>
      </c>
      <c r="C1986" s="16" t="s">
        <v>164</v>
      </c>
      <c r="D1986" s="33" t="s">
        <v>34</v>
      </c>
      <c r="E1986" s="33">
        <v>162</v>
      </c>
      <c r="F1986" s="33">
        <v>5</v>
      </c>
      <c r="G1986" s="33">
        <v>8</v>
      </c>
      <c r="H1986" s="33"/>
      <c r="I1986" s="31" t="s">
        <v>35</v>
      </c>
      <c r="J1986" s="31"/>
      <c r="K1986" s="33"/>
      <c r="L1986" s="33"/>
      <c r="M1986" s="31"/>
      <c r="N1986" s="31"/>
      <c r="O1986" s="16" t="s">
        <v>4145</v>
      </c>
      <c r="P1986" s="16"/>
      <c r="Q1986" s="16"/>
      <c r="R1986" s="33">
        <v>54</v>
      </c>
      <c r="S1986" s="34">
        <v>45817</v>
      </c>
      <c r="T1986" s="34">
        <v>45820</v>
      </c>
      <c r="U1986" s="34"/>
      <c r="V1986" s="34"/>
      <c r="W1986" s="34">
        <v>45820</v>
      </c>
      <c r="X1986" s="33" t="s">
        <v>184</v>
      </c>
      <c r="Y1986" s="35" t="str">
        <f>IF(Tabela2[[#This Row],[SIGLA]]="","",VLOOKUP(Tabela2[[#This Row],[SIGLA]],Tabela1[[#All],[Sigla Arte]:[Crédito]],2,0))</f>
        <v>VER DOCUMENTO DE ILS. TÉCNICAS</v>
      </c>
      <c r="Z1986" s="31" t="s">
        <v>1226</v>
      </c>
      <c r="AA1986" s="31" t="s">
        <v>2050</v>
      </c>
      <c r="AB1986" s="33">
        <v>13</v>
      </c>
      <c r="AC1986" s="16" t="s">
        <v>44</v>
      </c>
      <c r="AD1986" s="16" t="s">
        <v>40</v>
      </c>
      <c r="AE1986" s="35" t="str">
        <f t="shared" si="32"/>
        <v>EF1 E002 Mat</v>
      </c>
    </row>
    <row r="1987" spans="1:31" ht="75" x14ac:dyDescent="0.25">
      <c r="A1987" s="31" t="s">
        <v>4146</v>
      </c>
      <c r="B1987" s="16" t="s">
        <v>32</v>
      </c>
      <c r="C1987" s="16" t="s">
        <v>164</v>
      </c>
      <c r="D1987" s="33" t="s">
        <v>34</v>
      </c>
      <c r="E1987" s="33">
        <v>162</v>
      </c>
      <c r="F1987" s="33">
        <v>5</v>
      </c>
      <c r="G1987" s="33">
        <v>8</v>
      </c>
      <c r="H1987" s="33"/>
      <c r="I1987" s="31" t="s">
        <v>35</v>
      </c>
      <c r="J1987" s="31"/>
      <c r="K1987" s="33"/>
      <c r="L1987" s="33"/>
      <c r="M1987" s="31"/>
      <c r="N1987" s="31"/>
      <c r="O1987" s="16" t="s">
        <v>4147</v>
      </c>
      <c r="P1987" s="16"/>
      <c r="Q1987" s="16"/>
      <c r="R1987" s="33">
        <v>54</v>
      </c>
      <c r="S1987" s="34">
        <v>45817</v>
      </c>
      <c r="T1987" s="34">
        <v>45820</v>
      </c>
      <c r="U1987" s="34"/>
      <c r="V1987" s="34"/>
      <c r="W1987" s="34">
        <v>45820</v>
      </c>
      <c r="X1987" s="33" t="s">
        <v>184</v>
      </c>
      <c r="Y1987" s="35" t="str">
        <f>IF(Tabela2[[#This Row],[SIGLA]]="","",VLOOKUP(Tabela2[[#This Row],[SIGLA]],Tabela1[[#All],[Sigla Arte]:[Crédito]],2,0))</f>
        <v>VER DOCUMENTO DE ILS. TÉCNICAS</v>
      </c>
      <c r="Z1987" s="31" t="s">
        <v>1226</v>
      </c>
      <c r="AA1987" s="31" t="s">
        <v>2050</v>
      </c>
      <c r="AB1987" s="33">
        <v>13</v>
      </c>
      <c r="AC1987" s="16" t="s">
        <v>44</v>
      </c>
      <c r="AD1987" s="16" t="s">
        <v>40</v>
      </c>
      <c r="AE1987" s="35" t="str">
        <f t="shared" si="32"/>
        <v>EF1 E002 Mat</v>
      </c>
    </row>
    <row r="1988" spans="1:31" ht="45" x14ac:dyDescent="0.25">
      <c r="A1988" s="31" t="s">
        <v>4148</v>
      </c>
      <c r="B1988" s="16" t="s">
        <v>32</v>
      </c>
      <c r="C1988" s="16" t="s">
        <v>164</v>
      </c>
      <c r="D1988" s="33" t="s">
        <v>34</v>
      </c>
      <c r="E1988" s="33">
        <v>163</v>
      </c>
      <c r="F1988" s="33">
        <v>5</v>
      </c>
      <c r="G1988" s="33">
        <v>8</v>
      </c>
      <c r="H1988" s="33"/>
      <c r="I1988" s="31" t="s">
        <v>46</v>
      </c>
      <c r="J1988" s="31"/>
      <c r="K1988" s="33"/>
      <c r="L1988" s="33"/>
      <c r="M1988" s="31"/>
      <c r="N1988" s="31"/>
      <c r="O1988" s="16" t="s">
        <v>4149</v>
      </c>
      <c r="P1988" s="16"/>
      <c r="Q1988" s="16"/>
      <c r="R1988" s="33"/>
      <c r="S1988" s="34"/>
      <c r="T1988" s="34"/>
      <c r="U1988" s="34"/>
      <c r="V1988" s="34"/>
      <c r="W1988" s="34"/>
      <c r="X1988" s="33" t="s">
        <v>184</v>
      </c>
      <c r="Y1988" s="35" t="str">
        <f>IF(Tabela2[[#This Row],[SIGLA]]="","",VLOOKUP(Tabela2[[#This Row],[SIGLA]],Tabela1[[#All],[Sigla Arte]:[Crédito]],2,0))</f>
        <v>VER DOCUMENTO DE ILS. TÉCNICAS</v>
      </c>
      <c r="Z1988" s="31"/>
      <c r="AA1988" s="31" t="s">
        <v>2050</v>
      </c>
      <c r="AB1988" s="33"/>
      <c r="AC1988" s="16"/>
      <c r="AE1988" s="35" t="str">
        <f t="shared" si="32"/>
        <v>EF1 E002 Mat</v>
      </c>
    </row>
    <row r="1989" spans="1:31" ht="45" x14ac:dyDescent="0.25">
      <c r="A1989" s="31" t="s">
        <v>4150</v>
      </c>
      <c r="B1989" s="16" t="s">
        <v>32</v>
      </c>
      <c r="C1989" s="16" t="s">
        <v>164</v>
      </c>
      <c r="D1989" s="33" t="s">
        <v>34</v>
      </c>
      <c r="E1989" s="33">
        <v>164</v>
      </c>
      <c r="F1989" s="33">
        <v>5</v>
      </c>
      <c r="G1989" s="33">
        <v>8</v>
      </c>
      <c r="H1989" s="33"/>
      <c r="I1989" s="31" t="s">
        <v>46</v>
      </c>
      <c r="J1989" s="31"/>
      <c r="K1989" s="33"/>
      <c r="L1989" s="33"/>
      <c r="M1989" s="31"/>
      <c r="N1989" s="31"/>
      <c r="O1989" s="16" t="s">
        <v>4151</v>
      </c>
      <c r="P1989" s="16"/>
      <c r="Q1989" s="16"/>
      <c r="R1989" s="33"/>
      <c r="S1989" s="34"/>
      <c r="T1989" s="34"/>
      <c r="U1989" s="34"/>
      <c r="V1989" s="34"/>
      <c r="W1989" s="34"/>
      <c r="X1989" s="33" t="s">
        <v>184</v>
      </c>
      <c r="Y1989" s="35" t="str">
        <f>IF(Tabela2[[#This Row],[SIGLA]]="","",VLOOKUP(Tabela2[[#This Row],[SIGLA]],Tabela1[[#All],[Sigla Arte]:[Crédito]],2,0))</f>
        <v>VER DOCUMENTO DE ILS. TÉCNICAS</v>
      </c>
      <c r="Z1989" s="31"/>
      <c r="AA1989" s="31" t="s">
        <v>2050</v>
      </c>
      <c r="AB1989" s="33"/>
      <c r="AC1989" s="16"/>
      <c r="AE1989" s="35" t="str">
        <f t="shared" si="32"/>
        <v>EF1 E002 Mat</v>
      </c>
    </row>
    <row r="1990" spans="1:31" ht="30" x14ac:dyDescent="0.25">
      <c r="A1990" s="31" t="s">
        <v>4152</v>
      </c>
      <c r="B1990" s="16" t="s">
        <v>401</v>
      </c>
      <c r="C1990" s="16" t="s">
        <v>33</v>
      </c>
      <c r="D1990" s="33" t="s">
        <v>34</v>
      </c>
      <c r="E1990" s="33">
        <v>149</v>
      </c>
      <c r="F1990" s="33">
        <v>5</v>
      </c>
      <c r="G1990" s="33">
        <v>8</v>
      </c>
      <c r="H1990" s="33"/>
      <c r="I1990" s="31" t="s">
        <v>46</v>
      </c>
      <c r="J1990" s="31"/>
      <c r="K1990" s="33"/>
      <c r="L1990" s="33"/>
      <c r="M1990" s="31"/>
      <c r="N1990" s="31"/>
      <c r="O1990" s="16" t="s">
        <v>4153</v>
      </c>
      <c r="P1990" s="16"/>
      <c r="Q1990" s="16"/>
      <c r="R1990" s="33"/>
      <c r="S1990" s="34"/>
      <c r="T1990" s="34"/>
      <c r="U1990" s="34"/>
      <c r="V1990" s="34"/>
      <c r="W1990" s="34"/>
      <c r="X1990" s="33" t="s">
        <v>1201</v>
      </c>
      <c r="Y1990" s="35" t="str">
        <f>IF(Tabela2[[#This Row],[SIGLA]]="","",VLOOKUP(Tabela2[[#This Row],[SIGLA]],Tabela1[[#All],[Sigla Arte]:[Crédito]],2,0))</f>
        <v>RAFAELA PANISSA/ARQUIVO DA EDITORA</v>
      </c>
      <c r="Z1990" s="31"/>
      <c r="AA1990" s="31" t="str">
        <f>Tabela2[[#This Row],[ILUSTRADOR CRIAÇÃO]]</f>
        <v>RAFAELA PANISSA/ARQUIVO DA EDITORA</v>
      </c>
      <c r="AB1990" s="33"/>
      <c r="AC1990" s="16"/>
      <c r="AE1990" s="35" t="str">
        <f t="shared" si="32"/>
        <v>EF1 E002 Mat</v>
      </c>
    </row>
    <row r="1991" spans="1:31" ht="45" x14ac:dyDescent="0.25">
      <c r="A1991" s="31" t="s">
        <v>4154</v>
      </c>
      <c r="B1991" s="16" t="s">
        <v>32</v>
      </c>
      <c r="C1991" s="16" t="s">
        <v>33</v>
      </c>
      <c r="D1991" s="33" t="s">
        <v>34</v>
      </c>
      <c r="E1991" s="33">
        <v>165</v>
      </c>
      <c r="F1991" s="33">
        <v>5</v>
      </c>
      <c r="G1991" s="33">
        <v>8</v>
      </c>
      <c r="H1991" s="33"/>
      <c r="I1991" s="31" t="s">
        <v>46</v>
      </c>
      <c r="J1991" s="31"/>
      <c r="K1991" s="33"/>
      <c r="L1991" s="33"/>
      <c r="M1991" s="31"/>
      <c r="N1991" s="31"/>
      <c r="O1991" s="16" t="s">
        <v>4155</v>
      </c>
      <c r="P1991" s="16"/>
      <c r="Q1991" s="16"/>
      <c r="R1991" s="33"/>
      <c r="S1991" s="34"/>
      <c r="T1991" s="34"/>
      <c r="U1991" s="34"/>
      <c r="V1991" s="34"/>
      <c r="W1991" s="34"/>
      <c r="X1991" s="33" t="s">
        <v>48</v>
      </c>
      <c r="Y1991" s="35" t="str">
        <f>IF(Tabela2[[#This Row],[SIGLA]]="","",VLOOKUP(Tabela2[[#This Row],[SIGLA]],Tabela1[[#All],[Sigla Arte]:[Crédito]],2,0))</f>
        <v>SERGIO LIMA/ARQUIVO DA EDITORA</v>
      </c>
      <c r="Z1991" s="31"/>
      <c r="AA1991" s="31" t="s">
        <v>191</v>
      </c>
      <c r="AB1991" s="33"/>
      <c r="AC1991" s="16"/>
      <c r="AE1991" s="35" t="str">
        <f t="shared" si="32"/>
        <v>EF1 E002 Mat</v>
      </c>
    </row>
    <row r="1992" spans="1:31" ht="45" x14ac:dyDescent="0.25">
      <c r="A1992" s="31" t="s">
        <v>4156</v>
      </c>
      <c r="B1992" s="16" t="s">
        <v>32</v>
      </c>
      <c r="C1992" s="16" t="s">
        <v>164</v>
      </c>
      <c r="D1992" s="33" t="s">
        <v>34</v>
      </c>
      <c r="E1992" s="33">
        <v>165</v>
      </c>
      <c r="F1992" s="33">
        <v>5</v>
      </c>
      <c r="G1992" s="33">
        <v>8</v>
      </c>
      <c r="H1992" s="33"/>
      <c r="I1992" s="31" t="s">
        <v>46</v>
      </c>
      <c r="J1992" s="31"/>
      <c r="K1992" s="33"/>
      <c r="L1992" s="33"/>
      <c r="M1992" s="31"/>
      <c r="N1992" s="31"/>
      <c r="O1992" s="16" t="s">
        <v>4157</v>
      </c>
      <c r="P1992" s="16"/>
      <c r="Q1992" s="16"/>
      <c r="R1992" s="33"/>
      <c r="S1992" s="34"/>
      <c r="T1992" s="34"/>
      <c r="U1992" s="34"/>
      <c r="V1992" s="34"/>
      <c r="W1992" s="34"/>
      <c r="X1992" s="33" t="s">
        <v>48</v>
      </c>
      <c r="Y1992" s="35" t="str">
        <f>IF(Tabela2[[#This Row],[SIGLA]]="","",VLOOKUP(Tabela2[[#This Row],[SIGLA]],Tabela1[[#All],[Sigla Arte]:[Crédito]],2,0))</f>
        <v>SERGIO LIMA/ARQUIVO DA EDITORA</v>
      </c>
      <c r="Z1992" s="31"/>
      <c r="AA1992" s="31" t="str">
        <f>Tabela2[[#This Row],[ILUSTRADOR CRIAÇÃO]]</f>
        <v>SERGIO LIMA/ARQUIVO DA EDITORA</v>
      </c>
      <c r="AB1992" s="33"/>
      <c r="AC1992" s="16"/>
      <c r="AE1992" s="35" t="str">
        <f t="shared" si="32"/>
        <v>EF1 E002 Mat</v>
      </c>
    </row>
    <row r="1993" spans="1:31" ht="45" x14ac:dyDescent="0.25">
      <c r="A1993" s="31" t="s">
        <v>4158</v>
      </c>
      <c r="B1993" s="16" t="s">
        <v>32</v>
      </c>
      <c r="C1993" s="16" t="s">
        <v>33</v>
      </c>
      <c r="D1993" s="33" t="s">
        <v>34</v>
      </c>
      <c r="E1993" s="33">
        <v>169</v>
      </c>
      <c r="F1993" s="33">
        <v>5</v>
      </c>
      <c r="G1993" s="33">
        <v>8</v>
      </c>
      <c r="H1993" s="33"/>
      <c r="I1993" s="31" t="s">
        <v>46</v>
      </c>
      <c r="J1993" s="31"/>
      <c r="K1993" s="33"/>
      <c r="L1993" s="33"/>
      <c r="M1993" s="31"/>
      <c r="N1993" s="31"/>
      <c r="O1993" s="16" t="s">
        <v>4159</v>
      </c>
      <c r="P1993" s="16"/>
      <c r="Q1993" s="16"/>
      <c r="R1993" s="33"/>
      <c r="S1993" s="34"/>
      <c r="T1993" s="34"/>
      <c r="U1993" s="34"/>
      <c r="V1993" s="34"/>
      <c r="W1993" s="34"/>
      <c r="X1993" s="33" t="s">
        <v>48</v>
      </c>
      <c r="Y1993" s="35" t="str">
        <f>IF(Tabela2[[#This Row],[SIGLA]]="","",VLOOKUP(Tabela2[[#This Row],[SIGLA]],Tabela1[[#All],[Sigla Arte]:[Crédito]],2,0))</f>
        <v>SERGIO LIMA/ARQUIVO DA EDITORA</v>
      </c>
      <c r="Z1993" s="31"/>
      <c r="AA1993" s="31" t="s">
        <v>191</v>
      </c>
      <c r="AB1993" s="33"/>
      <c r="AC1993" s="16"/>
      <c r="AE1993" s="35" t="str">
        <f t="shared" si="32"/>
        <v>EF1 E002 Mat</v>
      </c>
    </row>
    <row r="1994" spans="1:31" ht="45" x14ac:dyDescent="0.25">
      <c r="A1994" s="31" t="s">
        <v>4160</v>
      </c>
      <c r="B1994" s="16" t="s">
        <v>32</v>
      </c>
      <c r="C1994" s="16" t="s">
        <v>33</v>
      </c>
      <c r="D1994" s="33" t="s">
        <v>34</v>
      </c>
      <c r="E1994" s="33">
        <v>170</v>
      </c>
      <c r="F1994" s="33">
        <v>5</v>
      </c>
      <c r="G1994" s="33">
        <v>8</v>
      </c>
      <c r="H1994" s="33"/>
      <c r="I1994" s="31" t="s">
        <v>46</v>
      </c>
      <c r="J1994" s="31"/>
      <c r="K1994" s="33"/>
      <c r="L1994" s="33"/>
      <c r="M1994" s="31"/>
      <c r="N1994" s="31"/>
      <c r="O1994" s="16" t="s">
        <v>4161</v>
      </c>
      <c r="P1994" s="16"/>
      <c r="Q1994" s="16"/>
      <c r="R1994" s="33"/>
      <c r="S1994" s="34"/>
      <c r="T1994" s="34"/>
      <c r="U1994" s="34"/>
      <c r="V1994" s="34"/>
      <c r="W1994" s="34"/>
      <c r="X1994" s="33" t="s">
        <v>399</v>
      </c>
      <c r="Y1994" s="35" t="str">
        <f>IF(Tabela2[[#This Row],[SIGLA]]="","",VLOOKUP(Tabela2[[#This Row],[SIGLA]],Tabela1[[#All],[Sigla Arte]:[Crédito]],2,0))</f>
        <v>MÁRCIO GUERRA/ARQUIVO DA EDITORA</v>
      </c>
      <c r="Z1994" s="31"/>
      <c r="AA1994" s="31" t="str">
        <f>Tabela2[[#This Row],[ILUSTRADOR CRIAÇÃO]]</f>
        <v>MÁRCIO GUERRA/ARQUIVO DA EDITORA</v>
      </c>
      <c r="AB1994" s="33"/>
      <c r="AC1994" s="16"/>
      <c r="AE1994" s="35" t="str">
        <f t="shared" si="32"/>
        <v>EF1 E002 Mat</v>
      </c>
    </row>
    <row r="1995" spans="1:31" ht="30" x14ac:dyDescent="0.25">
      <c r="A1995" s="31" t="s">
        <v>4162</v>
      </c>
      <c r="B1995" s="16" t="s">
        <v>32</v>
      </c>
      <c r="C1995" s="16" t="s">
        <v>33</v>
      </c>
      <c r="D1995" s="33" t="s">
        <v>34</v>
      </c>
      <c r="E1995" s="33">
        <v>170</v>
      </c>
      <c r="F1995" s="33">
        <v>5</v>
      </c>
      <c r="G1995" s="33">
        <v>8</v>
      </c>
      <c r="H1995" s="33"/>
      <c r="I1995" s="31" t="s">
        <v>46</v>
      </c>
      <c r="J1995" s="31"/>
      <c r="K1995" s="33"/>
      <c r="L1995" s="33"/>
      <c r="M1995" s="31"/>
      <c r="N1995" s="31"/>
      <c r="O1995" s="16" t="s">
        <v>4163</v>
      </c>
      <c r="P1995" s="16"/>
      <c r="Q1995" s="16"/>
      <c r="R1995" s="33"/>
      <c r="S1995" s="34"/>
      <c r="T1995" s="34"/>
      <c r="U1995" s="34"/>
      <c r="V1995" s="34"/>
      <c r="W1995" s="34"/>
      <c r="X1995" s="33" t="s">
        <v>399</v>
      </c>
      <c r="Y1995" s="35" t="str">
        <f>IF(Tabela2[[#This Row],[SIGLA]]="","",VLOOKUP(Tabela2[[#This Row],[SIGLA]],Tabela1[[#All],[Sigla Arte]:[Crédito]],2,0))</f>
        <v>MÁRCIO GUERRA/ARQUIVO DA EDITORA</v>
      </c>
      <c r="Z1995" s="31"/>
      <c r="AA1995" s="31" t="str">
        <f>Tabela2[[#This Row],[ILUSTRADOR CRIAÇÃO]]</f>
        <v>MÁRCIO GUERRA/ARQUIVO DA EDITORA</v>
      </c>
      <c r="AB1995" s="33"/>
      <c r="AC1995" s="16"/>
      <c r="AE1995" s="35" t="str">
        <f t="shared" si="32"/>
        <v>EF1 E002 Mat</v>
      </c>
    </row>
    <row r="1996" spans="1:31" ht="105" x14ac:dyDescent="0.25">
      <c r="A1996" s="31" t="s">
        <v>4164</v>
      </c>
      <c r="B1996" s="16" t="s">
        <v>32</v>
      </c>
      <c r="C1996" s="16" t="s">
        <v>33</v>
      </c>
      <c r="D1996" s="33" t="s">
        <v>34</v>
      </c>
      <c r="E1996" s="33">
        <v>171</v>
      </c>
      <c r="F1996" s="33">
        <v>5</v>
      </c>
      <c r="G1996" s="33">
        <v>8</v>
      </c>
      <c r="H1996" s="33"/>
      <c r="I1996" s="31" t="s">
        <v>35</v>
      </c>
      <c r="J1996" s="31"/>
      <c r="K1996" s="33"/>
      <c r="L1996" s="33"/>
      <c r="M1996" s="31"/>
      <c r="N1996" s="31"/>
      <c r="O1996" s="16" t="s">
        <v>4165</v>
      </c>
      <c r="P1996" s="16"/>
      <c r="Q1996" s="16"/>
      <c r="R1996" s="33">
        <v>145</v>
      </c>
      <c r="S1996" s="34">
        <v>45901</v>
      </c>
      <c r="T1996" s="34">
        <v>45903</v>
      </c>
      <c r="U1996" s="34"/>
      <c r="V1996" s="34"/>
      <c r="W1996" s="34">
        <v>45903</v>
      </c>
      <c r="X1996" s="33" t="s">
        <v>1126</v>
      </c>
      <c r="Y1996" s="35" t="str">
        <f>IF(Tabela2[[#This Row],[SIGLA]]="","",VLOOKUP(Tabela2[[#This Row],[SIGLA]],Tabela1[[#All],[Sigla Arte]:[Crédito]],2,0))</f>
        <v>GUSTAVO CONTI/ARQUIVO DA EDITORA</v>
      </c>
      <c r="Z1996" s="31" t="s">
        <v>352</v>
      </c>
      <c r="AA1996" s="31" t="str">
        <f>Tabela2[[#This Row],[ILUSTRADOR CRIAÇÃO]]</f>
        <v>GUSTAVO CONTI/ARQUIVO DA EDITORA</v>
      </c>
      <c r="AB1996" s="33">
        <v>13</v>
      </c>
      <c r="AC1996" s="16" t="s">
        <v>39</v>
      </c>
      <c r="AD1996" s="16" t="s">
        <v>40</v>
      </c>
      <c r="AE1996" s="35" t="str">
        <f t="shared" si="32"/>
        <v>EF1 E002 Mat</v>
      </c>
    </row>
    <row r="1997" spans="1:31" ht="45" x14ac:dyDescent="0.25">
      <c r="A1997" s="31" t="s">
        <v>4166</v>
      </c>
      <c r="B1997" s="16" t="s">
        <v>32</v>
      </c>
      <c r="C1997" s="16" t="s">
        <v>33</v>
      </c>
      <c r="D1997" s="33" t="s">
        <v>34</v>
      </c>
      <c r="E1997" s="33">
        <v>172</v>
      </c>
      <c r="F1997" s="33">
        <v>5</v>
      </c>
      <c r="G1997" s="33">
        <v>8</v>
      </c>
      <c r="H1997" s="33"/>
      <c r="I1997" s="31" t="s">
        <v>46</v>
      </c>
      <c r="J1997" s="31"/>
      <c r="K1997" s="33"/>
      <c r="L1997" s="33"/>
      <c r="M1997" s="31"/>
      <c r="N1997" s="31"/>
      <c r="O1997" s="16" t="s">
        <v>4167</v>
      </c>
      <c r="P1997" s="16"/>
      <c r="Q1997" s="16"/>
      <c r="R1997" s="33"/>
      <c r="S1997" s="34"/>
      <c r="T1997" s="34"/>
      <c r="U1997" s="34"/>
      <c r="V1997" s="34"/>
      <c r="W1997" s="34"/>
      <c r="X1997" s="33" t="s">
        <v>399</v>
      </c>
      <c r="Y1997" s="35" t="str">
        <f>IF(Tabela2[[#This Row],[SIGLA]]="","",VLOOKUP(Tabela2[[#This Row],[SIGLA]],Tabela1[[#All],[Sigla Arte]:[Crédito]],2,0))</f>
        <v>MÁRCIO GUERRA/ARQUIVO DA EDITORA</v>
      </c>
      <c r="Z1997" s="31"/>
      <c r="AA1997" s="31" t="str">
        <f>Tabela2[[#This Row],[ILUSTRADOR CRIAÇÃO]]</f>
        <v>MÁRCIO GUERRA/ARQUIVO DA EDITORA</v>
      </c>
      <c r="AB1997" s="33"/>
      <c r="AC1997" s="16"/>
      <c r="AE1997" s="35" t="str">
        <f t="shared" si="32"/>
        <v>EF1 E002 Mat</v>
      </c>
    </row>
    <row r="1998" spans="1:31" ht="30" x14ac:dyDescent="0.25">
      <c r="A1998" s="31" t="s">
        <v>4168</v>
      </c>
      <c r="B1998" s="16" t="s">
        <v>32</v>
      </c>
      <c r="C1998" s="16" t="s">
        <v>33</v>
      </c>
      <c r="D1998" s="33" t="s">
        <v>34</v>
      </c>
      <c r="E1998" s="33">
        <v>174</v>
      </c>
      <c r="F1998" s="33">
        <v>5</v>
      </c>
      <c r="G1998" s="33">
        <v>8</v>
      </c>
      <c r="H1998" s="33"/>
      <c r="I1998" s="31" t="s">
        <v>46</v>
      </c>
      <c r="J1998" s="31"/>
      <c r="K1998" s="33"/>
      <c r="L1998" s="33"/>
      <c r="M1998" s="31"/>
      <c r="N1998" s="31"/>
      <c r="O1998" s="16" t="s">
        <v>4169</v>
      </c>
      <c r="P1998" s="16"/>
      <c r="Q1998" s="16"/>
      <c r="R1998" s="33"/>
      <c r="S1998" s="34"/>
      <c r="T1998" s="34"/>
      <c r="U1998" s="34"/>
      <c r="V1998" s="34"/>
      <c r="W1998" s="34"/>
      <c r="X1998" s="33" t="s">
        <v>48</v>
      </c>
      <c r="Y1998" s="35" t="str">
        <f>IF(Tabela2[[#This Row],[SIGLA]]="","",VLOOKUP(Tabela2[[#This Row],[SIGLA]],Tabela1[[#All],[Sigla Arte]:[Crédito]],2,0))</f>
        <v>SERGIO LIMA/ARQUIVO DA EDITORA</v>
      </c>
      <c r="Z1998" s="31"/>
      <c r="AA1998" s="31" t="s">
        <v>191</v>
      </c>
      <c r="AB1998" s="33"/>
      <c r="AC1998" s="16"/>
      <c r="AE1998" s="35" t="str">
        <f t="shared" si="32"/>
        <v>EF1 E002 Mat</v>
      </c>
    </row>
    <row r="1999" spans="1:31" ht="75" x14ac:dyDescent="0.25">
      <c r="A1999" s="31" t="s">
        <v>4170</v>
      </c>
      <c r="B1999" s="16" t="s">
        <v>32</v>
      </c>
      <c r="C1999" s="16" t="s">
        <v>33</v>
      </c>
      <c r="D1999" s="33" t="s">
        <v>34</v>
      </c>
      <c r="E1999" s="33">
        <v>161</v>
      </c>
      <c r="F1999" s="33">
        <v>5</v>
      </c>
      <c r="G1999" s="33">
        <v>8</v>
      </c>
      <c r="H1999" s="33"/>
      <c r="I1999" s="31" t="s">
        <v>35</v>
      </c>
      <c r="J1999" s="31"/>
      <c r="K1999" s="33"/>
      <c r="L1999" s="33"/>
      <c r="M1999" s="31"/>
      <c r="N1999" s="31"/>
      <c r="O1999" s="16" t="s">
        <v>4171</v>
      </c>
      <c r="P1999" s="16"/>
      <c r="Q1999" s="16"/>
      <c r="R1999" s="33">
        <v>145</v>
      </c>
      <c r="S1999" s="34">
        <v>45901</v>
      </c>
      <c r="T1999" s="34">
        <v>45903</v>
      </c>
      <c r="U1999" s="34"/>
      <c r="V1999" s="34"/>
      <c r="W1999" s="34">
        <v>45903</v>
      </c>
      <c r="X1999" s="33" t="s">
        <v>399</v>
      </c>
      <c r="Y1999" s="35" t="str">
        <f>IF(Tabela2[[#This Row],[SIGLA]]="","",VLOOKUP(Tabela2[[#This Row],[SIGLA]],Tabela1[[#All],[Sigla Arte]:[Crédito]],2,0))</f>
        <v>MÁRCIO GUERRA/ARQUIVO DA EDITORA</v>
      </c>
      <c r="Z1999" s="31" t="s">
        <v>352</v>
      </c>
      <c r="AA1999" s="31" t="str">
        <f>Tabela2[[#This Row],[ILUSTRADOR CRIAÇÃO]]</f>
        <v>MÁRCIO GUERRA/ARQUIVO DA EDITORA</v>
      </c>
      <c r="AB1999" s="33">
        <v>13</v>
      </c>
      <c r="AC1999" s="16" t="s">
        <v>39</v>
      </c>
      <c r="AD1999" s="16" t="s">
        <v>40</v>
      </c>
      <c r="AE1999" s="35" t="str">
        <f t="shared" si="32"/>
        <v>EF1 E002 Mat</v>
      </c>
    </row>
    <row r="2000" spans="1:31" ht="30" x14ac:dyDescent="0.25">
      <c r="A2000" s="31" t="s">
        <v>4172</v>
      </c>
      <c r="B2000" s="16" t="s">
        <v>32</v>
      </c>
      <c r="C2000" s="16" t="s">
        <v>33</v>
      </c>
      <c r="D2000" s="33" t="s">
        <v>34</v>
      </c>
      <c r="E2000" s="33">
        <v>178</v>
      </c>
      <c r="F2000" s="33">
        <v>5</v>
      </c>
      <c r="G2000" s="33">
        <v>8</v>
      </c>
      <c r="H2000" s="33"/>
      <c r="I2000" s="31" t="s">
        <v>46</v>
      </c>
      <c r="J2000" s="31"/>
      <c r="K2000" s="33"/>
      <c r="L2000" s="33"/>
      <c r="M2000" s="31"/>
      <c r="N2000" s="31"/>
      <c r="O2000" s="16" t="s">
        <v>4173</v>
      </c>
      <c r="P2000" s="16"/>
      <c r="Q2000" s="16"/>
      <c r="R2000" s="33"/>
      <c r="S2000" s="34"/>
      <c r="T2000" s="34"/>
      <c r="U2000" s="34"/>
      <c r="V2000" s="34"/>
      <c r="W2000" s="34"/>
      <c r="X2000" s="33" t="s">
        <v>399</v>
      </c>
      <c r="Y2000" s="35" t="str">
        <f>IF(Tabela2[[#This Row],[SIGLA]]="","",VLOOKUP(Tabela2[[#This Row],[SIGLA]],Tabela1[[#All],[Sigla Arte]:[Crédito]],2,0))</f>
        <v>MÁRCIO GUERRA/ARQUIVO DA EDITORA</v>
      </c>
      <c r="Z2000" s="31"/>
      <c r="AA2000" s="31" t="str">
        <f>Tabela2[[#This Row],[ILUSTRADOR CRIAÇÃO]]</f>
        <v>MÁRCIO GUERRA/ARQUIVO DA EDITORA</v>
      </c>
      <c r="AB2000" s="33"/>
      <c r="AC2000" s="16"/>
      <c r="AE2000" s="35" t="str">
        <f t="shared" si="32"/>
        <v>EF1 E002 Mat</v>
      </c>
    </row>
    <row r="2001" spans="1:31" ht="45" x14ac:dyDescent="0.25">
      <c r="A2001" s="31" t="s">
        <v>4174</v>
      </c>
      <c r="B2001" s="16" t="s">
        <v>32</v>
      </c>
      <c r="C2001" s="16" t="s">
        <v>1192</v>
      </c>
      <c r="D2001" s="33" t="s">
        <v>34</v>
      </c>
      <c r="E2001" s="33">
        <v>167</v>
      </c>
      <c r="F2001" s="33">
        <v>5</v>
      </c>
      <c r="G2001" s="33">
        <v>8</v>
      </c>
      <c r="H2001" s="33"/>
      <c r="I2001" s="31" t="s">
        <v>35</v>
      </c>
      <c r="J2001" s="31"/>
      <c r="K2001" s="33"/>
      <c r="L2001" s="33"/>
      <c r="M2001" s="31"/>
      <c r="N2001" s="31"/>
      <c r="O2001" s="16" t="s">
        <v>4175</v>
      </c>
      <c r="P2001" s="16"/>
      <c r="Q2001" s="16"/>
      <c r="R2001" s="33">
        <v>145</v>
      </c>
      <c r="S2001" s="34">
        <v>45901</v>
      </c>
      <c r="T2001" s="34">
        <v>45903</v>
      </c>
      <c r="U2001" s="34"/>
      <c r="V2001" s="34"/>
      <c r="W2001" s="34">
        <v>45903</v>
      </c>
      <c r="X2001" s="33" t="s">
        <v>1201</v>
      </c>
      <c r="Y2001" s="35" t="str">
        <f>IF(Tabela2[[#This Row],[SIGLA]]="","",VLOOKUP(Tabela2[[#This Row],[SIGLA]],Tabela1[[#All],[Sigla Arte]:[Crédito]],2,0))</f>
        <v>RAFAELA PANISSA/ARQUIVO DA EDITORA</v>
      </c>
      <c r="Z2001" s="31" t="s">
        <v>352</v>
      </c>
      <c r="AA2001" s="31" t="s">
        <v>4176</v>
      </c>
      <c r="AB2001" s="33">
        <v>14</v>
      </c>
      <c r="AC2001" s="16" t="s">
        <v>39</v>
      </c>
      <c r="AD2001" s="16" t="s">
        <v>40</v>
      </c>
      <c r="AE2001" s="35" t="str">
        <f t="shared" si="32"/>
        <v>EF1 E002 Mat</v>
      </c>
    </row>
    <row r="2002" spans="1:31" ht="90" x14ac:dyDescent="0.25">
      <c r="A2002" s="31" t="s">
        <v>4177</v>
      </c>
      <c r="B2002" s="16" t="s">
        <v>32</v>
      </c>
      <c r="C2002" s="16" t="s">
        <v>4085</v>
      </c>
      <c r="D2002" s="33" t="s">
        <v>34</v>
      </c>
      <c r="E2002" s="33">
        <v>184</v>
      </c>
      <c r="F2002" s="33">
        <v>5</v>
      </c>
      <c r="G2002" s="33">
        <v>9</v>
      </c>
      <c r="H2002" s="33"/>
      <c r="I2002" s="31" t="s">
        <v>35</v>
      </c>
      <c r="J2002" s="31"/>
      <c r="K2002" s="33"/>
      <c r="L2002" s="33"/>
      <c r="M2002" s="31"/>
      <c r="N2002" s="31"/>
      <c r="O2002" s="16" t="s">
        <v>4178</v>
      </c>
      <c r="P2002" s="16"/>
      <c r="Q2002" s="16"/>
      <c r="R2002" s="33">
        <v>55</v>
      </c>
      <c r="S2002" s="34">
        <v>45817</v>
      </c>
      <c r="T2002" s="34">
        <v>45820</v>
      </c>
      <c r="U2002" s="34"/>
      <c r="V2002" s="34"/>
      <c r="W2002" s="34">
        <v>45820</v>
      </c>
      <c r="X2002" s="33" t="s">
        <v>1126</v>
      </c>
      <c r="Y2002" s="35" t="str">
        <f>IF(Tabela2[[#This Row],[SIGLA]]="","",VLOOKUP(Tabela2[[#This Row],[SIGLA]],Tabela1[[#All],[Sigla Arte]:[Crédito]],2,0))</f>
        <v>GUSTAVO CONTI/ARQUIVO DA EDITORA</v>
      </c>
      <c r="Z2002" s="31" t="s">
        <v>1226</v>
      </c>
      <c r="AA2002" s="31" t="str">
        <f>Tabela2[[#This Row],[ILUSTRADOR CRIAÇÃO]]</f>
        <v>GUSTAVO CONTI/ARQUIVO DA EDITORA</v>
      </c>
      <c r="AB2002" s="33">
        <v>13</v>
      </c>
      <c r="AC2002" s="16" t="s">
        <v>44</v>
      </c>
      <c r="AD2002" s="16" t="s">
        <v>40</v>
      </c>
      <c r="AE2002" s="35" t="str">
        <f t="shared" si="32"/>
        <v>EF1 E002 Mat</v>
      </c>
    </row>
    <row r="2003" spans="1:31" ht="45" x14ac:dyDescent="0.25">
      <c r="A2003" s="31" t="s">
        <v>4179</v>
      </c>
      <c r="B2003" s="16" t="s">
        <v>32</v>
      </c>
      <c r="C2003" s="16" t="s">
        <v>33</v>
      </c>
      <c r="D2003" s="33" t="s">
        <v>34</v>
      </c>
      <c r="E2003" s="33">
        <v>189</v>
      </c>
      <c r="F2003" s="33">
        <v>5</v>
      </c>
      <c r="G2003" s="33">
        <v>9</v>
      </c>
      <c r="H2003" s="33"/>
      <c r="I2003" s="31" t="s">
        <v>46</v>
      </c>
      <c r="J2003" s="31"/>
      <c r="K2003" s="33"/>
      <c r="L2003" s="33"/>
      <c r="M2003" s="31"/>
      <c r="N2003" s="31"/>
      <c r="O2003" s="16" t="s">
        <v>4180</v>
      </c>
      <c r="P2003" s="16"/>
      <c r="Q2003" s="16"/>
      <c r="R2003" s="33"/>
      <c r="S2003" s="34"/>
      <c r="T2003" s="34"/>
      <c r="U2003" s="34"/>
      <c r="V2003" s="34"/>
      <c r="W2003" s="34"/>
      <c r="X2003" s="33" t="s">
        <v>2513</v>
      </c>
      <c r="Y2003" s="35" t="str">
        <f>IF(Tabela2[[#This Row],[SIGLA]]="","",VLOOKUP(Tabela2[[#This Row],[SIGLA]],Tabela1[[#All],[Sigla Arte]:[Crédito]],2,0))</f>
        <v>CAMILA CARMONA/ARQUIVO DA EDITORA</v>
      </c>
      <c r="Z2003" s="31"/>
      <c r="AA2003" s="31" t="s">
        <v>2039</v>
      </c>
      <c r="AB2003" s="33"/>
      <c r="AC2003" s="16"/>
      <c r="AE2003" s="35" t="str">
        <f t="shared" si="32"/>
        <v>EF1 E002 Mat</v>
      </c>
    </row>
    <row r="2004" spans="1:31" ht="30" x14ac:dyDescent="0.25">
      <c r="A2004" s="31" t="s">
        <v>4181</v>
      </c>
      <c r="B2004" s="16" t="s">
        <v>32</v>
      </c>
      <c r="C2004" s="16" t="s">
        <v>164</v>
      </c>
      <c r="D2004" s="33" t="s">
        <v>34</v>
      </c>
      <c r="E2004" s="33">
        <v>190</v>
      </c>
      <c r="F2004" s="33">
        <v>5</v>
      </c>
      <c r="G2004" s="33">
        <v>9</v>
      </c>
      <c r="H2004" s="33"/>
      <c r="I2004" s="31" t="s">
        <v>46</v>
      </c>
      <c r="J2004" s="31"/>
      <c r="K2004" s="33"/>
      <c r="L2004" s="33"/>
      <c r="M2004" s="31"/>
      <c r="N2004" s="31"/>
      <c r="O2004" s="16" t="s">
        <v>4182</v>
      </c>
      <c r="P2004" s="16"/>
      <c r="Q2004" s="16"/>
      <c r="R2004" s="33"/>
      <c r="S2004" s="34"/>
      <c r="T2004" s="34"/>
      <c r="U2004" s="34"/>
      <c r="V2004" s="34"/>
      <c r="W2004" s="34"/>
      <c r="X2004" s="33" t="s">
        <v>48</v>
      </c>
      <c r="Y2004" s="35" t="str">
        <f>IF(Tabela2[[#This Row],[SIGLA]]="","",VLOOKUP(Tabela2[[#This Row],[SIGLA]],Tabela1[[#All],[Sigla Arte]:[Crédito]],2,0))</f>
        <v>SERGIO LIMA/ARQUIVO DA EDITORA</v>
      </c>
      <c r="Z2004" s="31"/>
      <c r="AA2004" s="31" t="str">
        <f>Tabela2[[#This Row],[ILUSTRADOR CRIAÇÃO]]</f>
        <v>SERGIO LIMA/ARQUIVO DA EDITORA</v>
      </c>
      <c r="AB2004" s="33"/>
      <c r="AC2004" s="16"/>
      <c r="AE2004" s="35" t="str">
        <f t="shared" si="32"/>
        <v>EF1 E002 Mat</v>
      </c>
    </row>
    <row r="2005" spans="1:31" ht="30" x14ac:dyDescent="0.25">
      <c r="A2005" s="31" t="s">
        <v>4183</v>
      </c>
      <c r="B2005" s="16" t="s">
        <v>32</v>
      </c>
      <c r="C2005" s="16" t="s">
        <v>164</v>
      </c>
      <c r="D2005" s="33" t="s">
        <v>34</v>
      </c>
      <c r="E2005" s="33">
        <v>190</v>
      </c>
      <c r="F2005" s="33">
        <v>5</v>
      </c>
      <c r="G2005" s="33">
        <v>9</v>
      </c>
      <c r="H2005" s="33"/>
      <c r="I2005" s="31" t="s">
        <v>46</v>
      </c>
      <c r="J2005" s="31"/>
      <c r="K2005" s="33"/>
      <c r="L2005" s="33"/>
      <c r="M2005" s="31"/>
      <c r="N2005" s="31"/>
      <c r="O2005" s="16" t="s">
        <v>4184</v>
      </c>
      <c r="P2005" s="16"/>
      <c r="Q2005" s="16"/>
      <c r="R2005" s="33"/>
      <c r="S2005" s="34"/>
      <c r="T2005" s="34"/>
      <c r="U2005" s="34"/>
      <c r="V2005" s="34"/>
      <c r="W2005" s="34"/>
      <c r="X2005" s="33" t="s">
        <v>48</v>
      </c>
      <c r="Y2005" s="35" t="str">
        <f>IF(Tabela2[[#This Row],[SIGLA]]="","",VLOOKUP(Tabela2[[#This Row],[SIGLA]],Tabela1[[#All],[Sigla Arte]:[Crédito]],2,0))</f>
        <v>SERGIO LIMA/ARQUIVO DA EDITORA</v>
      </c>
      <c r="Z2005" s="31"/>
      <c r="AA2005" s="31" t="str">
        <f>Tabela2[[#This Row],[ILUSTRADOR CRIAÇÃO]]</f>
        <v>SERGIO LIMA/ARQUIVO DA EDITORA</v>
      </c>
      <c r="AB2005" s="33"/>
      <c r="AC2005" s="16"/>
      <c r="AE2005" s="35" t="str">
        <f t="shared" si="32"/>
        <v>EF1 E002 Mat</v>
      </c>
    </row>
    <row r="2006" spans="1:31" ht="30" x14ac:dyDescent="0.25">
      <c r="A2006" s="31" t="s">
        <v>4185</v>
      </c>
      <c r="B2006" s="16" t="s">
        <v>32</v>
      </c>
      <c r="C2006" s="16" t="s">
        <v>164</v>
      </c>
      <c r="D2006" s="33" t="s">
        <v>34</v>
      </c>
      <c r="E2006" s="33">
        <v>190</v>
      </c>
      <c r="F2006" s="33">
        <v>5</v>
      </c>
      <c r="G2006" s="33">
        <v>9</v>
      </c>
      <c r="H2006" s="33"/>
      <c r="I2006" s="31" t="s">
        <v>46</v>
      </c>
      <c r="J2006" s="31"/>
      <c r="K2006" s="33"/>
      <c r="L2006" s="33"/>
      <c r="M2006" s="31"/>
      <c r="N2006" s="31"/>
      <c r="O2006" s="16" t="s">
        <v>4186</v>
      </c>
      <c r="P2006" s="16"/>
      <c r="Q2006" s="16"/>
      <c r="R2006" s="33"/>
      <c r="S2006" s="34"/>
      <c r="T2006" s="34"/>
      <c r="U2006" s="34"/>
      <c r="V2006" s="34"/>
      <c r="W2006" s="34"/>
      <c r="X2006" s="33" t="s">
        <v>48</v>
      </c>
      <c r="Y2006" s="35" t="str">
        <f>IF(Tabela2[[#This Row],[SIGLA]]="","",VLOOKUP(Tabela2[[#This Row],[SIGLA]],Tabela1[[#All],[Sigla Arte]:[Crédito]],2,0))</f>
        <v>SERGIO LIMA/ARQUIVO DA EDITORA</v>
      </c>
      <c r="Z2006" s="31"/>
      <c r="AA2006" s="31" t="str">
        <f>Tabela2[[#This Row],[ILUSTRADOR CRIAÇÃO]]</f>
        <v>SERGIO LIMA/ARQUIVO DA EDITORA</v>
      </c>
      <c r="AB2006" s="33"/>
      <c r="AC2006" s="16"/>
      <c r="AE2006" s="35" t="str">
        <f t="shared" si="32"/>
        <v>EF1 E002 Mat</v>
      </c>
    </row>
    <row r="2007" spans="1:31" ht="45" x14ac:dyDescent="0.25">
      <c r="A2007" s="31" t="s">
        <v>4187</v>
      </c>
      <c r="B2007" s="16" t="s">
        <v>32</v>
      </c>
      <c r="C2007" s="16" t="s">
        <v>33</v>
      </c>
      <c r="D2007" s="33" t="s">
        <v>34</v>
      </c>
      <c r="E2007" s="33">
        <v>191</v>
      </c>
      <c r="F2007" s="33">
        <v>5</v>
      </c>
      <c r="G2007" s="33">
        <v>9</v>
      </c>
      <c r="H2007" s="33"/>
      <c r="I2007" s="31" t="s">
        <v>46</v>
      </c>
      <c r="J2007" s="31"/>
      <c r="K2007" s="33"/>
      <c r="L2007" s="33"/>
      <c r="M2007" s="31"/>
      <c r="N2007" s="31"/>
      <c r="O2007" s="16" t="s">
        <v>4188</v>
      </c>
      <c r="P2007" s="16"/>
      <c r="Q2007" s="16"/>
      <c r="R2007" s="33"/>
      <c r="S2007" s="34"/>
      <c r="T2007" s="34"/>
      <c r="U2007" s="34"/>
      <c r="V2007" s="34"/>
      <c r="W2007" s="34"/>
      <c r="X2007" s="33" t="s">
        <v>1201</v>
      </c>
      <c r="Y2007" s="35" t="str">
        <f>IF(Tabela2[[#This Row],[SIGLA]]="","",VLOOKUP(Tabela2[[#This Row],[SIGLA]],Tabela1[[#All],[Sigla Arte]:[Crédito]],2,0))</f>
        <v>RAFAELA PANISSA/ARQUIVO DA EDITORA</v>
      </c>
      <c r="Z2007" s="31"/>
      <c r="AA2007" s="31" t="s">
        <v>4189</v>
      </c>
      <c r="AB2007" s="33"/>
      <c r="AC2007" s="16"/>
      <c r="AE2007" s="35" t="str">
        <f t="shared" si="32"/>
        <v>EF1 E002 Mat</v>
      </c>
    </row>
    <row r="2008" spans="1:31" ht="90" x14ac:dyDescent="0.25">
      <c r="A2008" s="31" t="s">
        <v>4190</v>
      </c>
      <c r="B2008" s="16" t="s">
        <v>32</v>
      </c>
      <c r="C2008" s="16" t="s">
        <v>4085</v>
      </c>
      <c r="D2008" s="33" t="s">
        <v>34</v>
      </c>
      <c r="E2008" s="33">
        <v>192</v>
      </c>
      <c r="F2008" s="33">
        <v>5</v>
      </c>
      <c r="G2008" s="33">
        <v>9</v>
      </c>
      <c r="H2008" s="33"/>
      <c r="I2008" s="31" t="s">
        <v>35</v>
      </c>
      <c r="J2008" s="31"/>
      <c r="K2008" s="33"/>
      <c r="L2008" s="33"/>
      <c r="M2008" s="31"/>
      <c r="N2008" s="31"/>
      <c r="O2008" s="16" t="s">
        <v>4191</v>
      </c>
      <c r="P2008" s="16"/>
      <c r="Q2008" s="16"/>
      <c r="R2008" s="33">
        <v>55</v>
      </c>
      <c r="S2008" s="34">
        <v>45817</v>
      </c>
      <c r="T2008" s="34">
        <v>45820</v>
      </c>
      <c r="U2008" s="34"/>
      <c r="V2008" s="34"/>
      <c r="W2008" s="34">
        <v>45820</v>
      </c>
      <c r="X2008" s="33" t="s">
        <v>1126</v>
      </c>
      <c r="Y2008" s="35" t="str">
        <f>IF(Tabela2[[#This Row],[SIGLA]]="","",VLOOKUP(Tabela2[[#This Row],[SIGLA]],Tabela1[[#All],[Sigla Arte]:[Crédito]],2,0))</f>
        <v>GUSTAVO CONTI/ARQUIVO DA EDITORA</v>
      </c>
      <c r="Z2008" s="31" t="s">
        <v>1226</v>
      </c>
      <c r="AA2008" s="31" t="str">
        <f>Tabela2[[#This Row],[ILUSTRADOR CRIAÇÃO]]</f>
        <v>GUSTAVO CONTI/ARQUIVO DA EDITORA</v>
      </c>
      <c r="AB2008" s="33">
        <v>13</v>
      </c>
      <c r="AC2008" s="16" t="s">
        <v>44</v>
      </c>
      <c r="AD2008" s="16" t="s">
        <v>40</v>
      </c>
      <c r="AE2008" s="35" t="str">
        <f t="shared" si="32"/>
        <v>EF1 E002 Mat</v>
      </c>
    </row>
    <row r="2009" spans="1:31" ht="45" x14ac:dyDescent="0.25">
      <c r="A2009" s="31" t="s">
        <v>4192</v>
      </c>
      <c r="B2009" s="16" t="s">
        <v>32</v>
      </c>
      <c r="C2009" s="16" t="s">
        <v>164</v>
      </c>
      <c r="D2009" s="33" t="s">
        <v>34</v>
      </c>
      <c r="E2009" s="33">
        <v>193</v>
      </c>
      <c r="F2009" s="33">
        <v>5</v>
      </c>
      <c r="G2009" s="33">
        <v>9</v>
      </c>
      <c r="H2009" s="33"/>
      <c r="I2009" s="31" t="s">
        <v>46</v>
      </c>
      <c r="J2009" s="31"/>
      <c r="K2009" s="33"/>
      <c r="L2009" s="33"/>
      <c r="M2009" s="31"/>
      <c r="N2009" s="31"/>
      <c r="O2009" s="16" t="s">
        <v>4193</v>
      </c>
      <c r="P2009" s="16"/>
      <c r="Q2009" s="16"/>
      <c r="R2009" s="33"/>
      <c r="S2009" s="34"/>
      <c r="T2009" s="34"/>
      <c r="U2009" s="34"/>
      <c r="V2009" s="34"/>
      <c r="W2009" s="34"/>
      <c r="X2009" s="33" t="s">
        <v>48</v>
      </c>
      <c r="Y2009" s="35" t="str">
        <f>IF(Tabela2[[#This Row],[SIGLA]]="","",VLOOKUP(Tabela2[[#This Row],[SIGLA]],Tabela1[[#All],[Sigla Arte]:[Crédito]],2,0))</f>
        <v>SERGIO LIMA/ARQUIVO DA EDITORA</v>
      </c>
      <c r="Z2009" s="31"/>
      <c r="AA2009" s="31" t="str">
        <f>Tabela2[[#This Row],[ILUSTRADOR CRIAÇÃO]]</f>
        <v>SERGIO LIMA/ARQUIVO DA EDITORA</v>
      </c>
      <c r="AB2009" s="33"/>
      <c r="AC2009" s="16"/>
      <c r="AE2009" s="35" t="str">
        <f t="shared" si="32"/>
        <v>EF1 E002 Mat</v>
      </c>
    </row>
    <row r="2010" spans="1:31" ht="45" x14ac:dyDescent="0.25">
      <c r="A2010" s="31" t="s">
        <v>4194</v>
      </c>
      <c r="B2010" s="16" t="s">
        <v>32</v>
      </c>
      <c r="C2010" s="16" t="s">
        <v>164</v>
      </c>
      <c r="D2010" s="33" t="s">
        <v>34</v>
      </c>
      <c r="E2010" s="33">
        <v>193</v>
      </c>
      <c r="F2010" s="33">
        <v>5</v>
      </c>
      <c r="G2010" s="33">
        <v>9</v>
      </c>
      <c r="H2010" s="33"/>
      <c r="I2010" s="31" t="s">
        <v>46</v>
      </c>
      <c r="J2010" s="31"/>
      <c r="K2010" s="33"/>
      <c r="L2010" s="33"/>
      <c r="M2010" s="31"/>
      <c r="N2010" s="31"/>
      <c r="O2010" s="16" t="s">
        <v>4195</v>
      </c>
      <c r="P2010" s="16"/>
      <c r="Q2010" s="16"/>
      <c r="R2010" s="33"/>
      <c r="S2010" s="34"/>
      <c r="T2010" s="34"/>
      <c r="U2010" s="34"/>
      <c r="V2010" s="34"/>
      <c r="W2010" s="34"/>
      <c r="X2010" s="33" t="s">
        <v>48</v>
      </c>
      <c r="Y2010" s="35" t="str">
        <f>IF(Tabela2[[#This Row],[SIGLA]]="","",VLOOKUP(Tabela2[[#This Row],[SIGLA]],Tabela1[[#All],[Sigla Arte]:[Crédito]],2,0))</f>
        <v>SERGIO LIMA/ARQUIVO DA EDITORA</v>
      </c>
      <c r="Z2010" s="31"/>
      <c r="AA2010" s="31" t="str">
        <f>Tabela2[[#This Row],[ILUSTRADOR CRIAÇÃO]]</f>
        <v>SERGIO LIMA/ARQUIVO DA EDITORA</v>
      </c>
      <c r="AB2010" s="33"/>
      <c r="AC2010" s="16"/>
      <c r="AE2010" s="35" t="str">
        <f t="shared" si="32"/>
        <v>EF1 E002 Mat</v>
      </c>
    </row>
    <row r="2011" spans="1:31" ht="30" x14ac:dyDescent="0.25">
      <c r="A2011" s="31" t="s">
        <v>4196</v>
      </c>
      <c r="B2011" s="16" t="s">
        <v>32</v>
      </c>
      <c r="C2011" s="16" t="s">
        <v>164</v>
      </c>
      <c r="D2011" s="33" t="s">
        <v>34</v>
      </c>
      <c r="E2011" s="33">
        <v>193</v>
      </c>
      <c r="F2011" s="33">
        <v>5</v>
      </c>
      <c r="G2011" s="33">
        <v>9</v>
      </c>
      <c r="H2011" s="33"/>
      <c r="I2011" s="31" t="s">
        <v>46</v>
      </c>
      <c r="J2011" s="31"/>
      <c r="K2011" s="33"/>
      <c r="L2011" s="33"/>
      <c r="M2011" s="31"/>
      <c r="N2011" s="31"/>
      <c r="O2011" s="16" t="s">
        <v>4197</v>
      </c>
      <c r="P2011" s="16"/>
      <c r="Q2011" s="16"/>
      <c r="R2011" s="33"/>
      <c r="S2011" s="34"/>
      <c r="T2011" s="34"/>
      <c r="U2011" s="34"/>
      <c r="V2011" s="34"/>
      <c r="W2011" s="34"/>
      <c r="X2011" s="33" t="s">
        <v>48</v>
      </c>
      <c r="Y2011" s="35" t="str">
        <f>IF(Tabela2[[#This Row],[SIGLA]]="","",VLOOKUP(Tabela2[[#This Row],[SIGLA]],Tabela1[[#All],[Sigla Arte]:[Crédito]],2,0))</f>
        <v>SERGIO LIMA/ARQUIVO DA EDITORA</v>
      </c>
      <c r="Z2011" s="31"/>
      <c r="AA2011" s="31" t="str">
        <f>Tabela2[[#This Row],[ILUSTRADOR CRIAÇÃO]]</f>
        <v>SERGIO LIMA/ARQUIVO DA EDITORA</v>
      </c>
      <c r="AB2011" s="33"/>
      <c r="AC2011" s="16"/>
      <c r="AE2011" s="35" t="str">
        <f t="shared" si="32"/>
        <v>EF1 E002 Mat</v>
      </c>
    </row>
    <row r="2012" spans="1:31" ht="30" x14ac:dyDescent="0.25">
      <c r="A2012" s="31" t="s">
        <v>4198</v>
      </c>
      <c r="B2012" s="16" t="s">
        <v>32</v>
      </c>
      <c r="C2012" s="16" t="s">
        <v>164</v>
      </c>
      <c r="D2012" s="33" t="s">
        <v>34</v>
      </c>
      <c r="E2012" s="33">
        <v>193</v>
      </c>
      <c r="F2012" s="33">
        <v>5</v>
      </c>
      <c r="G2012" s="33">
        <v>9</v>
      </c>
      <c r="H2012" s="33"/>
      <c r="I2012" s="31" t="s">
        <v>46</v>
      </c>
      <c r="J2012" s="31"/>
      <c r="K2012" s="33"/>
      <c r="L2012" s="33"/>
      <c r="M2012" s="31"/>
      <c r="N2012" s="31"/>
      <c r="O2012" s="16" t="s">
        <v>4199</v>
      </c>
      <c r="P2012" s="16"/>
      <c r="Q2012" s="16"/>
      <c r="R2012" s="33"/>
      <c r="S2012" s="34"/>
      <c r="T2012" s="34"/>
      <c r="U2012" s="34"/>
      <c r="V2012" s="34"/>
      <c r="W2012" s="34"/>
      <c r="X2012" s="33" t="s">
        <v>48</v>
      </c>
      <c r="Y2012" s="35" t="str">
        <f>IF(Tabela2[[#This Row],[SIGLA]]="","",VLOOKUP(Tabela2[[#This Row],[SIGLA]],Tabela1[[#All],[Sigla Arte]:[Crédito]],2,0))</f>
        <v>SERGIO LIMA/ARQUIVO DA EDITORA</v>
      </c>
      <c r="Z2012" s="31"/>
      <c r="AA2012" s="31" t="str">
        <f>Tabela2[[#This Row],[ILUSTRADOR CRIAÇÃO]]</f>
        <v>SERGIO LIMA/ARQUIVO DA EDITORA</v>
      </c>
      <c r="AB2012" s="33"/>
      <c r="AC2012" s="16"/>
      <c r="AE2012" s="35" t="str">
        <f t="shared" si="32"/>
        <v>EF1 E002 Mat</v>
      </c>
    </row>
    <row r="2013" spans="1:31" ht="30" x14ac:dyDescent="0.25">
      <c r="A2013" s="31" t="s">
        <v>4200</v>
      </c>
      <c r="B2013" s="16" t="s">
        <v>32</v>
      </c>
      <c r="C2013" s="16" t="s">
        <v>164</v>
      </c>
      <c r="D2013" s="33" t="s">
        <v>34</v>
      </c>
      <c r="E2013" s="33">
        <v>193</v>
      </c>
      <c r="F2013" s="33">
        <v>5</v>
      </c>
      <c r="G2013" s="33">
        <v>9</v>
      </c>
      <c r="H2013" s="33"/>
      <c r="I2013" s="31" t="s">
        <v>46</v>
      </c>
      <c r="J2013" s="31"/>
      <c r="K2013" s="33"/>
      <c r="L2013" s="33"/>
      <c r="M2013" s="31"/>
      <c r="N2013" s="31"/>
      <c r="O2013" s="16" t="s">
        <v>4201</v>
      </c>
      <c r="P2013" s="16"/>
      <c r="Q2013" s="16"/>
      <c r="R2013" s="33"/>
      <c r="S2013" s="34"/>
      <c r="T2013" s="34"/>
      <c r="U2013" s="34"/>
      <c r="V2013" s="34"/>
      <c r="W2013" s="34"/>
      <c r="X2013" s="33" t="s">
        <v>48</v>
      </c>
      <c r="Y2013" s="35" t="str">
        <f>IF(Tabela2[[#This Row],[SIGLA]]="","",VLOOKUP(Tabela2[[#This Row],[SIGLA]],Tabela1[[#All],[Sigla Arte]:[Crédito]],2,0))</f>
        <v>SERGIO LIMA/ARQUIVO DA EDITORA</v>
      </c>
      <c r="Z2013" s="31"/>
      <c r="AA2013" s="31" t="str">
        <f>Tabela2[[#This Row],[ILUSTRADOR CRIAÇÃO]]</f>
        <v>SERGIO LIMA/ARQUIVO DA EDITORA</v>
      </c>
      <c r="AB2013" s="33"/>
      <c r="AC2013" s="16"/>
      <c r="AE2013" s="35" t="str">
        <f t="shared" si="32"/>
        <v>EF1 E002 Mat</v>
      </c>
    </row>
    <row r="2014" spans="1:31" ht="30" x14ac:dyDescent="0.25">
      <c r="A2014" s="31" t="s">
        <v>4202</v>
      </c>
      <c r="B2014" s="16" t="s">
        <v>32</v>
      </c>
      <c r="C2014" s="16" t="s">
        <v>164</v>
      </c>
      <c r="D2014" s="33" t="s">
        <v>34</v>
      </c>
      <c r="E2014" s="33">
        <v>193</v>
      </c>
      <c r="F2014" s="33">
        <v>5</v>
      </c>
      <c r="G2014" s="33">
        <v>9</v>
      </c>
      <c r="H2014" s="33"/>
      <c r="I2014" s="31" t="s">
        <v>46</v>
      </c>
      <c r="J2014" s="31"/>
      <c r="K2014" s="33"/>
      <c r="L2014" s="33"/>
      <c r="M2014" s="31"/>
      <c r="N2014" s="31"/>
      <c r="O2014" s="16" t="s">
        <v>4203</v>
      </c>
      <c r="P2014" s="16"/>
      <c r="Q2014" s="16"/>
      <c r="R2014" s="33"/>
      <c r="S2014" s="34"/>
      <c r="T2014" s="34"/>
      <c r="U2014" s="34"/>
      <c r="V2014" s="34"/>
      <c r="W2014" s="34"/>
      <c r="X2014" s="33" t="s">
        <v>48</v>
      </c>
      <c r="Y2014" s="35" t="str">
        <f>IF(Tabela2[[#This Row],[SIGLA]]="","",VLOOKUP(Tabela2[[#This Row],[SIGLA]],Tabela1[[#All],[Sigla Arte]:[Crédito]],2,0))</f>
        <v>SERGIO LIMA/ARQUIVO DA EDITORA</v>
      </c>
      <c r="Z2014" s="31"/>
      <c r="AA2014" s="31" t="str">
        <f>Tabela2[[#This Row],[ILUSTRADOR CRIAÇÃO]]</f>
        <v>SERGIO LIMA/ARQUIVO DA EDITORA</v>
      </c>
      <c r="AB2014" s="33"/>
      <c r="AC2014" s="16"/>
      <c r="AE2014" s="35" t="str">
        <f t="shared" si="32"/>
        <v>EF1 E002 Mat</v>
      </c>
    </row>
    <row r="2015" spans="1:31" ht="45" x14ac:dyDescent="0.25">
      <c r="A2015" s="31" t="s">
        <v>4204</v>
      </c>
      <c r="B2015" s="16" t="s">
        <v>32</v>
      </c>
      <c r="C2015" s="16" t="s">
        <v>164</v>
      </c>
      <c r="D2015" s="33" t="s">
        <v>34</v>
      </c>
      <c r="E2015" s="33">
        <v>193</v>
      </c>
      <c r="F2015" s="33">
        <v>5</v>
      </c>
      <c r="G2015" s="33">
        <v>9</v>
      </c>
      <c r="H2015" s="33"/>
      <c r="I2015" s="31" t="s">
        <v>46</v>
      </c>
      <c r="J2015" s="31"/>
      <c r="K2015" s="33"/>
      <c r="L2015" s="33"/>
      <c r="M2015" s="31"/>
      <c r="N2015" s="31"/>
      <c r="O2015" s="16" t="s">
        <v>4205</v>
      </c>
      <c r="P2015" s="16"/>
      <c r="Q2015" s="16"/>
      <c r="R2015" s="33"/>
      <c r="S2015" s="34"/>
      <c r="T2015" s="34"/>
      <c r="U2015" s="34"/>
      <c r="V2015" s="34"/>
      <c r="W2015" s="34"/>
      <c r="X2015" s="33" t="s">
        <v>1126</v>
      </c>
      <c r="Y2015" s="35" t="str">
        <f>IF(Tabela2[[#This Row],[SIGLA]]="","",VLOOKUP(Tabela2[[#This Row],[SIGLA]],Tabela1[[#All],[Sigla Arte]:[Crédito]],2,0))</f>
        <v>GUSTAVO CONTI/ARQUIVO DA EDITORA</v>
      </c>
      <c r="Z2015" s="31"/>
      <c r="AA2015" s="31" t="str">
        <f>Tabela2[[#This Row],[ILUSTRADOR CRIAÇÃO]]</f>
        <v>GUSTAVO CONTI/ARQUIVO DA EDITORA</v>
      </c>
      <c r="AB2015" s="33"/>
      <c r="AC2015" s="16"/>
      <c r="AE2015" s="35" t="str">
        <f t="shared" si="32"/>
        <v>EF1 E002 Mat</v>
      </c>
    </row>
    <row r="2016" spans="1:31" ht="45" x14ac:dyDescent="0.25">
      <c r="A2016" s="31" t="s">
        <v>4206</v>
      </c>
      <c r="B2016" s="16" t="s">
        <v>32</v>
      </c>
      <c r="C2016" s="16" t="s">
        <v>164</v>
      </c>
      <c r="D2016" s="33" t="s">
        <v>34</v>
      </c>
      <c r="E2016" s="33">
        <v>194</v>
      </c>
      <c r="F2016" s="33">
        <v>5</v>
      </c>
      <c r="G2016" s="33">
        <v>9</v>
      </c>
      <c r="H2016" s="33"/>
      <c r="I2016" s="31" t="s">
        <v>46</v>
      </c>
      <c r="J2016" s="31"/>
      <c r="K2016" s="33"/>
      <c r="L2016" s="33"/>
      <c r="M2016" s="31"/>
      <c r="N2016" s="31"/>
      <c r="O2016" s="16" t="s">
        <v>4207</v>
      </c>
      <c r="P2016" s="16"/>
      <c r="Q2016" s="16"/>
      <c r="R2016" s="33"/>
      <c r="S2016" s="34"/>
      <c r="T2016" s="34"/>
      <c r="U2016" s="34"/>
      <c r="V2016" s="34"/>
      <c r="W2016" s="34"/>
      <c r="X2016" s="33" t="s">
        <v>1126</v>
      </c>
      <c r="Y2016" s="35" t="str">
        <f>IF(Tabela2[[#This Row],[SIGLA]]="","",VLOOKUP(Tabela2[[#This Row],[SIGLA]],Tabela1[[#All],[Sigla Arte]:[Crédito]],2,0))</f>
        <v>GUSTAVO CONTI/ARQUIVO DA EDITORA</v>
      </c>
      <c r="Z2016" s="31"/>
      <c r="AA2016" s="31" t="str">
        <f>Tabela2[[#This Row],[ILUSTRADOR CRIAÇÃO]]</f>
        <v>GUSTAVO CONTI/ARQUIVO DA EDITORA</v>
      </c>
      <c r="AB2016" s="33"/>
      <c r="AC2016" s="16"/>
      <c r="AE2016" s="35" t="str">
        <f t="shared" si="32"/>
        <v>EF1 E002 Mat</v>
      </c>
    </row>
    <row r="2017" spans="1:31" ht="45" x14ac:dyDescent="0.25">
      <c r="A2017" s="31" t="s">
        <v>4208</v>
      </c>
      <c r="B2017" s="16" t="s">
        <v>32</v>
      </c>
      <c r="C2017" s="16" t="s">
        <v>164</v>
      </c>
      <c r="D2017" s="33" t="s">
        <v>34</v>
      </c>
      <c r="E2017" s="33">
        <v>196</v>
      </c>
      <c r="F2017" s="33">
        <v>5</v>
      </c>
      <c r="G2017" s="33">
        <v>9</v>
      </c>
      <c r="H2017" s="33"/>
      <c r="I2017" s="31" t="s">
        <v>46</v>
      </c>
      <c r="J2017" s="31"/>
      <c r="K2017" s="33"/>
      <c r="L2017" s="33"/>
      <c r="M2017" s="31"/>
      <c r="N2017" s="31"/>
      <c r="O2017" s="16" t="s">
        <v>4209</v>
      </c>
      <c r="P2017" s="16"/>
      <c r="Q2017" s="16"/>
      <c r="R2017" s="33"/>
      <c r="S2017" s="34"/>
      <c r="T2017" s="34"/>
      <c r="U2017" s="34"/>
      <c r="V2017" s="34"/>
      <c r="W2017" s="34"/>
      <c r="X2017" s="33" t="s">
        <v>1126</v>
      </c>
      <c r="Y2017" s="35" t="str">
        <f>IF(Tabela2[[#This Row],[SIGLA]]="","",VLOOKUP(Tabela2[[#This Row],[SIGLA]],Tabela1[[#All],[Sigla Arte]:[Crédito]],2,0))</f>
        <v>GUSTAVO CONTI/ARQUIVO DA EDITORA</v>
      </c>
      <c r="Z2017" s="31"/>
      <c r="AA2017" s="31" t="str">
        <f>Tabela2[[#This Row],[ILUSTRADOR CRIAÇÃO]]</f>
        <v>GUSTAVO CONTI/ARQUIVO DA EDITORA</v>
      </c>
      <c r="AB2017" s="33"/>
      <c r="AC2017" s="16"/>
      <c r="AE2017" s="35" t="str">
        <f t="shared" si="32"/>
        <v>EF1 E002 Mat</v>
      </c>
    </row>
    <row r="2018" spans="1:31" ht="30" x14ac:dyDescent="0.25">
      <c r="A2018" s="31" t="s">
        <v>4210</v>
      </c>
      <c r="B2018" s="16" t="s">
        <v>32</v>
      </c>
      <c r="C2018" s="16" t="s">
        <v>164</v>
      </c>
      <c r="D2018" s="33" t="s">
        <v>34</v>
      </c>
      <c r="E2018" s="33">
        <v>197</v>
      </c>
      <c r="F2018" s="33">
        <v>5</v>
      </c>
      <c r="G2018" s="33">
        <v>9</v>
      </c>
      <c r="H2018" s="33"/>
      <c r="I2018" s="31" t="s">
        <v>46</v>
      </c>
      <c r="J2018" s="31"/>
      <c r="K2018" s="33"/>
      <c r="L2018" s="33"/>
      <c r="M2018" s="31"/>
      <c r="N2018" s="31"/>
      <c r="O2018" s="16" t="s">
        <v>4211</v>
      </c>
      <c r="P2018" s="16"/>
      <c r="Q2018" s="16"/>
      <c r="R2018" s="33"/>
      <c r="S2018" s="34"/>
      <c r="T2018" s="34"/>
      <c r="U2018" s="34"/>
      <c r="V2018" s="34"/>
      <c r="W2018" s="34"/>
      <c r="X2018" s="33" t="s">
        <v>48</v>
      </c>
      <c r="Y2018" s="35" t="str">
        <f>IF(Tabela2[[#This Row],[SIGLA]]="","",VLOOKUP(Tabela2[[#This Row],[SIGLA]],Tabela1[[#All],[Sigla Arte]:[Crédito]],2,0))</f>
        <v>SERGIO LIMA/ARQUIVO DA EDITORA</v>
      </c>
      <c r="Z2018" s="31"/>
      <c r="AA2018" s="31" t="str">
        <f>Tabela2[[#This Row],[ILUSTRADOR CRIAÇÃO]]</f>
        <v>SERGIO LIMA/ARQUIVO DA EDITORA</v>
      </c>
      <c r="AB2018" s="33"/>
      <c r="AC2018" s="16"/>
      <c r="AE2018" s="35" t="str">
        <f t="shared" si="32"/>
        <v>EF1 E002 Mat</v>
      </c>
    </row>
    <row r="2019" spans="1:31" ht="30" x14ac:dyDescent="0.25">
      <c r="A2019" s="31" t="s">
        <v>4212</v>
      </c>
      <c r="B2019" s="16" t="s">
        <v>32</v>
      </c>
      <c r="C2019" s="16" t="s">
        <v>164</v>
      </c>
      <c r="D2019" s="33" t="s">
        <v>34</v>
      </c>
      <c r="E2019" s="33">
        <v>197</v>
      </c>
      <c r="F2019" s="33">
        <v>5</v>
      </c>
      <c r="G2019" s="33">
        <v>9</v>
      </c>
      <c r="H2019" s="33"/>
      <c r="I2019" s="31" t="s">
        <v>46</v>
      </c>
      <c r="J2019" s="31"/>
      <c r="K2019" s="33"/>
      <c r="L2019" s="33"/>
      <c r="M2019" s="31"/>
      <c r="N2019" s="31"/>
      <c r="O2019" s="16" t="s">
        <v>4213</v>
      </c>
      <c r="P2019" s="16"/>
      <c r="Q2019" s="16"/>
      <c r="R2019" s="33"/>
      <c r="S2019" s="34"/>
      <c r="T2019" s="34"/>
      <c r="U2019" s="34"/>
      <c r="V2019" s="34"/>
      <c r="W2019" s="34"/>
      <c r="X2019" s="33" t="s">
        <v>48</v>
      </c>
      <c r="Y2019" s="35" t="str">
        <f>IF(Tabela2[[#This Row],[SIGLA]]="","",VLOOKUP(Tabela2[[#This Row],[SIGLA]],Tabela1[[#All],[Sigla Arte]:[Crédito]],2,0))</f>
        <v>SERGIO LIMA/ARQUIVO DA EDITORA</v>
      </c>
      <c r="Z2019" s="31"/>
      <c r="AA2019" s="31" t="str">
        <f>Tabela2[[#This Row],[ILUSTRADOR CRIAÇÃO]]</f>
        <v>SERGIO LIMA/ARQUIVO DA EDITORA</v>
      </c>
      <c r="AB2019" s="33"/>
      <c r="AC2019" s="16"/>
      <c r="AE2019" s="35" t="str">
        <f t="shared" si="32"/>
        <v>EF1 E002 Mat</v>
      </c>
    </row>
    <row r="2020" spans="1:31" ht="30" x14ac:dyDescent="0.25">
      <c r="A2020" s="31" t="s">
        <v>4214</v>
      </c>
      <c r="B2020" s="16" t="s">
        <v>32</v>
      </c>
      <c r="C2020" s="16" t="s">
        <v>164</v>
      </c>
      <c r="D2020" s="33" t="s">
        <v>34</v>
      </c>
      <c r="E2020" s="33">
        <v>198</v>
      </c>
      <c r="F2020" s="33">
        <v>5</v>
      </c>
      <c r="G2020" s="33">
        <v>9</v>
      </c>
      <c r="H2020" s="33"/>
      <c r="I2020" s="31" t="s">
        <v>46</v>
      </c>
      <c r="J2020" s="31"/>
      <c r="K2020" s="33"/>
      <c r="L2020" s="33"/>
      <c r="M2020" s="31"/>
      <c r="N2020" s="31"/>
      <c r="O2020" s="16" t="s">
        <v>4215</v>
      </c>
      <c r="P2020" s="16"/>
      <c r="Q2020" s="16"/>
      <c r="R2020" s="33"/>
      <c r="S2020" s="34"/>
      <c r="T2020" s="34"/>
      <c r="U2020" s="34"/>
      <c r="V2020" s="34"/>
      <c r="W2020" s="34"/>
      <c r="X2020" s="33" t="s">
        <v>48</v>
      </c>
      <c r="Y2020" s="35" t="str">
        <f>IF(Tabela2[[#This Row],[SIGLA]]="","",VLOOKUP(Tabela2[[#This Row],[SIGLA]],Tabela1[[#All],[Sigla Arte]:[Crédito]],2,0))</f>
        <v>SERGIO LIMA/ARQUIVO DA EDITORA</v>
      </c>
      <c r="Z2020" s="31"/>
      <c r="AA2020" s="31" t="str">
        <f>Tabela2[[#This Row],[ILUSTRADOR CRIAÇÃO]]</f>
        <v>SERGIO LIMA/ARQUIVO DA EDITORA</v>
      </c>
      <c r="AB2020" s="33"/>
      <c r="AC2020" s="16"/>
      <c r="AE2020" s="35" t="str">
        <f t="shared" si="32"/>
        <v>EF1 E002 Mat</v>
      </c>
    </row>
    <row r="2021" spans="1:31" ht="30" x14ac:dyDescent="0.25">
      <c r="A2021" s="31" t="s">
        <v>4216</v>
      </c>
      <c r="B2021" s="16" t="s">
        <v>32</v>
      </c>
      <c r="C2021" s="16" t="s">
        <v>164</v>
      </c>
      <c r="D2021" s="33" t="s">
        <v>34</v>
      </c>
      <c r="E2021" s="33">
        <v>198</v>
      </c>
      <c r="F2021" s="33">
        <v>5</v>
      </c>
      <c r="G2021" s="33">
        <v>9</v>
      </c>
      <c r="H2021" s="33"/>
      <c r="I2021" s="31" t="s">
        <v>46</v>
      </c>
      <c r="J2021" s="31"/>
      <c r="K2021" s="33"/>
      <c r="L2021" s="33"/>
      <c r="M2021" s="31"/>
      <c r="N2021" s="31"/>
      <c r="O2021" s="16" t="s">
        <v>4217</v>
      </c>
      <c r="P2021" s="16"/>
      <c r="Q2021" s="16"/>
      <c r="R2021" s="33"/>
      <c r="S2021" s="34"/>
      <c r="T2021" s="34"/>
      <c r="U2021" s="34"/>
      <c r="V2021" s="34"/>
      <c r="W2021" s="34"/>
      <c r="X2021" s="33" t="s">
        <v>48</v>
      </c>
      <c r="Y2021" s="35" t="str">
        <f>IF(Tabela2[[#This Row],[SIGLA]]="","",VLOOKUP(Tabela2[[#This Row],[SIGLA]],Tabela1[[#All],[Sigla Arte]:[Crédito]],2,0))</f>
        <v>SERGIO LIMA/ARQUIVO DA EDITORA</v>
      </c>
      <c r="Z2021" s="31"/>
      <c r="AA2021" s="31" t="str">
        <f>Tabela2[[#This Row],[ILUSTRADOR CRIAÇÃO]]</f>
        <v>SERGIO LIMA/ARQUIVO DA EDITORA</v>
      </c>
      <c r="AB2021" s="33"/>
      <c r="AC2021" s="16"/>
      <c r="AE2021" s="35" t="str">
        <f t="shared" si="32"/>
        <v>EF1 E002 Mat</v>
      </c>
    </row>
    <row r="2022" spans="1:31" ht="30" x14ac:dyDescent="0.25">
      <c r="A2022" s="31" t="s">
        <v>4218</v>
      </c>
      <c r="B2022" s="16" t="s">
        <v>32</v>
      </c>
      <c r="C2022" s="16" t="s">
        <v>164</v>
      </c>
      <c r="D2022" s="33" t="s">
        <v>34</v>
      </c>
      <c r="E2022" s="33">
        <v>198</v>
      </c>
      <c r="F2022" s="33">
        <v>5</v>
      </c>
      <c r="G2022" s="33">
        <v>9</v>
      </c>
      <c r="H2022" s="33"/>
      <c r="I2022" s="31" t="s">
        <v>46</v>
      </c>
      <c r="J2022" s="31"/>
      <c r="K2022" s="33"/>
      <c r="L2022" s="33"/>
      <c r="M2022" s="31"/>
      <c r="N2022" s="31"/>
      <c r="O2022" s="16" t="s">
        <v>4219</v>
      </c>
      <c r="P2022" s="16"/>
      <c r="Q2022" s="16"/>
      <c r="R2022" s="33"/>
      <c r="S2022" s="34"/>
      <c r="T2022" s="34"/>
      <c r="U2022" s="34"/>
      <c r="V2022" s="34"/>
      <c r="W2022" s="34"/>
      <c r="X2022" s="33" t="s">
        <v>48</v>
      </c>
      <c r="Y2022" s="35" t="str">
        <f>IF(Tabela2[[#This Row],[SIGLA]]="","",VLOOKUP(Tabela2[[#This Row],[SIGLA]],Tabela1[[#All],[Sigla Arte]:[Crédito]],2,0))</f>
        <v>SERGIO LIMA/ARQUIVO DA EDITORA</v>
      </c>
      <c r="Z2022" s="31"/>
      <c r="AA2022" s="31" t="str">
        <f>Tabela2[[#This Row],[ILUSTRADOR CRIAÇÃO]]</f>
        <v>SERGIO LIMA/ARQUIVO DA EDITORA</v>
      </c>
      <c r="AB2022" s="33"/>
      <c r="AC2022" s="16"/>
      <c r="AE2022" s="35" t="str">
        <f t="shared" si="32"/>
        <v>EF1 E002 Mat</v>
      </c>
    </row>
    <row r="2023" spans="1:31" ht="30" x14ac:dyDescent="0.25">
      <c r="A2023" s="31" t="s">
        <v>4220</v>
      </c>
      <c r="B2023" s="16" t="s">
        <v>32</v>
      </c>
      <c r="C2023" s="16" t="s">
        <v>164</v>
      </c>
      <c r="D2023" s="33" t="s">
        <v>34</v>
      </c>
      <c r="E2023" s="33">
        <v>198</v>
      </c>
      <c r="F2023" s="33">
        <v>5</v>
      </c>
      <c r="G2023" s="33">
        <v>9</v>
      </c>
      <c r="H2023" s="33"/>
      <c r="I2023" s="31" t="s">
        <v>46</v>
      </c>
      <c r="J2023" s="31"/>
      <c r="K2023" s="33"/>
      <c r="L2023" s="33"/>
      <c r="M2023" s="31"/>
      <c r="N2023" s="31"/>
      <c r="O2023" s="16" t="s">
        <v>4221</v>
      </c>
      <c r="P2023" s="16"/>
      <c r="Q2023" s="16"/>
      <c r="R2023" s="33"/>
      <c r="S2023" s="34"/>
      <c r="T2023" s="34"/>
      <c r="U2023" s="34"/>
      <c r="V2023" s="34"/>
      <c r="W2023" s="34"/>
      <c r="X2023" s="33" t="s">
        <v>48</v>
      </c>
      <c r="Y2023" s="35" t="str">
        <f>IF(Tabela2[[#This Row],[SIGLA]]="","",VLOOKUP(Tabela2[[#This Row],[SIGLA]],Tabela1[[#All],[Sigla Arte]:[Crédito]],2,0))</f>
        <v>SERGIO LIMA/ARQUIVO DA EDITORA</v>
      </c>
      <c r="Z2023" s="31"/>
      <c r="AA2023" s="31" t="str">
        <f>Tabela2[[#This Row],[ILUSTRADOR CRIAÇÃO]]</f>
        <v>SERGIO LIMA/ARQUIVO DA EDITORA</v>
      </c>
      <c r="AB2023" s="33"/>
      <c r="AC2023" s="16"/>
      <c r="AE2023" s="35" t="str">
        <f t="shared" si="32"/>
        <v>EF1 E002 Mat</v>
      </c>
    </row>
    <row r="2024" spans="1:31" ht="45" x14ac:dyDescent="0.25">
      <c r="A2024" s="31" t="s">
        <v>4222</v>
      </c>
      <c r="B2024" s="16" t="s">
        <v>32</v>
      </c>
      <c r="C2024" s="16" t="s">
        <v>164</v>
      </c>
      <c r="D2024" s="33" t="s">
        <v>34</v>
      </c>
      <c r="E2024" s="33">
        <v>199</v>
      </c>
      <c r="F2024" s="33">
        <v>5</v>
      </c>
      <c r="G2024" s="33">
        <v>9</v>
      </c>
      <c r="H2024" s="33"/>
      <c r="I2024" s="31" t="s">
        <v>46</v>
      </c>
      <c r="J2024" s="31"/>
      <c r="K2024" s="33"/>
      <c r="L2024" s="33"/>
      <c r="M2024" s="31"/>
      <c r="N2024" s="31"/>
      <c r="O2024" s="16" t="s">
        <v>4223</v>
      </c>
      <c r="P2024" s="16"/>
      <c r="Q2024" s="16"/>
      <c r="R2024" s="33"/>
      <c r="S2024" s="34"/>
      <c r="T2024" s="34"/>
      <c r="U2024" s="34"/>
      <c r="V2024" s="34"/>
      <c r="W2024" s="34"/>
      <c r="X2024" s="33" t="s">
        <v>48</v>
      </c>
      <c r="Y2024" s="35" t="str">
        <f>IF(Tabela2[[#This Row],[SIGLA]]="","",VLOOKUP(Tabela2[[#This Row],[SIGLA]],Tabela1[[#All],[Sigla Arte]:[Crédito]],2,0))</f>
        <v>SERGIO LIMA/ARQUIVO DA EDITORA</v>
      </c>
      <c r="Z2024" s="31"/>
      <c r="AA2024" s="31" t="str">
        <f>Tabela2[[#This Row],[ILUSTRADOR CRIAÇÃO]]</f>
        <v>SERGIO LIMA/ARQUIVO DA EDITORA</v>
      </c>
      <c r="AB2024" s="33"/>
      <c r="AC2024" s="16"/>
      <c r="AE2024" s="35" t="str">
        <f t="shared" si="32"/>
        <v>EF1 E002 Mat</v>
      </c>
    </row>
    <row r="2025" spans="1:31" ht="45" x14ac:dyDescent="0.25">
      <c r="A2025" s="31" t="s">
        <v>4224</v>
      </c>
      <c r="B2025" s="16" t="s">
        <v>32</v>
      </c>
      <c r="C2025" s="16" t="s">
        <v>164</v>
      </c>
      <c r="D2025" s="33" t="s">
        <v>34</v>
      </c>
      <c r="E2025" s="33">
        <v>199</v>
      </c>
      <c r="F2025" s="33">
        <v>5</v>
      </c>
      <c r="G2025" s="33">
        <v>9</v>
      </c>
      <c r="H2025" s="33"/>
      <c r="I2025" s="31" t="s">
        <v>35</v>
      </c>
      <c r="J2025" s="31"/>
      <c r="K2025" s="33"/>
      <c r="L2025" s="33"/>
      <c r="M2025" s="31"/>
      <c r="N2025" s="31"/>
      <c r="O2025" s="16" t="s">
        <v>4225</v>
      </c>
      <c r="P2025" s="16"/>
      <c r="Q2025" s="16"/>
      <c r="R2025" s="33">
        <v>202</v>
      </c>
      <c r="S2025" s="34"/>
      <c r="T2025" s="34">
        <v>45943</v>
      </c>
      <c r="U2025" s="34"/>
      <c r="V2025" s="34"/>
      <c r="W2025" s="34">
        <v>45943</v>
      </c>
      <c r="X2025" s="33" t="s">
        <v>48</v>
      </c>
      <c r="Y2025" s="35" t="str">
        <f>IF(Tabela2[[#This Row],[SIGLA]]="","",VLOOKUP(Tabela2[[#This Row],[SIGLA]],Tabela1[[#All],[Sigla Arte]:[Crédito]],2,0))</f>
        <v>SERGIO LIMA/ARQUIVO DA EDITORA</v>
      </c>
      <c r="Z2025" s="31" t="s">
        <v>539</v>
      </c>
      <c r="AA2025" s="31" t="str">
        <f>Tabela2[[#This Row],[ILUSTRADOR CRIAÇÃO]]</f>
        <v>SERGIO LIMA/ARQUIVO DA EDITORA</v>
      </c>
      <c r="AB2025" s="33">
        <v>13</v>
      </c>
      <c r="AC2025" s="16" t="s">
        <v>89</v>
      </c>
      <c r="AD2025" s="16" t="s">
        <v>40</v>
      </c>
      <c r="AE2025" s="35" t="str">
        <f t="shared" si="32"/>
        <v>EF1 E002 Mat</v>
      </c>
    </row>
    <row r="2026" spans="1:31" ht="45" x14ac:dyDescent="0.25">
      <c r="A2026" s="31" t="s">
        <v>4226</v>
      </c>
      <c r="B2026" s="16" t="s">
        <v>32</v>
      </c>
      <c r="C2026" s="16" t="s">
        <v>164</v>
      </c>
      <c r="D2026" s="33" t="s">
        <v>34</v>
      </c>
      <c r="E2026" s="33">
        <v>199</v>
      </c>
      <c r="F2026" s="33">
        <v>5</v>
      </c>
      <c r="G2026" s="33">
        <v>9</v>
      </c>
      <c r="H2026" s="33"/>
      <c r="I2026" s="31" t="s">
        <v>46</v>
      </c>
      <c r="J2026" s="31"/>
      <c r="K2026" s="33"/>
      <c r="L2026" s="33"/>
      <c r="M2026" s="31"/>
      <c r="N2026" s="31"/>
      <c r="O2026" s="16" t="s">
        <v>4227</v>
      </c>
      <c r="P2026" s="16"/>
      <c r="Q2026" s="16"/>
      <c r="R2026" s="33"/>
      <c r="S2026" s="34"/>
      <c r="T2026" s="34"/>
      <c r="U2026" s="34"/>
      <c r="V2026" s="34"/>
      <c r="W2026" s="34"/>
      <c r="X2026" s="33" t="s">
        <v>48</v>
      </c>
      <c r="Y2026" s="35" t="str">
        <f>IF(Tabela2[[#This Row],[SIGLA]]="","",VLOOKUP(Tabela2[[#This Row],[SIGLA]],Tabela1[[#All],[Sigla Arte]:[Crédito]],2,0))</f>
        <v>SERGIO LIMA/ARQUIVO DA EDITORA</v>
      </c>
      <c r="Z2026" s="31"/>
      <c r="AA2026" s="31" t="str">
        <f>Tabela2[[#This Row],[ILUSTRADOR CRIAÇÃO]]</f>
        <v>SERGIO LIMA/ARQUIVO DA EDITORA</v>
      </c>
      <c r="AB2026" s="33"/>
      <c r="AC2026" s="16"/>
      <c r="AE2026" s="35" t="str">
        <f t="shared" si="32"/>
        <v>EF1 E002 Mat</v>
      </c>
    </row>
    <row r="2027" spans="1:31" ht="45" x14ac:dyDescent="0.25">
      <c r="A2027" s="31" t="s">
        <v>4228</v>
      </c>
      <c r="B2027" s="16" t="s">
        <v>32</v>
      </c>
      <c r="C2027" s="16" t="s">
        <v>164</v>
      </c>
      <c r="D2027" s="33" t="s">
        <v>34</v>
      </c>
      <c r="E2027" s="33">
        <v>199</v>
      </c>
      <c r="F2027" s="33">
        <v>5</v>
      </c>
      <c r="G2027" s="33">
        <v>9</v>
      </c>
      <c r="H2027" s="33"/>
      <c r="I2027" s="31" t="s">
        <v>46</v>
      </c>
      <c r="J2027" s="31"/>
      <c r="K2027" s="33"/>
      <c r="L2027" s="33"/>
      <c r="M2027" s="31"/>
      <c r="N2027" s="31"/>
      <c r="O2027" s="16" t="s">
        <v>4229</v>
      </c>
      <c r="P2027" s="16"/>
      <c r="Q2027" s="16"/>
      <c r="R2027" s="33"/>
      <c r="S2027" s="34"/>
      <c r="T2027" s="34"/>
      <c r="U2027" s="34"/>
      <c r="V2027" s="34"/>
      <c r="W2027" s="34"/>
      <c r="X2027" s="33" t="s">
        <v>48</v>
      </c>
      <c r="Y2027" s="35" t="str">
        <f>IF(Tabela2[[#This Row],[SIGLA]]="","",VLOOKUP(Tabela2[[#This Row],[SIGLA]],Tabela1[[#All],[Sigla Arte]:[Crédito]],2,0))</f>
        <v>SERGIO LIMA/ARQUIVO DA EDITORA</v>
      </c>
      <c r="Z2027" s="31"/>
      <c r="AA2027" s="31" t="str">
        <f>Tabela2[[#This Row],[ILUSTRADOR CRIAÇÃO]]</f>
        <v>SERGIO LIMA/ARQUIVO DA EDITORA</v>
      </c>
      <c r="AB2027" s="33"/>
      <c r="AC2027" s="16"/>
      <c r="AE2027" s="35" t="str">
        <f t="shared" si="32"/>
        <v>EF1 E002 Mat</v>
      </c>
    </row>
    <row r="2028" spans="1:31" ht="135" x14ac:dyDescent="0.25">
      <c r="A2028" s="31" t="s">
        <v>4230</v>
      </c>
      <c r="B2028" s="16" t="s">
        <v>32</v>
      </c>
      <c r="C2028" s="16" t="s">
        <v>33</v>
      </c>
      <c r="D2028" s="33" t="s">
        <v>34</v>
      </c>
      <c r="E2028" s="33">
        <v>199</v>
      </c>
      <c r="F2028" s="33">
        <v>5</v>
      </c>
      <c r="G2028" s="33">
        <v>9</v>
      </c>
      <c r="H2028" s="33"/>
      <c r="I2028" s="31" t="s">
        <v>35</v>
      </c>
      <c r="J2028" s="31"/>
      <c r="K2028" s="33"/>
      <c r="L2028" s="33"/>
      <c r="M2028" s="31"/>
      <c r="N2028" s="31"/>
      <c r="O2028" s="16" t="s">
        <v>4231</v>
      </c>
      <c r="P2028" s="16"/>
      <c r="Q2028" s="16"/>
      <c r="R2028" s="33">
        <v>147</v>
      </c>
      <c r="S2028" s="34">
        <v>45902</v>
      </c>
      <c r="T2028" s="34">
        <v>45902</v>
      </c>
      <c r="U2028" s="34"/>
      <c r="V2028" s="34"/>
      <c r="W2028" s="34">
        <v>45902</v>
      </c>
      <c r="X2028" s="33" t="s">
        <v>162</v>
      </c>
      <c r="Y2028" s="35" t="str">
        <f>IF(Tabela2[[#This Row],[SIGLA]]="","",VLOOKUP(Tabela2[[#This Row],[SIGLA]],Tabela1[[#All],[Sigla Arte]:[Crédito]],2,0))</f>
        <v>IVY NUNES/ARQUIVO DA EDITORA</v>
      </c>
      <c r="Z2028" s="31" t="s">
        <v>572</v>
      </c>
      <c r="AA2028" s="31" t="str">
        <f>Tabela2[[#This Row],[ILUSTRADOR CRIAÇÃO]]</f>
        <v>IVY NUNES/ARQUIVO DA EDITORA</v>
      </c>
      <c r="AB2028" s="33">
        <v>13</v>
      </c>
      <c r="AC2028" s="16" t="s">
        <v>44</v>
      </c>
      <c r="AD2028" s="16" t="s">
        <v>40</v>
      </c>
      <c r="AE2028" s="35" t="str">
        <f t="shared" si="32"/>
        <v>EF1 E002 Mat</v>
      </c>
    </row>
    <row r="2029" spans="1:31" ht="30" x14ac:dyDescent="0.25">
      <c r="A2029" s="31" t="s">
        <v>4232</v>
      </c>
      <c r="B2029" s="16" t="s">
        <v>32</v>
      </c>
      <c r="C2029" s="16" t="s">
        <v>33</v>
      </c>
      <c r="D2029" s="33" t="s">
        <v>34</v>
      </c>
      <c r="E2029" s="33">
        <v>239</v>
      </c>
      <c r="F2029" s="33">
        <v>5</v>
      </c>
      <c r="G2029" s="33">
        <v>9</v>
      </c>
      <c r="H2029" s="33"/>
      <c r="I2029" s="31" t="s">
        <v>46</v>
      </c>
      <c r="J2029" s="31"/>
      <c r="K2029" s="33"/>
      <c r="L2029" s="33"/>
      <c r="M2029" s="31"/>
      <c r="N2029" s="31"/>
      <c r="O2029" s="16" t="s">
        <v>4233</v>
      </c>
      <c r="P2029" s="16"/>
      <c r="Q2029" s="16"/>
      <c r="R2029" s="33"/>
      <c r="S2029" s="34"/>
      <c r="T2029" s="34"/>
      <c r="U2029" s="34"/>
      <c r="V2029" s="34"/>
      <c r="W2029" s="34"/>
      <c r="X2029" s="33" t="s">
        <v>162</v>
      </c>
      <c r="Y2029" s="35" t="str">
        <f>IF(Tabela2[[#This Row],[SIGLA]]="","",VLOOKUP(Tabela2[[#This Row],[SIGLA]],Tabela1[[#All],[Sigla Arte]:[Crédito]],2,0))</f>
        <v>IVY NUNES/ARQUIVO DA EDITORA</v>
      </c>
      <c r="Z2029" s="31"/>
      <c r="AA2029" s="31" t="str">
        <f>Tabela2[[#This Row],[ILUSTRADOR CRIAÇÃO]]</f>
        <v>IVY NUNES/ARQUIVO DA EDITORA</v>
      </c>
      <c r="AB2029" s="33"/>
      <c r="AC2029" s="16"/>
      <c r="AE2029" s="35" t="str">
        <f t="shared" si="32"/>
        <v>EF1 E002 Mat</v>
      </c>
    </row>
    <row r="2030" spans="1:31" ht="45" x14ac:dyDescent="0.25">
      <c r="A2030" s="31" t="s">
        <v>4234</v>
      </c>
      <c r="B2030" s="16" t="s">
        <v>32</v>
      </c>
      <c r="C2030" s="16" t="s">
        <v>33</v>
      </c>
      <c r="D2030" s="33" t="s">
        <v>34</v>
      </c>
      <c r="E2030" s="33">
        <v>243</v>
      </c>
      <c r="F2030" s="33">
        <v>5</v>
      </c>
      <c r="G2030" s="33">
        <v>9</v>
      </c>
      <c r="H2030" s="33"/>
      <c r="I2030" s="31" t="s">
        <v>46</v>
      </c>
      <c r="J2030" s="31"/>
      <c r="K2030" s="33"/>
      <c r="L2030" s="33"/>
      <c r="M2030" s="31"/>
      <c r="N2030" s="31"/>
      <c r="O2030" s="16" t="s">
        <v>4235</v>
      </c>
      <c r="P2030" s="16"/>
      <c r="Q2030" s="16"/>
      <c r="R2030" s="33"/>
      <c r="S2030" s="34"/>
      <c r="T2030" s="34"/>
      <c r="U2030" s="34"/>
      <c r="V2030" s="34"/>
      <c r="W2030" s="34"/>
      <c r="X2030" s="33" t="s">
        <v>48</v>
      </c>
      <c r="Y2030" s="35" t="str">
        <f>IF(Tabela2[[#This Row],[SIGLA]]="","",VLOOKUP(Tabela2[[#This Row],[SIGLA]],Tabela1[[#All],[Sigla Arte]:[Crédito]],2,0))</f>
        <v>SERGIO LIMA/ARQUIVO DA EDITORA</v>
      </c>
      <c r="Z2030" s="31"/>
      <c r="AA2030" s="31" t="str">
        <f>Tabela2[[#This Row],[ILUSTRADOR CRIAÇÃO]]</f>
        <v>SERGIO LIMA/ARQUIVO DA EDITORA</v>
      </c>
      <c r="AB2030" s="33"/>
      <c r="AC2030" s="16"/>
      <c r="AE2030" s="35" t="str">
        <f t="shared" si="32"/>
        <v>EF1 E002 Mat</v>
      </c>
    </row>
    <row r="2031" spans="1:31" ht="90" x14ac:dyDescent="0.25">
      <c r="A2031" s="31" t="s">
        <v>4236</v>
      </c>
      <c r="B2031" s="16" t="s">
        <v>32</v>
      </c>
      <c r="C2031" s="16" t="s">
        <v>33</v>
      </c>
      <c r="D2031" s="33" t="s">
        <v>34</v>
      </c>
      <c r="E2031" s="33">
        <v>243</v>
      </c>
      <c r="F2031" s="33">
        <v>5</v>
      </c>
      <c r="G2031" s="33">
        <v>9</v>
      </c>
      <c r="H2031" s="33"/>
      <c r="I2031" s="31" t="s">
        <v>35</v>
      </c>
      <c r="J2031" s="31"/>
      <c r="K2031" s="33"/>
      <c r="L2031" s="33"/>
      <c r="M2031" s="31"/>
      <c r="N2031" s="31"/>
      <c r="O2031" s="16" t="s">
        <v>4237</v>
      </c>
      <c r="P2031" s="16"/>
      <c r="Q2031" s="16"/>
      <c r="R2031" s="33">
        <v>147</v>
      </c>
      <c r="S2031" s="34">
        <v>45902</v>
      </c>
      <c r="T2031" s="34">
        <v>45902</v>
      </c>
      <c r="U2031" s="34"/>
      <c r="V2031" s="34"/>
      <c r="W2031" s="34">
        <v>45902</v>
      </c>
      <c r="X2031" s="33" t="s">
        <v>48</v>
      </c>
      <c r="Y2031" s="35" t="str">
        <f>IF(Tabela2[[#This Row],[SIGLA]]="","",VLOOKUP(Tabela2[[#This Row],[SIGLA]],Tabela1[[#All],[Sigla Arte]:[Crédito]],2,0))</f>
        <v>SERGIO LIMA/ARQUIVO DA EDITORA</v>
      </c>
      <c r="Z2031" s="31" t="s">
        <v>572</v>
      </c>
      <c r="AA2031" s="31" t="str">
        <f>Tabela2[[#This Row],[ILUSTRADOR CRIAÇÃO]]</f>
        <v>SERGIO LIMA/ARQUIVO DA EDITORA</v>
      </c>
      <c r="AB2031" s="33">
        <v>13</v>
      </c>
      <c r="AC2031" s="16" t="s">
        <v>44</v>
      </c>
      <c r="AD2031" s="16" t="s">
        <v>40</v>
      </c>
      <c r="AE2031" s="35" t="str">
        <f t="shared" si="32"/>
        <v>EF1 E002 Mat</v>
      </c>
    </row>
    <row r="2032" spans="1:31" ht="45" x14ac:dyDescent="0.25">
      <c r="A2032" s="31" t="s">
        <v>4238</v>
      </c>
      <c r="B2032" s="16" t="s">
        <v>32</v>
      </c>
      <c r="C2032" s="16" t="s">
        <v>164</v>
      </c>
      <c r="D2032" s="33" t="s">
        <v>34</v>
      </c>
      <c r="E2032" s="33">
        <v>249</v>
      </c>
      <c r="F2032" s="33">
        <v>5</v>
      </c>
      <c r="G2032" s="33">
        <v>9</v>
      </c>
      <c r="H2032" s="33"/>
      <c r="I2032" s="31" t="s">
        <v>46</v>
      </c>
      <c r="J2032" s="31"/>
      <c r="K2032" s="33"/>
      <c r="L2032" s="33"/>
      <c r="M2032" s="31"/>
      <c r="N2032" s="31"/>
      <c r="O2032" s="16" t="s">
        <v>4239</v>
      </c>
      <c r="P2032" s="16"/>
      <c r="Q2032" s="16"/>
      <c r="R2032" s="33"/>
      <c r="S2032" s="34"/>
      <c r="T2032" s="34"/>
      <c r="U2032" s="34"/>
      <c r="V2032" s="34"/>
      <c r="W2032" s="34"/>
      <c r="X2032" s="33" t="s">
        <v>48</v>
      </c>
      <c r="Y2032" s="35" t="str">
        <f>IF(Tabela2[[#This Row],[SIGLA]]="","",VLOOKUP(Tabela2[[#This Row],[SIGLA]],Tabela1[[#All],[Sigla Arte]:[Crédito]],2,0))</f>
        <v>SERGIO LIMA/ARQUIVO DA EDITORA</v>
      </c>
      <c r="Z2032" s="31"/>
      <c r="AA2032" s="31" t="s">
        <v>191</v>
      </c>
      <c r="AB2032" s="33"/>
      <c r="AC2032" s="16"/>
      <c r="AE2032" s="35" t="str">
        <f t="shared" si="32"/>
        <v>EF1 E002 Mat</v>
      </c>
    </row>
    <row r="2033" spans="1:31" ht="60" x14ac:dyDescent="0.25">
      <c r="A2033" s="31" t="s">
        <v>4240</v>
      </c>
      <c r="B2033" s="16" t="s">
        <v>32</v>
      </c>
      <c r="C2033" s="16" t="s">
        <v>164</v>
      </c>
      <c r="D2033" s="33" t="s">
        <v>34</v>
      </c>
      <c r="E2033" s="33">
        <v>249</v>
      </c>
      <c r="F2033" s="33">
        <v>5</v>
      </c>
      <c r="G2033" s="33">
        <v>9</v>
      </c>
      <c r="H2033" s="33"/>
      <c r="I2033" s="31" t="s">
        <v>46</v>
      </c>
      <c r="J2033" s="31"/>
      <c r="K2033" s="33"/>
      <c r="L2033" s="33"/>
      <c r="M2033" s="31"/>
      <c r="N2033" s="31"/>
      <c r="O2033" s="16" t="s">
        <v>4241</v>
      </c>
      <c r="P2033" s="16"/>
      <c r="Q2033" s="16"/>
      <c r="R2033" s="33"/>
      <c r="S2033" s="34"/>
      <c r="T2033" s="34"/>
      <c r="U2033" s="34"/>
      <c r="V2033" s="34"/>
      <c r="W2033" s="34"/>
      <c r="X2033" s="33" t="s">
        <v>48</v>
      </c>
      <c r="Y2033" s="35" t="str">
        <f>IF(Tabela2[[#This Row],[SIGLA]]="","",VLOOKUP(Tabela2[[#This Row],[SIGLA]],Tabela1[[#All],[Sigla Arte]:[Crédito]],2,0))</f>
        <v>SERGIO LIMA/ARQUIVO DA EDITORA</v>
      </c>
      <c r="Z2033" s="31"/>
      <c r="AA2033" s="31" t="s">
        <v>191</v>
      </c>
      <c r="AB2033" s="33"/>
      <c r="AC2033" s="16"/>
      <c r="AE2033" s="35" t="str">
        <f t="shared" si="32"/>
        <v>EF1 E002 Mat</v>
      </c>
    </row>
    <row r="2034" spans="1:31" ht="60" x14ac:dyDescent="0.25">
      <c r="A2034" s="31" t="s">
        <v>4242</v>
      </c>
      <c r="B2034" s="16" t="s">
        <v>32</v>
      </c>
      <c r="C2034" s="16" t="s">
        <v>164</v>
      </c>
      <c r="D2034" s="33" t="s">
        <v>34</v>
      </c>
      <c r="E2034" s="33">
        <v>249</v>
      </c>
      <c r="F2034" s="33">
        <v>5</v>
      </c>
      <c r="G2034" s="33">
        <v>9</v>
      </c>
      <c r="H2034" s="33"/>
      <c r="I2034" s="31" t="s">
        <v>46</v>
      </c>
      <c r="J2034" s="31"/>
      <c r="K2034" s="33"/>
      <c r="L2034" s="33"/>
      <c r="M2034" s="31"/>
      <c r="N2034" s="31"/>
      <c r="O2034" s="16" t="s">
        <v>4243</v>
      </c>
      <c r="P2034" s="16"/>
      <c r="Q2034" s="16"/>
      <c r="R2034" s="33"/>
      <c r="S2034" s="34"/>
      <c r="T2034" s="34"/>
      <c r="U2034" s="34"/>
      <c r="V2034" s="34"/>
      <c r="W2034" s="34"/>
      <c r="X2034" s="33" t="s">
        <v>48</v>
      </c>
      <c r="Y2034" s="35" t="str">
        <f>IF(Tabela2[[#This Row],[SIGLA]]="","",VLOOKUP(Tabela2[[#This Row],[SIGLA]],Tabela1[[#All],[Sigla Arte]:[Crédito]],2,0))</f>
        <v>SERGIO LIMA/ARQUIVO DA EDITORA</v>
      </c>
      <c r="Z2034" s="31"/>
      <c r="AA2034" s="31" t="s">
        <v>191</v>
      </c>
      <c r="AB2034" s="33"/>
      <c r="AC2034" s="16"/>
      <c r="AE2034" s="35" t="str">
        <f t="shared" ref="AE2034:AE2097" si="33">"EF1 E002 Mat"</f>
        <v>EF1 E002 Mat</v>
      </c>
    </row>
    <row r="2035" spans="1:31" ht="135" x14ac:dyDescent="0.25">
      <c r="A2035" s="31" t="s">
        <v>4244</v>
      </c>
      <c r="B2035" s="16" t="s">
        <v>32</v>
      </c>
      <c r="C2035" s="16" t="s">
        <v>33</v>
      </c>
      <c r="D2035" s="33" t="s">
        <v>34</v>
      </c>
      <c r="E2035" s="33">
        <v>250</v>
      </c>
      <c r="F2035" s="33">
        <v>5</v>
      </c>
      <c r="G2035" s="33">
        <v>9</v>
      </c>
      <c r="H2035" s="33"/>
      <c r="I2035" s="31" t="s">
        <v>35</v>
      </c>
      <c r="J2035" s="31"/>
      <c r="K2035" s="33"/>
      <c r="L2035" s="33"/>
      <c r="M2035" s="31"/>
      <c r="N2035" s="31"/>
      <c r="O2035" s="16" t="s">
        <v>4245</v>
      </c>
      <c r="P2035" s="16"/>
      <c r="Q2035" s="16"/>
      <c r="R2035" s="33">
        <v>147</v>
      </c>
      <c r="S2035" s="34">
        <v>45902</v>
      </c>
      <c r="T2035" s="34">
        <v>45902</v>
      </c>
      <c r="U2035" s="34"/>
      <c r="V2035" s="34"/>
      <c r="W2035" s="34">
        <v>45902</v>
      </c>
      <c r="X2035" s="33" t="s">
        <v>85</v>
      </c>
      <c r="Y2035" s="35" t="str">
        <f>IF(Tabela2[[#This Row],[SIGLA]]="","",VLOOKUP(Tabela2[[#This Row],[SIGLA]],Tabela1[[#All],[Sigla Arte]:[Crédito]],2,0))</f>
        <v>HELOÍSA PINTARELLI/ARQUIVO DA EDITORA</v>
      </c>
      <c r="Z2035" s="31" t="s">
        <v>572</v>
      </c>
      <c r="AA2035" s="31" t="str">
        <f>Tabela2[[#This Row],[ILUSTRADOR CRIAÇÃO]]</f>
        <v>HELOÍSA PINTARELLI/ARQUIVO DA EDITORA</v>
      </c>
      <c r="AB2035" s="33">
        <v>13</v>
      </c>
      <c r="AC2035" s="16" t="s">
        <v>44</v>
      </c>
      <c r="AD2035" s="16" t="s">
        <v>40</v>
      </c>
      <c r="AE2035" s="35" t="str">
        <f t="shared" si="33"/>
        <v>EF1 E002 Mat</v>
      </c>
    </row>
    <row r="2036" spans="1:31" ht="60" x14ac:dyDescent="0.25">
      <c r="A2036" s="31" t="s">
        <v>4246</v>
      </c>
      <c r="B2036" s="16" t="s">
        <v>32</v>
      </c>
      <c r="C2036" s="16" t="s">
        <v>33</v>
      </c>
      <c r="D2036" s="33" t="s">
        <v>34</v>
      </c>
      <c r="E2036" s="33">
        <v>250</v>
      </c>
      <c r="F2036" s="33">
        <v>5</v>
      </c>
      <c r="G2036" s="33">
        <v>9</v>
      </c>
      <c r="H2036" s="33"/>
      <c r="I2036" s="31" t="s">
        <v>46</v>
      </c>
      <c r="J2036" s="31"/>
      <c r="K2036" s="33"/>
      <c r="L2036" s="33"/>
      <c r="M2036" s="31"/>
      <c r="N2036" s="31"/>
      <c r="O2036" s="16" t="s">
        <v>4247</v>
      </c>
      <c r="P2036" s="16"/>
      <c r="Q2036" s="16"/>
      <c r="R2036" s="33"/>
      <c r="S2036" s="34"/>
      <c r="T2036" s="34"/>
      <c r="U2036" s="34"/>
      <c r="V2036" s="34"/>
      <c r="W2036" s="34"/>
      <c r="X2036" s="33" t="s">
        <v>85</v>
      </c>
      <c r="Y2036" s="35" t="str">
        <f>IF(Tabela2[[#This Row],[SIGLA]]="","",VLOOKUP(Tabela2[[#This Row],[SIGLA]],Tabela1[[#All],[Sigla Arte]:[Crédito]],2,0))</f>
        <v>HELOÍSA PINTARELLI/ARQUIVO DA EDITORA</v>
      </c>
      <c r="Z2036" s="31"/>
      <c r="AA2036" s="31" t="str">
        <f>Tabela2[[#This Row],[ILUSTRADOR CRIAÇÃO]]</f>
        <v>HELOÍSA PINTARELLI/ARQUIVO DA EDITORA</v>
      </c>
      <c r="AB2036" s="33"/>
      <c r="AC2036" s="16"/>
      <c r="AE2036" s="35" t="str">
        <f t="shared" si="33"/>
        <v>EF1 E002 Mat</v>
      </c>
    </row>
    <row r="2037" spans="1:31" ht="60" x14ac:dyDescent="0.25">
      <c r="A2037" s="31" t="s">
        <v>4248</v>
      </c>
      <c r="B2037" s="16" t="s">
        <v>32</v>
      </c>
      <c r="C2037" s="16" t="s">
        <v>33</v>
      </c>
      <c r="D2037" s="33" t="s">
        <v>34</v>
      </c>
      <c r="E2037" s="33">
        <v>251</v>
      </c>
      <c r="F2037" s="33">
        <v>5</v>
      </c>
      <c r="G2037" s="33">
        <v>9</v>
      </c>
      <c r="H2037" s="33"/>
      <c r="I2037" s="31" t="s">
        <v>46</v>
      </c>
      <c r="J2037" s="31"/>
      <c r="K2037" s="33"/>
      <c r="L2037" s="33"/>
      <c r="M2037" s="31"/>
      <c r="N2037" s="31"/>
      <c r="O2037" s="16" t="s">
        <v>4249</v>
      </c>
      <c r="P2037" s="16"/>
      <c r="Q2037" s="16"/>
      <c r="R2037" s="33"/>
      <c r="S2037" s="34"/>
      <c r="T2037" s="34"/>
      <c r="U2037" s="34"/>
      <c r="V2037" s="34"/>
      <c r="W2037" s="34"/>
      <c r="X2037" s="33" t="s">
        <v>48</v>
      </c>
      <c r="Y2037" s="35" t="str">
        <f>IF(Tabela2[[#This Row],[SIGLA]]="","",VLOOKUP(Tabela2[[#This Row],[SIGLA]],Tabela1[[#All],[Sigla Arte]:[Crédito]],2,0))</f>
        <v>SERGIO LIMA/ARQUIVO DA EDITORA</v>
      </c>
      <c r="Z2037" s="31"/>
      <c r="AA2037" s="31" t="str">
        <f>Tabela2[[#This Row],[ILUSTRADOR CRIAÇÃO]]</f>
        <v>SERGIO LIMA/ARQUIVO DA EDITORA</v>
      </c>
      <c r="AB2037" s="33"/>
      <c r="AC2037" s="16"/>
      <c r="AE2037" s="35" t="str">
        <f t="shared" si="33"/>
        <v>EF1 E002 Mat</v>
      </c>
    </row>
    <row r="2038" spans="1:31" ht="45" x14ac:dyDescent="0.25">
      <c r="A2038" s="31" t="s">
        <v>4250</v>
      </c>
      <c r="B2038" s="16" t="s">
        <v>32</v>
      </c>
      <c r="C2038" s="16" t="s">
        <v>33</v>
      </c>
      <c r="D2038" s="33" t="s">
        <v>34</v>
      </c>
      <c r="E2038" s="33">
        <v>252</v>
      </c>
      <c r="F2038" s="33">
        <v>5</v>
      </c>
      <c r="G2038" s="33">
        <v>9</v>
      </c>
      <c r="H2038" s="33"/>
      <c r="I2038" s="31" t="s">
        <v>46</v>
      </c>
      <c r="J2038" s="31"/>
      <c r="K2038" s="33"/>
      <c r="L2038" s="33"/>
      <c r="M2038" s="31"/>
      <c r="N2038" s="31"/>
      <c r="O2038" s="16" t="s">
        <v>4251</v>
      </c>
      <c r="P2038" s="16"/>
      <c r="Q2038" s="16"/>
      <c r="R2038" s="33"/>
      <c r="S2038" s="34"/>
      <c r="T2038" s="34"/>
      <c r="U2038" s="34"/>
      <c r="V2038" s="34"/>
      <c r="W2038" s="34"/>
      <c r="X2038" s="33" t="s">
        <v>85</v>
      </c>
      <c r="Y2038" s="35" t="str">
        <f>IF(Tabela2[[#This Row],[SIGLA]]="","",VLOOKUP(Tabela2[[#This Row],[SIGLA]],Tabela1[[#All],[Sigla Arte]:[Crédito]],2,0))</f>
        <v>HELOÍSA PINTARELLI/ARQUIVO DA EDITORA</v>
      </c>
      <c r="Z2038" s="31"/>
      <c r="AA2038" s="31" t="str">
        <f>Tabela2[[#This Row],[ILUSTRADOR CRIAÇÃO]]</f>
        <v>HELOÍSA PINTARELLI/ARQUIVO DA EDITORA</v>
      </c>
      <c r="AB2038" s="33"/>
      <c r="AC2038" s="16"/>
      <c r="AE2038" s="35" t="str">
        <f t="shared" si="33"/>
        <v>EF1 E002 Mat</v>
      </c>
    </row>
    <row r="2039" spans="1:31" ht="45" x14ac:dyDescent="0.25">
      <c r="A2039" s="31" t="s">
        <v>4252</v>
      </c>
      <c r="B2039" s="16" t="s">
        <v>32</v>
      </c>
      <c r="C2039" s="16" t="s">
        <v>33</v>
      </c>
      <c r="D2039" s="33" t="s">
        <v>34</v>
      </c>
      <c r="E2039" s="33">
        <v>252</v>
      </c>
      <c r="F2039" s="33">
        <v>5</v>
      </c>
      <c r="G2039" s="33">
        <v>9</v>
      </c>
      <c r="H2039" s="33"/>
      <c r="I2039" s="31" t="s">
        <v>46</v>
      </c>
      <c r="J2039" s="31"/>
      <c r="K2039" s="33"/>
      <c r="L2039" s="33"/>
      <c r="M2039" s="31"/>
      <c r="N2039" s="31"/>
      <c r="O2039" s="16" t="s">
        <v>4253</v>
      </c>
      <c r="P2039" s="16"/>
      <c r="Q2039" s="16"/>
      <c r="R2039" s="33"/>
      <c r="S2039" s="34"/>
      <c r="T2039" s="34"/>
      <c r="U2039" s="34"/>
      <c r="V2039" s="34"/>
      <c r="W2039" s="34"/>
      <c r="X2039" s="33" t="s">
        <v>85</v>
      </c>
      <c r="Y2039" s="35" t="str">
        <f>IF(Tabela2[[#This Row],[SIGLA]]="","",VLOOKUP(Tabela2[[#This Row],[SIGLA]],Tabela1[[#All],[Sigla Arte]:[Crédito]],2,0))</f>
        <v>HELOÍSA PINTARELLI/ARQUIVO DA EDITORA</v>
      </c>
      <c r="Z2039" s="31"/>
      <c r="AA2039" s="31" t="str">
        <f>Tabela2[[#This Row],[ILUSTRADOR CRIAÇÃO]]</f>
        <v>HELOÍSA PINTARELLI/ARQUIVO DA EDITORA</v>
      </c>
      <c r="AB2039" s="33"/>
      <c r="AC2039" s="16"/>
      <c r="AE2039" s="35" t="str">
        <f t="shared" si="33"/>
        <v>EF1 E002 Mat</v>
      </c>
    </row>
    <row r="2040" spans="1:31" ht="45" x14ac:dyDescent="0.25">
      <c r="A2040" s="31" t="s">
        <v>4254</v>
      </c>
      <c r="B2040" s="16" t="s">
        <v>32</v>
      </c>
      <c r="C2040" s="16" t="s">
        <v>33</v>
      </c>
      <c r="D2040" s="33" t="s">
        <v>34</v>
      </c>
      <c r="E2040" s="33">
        <v>252</v>
      </c>
      <c r="F2040" s="33">
        <v>5</v>
      </c>
      <c r="G2040" s="33">
        <v>9</v>
      </c>
      <c r="H2040" s="33"/>
      <c r="I2040" s="31" t="s">
        <v>46</v>
      </c>
      <c r="J2040" s="31"/>
      <c r="K2040" s="33"/>
      <c r="L2040" s="33"/>
      <c r="M2040" s="31"/>
      <c r="N2040" s="31"/>
      <c r="O2040" s="16" t="s">
        <v>4255</v>
      </c>
      <c r="P2040" s="16"/>
      <c r="Q2040" s="16"/>
      <c r="R2040" s="33"/>
      <c r="S2040" s="34"/>
      <c r="T2040" s="34"/>
      <c r="U2040" s="34"/>
      <c r="V2040" s="34"/>
      <c r="W2040" s="34"/>
      <c r="X2040" s="33" t="s">
        <v>85</v>
      </c>
      <c r="Y2040" s="35" t="str">
        <f>IF(Tabela2[[#This Row],[SIGLA]]="","",VLOOKUP(Tabela2[[#This Row],[SIGLA]],Tabela1[[#All],[Sigla Arte]:[Crédito]],2,0))</f>
        <v>HELOÍSA PINTARELLI/ARQUIVO DA EDITORA</v>
      </c>
      <c r="Z2040" s="31"/>
      <c r="AA2040" s="31" t="str">
        <f>Tabela2[[#This Row],[ILUSTRADOR CRIAÇÃO]]</f>
        <v>HELOÍSA PINTARELLI/ARQUIVO DA EDITORA</v>
      </c>
      <c r="AB2040" s="33"/>
      <c r="AC2040" s="16"/>
      <c r="AE2040" s="35" t="str">
        <f t="shared" si="33"/>
        <v>EF1 E002 Mat</v>
      </c>
    </row>
    <row r="2041" spans="1:31" ht="45" x14ac:dyDescent="0.25">
      <c r="A2041" s="31" t="s">
        <v>4256</v>
      </c>
      <c r="B2041" s="16" t="s">
        <v>32</v>
      </c>
      <c r="C2041" s="16" t="s">
        <v>33</v>
      </c>
      <c r="D2041" s="33" t="s">
        <v>34</v>
      </c>
      <c r="E2041" s="33">
        <v>252</v>
      </c>
      <c r="F2041" s="33">
        <v>5</v>
      </c>
      <c r="G2041" s="33">
        <v>9</v>
      </c>
      <c r="H2041" s="33"/>
      <c r="I2041" s="31" t="s">
        <v>46</v>
      </c>
      <c r="J2041" s="31"/>
      <c r="K2041" s="33"/>
      <c r="L2041" s="33"/>
      <c r="M2041" s="31"/>
      <c r="N2041" s="31"/>
      <c r="O2041" s="16" t="s">
        <v>4257</v>
      </c>
      <c r="P2041" s="16"/>
      <c r="Q2041" s="16"/>
      <c r="R2041" s="33"/>
      <c r="S2041" s="34"/>
      <c r="T2041" s="34"/>
      <c r="U2041" s="34"/>
      <c r="V2041" s="34"/>
      <c r="W2041" s="34"/>
      <c r="X2041" s="33" t="s">
        <v>85</v>
      </c>
      <c r="Y2041" s="35" t="str">
        <f>IF(Tabela2[[#This Row],[SIGLA]]="","",VLOOKUP(Tabela2[[#This Row],[SIGLA]],Tabela1[[#All],[Sigla Arte]:[Crédito]],2,0))</f>
        <v>HELOÍSA PINTARELLI/ARQUIVO DA EDITORA</v>
      </c>
      <c r="Z2041" s="31"/>
      <c r="AA2041" s="31" t="str">
        <f>Tabela2[[#This Row],[ILUSTRADOR CRIAÇÃO]]</f>
        <v>HELOÍSA PINTARELLI/ARQUIVO DA EDITORA</v>
      </c>
      <c r="AB2041" s="33"/>
      <c r="AC2041" s="16"/>
      <c r="AE2041" s="35" t="str">
        <f t="shared" si="33"/>
        <v>EF1 E002 Mat</v>
      </c>
    </row>
    <row r="2042" spans="1:31" ht="45" x14ac:dyDescent="0.25">
      <c r="A2042" s="31" t="s">
        <v>4258</v>
      </c>
      <c r="B2042" s="16" t="s">
        <v>32</v>
      </c>
      <c r="C2042" s="16" t="s">
        <v>164</v>
      </c>
      <c r="D2042" s="33" t="s">
        <v>34</v>
      </c>
      <c r="E2042" s="33">
        <v>253</v>
      </c>
      <c r="F2042" s="33">
        <v>5</v>
      </c>
      <c r="G2042" s="33">
        <v>9</v>
      </c>
      <c r="H2042" s="33"/>
      <c r="I2042" s="31" t="s">
        <v>46</v>
      </c>
      <c r="J2042" s="31"/>
      <c r="K2042" s="33"/>
      <c r="L2042" s="33"/>
      <c r="M2042" s="31"/>
      <c r="N2042" s="31"/>
      <c r="O2042" s="16" t="s">
        <v>4259</v>
      </c>
      <c r="P2042" s="16"/>
      <c r="Q2042" s="16"/>
      <c r="R2042" s="33"/>
      <c r="S2042" s="34"/>
      <c r="T2042" s="34"/>
      <c r="U2042" s="34"/>
      <c r="V2042" s="34"/>
      <c r="W2042" s="34"/>
      <c r="X2042" s="33" t="s">
        <v>1126</v>
      </c>
      <c r="Y2042" s="35" t="str">
        <f>IF(Tabela2[[#This Row],[SIGLA]]="","",VLOOKUP(Tabela2[[#This Row],[SIGLA]],Tabela1[[#All],[Sigla Arte]:[Crédito]],2,0))</f>
        <v>GUSTAVO CONTI/ARQUIVO DA EDITORA</v>
      </c>
      <c r="Z2042" s="31"/>
      <c r="AA2042" s="31" t="str">
        <f>Tabela2[[#This Row],[ILUSTRADOR CRIAÇÃO]]</f>
        <v>GUSTAVO CONTI/ARQUIVO DA EDITORA</v>
      </c>
      <c r="AB2042" s="33"/>
      <c r="AC2042" s="16"/>
      <c r="AE2042" s="35" t="str">
        <f t="shared" si="33"/>
        <v>EF1 E002 Mat</v>
      </c>
    </row>
    <row r="2043" spans="1:31" ht="45" x14ac:dyDescent="0.25">
      <c r="A2043" s="31" t="s">
        <v>4260</v>
      </c>
      <c r="B2043" s="16" t="s">
        <v>32</v>
      </c>
      <c r="C2043" s="16" t="s">
        <v>164</v>
      </c>
      <c r="D2043" s="33" t="s">
        <v>34</v>
      </c>
      <c r="E2043" s="33">
        <v>253</v>
      </c>
      <c r="F2043" s="33">
        <v>5</v>
      </c>
      <c r="G2043" s="33">
        <v>9</v>
      </c>
      <c r="H2043" s="33"/>
      <c r="I2043" s="31" t="s">
        <v>46</v>
      </c>
      <c r="J2043" s="31"/>
      <c r="K2043" s="33"/>
      <c r="L2043" s="33"/>
      <c r="M2043" s="31"/>
      <c r="N2043" s="31"/>
      <c r="O2043" s="16" t="s">
        <v>4261</v>
      </c>
      <c r="P2043" s="16"/>
      <c r="Q2043" s="16"/>
      <c r="R2043" s="33"/>
      <c r="S2043" s="34"/>
      <c r="T2043" s="34"/>
      <c r="U2043" s="34"/>
      <c r="V2043" s="34"/>
      <c r="W2043" s="34"/>
      <c r="X2043" s="33" t="s">
        <v>1126</v>
      </c>
      <c r="Y2043" s="35" t="str">
        <f>IF(Tabela2[[#This Row],[SIGLA]]="","",VLOOKUP(Tabela2[[#This Row],[SIGLA]],Tabela1[[#All],[Sigla Arte]:[Crédito]],2,0))</f>
        <v>GUSTAVO CONTI/ARQUIVO DA EDITORA</v>
      </c>
      <c r="Z2043" s="31"/>
      <c r="AA2043" s="31" t="str">
        <f>Tabela2[[#This Row],[ILUSTRADOR CRIAÇÃO]]</f>
        <v>GUSTAVO CONTI/ARQUIVO DA EDITORA</v>
      </c>
      <c r="AB2043" s="33"/>
      <c r="AC2043" s="16"/>
      <c r="AE2043" s="35" t="str">
        <f t="shared" si="33"/>
        <v>EF1 E002 Mat</v>
      </c>
    </row>
    <row r="2044" spans="1:31" ht="45" x14ac:dyDescent="0.25">
      <c r="A2044" s="31" t="s">
        <v>4262</v>
      </c>
      <c r="B2044" s="16" t="s">
        <v>32</v>
      </c>
      <c r="C2044" s="16" t="s">
        <v>164</v>
      </c>
      <c r="D2044" s="33" t="s">
        <v>34</v>
      </c>
      <c r="E2044" s="33">
        <v>253</v>
      </c>
      <c r="F2044" s="33">
        <v>5</v>
      </c>
      <c r="G2044" s="33">
        <v>9</v>
      </c>
      <c r="H2044" s="33"/>
      <c r="I2044" s="31" t="s">
        <v>46</v>
      </c>
      <c r="J2044" s="31"/>
      <c r="K2044" s="33"/>
      <c r="L2044" s="33"/>
      <c r="M2044" s="31"/>
      <c r="N2044" s="31"/>
      <c r="O2044" s="16" t="s">
        <v>4263</v>
      </c>
      <c r="P2044" s="16"/>
      <c r="Q2044" s="16"/>
      <c r="R2044" s="33"/>
      <c r="S2044" s="34"/>
      <c r="T2044" s="34"/>
      <c r="U2044" s="34"/>
      <c r="V2044" s="34"/>
      <c r="W2044" s="34"/>
      <c r="X2044" s="33" t="s">
        <v>1126</v>
      </c>
      <c r="Y2044" s="35" t="str">
        <f>IF(Tabela2[[#This Row],[SIGLA]]="","",VLOOKUP(Tabela2[[#This Row],[SIGLA]],Tabela1[[#All],[Sigla Arte]:[Crédito]],2,0))</f>
        <v>GUSTAVO CONTI/ARQUIVO DA EDITORA</v>
      </c>
      <c r="Z2044" s="31"/>
      <c r="AA2044" s="31" t="str">
        <f>Tabela2[[#This Row],[ILUSTRADOR CRIAÇÃO]]</f>
        <v>GUSTAVO CONTI/ARQUIVO DA EDITORA</v>
      </c>
      <c r="AB2044" s="33"/>
      <c r="AC2044" s="16"/>
      <c r="AE2044" s="35" t="str">
        <f t="shared" si="33"/>
        <v>EF1 E002 Mat</v>
      </c>
    </row>
    <row r="2045" spans="1:31" ht="45" x14ac:dyDescent="0.25">
      <c r="A2045" s="31" t="s">
        <v>4264</v>
      </c>
      <c r="B2045" s="16" t="s">
        <v>32</v>
      </c>
      <c r="C2045" s="16" t="s">
        <v>164</v>
      </c>
      <c r="D2045" s="33" t="s">
        <v>34</v>
      </c>
      <c r="E2045" s="33">
        <v>253</v>
      </c>
      <c r="F2045" s="33">
        <v>5</v>
      </c>
      <c r="G2045" s="33">
        <v>9</v>
      </c>
      <c r="H2045" s="33"/>
      <c r="I2045" s="31" t="s">
        <v>46</v>
      </c>
      <c r="J2045" s="31"/>
      <c r="K2045" s="33"/>
      <c r="L2045" s="33"/>
      <c r="M2045" s="31"/>
      <c r="N2045" s="31"/>
      <c r="O2045" s="16" t="s">
        <v>4265</v>
      </c>
      <c r="P2045" s="16"/>
      <c r="Q2045" s="16"/>
      <c r="R2045" s="33"/>
      <c r="S2045" s="34"/>
      <c r="T2045" s="34"/>
      <c r="U2045" s="34"/>
      <c r="V2045" s="34"/>
      <c r="W2045" s="34"/>
      <c r="X2045" s="33" t="s">
        <v>1126</v>
      </c>
      <c r="Y2045" s="35" t="str">
        <f>IF(Tabela2[[#This Row],[SIGLA]]="","",VLOOKUP(Tabela2[[#This Row],[SIGLA]],Tabela1[[#All],[Sigla Arte]:[Crédito]],2,0))</f>
        <v>GUSTAVO CONTI/ARQUIVO DA EDITORA</v>
      </c>
      <c r="Z2045" s="31"/>
      <c r="AA2045" s="31" t="str">
        <f>Tabela2[[#This Row],[ILUSTRADOR CRIAÇÃO]]</f>
        <v>GUSTAVO CONTI/ARQUIVO DA EDITORA</v>
      </c>
      <c r="AB2045" s="33"/>
      <c r="AC2045" s="16"/>
      <c r="AE2045" s="35" t="str">
        <f t="shared" si="33"/>
        <v>EF1 E002 Mat</v>
      </c>
    </row>
    <row r="2046" spans="1:31" ht="45" x14ac:dyDescent="0.25">
      <c r="A2046" s="31" t="s">
        <v>4266</v>
      </c>
      <c r="B2046" s="16" t="s">
        <v>32</v>
      </c>
      <c r="C2046" s="16" t="s">
        <v>164</v>
      </c>
      <c r="D2046" s="33" t="s">
        <v>34</v>
      </c>
      <c r="E2046" s="33">
        <v>253</v>
      </c>
      <c r="F2046" s="33">
        <v>5</v>
      </c>
      <c r="G2046" s="33">
        <v>9</v>
      </c>
      <c r="H2046" s="33"/>
      <c r="I2046" s="31" t="s">
        <v>46</v>
      </c>
      <c r="J2046" s="31"/>
      <c r="K2046" s="33"/>
      <c r="L2046" s="33"/>
      <c r="M2046" s="31"/>
      <c r="N2046" s="31"/>
      <c r="O2046" s="16" t="s">
        <v>4267</v>
      </c>
      <c r="P2046" s="16"/>
      <c r="Q2046" s="16"/>
      <c r="R2046" s="33"/>
      <c r="S2046" s="34"/>
      <c r="T2046" s="34"/>
      <c r="U2046" s="34"/>
      <c r="V2046" s="34"/>
      <c r="W2046" s="34"/>
      <c r="X2046" s="33" t="s">
        <v>1126</v>
      </c>
      <c r="Y2046" s="35" t="str">
        <f>IF(Tabela2[[#This Row],[SIGLA]]="","",VLOOKUP(Tabela2[[#This Row],[SIGLA]],Tabela1[[#All],[Sigla Arte]:[Crédito]],2,0))</f>
        <v>GUSTAVO CONTI/ARQUIVO DA EDITORA</v>
      </c>
      <c r="Z2046" s="31"/>
      <c r="AA2046" s="31" t="str">
        <f>Tabela2[[#This Row],[ILUSTRADOR CRIAÇÃO]]</f>
        <v>GUSTAVO CONTI/ARQUIVO DA EDITORA</v>
      </c>
      <c r="AB2046" s="33"/>
      <c r="AC2046" s="16"/>
      <c r="AE2046" s="35" t="str">
        <f t="shared" si="33"/>
        <v>EF1 E002 Mat</v>
      </c>
    </row>
    <row r="2047" spans="1:31" ht="45" x14ac:dyDescent="0.25">
      <c r="A2047" s="31" t="s">
        <v>4268</v>
      </c>
      <c r="B2047" s="16" t="s">
        <v>32</v>
      </c>
      <c r="C2047" s="16" t="s">
        <v>164</v>
      </c>
      <c r="D2047" s="33" t="s">
        <v>34</v>
      </c>
      <c r="E2047" s="33">
        <v>253</v>
      </c>
      <c r="F2047" s="33">
        <v>5</v>
      </c>
      <c r="G2047" s="33">
        <v>9</v>
      </c>
      <c r="H2047" s="33"/>
      <c r="I2047" s="31" t="s">
        <v>46</v>
      </c>
      <c r="J2047" s="31"/>
      <c r="K2047" s="33"/>
      <c r="L2047" s="33"/>
      <c r="M2047" s="31"/>
      <c r="N2047" s="31"/>
      <c r="O2047" s="16" t="s">
        <v>4269</v>
      </c>
      <c r="P2047" s="16"/>
      <c r="Q2047" s="16"/>
      <c r="R2047" s="33"/>
      <c r="S2047" s="34"/>
      <c r="T2047" s="34"/>
      <c r="U2047" s="34"/>
      <c r="V2047" s="34"/>
      <c r="W2047" s="34"/>
      <c r="X2047" s="33" t="s">
        <v>1126</v>
      </c>
      <c r="Y2047" s="35" t="str">
        <f>IF(Tabela2[[#This Row],[SIGLA]]="","",VLOOKUP(Tabela2[[#This Row],[SIGLA]],Tabela1[[#All],[Sigla Arte]:[Crédito]],2,0))</f>
        <v>GUSTAVO CONTI/ARQUIVO DA EDITORA</v>
      </c>
      <c r="Z2047" s="31"/>
      <c r="AA2047" s="31" t="str">
        <f>Tabela2[[#This Row],[ILUSTRADOR CRIAÇÃO]]</f>
        <v>GUSTAVO CONTI/ARQUIVO DA EDITORA</v>
      </c>
      <c r="AB2047" s="33"/>
      <c r="AC2047" s="16"/>
      <c r="AE2047" s="35" t="str">
        <f t="shared" si="33"/>
        <v>EF1 E002 Mat</v>
      </c>
    </row>
    <row r="2048" spans="1:31" ht="30" x14ac:dyDescent="0.25">
      <c r="A2048" s="31" t="s">
        <v>4270</v>
      </c>
      <c r="B2048" s="16" t="s">
        <v>32</v>
      </c>
      <c r="C2048" s="16" t="s">
        <v>164</v>
      </c>
      <c r="D2048" s="33" t="s">
        <v>34</v>
      </c>
      <c r="E2048" s="33">
        <v>254</v>
      </c>
      <c r="F2048" s="33">
        <v>5</v>
      </c>
      <c r="G2048" s="33">
        <v>9</v>
      </c>
      <c r="H2048" s="33"/>
      <c r="I2048" s="31" t="s">
        <v>46</v>
      </c>
      <c r="J2048" s="31"/>
      <c r="K2048" s="33"/>
      <c r="L2048" s="33"/>
      <c r="M2048" s="31"/>
      <c r="N2048" s="31"/>
      <c r="O2048" s="16" t="s">
        <v>4271</v>
      </c>
      <c r="P2048" s="16"/>
      <c r="Q2048" s="16"/>
      <c r="R2048" s="33"/>
      <c r="S2048" s="34"/>
      <c r="T2048" s="34"/>
      <c r="U2048" s="34"/>
      <c r="V2048" s="34"/>
      <c r="W2048" s="34"/>
      <c r="X2048" s="33" t="s">
        <v>1126</v>
      </c>
      <c r="Y2048" s="35" t="str">
        <f>IF(Tabela2[[#This Row],[SIGLA]]="","",VLOOKUP(Tabela2[[#This Row],[SIGLA]],Tabela1[[#All],[Sigla Arte]:[Crédito]],2,0))</f>
        <v>GUSTAVO CONTI/ARQUIVO DA EDITORA</v>
      </c>
      <c r="Z2048" s="31"/>
      <c r="AA2048" s="31" t="str">
        <f>Tabela2[[#This Row],[ILUSTRADOR CRIAÇÃO]]</f>
        <v>GUSTAVO CONTI/ARQUIVO DA EDITORA</v>
      </c>
      <c r="AB2048" s="33"/>
      <c r="AC2048" s="16"/>
      <c r="AE2048" s="35" t="str">
        <f t="shared" si="33"/>
        <v>EF1 E002 Mat</v>
      </c>
    </row>
    <row r="2049" spans="1:31" ht="30" x14ac:dyDescent="0.25">
      <c r="A2049" s="31" t="s">
        <v>4272</v>
      </c>
      <c r="B2049" s="16" t="s">
        <v>32</v>
      </c>
      <c r="C2049" s="16" t="s">
        <v>164</v>
      </c>
      <c r="D2049" s="33" t="s">
        <v>34</v>
      </c>
      <c r="E2049" s="33">
        <v>254</v>
      </c>
      <c r="F2049" s="33">
        <v>5</v>
      </c>
      <c r="G2049" s="33">
        <v>9</v>
      </c>
      <c r="H2049" s="33"/>
      <c r="I2049" s="31" t="s">
        <v>46</v>
      </c>
      <c r="J2049" s="31"/>
      <c r="K2049" s="33"/>
      <c r="L2049" s="33"/>
      <c r="M2049" s="31"/>
      <c r="N2049" s="31"/>
      <c r="O2049" s="16" t="s">
        <v>4273</v>
      </c>
      <c r="P2049" s="16"/>
      <c r="Q2049" s="16"/>
      <c r="R2049" s="33"/>
      <c r="S2049" s="34"/>
      <c r="T2049" s="34"/>
      <c r="U2049" s="34"/>
      <c r="V2049" s="34"/>
      <c r="W2049" s="34"/>
      <c r="X2049" s="33" t="s">
        <v>1126</v>
      </c>
      <c r="Y2049" s="35" t="str">
        <f>IF(Tabela2[[#This Row],[SIGLA]]="","",VLOOKUP(Tabela2[[#This Row],[SIGLA]],Tabela1[[#All],[Sigla Arte]:[Crédito]],2,0))</f>
        <v>GUSTAVO CONTI/ARQUIVO DA EDITORA</v>
      </c>
      <c r="Z2049" s="31"/>
      <c r="AA2049" s="31" t="str">
        <f>Tabela2[[#This Row],[ILUSTRADOR CRIAÇÃO]]</f>
        <v>GUSTAVO CONTI/ARQUIVO DA EDITORA</v>
      </c>
      <c r="AB2049" s="33"/>
      <c r="AC2049" s="16"/>
      <c r="AE2049" s="35" t="str">
        <f t="shared" si="33"/>
        <v>EF1 E002 Mat</v>
      </c>
    </row>
    <row r="2050" spans="1:31" ht="45" x14ac:dyDescent="0.25">
      <c r="A2050" s="31" t="s">
        <v>4274</v>
      </c>
      <c r="B2050" s="16" t="s">
        <v>32</v>
      </c>
      <c r="C2050" s="16" t="s">
        <v>164</v>
      </c>
      <c r="D2050" s="33" t="s">
        <v>34</v>
      </c>
      <c r="E2050" s="33">
        <v>254</v>
      </c>
      <c r="F2050" s="33">
        <v>5</v>
      </c>
      <c r="G2050" s="33">
        <v>9</v>
      </c>
      <c r="H2050" s="33"/>
      <c r="I2050" s="31" t="s">
        <v>46</v>
      </c>
      <c r="J2050" s="31"/>
      <c r="K2050" s="33"/>
      <c r="L2050" s="33"/>
      <c r="M2050" s="31"/>
      <c r="N2050" s="31"/>
      <c r="O2050" s="16" t="s">
        <v>4275</v>
      </c>
      <c r="P2050" s="16"/>
      <c r="Q2050" s="16"/>
      <c r="R2050" s="33"/>
      <c r="S2050" s="34"/>
      <c r="T2050" s="34"/>
      <c r="U2050" s="34"/>
      <c r="V2050" s="34"/>
      <c r="W2050" s="34"/>
      <c r="X2050" s="33" t="s">
        <v>1126</v>
      </c>
      <c r="Y2050" s="35" t="str">
        <f>IF(Tabela2[[#This Row],[SIGLA]]="","",VLOOKUP(Tabela2[[#This Row],[SIGLA]],Tabela1[[#All],[Sigla Arte]:[Crédito]],2,0))</f>
        <v>GUSTAVO CONTI/ARQUIVO DA EDITORA</v>
      </c>
      <c r="Z2050" s="31"/>
      <c r="AA2050" s="31" t="str">
        <f>Tabela2[[#This Row],[ILUSTRADOR CRIAÇÃO]]</f>
        <v>GUSTAVO CONTI/ARQUIVO DA EDITORA</v>
      </c>
      <c r="AB2050" s="33"/>
      <c r="AC2050" s="16"/>
      <c r="AE2050" s="35" t="str">
        <f t="shared" si="33"/>
        <v>EF1 E002 Mat</v>
      </c>
    </row>
    <row r="2051" spans="1:31" ht="30" x14ac:dyDescent="0.25">
      <c r="A2051" s="31" t="s">
        <v>4276</v>
      </c>
      <c r="B2051" s="16" t="s">
        <v>32</v>
      </c>
      <c r="C2051" s="16" t="s">
        <v>164</v>
      </c>
      <c r="D2051" s="33" t="s">
        <v>34</v>
      </c>
      <c r="E2051" s="33">
        <v>254</v>
      </c>
      <c r="F2051" s="33">
        <v>5</v>
      </c>
      <c r="G2051" s="33">
        <v>9</v>
      </c>
      <c r="H2051" s="33"/>
      <c r="I2051" s="31" t="s">
        <v>46</v>
      </c>
      <c r="J2051" s="31"/>
      <c r="K2051" s="33"/>
      <c r="L2051" s="33"/>
      <c r="M2051" s="31"/>
      <c r="N2051" s="31"/>
      <c r="O2051" s="16" t="s">
        <v>4277</v>
      </c>
      <c r="P2051" s="16"/>
      <c r="Q2051" s="16"/>
      <c r="R2051" s="33"/>
      <c r="S2051" s="34"/>
      <c r="T2051" s="34"/>
      <c r="U2051" s="34"/>
      <c r="V2051" s="34"/>
      <c r="W2051" s="34"/>
      <c r="X2051" s="33" t="s">
        <v>1126</v>
      </c>
      <c r="Y2051" s="35" t="str">
        <f>IF(Tabela2[[#This Row],[SIGLA]]="","",VLOOKUP(Tabela2[[#This Row],[SIGLA]],Tabela1[[#All],[Sigla Arte]:[Crédito]],2,0))</f>
        <v>GUSTAVO CONTI/ARQUIVO DA EDITORA</v>
      </c>
      <c r="Z2051" s="31"/>
      <c r="AA2051" s="31" t="str">
        <f>Tabela2[[#This Row],[ILUSTRADOR CRIAÇÃO]]</f>
        <v>GUSTAVO CONTI/ARQUIVO DA EDITORA</v>
      </c>
      <c r="AB2051" s="33"/>
      <c r="AC2051" s="16"/>
      <c r="AE2051" s="35" t="str">
        <f t="shared" si="33"/>
        <v>EF1 E002 Mat</v>
      </c>
    </row>
    <row r="2052" spans="1:31" ht="45" x14ac:dyDescent="0.25">
      <c r="A2052" s="31" t="s">
        <v>4278</v>
      </c>
      <c r="B2052" s="16" t="s">
        <v>32</v>
      </c>
      <c r="C2052" s="16" t="s">
        <v>33</v>
      </c>
      <c r="D2052" s="33" t="s">
        <v>34</v>
      </c>
      <c r="E2052" s="33">
        <v>255</v>
      </c>
      <c r="F2052" s="33">
        <v>5</v>
      </c>
      <c r="G2052" s="33">
        <v>9</v>
      </c>
      <c r="H2052" s="33"/>
      <c r="I2052" s="31" t="s">
        <v>46</v>
      </c>
      <c r="J2052" s="31"/>
      <c r="K2052" s="33"/>
      <c r="L2052" s="33"/>
      <c r="M2052" s="31"/>
      <c r="N2052" s="31"/>
      <c r="O2052" s="16" t="s">
        <v>4279</v>
      </c>
      <c r="P2052" s="16"/>
      <c r="Q2052" s="16"/>
      <c r="R2052" s="33"/>
      <c r="S2052" s="34"/>
      <c r="T2052" s="34"/>
      <c r="U2052" s="34"/>
      <c r="V2052" s="34"/>
      <c r="W2052" s="34"/>
      <c r="X2052" s="33" t="s">
        <v>48</v>
      </c>
      <c r="Y2052" s="35" t="str">
        <f>IF(Tabela2[[#This Row],[SIGLA]]="","",VLOOKUP(Tabela2[[#This Row],[SIGLA]],Tabela1[[#All],[Sigla Arte]:[Crédito]],2,0))</f>
        <v>SERGIO LIMA/ARQUIVO DA EDITORA</v>
      </c>
      <c r="Z2052" s="31"/>
      <c r="AA2052" s="31" t="str">
        <f>Tabela2[[#This Row],[ILUSTRADOR CRIAÇÃO]]</f>
        <v>SERGIO LIMA/ARQUIVO DA EDITORA</v>
      </c>
      <c r="AB2052" s="33"/>
      <c r="AC2052" s="16"/>
      <c r="AE2052" s="35" t="str">
        <f t="shared" si="33"/>
        <v>EF1 E002 Mat</v>
      </c>
    </row>
    <row r="2053" spans="1:31" ht="60" x14ac:dyDescent="0.25">
      <c r="A2053" s="31" t="s">
        <v>4280</v>
      </c>
      <c r="B2053" s="16" t="s">
        <v>32</v>
      </c>
      <c r="C2053" s="16" t="s">
        <v>164</v>
      </c>
      <c r="D2053" s="33" t="s">
        <v>34</v>
      </c>
      <c r="E2053" s="33">
        <v>255</v>
      </c>
      <c r="F2053" s="33">
        <v>5</v>
      </c>
      <c r="G2053" s="33">
        <v>9</v>
      </c>
      <c r="H2053" s="33"/>
      <c r="I2053" s="31" t="s">
        <v>46</v>
      </c>
      <c r="J2053" s="31"/>
      <c r="K2053" s="33"/>
      <c r="L2053" s="33"/>
      <c r="M2053" s="31"/>
      <c r="N2053" s="31"/>
      <c r="O2053" s="16" t="s">
        <v>4281</v>
      </c>
      <c r="P2053" s="16"/>
      <c r="Q2053" s="16"/>
      <c r="R2053" s="33"/>
      <c r="S2053" s="34"/>
      <c r="T2053" s="34"/>
      <c r="U2053" s="34"/>
      <c r="V2053" s="34"/>
      <c r="W2053" s="34"/>
      <c r="X2053" s="33" t="s">
        <v>1126</v>
      </c>
      <c r="Y2053" s="35" t="str">
        <f>IF(Tabela2[[#This Row],[SIGLA]]="","",VLOOKUP(Tabela2[[#This Row],[SIGLA]],Tabela1[[#All],[Sigla Arte]:[Crédito]],2,0))</f>
        <v>GUSTAVO CONTI/ARQUIVO DA EDITORA</v>
      </c>
      <c r="Z2053" s="31"/>
      <c r="AA2053" s="31" t="str">
        <f>Tabela2[[#This Row],[ILUSTRADOR CRIAÇÃO]]</f>
        <v>GUSTAVO CONTI/ARQUIVO DA EDITORA</v>
      </c>
      <c r="AB2053" s="33"/>
      <c r="AC2053" s="16"/>
      <c r="AE2053" s="35" t="str">
        <f t="shared" si="33"/>
        <v>EF1 E002 Mat</v>
      </c>
    </row>
    <row r="2054" spans="1:31" ht="60" x14ac:dyDescent="0.25">
      <c r="A2054" s="31" t="s">
        <v>4282</v>
      </c>
      <c r="B2054" s="16" t="s">
        <v>32</v>
      </c>
      <c r="C2054" s="16" t="s">
        <v>164</v>
      </c>
      <c r="D2054" s="33" t="s">
        <v>34</v>
      </c>
      <c r="E2054" s="33">
        <v>255</v>
      </c>
      <c r="F2054" s="33">
        <v>5</v>
      </c>
      <c r="G2054" s="33">
        <v>9</v>
      </c>
      <c r="H2054" s="33"/>
      <c r="I2054" s="31" t="s">
        <v>46</v>
      </c>
      <c r="J2054" s="31"/>
      <c r="K2054" s="33"/>
      <c r="L2054" s="33"/>
      <c r="M2054" s="31"/>
      <c r="N2054" s="31"/>
      <c r="O2054" s="16" t="s">
        <v>4283</v>
      </c>
      <c r="P2054" s="16"/>
      <c r="Q2054" s="16"/>
      <c r="R2054" s="33"/>
      <c r="S2054" s="34"/>
      <c r="T2054" s="34"/>
      <c r="U2054" s="34"/>
      <c r="V2054" s="34"/>
      <c r="W2054" s="34"/>
      <c r="X2054" s="33" t="s">
        <v>1126</v>
      </c>
      <c r="Y2054" s="35" t="str">
        <f>IF(Tabela2[[#This Row],[SIGLA]]="","",VLOOKUP(Tabela2[[#This Row],[SIGLA]],Tabela1[[#All],[Sigla Arte]:[Crédito]],2,0))</f>
        <v>GUSTAVO CONTI/ARQUIVO DA EDITORA</v>
      </c>
      <c r="Z2054" s="31"/>
      <c r="AA2054" s="31" t="str">
        <f>Tabela2[[#This Row],[ILUSTRADOR CRIAÇÃO]]</f>
        <v>GUSTAVO CONTI/ARQUIVO DA EDITORA</v>
      </c>
      <c r="AB2054" s="33"/>
      <c r="AC2054" s="16"/>
      <c r="AE2054" s="35" t="str">
        <f t="shared" si="33"/>
        <v>EF1 E002 Mat</v>
      </c>
    </row>
    <row r="2055" spans="1:31" ht="45" x14ac:dyDescent="0.25">
      <c r="A2055" s="31" t="s">
        <v>4284</v>
      </c>
      <c r="B2055" s="16" t="s">
        <v>32</v>
      </c>
      <c r="C2055" s="16" t="s">
        <v>33</v>
      </c>
      <c r="D2055" s="33" t="s">
        <v>34</v>
      </c>
      <c r="E2055" s="33">
        <v>252</v>
      </c>
      <c r="F2055" s="33">
        <v>5</v>
      </c>
      <c r="G2055" s="33">
        <v>12</v>
      </c>
      <c r="H2055" s="33"/>
      <c r="I2055" s="31" t="s">
        <v>46</v>
      </c>
      <c r="J2055" s="31"/>
      <c r="K2055" s="33"/>
      <c r="L2055" s="33"/>
      <c r="M2055" s="31"/>
      <c r="N2055" s="31"/>
      <c r="O2055" s="16" t="s">
        <v>4285</v>
      </c>
      <c r="P2055" s="16"/>
      <c r="Q2055" s="16"/>
      <c r="R2055" s="33"/>
      <c r="S2055" s="34"/>
      <c r="T2055" s="34"/>
      <c r="U2055" s="34"/>
      <c r="V2055" s="34"/>
      <c r="W2055" s="34"/>
      <c r="X2055" s="33" t="s">
        <v>3584</v>
      </c>
      <c r="Y2055" s="35" t="str">
        <f>IF(Tabela2[[#This Row],[SIGLA]]="","",VLOOKUP(Tabela2[[#This Row],[SIGLA]],Tabela1[[#All],[Sigla Arte]:[Crédito]],2,0))</f>
        <v>FERNANDA PARDINI BIAGIO/ARQUIVO DA EDITORA</v>
      </c>
      <c r="Z2055" s="31"/>
      <c r="AA2055" s="31" t="str">
        <f>Tabela2[[#This Row],[ILUSTRADOR CRIAÇÃO]]</f>
        <v>FERNANDA PARDINI BIAGIO/ARQUIVO DA EDITORA</v>
      </c>
      <c r="AB2055" s="33"/>
      <c r="AC2055" s="16"/>
      <c r="AE2055" s="35" t="str">
        <f t="shared" si="33"/>
        <v>EF1 E002 Mat</v>
      </c>
    </row>
    <row r="2056" spans="1:31" ht="45" x14ac:dyDescent="0.25">
      <c r="A2056" s="31" t="s">
        <v>4286</v>
      </c>
      <c r="B2056" s="16" t="s">
        <v>32</v>
      </c>
      <c r="C2056" s="16" t="s">
        <v>33</v>
      </c>
      <c r="D2056" s="33" t="s">
        <v>34</v>
      </c>
      <c r="E2056" s="33">
        <v>252</v>
      </c>
      <c r="F2056" s="33">
        <v>5</v>
      </c>
      <c r="G2056" s="33">
        <v>12</v>
      </c>
      <c r="H2056" s="33"/>
      <c r="I2056" s="31" t="s">
        <v>46</v>
      </c>
      <c r="J2056" s="31"/>
      <c r="K2056" s="33"/>
      <c r="L2056" s="33"/>
      <c r="M2056" s="31"/>
      <c r="N2056" s="31"/>
      <c r="O2056" s="16" t="s">
        <v>4287</v>
      </c>
      <c r="P2056" s="16"/>
      <c r="Q2056" s="16"/>
      <c r="R2056" s="33"/>
      <c r="S2056" s="34"/>
      <c r="T2056" s="34"/>
      <c r="U2056" s="34"/>
      <c r="V2056" s="34"/>
      <c r="W2056" s="34"/>
      <c r="X2056" s="33" t="s">
        <v>3584</v>
      </c>
      <c r="Y2056" s="35" t="str">
        <f>IF(Tabela2[[#This Row],[SIGLA]]="","",VLOOKUP(Tabela2[[#This Row],[SIGLA]],Tabela1[[#All],[Sigla Arte]:[Crédito]],2,0))</f>
        <v>FERNANDA PARDINI BIAGIO/ARQUIVO DA EDITORA</v>
      </c>
      <c r="Z2056" s="31"/>
      <c r="AA2056" s="31" t="str">
        <f>Tabela2[[#This Row],[ILUSTRADOR CRIAÇÃO]]</f>
        <v>FERNANDA PARDINI BIAGIO/ARQUIVO DA EDITORA</v>
      </c>
      <c r="AB2056" s="33"/>
      <c r="AC2056" s="16"/>
      <c r="AE2056" s="35" t="str">
        <f t="shared" si="33"/>
        <v>EF1 E002 Mat</v>
      </c>
    </row>
    <row r="2057" spans="1:31" ht="45" x14ac:dyDescent="0.25">
      <c r="A2057" s="31" t="s">
        <v>4288</v>
      </c>
      <c r="B2057" s="16" t="s">
        <v>32</v>
      </c>
      <c r="C2057" s="16" t="s">
        <v>33</v>
      </c>
      <c r="D2057" s="33" t="s">
        <v>34</v>
      </c>
      <c r="E2057" s="33">
        <v>252</v>
      </c>
      <c r="F2057" s="33">
        <v>5</v>
      </c>
      <c r="G2057" s="33">
        <v>12</v>
      </c>
      <c r="H2057" s="33"/>
      <c r="I2057" s="31" t="s">
        <v>46</v>
      </c>
      <c r="J2057" s="31"/>
      <c r="K2057" s="33"/>
      <c r="L2057" s="33"/>
      <c r="M2057" s="31"/>
      <c r="N2057" s="31"/>
      <c r="O2057" s="16" t="s">
        <v>4289</v>
      </c>
      <c r="P2057" s="16"/>
      <c r="Q2057" s="16"/>
      <c r="R2057" s="33"/>
      <c r="S2057" s="34"/>
      <c r="T2057" s="34"/>
      <c r="U2057" s="34"/>
      <c r="V2057" s="34"/>
      <c r="W2057" s="34"/>
      <c r="X2057" s="33" t="s">
        <v>3584</v>
      </c>
      <c r="Y2057" s="35" t="str">
        <f>IF(Tabela2[[#This Row],[SIGLA]]="","",VLOOKUP(Tabela2[[#This Row],[SIGLA]],Tabela1[[#All],[Sigla Arte]:[Crédito]],2,0))</f>
        <v>FERNANDA PARDINI BIAGIO/ARQUIVO DA EDITORA</v>
      </c>
      <c r="Z2057" s="31"/>
      <c r="AA2057" s="31" t="str">
        <f>Tabela2[[#This Row],[ILUSTRADOR CRIAÇÃO]]</f>
        <v>FERNANDA PARDINI BIAGIO/ARQUIVO DA EDITORA</v>
      </c>
      <c r="AB2057" s="33"/>
      <c r="AC2057" s="16"/>
      <c r="AE2057" s="35" t="str">
        <f t="shared" si="33"/>
        <v>EF1 E002 Mat</v>
      </c>
    </row>
    <row r="2058" spans="1:31" ht="45" x14ac:dyDescent="0.25">
      <c r="A2058" s="31" t="s">
        <v>4290</v>
      </c>
      <c r="B2058" s="16" t="s">
        <v>32</v>
      </c>
      <c r="C2058" s="16" t="s">
        <v>33</v>
      </c>
      <c r="D2058" s="33" t="s">
        <v>34</v>
      </c>
      <c r="E2058" s="33">
        <v>252</v>
      </c>
      <c r="F2058" s="33">
        <v>5</v>
      </c>
      <c r="G2058" s="33">
        <v>12</v>
      </c>
      <c r="H2058" s="33"/>
      <c r="I2058" s="31" t="s">
        <v>46</v>
      </c>
      <c r="J2058" s="31"/>
      <c r="K2058" s="33"/>
      <c r="L2058" s="33"/>
      <c r="M2058" s="31"/>
      <c r="N2058" s="31"/>
      <c r="O2058" s="16" t="s">
        <v>4291</v>
      </c>
      <c r="P2058" s="16"/>
      <c r="Q2058" s="16"/>
      <c r="R2058" s="33"/>
      <c r="S2058" s="34"/>
      <c r="T2058" s="34"/>
      <c r="U2058" s="34"/>
      <c r="V2058" s="34"/>
      <c r="W2058" s="34"/>
      <c r="X2058" s="33" t="s">
        <v>3584</v>
      </c>
      <c r="Y2058" s="35" t="str">
        <f>IF(Tabela2[[#This Row],[SIGLA]]="","",VLOOKUP(Tabela2[[#This Row],[SIGLA]],Tabela1[[#All],[Sigla Arte]:[Crédito]],2,0))</f>
        <v>FERNANDA PARDINI BIAGIO/ARQUIVO DA EDITORA</v>
      </c>
      <c r="Z2058" s="31"/>
      <c r="AA2058" s="31" t="str">
        <f>Tabela2[[#This Row],[ILUSTRADOR CRIAÇÃO]]</f>
        <v>FERNANDA PARDINI BIAGIO/ARQUIVO DA EDITORA</v>
      </c>
      <c r="AB2058" s="33"/>
      <c r="AC2058" s="16"/>
      <c r="AE2058" s="35" t="str">
        <f t="shared" si="33"/>
        <v>EF1 E002 Mat</v>
      </c>
    </row>
    <row r="2059" spans="1:31" ht="45" x14ac:dyDescent="0.25">
      <c r="A2059" s="31" t="s">
        <v>4292</v>
      </c>
      <c r="B2059" s="16" t="s">
        <v>32</v>
      </c>
      <c r="C2059" s="16" t="s">
        <v>164</v>
      </c>
      <c r="D2059" s="33" t="s">
        <v>34</v>
      </c>
      <c r="E2059" s="33">
        <v>252</v>
      </c>
      <c r="F2059" s="33">
        <v>5</v>
      </c>
      <c r="G2059" s="33">
        <v>12</v>
      </c>
      <c r="H2059" s="33"/>
      <c r="I2059" s="31" t="s">
        <v>46</v>
      </c>
      <c r="J2059" s="31"/>
      <c r="K2059" s="33"/>
      <c r="L2059" s="33"/>
      <c r="M2059" s="31"/>
      <c r="N2059" s="31"/>
      <c r="O2059" s="16" t="s">
        <v>4293</v>
      </c>
      <c r="P2059" s="16"/>
      <c r="Q2059" s="16"/>
      <c r="R2059" s="33"/>
      <c r="S2059" s="34"/>
      <c r="T2059" s="34"/>
      <c r="U2059" s="34"/>
      <c r="V2059" s="34"/>
      <c r="W2059" s="34"/>
      <c r="X2059" s="33" t="s">
        <v>3584</v>
      </c>
      <c r="Y2059" s="35" t="str">
        <f>IF(Tabela2[[#This Row],[SIGLA]]="","",VLOOKUP(Tabela2[[#This Row],[SIGLA]],Tabela1[[#All],[Sigla Arte]:[Crédito]],2,0))</f>
        <v>FERNANDA PARDINI BIAGIO/ARQUIVO DA EDITORA</v>
      </c>
      <c r="Z2059" s="31"/>
      <c r="AA2059" s="31" t="str">
        <f>Tabela2[[#This Row],[ILUSTRADOR CRIAÇÃO]]</f>
        <v>FERNANDA PARDINI BIAGIO/ARQUIVO DA EDITORA</v>
      </c>
      <c r="AB2059" s="33"/>
      <c r="AC2059" s="16"/>
      <c r="AE2059" s="35" t="str">
        <f t="shared" si="33"/>
        <v>EF1 E002 Mat</v>
      </c>
    </row>
    <row r="2060" spans="1:31" ht="45" x14ac:dyDescent="0.25">
      <c r="A2060" s="31" t="s">
        <v>4294</v>
      </c>
      <c r="B2060" s="16" t="s">
        <v>32</v>
      </c>
      <c r="C2060" s="16" t="s">
        <v>164</v>
      </c>
      <c r="D2060" s="33" t="s">
        <v>34</v>
      </c>
      <c r="E2060" s="33">
        <v>253</v>
      </c>
      <c r="F2060" s="33">
        <v>5</v>
      </c>
      <c r="G2060" s="33">
        <v>12</v>
      </c>
      <c r="H2060" s="33"/>
      <c r="I2060" s="31" t="s">
        <v>46</v>
      </c>
      <c r="J2060" s="31"/>
      <c r="K2060" s="33"/>
      <c r="L2060" s="33"/>
      <c r="M2060" s="31"/>
      <c r="N2060" s="31"/>
      <c r="O2060" s="16" t="s">
        <v>4295</v>
      </c>
      <c r="P2060" s="16"/>
      <c r="Q2060" s="16"/>
      <c r="R2060" s="33"/>
      <c r="S2060" s="34"/>
      <c r="T2060" s="34"/>
      <c r="U2060" s="34"/>
      <c r="V2060" s="34"/>
      <c r="W2060" s="34"/>
      <c r="X2060" s="33" t="s">
        <v>184</v>
      </c>
      <c r="Y2060" s="35" t="str">
        <f>IF(Tabela2[[#This Row],[SIGLA]]="","",VLOOKUP(Tabela2[[#This Row],[SIGLA]],Tabela1[[#All],[Sigla Arte]:[Crédito]],2,0))</f>
        <v>VER DOCUMENTO DE ILS. TÉCNICAS</v>
      </c>
      <c r="Z2060" s="31"/>
      <c r="AA2060" s="31" t="s">
        <v>3112</v>
      </c>
      <c r="AB2060" s="33"/>
      <c r="AC2060" s="16"/>
      <c r="AE2060" s="35" t="str">
        <f t="shared" si="33"/>
        <v>EF1 E002 Mat</v>
      </c>
    </row>
    <row r="2061" spans="1:31" ht="45" x14ac:dyDescent="0.25">
      <c r="A2061" s="31" t="s">
        <v>4296</v>
      </c>
      <c r="B2061" s="16" t="s">
        <v>32</v>
      </c>
      <c r="C2061" s="16" t="s">
        <v>164</v>
      </c>
      <c r="D2061" s="33" t="s">
        <v>34</v>
      </c>
      <c r="E2061" s="33">
        <v>253</v>
      </c>
      <c r="F2061" s="33">
        <v>5</v>
      </c>
      <c r="G2061" s="33">
        <v>12</v>
      </c>
      <c r="H2061" s="33"/>
      <c r="I2061" s="31" t="s">
        <v>46</v>
      </c>
      <c r="J2061" s="31"/>
      <c r="K2061" s="33"/>
      <c r="L2061" s="33"/>
      <c r="M2061" s="31"/>
      <c r="N2061" s="31"/>
      <c r="O2061" s="16" t="s">
        <v>4297</v>
      </c>
      <c r="P2061" s="16"/>
      <c r="Q2061" s="16"/>
      <c r="R2061" s="33"/>
      <c r="S2061" s="34"/>
      <c r="T2061" s="34"/>
      <c r="U2061" s="34"/>
      <c r="V2061" s="34"/>
      <c r="W2061" s="34"/>
      <c r="X2061" s="33" t="s">
        <v>184</v>
      </c>
      <c r="Y2061" s="35" t="str">
        <f>IF(Tabela2[[#This Row],[SIGLA]]="","",VLOOKUP(Tabela2[[#This Row],[SIGLA]],Tabela1[[#All],[Sigla Arte]:[Crédito]],2,0))</f>
        <v>VER DOCUMENTO DE ILS. TÉCNICAS</v>
      </c>
      <c r="Z2061" s="31"/>
      <c r="AA2061" s="31" t="s">
        <v>3112</v>
      </c>
      <c r="AB2061" s="33"/>
      <c r="AC2061" s="16"/>
      <c r="AE2061" s="35" t="str">
        <f t="shared" si="33"/>
        <v>EF1 E002 Mat</v>
      </c>
    </row>
    <row r="2062" spans="1:31" ht="45" x14ac:dyDescent="0.25">
      <c r="A2062" s="31" t="s">
        <v>4298</v>
      </c>
      <c r="B2062" s="16" t="s">
        <v>32</v>
      </c>
      <c r="C2062" s="16" t="s">
        <v>164</v>
      </c>
      <c r="D2062" s="33" t="s">
        <v>34</v>
      </c>
      <c r="E2062" s="33">
        <v>254</v>
      </c>
      <c r="F2062" s="33">
        <v>5</v>
      </c>
      <c r="G2062" s="33">
        <v>12</v>
      </c>
      <c r="H2062" s="33"/>
      <c r="I2062" s="31" t="s">
        <v>46</v>
      </c>
      <c r="J2062" s="31"/>
      <c r="K2062" s="33"/>
      <c r="L2062" s="33"/>
      <c r="M2062" s="31"/>
      <c r="N2062" s="31"/>
      <c r="O2062" s="16" t="s">
        <v>4299</v>
      </c>
      <c r="P2062" s="16"/>
      <c r="Q2062" s="16"/>
      <c r="R2062" s="33"/>
      <c r="S2062" s="34"/>
      <c r="T2062" s="34"/>
      <c r="U2062" s="34"/>
      <c r="V2062" s="34"/>
      <c r="W2062" s="34"/>
      <c r="X2062" s="33" t="s">
        <v>184</v>
      </c>
      <c r="Y2062" s="35" t="str">
        <f>IF(Tabela2[[#This Row],[SIGLA]]="","",VLOOKUP(Tabela2[[#This Row],[SIGLA]],Tabela1[[#All],[Sigla Arte]:[Crédito]],2,0))</f>
        <v>VER DOCUMENTO DE ILS. TÉCNICAS</v>
      </c>
      <c r="Z2062" s="31"/>
      <c r="AA2062" s="31" t="s">
        <v>3112</v>
      </c>
      <c r="AB2062" s="33"/>
      <c r="AC2062" s="16"/>
      <c r="AE2062" s="35" t="str">
        <f t="shared" si="33"/>
        <v>EF1 E002 Mat</v>
      </c>
    </row>
    <row r="2063" spans="1:31" ht="45" x14ac:dyDescent="0.25">
      <c r="A2063" s="31" t="s">
        <v>4300</v>
      </c>
      <c r="B2063" s="16" t="s">
        <v>32</v>
      </c>
      <c r="C2063" s="16" t="s">
        <v>164</v>
      </c>
      <c r="D2063" s="33" t="s">
        <v>34</v>
      </c>
      <c r="E2063" s="33">
        <v>254</v>
      </c>
      <c r="F2063" s="33">
        <v>5</v>
      </c>
      <c r="G2063" s="33">
        <v>12</v>
      </c>
      <c r="H2063" s="33"/>
      <c r="I2063" s="31" t="s">
        <v>46</v>
      </c>
      <c r="J2063" s="31"/>
      <c r="K2063" s="33"/>
      <c r="L2063" s="33"/>
      <c r="M2063" s="31"/>
      <c r="N2063" s="31"/>
      <c r="O2063" s="16" t="s">
        <v>4301</v>
      </c>
      <c r="P2063" s="16"/>
      <c r="Q2063" s="16"/>
      <c r="R2063" s="33"/>
      <c r="S2063" s="34"/>
      <c r="T2063" s="34"/>
      <c r="U2063" s="34"/>
      <c r="V2063" s="34"/>
      <c r="W2063" s="34"/>
      <c r="X2063" s="33" t="s">
        <v>184</v>
      </c>
      <c r="Y2063" s="35" t="str">
        <f>IF(Tabela2[[#This Row],[SIGLA]]="","",VLOOKUP(Tabela2[[#This Row],[SIGLA]],Tabela1[[#All],[Sigla Arte]:[Crédito]],2,0))</f>
        <v>VER DOCUMENTO DE ILS. TÉCNICAS</v>
      </c>
      <c r="Z2063" s="31"/>
      <c r="AA2063" s="31" t="s">
        <v>3112</v>
      </c>
      <c r="AB2063" s="33"/>
      <c r="AC2063" s="16"/>
      <c r="AE2063" s="35" t="str">
        <f t="shared" si="33"/>
        <v>EF1 E002 Mat</v>
      </c>
    </row>
    <row r="2064" spans="1:31" ht="45" x14ac:dyDescent="0.25">
      <c r="A2064" s="31" t="s">
        <v>4302</v>
      </c>
      <c r="B2064" s="16" t="s">
        <v>32</v>
      </c>
      <c r="C2064" s="16" t="s">
        <v>164</v>
      </c>
      <c r="D2064" s="33" t="s">
        <v>34</v>
      </c>
      <c r="E2064" s="33">
        <v>254</v>
      </c>
      <c r="F2064" s="33">
        <v>5</v>
      </c>
      <c r="G2064" s="33">
        <v>12</v>
      </c>
      <c r="H2064" s="33"/>
      <c r="I2064" s="31" t="s">
        <v>46</v>
      </c>
      <c r="J2064" s="31"/>
      <c r="K2064" s="33"/>
      <c r="L2064" s="33"/>
      <c r="M2064" s="31"/>
      <c r="N2064" s="31"/>
      <c r="O2064" s="16" t="s">
        <v>4303</v>
      </c>
      <c r="P2064" s="16"/>
      <c r="Q2064" s="16"/>
      <c r="R2064" s="33"/>
      <c r="S2064" s="34"/>
      <c r="T2064" s="34"/>
      <c r="U2064" s="34"/>
      <c r="V2064" s="34"/>
      <c r="W2064" s="34"/>
      <c r="X2064" s="33" t="s">
        <v>184</v>
      </c>
      <c r="Y2064" s="35" t="str">
        <f>IF(Tabela2[[#This Row],[SIGLA]]="","",VLOOKUP(Tabela2[[#This Row],[SIGLA]],Tabela1[[#All],[Sigla Arte]:[Crédito]],2,0))</f>
        <v>VER DOCUMENTO DE ILS. TÉCNICAS</v>
      </c>
      <c r="Z2064" s="31"/>
      <c r="AA2064" s="31" t="s">
        <v>3112</v>
      </c>
      <c r="AB2064" s="33"/>
      <c r="AC2064" s="16"/>
      <c r="AE2064" s="35" t="str">
        <f t="shared" si="33"/>
        <v>EF1 E002 Mat</v>
      </c>
    </row>
    <row r="2065" spans="1:31" ht="45" x14ac:dyDescent="0.25">
      <c r="A2065" s="31" t="s">
        <v>4304</v>
      </c>
      <c r="B2065" s="16" t="s">
        <v>32</v>
      </c>
      <c r="C2065" s="16" t="s">
        <v>164</v>
      </c>
      <c r="D2065" s="33" t="s">
        <v>34</v>
      </c>
      <c r="E2065" s="33">
        <v>254</v>
      </c>
      <c r="F2065" s="33">
        <v>5</v>
      </c>
      <c r="G2065" s="33">
        <v>12</v>
      </c>
      <c r="H2065" s="33"/>
      <c r="I2065" s="31" t="s">
        <v>46</v>
      </c>
      <c r="J2065" s="31"/>
      <c r="K2065" s="33"/>
      <c r="L2065" s="33"/>
      <c r="M2065" s="31"/>
      <c r="N2065" s="31"/>
      <c r="O2065" s="16" t="s">
        <v>4305</v>
      </c>
      <c r="P2065" s="16"/>
      <c r="Q2065" s="16"/>
      <c r="R2065" s="33"/>
      <c r="S2065" s="34"/>
      <c r="T2065" s="34"/>
      <c r="U2065" s="34"/>
      <c r="V2065" s="34"/>
      <c r="W2065" s="34"/>
      <c r="X2065" s="33" t="s">
        <v>184</v>
      </c>
      <c r="Y2065" s="35" t="str">
        <f>IF(Tabela2[[#This Row],[SIGLA]]="","",VLOOKUP(Tabela2[[#This Row],[SIGLA]],Tabela1[[#All],[Sigla Arte]:[Crédito]],2,0))</f>
        <v>VER DOCUMENTO DE ILS. TÉCNICAS</v>
      </c>
      <c r="Z2065" s="31"/>
      <c r="AA2065" s="31" t="s">
        <v>3112</v>
      </c>
      <c r="AB2065" s="33"/>
      <c r="AC2065" s="16"/>
      <c r="AE2065" s="35" t="str">
        <f t="shared" si="33"/>
        <v>EF1 E002 Mat</v>
      </c>
    </row>
    <row r="2066" spans="1:31" ht="75" x14ac:dyDescent="0.25">
      <c r="A2066" s="31" t="s">
        <v>4306</v>
      </c>
      <c r="B2066" s="16" t="s">
        <v>32</v>
      </c>
      <c r="C2066" s="16" t="s">
        <v>164</v>
      </c>
      <c r="D2066" s="33" t="s">
        <v>34</v>
      </c>
      <c r="E2066" s="33">
        <v>255</v>
      </c>
      <c r="F2066" s="33">
        <v>5</v>
      </c>
      <c r="G2066" s="33">
        <v>12</v>
      </c>
      <c r="H2066" s="33"/>
      <c r="I2066" s="31" t="s">
        <v>35</v>
      </c>
      <c r="J2066" s="31"/>
      <c r="K2066" s="33"/>
      <c r="L2066" s="33"/>
      <c r="M2066" s="31"/>
      <c r="N2066" s="31"/>
      <c r="O2066" s="16" t="s">
        <v>4307</v>
      </c>
      <c r="P2066" s="16"/>
      <c r="Q2066" s="16"/>
      <c r="R2066" s="33">
        <v>56</v>
      </c>
      <c r="S2066" s="34">
        <v>45818</v>
      </c>
      <c r="T2066" s="34">
        <v>45820</v>
      </c>
      <c r="U2066" s="34"/>
      <c r="V2066" s="34"/>
      <c r="W2066" s="34">
        <v>45820</v>
      </c>
      <c r="X2066" s="33" t="s">
        <v>184</v>
      </c>
      <c r="Y2066" s="35" t="str">
        <f>IF(Tabela2[[#This Row],[SIGLA]]="","",VLOOKUP(Tabela2[[#This Row],[SIGLA]],Tabela1[[#All],[Sigla Arte]:[Crédito]],2,0))</f>
        <v>VER DOCUMENTO DE ILS. TÉCNICAS</v>
      </c>
      <c r="Z2066" s="31" t="s">
        <v>1226</v>
      </c>
      <c r="AA2066" s="31" t="s">
        <v>3112</v>
      </c>
      <c r="AB2066" s="33">
        <v>13</v>
      </c>
      <c r="AC2066" s="16" t="s">
        <v>44</v>
      </c>
      <c r="AD2066" s="16" t="s">
        <v>40</v>
      </c>
      <c r="AE2066" s="35" t="str">
        <f t="shared" si="33"/>
        <v>EF1 E002 Mat</v>
      </c>
    </row>
    <row r="2067" spans="1:31" ht="45" x14ac:dyDescent="0.25">
      <c r="A2067" s="31" t="s">
        <v>4308</v>
      </c>
      <c r="B2067" s="16" t="s">
        <v>32</v>
      </c>
      <c r="C2067" s="16" t="s">
        <v>33</v>
      </c>
      <c r="D2067" s="33" t="s">
        <v>34</v>
      </c>
      <c r="E2067" s="33">
        <v>258</v>
      </c>
      <c r="F2067" s="33">
        <v>5</v>
      </c>
      <c r="G2067" s="33">
        <v>12</v>
      </c>
      <c r="H2067" s="33"/>
      <c r="I2067" s="31" t="s">
        <v>46</v>
      </c>
      <c r="J2067" s="31"/>
      <c r="K2067" s="33"/>
      <c r="L2067" s="33"/>
      <c r="M2067" s="31"/>
      <c r="N2067" s="31"/>
      <c r="O2067" s="16" t="s">
        <v>4309</v>
      </c>
      <c r="P2067" s="16"/>
      <c r="Q2067" s="16"/>
      <c r="R2067" s="33"/>
      <c r="S2067" s="34"/>
      <c r="T2067" s="34"/>
      <c r="U2067" s="34"/>
      <c r="V2067" s="34"/>
      <c r="W2067" s="34"/>
      <c r="X2067" s="33" t="s">
        <v>184</v>
      </c>
      <c r="Y2067" s="35" t="str">
        <f>IF(Tabela2[[#This Row],[SIGLA]]="","",VLOOKUP(Tabela2[[#This Row],[SIGLA]],Tabela1[[#All],[Sigla Arte]:[Crédito]],2,0))</f>
        <v>VER DOCUMENTO DE ILS. TÉCNICAS</v>
      </c>
      <c r="Z2067" s="31"/>
      <c r="AA2067" s="31" t="s">
        <v>191</v>
      </c>
      <c r="AB2067" s="33"/>
      <c r="AC2067" s="16"/>
      <c r="AE2067" s="35" t="str">
        <f t="shared" si="33"/>
        <v>EF1 E002 Mat</v>
      </c>
    </row>
    <row r="2068" spans="1:31" ht="60" x14ac:dyDescent="0.25">
      <c r="A2068" s="31" t="s">
        <v>4310</v>
      </c>
      <c r="B2068" s="16" t="s">
        <v>401</v>
      </c>
      <c r="C2068" s="16" t="s">
        <v>33</v>
      </c>
      <c r="D2068" s="33" t="s">
        <v>34</v>
      </c>
      <c r="E2068" s="33">
        <v>180</v>
      </c>
      <c r="F2068" s="33">
        <v>5</v>
      </c>
      <c r="G2068" s="33">
        <v>12</v>
      </c>
      <c r="H2068" s="33"/>
      <c r="I2068" s="31" t="s">
        <v>46</v>
      </c>
      <c r="J2068" s="31"/>
      <c r="K2068" s="33"/>
      <c r="L2068" s="33"/>
      <c r="M2068" s="31"/>
      <c r="N2068" s="31"/>
      <c r="O2068" s="16" t="s">
        <v>4311</v>
      </c>
      <c r="P2068" s="16"/>
      <c r="Q2068" s="16"/>
      <c r="R2068" s="33"/>
      <c r="S2068" s="34"/>
      <c r="T2068" s="34"/>
      <c r="U2068" s="34"/>
      <c r="V2068" s="34"/>
      <c r="W2068" s="34"/>
      <c r="X2068" s="33" t="s">
        <v>2111</v>
      </c>
      <c r="Y2068" s="35" t="str">
        <f>IF(Tabela2[[#This Row],[SIGLA]]="","",VLOOKUP(Tabela2[[#This Row],[SIGLA]],Tabela1[[#All],[Sigla Arte]:[Crédito]],2,0))</f>
        <v>EZEQUIEL SILVA/ARQUIVO DA EDITORA</v>
      </c>
      <c r="Z2068" s="31"/>
      <c r="AA2068" s="31" t="str">
        <f>Tabela2[[#This Row],[ILUSTRADOR CRIAÇÃO]]</f>
        <v>EZEQUIEL SILVA/ARQUIVO DA EDITORA</v>
      </c>
      <c r="AB2068" s="33"/>
      <c r="AC2068" s="16"/>
      <c r="AE2068" s="35" t="str">
        <f t="shared" si="33"/>
        <v>EF1 E002 Mat</v>
      </c>
    </row>
    <row r="2069" spans="1:31" ht="60" x14ac:dyDescent="0.25">
      <c r="A2069" s="31" t="s">
        <v>4312</v>
      </c>
      <c r="B2069" s="16" t="s">
        <v>401</v>
      </c>
      <c r="C2069" s="16" t="s">
        <v>33</v>
      </c>
      <c r="D2069" s="33" t="s">
        <v>34</v>
      </c>
      <c r="E2069" s="33">
        <v>180</v>
      </c>
      <c r="F2069" s="33">
        <v>5</v>
      </c>
      <c r="G2069" s="33">
        <v>12</v>
      </c>
      <c r="H2069" s="33"/>
      <c r="I2069" s="31" t="s">
        <v>46</v>
      </c>
      <c r="J2069" s="31"/>
      <c r="K2069" s="33"/>
      <c r="L2069" s="33"/>
      <c r="M2069" s="31"/>
      <c r="N2069" s="31"/>
      <c r="O2069" s="16" t="s">
        <v>4313</v>
      </c>
      <c r="P2069" s="16"/>
      <c r="Q2069" s="16"/>
      <c r="R2069" s="33"/>
      <c r="S2069" s="34"/>
      <c r="T2069" s="34"/>
      <c r="U2069" s="34"/>
      <c r="V2069" s="34"/>
      <c r="W2069" s="34"/>
      <c r="X2069" s="33" t="s">
        <v>2111</v>
      </c>
      <c r="Y2069" s="35" t="str">
        <f>IF(Tabela2[[#This Row],[SIGLA]]="","",VLOOKUP(Tabela2[[#This Row],[SIGLA]],Tabela1[[#All],[Sigla Arte]:[Crédito]],2,0))</f>
        <v>EZEQUIEL SILVA/ARQUIVO DA EDITORA</v>
      </c>
      <c r="Z2069" s="31"/>
      <c r="AA2069" s="31" t="str">
        <f>Tabela2[[#This Row],[ILUSTRADOR CRIAÇÃO]]</f>
        <v>EZEQUIEL SILVA/ARQUIVO DA EDITORA</v>
      </c>
      <c r="AB2069" s="33"/>
      <c r="AC2069" s="16"/>
      <c r="AE2069" s="35" t="str">
        <f t="shared" si="33"/>
        <v>EF1 E002 Mat</v>
      </c>
    </row>
    <row r="2070" spans="1:31" ht="75" x14ac:dyDescent="0.25">
      <c r="A2070" s="31" t="s">
        <v>4314</v>
      </c>
      <c r="B2070" s="16" t="s">
        <v>32</v>
      </c>
      <c r="C2070" s="16" t="s">
        <v>164</v>
      </c>
      <c r="D2070" s="33" t="s">
        <v>34</v>
      </c>
      <c r="E2070" s="33">
        <v>63</v>
      </c>
      <c r="F2070" s="33">
        <v>2</v>
      </c>
      <c r="G2070" s="33">
        <v>2</v>
      </c>
      <c r="H2070" s="33"/>
      <c r="I2070" s="31" t="s">
        <v>35</v>
      </c>
      <c r="J2070" s="31"/>
      <c r="K2070" s="33"/>
      <c r="L2070" s="33"/>
      <c r="M2070" s="31"/>
      <c r="N2070" s="31"/>
      <c r="O2070" s="16" t="s">
        <v>4315</v>
      </c>
      <c r="P2070" s="16"/>
      <c r="Q2070" s="16"/>
      <c r="R2070" s="33">
        <v>57</v>
      </c>
      <c r="S2070" s="34">
        <v>45824</v>
      </c>
      <c r="T2070" s="34">
        <v>45824</v>
      </c>
      <c r="U2070" s="34"/>
      <c r="V2070" s="34"/>
      <c r="W2070" s="34">
        <v>45824</v>
      </c>
      <c r="X2070" s="33" t="s">
        <v>48</v>
      </c>
      <c r="Y2070" s="35" t="str">
        <f>IF(Tabela2[[#This Row],[SIGLA]]="","",VLOOKUP(Tabela2[[#This Row],[SIGLA]],Tabela1[[#All],[Sigla Arte]:[Crédito]],2,0))</f>
        <v>SERGIO LIMA/ARQUIVO DA EDITORA</v>
      </c>
      <c r="Z2070" s="31" t="s">
        <v>1226</v>
      </c>
      <c r="AA2070" s="31" t="str">
        <f>Tabela2[[#This Row],[ILUSTRADOR CRIAÇÃO]]</f>
        <v>SERGIO LIMA/ARQUIVO DA EDITORA</v>
      </c>
      <c r="AB2070" s="33">
        <v>13</v>
      </c>
      <c r="AC2070" s="16" t="s">
        <v>44</v>
      </c>
      <c r="AD2070" s="16" t="s">
        <v>40</v>
      </c>
      <c r="AE2070" s="35" t="str">
        <f t="shared" si="33"/>
        <v>EF1 E002 Mat</v>
      </c>
    </row>
    <row r="2071" spans="1:31" ht="75" x14ac:dyDescent="0.25">
      <c r="A2071" s="31" t="s">
        <v>4316</v>
      </c>
      <c r="B2071" s="16" t="s">
        <v>32</v>
      </c>
      <c r="C2071" s="16" t="s">
        <v>164</v>
      </c>
      <c r="D2071" s="33" t="s">
        <v>34</v>
      </c>
      <c r="E2071" s="33">
        <v>63</v>
      </c>
      <c r="F2071" s="33">
        <v>2</v>
      </c>
      <c r="G2071" s="33">
        <v>2</v>
      </c>
      <c r="H2071" s="33"/>
      <c r="I2071" s="31" t="s">
        <v>35</v>
      </c>
      <c r="J2071" s="31"/>
      <c r="K2071" s="33"/>
      <c r="L2071" s="33"/>
      <c r="M2071" s="31"/>
      <c r="N2071" s="31"/>
      <c r="O2071" s="16" t="s">
        <v>4317</v>
      </c>
      <c r="P2071" s="16"/>
      <c r="Q2071" s="16"/>
      <c r="R2071" s="33">
        <v>57</v>
      </c>
      <c r="S2071" s="34">
        <v>45824</v>
      </c>
      <c r="T2071" s="34">
        <v>45824</v>
      </c>
      <c r="U2071" s="34"/>
      <c r="V2071" s="34"/>
      <c r="W2071" s="34">
        <v>45824</v>
      </c>
      <c r="X2071" s="33" t="s">
        <v>48</v>
      </c>
      <c r="Y2071" s="35" t="str">
        <f>IF(Tabela2[[#This Row],[SIGLA]]="","",VLOOKUP(Tabela2[[#This Row],[SIGLA]],Tabela1[[#All],[Sigla Arte]:[Crédito]],2,0))</f>
        <v>SERGIO LIMA/ARQUIVO DA EDITORA</v>
      </c>
      <c r="Z2071" s="31" t="s">
        <v>1226</v>
      </c>
      <c r="AA2071" s="31" t="str">
        <f>Tabela2[[#This Row],[ILUSTRADOR CRIAÇÃO]]</f>
        <v>SERGIO LIMA/ARQUIVO DA EDITORA</v>
      </c>
      <c r="AB2071" s="33">
        <v>13</v>
      </c>
      <c r="AC2071" s="16" t="s">
        <v>44</v>
      </c>
      <c r="AD2071" s="16" t="s">
        <v>40</v>
      </c>
      <c r="AE2071" s="35" t="str">
        <f t="shared" si="33"/>
        <v>EF1 E002 Mat</v>
      </c>
    </row>
    <row r="2072" spans="1:31" ht="75" x14ac:dyDescent="0.25">
      <c r="A2072" s="31" t="s">
        <v>4318</v>
      </c>
      <c r="B2072" s="16" t="s">
        <v>32</v>
      </c>
      <c r="C2072" s="16" t="s">
        <v>164</v>
      </c>
      <c r="D2072" s="33" t="s">
        <v>34</v>
      </c>
      <c r="E2072" s="33">
        <v>63</v>
      </c>
      <c r="F2072" s="33">
        <v>2</v>
      </c>
      <c r="G2072" s="33">
        <v>2</v>
      </c>
      <c r="H2072" s="33"/>
      <c r="I2072" s="31" t="s">
        <v>35</v>
      </c>
      <c r="J2072" s="31"/>
      <c r="K2072" s="33"/>
      <c r="L2072" s="33"/>
      <c r="M2072" s="31"/>
      <c r="N2072" s="31"/>
      <c r="O2072" s="16" t="s">
        <v>4319</v>
      </c>
      <c r="P2072" s="16"/>
      <c r="Q2072" s="16"/>
      <c r="R2072" s="33">
        <v>57</v>
      </c>
      <c r="S2072" s="34">
        <v>45824</v>
      </c>
      <c r="T2072" s="34">
        <v>45824</v>
      </c>
      <c r="U2072" s="34"/>
      <c r="V2072" s="34"/>
      <c r="W2072" s="34">
        <v>45824</v>
      </c>
      <c r="X2072" s="33" t="s">
        <v>48</v>
      </c>
      <c r="Y2072" s="35" t="str">
        <f>IF(Tabela2[[#This Row],[SIGLA]]="","",VLOOKUP(Tabela2[[#This Row],[SIGLA]],Tabela1[[#All],[Sigla Arte]:[Crédito]],2,0))</f>
        <v>SERGIO LIMA/ARQUIVO DA EDITORA</v>
      </c>
      <c r="Z2072" s="31" t="s">
        <v>1226</v>
      </c>
      <c r="AA2072" s="31" t="str">
        <f>Tabela2[[#This Row],[ILUSTRADOR CRIAÇÃO]]</f>
        <v>SERGIO LIMA/ARQUIVO DA EDITORA</v>
      </c>
      <c r="AB2072" s="33">
        <v>13</v>
      </c>
      <c r="AC2072" s="16" t="s">
        <v>44</v>
      </c>
      <c r="AD2072" s="16" t="s">
        <v>40</v>
      </c>
      <c r="AE2072" s="35" t="str">
        <f t="shared" si="33"/>
        <v>EF1 E002 Mat</v>
      </c>
    </row>
    <row r="2073" spans="1:31" ht="75" x14ac:dyDescent="0.25">
      <c r="A2073" s="31" t="s">
        <v>4320</v>
      </c>
      <c r="B2073" s="16" t="s">
        <v>32</v>
      </c>
      <c r="C2073" s="16" t="s">
        <v>164</v>
      </c>
      <c r="D2073" s="33" t="s">
        <v>34</v>
      </c>
      <c r="E2073" s="33">
        <v>63</v>
      </c>
      <c r="F2073" s="33">
        <v>2</v>
      </c>
      <c r="G2073" s="33">
        <v>2</v>
      </c>
      <c r="H2073" s="33"/>
      <c r="I2073" s="31" t="s">
        <v>35</v>
      </c>
      <c r="J2073" s="31"/>
      <c r="K2073" s="33"/>
      <c r="L2073" s="33"/>
      <c r="M2073" s="31"/>
      <c r="N2073" s="31"/>
      <c r="O2073" s="16" t="s">
        <v>4321</v>
      </c>
      <c r="P2073" s="16"/>
      <c r="Q2073" s="16"/>
      <c r="R2073" s="33">
        <v>57</v>
      </c>
      <c r="S2073" s="34">
        <v>45824</v>
      </c>
      <c r="T2073" s="34">
        <v>45824</v>
      </c>
      <c r="U2073" s="34"/>
      <c r="V2073" s="34"/>
      <c r="W2073" s="34">
        <v>45824</v>
      </c>
      <c r="X2073" s="33" t="s">
        <v>48</v>
      </c>
      <c r="Y2073" s="35" t="str">
        <f>IF(Tabela2[[#This Row],[SIGLA]]="","",VLOOKUP(Tabela2[[#This Row],[SIGLA]],Tabela1[[#All],[Sigla Arte]:[Crédito]],2,0))</f>
        <v>SERGIO LIMA/ARQUIVO DA EDITORA</v>
      </c>
      <c r="Z2073" s="31" t="s">
        <v>1226</v>
      </c>
      <c r="AA2073" s="31" t="str">
        <f>Tabela2[[#This Row],[ILUSTRADOR CRIAÇÃO]]</f>
        <v>SERGIO LIMA/ARQUIVO DA EDITORA</v>
      </c>
      <c r="AB2073" s="33">
        <v>13</v>
      </c>
      <c r="AC2073" s="16" t="s">
        <v>44</v>
      </c>
      <c r="AD2073" s="16" t="s">
        <v>40</v>
      </c>
      <c r="AE2073" s="35" t="str">
        <f t="shared" si="33"/>
        <v>EF1 E002 Mat</v>
      </c>
    </row>
    <row r="2074" spans="1:31" ht="90" x14ac:dyDescent="0.25">
      <c r="A2074" s="31" t="s">
        <v>4322</v>
      </c>
      <c r="B2074" s="16" t="s">
        <v>32</v>
      </c>
      <c r="C2074" s="16" t="s">
        <v>33</v>
      </c>
      <c r="D2074" s="33" t="s">
        <v>34</v>
      </c>
      <c r="E2074" s="33">
        <v>16</v>
      </c>
      <c r="F2074" s="33">
        <v>2</v>
      </c>
      <c r="G2074" s="33">
        <v>1</v>
      </c>
      <c r="H2074" s="33"/>
      <c r="I2074" s="31" t="s">
        <v>995</v>
      </c>
      <c r="J2074" s="31"/>
      <c r="K2074" s="33"/>
      <c r="L2074" s="33"/>
      <c r="M2074" s="31"/>
      <c r="N2074" s="31"/>
      <c r="O2074" s="16" t="s">
        <v>4323</v>
      </c>
      <c r="P2074" s="16"/>
      <c r="Q2074" s="16"/>
      <c r="R2074" s="33">
        <v>58</v>
      </c>
      <c r="S2074" s="34">
        <v>45824</v>
      </c>
      <c r="T2074" s="34">
        <v>45825</v>
      </c>
      <c r="U2074" s="34">
        <v>45831</v>
      </c>
      <c r="V2074" s="34">
        <v>45835</v>
      </c>
      <c r="W2074" s="34">
        <v>45838</v>
      </c>
      <c r="X2074" s="33" t="s">
        <v>4324</v>
      </c>
      <c r="Y2074" s="35" t="str">
        <f>IF(Tabela2[[#This Row],[SIGLA]]="","",VLOOKUP(Tabela2[[#This Row],[SIGLA]],Tabela1[[#All],[Sigla Arte]:[Crédito]],2,0))</f>
        <v>CARLITOS PINHEIRO/ARQUIVO DA EDITORA</v>
      </c>
      <c r="Z2074" s="31"/>
      <c r="AA2074" s="31" t="str">
        <f>Tabela2[[#This Row],[ILUSTRADOR CRIAÇÃO]]</f>
        <v>CARLITOS PINHEIRO/ARQUIVO DA EDITORA</v>
      </c>
      <c r="AB2074" s="33">
        <v>5</v>
      </c>
      <c r="AC2074" s="16" t="s">
        <v>4325</v>
      </c>
      <c r="AD2074" s="16" t="s">
        <v>1093</v>
      </c>
      <c r="AE2074" s="35" t="str">
        <f t="shared" si="33"/>
        <v>EF1 E002 Mat</v>
      </c>
    </row>
    <row r="2075" spans="1:31" x14ac:dyDescent="0.25">
      <c r="A2075" s="31" t="s">
        <v>4326</v>
      </c>
      <c r="B2075" s="16" t="s">
        <v>32</v>
      </c>
      <c r="C2075" s="16" t="s">
        <v>33</v>
      </c>
      <c r="D2075" s="33" t="s">
        <v>34</v>
      </c>
      <c r="E2075" s="33">
        <v>17</v>
      </c>
      <c r="F2075" s="33">
        <v>2</v>
      </c>
      <c r="G2075" s="33">
        <v>1</v>
      </c>
      <c r="H2075" s="33"/>
      <c r="I2075" s="31" t="s">
        <v>995</v>
      </c>
      <c r="J2075" s="31"/>
      <c r="K2075" s="33"/>
      <c r="L2075" s="33"/>
      <c r="M2075" s="31"/>
      <c r="N2075" s="31"/>
      <c r="O2075" s="16" t="s">
        <v>4327</v>
      </c>
      <c r="P2075" s="16"/>
      <c r="Q2075" s="16"/>
      <c r="R2075" s="33">
        <v>58</v>
      </c>
      <c r="S2075" s="34">
        <v>45824</v>
      </c>
      <c r="T2075" s="34">
        <v>45825</v>
      </c>
      <c r="U2075" s="34"/>
      <c r="V2075" s="34"/>
      <c r="W2075" s="34">
        <v>45826</v>
      </c>
      <c r="X2075" s="33" t="s">
        <v>85</v>
      </c>
      <c r="Y2075" s="35" t="str">
        <f>IF(Tabela2[[#This Row],[SIGLA]]="","",VLOOKUP(Tabela2[[#This Row],[SIGLA]],Tabela1[[#All],[Sigla Arte]:[Crédito]],2,0))</f>
        <v>HELOÍSA PINTARELLI/ARQUIVO DA EDITORA</v>
      </c>
      <c r="Z2075" s="31"/>
      <c r="AA2075" s="31" t="str">
        <f>Tabela2[[#This Row],[ILUSTRADOR CRIAÇÃO]]</f>
        <v>HELOÍSA PINTARELLI/ARQUIVO DA EDITORA</v>
      </c>
      <c r="AB2075" s="33">
        <v>8</v>
      </c>
      <c r="AC2075" s="16" t="s">
        <v>4328</v>
      </c>
      <c r="AD2075" s="16" t="s">
        <v>1093</v>
      </c>
      <c r="AE2075" s="35" t="str">
        <f t="shared" si="33"/>
        <v>EF1 E002 Mat</v>
      </c>
    </row>
    <row r="2076" spans="1:31" ht="30" x14ac:dyDescent="0.25">
      <c r="A2076" s="31" t="s">
        <v>4329</v>
      </c>
      <c r="B2076" s="16" t="s">
        <v>32</v>
      </c>
      <c r="C2076" s="16" t="s">
        <v>164</v>
      </c>
      <c r="D2076" s="33" t="s">
        <v>34</v>
      </c>
      <c r="E2076" s="33">
        <v>17</v>
      </c>
      <c r="F2076" s="33">
        <v>2</v>
      </c>
      <c r="G2076" s="33">
        <v>1</v>
      </c>
      <c r="H2076" s="33"/>
      <c r="I2076" s="31" t="s">
        <v>995</v>
      </c>
      <c r="J2076" s="31"/>
      <c r="K2076" s="33"/>
      <c r="L2076" s="33"/>
      <c r="M2076" s="31"/>
      <c r="N2076" s="31"/>
      <c r="O2076" s="16" t="s">
        <v>4330</v>
      </c>
      <c r="P2076" s="16"/>
      <c r="Q2076" s="16"/>
      <c r="R2076" s="33">
        <v>58</v>
      </c>
      <c r="S2076" s="34">
        <v>45824</v>
      </c>
      <c r="T2076" s="34">
        <v>45825</v>
      </c>
      <c r="U2076" s="34"/>
      <c r="V2076" s="34"/>
      <c r="W2076" s="34">
        <v>45826</v>
      </c>
      <c r="X2076" s="33" t="s">
        <v>85</v>
      </c>
      <c r="Y2076" s="35" t="str">
        <f>IF(Tabela2[[#This Row],[SIGLA]]="","",VLOOKUP(Tabela2[[#This Row],[SIGLA]],Tabela1[[#All],[Sigla Arte]:[Crédito]],2,0))</f>
        <v>HELOÍSA PINTARELLI/ARQUIVO DA EDITORA</v>
      </c>
      <c r="Z2076" s="31"/>
      <c r="AA2076" s="31" t="str">
        <f>Tabela2[[#This Row],[ILUSTRADOR CRIAÇÃO]]</f>
        <v>HELOÍSA PINTARELLI/ARQUIVO DA EDITORA</v>
      </c>
      <c r="AB2076" s="33">
        <v>8</v>
      </c>
      <c r="AC2076" s="16" t="s">
        <v>4328</v>
      </c>
      <c r="AD2076" s="16" t="s">
        <v>1093</v>
      </c>
      <c r="AE2076" s="35" t="str">
        <f t="shared" si="33"/>
        <v>EF1 E002 Mat</v>
      </c>
    </row>
    <row r="2077" spans="1:31" ht="30" x14ac:dyDescent="0.25">
      <c r="A2077" s="31" t="s">
        <v>4331</v>
      </c>
      <c r="B2077" s="16" t="s">
        <v>32</v>
      </c>
      <c r="C2077" s="16" t="s">
        <v>164</v>
      </c>
      <c r="D2077" s="33" t="s">
        <v>34</v>
      </c>
      <c r="E2077" s="33">
        <v>17</v>
      </c>
      <c r="F2077" s="33">
        <v>2</v>
      </c>
      <c r="G2077" s="33">
        <v>1</v>
      </c>
      <c r="H2077" s="33"/>
      <c r="I2077" s="31" t="s">
        <v>995</v>
      </c>
      <c r="J2077" s="31"/>
      <c r="K2077" s="33"/>
      <c r="L2077" s="33"/>
      <c r="M2077" s="31"/>
      <c r="N2077" s="31"/>
      <c r="O2077" s="16" t="s">
        <v>4332</v>
      </c>
      <c r="P2077" s="16"/>
      <c r="Q2077" s="16"/>
      <c r="R2077" s="33">
        <v>58</v>
      </c>
      <c r="S2077" s="34">
        <v>45824</v>
      </c>
      <c r="T2077" s="34">
        <v>45825</v>
      </c>
      <c r="U2077" s="34"/>
      <c r="V2077" s="34"/>
      <c r="W2077" s="34">
        <v>45826</v>
      </c>
      <c r="X2077" s="33" t="s">
        <v>85</v>
      </c>
      <c r="Y2077" s="35" t="str">
        <f>IF(Tabela2[[#This Row],[SIGLA]]="","",VLOOKUP(Tabela2[[#This Row],[SIGLA]],Tabela1[[#All],[Sigla Arte]:[Crédito]],2,0))</f>
        <v>HELOÍSA PINTARELLI/ARQUIVO DA EDITORA</v>
      </c>
      <c r="Z2077" s="31"/>
      <c r="AA2077" s="31" t="str">
        <f>Tabela2[[#This Row],[ILUSTRADOR CRIAÇÃO]]</f>
        <v>HELOÍSA PINTARELLI/ARQUIVO DA EDITORA</v>
      </c>
      <c r="AB2077" s="33">
        <v>8</v>
      </c>
      <c r="AC2077" s="16" t="s">
        <v>4328</v>
      </c>
      <c r="AD2077" s="16" t="s">
        <v>1093</v>
      </c>
      <c r="AE2077" s="35" t="str">
        <f t="shared" si="33"/>
        <v>EF1 E002 Mat</v>
      </c>
    </row>
    <row r="2078" spans="1:31" ht="30" x14ac:dyDescent="0.25">
      <c r="A2078" s="31" t="s">
        <v>4333</v>
      </c>
      <c r="B2078" s="16" t="s">
        <v>32</v>
      </c>
      <c r="C2078" s="16" t="s">
        <v>164</v>
      </c>
      <c r="D2078" s="33" t="s">
        <v>34</v>
      </c>
      <c r="E2078" s="33">
        <v>17</v>
      </c>
      <c r="F2078" s="33">
        <v>2</v>
      </c>
      <c r="G2078" s="33">
        <v>1</v>
      </c>
      <c r="H2078" s="33"/>
      <c r="I2078" s="31" t="s">
        <v>995</v>
      </c>
      <c r="J2078" s="31"/>
      <c r="K2078" s="33"/>
      <c r="L2078" s="33"/>
      <c r="M2078" s="31"/>
      <c r="N2078" s="31"/>
      <c r="O2078" s="16" t="s">
        <v>4334</v>
      </c>
      <c r="P2078" s="16"/>
      <c r="Q2078" s="16"/>
      <c r="R2078" s="33">
        <v>58</v>
      </c>
      <c r="S2078" s="34">
        <v>45824</v>
      </c>
      <c r="T2078" s="34">
        <v>45825</v>
      </c>
      <c r="U2078" s="34"/>
      <c r="V2078" s="34"/>
      <c r="W2078" s="34">
        <v>45826</v>
      </c>
      <c r="X2078" s="33" t="s">
        <v>85</v>
      </c>
      <c r="Y2078" s="35" t="str">
        <f>IF(Tabela2[[#This Row],[SIGLA]]="","",VLOOKUP(Tabela2[[#This Row],[SIGLA]],Tabela1[[#All],[Sigla Arte]:[Crédito]],2,0))</f>
        <v>HELOÍSA PINTARELLI/ARQUIVO DA EDITORA</v>
      </c>
      <c r="Z2078" s="31"/>
      <c r="AA2078" s="31" t="str">
        <f>Tabela2[[#This Row],[ILUSTRADOR CRIAÇÃO]]</f>
        <v>HELOÍSA PINTARELLI/ARQUIVO DA EDITORA</v>
      </c>
      <c r="AB2078" s="33">
        <v>8</v>
      </c>
      <c r="AC2078" s="16" t="s">
        <v>4328</v>
      </c>
      <c r="AD2078" s="16" t="s">
        <v>1093</v>
      </c>
      <c r="AE2078" s="35" t="str">
        <f t="shared" si="33"/>
        <v>EF1 E002 Mat</v>
      </c>
    </row>
    <row r="2079" spans="1:31" ht="30" x14ac:dyDescent="0.25">
      <c r="A2079" s="31" t="s">
        <v>4335</v>
      </c>
      <c r="B2079" s="16" t="s">
        <v>32</v>
      </c>
      <c r="C2079" s="16" t="s">
        <v>164</v>
      </c>
      <c r="D2079" s="33" t="s">
        <v>34</v>
      </c>
      <c r="E2079" s="33">
        <v>17</v>
      </c>
      <c r="F2079" s="33">
        <v>2</v>
      </c>
      <c r="G2079" s="33">
        <v>1</v>
      </c>
      <c r="H2079" s="33"/>
      <c r="I2079" s="31" t="s">
        <v>995</v>
      </c>
      <c r="J2079" s="31"/>
      <c r="K2079" s="33"/>
      <c r="L2079" s="33"/>
      <c r="M2079" s="31"/>
      <c r="N2079" s="31"/>
      <c r="O2079" s="16" t="s">
        <v>4336</v>
      </c>
      <c r="P2079" s="16"/>
      <c r="Q2079" s="16"/>
      <c r="R2079" s="33">
        <v>58</v>
      </c>
      <c r="S2079" s="34">
        <v>45824</v>
      </c>
      <c r="T2079" s="34">
        <v>45825</v>
      </c>
      <c r="U2079" s="34"/>
      <c r="V2079" s="34"/>
      <c r="W2079" s="34">
        <v>45826</v>
      </c>
      <c r="X2079" s="33" t="s">
        <v>85</v>
      </c>
      <c r="Y2079" s="35" t="str">
        <f>IF(Tabela2[[#This Row],[SIGLA]]="","",VLOOKUP(Tabela2[[#This Row],[SIGLA]],Tabela1[[#All],[Sigla Arte]:[Crédito]],2,0))</f>
        <v>HELOÍSA PINTARELLI/ARQUIVO DA EDITORA</v>
      </c>
      <c r="Z2079" s="31"/>
      <c r="AA2079" s="31" t="str">
        <f>Tabela2[[#This Row],[ILUSTRADOR CRIAÇÃO]]</f>
        <v>HELOÍSA PINTARELLI/ARQUIVO DA EDITORA</v>
      </c>
      <c r="AB2079" s="33">
        <v>8</v>
      </c>
      <c r="AC2079" s="16" t="s">
        <v>4328</v>
      </c>
      <c r="AD2079" s="16" t="s">
        <v>1093</v>
      </c>
      <c r="AE2079" s="35" t="str">
        <f t="shared" si="33"/>
        <v>EF1 E002 Mat</v>
      </c>
    </row>
    <row r="2080" spans="1:31" x14ac:dyDescent="0.25">
      <c r="A2080" s="31" t="s">
        <v>4337</v>
      </c>
      <c r="B2080" s="16" t="s">
        <v>32</v>
      </c>
      <c r="C2080" s="16" t="s">
        <v>33</v>
      </c>
      <c r="D2080" s="33" t="s">
        <v>34</v>
      </c>
      <c r="E2080" s="33">
        <v>17</v>
      </c>
      <c r="F2080" s="33">
        <v>2</v>
      </c>
      <c r="G2080" s="33">
        <v>1</v>
      </c>
      <c r="H2080" s="33"/>
      <c r="I2080" s="31" t="s">
        <v>995</v>
      </c>
      <c r="J2080" s="31"/>
      <c r="K2080" s="33"/>
      <c r="L2080" s="33"/>
      <c r="M2080" s="31"/>
      <c r="N2080" s="31"/>
      <c r="O2080" s="16" t="s">
        <v>4338</v>
      </c>
      <c r="P2080" s="16"/>
      <c r="Q2080" s="16"/>
      <c r="R2080" s="33">
        <v>58</v>
      </c>
      <c r="S2080" s="34">
        <v>45824</v>
      </c>
      <c r="T2080" s="34">
        <v>45825</v>
      </c>
      <c r="U2080" s="34"/>
      <c r="V2080" s="34"/>
      <c r="W2080" s="34">
        <v>45826</v>
      </c>
      <c r="X2080" s="33" t="s">
        <v>85</v>
      </c>
      <c r="Y2080" s="35" t="str">
        <f>IF(Tabela2[[#This Row],[SIGLA]]="","",VLOOKUP(Tabela2[[#This Row],[SIGLA]],Tabela1[[#All],[Sigla Arte]:[Crédito]],2,0))</f>
        <v>HELOÍSA PINTARELLI/ARQUIVO DA EDITORA</v>
      </c>
      <c r="Z2080" s="31"/>
      <c r="AA2080" s="31" t="str">
        <f>Tabela2[[#This Row],[ILUSTRADOR CRIAÇÃO]]</f>
        <v>HELOÍSA PINTARELLI/ARQUIVO DA EDITORA</v>
      </c>
      <c r="AB2080" s="33">
        <v>13</v>
      </c>
      <c r="AC2080" s="16" t="s">
        <v>4328</v>
      </c>
      <c r="AD2080" s="16" t="s">
        <v>1093</v>
      </c>
      <c r="AE2080" s="35" t="str">
        <f t="shared" si="33"/>
        <v>EF1 E002 Mat</v>
      </c>
    </row>
    <row r="2081" spans="1:31" ht="210" x14ac:dyDescent="0.25">
      <c r="A2081" s="31" t="s">
        <v>4339</v>
      </c>
      <c r="B2081" s="16" t="s">
        <v>32</v>
      </c>
      <c r="C2081" s="16" t="s">
        <v>33</v>
      </c>
      <c r="D2081" s="33" t="s">
        <v>34</v>
      </c>
      <c r="E2081" s="33">
        <v>18</v>
      </c>
      <c r="F2081" s="33">
        <v>2</v>
      </c>
      <c r="G2081" s="33">
        <v>1</v>
      </c>
      <c r="H2081" s="33"/>
      <c r="I2081" s="31" t="s">
        <v>35</v>
      </c>
      <c r="J2081" s="31"/>
      <c r="K2081" s="33"/>
      <c r="L2081" s="33"/>
      <c r="M2081" s="31"/>
      <c r="N2081" s="31"/>
      <c r="O2081" s="16" t="s">
        <v>4340</v>
      </c>
      <c r="P2081" s="16"/>
      <c r="Q2081" s="16"/>
      <c r="R2081" s="33">
        <v>58</v>
      </c>
      <c r="S2081" s="34">
        <v>45824</v>
      </c>
      <c r="T2081" s="34">
        <v>45825</v>
      </c>
      <c r="U2081" s="34"/>
      <c r="V2081" s="34"/>
      <c r="W2081" s="34">
        <v>45825</v>
      </c>
      <c r="X2081" s="33" t="s">
        <v>703</v>
      </c>
      <c r="Y2081" s="35" t="str">
        <f>IF(Tabela2[[#This Row],[SIGLA]]="","",VLOOKUP(Tabela2[[#This Row],[SIGLA]],Tabela1[[#All],[Sigla Arte]:[Crédito]],2,0))</f>
        <v>KLEBER MAURÍCIO COELHO/ARQUIVO DA EDITORA</v>
      </c>
      <c r="Z2081" s="31" t="s">
        <v>4341</v>
      </c>
      <c r="AA2081" s="31" t="str">
        <f>Tabela2[[#This Row],[ILUSTRADOR CRIAÇÃO]]</f>
        <v>KLEBER MAURÍCIO COELHO/ARQUIVO DA EDITORA</v>
      </c>
      <c r="AB2081" s="33">
        <v>13</v>
      </c>
      <c r="AC2081" s="16" t="s">
        <v>39</v>
      </c>
      <c r="AD2081" s="16" t="s">
        <v>40</v>
      </c>
      <c r="AE2081" s="35" t="str">
        <f t="shared" si="33"/>
        <v>EF1 E002 Mat</v>
      </c>
    </row>
    <row r="2082" spans="1:31" ht="60" x14ac:dyDescent="0.25">
      <c r="A2082" s="31" t="s">
        <v>4342</v>
      </c>
      <c r="B2082" s="16" t="s">
        <v>32</v>
      </c>
      <c r="C2082" s="16" t="s">
        <v>33</v>
      </c>
      <c r="D2082" s="33" t="s">
        <v>34</v>
      </c>
      <c r="E2082" s="33">
        <v>45</v>
      </c>
      <c r="F2082" s="33">
        <v>2</v>
      </c>
      <c r="G2082" s="33">
        <v>1</v>
      </c>
      <c r="H2082" s="33"/>
      <c r="I2082" s="31" t="s">
        <v>995</v>
      </c>
      <c r="J2082" s="31"/>
      <c r="K2082" s="33"/>
      <c r="L2082" s="33"/>
      <c r="M2082" s="31"/>
      <c r="N2082" s="31"/>
      <c r="O2082" s="16" t="s">
        <v>4343</v>
      </c>
      <c r="P2082" s="16"/>
      <c r="Q2082" s="16"/>
      <c r="R2082" s="33">
        <v>58</v>
      </c>
      <c r="S2082" s="34">
        <v>45824</v>
      </c>
      <c r="T2082" s="34">
        <v>45825</v>
      </c>
      <c r="U2082" s="34">
        <v>45831</v>
      </c>
      <c r="V2082" s="34">
        <v>45835</v>
      </c>
      <c r="W2082" s="34">
        <v>45838</v>
      </c>
      <c r="X2082" s="33" t="s">
        <v>4324</v>
      </c>
      <c r="Y2082" s="35" t="str">
        <f>IF(Tabela2[[#This Row],[SIGLA]]="","",VLOOKUP(Tabela2[[#This Row],[SIGLA]],Tabela1[[#All],[Sigla Arte]:[Crédito]],2,0))</f>
        <v>CARLITOS PINHEIRO/ARQUIVO DA EDITORA</v>
      </c>
      <c r="Z2082" s="31"/>
      <c r="AA2082" s="31" t="str">
        <f>Tabela2[[#This Row],[ILUSTRADOR CRIAÇÃO]]</f>
        <v>CARLITOS PINHEIRO/ARQUIVO DA EDITORA</v>
      </c>
      <c r="AB2082" s="33">
        <v>7</v>
      </c>
      <c r="AC2082" s="16" t="s">
        <v>4325</v>
      </c>
      <c r="AD2082" s="16" t="s">
        <v>1093</v>
      </c>
      <c r="AE2082" s="35" t="str">
        <f t="shared" si="33"/>
        <v>EF1 E002 Mat</v>
      </c>
    </row>
    <row r="2083" spans="1:31" ht="255" x14ac:dyDescent="0.25">
      <c r="A2083" s="31" t="s">
        <v>4344</v>
      </c>
      <c r="B2083" s="16" t="s">
        <v>32</v>
      </c>
      <c r="C2083" s="16" t="s">
        <v>33</v>
      </c>
      <c r="D2083" s="33" t="s">
        <v>34</v>
      </c>
      <c r="E2083" s="33">
        <v>45</v>
      </c>
      <c r="F2083" s="33">
        <v>2</v>
      </c>
      <c r="G2083" s="33">
        <v>1</v>
      </c>
      <c r="H2083" s="33"/>
      <c r="I2083" s="31" t="s">
        <v>995</v>
      </c>
      <c r="J2083" s="31"/>
      <c r="K2083" s="33"/>
      <c r="L2083" s="33"/>
      <c r="M2083" s="31"/>
      <c r="N2083" s="31"/>
      <c r="O2083" s="16" t="s">
        <v>4345</v>
      </c>
      <c r="P2083" s="16"/>
      <c r="Q2083" s="16"/>
      <c r="R2083" s="33">
        <v>58</v>
      </c>
      <c r="S2083" s="34">
        <v>45824</v>
      </c>
      <c r="T2083" s="34">
        <v>45825</v>
      </c>
      <c r="U2083" s="34">
        <v>45831</v>
      </c>
      <c r="V2083" s="34">
        <v>45835</v>
      </c>
      <c r="W2083" s="34">
        <v>45838</v>
      </c>
      <c r="X2083" s="33" t="s">
        <v>4324</v>
      </c>
      <c r="Y2083" s="35" t="str">
        <f>IF(Tabela2[[#This Row],[SIGLA]]="","",VLOOKUP(Tabela2[[#This Row],[SIGLA]],Tabela1[[#All],[Sigla Arte]:[Crédito]],2,0))</f>
        <v>CARLITOS PINHEIRO/ARQUIVO DA EDITORA</v>
      </c>
      <c r="Z2083" s="31"/>
      <c r="AA2083" s="31" t="str">
        <f>Tabela2[[#This Row],[ILUSTRADOR CRIAÇÃO]]</f>
        <v>CARLITOS PINHEIRO/ARQUIVO DA EDITORA</v>
      </c>
      <c r="AB2083" s="33">
        <v>4</v>
      </c>
      <c r="AC2083" s="16" t="s">
        <v>4325</v>
      </c>
      <c r="AD2083" s="16" t="s">
        <v>1093</v>
      </c>
      <c r="AE2083" s="35" t="str">
        <f t="shared" si="33"/>
        <v>EF1 E002 Mat</v>
      </c>
    </row>
    <row r="2084" spans="1:31" ht="30" x14ac:dyDescent="0.25">
      <c r="A2084" s="31" t="s">
        <v>4346</v>
      </c>
      <c r="B2084" s="16" t="s">
        <v>97</v>
      </c>
      <c r="C2084" s="16" t="s">
        <v>164</v>
      </c>
      <c r="D2084" s="33" t="s">
        <v>34</v>
      </c>
      <c r="E2084" s="33">
        <v>72</v>
      </c>
      <c r="F2084" s="33">
        <v>1</v>
      </c>
      <c r="G2084" s="33">
        <v>2</v>
      </c>
      <c r="H2084" s="33"/>
      <c r="I2084" s="31" t="s">
        <v>35</v>
      </c>
      <c r="J2084" s="31"/>
      <c r="K2084" s="33"/>
      <c r="L2084" s="33"/>
      <c r="M2084" s="31"/>
      <c r="N2084" s="31"/>
      <c r="O2084" s="16" t="s">
        <v>4347</v>
      </c>
      <c r="P2084" s="16"/>
      <c r="Q2084" s="16"/>
      <c r="R2084" s="33">
        <v>96</v>
      </c>
      <c r="S2084" s="34">
        <v>45870</v>
      </c>
      <c r="T2084" s="34">
        <v>45873</v>
      </c>
      <c r="U2084" s="34"/>
      <c r="V2084" s="34"/>
      <c r="W2084" s="34">
        <v>45873</v>
      </c>
      <c r="X2084" s="33" t="s">
        <v>48</v>
      </c>
      <c r="Y2084" s="35" t="str">
        <f>IF(Tabela2[[#This Row],[SIGLA]]="","",VLOOKUP(Tabela2[[#This Row],[SIGLA]],Tabela1[[#All],[Sigla Arte]:[Crédito]],2,0))</f>
        <v>SERGIO LIMA/ARQUIVO DA EDITORA</v>
      </c>
      <c r="Z2084" s="31" t="s">
        <v>101</v>
      </c>
      <c r="AA2084" s="31" t="str">
        <f>Tabela2[[#This Row],[ILUSTRADOR CRIAÇÃO]]</f>
        <v>SERGIO LIMA/ARQUIVO DA EDITORA</v>
      </c>
      <c r="AB2084" s="33">
        <v>14</v>
      </c>
      <c r="AC2084" s="16" t="s">
        <v>102</v>
      </c>
      <c r="AD2084" s="16" t="s">
        <v>40</v>
      </c>
      <c r="AE2084" s="35" t="str">
        <f t="shared" si="33"/>
        <v>EF1 E002 Mat</v>
      </c>
    </row>
    <row r="2085" spans="1:31" ht="45" x14ac:dyDescent="0.25">
      <c r="A2085" s="31" t="s">
        <v>4348</v>
      </c>
      <c r="B2085" s="16" t="s">
        <v>97</v>
      </c>
      <c r="C2085" s="16" t="s">
        <v>164</v>
      </c>
      <c r="D2085" s="33" t="s">
        <v>34</v>
      </c>
      <c r="E2085" s="33">
        <v>72</v>
      </c>
      <c r="F2085" s="33">
        <v>1</v>
      </c>
      <c r="G2085" s="33">
        <v>2</v>
      </c>
      <c r="H2085" s="33"/>
      <c r="I2085" s="31" t="s">
        <v>35</v>
      </c>
      <c r="J2085" s="31"/>
      <c r="K2085" s="33"/>
      <c r="L2085" s="33"/>
      <c r="M2085" s="31"/>
      <c r="N2085" s="31"/>
      <c r="O2085" s="16" t="s">
        <v>4349</v>
      </c>
      <c r="P2085" s="16"/>
      <c r="Q2085" s="16"/>
      <c r="R2085" s="33">
        <v>96</v>
      </c>
      <c r="S2085" s="34">
        <v>45870</v>
      </c>
      <c r="T2085" s="34">
        <v>45873</v>
      </c>
      <c r="U2085" s="34"/>
      <c r="V2085" s="34"/>
      <c r="W2085" s="34">
        <v>45873</v>
      </c>
      <c r="X2085" s="33" t="s">
        <v>48</v>
      </c>
      <c r="Y2085" s="35" t="str">
        <f>IF(Tabela2[[#This Row],[SIGLA]]="","",VLOOKUP(Tabela2[[#This Row],[SIGLA]],Tabela1[[#All],[Sigla Arte]:[Crédito]],2,0))</f>
        <v>SERGIO LIMA/ARQUIVO DA EDITORA</v>
      </c>
      <c r="Z2085" s="31" t="s">
        <v>101</v>
      </c>
      <c r="AA2085" s="31" t="str">
        <f>Tabela2[[#This Row],[ILUSTRADOR CRIAÇÃO]]</f>
        <v>SERGIO LIMA/ARQUIVO DA EDITORA</v>
      </c>
      <c r="AB2085" s="33">
        <v>14</v>
      </c>
      <c r="AC2085" s="16" t="s">
        <v>102</v>
      </c>
      <c r="AD2085" s="16" t="s">
        <v>40</v>
      </c>
      <c r="AE2085" s="35" t="str">
        <f t="shared" si="33"/>
        <v>EF1 E002 Mat</v>
      </c>
    </row>
    <row r="2086" spans="1:31" ht="30" x14ac:dyDescent="0.25">
      <c r="A2086" s="31" t="s">
        <v>4350</v>
      </c>
      <c r="B2086" s="16" t="s">
        <v>97</v>
      </c>
      <c r="C2086" s="16" t="s">
        <v>164</v>
      </c>
      <c r="D2086" s="33" t="s">
        <v>34</v>
      </c>
      <c r="E2086" s="33">
        <v>72</v>
      </c>
      <c r="F2086" s="33">
        <v>1</v>
      </c>
      <c r="G2086" s="33">
        <v>2</v>
      </c>
      <c r="H2086" s="33"/>
      <c r="I2086" s="31" t="s">
        <v>35</v>
      </c>
      <c r="J2086" s="31"/>
      <c r="K2086" s="33"/>
      <c r="L2086" s="33"/>
      <c r="M2086" s="31"/>
      <c r="N2086" s="31"/>
      <c r="O2086" s="16" t="s">
        <v>912</v>
      </c>
      <c r="P2086" s="16"/>
      <c r="Q2086" s="16"/>
      <c r="R2086" s="33">
        <v>96</v>
      </c>
      <c r="S2086" s="34">
        <v>45870</v>
      </c>
      <c r="T2086" s="34">
        <v>45873</v>
      </c>
      <c r="U2086" s="34"/>
      <c r="V2086" s="34"/>
      <c r="W2086" s="34">
        <v>45873</v>
      </c>
      <c r="X2086" s="33" t="s">
        <v>48</v>
      </c>
      <c r="Y2086" s="35" t="str">
        <f>IF(Tabela2[[#This Row],[SIGLA]]="","",VLOOKUP(Tabela2[[#This Row],[SIGLA]],Tabela1[[#All],[Sigla Arte]:[Crédito]],2,0))</f>
        <v>SERGIO LIMA/ARQUIVO DA EDITORA</v>
      </c>
      <c r="Z2086" s="31" t="s">
        <v>101</v>
      </c>
      <c r="AA2086" s="31" t="str">
        <f>Tabela2[[#This Row],[ILUSTRADOR CRIAÇÃO]]</f>
        <v>SERGIO LIMA/ARQUIVO DA EDITORA</v>
      </c>
      <c r="AB2086" s="33">
        <v>14</v>
      </c>
      <c r="AC2086" s="16" t="s">
        <v>102</v>
      </c>
      <c r="AD2086" s="16" t="s">
        <v>40</v>
      </c>
      <c r="AE2086" s="35" t="str">
        <f t="shared" si="33"/>
        <v>EF1 E002 Mat</v>
      </c>
    </row>
    <row r="2087" spans="1:31" ht="30" x14ac:dyDescent="0.25">
      <c r="A2087" s="31" t="s">
        <v>4351</v>
      </c>
      <c r="B2087" s="16" t="s">
        <v>97</v>
      </c>
      <c r="C2087" s="16" t="s">
        <v>164</v>
      </c>
      <c r="D2087" s="33" t="s">
        <v>34</v>
      </c>
      <c r="E2087" s="33">
        <v>72</v>
      </c>
      <c r="F2087" s="33">
        <v>1</v>
      </c>
      <c r="G2087" s="33">
        <v>2</v>
      </c>
      <c r="H2087" s="33"/>
      <c r="I2087" s="31" t="s">
        <v>35</v>
      </c>
      <c r="J2087" s="31"/>
      <c r="K2087" s="33"/>
      <c r="L2087" s="33"/>
      <c r="M2087" s="31"/>
      <c r="N2087" s="31"/>
      <c r="O2087" s="16" t="s">
        <v>4352</v>
      </c>
      <c r="P2087" s="16"/>
      <c r="Q2087" s="16"/>
      <c r="R2087" s="33">
        <v>96</v>
      </c>
      <c r="S2087" s="34">
        <v>45870</v>
      </c>
      <c r="T2087" s="34">
        <v>45873</v>
      </c>
      <c r="U2087" s="34"/>
      <c r="V2087" s="34"/>
      <c r="W2087" s="34">
        <v>45873</v>
      </c>
      <c r="X2087" s="33" t="s">
        <v>48</v>
      </c>
      <c r="Y2087" s="35" t="str">
        <f>IF(Tabela2[[#This Row],[SIGLA]]="","",VLOOKUP(Tabela2[[#This Row],[SIGLA]],Tabela1[[#All],[Sigla Arte]:[Crédito]],2,0))</f>
        <v>SERGIO LIMA/ARQUIVO DA EDITORA</v>
      </c>
      <c r="Z2087" s="31" t="s">
        <v>101</v>
      </c>
      <c r="AA2087" s="31" t="str">
        <f>Tabela2[[#This Row],[ILUSTRADOR CRIAÇÃO]]</f>
        <v>SERGIO LIMA/ARQUIVO DA EDITORA</v>
      </c>
      <c r="AB2087" s="33">
        <v>14</v>
      </c>
      <c r="AC2087" s="16" t="s">
        <v>102</v>
      </c>
      <c r="AD2087" s="16" t="s">
        <v>40</v>
      </c>
      <c r="AE2087" s="35" t="str">
        <f t="shared" si="33"/>
        <v>EF1 E002 Mat</v>
      </c>
    </row>
    <row r="2088" spans="1:31" ht="30" x14ac:dyDescent="0.25">
      <c r="A2088" s="31" t="s">
        <v>4353</v>
      </c>
      <c r="B2088" s="16" t="s">
        <v>97</v>
      </c>
      <c r="C2088" s="16" t="s">
        <v>164</v>
      </c>
      <c r="D2088" s="33" t="s">
        <v>34</v>
      </c>
      <c r="E2088" s="33">
        <v>72</v>
      </c>
      <c r="F2088" s="33">
        <v>1</v>
      </c>
      <c r="G2088" s="33">
        <v>2</v>
      </c>
      <c r="H2088" s="33"/>
      <c r="I2088" s="31" t="s">
        <v>35</v>
      </c>
      <c r="J2088" s="31"/>
      <c r="K2088" s="33"/>
      <c r="L2088" s="33"/>
      <c r="M2088" s="31"/>
      <c r="N2088" s="31"/>
      <c r="O2088" s="16" t="s">
        <v>845</v>
      </c>
      <c r="P2088" s="16"/>
      <c r="Q2088" s="16"/>
      <c r="R2088" s="33">
        <v>96</v>
      </c>
      <c r="S2088" s="34">
        <v>45870</v>
      </c>
      <c r="T2088" s="34">
        <v>45873</v>
      </c>
      <c r="U2088" s="34"/>
      <c r="V2088" s="34"/>
      <c r="W2088" s="34">
        <v>45873</v>
      </c>
      <c r="X2088" s="33" t="s">
        <v>48</v>
      </c>
      <c r="Y2088" s="35" t="str">
        <f>IF(Tabela2[[#This Row],[SIGLA]]="","",VLOOKUP(Tabela2[[#This Row],[SIGLA]],Tabela1[[#All],[Sigla Arte]:[Crédito]],2,0))</f>
        <v>SERGIO LIMA/ARQUIVO DA EDITORA</v>
      </c>
      <c r="Z2088" s="31" t="s">
        <v>101</v>
      </c>
      <c r="AA2088" s="31" t="str">
        <f>Tabela2[[#This Row],[ILUSTRADOR CRIAÇÃO]]</f>
        <v>SERGIO LIMA/ARQUIVO DA EDITORA</v>
      </c>
      <c r="AB2088" s="33">
        <v>14</v>
      </c>
      <c r="AC2088" s="16" t="s">
        <v>102</v>
      </c>
      <c r="AD2088" s="16" t="s">
        <v>40</v>
      </c>
      <c r="AE2088" s="35" t="str">
        <f t="shared" si="33"/>
        <v>EF1 E002 Mat</v>
      </c>
    </row>
    <row r="2089" spans="1:31" ht="30" x14ac:dyDescent="0.25">
      <c r="A2089" s="31" t="s">
        <v>4354</v>
      </c>
      <c r="B2089" s="16" t="s">
        <v>97</v>
      </c>
      <c r="C2089" s="16" t="s">
        <v>164</v>
      </c>
      <c r="D2089" s="33" t="s">
        <v>34</v>
      </c>
      <c r="E2089" s="33">
        <v>73</v>
      </c>
      <c r="F2089" s="33">
        <v>1</v>
      </c>
      <c r="G2089" s="33">
        <v>2</v>
      </c>
      <c r="H2089" s="33"/>
      <c r="I2089" s="31" t="s">
        <v>35</v>
      </c>
      <c r="J2089" s="31"/>
      <c r="K2089" s="33"/>
      <c r="L2089" s="33"/>
      <c r="M2089" s="31"/>
      <c r="N2089" s="31"/>
      <c r="O2089" s="16" t="s">
        <v>4355</v>
      </c>
      <c r="P2089" s="16"/>
      <c r="Q2089" s="16"/>
      <c r="R2089" s="33">
        <v>96</v>
      </c>
      <c r="S2089" s="34">
        <v>45870</v>
      </c>
      <c r="T2089" s="34">
        <v>45873</v>
      </c>
      <c r="U2089" s="34"/>
      <c r="V2089" s="34"/>
      <c r="W2089" s="34">
        <v>45873</v>
      </c>
      <c r="X2089" s="33" t="s">
        <v>48</v>
      </c>
      <c r="Y2089" s="35" t="str">
        <f>IF(Tabela2[[#This Row],[SIGLA]]="","",VLOOKUP(Tabela2[[#This Row],[SIGLA]],Tabela1[[#All],[Sigla Arte]:[Crédito]],2,0))</f>
        <v>SERGIO LIMA/ARQUIVO DA EDITORA</v>
      </c>
      <c r="Z2089" s="31" t="s">
        <v>101</v>
      </c>
      <c r="AA2089" s="31" t="str">
        <f>Tabela2[[#This Row],[ILUSTRADOR CRIAÇÃO]]</f>
        <v>SERGIO LIMA/ARQUIVO DA EDITORA</v>
      </c>
      <c r="AB2089" s="33">
        <v>14</v>
      </c>
      <c r="AC2089" s="16" t="s">
        <v>102</v>
      </c>
      <c r="AD2089" s="16" t="s">
        <v>40</v>
      </c>
      <c r="AE2089" s="35" t="str">
        <f t="shared" si="33"/>
        <v>EF1 E002 Mat</v>
      </c>
    </row>
    <row r="2090" spans="1:31" ht="30" x14ac:dyDescent="0.25">
      <c r="A2090" s="31" t="s">
        <v>4356</v>
      </c>
      <c r="B2090" s="16" t="s">
        <v>97</v>
      </c>
      <c r="C2090" s="16" t="s">
        <v>164</v>
      </c>
      <c r="D2090" s="33" t="s">
        <v>34</v>
      </c>
      <c r="E2090" s="33">
        <v>73</v>
      </c>
      <c r="F2090" s="33">
        <v>1</v>
      </c>
      <c r="G2090" s="33">
        <v>2</v>
      </c>
      <c r="H2090" s="33"/>
      <c r="I2090" s="31" t="s">
        <v>35</v>
      </c>
      <c r="J2090" s="31"/>
      <c r="K2090" s="33"/>
      <c r="L2090" s="33"/>
      <c r="M2090" s="31"/>
      <c r="N2090" s="31"/>
      <c r="O2090" s="16" t="s">
        <v>4357</v>
      </c>
      <c r="P2090" s="16"/>
      <c r="Q2090" s="16"/>
      <c r="R2090" s="33">
        <v>96</v>
      </c>
      <c r="S2090" s="34">
        <v>45870</v>
      </c>
      <c r="T2090" s="34">
        <v>45873</v>
      </c>
      <c r="U2090" s="34"/>
      <c r="V2090" s="34"/>
      <c r="W2090" s="34">
        <v>45873</v>
      </c>
      <c r="X2090" s="33" t="s">
        <v>48</v>
      </c>
      <c r="Y2090" s="35" t="str">
        <f>IF(Tabela2[[#This Row],[SIGLA]]="","",VLOOKUP(Tabela2[[#This Row],[SIGLA]],Tabela1[[#All],[Sigla Arte]:[Crédito]],2,0))</f>
        <v>SERGIO LIMA/ARQUIVO DA EDITORA</v>
      </c>
      <c r="Z2090" s="31" t="s">
        <v>101</v>
      </c>
      <c r="AA2090" s="31" t="str">
        <f>Tabela2[[#This Row],[ILUSTRADOR CRIAÇÃO]]</f>
        <v>SERGIO LIMA/ARQUIVO DA EDITORA</v>
      </c>
      <c r="AB2090" s="33">
        <v>14</v>
      </c>
      <c r="AC2090" s="16" t="s">
        <v>102</v>
      </c>
      <c r="AD2090" s="16" t="s">
        <v>40</v>
      </c>
      <c r="AE2090" s="35" t="str">
        <f t="shared" si="33"/>
        <v>EF1 E002 Mat</v>
      </c>
    </row>
    <row r="2091" spans="1:31" ht="30" x14ac:dyDescent="0.25">
      <c r="A2091" s="31" t="s">
        <v>4358</v>
      </c>
      <c r="B2091" s="16" t="s">
        <v>97</v>
      </c>
      <c r="C2091" s="16" t="s">
        <v>164</v>
      </c>
      <c r="D2091" s="33" t="s">
        <v>34</v>
      </c>
      <c r="E2091" s="33">
        <v>73</v>
      </c>
      <c r="F2091" s="33">
        <v>1</v>
      </c>
      <c r="G2091" s="33">
        <v>2</v>
      </c>
      <c r="H2091" s="33"/>
      <c r="I2091" s="31" t="s">
        <v>35</v>
      </c>
      <c r="J2091" s="31"/>
      <c r="K2091" s="33"/>
      <c r="L2091" s="33"/>
      <c r="M2091" s="31"/>
      <c r="N2091" s="31"/>
      <c r="O2091" s="16" t="s">
        <v>4359</v>
      </c>
      <c r="P2091" s="16"/>
      <c r="Q2091" s="16"/>
      <c r="R2091" s="33">
        <v>96</v>
      </c>
      <c r="S2091" s="34">
        <v>45870</v>
      </c>
      <c r="T2091" s="34">
        <v>45873</v>
      </c>
      <c r="U2091" s="34"/>
      <c r="V2091" s="34"/>
      <c r="W2091" s="34">
        <v>45873</v>
      </c>
      <c r="X2091" s="33" t="s">
        <v>48</v>
      </c>
      <c r="Y2091" s="35" t="str">
        <f>IF(Tabela2[[#This Row],[SIGLA]]="","",VLOOKUP(Tabela2[[#This Row],[SIGLA]],Tabela1[[#All],[Sigla Arte]:[Crédito]],2,0))</f>
        <v>SERGIO LIMA/ARQUIVO DA EDITORA</v>
      </c>
      <c r="Z2091" s="31" t="s">
        <v>101</v>
      </c>
      <c r="AA2091" s="31" t="str">
        <f>Tabela2[[#This Row],[ILUSTRADOR CRIAÇÃO]]</f>
        <v>SERGIO LIMA/ARQUIVO DA EDITORA</v>
      </c>
      <c r="AB2091" s="33">
        <v>14</v>
      </c>
      <c r="AC2091" s="16" t="s">
        <v>102</v>
      </c>
      <c r="AD2091" s="16" t="s">
        <v>40</v>
      </c>
      <c r="AE2091" s="35" t="str">
        <f t="shared" si="33"/>
        <v>EF1 E002 Mat</v>
      </c>
    </row>
    <row r="2092" spans="1:31" ht="30" x14ac:dyDescent="0.25">
      <c r="A2092" s="31" t="s">
        <v>4360</v>
      </c>
      <c r="B2092" s="16" t="s">
        <v>97</v>
      </c>
      <c r="C2092" s="16" t="s">
        <v>164</v>
      </c>
      <c r="D2092" s="33" t="s">
        <v>34</v>
      </c>
      <c r="E2092" s="33">
        <v>73</v>
      </c>
      <c r="F2092" s="33">
        <v>1</v>
      </c>
      <c r="G2092" s="33">
        <v>2</v>
      </c>
      <c r="H2092" s="33"/>
      <c r="I2092" s="31" t="s">
        <v>35</v>
      </c>
      <c r="J2092" s="31"/>
      <c r="K2092" s="33"/>
      <c r="L2092" s="33"/>
      <c r="M2092" s="31"/>
      <c r="N2092" s="31"/>
      <c r="O2092" s="16" t="s">
        <v>4361</v>
      </c>
      <c r="P2092" s="16"/>
      <c r="Q2092" s="16"/>
      <c r="R2092" s="33">
        <v>96</v>
      </c>
      <c r="S2092" s="34">
        <v>45870</v>
      </c>
      <c r="T2092" s="34">
        <v>45873</v>
      </c>
      <c r="U2092" s="34"/>
      <c r="V2092" s="34"/>
      <c r="W2092" s="34">
        <v>45873</v>
      </c>
      <c r="X2092" s="33" t="s">
        <v>48</v>
      </c>
      <c r="Y2092" s="35" t="str">
        <f>IF(Tabela2[[#This Row],[SIGLA]]="","",VLOOKUP(Tabela2[[#This Row],[SIGLA]],Tabela1[[#All],[Sigla Arte]:[Crédito]],2,0))</f>
        <v>SERGIO LIMA/ARQUIVO DA EDITORA</v>
      </c>
      <c r="Z2092" s="31" t="s">
        <v>101</v>
      </c>
      <c r="AA2092" s="31" t="str">
        <f>Tabela2[[#This Row],[ILUSTRADOR CRIAÇÃO]]</f>
        <v>SERGIO LIMA/ARQUIVO DA EDITORA</v>
      </c>
      <c r="AB2092" s="33">
        <v>14</v>
      </c>
      <c r="AC2092" s="16" t="s">
        <v>102</v>
      </c>
      <c r="AD2092" s="16" t="s">
        <v>40</v>
      </c>
      <c r="AE2092" s="35" t="str">
        <f t="shared" si="33"/>
        <v>EF1 E002 Mat</v>
      </c>
    </row>
    <row r="2093" spans="1:31" ht="30" x14ac:dyDescent="0.25">
      <c r="A2093" s="31" t="s">
        <v>4362</v>
      </c>
      <c r="B2093" s="16" t="s">
        <v>97</v>
      </c>
      <c r="C2093" s="16" t="s">
        <v>164</v>
      </c>
      <c r="D2093" s="33" t="s">
        <v>34</v>
      </c>
      <c r="E2093" s="33">
        <v>73</v>
      </c>
      <c r="F2093" s="33">
        <v>1</v>
      </c>
      <c r="G2093" s="33">
        <v>2</v>
      </c>
      <c r="H2093" s="33"/>
      <c r="I2093" s="31" t="s">
        <v>35</v>
      </c>
      <c r="J2093" s="31"/>
      <c r="K2093" s="33"/>
      <c r="L2093" s="33"/>
      <c r="M2093" s="31"/>
      <c r="N2093" s="31"/>
      <c r="O2093" s="16" t="s">
        <v>4363</v>
      </c>
      <c r="P2093" s="16"/>
      <c r="Q2093" s="16"/>
      <c r="R2093" s="33">
        <v>96</v>
      </c>
      <c r="S2093" s="34">
        <v>45870</v>
      </c>
      <c r="T2093" s="34">
        <v>45873</v>
      </c>
      <c r="U2093" s="34"/>
      <c r="V2093" s="34"/>
      <c r="W2093" s="34">
        <v>45873</v>
      </c>
      <c r="X2093" s="33" t="s">
        <v>48</v>
      </c>
      <c r="Y2093" s="35" t="str">
        <f>IF(Tabela2[[#This Row],[SIGLA]]="","",VLOOKUP(Tabela2[[#This Row],[SIGLA]],Tabela1[[#All],[Sigla Arte]:[Crédito]],2,0))</f>
        <v>SERGIO LIMA/ARQUIVO DA EDITORA</v>
      </c>
      <c r="Z2093" s="31" t="s">
        <v>101</v>
      </c>
      <c r="AA2093" s="31" t="str">
        <f>Tabela2[[#This Row],[ILUSTRADOR CRIAÇÃO]]</f>
        <v>SERGIO LIMA/ARQUIVO DA EDITORA</v>
      </c>
      <c r="AB2093" s="33">
        <v>14</v>
      </c>
      <c r="AC2093" s="16" t="s">
        <v>102</v>
      </c>
      <c r="AD2093" s="16" t="s">
        <v>40</v>
      </c>
      <c r="AE2093" s="35" t="str">
        <f t="shared" si="33"/>
        <v>EF1 E002 Mat</v>
      </c>
    </row>
    <row r="2094" spans="1:31" ht="60" x14ac:dyDescent="0.25">
      <c r="A2094" s="31" t="s">
        <v>4364</v>
      </c>
      <c r="B2094" s="16" t="s">
        <v>32</v>
      </c>
      <c r="C2094" s="16" t="s">
        <v>164</v>
      </c>
      <c r="D2094" s="33" t="s">
        <v>34</v>
      </c>
      <c r="E2094" s="33">
        <v>73</v>
      </c>
      <c r="F2094" s="33">
        <v>1</v>
      </c>
      <c r="G2094" s="33">
        <v>2</v>
      </c>
      <c r="H2094" s="33"/>
      <c r="I2094" s="31" t="s">
        <v>995</v>
      </c>
      <c r="J2094" s="31"/>
      <c r="K2094" s="33"/>
      <c r="L2094" s="33"/>
      <c r="M2094" s="31"/>
      <c r="N2094" s="31"/>
      <c r="O2094" s="16" t="s">
        <v>4365</v>
      </c>
      <c r="P2094" s="16"/>
      <c r="Q2094" s="16"/>
      <c r="R2094" s="33">
        <v>62</v>
      </c>
      <c r="S2094" s="34">
        <v>45826</v>
      </c>
      <c r="T2094" s="34">
        <v>45828</v>
      </c>
      <c r="U2094" s="34"/>
      <c r="V2094" s="34"/>
      <c r="W2094" s="34">
        <v>45831</v>
      </c>
      <c r="X2094" s="33" t="s">
        <v>85</v>
      </c>
      <c r="Y2094" s="35" t="str">
        <f>IF(Tabela2[[#This Row],[SIGLA]]="","",VLOOKUP(Tabela2[[#This Row],[SIGLA]],Tabela1[[#All],[Sigla Arte]:[Crédito]],2,0))</f>
        <v>HELOÍSA PINTARELLI/ARQUIVO DA EDITORA</v>
      </c>
      <c r="Z2094" s="31"/>
      <c r="AA2094" s="31" t="str">
        <f>Tabela2[[#This Row],[ILUSTRADOR CRIAÇÃO]]</f>
        <v>HELOÍSA PINTARELLI/ARQUIVO DA EDITORA</v>
      </c>
      <c r="AB2094" s="33">
        <v>8</v>
      </c>
      <c r="AC2094" s="16" t="s">
        <v>4366</v>
      </c>
      <c r="AD2094" s="16" t="s">
        <v>1093</v>
      </c>
      <c r="AE2094" s="35" t="str">
        <f t="shared" si="33"/>
        <v>EF1 E002 Mat</v>
      </c>
    </row>
    <row r="2095" spans="1:31" ht="45" x14ac:dyDescent="0.25">
      <c r="A2095" s="31" t="s">
        <v>4367</v>
      </c>
      <c r="B2095" s="16" t="s">
        <v>32</v>
      </c>
      <c r="C2095" s="16" t="s">
        <v>164</v>
      </c>
      <c r="D2095" s="33" t="s">
        <v>34</v>
      </c>
      <c r="E2095" s="33">
        <v>73</v>
      </c>
      <c r="F2095" s="33">
        <v>1</v>
      </c>
      <c r="G2095" s="33">
        <v>2</v>
      </c>
      <c r="H2095" s="33"/>
      <c r="I2095" s="31" t="s">
        <v>995</v>
      </c>
      <c r="J2095" s="31"/>
      <c r="K2095" s="33"/>
      <c r="L2095" s="33"/>
      <c r="M2095" s="31"/>
      <c r="N2095" s="31"/>
      <c r="O2095" s="16" t="s">
        <v>4368</v>
      </c>
      <c r="P2095" s="16"/>
      <c r="Q2095" s="16"/>
      <c r="R2095" s="33">
        <v>62</v>
      </c>
      <c r="S2095" s="34">
        <v>45826</v>
      </c>
      <c r="T2095" s="34">
        <v>45828</v>
      </c>
      <c r="U2095" s="34"/>
      <c r="V2095" s="34"/>
      <c r="W2095" s="34">
        <v>45831</v>
      </c>
      <c r="X2095" s="33" t="s">
        <v>85</v>
      </c>
      <c r="Y2095" s="35" t="str">
        <f>IF(Tabela2[[#This Row],[SIGLA]]="","",VLOOKUP(Tabela2[[#This Row],[SIGLA]],Tabela1[[#All],[Sigla Arte]:[Crédito]],2,0))</f>
        <v>HELOÍSA PINTARELLI/ARQUIVO DA EDITORA</v>
      </c>
      <c r="Z2095" s="31"/>
      <c r="AA2095" s="31" t="str">
        <f>Tabela2[[#This Row],[ILUSTRADOR CRIAÇÃO]]</f>
        <v>HELOÍSA PINTARELLI/ARQUIVO DA EDITORA</v>
      </c>
      <c r="AB2095" s="33">
        <v>8</v>
      </c>
      <c r="AC2095" s="16" t="s">
        <v>4366</v>
      </c>
      <c r="AD2095" s="16" t="s">
        <v>1093</v>
      </c>
      <c r="AE2095" s="35" t="str">
        <f t="shared" si="33"/>
        <v>EF1 E002 Mat</v>
      </c>
    </row>
    <row r="2096" spans="1:31" ht="45" x14ac:dyDescent="0.25">
      <c r="A2096" s="31" t="s">
        <v>4369</v>
      </c>
      <c r="B2096" s="16" t="s">
        <v>32</v>
      </c>
      <c r="C2096" s="16" t="s">
        <v>164</v>
      </c>
      <c r="D2096" s="33" t="s">
        <v>34</v>
      </c>
      <c r="E2096" s="33">
        <v>73</v>
      </c>
      <c r="F2096" s="33">
        <v>1</v>
      </c>
      <c r="G2096" s="33">
        <v>2</v>
      </c>
      <c r="H2096" s="33"/>
      <c r="I2096" s="31" t="s">
        <v>995</v>
      </c>
      <c r="J2096" s="31"/>
      <c r="K2096" s="33"/>
      <c r="L2096" s="33"/>
      <c r="M2096" s="31"/>
      <c r="N2096" s="31"/>
      <c r="O2096" s="16" t="s">
        <v>4370</v>
      </c>
      <c r="P2096" s="16"/>
      <c r="Q2096" s="16"/>
      <c r="R2096" s="33">
        <v>62</v>
      </c>
      <c r="S2096" s="34">
        <v>45826</v>
      </c>
      <c r="T2096" s="34">
        <v>45828</v>
      </c>
      <c r="U2096" s="34"/>
      <c r="V2096" s="34"/>
      <c r="W2096" s="34">
        <v>45831</v>
      </c>
      <c r="X2096" s="33" t="s">
        <v>85</v>
      </c>
      <c r="Y2096" s="35" t="str">
        <f>IF(Tabela2[[#This Row],[SIGLA]]="","",VLOOKUP(Tabela2[[#This Row],[SIGLA]],Tabela1[[#All],[Sigla Arte]:[Crédito]],2,0))</f>
        <v>HELOÍSA PINTARELLI/ARQUIVO DA EDITORA</v>
      </c>
      <c r="Z2096" s="31"/>
      <c r="AA2096" s="31" t="str">
        <f>Tabela2[[#This Row],[ILUSTRADOR CRIAÇÃO]]</f>
        <v>HELOÍSA PINTARELLI/ARQUIVO DA EDITORA</v>
      </c>
      <c r="AB2096" s="33">
        <v>8</v>
      </c>
      <c r="AC2096" s="16" t="s">
        <v>4366</v>
      </c>
      <c r="AD2096" s="16" t="s">
        <v>1093</v>
      </c>
      <c r="AE2096" s="35" t="str">
        <f t="shared" si="33"/>
        <v>EF1 E002 Mat</v>
      </c>
    </row>
    <row r="2097" spans="1:31" ht="135" x14ac:dyDescent="0.25">
      <c r="A2097" s="31" t="s">
        <v>4371</v>
      </c>
      <c r="B2097" s="16" t="s">
        <v>32</v>
      </c>
      <c r="C2097" s="16" t="s">
        <v>164</v>
      </c>
      <c r="D2097" s="33" t="s">
        <v>34</v>
      </c>
      <c r="E2097" s="33">
        <v>74</v>
      </c>
      <c r="F2097" s="33">
        <v>1</v>
      </c>
      <c r="G2097" s="33">
        <v>2</v>
      </c>
      <c r="H2097" s="33"/>
      <c r="I2097" s="31" t="s">
        <v>35</v>
      </c>
      <c r="J2097" s="31"/>
      <c r="K2097" s="33"/>
      <c r="L2097" s="33"/>
      <c r="M2097" s="31"/>
      <c r="N2097" s="31"/>
      <c r="O2097" s="16" t="s">
        <v>4372</v>
      </c>
      <c r="P2097" s="16"/>
      <c r="Q2097" s="16"/>
      <c r="R2097" s="33">
        <v>62</v>
      </c>
      <c r="S2097" s="34">
        <v>45826</v>
      </c>
      <c r="T2097" s="34">
        <v>45826</v>
      </c>
      <c r="U2097" s="34"/>
      <c r="V2097" s="34"/>
      <c r="W2097" s="34">
        <v>45828</v>
      </c>
      <c r="X2097" s="33" t="s">
        <v>1126</v>
      </c>
      <c r="Y2097" s="35" t="str">
        <f>IF(Tabela2[[#This Row],[SIGLA]]="","",VLOOKUP(Tabela2[[#This Row],[SIGLA]],Tabela1[[#All],[Sigla Arte]:[Crédito]],2,0))</f>
        <v>GUSTAVO CONTI/ARQUIVO DA EDITORA</v>
      </c>
      <c r="Z2097" s="31" t="s">
        <v>4373</v>
      </c>
      <c r="AA2097" s="31" t="str">
        <f>Tabela2[[#This Row],[ILUSTRADOR CRIAÇÃO]]</f>
        <v>GUSTAVO CONTI/ARQUIVO DA EDITORA</v>
      </c>
      <c r="AB2097" s="33">
        <v>14</v>
      </c>
      <c r="AC2097" s="16" t="s">
        <v>39</v>
      </c>
      <c r="AD2097" s="16" t="s">
        <v>40</v>
      </c>
      <c r="AE2097" s="35" t="str">
        <f t="shared" si="33"/>
        <v>EF1 E002 Mat</v>
      </c>
    </row>
    <row r="2098" spans="1:31" ht="45" x14ac:dyDescent="0.25">
      <c r="A2098" s="31" t="s">
        <v>4374</v>
      </c>
      <c r="B2098" s="16" t="s">
        <v>32</v>
      </c>
      <c r="C2098" s="16" t="s">
        <v>164</v>
      </c>
      <c r="D2098" s="33" t="s">
        <v>34</v>
      </c>
      <c r="E2098" s="33">
        <v>74</v>
      </c>
      <c r="F2098" s="33">
        <v>1</v>
      </c>
      <c r="G2098" s="33">
        <v>2</v>
      </c>
      <c r="H2098" s="33"/>
      <c r="I2098" s="31" t="s">
        <v>46</v>
      </c>
      <c r="J2098" s="31"/>
      <c r="K2098" s="33"/>
      <c r="L2098" s="33"/>
      <c r="M2098" s="31"/>
      <c r="N2098" s="31"/>
      <c r="O2098" s="16" t="s">
        <v>4375</v>
      </c>
      <c r="P2098" s="16"/>
      <c r="Q2098" s="16"/>
      <c r="R2098" s="33"/>
      <c r="S2098" s="34"/>
      <c r="T2098" s="34"/>
      <c r="U2098" s="34"/>
      <c r="V2098" s="34"/>
      <c r="W2098" s="34"/>
      <c r="X2098" s="33" t="s">
        <v>1126</v>
      </c>
      <c r="Y2098" s="35" t="str">
        <f>IF(Tabela2[[#This Row],[SIGLA]]="","",VLOOKUP(Tabela2[[#This Row],[SIGLA]],Tabela1[[#All],[Sigla Arte]:[Crédito]],2,0))</f>
        <v>GUSTAVO CONTI/ARQUIVO DA EDITORA</v>
      </c>
      <c r="Z2098" s="31"/>
      <c r="AA2098" s="31" t="str">
        <f>Tabela2[[#This Row],[ILUSTRADOR CRIAÇÃO]]</f>
        <v>GUSTAVO CONTI/ARQUIVO DA EDITORA</v>
      </c>
      <c r="AB2098" s="33"/>
      <c r="AC2098" s="16"/>
      <c r="AE2098" s="35" t="str">
        <f t="shared" ref="AE2098:AE2161" si="34">"EF1 E002 Mat"</f>
        <v>EF1 E002 Mat</v>
      </c>
    </row>
    <row r="2099" spans="1:31" ht="75" x14ac:dyDescent="0.25">
      <c r="A2099" s="31" t="s">
        <v>4376</v>
      </c>
      <c r="B2099" s="16" t="s">
        <v>32</v>
      </c>
      <c r="C2099" s="16" t="s">
        <v>164</v>
      </c>
      <c r="D2099" s="33" t="s">
        <v>34</v>
      </c>
      <c r="E2099" s="33">
        <v>74</v>
      </c>
      <c r="F2099" s="33">
        <v>1</v>
      </c>
      <c r="G2099" s="33">
        <v>2</v>
      </c>
      <c r="H2099" s="33"/>
      <c r="I2099" s="31" t="s">
        <v>35</v>
      </c>
      <c r="J2099" s="31"/>
      <c r="K2099" s="33"/>
      <c r="L2099" s="33"/>
      <c r="M2099" s="31"/>
      <c r="N2099" s="31"/>
      <c r="O2099" s="16" t="s">
        <v>4377</v>
      </c>
      <c r="P2099" s="16"/>
      <c r="Q2099" s="16"/>
      <c r="R2099" s="33">
        <v>62</v>
      </c>
      <c r="S2099" s="34">
        <v>45826</v>
      </c>
      <c r="T2099" s="34">
        <v>45826</v>
      </c>
      <c r="U2099" s="34"/>
      <c r="V2099" s="34"/>
      <c r="W2099" s="34">
        <v>45828</v>
      </c>
      <c r="X2099" s="33" t="s">
        <v>1126</v>
      </c>
      <c r="Y2099" s="35" t="str">
        <f>IF(Tabela2[[#This Row],[SIGLA]]="","",VLOOKUP(Tabela2[[#This Row],[SIGLA]],Tabela1[[#All],[Sigla Arte]:[Crédito]],2,0))</f>
        <v>GUSTAVO CONTI/ARQUIVO DA EDITORA</v>
      </c>
      <c r="Z2099" s="31" t="s">
        <v>4373</v>
      </c>
      <c r="AA2099" s="31" t="str">
        <f>Tabela2[[#This Row],[ILUSTRADOR CRIAÇÃO]]</f>
        <v>GUSTAVO CONTI/ARQUIVO DA EDITORA</v>
      </c>
      <c r="AB2099" s="33">
        <v>14</v>
      </c>
      <c r="AC2099" s="16" t="s">
        <v>39</v>
      </c>
      <c r="AD2099" s="16" t="s">
        <v>40</v>
      </c>
      <c r="AE2099" s="35" t="str">
        <f t="shared" si="34"/>
        <v>EF1 E002 Mat</v>
      </c>
    </row>
    <row r="2100" spans="1:31" ht="75" x14ac:dyDescent="0.25">
      <c r="A2100" s="31" t="s">
        <v>4378</v>
      </c>
      <c r="B2100" s="16" t="s">
        <v>32</v>
      </c>
      <c r="C2100" s="16" t="s">
        <v>164</v>
      </c>
      <c r="D2100" s="33" t="s">
        <v>34</v>
      </c>
      <c r="E2100" s="33">
        <v>74</v>
      </c>
      <c r="F2100" s="33">
        <v>1</v>
      </c>
      <c r="G2100" s="33">
        <v>2</v>
      </c>
      <c r="H2100" s="33"/>
      <c r="I2100" s="31" t="s">
        <v>35</v>
      </c>
      <c r="J2100" s="31"/>
      <c r="K2100" s="33"/>
      <c r="L2100" s="33"/>
      <c r="M2100" s="31"/>
      <c r="N2100" s="31"/>
      <c r="O2100" s="16" t="s">
        <v>4379</v>
      </c>
      <c r="P2100" s="16"/>
      <c r="Q2100" s="16"/>
      <c r="R2100" s="33">
        <v>62</v>
      </c>
      <c r="S2100" s="34">
        <v>45826</v>
      </c>
      <c r="T2100" s="34">
        <v>45826</v>
      </c>
      <c r="U2100" s="34"/>
      <c r="V2100" s="34"/>
      <c r="W2100" s="34">
        <v>45828</v>
      </c>
      <c r="X2100" s="33" t="s">
        <v>1126</v>
      </c>
      <c r="Y2100" s="35" t="str">
        <f>IF(Tabela2[[#This Row],[SIGLA]]="","",VLOOKUP(Tabela2[[#This Row],[SIGLA]],Tabela1[[#All],[Sigla Arte]:[Crédito]],2,0))</f>
        <v>GUSTAVO CONTI/ARQUIVO DA EDITORA</v>
      </c>
      <c r="Z2100" s="31" t="s">
        <v>4373</v>
      </c>
      <c r="AA2100" s="31" t="str">
        <f>Tabela2[[#This Row],[ILUSTRADOR CRIAÇÃO]]</f>
        <v>GUSTAVO CONTI/ARQUIVO DA EDITORA</v>
      </c>
      <c r="AB2100" s="33">
        <v>14</v>
      </c>
      <c r="AC2100" s="16" t="s">
        <v>39</v>
      </c>
      <c r="AD2100" s="16" t="s">
        <v>40</v>
      </c>
      <c r="AE2100" s="35" t="str">
        <f t="shared" si="34"/>
        <v>EF1 E002 Mat</v>
      </c>
    </row>
    <row r="2101" spans="1:31" ht="60" x14ac:dyDescent="0.25">
      <c r="A2101" s="31" t="s">
        <v>4380</v>
      </c>
      <c r="B2101" s="16" t="s">
        <v>32</v>
      </c>
      <c r="C2101" s="16" t="s">
        <v>164</v>
      </c>
      <c r="D2101" s="33" t="s">
        <v>34</v>
      </c>
      <c r="E2101" s="33">
        <v>77</v>
      </c>
      <c r="F2101" s="33">
        <v>1</v>
      </c>
      <c r="G2101" s="33">
        <v>2</v>
      </c>
      <c r="H2101" s="33"/>
      <c r="I2101" s="31" t="s">
        <v>995</v>
      </c>
      <c r="J2101" s="31"/>
      <c r="K2101" s="33"/>
      <c r="L2101" s="33"/>
      <c r="M2101" s="31"/>
      <c r="N2101" s="31"/>
      <c r="O2101" s="16" t="s">
        <v>4381</v>
      </c>
      <c r="P2101" s="16"/>
      <c r="Q2101" s="16"/>
      <c r="R2101" s="33">
        <v>62</v>
      </c>
      <c r="S2101" s="34">
        <v>45826</v>
      </c>
      <c r="T2101" s="34">
        <v>45826</v>
      </c>
      <c r="U2101" s="34"/>
      <c r="V2101" s="34"/>
      <c r="W2101" s="34">
        <v>45828</v>
      </c>
      <c r="X2101" s="33" t="s">
        <v>4382</v>
      </c>
      <c r="Y2101" s="35" t="str">
        <f>IF(Tabela2[[#This Row],[SIGLA]]="","",VLOOKUP(Tabela2[[#This Row],[SIGLA]],Tabela1[[#All],[Sigla Arte]:[Crédito]],2,0))</f>
        <v>BRUNA CAMPOS/ARQUIVO DA EDITORA</v>
      </c>
      <c r="Z2101" s="31"/>
      <c r="AA2101" s="31" t="str">
        <f>Tabela2[[#This Row],[ILUSTRADOR CRIAÇÃO]]</f>
        <v>BRUNA CAMPOS/ARQUIVO DA EDITORA</v>
      </c>
      <c r="AB2101" s="33">
        <v>13</v>
      </c>
      <c r="AC2101" s="16" t="s">
        <v>3750</v>
      </c>
      <c r="AD2101" s="16" t="s">
        <v>40</v>
      </c>
      <c r="AE2101" s="35" t="str">
        <f t="shared" si="34"/>
        <v>EF1 E002 Mat</v>
      </c>
    </row>
    <row r="2102" spans="1:31" ht="60" x14ac:dyDescent="0.25">
      <c r="A2102" s="31" t="s">
        <v>4383</v>
      </c>
      <c r="B2102" s="16" t="s">
        <v>32</v>
      </c>
      <c r="C2102" s="16" t="s">
        <v>164</v>
      </c>
      <c r="D2102" s="33" t="s">
        <v>34</v>
      </c>
      <c r="E2102" s="33">
        <v>77</v>
      </c>
      <c r="F2102" s="33">
        <v>1</v>
      </c>
      <c r="G2102" s="33">
        <v>2</v>
      </c>
      <c r="H2102" s="33"/>
      <c r="I2102" s="31" t="s">
        <v>995</v>
      </c>
      <c r="J2102" s="31"/>
      <c r="K2102" s="33"/>
      <c r="L2102" s="33"/>
      <c r="M2102" s="31"/>
      <c r="N2102" s="31"/>
      <c r="O2102" s="16" t="s">
        <v>4384</v>
      </c>
      <c r="P2102" s="16"/>
      <c r="Q2102" s="16"/>
      <c r="R2102" s="33">
        <v>62</v>
      </c>
      <c r="S2102" s="34">
        <v>45826</v>
      </c>
      <c r="T2102" s="34">
        <v>45826</v>
      </c>
      <c r="U2102" s="34"/>
      <c r="V2102" s="34"/>
      <c r="W2102" s="34">
        <v>45828</v>
      </c>
      <c r="X2102" s="33" t="s">
        <v>4382</v>
      </c>
      <c r="Y2102" s="35" t="str">
        <f>IF(Tabela2[[#This Row],[SIGLA]]="","",VLOOKUP(Tabela2[[#This Row],[SIGLA]],Tabela1[[#All],[Sigla Arte]:[Crédito]],2,0))</f>
        <v>BRUNA CAMPOS/ARQUIVO DA EDITORA</v>
      </c>
      <c r="Z2102" s="31"/>
      <c r="AA2102" s="31" t="str">
        <f>Tabela2[[#This Row],[ILUSTRADOR CRIAÇÃO]]</f>
        <v>BRUNA CAMPOS/ARQUIVO DA EDITORA</v>
      </c>
      <c r="AB2102" s="33">
        <v>13</v>
      </c>
      <c r="AC2102" s="16" t="s">
        <v>3750</v>
      </c>
      <c r="AD2102" s="16" t="s">
        <v>40</v>
      </c>
      <c r="AE2102" s="35" t="str">
        <f t="shared" si="34"/>
        <v>EF1 E002 Mat</v>
      </c>
    </row>
    <row r="2103" spans="1:31" ht="60" x14ac:dyDescent="0.25">
      <c r="A2103" s="31" t="s">
        <v>4385</v>
      </c>
      <c r="B2103" s="16" t="s">
        <v>32</v>
      </c>
      <c r="C2103" s="16" t="s">
        <v>164</v>
      </c>
      <c r="D2103" s="33" t="s">
        <v>34</v>
      </c>
      <c r="E2103" s="33">
        <v>77</v>
      </c>
      <c r="F2103" s="33">
        <v>1</v>
      </c>
      <c r="G2103" s="33">
        <v>2</v>
      </c>
      <c r="H2103" s="33"/>
      <c r="I2103" s="31" t="s">
        <v>995</v>
      </c>
      <c r="J2103" s="31"/>
      <c r="K2103" s="33"/>
      <c r="L2103" s="33"/>
      <c r="M2103" s="31"/>
      <c r="N2103" s="31"/>
      <c r="O2103" s="16" t="s">
        <v>4386</v>
      </c>
      <c r="P2103" s="16"/>
      <c r="Q2103" s="16"/>
      <c r="R2103" s="33">
        <v>62</v>
      </c>
      <c r="S2103" s="34">
        <v>45826</v>
      </c>
      <c r="T2103" s="34">
        <v>45826</v>
      </c>
      <c r="U2103" s="34"/>
      <c r="V2103" s="34"/>
      <c r="W2103" s="34">
        <v>45828</v>
      </c>
      <c r="X2103" s="33" t="s">
        <v>4382</v>
      </c>
      <c r="Y2103" s="35" t="str">
        <f>IF(Tabela2[[#This Row],[SIGLA]]="","",VLOOKUP(Tabela2[[#This Row],[SIGLA]],Tabela1[[#All],[Sigla Arte]:[Crédito]],2,0))</f>
        <v>BRUNA CAMPOS/ARQUIVO DA EDITORA</v>
      </c>
      <c r="Z2103" s="31"/>
      <c r="AA2103" s="31" t="str">
        <f>Tabela2[[#This Row],[ILUSTRADOR CRIAÇÃO]]</f>
        <v>BRUNA CAMPOS/ARQUIVO DA EDITORA</v>
      </c>
      <c r="AB2103" s="33">
        <v>13</v>
      </c>
      <c r="AC2103" s="16" t="s">
        <v>3750</v>
      </c>
      <c r="AD2103" s="16" t="s">
        <v>40</v>
      </c>
      <c r="AE2103" s="35" t="str">
        <f t="shared" si="34"/>
        <v>EF1 E002 Mat</v>
      </c>
    </row>
    <row r="2104" spans="1:31" ht="30" x14ac:dyDescent="0.25">
      <c r="A2104" s="31" t="s">
        <v>4387</v>
      </c>
      <c r="B2104" s="16" t="s">
        <v>32</v>
      </c>
      <c r="C2104" s="16" t="s">
        <v>164</v>
      </c>
      <c r="D2104" s="33" t="s">
        <v>34</v>
      </c>
      <c r="E2104" s="33">
        <v>108</v>
      </c>
      <c r="F2104" s="33">
        <v>2</v>
      </c>
      <c r="G2104" s="33">
        <v>4</v>
      </c>
      <c r="H2104" s="33"/>
      <c r="I2104" s="31" t="s">
        <v>46</v>
      </c>
      <c r="J2104" s="31"/>
      <c r="K2104" s="33"/>
      <c r="L2104" s="33"/>
      <c r="M2104" s="31"/>
      <c r="N2104" s="31"/>
      <c r="O2104" s="16" t="s">
        <v>4388</v>
      </c>
      <c r="P2104" s="16"/>
      <c r="Q2104" s="16"/>
      <c r="R2104" s="33"/>
      <c r="S2104" s="34"/>
      <c r="T2104" s="34"/>
      <c r="U2104" s="34"/>
      <c r="V2104" s="34"/>
      <c r="W2104" s="34"/>
      <c r="X2104" s="33" t="s">
        <v>184</v>
      </c>
      <c r="Y2104" s="35" t="str">
        <f>IF(Tabela2[[#This Row],[SIGLA]]="","",VLOOKUP(Tabela2[[#This Row],[SIGLA]],Tabela1[[#All],[Sigla Arte]:[Crédito]],2,0))</f>
        <v>VER DOCUMENTO DE ILS. TÉCNICAS</v>
      </c>
      <c r="Z2104" s="31"/>
      <c r="AA2104" s="31" t="s">
        <v>191</v>
      </c>
      <c r="AB2104" s="33"/>
      <c r="AC2104" s="16"/>
      <c r="AE2104" s="35" t="str">
        <f t="shared" si="34"/>
        <v>EF1 E002 Mat</v>
      </c>
    </row>
    <row r="2105" spans="1:31" ht="60" x14ac:dyDescent="0.25">
      <c r="A2105" s="31" t="s">
        <v>4389</v>
      </c>
      <c r="B2105" s="16" t="s">
        <v>97</v>
      </c>
      <c r="C2105" s="16" t="s">
        <v>164</v>
      </c>
      <c r="D2105" s="33" t="s">
        <v>34</v>
      </c>
      <c r="E2105" s="33">
        <v>109</v>
      </c>
      <c r="F2105" s="33">
        <v>2</v>
      </c>
      <c r="G2105" s="33">
        <v>4</v>
      </c>
      <c r="H2105" s="33"/>
      <c r="I2105" s="31" t="s">
        <v>995</v>
      </c>
      <c r="J2105" s="31"/>
      <c r="K2105" s="33"/>
      <c r="L2105" s="33"/>
      <c r="M2105" s="31"/>
      <c r="N2105" s="31"/>
      <c r="O2105" s="16" t="s">
        <v>4390</v>
      </c>
      <c r="P2105" s="16"/>
      <c r="Q2105" s="16"/>
      <c r="R2105" s="33">
        <v>64</v>
      </c>
      <c r="S2105" s="34">
        <v>45829</v>
      </c>
      <c r="T2105" s="34">
        <v>45831</v>
      </c>
      <c r="U2105" s="34"/>
      <c r="V2105" s="34"/>
      <c r="W2105" s="34">
        <v>45831</v>
      </c>
      <c r="X2105" s="33" t="s">
        <v>184</v>
      </c>
      <c r="Y2105" s="35" t="str">
        <f>IF(Tabela2[[#This Row],[SIGLA]]="","",VLOOKUP(Tabela2[[#This Row],[SIGLA]],Tabela1[[#All],[Sigla Arte]:[Crédito]],2,0))</f>
        <v>VER DOCUMENTO DE ILS. TÉCNICAS</v>
      </c>
      <c r="Z2105" s="31"/>
      <c r="AA2105" s="46" t="s">
        <v>4391</v>
      </c>
      <c r="AB2105" s="33">
        <v>8</v>
      </c>
      <c r="AC2105" s="16" t="s">
        <v>439</v>
      </c>
      <c r="AD2105" s="16" t="s">
        <v>40</v>
      </c>
      <c r="AE2105" s="35" t="str">
        <f t="shared" si="34"/>
        <v>EF1 E002 Mat</v>
      </c>
    </row>
    <row r="2106" spans="1:31" ht="105" x14ac:dyDescent="0.25">
      <c r="A2106" s="31" t="s">
        <v>4392</v>
      </c>
      <c r="B2106" s="16" t="s">
        <v>32</v>
      </c>
      <c r="C2106" s="16" t="s">
        <v>164</v>
      </c>
      <c r="D2106" s="33" t="s">
        <v>34</v>
      </c>
      <c r="E2106" s="33">
        <v>69</v>
      </c>
      <c r="F2106" s="33">
        <v>2</v>
      </c>
      <c r="G2106" s="33">
        <v>3</v>
      </c>
      <c r="H2106" s="33"/>
      <c r="I2106" s="31" t="s">
        <v>35</v>
      </c>
      <c r="J2106" s="31"/>
      <c r="K2106" s="33"/>
      <c r="L2106" s="33"/>
      <c r="M2106" s="31"/>
      <c r="N2106" s="31"/>
      <c r="O2106" s="16" t="s">
        <v>4393</v>
      </c>
      <c r="P2106" s="16"/>
      <c r="Q2106" s="16"/>
      <c r="R2106" s="33">
        <v>65</v>
      </c>
      <c r="S2106" s="34">
        <v>45832</v>
      </c>
      <c r="T2106" s="34">
        <v>45832</v>
      </c>
      <c r="U2106" s="34"/>
      <c r="V2106" s="34"/>
      <c r="W2106" s="34">
        <v>45833</v>
      </c>
      <c r="X2106" s="33" t="s">
        <v>4394</v>
      </c>
      <c r="Y2106" s="35" t="str">
        <f>IF(Tabela2[[#This Row],[SIGLA]]="","",VLOOKUP(Tabela2[[#This Row],[SIGLA]],Tabela1[[#All],[Sigla Arte]:[Crédito]],2,0))</f>
        <v>MARYANE VIOTO SILVA/ARQUIVO DA EDITORA</v>
      </c>
      <c r="Z2106" s="31" t="s">
        <v>352</v>
      </c>
      <c r="AA2106" s="31" t="s">
        <v>4395</v>
      </c>
      <c r="AB2106" s="33">
        <v>14</v>
      </c>
      <c r="AC2106" s="16" t="s">
        <v>39</v>
      </c>
      <c r="AD2106" s="16" t="s">
        <v>40</v>
      </c>
      <c r="AE2106" s="35" t="str">
        <f t="shared" si="34"/>
        <v>EF1 E002 Mat</v>
      </c>
    </row>
    <row r="2107" spans="1:31" ht="45" x14ac:dyDescent="0.25">
      <c r="A2107" s="31" t="s">
        <v>4396</v>
      </c>
      <c r="B2107" s="16" t="s">
        <v>32</v>
      </c>
      <c r="C2107" s="16" t="s">
        <v>164</v>
      </c>
      <c r="D2107" s="33" t="s">
        <v>34</v>
      </c>
      <c r="E2107" s="33">
        <v>72</v>
      </c>
      <c r="F2107" s="33">
        <v>2</v>
      </c>
      <c r="G2107" s="33">
        <v>3</v>
      </c>
      <c r="H2107" s="33"/>
      <c r="I2107" s="31" t="s">
        <v>995</v>
      </c>
      <c r="J2107" s="31"/>
      <c r="K2107" s="33"/>
      <c r="L2107" s="33"/>
      <c r="M2107" s="31"/>
      <c r="N2107" s="31"/>
      <c r="O2107" s="16" t="s">
        <v>4397</v>
      </c>
      <c r="P2107" s="16"/>
      <c r="Q2107" s="16"/>
      <c r="R2107" s="33">
        <v>65</v>
      </c>
      <c r="S2107" s="34">
        <v>45832</v>
      </c>
      <c r="T2107" s="34">
        <v>45832</v>
      </c>
      <c r="U2107" s="34"/>
      <c r="V2107" s="34"/>
      <c r="W2107" s="34">
        <v>45833</v>
      </c>
      <c r="X2107" s="33" t="s">
        <v>4394</v>
      </c>
      <c r="Y2107" s="35" t="str">
        <f>IF(Tabela2[[#This Row],[SIGLA]]="","",VLOOKUP(Tabela2[[#This Row],[SIGLA]],Tabela1[[#All],[Sigla Arte]:[Crédito]],2,0))</f>
        <v>MARYANE VIOTO SILVA/ARQUIVO DA EDITORA</v>
      </c>
      <c r="Z2107" s="31"/>
      <c r="AA2107" s="31" t="str">
        <f>Tabela2[[#This Row],[ILUSTRADOR CRIAÇÃO]]</f>
        <v>MARYANE VIOTO SILVA/ARQUIVO DA EDITORA</v>
      </c>
      <c r="AB2107" s="33">
        <v>8</v>
      </c>
      <c r="AC2107" s="16" t="s">
        <v>924</v>
      </c>
      <c r="AD2107" s="16" t="s">
        <v>40</v>
      </c>
      <c r="AE2107" s="35" t="str">
        <f t="shared" si="34"/>
        <v>EF1 E002 Mat</v>
      </c>
    </row>
    <row r="2108" spans="1:31" ht="45" x14ac:dyDescent="0.25">
      <c r="A2108" s="31" t="s">
        <v>4398</v>
      </c>
      <c r="B2108" s="16" t="s">
        <v>32</v>
      </c>
      <c r="C2108" s="16" t="s">
        <v>164</v>
      </c>
      <c r="D2108" s="33" t="s">
        <v>34</v>
      </c>
      <c r="E2108" s="33">
        <v>72</v>
      </c>
      <c r="F2108" s="33">
        <v>2</v>
      </c>
      <c r="G2108" s="33">
        <v>3</v>
      </c>
      <c r="H2108" s="33"/>
      <c r="I2108" s="31" t="s">
        <v>995</v>
      </c>
      <c r="J2108" s="31"/>
      <c r="K2108" s="33"/>
      <c r="L2108" s="33"/>
      <c r="M2108" s="31"/>
      <c r="N2108" s="31"/>
      <c r="O2108" s="16" t="s">
        <v>4399</v>
      </c>
      <c r="P2108" s="16"/>
      <c r="Q2108" s="16"/>
      <c r="R2108" s="33">
        <v>65</v>
      </c>
      <c r="S2108" s="34">
        <v>45832</v>
      </c>
      <c r="T2108" s="34">
        <v>45832</v>
      </c>
      <c r="U2108" s="34"/>
      <c r="V2108" s="34"/>
      <c r="W2108" s="34">
        <v>45833</v>
      </c>
      <c r="X2108" s="33" t="s">
        <v>4394</v>
      </c>
      <c r="Y2108" s="35" t="str">
        <f>IF(Tabela2[[#This Row],[SIGLA]]="","",VLOOKUP(Tabela2[[#This Row],[SIGLA]],Tabela1[[#All],[Sigla Arte]:[Crédito]],2,0))</f>
        <v>MARYANE VIOTO SILVA/ARQUIVO DA EDITORA</v>
      </c>
      <c r="Z2108" s="31"/>
      <c r="AA2108" s="31" t="str">
        <f>Tabela2[[#This Row],[ILUSTRADOR CRIAÇÃO]]</f>
        <v>MARYANE VIOTO SILVA/ARQUIVO DA EDITORA</v>
      </c>
      <c r="AB2108" s="33">
        <v>7</v>
      </c>
      <c r="AC2108" s="16" t="s">
        <v>924</v>
      </c>
      <c r="AD2108" s="16" t="s">
        <v>40</v>
      </c>
      <c r="AE2108" s="35" t="str">
        <f t="shared" si="34"/>
        <v>EF1 E002 Mat</v>
      </c>
    </row>
    <row r="2109" spans="1:31" ht="75" x14ac:dyDescent="0.25">
      <c r="A2109" s="31" t="s">
        <v>4400</v>
      </c>
      <c r="B2109" s="16" t="s">
        <v>32</v>
      </c>
      <c r="C2109" s="16" t="s">
        <v>164</v>
      </c>
      <c r="D2109" s="33" t="s">
        <v>34</v>
      </c>
      <c r="E2109" s="33">
        <v>73</v>
      </c>
      <c r="F2109" s="33">
        <v>2</v>
      </c>
      <c r="G2109" s="33">
        <v>3</v>
      </c>
      <c r="H2109" s="33"/>
      <c r="I2109" s="31" t="s">
        <v>35</v>
      </c>
      <c r="J2109" s="31"/>
      <c r="K2109" s="33"/>
      <c r="L2109" s="33"/>
      <c r="M2109" s="31"/>
      <c r="N2109" s="31"/>
      <c r="O2109" s="16" t="s">
        <v>4401</v>
      </c>
      <c r="P2109" s="16"/>
      <c r="Q2109" s="16"/>
      <c r="R2109" s="33">
        <v>65</v>
      </c>
      <c r="S2109" s="34">
        <v>45832</v>
      </c>
      <c r="T2109" s="34">
        <v>45832</v>
      </c>
      <c r="U2109" s="34"/>
      <c r="V2109" s="34"/>
      <c r="W2109" s="34">
        <v>45833</v>
      </c>
      <c r="X2109" s="33" t="s">
        <v>184</v>
      </c>
      <c r="Y2109" s="35" t="str">
        <f>IF(Tabela2[[#This Row],[SIGLA]]="","",VLOOKUP(Tabela2[[#This Row],[SIGLA]],Tabela1[[#All],[Sigla Arte]:[Crédito]],2,0))</f>
        <v>VER DOCUMENTO DE ILS. TÉCNICAS</v>
      </c>
      <c r="Z2109" s="31" t="s">
        <v>352</v>
      </c>
      <c r="AA2109" s="31" t="s">
        <v>191</v>
      </c>
      <c r="AB2109" s="33">
        <v>14</v>
      </c>
      <c r="AC2109" s="16" t="s">
        <v>39</v>
      </c>
      <c r="AD2109" s="16" t="s">
        <v>40</v>
      </c>
      <c r="AE2109" s="35" t="str">
        <f t="shared" si="34"/>
        <v>EF1 E002 Mat</v>
      </c>
    </row>
    <row r="2110" spans="1:31" ht="30" x14ac:dyDescent="0.25">
      <c r="A2110" s="31" t="s">
        <v>4402</v>
      </c>
      <c r="B2110" s="16" t="s">
        <v>32</v>
      </c>
      <c r="C2110" s="16" t="s">
        <v>164</v>
      </c>
      <c r="D2110" s="33" t="s">
        <v>34</v>
      </c>
      <c r="E2110" s="33">
        <v>84</v>
      </c>
      <c r="F2110" s="33">
        <v>2</v>
      </c>
      <c r="G2110" s="33">
        <v>3</v>
      </c>
      <c r="H2110" s="33"/>
      <c r="I2110" s="31" t="s">
        <v>46</v>
      </c>
      <c r="J2110" s="31"/>
      <c r="K2110" s="33"/>
      <c r="L2110" s="33"/>
      <c r="M2110" s="31"/>
      <c r="N2110" s="31"/>
      <c r="O2110" s="16" t="s">
        <v>4403</v>
      </c>
      <c r="P2110" s="16"/>
      <c r="Q2110" s="16"/>
      <c r="R2110" s="33"/>
      <c r="S2110" s="34"/>
      <c r="T2110" s="34"/>
      <c r="U2110" s="34"/>
      <c r="V2110" s="34"/>
      <c r="W2110" s="34"/>
      <c r="X2110" s="33" t="s">
        <v>184</v>
      </c>
      <c r="Y2110" s="35" t="str">
        <f>IF(Tabela2[[#This Row],[SIGLA]]="","",VLOOKUP(Tabela2[[#This Row],[SIGLA]],Tabela1[[#All],[Sigla Arte]:[Crédito]],2,0))</f>
        <v>VER DOCUMENTO DE ILS. TÉCNICAS</v>
      </c>
      <c r="Z2110" s="31"/>
      <c r="AA2110" s="31" t="s">
        <v>191</v>
      </c>
      <c r="AB2110" s="33"/>
      <c r="AC2110" s="16"/>
      <c r="AE2110" s="35" t="str">
        <f t="shared" si="34"/>
        <v>EF1 E002 Mat</v>
      </c>
    </row>
    <row r="2111" spans="1:31" ht="30" x14ac:dyDescent="0.25">
      <c r="A2111" s="31" t="s">
        <v>4404</v>
      </c>
      <c r="B2111" s="16" t="s">
        <v>32</v>
      </c>
      <c r="C2111" s="16" t="s">
        <v>164</v>
      </c>
      <c r="D2111" s="33" t="s">
        <v>34</v>
      </c>
      <c r="E2111" s="33">
        <v>84</v>
      </c>
      <c r="F2111" s="33">
        <v>2</v>
      </c>
      <c r="G2111" s="33">
        <v>3</v>
      </c>
      <c r="H2111" s="33"/>
      <c r="I2111" s="31" t="s">
        <v>46</v>
      </c>
      <c r="J2111" s="31"/>
      <c r="K2111" s="33"/>
      <c r="L2111" s="33"/>
      <c r="M2111" s="31"/>
      <c r="N2111" s="31"/>
      <c r="O2111" s="16" t="s">
        <v>4405</v>
      </c>
      <c r="P2111" s="16"/>
      <c r="Q2111" s="16"/>
      <c r="R2111" s="33"/>
      <c r="S2111" s="34"/>
      <c r="T2111" s="34"/>
      <c r="U2111" s="34"/>
      <c r="V2111" s="34"/>
      <c r="W2111" s="34"/>
      <c r="X2111" s="33" t="s">
        <v>184</v>
      </c>
      <c r="Y2111" s="35" t="str">
        <f>IF(Tabela2[[#This Row],[SIGLA]]="","",VLOOKUP(Tabela2[[#This Row],[SIGLA]],Tabela1[[#All],[Sigla Arte]:[Crédito]],2,0))</f>
        <v>VER DOCUMENTO DE ILS. TÉCNICAS</v>
      </c>
      <c r="Z2111" s="31"/>
      <c r="AA2111" s="31" t="s">
        <v>191</v>
      </c>
      <c r="AB2111" s="33"/>
      <c r="AC2111" s="16"/>
      <c r="AE2111" s="35" t="str">
        <f t="shared" si="34"/>
        <v>EF1 E002 Mat</v>
      </c>
    </row>
    <row r="2112" spans="1:31" ht="30" x14ac:dyDescent="0.25">
      <c r="A2112" s="31" t="s">
        <v>4406</v>
      </c>
      <c r="B2112" s="16" t="s">
        <v>32</v>
      </c>
      <c r="C2112" s="16" t="s">
        <v>164</v>
      </c>
      <c r="D2112" s="33" t="s">
        <v>34</v>
      </c>
      <c r="E2112" s="33">
        <v>84</v>
      </c>
      <c r="F2112" s="33">
        <v>2</v>
      </c>
      <c r="G2112" s="33">
        <v>3</v>
      </c>
      <c r="H2112" s="33"/>
      <c r="I2112" s="31" t="s">
        <v>46</v>
      </c>
      <c r="J2112" s="31"/>
      <c r="K2112" s="33"/>
      <c r="L2112" s="33"/>
      <c r="M2112" s="31"/>
      <c r="N2112" s="31"/>
      <c r="O2112" s="16" t="s">
        <v>4407</v>
      </c>
      <c r="P2112" s="16"/>
      <c r="Q2112" s="16"/>
      <c r="R2112" s="33"/>
      <c r="S2112" s="34"/>
      <c r="T2112" s="34"/>
      <c r="U2112" s="34"/>
      <c r="V2112" s="34"/>
      <c r="W2112" s="34"/>
      <c r="X2112" s="33" t="s">
        <v>184</v>
      </c>
      <c r="Y2112" s="35" t="str">
        <f>IF(Tabela2[[#This Row],[SIGLA]]="","",VLOOKUP(Tabela2[[#This Row],[SIGLA]],Tabela1[[#All],[Sigla Arte]:[Crédito]],2,0))</f>
        <v>VER DOCUMENTO DE ILS. TÉCNICAS</v>
      </c>
      <c r="Z2112" s="31"/>
      <c r="AA2112" s="31" t="s">
        <v>191</v>
      </c>
      <c r="AB2112" s="33"/>
      <c r="AC2112" s="16"/>
      <c r="AE2112" s="35" t="str">
        <f t="shared" si="34"/>
        <v>EF1 E002 Mat</v>
      </c>
    </row>
    <row r="2113" spans="1:31" ht="75" x14ac:dyDescent="0.25">
      <c r="A2113" s="31" t="s">
        <v>4408</v>
      </c>
      <c r="B2113" s="16" t="s">
        <v>32</v>
      </c>
      <c r="C2113" s="16" t="s">
        <v>164</v>
      </c>
      <c r="D2113" s="33" t="s">
        <v>34</v>
      </c>
      <c r="E2113" s="33">
        <v>84</v>
      </c>
      <c r="F2113" s="33">
        <v>2</v>
      </c>
      <c r="G2113" s="33">
        <v>3</v>
      </c>
      <c r="H2113" s="33"/>
      <c r="I2113" s="31" t="s">
        <v>35</v>
      </c>
      <c r="J2113" s="31"/>
      <c r="K2113" s="33"/>
      <c r="L2113" s="33"/>
      <c r="M2113" s="31"/>
      <c r="N2113" s="31"/>
      <c r="O2113" s="16" t="s">
        <v>4409</v>
      </c>
      <c r="P2113" s="16"/>
      <c r="Q2113" s="16"/>
      <c r="R2113" s="33">
        <v>65</v>
      </c>
      <c r="S2113" s="34">
        <v>45832</v>
      </c>
      <c r="T2113" s="34">
        <v>45832</v>
      </c>
      <c r="U2113" s="34"/>
      <c r="V2113" s="34"/>
      <c r="W2113" s="34">
        <v>45833</v>
      </c>
      <c r="X2113" s="33" t="s">
        <v>184</v>
      </c>
      <c r="Y2113" s="35" t="str">
        <f>IF(Tabela2[[#This Row],[SIGLA]]="","",VLOOKUP(Tabela2[[#This Row],[SIGLA]],Tabela1[[#All],[Sigla Arte]:[Crédito]],2,0))</f>
        <v>VER DOCUMENTO DE ILS. TÉCNICAS</v>
      </c>
      <c r="Z2113" s="31" t="s">
        <v>352</v>
      </c>
      <c r="AA2113" s="31" t="s">
        <v>191</v>
      </c>
      <c r="AB2113" s="33">
        <v>14</v>
      </c>
      <c r="AC2113" s="16" t="s">
        <v>39</v>
      </c>
      <c r="AD2113" s="16" t="s">
        <v>40</v>
      </c>
      <c r="AE2113" s="35" t="str">
        <f t="shared" si="34"/>
        <v>EF1 E002 Mat</v>
      </c>
    </row>
    <row r="2114" spans="1:31" ht="30" x14ac:dyDescent="0.25">
      <c r="A2114" s="31" t="s">
        <v>4410</v>
      </c>
      <c r="B2114" s="16" t="s">
        <v>32</v>
      </c>
      <c r="C2114" s="16" t="s">
        <v>164</v>
      </c>
      <c r="D2114" s="33" t="s">
        <v>34</v>
      </c>
      <c r="E2114" s="33">
        <v>82</v>
      </c>
      <c r="F2114" s="33">
        <v>2</v>
      </c>
      <c r="G2114" s="33">
        <v>3</v>
      </c>
      <c r="H2114" s="33"/>
      <c r="I2114" s="31" t="s">
        <v>995</v>
      </c>
      <c r="J2114" s="31"/>
      <c r="K2114" s="33"/>
      <c r="L2114" s="33"/>
      <c r="M2114" s="31"/>
      <c r="N2114" s="31"/>
      <c r="O2114" s="16" t="s">
        <v>4411</v>
      </c>
      <c r="P2114" s="16"/>
      <c r="Q2114" s="16"/>
      <c r="R2114" s="33">
        <v>65</v>
      </c>
      <c r="S2114" s="34">
        <v>45832</v>
      </c>
      <c r="T2114" s="34">
        <v>45832</v>
      </c>
      <c r="U2114" s="34"/>
      <c r="V2114" s="34"/>
      <c r="W2114" s="34">
        <v>45833</v>
      </c>
      <c r="X2114" s="33" t="s">
        <v>4394</v>
      </c>
      <c r="Y2114" s="35" t="str">
        <f>IF(Tabela2[[#This Row],[SIGLA]]="","",VLOOKUP(Tabela2[[#This Row],[SIGLA]],Tabela1[[#All],[Sigla Arte]:[Crédito]],2,0))</f>
        <v>MARYANE VIOTO SILVA/ARQUIVO DA EDITORA</v>
      </c>
      <c r="Z2114" s="31"/>
      <c r="AA2114" s="31" t="str">
        <f>Tabela2[[#This Row],[ILUSTRADOR CRIAÇÃO]]</f>
        <v>MARYANE VIOTO SILVA/ARQUIVO DA EDITORA</v>
      </c>
      <c r="AB2114" s="33">
        <v>7</v>
      </c>
      <c r="AC2114" s="16" t="s">
        <v>924</v>
      </c>
      <c r="AD2114" s="16" t="s">
        <v>40</v>
      </c>
      <c r="AE2114" s="35" t="str">
        <f t="shared" si="34"/>
        <v>EF1 E002 Mat</v>
      </c>
    </row>
    <row r="2115" spans="1:31" ht="45" x14ac:dyDescent="0.25">
      <c r="A2115" s="31" t="s">
        <v>4412</v>
      </c>
      <c r="B2115" s="16" t="s">
        <v>32</v>
      </c>
      <c r="C2115" s="16" t="s">
        <v>164</v>
      </c>
      <c r="D2115" s="33" t="s">
        <v>34</v>
      </c>
      <c r="E2115" s="33">
        <v>85</v>
      </c>
      <c r="F2115" s="33">
        <v>2</v>
      </c>
      <c r="G2115" s="33">
        <v>3</v>
      </c>
      <c r="H2115" s="33"/>
      <c r="I2115" s="31" t="s">
        <v>995</v>
      </c>
      <c r="J2115" s="31"/>
      <c r="K2115" s="33"/>
      <c r="L2115" s="33"/>
      <c r="M2115" s="31"/>
      <c r="N2115" s="31"/>
      <c r="O2115" s="16" t="s">
        <v>4413</v>
      </c>
      <c r="P2115" s="16"/>
      <c r="Q2115" s="16"/>
      <c r="R2115" s="33">
        <v>65</v>
      </c>
      <c r="S2115" s="34">
        <v>45832</v>
      </c>
      <c r="T2115" s="34">
        <v>45832</v>
      </c>
      <c r="U2115" s="34"/>
      <c r="V2115" s="34"/>
      <c r="W2115" s="34">
        <v>45833</v>
      </c>
      <c r="X2115" s="33" t="s">
        <v>4394</v>
      </c>
      <c r="Y2115" s="35" t="str">
        <f>IF(Tabela2[[#This Row],[SIGLA]]="","",VLOOKUP(Tabela2[[#This Row],[SIGLA]],Tabela1[[#All],[Sigla Arte]:[Crédito]],2,0))</f>
        <v>MARYANE VIOTO SILVA/ARQUIVO DA EDITORA</v>
      </c>
      <c r="Z2115" s="31"/>
      <c r="AA2115" s="31" t="str">
        <f>Tabela2[[#This Row],[ILUSTRADOR CRIAÇÃO]]</f>
        <v>MARYANE VIOTO SILVA/ARQUIVO DA EDITORA</v>
      </c>
      <c r="AB2115" s="33">
        <v>8</v>
      </c>
      <c r="AC2115" s="16" t="s">
        <v>924</v>
      </c>
      <c r="AD2115" s="16" t="s">
        <v>40</v>
      </c>
      <c r="AE2115" s="35" t="str">
        <f t="shared" si="34"/>
        <v>EF1 E002 Mat</v>
      </c>
    </row>
    <row r="2116" spans="1:31" ht="90" x14ac:dyDescent="0.25">
      <c r="A2116" s="31" t="s">
        <v>4414</v>
      </c>
      <c r="B2116" s="16" t="s">
        <v>32</v>
      </c>
      <c r="C2116" s="16" t="s">
        <v>164</v>
      </c>
      <c r="D2116" s="33" t="s">
        <v>34</v>
      </c>
      <c r="E2116" s="33">
        <v>98</v>
      </c>
      <c r="F2116" s="33">
        <v>2</v>
      </c>
      <c r="G2116" s="33">
        <v>3</v>
      </c>
      <c r="H2116" s="33"/>
      <c r="I2116" s="31" t="s">
        <v>35</v>
      </c>
      <c r="J2116" s="31"/>
      <c r="K2116" s="33"/>
      <c r="L2116" s="33"/>
      <c r="M2116" s="31"/>
      <c r="N2116" s="31"/>
      <c r="O2116" s="16" t="s">
        <v>4415</v>
      </c>
      <c r="P2116" s="16"/>
      <c r="Q2116" s="16"/>
      <c r="R2116" s="33">
        <v>65</v>
      </c>
      <c r="S2116" s="34">
        <v>45832</v>
      </c>
      <c r="T2116" s="34">
        <v>45832</v>
      </c>
      <c r="U2116" s="34"/>
      <c r="V2116" s="34"/>
      <c r="W2116" s="34">
        <v>45833</v>
      </c>
      <c r="X2116" s="33" t="s">
        <v>48</v>
      </c>
      <c r="Y2116" s="35" t="str">
        <f>IF(Tabela2[[#This Row],[SIGLA]]="","",VLOOKUP(Tabela2[[#This Row],[SIGLA]],Tabela1[[#All],[Sigla Arte]:[Crédito]],2,0))</f>
        <v>SERGIO LIMA/ARQUIVO DA EDITORA</v>
      </c>
      <c r="Z2116" s="31" t="s">
        <v>352</v>
      </c>
      <c r="AA2116" s="31" t="str">
        <f>Tabela2[[#This Row],[ILUSTRADOR CRIAÇÃO]]</f>
        <v>SERGIO LIMA/ARQUIVO DA EDITORA</v>
      </c>
      <c r="AB2116" s="33">
        <v>14</v>
      </c>
      <c r="AC2116" s="16" t="s">
        <v>39</v>
      </c>
      <c r="AD2116" s="16" t="s">
        <v>40</v>
      </c>
      <c r="AE2116" s="35" t="str">
        <f t="shared" si="34"/>
        <v>EF1 E002 Mat</v>
      </c>
    </row>
    <row r="2117" spans="1:31" ht="90" x14ac:dyDescent="0.25">
      <c r="A2117" s="31" t="s">
        <v>4416</v>
      </c>
      <c r="B2117" s="16" t="s">
        <v>97</v>
      </c>
      <c r="C2117" s="16" t="s">
        <v>164</v>
      </c>
      <c r="D2117" s="33" t="s">
        <v>34</v>
      </c>
      <c r="E2117" s="33">
        <v>185</v>
      </c>
      <c r="F2117" s="33">
        <v>1</v>
      </c>
      <c r="G2117" s="33">
        <v>7</v>
      </c>
      <c r="H2117" s="33"/>
      <c r="I2117" s="31" t="s">
        <v>35</v>
      </c>
      <c r="J2117" s="31"/>
      <c r="K2117" s="33"/>
      <c r="L2117" s="33"/>
      <c r="M2117" s="31"/>
      <c r="N2117" s="31"/>
      <c r="O2117" s="16" t="s">
        <v>4417</v>
      </c>
      <c r="P2117" s="16"/>
      <c r="Q2117" s="16"/>
      <c r="R2117" s="33">
        <v>66</v>
      </c>
      <c r="S2117" s="34">
        <v>45838</v>
      </c>
      <c r="T2117" s="34">
        <v>45839</v>
      </c>
      <c r="U2117" s="34"/>
      <c r="V2117" s="34"/>
      <c r="W2117" s="34">
        <v>45839</v>
      </c>
      <c r="X2117" s="33" t="s">
        <v>48</v>
      </c>
      <c r="Y2117" s="35" t="str">
        <f>IF(Tabela2[[#This Row],[SIGLA]]="","",VLOOKUP(Tabela2[[#This Row],[SIGLA]],Tabela1[[#All],[Sigla Arte]:[Crédito]],2,0))</f>
        <v>SERGIO LIMA/ARQUIVO DA EDITORA</v>
      </c>
      <c r="Z2117" s="31"/>
      <c r="AA2117" s="31" t="str">
        <f>Tabela2[[#This Row],[ILUSTRADOR CRIAÇÃO]]</f>
        <v>SERGIO LIMA/ARQUIVO DA EDITORA</v>
      </c>
      <c r="AB2117" s="33">
        <v>14</v>
      </c>
      <c r="AC2117" s="16" t="s">
        <v>39</v>
      </c>
      <c r="AD2117" s="16" t="s">
        <v>1093</v>
      </c>
      <c r="AE2117" s="35" t="str">
        <f t="shared" si="34"/>
        <v>EF1 E002 Mat</v>
      </c>
    </row>
    <row r="2118" spans="1:31" ht="45" x14ac:dyDescent="0.25">
      <c r="A2118" s="31" t="s">
        <v>4418</v>
      </c>
      <c r="B2118" s="16" t="s">
        <v>32</v>
      </c>
      <c r="C2118" s="16" t="s">
        <v>164</v>
      </c>
      <c r="D2118" s="33" t="s">
        <v>34</v>
      </c>
      <c r="E2118" s="33">
        <v>257</v>
      </c>
      <c r="F2118" s="33">
        <v>1</v>
      </c>
      <c r="G2118" s="33" t="s">
        <v>4419</v>
      </c>
      <c r="H2118" s="33"/>
      <c r="I2118" s="31" t="s">
        <v>46</v>
      </c>
      <c r="J2118" s="31"/>
      <c r="K2118" s="33"/>
      <c r="L2118" s="33"/>
      <c r="M2118" s="31"/>
      <c r="N2118" s="31"/>
      <c r="O2118" s="16" t="s">
        <v>4420</v>
      </c>
      <c r="P2118" s="16"/>
      <c r="Q2118" s="16"/>
      <c r="R2118" s="33"/>
      <c r="S2118" s="34"/>
      <c r="T2118" s="34">
        <v>45917</v>
      </c>
      <c r="U2118" s="34"/>
      <c r="V2118" s="34"/>
      <c r="W2118" s="34">
        <v>45917</v>
      </c>
      <c r="X2118" s="33" t="s">
        <v>85</v>
      </c>
      <c r="Y2118" s="35" t="str">
        <f>IF(Tabela2[[#This Row],[SIGLA]]="","",VLOOKUP(Tabela2[[#This Row],[SIGLA]],Tabela1[[#All],[Sigla Arte]:[Crédito]],2,0))</f>
        <v>HELOÍSA PINTARELLI/ARQUIVO DA EDITORA</v>
      </c>
      <c r="Z2118" s="31" t="s">
        <v>383</v>
      </c>
      <c r="AA2118" s="31" t="str">
        <f>Tabela2[[#This Row],[ILUSTRADOR CRIAÇÃO]]</f>
        <v>HELOÍSA PINTARELLI/ARQUIVO DA EDITORA</v>
      </c>
      <c r="AB2118" s="33">
        <v>13</v>
      </c>
      <c r="AC2118" s="16" t="s">
        <v>405</v>
      </c>
      <c r="AD2118" s="16" t="s">
        <v>40</v>
      </c>
      <c r="AE2118" s="35" t="str">
        <f t="shared" si="34"/>
        <v>EF1 E002 Mat</v>
      </c>
    </row>
    <row r="2119" spans="1:31" ht="60" x14ac:dyDescent="0.25">
      <c r="A2119" s="31" t="s">
        <v>4421</v>
      </c>
      <c r="B2119" s="16" t="s">
        <v>32</v>
      </c>
      <c r="C2119" s="16" t="s">
        <v>164</v>
      </c>
      <c r="D2119" s="33" t="s">
        <v>34</v>
      </c>
      <c r="E2119" s="33">
        <v>126</v>
      </c>
      <c r="F2119" s="33">
        <v>2</v>
      </c>
      <c r="G2119" s="33">
        <v>5</v>
      </c>
      <c r="H2119" s="33"/>
      <c r="I2119" s="31" t="s">
        <v>35</v>
      </c>
      <c r="J2119" s="31"/>
      <c r="K2119" s="33"/>
      <c r="L2119" s="33"/>
      <c r="M2119" s="31"/>
      <c r="N2119" s="31"/>
      <c r="O2119" s="16" t="s">
        <v>4422</v>
      </c>
      <c r="P2119" s="16"/>
      <c r="Q2119" s="16"/>
      <c r="R2119" s="33">
        <v>67</v>
      </c>
      <c r="S2119" s="34">
        <v>45839</v>
      </c>
      <c r="T2119" s="34">
        <v>45840</v>
      </c>
      <c r="U2119" s="34"/>
      <c r="V2119" s="34"/>
      <c r="W2119" s="34">
        <v>45840</v>
      </c>
      <c r="X2119" s="33" t="s">
        <v>48</v>
      </c>
      <c r="Y2119" s="35" t="str">
        <f>IF(Tabela2[[#This Row],[SIGLA]]="","",VLOOKUP(Tabela2[[#This Row],[SIGLA]],Tabela1[[#All],[Sigla Arte]:[Crédito]],2,0))</f>
        <v>SERGIO LIMA/ARQUIVO DA EDITORA</v>
      </c>
      <c r="Z2119" s="31" t="s">
        <v>352</v>
      </c>
      <c r="AA2119" s="31" t="str">
        <f>Tabela2[[#This Row],[ILUSTRADOR CRIAÇÃO]]</f>
        <v>SERGIO LIMA/ARQUIVO DA EDITORA</v>
      </c>
      <c r="AB2119" s="33">
        <v>14</v>
      </c>
      <c r="AC2119" s="16" t="s">
        <v>39</v>
      </c>
      <c r="AD2119" s="16" t="s">
        <v>40</v>
      </c>
      <c r="AE2119" s="35" t="str">
        <f t="shared" si="34"/>
        <v>EF1 E002 Mat</v>
      </c>
    </row>
    <row r="2120" spans="1:31" ht="60" x14ac:dyDescent="0.25">
      <c r="A2120" s="31" t="s">
        <v>4423</v>
      </c>
      <c r="B2120" s="16" t="s">
        <v>32</v>
      </c>
      <c r="C2120" s="16" t="s">
        <v>164</v>
      </c>
      <c r="D2120" s="33" t="s">
        <v>34</v>
      </c>
      <c r="E2120" s="33">
        <v>126</v>
      </c>
      <c r="F2120" s="33">
        <v>2</v>
      </c>
      <c r="G2120" s="33">
        <v>5</v>
      </c>
      <c r="H2120" s="33"/>
      <c r="I2120" s="31" t="s">
        <v>35</v>
      </c>
      <c r="J2120" s="31"/>
      <c r="K2120" s="33"/>
      <c r="L2120" s="33"/>
      <c r="M2120" s="31"/>
      <c r="N2120" s="31"/>
      <c r="O2120" s="16" t="s">
        <v>4424</v>
      </c>
      <c r="P2120" s="16"/>
      <c r="Q2120" s="16"/>
      <c r="R2120" s="33">
        <v>67</v>
      </c>
      <c r="S2120" s="34">
        <v>45839</v>
      </c>
      <c r="T2120" s="34">
        <v>45840</v>
      </c>
      <c r="U2120" s="34"/>
      <c r="V2120" s="34"/>
      <c r="W2120" s="34">
        <v>45840</v>
      </c>
      <c r="X2120" s="33" t="s">
        <v>48</v>
      </c>
      <c r="Y2120" s="35" t="str">
        <f>IF(Tabela2[[#This Row],[SIGLA]]="","",VLOOKUP(Tabela2[[#This Row],[SIGLA]],Tabela1[[#All],[Sigla Arte]:[Crédito]],2,0))</f>
        <v>SERGIO LIMA/ARQUIVO DA EDITORA</v>
      </c>
      <c r="Z2120" s="31" t="s">
        <v>352</v>
      </c>
      <c r="AA2120" s="31" t="str">
        <f>Tabela2[[#This Row],[ILUSTRADOR CRIAÇÃO]]</f>
        <v>SERGIO LIMA/ARQUIVO DA EDITORA</v>
      </c>
      <c r="AB2120" s="33">
        <v>14</v>
      </c>
      <c r="AC2120" s="16" t="s">
        <v>39</v>
      </c>
      <c r="AD2120" s="16" t="s">
        <v>40</v>
      </c>
      <c r="AE2120" s="35" t="str">
        <f t="shared" si="34"/>
        <v>EF1 E002 Mat</v>
      </c>
    </row>
    <row r="2121" spans="1:31" ht="30" x14ac:dyDescent="0.25">
      <c r="A2121" s="31" t="s">
        <v>4425</v>
      </c>
      <c r="B2121" s="16" t="s">
        <v>32</v>
      </c>
      <c r="C2121" s="16" t="s">
        <v>164</v>
      </c>
      <c r="D2121" s="33" t="s">
        <v>34</v>
      </c>
      <c r="E2121" s="33">
        <v>135</v>
      </c>
      <c r="F2121" s="33">
        <v>2</v>
      </c>
      <c r="G2121" s="33">
        <v>5</v>
      </c>
      <c r="H2121" s="33"/>
      <c r="I2121" s="31" t="s">
        <v>995</v>
      </c>
      <c r="J2121" s="31"/>
      <c r="K2121" s="33"/>
      <c r="L2121" s="33"/>
      <c r="M2121" s="31"/>
      <c r="N2121" s="31"/>
      <c r="O2121" s="16" t="s">
        <v>4426</v>
      </c>
      <c r="P2121" s="16"/>
      <c r="Q2121" s="16"/>
      <c r="R2121" s="33">
        <v>67</v>
      </c>
      <c r="S2121" s="34">
        <v>45839</v>
      </c>
      <c r="T2121" s="34">
        <v>45840</v>
      </c>
      <c r="U2121" s="34"/>
      <c r="V2121" s="34"/>
      <c r="W2121" s="34">
        <v>45840</v>
      </c>
      <c r="X2121" s="33" t="s">
        <v>48</v>
      </c>
      <c r="Y2121" s="35" t="str">
        <f>IF(Tabela2[[#This Row],[SIGLA]]="","",VLOOKUP(Tabela2[[#This Row],[SIGLA]],Tabela1[[#All],[Sigla Arte]:[Crédito]],2,0))</f>
        <v>SERGIO LIMA/ARQUIVO DA EDITORA</v>
      </c>
      <c r="Z2121" s="31" t="s">
        <v>352</v>
      </c>
      <c r="AA2121" s="31" t="str">
        <f>Tabela2[[#This Row],[ILUSTRADOR CRIAÇÃO]]</f>
        <v>SERGIO LIMA/ARQUIVO DA EDITORA</v>
      </c>
      <c r="AB2121" s="33">
        <v>8</v>
      </c>
      <c r="AC2121" s="16" t="s">
        <v>4427</v>
      </c>
      <c r="AD2121" s="16" t="s">
        <v>40</v>
      </c>
      <c r="AE2121" s="35" t="str">
        <f t="shared" si="34"/>
        <v>EF1 E002 Mat</v>
      </c>
    </row>
    <row r="2122" spans="1:31" ht="120" x14ac:dyDescent="0.25">
      <c r="A2122" s="31" t="s">
        <v>4428</v>
      </c>
      <c r="B2122" s="16" t="s">
        <v>32</v>
      </c>
      <c r="C2122" s="16" t="s">
        <v>164</v>
      </c>
      <c r="D2122" s="33" t="s">
        <v>34</v>
      </c>
      <c r="E2122" s="33">
        <v>135</v>
      </c>
      <c r="F2122" s="33">
        <v>2</v>
      </c>
      <c r="G2122" s="33">
        <v>5</v>
      </c>
      <c r="H2122" s="33"/>
      <c r="I2122" s="31" t="s">
        <v>995</v>
      </c>
      <c r="J2122" s="31"/>
      <c r="K2122" s="33"/>
      <c r="L2122" s="33"/>
      <c r="M2122" s="31"/>
      <c r="N2122" s="31"/>
      <c r="O2122" s="16" t="s">
        <v>4429</v>
      </c>
      <c r="P2122" s="16"/>
      <c r="Q2122" s="16"/>
      <c r="R2122" s="33">
        <v>67</v>
      </c>
      <c r="S2122" s="34">
        <v>45839</v>
      </c>
      <c r="T2122" s="34">
        <v>45840</v>
      </c>
      <c r="U2122" s="34"/>
      <c r="V2122" s="34"/>
      <c r="W2122" s="34">
        <v>45840</v>
      </c>
      <c r="X2122" s="33" t="s">
        <v>48</v>
      </c>
      <c r="Y2122" s="35" t="str">
        <f>IF(Tabela2[[#This Row],[SIGLA]]="","",VLOOKUP(Tabela2[[#This Row],[SIGLA]],Tabela1[[#All],[Sigla Arte]:[Crédito]],2,0))</f>
        <v>SERGIO LIMA/ARQUIVO DA EDITORA</v>
      </c>
      <c r="Z2122" s="31" t="s">
        <v>352</v>
      </c>
      <c r="AA2122" s="31" t="str">
        <f>Tabela2[[#This Row],[ILUSTRADOR CRIAÇÃO]]</f>
        <v>SERGIO LIMA/ARQUIVO DA EDITORA</v>
      </c>
      <c r="AB2122" s="33">
        <v>8</v>
      </c>
      <c r="AC2122" s="16" t="s">
        <v>4427</v>
      </c>
      <c r="AD2122" s="16" t="s">
        <v>40</v>
      </c>
      <c r="AE2122" s="35" t="str">
        <f t="shared" si="34"/>
        <v>EF1 E002 Mat</v>
      </c>
    </row>
    <row r="2123" spans="1:31" ht="105" x14ac:dyDescent="0.25">
      <c r="A2123" s="31" t="s">
        <v>4430</v>
      </c>
      <c r="B2123" s="16" t="s">
        <v>32</v>
      </c>
      <c r="C2123" s="16" t="s">
        <v>164</v>
      </c>
      <c r="D2123" s="33" t="s">
        <v>34</v>
      </c>
      <c r="E2123" s="33">
        <v>259</v>
      </c>
      <c r="F2123" s="33">
        <v>1</v>
      </c>
      <c r="G2123" s="33" t="s">
        <v>4419</v>
      </c>
      <c r="H2123" s="33"/>
      <c r="I2123" s="31" t="s">
        <v>995</v>
      </c>
      <c r="J2123" s="31"/>
      <c r="K2123" s="33"/>
      <c r="L2123" s="33"/>
      <c r="M2123" s="31"/>
      <c r="N2123" s="31"/>
      <c r="O2123" s="16" t="s">
        <v>4431</v>
      </c>
      <c r="P2123" s="16"/>
      <c r="Q2123" s="16"/>
      <c r="R2123" s="33">
        <v>68</v>
      </c>
      <c r="S2123" s="34">
        <v>45840</v>
      </c>
      <c r="T2123" s="34">
        <v>45841</v>
      </c>
      <c r="U2123" s="34"/>
      <c r="V2123" s="34"/>
      <c r="W2123" s="34">
        <v>45842</v>
      </c>
      <c r="X2123" s="33" t="s">
        <v>85</v>
      </c>
      <c r="Y2123" s="35" t="str">
        <f>IF(Tabela2[[#This Row],[SIGLA]]="","",VLOOKUP(Tabela2[[#This Row],[SIGLA]],Tabela1[[#All],[Sigla Arte]:[Crédito]],2,0))</f>
        <v>HELOÍSA PINTARELLI/ARQUIVO DA EDITORA</v>
      </c>
      <c r="Z2123" s="31"/>
      <c r="AA2123" s="31" t="str">
        <f>Tabela2[[#This Row],[ILUSTRADOR CRIAÇÃO]]</f>
        <v>HELOÍSA PINTARELLI/ARQUIVO DA EDITORA</v>
      </c>
      <c r="AB2123" s="33">
        <v>7</v>
      </c>
      <c r="AC2123" s="16" t="s">
        <v>4432</v>
      </c>
      <c r="AD2123" s="16" t="s">
        <v>1093</v>
      </c>
      <c r="AE2123" s="35" t="str">
        <f t="shared" si="34"/>
        <v>EF1 E002 Mat</v>
      </c>
    </row>
    <row r="2124" spans="1:31" ht="75" x14ac:dyDescent="0.25">
      <c r="A2124" s="31" t="s">
        <v>4433</v>
      </c>
      <c r="B2124" s="16" t="s">
        <v>32</v>
      </c>
      <c r="C2124" s="16" t="s">
        <v>164</v>
      </c>
      <c r="D2124" s="33" t="s">
        <v>34</v>
      </c>
      <c r="E2124" s="33">
        <v>261</v>
      </c>
      <c r="F2124" s="33">
        <v>1</v>
      </c>
      <c r="G2124" s="33" t="s">
        <v>4419</v>
      </c>
      <c r="H2124" s="33"/>
      <c r="I2124" s="31" t="s">
        <v>995</v>
      </c>
      <c r="J2124" s="31"/>
      <c r="K2124" s="33"/>
      <c r="L2124" s="33"/>
      <c r="M2124" s="31"/>
      <c r="N2124" s="31"/>
      <c r="O2124" s="16" t="s">
        <v>4434</v>
      </c>
      <c r="P2124" s="16"/>
      <c r="Q2124" s="16"/>
      <c r="R2124" s="33">
        <v>68</v>
      </c>
      <c r="S2124" s="34">
        <v>45840</v>
      </c>
      <c r="T2124" s="34">
        <v>45841</v>
      </c>
      <c r="U2124" s="34"/>
      <c r="V2124" s="34"/>
      <c r="W2124" s="34">
        <v>45842</v>
      </c>
      <c r="X2124" s="33" t="s">
        <v>85</v>
      </c>
      <c r="Y2124" s="35" t="str">
        <f>IF(Tabela2[[#This Row],[SIGLA]]="","",VLOOKUP(Tabela2[[#This Row],[SIGLA]],Tabela1[[#All],[Sigla Arte]:[Crédito]],2,0))</f>
        <v>HELOÍSA PINTARELLI/ARQUIVO DA EDITORA</v>
      </c>
      <c r="Z2124" s="31"/>
      <c r="AA2124" s="31" t="str">
        <f>Tabela2[[#This Row],[ILUSTRADOR CRIAÇÃO]]</f>
        <v>HELOÍSA PINTARELLI/ARQUIVO DA EDITORA</v>
      </c>
      <c r="AB2124" s="33">
        <v>8</v>
      </c>
      <c r="AC2124" s="16" t="s">
        <v>4432</v>
      </c>
      <c r="AD2124" s="16" t="s">
        <v>1093</v>
      </c>
      <c r="AE2124" s="35" t="str">
        <f t="shared" si="34"/>
        <v>EF1 E002 Mat</v>
      </c>
    </row>
    <row r="2125" spans="1:31" ht="45" x14ac:dyDescent="0.25">
      <c r="A2125" s="31" t="s">
        <v>4435</v>
      </c>
      <c r="B2125" s="16" t="s">
        <v>32</v>
      </c>
      <c r="C2125" s="16" t="s">
        <v>164</v>
      </c>
      <c r="D2125" s="33" t="s">
        <v>34</v>
      </c>
      <c r="E2125" s="33">
        <v>263</v>
      </c>
      <c r="F2125" s="33">
        <v>1</v>
      </c>
      <c r="G2125" s="33" t="s">
        <v>4419</v>
      </c>
      <c r="H2125" s="33"/>
      <c r="I2125" s="31" t="s">
        <v>46</v>
      </c>
      <c r="J2125" s="31"/>
      <c r="K2125" s="33"/>
      <c r="L2125" s="33"/>
      <c r="M2125" s="31"/>
      <c r="N2125" s="31"/>
      <c r="O2125" s="16" t="s">
        <v>4436</v>
      </c>
      <c r="P2125" s="16"/>
      <c r="Q2125" s="16"/>
      <c r="R2125" s="33"/>
      <c r="S2125" s="34"/>
      <c r="T2125" s="34"/>
      <c r="U2125" s="34"/>
      <c r="V2125" s="34"/>
      <c r="W2125" s="34"/>
      <c r="X2125" s="33" t="s">
        <v>48</v>
      </c>
      <c r="Y2125" s="35" t="str">
        <f>IF(Tabela2[[#This Row],[SIGLA]]="","",VLOOKUP(Tabela2[[#This Row],[SIGLA]],Tabela1[[#All],[Sigla Arte]:[Crédito]],2,0))</f>
        <v>SERGIO LIMA/ARQUIVO DA EDITORA</v>
      </c>
      <c r="Z2125" s="31"/>
      <c r="AA2125" s="31" t="str">
        <f>Tabela2[[#This Row],[ILUSTRADOR CRIAÇÃO]]</f>
        <v>SERGIO LIMA/ARQUIVO DA EDITORA</v>
      </c>
      <c r="AB2125" s="33"/>
      <c r="AC2125" s="16"/>
      <c r="AE2125" s="35" t="str">
        <f t="shared" si="34"/>
        <v>EF1 E002 Mat</v>
      </c>
    </row>
    <row r="2126" spans="1:31" ht="45" x14ac:dyDescent="0.25">
      <c r="A2126" s="31" t="s">
        <v>4437</v>
      </c>
      <c r="B2126" s="16" t="s">
        <v>32</v>
      </c>
      <c r="C2126" s="16" t="s">
        <v>164</v>
      </c>
      <c r="D2126" s="33" t="s">
        <v>34</v>
      </c>
      <c r="E2126" s="33">
        <v>263</v>
      </c>
      <c r="F2126" s="33">
        <v>1</v>
      </c>
      <c r="G2126" s="33" t="s">
        <v>4419</v>
      </c>
      <c r="H2126" s="33"/>
      <c r="I2126" s="31" t="s">
        <v>46</v>
      </c>
      <c r="J2126" s="31"/>
      <c r="K2126" s="33"/>
      <c r="L2126" s="33"/>
      <c r="M2126" s="31"/>
      <c r="N2126" s="31"/>
      <c r="O2126" s="16" t="s">
        <v>4438</v>
      </c>
      <c r="P2126" s="16"/>
      <c r="Q2126" s="16"/>
      <c r="R2126" s="33"/>
      <c r="S2126" s="34"/>
      <c r="T2126" s="34"/>
      <c r="U2126" s="34"/>
      <c r="V2126" s="34"/>
      <c r="W2126" s="34"/>
      <c r="X2126" s="33" t="s">
        <v>48</v>
      </c>
      <c r="Y2126" s="35" t="str">
        <f>IF(Tabela2[[#This Row],[SIGLA]]="","",VLOOKUP(Tabela2[[#This Row],[SIGLA]],Tabela1[[#All],[Sigla Arte]:[Crédito]],2,0))</f>
        <v>SERGIO LIMA/ARQUIVO DA EDITORA</v>
      </c>
      <c r="Z2126" s="31"/>
      <c r="AA2126" s="31" t="str">
        <f>Tabela2[[#This Row],[ILUSTRADOR CRIAÇÃO]]</f>
        <v>SERGIO LIMA/ARQUIVO DA EDITORA</v>
      </c>
      <c r="AB2126" s="33"/>
      <c r="AC2126" s="16"/>
      <c r="AE2126" s="35" t="str">
        <f t="shared" si="34"/>
        <v>EF1 E002 Mat</v>
      </c>
    </row>
    <row r="2127" spans="1:31" ht="45" x14ac:dyDescent="0.25">
      <c r="A2127" s="31" t="s">
        <v>4439</v>
      </c>
      <c r="B2127" s="16" t="s">
        <v>32</v>
      </c>
      <c r="C2127" s="16" t="s">
        <v>164</v>
      </c>
      <c r="D2127" s="33" t="s">
        <v>34</v>
      </c>
      <c r="E2127" s="33">
        <v>265</v>
      </c>
      <c r="F2127" s="33">
        <v>1</v>
      </c>
      <c r="G2127" s="33" t="s">
        <v>4419</v>
      </c>
      <c r="H2127" s="33"/>
      <c r="I2127" s="31" t="s">
        <v>995</v>
      </c>
      <c r="J2127" s="31"/>
      <c r="K2127" s="33"/>
      <c r="L2127" s="33"/>
      <c r="M2127" s="31"/>
      <c r="N2127" s="31"/>
      <c r="O2127" s="16" t="s">
        <v>4440</v>
      </c>
      <c r="P2127" s="16"/>
      <c r="Q2127" s="16"/>
      <c r="R2127" s="33">
        <v>68</v>
      </c>
      <c r="S2127" s="34">
        <v>45840</v>
      </c>
      <c r="T2127" s="34">
        <v>45840</v>
      </c>
      <c r="U2127" s="34"/>
      <c r="V2127" s="34"/>
      <c r="W2127" s="34">
        <v>45841</v>
      </c>
      <c r="X2127" s="33" t="s">
        <v>184</v>
      </c>
      <c r="Y2127" s="35" t="str">
        <f>IF(Tabela2[[#This Row],[SIGLA]]="","",VLOOKUP(Tabela2[[#This Row],[SIGLA]],Tabela1[[#All],[Sigla Arte]:[Crédito]],2,0))</f>
        <v>VER DOCUMENTO DE ILS. TÉCNICAS</v>
      </c>
      <c r="Z2127" s="31" t="s">
        <v>4391</v>
      </c>
      <c r="AA2127" s="31" t="s">
        <v>185</v>
      </c>
      <c r="AB2127" s="33">
        <v>13</v>
      </c>
      <c r="AC2127" s="16" t="s">
        <v>1516</v>
      </c>
      <c r="AD2127" s="16" t="s">
        <v>40</v>
      </c>
      <c r="AE2127" s="35" t="str">
        <f t="shared" si="34"/>
        <v>EF1 E002 Mat</v>
      </c>
    </row>
    <row r="2128" spans="1:31" ht="45" x14ac:dyDescent="0.25">
      <c r="A2128" s="31" t="s">
        <v>4441</v>
      </c>
      <c r="B2128" s="16" t="s">
        <v>32</v>
      </c>
      <c r="C2128" s="16" t="s">
        <v>164</v>
      </c>
      <c r="D2128" s="33" t="s">
        <v>34</v>
      </c>
      <c r="E2128" s="33">
        <v>265</v>
      </c>
      <c r="F2128" s="33">
        <v>1</v>
      </c>
      <c r="G2128" s="33" t="s">
        <v>4419</v>
      </c>
      <c r="H2128" s="33"/>
      <c r="I2128" s="31" t="s">
        <v>995</v>
      </c>
      <c r="J2128" s="31"/>
      <c r="K2128" s="33"/>
      <c r="L2128" s="33"/>
      <c r="M2128" s="31"/>
      <c r="N2128" s="31"/>
      <c r="O2128" s="16" t="s">
        <v>4442</v>
      </c>
      <c r="P2128" s="16"/>
      <c r="Q2128" s="16"/>
      <c r="R2128" s="33">
        <v>68</v>
      </c>
      <c r="S2128" s="34">
        <v>45840</v>
      </c>
      <c r="T2128" s="34">
        <v>45840</v>
      </c>
      <c r="U2128" s="34"/>
      <c r="V2128" s="34"/>
      <c r="W2128" s="34">
        <v>45841</v>
      </c>
      <c r="X2128" s="33" t="s">
        <v>184</v>
      </c>
      <c r="Y2128" s="35" t="str">
        <f>IF(Tabela2[[#This Row],[SIGLA]]="","",VLOOKUP(Tabela2[[#This Row],[SIGLA]],Tabela1[[#All],[Sigla Arte]:[Crédito]],2,0))</f>
        <v>VER DOCUMENTO DE ILS. TÉCNICAS</v>
      </c>
      <c r="Z2128" s="31" t="s">
        <v>4391</v>
      </c>
      <c r="AA2128" s="46" t="s">
        <v>185</v>
      </c>
      <c r="AB2128" s="33">
        <v>13</v>
      </c>
      <c r="AC2128" s="16" t="s">
        <v>1516</v>
      </c>
      <c r="AD2128" s="16" t="s">
        <v>40</v>
      </c>
      <c r="AE2128" s="35" t="str">
        <f t="shared" si="34"/>
        <v>EF1 E002 Mat</v>
      </c>
    </row>
    <row r="2129" spans="1:31" ht="195" x14ac:dyDescent="0.25">
      <c r="A2129" s="31" t="s">
        <v>4443</v>
      </c>
      <c r="B2129" s="16" t="s">
        <v>32</v>
      </c>
      <c r="C2129" s="16" t="s">
        <v>164</v>
      </c>
      <c r="D2129" s="33" t="s">
        <v>34</v>
      </c>
      <c r="E2129" s="33">
        <v>267</v>
      </c>
      <c r="F2129" s="33">
        <v>1</v>
      </c>
      <c r="G2129" s="33" t="s">
        <v>4419</v>
      </c>
      <c r="H2129" s="33"/>
      <c r="I2129" s="31" t="s">
        <v>995</v>
      </c>
      <c r="J2129" s="31"/>
      <c r="K2129" s="33"/>
      <c r="L2129" s="33"/>
      <c r="M2129" s="31"/>
      <c r="N2129" s="31"/>
      <c r="O2129" s="16" t="s">
        <v>4444</v>
      </c>
      <c r="P2129" s="16"/>
      <c r="Q2129" s="16"/>
      <c r="R2129" s="33">
        <v>68</v>
      </c>
      <c r="S2129" s="34">
        <v>45840</v>
      </c>
      <c r="T2129" s="34">
        <v>45840</v>
      </c>
      <c r="U2129" s="34"/>
      <c r="V2129" s="34"/>
      <c r="W2129" s="34">
        <v>45841</v>
      </c>
      <c r="X2129" s="33" t="s">
        <v>1267</v>
      </c>
      <c r="Y2129" s="35" t="str">
        <f>IF(Tabela2[[#This Row],[SIGLA]]="","",VLOOKUP(Tabela2[[#This Row],[SIGLA]],Tabela1[[#All],[Sigla Arte]:[Crédito]],2,0))</f>
        <v>INGRIDHI BORGES/ARQUIVO DA EDITORA</v>
      </c>
      <c r="Z2129" s="31"/>
      <c r="AA2129" s="31" t="str">
        <f>Tabela2[[#This Row],[ILUSTRADOR CRIAÇÃO]]</f>
        <v>INGRIDHI BORGES/ARQUIVO DA EDITORA</v>
      </c>
      <c r="AB2129" s="33">
        <v>8</v>
      </c>
      <c r="AC2129" s="16" t="s">
        <v>439</v>
      </c>
      <c r="AD2129" s="16" t="s">
        <v>40</v>
      </c>
      <c r="AE2129" s="35" t="str">
        <f t="shared" si="34"/>
        <v>EF1 E002 Mat</v>
      </c>
    </row>
    <row r="2130" spans="1:31" ht="45" x14ac:dyDescent="0.25">
      <c r="A2130" s="31" t="s">
        <v>4445</v>
      </c>
      <c r="B2130" s="16" t="s">
        <v>32</v>
      </c>
      <c r="C2130" s="16" t="s">
        <v>164</v>
      </c>
      <c r="D2130" s="33" t="s">
        <v>34</v>
      </c>
      <c r="E2130" s="33">
        <v>269</v>
      </c>
      <c r="F2130" s="33">
        <v>1</v>
      </c>
      <c r="G2130" s="33" t="s">
        <v>4419</v>
      </c>
      <c r="H2130" s="33"/>
      <c r="I2130" s="31" t="s">
        <v>995</v>
      </c>
      <c r="J2130" s="31"/>
      <c r="K2130" s="33"/>
      <c r="L2130" s="33"/>
      <c r="M2130" s="31"/>
      <c r="N2130" s="31"/>
      <c r="O2130" s="16" t="s">
        <v>4446</v>
      </c>
      <c r="P2130" s="16"/>
      <c r="Q2130" s="16"/>
      <c r="R2130" s="33">
        <v>68</v>
      </c>
      <c r="S2130" s="34">
        <v>45840</v>
      </c>
      <c r="T2130" s="34">
        <v>45840</v>
      </c>
      <c r="U2130" s="34"/>
      <c r="V2130" s="34"/>
      <c r="W2130" s="34">
        <v>45841</v>
      </c>
      <c r="X2130" s="33" t="s">
        <v>184</v>
      </c>
      <c r="Y2130" s="35" t="str">
        <f>IF(Tabela2[[#This Row],[SIGLA]]="","",VLOOKUP(Tabela2[[#This Row],[SIGLA]],Tabela1[[#All],[Sigla Arte]:[Crédito]],2,0))</f>
        <v>VER DOCUMENTO DE ILS. TÉCNICAS</v>
      </c>
      <c r="Z2130" s="31" t="s">
        <v>4391</v>
      </c>
      <c r="AA2130" s="46" t="s">
        <v>4066</v>
      </c>
      <c r="AB2130" s="33">
        <v>13</v>
      </c>
      <c r="AC2130" s="16" t="s">
        <v>1516</v>
      </c>
      <c r="AD2130" s="16" t="s">
        <v>40</v>
      </c>
      <c r="AE2130" s="35" t="str">
        <f t="shared" si="34"/>
        <v>EF1 E002 Mat</v>
      </c>
    </row>
    <row r="2131" spans="1:31" ht="45" x14ac:dyDescent="0.25">
      <c r="A2131" s="31" t="s">
        <v>4447</v>
      </c>
      <c r="B2131" s="16" t="s">
        <v>32</v>
      </c>
      <c r="C2131" s="16" t="s">
        <v>164</v>
      </c>
      <c r="D2131" s="33" t="s">
        <v>34</v>
      </c>
      <c r="E2131" s="33">
        <v>277</v>
      </c>
      <c r="F2131" s="33">
        <v>1</v>
      </c>
      <c r="G2131" s="33" t="s">
        <v>4419</v>
      </c>
      <c r="H2131" s="33"/>
      <c r="I2131" s="31" t="s">
        <v>46</v>
      </c>
      <c r="J2131" s="31"/>
      <c r="K2131" s="33"/>
      <c r="L2131" s="33"/>
      <c r="M2131" s="31"/>
      <c r="N2131" s="31"/>
      <c r="O2131" s="16" t="s">
        <v>4448</v>
      </c>
      <c r="P2131" s="16"/>
      <c r="Q2131" s="16"/>
      <c r="R2131" s="33"/>
      <c r="S2131" s="34"/>
      <c r="T2131" s="34"/>
      <c r="U2131" s="34"/>
      <c r="V2131" s="34"/>
      <c r="W2131" s="34"/>
      <c r="X2131" s="33" t="s">
        <v>162</v>
      </c>
      <c r="Y2131" s="35" t="str">
        <f>IF(Tabela2[[#This Row],[SIGLA]]="","",VLOOKUP(Tabela2[[#This Row],[SIGLA]],Tabela1[[#All],[Sigla Arte]:[Crédito]],2,0))</f>
        <v>IVY NUNES/ARQUIVO DA EDITORA</v>
      </c>
      <c r="Z2131" s="31"/>
      <c r="AA2131" s="31" t="str">
        <f>Tabela2[[#This Row],[ILUSTRADOR CRIAÇÃO]]</f>
        <v>IVY NUNES/ARQUIVO DA EDITORA</v>
      </c>
      <c r="AB2131" s="33"/>
      <c r="AC2131" s="16"/>
      <c r="AE2131" s="35" t="str">
        <f t="shared" si="34"/>
        <v>EF1 E002 Mat</v>
      </c>
    </row>
    <row r="2132" spans="1:31" ht="300" x14ac:dyDescent="0.25">
      <c r="A2132" s="31" t="s">
        <v>4449</v>
      </c>
      <c r="B2132" s="16" t="s">
        <v>32</v>
      </c>
      <c r="C2132" s="16" t="s">
        <v>164</v>
      </c>
      <c r="D2132" s="33" t="s">
        <v>34</v>
      </c>
      <c r="E2132" s="33">
        <v>279</v>
      </c>
      <c r="F2132" s="33">
        <v>1</v>
      </c>
      <c r="G2132" s="33" t="s">
        <v>4419</v>
      </c>
      <c r="H2132" s="33"/>
      <c r="I2132" s="31" t="s">
        <v>995</v>
      </c>
      <c r="J2132" s="31"/>
      <c r="K2132" s="33"/>
      <c r="L2132" s="33"/>
      <c r="M2132" s="31"/>
      <c r="N2132" s="31"/>
      <c r="O2132" s="16" t="s">
        <v>4450</v>
      </c>
      <c r="P2132" s="16"/>
      <c r="Q2132" s="16"/>
      <c r="R2132" s="33">
        <v>68</v>
      </c>
      <c r="S2132" s="34">
        <v>45840</v>
      </c>
      <c r="T2132" s="34">
        <v>45841</v>
      </c>
      <c r="U2132" s="34">
        <v>45847</v>
      </c>
      <c r="V2132" s="34">
        <v>45849</v>
      </c>
      <c r="W2132" s="34">
        <v>45853</v>
      </c>
      <c r="X2132" s="33" t="s">
        <v>3056</v>
      </c>
      <c r="Y2132" s="35" t="str">
        <f>IF(Tabela2[[#This Row],[SIGLA]]="","",VLOOKUP(Tabela2[[#This Row],[SIGLA]],Tabela1[[#All],[Sigla Arte]:[Crédito]],2,0))</f>
        <v>LEONARDO DE MOURA AMARAL/ARQUIVO DA EDITORA</v>
      </c>
      <c r="Z2132" s="31"/>
      <c r="AA2132" s="31" t="str">
        <f>Tabela2[[#This Row],[ILUSTRADOR CRIAÇÃO]]</f>
        <v>LEONARDO DE MOURA AMARAL/ARQUIVO DA EDITORA</v>
      </c>
      <c r="AB2132" s="33">
        <v>3</v>
      </c>
      <c r="AC2132" s="16" t="s">
        <v>4451</v>
      </c>
      <c r="AD2132" s="16" t="s">
        <v>1093</v>
      </c>
      <c r="AE2132" s="35" t="str">
        <f t="shared" si="34"/>
        <v>EF1 E002 Mat</v>
      </c>
    </row>
    <row r="2133" spans="1:31" ht="135" x14ac:dyDescent="0.25">
      <c r="A2133" s="31" t="s">
        <v>4452</v>
      </c>
      <c r="B2133" s="16" t="s">
        <v>32</v>
      </c>
      <c r="C2133" s="16" t="s">
        <v>164</v>
      </c>
      <c r="D2133" s="33" t="s">
        <v>34</v>
      </c>
      <c r="E2133" s="33">
        <v>283</v>
      </c>
      <c r="F2133" s="33">
        <v>1</v>
      </c>
      <c r="G2133" s="33" t="s">
        <v>4419</v>
      </c>
      <c r="H2133" s="33"/>
      <c r="I2133" s="31" t="s">
        <v>35</v>
      </c>
      <c r="J2133" s="31"/>
      <c r="K2133" s="33"/>
      <c r="L2133" s="33"/>
      <c r="M2133" s="31"/>
      <c r="N2133" s="31"/>
      <c r="O2133" s="16" t="s">
        <v>4453</v>
      </c>
      <c r="P2133" s="16"/>
      <c r="Q2133" s="16"/>
      <c r="R2133" s="33">
        <v>68</v>
      </c>
      <c r="S2133" s="34">
        <v>45840</v>
      </c>
      <c r="T2133" s="34">
        <v>45840</v>
      </c>
      <c r="U2133" s="34"/>
      <c r="V2133" s="34"/>
      <c r="W2133" s="34">
        <v>45841</v>
      </c>
      <c r="X2133" s="33" t="s">
        <v>48</v>
      </c>
      <c r="Y2133" s="35" t="str">
        <f>IF(Tabela2[[#This Row],[SIGLA]]="","",VLOOKUP(Tabela2[[#This Row],[SIGLA]],Tabela1[[#All],[Sigla Arte]:[Crédito]],2,0))</f>
        <v>SERGIO LIMA/ARQUIVO DA EDITORA</v>
      </c>
      <c r="Z2133" s="31" t="s">
        <v>4391</v>
      </c>
      <c r="AA2133" s="31" t="str">
        <f>Tabela2[[#This Row],[ILUSTRADOR CRIAÇÃO]]</f>
        <v>SERGIO LIMA/ARQUIVO DA EDITORA</v>
      </c>
      <c r="AB2133" s="33">
        <v>13</v>
      </c>
      <c r="AC2133" s="16" t="s">
        <v>222</v>
      </c>
      <c r="AD2133" s="16" t="s">
        <v>40</v>
      </c>
      <c r="AE2133" s="35" t="str">
        <f t="shared" si="34"/>
        <v>EF1 E002 Mat</v>
      </c>
    </row>
    <row r="2134" spans="1:31" ht="150" x14ac:dyDescent="0.25">
      <c r="A2134" s="31" t="s">
        <v>4454</v>
      </c>
      <c r="B2134" s="16" t="s">
        <v>32</v>
      </c>
      <c r="C2134" s="16" t="s">
        <v>164</v>
      </c>
      <c r="D2134" s="33" t="s">
        <v>34</v>
      </c>
      <c r="E2134" s="33">
        <v>285</v>
      </c>
      <c r="F2134" s="33">
        <v>1</v>
      </c>
      <c r="G2134" s="33" t="s">
        <v>4419</v>
      </c>
      <c r="H2134" s="33"/>
      <c r="I2134" s="31" t="s">
        <v>35</v>
      </c>
      <c r="J2134" s="31"/>
      <c r="K2134" s="33"/>
      <c r="L2134" s="33"/>
      <c r="M2134" s="31"/>
      <c r="N2134" s="31"/>
      <c r="O2134" s="16" t="s">
        <v>4455</v>
      </c>
      <c r="P2134" s="16"/>
      <c r="Q2134" s="16"/>
      <c r="R2134" s="33">
        <v>68</v>
      </c>
      <c r="S2134" s="34">
        <v>45840</v>
      </c>
      <c r="T2134" s="34">
        <v>45840</v>
      </c>
      <c r="U2134" s="34"/>
      <c r="V2134" s="34"/>
      <c r="W2134" s="34">
        <v>45841</v>
      </c>
      <c r="X2134" s="33" t="s">
        <v>48</v>
      </c>
      <c r="Y2134" s="35" t="str">
        <f>IF(Tabela2[[#This Row],[SIGLA]]="","",VLOOKUP(Tabela2[[#This Row],[SIGLA]],Tabela1[[#All],[Sigla Arte]:[Crédito]],2,0))</f>
        <v>SERGIO LIMA/ARQUIVO DA EDITORA</v>
      </c>
      <c r="Z2134" s="31" t="s">
        <v>4391</v>
      </c>
      <c r="AA2134" s="31" t="str">
        <f>Tabela2[[#This Row],[ILUSTRADOR CRIAÇÃO]]</f>
        <v>SERGIO LIMA/ARQUIVO DA EDITORA</v>
      </c>
      <c r="AB2134" s="33">
        <v>13</v>
      </c>
      <c r="AC2134" s="16" t="s">
        <v>222</v>
      </c>
      <c r="AD2134" s="16" t="s">
        <v>40</v>
      </c>
      <c r="AE2134" s="35" t="str">
        <f t="shared" si="34"/>
        <v>EF1 E002 Mat</v>
      </c>
    </row>
    <row r="2135" spans="1:31" ht="135" x14ac:dyDescent="0.25">
      <c r="A2135" s="31" t="s">
        <v>4456</v>
      </c>
      <c r="B2135" s="16" t="s">
        <v>32</v>
      </c>
      <c r="C2135" s="16" t="s">
        <v>164</v>
      </c>
      <c r="D2135" s="33" t="s">
        <v>34</v>
      </c>
      <c r="E2135" s="33">
        <v>285</v>
      </c>
      <c r="F2135" s="33">
        <v>1</v>
      </c>
      <c r="G2135" s="33" t="s">
        <v>4419</v>
      </c>
      <c r="H2135" s="33"/>
      <c r="I2135" s="31" t="s">
        <v>35</v>
      </c>
      <c r="J2135" s="31"/>
      <c r="K2135" s="33"/>
      <c r="L2135" s="33"/>
      <c r="M2135" s="31"/>
      <c r="N2135" s="31"/>
      <c r="O2135" s="16" t="s">
        <v>4457</v>
      </c>
      <c r="P2135" s="16"/>
      <c r="Q2135" s="16"/>
      <c r="R2135" s="33">
        <v>68</v>
      </c>
      <c r="S2135" s="34">
        <v>45840</v>
      </c>
      <c r="T2135" s="34">
        <v>45840</v>
      </c>
      <c r="U2135" s="34"/>
      <c r="V2135" s="34"/>
      <c r="W2135" s="34">
        <v>45841</v>
      </c>
      <c r="X2135" s="33" t="s">
        <v>48</v>
      </c>
      <c r="Y2135" s="35" t="str">
        <f>IF(Tabela2[[#This Row],[SIGLA]]="","",VLOOKUP(Tabela2[[#This Row],[SIGLA]],Tabela1[[#All],[Sigla Arte]:[Crédito]],2,0))</f>
        <v>SERGIO LIMA/ARQUIVO DA EDITORA</v>
      </c>
      <c r="Z2135" s="31" t="s">
        <v>4391</v>
      </c>
      <c r="AA2135" s="31" t="str">
        <f>Tabela2[[#This Row],[ILUSTRADOR CRIAÇÃO]]</f>
        <v>SERGIO LIMA/ARQUIVO DA EDITORA</v>
      </c>
      <c r="AB2135" s="33">
        <v>13</v>
      </c>
      <c r="AC2135" s="16" t="s">
        <v>222</v>
      </c>
      <c r="AD2135" s="16" t="s">
        <v>40</v>
      </c>
      <c r="AE2135" s="35" t="str">
        <f t="shared" si="34"/>
        <v>EF1 E002 Mat</v>
      </c>
    </row>
    <row r="2136" spans="1:31" ht="165" x14ac:dyDescent="0.25">
      <c r="A2136" s="31" t="s">
        <v>4458</v>
      </c>
      <c r="B2136" s="16" t="s">
        <v>32</v>
      </c>
      <c r="C2136" s="16" t="s">
        <v>164</v>
      </c>
      <c r="D2136" s="33" t="s">
        <v>34</v>
      </c>
      <c r="E2136" s="33">
        <v>287</v>
      </c>
      <c r="F2136" s="33">
        <v>1</v>
      </c>
      <c r="G2136" s="33" t="s">
        <v>4419</v>
      </c>
      <c r="H2136" s="33"/>
      <c r="I2136" s="31" t="s">
        <v>35</v>
      </c>
      <c r="J2136" s="31"/>
      <c r="K2136" s="33"/>
      <c r="L2136" s="33"/>
      <c r="M2136" s="31"/>
      <c r="N2136" s="31"/>
      <c r="O2136" s="16" t="s">
        <v>4459</v>
      </c>
      <c r="P2136" s="16"/>
      <c r="Q2136" s="16"/>
      <c r="R2136" s="33">
        <v>68</v>
      </c>
      <c r="S2136" s="34">
        <v>45840</v>
      </c>
      <c r="T2136" s="34">
        <v>45840</v>
      </c>
      <c r="U2136" s="34"/>
      <c r="V2136" s="34"/>
      <c r="W2136" s="34">
        <v>45841</v>
      </c>
      <c r="X2136" s="33" t="s">
        <v>48</v>
      </c>
      <c r="Y2136" s="35" t="str">
        <f>IF(Tabela2[[#This Row],[SIGLA]]="","",VLOOKUP(Tabela2[[#This Row],[SIGLA]],Tabela1[[#All],[Sigla Arte]:[Crédito]],2,0))</f>
        <v>SERGIO LIMA/ARQUIVO DA EDITORA</v>
      </c>
      <c r="Z2136" s="31" t="s">
        <v>4391</v>
      </c>
      <c r="AA2136" s="31" t="str">
        <f>Tabela2[[#This Row],[ILUSTRADOR CRIAÇÃO]]</f>
        <v>SERGIO LIMA/ARQUIVO DA EDITORA</v>
      </c>
      <c r="AB2136" s="33">
        <v>13</v>
      </c>
      <c r="AC2136" s="16" t="s">
        <v>222</v>
      </c>
      <c r="AD2136" s="16" t="s">
        <v>40</v>
      </c>
      <c r="AE2136" s="35" t="str">
        <f t="shared" si="34"/>
        <v>EF1 E002 Mat</v>
      </c>
    </row>
    <row r="2137" spans="1:31" ht="135" x14ac:dyDescent="0.25">
      <c r="A2137" s="31" t="s">
        <v>4460</v>
      </c>
      <c r="B2137" s="16" t="s">
        <v>32</v>
      </c>
      <c r="C2137" s="16" t="s">
        <v>164</v>
      </c>
      <c r="D2137" s="33" t="s">
        <v>34</v>
      </c>
      <c r="E2137" s="33">
        <v>287</v>
      </c>
      <c r="F2137" s="33">
        <v>1</v>
      </c>
      <c r="G2137" s="33" t="s">
        <v>4419</v>
      </c>
      <c r="H2137" s="33"/>
      <c r="I2137" s="31" t="s">
        <v>35</v>
      </c>
      <c r="J2137" s="31"/>
      <c r="K2137" s="33"/>
      <c r="L2137" s="33"/>
      <c r="M2137" s="31"/>
      <c r="N2137" s="31"/>
      <c r="O2137" s="16" t="s">
        <v>4461</v>
      </c>
      <c r="P2137" s="16"/>
      <c r="Q2137" s="16"/>
      <c r="R2137" s="33">
        <v>68</v>
      </c>
      <c r="S2137" s="34">
        <v>45840</v>
      </c>
      <c r="T2137" s="34">
        <v>45840</v>
      </c>
      <c r="U2137" s="34"/>
      <c r="V2137" s="34"/>
      <c r="W2137" s="34">
        <v>45841</v>
      </c>
      <c r="X2137" s="33" t="s">
        <v>48</v>
      </c>
      <c r="Y2137" s="35" t="str">
        <f>IF(Tabela2[[#This Row],[SIGLA]]="","",VLOOKUP(Tabela2[[#This Row],[SIGLA]],Tabela1[[#All],[Sigla Arte]:[Crédito]],2,0))</f>
        <v>SERGIO LIMA/ARQUIVO DA EDITORA</v>
      </c>
      <c r="Z2137" s="31" t="s">
        <v>4391</v>
      </c>
      <c r="AA2137" s="31" t="str">
        <f>Tabela2[[#This Row],[ILUSTRADOR CRIAÇÃO]]</f>
        <v>SERGIO LIMA/ARQUIVO DA EDITORA</v>
      </c>
      <c r="AB2137" s="33">
        <v>13</v>
      </c>
      <c r="AC2137" s="16" t="s">
        <v>222</v>
      </c>
      <c r="AD2137" s="16" t="s">
        <v>40</v>
      </c>
      <c r="AE2137" s="35" t="str">
        <f t="shared" si="34"/>
        <v>EF1 E002 Mat</v>
      </c>
    </row>
    <row r="2138" spans="1:31" ht="315" x14ac:dyDescent="0.25">
      <c r="A2138" s="31" t="s">
        <v>4462</v>
      </c>
      <c r="B2138" s="16" t="s">
        <v>32</v>
      </c>
      <c r="C2138" s="16" t="s">
        <v>33</v>
      </c>
      <c r="D2138" s="33" t="s">
        <v>34</v>
      </c>
      <c r="E2138" s="33">
        <v>201</v>
      </c>
      <c r="F2138" s="33">
        <v>1</v>
      </c>
      <c r="G2138" s="33">
        <v>8</v>
      </c>
      <c r="H2138" s="33"/>
      <c r="I2138" s="31" t="s">
        <v>995</v>
      </c>
      <c r="J2138" s="31"/>
      <c r="K2138" s="33"/>
      <c r="L2138" s="33"/>
      <c r="M2138" s="31"/>
      <c r="N2138" s="31"/>
      <c r="O2138" s="16" t="s">
        <v>4463</v>
      </c>
      <c r="P2138" s="16"/>
      <c r="Q2138" s="16"/>
      <c r="R2138" s="33">
        <v>68</v>
      </c>
      <c r="S2138" s="34">
        <v>45840</v>
      </c>
      <c r="T2138" s="34">
        <v>45841</v>
      </c>
      <c r="U2138" s="34">
        <v>45847</v>
      </c>
      <c r="V2138" s="34">
        <v>45849</v>
      </c>
      <c r="W2138" s="34">
        <v>45853</v>
      </c>
      <c r="X2138" s="33" t="s">
        <v>3056</v>
      </c>
      <c r="Y2138" s="35" t="str">
        <f>IF(Tabela2[[#This Row],[SIGLA]]="","",VLOOKUP(Tabela2[[#This Row],[SIGLA]],Tabela1[[#All],[Sigla Arte]:[Crédito]],2,0))</f>
        <v>LEONARDO DE MOURA AMARAL/ARQUIVO DA EDITORA</v>
      </c>
      <c r="Z2138" s="31"/>
      <c r="AA2138" s="31" t="str">
        <f>Tabela2[[#This Row],[ILUSTRADOR CRIAÇÃO]]</f>
        <v>LEONARDO DE MOURA AMARAL/ARQUIVO DA EDITORA</v>
      </c>
      <c r="AB2138" s="33">
        <v>4</v>
      </c>
      <c r="AC2138" s="16" t="s">
        <v>4451</v>
      </c>
      <c r="AD2138" s="16" t="s">
        <v>1093</v>
      </c>
      <c r="AE2138" s="35" t="str">
        <f t="shared" si="34"/>
        <v>EF1 E002 Mat</v>
      </c>
    </row>
    <row r="2139" spans="1:31" ht="135" x14ac:dyDescent="0.25">
      <c r="A2139" s="31" t="s">
        <v>4464</v>
      </c>
      <c r="B2139" s="16" t="s">
        <v>32</v>
      </c>
      <c r="C2139" s="16" t="s">
        <v>164</v>
      </c>
      <c r="D2139" s="33" t="s">
        <v>34</v>
      </c>
      <c r="E2139" s="33">
        <v>265</v>
      </c>
      <c r="F2139" s="33">
        <v>2</v>
      </c>
      <c r="G2139" s="33" t="s">
        <v>4419</v>
      </c>
      <c r="H2139" s="33"/>
      <c r="I2139" s="31" t="s">
        <v>995</v>
      </c>
      <c r="J2139" s="31"/>
      <c r="K2139" s="33"/>
      <c r="L2139" s="33"/>
      <c r="M2139" s="31"/>
      <c r="N2139" s="31"/>
      <c r="O2139" s="16" t="s">
        <v>4465</v>
      </c>
      <c r="P2139" s="16"/>
      <c r="Q2139" s="16"/>
      <c r="R2139" s="33">
        <v>69</v>
      </c>
      <c r="S2139" s="34">
        <v>45840</v>
      </c>
      <c r="T2139" s="34">
        <v>45840</v>
      </c>
      <c r="U2139" s="34"/>
      <c r="V2139" s="34"/>
      <c r="W2139" s="34">
        <v>45840</v>
      </c>
      <c r="X2139" s="33" t="s">
        <v>1201</v>
      </c>
      <c r="Y2139" s="35" t="str">
        <f>IF(Tabela2[[#This Row],[SIGLA]]="","",VLOOKUP(Tabela2[[#This Row],[SIGLA]],Tabela1[[#All],[Sigla Arte]:[Crédito]],2,0))</f>
        <v>RAFAELA PANISSA/ARQUIVO DA EDITORA</v>
      </c>
      <c r="Z2139" s="31"/>
      <c r="AA2139" s="31" t="str">
        <f>Tabela2[[#This Row],[ILUSTRADOR CRIAÇÃO]]</f>
        <v>RAFAELA PANISSA/ARQUIVO DA EDITORA</v>
      </c>
      <c r="AB2139" s="33">
        <v>8</v>
      </c>
      <c r="AC2139" s="16" t="s">
        <v>439</v>
      </c>
      <c r="AD2139" s="16" t="s">
        <v>40</v>
      </c>
      <c r="AE2139" s="35" t="str">
        <f t="shared" si="34"/>
        <v>EF1 E002 Mat</v>
      </c>
    </row>
    <row r="2140" spans="1:31" ht="135" x14ac:dyDescent="0.25">
      <c r="A2140" s="31" t="s">
        <v>4466</v>
      </c>
      <c r="B2140" s="16" t="s">
        <v>32</v>
      </c>
      <c r="C2140" s="16" t="s">
        <v>164</v>
      </c>
      <c r="D2140" s="33" t="s">
        <v>34</v>
      </c>
      <c r="E2140" s="33">
        <v>267</v>
      </c>
      <c r="F2140" s="33">
        <v>2</v>
      </c>
      <c r="G2140" s="33" t="s">
        <v>4419</v>
      </c>
      <c r="H2140" s="33"/>
      <c r="I2140" s="31" t="s">
        <v>995</v>
      </c>
      <c r="J2140" s="31"/>
      <c r="K2140" s="33"/>
      <c r="L2140" s="33"/>
      <c r="M2140" s="31"/>
      <c r="N2140" s="31"/>
      <c r="O2140" s="16" t="s">
        <v>4467</v>
      </c>
      <c r="P2140" s="16"/>
      <c r="Q2140" s="16"/>
      <c r="R2140" s="33">
        <v>69</v>
      </c>
      <c r="S2140" s="34">
        <v>45840</v>
      </c>
      <c r="T2140" s="34">
        <v>45840</v>
      </c>
      <c r="U2140" s="34"/>
      <c r="V2140" s="34"/>
      <c r="W2140" s="34">
        <v>45840</v>
      </c>
      <c r="X2140" s="33" t="s">
        <v>1201</v>
      </c>
      <c r="Y2140" s="35" t="str">
        <f>IF(Tabela2[[#This Row],[SIGLA]]="","",VLOOKUP(Tabela2[[#This Row],[SIGLA]],Tabela1[[#All],[Sigla Arte]:[Crédito]],2,0))</f>
        <v>RAFAELA PANISSA/ARQUIVO DA EDITORA</v>
      </c>
      <c r="Z2140" s="31"/>
      <c r="AA2140" s="31" t="str">
        <f>Tabela2[[#This Row],[ILUSTRADOR CRIAÇÃO]]</f>
        <v>RAFAELA PANISSA/ARQUIVO DA EDITORA</v>
      </c>
      <c r="AB2140" s="33">
        <v>8</v>
      </c>
      <c r="AC2140" s="16" t="s">
        <v>439</v>
      </c>
      <c r="AD2140" s="16" t="s">
        <v>40</v>
      </c>
      <c r="AE2140" s="35" t="str">
        <f t="shared" si="34"/>
        <v>EF1 E002 Mat</v>
      </c>
    </row>
    <row r="2141" spans="1:31" ht="135" x14ac:dyDescent="0.25">
      <c r="A2141" s="31" t="s">
        <v>4468</v>
      </c>
      <c r="B2141" s="16" t="s">
        <v>32</v>
      </c>
      <c r="C2141" s="16" t="s">
        <v>164</v>
      </c>
      <c r="D2141" s="33" t="s">
        <v>34</v>
      </c>
      <c r="E2141" s="33">
        <v>269</v>
      </c>
      <c r="F2141" s="33">
        <v>2</v>
      </c>
      <c r="G2141" s="33" t="s">
        <v>4419</v>
      </c>
      <c r="H2141" s="33"/>
      <c r="I2141" s="31" t="s">
        <v>995</v>
      </c>
      <c r="J2141" s="31"/>
      <c r="K2141" s="33"/>
      <c r="L2141" s="33"/>
      <c r="M2141" s="31"/>
      <c r="N2141" s="31"/>
      <c r="O2141" s="16" t="s">
        <v>4469</v>
      </c>
      <c r="P2141" s="16"/>
      <c r="Q2141" s="16"/>
      <c r="R2141" s="33">
        <v>69</v>
      </c>
      <c r="S2141" s="34">
        <v>45840</v>
      </c>
      <c r="T2141" s="34">
        <v>45840</v>
      </c>
      <c r="U2141" s="34"/>
      <c r="V2141" s="34"/>
      <c r="W2141" s="34">
        <v>45840</v>
      </c>
      <c r="X2141" s="33" t="s">
        <v>1201</v>
      </c>
      <c r="Y2141" s="35" t="str">
        <f>IF(Tabela2[[#This Row],[SIGLA]]="","",VLOOKUP(Tabela2[[#This Row],[SIGLA]],Tabela1[[#All],[Sigla Arte]:[Crédito]],2,0))</f>
        <v>RAFAELA PANISSA/ARQUIVO DA EDITORA</v>
      </c>
      <c r="Z2141" s="31"/>
      <c r="AA2141" s="31" t="str">
        <f>Tabela2[[#This Row],[ILUSTRADOR CRIAÇÃO]]</f>
        <v>RAFAELA PANISSA/ARQUIVO DA EDITORA</v>
      </c>
      <c r="AB2141" s="33">
        <v>8</v>
      </c>
      <c r="AC2141" s="16" t="s">
        <v>439</v>
      </c>
      <c r="AD2141" s="16" t="s">
        <v>40</v>
      </c>
      <c r="AE2141" s="35" t="str">
        <f t="shared" si="34"/>
        <v>EF1 E002 Mat</v>
      </c>
    </row>
    <row r="2142" spans="1:31" ht="300" x14ac:dyDescent="0.25">
      <c r="A2142" s="31" t="s">
        <v>4470</v>
      </c>
      <c r="B2142" s="16" t="s">
        <v>97</v>
      </c>
      <c r="C2142" s="16" t="s">
        <v>33</v>
      </c>
      <c r="D2142" s="33" t="s">
        <v>34</v>
      </c>
      <c r="E2142" s="33">
        <v>101</v>
      </c>
      <c r="F2142" s="33">
        <v>2</v>
      </c>
      <c r="G2142" s="33">
        <v>3</v>
      </c>
      <c r="H2142" s="33"/>
      <c r="I2142" s="31" t="s">
        <v>995</v>
      </c>
      <c r="J2142" s="31"/>
      <c r="K2142" s="33"/>
      <c r="L2142" s="33"/>
      <c r="M2142" s="31"/>
      <c r="N2142" s="31"/>
      <c r="O2142" s="16" t="s">
        <v>4471</v>
      </c>
      <c r="P2142" s="16"/>
      <c r="Q2142" s="16"/>
      <c r="R2142" s="33">
        <v>69</v>
      </c>
      <c r="S2142" s="34">
        <v>45840</v>
      </c>
      <c r="T2142" s="34">
        <v>45840</v>
      </c>
      <c r="U2142" s="34">
        <v>45847</v>
      </c>
      <c r="V2142" s="34">
        <v>45850</v>
      </c>
      <c r="W2142" s="34">
        <v>45852</v>
      </c>
      <c r="X2142" s="33" t="s">
        <v>137</v>
      </c>
      <c r="Y2142" s="35" t="str">
        <f>IF(Tabela2[[#This Row],[SIGLA]]="","",VLOOKUP(Tabela2[[#This Row],[SIGLA]],Tabela1[[#All],[Sigla Arte]:[Crédito]],2,0))</f>
        <v>FERNANDA MONTEIRO/ARQUIVO DA EDITORA</v>
      </c>
      <c r="Z2142" s="31"/>
      <c r="AA2142" s="31" t="str">
        <f>Tabela2[[#This Row],[ILUSTRADOR CRIAÇÃO]]</f>
        <v>FERNANDA MONTEIRO/ARQUIVO DA EDITORA</v>
      </c>
      <c r="AB2142" s="33">
        <v>5</v>
      </c>
      <c r="AC2142" s="16" t="s">
        <v>4472</v>
      </c>
      <c r="AD2142" s="16" t="s">
        <v>1093</v>
      </c>
      <c r="AE2142" s="35" t="str">
        <f t="shared" si="34"/>
        <v>EF1 E002 Mat</v>
      </c>
    </row>
    <row r="2143" spans="1:31" ht="30" x14ac:dyDescent="0.25">
      <c r="A2143" s="31" t="s">
        <v>4473</v>
      </c>
      <c r="B2143" s="16" t="s">
        <v>32</v>
      </c>
      <c r="C2143" s="16" t="s">
        <v>164</v>
      </c>
      <c r="D2143" s="33" t="s">
        <v>34</v>
      </c>
      <c r="E2143" s="33">
        <v>191</v>
      </c>
      <c r="F2143" s="33">
        <v>1</v>
      </c>
      <c r="G2143" s="33">
        <v>8</v>
      </c>
      <c r="H2143" s="33"/>
      <c r="I2143" s="31" t="s">
        <v>46</v>
      </c>
      <c r="J2143" s="31"/>
      <c r="K2143" s="33"/>
      <c r="L2143" s="33"/>
      <c r="M2143" s="31"/>
      <c r="N2143" s="31"/>
      <c r="O2143" s="16" t="s">
        <v>4474</v>
      </c>
      <c r="P2143" s="16"/>
      <c r="Q2143" s="16"/>
      <c r="R2143" s="33"/>
      <c r="S2143" s="34"/>
      <c r="T2143" s="34"/>
      <c r="U2143" s="34"/>
      <c r="V2143" s="34"/>
      <c r="W2143" s="34"/>
      <c r="X2143" s="33" t="s">
        <v>48</v>
      </c>
      <c r="Y2143" s="35" t="str">
        <f>IF(Tabela2[[#This Row],[SIGLA]]="","",VLOOKUP(Tabela2[[#This Row],[SIGLA]],Tabela1[[#All],[Sigla Arte]:[Crédito]],2,0))</f>
        <v>SERGIO LIMA/ARQUIVO DA EDITORA</v>
      </c>
      <c r="Z2143" s="31"/>
      <c r="AA2143" s="31" t="str">
        <f>Tabela2[[#This Row],[ILUSTRADOR CRIAÇÃO]]</f>
        <v>SERGIO LIMA/ARQUIVO DA EDITORA</v>
      </c>
      <c r="AB2143" s="33"/>
      <c r="AC2143" s="16"/>
      <c r="AE2143" s="35" t="str">
        <f t="shared" si="34"/>
        <v>EF1 E002 Mat</v>
      </c>
    </row>
    <row r="2144" spans="1:31" ht="60" x14ac:dyDescent="0.25">
      <c r="A2144" s="31" t="s">
        <v>4475</v>
      </c>
      <c r="B2144" s="16" t="s">
        <v>32</v>
      </c>
      <c r="C2144" s="16" t="s">
        <v>164</v>
      </c>
      <c r="D2144" s="33" t="s">
        <v>34</v>
      </c>
      <c r="E2144" s="33">
        <v>191</v>
      </c>
      <c r="F2144" s="33">
        <v>1</v>
      </c>
      <c r="G2144" s="33">
        <v>8</v>
      </c>
      <c r="H2144" s="33"/>
      <c r="I2144" s="31" t="s">
        <v>46</v>
      </c>
      <c r="J2144" s="31"/>
      <c r="K2144" s="33"/>
      <c r="L2144" s="33"/>
      <c r="M2144" s="31"/>
      <c r="N2144" s="31"/>
      <c r="O2144" s="16" t="s">
        <v>4476</v>
      </c>
      <c r="P2144" s="16"/>
      <c r="Q2144" s="16"/>
      <c r="R2144" s="33"/>
      <c r="S2144" s="34"/>
      <c r="T2144" s="34"/>
      <c r="U2144" s="34"/>
      <c r="V2144" s="34"/>
      <c r="W2144" s="34"/>
      <c r="X2144" s="33" t="s">
        <v>48</v>
      </c>
      <c r="Y2144" s="35" t="str">
        <f>IF(Tabela2[[#This Row],[SIGLA]]="","",VLOOKUP(Tabela2[[#This Row],[SIGLA]],Tabela1[[#All],[Sigla Arte]:[Crédito]],2,0))</f>
        <v>SERGIO LIMA/ARQUIVO DA EDITORA</v>
      </c>
      <c r="Z2144" s="31"/>
      <c r="AA2144" s="31" t="str">
        <f>Tabela2[[#This Row],[ILUSTRADOR CRIAÇÃO]]</f>
        <v>SERGIO LIMA/ARQUIVO DA EDITORA</v>
      </c>
      <c r="AB2144" s="33"/>
      <c r="AC2144" s="16"/>
      <c r="AE2144" s="35" t="str">
        <f t="shared" si="34"/>
        <v>EF1 E002 Mat</v>
      </c>
    </row>
    <row r="2145" spans="1:31" ht="30" x14ac:dyDescent="0.25">
      <c r="A2145" s="31" t="s">
        <v>4477</v>
      </c>
      <c r="B2145" s="16" t="s">
        <v>32</v>
      </c>
      <c r="C2145" s="16" t="s">
        <v>164</v>
      </c>
      <c r="D2145" s="33" t="s">
        <v>34</v>
      </c>
      <c r="E2145" s="33">
        <v>191</v>
      </c>
      <c r="F2145" s="33">
        <v>1</v>
      </c>
      <c r="G2145" s="33">
        <v>8</v>
      </c>
      <c r="H2145" s="33"/>
      <c r="I2145" s="31" t="s">
        <v>46</v>
      </c>
      <c r="J2145" s="31"/>
      <c r="K2145" s="33"/>
      <c r="L2145" s="33"/>
      <c r="M2145" s="31"/>
      <c r="N2145" s="31"/>
      <c r="O2145" s="16" t="s">
        <v>4478</v>
      </c>
      <c r="P2145" s="16"/>
      <c r="Q2145" s="16"/>
      <c r="R2145" s="33"/>
      <c r="S2145" s="34"/>
      <c r="T2145" s="34"/>
      <c r="U2145" s="34"/>
      <c r="V2145" s="34"/>
      <c r="W2145" s="34"/>
      <c r="X2145" s="33" t="s">
        <v>48</v>
      </c>
      <c r="Y2145" s="35" t="str">
        <f>IF(Tabela2[[#This Row],[SIGLA]]="","",VLOOKUP(Tabela2[[#This Row],[SIGLA]],Tabela1[[#All],[Sigla Arte]:[Crédito]],2,0))</f>
        <v>SERGIO LIMA/ARQUIVO DA EDITORA</v>
      </c>
      <c r="Z2145" s="31"/>
      <c r="AA2145" s="31" t="str">
        <f>Tabela2[[#This Row],[ILUSTRADOR CRIAÇÃO]]</f>
        <v>SERGIO LIMA/ARQUIVO DA EDITORA</v>
      </c>
      <c r="AB2145" s="33"/>
      <c r="AC2145" s="16"/>
      <c r="AE2145" s="35" t="str">
        <f t="shared" si="34"/>
        <v>EF1 E002 Mat</v>
      </c>
    </row>
    <row r="2146" spans="1:31" ht="75" x14ac:dyDescent="0.25">
      <c r="A2146" s="31" t="s">
        <v>4479</v>
      </c>
      <c r="B2146" s="16" t="s">
        <v>401</v>
      </c>
      <c r="C2146" s="16" t="s">
        <v>164</v>
      </c>
      <c r="D2146" s="33" t="s">
        <v>34</v>
      </c>
      <c r="E2146" s="33">
        <v>271</v>
      </c>
      <c r="F2146" s="33">
        <v>2</v>
      </c>
      <c r="G2146" s="33" t="s">
        <v>4419</v>
      </c>
      <c r="H2146" s="33"/>
      <c r="I2146" s="31" t="s">
        <v>995</v>
      </c>
      <c r="J2146" s="31"/>
      <c r="K2146" s="33"/>
      <c r="L2146" s="33"/>
      <c r="M2146" s="31"/>
      <c r="N2146" s="31"/>
      <c r="O2146" s="16" t="s">
        <v>4480</v>
      </c>
      <c r="P2146" s="16"/>
      <c r="Q2146" s="16"/>
      <c r="R2146" s="33">
        <v>71</v>
      </c>
      <c r="S2146" s="34">
        <v>45840</v>
      </c>
      <c r="T2146" s="34">
        <v>45841</v>
      </c>
      <c r="U2146" s="34"/>
      <c r="V2146" s="34"/>
      <c r="W2146" s="34">
        <v>45841</v>
      </c>
      <c r="X2146" s="33" t="s">
        <v>1201</v>
      </c>
      <c r="Y2146" s="35" t="str">
        <f>IF(Tabela2[[#This Row],[SIGLA]]="","",VLOOKUP(Tabela2[[#This Row],[SIGLA]],Tabela1[[#All],[Sigla Arte]:[Crédito]],2,0))</f>
        <v>RAFAELA PANISSA/ARQUIVO DA EDITORA</v>
      </c>
      <c r="Z2146" s="31"/>
      <c r="AA2146" s="31" t="str">
        <f>Tabela2[[#This Row],[ILUSTRADOR CRIAÇÃO]]</f>
        <v>RAFAELA PANISSA/ARQUIVO DA EDITORA</v>
      </c>
      <c r="AB2146" s="33">
        <v>8</v>
      </c>
      <c r="AC2146" s="16" t="s">
        <v>2102</v>
      </c>
      <c r="AD2146" s="16" t="s">
        <v>40</v>
      </c>
      <c r="AE2146" s="35" t="str">
        <f t="shared" si="34"/>
        <v>EF1 E002 Mat</v>
      </c>
    </row>
    <row r="2147" spans="1:31" ht="60" x14ac:dyDescent="0.25">
      <c r="A2147" s="31" t="s">
        <v>4481</v>
      </c>
      <c r="B2147" s="16" t="s">
        <v>401</v>
      </c>
      <c r="C2147" s="16" t="s">
        <v>164</v>
      </c>
      <c r="D2147" s="33" t="s">
        <v>34</v>
      </c>
      <c r="E2147" s="33">
        <v>273</v>
      </c>
      <c r="F2147" s="33">
        <v>2</v>
      </c>
      <c r="G2147" s="33" t="s">
        <v>4419</v>
      </c>
      <c r="H2147" s="33"/>
      <c r="I2147" s="31" t="s">
        <v>995</v>
      </c>
      <c r="J2147" s="31"/>
      <c r="K2147" s="33"/>
      <c r="L2147" s="33"/>
      <c r="M2147" s="31"/>
      <c r="N2147" s="31"/>
      <c r="O2147" s="16" t="s">
        <v>4482</v>
      </c>
      <c r="P2147" s="16"/>
      <c r="Q2147" s="16"/>
      <c r="R2147" s="33">
        <v>71</v>
      </c>
      <c r="S2147" s="34">
        <v>45840</v>
      </c>
      <c r="T2147" s="34">
        <v>45841</v>
      </c>
      <c r="U2147" s="34"/>
      <c r="V2147" s="34"/>
      <c r="W2147" s="34">
        <v>45841</v>
      </c>
      <c r="X2147" s="33" t="s">
        <v>1201</v>
      </c>
      <c r="Y2147" s="35" t="str">
        <f>IF(Tabela2[[#This Row],[SIGLA]]="","",VLOOKUP(Tabela2[[#This Row],[SIGLA]],Tabela1[[#All],[Sigla Arte]:[Crédito]],2,0))</f>
        <v>RAFAELA PANISSA/ARQUIVO DA EDITORA</v>
      </c>
      <c r="Z2147" s="31"/>
      <c r="AA2147" s="31" t="str">
        <f>Tabela2[[#This Row],[ILUSTRADOR CRIAÇÃO]]</f>
        <v>RAFAELA PANISSA/ARQUIVO DA EDITORA</v>
      </c>
      <c r="AB2147" s="33">
        <v>8</v>
      </c>
      <c r="AC2147" s="16" t="s">
        <v>2102</v>
      </c>
      <c r="AD2147" s="16" t="s">
        <v>40</v>
      </c>
      <c r="AE2147" s="35" t="str">
        <f t="shared" si="34"/>
        <v>EF1 E002 Mat</v>
      </c>
    </row>
    <row r="2148" spans="1:31" ht="135" x14ac:dyDescent="0.25">
      <c r="A2148" s="31" t="s">
        <v>4483</v>
      </c>
      <c r="B2148" s="16" t="s">
        <v>32</v>
      </c>
      <c r="C2148" s="16" t="s">
        <v>33</v>
      </c>
      <c r="D2148" s="33" t="s">
        <v>34</v>
      </c>
      <c r="E2148" s="33">
        <v>16</v>
      </c>
      <c r="F2148" s="33">
        <v>3</v>
      </c>
      <c r="G2148" s="33">
        <v>1</v>
      </c>
      <c r="H2148" s="33"/>
      <c r="I2148" s="31" t="s">
        <v>995</v>
      </c>
      <c r="J2148" s="31"/>
      <c r="K2148" s="33"/>
      <c r="L2148" s="33"/>
      <c r="M2148" s="31"/>
      <c r="N2148" s="31"/>
      <c r="O2148" s="16" t="s">
        <v>4484</v>
      </c>
      <c r="P2148" s="16"/>
      <c r="Q2148" s="16"/>
      <c r="R2148" s="33">
        <v>72</v>
      </c>
      <c r="S2148" s="34">
        <v>45841</v>
      </c>
      <c r="T2148" s="34">
        <v>45845</v>
      </c>
      <c r="U2148" s="34"/>
      <c r="V2148" s="34"/>
      <c r="W2148" s="34">
        <v>45849</v>
      </c>
      <c r="X2148" s="33" t="s">
        <v>2101</v>
      </c>
      <c r="Y2148" s="35" t="str">
        <f>IF(Tabela2[[#This Row],[SIGLA]]="","",VLOOKUP(Tabela2[[#This Row],[SIGLA]],Tabela1[[#All],[Sigla Arte]:[Crédito]],2,0))</f>
        <v>KEITHY MOSTACHI/ARQUIVO DA EDITORA</v>
      </c>
      <c r="Z2148" s="31"/>
      <c r="AA2148" s="31" t="str">
        <f>Tabela2[[#This Row],[ILUSTRADOR CRIAÇÃO]]</f>
        <v>KEITHY MOSTACHI/ARQUIVO DA EDITORA</v>
      </c>
      <c r="AB2148" s="33">
        <v>7</v>
      </c>
      <c r="AC2148" s="16" t="s">
        <v>439</v>
      </c>
      <c r="AD2148" s="16" t="s">
        <v>40</v>
      </c>
      <c r="AE2148" s="35" t="str">
        <f t="shared" si="34"/>
        <v>EF1 E002 Mat</v>
      </c>
    </row>
    <row r="2149" spans="1:31" x14ac:dyDescent="0.25">
      <c r="A2149" s="31" t="s">
        <v>4485</v>
      </c>
      <c r="B2149" s="16" t="s">
        <v>32</v>
      </c>
      <c r="C2149" s="16" t="s">
        <v>33</v>
      </c>
      <c r="D2149" s="33" t="s">
        <v>34</v>
      </c>
      <c r="E2149" s="33">
        <v>17</v>
      </c>
      <c r="F2149" s="33">
        <v>3</v>
      </c>
      <c r="G2149" s="33">
        <v>1</v>
      </c>
      <c r="H2149" s="33"/>
      <c r="I2149" s="31" t="s">
        <v>995</v>
      </c>
      <c r="J2149" s="31"/>
      <c r="K2149" s="33"/>
      <c r="L2149" s="33"/>
      <c r="M2149" s="31"/>
      <c r="N2149" s="31"/>
      <c r="O2149" s="16" t="s">
        <v>4486</v>
      </c>
      <c r="P2149" s="16"/>
      <c r="Q2149" s="16"/>
      <c r="R2149" s="33">
        <v>72</v>
      </c>
      <c r="S2149" s="34">
        <v>45841</v>
      </c>
      <c r="T2149" s="34">
        <v>45845</v>
      </c>
      <c r="U2149" s="34"/>
      <c r="V2149" s="34"/>
      <c r="W2149" s="34">
        <v>45849</v>
      </c>
      <c r="X2149" s="33" t="s">
        <v>2101</v>
      </c>
      <c r="Y2149" s="35" t="str">
        <f>IF(Tabela2[[#This Row],[SIGLA]]="","",VLOOKUP(Tabela2[[#This Row],[SIGLA]],Tabela1[[#All],[Sigla Arte]:[Crédito]],2,0))</f>
        <v>KEITHY MOSTACHI/ARQUIVO DA EDITORA</v>
      </c>
      <c r="Z2149" s="31"/>
      <c r="AA2149" s="31" t="str">
        <f>Tabela2[[#This Row],[ILUSTRADOR CRIAÇÃO]]</f>
        <v>KEITHY MOSTACHI/ARQUIVO DA EDITORA</v>
      </c>
      <c r="AB2149" s="33">
        <v>13</v>
      </c>
      <c r="AC2149" s="16" t="s">
        <v>1516</v>
      </c>
      <c r="AD2149" s="16" t="s">
        <v>40</v>
      </c>
      <c r="AE2149" s="35" t="str">
        <f t="shared" si="34"/>
        <v>EF1 E002 Mat</v>
      </c>
    </row>
    <row r="2150" spans="1:31" x14ac:dyDescent="0.25">
      <c r="A2150" s="31" t="s">
        <v>4487</v>
      </c>
      <c r="B2150" s="16" t="s">
        <v>32</v>
      </c>
      <c r="C2150" s="16" t="s">
        <v>33</v>
      </c>
      <c r="D2150" s="33" t="s">
        <v>34</v>
      </c>
      <c r="E2150" s="33">
        <v>17</v>
      </c>
      <c r="F2150" s="33">
        <v>3</v>
      </c>
      <c r="G2150" s="33">
        <v>1</v>
      </c>
      <c r="H2150" s="33"/>
      <c r="I2150" s="31" t="s">
        <v>995</v>
      </c>
      <c r="J2150" s="31"/>
      <c r="K2150" s="33"/>
      <c r="L2150" s="33"/>
      <c r="M2150" s="31"/>
      <c r="N2150" s="31"/>
      <c r="O2150" s="16" t="s">
        <v>4488</v>
      </c>
      <c r="P2150" s="16"/>
      <c r="Q2150" s="16"/>
      <c r="R2150" s="33">
        <v>72</v>
      </c>
      <c r="S2150" s="34">
        <v>45841</v>
      </c>
      <c r="T2150" s="34">
        <v>45845</v>
      </c>
      <c r="U2150" s="34"/>
      <c r="V2150" s="34"/>
      <c r="W2150" s="34">
        <v>45849</v>
      </c>
      <c r="X2150" s="33" t="s">
        <v>2101</v>
      </c>
      <c r="Y2150" s="35" t="str">
        <f>IF(Tabela2[[#This Row],[SIGLA]]="","",VLOOKUP(Tabela2[[#This Row],[SIGLA]],Tabela1[[#All],[Sigla Arte]:[Crédito]],2,0))</f>
        <v>KEITHY MOSTACHI/ARQUIVO DA EDITORA</v>
      </c>
      <c r="Z2150" s="31"/>
      <c r="AA2150" s="31" t="str">
        <f>Tabela2[[#This Row],[ILUSTRADOR CRIAÇÃO]]</f>
        <v>KEITHY MOSTACHI/ARQUIVO DA EDITORA</v>
      </c>
      <c r="AB2150" s="33">
        <v>13</v>
      </c>
      <c r="AC2150" s="16" t="s">
        <v>1516</v>
      </c>
      <c r="AD2150" s="16" t="s">
        <v>40</v>
      </c>
      <c r="AE2150" s="35" t="str">
        <f t="shared" si="34"/>
        <v>EF1 E002 Mat</v>
      </c>
    </row>
    <row r="2151" spans="1:31" x14ac:dyDescent="0.25">
      <c r="A2151" s="31" t="s">
        <v>4489</v>
      </c>
      <c r="B2151" s="16" t="s">
        <v>32</v>
      </c>
      <c r="C2151" s="16" t="s">
        <v>33</v>
      </c>
      <c r="D2151" s="33" t="s">
        <v>34</v>
      </c>
      <c r="E2151" s="33">
        <v>17</v>
      </c>
      <c r="F2151" s="33">
        <v>3</v>
      </c>
      <c r="G2151" s="33">
        <v>1</v>
      </c>
      <c r="H2151" s="33"/>
      <c r="I2151" s="31" t="s">
        <v>995</v>
      </c>
      <c r="J2151" s="31"/>
      <c r="K2151" s="33"/>
      <c r="L2151" s="33"/>
      <c r="M2151" s="31"/>
      <c r="N2151" s="31"/>
      <c r="O2151" s="16" t="s">
        <v>4490</v>
      </c>
      <c r="P2151" s="16"/>
      <c r="Q2151" s="16"/>
      <c r="R2151" s="33">
        <v>72</v>
      </c>
      <c r="S2151" s="34">
        <v>45841</v>
      </c>
      <c r="T2151" s="34">
        <v>45845</v>
      </c>
      <c r="U2151" s="34"/>
      <c r="V2151" s="34"/>
      <c r="W2151" s="34">
        <v>45849</v>
      </c>
      <c r="X2151" s="33" t="s">
        <v>2101</v>
      </c>
      <c r="Y2151" s="35" t="str">
        <f>IF(Tabela2[[#This Row],[SIGLA]]="","",VLOOKUP(Tabela2[[#This Row],[SIGLA]],Tabela1[[#All],[Sigla Arte]:[Crédito]],2,0))</f>
        <v>KEITHY MOSTACHI/ARQUIVO DA EDITORA</v>
      </c>
      <c r="Z2151" s="31"/>
      <c r="AA2151" s="31" t="str">
        <f>Tabela2[[#This Row],[ILUSTRADOR CRIAÇÃO]]</f>
        <v>KEITHY MOSTACHI/ARQUIVO DA EDITORA</v>
      </c>
      <c r="AB2151" s="33">
        <v>13</v>
      </c>
      <c r="AC2151" s="16" t="s">
        <v>1516</v>
      </c>
      <c r="AD2151" s="16" t="s">
        <v>40</v>
      </c>
      <c r="AE2151" s="35" t="str">
        <f t="shared" si="34"/>
        <v>EF1 E002 Mat</v>
      </c>
    </row>
    <row r="2152" spans="1:31" x14ac:dyDescent="0.25">
      <c r="A2152" s="31" t="s">
        <v>4491</v>
      </c>
      <c r="B2152" s="16" t="s">
        <v>32</v>
      </c>
      <c r="C2152" s="16" t="s">
        <v>33</v>
      </c>
      <c r="D2152" s="33" t="s">
        <v>34</v>
      </c>
      <c r="E2152" s="33">
        <v>17</v>
      </c>
      <c r="F2152" s="33">
        <v>3</v>
      </c>
      <c r="G2152" s="33">
        <v>1</v>
      </c>
      <c r="H2152" s="33"/>
      <c r="I2152" s="31" t="s">
        <v>995</v>
      </c>
      <c r="J2152" s="31"/>
      <c r="K2152" s="33"/>
      <c r="L2152" s="33"/>
      <c r="M2152" s="31"/>
      <c r="N2152" s="31"/>
      <c r="O2152" s="16" t="s">
        <v>4492</v>
      </c>
      <c r="P2152" s="16"/>
      <c r="Q2152" s="16"/>
      <c r="R2152" s="33">
        <v>72</v>
      </c>
      <c r="S2152" s="34">
        <v>45841</v>
      </c>
      <c r="T2152" s="34">
        <v>45845</v>
      </c>
      <c r="U2152" s="34"/>
      <c r="V2152" s="34"/>
      <c r="W2152" s="34">
        <v>45849</v>
      </c>
      <c r="X2152" s="33" t="s">
        <v>2101</v>
      </c>
      <c r="Y2152" s="35" t="str">
        <f>IF(Tabela2[[#This Row],[SIGLA]]="","",VLOOKUP(Tabela2[[#This Row],[SIGLA]],Tabela1[[#All],[Sigla Arte]:[Crédito]],2,0))</f>
        <v>KEITHY MOSTACHI/ARQUIVO DA EDITORA</v>
      </c>
      <c r="Z2152" s="31"/>
      <c r="AA2152" s="31" t="str">
        <f>Tabela2[[#This Row],[ILUSTRADOR CRIAÇÃO]]</f>
        <v>KEITHY MOSTACHI/ARQUIVO DA EDITORA</v>
      </c>
      <c r="AB2152" s="33">
        <v>13</v>
      </c>
      <c r="AC2152" s="16" t="s">
        <v>1516</v>
      </c>
      <c r="AD2152" s="16" t="s">
        <v>40</v>
      </c>
      <c r="AE2152" s="35" t="str">
        <f t="shared" si="34"/>
        <v>EF1 E002 Mat</v>
      </c>
    </row>
    <row r="2153" spans="1:31" ht="45" x14ac:dyDescent="0.25">
      <c r="A2153" s="31" t="s">
        <v>4493</v>
      </c>
      <c r="B2153" s="16" t="s">
        <v>32</v>
      </c>
      <c r="C2153" s="16" t="s">
        <v>164</v>
      </c>
      <c r="D2153" s="33" t="s">
        <v>34</v>
      </c>
      <c r="E2153" s="33">
        <v>25</v>
      </c>
      <c r="F2153" s="33">
        <v>3</v>
      </c>
      <c r="G2153" s="33">
        <v>1</v>
      </c>
      <c r="H2153" s="33"/>
      <c r="I2153" s="31" t="s">
        <v>46</v>
      </c>
      <c r="J2153" s="31"/>
      <c r="K2153" s="33"/>
      <c r="L2153" s="33"/>
      <c r="M2153" s="31"/>
      <c r="N2153" s="31"/>
      <c r="O2153" s="16" t="s">
        <v>4494</v>
      </c>
      <c r="P2153" s="16"/>
      <c r="Q2153" s="16"/>
      <c r="R2153" s="33"/>
      <c r="S2153" s="34"/>
      <c r="T2153" s="34"/>
      <c r="U2153" s="34"/>
      <c r="V2153" s="34"/>
      <c r="W2153" s="34"/>
      <c r="X2153" s="33" t="s">
        <v>48</v>
      </c>
      <c r="Y2153" s="35" t="str">
        <f>IF(Tabela2[[#This Row],[SIGLA]]="","",VLOOKUP(Tabela2[[#This Row],[SIGLA]],Tabela1[[#All],[Sigla Arte]:[Crédito]],2,0))</f>
        <v>SERGIO LIMA/ARQUIVO DA EDITORA</v>
      </c>
      <c r="Z2153" s="31"/>
      <c r="AA2153" s="31" t="str">
        <f>Tabela2[[#This Row],[ILUSTRADOR CRIAÇÃO]]</f>
        <v>SERGIO LIMA/ARQUIVO DA EDITORA</v>
      </c>
      <c r="AB2153" s="33"/>
      <c r="AC2153" s="16"/>
      <c r="AE2153" s="35" t="str">
        <f t="shared" si="34"/>
        <v>EF1 E002 Mat</v>
      </c>
    </row>
    <row r="2154" spans="1:31" ht="165" x14ac:dyDescent="0.25">
      <c r="A2154" s="31" t="s">
        <v>4495</v>
      </c>
      <c r="B2154" s="16" t="s">
        <v>32</v>
      </c>
      <c r="C2154" s="16" t="s">
        <v>164</v>
      </c>
      <c r="D2154" s="33" t="s">
        <v>34</v>
      </c>
      <c r="E2154" s="33">
        <v>25</v>
      </c>
      <c r="F2154" s="33">
        <v>3</v>
      </c>
      <c r="G2154" s="33">
        <v>1</v>
      </c>
      <c r="H2154" s="33"/>
      <c r="I2154" s="31" t="s">
        <v>35</v>
      </c>
      <c r="J2154" s="31"/>
      <c r="K2154" s="33"/>
      <c r="L2154" s="33"/>
      <c r="M2154" s="31"/>
      <c r="N2154" s="31"/>
      <c r="O2154" s="16" t="s">
        <v>4496</v>
      </c>
      <c r="P2154" s="16"/>
      <c r="Q2154" s="16"/>
      <c r="R2154" s="33">
        <v>72</v>
      </c>
      <c r="S2154" s="34">
        <v>3</v>
      </c>
      <c r="T2154" s="34">
        <v>45845</v>
      </c>
      <c r="U2154" s="34"/>
      <c r="V2154" s="34"/>
      <c r="W2154" s="34">
        <v>45849</v>
      </c>
      <c r="X2154" s="33" t="s">
        <v>470</v>
      </c>
      <c r="Y2154" s="35" t="str">
        <f>IF(Tabela2[[#This Row],[SIGLA]]="","",VLOOKUP(Tabela2[[#This Row],[SIGLA]],Tabela1[[#All],[Sigla Arte]:[Crédito]],2,0))</f>
        <v>RENAN FONSECA/ARQUIVO DA EDITORA</v>
      </c>
      <c r="Z2154" s="31" t="s">
        <v>221</v>
      </c>
      <c r="AA2154" s="31" t="str">
        <f>Tabela2[[#This Row],[ILUSTRADOR CRIAÇÃO]]</f>
        <v>RENAN FONSECA/ARQUIVO DA EDITORA</v>
      </c>
      <c r="AB2154" s="33">
        <v>13</v>
      </c>
      <c r="AC2154" s="16" t="s">
        <v>1516</v>
      </c>
      <c r="AD2154" s="16" t="s">
        <v>40</v>
      </c>
      <c r="AE2154" s="35" t="str">
        <f t="shared" si="34"/>
        <v>EF1 E002 Mat</v>
      </c>
    </row>
    <row r="2155" spans="1:31" ht="30" x14ac:dyDescent="0.25">
      <c r="A2155" s="31" t="s">
        <v>4497</v>
      </c>
      <c r="B2155" s="16" t="s">
        <v>32</v>
      </c>
      <c r="C2155" s="16" t="s">
        <v>33</v>
      </c>
      <c r="D2155" s="33" t="s">
        <v>34</v>
      </c>
      <c r="E2155" s="33">
        <v>42</v>
      </c>
      <c r="F2155" s="33">
        <v>3</v>
      </c>
      <c r="G2155" s="33">
        <v>1</v>
      </c>
      <c r="H2155" s="33"/>
      <c r="I2155" s="31" t="s">
        <v>995</v>
      </c>
      <c r="J2155" s="31"/>
      <c r="K2155" s="33"/>
      <c r="L2155" s="33"/>
      <c r="M2155" s="31"/>
      <c r="N2155" s="31"/>
      <c r="O2155" s="16" t="s">
        <v>4498</v>
      </c>
      <c r="P2155" s="16"/>
      <c r="Q2155" s="16"/>
      <c r="R2155" s="33">
        <v>72</v>
      </c>
      <c r="S2155" s="34">
        <v>45841</v>
      </c>
      <c r="T2155" s="34">
        <v>45845</v>
      </c>
      <c r="U2155" s="34"/>
      <c r="V2155" s="34"/>
      <c r="W2155" s="34">
        <v>45852</v>
      </c>
      <c r="X2155" s="33" t="s">
        <v>85</v>
      </c>
      <c r="Y2155" s="35" t="str">
        <f>IF(Tabela2[[#This Row],[SIGLA]]="","",VLOOKUP(Tabela2[[#This Row],[SIGLA]],Tabela1[[#All],[Sigla Arte]:[Crédito]],2,0))</f>
        <v>HELOÍSA PINTARELLI/ARQUIVO DA EDITORA</v>
      </c>
      <c r="Z2155" s="31"/>
      <c r="AA2155" s="31" t="str">
        <f>Tabela2[[#This Row],[ILUSTRADOR CRIAÇÃO]]</f>
        <v>HELOÍSA PINTARELLI/ARQUIVO DA EDITORA</v>
      </c>
      <c r="AB2155" s="33">
        <v>7</v>
      </c>
      <c r="AC2155" s="16" t="s">
        <v>4499</v>
      </c>
      <c r="AD2155" s="16" t="s">
        <v>1093</v>
      </c>
      <c r="AE2155" s="35" t="str">
        <f t="shared" si="34"/>
        <v>EF1 E002 Mat</v>
      </c>
    </row>
    <row r="2156" spans="1:31" ht="30" x14ac:dyDescent="0.25">
      <c r="A2156" s="31" t="s">
        <v>4500</v>
      </c>
      <c r="B2156" s="16" t="s">
        <v>32</v>
      </c>
      <c r="C2156" s="16" t="s">
        <v>33</v>
      </c>
      <c r="D2156" s="33" t="s">
        <v>34</v>
      </c>
      <c r="E2156" s="33">
        <v>42</v>
      </c>
      <c r="F2156" s="33">
        <v>3</v>
      </c>
      <c r="G2156" s="33">
        <v>1</v>
      </c>
      <c r="H2156" s="33"/>
      <c r="I2156" s="31" t="s">
        <v>995</v>
      </c>
      <c r="J2156" s="31"/>
      <c r="K2156" s="33"/>
      <c r="L2156" s="33"/>
      <c r="M2156" s="31"/>
      <c r="N2156" s="31"/>
      <c r="O2156" s="16" t="s">
        <v>4501</v>
      </c>
      <c r="P2156" s="16"/>
      <c r="Q2156" s="16"/>
      <c r="R2156" s="33">
        <v>72</v>
      </c>
      <c r="S2156" s="34">
        <v>91680</v>
      </c>
      <c r="T2156" s="34">
        <v>45845</v>
      </c>
      <c r="U2156" s="34"/>
      <c r="V2156" s="34"/>
      <c r="W2156" s="34">
        <v>45852</v>
      </c>
      <c r="X2156" s="33" t="s">
        <v>85</v>
      </c>
      <c r="Y2156" s="35" t="str">
        <f>IF(Tabela2[[#This Row],[SIGLA]]="","",VLOOKUP(Tabela2[[#This Row],[SIGLA]],Tabela1[[#All],[Sigla Arte]:[Crédito]],2,0))</f>
        <v>HELOÍSA PINTARELLI/ARQUIVO DA EDITORA</v>
      </c>
      <c r="Z2156" s="31"/>
      <c r="AA2156" s="31" t="str">
        <f>Tabela2[[#This Row],[ILUSTRADOR CRIAÇÃO]]</f>
        <v>HELOÍSA PINTARELLI/ARQUIVO DA EDITORA</v>
      </c>
      <c r="AB2156" s="33">
        <v>13</v>
      </c>
      <c r="AC2156" s="16" t="s">
        <v>4499</v>
      </c>
      <c r="AD2156" s="16" t="s">
        <v>1093</v>
      </c>
      <c r="AE2156" s="35" t="str">
        <f t="shared" si="34"/>
        <v>EF1 E002 Mat</v>
      </c>
    </row>
    <row r="2157" spans="1:31" ht="30" x14ac:dyDescent="0.25">
      <c r="A2157" s="31" t="s">
        <v>4502</v>
      </c>
      <c r="B2157" s="16" t="s">
        <v>32</v>
      </c>
      <c r="C2157" s="16" t="s">
        <v>33</v>
      </c>
      <c r="D2157" s="33" t="s">
        <v>34</v>
      </c>
      <c r="E2157" s="33">
        <v>42</v>
      </c>
      <c r="F2157" s="33">
        <v>3</v>
      </c>
      <c r="G2157" s="33">
        <v>1</v>
      </c>
      <c r="H2157" s="33"/>
      <c r="I2157" s="31" t="s">
        <v>995</v>
      </c>
      <c r="J2157" s="31"/>
      <c r="K2157" s="33"/>
      <c r="L2157" s="33"/>
      <c r="M2157" s="31"/>
      <c r="N2157" s="31"/>
      <c r="O2157" s="16" t="s">
        <v>4503</v>
      </c>
      <c r="P2157" s="16"/>
      <c r="Q2157" s="16"/>
      <c r="R2157" s="33">
        <v>72</v>
      </c>
      <c r="S2157" s="34">
        <v>137517</v>
      </c>
      <c r="T2157" s="34">
        <v>45845</v>
      </c>
      <c r="U2157" s="34"/>
      <c r="V2157" s="34"/>
      <c r="W2157" s="34">
        <v>45852</v>
      </c>
      <c r="X2157" s="33" t="s">
        <v>85</v>
      </c>
      <c r="Y2157" s="35" t="str">
        <f>IF(Tabela2[[#This Row],[SIGLA]]="","",VLOOKUP(Tabela2[[#This Row],[SIGLA]],Tabela1[[#All],[Sigla Arte]:[Crédito]],2,0))</f>
        <v>HELOÍSA PINTARELLI/ARQUIVO DA EDITORA</v>
      </c>
      <c r="Z2157" s="31"/>
      <c r="AA2157" s="31" t="str">
        <f>Tabela2[[#This Row],[ILUSTRADOR CRIAÇÃO]]</f>
        <v>HELOÍSA PINTARELLI/ARQUIVO DA EDITORA</v>
      </c>
      <c r="AB2157" s="33">
        <v>13</v>
      </c>
      <c r="AC2157" s="16" t="s">
        <v>4499</v>
      </c>
      <c r="AD2157" s="16" t="s">
        <v>1093</v>
      </c>
      <c r="AE2157" s="35" t="str">
        <f t="shared" si="34"/>
        <v>EF1 E002 Mat</v>
      </c>
    </row>
    <row r="2158" spans="1:31" ht="30" x14ac:dyDescent="0.25">
      <c r="A2158" s="31" t="s">
        <v>4504</v>
      </c>
      <c r="B2158" s="16" t="s">
        <v>32</v>
      </c>
      <c r="C2158" s="16" t="s">
        <v>33</v>
      </c>
      <c r="D2158" s="33" t="s">
        <v>34</v>
      </c>
      <c r="E2158" s="33">
        <v>42</v>
      </c>
      <c r="F2158" s="33">
        <v>3</v>
      </c>
      <c r="G2158" s="33">
        <v>1</v>
      </c>
      <c r="H2158" s="33"/>
      <c r="I2158" s="31" t="s">
        <v>995</v>
      </c>
      <c r="J2158" s="31"/>
      <c r="K2158" s="33"/>
      <c r="L2158" s="33"/>
      <c r="M2158" s="31"/>
      <c r="N2158" s="31"/>
      <c r="O2158" s="16" t="s">
        <v>4505</v>
      </c>
      <c r="P2158" s="16"/>
      <c r="Q2158" s="16"/>
      <c r="R2158" s="33">
        <v>72</v>
      </c>
      <c r="S2158" s="34">
        <v>183356</v>
      </c>
      <c r="T2158" s="34">
        <v>45845</v>
      </c>
      <c r="U2158" s="34"/>
      <c r="V2158" s="34"/>
      <c r="W2158" s="34">
        <v>45852</v>
      </c>
      <c r="X2158" s="33" t="s">
        <v>85</v>
      </c>
      <c r="Y2158" s="35" t="str">
        <f>IF(Tabela2[[#This Row],[SIGLA]]="","",VLOOKUP(Tabela2[[#This Row],[SIGLA]],Tabela1[[#All],[Sigla Arte]:[Crédito]],2,0))</f>
        <v>HELOÍSA PINTARELLI/ARQUIVO DA EDITORA</v>
      </c>
      <c r="Z2158" s="31"/>
      <c r="AA2158" s="31" t="str">
        <f>Tabela2[[#This Row],[ILUSTRADOR CRIAÇÃO]]</f>
        <v>HELOÍSA PINTARELLI/ARQUIVO DA EDITORA</v>
      </c>
      <c r="AB2158" s="33">
        <v>13</v>
      </c>
      <c r="AC2158" s="16" t="s">
        <v>4499</v>
      </c>
      <c r="AD2158" s="16" t="s">
        <v>1093</v>
      </c>
      <c r="AE2158" s="35" t="str">
        <f t="shared" si="34"/>
        <v>EF1 E002 Mat</v>
      </c>
    </row>
    <row r="2159" spans="1:31" ht="30" x14ac:dyDescent="0.25">
      <c r="A2159" s="31" t="s">
        <v>4506</v>
      </c>
      <c r="B2159" s="16" t="s">
        <v>32</v>
      </c>
      <c r="C2159" s="16" t="s">
        <v>33</v>
      </c>
      <c r="D2159" s="33" t="s">
        <v>34</v>
      </c>
      <c r="E2159" s="33">
        <v>42</v>
      </c>
      <c r="F2159" s="33">
        <v>3</v>
      </c>
      <c r="G2159" s="33">
        <v>1</v>
      </c>
      <c r="H2159" s="33"/>
      <c r="I2159" s="31" t="s">
        <v>995</v>
      </c>
      <c r="J2159" s="31"/>
      <c r="K2159" s="33"/>
      <c r="L2159" s="33"/>
      <c r="M2159" s="31"/>
      <c r="N2159" s="31"/>
      <c r="O2159" s="16" t="s">
        <v>4507</v>
      </c>
      <c r="P2159" s="16"/>
      <c r="Q2159" s="16"/>
      <c r="R2159" s="33">
        <v>72</v>
      </c>
      <c r="S2159" s="34">
        <v>229192</v>
      </c>
      <c r="T2159" s="34">
        <v>45845</v>
      </c>
      <c r="U2159" s="34"/>
      <c r="V2159" s="34"/>
      <c r="W2159" s="34">
        <v>45852</v>
      </c>
      <c r="X2159" s="33" t="s">
        <v>85</v>
      </c>
      <c r="Y2159" s="35" t="str">
        <f>IF(Tabela2[[#This Row],[SIGLA]]="","",VLOOKUP(Tabela2[[#This Row],[SIGLA]],Tabela1[[#All],[Sigla Arte]:[Crédito]],2,0))</f>
        <v>HELOÍSA PINTARELLI/ARQUIVO DA EDITORA</v>
      </c>
      <c r="Z2159" s="31"/>
      <c r="AA2159" s="31" t="str">
        <f>Tabela2[[#This Row],[ILUSTRADOR CRIAÇÃO]]</f>
        <v>HELOÍSA PINTARELLI/ARQUIVO DA EDITORA</v>
      </c>
      <c r="AB2159" s="33">
        <v>13</v>
      </c>
      <c r="AC2159" s="16" t="s">
        <v>4499</v>
      </c>
      <c r="AD2159" s="16" t="s">
        <v>1093</v>
      </c>
      <c r="AE2159" s="35" t="str">
        <f t="shared" si="34"/>
        <v>EF1 E002 Mat</v>
      </c>
    </row>
    <row r="2160" spans="1:31" ht="30" x14ac:dyDescent="0.25">
      <c r="A2160" s="31" t="s">
        <v>4508</v>
      </c>
      <c r="B2160" s="16" t="s">
        <v>32</v>
      </c>
      <c r="C2160" s="16" t="s">
        <v>33</v>
      </c>
      <c r="D2160" s="33" t="s">
        <v>34</v>
      </c>
      <c r="E2160" s="33">
        <v>42</v>
      </c>
      <c r="F2160" s="33">
        <v>3</v>
      </c>
      <c r="G2160" s="33">
        <v>1</v>
      </c>
      <c r="H2160" s="33"/>
      <c r="I2160" s="31" t="s">
        <v>995</v>
      </c>
      <c r="J2160" s="31"/>
      <c r="K2160" s="33"/>
      <c r="L2160" s="33"/>
      <c r="M2160" s="31"/>
      <c r="N2160" s="31"/>
      <c r="O2160" s="16" t="s">
        <v>4509</v>
      </c>
      <c r="P2160" s="16"/>
      <c r="Q2160" s="16"/>
      <c r="R2160" s="33">
        <v>72</v>
      </c>
      <c r="S2160" s="34">
        <v>275032</v>
      </c>
      <c r="T2160" s="34">
        <v>45845</v>
      </c>
      <c r="U2160" s="34"/>
      <c r="V2160" s="34"/>
      <c r="W2160" s="34">
        <v>45852</v>
      </c>
      <c r="X2160" s="33" t="s">
        <v>85</v>
      </c>
      <c r="Y2160" s="35" t="str">
        <f>IF(Tabela2[[#This Row],[SIGLA]]="","",VLOOKUP(Tabela2[[#This Row],[SIGLA]],Tabela1[[#All],[Sigla Arte]:[Crédito]],2,0))</f>
        <v>HELOÍSA PINTARELLI/ARQUIVO DA EDITORA</v>
      </c>
      <c r="Z2160" s="31"/>
      <c r="AA2160" s="31" t="str">
        <f>Tabela2[[#This Row],[ILUSTRADOR CRIAÇÃO]]</f>
        <v>HELOÍSA PINTARELLI/ARQUIVO DA EDITORA</v>
      </c>
      <c r="AB2160" s="33">
        <v>13</v>
      </c>
      <c r="AC2160" s="16" t="s">
        <v>4499</v>
      </c>
      <c r="AD2160" s="16" t="s">
        <v>1093</v>
      </c>
      <c r="AE2160" s="35" t="str">
        <f t="shared" si="34"/>
        <v>EF1 E002 Mat</v>
      </c>
    </row>
    <row r="2161" spans="1:31" ht="135" x14ac:dyDescent="0.25">
      <c r="A2161" s="31" t="s">
        <v>4510</v>
      </c>
      <c r="B2161" s="16" t="s">
        <v>32</v>
      </c>
      <c r="C2161" s="16" t="s">
        <v>164</v>
      </c>
      <c r="D2161" s="33" t="s">
        <v>34</v>
      </c>
      <c r="E2161" s="33">
        <v>261</v>
      </c>
      <c r="F2161" s="33">
        <v>2</v>
      </c>
      <c r="G2161" s="33" t="s">
        <v>4419</v>
      </c>
      <c r="H2161" s="33"/>
      <c r="I2161" s="31" t="s">
        <v>995</v>
      </c>
      <c r="J2161" s="31"/>
      <c r="K2161" s="33"/>
      <c r="L2161" s="33"/>
      <c r="M2161" s="31"/>
      <c r="N2161" s="31"/>
      <c r="O2161" s="16" t="s">
        <v>4511</v>
      </c>
      <c r="P2161" s="16"/>
      <c r="Q2161" s="16"/>
      <c r="R2161" s="33">
        <v>73</v>
      </c>
      <c r="S2161" s="34">
        <v>45842</v>
      </c>
      <c r="T2161" s="34">
        <v>45842</v>
      </c>
      <c r="U2161" s="34"/>
      <c r="V2161" s="34"/>
      <c r="W2161" s="34">
        <v>45842</v>
      </c>
      <c r="X2161" s="33" t="s">
        <v>1267</v>
      </c>
      <c r="Y2161" s="35" t="str">
        <f>IF(Tabela2[[#This Row],[SIGLA]]="","",VLOOKUP(Tabela2[[#This Row],[SIGLA]],Tabela1[[#All],[Sigla Arte]:[Crédito]],2,0))</f>
        <v>INGRIDHI BORGES/ARQUIVO DA EDITORA</v>
      </c>
      <c r="Z2161" s="31"/>
      <c r="AA2161" s="31" t="s">
        <v>4391</v>
      </c>
      <c r="AB2161" s="33">
        <v>8</v>
      </c>
      <c r="AC2161" s="16" t="s">
        <v>439</v>
      </c>
      <c r="AD2161" s="16" t="s">
        <v>40</v>
      </c>
      <c r="AE2161" s="35" t="str">
        <f t="shared" si="34"/>
        <v>EF1 E002 Mat</v>
      </c>
    </row>
    <row r="2162" spans="1:31" ht="90" x14ac:dyDescent="0.25">
      <c r="A2162" s="31" t="s">
        <v>4512</v>
      </c>
      <c r="B2162" s="16" t="s">
        <v>32</v>
      </c>
      <c r="C2162" s="16" t="s">
        <v>164</v>
      </c>
      <c r="D2162" s="33" t="s">
        <v>34</v>
      </c>
      <c r="E2162" s="33">
        <v>263</v>
      </c>
      <c r="F2162" s="33">
        <v>2</v>
      </c>
      <c r="G2162" s="33" t="s">
        <v>4419</v>
      </c>
      <c r="H2162" s="33"/>
      <c r="I2162" s="31" t="s">
        <v>35</v>
      </c>
      <c r="J2162" s="31"/>
      <c r="K2162" s="33"/>
      <c r="L2162" s="33"/>
      <c r="M2162" s="31"/>
      <c r="N2162" s="31"/>
      <c r="O2162" s="16" t="s">
        <v>4513</v>
      </c>
      <c r="P2162" s="16"/>
      <c r="Q2162" s="16"/>
      <c r="R2162" s="33">
        <v>73</v>
      </c>
      <c r="S2162" s="34">
        <v>45842</v>
      </c>
      <c r="T2162" s="34">
        <v>45842</v>
      </c>
      <c r="U2162" s="34"/>
      <c r="V2162" s="34"/>
      <c r="W2162" s="34">
        <v>45842</v>
      </c>
      <c r="X2162" s="33" t="s">
        <v>48</v>
      </c>
      <c r="Y2162" s="35" t="str">
        <f>IF(Tabela2[[#This Row],[SIGLA]]="","",VLOOKUP(Tabela2[[#This Row],[SIGLA]],Tabela1[[#All],[Sigla Arte]:[Crédito]],2,0))</f>
        <v>SERGIO LIMA/ARQUIVO DA EDITORA</v>
      </c>
      <c r="Z2162" s="31" t="s">
        <v>4391</v>
      </c>
      <c r="AA2162" s="31" t="str">
        <f>Tabela2[[#This Row],[ILUSTRADOR CRIAÇÃO]]</f>
        <v>SERGIO LIMA/ARQUIVO DA EDITORA</v>
      </c>
      <c r="AB2162" s="33">
        <v>13</v>
      </c>
      <c r="AC2162" s="16" t="s">
        <v>4514</v>
      </c>
      <c r="AD2162" s="16" t="s">
        <v>40</v>
      </c>
      <c r="AE2162" s="35" t="str">
        <f t="shared" ref="AE2162:AE2225" si="35">"EF1 E002 Mat"</f>
        <v>EF1 E002 Mat</v>
      </c>
    </row>
    <row r="2163" spans="1:31" ht="60" x14ac:dyDescent="0.25">
      <c r="A2163" s="31" t="s">
        <v>4515</v>
      </c>
      <c r="B2163" s="16" t="s">
        <v>32</v>
      </c>
      <c r="C2163" s="16" t="s">
        <v>33</v>
      </c>
      <c r="D2163" s="33" t="s">
        <v>34</v>
      </c>
      <c r="E2163" s="33">
        <v>277</v>
      </c>
      <c r="F2163" s="33">
        <v>2</v>
      </c>
      <c r="G2163" s="33" t="s">
        <v>4419</v>
      </c>
      <c r="H2163" s="33"/>
      <c r="I2163" s="31" t="s">
        <v>46</v>
      </c>
      <c r="J2163" s="31"/>
      <c r="K2163" s="33"/>
      <c r="L2163" s="33"/>
      <c r="M2163" s="31"/>
      <c r="N2163" s="31"/>
      <c r="O2163" s="16" t="s">
        <v>4516</v>
      </c>
      <c r="P2163" s="16"/>
      <c r="Q2163" s="16"/>
      <c r="R2163" s="33"/>
      <c r="S2163" s="34"/>
      <c r="T2163" s="34"/>
      <c r="U2163" s="34"/>
      <c r="V2163" s="34"/>
      <c r="W2163" s="34"/>
      <c r="X2163" s="33" t="s">
        <v>247</v>
      </c>
      <c r="Y2163" s="35" t="str">
        <f>IF(Tabela2[[#This Row],[SIGLA]]="","",VLOOKUP(Tabela2[[#This Row],[SIGLA]],Tabela1[[#All],[Sigla Arte]:[Crédito]],2,0))</f>
        <v>THAIS CASTRO/ARQUIVO DA EDITORA</v>
      </c>
      <c r="Z2163" s="31"/>
      <c r="AA2163" s="31" t="s">
        <v>4395</v>
      </c>
      <c r="AB2163" s="33"/>
      <c r="AC2163" s="16"/>
      <c r="AE2163" s="35" t="str">
        <f t="shared" si="35"/>
        <v>EF1 E002 Mat</v>
      </c>
    </row>
    <row r="2164" spans="1:31" ht="45" x14ac:dyDescent="0.25">
      <c r="A2164" s="31" t="s">
        <v>4517</v>
      </c>
      <c r="B2164" s="16" t="s">
        <v>32</v>
      </c>
      <c r="C2164" s="16" t="s">
        <v>33</v>
      </c>
      <c r="D2164" s="33" t="s">
        <v>34</v>
      </c>
      <c r="E2164" s="33">
        <v>279</v>
      </c>
      <c r="F2164" s="33">
        <v>2</v>
      </c>
      <c r="G2164" s="33" t="s">
        <v>4419</v>
      </c>
      <c r="H2164" s="33"/>
      <c r="I2164" s="31" t="s">
        <v>46</v>
      </c>
      <c r="J2164" s="31"/>
      <c r="K2164" s="33"/>
      <c r="L2164" s="33"/>
      <c r="M2164" s="31"/>
      <c r="N2164" s="31"/>
      <c r="O2164" s="16" t="s">
        <v>4518</v>
      </c>
      <c r="P2164" s="16"/>
      <c r="Q2164" s="16"/>
      <c r="R2164" s="33"/>
      <c r="S2164" s="34"/>
      <c r="T2164" s="34"/>
      <c r="U2164" s="34"/>
      <c r="V2164" s="34"/>
      <c r="W2164" s="34"/>
      <c r="X2164" s="33" t="s">
        <v>48</v>
      </c>
      <c r="Y2164" s="35" t="str">
        <f>IF(Tabela2[[#This Row],[SIGLA]]="","",VLOOKUP(Tabela2[[#This Row],[SIGLA]],Tabela1[[#All],[Sigla Arte]:[Crédito]],2,0))</f>
        <v>SERGIO LIMA/ARQUIVO DA EDITORA</v>
      </c>
      <c r="Z2164" s="31"/>
      <c r="AA2164" s="31" t="str">
        <f>Tabela2[[#This Row],[ILUSTRADOR CRIAÇÃO]]</f>
        <v>SERGIO LIMA/ARQUIVO DA EDITORA</v>
      </c>
      <c r="AB2164" s="33"/>
      <c r="AC2164" s="16"/>
      <c r="AE2164" s="35" t="str">
        <f t="shared" si="35"/>
        <v>EF1 E002 Mat</v>
      </c>
    </row>
    <row r="2165" spans="1:31" ht="45" x14ac:dyDescent="0.25">
      <c r="A2165" s="31" t="s">
        <v>4519</v>
      </c>
      <c r="B2165" s="16" t="s">
        <v>32</v>
      </c>
      <c r="C2165" s="16" t="s">
        <v>164</v>
      </c>
      <c r="D2165" s="33" t="s">
        <v>34</v>
      </c>
      <c r="E2165" s="33">
        <v>281</v>
      </c>
      <c r="F2165" s="33">
        <v>2</v>
      </c>
      <c r="G2165" s="33" t="s">
        <v>4419</v>
      </c>
      <c r="H2165" s="33"/>
      <c r="I2165" s="31" t="s">
        <v>995</v>
      </c>
      <c r="J2165" s="31"/>
      <c r="K2165" s="33"/>
      <c r="L2165" s="33"/>
      <c r="M2165" s="31"/>
      <c r="N2165" s="31"/>
      <c r="O2165" s="16" t="s">
        <v>4520</v>
      </c>
      <c r="P2165" s="16"/>
      <c r="Q2165" s="16"/>
      <c r="R2165" s="33">
        <v>73</v>
      </c>
      <c r="S2165" s="34">
        <v>45842</v>
      </c>
      <c r="T2165" s="34">
        <v>45842</v>
      </c>
      <c r="U2165" s="34"/>
      <c r="V2165" s="34"/>
      <c r="W2165" s="34">
        <v>45842</v>
      </c>
      <c r="X2165" s="33" t="s">
        <v>184</v>
      </c>
      <c r="Y2165" s="35" t="str">
        <f>IF(Tabela2[[#This Row],[SIGLA]]="","",VLOOKUP(Tabela2[[#This Row],[SIGLA]],Tabela1[[#All],[Sigla Arte]:[Crédito]],2,0))</f>
        <v>VER DOCUMENTO DE ILS. TÉCNICAS</v>
      </c>
      <c r="Z2165" s="31" t="s">
        <v>4391</v>
      </c>
      <c r="AA2165" s="31" t="s">
        <v>185</v>
      </c>
      <c r="AB2165" s="33">
        <v>13</v>
      </c>
      <c r="AC2165" s="16" t="s">
        <v>3750</v>
      </c>
      <c r="AD2165" s="16" t="s">
        <v>40</v>
      </c>
      <c r="AE2165" s="35" t="str">
        <f t="shared" si="35"/>
        <v>EF1 E002 Mat</v>
      </c>
    </row>
    <row r="2166" spans="1:31" ht="45" x14ac:dyDescent="0.25">
      <c r="A2166" s="31" t="s">
        <v>4521</v>
      </c>
      <c r="B2166" s="16" t="s">
        <v>32</v>
      </c>
      <c r="C2166" s="16" t="s">
        <v>164</v>
      </c>
      <c r="D2166" s="33" t="s">
        <v>34</v>
      </c>
      <c r="E2166" s="33">
        <v>287</v>
      </c>
      <c r="F2166" s="33">
        <v>2</v>
      </c>
      <c r="G2166" s="33" t="s">
        <v>4419</v>
      </c>
      <c r="H2166" s="33"/>
      <c r="I2166" s="31" t="s">
        <v>995</v>
      </c>
      <c r="J2166" s="31"/>
      <c r="K2166" s="33"/>
      <c r="L2166" s="33"/>
      <c r="M2166" s="31"/>
      <c r="N2166" s="31"/>
      <c r="O2166" s="16" t="s">
        <v>4522</v>
      </c>
      <c r="P2166" s="16"/>
      <c r="Q2166" s="16"/>
      <c r="R2166" s="33">
        <v>73</v>
      </c>
      <c r="S2166" s="34">
        <v>45842</v>
      </c>
      <c r="T2166" s="34">
        <v>45842</v>
      </c>
      <c r="U2166" s="34"/>
      <c r="V2166" s="34"/>
      <c r="W2166" s="34">
        <v>45842</v>
      </c>
      <c r="X2166" s="33"/>
      <c r="Y2166" s="35" t="str">
        <f>IF(Tabela2[[#This Row],[SIGLA]]="","",VLOOKUP(Tabela2[[#This Row],[SIGLA]],Tabela1[[#All],[Sigla Arte]:[Crédito]],2,0))</f>
        <v/>
      </c>
      <c r="Z2166" s="31" t="s">
        <v>4391</v>
      </c>
      <c r="AA2166" s="31" t="s">
        <v>935</v>
      </c>
      <c r="AB2166" s="33">
        <v>13</v>
      </c>
      <c r="AC2166" s="16" t="s">
        <v>3750</v>
      </c>
      <c r="AD2166" s="16" t="s">
        <v>40</v>
      </c>
      <c r="AE2166" s="35" t="str">
        <f t="shared" si="35"/>
        <v>EF1 E002 Mat</v>
      </c>
    </row>
    <row r="2167" spans="1:31" ht="210" x14ac:dyDescent="0.25">
      <c r="A2167" s="31" t="s">
        <v>4523</v>
      </c>
      <c r="B2167" s="16" t="s">
        <v>97</v>
      </c>
      <c r="C2167" s="16" t="s">
        <v>164</v>
      </c>
      <c r="D2167" s="33" t="s">
        <v>34</v>
      </c>
      <c r="E2167" s="33">
        <v>106</v>
      </c>
      <c r="F2167" s="33">
        <v>2</v>
      </c>
      <c r="G2167" s="33">
        <v>4</v>
      </c>
      <c r="H2167" s="33"/>
      <c r="I2167" s="31" t="s">
        <v>995</v>
      </c>
      <c r="J2167" s="31"/>
      <c r="K2167" s="33"/>
      <c r="L2167" s="33"/>
      <c r="M2167" s="31"/>
      <c r="N2167" s="31"/>
      <c r="O2167" s="16" t="s">
        <v>4524</v>
      </c>
      <c r="P2167" s="16"/>
      <c r="Q2167" s="16"/>
      <c r="R2167" s="33">
        <v>74</v>
      </c>
      <c r="S2167" s="34">
        <v>45842</v>
      </c>
      <c r="T2167" s="34">
        <v>45842</v>
      </c>
      <c r="U2167" s="34"/>
      <c r="V2167" s="34"/>
      <c r="W2167" s="34">
        <v>45842</v>
      </c>
      <c r="X2167" s="33" t="s">
        <v>184</v>
      </c>
      <c r="Y2167" s="35" t="str">
        <f>IF(Tabela2[[#This Row],[SIGLA]]="","",VLOOKUP(Tabela2[[#This Row],[SIGLA]],Tabela1[[#All],[Sigla Arte]:[Crédito]],2,0))</f>
        <v>VER DOCUMENTO DE ILS. TÉCNICAS</v>
      </c>
      <c r="Z2167" s="31"/>
      <c r="AA2167" s="31" t="s">
        <v>3060</v>
      </c>
      <c r="AB2167" s="33">
        <v>13</v>
      </c>
      <c r="AC2167" s="16" t="s">
        <v>2102</v>
      </c>
      <c r="AD2167" s="16" t="s">
        <v>40</v>
      </c>
      <c r="AE2167" s="35" t="str">
        <f t="shared" si="35"/>
        <v>EF1 E002 Mat</v>
      </c>
    </row>
    <row r="2168" spans="1:31" ht="165" x14ac:dyDescent="0.25">
      <c r="A2168" s="31" t="s">
        <v>4525</v>
      </c>
      <c r="B2168" s="16" t="s">
        <v>32</v>
      </c>
      <c r="C2168" s="16" t="s">
        <v>327</v>
      </c>
      <c r="D2168" s="33" t="s">
        <v>34</v>
      </c>
      <c r="E2168" s="33">
        <v>107</v>
      </c>
      <c r="F2168" s="33">
        <v>2</v>
      </c>
      <c r="G2168" s="33">
        <v>4</v>
      </c>
      <c r="H2168" s="33"/>
      <c r="I2168" s="31" t="s">
        <v>995</v>
      </c>
      <c r="J2168" s="31"/>
      <c r="K2168" s="33"/>
      <c r="L2168" s="33"/>
      <c r="M2168" s="31"/>
      <c r="N2168" s="31"/>
      <c r="O2168" s="16" t="s">
        <v>4526</v>
      </c>
      <c r="P2168" s="16"/>
      <c r="Q2168" s="16"/>
      <c r="R2168" s="33">
        <v>74</v>
      </c>
      <c r="S2168" s="34">
        <v>45842</v>
      </c>
      <c r="T2168" s="34">
        <v>45842</v>
      </c>
      <c r="U2168" s="34"/>
      <c r="V2168" s="34"/>
      <c r="W2168" s="34">
        <v>45842</v>
      </c>
      <c r="X2168" s="33" t="s">
        <v>1201</v>
      </c>
      <c r="Y2168" s="35" t="str">
        <f>IF(Tabela2[[#This Row],[SIGLA]]="","",VLOOKUP(Tabela2[[#This Row],[SIGLA]],Tabela1[[#All],[Sigla Arte]:[Crédito]],2,0))</f>
        <v>RAFAELA PANISSA/ARQUIVO DA EDITORA</v>
      </c>
      <c r="Z2168" s="31"/>
      <c r="AA2168" s="31" t="str">
        <f>Tabela2[[#This Row],[ILUSTRADOR CRIAÇÃO]]</f>
        <v>RAFAELA PANISSA/ARQUIVO DA EDITORA</v>
      </c>
      <c r="AB2168" s="33">
        <v>12</v>
      </c>
      <c r="AC2168" s="16" t="s">
        <v>2102</v>
      </c>
      <c r="AD2168" s="16" t="s">
        <v>40</v>
      </c>
      <c r="AE2168" s="35" t="str">
        <f t="shared" si="35"/>
        <v>EF1 E002 Mat</v>
      </c>
    </row>
    <row r="2169" spans="1:31" ht="105" x14ac:dyDescent="0.25">
      <c r="A2169" s="31" t="s">
        <v>4527</v>
      </c>
      <c r="B2169" s="16" t="s">
        <v>32</v>
      </c>
      <c r="C2169" s="16" t="s">
        <v>33</v>
      </c>
      <c r="D2169" s="33" t="s">
        <v>34</v>
      </c>
      <c r="E2169" s="33">
        <v>64</v>
      </c>
      <c r="F2169" s="33">
        <v>2</v>
      </c>
      <c r="G2169" s="33" t="s">
        <v>4528</v>
      </c>
      <c r="H2169" s="33"/>
      <c r="I2169" s="31" t="s">
        <v>35</v>
      </c>
      <c r="J2169" s="31"/>
      <c r="K2169" s="33"/>
      <c r="L2169" s="33"/>
      <c r="M2169" s="31"/>
      <c r="N2169" s="31"/>
      <c r="O2169" s="16" t="s">
        <v>4529</v>
      </c>
      <c r="P2169" s="16"/>
      <c r="Q2169" s="16"/>
      <c r="R2169" s="33">
        <v>75</v>
      </c>
      <c r="S2169" s="34">
        <v>45846</v>
      </c>
      <c r="T2169" s="34">
        <v>45847</v>
      </c>
      <c r="U2169" s="34"/>
      <c r="V2169" s="34"/>
      <c r="W2169" s="34">
        <v>45847</v>
      </c>
      <c r="X2169" s="33" t="s">
        <v>184</v>
      </c>
      <c r="Y2169" s="35" t="str">
        <f>IF(Tabela2[[#This Row],[SIGLA]]="","",VLOOKUP(Tabela2[[#This Row],[SIGLA]],Tabela1[[#All],[Sigla Arte]:[Crédito]],2,0))</f>
        <v>VER DOCUMENTO DE ILS. TÉCNICAS</v>
      </c>
      <c r="Z2169" s="31" t="s">
        <v>4341</v>
      </c>
      <c r="AA2169" s="31" t="s">
        <v>949</v>
      </c>
      <c r="AB2169" s="33">
        <v>13</v>
      </c>
      <c r="AC2169" s="16" t="s">
        <v>39</v>
      </c>
      <c r="AD2169" s="16" t="s">
        <v>40</v>
      </c>
      <c r="AE2169" s="35" t="str">
        <f t="shared" si="35"/>
        <v>EF1 E002 Mat</v>
      </c>
    </row>
    <row r="2170" spans="1:31" ht="45" x14ac:dyDescent="0.25">
      <c r="A2170" s="31" t="s">
        <v>4530</v>
      </c>
      <c r="B2170" s="16" t="s">
        <v>32</v>
      </c>
      <c r="C2170" s="16" t="s">
        <v>33</v>
      </c>
      <c r="D2170" s="33" t="s">
        <v>34</v>
      </c>
      <c r="E2170" s="33">
        <v>65</v>
      </c>
      <c r="F2170" s="33">
        <v>2</v>
      </c>
      <c r="G2170" s="33" t="s">
        <v>4528</v>
      </c>
      <c r="H2170" s="33"/>
      <c r="I2170" s="31" t="s">
        <v>46</v>
      </c>
      <c r="J2170" s="31"/>
      <c r="K2170" s="33"/>
      <c r="L2170" s="33"/>
      <c r="M2170" s="31"/>
      <c r="N2170" s="31"/>
      <c r="O2170" s="16" t="s">
        <v>4531</v>
      </c>
      <c r="P2170" s="16"/>
      <c r="Q2170" s="16"/>
      <c r="R2170" s="33"/>
      <c r="S2170" s="34"/>
      <c r="T2170" s="34"/>
      <c r="U2170" s="34"/>
      <c r="V2170" s="34"/>
      <c r="W2170" s="34"/>
      <c r="X2170" s="33" t="s">
        <v>162</v>
      </c>
      <c r="Y2170" s="35" t="str">
        <f>IF(Tabela2[[#This Row],[SIGLA]]="","",VLOOKUP(Tabela2[[#This Row],[SIGLA]],Tabela1[[#All],[Sigla Arte]:[Crédito]],2,0))</f>
        <v>IVY NUNES/ARQUIVO DA EDITORA</v>
      </c>
      <c r="Z2170" s="31"/>
      <c r="AA2170" s="31" t="str">
        <f>Tabela2[[#This Row],[ILUSTRADOR CRIAÇÃO]]</f>
        <v>IVY NUNES/ARQUIVO DA EDITORA</v>
      </c>
      <c r="AB2170" s="33"/>
      <c r="AC2170" s="16"/>
      <c r="AE2170" s="35" t="str">
        <f t="shared" si="35"/>
        <v>EF1 E002 Mat</v>
      </c>
    </row>
    <row r="2171" spans="1:31" ht="45" x14ac:dyDescent="0.25">
      <c r="A2171" s="31" t="s">
        <v>4532</v>
      </c>
      <c r="B2171" s="16" t="s">
        <v>32</v>
      </c>
      <c r="C2171" s="16" t="s">
        <v>33</v>
      </c>
      <c r="D2171" s="33" t="s">
        <v>34</v>
      </c>
      <c r="E2171" s="33">
        <v>65</v>
      </c>
      <c r="F2171" s="33">
        <v>2</v>
      </c>
      <c r="G2171" s="33" t="s">
        <v>4528</v>
      </c>
      <c r="H2171" s="33"/>
      <c r="I2171" s="31" t="s">
        <v>46</v>
      </c>
      <c r="J2171" s="31"/>
      <c r="K2171" s="33"/>
      <c r="L2171" s="33"/>
      <c r="M2171" s="31"/>
      <c r="N2171" s="31"/>
      <c r="O2171" s="16" t="s">
        <v>4533</v>
      </c>
      <c r="P2171" s="16"/>
      <c r="Q2171" s="16"/>
      <c r="R2171" s="33"/>
      <c r="S2171" s="34"/>
      <c r="T2171" s="34"/>
      <c r="U2171" s="34"/>
      <c r="V2171" s="34"/>
      <c r="W2171" s="34"/>
      <c r="X2171" s="33" t="s">
        <v>162</v>
      </c>
      <c r="Y2171" s="35" t="str">
        <f>IF(Tabela2[[#This Row],[SIGLA]]="","",VLOOKUP(Tabela2[[#This Row],[SIGLA]],Tabela1[[#All],[Sigla Arte]:[Crédito]],2,0))</f>
        <v>IVY NUNES/ARQUIVO DA EDITORA</v>
      </c>
      <c r="Z2171" s="31"/>
      <c r="AA2171" s="31" t="str">
        <f>Tabela2[[#This Row],[ILUSTRADOR CRIAÇÃO]]</f>
        <v>IVY NUNES/ARQUIVO DA EDITORA</v>
      </c>
      <c r="AB2171" s="33"/>
      <c r="AC2171" s="16"/>
      <c r="AE2171" s="35" t="str">
        <f t="shared" si="35"/>
        <v>EF1 E002 Mat</v>
      </c>
    </row>
    <row r="2172" spans="1:31" ht="45" x14ac:dyDescent="0.25">
      <c r="A2172" s="31" t="s">
        <v>4534</v>
      </c>
      <c r="B2172" s="16" t="s">
        <v>32</v>
      </c>
      <c r="C2172" s="16" t="s">
        <v>33</v>
      </c>
      <c r="D2172" s="33" t="s">
        <v>34</v>
      </c>
      <c r="E2172" s="33">
        <v>65</v>
      </c>
      <c r="F2172" s="33">
        <v>2</v>
      </c>
      <c r="G2172" s="33" t="s">
        <v>4528</v>
      </c>
      <c r="H2172" s="33"/>
      <c r="I2172" s="31" t="s">
        <v>46</v>
      </c>
      <c r="J2172" s="31"/>
      <c r="K2172" s="33"/>
      <c r="L2172" s="33"/>
      <c r="M2172" s="31"/>
      <c r="N2172" s="31"/>
      <c r="O2172" s="16" t="s">
        <v>4535</v>
      </c>
      <c r="P2172" s="16"/>
      <c r="Q2172" s="16"/>
      <c r="R2172" s="33"/>
      <c r="S2172" s="34"/>
      <c r="T2172" s="34"/>
      <c r="U2172" s="34"/>
      <c r="V2172" s="34"/>
      <c r="W2172" s="34"/>
      <c r="X2172" s="33" t="s">
        <v>162</v>
      </c>
      <c r="Y2172" s="35" t="str">
        <f>IF(Tabela2[[#This Row],[SIGLA]]="","",VLOOKUP(Tabela2[[#This Row],[SIGLA]],Tabela1[[#All],[Sigla Arte]:[Crédito]],2,0))</f>
        <v>IVY NUNES/ARQUIVO DA EDITORA</v>
      </c>
      <c r="Z2172" s="31"/>
      <c r="AA2172" s="31" t="str">
        <f>Tabela2[[#This Row],[ILUSTRADOR CRIAÇÃO]]</f>
        <v>IVY NUNES/ARQUIVO DA EDITORA</v>
      </c>
      <c r="AB2172" s="33"/>
      <c r="AC2172" s="16"/>
      <c r="AE2172" s="35" t="str">
        <f t="shared" si="35"/>
        <v>EF1 E002 Mat</v>
      </c>
    </row>
    <row r="2173" spans="1:31" ht="45" x14ac:dyDescent="0.25">
      <c r="A2173" s="31" t="s">
        <v>4536</v>
      </c>
      <c r="B2173" s="16" t="s">
        <v>401</v>
      </c>
      <c r="C2173" s="16" t="s">
        <v>33</v>
      </c>
      <c r="D2173" s="33" t="s">
        <v>34</v>
      </c>
      <c r="E2173" s="33">
        <v>65</v>
      </c>
      <c r="F2173" s="33">
        <v>2</v>
      </c>
      <c r="G2173" s="33" t="s">
        <v>4528</v>
      </c>
      <c r="H2173" s="33"/>
      <c r="I2173" s="31" t="s">
        <v>46</v>
      </c>
      <c r="J2173" s="31"/>
      <c r="K2173" s="33"/>
      <c r="L2173" s="33"/>
      <c r="M2173" s="31"/>
      <c r="N2173" s="31"/>
      <c r="O2173" s="16" t="s">
        <v>4537</v>
      </c>
      <c r="P2173" s="16"/>
      <c r="Q2173" s="16" t="s">
        <v>1500</v>
      </c>
      <c r="R2173" s="33"/>
      <c r="S2173" s="34"/>
      <c r="T2173" s="34"/>
      <c r="U2173" s="34"/>
      <c r="V2173" s="34"/>
      <c r="W2173" s="34"/>
      <c r="X2173" s="33" t="s">
        <v>162</v>
      </c>
      <c r="Y2173" s="35" t="str">
        <f>IF(Tabela2[[#This Row],[SIGLA]]="","",VLOOKUP(Tabela2[[#This Row],[SIGLA]],Tabela1[[#All],[Sigla Arte]:[Crédito]],2,0))</f>
        <v>IVY NUNES/ARQUIVO DA EDITORA</v>
      </c>
      <c r="Z2173" s="31"/>
      <c r="AA2173" s="31" t="str">
        <f>Tabela2[[#This Row],[ILUSTRADOR CRIAÇÃO]]</f>
        <v>IVY NUNES/ARQUIVO DA EDITORA</v>
      </c>
      <c r="AB2173" s="33"/>
      <c r="AC2173" s="16"/>
      <c r="AE2173" s="35" t="str">
        <f t="shared" si="35"/>
        <v>EF1 E002 Mat</v>
      </c>
    </row>
    <row r="2174" spans="1:31" ht="45" x14ac:dyDescent="0.25">
      <c r="A2174" s="31" t="s">
        <v>4538</v>
      </c>
      <c r="B2174" s="16" t="s">
        <v>32</v>
      </c>
      <c r="C2174" s="16" t="s">
        <v>33</v>
      </c>
      <c r="D2174" s="33" t="s">
        <v>34</v>
      </c>
      <c r="E2174" s="33">
        <v>144</v>
      </c>
      <c r="F2174" s="33">
        <v>2</v>
      </c>
      <c r="G2174" s="33" t="s">
        <v>4528</v>
      </c>
      <c r="H2174" s="33"/>
      <c r="I2174" s="31" t="s">
        <v>46</v>
      </c>
      <c r="J2174" s="31"/>
      <c r="K2174" s="33"/>
      <c r="L2174" s="33"/>
      <c r="M2174" s="31"/>
      <c r="N2174" s="31"/>
      <c r="O2174" s="16" t="s">
        <v>4539</v>
      </c>
      <c r="P2174" s="16"/>
      <c r="Q2174" s="16"/>
      <c r="R2174" s="33"/>
      <c r="S2174" s="34"/>
      <c r="T2174" s="34"/>
      <c r="U2174" s="34"/>
      <c r="V2174" s="34"/>
      <c r="W2174" s="34"/>
      <c r="X2174" s="33" t="s">
        <v>162</v>
      </c>
      <c r="Y2174" s="35" t="str">
        <f>IF(Tabela2[[#This Row],[SIGLA]]="","",VLOOKUP(Tabela2[[#This Row],[SIGLA]],Tabela1[[#All],[Sigla Arte]:[Crédito]],2,0))</f>
        <v>IVY NUNES/ARQUIVO DA EDITORA</v>
      </c>
      <c r="Z2174" s="31"/>
      <c r="AA2174" s="31" t="str">
        <f>Tabela2[[#This Row],[ILUSTRADOR CRIAÇÃO]]</f>
        <v>IVY NUNES/ARQUIVO DA EDITORA</v>
      </c>
      <c r="AB2174" s="33"/>
      <c r="AC2174" s="16"/>
      <c r="AE2174" s="35" t="str">
        <f t="shared" si="35"/>
        <v>EF1 E002 Mat</v>
      </c>
    </row>
    <row r="2175" spans="1:31" ht="45" x14ac:dyDescent="0.25">
      <c r="A2175" s="31" t="s">
        <v>4540</v>
      </c>
      <c r="B2175" s="16" t="s">
        <v>32</v>
      </c>
      <c r="C2175" s="16" t="s">
        <v>33</v>
      </c>
      <c r="D2175" s="33" t="s">
        <v>34</v>
      </c>
      <c r="E2175" s="33">
        <v>144</v>
      </c>
      <c r="F2175" s="33">
        <v>2</v>
      </c>
      <c r="G2175" s="33" t="s">
        <v>4528</v>
      </c>
      <c r="H2175" s="33"/>
      <c r="I2175" s="31" t="s">
        <v>46</v>
      </c>
      <c r="J2175" s="31"/>
      <c r="K2175" s="33"/>
      <c r="L2175" s="33"/>
      <c r="M2175" s="31"/>
      <c r="N2175" s="31"/>
      <c r="O2175" s="16" t="s">
        <v>4541</v>
      </c>
      <c r="P2175" s="16"/>
      <c r="Q2175" s="16"/>
      <c r="R2175" s="33"/>
      <c r="S2175" s="34"/>
      <c r="T2175" s="34"/>
      <c r="U2175" s="34"/>
      <c r="V2175" s="34"/>
      <c r="W2175" s="34"/>
      <c r="X2175" s="33" t="s">
        <v>184</v>
      </c>
      <c r="Y2175" s="35" t="str">
        <f>IF(Tabela2[[#This Row],[SIGLA]]="","",VLOOKUP(Tabela2[[#This Row],[SIGLA]],Tabela1[[#All],[Sigla Arte]:[Crédito]],2,0))</f>
        <v>VER DOCUMENTO DE ILS. TÉCNICAS</v>
      </c>
      <c r="Z2175" s="31"/>
      <c r="AA2175" s="31" t="s">
        <v>191</v>
      </c>
      <c r="AB2175" s="33"/>
      <c r="AC2175" s="16"/>
      <c r="AE2175" s="35" t="str">
        <f t="shared" si="35"/>
        <v>EF1 E002 Mat</v>
      </c>
    </row>
    <row r="2176" spans="1:31" ht="30" x14ac:dyDescent="0.25">
      <c r="A2176" s="31" t="s">
        <v>4542</v>
      </c>
      <c r="B2176" s="16" t="s">
        <v>32</v>
      </c>
      <c r="C2176" s="16" t="s">
        <v>33</v>
      </c>
      <c r="D2176" s="33" t="s">
        <v>34</v>
      </c>
      <c r="E2176" s="33">
        <v>204</v>
      </c>
      <c r="F2176" s="33">
        <v>2</v>
      </c>
      <c r="G2176" s="33" t="s">
        <v>4528</v>
      </c>
      <c r="H2176" s="33"/>
      <c r="I2176" s="31" t="s">
        <v>46</v>
      </c>
      <c r="J2176" s="31"/>
      <c r="K2176" s="33"/>
      <c r="L2176" s="33"/>
      <c r="M2176" s="31"/>
      <c r="N2176" s="31"/>
      <c r="O2176" s="16" t="s">
        <v>4543</v>
      </c>
      <c r="P2176" s="16"/>
      <c r="Q2176" s="16"/>
      <c r="R2176" s="33"/>
      <c r="S2176" s="34"/>
      <c r="T2176" s="34"/>
      <c r="U2176" s="34"/>
      <c r="V2176" s="34"/>
      <c r="W2176" s="34"/>
      <c r="X2176" s="33" t="s">
        <v>333</v>
      </c>
      <c r="Y2176" s="35" t="str">
        <f>IF(Tabela2[[#This Row],[SIGLA]]="","",VLOOKUP(Tabela2[[#This Row],[SIGLA]],Tabela1[[#All],[Sigla Arte]:[Crédito]],2,0))</f>
        <v>LISLLEY GOMES FEIGE/ARQUIVO DA EDITORA</v>
      </c>
      <c r="Z2176" s="31"/>
      <c r="AA2176" s="31" t="str">
        <f>Tabela2[[#This Row],[ILUSTRADOR CRIAÇÃO]]</f>
        <v>LISLLEY GOMES FEIGE/ARQUIVO DA EDITORA</v>
      </c>
      <c r="AB2176" s="33"/>
      <c r="AC2176" s="16"/>
      <c r="AE2176" s="35" t="str">
        <f t="shared" si="35"/>
        <v>EF1 E002 Mat</v>
      </c>
    </row>
    <row r="2177" spans="1:31" ht="30" x14ac:dyDescent="0.25">
      <c r="A2177" s="31" t="s">
        <v>4544</v>
      </c>
      <c r="B2177" s="16" t="s">
        <v>32</v>
      </c>
      <c r="C2177" s="16" t="s">
        <v>33</v>
      </c>
      <c r="D2177" s="33" t="s">
        <v>34</v>
      </c>
      <c r="E2177" s="33">
        <v>204</v>
      </c>
      <c r="F2177" s="33">
        <v>2</v>
      </c>
      <c r="G2177" s="33" t="s">
        <v>4528</v>
      </c>
      <c r="H2177" s="33"/>
      <c r="I2177" s="31" t="s">
        <v>46</v>
      </c>
      <c r="J2177" s="31"/>
      <c r="K2177" s="33"/>
      <c r="L2177" s="33"/>
      <c r="M2177" s="31"/>
      <c r="N2177" s="31"/>
      <c r="O2177" s="16" t="s">
        <v>4545</v>
      </c>
      <c r="P2177" s="16"/>
      <c r="Q2177" s="16"/>
      <c r="R2177" s="33"/>
      <c r="S2177" s="34"/>
      <c r="T2177" s="34"/>
      <c r="U2177" s="34"/>
      <c r="V2177" s="34"/>
      <c r="W2177" s="34"/>
      <c r="X2177" s="33" t="s">
        <v>85</v>
      </c>
      <c r="Y2177" s="35" t="str">
        <f>IF(Tabela2[[#This Row],[SIGLA]]="","",VLOOKUP(Tabela2[[#This Row],[SIGLA]],Tabela1[[#All],[Sigla Arte]:[Crédito]],2,0))</f>
        <v>HELOÍSA PINTARELLI/ARQUIVO DA EDITORA</v>
      </c>
      <c r="Z2177" s="31"/>
      <c r="AA2177" s="31" t="str">
        <f>Tabela2[[#This Row],[ILUSTRADOR CRIAÇÃO]]</f>
        <v>HELOÍSA PINTARELLI/ARQUIVO DA EDITORA</v>
      </c>
      <c r="AB2177" s="33"/>
      <c r="AC2177" s="16"/>
      <c r="AE2177" s="35" t="str">
        <f t="shared" si="35"/>
        <v>EF1 E002 Mat</v>
      </c>
    </row>
    <row r="2178" spans="1:31" ht="30" x14ac:dyDescent="0.25">
      <c r="A2178" s="31" t="s">
        <v>4546</v>
      </c>
      <c r="B2178" s="16" t="s">
        <v>32</v>
      </c>
      <c r="C2178" s="16" t="s">
        <v>33</v>
      </c>
      <c r="D2178" s="33" t="s">
        <v>34</v>
      </c>
      <c r="E2178" s="33">
        <v>204</v>
      </c>
      <c r="F2178" s="33">
        <v>2</v>
      </c>
      <c r="G2178" s="33" t="s">
        <v>4528</v>
      </c>
      <c r="H2178" s="33"/>
      <c r="I2178" s="31" t="s">
        <v>995</v>
      </c>
      <c r="J2178" s="31"/>
      <c r="K2178" s="33"/>
      <c r="L2178" s="33"/>
      <c r="M2178" s="31"/>
      <c r="N2178" s="31"/>
      <c r="O2178" s="16" t="s">
        <v>4547</v>
      </c>
      <c r="P2178" s="16"/>
      <c r="Q2178" s="16"/>
      <c r="R2178" s="33">
        <v>75</v>
      </c>
      <c r="S2178" s="34">
        <v>45846</v>
      </c>
      <c r="T2178" s="34">
        <v>45847</v>
      </c>
      <c r="U2178" s="34"/>
      <c r="V2178" s="34"/>
      <c r="W2178" s="34">
        <v>45848</v>
      </c>
      <c r="X2178" s="33" t="s">
        <v>48</v>
      </c>
      <c r="Y2178" s="35" t="str">
        <f>IF(Tabela2[[#This Row],[SIGLA]]="","",VLOOKUP(Tabela2[[#This Row],[SIGLA]],Tabela1[[#All],[Sigla Arte]:[Crédito]],2,0))</f>
        <v>SERGIO LIMA/ARQUIVO DA EDITORA</v>
      </c>
      <c r="Z2178" s="31"/>
      <c r="AA2178" s="31" t="str">
        <f>Tabela2[[#This Row],[ILUSTRADOR CRIAÇÃO]]</f>
        <v>SERGIO LIMA/ARQUIVO DA EDITORA</v>
      </c>
      <c r="AB2178" s="33">
        <v>7</v>
      </c>
      <c r="AC2178" s="16" t="s">
        <v>4548</v>
      </c>
      <c r="AD2178" s="16" t="s">
        <v>1093</v>
      </c>
      <c r="AE2178" s="35" t="str">
        <f t="shared" si="35"/>
        <v>EF1 E002 Mat</v>
      </c>
    </row>
    <row r="2179" spans="1:31" ht="90" x14ac:dyDescent="0.25">
      <c r="A2179" s="31" t="s">
        <v>4549</v>
      </c>
      <c r="B2179" s="16" t="s">
        <v>32</v>
      </c>
      <c r="C2179" s="16" t="s">
        <v>33</v>
      </c>
      <c r="D2179" s="33" t="s">
        <v>34</v>
      </c>
      <c r="E2179" s="33">
        <v>204</v>
      </c>
      <c r="F2179" s="33">
        <v>2</v>
      </c>
      <c r="G2179" s="33" t="s">
        <v>4528</v>
      </c>
      <c r="H2179" s="33"/>
      <c r="I2179" s="31" t="s">
        <v>35</v>
      </c>
      <c r="J2179" s="31"/>
      <c r="K2179" s="33"/>
      <c r="L2179" s="33"/>
      <c r="M2179" s="31"/>
      <c r="N2179" s="31"/>
      <c r="O2179" s="16" t="s">
        <v>4550</v>
      </c>
      <c r="P2179" s="16"/>
      <c r="Q2179" s="16"/>
      <c r="R2179" s="33">
        <v>75</v>
      </c>
      <c r="S2179" s="34">
        <v>45846</v>
      </c>
      <c r="T2179" s="34">
        <v>45847</v>
      </c>
      <c r="U2179" s="34"/>
      <c r="V2179" s="34"/>
      <c r="W2179" s="34">
        <v>45847</v>
      </c>
      <c r="X2179" s="33" t="s">
        <v>85</v>
      </c>
      <c r="Y2179" s="35" t="str">
        <f>IF(Tabela2[[#This Row],[SIGLA]]="","",VLOOKUP(Tabela2[[#This Row],[SIGLA]],Tabela1[[#All],[Sigla Arte]:[Crédito]],2,0))</f>
        <v>HELOÍSA PINTARELLI/ARQUIVO DA EDITORA</v>
      </c>
      <c r="Z2179" s="31" t="s">
        <v>4341</v>
      </c>
      <c r="AA2179" s="31" t="str">
        <f>Tabela2[[#This Row],[ILUSTRADOR CRIAÇÃO]]</f>
        <v>HELOÍSA PINTARELLI/ARQUIVO DA EDITORA</v>
      </c>
      <c r="AB2179" s="33">
        <v>13</v>
      </c>
      <c r="AC2179" s="16" t="s">
        <v>39</v>
      </c>
      <c r="AD2179" s="16" t="s">
        <v>40</v>
      </c>
      <c r="AE2179" s="35" t="str">
        <f t="shared" si="35"/>
        <v>EF1 E002 Mat</v>
      </c>
    </row>
    <row r="2180" spans="1:31" ht="60" x14ac:dyDescent="0.25">
      <c r="A2180" s="31" t="s">
        <v>4551</v>
      </c>
      <c r="B2180" s="16" t="s">
        <v>401</v>
      </c>
      <c r="C2180" s="16" t="s">
        <v>33</v>
      </c>
      <c r="D2180" s="33" t="s">
        <v>34</v>
      </c>
      <c r="E2180" s="33">
        <v>204</v>
      </c>
      <c r="F2180" s="33">
        <v>2</v>
      </c>
      <c r="G2180" s="33" t="s">
        <v>4528</v>
      </c>
      <c r="H2180" s="33"/>
      <c r="I2180" s="31" t="s">
        <v>46</v>
      </c>
      <c r="J2180" s="31"/>
      <c r="K2180" s="33"/>
      <c r="L2180" s="33"/>
      <c r="M2180" s="31"/>
      <c r="N2180" s="31"/>
      <c r="O2180" s="16" t="s">
        <v>4552</v>
      </c>
      <c r="P2180" s="16"/>
      <c r="Q2180" s="16" t="s">
        <v>1500</v>
      </c>
      <c r="R2180" s="33"/>
      <c r="S2180" s="34"/>
      <c r="T2180" s="34"/>
      <c r="U2180" s="34"/>
      <c r="V2180" s="34"/>
      <c r="W2180" s="34"/>
      <c r="X2180" s="33" t="s">
        <v>85</v>
      </c>
      <c r="Y2180" s="35" t="str">
        <f>IF(Tabela2[[#This Row],[SIGLA]]="","",VLOOKUP(Tabela2[[#This Row],[SIGLA]],Tabela1[[#All],[Sigla Arte]:[Crédito]],2,0))</f>
        <v>HELOÍSA PINTARELLI/ARQUIVO DA EDITORA</v>
      </c>
      <c r="Z2180" s="31"/>
      <c r="AA2180" s="31" t="str">
        <f>Tabela2[[#This Row],[ILUSTRADOR CRIAÇÃO]]</f>
        <v>HELOÍSA PINTARELLI/ARQUIVO DA EDITORA</v>
      </c>
      <c r="AB2180" s="33"/>
      <c r="AC2180" s="16"/>
      <c r="AE2180" s="35" t="str">
        <f t="shared" si="35"/>
        <v>EF1 E002 Mat</v>
      </c>
    </row>
    <row r="2181" spans="1:31" ht="150" x14ac:dyDescent="0.25">
      <c r="A2181" s="31" t="s">
        <v>4553</v>
      </c>
      <c r="B2181" s="16" t="s">
        <v>32</v>
      </c>
      <c r="C2181" s="16" t="s">
        <v>33</v>
      </c>
      <c r="D2181" s="33" t="s">
        <v>34</v>
      </c>
      <c r="E2181" s="33">
        <v>204</v>
      </c>
      <c r="F2181" s="33">
        <v>2</v>
      </c>
      <c r="G2181" s="33" t="s">
        <v>4528</v>
      </c>
      <c r="H2181" s="33"/>
      <c r="I2181" s="31" t="s">
        <v>995</v>
      </c>
      <c r="J2181" s="31"/>
      <c r="K2181" s="33"/>
      <c r="L2181" s="33"/>
      <c r="M2181" s="31"/>
      <c r="N2181" s="31"/>
      <c r="O2181" s="16" t="s">
        <v>4554</v>
      </c>
      <c r="P2181" s="16"/>
      <c r="Q2181" s="16"/>
      <c r="R2181" s="33">
        <v>75</v>
      </c>
      <c r="S2181" s="34">
        <v>45846</v>
      </c>
      <c r="T2181" s="34">
        <v>45847</v>
      </c>
      <c r="U2181" s="34"/>
      <c r="V2181" s="34"/>
      <c r="W2181" s="34">
        <v>45848</v>
      </c>
      <c r="X2181" s="33" t="s">
        <v>48</v>
      </c>
      <c r="Y2181" s="35" t="str">
        <f>IF(Tabela2[[#This Row],[SIGLA]]="","",VLOOKUP(Tabela2[[#This Row],[SIGLA]],Tabela1[[#All],[Sigla Arte]:[Crédito]],2,0))</f>
        <v>SERGIO LIMA/ARQUIVO DA EDITORA</v>
      </c>
      <c r="Z2181" s="31"/>
      <c r="AA2181" s="31" t="str">
        <f>Tabela2[[#This Row],[ILUSTRADOR CRIAÇÃO]]</f>
        <v>SERGIO LIMA/ARQUIVO DA EDITORA</v>
      </c>
      <c r="AB2181" s="33">
        <v>8</v>
      </c>
      <c r="AC2181" s="16" t="s">
        <v>4548</v>
      </c>
      <c r="AD2181" s="16" t="s">
        <v>1093</v>
      </c>
      <c r="AE2181" s="35" t="str">
        <f t="shared" si="35"/>
        <v>EF1 E002 Mat</v>
      </c>
    </row>
    <row r="2182" spans="1:31" ht="165" x14ac:dyDescent="0.25">
      <c r="A2182" s="31" t="s">
        <v>4555</v>
      </c>
      <c r="B2182" s="16" t="s">
        <v>32</v>
      </c>
      <c r="C2182" s="16" t="s">
        <v>33</v>
      </c>
      <c r="D2182" s="33" t="s">
        <v>34</v>
      </c>
      <c r="E2182" s="33">
        <v>204</v>
      </c>
      <c r="F2182" s="33">
        <v>2</v>
      </c>
      <c r="G2182" s="33" t="s">
        <v>4528</v>
      </c>
      <c r="H2182" s="33"/>
      <c r="I2182" s="31" t="s">
        <v>995</v>
      </c>
      <c r="J2182" s="31"/>
      <c r="K2182" s="33"/>
      <c r="L2182" s="33"/>
      <c r="M2182" s="31"/>
      <c r="N2182" s="31"/>
      <c r="O2182" s="16" t="s">
        <v>4556</v>
      </c>
      <c r="P2182" s="16"/>
      <c r="Q2182" s="16"/>
      <c r="R2182" s="33">
        <v>75</v>
      </c>
      <c r="S2182" s="34">
        <v>45846</v>
      </c>
      <c r="T2182" s="34">
        <v>45847</v>
      </c>
      <c r="U2182" s="34"/>
      <c r="V2182" s="34"/>
      <c r="W2182" s="34">
        <v>45848</v>
      </c>
      <c r="X2182" s="33" t="s">
        <v>48</v>
      </c>
      <c r="Y2182" s="35" t="str">
        <f>IF(Tabela2[[#This Row],[SIGLA]]="","",VLOOKUP(Tabela2[[#This Row],[SIGLA]],Tabela1[[#All],[Sigla Arte]:[Crédito]],2,0))</f>
        <v>SERGIO LIMA/ARQUIVO DA EDITORA</v>
      </c>
      <c r="Z2182" s="31"/>
      <c r="AA2182" s="31" t="str">
        <f>Tabela2[[#This Row],[ILUSTRADOR CRIAÇÃO]]</f>
        <v>SERGIO LIMA/ARQUIVO DA EDITORA</v>
      </c>
      <c r="AB2182" s="33">
        <v>8</v>
      </c>
      <c r="AC2182" s="16" t="s">
        <v>4548</v>
      </c>
      <c r="AD2182" s="16" t="s">
        <v>1093</v>
      </c>
      <c r="AE2182" s="35" t="str">
        <f t="shared" si="35"/>
        <v>EF1 E002 Mat</v>
      </c>
    </row>
    <row r="2183" spans="1:31" ht="120" x14ac:dyDescent="0.25">
      <c r="A2183" s="31" t="s">
        <v>4557</v>
      </c>
      <c r="B2183" s="16" t="s">
        <v>32</v>
      </c>
      <c r="C2183" s="16" t="s">
        <v>33</v>
      </c>
      <c r="D2183" s="33" t="s">
        <v>34</v>
      </c>
      <c r="E2183" s="33">
        <v>205</v>
      </c>
      <c r="F2183" s="33">
        <v>2</v>
      </c>
      <c r="G2183" s="33" t="s">
        <v>4528</v>
      </c>
      <c r="H2183" s="33"/>
      <c r="I2183" s="31" t="s">
        <v>35</v>
      </c>
      <c r="J2183" s="31"/>
      <c r="K2183" s="33"/>
      <c r="L2183" s="33"/>
      <c r="M2183" s="31"/>
      <c r="N2183" s="31"/>
      <c r="O2183" s="16" t="s">
        <v>4558</v>
      </c>
      <c r="P2183" s="16"/>
      <c r="Q2183" s="16"/>
      <c r="R2183" s="33">
        <v>75</v>
      </c>
      <c r="S2183" s="34">
        <v>45846</v>
      </c>
      <c r="T2183" s="34">
        <v>45847</v>
      </c>
      <c r="U2183" s="34"/>
      <c r="V2183" s="34"/>
      <c r="W2183" s="34">
        <v>45847</v>
      </c>
      <c r="X2183" s="33" t="s">
        <v>1126</v>
      </c>
      <c r="Y2183" s="35" t="str">
        <f>IF(Tabela2[[#This Row],[SIGLA]]="","",VLOOKUP(Tabela2[[#This Row],[SIGLA]],Tabela1[[#All],[Sigla Arte]:[Crédito]],2,0))</f>
        <v>GUSTAVO CONTI/ARQUIVO DA EDITORA</v>
      </c>
      <c r="Z2183" s="31" t="s">
        <v>4341</v>
      </c>
      <c r="AA2183" s="31" t="str">
        <f>Tabela2[[#This Row],[ILUSTRADOR CRIAÇÃO]]</f>
        <v>GUSTAVO CONTI/ARQUIVO DA EDITORA</v>
      </c>
      <c r="AB2183" s="33">
        <v>13</v>
      </c>
      <c r="AC2183" s="16" t="s">
        <v>39</v>
      </c>
      <c r="AD2183" s="16" t="s">
        <v>40</v>
      </c>
      <c r="AE2183" s="35" t="str">
        <f t="shared" si="35"/>
        <v>EF1 E002 Mat</v>
      </c>
    </row>
    <row r="2184" spans="1:31" ht="75" x14ac:dyDescent="0.25">
      <c r="A2184" s="31" t="s">
        <v>4559</v>
      </c>
      <c r="B2184" s="16" t="s">
        <v>32</v>
      </c>
      <c r="C2184" s="16" t="s">
        <v>33</v>
      </c>
      <c r="D2184" s="33" t="s">
        <v>34</v>
      </c>
      <c r="E2184" s="33">
        <v>205</v>
      </c>
      <c r="F2184" s="33">
        <v>2</v>
      </c>
      <c r="G2184" s="33" t="s">
        <v>4528</v>
      </c>
      <c r="H2184" s="33"/>
      <c r="I2184" s="31" t="s">
        <v>35</v>
      </c>
      <c r="J2184" s="31"/>
      <c r="K2184" s="33"/>
      <c r="L2184" s="33"/>
      <c r="M2184" s="31"/>
      <c r="N2184" s="31"/>
      <c r="O2184" s="16" t="s">
        <v>4560</v>
      </c>
      <c r="P2184" s="16"/>
      <c r="Q2184" s="16"/>
      <c r="R2184" s="33">
        <v>75</v>
      </c>
      <c r="S2184" s="34">
        <v>45846</v>
      </c>
      <c r="T2184" s="34">
        <v>45847</v>
      </c>
      <c r="U2184" s="34"/>
      <c r="V2184" s="34"/>
      <c r="W2184" s="34">
        <v>45847</v>
      </c>
      <c r="X2184" s="33" t="s">
        <v>1126</v>
      </c>
      <c r="Y2184" s="35" t="str">
        <f>IF(Tabela2[[#This Row],[SIGLA]]="","",VLOOKUP(Tabela2[[#This Row],[SIGLA]],Tabela1[[#All],[Sigla Arte]:[Crédito]],2,0))</f>
        <v>GUSTAVO CONTI/ARQUIVO DA EDITORA</v>
      </c>
      <c r="Z2184" s="31" t="s">
        <v>4341</v>
      </c>
      <c r="AA2184" s="31" t="str">
        <f>Tabela2[[#This Row],[ILUSTRADOR CRIAÇÃO]]</f>
        <v>GUSTAVO CONTI/ARQUIVO DA EDITORA</v>
      </c>
      <c r="AB2184" s="33">
        <v>13</v>
      </c>
      <c r="AC2184" s="16" t="s">
        <v>39</v>
      </c>
      <c r="AD2184" s="16" t="s">
        <v>40</v>
      </c>
      <c r="AE2184" s="35" t="str">
        <f t="shared" si="35"/>
        <v>EF1 E002 Mat</v>
      </c>
    </row>
    <row r="2185" spans="1:31" ht="75" x14ac:dyDescent="0.25">
      <c r="A2185" s="31" t="s">
        <v>4561</v>
      </c>
      <c r="B2185" s="16" t="s">
        <v>32</v>
      </c>
      <c r="C2185" s="16" t="s">
        <v>33</v>
      </c>
      <c r="D2185" s="33" t="s">
        <v>34</v>
      </c>
      <c r="E2185" s="33">
        <v>205</v>
      </c>
      <c r="F2185" s="33">
        <v>2</v>
      </c>
      <c r="G2185" s="33" t="s">
        <v>4528</v>
      </c>
      <c r="H2185" s="33"/>
      <c r="I2185" s="31" t="s">
        <v>35</v>
      </c>
      <c r="J2185" s="31"/>
      <c r="K2185" s="33"/>
      <c r="L2185" s="33"/>
      <c r="M2185" s="31"/>
      <c r="N2185" s="31"/>
      <c r="O2185" s="16" t="s">
        <v>4562</v>
      </c>
      <c r="P2185" s="16"/>
      <c r="Q2185" s="16"/>
      <c r="R2185" s="33">
        <v>75</v>
      </c>
      <c r="S2185" s="34">
        <v>45846</v>
      </c>
      <c r="T2185" s="34">
        <v>45847</v>
      </c>
      <c r="U2185" s="34"/>
      <c r="V2185" s="34"/>
      <c r="W2185" s="34">
        <v>45847</v>
      </c>
      <c r="X2185" s="33" t="s">
        <v>1126</v>
      </c>
      <c r="Y2185" s="35" t="str">
        <f>IF(Tabela2[[#This Row],[SIGLA]]="","",VLOOKUP(Tabela2[[#This Row],[SIGLA]],Tabela1[[#All],[Sigla Arte]:[Crédito]],2,0))</f>
        <v>GUSTAVO CONTI/ARQUIVO DA EDITORA</v>
      </c>
      <c r="Z2185" s="31" t="s">
        <v>4341</v>
      </c>
      <c r="AA2185" s="31" t="str">
        <f>Tabela2[[#This Row],[ILUSTRADOR CRIAÇÃO]]</f>
        <v>GUSTAVO CONTI/ARQUIVO DA EDITORA</v>
      </c>
      <c r="AB2185" s="33">
        <v>13</v>
      </c>
      <c r="AC2185" s="16" t="s">
        <v>39</v>
      </c>
      <c r="AD2185" s="16" t="s">
        <v>40</v>
      </c>
      <c r="AE2185" s="35" t="str">
        <f t="shared" si="35"/>
        <v>EF1 E002 Mat</v>
      </c>
    </row>
    <row r="2186" spans="1:31" ht="75" x14ac:dyDescent="0.25">
      <c r="A2186" s="31" t="s">
        <v>4563</v>
      </c>
      <c r="B2186" s="16" t="s">
        <v>32</v>
      </c>
      <c r="C2186" s="16" t="s">
        <v>33</v>
      </c>
      <c r="D2186" s="33" t="s">
        <v>34</v>
      </c>
      <c r="E2186" s="33">
        <v>205</v>
      </c>
      <c r="F2186" s="33">
        <v>2</v>
      </c>
      <c r="G2186" s="33" t="s">
        <v>4528</v>
      </c>
      <c r="H2186" s="33"/>
      <c r="I2186" s="31" t="s">
        <v>35</v>
      </c>
      <c r="J2186" s="31"/>
      <c r="K2186" s="33"/>
      <c r="L2186" s="33"/>
      <c r="M2186" s="31"/>
      <c r="N2186" s="31"/>
      <c r="O2186" s="16" t="s">
        <v>4564</v>
      </c>
      <c r="P2186" s="16"/>
      <c r="Q2186" s="16"/>
      <c r="R2186" s="33">
        <v>75</v>
      </c>
      <c r="S2186" s="34">
        <v>45846</v>
      </c>
      <c r="T2186" s="34">
        <v>45847</v>
      </c>
      <c r="U2186" s="34"/>
      <c r="V2186" s="34"/>
      <c r="W2186" s="34">
        <v>45847</v>
      </c>
      <c r="X2186" s="33" t="s">
        <v>1126</v>
      </c>
      <c r="Y2186" s="35" t="str">
        <f>IF(Tabela2[[#This Row],[SIGLA]]="","",VLOOKUP(Tabela2[[#This Row],[SIGLA]],Tabela1[[#All],[Sigla Arte]:[Crédito]],2,0))</f>
        <v>GUSTAVO CONTI/ARQUIVO DA EDITORA</v>
      </c>
      <c r="Z2186" s="31" t="s">
        <v>4341</v>
      </c>
      <c r="AA2186" s="31" t="str">
        <f>Tabela2[[#This Row],[ILUSTRADOR CRIAÇÃO]]</f>
        <v>GUSTAVO CONTI/ARQUIVO DA EDITORA</v>
      </c>
      <c r="AB2186" s="33">
        <v>13</v>
      </c>
      <c r="AC2186" s="16" t="s">
        <v>39</v>
      </c>
      <c r="AD2186" s="16" t="s">
        <v>40</v>
      </c>
      <c r="AE2186" s="35" t="str">
        <f t="shared" si="35"/>
        <v>EF1 E002 Mat</v>
      </c>
    </row>
    <row r="2187" spans="1:31" ht="60" x14ac:dyDescent="0.25">
      <c r="A2187" s="31" t="s">
        <v>4565</v>
      </c>
      <c r="B2187" s="16" t="s">
        <v>32</v>
      </c>
      <c r="C2187" s="16" t="s">
        <v>33</v>
      </c>
      <c r="D2187" s="33" t="s">
        <v>34</v>
      </c>
      <c r="E2187" s="33">
        <v>205</v>
      </c>
      <c r="F2187" s="33">
        <v>2</v>
      </c>
      <c r="G2187" s="33" t="s">
        <v>4528</v>
      </c>
      <c r="H2187" s="33"/>
      <c r="I2187" s="31" t="s">
        <v>35</v>
      </c>
      <c r="J2187" s="31"/>
      <c r="K2187" s="33"/>
      <c r="L2187" s="33"/>
      <c r="M2187" s="31"/>
      <c r="N2187" s="31"/>
      <c r="O2187" s="16" t="s">
        <v>4566</v>
      </c>
      <c r="P2187" s="16"/>
      <c r="Q2187" s="16"/>
      <c r="R2187" s="33">
        <v>75</v>
      </c>
      <c r="S2187" s="34">
        <v>45846</v>
      </c>
      <c r="T2187" s="34">
        <v>45847</v>
      </c>
      <c r="U2187" s="34"/>
      <c r="V2187" s="34"/>
      <c r="W2187" s="34">
        <v>45847</v>
      </c>
      <c r="X2187" s="33" t="s">
        <v>85</v>
      </c>
      <c r="Y2187" s="35" t="str">
        <f>IF(Tabela2[[#This Row],[SIGLA]]="","",VLOOKUP(Tabela2[[#This Row],[SIGLA]],Tabela1[[#All],[Sigla Arte]:[Crédito]],2,0))</f>
        <v>HELOÍSA PINTARELLI/ARQUIVO DA EDITORA</v>
      </c>
      <c r="Z2187" s="31" t="s">
        <v>4341</v>
      </c>
      <c r="AA2187" s="31" t="str">
        <f>Tabela2[[#This Row],[ILUSTRADOR CRIAÇÃO]]</f>
        <v>HELOÍSA PINTARELLI/ARQUIVO DA EDITORA</v>
      </c>
      <c r="AB2187" s="33">
        <v>13</v>
      </c>
      <c r="AC2187" s="16" t="s">
        <v>39</v>
      </c>
      <c r="AD2187" s="16" t="s">
        <v>40</v>
      </c>
      <c r="AE2187" s="35" t="str">
        <f t="shared" si="35"/>
        <v>EF1 E002 Mat</v>
      </c>
    </row>
    <row r="2188" spans="1:31" ht="30" x14ac:dyDescent="0.25">
      <c r="A2188" s="31" t="s">
        <v>4567</v>
      </c>
      <c r="B2188" s="16" t="s">
        <v>32</v>
      </c>
      <c r="C2188" s="16" t="s">
        <v>33</v>
      </c>
      <c r="D2188" s="33" t="s">
        <v>34</v>
      </c>
      <c r="E2188" s="33">
        <v>205</v>
      </c>
      <c r="F2188" s="33">
        <v>2</v>
      </c>
      <c r="G2188" s="33" t="s">
        <v>4528</v>
      </c>
      <c r="H2188" s="33"/>
      <c r="I2188" s="31" t="s">
        <v>46</v>
      </c>
      <c r="J2188" s="31"/>
      <c r="K2188" s="33"/>
      <c r="L2188" s="33"/>
      <c r="M2188" s="31"/>
      <c r="N2188" s="31"/>
      <c r="O2188" s="16" t="s">
        <v>4568</v>
      </c>
      <c r="P2188" s="16"/>
      <c r="Q2188" s="16"/>
      <c r="R2188" s="33"/>
      <c r="S2188" s="34"/>
      <c r="T2188" s="34"/>
      <c r="U2188" s="34"/>
      <c r="V2188" s="34"/>
      <c r="W2188" s="34"/>
      <c r="X2188" s="33" t="s">
        <v>85</v>
      </c>
      <c r="Y2188" s="35" t="str">
        <f>IF(Tabela2[[#This Row],[SIGLA]]="","",VLOOKUP(Tabela2[[#This Row],[SIGLA]],Tabela1[[#All],[Sigla Arte]:[Crédito]],2,0))</f>
        <v>HELOÍSA PINTARELLI/ARQUIVO DA EDITORA</v>
      </c>
      <c r="Z2188" s="31"/>
      <c r="AA2188" s="31" t="str">
        <f>Tabela2[[#This Row],[ILUSTRADOR CRIAÇÃO]]</f>
        <v>HELOÍSA PINTARELLI/ARQUIVO DA EDITORA</v>
      </c>
      <c r="AB2188" s="33"/>
      <c r="AC2188" s="16"/>
      <c r="AE2188" s="35" t="str">
        <f t="shared" si="35"/>
        <v>EF1 E002 Mat</v>
      </c>
    </row>
    <row r="2189" spans="1:31" ht="30" x14ac:dyDescent="0.25">
      <c r="A2189" s="31" t="s">
        <v>4569</v>
      </c>
      <c r="B2189" s="16" t="s">
        <v>32</v>
      </c>
      <c r="C2189" s="16" t="s">
        <v>33</v>
      </c>
      <c r="D2189" s="33" t="s">
        <v>34</v>
      </c>
      <c r="E2189" s="33">
        <v>248</v>
      </c>
      <c r="F2189" s="33">
        <v>2</v>
      </c>
      <c r="G2189" s="33" t="s">
        <v>4528</v>
      </c>
      <c r="H2189" s="33"/>
      <c r="I2189" s="31" t="s">
        <v>46</v>
      </c>
      <c r="J2189" s="31"/>
      <c r="K2189" s="33"/>
      <c r="L2189" s="33"/>
      <c r="M2189" s="31"/>
      <c r="N2189" s="31"/>
      <c r="O2189" s="16" t="s">
        <v>4570</v>
      </c>
      <c r="P2189" s="16"/>
      <c r="Q2189" s="16"/>
      <c r="R2189" s="33"/>
      <c r="S2189" s="34"/>
      <c r="T2189" s="34"/>
      <c r="U2189" s="34"/>
      <c r="V2189" s="34"/>
      <c r="W2189" s="34"/>
      <c r="X2189" s="33" t="s">
        <v>1126</v>
      </c>
      <c r="Y2189" s="35" t="str">
        <f>IF(Tabela2[[#This Row],[SIGLA]]="","",VLOOKUP(Tabela2[[#This Row],[SIGLA]],Tabela1[[#All],[Sigla Arte]:[Crédito]],2,0))</f>
        <v>GUSTAVO CONTI/ARQUIVO DA EDITORA</v>
      </c>
      <c r="Z2189" s="31"/>
      <c r="AA2189" s="31" t="str">
        <f>Tabela2[[#This Row],[ILUSTRADOR CRIAÇÃO]]</f>
        <v>GUSTAVO CONTI/ARQUIVO DA EDITORA</v>
      </c>
      <c r="AB2189" s="33"/>
      <c r="AC2189" s="16"/>
      <c r="AE2189" s="35" t="str">
        <f t="shared" si="35"/>
        <v>EF1 E002 Mat</v>
      </c>
    </row>
    <row r="2190" spans="1:31" ht="105" x14ac:dyDescent="0.25">
      <c r="A2190" s="31" t="s">
        <v>4571</v>
      </c>
      <c r="B2190" s="16" t="s">
        <v>32</v>
      </c>
      <c r="C2190" s="16" t="s">
        <v>33</v>
      </c>
      <c r="D2190" s="33" t="s">
        <v>34</v>
      </c>
      <c r="E2190" s="33">
        <v>248</v>
      </c>
      <c r="F2190" s="33">
        <v>2</v>
      </c>
      <c r="G2190" s="33" t="s">
        <v>4528</v>
      </c>
      <c r="H2190" s="33"/>
      <c r="I2190" s="31" t="s">
        <v>35</v>
      </c>
      <c r="J2190" s="31"/>
      <c r="K2190" s="33"/>
      <c r="L2190" s="33"/>
      <c r="M2190" s="31"/>
      <c r="N2190" s="31"/>
      <c r="O2190" s="16" t="s">
        <v>4572</v>
      </c>
      <c r="P2190" s="16"/>
      <c r="Q2190" s="16"/>
      <c r="R2190" s="33">
        <v>75</v>
      </c>
      <c r="S2190" s="34">
        <v>45846</v>
      </c>
      <c r="T2190" s="34">
        <v>45847</v>
      </c>
      <c r="U2190" s="34"/>
      <c r="V2190" s="34"/>
      <c r="W2190" s="34">
        <v>45847</v>
      </c>
      <c r="X2190" s="33" t="s">
        <v>162</v>
      </c>
      <c r="Y2190" s="35" t="str">
        <f>IF(Tabela2[[#This Row],[SIGLA]]="","",VLOOKUP(Tabela2[[#This Row],[SIGLA]],Tabela1[[#All],[Sigla Arte]:[Crédito]],2,0))</f>
        <v>IVY NUNES/ARQUIVO DA EDITORA</v>
      </c>
      <c r="Z2190" s="31" t="s">
        <v>4341</v>
      </c>
      <c r="AA2190" s="31" t="str">
        <f>Tabela2[[#This Row],[ILUSTRADOR CRIAÇÃO]]</f>
        <v>IVY NUNES/ARQUIVO DA EDITORA</v>
      </c>
      <c r="AB2190" s="33">
        <v>13</v>
      </c>
      <c r="AC2190" s="16" t="s">
        <v>39</v>
      </c>
      <c r="AD2190" s="16" t="s">
        <v>40</v>
      </c>
      <c r="AE2190" s="35" t="str">
        <f t="shared" si="35"/>
        <v>EF1 E002 Mat</v>
      </c>
    </row>
    <row r="2191" spans="1:31" ht="30" x14ac:dyDescent="0.25">
      <c r="A2191" s="31" t="s">
        <v>4573</v>
      </c>
      <c r="B2191" s="16" t="s">
        <v>32</v>
      </c>
      <c r="C2191" s="16" t="s">
        <v>327</v>
      </c>
      <c r="D2191" s="33" t="s">
        <v>34</v>
      </c>
      <c r="E2191" s="33">
        <v>249</v>
      </c>
      <c r="F2191" s="33">
        <v>2</v>
      </c>
      <c r="G2191" s="33" t="s">
        <v>4528</v>
      </c>
      <c r="H2191" s="33"/>
      <c r="I2191" s="31" t="s">
        <v>46</v>
      </c>
      <c r="J2191" s="31"/>
      <c r="K2191" s="33"/>
      <c r="L2191" s="33"/>
      <c r="M2191" s="31"/>
      <c r="N2191" s="31"/>
      <c r="O2191" s="16" t="s">
        <v>4574</v>
      </c>
      <c r="P2191" s="16"/>
      <c r="Q2191" s="16"/>
      <c r="R2191" s="33"/>
      <c r="S2191" s="34"/>
      <c r="T2191" s="34"/>
      <c r="U2191" s="34"/>
      <c r="V2191" s="34"/>
      <c r="W2191" s="34"/>
      <c r="X2191" s="33" t="s">
        <v>1126</v>
      </c>
      <c r="Y2191" s="35" t="str">
        <f>IF(Tabela2[[#This Row],[SIGLA]]="","",VLOOKUP(Tabela2[[#This Row],[SIGLA]],Tabela1[[#All],[Sigla Arte]:[Crédito]],2,0))</f>
        <v>GUSTAVO CONTI/ARQUIVO DA EDITORA</v>
      </c>
      <c r="Z2191" s="31"/>
      <c r="AA2191" s="31" t="str">
        <f>Tabela2[[#This Row],[ILUSTRADOR CRIAÇÃO]]</f>
        <v>GUSTAVO CONTI/ARQUIVO DA EDITORA</v>
      </c>
      <c r="AB2191" s="33"/>
      <c r="AC2191" s="16"/>
      <c r="AE2191" s="35" t="str">
        <f t="shared" si="35"/>
        <v>EF1 E002 Mat</v>
      </c>
    </row>
    <row r="2192" spans="1:31" ht="30" x14ac:dyDescent="0.25">
      <c r="A2192" s="31" t="s">
        <v>4575</v>
      </c>
      <c r="B2192" s="16" t="s">
        <v>32</v>
      </c>
      <c r="C2192" s="16" t="s">
        <v>33</v>
      </c>
      <c r="D2192" s="33" t="s">
        <v>34</v>
      </c>
      <c r="E2192" s="33">
        <v>249</v>
      </c>
      <c r="F2192" s="33">
        <v>2</v>
      </c>
      <c r="G2192" s="33" t="s">
        <v>4528</v>
      </c>
      <c r="H2192" s="33"/>
      <c r="I2192" s="31" t="s">
        <v>46</v>
      </c>
      <c r="J2192" s="31"/>
      <c r="K2192" s="33"/>
      <c r="L2192" s="33"/>
      <c r="M2192" s="31"/>
      <c r="N2192" s="31"/>
      <c r="O2192" s="16" t="s">
        <v>4576</v>
      </c>
      <c r="P2192" s="16"/>
      <c r="Q2192" s="16"/>
      <c r="R2192" s="33"/>
      <c r="S2192" s="34"/>
      <c r="T2192" s="34"/>
      <c r="U2192" s="34"/>
      <c r="V2192" s="34"/>
      <c r="W2192" s="34"/>
      <c r="X2192" s="33" t="s">
        <v>85</v>
      </c>
      <c r="Y2192" s="35" t="str">
        <f>IF(Tabela2[[#This Row],[SIGLA]]="","",VLOOKUP(Tabela2[[#This Row],[SIGLA]],Tabela1[[#All],[Sigla Arte]:[Crédito]],2,0))</f>
        <v>HELOÍSA PINTARELLI/ARQUIVO DA EDITORA</v>
      </c>
      <c r="Z2192" s="31"/>
      <c r="AA2192" s="31" t="str">
        <f>Tabela2[[#This Row],[ILUSTRADOR CRIAÇÃO]]</f>
        <v>HELOÍSA PINTARELLI/ARQUIVO DA EDITORA</v>
      </c>
      <c r="AB2192" s="33"/>
      <c r="AC2192" s="16"/>
      <c r="AE2192" s="35" t="str">
        <f t="shared" si="35"/>
        <v>EF1 E002 Mat</v>
      </c>
    </row>
    <row r="2193" spans="1:31" ht="30" x14ac:dyDescent="0.25">
      <c r="A2193" s="31" t="s">
        <v>4577</v>
      </c>
      <c r="B2193" s="16" t="s">
        <v>32</v>
      </c>
      <c r="C2193" s="16" t="s">
        <v>164</v>
      </c>
      <c r="D2193" s="33" t="s">
        <v>34</v>
      </c>
      <c r="E2193" s="33">
        <v>249</v>
      </c>
      <c r="F2193" s="33">
        <v>2</v>
      </c>
      <c r="G2193" s="33" t="s">
        <v>4528</v>
      </c>
      <c r="H2193" s="33"/>
      <c r="I2193" s="31" t="s">
        <v>46</v>
      </c>
      <c r="J2193" s="31"/>
      <c r="K2193" s="33"/>
      <c r="L2193" s="33"/>
      <c r="M2193" s="31"/>
      <c r="N2193" s="31"/>
      <c r="O2193" s="16" t="s">
        <v>4578</v>
      </c>
      <c r="P2193" s="16"/>
      <c r="Q2193" s="16"/>
      <c r="R2193" s="33"/>
      <c r="S2193" s="34"/>
      <c r="T2193" s="34"/>
      <c r="U2193" s="34"/>
      <c r="V2193" s="34"/>
      <c r="W2193" s="34"/>
      <c r="X2193" s="33" t="s">
        <v>184</v>
      </c>
      <c r="Y2193" s="35" t="str">
        <f>IF(Tabela2[[#This Row],[SIGLA]]="","",VLOOKUP(Tabela2[[#This Row],[SIGLA]],Tabela1[[#All],[Sigla Arte]:[Crédito]],2,0))</f>
        <v>VER DOCUMENTO DE ILS. TÉCNICAS</v>
      </c>
      <c r="Z2193" s="31"/>
      <c r="AA2193" s="31" t="s">
        <v>921</v>
      </c>
      <c r="AB2193" s="33"/>
      <c r="AC2193" s="16"/>
      <c r="AE2193" s="35" t="str">
        <f t="shared" si="35"/>
        <v>EF1 E002 Mat</v>
      </c>
    </row>
    <row r="2194" spans="1:31" ht="30" x14ac:dyDescent="0.25">
      <c r="A2194" s="31" t="s">
        <v>4579</v>
      </c>
      <c r="B2194" s="16" t="s">
        <v>32</v>
      </c>
      <c r="C2194" s="16" t="s">
        <v>164</v>
      </c>
      <c r="D2194" s="33" t="s">
        <v>34</v>
      </c>
      <c r="E2194" s="33">
        <v>249</v>
      </c>
      <c r="F2194" s="33">
        <v>2</v>
      </c>
      <c r="G2194" s="33" t="s">
        <v>4528</v>
      </c>
      <c r="H2194" s="33"/>
      <c r="I2194" s="31" t="s">
        <v>46</v>
      </c>
      <c r="J2194" s="31"/>
      <c r="K2194" s="33"/>
      <c r="L2194" s="33"/>
      <c r="M2194" s="31"/>
      <c r="N2194" s="31"/>
      <c r="O2194" s="16" t="s">
        <v>4580</v>
      </c>
      <c r="P2194" s="16"/>
      <c r="Q2194" s="16"/>
      <c r="R2194" s="33"/>
      <c r="S2194" s="34"/>
      <c r="T2194" s="34"/>
      <c r="U2194" s="34"/>
      <c r="V2194" s="34"/>
      <c r="W2194" s="34"/>
      <c r="X2194" s="33" t="s">
        <v>184</v>
      </c>
      <c r="Y2194" s="35" t="str">
        <f>IF(Tabela2[[#This Row],[SIGLA]]="","",VLOOKUP(Tabela2[[#This Row],[SIGLA]],Tabela1[[#All],[Sigla Arte]:[Crédito]],2,0))</f>
        <v>VER DOCUMENTO DE ILS. TÉCNICAS</v>
      </c>
      <c r="Z2194" s="31"/>
      <c r="AA2194" s="31" t="s">
        <v>921</v>
      </c>
      <c r="AB2194" s="33"/>
      <c r="AC2194" s="16"/>
      <c r="AE2194" s="35" t="str">
        <f t="shared" si="35"/>
        <v>EF1 E002 Mat</v>
      </c>
    </row>
    <row r="2195" spans="1:31" ht="45" x14ac:dyDescent="0.25">
      <c r="A2195" s="31" t="s">
        <v>4581</v>
      </c>
      <c r="B2195" s="16" t="s">
        <v>32</v>
      </c>
      <c r="C2195" s="16" t="s">
        <v>33</v>
      </c>
      <c r="D2195" s="33" t="s">
        <v>34</v>
      </c>
      <c r="E2195" s="33">
        <v>10</v>
      </c>
      <c r="F2195" s="33">
        <v>2</v>
      </c>
      <c r="G2195" s="33" t="s">
        <v>4582</v>
      </c>
      <c r="H2195" s="33"/>
      <c r="I2195" s="31" t="s">
        <v>46</v>
      </c>
      <c r="J2195" s="31"/>
      <c r="K2195" s="33"/>
      <c r="L2195" s="33"/>
      <c r="M2195" s="31"/>
      <c r="N2195" s="31"/>
      <c r="O2195" s="16" t="s">
        <v>4583</v>
      </c>
      <c r="P2195" s="16"/>
      <c r="Q2195" s="16"/>
      <c r="R2195" s="33"/>
      <c r="S2195" s="34"/>
      <c r="T2195" s="34"/>
      <c r="U2195" s="34"/>
      <c r="V2195" s="34"/>
      <c r="W2195" s="34"/>
      <c r="X2195" s="33" t="s">
        <v>162</v>
      </c>
      <c r="Y2195" s="35" t="str">
        <f>IF(Tabela2[[#This Row],[SIGLA]]="","",VLOOKUP(Tabela2[[#This Row],[SIGLA]],Tabela1[[#All],[Sigla Arte]:[Crédito]],2,0))</f>
        <v>IVY NUNES/ARQUIVO DA EDITORA</v>
      </c>
      <c r="Z2195" s="31"/>
      <c r="AA2195" s="31" t="str">
        <f>Tabela2[[#This Row],[ILUSTRADOR CRIAÇÃO]]</f>
        <v>IVY NUNES/ARQUIVO DA EDITORA</v>
      </c>
      <c r="AB2195" s="33"/>
      <c r="AC2195" s="16"/>
      <c r="AE2195" s="35" t="str">
        <f t="shared" si="35"/>
        <v>EF1 E002 Mat</v>
      </c>
    </row>
    <row r="2196" spans="1:31" ht="45" x14ac:dyDescent="0.25">
      <c r="A2196" s="31" t="s">
        <v>4584</v>
      </c>
      <c r="B2196" s="16" t="s">
        <v>32</v>
      </c>
      <c r="C2196" s="16" t="s">
        <v>33</v>
      </c>
      <c r="D2196" s="33" t="s">
        <v>34</v>
      </c>
      <c r="E2196" s="33">
        <v>10</v>
      </c>
      <c r="F2196" s="33">
        <v>2</v>
      </c>
      <c r="G2196" s="33" t="s">
        <v>4582</v>
      </c>
      <c r="H2196" s="33"/>
      <c r="I2196" s="31" t="s">
        <v>46</v>
      </c>
      <c r="J2196" s="31"/>
      <c r="K2196" s="33"/>
      <c r="L2196" s="33"/>
      <c r="M2196" s="31"/>
      <c r="N2196" s="31"/>
      <c r="O2196" s="16" t="s">
        <v>4585</v>
      </c>
      <c r="P2196" s="16"/>
      <c r="Q2196" s="16"/>
      <c r="R2196" s="33"/>
      <c r="S2196" s="34"/>
      <c r="T2196" s="34"/>
      <c r="U2196" s="34"/>
      <c r="V2196" s="34"/>
      <c r="W2196" s="34"/>
      <c r="X2196" s="33" t="s">
        <v>162</v>
      </c>
      <c r="Y2196" s="35" t="str">
        <f>IF(Tabela2[[#This Row],[SIGLA]]="","",VLOOKUP(Tabela2[[#This Row],[SIGLA]],Tabela1[[#All],[Sigla Arte]:[Crédito]],2,0))</f>
        <v>IVY NUNES/ARQUIVO DA EDITORA</v>
      </c>
      <c r="Z2196" s="31"/>
      <c r="AA2196" s="31" t="str">
        <f>Tabela2[[#This Row],[ILUSTRADOR CRIAÇÃO]]</f>
        <v>IVY NUNES/ARQUIVO DA EDITORA</v>
      </c>
      <c r="AB2196" s="33"/>
      <c r="AC2196" s="16"/>
      <c r="AE2196" s="35" t="str">
        <f t="shared" si="35"/>
        <v>EF1 E002 Mat</v>
      </c>
    </row>
    <row r="2197" spans="1:31" ht="45" x14ac:dyDescent="0.25">
      <c r="A2197" s="31" t="s">
        <v>4586</v>
      </c>
      <c r="B2197" s="16" t="s">
        <v>32</v>
      </c>
      <c r="C2197" s="16" t="s">
        <v>33</v>
      </c>
      <c r="D2197" s="33" t="s">
        <v>34</v>
      </c>
      <c r="E2197" s="33">
        <v>11</v>
      </c>
      <c r="F2197" s="33">
        <v>2</v>
      </c>
      <c r="G2197" s="33" t="s">
        <v>4582</v>
      </c>
      <c r="H2197" s="33"/>
      <c r="I2197" s="31" t="s">
        <v>46</v>
      </c>
      <c r="J2197" s="31"/>
      <c r="K2197" s="33"/>
      <c r="L2197" s="33"/>
      <c r="M2197" s="31"/>
      <c r="N2197" s="31"/>
      <c r="O2197" s="16" t="s">
        <v>4587</v>
      </c>
      <c r="P2197" s="16"/>
      <c r="Q2197" s="16"/>
      <c r="R2197" s="33"/>
      <c r="S2197" s="34"/>
      <c r="T2197" s="34"/>
      <c r="U2197" s="34"/>
      <c r="V2197" s="34"/>
      <c r="W2197" s="34"/>
      <c r="X2197" s="33" t="s">
        <v>162</v>
      </c>
      <c r="Y2197" s="35" t="str">
        <f>IF(Tabela2[[#This Row],[SIGLA]]="","",VLOOKUP(Tabela2[[#This Row],[SIGLA]],Tabela1[[#All],[Sigla Arte]:[Crédito]],2,0))</f>
        <v>IVY NUNES/ARQUIVO DA EDITORA</v>
      </c>
      <c r="Z2197" s="31"/>
      <c r="AA2197" s="31" t="str">
        <f>Tabela2[[#This Row],[ILUSTRADOR CRIAÇÃO]]</f>
        <v>IVY NUNES/ARQUIVO DA EDITORA</v>
      </c>
      <c r="AB2197" s="33"/>
      <c r="AC2197" s="16"/>
      <c r="AE2197" s="35" t="str">
        <f t="shared" si="35"/>
        <v>EF1 E002 Mat</v>
      </c>
    </row>
    <row r="2198" spans="1:31" ht="45" x14ac:dyDescent="0.25">
      <c r="A2198" s="31" t="s">
        <v>4588</v>
      </c>
      <c r="B2198" s="16" t="s">
        <v>32</v>
      </c>
      <c r="C2198" s="16" t="s">
        <v>33</v>
      </c>
      <c r="D2198" s="33" t="s">
        <v>34</v>
      </c>
      <c r="E2198" s="33">
        <v>12</v>
      </c>
      <c r="F2198" s="33">
        <v>2</v>
      </c>
      <c r="G2198" s="33" t="s">
        <v>4582</v>
      </c>
      <c r="H2198" s="33"/>
      <c r="I2198" s="31" t="s">
        <v>46</v>
      </c>
      <c r="J2198" s="31"/>
      <c r="K2198" s="33"/>
      <c r="L2198" s="33"/>
      <c r="M2198" s="31"/>
      <c r="N2198" s="31"/>
      <c r="O2198" s="16" t="s">
        <v>4589</v>
      </c>
      <c r="P2198" s="16"/>
      <c r="Q2198" s="16"/>
      <c r="R2198" s="33"/>
      <c r="S2198" s="34"/>
      <c r="T2198" s="34"/>
      <c r="U2198" s="34"/>
      <c r="V2198" s="34"/>
      <c r="W2198" s="34"/>
      <c r="X2198" s="33" t="s">
        <v>162</v>
      </c>
      <c r="Y2198" s="35" t="str">
        <f>IF(Tabela2[[#This Row],[SIGLA]]="","",VLOOKUP(Tabela2[[#This Row],[SIGLA]],Tabela1[[#All],[Sigla Arte]:[Crédito]],2,0))</f>
        <v>IVY NUNES/ARQUIVO DA EDITORA</v>
      </c>
      <c r="Z2198" s="31"/>
      <c r="AA2198" s="31" t="str">
        <f>Tabela2[[#This Row],[ILUSTRADOR CRIAÇÃO]]</f>
        <v>IVY NUNES/ARQUIVO DA EDITORA</v>
      </c>
      <c r="AB2198" s="33"/>
      <c r="AC2198" s="16"/>
      <c r="AE2198" s="35" t="str">
        <f t="shared" si="35"/>
        <v>EF1 E002 Mat</v>
      </c>
    </row>
    <row r="2199" spans="1:31" ht="105" x14ac:dyDescent="0.25">
      <c r="A2199" s="31" t="s">
        <v>4590</v>
      </c>
      <c r="B2199" s="16" t="s">
        <v>32</v>
      </c>
      <c r="C2199" s="16" t="s">
        <v>33</v>
      </c>
      <c r="D2199" s="33" t="s">
        <v>34</v>
      </c>
      <c r="E2199" s="33">
        <v>12</v>
      </c>
      <c r="F2199" s="33">
        <v>2</v>
      </c>
      <c r="G2199" s="33" t="s">
        <v>4582</v>
      </c>
      <c r="H2199" s="33"/>
      <c r="I2199" s="31" t="s">
        <v>35</v>
      </c>
      <c r="J2199" s="31"/>
      <c r="K2199" s="33"/>
      <c r="L2199" s="33"/>
      <c r="M2199" s="31"/>
      <c r="N2199" s="31"/>
      <c r="O2199" s="16" t="s">
        <v>4591</v>
      </c>
      <c r="P2199" s="16"/>
      <c r="Q2199" s="16"/>
      <c r="R2199" s="33">
        <v>75</v>
      </c>
      <c r="S2199" s="34">
        <v>45846</v>
      </c>
      <c r="T2199" s="34">
        <v>45847</v>
      </c>
      <c r="U2199" s="34"/>
      <c r="V2199" s="34"/>
      <c r="W2199" s="34">
        <v>45847</v>
      </c>
      <c r="X2199" s="33" t="s">
        <v>48</v>
      </c>
      <c r="Y2199" s="35" t="str">
        <f>IF(Tabela2[[#This Row],[SIGLA]]="","",VLOOKUP(Tabela2[[#This Row],[SIGLA]],Tabela1[[#All],[Sigla Arte]:[Crédito]],2,0))</f>
        <v>SERGIO LIMA/ARQUIVO DA EDITORA</v>
      </c>
      <c r="Z2199" s="31" t="s">
        <v>4341</v>
      </c>
      <c r="AA2199" s="31" t="str">
        <f>Tabela2[[#This Row],[ILUSTRADOR CRIAÇÃO]]</f>
        <v>SERGIO LIMA/ARQUIVO DA EDITORA</v>
      </c>
      <c r="AB2199" s="33">
        <v>13</v>
      </c>
      <c r="AC2199" s="16" t="s">
        <v>39</v>
      </c>
      <c r="AD2199" s="16" t="s">
        <v>40</v>
      </c>
      <c r="AE2199" s="35" t="str">
        <f t="shared" si="35"/>
        <v>EF1 E002 Mat</v>
      </c>
    </row>
    <row r="2200" spans="1:31" ht="105" x14ac:dyDescent="0.25">
      <c r="A2200" s="31" t="s">
        <v>4592</v>
      </c>
      <c r="B2200" s="16" t="s">
        <v>32</v>
      </c>
      <c r="C2200" s="16" t="s">
        <v>33</v>
      </c>
      <c r="D2200" s="33" t="s">
        <v>34</v>
      </c>
      <c r="E2200" s="33">
        <v>12</v>
      </c>
      <c r="F2200" s="33">
        <v>2</v>
      </c>
      <c r="G2200" s="33" t="s">
        <v>4582</v>
      </c>
      <c r="H2200" s="33"/>
      <c r="I2200" s="31" t="s">
        <v>35</v>
      </c>
      <c r="J2200" s="31"/>
      <c r="K2200" s="33"/>
      <c r="L2200" s="33"/>
      <c r="M2200" s="31"/>
      <c r="N2200" s="31"/>
      <c r="O2200" s="16" t="s">
        <v>4593</v>
      </c>
      <c r="P2200" s="16"/>
      <c r="Q2200" s="16"/>
      <c r="R2200" s="33">
        <v>75</v>
      </c>
      <c r="S2200" s="34">
        <v>45846</v>
      </c>
      <c r="T2200" s="34">
        <v>45847</v>
      </c>
      <c r="U2200" s="34"/>
      <c r="V2200" s="34"/>
      <c r="W2200" s="34">
        <v>45847</v>
      </c>
      <c r="X2200" s="33" t="s">
        <v>48</v>
      </c>
      <c r="Y2200" s="35" t="str">
        <f>IF(Tabela2[[#This Row],[SIGLA]]="","",VLOOKUP(Tabela2[[#This Row],[SIGLA]],Tabela1[[#All],[Sigla Arte]:[Crédito]],2,0))</f>
        <v>SERGIO LIMA/ARQUIVO DA EDITORA</v>
      </c>
      <c r="Z2200" s="31" t="s">
        <v>4341</v>
      </c>
      <c r="AA2200" s="31" t="str">
        <f>Tabela2[[#This Row],[ILUSTRADOR CRIAÇÃO]]</f>
        <v>SERGIO LIMA/ARQUIVO DA EDITORA</v>
      </c>
      <c r="AB2200" s="33">
        <v>13</v>
      </c>
      <c r="AC2200" s="16" t="s">
        <v>39</v>
      </c>
      <c r="AD2200" s="16" t="s">
        <v>40</v>
      </c>
      <c r="AE2200" s="35" t="str">
        <f t="shared" si="35"/>
        <v>EF1 E002 Mat</v>
      </c>
    </row>
    <row r="2201" spans="1:31" ht="90" x14ac:dyDescent="0.25">
      <c r="A2201" s="31" t="s">
        <v>4594</v>
      </c>
      <c r="B2201" s="16" t="s">
        <v>32</v>
      </c>
      <c r="C2201" s="16" t="s">
        <v>33</v>
      </c>
      <c r="D2201" s="33" t="s">
        <v>34</v>
      </c>
      <c r="E2201" s="33">
        <v>12</v>
      </c>
      <c r="F2201" s="33">
        <v>2</v>
      </c>
      <c r="G2201" s="33" t="s">
        <v>4582</v>
      </c>
      <c r="H2201" s="33"/>
      <c r="I2201" s="31" t="s">
        <v>35</v>
      </c>
      <c r="J2201" s="31"/>
      <c r="K2201" s="33"/>
      <c r="L2201" s="33"/>
      <c r="M2201" s="31"/>
      <c r="N2201" s="31"/>
      <c r="O2201" s="16" t="s">
        <v>4595</v>
      </c>
      <c r="P2201" s="16"/>
      <c r="Q2201" s="16"/>
      <c r="R2201" s="33">
        <v>75</v>
      </c>
      <c r="S2201" s="34">
        <v>45846</v>
      </c>
      <c r="T2201" s="34">
        <v>45847</v>
      </c>
      <c r="U2201" s="34"/>
      <c r="V2201" s="34"/>
      <c r="W2201" s="34">
        <v>45847</v>
      </c>
      <c r="X2201" s="33" t="s">
        <v>48</v>
      </c>
      <c r="Y2201" s="35" t="str">
        <f>IF(Tabela2[[#This Row],[SIGLA]]="","",VLOOKUP(Tabela2[[#This Row],[SIGLA]],Tabela1[[#All],[Sigla Arte]:[Crédito]],2,0))</f>
        <v>SERGIO LIMA/ARQUIVO DA EDITORA</v>
      </c>
      <c r="Z2201" s="31" t="s">
        <v>4341</v>
      </c>
      <c r="AA2201" s="31" t="str">
        <f>Tabela2[[#This Row],[ILUSTRADOR CRIAÇÃO]]</f>
        <v>SERGIO LIMA/ARQUIVO DA EDITORA</v>
      </c>
      <c r="AB2201" s="33">
        <v>13</v>
      </c>
      <c r="AC2201" s="16" t="s">
        <v>39</v>
      </c>
      <c r="AD2201" s="16" t="s">
        <v>40</v>
      </c>
      <c r="AE2201" s="35" t="str">
        <f t="shared" si="35"/>
        <v>EF1 E002 Mat</v>
      </c>
    </row>
    <row r="2202" spans="1:31" ht="75" x14ac:dyDescent="0.25">
      <c r="A2202" s="31" t="s">
        <v>4596</v>
      </c>
      <c r="B2202" s="16" t="s">
        <v>32</v>
      </c>
      <c r="C2202" s="16" t="s">
        <v>33</v>
      </c>
      <c r="D2202" s="33" t="s">
        <v>34</v>
      </c>
      <c r="E2202" s="33">
        <v>12</v>
      </c>
      <c r="F2202" s="33">
        <v>2</v>
      </c>
      <c r="G2202" s="33" t="s">
        <v>4582</v>
      </c>
      <c r="H2202" s="33"/>
      <c r="I2202" s="31" t="s">
        <v>35</v>
      </c>
      <c r="J2202" s="31"/>
      <c r="K2202" s="33"/>
      <c r="L2202" s="33"/>
      <c r="M2202" s="31"/>
      <c r="N2202" s="31"/>
      <c r="O2202" s="16" t="s">
        <v>4597</v>
      </c>
      <c r="P2202" s="16"/>
      <c r="Q2202" s="16"/>
      <c r="R2202" s="33">
        <v>75</v>
      </c>
      <c r="S2202" s="34">
        <v>45846</v>
      </c>
      <c r="T2202" s="34">
        <v>45847</v>
      </c>
      <c r="U2202" s="34"/>
      <c r="V2202" s="34"/>
      <c r="W2202" s="34">
        <v>45847</v>
      </c>
      <c r="X2202" s="33" t="s">
        <v>48</v>
      </c>
      <c r="Y2202" s="35" t="str">
        <f>IF(Tabela2[[#This Row],[SIGLA]]="","",VLOOKUP(Tabela2[[#This Row],[SIGLA]],Tabela1[[#All],[Sigla Arte]:[Crédito]],2,0))</f>
        <v>SERGIO LIMA/ARQUIVO DA EDITORA</v>
      </c>
      <c r="Z2202" s="31" t="s">
        <v>4341</v>
      </c>
      <c r="AA2202" s="31" t="str">
        <f>Tabela2[[#This Row],[ILUSTRADOR CRIAÇÃO]]</f>
        <v>SERGIO LIMA/ARQUIVO DA EDITORA</v>
      </c>
      <c r="AB2202" s="33">
        <v>13</v>
      </c>
      <c r="AC2202" s="16" t="s">
        <v>39</v>
      </c>
      <c r="AD2202" s="16" t="s">
        <v>40</v>
      </c>
      <c r="AE2202" s="35" t="str">
        <f t="shared" si="35"/>
        <v>EF1 E002 Mat</v>
      </c>
    </row>
    <row r="2203" spans="1:31" ht="165" x14ac:dyDescent="0.25">
      <c r="A2203" s="31" t="s">
        <v>4598</v>
      </c>
      <c r="B2203" s="16" t="s">
        <v>32</v>
      </c>
      <c r="C2203" s="16" t="s">
        <v>33</v>
      </c>
      <c r="D2203" s="33" t="s">
        <v>34</v>
      </c>
      <c r="E2203" s="33">
        <v>12</v>
      </c>
      <c r="F2203" s="33">
        <v>2</v>
      </c>
      <c r="G2203" s="33" t="s">
        <v>4582</v>
      </c>
      <c r="H2203" s="33"/>
      <c r="I2203" s="31" t="s">
        <v>35</v>
      </c>
      <c r="J2203" s="31"/>
      <c r="K2203" s="33"/>
      <c r="L2203" s="33"/>
      <c r="M2203" s="31"/>
      <c r="N2203" s="31"/>
      <c r="O2203" s="16" t="s">
        <v>4599</v>
      </c>
      <c r="P2203" s="16"/>
      <c r="Q2203" s="16"/>
      <c r="R2203" s="33">
        <v>75</v>
      </c>
      <c r="S2203" s="34">
        <v>45846</v>
      </c>
      <c r="T2203" s="34">
        <v>45847</v>
      </c>
      <c r="U2203" s="34"/>
      <c r="V2203" s="34"/>
      <c r="W2203" s="34">
        <v>45847</v>
      </c>
      <c r="X2203" s="33" t="s">
        <v>48</v>
      </c>
      <c r="Y2203" s="35" t="str">
        <f>IF(Tabela2[[#This Row],[SIGLA]]="","",VLOOKUP(Tabela2[[#This Row],[SIGLA]],Tabela1[[#All],[Sigla Arte]:[Crédito]],2,0))</f>
        <v>SERGIO LIMA/ARQUIVO DA EDITORA</v>
      </c>
      <c r="Z2203" s="31" t="s">
        <v>4341</v>
      </c>
      <c r="AA2203" s="31" t="str">
        <f>Tabela2[[#This Row],[ILUSTRADOR CRIAÇÃO]]</f>
        <v>SERGIO LIMA/ARQUIVO DA EDITORA</v>
      </c>
      <c r="AB2203" s="33">
        <v>13</v>
      </c>
      <c r="AC2203" s="16" t="s">
        <v>39</v>
      </c>
      <c r="AD2203" s="16" t="s">
        <v>40</v>
      </c>
      <c r="AE2203" s="35" t="str">
        <f t="shared" si="35"/>
        <v>EF1 E002 Mat</v>
      </c>
    </row>
    <row r="2204" spans="1:31" ht="60" x14ac:dyDescent="0.25">
      <c r="A2204" s="31" t="s">
        <v>4600</v>
      </c>
      <c r="B2204" s="16" t="s">
        <v>32</v>
      </c>
      <c r="C2204" s="16" t="s">
        <v>33</v>
      </c>
      <c r="D2204" s="33" t="s">
        <v>34</v>
      </c>
      <c r="E2204" s="33">
        <v>12</v>
      </c>
      <c r="F2204" s="33">
        <v>2</v>
      </c>
      <c r="G2204" s="33" t="s">
        <v>4582</v>
      </c>
      <c r="H2204" s="33"/>
      <c r="I2204" s="31" t="s">
        <v>46</v>
      </c>
      <c r="J2204" s="31"/>
      <c r="K2204" s="33"/>
      <c r="L2204" s="33"/>
      <c r="M2204" s="31"/>
      <c r="N2204" s="31"/>
      <c r="O2204" s="16" t="s">
        <v>4601</v>
      </c>
      <c r="P2204" s="16"/>
      <c r="Q2204" s="16"/>
      <c r="R2204" s="33"/>
      <c r="S2204" s="34"/>
      <c r="T2204" s="34"/>
      <c r="U2204" s="34"/>
      <c r="V2204" s="34"/>
      <c r="W2204" s="34"/>
      <c r="X2204" s="33" t="s">
        <v>162</v>
      </c>
      <c r="Y2204" s="35" t="str">
        <f>IF(Tabela2[[#This Row],[SIGLA]]="","",VLOOKUP(Tabela2[[#This Row],[SIGLA]],Tabela1[[#All],[Sigla Arte]:[Crédito]],2,0))</f>
        <v>IVY NUNES/ARQUIVO DA EDITORA</v>
      </c>
      <c r="Z2204" s="31"/>
      <c r="AA2204" s="31" t="str">
        <f>Tabela2[[#This Row],[ILUSTRADOR CRIAÇÃO]]</f>
        <v>IVY NUNES/ARQUIVO DA EDITORA</v>
      </c>
      <c r="AB2204" s="33"/>
      <c r="AC2204" s="16"/>
      <c r="AE2204" s="35" t="str">
        <f t="shared" si="35"/>
        <v>EF1 E002 Mat</v>
      </c>
    </row>
    <row r="2205" spans="1:31" ht="30" x14ac:dyDescent="0.25">
      <c r="A2205" s="31" t="s">
        <v>4602</v>
      </c>
      <c r="B2205" s="16" t="s">
        <v>32</v>
      </c>
      <c r="C2205" s="16" t="s">
        <v>33</v>
      </c>
      <c r="D2205" s="33" t="s">
        <v>34</v>
      </c>
      <c r="E2205" s="33">
        <v>13</v>
      </c>
      <c r="F2205" s="33">
        <v>2</v>
      </c>
      <c r="G2205" s="33" t="s">
        <v>4582</v>
      </c>
      <c r="H2205" s="33"/>
      <c r="I2205" s="31" t="s">
        <v>46</v>
      </c>
      <c r="J2205" s="31"/>
      <c r="K2205" s="33"/>
      <c r="L2205" s="33"/>
      <c r="M2205" s="31"/>
      <c r="N2205" s="31"/>
      <c r="O2205" s="16" t="s">
        <v>4603</v>
      </c>
      <c r="P2205" s="16"/>
      <c r="Q2205" s="16"/>
      <c r="R2205" s="33"/>
      <c r="S2205" s="34"/>
      <c r="T2205" s="34"/>
      <c r="U2205" s="34"/>
      <c r="V2205" s="34"/>
      <c r="W2205" s="34"/>
      <c r="X2205" s="33" t="s">
        <v>162</v>
      </c>
      <c r="Y2205" s="35" t="str">
        <f>IF(Tabela2[[#This Row],[SIGLA]]="","",VLOOKUP(Tabela2[[#This Row],[SIGLA]],Tabela1[[#All],[Sigla Arte]:[Crédito]],2,0))</f>
        <v>IVY NUNES/ARQUIVO DA EDITORA</v>
      </c>
      <c r="Z2205" s="31"/>
      <c r="AA2205" s="31" t="str">
        <f>Tabela2[[#This Row],[ILUSTRADOR CRIAÇÃO]]</f>
        <v>IVY NUNES/ARQUIVO DA EDITORA</v>
      </c>
      <c r="AB2205" s="33"/>
      <c r="AC2205" s="16"/>
      <c r="AE2205" s="35" t="str">
        <f t="shared" si="35"/>
        <v>EF1 E002 Mat</v>
      </c>
    </row>
    <row r="2206" spans="1:31" ht="45" x14ac:dyDescent="0.25">
      <c r="A2206" s="31" t="s">
        <v>4604</v>
      </c>
      <c r="B2206" s="16" t="s">
        <v>32</v>
      </c>
      <c r="C2206" s="16" t="s">
        <v>33</v>
      </c>
      <c r="D2206" s="33" t="s">
        <v>34</v>
      </c>
      <c r="E2206" s="33">
        <v>13</v>
      </c>
      <c r="F2206" s="33">
        <v>2</v>
      </c>
      <c r="G2206" s="33" t="s">
        <v>4582</v>
      </c>
      <c r="H2206" s="33"/>
      <c r="I2206" s="31" t="s">
        <v>46</v>
      </c>
      <c r="J2206" s="31"/>
      <c r="K2206" s="33"/>
      <c r="L2206" s="33"/>
      <c r="M2206" s="31"/>
      <c r="N2206" s="31"/>
      <c r="O2206" s="16" t="s">
        <v>4605</v>
      </c>
      <c r="P2206" s="16"/>
      <c r="Q2206" s="16"/>
      <c r="R2206" s="33"/>
      <c r="S2206" s="34"/>
      <c r="T2206" s="34"/>
      <c r="U2206" s="34"/>
      <c r="V2206" s="34"/>
      <c r="W2206" s="34"/>
      <c r="X2206" s="33" t="s">
        <v>162</v>
      </c>
      <c r="Y2206" s="35" t="str">
        <f>IF(Tabela2[[#This Row],[SIGLA]]="","",VLOOKUP(Tabela2[[#This Row],[SIGLA]],Tabela1[[#All],[Sigla Arte]:[Crédito]],2,0))</f>
        <v>IVY NUNES/ARQUIVO DA EDITORA</v>
      </c>
      <c r="Z2206" s="31"/>
      <c r="AA2206" s="31" t="str">
        <f>Tabela2[[#This Row],[ILUSTRADOR CRIAÇÃO]]</f>
        <v>IVY NUNES/ARQUIVO DA EDITORA</v>
      </c>
      <c r="AB2206" s="33"/>
      <c r="AC2206" s="16"/>
      <c r="AE2206" s="35" t="str">
        <f t="shared" si="35"/>
        <v>EF1 E002 Mat</v>
      </c>
    </row>
    <row r="2207" spans="1:31" ht="30" x14ac:dyDescent="0.25">
      <c r="A2207" s="31" t="s">
        <v>4606</v>
      </c>
      <c r="B2207" s="16" t="s">
        <v>32</v>
      </c>
      <c r="C2207" s="16" t="s">
        <v>33</v>
      </c>
      <c r="D2207" s="33" t="s">
        <v>34</v>
      </c>
      <c r="E2207" s="33">
        <v>13</v>
      </c>
      <c r="F2207" s="33">
        <v>2</v>
      </c>
      <c r="G2207" s="33" t="s">
        <v>4582</v>
      </c>
      <c r="H2207" s="33"/>
      <c r="I2207" s="31" t="s">
        <v>46</v>
      </c>
      <c r="J2207" s="31"/>
      <c r="K2207" s="33"/>
      <c r="L2207" s="33"/>
      <c r="M2207" s="31"/>
      <c r="N2207" s="31"/>
      <c r="O2207" s="16" t="s">
        <v>4607</v>
      </c>
      <c r="P2207" s="16"/>
      <c r="Q2207" s="16"/>
      <c r="R2207" s="33"/>
      <c r="S2207" s="34"/>
      <c r="T2207" s="34"/>
      <c r="U2207" s="34"/>
      <c r="V2207" s="34"/>
      <c r="W2207" s="34"/>
      <c r="X2207" s="33" t="s">
        <v>162</v>
      </c>
      <c r="Y2207" s="35" t="str">
        <f>IF(Tabela2[[#This Row],[SIGLA]]="","",VLOOKUP(Tabela2[[#This Row],[SIGLA]],Tabela1[[#All],[Sigla Arte]:[Crédito]],2,0))</f>
        <v>IVY NUNES/ARQUIVO DA EDITORA</v>
      </c>
      <c r="Z2207" s="31"/>
      <c r="AA2207" s="31" t="str">
        <f>Tabela2[[#This Row],[ILUSTRADOR CRIAÇÃO]]</f>
        <v>IVY NUNES/ARQUIVO DA EDITORA</v>
      </c>
      <c r="AB2207" s="33"/>
      <c r="AC2207" s="16"/>
      <c r="AE2207" s="35" t="str">
        <f t="shared" si="35"/>
        <v>EF1 E002 Mat</v>
      </c>
    </row>
    <row r="2208" spans="1:31" ht="45" x14ac:dyDescent="0.25">
      <c r="A2208" s="31" t="s">
        <v>4608</v>
      </c>
      <c r="B2208" s="16" t="s">
        <v>32</v>
      </c>
      <c r="C2208" s="16" t="s">
        <v>33</v>
      </c>
      <c r="D2208" s="33" t="s">
        <v>34</v>
      </c>
      <c r="E2208" s="33">
        <v>13</v>
      </c>
      <c r="F2208" s="33">
        <v>2</v>
      </c>
      <c r="G2208" s="33" t="s">
        <v>4582</v>
      </c>
      <c r="H2208" s="33"/>
      <c r="I2208" s="31" t="s">
        <v>46</v>
      </c>
      <c r="J2208" s="31"/>
      <c r="K2208" s="33"/>
      <c r="L2208" s="33"/>
      <c r="M2208" s="31"/>
      <c r="N2208" s="31"/>
      <c r="O2208" s="16" t="s">
        <v>4609</v>
      </c>
      <c r="P2208" s="16"/>
      <c r="Q2208" s="16"/>
      <c r="R2208" s="33"/>
      <c r="S2208" s="34"/>
      <c r="T2208" s="34"/>
      <c r="U2208" s="34"/>
      <c r="V2208" s="34"/>
      <c r="W2208" s="34"/>
      <c r="X2208" s="33" t="s">
        <v>162</v>
      </c>
      <c r="Y2208" s="35" t="str">
        <f>IF(Tabela2[[#This Row],[SIGLA]]="","",VLOOKUP(Tabela2[[#This Row],[SIGLA]],Tabela1[[#All],[Sigla Arte]:[Crédito]],2,0))</f>
        <v>IVY NUNES/ARQUIVO DA EDITORA</v>
      </c>
      <c r="Z2208" s="31"/>
      <c r="AA2208" s="31" t="str">
        <f>Tabela2[[#This Row],[ILUSTRADOR CRIAÇÃO]]</f>
        <v>IVY NUNES/ARQUIVO DA EDITORA</v>
      </c>
      <c r="AB2208" s="33"/>
      <c r="AC2208" s="16"/>
      <c r="AE2208" s="35" t="str">
        <f t="shared" si="35"/>
        <v>EF1 E002 Mat</v>
      </c>
    </row>
    <row r="2209" spans="1:31" ht="30" x14ac:dyDescent="0.25">
      <c r="A2209" s="31" t="s">
        <v>4610</v>
      </c>
      <c r="B2209" s="16" t="s">
        <v>32</v>
      </c>
      <c r="C2209" s="16" t="s">
        <v>33</v>
      </c>
      <c r="D2209" s="33" t="s">
        <v>34</v>
      </c>
      <c r="E2209" s="33">
        <v>13</v>
      </c>
      <c r="F2209" s="33">
        <v>2</v>
      </c>
      <c r="G2209" s="33" t="s">
        <v>4582</v>
      </c>
      <c r="H2209" s="33"/>
      <c r="I2209" s="31" t="s">
        <v>46</v>
      </c>
      <c r="J2209" s="31"/>
      <c r="K2209" s="33"/>
      <c r="L2209" s="33"/>
      <c r="M2209" s="31"/>
      <c r="N2209" s="31"/>
      <c r="O2209" s="16" t="s">
        <v>4611</v>
      </c>
      <c r="P2209" s="16"/>
      <c r="Q2209" s="16"/>
      <c r="R2209" s="33"/>
      <c r="S2209" s="34"/>
      <c r="T2209" s="34"/>
      <c r="U2209" s="34"/>
      <c r="V2209" s="34"/>
      <c r="W2209" s="34"/>
      <c r="X2209" s="33" t="s">
        <v>162</v>
      </c>
      <c r="Y2209" s="35" t="str">
        <f>IF(Tabela2[[#This Row],[SIGLA]]="","",VLOOKUP(Tabela2[[#This Row],[SIGLA]],Tabela1[[#All],[Sigla Arte]:[Crédito]],2,0))</f>
        <v>IVY NUNES/ARQUIVO DA EDITORA</v>
      </c>
      <c r="Z2209" s="31"/>
      <c r="AA2209" s="31" t="str">
        <f>Tabela2[[#This Row],[ILUSTRADOR CRIAÇÃO]]</f>
        <v>IVY NUNES/ARQUIVO DA EDITORA</v>
      </c>
      <c r="AB2209" s="33"/>
      <c r="AC2209" s="16"/>
      <c r="AE2209" s="35" t="str">
        <f t="shared" si="35"/>
        <v>EF1 E002 Mat</v>
      </c>
    </row>
    <row r="2210" spans="1:31" ht="45" x14ac:dyDescent="0.25">
      <c r="A2210" s="31" t="s">
        <v>4612</v>
      </c>
      <c r="B2210" s="16" t="s">
        <v>32</v>
      </c>
      <c r="C2210" s="16" t="s">
        <v>33</v>
      </c>
      <c r="D2210" s="33" t="s">
        <v>34</v>
      </c>
      <c r="E2210" s="33">
        <v>13</v>
      </c>
      <c r="F2210" s="33">
        <v>2</v>
      </c>
      <c r="G2210" s="33" t="s">
        <v>4582</v>
      </c>
      <c r="H2210" s="33"/>
      <c r="I2210" s="31" t="s">
        <v>46</v>
      </c>
      <c r="J2210" s="31"/>
      <c r="K2210" s="33"/>
      <c r="L2210" s="33"/>
      <c r="M2210" s="31"/>
      <c r="N2210" s="31"/>
      <c r="O2210" s="16" t="s">
        <v>4613</v>
      </c>
      <c r="P2210" s="16"/>
      <c r="Q2210" s="16"/>
      <c r="R2210" s="33"/>
      <c r="S2210" s="34"/>
      <c r="T2210" s="34"/>
      <c r="U2210" s="34"/>
      <c r="V2210" s="34"/>
      <c r="W2210" s="34"/>
      <c r="X2210" s="33" t="s">
        <v>162</v>
      </c>
      <c r="Y2210" s="35" t="str">
        <f>IF(Tabela2[[#This Row],[SIGLA]]="","",VLOOKUP(Tabela2[[#This Row],[SIGLA]],Tabela1[[#All],[Sigla Arte]:[Crédito]],2,0))</f>
        <v>IVY NUNES/ARQUIVO DA EDITORA</v>
      </c>
      <c r="Z2210" s="31"/>
      <c r="AA2210" s="31" t="str">
        <f>Tabela2[[#This Row],[ILUSTRADOR CRIAÇÃO]]</f>
        <v>IVY NUNES/ARQUIVO DA EDITORA</v>
      </c>
      <c r="AB2210" s="33"/>
      <c r="AC2210" s="16"/>
      <c r="AE2210" s="35" t="str">
        <f t="shared" si="35"/>
        <v>EF1 E002 Mat</v>
      </c>
    </row>
    <row r="2211" spans="1:31" ht="30" x14ac:dyDescent="0.25">
      <c r="A2211" s="31" t="s">
        <v>4614</v>
      </c>
      <c r="B2211" s="16" t="s">
        <v>32</v>
      </c>
      <c r="C2211" s="16" t="s">
        <v>33</v>
      </c>
      <c r="D2211" s="33" t="s">
        <v>34</v>
      </c>
      <c r="E2211" s="33">
        <v>13</v>
      </c>
      <c r="F2211" s="33">
        <v>2</v>
      </c>
      <c r="G2211" s="33" t="s">
        <v>4582</v>
      </c>
      <c r="H2211" s="33"/>
      <c r="I2211" s="31" t="s">
        <v>46</v>
      </c>
      <c r="J2211" s="31"/>
      <c r="K2211" s="33"/>
      <c r="L2211" s="33"/>
      <c r="M2211" s="31"/>
      <c r="N2211" s="31"/>
      <c r="O2211" s="16" t="s">
        <v>4615</v>
      </c>
      <c r="P2211" s="16"/>
      <c r="Q2211" s="16"/>
      <c r="R2211" s="33"/>
      <c r="S2211" s="34"/>
      <c r="T2211" s="34"/>
      <c r="U2211" s="34"/>
      <c r="V2211" s="34"/>
      <c r="W2211" s="34"/>
      <c r="X2211" s="33" t="s">
        <v>48</v>
      </c>
      <c r="Y2211" s="35" t="str">
        <f>IF(Tabela2[[#This Row],[SIGLA]]="","",VLOOKUP(Tabela2[[#This Row],[SIGLA]],Tabela1[[#All],[Sigla Arte]:[Crédito]],2,0))</f>
        <v>SERGIO LIMA/ARQUIVO DA EDITORA</v>
      </c>
      <c r="Z2211" s="31"/>
      <c r="AA2211" s="31" t="str">
        <f>Tabela2[[#This Row],[ILUSTRADOR CRIAÇÃO]]</f>
        <v>SERGIO LIMA/ARQUIVO DA EDITORA</v>
      </c>
      <c r="AB2211" s="33"/>
      <c r="AC2211" s="16"/>
      <c r="AE2211" s="35" t="str">
        <f t="shared" si="35"/>
        <v>EF1 E002 Mat</v>
      </c>
    </row>
    <row r="2212" spans="1:31" ht="30" x14ac:dyDescent="0.25">
      <c r="A2212" s="31" t="s">
        <v>4616</v>
      </c>
      <c r="B2212" s="16" t="s">
        <v>32</v>
      </c>
      <c r="C2212" s="16" t="s">
        <v>33</v>
      </c>
      <c r="D2212" s="33" t="s">
        <v>34</v>
      </c>
      <c r="E2212" s="33">
        <v>13</v>
      </c>
      <c r="F2212" s="33">
        <v>2</v>
      </c>
      <c r="G2212" s="33" t="s">
        <v>4582</v>
      </c>
      <c r="H2212" s="33"/>
      <c r="I2212" s="31" t="s">
        <v>46</v>
      </c>
      <c r="J2212" s="31"/>
      <c r="K2212" s="33"/>
      <c r="L2212" s="33"/>
      <c r="M2212" s="31"/>
      <c r="N2212" s="31"/>
      <c r="O2212" s="16" t="s">
        <v>4617</v>
      </c>
      <c r="P2212" s="16"/>
      <c r="Q2212" s="16"/>
      <c r="R2212" s="33"/>
      <c r="S2212" s="34"/>
      <c r="T2212" s="34"/>
      <c r="U2212" s="34"/>
      <c r="V2212" s="34"/>
      <c r="W2212" s="34"/>
      <c r="X2212" s="33" t="s">
        <v>48</v>
      </c>
      <c r="Y2212" s="35" t="str">
        <f>IF(Tabela2[[#This Row],[SIGLA]]="","",VLOOKUP(Tabela2[[#This Row],[SIGLA]],Tabela1[[#All],[Sigla Arte]:[Crédito]],2,0))</f>
        <v>SERGIO LIMA/ARQUIVO DA EDITORA</v>
      </c>
      <c r="Z2212" s="31"/>
      <c r="AA2212" s="31" t="str">
        <f>Tabela2[[#This Row],[ILUSTRADOR CRIAÇÃO]]</f>
        <v>SERGIO LIMA/ARQUIVO DA EDITORA</v>
      </c>
      <c r="AB2212" s="33"/>
      <c r="AC2212" s="16"/>
      <c r="AE2212" s="35" t="str">
        <f t="shared" si="35"/>
        <v>EF1 E002 Mat</v>
      </c>
    </row>
    <row r="2213" spans="1:31" ht="30" x14ac:dyDescent="0.25">
      <c r="A2213" s="31" t="s">
        <v>4618</v>
      </c>
      <c r="B2213" s="16" t="s">
        <v>32</v>
      </c>
      <c r="C2213" s="16" t="s">
        <v>33</v>
      </c>
      <c r="D2213" s="33" t="s">
        <v>34</v>
      </c>
      <c r="E2213" s="33">
        <v>13</v>
      </c>
      <c r="F2213" s="33">
        <v>2</v>
      </c>
      <c r="G2213" s="33" t="s">
        <v>4582</v>
      </c>
      <c r="H2213" s="33"/>
      <c r="I2213" s="31" t="s">
        <v>46</v>
      </c>
      <c r="J2213" s="31"/>
      <c r="K2213" s="33"/>
      <c r="L2213" s="33"/>
      <c r="M2213" s="31"/>
      <c r="N2213" s="31"/>
      <c r="O2213" s="16" t="s">
        <v>4619</v>
      </c>
      <c r="P2213" s="16"/>
      <c r="Q2213" s="16"/>
      <c r="R2213" s="33"/>
      <c r="S2213" s="34"/>
      <c r="T2213" s="34"/>
      <c r="U2213" s="34"/>
      <c r="V2213" s="34"/>
      <c r="W2213" s="34"/>
      <c r="X2213" s="33" t="s">
        <v>48</v>
      </c>
      <c r="Y2213" s="35" t="str">
        <f>IF(Tabela2[[#This Row],[SIGLA]]="","",VLOOKUP(Tabela2[[#This Row],[SIGLA]],Tabela1[[#All],[Sigla Arte]:[Crédito]],2,0))</f>
        <v>SERGIO LIMA/ARQUIVO DA EDITORA</v>
      </c>
      <c r="Z2213" s="31"/>
      <c r="AA2213" s="31" t="str">
        <f>Tabela2[[#This Row],[ILUSTRADOR CRIAÇÃO]]</f>
        <v>SERGIO LIMA/ARQUIVO DA EDITORA</v>
      </c>
      <c r="AB2213" s="33"/>
      <c r="AC2213" s="16"/>
      <c r="AE2213" s="35" t="str">
        <f t="shared" si="35"/>
        <v>EF1 E002 Mat</v>
      </c>
    </row>
    <row r="2214" spans="1:31" ht="30" x14ac:dyDescent="0.25">
      <c r="A2214" s="31" t="s">
        <v>4620</v>
      </c>
      <c r="B2214" s="16" t="s">
        <v>32</v>
      </c>
      <c r="C2214" s="16" t="s">
        <v>33</v>
      </c>
      <c r="D2214" s="33" t="s">
        <v>34</v>
      </c>
      <c r="E2214" s="33">
        <v>13</v>
      </c>
      <c r="F2214" s="33">
        <v>2</v>
      </c>
      <c r="G2214" s="33" t="s">
        <v>4582</v>
      </c>
      <c r="H2214" s="33"/>
      <c r="I2214" s="31" t="s">
        <v>46</v>
      </c>
      <c r="J2214" s="31"/>
      <c r="K2214" s="33"/>
      <c r="L2214" s="33"/>
      <c r="M2214" s="31"/>
      <c r="N2214" s="31"/>
      <c r="O2214" s="16" t="s">
        <v>4621</v>
      </c>
      <c r="P2214" s="16"/>
      <c r="Q2214" s="16"/>
      <c r="R2214" s="33"/>
      <c r="S2214" s="34"/>
      <c r="T2214" s="34"/>
      <c r="U2214" s="34"/>
      <c r="V2214" s="34"/>
      <c r="W2214" s="34"/>
      <c r="X2214" s="33" t="s">
        <v>48</v>
      </c>
      <c r="Y2214" s="35" t="str">
        <f>IF(Tabela2[[#This Row],[SIGLA]]="","",VLOOKUP(Tabela2[[#This Row],[SIGLA]],Tabela1[[#All],[Sigla Arte]:[Crédito]],2,0))</f>
        <v>SERGIO LIMA/ARQUIVO DA EDITORA</v>
      </c>
      <c r="Z2214" s="31"/>
      <c r="AA2214" s="31" t="str">
        <f>Tabela2[[#This Row],[ILUSTRADOR CRIAÇÃO]]</f>
        <v>SERGIO LIMA/ARQUIVO DA EDITORA</v>
      </c>
      <c r="AB2214" s="33"/>
      <c r="AC2214" s="16"/>
      <c r="AE2214" s="35" t="str">
        <f t="shared" si="35"/>
        <v>EF1 E002 Mat</v>
      </c>
    </row>
    <row r="2215" spans="1:31" ht="45" x14ac:dyDescent="0.25">
      <c r="A2215" s="31" t="s">
        <v>4622</v>
      </c>
      <c r="B2215" s="16" t="s">
        <v>32</v>
      </c>
      <c r="C2215" s="16" t="s">
        <v>33</v>
      </c>
      <c r="D2215" s="33" t="s">
        <v>34</v>
      </c>
      <c r="E2215" s="33">
        <v>250</v>
      </c>
      <c r="F2215" s="33">
        <v>2</v>
      </c>
      <c r="G2215" s="33" t="s">
        <v>4623</v>
      </c>
      <c r="H2215" s="33"/>
      <c r="I2215" s="31" t="s">
        <v>46</v>
      </c>
      <c r="J2215" s="31"/>
      <c r="K2215" s="33"/>
      <c r="L2215" s="33"/>
      <c r="M2215" s="31"/>
      <c r="N2215" s="31"/>
      <c r="O2215" s="16" t="s">
        <v>4624</v>
      </c>
      <c r="P2215" s="16"/>
      <c r="Q2215" s="16"/>
      <c r="R2215" s="33"/>
      <c r="S2215" s="34"/>
      <c r="T2215" s="34"/>
      <c r="U2215" s="34"/>
      <c r="V2215" s="34"/>
      <c r="W2215" s="34"/>
      <c r="X2215" s="33" t="s">
        <v>703</v>
      </c>
      <c r="Y2215" s="35" t="str">
        <f>IF(Tabela2[[#This Row],[SIGLA]]="","",VLOOKUP(Tabela2[[#This Row],[SIGLA]],Tabela1[[#All],[Sigla Arte]:[Crédito]],2,0))</f>
        <v>KLEBER MAURÍCIO COELHO/ARQUIVO DA EDITORA</v>
      </c>
      <c r="Z2215" s="31"/>
      <c r="AA2215" s="31" t="str">
        <f>Tabela2[[#This Row],[ILUSTRADOR CRIAÇÃO]]</f>
        <v>KLEBER MAURÍCIO COELHO/ARQUIVO DA EDITORA</v>
      </c>
      <c r="AB2215" s="33"/>
      <c r="AC2215" s="16"/>
      <c r="AE2215" s="35" t="str">
        <f t="shared" si="35"/>
        <v>EF1 E002 Mat</v>
      </c>
    </row>
    <row r="2216" spans="1:31" ht="45" x14ac:dyDescent="0.25">
      <c r="A2216" s="31" t="s">
        <v>4625</v>
      </c>
      <c r="B2216" s="16" t="s">
        <v>32</v>
      </c>
      <c r="C2216" s="16" t="s">
        <v>33</v>
      </c>
      <c r="D2216" s="33" t="s">
        <v>34</v>
      </c>
      <c r="E2216" s="33">
        <v>250</v>
      </c>
      <c r="F2216" s="33">
        <v>2</v>
      </c>
      <c r="G2216" s="33" t="s">
        <v>4623</v>
      </c>
      <c r="H2216" s="33"/>
      <c r="I2216" s="31" t="s">
        <v>46</v>
      </c>
      <c r="J2216" s="31"/>
      <c r="K2216" s="33"/>
      <c r="L2216" s="33"/>
      <c r="M2216" s="31"/>
      <c r="N2216" s="31"/>
      <c r="O2216" s="16" t="s">
        <v>4626</v>
      </c>
      <c r="P2216" s="16"/>
      <c r="Q2216" s="16"/>
      <c r="R2216" s="33"/>
      <c r="S2216" s="34"/>
      <c r="T2216" s="34"/>
      <c r="U2216" s="34"/>
      <c r="V2216" s="34"/>
      <c r="W2216" s="34"/>
      <c r="X2216" s="33" t="s">
        <v>703</v>
      </c>
      <c r="Y2216" s="35" t="str">
        <f>IF(Tabela2[[#This Row],[SIGLA]]="","",VLOOKUP(Tabela2[[#This Row],[SIGLA]],Tabela1[[#All],[Sigla Arte]:[Crédito]],2,0))</f>
        <v>KLEBER MAURÍCIO COELHO/ARQUIVO DA EDITORA</v>
      </c>
      <c r="Z2216" s="31"/>
      <c r="AA2216" s="31" t="str">
        <f>Tabela2[[#This Row],[ILUSTRADOR CRIAÇÃO]]</f>
        <v>KLEBER MAURÍCIO COELHO/ARQUIVO DA EDITORA</v>
      </c>
      <c r="AB2216" s="33"/>
      <c r="AC2216" s="16"/>
      <c r="AE2216" s="35" t="str">
        <f t="shared" si="35"/>
        <v>EF1 E002 Mat</v>
      </c>
    </row>
    <row r="2217" spans="1:31" ht="90" x14ac:dyDescent="0.25">
      <c r="A2217" s="31" t="s">
        <v>4627</v>
      </c>
      <c r="B2217" s="16" t="s">
        <v>32</v>
      </c>
      <c r="C2217" s="16" t="s">
        <v>327</v>
      </c>
      <c r="D2217" s="33" t="s">
        <v>34</v>
      </c>
      <c r="E2217" s="33">
        <v>250</v>
      </c>
      <c r="F2217" s="33">
        <v>2</v>
      </c>
      <c r="G2217" s="33" t="s">
        <v>4623</v>
      </c>
      <c r="H2217" s="33"/>
      <c r="I2217" s="31" t="s">
        <v>35</v>
      </c>
      <c r="J2217" s="31"/>
      <c r="K2217" s="33"/>
      <c r="L2217" s="33"/>
      <c r="M2217" s="31"/>
      <c r="N2217" s="31"/>
      <c r="O2217" s="16" t="s">
        <v>4628</v>
      </c>
      <c r="P2217" s="16"/>
      <c r="Q2217" s="16"/>
      <c r="R2217" s="33">
        <v>75</v>
      </c>
      <c r="S2217" s="34">
        <v>45846</v>
      </c>
      <c r="T2217" s="34">
        <v>45847</v>
      </c>
      <c r="U2217" s="34"/>
      <c r="V2217" s="34"/>
      <c r="W2217" s="34">
        <v>45847</v>
      </c>
      <c r="X2217" s="33" t="s">
        <v>1126</v>
      </c>
      <c r="Y2217" s="35" t="str">
        <f>IF(Tabela2[[#This Row],[SIGLA]]="","",VLOOKUP(Tabela2[[#This Row],[SIGLA]],Tabela1[[#All],[Sigla Arte]:[Crédito]],2,0))</f>
        <v>GUSTAVO CONTI/ARQUIVO DA EDITORA</v>
      </c>
      <c r="Z2217" s="31" t="s">
        <v>4341</v>
      </c>
      <c r="AA2217" s="31" t="str">
        <f>Tabela2[[#This Row],[ILUSTRADOR CRIAÇÃO]]</f>
        <v>GUSTAVO CONTI/ARQUIVO DA EDITORA</v>
      </c>
      <c r="AB2217" s="33">
        <v>13</v>
      </c>
      <c r="AC2217" s="16" t="s">
        <v>39</v>
      </c>
      <c r="AD2217" s="16" t="s">
        <v>40</v>
      </c>
      <c r="AE2217" s="35" t="str">
        <f t="shared" si="35"/>
        <v>EF1 E002 Mat</v>
      </c>
    </row>
    <row r="2218" spans="1:31" ht="45" x14ac:dyDescent="0.25">
      <c r="A2218" s="31" t="s">
        <v>4629</v>
      </c>
      <c r="B2218" s="16" t="s">
        <v>32</v>
      </c>
      <c r="C2218" s="16" t="s">
        <v>33</v>
      </c>
      <c r="D2218" s="33" t="s">
        <v>34</v>
      </c>
      <c r="E2218" s="33">
        <v>251</v>
      </c>
      <c r="F2218" s="33">
        <v>2</v>
      </c>
      <c r="G2218" s="33" t="s">
        <v>4623</v>
      </c>
      <c r="H2218" s="33"/>
      <c r="I2218" s="31" t="s">
        <v>46</v>
      </c>
      <c r="J2218" s="31"/>
      <c r="K2218" s="33"/>
      <c r="L2218" s="33"/>
      <c r="M2218" s="31"/>
      <c r="N2218" s="31"/>
      <c r="O2218" s="16" t="s">
        <v>4630</v>
      </c>
      <c r="P2218" s="16"/>
      <c r="Q2218" s="16"/>
      <c r="R2218" s="33"/>
      <c r="S2218" s="34"/>
      <c r="T2218" s="34"/>
      <c r="U2218" s="34"/>
      <c r="V2218" s="34"/>
      <c r="W2218" s="34"/>
      <c r="X2218" s="33" t="s">
        <v>1126</v>
      </c>
      <c r="Y2218" s="35" t="str">
        <f>IF(Tabela2[[#This Row],[SIGLA]]="","",VLOOKUP(Tabela2[[#This Row],[SIGLA]],Tabela1[[#All],[Sigla Arte]:[Crédito]],2,0))</f>
        <v>GUSTAVO CONTI/ARQUIVO DA EDITORA</v>
      </c>
      <c r="Z2218" s="31"/>
      <c r="AA2218" s="31" t="str">
        <f>Tabela2[[#This Row],[ILUSTRADOR CRIAÇÃO]]</f>
        <v>GUSTAVO CONTI/ARQUIVO DA EDITORA</v>
      </c>
      <c r="AB2218" s="33"/>
      <c r="AC2218" s="16"/>
      <c r="AE2218" s="35" t="str">
        <f t="shared" si="35"/>
        <v>EF1 E002 Mat</v>
      </c>
    </row>
    <row r="2219" spans="1:31" ht="45" x14ac:dyDescent="0.25">
      <c r="A2219" s="31" t="s">
        <v>4631</v>
      </c>
      <c r="B2219" s="16" t="s">
        <v>32</v>
      </c>
      <c r="C2219" s="16" t="s">
        <v>33</v>
      </c>
      <c r="D2219" s="33" t="s">
        <v>34</v>
      </c>
      <c r="E2219" s="33">
        <v>251</v>
      </c>
      <c r="F2219" s="33">
        <v>2</v>
      </c>
      <c r="G2219" s="33" t="s">
        <v>4623</v>
      </c>
      <c r="H2219" s="33"/>
      <c r="I2219" s="31" t="s">
        <v>46</v>
      </c>
      <c r="J2219" s="31"/>
      <c r="K2219" s="33"/>
      <c r="L2219" s="33"/>
      <c r="M2219" s="31"/>
      <c r="N2219" s="31"/>
      <c r="O2219" s="16" t="s">
        <v>4632</v>
      </c>
      <c r="P2219" s="16"/>
      <c r="Q2219" s="16"/>
      <c r="R2219" s="33"/>
      <c r="S2219" s="34"/>
      <c r="T2219" s="34"/>
      <c r="U2219" s="34"/>
      <c r="V2219" s="34"/>
      <c r="W2219" s="34"/>
      <c r="X2219" s="33" t="s">
        <v>1126</v>
      </c>
      <c r="Y2219" s="35" t="str">
        <f>IF(Tabela2[[#This Row],[SIGLA]]="","",VLOOKUP(Tabela2[[#This Row],[SIGLA]],Tabela1[[#All],[Sigla Arte]:[Crédito]],2,0))</f>
        <v>GUSTAVO CONTI/ARQUIVO DA EDITORA</v>
      </c>
      <c r="Z2219" s="31"/>
      <c r="AA2219" s="31" t="str">
        <f>Tabela2[[#This Row],[ILUSTRADOR CRIAÇÃO]]</f>
        <v>GUSTAVO CONTI/ARQUIVO DA EDITORA</v>
      </c>
      <c r="AB2219" s="33"/>
      <c r="AC2219" s="16"/>
      <c r="AE2219" s="35" t="str">
        <f t="shared" si="35"/>
        <v>EF1 E002 Mat</v>
      </c>
    </row>
    <row r="2220" spans="1:31" ht="45" x14ac:dyDescent="0.25">
      <c r="A2220" s="31" t="s">
        <v>4633</v>
      </c>
      <c r="B2220" s="16" t="s">
        <v>32</v>
      </c>
      <c r="C2220" s="16" t="s">
        <v>33</v>
      </c>
      <c r="D2220" s="33" t="s">
        <v>34</v>
      </c>
      <c r="E2220" s="33">
        <v>251</v>
      </c>
      <c r="F2220" s="33">
        <v>2</v>
      </c>
      <c r="G2220" s="33" t="s">
        <v>4623</v>
      </c>
      <c r="H2220" s="33"/>
      <c r="I2220" s="31" t="s">
        <v>46</v>
      </c>
      <c r="J2220" s="31"/>
      <c r="K2220" s="33"/>
      <c r="L2220" s="33"/>
      <c r="M2220" s="31"/>
      <c r="N2220" s="31"/>
      <c r="O2220" s="16" t="s">
        <v>4634</v>
      </c>
      <c r="P2220" s="16"/>
      <c r="Q2220" s="16"/>
      <c r="R2220" s="33"/>
      <c r="S2220" s="34"/>
      <c r="T2220" s="34"/>
      <c r="U2220" s="34"/>
      <c r="V2220" s="34"/>
      <c r="W2220" s="34"/>
      <c r="X2220" s="33" t="s">
        <v>1126</v>
      </c>
      <c r="Y2220" s="35" t="str">
        <f>IF(Tabela2[[#This Row],[SIGLA]]="","",VLOOKUP(Tabela2[[#This Row],[SIGLA]],Tabela1[[#All],[Sigla Arte]:[Crédito]],2,0))</f>
        <v>GUSTAVO CONTI/ARQUIVO DA EDITORA</v>
      </c>
      <c r="Z2220" s="31"/>
      <c r="AA2220" s="31" t="str">
        <f>Tabela2[[#This Row],[ILUSTRADOR CRIAÇÃO]]</f>
        <v>GUSTAVO CONTI/ARQUIVO DA EDITORA</v>
      </c>
      <c r="AB2220" s="33"/>
      <c r="AC2220" s="16"/>
      <c r="AE2220" s="35" t="str">
        <f t="shared" si="35"/>
        <v>EF1 E002 Mat</v>
      </c>
    </row>
    <row r="2221" spans="1:31" ht="30" x14ac:dyDescent="0.25">
      <c r="A2221" s="31" t="s">
        <v>4635</v>
      </c>
      <c r="B2221" s="16" t="s">
        <v>32</v>
      </c>
      <c r="C2221" s="16" t="s">
        <v>33</v>
      </c>
      <c r="D2221" s="33" t="s">
        <v>34</v>
      </c>
      <c r="E2221" s="33">
        <v>251</v>
      </c>
      <c r="F2221" s="33">
        <v>2</v>
      </c>
      <c r="G2221" s="33" t="s">
        <v>4623</v>
      </c>
      <c r="H2221" s="33"/>
      <c r="I2221" s="31" t="s">
        <v>46</v>
      </c>
      <c r="J2221" s="31"/>
      <c r="K2221" s="33"/>
      <c r="L2221" s="33"/>
      <c r="M2221" s="31"/>
      <c r="N2221" s="31"/>
      <c r="O2221" s="16" t="s">
        <v>4636</v>
      </c>
      <c r="P2221" s="16"/>
      <c r="Q2221" s="16"/>
      <c r="R2221" s="33"/>
      <c r="S2221" s="34"/>
      <c r="T2221" s="34"/>
      <c r="U2221" s="34"/>
      <c r="V2221" s="34"/>
      <c r="W2221" s="34"/>
      <c r="X2221" s="33" t="s">
        <v>1126</v>
      </c>
      <c r="Y2221" s="35" t="str">
        <f>IF(Tabela2[[#This Row],[SIGLA]]="","",VLOOKUP(Tabela2[[#This Row],[SIGLA]],Tabela1[[#All],[Sigla Arte]:[Crédito]],2,0))</f>
        <v>GUSTAVO CONTI/ARQUIVO DA EDITORA</v>
      </c>
      <c r="Z2221" s="31"/>
      <c r="AA2221" s="31" t="str">
        <f>Tabela2[[#This Row],[ILUSTRADOR CRIAÇÃO]]</f>
        <v>GUSTAVO CONTI/ARQUIVO DA EDITORA</v>
      </c>
      <c r="AB2221" s="33"/>
      <c r="AC2221" s="16"/>
      <c r="AE2221" s="35" t="str">
        <f t="shared" si="35"/>
        <v>EF1 E002 Mat</v>
      </c>
    </row>
    <row r="2222" spans="1:31" ht="45" x14ac:dyDescent="0.25">
      <c r="A2222" s="31" t="s">
        <v>4637</v>
      </c>
      <c r="B2222" s="16" t="s">
        <v>32</v>
      </c>
      <c r="C2222" s="16" t="s">
        <v>33</v>
      </c>
      <c r="D2222" s="33" t="s">
        <v>34</v>
      </c>
      <c r="E2222" s="33">
        <v>251</v>
      </c>
      <c r="F2222" s="33">
        <v>2</v>
      </c>
      <c r="G2222" s="33" t="s">
        <v>4623</v>
      </c>
      <c r="H2222" s="33"/>
      <c r="I2222" s="31" t="s">
        <v>46</v>
      </c>
      <c r="J2222" s="31"/>
      <c r="K2222" s="33"/>
      <c r="L2222" s="33"/>
      <c r="M2222" s="31"/>
      <c r="N2222" s="31"/>
      <c r="O2222" s="16" t="s">
        <v>4638</v>
      </c>
      <c r="P2222" s="16"/>
      <c r="Q2222" s="16"/>
      <c r="R2222" s="33"/>
      <c r="S2222" s="34"/>
      <c r="T2222" s="34"/>
      <c r="U2222" s="34"/>
      <c r="V2222" s="34"/>
      <c r="W2222" s="34"/>
      <c r="X2222" s="33" t="s">
        <v>703</v>
      </c>
      <c r="Y2222" s="35" t="str">
        <f>IF(Tabela2[[#This Row],[SIGLA]]="","",VLOOKUP(Tabela2[[#This Row],[SIGLA]],Tabela1[[#All],[Sigla Arte]:[Crédito]],2,0))</f>
        <v>KLEBER MAURÍCIO COELHO/ARQUIVO DA EDITORA</v>
      </c>
      <c r="Z2222" s="31"/>
      <c r="AA2222" s="31" t="str">
        <f>Tabela2[[#This Row],[ILUSTRADOR CRIAÇÃO]]</f>
        <v>KLEBER MAURÍCIO COELHO/ARQUIVO DA EDITORA</v>
      </c>
      <c r="AB2222" s="33"/>
      <c r="AC2222" s="16"/>
      <c r="AE2222" s="35" t="str">
        <f t="shared" si="35"/>
        <v>EF1 E002 Mat</v>
      </c>
    </row>
    <row r="2223" spans="1:31" ht="135" x14ac:dyDescent="0.25">
      <c r="A2223" s="31" t="s">
        <v>4639</v>
      </c>
      <c r="B2223" s="16" t="s">
        <v>32</v>
      </c>
      <c r="C2223" s="16" t="s">
        <v>33</v>
      </c>
      <c r="D2223" s="33" t="s">
        <v>34</v>
      </c>
      <c r="E2223" s="33">
        <v>251</v>
      </c>
      <c r="F2223" s="33">
        <v>2</v>
      </c>
      <c r="G2223" s="33" t="s">
        <v>4623</v>
      </c>
      <c r="H2223" s="33"/>
      <c r="I2223" s="31" t="s">
        <v>35</v>
      </c>
      <c r="J2223" s="31"/>
      <c r="K2223" s="33"/>
      <c r="L2223" s="33"/>
      <c r="M2223" s="31"/>
      <c r="N2223" s="31"/>
      <c r="O2223" s="16" t="s">
        <v>4640</v>
      </c>
      <c r="P2223" s="16"/>
      <c r="Q2223" s="16"/>
      <c r="R2223" s="33">
        <v>75</v>
      </c>
      <c r="S2223" s="34">
        <v>45846</v>
      </c>
      <c r="T2223" s="34">
        <v>45847</v>
      </c>
      <c r="U2223" s="34"/>
      <c r="V2223" s="34"/>
      <c r="W2223" s="34">
        <v>45847</v>
      </c>
      <c r="X2223" s="33" t="s">
        <v>1126</v>
      </c>
      <c r="Y2223" s="35" t="str">
        <f>IF(Tabela2[[#This Row],[SIGLA]]="","",VLOOKUP(Tabela2[[#This Row],[SIGLA]],Tabela1[[#All],[Sigla Arte]:[Crédito]],2,0))</f>
        <v>GUSTAVO CONTI/ARQUIVO DA EDITORA</v>
      </c>
      <c r="Z2223" s="31" t="s">
        <v>4341</v>
      </c>
      <c r="AA2223" s="31" t="str">
        <f>Tabela2[[#This Row],[ILUSTRADOR CRIAÇÃO]]</f>
        <v>GUSTAVO CONTI/ARQUIVO DA EDITORA</v>
      </c>
      <c r="AB2223" s="33">
        <v>13</v>
      </c>
      <c r="AC2223" s="16" t="s">
        <v>39</v>
      </c>
      <c r="AD2223" s="16" t="s">
        <v>40</v>
      </c>
      <c r="AE2223" s="35" t="str">
        <f t="shared" si="35"/>
        <v>EF1 E002 Mat</v>
      </c>
    </row>
    <row r="2224" spans="1:31" ht="60" x14ac:dyDescent="0.25">
      <c r="A2224" s="31" t="s">
        <v>4641</v>
      </c>
      <c r="B2224" s="16" t="s">
        <v>32</v>
      </c>
      <c r="C2224" s="16" t="s">
        <v>33</v>
      </c>
      <c r="D2224" s="33" t="s">
        <v>34</v>
      </c>
      <c r="E2224" s="33">
        <v>251</v>
      </c>
      <c r="F2224" s="33">
        <v>2</v>
      </c>
      <c r="G2224" s="33" t="s">
        <v>4623</v>
      </c>
      <c r="H2224" s="33"/>
      <c r="I2224" s="31" t="s">
        <v>46</v>
      </c>
      <c r="J2224" s="31"/>
      <c r="K2224" s="33"/>
      <c r="L2224" s="33"/>
      <c r="M2224" s="31"/>
      <c r="N2224" s="31"/>
      <c r="O2224" s="16" t="s">
        <v>4642</v>
      </c>
      <c r="P2224" s="16"/>
      <c r="Q2224" s="16"/>
      <c r="R2224" s="33"/>
      <c r="S2224" s="34"/>
      <c r="T2224" s="34"/>
      <c r="U2224" s="34"/>
      <c r="V2224" s="34"/>
      <c r="W2224" s="34"/>
      <c r="X2224" s="33" t="s">
        <v>1126</v>
      </c>
      <c r="Y2224" s="35" t="str">
        <f>IF(Tabela2[[#This Row],[SIGLA]]="","",VLOOKUP(Tabela2[[#This Row],[SIGLA]],Tabela1[[#All],[Sigla Arte]:[Crédito]],2,0))</f>
        <v>GUSTAVO CONTI/ARQUIVO DA EDITORA</v>
      </c>
      <c r="Z2224" s="31"/>
      <c r="AA2224" s="31" t="str">
        <f>Tabela2[[#This Row],[ILUSTRADOR CRIAÇÃO]]</f>
        <v>GUSTAVO CONTI/ARQUIVO DA EDITORA</v>
      </c>
      <c r="AB2224" s="33"/>
      <c r="AC2224" s="16"/>
      <c r="AE2224" s="35" t="str">
        <f t="shared" si="35"/>
        <v>EF1 E002 Mat</v>
      </c>
    </row>
    <row r="2225" spans="1:31" ht="60" x14ac:dyDescent="0.25">
      <c r="A2225" s="31" t="s">
        <v>4643</v>
      </c>
      <c r="B2225" s="16" t="s">
        <v>32</v>
      </c>
      <c r="C2225" s="16" t="s">
        <v>33</v>
      </c>
      <c r="D2225" s="33" t="s">
        <v>34</v>
      </c>
      <c r="E2225" s="33">
        <v>251</v>
      </c>
      <c r="F2225" s="33">
        <v>2</v>
      </c>
      <c r="G2225" s="33" t="s">
        <v>4623</v>
      </c>
      <c r="H2225" s="33"/>
      <c r="I2225" s="31" t="s">
        <v>46</v>
      </c>
      <c r="J2225" s="31"/>
      <c r="K2225" s="33"/>
      <c r="L2225" s="33"/>
      <c r="M2225" s="31"/>
      <c r="N2225" s="31"/>
      <c r="O2225" s="16" t="s">
        <v>4644</v>
      </c>
      <c r="P2225" s="16"/>
      <c r="Q2225" s="16"/>
      <c r="R2225" s="33"/>
      <c r="S2225" s="34"/>
      <c r="T2225" s="34"/>
      <c r="U2225" s="34"/>
      <c r="V2225" s="34"/>
      <c r="W2225" s="34"/>
      <c r="X2225" s="33" t="s">
        <v>1126</v>
      </c>
      <c r="Y2225" s="35" t="str">
        <f>IF(Tabela2[[#This Row],[SIGLA]]="","",VLOOKUP(Tabela2[[#This Row],[SIGLA]],Tabela1[[#All],[Sigla Arte]:[Crédito]],2,0))</f>
        <v>GUSTAVO CONTI/ARQUIVO DA EDITORA</v>
      </c>
      <c r="Z2225" s="31"/>
      <c r="AA2225" s="31" t="str">
        <f>Tabela2[[#This Row],[ILUSTRADOR CRIAÇÃO]]</f>
        <v>GUSTAVO CONTI/ARQUIVO DA EDITORA</v>
      </c>
      <c r="AB2225" s="33"/>
      <c r="AC2225" s="16"/>
      <c r="AE2225" s="35" t="str">
        <f t="shared" si="35"/>
        <v>EF1 E002 Mat</v>
      </c>
    </row>
    <row r="2226" spans="1:31" ht="60" x14ac:dyDescent="0.25">
      <c r="A2226" s="31" t="s">
        <v>4645</v>
      </c>
      <c r="B2226" s="16" t="s">
        <v>32</v>
      </c>
      <c r="C2226" s="16" t="s">
        <v>33</v>
      </c>
      <c r="D2226" s="33" t="s">
        <v>34</v>
      </c>
      <c r="E2226" s="33">
        <v>251</v>
      </c>
      <c r="F2226" s="33">
        <v>2</v>
      </c>
      <c r="G2226" s="33" t="s">
        <v>4623</v>
      </c>
      <c r="H2226" s="33"/>
      <c r="I2226" s="31" t="s">
        <v>46</v>
      </c>
      <c r="J2226" s="31"/>
      <c r="K2226" s="33"/>
      <c r="L2226" s="33"/>
      <c r="M2226" s="31"/>
      <c r="N2226" s="31"/>
      <c r="O2226" s="16" t="s">
        <v>4646</v>
      </c>
      <c r="P2226" s="16"/>
      <c r="Q2226" s="16"/>
      <c r="R2226" s="33"/>
      <c r="S2226" s="34"/>
      <c r="T2226" s="34"/>
      <c r="U2226" s="34"/>
      <c r="V2226" s="34"/>
      <c r="W2226" s="34"/>
      <c r="X2226" s="33" t="s">
        <v>1126</v>
      </c>
      <c r="Y2226" s="35" t="str">
        <f>IF(Tabela2[[#This Row],[SIGLA]]="","",VLOOKUP(Tabela2[[#This Row],[SIGLA]],Tabela1[[#All],[Sigla Arte]:[Crédito]],2,0))</f>
        <v>GUSTAVO CONTI/ARQUIVO DA EDITORA</v>
      </c>
      <c r="Z2226" s="31"/>
      <c r="AA2226" s="31" t="str">
        <f>Tabela2[[#This Row],[ILUSTRADOR CRIAÇÃO]]</f>
        <v>GUSTAVO CONTI/ARQUIVO DA EDITORA</v>
      </c>
      <c r="AB2226" s="33"/>
      <c r="AC2226" s="16"/>
      <c r="AE2226" s="35" t="str">
        <f t="shared" ref="AE2226:AE2289" si="36">"EF1 E002 Mat"</f>
        <v>EF1 E002 Mat</v>
      </c>
    </row>
    <row r="2227" spans="1:31" ht="105" x14ac:dyDescent="0.25">
      <c r="A2227" s="31" t="s">
        <v>4647</v>
      </c>
      <c r="B2227" s="16" t="s">
        <v>32</v>
      </c>
      <c r="C2227" s="16" t="s">
        <v>33</v>
      </c>
      <c r="D2227" s="33" t="s">
        <v>34</v>
      </c>
      <c r="E2227" s="33">
        <v>251</v>
      </c>
      <c r="F2227" s="33">
        <v>2</v>
      </c>
      <c r="G2227" s="33" t="s">
        <v>4623</v>
      </c>
      <c r="H2227" s="33"/>
      <c r="I2227" s="31" t="s">
        <v>46</v>
      </c>
      <c r="J2227" s="31"/>
      <c r="K2227" s="33"/>
      <c r="L2227" s="33"/>
      <c r="M2227" s="31"/>
      <c r="N2227" s="31"/>
      <c r="O2227" s="16" t="s">
        <v>4648</v>
      </c>
      <c r="P2227" s="16"/>
      <c r="Q2227" s="16" t="s">
        <v>4649</v>
      </c>
      <c r="R2227" s="33"/>
      <c r="S2227" s="34"/>
      <c r="T2227" s="34"/>
      <c r="U2227" s="34"/>
      <c r="V2227" s="34"/>
      <c r="W2227" s="34"/>
      <c r="X2227" s="33"/>
      <c r="Y2227" s="35" t="str">
        <f>IF(Tabela2[[#This Row],[SIGLA]]="","",VLOOKUP(Tabela2[[#This Row],[SIGLA]],Tabela1[[#All],[Sigla Arte]:[Crédito]],2,0))</f>
        <v/>
      </c>
      <c r="Z2227" s="31"/>
      <c r="AA2227" s="31" t="s">
        <v>4650</v>
      </c>
      <c r="AB2227" s="33"/>
      <c r="AC2227" s="16"/>
      <c r="AE2227" s="35" t="str">
        <f t="shared" si="36"/>
        <v>EF1 E002 Mat</v>
      </c>
    </row>
    <row r="2228" spans="1:31" ht="45" x14ac:dyDescent="0.25">
      <c r="A2228" s="31" t="s">
        <v>4651</v>
      </c>
      <c r="B2228" s="16" t="s">
        <v>32</v>
      </c>
      <c r="C2228" s="16" t="s">
        <v>33</v>
      </c>
      <c r="D2228" s="33" t="s">
        <v>34</v>
      </c>
      <c r="E2228" s="33">
        <v>252</v>
      </c>
      <c r="F2228" s="33">
        <v>2</v>
      </c>
      <c r="G2228" s="33" t="s">
        <v>4623</v>
      </c>
      <c r="H2228" s="33"/>
      <c r="I2228" s="31" t="s">
        <v>46</v>
      </c>
      <c r="J2228" s="31"/>
      <c r="K2228" s="33"/>
      <c r="L2228" s="33"/>
      <c r="M2228" s="31"/>
      <c r="N2228" s="31"/>
      <c r="O2228" s="16" t="s">
        <v>4652</v>
      </c>
      <c r="P2228" s="16"/>
      <c r="Q2228" s="16"/>
      <c r="R2228" s="33"/>
      <c r="S2228" s="34"/>
      <c r="T2228" s="34"/>
      <c r="U2228" s="34"/>
      <c r="V2228" s="34"/>
      <c r="W2228" s="34"/>
      <c r="X2228" s="33" t="s">
        <v>85</v>
      </c>
      <c r="Y2228" s="35" t="str">
        <f>IF(Tabela2[[#This Row],[SIGLA]]="","",VLOOKUP(Tabela2[[#This Row],[SIGLA]],Tabela1[[#All],[Sigla Arte]:[Crédito]],2,0))</f>
        <v>HELOÍSA PINTARELLI/ARQUIVO DA EDITORA</v>
      </c>
      <c r="Z2228" s="31"/>
      <c r="AA2228" s="31" t="str">
        <f>Tabela2[[#This Row],[ILUSTRADOR CRIAÇÃO]]</f>
        <v>HELOÍSA PINTARELLI/ARQUIVO DA EDITORA</v>
      </c>
      <c r="AB2228" s="33"/>
      <c r="AC2228" s="16"/>
      <c r="AE2228" s="35" t="str">
        <f t="shared" si="36"/>
        <v>EF1 E002 Mat</v>
      </c>
    </row>
    <row r="2229" spans="1:31" ht="30" x14ac:dyDescent="0.25">
      <c r="A2229" s="31" t="s">
        <v>4653</v>
      </c>
      <c r="B2229" s="16" t="s">
        <v>32</v>
      </c>
      <c r="C2229" s="16" t="s">
        <v>33</v>
      </c>
      <c r="D2229" s="33" t="s">
        <v>34</v>
      </c>
      <c r="E2229" s="33">
        <v>252</v>
      </c>
      <c r="F2229" s="33">
        <v>2</v>
      </c>
      <c r="G2229" s="33" t="s">
        <v>4623</v>
      </c>
      <c r="H2229" s="33"/>
      <c r="I2229" s="31" t="s">
        <v>46</v>
      </c>
      <c r="J2229" s="31"/>
      <c r="K2229" s="33"/>
      <c r="L2229" s="33"/>
      <c r="M2229" s="31"/>
      <c r="N2229" s="31"/>
      <c r="O2229" s="16" t="s">
        <v>4654</v>
      </c>
      <c r="P2229" s="16"/>
      <c r="Q2229" s="16"/>
      <c r="R2229" s="33"/>
      <c r="S2229" s="34"/>
      <c r="T2229" s="34"/>
      <c r="U2229" s="34"/>
      <c r="V2229" s="34"/>
      <c r="W2229" s="34"/>
      <c r="X2229" s="33" t="s">
        <v>1126</v>
      </c>
      <c r="Y2229" s="35" t="str">
        <f>IF(Tabela2[[#This Row],[SIGLA]]="","",VLOOKUP(Tabela2[[#This Row],[SIGLA]],Tabela1[[#All],[Sigla Arte]:[Crédito]],2,0))</f>
        <v>GUSTAVO CONTI/ARQUIVO DA EDITORA</v>
      </c>
      <c r="Z2229" s="31"/>
      <c r="AA2229" s="31" t="str">
        <f>Tabela2[[#This Row],[ILUSTRADOR CRIAÇÃO]]</f>
        <v>GUSTAVO CONTI/ARQUIVO DA EDITORA</v>
      </c>
      <c r="AB2229" s="33"/>
      <c r="AC2229" s="16"/>
      <c r="AE2229" s="35" t="str">
        <f t="shared" si="36"/>
        <v>EF1 E002 Mat</v>
      </c>
    </row>
    <row r="2230" spans="1:31" ht="30" x14ac:dyDescent="0.25">
      <c r="A2230" s="31" t="s">
        <v>4655</v>
      </c>
      <c r="B2230" s="16" t="s">
        <v>32</v>
      </c>
      <c r="C2230" s="16" t="s">
        <v>33</v>
      </c>
      <c r="D2230" s="33" t="s">
        <v>34</v>
      </c>
      <c r="E2230" s="33">
        <v>252</v>
      </c>
      <c r="F2230" s="33">
        <v>2</v>
      </c>
      <c r="G2230" s="33" t="s">
        <v>4623</v>
      </c>
      <c r="H2230" s="33"/>
      <c r="I2230" s="31" t="s">
        <v>46</v>
      </c>
      <c r="J2230" s="31"/>
      <c r="K2230" s="33"/>
      <c r="L2230" s="33"/>
      <c r="M2230" s="31"/>
      <c r="N2230" s="31"/>
      <c r="O2230" s="16" t="s">
        <v>4656</v>
      </c>
      <c r="P2230" s="16"/>
      <c r="Q2230" s="16"/>
      <c r="R2230" s="33"/>
      <c r="S2230" s="34"/>
      <c r="T2230" s="34"/>
      <c r="U2230" s="34"/>
      <c r="V2230" s="34"/>
      <c r="W2230" s="34"/>
      <c r="X2230" s="33" t="s">
        <v>1126</v>
      </c>
      <c r="Y2230" s="35" t="str">
        <f>IF(Tabela2[[#This Row],[SIGLA]]="","",VLOOKUP(Tabela2[[#This Row],[SIGLA]],Tabela1[[#All],[Sigla Arte]:[Crédito]],2,0))</f>
        <v>GUSTAVO CONTI/ARQUIVO DA EDITORA</v>
      </c>
      <c r="Z2230" s="31"/>
      <c r="AA2230" s="31" t="str">
        <f>Tabela2[[#This Row],[ILUSTRADOR CRIAÇÃO]]</f>
        <v>GUSTAVO CONTI/ARQUIVO DA EDITORA</v>
      </c>
      <c r="AB2230" s="33"/>
      <c r="AC2230" s="16"/>
      <c r="AE2230" s="35" t="str">
        <f t="shared" si="36"/>
        <v>EF1 E002 Mat</v>
      </c>
    </row>
    <row r="2231" spans="1:31" ht="30" x14ac:dyDescent="0.25">
      <c r="A2231" s="31" t="s">
        <v>4657</v>
      </c>
      <c r="B2231" s="16" t="s">
        <v>32</v>
      </c>
      <c r="C2231" s="16" t="s">
        <v>33</v>
      </c>
      <c r="D2231" s="33" t="s">
        <v>34</v>
      </c>
      <c r="E2231" s="33">
        <v>252</v>
      </c>
      <c r="F2231" s="33">
        <v>2</v>
      </c>
      <c r="G2231" s="33" t="s">
        <v>4623</v>
      </c>
      <c r="H2231" s="33"/>
      <c r="I2231" s="31" t="s">
        <v>46</v>
      </c>
      <c r="J2231" s="31"/>
      <c r="K2231" s="33"/>
      <c r="L2231" s="33"/>
      <c r="M2231" s="31"/>
      <c r="N2231" s="31"/>
      <c r="O2231" s="16" t="s">
        <v>4658</v>
      </c>
      <c r="P2231" s="16"/>
      <c r="Q2231" s="16"/>
      <c r="R2231" s="33"/>
      <c r="S2231" s="34"/>
      <c r="T2231" s="34"/>
      <c r="U2231" s="34"/>
      <c r="V2231" s="34"/>
      <c r="W2231" s="34"/>
      <c r="X2231" s="33" t="s">
        <v>1126</v>
      </c>
      <c r="Y2231" s="35" t="str">
        <f>IF(Tabela2[[#This Row],[SIGLA]]="","",VLOOKUP(Tabela2[[#This Row],[SIGLA]],Tabela1[[#All],[Sigla Arte]:[Crédito]],2,0))</f>
        <v>GUSTAVO CONTI/ARQUIVO DA EDITORA</v>
      </c>
      <c r="Z2231" s="31"/>
      <c r="AA2231" s="31" t="str">
        <f>Tabela2[[#This Row],[ILUSTRADOR CRIAÇÃO]]</f>
        <v>GUSTAVO CONTI/ARQUIVO DA EDITORA</v>
      </c>
      <c r="AB2231" s="33"/>
      <c r="AC2231" s="16"/>
      <c r="AE2231" s="35" t="str">
        <f t="shared" si="36"/>
        <v>EF1 E002 Mat</v>
      </c>
    </row>
    <row r="2232" spans="1:31" ht="30" x14ac:dyDescent="0.25">
      <c r="A2232" s="31" t="s">
        <v>4659</v>
      </c>
      <c r="B2232" s="16" t="s">
        <v>32</v>
      </c>
      <c r="C2232" s="16" t="s">
        <v>33</v>
      </c>
      <c r="D2232" s="33" t="s">
        <v>34</v>
      </c>
      <c r="E2232" s="33">
        <v>252</v>
      </c>
      <c r="F2232" s="33">
        <v>2</v>
      </c>
      <c r="G2232" s="33" t="s">
        <v>4623</v>
      </c>
      <c r="H2232" s="33"/>
      <c r="I2232" s="31" t="s">
        <v>46</v>
      </c>
      <c r="J2232" s="31"/>
      <c r="K2232" s="33"/>
      <c r="L2232" s="33"/>
      <c r="M2232" s="31"/>
      <c r="N2232" s="31"/>
      <c r="O2232" s="16" t="s">
        <v>4660</v>
      </c>
      <c r="P2232" s="16"/>
      <c r="Q2232" s="16"/>
      <c r="R2232" s="33"/>
      <c r="S2232" s="34"/>
      <c r="T2232" s="34"/>
      <c r="U2232" s="34"/>
      <c r="V2232" s="34"/>
      <c r="W2232" s="34"/>
      <c r="X2232" s="33" t="s">
        <v>1126</v>
      </c>
      <c r="Y2232" s="35" t="str">
        <f>IF(Tabela2[[#This Row],[SIGLA]]="","",VLOOKUP(Tabela2[[#This Row],[SIGLA]],Tabela1[[#All],[Sigla Arte]:[Crédito]],2,0))</f>
        <v>GUSTAVO CONTI/ARQUIVO DA EDITORA</v>
      </c>
      <c r="Z2232" s="31"/>
      <c r="AA2232" s="31" t="str">
        <f>Tabela2[[#This Row],[ILUSTRADOR CRIAÇÃO]]</f>
        <v>GUSTAVO CONTI/ARQUIVO DA EDITORA</v>
      </c>
      <c r="AB2232" s="33"/>
      <c r="AC2232" s="16"/>
      <c r="AE2232" s="35" t="str">
        <f t="shared" si="36"/>
        <v>EF1 E002 Mat</v>
      </c>
    </row>
    <row r="2233" spans="1:31" ht="30" x14ac:dyDescent="0.25">
      <c r="A2233" s="31" t="s">
        <v>4661</v>
      </c>
      <c r="B2233" s="16" t="s">
        <v>32</v>
      </c>
      <c r="C2233" s="16" t="s">
        <v>33</v>
      </c>
      <c r="D2233" s="33" t="s">
        <v>34</v>
      </c>
      <c r="E2233" s="33">
        <v>253</v>
      </c>
      <c r="F2233" s="33">
        <v>2</v>
      </c>
      <c r="G2233" s="33" t="s">
        <v>4623</v>
      </c>
      <c r="H2233" s="33"/>
      <c r="I2233" s="31" t="s">
        <v>46</v>
      </c>
      <c r="J2233" s="31"/>
      <c r="K2233" s="33"/>
      <c r="L2233" s="33"/>
      <c r="M2233" s="31"/>
      <c r="N2233" s="31"/>
      <c r="O2233" s="16" t="s">
        <v>4662</v>
      </c>
      <c r="P2233" s="16"/>
      <c r="Q2233" s="16"/>
      <c r="R2233" s="33"/>
      <c r="S2233" s="34"/>
      <c r="T2233" s="34"/>
      <c r="U2233" s="34"/>
      <c r="V2233" s="34"/>
      <c r="W2233" s="34"/>
      <c r="X2233" s="33" t="s">
        <v>85</v>
      </c>
      <c r="Y2233" s="35" t="str">
        <f>IF(Tabela2[[#This Row],[SIGLA]]="","",VLOOKUP(Tabela2[[#This Row],[SIGLA]],Tabela1[[#All],[Sigla Arte]:[Crédito]],2,0))</f>
        <v>HELOÍSA PINTARELLI/ARQUIVO DA EDITORA</v>
      </c>
      <c r="Z2233" s="31"/>
      <c r="AA2233" s="31" t="str">
        <f>Tabela2[[#This Row],[ILUSTRADOR CRIAÇÃO]]</f>
        <v>HELOÍSA PINTARELLI/ARQUIVO DA EDITORA</v>
      </c>
      <c r="AB2233" s="33"/>
      <c r="AC2233" s="16"/>
      <c r="AE2233" s="35" t="str">
        <f t="shared" si="36"/>
        <v>EF1 E002 Mat</v>
      </c>
    </row>
    <row r="2234" spans="1:31" ht="30" x14ac:dyDescent="0.25">
      <c r="A2234" s="31" t="s">
        <v>4663</v>
      </c>
      <c r="B2234" s="16" t="s">
        <v>32</v>
      </c>
      <c r="C2234" s="16" t="s">
        <v>33</v>
      </c>
      <c r="D2234" s="33" t="s">
        <v>34</v>
      </c>
      <c r="E2234" s="33">
        <v>253</v>
      </c>
      <c r="F2234" s="33">
        <v>2</v>
      </c>
      <c r="G2234" s="33" t="s">
        <v>4623</v>
      </c>
      <c r="H2234" s="33"/>
      <c r="I2234" s="31" t="s">
        <v>46</v>
      </c>
      <c r="J2234" s="31"/>
      <c r="K2234" s="33"/>
      <c r="L2234" s="33"/>
      <c r="M2234" s="31"/>
      <c r="N2234" s="31"/>
      <c r="O2234" s="16" t="s">
        <v>4664</v>
      </c>
      <c r="P2234" s="16"/>
      <c r="Q2234" s="16"/>
      <c r="R2234" s="33"/>
      <c r="S2234" s="34"/>
      <c r="T2234" s="34"/>
      <c r="U2234" s="34"/>
      <c r="V2234" s="34"/>
      <c r="W2234" s="34"/>
      <c r="X2234" s="33" t="s">
        <v>85</v>
      </c>
      <c r="Y2234" s="35" t="str">
        <f>IF(Tabela2[[#This Row],[SIGLA]]="","",VLOOKUP(Tabela2[[#This Row],[SIGLA]],Tabela1[[#All],[Sigla Arte]:[Crédito]],2,0))</f>
        <v>HELOÍSA PINTARELLI/ARQUIVO DA EDITORA</v>
      </c>
      <c r="Z2234" s="31"/>
      <c r="AA2234" s="31" t="str">
        <f>Tabela2[[#This Row],[ILUSTRADOR CRIAÇÃO]]</f>
        <v>HELOÍSA PINTARELLI/ARQUIVO DA EDITORA</v>
      </c>
      <c r="AB2234" s="33"/>
      <c r="AC2234" s="16"/>
      <c r="AE2234" s="35" t="str">
        <f t="shared" si="36"/>
        <v>EF1 E002 Mat</v>
      </c>
    </row>
    <row r="2235" spans="1:31" ht="30" x14ac:dyDescent="0.25">
      <c r="A2235" s="31" t="s">
        <v>4665</v>
      </c>
      <c r="B2235" s="16" t="s">
        <v>32</v>
      </c>
      <c r="C2235" s="16" t="s">
        <v>33</v>
      </c>
      <c r="D2235" s="33" t="s">
        <v>34</v>
      </c>
      <c r="E2235" s="33">
        <v>253</v>
      </c>
      <c r="F2235" s="33">
        <v>2</v>
      </c>
      <c r="G2235" s="33" t="s">
        <v>4623</v>
      </c>
      <c r="H2235" s="33"/>
      <c r="I2235" s="31" t="s">
        <v>46</v>
      </c>
      <c r="J2235" s="31"/>
      <c r="K2235" s="33"/>
      <c r="L2235" s="33"/>
      <c r="M2235" s="31"/>
      <c r="N2235" s="31"/>
      <c r="O2235" s="16" t="s">
        <v>4666</v>
      </c>
      <c r="P2235" s="16"/>
      <c r="Q2235" s="16"/>
      <c r="R2235" s="33"/>
      <c r="S2235" s="34"/>
      <c r="T2235" s="34"/>
      <c r="U2235" s="34"/>
      <c r="V2235" s="34"/>
      <c r="W2235" s="34"/>
      <c r="X2235" s="33" t="s">
        <v>85</v>
      </c>
      <c r="Y2235" s="35" t="str">
        <f>IF(Tabela2[[#This Row],[SIGLA]]="","",VLOOKUP(Tabela2[[#This Row],[SIGLA]],Tabela1[[#All],[Sigla Arte]:[Crédito]],2,0))</f>
        <v>HELOÍSA PINTARELLI/ARQUIVO DA EDITORA</v>
      </c>
      <c r="Z2235" s="31"/>
      <c r="AA2235" s="31" t="str">
        <f>Tabela2[[#This Row],[ILUSTRADOR CRIAÇÃO]]</f>
        <v>HELOÍSA PINTARELLI/ARQUIVO DA EDITORA</v>
      </c>
      <c r="AB2235" s="33"/>
      <c r="AC2235" s="16"/>
      <c r="AE2235" s="35" t="str">
        <f t="shared" si="36"/>
        <v>EF1 E002 Mat</v>
      </c>
    </row>
    <row r="2236" spans="1:31" ht="45" x14ac:dyDescent="0.25">
      <c r="A2236" s="31" t="s">
        <v>4667</v>
      </c>
      <c r="B2236" s="16" t="s">
        <v>32</v>
      </c>
      <c r="C2236" s="16" t="s">
        <v>33</v>
      </c>
      <c r="D2236" s="33" t="s">
        <v>34</v>
      </c>
      <c r="E2236" s="33">
        <v>152</v>
      </c>
      <c r="F2236" s="33">
        <v>2</v>
      </c>
      <c r="G2236" s="33">
        <v>6</v>
      </c>
      <c r="H2236" s="33"/>
      <c r="I2236" s="31" t="s">
        <v>995</v>
      </c>
      <c r="J2236" s="31"/>
      <c r="K2236" s="33"/>
      <c r="L2236" s="33"/>
      <c r="M2236" s="31"/>
      <c r="N2236" s="31"/>
      <c r="O2236" s="16" t="s">
        <v>4668</v>
      </c>
      <c r="P2236" s="16"/>
      <c r="Q2236" s="16"/>
      <c r="R2236" s="33">
        <v>76</v>
      </c>
      <c r="S2236" s="34">
        <v>45847</v>
      </c>
      <c r="T2236" s="34">
        <v>45847</v>
      </c>
      <c r="U2236" s="34"/>
      <c r="V2236" s="34"/>
      <c r="W2236" s="34">
        <v>45849</v>
      </c>
      <c r="X2236" s="33" t="s">
        <v>48</v>
      </c>
      <c r="Y2236" s="35" t="str">
        <f>IF(Tabela2[[#This Row],[SIGLA]]="","",VLOOKUP(Tabela2[[#This Row],[SIGLA]],Tabela1[[#All],[Sigla Arte]:[Crédito]],2,0))</f>
        <v>SERGIO LIMA/ARQUIVO DA EDITORA</v>
      </c>
      <c r="Z2236" s="31"/>
      <c r="AA2236" s="31" t="str">
        <f>Tabela2[[#This Row],[ILUSTRADOR CRIAÇÃO]]</f>
        <v>SERGIO LIMA/ARQUIVO DA EDITORA</v>
      </c>
      <c r="AB2236" s="33">
        <v>13</v>
      </c>
      <c r="AC2236" s="16" t="s">
        <v>4548</v>
      </c>
      <c r="AD2236" s="16" t="s">
        <v>1093</v>
      </c>
      <c r="AE2236" s="35" t="str">
        <f t="shared" si="36"/>
        <v>EF1 E002 Mat</v>
      </c>
    </row>
    <row r="2237" spans="1:31" ht="30" x14ac:dyDescent="0.25">
      <c r="A2237" s="31" t="s">
        <v>4669</v>
      </c>
      <c r="B2237" s="16" t="s">
        <v>4670</v>
      </c>
      <c r="C2237" s="16" t="s">
        <v>33</v>
      </c>
      <c r="D2237" s="33" t="s">
        <v>34</v>
      </c>
      <c r="E2237" s="33">
        <v>152</v>
      </c>
      <c r="F2237" s="33">
        <v>2</v>
      </c>
      <c r="G2237" s="33">
        <v>6</v>
      </c>
      <c r="H2237" s="33"/>
      <c r="I2237" s="31" t="s">
        <v>995</v>
      </c>
      <c r="J2237" s="31"/>
      <c r="K2237" s="33"/>
      <c r="L2237" s="33"/>
      <c r="M2237" s="31"/>
      <c r="N2237" s="31"/>
      <c r="O2237" s="16" t="s">
        <v>4671</v>
      </c>
      <c r="P2237" s="16"/>
      <c r="Q2237" s="16"/>
      <c r="R2237" s="33">
        <v>76</v>
      </c>
      <c r="S2237" s="34">
        <v>45847</v>
      </c>
      <c r="T2237" s="34">
        <v>45847</v>
      </c>
      <c r="U2237" s="34"/>
      <c r="V2237" s="34"/>
      <c r="W2237" s="34">
        <v>45849</v>
      </c>
      <c r="X2237" s="33" t="s">
        <v>48</v>
      </c>
      <c r="Y2237" s="35" t="str">
        <f>IF(Tabela2[[#This Row],[SIGLA]]="","",VLOOKUP(Tabela2[[#This Row],[SIGLA]],Tabela1[[#All],[Sigla Arte]:[Crédito]],2,0))</f>
        <v>SERGIO LIMA/ARQUIVO DA EDITORA</v>
      </c>
      <c r="Z2237" s="31"/>
      <c r="AA2237" s="31" t="str">
        <f>Tabela2[[#This Row],[ILUSTRADOR CRIAÇÃO]]</f>
        <v>SERGIO LIMA/ARQUIVO DA EDITORA</v>
      </c>
      <c r="AB2237" s="33">
        <v>8</v>
      </c>
      <c r="AC2237" s="16" t="s">
        <v>4548</v>
      </c>
      <c r="AD2237" s="16" t="s">
        <v>1093</v>
      </c>
      <c r="AE2237" s="35" t="str">
        <f t="shared" si="36"/>
        <v>EF1 E002 Mat</v>
      </c>
    </row>
    <row r="2238" spans="1:31" ht="30" x14ac:dyDescent="0.25">
      <c r="A2238" s="31" t="s">
        <v>4672</v>
      </c>
      <c r="B2238" s="16" t="s">
        <v>32</v>
      </c>
      <c r="C2238" s="16" t="s">
        <v>33</v>
      </c>
      <c r="D2238" s="33" t="s">
        <v>34</v>
      </c>
      <c r="E2238" s="33">
        <v>152</v>
      </c>
      <c r="F2238" s="33">
        <v>2</v>
      </c>
      <c r="G2238" s="33">
        <v>6</v>
      </c>
      <c r="H2238" s="33"/>
      <c r="I2238" s="31" t="s">
        <v>995</v>
      </c>
      <c r="J2238" s="31"/>
      <c r="K2238" s="33"/>
      <c r="L2238" s="33"/>
      <c r="M2238" s="31"/>
      <c r="N2238" s="31"/>
      <c r="O2238" s="16" t="s">
        <v>4673</v>
      </c>
      <c r="P2238" s="16"/>
      <c r="Q2238" s="16"/>
      <c r="R2238" s="33">
        <v>76</v>
      </c>
      <c r="S2238" s="34">
        <v>45847</v>
      </c>
      <c r="T2238" s="34">
        <v>45847</v>
      </c>
      <c r="U2238" s="34"/>
      <c r="V2238" s="34"/>
      <c r="W2238" s="34">
        <v>45852</v>
      </c>
      <c r="X2238" s="33" t="s">
        <v>48</v>
      </c>
      <c r="Y2238" s="35" t="str">
        <f>IF(Tabela2[[#This Row],[SIGLA]]="","",VLOOKUP(Tabela2[[#This Row],[SIGLA]],Tabela1[[#All],[Sigla Arte]:[Crédito]],2,0))</f>
        <v>SERGIO LIMA/ARQUIVO DA EDITORA</v>
      </c>
      <c r="Z2238" s="31"/>
      <c r="AA2238" s="31" t="str">
        <f>Tabela2[[#This Row],[ILUSTRADOR CRIAÇÃO]]</f>
        <v>SERGIO LIMA/ARQUIVO DA EDITORA</v>
      </c>
      <c r="AB2238" s="33">
        <v>13</v>
      </c>
      <c r="AC2238" s="16" t="s">
        <v>4548</v>
      </c>
      <c r="AD2238" s="16" t="s">
        <v>1093</v>
      </c>
      <c r="AE2238" s="35" t="str">
        <f t="shared" si="36"/>
        <v>EF1 E002 Mat</v>
      </c>
    </row>
    <row r="2239" spans="1:31" ht="45" x14ac:dyDescent="0.25">
      <c r="A2239" s="31" t="s">
        <v>4674</v>
      </c>
      <c r="B2239" s="16" t="s">
        <v>97</v>
      </c>
      <c r="C2239" s="16" t="s">
        <v>33</v>
      </c>
      <c r="D2239" s="33" t="s">
        <v>34</v>
      </c>
      <c r="E2239" s="33">
        <v>152</v>
      </c>
      <c r="F2239" s="33">
        <v>2</v>
      </c>
      <c r="G2239" s="33">
        <v>6</v>
      </c>
      <c r="H2239" s="33"/>
      <c r="I2239" s="31" t="s">
        <v>995</v>
      </c>
      <c r="J2239" s="31"/>
      <c r="K2239" s="33"/>
      <c r="L2239" s="33"/>
      <c r="M2239" s="31"/>
      <c r="N2239" s="31"/>
      <c r="O2239" s="16" t="s">
        <v>4675</v>
      </c>
      <c r="P2239" s="16"/>
      <c r="Q2239" s="16"/>
      <c r="R2239" s="33">
        <v>76</v>
      </c>
      <c r="S2239" s="34">
        <v>45847</v>
      </c>
      <c r="T2239" s="34">
        <v>45847</v>
      </c>
      <c r="U2239" s="34">
        <v>45853</v>
      </c>
      <c r="V2239" s="34">
        <v>45855</v>
      </c>
      <c r="W2239" s="34">
        <v>45861</v>
      </c>
      <c r="X2239" s="33" t="s">
        <v>4324</v>
      </c>
      <c r="Y2239" s="35" t="str">
        <f>IF(Tabela2[[#This Row],[SIGLA]]="","",VLOOKUP(Tabela2[[#This Row],[SIGLA]],Tabela1[[#All],[Sigla Arte]:[Crédito]],2,0))</f>
        <v>CARLITOS PINHEIRO/ARQUIVO DA EDITORA</v>
      </c>
      <c r="Z2239" s="31"/>
      <c r="AA2239" s="31" t="str">
        <f>Tabela2[[#This Row],[ILUSTRADOR CRIAÇÃO]]</f>
        <v>CARLITOS PINHEIRO/ARQUIVO DA EDITORA</v>
      </c>
      <c r="AB2239" s="33">
        <v>6</v>
      </c>
      <c r="AC2239" s="16" t="s">
        <v>4676</v>
      </c>
      <c r="AD2239" s="16" t="s">
        <v>1093</v>
      </c>
      <c r="AE2239" s="35" t="str">
        <f t="shared" si="36"/>
        <v>EF1 E002 Mat</v>
      </c>
    </row>
    <row r="2240" spans="1:31" ht="105" x14ac:dyDescent="0.25">
      <c r="A2240" s="31" t="s">
        <v>4677</v>
      </c>
      <c r="B2240" s="16" t="s">
        <v>32</v>
      </c>
      <c r="C2240" s="16" t="s">
        <v>33</v>
      </c>
      <c r="D2240" s="33" t="s">
        <v>34</v>
      </c>
      <c r="E2240" s="33">
        <v>153</v>
      </c>
      <c r="F2240" s="33">
        <v>2</v>
      </c>
      <c r="G2240" s="33">
        <v>6</v>
      </c>
      <c r="H2240" s="33"/>
      <c r="I2240" s="31" t="s">
        <v>35</v>
      </c>
      <c r="J2240" s="31"/>
      <c r="K2240" s="33"/>
      <c r="L2240" s="33"/>
      <c r="M2240" s="31"/>
      <c r="N2240" s="31"/>
      <c r="O2240" s="16" t="s">
        <v>4678</v>
      </c>
      <c r="P2240" s="16"/>
      <c r="Q2240" s="16"/>
      <c r="R2240" s="33">
        <v>76</v>
      </c>
      <c r="S2240" s="34">
        <v>45847</v>
      </c>
      <c r="T2240" s="34">
        <v>45847</v>
      </c>
      <c r="U2240" s="34"/>
      <c r="V2240" s="34"/>
      <c r="W2240" s="34">
        <v>45847</v>
      </c>
      <c r="X2240" s="33" t="s">
        <v>1119</v>
      </c>
      <c r="Y2240" s="35" t="str">
        <f>IF(Tabela2[[#This Row],[SIGLA]]="","",VLOOKUP(Tabela2[[#This Row],[SIGLA]],Tabela1[[#All],[Sigla Arte]:[Crédito]],2,0))</f>
        <v>CYNTHIA SEKIGUCHI/ARQUIVO DA EDITORA</v>
      </c>
      <c r="Z2240" s="31" t="s">
        <v>221</v>
      </c>
      <c r="AA2240" s="31" t="str">
        <f>Tabela2[[#This Row],[ILUSTRADOR CRIAÇÃO]]</f>
        <v>CYNTHIA SEKIGUCHI/ARQUIVO DA EDITORA</v>
      </c>
      <c r="AB2240" s="33">
        <v>13</v>
      </c>
      <c r="AC2240" s="16" t="s">
        <v>39</v>
      </c>
      <c r="AD2240" s="16" t="s">
        <v>40</v>
      </c>
      <c r="AE2240" s="35" t="str">
        <f t="shared" si="36"/>
        <v>EF1 E002 Mat</v>
      </c>
    </row>
    <row r="2241" spans="1:31" ht="105" x14ac:dyDescent="0.25">
      <c r="A2241" s="31" t="s">
        <v>4679</v>
      </c>
      <c r="B2241" s="16" t="s">
        <v>32</v>
      </c>
      <c r="C2241" s="16" t="s">
        <v>33</v>
      </c>
      <c r="D2241" s="33" t="s">
        <v>34</v>
      </c>
      <c r="E2241" s="33">
        <v>153</v>
      </c>
      <c r="F2241" s="33">
        <v>2</v>
      </c>
      <c r="G2241" s="33">
        <v>6</v>
      </c>
      <c r="H2241" s="33"/>
      <c r="I2241" s="31" t="s">
        <v>35</v>
      </c>
      <c r="J2241" s="31"/>
      <c r="K2241" s="33"/>
      <c r="L2241" s="33"/>
      <c r="M2241" s="31"/>
      <c r="N2241" s="31"/>
      <c r="O2241" s="16" t="s">
        <v>4680</v>
      </c>
      <c r="P2241" s="16"/>
      <c r="Q2241" s="16"/>
      <c r="R2241" s="33">
        <v>76</v>
      </c>
      <c r="S2241" s="34">
        <v>45847</v>
      </c>
      <c r="T2241" s="34">
        <v>45847</v>
      </c>
      <c r="U2241" s="34"/>
      <c r="V2241" s="34"/>
      <c r="W2241" s="34">
        <v>45847</v>
      </c>
      <c r="X2241" s="33" t="s">
        <v>1119</v>
      </c>
      <c r="Y2241" s="35" t="str">
        <f>IF(Tabela2[[#This Row],[SIGLA]]="","",VLOOKUP(Tabela2[[#This Row],[SIGLA]],Tabela1[[#All],[Sigla Arte]:[Crédito]],2,0))</f>
        <v>CYNTHIA SEKIGUCHI/ARQUIVO DA EDITORA</v>
      </c>
      <c r="Z2241" s="31" t="s">
        <v>221</v>
      </c>
      <c r="AA2241" s="31" t="str">
        <f>Tabela2[[#This Row],[ILUSTRADOR CRIAÇÃO]]</f>
        <v>CYNTHIA SEKIGUCHI/ARQUIVO DA EDITORA</v>
      </c>
      <c r="AB2241" s="33">
        <v>13</v>
      </c>
      <c r="AC2241" s="16" t="s">
        <v>39</v>
      </c>
      <c r="AD2241" s="16" t="s">
        <v>40</v>
      </c>
      <c r="AE2241" s="35" t="str">
        <f t="shared" si="36"/>
        <v>EF1 E002 Mat</v>
      </c>
    </row>
    <row r="2242" spans="1:31" ht="105" x14ac:dyDescent="0.25">
      <c r="A2242" s="31" t="s">
        <v>4681</v>
      </c>
      <c r="B2242" s="16" t="s">
        <v>32</v>
      </c>
      <c r="C2242" s="16" t="s">
        <v>33</v>
      </c>
      <c r="D2242" s="33" t="s">
        <v>34</v>
      </c>
      <c r="E2242" s="33">
        <v>153</v>
      </c>
      <c r="F2242" s="33">
        <v>2</v>
      </c>
      <c r="G2242" s="33">
        <v>6</v>
      </c>
      <c r="H2242" s="33"/>
      <c r="I2242" s="31" t="s">
        <v>35</v>
      </c>
      <c r="J2242" s="31"/>
      <c r="K2242" s="33"/>
      <c r="L2242" s="33"/>
      <c r="M2242" s="31"/>
      <c r="N2242" s="31"/>
      <c r="O2242" s="16" t="s">
        <v>4682</v>
      </c>
      <c r="P2242" s="16"/>
      <c r="Q2242" s="16"/>
      <c r="R2242" s="33">
        <v>76</v>
      </c>
      <c r="S2242" s="34">
        <v>45847</v>
      </c>
      <c r="T2242" s="34">
        <v>45847</v>
      </c>
      <c r="U2242" s="34"/>
      <c r="V2242" s="34"/>
      <c r="W2242" s="34">
        <v>45847</v>
      </c>
      <c r="X2242" s="33" t="s">
        <v>1119</v>
      </c>
      <c r="Y2242" s="35" t="str">
        <f>IF(Tabela2[[#This Row],[SIGLA]]="","",VLOOKUP(Tabela2[[#This Row],[SIGLA]],Tabela1[[#All],[Sigla Arte]:[Crédito]],2,0))</f>
        <v>CYNTHIA SEKIGUCHI/ARQUIVO DA EDITORA</v>
      </c>
      <c r="Z2242" s="31" t="s">
        <v>221</v>
      </c>
      <c r="AA2242" s="31" t="str">
        <f>Tabela2[[#This Row],[ILUSTRADOR CRIAÇÃO]]</f>
        <v>CYNTHIA SEKIGUCHI/ARQUIVO DA EDITORA</v>
      </c>
      <c r="AB2242" s="33">
        <v>13</v>
      </c>
      <c r="AC2242" s="16" t="s">
        <v>39</v>
      </c>
      <c r="AD2242" s="16" t="s">
        <v>40</v>
      </c>
      <c r="AE2242" s="35" t="str">
        <f t="shared" si="36"/>
        <v>EF1 E002 Mat</v>
      </c>
    </row>
    <row r="2243" spans="1:31" ht="105" x14ac:dyDescent="0.25">
      <c r="A2243" s="31" t="s">
        <v>4683</v>
      </c>
      <c r="B2243" s="16" t="s">
        <v>32</v>
      </c>
      <c r="C2243" s="16" t="s">
        <v>33</v>
      </c>
      <c r="D2243" s="33" t="s">
        <v>34</v>
      </c>
      <c r="E2243" s="33">
        <v>153</v>
      </c>
      <c r="F2243" s="33">
        <v>2</v>
      </c>
      <c r="G2243" s="33">
        <v>6</v>
      </c>
      <c r="H2243" s="33"/>
      <c r="I2243" s="31" t="s">
        <v>35</v>
      </c>
      <c r="J2243" s="31"/>
      <c r="K2243" s="33"/>
      <c r="L2243" s="33"/>
      <c r="M2243" s="31"/>
      <c r="N2243" s="31"/>
      <c r="O2243" s="16" t="s">
        <v>4684</v>
      </c>
      <c r="P2243" s="16"/>
      <c r="Q2243" s="16"/>
      <c r="R2243" s="33">
        <v>76</v>
      </c>
      <c r="S2243" s="34">
        <v>45847</v>
      </c>
      <c r="T2243" s="34">
        <v>45847</v>
      </c>
      <c r="U2243" s="34"/>
      <c r="V2243" s="34"/>
      <c r="W2243" s="34">
        <v>45847</v>
      </c>
      <c r="X2243" s="33" t="s">
        <v>1119</v>
      </c>
      <c r="Y2243" s="35" t="str">
        <f>IF(Tabela2[[#This Row],[SIGLA]]="","",VLOOKUP(Tabela2[[#This Row],[SIGLA]],Tabela1[[#All],[Sigla Arte]:[Crédito]],2,0))</f>
        <v>CYNTHIA SEKIGUCHI/ARQUIVO DA EDITORA</v>
      </c>
      <c r="Z2243" s="31" t="s">
        <v>221</v>
      </c>
      <c r="AA2243" s="31" t="str">
        <f>Tabela2[[#This Row],[ILUSTRADOR CRIAÇÃO]]</f>
        <v>CYNTHIA SEKIGUCHI/ARQUIVO DA EDITORA</v>
      </c>
      <c r="AB2243" s="33">
        <v>13</v>
      </c>
      <c r="AC2243" s="16" t="s">
        <v>39</v>
      </c>
      <c r="AD2243" s="16" t="s">
        <v>40</v>
      </c>
      <c r="AE2243" s="35" t="str">
        <f t="shared" si="36"/>
        <v>EF1 E002 Mat</v>
      </c>
    </row>
    <row r="2244" spans="1:31" x14ac:dyDescent="0.25">
      <c r="A2244" s="31" t="s">
        <v>4685</v>
      </c>
      <c r="B2244" s="16" t="s">
        <v>32</v>
      </c>
      <c r="C2244" s="16" t="s">
        <v>33</v>
      </c>
      <c r="D2244" s="33" t="s">
        <v>34</v>
      </c>
      <c r="E2244" s="33">
        <v>154</v>
      </c>
      <c r="F2244" s="33">
        <v>2</v>
      </c>
      <c r="G2244" s="33">
        <v>6</v>
      </c>
      <c r="H2244" s="33"/>
      <c r="I2244" s="31" t="s">
        <v>995</v>
      </c>
      <c r="J2244" s="31"/>
      <c r="K2244" s="33"/>
      <c r="L2244" s="33"/>
      <c r="M2244" s="31"/>
      <c r="N2244" s="31"/>
      <c r="O2244" s="16" t="s">
        <v>4686</v>
      </c>
      <c r="P2244" s="16"/>
      <c r="Q2244" s="16"/>
      <c r="R2244" s="33">
        <v>76</v>
      </c>
      <c r="S2244" s="34">
        <v>45847</v>
      </c>
      <c r="T2244" s="34">
        <v>45847</v>
      </c>
      <c r="U2244" s="34"/>
      <c r="V2244" s="34"/>
      <c r="W2244" s="34">
        <v>45849</v>
      </c>
      <c r="X2244" s="33" t="s">
        <v>48</v>
      </c>
      <c r="Y2244" s="35" t="str">
        <f>IF(Tabela2[[#This Row],[SIGLA]]="","",VLOOKUP(Tabela2[[#This Row],[SIGLA]],Tabela1[[#All],[Sigla Arte]:[Crédito]],2,0))</f>
        <v>SERGIO LIMA/ARQUIVO DA EDITORA</v>
      </c>
      <c r="Z2244" s="31"/>
      <c r="AA2244" s="31" t="str">
        <f>Tabela2[[#This Row],[ILUSTRADOR CRIAÇÃO]]</f>
        <v>SERGIO LIMA/ARQUIVO DA EDITORA</v>
      </c>
      <c r="AB2244" s="33">
        <v>8</v>
      </c>
      <c r="AC2244" s="16" t="s">
        <v>4548</v>
      </c>
      <c r="AD2244" s="16" t="s">
        <v>1093</v>
      </c>
      <c r="AE2244" s="35" t="str">
        <f t="shared" si="36"/>
        <v>EF1 E002 Mat</v>
      </c>
    </row>
    <row r="2245" spans="1:31" x14ac:dyDescent="0.25">
      <c r="A2245" s="31" t="s">
        <v>4687</v>
      </c>
      <c r="B2245" s="16" t="s">
        <v>32</v>
      </c>
      <c r="C2245" s="16" t="s">
        <v>33</v>
      </c>
      <c r="D2245" s="33" t="s">
        <v>34</v>
      </c>
      <c r="E2245" s="33">
        <v>154</v>
      </c>
      <c r="F2245" s="33">
        <v>2</v>
      </c>
      <c r="G2245" s="33">
        <v>6</v>
      </c>
      <c r="H2245" s="33"/>
      <c r="I2245" s="31" t="s">
        <v>995</v>
      </c>
      <c r="J2245" s="31"/>
      <c r="K2245" s="33"/>
      <c r="L2245" s="33"/>
      <c r="M2245" s="31"/>
      <c r="N2245" s="31"/>
      <c r="O2245" s="16" t="s">
        <v>4688</v>
      </c>
      <c r="P2245" s="16"/>
      <c r="Q2245" s="16"/>
      <c r="R2245" s="33">
        <v>76</v>
      </c>
      <c r="S2245" s="34">
        <v>45847</v>
      </c>
      <c r="T2245" s="34">
        <v>45847</v>
      </c>
      <c r="U2245" s="34"/>
      <c r="V2245" s="34"/>
      <c r="W2245" s="34">
        <v>45849</v>
      </c>
      <c r="X2245" s="33" t="s">
        <v>48</v>
      </c>
      <c r="Y2245" s="35" t="str">
        <f>IF(Tabela2[[#This Row],[SIGLA]]="","",VLOOKUP(Tabela2[[#This Row],[SIGLA]],Tabela1[[#All],[Sigla Arte]:[Crédito]],2,0))</f>
        <v>SERGIO LIMA/ARQUIVO DA EDITORA</v>
      </c>
      <c r="Z2245" s="31"/>
      <c r="AA2245" s="31" t="str">
        <f>Tabela2[[#This Row],[ILUSTRADOR CRIAÇÃO]]</f>
        <v>SERGIO LIMA/ARQUIVO DA EDITORA</v>
      </c>
      <c r="AB2245" s="33">
        <v>8</v>
      </c>
      <c r="AC2245" s="16" t="s">
        <v>4548</v>
      </c>
      <c r="AD2245" s="16" t="s">
        <v>1093</v>
      </c>
      <c r="AE2245" s="35" t="str">
        <f t="shared" si="36"/>
        <v>EF1 E002 Mat</v>
      </c>
    </row>
    <row r="2246" spans="1:31" ht="30" x14ac:dyDescent="0.25">
      <c r="A2246" s="31" t="s">
        <v>4689</v>
      </c>
      <c r="B2246" s="16" t="s">
        <v>32</v>
      </c>
      <c r="C2246" s="16" t="s">
        <v>33</v>
      </c>
      <c r="D2246" s="33" t="s">
        <v>34</v>
      </c>
      <c r="E2246" s="33">
        <v>154</v>
      </c>
      <c r="F2246" s="33">
        <v>2</v>
      </c>
      <c r="G2246" s="33">
        <v>6</v>
      </c>
      <c r="H2246" s="33"/>
      <c r="I2246" s="31" t="s">
        <v>995</v>
      </c>
      <c r="J2246" s="31"/>
      <c r="K2246" s="33"/>
      <c r="L2246" s="33"/>
      <c r="M2246" s="31"/>
      <c r="N2246" s="31"/>
      <c r="O2246" s="16" t="s">
        <v>4690</v>
      </c>
      <c r="P2246" s="16"/>
      <c r="Q2246" s="16"/>
      <c r="R2246" s="33">
        <v>76</v>
      </c>
      <c r="S2246" s="34">
        <v>45847</v>
      </c>
      <c r="T2246" s="34">
        <v>45847</v>
      </c>
      <c r="U2246" s="34"/>
      <c r="V2246" s="34"/>
      <c r="W2246" s="34">
        <v>45849</v>
      </c>
      <c r="X2246" s="33" t="s">
        <v>48</v>
      </c>
      <c r="Y2246" s="35" t="str">
        <f>IF(Tabela2[[#This Row],[SIGLA]]="","",VLOOKUP(Tabela2[[#This Row],[SIGLA]],Tabela1[[#All],[Sigla Arte]:[Crédito]],2,0))</f>
        <v>SERGIO LIMA/ARQUIVO DA EDITORA</v>
      </c>
      <c r="Z2246" s="31"/>
      <c r="AA2246" s="31" t="str">
        <f>Tabela2[[#This Row],[ILUSTRADOR CRIAÇÃO]]</f>
        <v>SERGIO LIMA/ARQUIVO DA EDITORA</v>
      </c>
      <c r="AB2246" s="33">
        <v>8</v>
      </c>
      <c r="AC2246" s="16" t="s">
        <v>4548</v>
      </c>
      <c r="AD2246" s="16" t="s">
        <v>1093</v>
      </c>
      <c r="AE2246" s="35" t="str">
        <f t="shared" si="36"/>
        <v>EF1 E002 Mat</v>
      </c>
    </row>
    <row r="2247" spans="1:31" ht="210" x14ac:dyDescent="0.25">
      <c r="A2247" s="31" t="s">
        <v>4691</v>
      </c>
      <c r="B2247" s="16" t="s">
        <v>32</v>
      </c>
      <c r="C2247" s="16" t="s">
        <v>33</v>
      </c>
      <c r="D2247" s="33" t="s">
        <v>34</v>
      </c>
      <c r="E2247" s="33">
        <v>156</v>
      </c>
      <c r="F2247" s="33">
        <v>2</v>
      </c>
      <c r="G2247" s="33">
        <v>6</v>
      </c>
      <c r="H2247" s="33"/>
      <c r="I2247" s="31" t="s">
        <v>995</v>
      </c>
      <c r="J2247" s="31"/>
      <c r="K2247" s="33"/>
      <c r="L2247" s="33"/>
      <c r="M2247" s="31"/>
      <c r="N2247" s="31"/>
      <c r="O2247" s="16" t="s">
        <v>4692</v>
      </c>
      <c r="P2247" s="16"/>
      <c r="Q2247" s="16"/>
      <c r="R2247" s="33">
        <v>76</v>
      </c>
      <c r="S2247" s="34">
        <v>45847</v>
      </c>
      <c r="T2247" s="34">
        <v>45847</v>
      </c>
      <c r="U2247" s="34"/>
      <c r="V2247" s="34"/>
      <c r="W2247" s="34">
        <v>45847</v>
      </c>
      <c r="X2247" s="33" t="s">
        <v>1126</v>
      </c>
      <c r="Y2247" s="35" t="str">
        <f>IF(Tabela2[[#This Row],[SIGLA]]="","",VLOOKUP(Tabela2[[#This Row],[SIGLA]],Tabela1[[#All],[Sigla Arte]:[Crédito]],2,0))</f>
        <v>GUSTAVO CONTI/ARQUIVO DA EDITORA</v>
      </c>
      <c r="Z2247" s="31" t="s">
        <v>221</v>
      </c>
      <c r="AA2247" s="31" t="str">
        <f>Tabela2[[#This Row],[ILUSTRADOR CRIAÇÃO]]</f>
        <v>GUSTAVO CONTI/ARQUIVO DA EDITORA</v>
      </c>
      <c r="AB2247" s="33">
        <v>13</v>
      </c>
      <c r="AC2247" s="16" t="s">
        <v>39</v>
      </c>
      <c r="AD2247" s="16" t="s">
        <v>40</v>
      </c>
      <c r="AE2247" s="35" t="str">
        <f t="shared" si="36"/>
        <v>EF1 E002 Mat</v>
      </c>
    </row>
    <row r="2248" spans="1:31" ht="60" x14ac:dyDescent="0.25">
      <c r="A2248" s="31" t="s">
        <v>4693</v>
      </c>
      <c r="B2248" s="16" t="s">
        <v>32</v>
      </c>
      <c r="C2248" s="16" t="s">
        <v>33</v>
      </c>
      <c r="D2248" s="33" t="s">
        <v>34</v>
      </c>
      <c r="E2248" s="33">
        <v>164</v>
      </c>
      <c r="F2248" s="33">
        <v>2</v>
      </c>
      <c r="G2248" s="33">
        <v>7</v>
      </c>
      <c r="H2248" s="33"/>
      <c r="I2248" s="31" t="s">
        <v>995</v>
      </c>
      <c r="J2248" s="31" t="s">
        <v>995</v>
      </c>
      <c r="K2248" s="31" t="s">
        <v>995</v>
      </c>
      <c r="L2248" s="31" t="s">
        <v>995</v>
      </c>
      <c r="M2248" s="31" t="s">
        <v>995</v>
      </c>
      <c r="N2248" s="31"/>
      <c r="O2248" s="16" t="s">
        <v>4694</v>
      </c>
      <c r="P2248" s="16"/>
      <c r="Q2248" s="16"/>
      <c r="R2248" s="33">
        <v>77</v>
      </c>
      <c r="S2248" s="34">
        <v>45849</v>
      </c>
      <c r="T2248" s="34">
        <v>45849</v>
      </c>
      <c r="U2248" s="34"/>
      <c r="V2248" s="34"/>
      <c r="W2248" s="34">
        <v>45852</v>
      </c>
      <c r="X2248" s="33" t="s">
        <v>85</v>
      </c>
      <c r="Y2248" s="35" t="str">
        <f>IF(Tabela2[[#This Row],[SIGLA]]="","",VLOOKUP(Tabela2[[#This Row],[SIGLA]],Tabela1[[#All],[Sigla Arte]:[Crédito]],2,0))</f>
        <v>HELOÍSA PINTARELLI/ARQUIVO DA EDITORA</v>
      </c>
      <c r="Z2248" s="31"/>
      <c r="AA2248" s="31" t="str">
        <f>Tabela2[[#This Row],[ILUSTRADOR CRIAÇÃO]]</f>
        <v>HELOÍSA PINTARELLI/ARQUIVO DA EDITORA</v>
      </c>
      <c r="AB2248" s="33">
        <v>8</v>
      </c>
      <c r="AC2248" s="16" t="s">
        <v>222</v>
      </c>
      <c r="AD2248" s="16" t="s">
        <v>1093</v>
      </c>
      <c r="AE2248" s="35" t="str">
        <f t="shared" si="36"/>
        <v>EF1 E002 Mat</v>
      </c>
    </row>
    <row r="2249" spans="1:31" ht="45" x14ac:dyDescent="0.25">
      <c r="A2249" s="31" t="s">
        <v>4695</v>
      </c>
      <c r="B2249" s="16" t="s">
        <v>32</v>
      </c>
      <c r="C2249" s="16" t="s">
        <v>33</v>
      </c>
      <c r="D2249" s="33" t="s">
        <v>34</v>
      </c>
      <c r="E2249" s="33">
        <v>164</v>
      </c>
      <c r="F2249" s="33">
        <v>2</v>
      </c>
      <c r="G2249" s="33">
        <v>7</v>
      </c>
      <c r="H2249" s="33"/>
      <c r="I2249" s="31" t="s">
        <v>995</v>
      </c>
      <c r="J2249" s="31"/>
      <c r="K2249" s="33"/>
      <c r="L2249" s="33"/>
      <c r="M2249" s="31"/>
      <c r="N2249" s="31"/>
      <c r="O2249" s="16" t="s">
        <v>4696</v>
      </c>
      <c r="P2249" s="16"/>
      <c r="Q2249" s="16"/>
      <c r="R2249" s="33">
        <v>77</v>
      </c>
      <c r="S2249" s="34">
        <v>45849</v>
      </c>
      <c r="T2249" s="34">
        <v>45849</v>
      </c>
      <c r="U2249" s="34"/>
      <c r="V2249" s="34"/>
      <c r="W2249" s="34">
        <v>45852</v>
      </c>
      <c r="X2249" s="33" t="s">
        <v>85</v>
      </c>
      <c r="Y2249" s="35" t="str">
        <f>IF(Tabela2[[#This Row],[SIGLA]]="","",VLOOKUP(Tabela2[[#This Row],[SIGLA]],Tabela1[[#All],[Sigla Arte]:[Crédito]],2,0))</f>
        <v>HELOÍSA PINTARELLI/ARQUIVO DA EDITORA</v>
      </c>
      <c r="Z2249" s="31"/>
      <c r="AA2249" s="31" t="str">
        <f>Tabela2[[#This Row],[ILUSTRADOR CRIAÇÃO]]</f>
        <v>HELOÍSA PINTARELLI/ARQUIVO DA EDITORA</v>
      </c>
      <c r="AB2249" s="33">
        <v>8</v>
      </c>
      <c r="AC2249" s="16" t="s">
        <v>222</v>
      </c>
      <c r="AD2249" s="16" t="s">
        <v>1093</v>
      </c>
      <c r="AE2249" s="35" t="str">
        <f t="shared" si="36"/>
        <v>EF1 E002 Mat</v>
      </c>
    </row>
    <row r="2250" spans="1:31" ht="105" x14ac:dyDescent="0.25">
      <c r="A2250" s="31" t="s">
        <v>4697</v>
      </c>
      <c r="B2250" s="16" t="s">
        <v>32</v>
      </c>
      <c r="C2250" s="16" t="s">
        <v>33</v>
      </c>
      <c r="D2250" s="33" t="s">
        <v>34</v>
      </c>
      <c r="E2250" s="33">
        <v>168</v>
      </c>
      <c r="F2250" s="33">
        <v>2</v>
      </c>
      <c r="G2250" s="33">
        <v>7</v>
      </c>
      <c r="H2250" s="33"/>
      <c r="I2250" s="31" t="s">
        <v>35</v>
      </c>
      <c r="J2250" s="31"/>
      <c r="K2250" s="33"/>
      <c r="L2250" s="33"/>
      <c r="M2250" s="31"/>
      <c r="N2250" s="31"/>
      <c r="O2250" s="16" t="s">
        <v>4698</v>
      </c>
      <c r="P2250" s="16"/>
      <c r="Q2250" s="16"/>
      <c r="R2250" s="33">
        <v>77</v>
      </c>
      <c r="S2250" s="34">
        <v>45849</v>
      </c>
      <c r="T2250" s="34">
        <v>45849</v>
      </c>
      <c r="U2250" s="34"/>
      <c r="V2250" s="34"/>
      <c r="W2250" s="34">
        <v>45852</v>
      </c>
      <c r="X2250" s="33" t="s">
        <v>351</v>
      </c>
      <c r="Y2250" s="35" t="str">
        <f>IF(Tabela2[[#This Row],[SIGLA]]="","",VLOOKUP(Tabela2[[#This Row],[SIGLA]],Tabela1[[#All],[Sigla Arte]:[Crédito]],2,0))</f>
        <v>RAITAN OHI/ARQUIVO DA EDITORA</v>
      </c>
      <c r="Z2250" s="31"/>
      <c r="AA2250" s="31" t="str">
        <f>Tabela2[[#This Row],[ILUSTRADOR CRIAÇÃO]]</f>
        <v>RAITAN OHI/ARQUIVO DA EDITORA</v>
      </c>
      <c r="AB2250" s="33"/>
      <c r="AC2250" s="16"/>
      <c r="AD2250" s="16" t="s">
        <v>40</v>
      </c>
      <c r="AE2250" s="35" t="str">
        <f t="shared" si="36"/>
        <v>EF1 E002 Mat</v>
      </c>
    </row>
    <row r="2251" spans="1:31" ht="45" x14ac:dyDescent="0.25">
      <c r="A2251" s="31" t="s">
        <v>4699</v>
      </c>
      <c r="B2251" s="16" t="s">
        <v>4700</v>
      </c>
      <c r="C2251" s="16" t="s">
        <v>33</v>
      </c>
      <c r="D2251" s="33" t="s">
        <v>34</v>
      </c>
      <c r="E2251" s="33">
        <v>176</v>
      </c>
      <c r="F2251" s="33">
        <v>2</v>
      </c>
      <c r="G2251" s="33">
        <v>7</v>
      </c>
      <c r="H2251" s="33"/>
      <c r="I2251" s="31" t="s">
        <v>995</v>
      </c>
      <c r="J2251" s="31"/>
      <c r="K2251" s="33"/>
      <c r="L2251" s="33"/>
      <c r="M2251" s="31"/>
      <c r="N2251" s="31"/>
      <c r="O2251" s="16" t="s">
        <v>4701</v>
      </c>
      <c r="P2251" s="16"/>
      <c r="Q2251" s="16"/>
      <c r="R2251" s="33">
        <v>77</v>
      </c>
      <c r="S2251" s="34">
        <v>45849</v>
      </c>
      <c r="T2251" s="34">
        <v>45849</v>
      </c>
      <c r="U2251" s="34"/>
      <c r="V2251" s="34"/>
      <c r="W2251" s="34">
        <v>45852</v>
      </c>
      <c r="X2251" s="33" t="s">
        <v>85</v>
      </c>
      <c r="Y2251" s="35" t="str">
        <f>IF(Tabela2[[#This Row],[SIGLA]]="","",VLOOKUP(Tabela2[[#This Row],[SIGLA]],Tabela1[[#All],[Sigla Arte]:[Crédito]],2,0))</f>
        <v>HELOÍSA PINTARELLI/ARQUIVO DA EDITORA</v>
      </c>
      <c r="Z2251" s="31"/>
      <c r="AA2251" s="31" t="str">
        <f>Tabela2[[#This Row],[ILUSTRADOR CRIAÇÃO]]</f>
        <v>HELOÍSA PINTARELLI/ARQUIVO DA EDITORA</v>
      </c>
      <c r="AB2251" s="33">
        <v>7</v>
      </c>
      <c r="AC2251" s="16" t="s">
        <v>222</v>
      </c>
      <c r="AD2251" s="16" t="s">
        <v>1093</v>
      </c>
      <c r="AE2251" s="35" t="str">
        <f t="shared" si="36"/>
        <v>EF1 E002 Mat</v>
      </c>
    </row>
    <row r="2252" spans="1:31" ht="45" x14ac:dyDescent="0.25">
      <c r="A2252" s="31" t="s">
        <v>4702</v>
      </c>
      <c r="B2252" s="16" t="s">
        <v>4700</v>
      </c>
      <c r="C2252" s="16" t="s">
        <v>33</v>
      </c>
      <c r="D2252" s="33" t="s">
        <v>34</v>
      </c>
      <c r="E2252" s="33">
        <v>176</v>
      </c>
      <c r="F2252" s="33">
        <v>2</v>
      </c>
      <c r="G2252" s="33">
        <v>7</v>
      </c>
      <c r="H2252" s="33"/>
      <c r="I2252" s="31" t="s">
        <v>995</v>
      </c>
      <c r="J2252" s="31"/>
      <c r="K2252" s="33"/>
      <c r="L2252" s="33"/>
      <c r="M2252" s="31"/>
      <c r="N2252" s="31"/>
      <c r="O2252" s="16" t="s">
        <v>4703</v>
      </c>
      <c r="P2252" s="16"/>
      <c r="Q2252" s="16"/>
      <c r="R2252" s="33">
        <v>77</v>
      </c>
      <c r="S2252" s="34">
        <v>45849</v>
      </c>
      <c r="T2252" s="34">
        <v>45849</v>
      </c>
      <c r="U2252" s="34"/>
      <c r="V2252" s="34"/>
      <c r="W2252" s="34">
        <v>45852</v>
      </c>
      <c r="X2252" s="33" t="s">
        <v>85</v>
      </c>
      <c r="Y2252" s="35" t="str">
        <f>IF(Tabela2[[#This Row],[SIGLA]]="","",VLOOKUP(Tabela2[[#This Row],[SIGLA]],Tabela1[[#All],[Sigla Arte]:[Crédito]],2,0))</f>
        <v>HELOÍSA PINTARELLI/ARQUIVO DA EDITORA</v>
      </c>
      <c r="Z2252" s="31"/>
      <c r="AA2252" s="31" t="str">
        <f>Tabela2[[#This Row],[ILUSTRADOR CRIAÇÃO]]</f>
        <v>HELOÍSA PINTARELLI/ARQUIVO DA EDITORA</v>
      </c>
      <c r="AB2252" s="33">
        <v>7</v>
      </c>
      <c r="AC2252" s="16" t="s">
        <v>222</v>
      </c>
      <c r="AD2252" s="16" t="s">
        <v>1093</v>
      </c>
      <c r="AE2252" s="35" t="str">
        <f t="shared" si="36"/>
        <v>EF1 E002 Mat</v>
      </c>
    </row>
    <row r="2253" spans="1:31" ht="30" x14ac:dyDescent="0.25">
      <c r="A2253" s="31" t="s">
        <v>4704</v>
      </c>
      <c r="B2253" s="16" t="s">
        <v>4700</v>
      </c>
      <c r="C2253" s="16" t="s">
        <v>33</v>
      </c>
      <c r="D2253" s="33" t="s">
        <v>34</v>
      </c>
      <c r="E2253" s="33">
        <v>176</v>
      </c>
      <c r="F2253" s="33">
        <v>2</v>
      </c>
      <c r="G2253" s="33">
        <v>7</v>
      </c>
      <c r="H2253" s="33"/>
      <c r="I2253" s="31" t="s">
        <v>995</v>
      </c>
      <c r="J2253" s="31"/>
      <c r="K2253" s="33"/>
      <c r="L2253" s="33"/>
      <c r="M2253" s="31"/>
      <c r="N2253" s="31"/>
      <c r="O2253" s="16" t="s">
        <v>4705</v>
      </c>
      <c r="P2253" s="16"/>
      <c r="Q2253" s="16"/>
      <c r="R2253" s="33">
        <v>77</v>
      </c>
      <c r="S2253" s="34">
        <v>45849</v>
      </c>
      <c r="T2253" s="34">
        <v>45849</v>
      </c>
      <c r="U2253" s="34"/>
      <c r="V2253" s="34"/>
      <c r="W2253" s="34">
        <v>45852</v>
      </c>
      <c r="X2253" s="33" t="s">
        <v>85</v>
      </c>
      <c r="Y2253" s="35" t="str">
        <f>IF(Tabela2[[#This Row],[SIGLA]]="","",VLOOKUP(Tabela2[[#This Row],[SIGLA]],Tabela1[[#All],[Sigla Arte]:[Crédito]],2,0))</f>
        <v>HELOÍSA PINTARELLI/ARQUIVO DA EDITORA</v>
      </c>
      <c r="Z2253" s="31"/>
      <c r="AA2253" s="31" t="str">
        <f>Tabela2[[#This Row],[ILUSTRADOR CRIAÇÃO]]</f>
        <v>HELOÍSA PINTARELLI/ARQUIVO DA EDITORA</v>
      </c>
      <c r="AB2253" s="33">
        <v>7</v>
      </c>
      <c r="AC2253" s="16" t="s">
        <v>222</v>
      </c>
      <c r="AD2253" s="16" t="s">
        <v>1093</v>
      </c>
      <c r="AE2253" s="35" t="str">
        <f t="shared" si="36"/>
        <v>EF1 E002 Mat</v>
      </c>
    </row>
    <row r="2254" spans="1:31" ht="30" x14ac:dyDescent="0.25">
      <c r="A2254" s="31" t="s">
        <v>4706</v>
      </c>
      <c r="B2254" s="16" t="s">
        <v>32</v>
      </c>
      <c r="C2254" s="16" t="s">
        <v>33</v>
      </c>
      <c r="D2254" s="33" t="s">
        <v>34</v>
      </c>
      <c r="E2254" s="33">
        <v>170</v>
      </c>
      <c r="F2254" s="33">
        <v>2</v>
      </c>
      <c r="G2254" s="33">
        <v>7</v>
      </c>
      <c r="H2254" s="33"/>
      <c r="I2254" s="31" t="s">
        <v>995</v>
      </c>
      <c r="J2254" s="31"/>
      <c r="K2254" s="33"/>
      <c r="L2254" s="33"/>
      <c r="M2254" s="31"/>
      <c r="N2254" s="31"/>
      <c r="O2254" s="16" t="s">
        <v>4707</v>
      </c>
      <c r="P2254" s="16"/>
      <c r="Q2254" s="16"/>
      <c r="R2254" s="33">
        <v>77</v>
      </c>
      <c r="S2254" s="34">
        <v>45849</v>
      </c>
      <c r="T2254" s="34">
        <v>45849</v>
      </c>
      <c r="U2254" s="34"/>
      <c r="V2254" s="34"/>
      <c r="W2254" s="34">
        <v>45852</v>
      </c>
      <c r="X2254" s="33" t="s">
        <v>85</v>
      </c>
      <c r="Y2254" s="35" t="str">
        <f>IF(Tabela2[[#This Row],[SIGLA]]="","",VLOOKUP(Tabela2[[#This Row],[SIGLA]],Tabela1[[#All],[Sigla Arte]:[Crédito]],2,0))</f>
        <v>HELOÍSA PINTARELLI/ARQUIVO DA EDITORA</v>
      </c>
      <c r="Z2254" s="31"/>
      <c r="AA2254" s="31" t="str">
        <f>Tabela2[[#This Row],[ILUSTRADOR CRIAÇÃO]]</f>
        <v>HELOÍSA PINTARELLI/ARQUIVO DA EDITORA</v>
      </c>
      <c r="AB2254" s="33">
        <v>7</v>
      </c>
      <c r="AC2254" s="16" t="s">
        <v>222</v>
      </c>
      <c r="AD2254" s="16" t="s">
        <v>1093</v>
      </c>
      <c r="AE2254" s="35" t="str">
        <f t="shared" si="36"/>
        <v>EF1 E002 Mat</v>
      </c>
    </row>
    <row r="2255" spans="1:31" ht="75" x14ac:dyDescent="0.25">
      <c r="A2255" s="31" t="s">
        <v>4708</v>
      </c>
      <c r="B2255" s="16" t="s">
        <v>97</v>
      </c>
      <c r="C2255" s="16" t="s">
        <v>33</v>
      </c>
      <c r="D2255" s="33" t="s">
        <v>34</v>
      </c>
      <c r="E2255" s="33">
        <v>150</v>
      </c>
      <c r="F2255" s="33">
        <v>2</v>
      </c>
      <c r="G2255" s="33">
        <v>6</v>
      </c>
      <c r="H2255" s="33"/>
      <c r="I2255" s="31" t="s">
        <v>995</v>
      </c>
      <c r="J2255" s="31"/>
      <c r="K2255" s="33"/>
      <c r="L2255" s="33"/>
      <c r="M2255" s="31"/>
      <c r="N2255" s="31"/>
      <c r="O2255" s="16" t="s">
        <v>4709</v>
      </c>
      <c r="P2255" s="16"/>
      <c r="Q2255" s="16"/>
      <c r="R2255" s="33">
        <v>78</v>
      </c>
      <c r="S2255" s="34">
        <v>45852</v>
      </c>
      <c r="T2255" s="34">
        <v>45852</v>
      </c>
      <c r="U2255" s="34">
        <v>45859</v>
      </c>
      <c r="V2255" s="34">
        <v>45860</v>
      </c>
      <c r="W2255" s="34">
        <v>45862</v>
      </c>
      <c r="X2255" s="33" t="s">
        <v>4324</v>
      </c>
      <c r="Y2255" s="35" t="str">
        <f>IF(Tabela2[[#This Row],[SIGLA]]="","",VLOOKUP(Tabela2[[#This Row],[SIGLA]],Tabela1[[#All],[Sigla Arte]:[Crédito]],2,0))</f>
        <v>CARLITOS PINHEIRO/ARQUIVO DA EDITORA</v>
      </c>
      <c r="Z2255" s="31"/>
      <c r="AA2255" s="31" t="str">
        <f>Tabela2[[#This Row],[ILUSTRADOR CRIAÇÃO]]</f>
        <v>CARLITOS PINHEIRO/ARQUIVO DA EDITORA</v>
      </c>
      <c r="AB2255" s="33">
        <v>7</v>
      </c>
      <c r="AC2255" s="16" t="s">
        <v>4710</v>
      </c>
      <c r="AD2255" s="16" t="s">
        <v>1093</v>
      </c>
      <c r="AE2255" s="35" t="str">
        <f t="shared" si="36"/>
        <v>EF1 E002 Mat</v>
      </c>
    </row>
    <row r="2256" spans="1:31" ht="30" x14ac:dyDescent="0.25">
      <c r="A2256" s="31" t="s">
        <v>4711</v>
      </c>
      <c r="B2256" s="16" t="s">
        <v>32</v>
      </c>
      <c r="C2256" s="16" t="s">
        <v>164</v>
      </c>
      <c r="D2256" s="33" t="s">
        <v>34</v>
      </c>
      <c r="E2256" s="33">
        <v>72</v>
      </c>
      <c r="F2256" s="33">
        <v>2</v>
      </c>
      <c r="G2256" s="33">
        <v>3</v>
      </c>
      <c r="H2256" s="33"/>
      <c r="I2256" s="31" t="s">
        <v>995</v>
      </c>
      <c r="J2256" s="31"/>
      <c r="K2256" s="33"/>
      <c r="L2256" s="33"/>
      <c r="M2256" s="31"/>
      <c r="N2256" s="31"/>
      <c r="O2256" s="16" t="s">
        <v>4712</v>
      </c>
      <c r="P2256" s="16"/>
      <c r="Q2256" s="16"/>
      <c r="R2256" s="33">
        <v>79</v>
      </c>
      <c r="S2256" s="34">
        <v>45852</v>
      </c>
      <c r="T2256" s="34">
        <v>45853</v>
      </c>
      <c r="U2256" s="34"/>
      <c r="V2256" s="34"/>
      <c r="W2256" s="34">
        <v>45853</v>
      </c>
      <c r="X2256" s="33" t="s">
        <v>4713</v>
      </c>
      <c r="Y2256" s="35" t="str">
        <f>IF(Tabela2[[#This Row],[SIGLA]]="","",VLOOKUP(Tabela2[[#This Row],[SIGLA]],Tabela1[[#All],[Sigla Arte]:[Crédito]],2,0))</f>
        <v>NICOLAS FURTADO/ARQUIVO DA EDITORA</v>
      </c>
      <c r="Z2256" s="31"/>
      <c r="AA2256" s="31" t="str">
        <f>Tabela2[[#This Row],[ILUSTRADOR CRIAÇÃO]]</f>
        <v>NICOLAS FURTADO/ARQUIVO DA EDITORA</v>
      </c>
      <c r="AB2256" s="33">
        <v>8</v>
      </c>
      <c r="AC2256" s="16" t="s">
        <v>924</v>
      </c>
      <c r="AD2256" s="16" t="s">
        <v>40</v>
      </c>
      <c r="AE2256" s="35" t="str">
        <f t="shared" si="36"/>
        <v>EF1 E002 Mat</v>
      </c>
    </row>
    <row r="2257" spans="1:31" ht="30" x14ac:dyDescent="0.25">
      <c r="A2257" s="31" t="s">
        <v>4714</v>
      </c>
      <c r="B2257" s="16" t="s">
        <v>32</v>
      </c>
      <c r="C2257" s="16" t="s">
        <v>164</v>
      </c>
      <c r="D2257" s="33" t="s">
        <v>34</v>
      </c>
      <c r="E2257" s="33">
        <v>82</v>
      </c>
      <c r="F2257" s="33">
        <v>2</v>
      </c>
      <c r="G2257" s="33">
        <v>3</v>
      </c>
      <c r="H2257" s="33"/>
      <c r="I2257" s="31" t="s">
        <v>995</v>
      </c>
      <c r="J2257" s="31"/>
      <c r="K2257" s="33"/>
      <c r="L2257" s="33"/>
      <c r="M2257" s="31"/>
      <c r="N2257" s="31"/>
      <c r="O2257" s="16" t="s">
        <v>4715</v>
      </c>
      <c r="P2257" s="16"/>
      <c r="Q2257" s="16"/>
      <c r="R2257" s="33">
        <v>79</v>
      </c>
      <c r="S2257" s="34">
        <v>45852</v>
      </c>
      <c r="T2257" s="34">
        <v>45853</v>
      </c>
      <c r="U2257" s="34"/>
      <c r="V2257" s="34"/>
      <c r="W2257" s="34">
        <v>45853</v>
      </c>
      <c r="X2257" s="33" t="s">
        <v>4713</v>
      </c>
      <c r="Y2257" s="35" t="str">
        <f>IF(Tabela2[[#This Row],[SIGLA]]="","",VLOOKUP(Tabela2[[#This Row],[SIGLA]],Tabela1[[#All],[Sigla Arte]:[Crédito]],2,0))</f>
        <v>NICOLAS FURTADO/ARQUIVO DA EDITORA</v>
      </c>
      <c r="Z2257" s="31"/>
      <c r="AA2257" s="31" t="str">
        <f>Tabela2[[#This Row],[ILUSTRADOR CRIAÇÃO]]</f>
        <v>NICOLAS FURTADO/ARQUIVO DA EDITORA</v>
      </c>
      <c r="AB2257" s="33">
        <v>8</v>
      </c>
      <c r="AC2257" s="16" t="s">
        <v>924</v>
      </c>
      <c r="AD2257" s="16" t="s">
        <v>40</v>
      </c>
      <c r="AE2257" s="35" t="str">
        <f t="shared" si="36"/>
        <v>EF1 E002 Mat</v>
      </c>
    </row>
    <row r="2258" spans="1:31" ht="90" x14ac:dyDescent="0.25">
      <c r="A2258" s="31" t="s">
        <v>4716</v>
      </c>
      <c r="B2258" s="16" t="s">
        <v>32</v>
      </c>
      <c r="C2258" s="16" t="s">
        <v>164</v>
      </c>
      <c r="D2258" s="33" t="s">
        <v>34</v>
      </c>
      <c r="E2258" s="33">
        <v>187</v>
      </c>
      <c r="F2258" s="33">
        <v>2</v>
      </c>
      <c r="G2258" s="33">
        <v>8</v>
      </c>
      <c r="H2258" s="33"/>
      <c r="I2258" s="31" t="s">
        <v>995</v>
      </c>
      <c r="J2258" s="31"/>
      <c r="K2258" s="33"/>
      <c r="L2258" s="33"/>
      <c r="M2258" s="31"/>
      <c r="N2258" s="31"/>
      <c r="O2258" s="16" t="s">
        <v>4717</v>
      </c>
      <c r="P2258" s="16"/>
      <c r="Q2258" s="16"/>
      <c r="R2258" s="33">
        <v>81</v>
      </c>
      <c r="S2258" s="34">
        <v>45852</v>
      </c>
      <c r="T2258" s="34">
        <v>45853</v>
      </c>
      <c r="U2258" s="34"/>
      <c r="V2258" s="34"/>
      <c r="W2258" s="34">
        <v>45855</v>
      </c>
      <c r="X2258" s="33" t="s">
        <v>4394</v>
      </c>
      <c r="Y2258" s="35" t="str">
        <f>IF(Tabela2[[#This Row],[SIGLA]]="","",VLOOKUP(Tabela2[[#This Row],[SIGLA]],Tabela1[[#All],[Sigla Arte]:[Crédito]],2,0))</f>
        <v>MARYANE VIOTO SILVA/ARQUIVO DA EDITORA</v>
      </c>
      <c r="Z2258" s="31"/>
      <c r="AA2258" s="31" t="str">
        <f>Tabela2[[#This Row],[ILUSTRADOR CRIAÇÃO]]</f>
        <v>MARYANE VIOTO SILVA/ARQUIVO DA EDITORA</v>
      </c>
      <c r="AB2258" s="33">
        <v>8</v>
      </c>
      <c r="AC2258" s="16" t="s">
        <v>924</v>
      </c>
      <c r="AD2258" s="16" t="s">
        <v>40</v>
      </c>
      <c r="AE2258" s="35" t="str">
        <f t="shared" si="36"/>
        <v>EF1 E002 Mat</v>
      </c>
    </row>
    <row r="2259" spans="1:31" ht="30" x14ac:dyDescent="0.25">
      <c r="A2259" s="31" t="s">
        <v>4718</v>
      </c>
      <c r="B2259" s="16" t="s">
        <v>32</v>
      </c>
      <c r="C2259" s="16" t="s">
        <v>164</v>
      </c>
      <c r="D2259" s="33" t="s">
        <v>34</v>
      </c>
      <c r="E2259" s="33">
        <v>188</v>
      </c>
      <c r="F2259" s="33">
        <v>2</v>
      </c>
      <c r="G2259" s="33">
        <v>8</v>
      </c>
      <c r="H2259" s="33"/>
      <c r="I2259" s="31" t="s">
        <v>995</v>
      </c>
      <c r="J2259" s="31"/>
      <c r="K2259" s="33"/>
      <c r="L2259" s="33"/>
      <c r="M2259" s="31"/>
      <c r="N2259" s="31"/>
      <c r="O2259" s="16" t="s">
        <v>4719</v>
      </c>
      <c r="P2259" s="16"/>
      <c r="Q2259" s="16"/>
      <c r="R2259" s="33">
        <v>81</v>
      </c>
      <c r="S2259" s="34">
        <v>45852</v>
      </c>
      <c r="T2259" s="34">
        <v>45853</v>
      </c>
      <c r="U2259" s="34"/>
      <c r="V2259" s="34"/>
      <c r="W2259" s="34">
        <v>45855</v>
      </c>
      <c r="X2259" s="33" t="s">
        <v>4394</v>
      </c>
      <c r="Y2259" s="35" t="str">
        <f>IF(Tabela2[[#This Row],[SIGLA]]="","",VLOOKUP(Tabela2[[#This Row],[SIGLA]],Tabela1[[#All],[Sigla Arte]:[Crédito]],2,0))</f>
        <v>MARYANE VIOTO SILVA/ARQUIVO DA EDITORA</v>
      </c>
      <c r="Z2259" s="31"/>
      <c r="AA2259" s="31" t="str">
        <f>Tabela2[[#This Row],[ILUSTRADOR CRIAÇÃO]]</f>
        <v>MARYANE VIOTO SILVA/ARQUIVO DA EDITORA</v>
      </c>
      <c r="AB2259" s="33">
        <v>8</v>
      </c>
      <c r="AC2259" s="16" t="s">
        <v>924</v>
      </c>
      <c r="AD2259" s="16" t="s">
        <v>40</v>
      </c>
      <c r="AE2259" s="35" t="str">
        <f t="shared" si="36"/>
        <v>EF1 E002 Mat</v>
      </c>
    </row>
    <row r="2260" spans="1:31" ht="135" x14ac:dyDescent="0.25">
      <c r="A2260" s="31" t="s">
        <v>4720</v>
      </c>
      <c r="B2260" s="16" t="s">
        <v>32</v>
      </c>
      <c r="C2260" s="16" t="s">
        <v>33</v>
      </c>
      <c r="D2260" s="33" t="s">
        <v>34</v>
      </c>
      <c r="E2260" s="33">
        <v>198</v>
      </c>
      <c r="F2260" s="33">
        <v>2</v>
      </c>
      <c r="G2260" s="33">
        <v>8</v>
      </c>
      <c r="H2260" s="33"/>
      <c r="I2260" s="31" t="s">
        <v>35</v>
      </c>
      <c r="J2260" s="31"/>
      <c r="K2260" s="33"/>
      <c r="L2260" s="33"/>
      <c r="M2260" s="31"/>
      <c r="N2260" s="31"/>
      <c r="O2260" s="16" t="s">
        <v>4721</v>
      </c>
      <c r="P2260" s="16"/>
      <c r="Q2260" s="16"/>
      <c r="R2260" s="33">
        <v>81</v>
      </c>
      <c r="S2260" s="34">
        <v>45852</v>
      </c>
      <c r="T2260" s="34">
        <v>45853</v>
      </c>
      <c r="U2260" s="34"/>
      <c r="V2260" s="34"/>
      <c r="W2260" s="34">
        <v>45855</v>
      </c>
      <c r="X2260" s="33" t="s">
        <v>85</v>
      </c>
      <c r="Y2260" s="35" t="str">
        <f>IF(Tabela2[[#This Row],[SIGLA]]="","",VLOOKUP(Tabela2[[#This Row],[SIGLA]],Tabela1[[#All],[Sigla Arte]:[Crédito]],2,0))</f>
        <v>HELOÍSA PINTARELLI/ARQUIVO DA EDITORA</v>
      </c>
      <c r="Z2260" s="31"/>
      <c r="AA2260" s="31" t="str">
        <f>Tabela2[[#This Row],[ILUSTRADOR CRIAÇÃO]]</f>
        <v>HELOÍSA PINTARELLI/ARQUIVO DA EDITORA</v>
      </c>
      <c r="AB2260" s="33">
        <v>13</v>
      </c>
      <c r="AC2260" s="16" t="s">
        <v>39</v>
      </c>
      <c r="AD2260" s="16" t="s">
        <v>1093</v>
      </c>
      <c r="AE2260" s="35" t="str">
        <f t="shared" si="36"/>
        <v>EF1 E002 Mat</v>
      </c>
    </row>
    <row r="2261" spans="1:31" ht="135" x14ac:dyDescent="0.25">
      <c r="A2261" s="31" t="s">
        <v>4722</v>
      </c>
      <c r="B2261" s="16" t="s">
        <v>32</v>
      </c>
      <c r="C2261" s="16" t="s">
        <v>33</v>
      </c>
      <c r="D2261" s="33" t="s">
        <v>34</v>
      </c>
      <c r="E2261" s="33">
        <v>198</v>
      </c>
      <c r="F2261" s="33">
        <v>2</v>
      </c>
      <c r="G2261" s="33">
        <v>8</v>
      </c>
      <c r="H2261" s="33"/>
      <c r="I2261" s="31" t="s">
        <v>35</v>
      </c>
      <c r="J2261" s="31"/>
      <c r="K2261" s="33"/>
      <c r="L2261" s="33"/>
      <c r="M2261" s="31"/>
      <c r="N2261" s="31"/>
      <c r="O2261" s="16" t="s">
        <v>4723</v>
      </c>
      <c r="P2261" s="16"/>
      <c r="Q2261" s="16"/>
      <c r="R2261" s="33">
        <v>81</v>
      </c>
      <c r="S2261" s="34">
        <v>45852</v>
      </c>
      <c r="T2261" s="34">
        <v>45853</v>
      </c>
      <c r="U2261" s="34"/>
      <c r="V2261" s="34"/>
      <c r="W2261" s="34">
        <v>45855</v>
      </c>
      <c r="X2261" s="33" t="s">
        <v>48</v>
      </c>
      <c r="Y2261" s="35" t="str">
        <f>IF(Tabela2[[#This Row],[SIGLA]]="","",VLOOKUP(Tabela2[[#This Row],[SIGLA]],Tabela1[[#All],[Sigla Arte]:[Crédito]],2,0))</f>
        <v>SERGIO LIMA/ARQUIVO DA EDITORA</v>
      </c>
      <c r="Z2261" s="31"/>
      <c r="AA2261" s="31" t="str">
        <f>Tabela2[[#This Row],[ILUSTRADOR CRIAÇÃO]]</f>
        <v>SERGIO LIMA/ARQUIVO DA EDITORA</v>
      </c>
      <c r="AB2261" s="33">
        <v>14</v>
      </c>
      <c r="AC2261" s="16" t="s">
        <v>39</v>
      </c>
      <c r="AD2261" s="16" t="s">
        <v>1093</v>
      </c>
      <c r="AE2261" s="35" t="str">
        <f t="shared" si="36"/>
        <v>EF1 E002 Mat</v>
      </c>
    </row>
    <row r="2262" spans="1:31" ht="105" x14ac:dyDescent="0.25">
      <c r="A2262" s="31" t="s">
        <v>4724</v>
      </c>
      <c r="B2262" s="16" t="s">
        <v>32</v>
      </c>
      <c r="C2262" s="16" t="s">
        <v>33</v>
      </c>
      <c r="D2262" s="33" t="s">
        <v>34</v>
      </c>
      <c r="E2262" s="33">
        <v>202</v>
      </c>
      <c r="F2262" s="33">
        <v>2</v>
      </c>
      <c r="G2262" s="33">
        <v>8</v>
      </c>
      <c r="H2262" s="33"/>
      <c r="I2262" s="31" t="s">
        <v>35</v>
      </c>
      <c r="J2262" s="31"/>
      <c r="K2262" s="33"/>
      <c r="L2262" s="33"/>
      <c r="M2262" s="31"/>
      <c r="N2262" s="31"/>
      <c r="O2262" s="16" t="s">
        <v>4725</v>
      </c>
      <c r="P2262" s="16"/>
      <c r="Q2262" s="16"/>
      <c r="R2262" s="33">
        <v>81</v>
      </c>
      <c r="S2262" s="34">
        <v>45852</v>
      </c>
      <c r="T2262" s="34">
        <v>45854</v>
      </c>
      <c r="U2262" s="34"/>
      <c r="V2262" s="34"/>
      <c r="W2262" s="34">
        <v>45857</v>
      </c>
      <c r="X2262" s="33" t="s">
        <v>194</v>
      </c>
      <c r="Y2262" s="35" t="str">
        <f>IF(Tabela2[[#This Row],[SIGLA]]="","",VLOOKUP(Tabela2[[#This Row],[SIGLA]],Tabela1[[#All],[Sigla Arte]:[Crédito]],2,0))</f>
        <v>LEANDRO LASSMAR/ARQUIVO DA EDITORA</v>
      </c>
      <c r="Z2262" s="31" t="s">
        <v>352</v>
      </c>
      <c r="AA2262" s="31" t="str">
        <f>Tabela2[[#This Row],[ILUSTRADOR CRIAÇÃO]]</f>
        <v>LEANDRO LASSMAR/ARQUIVO DA EDITORA</v>
      </c>
      <c r="AB2262" s="33">
        <v>13</v>
      </c>
      <c r="AC2262" s="16" t="s">
        <v>39</v>
      </c>
      <c r="AD2262" s="16" t="s">
        <v>40</v>
      </c>
      <c r="AE2262" s="35" t="str">
        <f t="shared" si="36"/>
        <v>EF1 E002 Mat</v>
      </c>
    </row>
    <row r="2263" spans="1:31" x14ac:dyDescent="0.25">
      <c r="A2263" s="31" t="s">
        <v>4726</v>
      </c>
      <c r="B2263" s="16" t="s">
        <v>3802</v>
      </c>
      <c r="C2263" s="16" t="s">
        <v>33</v>
      </c>
      <c r="D2263" s="33" t="s">
        <v>4727</v>
      </c>
      <c r="E2263" s="33">
        <v>1</v>
      </c>
      <c r="F2263" s="33">
        <v>1</v>
      </c>
      <c r="G2263" s="33">
        <v>1</v>
      </c>
      <c r="H2263" s="33"/>
      <c r="I2263" s="31" t="s">
        <v>995</v>
      </c>
      <c r="J2263" s="31"/>
      <c r="K2263" s="33"/>
      <c r="L2263" s="33"/>
      <c r="M2263" s="31"/>
      <c r="N2263" s="31"/>
      <c r="O2263" s="16" t="s">
        <v>4728</v>
      </c>
      <c r="P2263" s="16"/>
      <c r="Q2263" s="16"/>
      <c r="R2263" s="33"/>
      <c r="S2263" s="34"/>
      <c r="T2263" s="34">
        <v>45856</v>
      </c>
      <c r="U2263" s="34">
        <v>45859</v>
      </c>
      <c r="V2263" s="34">
        <v>45870</v>
      </c>
      <c r="W2263" s="34">
        <v>45875</v>
      </c>
      <c r="X2263" s="33" t="s">
        <v>4729</v>
      </c>
      <c r="Y2263" s="35" t="str">
        <f>IF(Tabela2[[#This Row],[SIGLA]]="","",VLOOKUP(Tabela2[[#This Row],[SIGLA]],Tabela1[[#All],[Sigla Arte]:[Crédito]],2,0))</f>
        <v>RICARDO GUALBERTO/ARQUIVO DA EDITORA</v>
      </c>
      <c r="Z2263" s="31"/>
      <c r="AA2263" s="31" t="str">
        <f>Tabela2[[#This Row],[ILUSTRADOR CRIAÇÃO]]</f>
        <v>RICARDO GUALBERTO/ARQUIVO DA EDITORA</v>
      </c>
      <c r="AB2263" s="33">
        <v>30</v>
      </c>
      <c r="AC2263" s="16" t="s">
        <v>4730</v>
      </c>
      <c r="AD2263" s="16" t="s">
        <v>1093</v>
      </c>
      <c r="AE2263" s="35" t="str">
        <f t="shared" si="36"/>
        <v>EF1 E002 Mat</v>
      </c>
    </row>
    <row r="2264" spans="1:31" ht="60" x14ac:dyDescent="0.25">
      <c r="A2264" s="31" t="s">
        <v>4731</v>
      </c>
      <c r="B2264" s="16" t="s">
        <v>97</v>
      </c>
      <c r="C2264" s="16" t="s">
        <v>164</v>
      </c>
      <c r="D2264" s="33" t="s">
        <v>4732</v>
      </c>
      <c r="E2264" s="33">
        <v>86</v>
      </c>
      <c r="F2264" s="33">
        <v>1</v>
      </c>
      <c r="G2264" s="33">
        <v>3</v>
      </c>
      <c r="H2264" s="33"/>
      <c r="I2264" s="31" t="s">
        <v>46</v>
      </c>
      <c r="J2264" s="31"/>
      <c r="K2264" s="33"/>
      <c r="L2264" s="33"/>
      <c r="M2264" s="31"/>
      <c r="N2264" s="31"/>
      <c r="O2264" s="16" t="s">
        <v>4733</v>
      </c>
      <c r="P2264" s="16"/>
      <c r="Q2264" s="16"/>
      <c r="R2264" s="33"/>
      <c r="S2264" s="34"/>
      <c r="T2264" s="34"/>
      <c r="U2264" s="34"/>
      <c r="V2264" s="34"/>
      <c r="W2264" s="34"/>
      <c r="X2264" s="33" t="s">
        <v>1126</v>
      </c>
      <c r="Y2264" s="35" t="str">
        <f>IF(Tabela2[[#This Row],[SIGLA]]="","",VLOOKUP(Tabela2[[#This Row],[SIGLA]],Tabela1[[#All],[Sigla Arte]:[Crédito]],2,0))</f>
        <v>GUSTAVO CONTI/ARQUIVO DA EDITORA</v>
      </c>
      <c r="Z2264" s="31"/>
      <c r="AA2264" s="31" t="str">
        <f>Tabela2[[#This Row],[ILUSTRADOR CRIAÇÃO]]</f>
        <v>GUSTAVO CONTI/ARQUIVO DA EDITORA</v>
      </c>
      <c r="AB2264" s="33"/>
      <c r="AC2264" s="16"/>
      <c r="AE2264" s="35" t="str">
        <f t="shared" si="36"/>
        <v>EF1 E002 Mat</v>
      </c>
    </row>
    <row r="2265" spans="1:31" ht="90" x14ac:dyDescent="0.25">
      <c r="A2265" s="31" t="s">
        <v>4734</v>
      </c>
      <c r="B2265" s="16" t="s">
        <v>32</v>
      </c>
      <c r="C2265" s="16" t="s">
        <v>164</v>
      </c>
      <c r="D2265" s="33" t="s">
        <v>34</v>
      </c>
      <c r="E2265" s="33">
        <v>209</v>
      </c>
      <c r="F2265" s="33">
        <v>2</v>
      </c>
      <c r="G2265" s="33">
        <v>9</v>
      </c>
      <c r="H2265" s="33"/>
      <c r="I2265" s="31" t="s">
        <v>35</v>
      </c>
      <c r="J2265" s="31"/>
      <c r="K2265" s="33"/>
      <c r="L2265" s="33"/>
      <c r="M2265" s="31"/>
      <c r="N2265" s="31"/>
      <c r="O2265" s="16" t="s">
        <v>4735</v>
      </c>
      <c r="P2265" s="16"/>
      <c r="Q2265" s="16"/>
      <c r="R2265" s="33">
        <v>83</v>
      </c>
      <c r="S2265" s="34">
        <v>45857</v>
      </c>
      <c r="T2265" s="34">
        <v>45859</v>
      </c>
      <c r="U2265" s="34"/>
      <c r="V2265" s="34"/>
      <c r="W2265" s="34">
        <v>45859</v>
      </c>
      <c r="X2265" s="33" t="s">
        <v>48</v>
      </c>
      <c r="Y2265" s="35" t="str">
        <f>IF(Tabela2[[#This Row],[SIGLA]]="","",VLOOKUP(Tabela2[[#This Row],[SIGLA]],Tabela1[[#All],[Sigla Arte]:[Crédito]],2,0))</f>
        <v>SERGIO LIMA/ARQUIVO DA EDITORA</v>
      </c>
      <c r="Z2265" s="31" t="s">
        <v>924</v>
      </c>
      <c r="AA2265" s="31" t="str">
        <f>Tabela2[[#This Row],[ILUSTRADOR CRIAÇÃO]]</f>
        <v>SERGIO LIMA/ARQUIVO DA EDITORA</v>
      </c>
      <c r="AB2265" s="33">
        <v>13</v>
      </c>
      <c r="AC2265" s="16" t="s">
        <v>222</v>
      </c>
      <c r="AD2265" s="16" t="s">
        <v>40</v>
      </c>
      <c r="AE2265" s="35" t="str">
        <f t="shared" si="36"/>
        <v>EF1 E002 Mat</v>
      </c>
    </row>
    <row r="2266" spans="1:31" ht="90" x14ac:dyDescent="0.25">
      <c r="A2266" s="31" t="s">
        <v>4736</v>
      </c>
      <c r="B2266" s="16" t="s">
        <v>32</v>
      </c>
      <c r="C2266" s="16" t="s">
        <v>33</v>
      </c>
      <c r="D2266" s="33" t="s">
        <v>34</v>
      </c>
      <c r="E2266" s="33">
        <v>213</v>
      </c>
      <c r="F2266" s="33">
        <v>2</v>
      </c>
      <c r="G2266" s="33">
        <v>9</v>
      </c>
      <c r="H2266" s="33"/>
      <c r="I2266" s="31" t="s">
        <v>35</v>
      </c>
      <c r="J2266" s="31"/>
      <c r="K2266" s="33"/>
      <c r="L2266" s="33"/>
      <c r="M2266" s="31"/>
      <c r="N2266" s="31"/>
      <c r="O2266" s="16" t="s">
        <v>4737</v>
      </c>
      <c r="P2266" s="16"/>
      <c r="Q2266" s="16"/>
      <c r="R2266" s="33">
        <v>83</v>
      </c>
      <c r="S2266" s="34">
        <v>45857</v>
      </c>
      <c r="T2266" s="34">
        <v>45859</v>
      </c>
      <c r="U2266" s="34"/>
      <c r="V2266" s="34"/>
      <c r="W2266" s="34">
        <v>45859</v>
      </c>
      <c r="X2266" s="33" t="s">
        <v>703</v>
      </c>
      <c r="Y2266" s="35" t="str">
        <f>IF(Tabela2[[#This Row],[SIGLA]]="","",VLOOKUP(Tabela2[[#This Row],[SIGLA]],Tabela1[[#All],[Sigla Arte]:[Crédito]],2,0))</f>
        <v>KLEBER MAURÍCIO COELHO/ARQUIVO DA EDITORA</v>
      </c>
      <c r="Z2266" s="31" t="s">
        <v>924</v>
      </c>
      <c r="AA2266" s="31" t="str">
        <f>Tabela2[[#This Row],[ILUSTRADOR CRIAÇÃO]]</f>
        <v>KLEBER MAURÍCIO COELHO/ARQUIVO DA EDITORA</v>
      </c>
      <c r="AB2266" s="33">
        <v>13</v>
      </c>
      <c r="AC2266" s="16" t="s">
        <v>222</v>
      </c>
      <c r="AD2266" s="16" t="s">
        <v>40</v>
      </c>
      <c r="AE2266" s="35" t="str">
        <f t="shared" si="36"/>
        <v>EF1 E002 Mat</v>
      </c>
    </row>
    <row r="2267" spans="1:31" ht="135" x14ac:dyDescent="0.25">
      <c r="A2267" s="31" t="s">
        <v>4738</v>
      </c>
      <c r="B2267" s="16" t="s">
        <v>32</v>
      </c>
      <c r="C2267" s="16" t="s">
        <v>33</v>
      </c>
      <c r="D2267" s="33" t="s">
        <v>34</v>
      </c>
      <c r="E2267" s="33">
        <v>219</v>
      </c>
      <c r="F2267" s="33">
        <v>2</v>
      </c>
      <c r="G2267" s="33">
        <v>9</v>
      </c>
      <c r="H2267" s="33"/>
      <c r="I2267" s="31" t="s">
        <v>35</v>
      </c>
      <c r="J2267" s="31"/>
      <c r="K2267" s="33"/>
      <c r="L2267" s="33"/>
      <c r="M2267" s="31"/>
      <c r="N2267" s="31"/>
      <c r="O2267" s="16" t="s">
        <v>4739</v>
      </c>
      <c r="P2267" s="16"/>
      <c r="Q2267" s="16"/>
      <c r="R2267" s="33">
        <v>83</v>
      </c>
      <c r="S2267" s="34">
        <v>45857</v>
      </c>
      <c r="T2267" s="34">
        <v>45859</v>
      </c>
      <c r="U2267" s="34"/>
      <c r="V2267" s="34"/>
      <c r="W2267" s="34">
        <v>45859</v>
      </c>
      <c r="X2267" s="33" t="s">
        <v>247</v>
      </c>
      <c r="Y2267" s="35" t="str">
        <f>IF(Tabela2[[#This Row],[SIGLA]]="","",VLOOKUP(Tabela2[[#This Row],[SIGLA]],Tabela1[[#All],[Sigla Arte]:[Crédito]],2,0))</f>
        <v>THAIS CASTRO/ARQUIVO DA EDITORA</v>
      </c>
      <c r="Z2267" s="31"/>
      <c r="AA2267" s="31" t="str">
        <f>Tabela2[[#This Row],[ILUSTRADOR CRIAÇÃO]]</f>
        <v>THAIS CASTRO/ARQUIVO DA EDITORA</v>
      </c>
      <c r="AB2267" s="33">
        <v>13</v>
      </c>
      <c r="AC2267" s="16" t="s">
        <v>222</v>
      </c>
      <c r="AD2267" s="16" t="s">
        <v>40</v>
      </c>
      <c r="AE2267" s="35" t="str">
        <f t="shared" si="36"/>
        <v>EF1 E002 Mat</v>
      </c>
    </row>
    <row r="2268" spans="1:31" ht="45" x14ac:dyDescent="0.25">
      <c r="A2268" s="31" t="s">
        <v>4740</v>
      </c>
      <c r="B2268" s="16" t="s">
        <v>401</v>
      </c>
      <c r="C2268" s="16" t="s">
        <v>33</v>
      </c>
      <c r="D2268" s="33" t="s">
        <v>4732</v>
      </c>
      <c r="E2268" s="33">
        <v>107</v>
      </c>
      <c r="F2268" s="33">
        <v>1</v>
      </c>
      <c r="G2268" s="33">
        <v>4</v>
      </c>
      <c r="H2268" s="33"/>
      <c r="I2268" s="31" t="s">
        <v>46</v>
      </c>
      <c r="J2268" s="31"/>
      <c r="K2268" s="33"/>
      <c r="L2268" s="33"/>
      <c r="M2268" s="31"/>
      <c r="N2268" s="31"/>
      <c r="O2268" s="16" t="s">
        <v>4741</v>
      </c>
      <c r="P2268" s="16"/>
      <c r="Q2268" s="16"/>
      <c r="R2268" s="33"/>
      <c r="S2268" s="34"/>
      <c r="T2268" s="34"/>
      <c r="U2268" s="34"/>
      <c r="V2268" s="34"/>
      <c r="W2268" s="34"/>
      <c r="X2268" s="33" t="s">
        <v>37</v>
      </c>
      <c r="Y2268" s="35" t="str">
        <f>IF(Tabela2[[#This Row],[SIGLA]]="","",VLOOKUP(Tabela2[[#This Row],[SIGLA]],Tabela1[[#All],[Sigla Arte]:[Crédito]],2,0))</f>
        <v>CAIO TANAKA/ARQUIVO DA EDITORA</v>
      </c>
      <c r="Z2268" s="31"/>
      <c r="AA2268" s="31" t="s">
        <v>4742</v>
      </c>
      <c r="AB2268" s="33"/>
      <c r="AC2268" s="16"/>
      <c r="AE2268" s="35" t="str">
        <f t="shared" si="36"/>
        <v>EF1 E002 Mat</v>
      </c>
    </row>
    <row r="2269" spans="1:31" ht="150" x14ac:dyDescent="0.25">
      <c r="A2269" s="31" t="s">
        <v>4743</v>
      </c>
      <c r="B2269" s="16" t="s">
        <v>32</v>
      </c>
      <c r="C2269" s="16" t="s">
        <v>33</v>
      </c>
      <c r="D2269" s="33" t="s">
        <v>4732</v>
      </c>
      <c r="E2269" s="33">
        <v>119</v>
      </c>
      <c r="F2269" s="33">
        <v>1</v>
      </c>
      <c r="G2269" s="33">
        <v>4</v>
      </c>
      <c r="H2269" s="33"/>
      <c r="I2269" s="31" t="s">
        <v>35</v>
      </c>
      <c r="J2269" s="31"/>
      <c r="K2269" s="33"/>
      <c r="L2269" s="33"/>
      <c r="M2269" s="31"/>
      <c r="N2269" s="31"/>
      <c r="O2269" s="16" t="s">
        <v>4744</v>
      </c>
      <c r="P2269" s="16"/>
      <c r="Q2269" s="16"/>
      <c r="R2269" s="33">
        <v>84</v>
      </c>
      <c r="S2269" s="34">
        <v>45860</v>
      </c>
      <c r="T2269" s="34">
        <v>45860</v>
      </c>
      <c r="U2269" s="34"/>
      <c r="V2269" s="34"/>
      <c r="W2269" s="34">
        <v>45860</v>
      </c>
      <c r="X2269" s="33" t="s">
        <v>399</v>
      </c>
      <c r="Y2269" s="35" t="str">
        <f>IF(Tabela2[[#This Row],[SIGLA]]="","",VLOOKUP(Tabela2[[#This Row],[SIGLA]],Tabela1[[#All],[Sigla Arte]:[Crédito]],2,0))</f>
        <v>MÁRCIO GUERRA/ARQUIVO DA EDITORA</v>
      </c>
      <c r="Z2269" s="31" t="s">
        <v>924</v>
      </c>
      <c r="AA2269" s="31" t="str">
        <f>Tabela2[[#This Row],[ILUSTRADOR CRIAÇÃO]]</f>
        <v>MÁRCIO GUERRA/ARQUIVO DA EDITORA</v>
      </c>
      <c r="AB2269" s="33">
        <v>13</v>
      </c>
      <c r="AC2269" s="16" t="s">
        <v>222</v>
      </c>
      <c r="AD2269" s="16" t="s">
        <v>40</v>
      </c>
      <c r="AE2269" s="35" t="str">
        <f t="shared" si="36"/>
        <v>EF1 E002 Mat</v>
      </c>
    </row>
    <row r="2270" spans="1:31" ht="60" x14ac:dyDescent="0.25">
      <c r="A2270" s="31" t="s">
        <v>4745</v>
      </c>
      <c r="B2270" s="16" t="s">
        <v>32</v>
      </c>
      <c r="C2270" s="16" t="s">
        <v>33</v>
      </c>
      <c r="D2270" s="33" t="s">
        <v>34</v>
      </c>
      <c r="E2270" s="33">
        <v>227</v>
      </c>
      <c r="F2270" s="33">
        <v>2</v>
      </c>
      <c r="G2270" s="33">
        <v>10</v>
      </c>
      <c r="H2270" s="33"/>
      <c r="I2270" s="31" t="s">
        <v>995</v>
      </c>
      <c r="J2270" s="31"/>
      <c r="K2270" s="33"/>
      <c r="L2270" s="33"/>
      <c r="M2270" s="31"/>
      <c r="N2270" s="31"/>
      <c r="O2270" s="16" t="s">
        <v>4746</v>
      </c>
      <c r="P2270" s="16"/>
      <c r="Q2270" s="16"/>
      <c r="R2270" s="33">
        <v>85</v>
      </c>
      <c r="S2270" s="34">
        <v>45861</v>
      </c>
      <c r="T2270" s="34">
        <v>45862</v>
      </c>
      <c r="U2270" s="34">
        <v>45866</v>
      </c>
      <c r="V2270" s="34">
        <v>45866</v>
      </c>
      <c r="W2270" s="34">
        <v>45868</v>
      </c>
      <c r="X2270" s="33" t="s">
        <v>4747</v>
      </c>
      <c r="Y2270" s="35" t="str">
        <f>IF(Tabela2[[#This Row],[SIGLA]]="","",VLOOKUP(Tabela2[[#This Row],[SIGLA]],Tabela1[[#All],[Sigla Arte]:[Crédito]],2,0))</f>
        <v>REINALDO ROSA/ARQUIVO DA EDITORA</v>
      </c>
      <c r="Z2270" s="31"/>
      <c r="AA2270" s="31" t="str">
        <f>Tabela2[[#This Row],[ILUSTRADOR CRIAÇÃO]]</f>
        <v>REINALDO ROSA/ARQUIVO DA EDITORA</v>
      </c>
      <c r="AB2270" s="33">
        <v>7</v>
      </c>
      <c r="AC2270" s="16" t="s">
        <v>4748</v>
      </c>
      <c r="AD2270" s="16" t="s">
        <v>1093</v>
      </c>
      <c r="AE2270" s="35" t="str">
        <f t="shared" si="36"/>
        <v>EF1 E002 Mat</v>
      </c>
    </row>
    <row r="2271" spans="1:31" ht="60" x14ac:dyDescent="0.25">
      <c r="A2271" s="31" t="s">
        <v>4749</v>
      </c>
      <c r="B2271" s="16" t="s">
        <v>32</v>
      </c>
      <c r="C2271" s="16" t="s">
        <v>33</v>
      </c>
      <c r="D2271" s="33" t="s">
        <v>34</v>
      </c>
      <c r="E2271" s="33">
        <v>227</v>
      </c>
      <c r="F2271" s="33">
        <v>2</v>
      </c>
      <c r="G2271" s="33">
        <v>10</v>
      </c>
      <c r="H2271" s="33"/>
      <c r="I2271" s="31" t="s">
        <v>995</v>
      </c>
      <c r="J2271" s="31"/>
      <c r="K2271" s="33"/>
      <c r="L2271" s="33"/>
      <c r="M2271" s="31"/>
      <c r="N2271" s="31"/>
      <c r="O2271" s="16" t="s">
        <v>4750</v>
      </c>
      <c r="P2271" s="16"/>
      <c r="Q2271" s="16"/>
      <c r="R2271" s="33">
        <v>85</v>
      </c>
      <c r="S2271" s="34">
        <v>45861</v>
      </c>
      <c r="T2271" s="34">
        <v>45862</v>
      </c>
      <c r="U2271" s="34">
        <v>45866</v>
      </c>
      <c r="V2271" s="34">
        <v>45866</v>
      </c>
      <c r="W2271" s="34">
        <v>45868</v>
      </c>
      <c r="X2271" s="33" t="s">
        <v>4747</v>
      </c>
      <c r="Y2271" s="35" t="str">
        <f>IF(Tabela2[[#This Row],[SIGLA]]="","",VLOOKUP(Tabela2[[#This Row],[SIGLA]],Tabela1[[#All],[Sigla Arte]:[Crédito]],2,0))</f>
        <v>REINALDO ROSA/ARQUIVO DA EDITORA</v>
      </c>
      <c r="Z2271" s="31"/>
      <c r="AA2271" s="31" t="str">
        <f>Tabela2[[#This Row],[ILUSTRADOR CRIAÇÃO]]</f>
        <v>REINALDO ROSA/ARQUIVO DA EDITORA</v>
      </c>
      <c r="AB2271" s="33">
        <v>7</v>
      </c>
      <c r="AC2271" s="16" t="s">
        <v>4748</v>
      </c>
      <c r="AD2271" s="16" t="s">
        <v>1093</v>
      </c>
      <c r="AE2271" s="35" t="str">
        <f t="shared" si="36"/>
        <v>EF1 E002 Mat</v>
      </c>
    </row>
    <row r="2272" spans="1:31" ht="105" x14ac:dyDescent="0.25">
      <c r="A2272" s="31" t="s">
        <v>4751</v>
      </c>
      <c r="B2272" s="16" t="s">
        <v>401</v>
      </c>
      <c r="C2272" s="16" t="s">
        <v>327</v>
      </c>
      <c r="D2272" s="33" t="s">
        <v>34</v>
      </c>
      <c r="E2272" s="33">
        <v>229</v>
      </c>
      <c r="F2272" s="33">
        <v>2</v>
      </c>
      <c r="G2272" s="33">
        <v>10</v>
      </c>
      <c r="H2272" s="33"/>
      <c r="I2272" s="31" t="s">
        <v>35</v>
      </c>
      <c r="J2272" s="31"/>
      <c r="K2272" s="33"/>
      <c r="L2272" s="33"/>
      <c r="M2272" s="31"/>
      <c r="N2272" s="31"/>
      <c r="O2272" s="16" t="s">
        <v>4752</v>
      </c>
      <c r="P2272" s="16"/>
      <c r="Q2272" s="16" t="s">
        <v>4753</v>
      </c>
      <c r="R2272" s="33">
        <v>85</v>
      </c>
      <c r="S2272" s="34">
        <v>45861</v>
      </c>
      <c r="T2272" s="34">
        <v>45861</v>
      </c>
      <c r="U2272" s="34"/>
      <c r="V2272" s="34"/>
      <c r="W2272" s="34">
        <v>45861</v>
      </c>
      <c r="X2272" s="33" t="s">
        <v>85</v>
      </c>
      <c r="Y2272" s="35" t="str">
        <f>IF(Tabela2[[#This Row],[SIGLA]]="","",VLOOKUP(Tabela2[[#This Row],[SIGLA]],Tabela1[[#All],[Sigla Arte]:[Crédito]],2,0))</f>
        <v>HELOÍSA PINTARELLI/ARQUIVO DA EDITORA</v>
      </c>
      <c r="Z2272" s="31" t="s">
        <v>924</v>
      </c>
      <c r="AA2272" s="31" t="str">
        <f>Tabela2[[#This Row],[ILUSTRADOR CRIAÇÃO]]</f>
        <v>HELOÍSA PINTARELLI/ARQUIVO DA EDITORA</v>
      </c>
      <c r="AB2272" s="33">
        <v>13</v>
      </c>
      <c r="AC2272" s="16" t="s">
        <v>222</v>
      </c>
      <c r="AD2272" s="16" t="s">
        <v>40</v>
      </c>
      <c r="AE2272" s="35" t="str">
        <f t="shared" si="36"/>
        <v>EF1 E002 Mat</v>
      </c>
    </row>
    <row r="2273" spans="1:31" ht="60" x14ac:dyDescent="0.25">
      <c r="A2273" s="31" t="s">
        <v>4754</v>
      </c>
      <c r="B2273" s="16" t="s">
        <v>32</v>
      </c>
      <c r="C2273" s="16" t="s">
        <v>164</v>
      </c>
      <c r="D2273" s="33" t="s">
        <v>34</v>
      </c>
      <c r="E2273" s="33">
        <v>230</v>
      </c>
      <c r="F2273" s="33">
        <v>2</v>
      </c>
      <c r="G2273" s="33">
        <v>10</v>
      </c>
      <c r="H2273" s="33"/>
      <c r="I2273" s="31" t="s">
        <v>995</v>
      </c>
      <c r="J2273" s="31"/>
      <c r="K2273" s="33"/>
      <c r="L2273" s="33"/>
      <c r="M2273" s="31"/>
      <c r="N2273" s="31"/>
      <c r="O2273" s="16" t="s">
        <v>4755</v>
      </c>
      <c r="P2273" s="16"/>
      <c r="Q2273" s="16"/>
      <c r="R2273" s="33">
        <v>85</v>
      </c>
      <c r="S2273" s="34">
        <v>45861</v>
      </c>
      <c r="T2273" s="34">
        <v>45861</v>
      </c>
      <c r="U2273" s="34"/>
      <c r="V2273" s="34"/>
      <c r="W2273" s="34">
        <v>45863</v>
      </c>
      <c r="X2273" s="33" t="s">
        <v>48</v>
      </c>
      <c r="Y2273" s="35" t="str">
        <f>IF(Tabela2[[#This Row],[SIGLA]]="","",VLOOKUP(Tabela2[[#This Row],[SIGLA]],Tabela1[[#All],[Sigla Arte]:[Crédito]],2,0))</f>
        <v>SERGIO LIMA/ARQUIVO DA EDITORA</v>
      </c>
      <c r="Z2273" s="31" t="s">
        <v>924</v>
      </c>
      <c r="AA2273" s="31" t="s">
        <v>4756</v>
      </c>
      <c r="AB2273" s="33">
        <v>7</v>
      </c>
      <c r="AC2273" s="16" t="s">
        <v>222</v>
      </c>
      <c r="AD2273" s="16" t="s">
        <v>40</v>
      </c>
      <c r="AE2273" s="35" t="str">
        <f t="shared" si="36"/>
        <v>EF1 E002 Mat</v>
      </c>
    </row>
    <row r="2274" spans="1:31" ht="60" x14ac:dyDescent="0.25">
      <c r="A2274" s="31" t="s">
        <v>4757</v>
      </c>
      <c r="B2274" s="16" t="s">
        <v>32</v>
      </c>
      <c r="C2274" s="16" t="s">
        <v>164</v>
      </c>
      <c r="D2274" s="33" t="s">
        <v>34</v>
      </c>
      <c r="E2274" s="33">
        <v>230</v>
      </c>
      <c r="F2274" s="33">
        <v>2</v>
      </c>
      <c r="G2274" s="33">
        <v>10</v>
      </c>
      <c r="H2274" s="33"/>
      <c r="I2274" s="31" t="s">
        <v>995</v>
      </c>
      <c r="J2274" s="31"/>
      <c r="K2274" s="33"/>
      <c r="L2274" s="33"/>
      <c r="M2274" s="31"/>
      <c r="N2274" s="31"/>
      <c r="O2274" s="16" t="s">
        <v>4758</v>
      </c>
      <c r="P2274" s="16"/>
      <c r="Q2274" s="16"/>
      <c r="R2274" s="33">
        <v>85</v>
      </c>
      <c r="S2274" s="34">
        <v>45861</v>
      </c>
      <c r="T2274" s="34">
        <v>45861</v>
      </c>
      <c r="U2274" s="34"/>
      <c r="V2274" s="34"/>
      <c r="W2274" s="34">
        <v>45863</v>
      </c>
      <c r="X2274" s="33" t="s">
        <v>48</v>
      </c>
      <c r="Y2274" s="35" t="str">
        <f>IF(Tabela2[[#This Row],[SIGLA]]="","",VLOOKUP(Tabela2[[#This Row],[SIGLA]],Tabela1[[#All],[Sigla Arte]:[Crédito]],2,0))</f>
        <v>SERGIO LIMA/ARQUIVO DA EDITORA</v>
      </c>
      <c r="Z2274" s="31" t="s">
        <v>924</v>
      </c>
      <c r="AA2274" s="31" t="s">
        <v>4756</v>
      </c>
      <c r="AB2274" s="33">
        <v>7</v>
      </c>
      <c r="AC2274" s="16" t="s">
        <v>222</v>
      </c>
      <c r="AD2274" s="16" t="s">
        <v>40</v>
      </c>
      <c r="AE2274" s="35" t="str">
        <f t="shared" si="36"/>
        <v>EF1 E002 Mat</v>
      </c>
    </row>
    <row r="2275" spans="1:31" ht="75" x14ac:dyDescent="0.25">
      <c r="A2275" s="31" t="s">
        <v>4759</v>
      </c>
      <c r="B2275" s="16" t="s">
        <v>32</v>
      </c>
      <c r="C2275" s="16" t="s">
        <v>164</v>
      </c>
      <c r="D2275" s="33" t="s">
        <v>34</v>
      </c>
      <c r="E2275" s="33">
        <v>230</v>
      </c>
      <c r="F2275" s="33">
        <v>2</v>
      </c>
      <c r="G2275" s="33">
        <v>10</v>
      </c>
      <c r="H2275" s="33"/>
      <c r="I2275" s="31" t="s">
        <v>995</v>
      </c>
      <c r="J2275" s="31"/>
      <c r="K2275" s="33"/>
      <c r="L2275" s="33"/>
      <c r="M2275" s="31"/>
      <c r="N2275" s="31"/>
      <c r="O2275" s="16" t="s">
        <v>4760</v>
      </c>
      <c r="P2275" s="16"/>
      <c r="Q2275" s="16"/>
      <c r="R2275" s="33">
        <v>85</v>
      </c>
      <c r="S2275" s="34">
        <v>45861</v>
      </c>
      <c r="T2275" s="34">
        <v>45861</v>
      </c>
      <c r="U2275" s="34"/>
      <c r="V2275" s="34"/>
      <c r="W2275" s="34">
        <v>45863</v>
      </c>
      <c r="X2275" s="33" t="s">
        <v>48</v>
      </c>
      <c r="Y2275" s="35" t="str">
        <f>IF(Tabela2[[#This Row],[SIGLA]]="","",VLOOKUP(Tabela2[[#This Row],[SIGLA]],Tabela1[[#All],[Sigla Arte]:[Crédito]],2,0))</f>
        <v>SERGIO LIMA/ARQUIVO DA EDITORA</v>
      </c>
      <c r="Z2275" s="31" t="s">
        <v>924</v>
      </c>
      <c r="AA2275" s="31" t="s">
        <v>4756</v>
      </c>
      <c r="AB2275" s="33">
        <v>7</v>
      </c>
      <c r="AC2275" s="16" t="s">
        <v>222</v>
      </c>
      <c r="AD2275" s="16" t="s">
        <v>40</v>
      </c>
      <c r="AE2275" s="35" t="str">
        <f t="shared" si="36"/>
        <v>EF1 E002 Mat</v>
      </c>
    </row>
    <row r="2276" spans="1:31" ht="60" x14ac:dyDescent="0.25">
      <c r="A2276" s="31" t="s">
        <v>4761</v>
      </c>
      <c r="B2276" s="16" t="s">
        <v>32</v>
      </c>
      <c r="C2276" s="16" t="s">
        <v>327</v>
      </c>
      <c r="D2276" s="33" t="s">
        <v>34</v>
      </c>
      <c r="E2276" s="33">
        <v>244</v>
      </c>
      <c r="F2276" s="33">
        <v>2</v>
      </c>
      <c r="G2276" s="33">
        <v>10</v>
      </c>
      <c r="H2276" s="33"/>
      <c r="I2276" s="31" t="s">
        <v>35</v>
      </c>
      <c r="J2276" s="31"/>
      <c r="K2276" s="33"/>
      <c r="L2276" s="33"/>
      <c r="M2276" s="31"/>
      <c r="N2276" s="31"/>
      <c r="O2276" s="16" t="s">
        <v>4762</v>
      </c>
      <c r="P2276" s="16"/>
      <c r="Q2276" s="16"/>
      <c r="R2276" s="33">
        <v>85</v>
      </c>
      <c r="S2276" s="34">
        <v>45861</v>
      </c>
      <c r="T2276" s="34">
        <v>45861</v>
      </c>
      <c r="U2276" s="34"/>
      <c r="V2276" s="34"/>
      <c r="W2276" s="34">
        <v>45861</v>
      </c>
      <c r="X2276" s="33" t="s">
        <v>1126</v>
      </c>
      <c r="Y2276" s="35" t="str">
        <f>IF(Tabela2[[#This Row],[SIGLA]]="","",VLOOKUP(Tabela2[[#This Row],[SIGLA]],Tabela1[[#All],[Sigla Arte]:[Crédito]],2,0))</f>
        <v>GUSTAVO CONTI/ARQUIVO DA EDITORA</v>
      </c>
      <c r="Z2276" s="31" t="s">
        <v>924</v>
      </c>
      <c r="AA2276" s="31" t="str">
        <f>Tabela2[[#This Row],[ILUSTRADOR CRIAÇÃO]]</f>
        <v>GUSTAVO CONTI/ARQUIVO DA EDITORA</v>
      </c>
      <c r="AB2276" s="33">
        <v>13</v>
      </c>
      <c r="AC2276" s="16" t="s">
        <v>222</v>
      </c>
      <c r="AD2276" s="16" t="s">
        <v>40</v>
      </c>
      <c r="AE2276" s="35" t="str">
        <f t="shared" si="36"/>
        <v>EF1 E002 Mat</v>
      </c>
    </row>
    <row r="2277" spans="1:31" ht="60" x14ac:dyDescent="0.25">
      <c r="A2277" s="31" t="s">
        <v>4763</v>
      </c>
      <c r="B2277" s="16" t="s">
        <v>32</v>
      </c>
      <c r="C2277" s="16" t="s">
        <v>164</v>
      </c>
      <c r="D2277" s="33" t="s">
        <v>34</v>
      </c>
      <c r="E2277" s="33">
        <v>245</v>
      </c>
      <c r="F2277" s="33">
        <v>2</v>
      </c>
      <c r="G2277" s="33">
        <v>10</v>
      </c>
      <c r="H2277" s="33"/>
      <c r="I2277" s="31" t="s">
        <v>35</v>
      </c>
      <c r="J2277" s="31"/>
      <c r="K2277" s="33"/>
      <c r="L2277" s="33"/>
      <c r="M2277" s="31"/>
      <c r="N2277" s="31"/>
      <c r="O2277" s="16" t="s">
        <v>4764</v>
      </c>
      <c r="P2277" s="16"/>
      <c r="Q2277" s="16"/>
      <c r="R2277" s="33">
        <v>85</v>
      </c>
      <c r="S2277" s="34">
        <v>45861</v>
      </c>
      <c r="T2277" s="34">
        <v>45861</v>
      </c>
      <c r="U2277" s="34"/>
      <c r="V2277" s="34"/>
      <c r="W2277" s="34">
        <v>45861</v>
      </c>
      <c r="X2277" s="33" t="s">
        <v>184</v>
      </c>
      <c r="Y2277" s="35" t="str">
        <f>IF(Tabela2[[#This Row],[SIGLA]]="","",VLOOKUP(Tabela2[[#This Row],[SIGLA]],Tabela1[[#All],[Sigla Arte]:[Crédito]],2,0))</f>
        <v>VER DOCUMENTO DE ILS. TÉCNICAS</v>
      </c>
      <c r="Z2277" s="31" t="s">
        <v>924</v>
      </c>
      <c r="AA2277" s="31" t="s">
        <v>921</v>
      </c>
      <c r="AB2277" s="33">
        <v>13</v>
      </c>
      <c r="AC2277" s="16" t="s">
        <v>222</v>
      </c>
      <c r="AD2277" s="16" t="s">
        <v>40</v>
      </c>
      <c r="AE2277" s="35" t="str">
        <f t="shared" si="36"/>
        <v>EF1 E002 Mat</v>
      </c>
    </row>
    <row r="2278" spans="1:31" ht="60" x14ac:dyDescent="0.25">
      <c r="A2278" s="31" t="s">
        <v>4765</v>
      </c>
      <c r="B2278" s="16" t="s">
        <v>32</v>
      </c>
      <c r="C2278" s="16" t="s">
        <v>33</v>
      </c>
      <c r="D2278" s="33" t="s">
        <v>34</v>
      </c>
      <c r="E2278" s="33">
        <v>46</v>
      </c>
      <c r="F2278" s="33">
        <v>3</v>
      </c>
      <c r="G2278" s="33">
        <v>2</v>
      </c>
      <c r="H2278" s="33"/>
      <c r="I2278" s="31" t="s">
        <v>35</v>
      </c>
      <c r="J2278" s="31"/>
      <c r="K2278" s="33"/>
      <c r="L2278" s="33"/>
      <c r="M2278" s="31"/>
      <c r="N2278" s="31"/>
      <c r="O2278" s="16" t="s">
        <v>4766</v>
      </c>
      <c r="P2278" s="16"/>
      <c r="Q2278" s="16"/>
      <c r="R2278" s="33">
        <v>86</v>
      </c>
      <c r="S2278" s="34">
        <v>45862</v>
      </c>
      <c r="T2278" s="34"/>
      <c r="U2278" s="34"/>
      <c r="V2278" s="34"/>
      <c r="W2278" s="34">
        <v>45863</v>
      </c>
      <c r="X2278" s="33" t="s">
        <v>162</v>
      </c>
      <c r="Y2278" s="35" t="str">
        <f>IF(Tabela2[[#This Row],[SIGLA]]="","",VLOOKUP(Tabela2[[#This Row],[SIGLA]],Tabela1[[#All],[Sigla Arte]:[Crédito]],2,0))</f>
        <v>IVY NUNES/ARQUIVO DA EDITORA</v>
      </c>
      <c r="Z2278" s="31" t="s">
        <v>924</v>
      </c>
      <c r="AA2278" s="31" t="str">
        <f>Tabela2[[#This Row],[ILUSTRADOR CRIAÇÃO]]</f>
        <v>IVY NUNES/ARQUIVO DA EDITORA</v>
      </c>
      <c r="AB2278" s="33">
        <v>8</v>
      </c>
      <c r="AC2278" s="16" t="s">
        <v>4767</v>
      </c>
      <c r="AD2278" s="16" t="s">
        <v>40</v>
      </c>
      <c r="AE2278" s="35" t="str">
        <f t="shared" si="36"/>
        <v>EF1 E002 Mat</v>
      </c>
    </row>
    <row r="2279" spans="1:31" ht="60" x14ac:dyDescent="0.25">
      <c r="A2279" s="31" t="s">
        <v>4768</v>
      </c>
      <c r="B2279" s="16" t="s">
        <v>32</v>
      </c>
      <c r="C2279" s="16" t="s">
        <v>164</v>
      </c>
      <c r="D2279" s="33" t="s">
        <v>34</v>
      </c>
      <c r="E2279" s="33">
        <v>50</v>
      </c>
      <c r="F2279" s="33">
        <v>3</v>
      </c>
      <c r="G2279" s="33">
        <v>2</v>
      </c>
      <c r="H2279" s="33"/>
      <c r="I2279" s="31" t="s">
        <v>995</v>
      </c>
      <c r="J2279" s="31"/>
      <c r="K2279" s="33"/>
      <c r="L2279" s="33"/>
      <c r="M2279" s="31"/>
      <c r="N2279" s="31"/>
      <c r="O2279" s="16" t="s">
        <v>4769</v>
      </c>
      <c r="P2279" s="16"/>
      <c r="Q2279" s="16"/>
      <c r="R2279" s="33">
        <v>86</v>
      </c>
      <c r="S2279" s="34">
        <v>45862</v>
      </c>
      <c r="T2279" s="34"/>
      <c r="U2279" s="34"/>
      <c r="V2279" s="34"/>
      <c r="W2279" s="34">
        <v>45863</v>
      </c>
      <c r="X2279" s="33" t="s">
        <v>4713</v>
      </c>
      <c r="Y2279" s="35" t="str">
        <f>IF(Tabela2[[#This Row],[SIGLA]]="","",VLOOKUP(Tabela2[[#This Row],[SIGLA]],Tabela1[[#All],[Sigla Arte]:[Crédito]],2,0))</f>
        <v>NICOLAS FURTADO/ARQUIVO DA EDITORA</v>
      </c>
      <c r="Z2279" s="31" t="s">
        <v>924</v>
      </c>
      <c r="AA2279" s="31" t="str">
        <f>Tabela2[[#This Row],[ILUSTRADOR CRIAÇÃO]]</f>
        <v>NICOLAS FURTADO/ARQUIVO DA EDITORA</v>
      </c>
      <c r="AB2279" s="33">
        <v>8</v>
      </c>
      <c r="AC2279" s="16" t="s">
        <v>4767</v>
      </c>
      <c r="AD2279" s="16" t="s">
        <v>40</v>
      </c>
      <c r="AE2279" s="35" t="str">
        <f t="shared" si="36"/>
        <v>EF1 E002 Mat</v>
      </c>
    </row>
    <row r="2280" spans="1:31" ht="45" x14ac:dyDescent="0.25">
      <c r="A2280" s="31" t="s">
        <v>4770</v>
      </c>
      <c r="B2280" s="16" t="s">
        <v>32</v>
      </c>
      <c r="C2280" s="16" t="s">
        <v>164</v>
      </c>
      <c r="D2280" s="33" t="s">
        <v>34</v>
      </c>
      <c r="E2280" s="33">
        <v>50</v>
      </c>
      <c r="F2280" s="33">
        <v>3</v>
      </c>
      <c r="G2280" s="33">
        <v>2</v>
      </c>
      <c r="H2280" s="33"/>
      <c r="I2280" s="31" t="s">
        <v>995</v>
      </c>
      <c r="J2280" s="31"/>
      <c r="K2280" s="33"/>
      <c r="L2280" s="33"/>
      <c r="M2280" s="31"/>
      <c r="N2280" s="31"/>
      <c r="O2280" s="16" t="s">
        <v>4771</v>
      </c>
      <c r="P2280" s="16"/>
      <c r="Q2280" s="16"/>
      <c r="R2280" s="33">
        <v>86</v>
      </c>
      <c r="S2280" s="34">
        <v>45862</v>
      </c>
      <c r="T2280" s="34"/>
      <c r="U2280" s="34"/>
      <c r="V2280" s="34"/>
      <c r="W2280" s="34">
        <v>45863</v>
      </c>
      <c r="X2280" s="33" t="s">
        <v>4713</v>
      </c>
      <c r="Y2280" s="35" t="str">
        <f>IF(Tabela2[[#This Row],[SIGLA]]="","",VLOOKUP(Tabela2[[#This Row],[SIGLA]],Tabela1[[#All],[Sigla Arte]:[Crédito]],2,0))</f>
        <v>NICOLAS FURTADO/ARQUIVO DA EDITORA</v>
      </c>
      <c r="Z2280" s="31" t="s">
        <v>924</v>
      </c>
      <c r="AA2280" s="31" t="str">
        <f>Tabela2[[#This Row],[ILUSTRADOR CRIAÇÃO]]</f>
        <v>NICOLAS FURTADO/ARQUIVO DA EDITORA</v>
      </c>
      <c r="AB2280" s="33">
        <v>8</v>
      </c>
      <c r="AC2280" s="16" t="s">
        <v>4767</v>
      </c>
      <c r="AD2280" s="16" t="s">
        <v>40</v>
      </c>
      <c r="AE2280" s="35" t="str">
        <f t="shared" si="36"/>
        <v>EF1 E002 Mat</v>
      </c>
    </row>
    <row r="2281" spans="1:31" ht="60" x14ac:dyDescent="0.25">
      <c r="A2281" s="31" t="s">
        <v>4772</v>
      </c>
      <c r="B2281" s="16" t="s">
        <v>32</v>
      </c>
      <c r="C2281" s="16" t="s">
        <v>164</v>
      </c>
      <c r="D2281" s="33" t="s">
        <v>34</v>
      </c>
      <c r="E2281" s="33">
        <v>50</v>
      </c>
      <c r="F2281" s="33">
        <v>3</v>
      </c>
      <c r="G2281" s="33">
        <v>2</v>
      </c>
      <c r="H2281" s="33"/>
      <c r="I2281" s="31" t="s">
        <v>995</v>
      </c>
      <c r="J2281" s="31"/>
      <c r="K2281" s="33"/>
      <c r="L2281" s="33"/>
      <c r="M2281" s="31"/>
      <c r="N2281" s="31"/>
      <c r="O2281" s="16" t="s">
        <v>4773</v>
      </c>
      <c r="P2281" s="16"/>
      <c r="Q2281" s="16"/>
      <c r="R2281" s="33">
        <v>86</v>
      </c>
      <c r="S2281" s="34">
        <v>45862</v>
      </c>
      <c r="T2281" s="34"/>
      <c r="U2281" s="34"/>
      <c r="V2281" s="34"/>
      <c r="W2281" s="34">
        <v>45867</v>
      </c>
      <c r="X2281" s="33" t="s">
        <v>4713</v>
      </c>
      <c r="Y2281" s="35" t="str">
        <f>IF(Tabela2[[#This Row],[SIGLA]]="","",VLOOKUP(Tabela2[[#This Row],[SIGLA]],Tabela1[[#All],[Sigla Arte]:[Crédito]],2,0))</f>
        <v>NICOLAS FURTADO/ARQUIVO DA EDITORA</v>
      </c>
      <c r="Z2281" s="31" t="s">
        <v>924</v>
      </c>
      <c r="AA2281" s="31" t="str">
        <f>Tabela2[[#This Row],[ILUSTRADOR CRIAÇÃO]]</f>
        <v>NICOLAS FURTADO/ARQUIVO DA EDITORA</v>
      </c>
      <c r="AB2281" s="33">
        <v>8</v>
      </c>
      <c r="AC2281" s="16" t="s">
        <v>4767</v>
      </c>
      <c r="AD2281" s="16" t="s">
        <v>40</v>
      </c>
      <c r="AE2281" s="35" t="str">
        <f t="shared" si="36"/>
        <v>EF1 E002 Mat</v>
      </c>
    </row>
    <row r="2282" spans="1:31" ht="60" x14ac:dyDescent="0.25">
      <c r="A2282" s="31" t="s">
        <v>4774</v>
      </c>
      <c r="B2282" s="16" t="s">
        <v>32</v>
      </c>
      <c r="C2282" s="16" t="s">
        <v>164</v>
      </c>
      <c r="D2282" s="33" t="s">
        <v>34</v>
      </c>
      <c r="E2282" s="33">
        <v>50</v>
      </c>
      <c r="F2282" s="33">
        <v>3</v>
      </c>
      <c r="G2282" s="33">
        <v>2</v>
      </c>
      <c r="H2282" s="33"/>
      <c r="I2282" s="31" t="s">
        <v>995</v>
      </c>
      <c r="J2282" s="31"/>
      <c r="K2282" s="33"/>
      <c r="L2282" s="33"/>
      <c r="M2282" s="31"/>
      <c r="N2282" s="31"/>
      <c r="O2282" s="16" t="s">
        <v>4775</v>
      </c>
      <c r="P2282" s="16"/>
      <c r="Q2282" s="16"/>
      <c r="R2282" s="33">
        <v>86</v>
      </c>
      <c r="S2282" s="34">
        <v>45862</v>
      </c>
      <c r="T2282" s="34"/>
      <c r="U2282" s="34"/>
      <c r="V2282" s="34"/>
      <c r="W2282" s="34">
        <v>45867</v>
      </c>
      <c r="X2282" s="33" t="s">
        <v>4713</v>
      </c>
      <c r="Y2282" s="35" t="str">
        <f>IF(Tabela2[[#This Row],[SIGLA]]="","",VLOOKUP(Tabela2[[#This Row],[SIGLA]],Tabela1[[#All],[Sigla Arte]:[Crédito]],2,0))</f>
        <v>NICOLAS FURTADO/ARQUIVO DA EDITORA</v>
      </c>
      <c r="Z2282" s="31" t="s">
        <v>924</v>
      </c>
      <c r="AA2282" s="31" t="str">
        <f>Tabela2[[#This Row],[ILUSTRADOR CRIAÇÃO]]</f>
        <v>NICOLAS FURTADO/ARQUIVO DA EDITORA</v>
      </c>
      <c r="AB2282" s="33">
        <v>8</v>
      </c>
      <c r="AC2282" s="16" t="s">
        <v>4767</v>
      </c>
      <c r="AD2282" s="16" t="s">
        <v>40</v>
      </c>
      <c r="AE2282" s="35" t="str">
        <f t="shared" si="36"/>
        <v>EF1 E002 Mat</v>
      </c>
    </row>
    <row r="2283" spans="1:31" ht="120" x14ac:dyDescent="0.25">
      <c r="A2283" s="31" t="s">
        <v>4776</v>
      </c>
      <c r="B2283" s="16" t="s">
        <v>32</v>
      </c>
      <c r="C2283" s="16" t="s">
        <v>164</v>
      </c>
      <c r="D2283" s="33" t="s">
        <v>34</v>
      </c>
      <c r="E2283" s="33">
        <v>271</v>
      </c>
      <c r="F2283" s="33">
        <v>3</v>
      </c>
      <c r="G2283" s="33" t="s">
        <v>4419</v>
      </c>
      <c r="H2283" s="33"/>
      <c r="I2283" s="31" t="s">
        <v>995</v>
      </c>
      <c r="J2283" s="31"/>
      <c r="K2283" s="33"/>
      <c r="L2283" s="33"/>
      <c r="M2283" s="31"/>
      <c r="N2283" s="31"/>
      <c r="O2283" s="16" t="s">
        <v>4777</v>
      </c>
      <c r="P2283" s="16"/>
      <c r="Q2283" s="16"/>
      <c r="R2283" s="33">
        <v>86</v>
      </c>
      <c r="S2283" s="34">
        <v>45862</v>
      </c>
      <c r="T2283" s="34">
        <v>45863</v>
      </c>
      <c r="U2283" s="34"/>
      <c r="V2283" s="34"/>
      <c r="W2283" s="34">
        <v>45863</v>
      </c>
      <c r="X2283" s="33" t="s">
        <v>4713</v>
      </c>
      <c r="Y2283" s="35" t="str">
        <f>IF(Tabela2[[#This Row],[SIGLA]]="","",VLOOKUP(Tabela2[[#This Row],[SIGLA]],Tabela1[[#All],[Sigla Arte]:[Crédito]],2,0))</f>
        <v>NICOLAS FURTADO/ARQUIVO DA EDITORA</v>
      </c>
      <c r="Z2283" s="31" t="s">
        <v>924</v>
      </c>
      <c r="AA2283" s="31" t="str">
        <f>Tabela2[[#This Row],[ILUSTRADOR CRIAÇÃO]]</f>
        <v>NICOLAS FURTADO/ARQUIVO DA EDITORA</v>
      </c>
      <c r="AB2283" s="33">
        <v>8</v>
      </c>
      <c r="AC2283" s="16" t="s">
        <v>439</v>
      </c>
      <c r="AD2283" s="16" t="s">
        <v>40</v>
      </c>
      <c r="AE2283" s="35" t="str">
        <f t="shared" si="36"/>
        <v>EF1 E002 Mat</v>
      </c>
    </row>
    <row r="2284" spans="1:31" ht="90" x14ac:dyDescent="0.25">
      <c r="A2284" s="31" t="s">
        <v>4778</v>
      </c>
      <c r="B2284" s="16" t="s">
        <v>32</v>
      </c>
      <c r="C2284" s="16" t="s">
        <v>164</v>
      </c>
      <c r="D2284" s="33" t="s">
        <v>34</v>
      </c>
      <c r="E2284" s="33">
        <v>273</v>
      </c>
      <c r="F2284" s="33">
        <v>3</v>
      </c>
      <c r="G2284" s="33" t="s">
        <v>4419</v>
      </c>
      <c r="H2284" s="33"/>
      <c r="I2284" s="31" t="s">
        <v>995</v>
      </c>
      <c r="J2284" s="31"/>
      <c r="K2284" s="33"/>
      <c r="L2284" s="33"/>
      <c r="M2284" s="31"/>
      <c r="N2284" s="31"/>
      <c r="O2284" s="16" t="s">
        <v>4779</v>
      </c>
      <c r="P2284" s="16"/>
      <c r="Q2284" s="16"/>
      <c r="R2284" s="33">
        <v>86</v>
      </c>
      <c r="S2284" s="34">
        <v>45862</v>
      </c>
      <c r="T2284" s="34">
        <v>45863</v>
      </c>
      <c r="U2284" s="34"/>
      <c r="V2284" s="34"/>
      <c r="W2284" s="34">
        <v>45863</v>
      </c>
      <c r="X2284" s="33" t="s">
        <v>4713</v>
      </c>
      <c r="Y2284" s="35" t="str">
        <f>IF(Tabela2[[#This Row],[SIGLA]]="","",VLOOKUP(Tabela2[[#This Row],[SIGLA]],Tabela1[[#All],[Sigla Arte]:[Crédito]],2,0))</f>
        <v>NICOLAS FURTADO/ARQUIVO DA EDITORA</v>
      </c>
      <c r="Z2284" s="31" t="s">
        <v>924</v>
      </c>
      <c r="AA2284" s="31" t="str">
        <f>Tabela2[[#This Row],[ILUSTRADOR CRIAÇÃO]]</f>
        <v>NICOLAS FURTADO/ARQUIVO DA EDITORA</v>
      </c>
      <c r="AB2284" s="33">
        <v>8</v>
      </c>
      <c r="AC2284" s="16" t="s">
        <v>439</v>
      </c>
      <c r="AD2284" s="16" t="s">
        <v>40</v>
      </c>
      <c r="AE2284" s="35" t="str">
        <f t="shared" si="36"/>
        <v>EF1 E002 Mat</v>
      </c>
    </row>
    <row r="2285" spans="1:31" ht="120" x14ac:dyDescent="0.25">
      <c r="A2285" s="31" t="s">
        <v>4780</v>
      </c>
      <c r="B2285" s="16" t="s">
        <v>32</v>
      </c>
      <c r="C2285" s="16" t="s">
        <v>164</v>
      </c>
      <c r="D2285" s="33" t="s">
        <v>34</v>
      </c>
      <c r="E2285" s="33">
        <v>269</v>
      </c>
      <c r="F2285" s="33">
        <v>3</v>
      </c>
      <c r="G2285" s="33" t="s">
        <v>4419</v>
      </c>
      <c r="H2285" s="33"/>
      <c r="I2285" s="31" t="s">
        <v>35</v>
      </c>
      <c r="J2285" s="31"/>
      <c r="K2285" s="33"/>
      <c r="L2285" s="33"/>
      <c r="M2285" s="31"/>
      <c r="N2285" s="31"/>
      <c r="O2285" s="16" t="s">
        <v>4781</v>
      </c>
      <c r="P2285" s="16"/>
      <c r="Q2285" s="16"/>
      <c r="R2285" s="33">
        <v>86</v>
      </c>
      <c r="S2285" s="34">
        <v>45862</v>
      </c>
      <c r="T2285" s="34">
        <v>45863</v>
      </c>
      <c r="U2285" s="34"/>
      <c r="V2285" s="34"/>
      <c r="W2285" s="34">
        <v>45863</v>
      </c>
      <c r="X2285" s="33" t="s">
        <v>48</v>
      </c>
      <c r="Y2285" s="35" t="str">
        <f>IF(Tabela2[[#This Row],[SIGLA]]="","",VLOOKUP(Tabela2[[#This Row],[SIGLA]],Tabela1[[#All],[Sigla Arte]:[Crédito]],2,0))</f>
        <v>SERGIO LIMA/ARQUIVO DA EDITORA</v>
      </c>
      <c r="Z2285" s="31" t="s">
        <v>924</v>
      </c>
      <c r="AA2285" s="31" t="str">
        <f>Tabela2[[#This Row],[ILUSTRADOR CRIAÇÃO]]</f>
        <v>SERGIO LIMA/ARQUIVO DA EDITORA</v>
      </c>
      <c r="AB2285" s="33">
        <v>13</v>
      </c>
      <c r="AC2285" s="16" t="s">
        <v>222</v>
      </c>
      <c r="AD2285" s="16" t="s">
        <v>40</v>
      </c>
      <c r="AE2285" s="35" t="str">
        <f t="shared" si="36"/>
        <v>EF1 E002 Mat</v>
      </c>
    </row>
    <row r="2286" spans="1:31" ht="45" x14ac:dyDescent="0.25">
      <c r="A2286" s="31" t="s">
        <v>4782</v>
      </c>
      <c r="B2286" s="16" t="s">
        <v>401</v>
      </c>
      <c r="C2286" s="16" t="s">
        <v>164</v>
      </c>
      <c r="D2286" s="33" t="s">
        <v>34</v>
      </c>
      <c r="E2286" s="33">
        <v>277</v>
      </c>
      <c r="F2286" s="33">
        <v>3</v>
      </c>
      <c r="G2286" s="33" t="s">
        <v>4419</v>
      </c>
      <c r="H2286" s="33"/>
      <c r="I2286" s="31" t="s">
        <v>995</v>
      </c>
      <c r="J2286" s="31"/>
      <c r="K2286" s="33"/>
      <c r="L2286" s="33"/>
      <c r="M2286" s="31"/>
      <c r="N2286" s="31"/>
      <c r="O2286" s="16" t="s">
        <v>4783</v>
      </c>
      <c r="P2286" s="16" t="s">
        <v>514</v>
      </c>
      <c r="Q2286" s="16"/>
      <c r="R2286" s="33">
        <v>87</v>
      </c>
      <c r="S2286" s="34">
        <v>45863</v>
      </c>
      <c r="T2286" s="34">
        <v>45864</v>
      </c>
      <c r="U2286" s="34"/>
      <c r="V2286" s="34"/>
      <c r="W2286" s="34">
        <v>45864</v>
      </c>
      <c r="X2286" s="33" t="s">
        <v>184</v>
      </c>
      <c r="Y2286" s="35" t="str">
        <f>IF(Tabela2[[#This Row],[SIGLA]]="","",VLOOKUP(Tabela2[[#This Row],[SIGLA]],Tabela1[[#All],[Sigla Arte]:[Crédito]],2,0))</f>
        <v>VER DOCUMENTO DE ILS. TÉCNICAS</v>
      </c>
      <c r="Z2286" s="31" t="s">
        <v>924</v>
      </c>
      <c r="AA2286" s="31" t="s">
        <v>191</v>
      </c>
      <c r="AB2286" s="33">
        <v>8</v>
      </c>
      <c r="AC2286" s="16" t="s">
        <v>439</v>
      </c>
      <c r="AD2286" s="16" t="s">
        <v>40</v>
      </c>
      <c r="AE2286" s="35" t="str">
        <f t="shared" si="36"/>
        <v>EF1 E002 Mat</v>
      </c>
    </row>
    <row r="2287" spans="1:31" ht="45" x14ac:dyDescent="0.25">
      <c r="A2287" s="31" t="s">
        <v>4784</v>
      </c>
      <c r="B2287" s="16" t="s">
        <v>401</v>
      </c>
      <c r="C2287" s="16" t="s">
        <v>164</v>
      </c>
      <c r="D2287" s="33" t="s">
        <v>34</v>
      </c>
      <c r="E2287" s="33">
        <v>279</v>
      </c>
      <c r="F2287" s="33">
        <v>3</v>
      </c>
      <c r="G2287" s="33" t="s">
        <v>4785</v>
      </c>
      <c r="H2287" s="33"/>
      <c r="I2287" s="31" t="s">
        <v>995</v>
      </c>
      <c r="J2287" s="31"/>
      <c r="K2287" s="33"/>
      <c r="L2287" s="33"/>
      <c r="M2287" s="31"/>
      <c r="N2287" s="31"/>
      <c r="O2287" s="16" t="s">
        <v>4786</v>
      </c>
      <c r="P2287" s="16" t="s">
        <v>514</v>
      </c>
      <c r="Q2287" s="16"/>
      <c r="R2287" s="33">
        <v>87</v>
      </c>
      <c r="S2287" s="34">
        <v>45863</v>
      </c>
      <c r="T2287" s="34">
        <v>45864</v>
      </c>
      <c r="U2287" s="34"/>
      <c r="V2287" s="34"/>
      <c r="W2287" s="34">
        <v>45864</v>
      </c>
      <c r="X2287" s="33" t="s">
        <v>184</v>
      </c>
      <c r="Y2287" s="35" t="str">
        <f>IF(Tabela2[[#This Row],[SIGLA]]="","",VLOOKUP(Tabela2[[#This Row],[SIGLA]],Tabela1[[#All],[Sigla Arte]:[Crédito]],2,0))</f>
        <v>VER DOCUMENTO DE ILS. TÉCNICAS</v>
      </c>
      <c r="Z2287" s="31" t="s">
        <v>924</v>
      </c>
      <c r="AA2287" s="31" t="s">
        <v>191</v>
      </c>
      <c r="AB2287" s="33">
        <v>8</v>
      </c>
      <c r="AC2287" s="16" t="s">
        <v>439</v>
      </c>
      <c r="AD2287" s="16" t="s">
        <v>40</v>
      </c>
      <c r="AE2287" s="35" t="str">
        <f t="shared" si="36"/>
        <v>EF1 E002 Mat</v>
      </c>
    </row>
    <row r="2288" spans="1:31" ht="120" x14ac:dyDescent="0.25">
      <c r="A2288" s="31" t="s">
        <v>4787</v>
      </c>
      <c r="B2288" s="16" t="s">
        <v>32</v>
      </c>
      <c r="C2288" s="16" t="s">
        <v>164</v>
      </c>
      <c r="D2288" s="33" t="s">
        <v>4732</v>
      </c>
      <c r="E2288" s="33">
        <v>155</v>
      </c>
      <c r="F2288" s="33">
        <v>1</v>
      </c>
      <c r="G2288" s="33" t="s">
        <v>4528</v>
      </c>
      <c r="H2288" s="33"/>
      <c r="I2288" s="31" t="s">
        <v>35</v>
      </c>
      <c r="J2288" s="31"/>
      <c r="K2288" s="33"/>
      <c r="L2288" s="33"/>
      <c r="M2288" s="31"/>
      <c r="N2288" s="31"/>
      <c r="O2288" s="16" t="s">
        <v>4788</v>
      </c>
      <c r="P2288" s="16"/>
      <c r="Q2288" s="16"/>
      <c r="R2288" s="33">
        <v>88</v>
      </c>
      <c r="S2288" s="34">
        <v>45867</v>
      </c>
      <c r="T2288" s="34">
        <v>45867</v>
      </c>
      <c r="U2288" s="34"/>
      <c r="V2288" s="34"/>
      <c r="W2288" s="34">
        <v>45867</v>
      </c>
      <c r="X2288" s="33" t="s">
        <v>162</v>
      </c>
      <c r="Y2288" s="35" t="str">
        <f>IF(Tabela2[[#This Row],[SIGLA]]="","",VLOOKUP(Tabela2[[#This Row],[SIGLA]],Tabela1[[#All],[Sigla Arte]:[Crédito]],2,0))</f>
        <v>IVY NUNES/ARQUIVO DA EDITORA</v>
      </c>
      <c r="Z2288" s="31" t="s">
        <v>924</v>
      </c>
      <c r="AA2288" s="31" t="str">
        <f>Tabela2[[#This Row],[ILUSTRADOR CRIAÇÃO]]</f>
        <v>IVY NUNES/ARQUIVO DA EDITORA</v>
      </c>
      <c r="AB2288" s="33">
        <v>13</v>
      </c>
      <c r="AC2288" s="16" t="s">
        <v>4789</v>
      </c>
      <c r="AD2288" s="16" t="s">
        <v>40</v>
      </c>
      <c r="AE2288" s="35" t="str">
        <f t="shared" si="36"/>
        <v>EF1 E002 Mat</v>
      </c>
    </row>
    <row r="2289" spans="1:31" ht="45" x14ac:dyDescent="0.25">
      <c r="A2289" s="31" t="s">
        <v>4790</v>
      </c>
      <c r="B2289" s="16" t="s">
        <v>32</v>
      </c>
      <c r="C2289" s="16" t="s">
        <v>164</v>
      </c>
      <c r="D2289" s="33" t="s">
        <v>4732</v>
      </c>
      <c r="E2289" s="33">
        <v>194</v>
      </c>
      <c r="F2289" s="33">
        <v>1</v>
      </c>
      <c r="G2289" s="33">
        <v>8</v>
      </c>
      <c r="H2289" s="33"/>
      <c r="I2289" s="31" t="s">
        <v>46</v>
      </c>
      <c r="J2289" s="31"/>
      <c r="K2289" s="33"/>
      <c r="L2289" s="33"/>
      <c r="M2289" s="31"/>
      <c r="N2289" s="31"/>
      <c r="O2289" s="16" t="s">
        <v>4791</v>
      </c>
      <c r="P2289" s="16"/>
      <c r="Q2289" s="16"/>
      <c r="R2289" s="33"/>
      <c r="S2289" s="34"/>
      <c r="T2289" s="34"/>
      <c r="U2289" s="34"/>
      <c r="V2289" s="34"/>
      <c r="W2289" s="34"/>
      <c r="X2289" s="33" t="s">
        <v>48</v>
      </c>
      <c r="Y2289" s="35" t="str">
        <f>IF(Tabela2[[#This Row],[SIGLA]]="","",VLOOKUP(Tabela2[[#This Row],[SIGLA]],Tabela1[[#All],[Sigla Arte]:[Crédito]],2,0))</f>
        <v>SERGIO LIMA/ARQUIVO DA EDITORA</v>
      </c>
      <c r="Z2289" s="31"/>
      <c r="AA2289" s="31" t="str">
        <f>Tabela2[[#This Row],[ILUSTRADOR CRIAÇÃO]]</f>
        <v>SERGIO LIMA/ARQUIVO DA EDITORA</v>
      </c>
      <c r="AB2289" s="33"/>
      <c r="AC2289" s="16"/>
      <c r="AE2289" s="35" t="str">
        <f t="shared" si="36"/>
        <v>EF1 E002 Mat</v>
      </c>
    </row>
    <row r="2290" spans="1:31" ht="60" x14ac:dyDescent="0.25">
      <c r="A2290" s="31" t="s">
        <v>4792</v>
      </c>
      <c r="B2290" s="16" t="s">
        <v>32</v>
      </c>
      <c r="C2290" s="16" t="s">
        <v>164</v>
      </c>
      <c r="D2290" s="33" t="s">
        <v>4732</v>
      </c>
      <c r="E2290" s="33">
        <v>194</v>
      </c>
      <c r="F2290" s="33">
        <v>1</v>
      </c>
      <c r="G2290" s="33">
        <v>8</v>
      </c>
      <c r="H2290" s="33"/>
      <c r="I2290" s="31" t="s">
        <v>35</v>
      </c>
      <c r="J2290" s="31"/>
      <c r="K2290" s="33"/>
      <c r="L2290" s="33"/>
      <c r="M2290" s="31"/>
      <c r="N2290" s="31"/>
      <c r="O2290" s="16" t="s">
        <v>4793</v>
      </c>
      <c r="P2290" s="16"/>
      <c r="Q2290" s="16"/>
      <c r="R2290" s="33">
        <v>88</v>
      </c>
      <c r="S2290" s="34">
        <v>45867</v>
      </c>
      <c r="T2290" s="34">
        <v>45867</v>
      </c>
      <c r="U2290" s="34"/>
      <c r="V2290" s="34"/>
      <c r="W2290" s="34">
        <v>45867</v>
      </c>
      <c r="X2290" s="33" t="s">
        <v>85</v>
      </c>
      <c r="Y2290" s="35" t="str">
        <f>IF(Tabela2[[#This Row],[SIGLA]]="","",VLOOKUP(Tabela2[[#This Row],[SIGLA]],Tabela1[[#All],[Sigla Arte]:[Crédito]],2,0))</f>
        <v>HELOÍSA PINTARELLI/ARQUIVO DA EDITORA</v>
      </c>
      <c r="Z2290" s="31" t="s">
        <v>924</v>
      </c>
      <c r="AA2290" s="31" t="str">
        <f>Tabela2[[#This Row],[ILUSTRADOR CRIAÇÃO]]</f>
        <v>HELOÍSA PINTARELLI/ARQUIVO DA EDITORA</v>
      </c>
      <c r="AB2290" s="33">
        <v>13</v>
      </c>
      <c r="AC2290" s="16" t="s">
        <v>4789</v>
      </c>
      <c r="AD2290" s="16" t="s">
        <v>40</v>
      </c>
      <c r="AE2290" s="35" t="str">
        <f t="shared" ref="AE2290:AE2353" si="37">"EF1 E002 Mat"</f>
        <v>EF1 E002 Mat</v>
      </c>
    </row>
    <row r="2291" spans="1:31" ht="45" x14ac:dyDescent="0.25">
      <c r="A2291" s="31" t="s">
        <v>4794</v>
      </c>
      <c r="B2291" s="16" t="s">
        <v>32</v>
      </c>
      <c r="C2291" s="16" t="s">
        <v>164</v>
      </c>
      <c r="D2291" s="33" t="s">
        <v>4732</v>
      </c>
      <c r="E2291" s="33">
        <v>194</v>
      </c>
      <c r="F2291" s="33">
        <v>1</v>
      </c>
      <c r="G2291" s="33">
        <v>8</v>
      </c>
      <c r="H2291" s="33"/>
      <c r="I2291" s="31" t="s">
        <v>46</v>
      </c>
      <c r="J2291" s="31"/>
      <c r="K2291" s="33"/>
      <c r="L2291" s="33"/>
      <c r="M2291" s="31"/>
      <c r="N2291" s="31"/>
      <c r="O2291" s="16" t="s">
        <v>4795</v>
      </c>
      <c r="P2291" s="16"/>
      <c r="Q2291" s="16"/>
      <c r="R2291" s="33"/>
      <c r="S2291" s="34"/>
      <c r="T2291" s="34"/>
      <c r="U2291" s="34"/>
      <c r="V2291" s="34"/>
      <c r="W2291" s="34"/>
      <c r="X2291" s="33" t="s">
        <v>48</v>
      </c>
      <c r="Y2291" s="35" t="str">
        <f>IF(Tabela2[[#This Row],[SIGLA]]="","",VLOOKUP(Tabela2[[#This Row],[SIGLA]],Tabela1[[#All],[Sigla Arte]:[Crédito]],2,0))</f>
        <v>SERGIO LIMA/ARQUIVO DA EDITORA</v>
      </c>
      <c r="Z2291" s="31"/>
      <c r="AA2291" s="31" t="str">
        <f>Tabela2[[#This Row],[ILUSTRADOR CRIAÇÃO]]</f>
        <v>SERGIO LIMA/ARQUIVO DA EDITORA</v>
      </c>
      <c r="AB2291" s="33"/>
      <c r="AC2291" s="16"/>
      <c r="AE2291" s="35" t="str">
        <f t="shared" si="37"/>
        <v>EF1 E002 Mat</v>
      </c>
    </row>
    <row r="2292" spans="1:31" ht="45" x14ac:dyDescent="0.25">
      <c r="A2292" s="31" t="s">
        <v>4796</v>
      </c>
      <c r="B2292" s="16" t="s">
        <v>32</v>
      </c>
      <c r="C2292" s="16" t="s">
        <v>164</v>
      </c>
      <c r="D2292" s="33" t="s">
        <v>4732</v>
      </c>
      <c r="E2292" s="33">
        <v>195</v>
      </c>
      <c r="F2292" s="33">
        <v>1</v>
      </c>
      <c r="G2292" s="33">
        <v>8</v>
      </c>
      <c r="H2292" s="33"/>
      <c r="I2292" s="31" t="s">
        <v>46</v>
      </c>
      <c r="J2292" s="31"/>
      <c r="K2292" s="33"/>
      <c r="L2292" s="33"/>
      <c r="M2292" s="31"/>
      <c r="N2292" s="31"/>
      <c r="O2292" s="16" t="s">
        <v>4797</v>
      </c>
      <c r="P2292" s="16"/>
      <c r="Q2292" s="16"/>
      <c r="R2292" s="33"/>
      <c r="S2292" s="34"/>
      <c r="T2292" s="34"/>
      <c r="U2292" s="34"/>
      <c r="V2292" s="34"/>
      <c r="W2292" s="34"/>
      <c r="X2292" s="33" t="s">
        <v>48</v>
      </c>
      <c r="Y2292" s="35" t="str">
        <f>IF(Tabela2[[#This Row],[SIGLA]]="","",VLOOKUP(Tabela2[[#This Row],[SIGLA]],Tabela1[[#All],[Sigla Arte]:[Crédito]],2,0))</f>
        <v>SERGIO LIMA/ARQUIVO DA EDITORA</v>
      </c>
      <c r="Z2292" s="31"/>
      <c r="AA2292" s="31" t="str">
        <f>Tabela2[[#This Row],[ILUSTRADOR CRIAÇÃO]]</f>
        <v>SERGIO LIMA/ARQUIVO DA EDITORA</v>
      </c>
      <c r="AB2292" s="33"/>
      <c r="AC2292" s="16"/>
      <c r="AE2292" s="35" t="str">
        <f t="shared" si="37"/>
        <v>EF1 E002 Mat</v>
      </c>
    </row>
    <row r="2293" spans="1:31" ht="45" x14ac:dyDescent="0.25">
      <c r="A2293" s="31" t="s">
        <v>4798</v>
      </c>
      <c r="B2293" s="16" t="s">
        <v>32</v>
      </c>
      <c r="C2293" s="16" t="s">
        <v>164</v>
      </c>
      <c r="D2293" s="33" t="s">
        <v>34</v>
      </c>
      <c r="E2293" s="33">
        <v>86</v>
      </c>
      <c r="F2293" s="33">
        <v>3</v>
      </c>
      <c r="G2293" s="33">
        <v>4</v>
      </c>
      <c r="H2293" s="33"/>
      <c r="I2293" s="31" t="s">
        <v>995</v>
      </c>
      <c r="J2293" s="31"/>
      <c r="K2293" s="33"/>
      <c r="L2293" s="33"/>
      <c r="M2293" s="31"/>
      <c r="N2293" s="31"/>
      <c r="O2293" s="16" t="s">
        <v>4799</v>
      </c>
      <c r="P2293" s="16"/>
      <c r="Q2293" s="16"/>
      <c r="R2293" s="33">
        <v>89</v>
      </c>
      <c r="S2293" s="34">
        <v>45867</v>
      </c>
      <c r="T2293" s="34">
        <v>45868</v>
      </c>
      <c r="U2293" s="34"/>
      <c r="V2293" s="34"/>
      <c r="W2293" s="34">
        <v>45868</v>
      </c>
      <c r="X2293" s="33" t="s">
        <v>184</v>
      </c>
      <c r="Y2293" s="35" t="str">
        <f>IF(Tabela2[[#This Row],[SIGLA]]="","",VLOOKUP(Tabela2[[#This Row],[SIGLA]],Tabela1[[#All],[Sigla Arte]:[Crédito]],2,0))</f>
        <v>VER DOCUMENTO DE ILS. TÉCNICAS</v>
      </c>
      <c r="Z2293" s="31" t="s">
        <v>924</v>
      </c>
      <c r="AA2293" s="31" t="s">
        <v>935</v>
      </c>
      <c r="AB2293" s="33">
        <v>13</v>
      </c>
      <c r="AC2293" s="16" t="s">
        <v>4767</v>
      </c>
      <c r="AD2293" s="16" t="s">
        <v>40</v>
      </c>
      <c r="AE2293" s="35" t="str">
        <f t="shared" si="37"/>
        <v>EF1 E002 Mat</v>
      </c>
    </row>
    <row r="2294" spans="1:31" ht="165" x14ac:dyDescent="0.25">
      <c r="A2294" s="31" t="s">
        <v>4800</v>
      </c>
      <c r="B2294" s="16" t="s">
        <v>32</v>
      </c>
      <c r="C2294" s="16" t="s">
        <v>164</v>
      </c>
      <c r="D2294" s="33" t="s">
        <v>34</v>
      </c>
      <c r="E2294" s="33">
        <v>86</v>
      </c>
      <c r="F2294" s="33">
        <v>3</v>
      </c>
      <c r="G2294" s="33">
        <v>4</v>
      </c>
      <c r="H2294" s="33"/>
      <c r="I2294" s="31" t="s">
        <v>995</v>
      </c>
      <c r="J2294" s="31"/>
      <c r="K2294" s="33"/>
      <c r="L2294" s="33"/>
      <c r="M2294" s="31"/>
      <c r="N2294" s="31"/>
      <c r="O2294" s="16" t="s">
        <v>4801</v>
      </c>
      <c r="P2294" s="16"/>
      <c r="Q2294" s="16"/>
      <c r="R2294" s="33">
        <v>89</v>
      </c>
      <c r="S2294" s="34">
        <v>45867</v>
      </c>
      <c r="T2294" s="34">
        <v>45868</v>
      </c>
      <c r="U2294" s="34"/>
      <c r="V2294" s="34"/>
      <c r="W2294" s="34">
        <v>45868</v>
      </c>
      <c r="X2294" s="33" t="s">
        <v>162</v>
      </c>
      <c r="Y2294" s="35" t="str">
        <f>IF(Tabela2[[#This Row],[SIGLA]]="","",VLOOKUP(Tabela2[[#This Row],[SIGLA]],Tabela1[[#All],[Sigla Arte]:[Crédito]],2,0))</f>
        <v>IVY NUNES/ARQUIVO DA EDITORA</v>
      </c>
      <c r="Z2294" s="31" t="s">
        <v>924</v>
      </c>
      <c r="AA2294" s="31" t="str">
        <f>Tabela2[[#This Row],[ILUSTRADOR CRIAÇÃO]]</f>
        <v>IVY NUNES/ARQUIVO DA EDITORA</v>
      </c>
      <c r="AB2294" s="33">
        <v>13</v>
      </c>
      <c r="AC2294" s="16" t="s">
        <v>222</v>
      </c>
      <c r="AD2294" s="16" t="s">
        <v>40</v>
      </c>
      <c r="AE2294" s="35" t="str">
        <f t="shared" si="37"/>
        <v>EF1 E002 Mat</v>
      </c>
    </row>
    <row r="2295" spans="1:31" ht="105" x14ac:dyDescent="0.25">
      <c r="A2295" s="31" t="s">
        <v>4802</v>
      </c>
      <c r="B2295" s="16" t="s">
        <v>32</v>
      </c>
      <c r="C2295" s="16" t="s">
        <v>33</v>
      </c>
      <c r="D2295" s="33" t="s">
        <v>34</v>
      </c>
      <c r="E2295" s="33">
        <v>87</v>
      </c>
      <c r="F2295" s="33">
        <v>3</v>
      </c>
      <c r="G2295" s="33">
        <v>4</v>
      </c>
      <c r="H2295" s="33"/>
      <c r="I2295" s="31" t="s">
        <v>35</v>
      </c>
      <c r="J2295" s="31"/>
      <c r="K2295" s="33"/>
      <c r="L2295" s="33"/>
      <c r="M2295" s="31"/>
      <c r="N2295" s="31"/>
      <c r="O2295" s="16" t="s">
        <v>4803</v>
      </c>
      <c r="P2295" s="16"/>
      <c r="Q2295" s="16"/>
      <c r="R2295" s="33">
        <v>89</v>
      </c>
      <c r="S2295" s="34">
        <v>45867</v>
      </c>
      <c r="T2295" s="34">
        <v>45868</v>
      </c>
      <c r="U2295" s="34"/>
      <c r="V2295" s="34"/>
      <c r="W2295" s="34">
        <v>45868</v>
      </c>
      <c r="X2295" s="33" t="s">
        <v>162</v>
      </c>
      <c r="Y2295" s="35" t="str">
        <f>IF(Tabela2[[#This Row],[SIGLA]]="","",VLOOKUP(Tabela2[[#This Row],[SIGLA]],Tabela1[[#All],[Sigla Arte]:[Crédito]],2,0))</f>
        <v>IVY NUNES/ARQUIVO DA EDITORA</v>
      </c>
      <c r="Z2295" s="31" t="s">
        <v>924</v>
      </c>
      <c r="AA2295" s="31" t="str">
        <f>Tabela2[[#This Row],[ILUSTRADOR CRIAÇÃO]]</f>
        <v>IVY NUNES/ARQUIVO DA EDITORA</v>
      </c>
      <c r="AB2295" s="33">
        <v>13</v>
      </c>
      <c r="AC2295" s="16" t="s">
        <v>222</v>
      </c>
      <c r="AD2295" s="16" t="s">
        <v>40</v>
      </c>
      <c r="AE2295" s="35" t="str">
        <f t="shared" si="37"/>
        <v>EF1 E002 Mat</v>
      </c>
    </row>
    <row r="2296" spans="1:31" ht="180" x14ac:dyDescent="0.25">
      <c r="A2296" s="31" t="s">
        <v>4804</v>
      </c>
      <c r="B2296" s="16" t="s">
        <v>32</v>
      </c>
      <c r="C2296" s="16" t="s">
        <v>33</v>
      </c>
      <c r="D2296" s="33" t="s">
        <v>34</v>
      </c>
      <c r="E2296" s="33">
        <v>111</v>
      </c>
      <c r="F2296" s="33">
        <v>3</v>
      </c>
      <c r="G2296" s="33">
        <v>5</v>
      </c>
      <c r="H2296" s="33"/>
      <c r="I2296" s="31" t="s">
        <v>35</v>
      </c>
      <c r="J2296" s="31"/>
      <c r="K2296" s="33"/>
      <c r="L2296" s="33"/>
      <c r="M2296" s="31"/>
      <c r="N2296" s="31"/>
      <c r="O2296" s="16" t="s">
        <v>4805</v>
      </c>
      <c r="P2296" s="16"/>
      <c r="Q2296" s="16"/>
      <c r="R2296" s="33">
        <v>70</v>
      </c>
      <c r="S2296" s="34">
        <v>45867</v>
      </c>
      <c r="T2296" s="34">
        <v>45868</v>
      </c>
      <c r="U2296" s="34"/>
      <c r="V2296" s="34"/>
      <c r="W2296" s="34">
        <v>45868</v>
      </c>
      <c r="X2296" s="33" t="s">
        <v>85</v>
      </c>
      <c r="Y2296" s="35" t="str">
        <f>IF(Tabela2[[#This Row],[SIGLA]]="","",VLOOKUP(Tabela2[[#This Row],[SIGLA]],Tabela1[[#All],[Sigla Arte]:[Crédito]],2,0))</f>
        <v>HELOÍSA PINTARELLI/ARQUIVO DA EDITORA</v>
      </c>
      <c r="Z2296" s="31" t="s">
        <v>352</v>
      </c>
      <c r="AA2296" s="31" t="str">
        <f>Tabela2[[#This Row],[ILUSTRADOR CRIAÇÃO]]</f>
        <v>HELOÍSA PINTARELLI/ARQUIVO DA EDITORA</v>
      </c>
      <c r="AB2296" s="33">
        <v>13</v>
      </c>
      <c r="AC2296" s="16" t="s">
        <v>39</v>
      </c>
      <c r="AD2296" s="16" t="s">
        <v>40</v>
      </c>
      <c r="AE2296" s="35" t="str">
        <f t="shared" si="37"/>
        <v>EF1 E002 Mat</v>
      </c>
    </row>
    <row r="2297" spans="1:31" ht="90" x14ac:dyDescent="0.25">
      <c r="A2297" s="31" t="s">
        <v>2330</v>
      </c>
      <c r="B2297" s="16" t="s">
        <v>97</v>
      </c>
      <c r="C2297" s="16" t="s">
        <v>33</v>
      </c>
      <c r="D2297" s="33" t="s">
        <v>34</v>
      </c>
      <c r="E2297" s="33">
        <v>121</v>
      </c>
      <c r="F2297" s="33">
        <v>3</v>
      </c>
      <c r="G2297" s="33">
        <v>6</v>
      </c>
      <c r="H2297" s="33"/>
      <c r="I2297" s="31" t="s">
        <v>35</v>
      </c>
      <c r="J2297" s="31"/>
      <c r="K2297" s="33"/>
      <c r="L2297" s="33"/>
      <c r="M2297" s="31"/>
      <c r="N2297" s="31"/>
      <c r="O2297" s="16" t="s">
        <v>4806</v>
      </c>
      <c r="P2297" s="16"/>
      <c r="Q2297" s="16"/>
      <c r="R2297" s="33">
        <v>90</v>
      </c>
      <c r="S2297" s="34">
        <v>45868</v>
      </c>
      <c r="T2297" s="34">
        <v>45870</v>
      </c>
      <c r="U2297" s="34"/>
      <c r="V2297" s="34"/>
      <c r="W2297" s="34">
        <v>45870</v>
      </c>
      <c r="X2297" s="33" t="s">
        <v>85</v>
      </c>
      <c r="Y2297" s="35" t="str">
        <f>IF(Tabela2[[#This Row],[SIGLA]]="","",VLOOKUP(Tabela2[[#This Row],[SIGLA]],Tabela1[[#All],[Sigla Arte]:[Crédito]],2,0))</f>
        <v>HELOÍSA PINTARELLI/ARQUIVO DA EDITORA</v>
      </c>
      <c r="Z2297" s="31" t="s">
        <v>101</v>
      </c>
      <c r="AA2297" s="31" t="str">
        <f>Tabela2[[#This Row],[ILUSTRADOR CRIAÇÃO]]</f>
        <v>HELOÍSA PINTARELLI/ARQUIVO DA EDITORA</v>
      </c>
      <c r="AB2297" s="33">
        <v>14</v>
      </c>
      <c r="AC2297" s="16" t="s">
        <v>102</v>
      </c>
      <c r="AD2297" s="16" t="s">
        <v>40</v>
      </c>
      <c r="AE2297" s="35" t="str">
        <f t="shared" si="37"/>
        <v>EF1 E002 Mat</v>
      </c>
    </row>
    <row r="2298" spans="1:31" ht="45" x14ac:dyDescent="0.25">
      <c r="A2298" s="31" t="s">
        <v>4807</v>
      </c>
      <c r="B2298" s="16" t="s">
        <v>97</v>
      </c>
      <c r="C2298" s="16" t="s">
        <v>33</v>
      </c>
      <c r="D2298" s="33" t="s">
        <v>34</v>
      </c>
      <c r="E2298" s="33">
        <v>122</v>
      </c>
      <c r="F2298" s="33">
        <v>3</v>
      </c>
      <c r="G2298" s="33">
        <v>6</v>
      </c>
      <c r="H2298" s="33"/>
      <c r="I2298" s="31" t="s">
        <v>995</v>
      </c>
      <c r="J2298" s="31"/>
      <c r="K2298" s="33"/>
      <c r="L2298" s="33"/>
      <c r="M2298" s="31"/>
      <c r="N2298" s="31"/>
      <c r="O2298" s="16" t="s">
        <v>4808</v>
      </c>
      <c r="P2298" s="16"/>
      <c r="Q2298" s="16"/>
      <c r="R2298" s="33">
        <v>90</v>
      </c>
      <c r="S2298" s="34">
        <v>45868</v>
      </c>
      <c r="T2298" s="34">
        <v>45870</v>
      </c>
      <c r="U2298" s="34"/>
      <c r="V2298" s="34"/>
      <c r="W2298" s="34">
        <v>45870</v>
      </c>
      <c r="X2298" s="33" t="s">
        <v>4713</v>
      </c>
      <c r="Y2298" s="35" t="str">
        <f>IF(Tabela2[[#This Row],[SIGLA]]="","",VLOOKUP(Tabela2[[#This Row],[SIGLA]],Tabela1[[#All],[Sigla Arte]:[Crédito]],2,0))</f>
        <v>NICOLAS FURTADO/ARQUIVO DA EDITORA</v>
      </c>
      <c r="Z2298" s="31"/>
      <c r="AA2298" s="31" t="str">
        <f>Tabela2[[#This Row],[ILUSTRADOR CRIAÇÃO]]</f>
        <v>NICOLAS FURTADO/ARQUIVO DA EDITORA</v>
      </c>
      <c r="AB2298" s="33">
        <v>8</v>
      </c>
      <c r="AC2298" s="16" t="s">
        <v>2102</v>
      </c>
      <c r="AD2298" s="16" t="s">
        <v>40</v>
      </c>
      <c r="AE2298" s="35" t="str">
        <f t="shared" si="37"/>
        <v>EF1 E002 Mat</v>
      </c>
    </row>
    <row r="2299" spans="1:31" ht="45" x14ac:dyDescent="0.25">
      <c r="A2299" s="31" t="s">
        <v>4809</v>
      </c>
      <c r="B2299" s="16" t="s">
        <v>97</v>
      </c>
      <c r="C2299" s="16" t="s">
        <v>33</v>
      </c>
      <c r="D2299" s="33" t="s">
        <v>34</v>
      </c>
      <c r="E2299" s="33">
        <v>122</v>
      </c>
      <c r="F2299" s="33">
        <v>3</v>
      </c>
      <c r="G2299" s="33">
        <v>6</v>
      </c>
      <c r="H2299" s="33"/>
      <c r="I2299" s="31" t="s">
        <v>995</v>
      </c>
      <c r="J2299" s="31"/>
      <c r="K2299" s="33"/>
      <c r="L2299" s="33"/>
      <c r="M2299" s="31"/>
      <c r="N2299" s="31"/>
      <c r="O2299" s="16" t="s">
        <v>4810</v>
      </c>
      <c r="P2299" s="16"/>
      <c r="Q2299" s="16"/>
      <c r="R2299" s="33">
        <v>90</v>
      </c>
      <c r="S2299" s="34">
        <v>45868</v>
      </c>
      <c r="T2299" s="34">
        <v>45870</v>
      </c>
      <c r="U2299" s="34"/>
      <c r="V2299" s="34"/>
      <c r="W2299" s="34">
        <v>45870</v>
      </c>
      <c r="X2299" s="33" t="s">
        <v>4713</v>
      </c>
      <c r="Y2299" s="35" t="str">
        <f>IF(Tabela2[[#This Row],[SIGLA]]="","",VLOOKUP(Tabela2[[#This Row],[SIGLA]],Tabela1[[#All],[Sigla Arte]:[Crédito]],2,0))</f>
        <v>NICOLAS FURTADO/ARQUIVO DA EDITORA</v>
      </c>
      <c r="Z2299" s="31"/>
      <c r="AA2299" s="31" t="str">
        <f>Tabela2[[#This Row],[ILUSTRADOR CRIAÇÃO]]</f>
        <v>NICOLAS FURTADO/ARQUIVO DA EDITORA</v>
      </c>
      <c r="AB2299" s="33">
        <v>8</v>
      </c>
      <c r="AC2299" s="16" t="s">
        <v>2102</v>
      </c>
      <c r="AD2299" s="16" t="s">
        <v>40</v>
      </c>
      <c r="AE2299" s="35" t="str">
        <f t="shared" si="37"/>
        <v>EF1 E002 Mat</v>
      </c>
    </row>
    <row r="2300" spans="1:31" ht="105" x14ac:dyDescent="0.25">
      <c r="A2300" s="31" t="s">
        <v>4811</v>
      </c>
      <c r="B2300" s="16" t="s">
        <v>97</v>
      </c>
      <c r="C2300" s="16" t="s">
        <v>33</v>
      </c>
      <c r="D2300" s="33" t="s">
        <v>34</v>
      </c>
      <c r="E2300" s="33">
        <v>127</v>
      </c>
      <c r="F2300" s="33">
        <v>3</v>
      </c>
      <c r="G2300" s="33">
        <v>6</v>
      </c>
      <c r="H2300" s="33"/>
      <c r="I2300" s="31" t="s">
        <v>35</v>
      </c>
      <c r="J2300" s="31"/>
      <c r="K2300" s="33"/>
      <c r="L2300" s="33"/>
      <c r="M2300" s="31"/>
      <c r="N2300" s="31"/>
      <c r="O2300" s="16" t="s">
        <v>4812</v>
      </c>
      <c r="P2300" s="16"/>
      <c r="Q2300" s="16"/>
      <c r="R2300" s="33">
        <v>90</v>
      </c>
      <c r="S2300" s="34">
        <v>45868</v>
      </c>
      <c r="T2300" s="34">
        <v>45870</v>
      </c>
      <c r="U2300" s="34"/>
      <c r="V2300" s="34"/>
      <c r="W2300" s="34">
        <v>45870</v>
      </c>
      <c r="X2300" s="33" t="s">
        <v>247</v>
      </c>
      <c r="Y2300" s="35" t="str">
        <f>IF(Tabela2[[#This Row],[SIGLA]]="","",VLOOKUP(Tabela2[[#This Row],[SIGLA]],Tabela1[[#All],[Sigla Arte]:[Crédito]],2,0))</f>
        <v>THAIS CASTRO/ARQUIVO DA EDITORA</v>
      </c>
      <c r="Z2300" s="31" t="s">
        <v>101</v>
      </c>
      <c r="AA2300" s="31" t="str">
        <f>Tabela2[[#This Row],[ILUSTRADOR CRIAÇÃO]]</f>
        <v>THAIS CASTRO/ARQUIVO DA EDITORA</v>
      </c>
      <c r="AB2300" s="33">
        <v>14</v>
      </c>
      <c r="AC2300" s="16" t="s">
        <v>102</v>
      </c>
      <c r="AD2300" s="16" t="s">
        <v>40</v>
      </c>
      <c r="AE2300" s="35" t="str">
        <f t="shared" si="37"/>
        <v>EF1 E002 Mat</v>
      </c>
    </row>
    <row r="2301" spans="1:31" ht="195" x14ac:dyDescent="0.25">
      <c r="A2301" s="31" t="s">
        <v>4813</v>
      </c>
      <c r="B2301" s="16" t="s">
        <v>97</v>
      </c>
      <c r="C2301" s="16" t="s">
        <v>327</v>
      </c>
      <c r="D2301" s="33" t="s">
        <v>34</v>
      </c>
      <c r="E2301" s="33">
        <v>130</v>
      </c>
      <c r="F2301" s="33">
        <v>3</v>
      </c>
      <c r="G2301" s="33">
        <v>6</v>
      </c>
      <c r="H2301" s="33"/>
      <c r="I2301" s="31" t="s">
        <v>995</v>
      </c>
      <c r="J2301" s="31"/>
      <c r="K2301" s="33"/>
      <c r="L2301" s="33"/>
      <c r="M2301" s="31"/>
      <c r="N2301" s="31"/>
      <c r="O2301" s="16" t="s">
        <v>4814</v>
      </c>
      <c r="P2301" s="16"/>
      <c r="Q2301" s="16"/>
      <c r="R2301" s="33">
        <v>90</v>
      </c>
      <c r="S2301" s="34">
        <v>45868</v>
      </c>
      <c r="T2301" s="34">
        <v>45870</v>
      </c>
      <c r="U2301" s="34"/>
      <c r="V2301" s="34"/>
      <c r="W2301" s="34">
        <v>45870</v>
      </c>
      <c r="X2301" s="33" t="s">
        <v>4713</v>
      </c>
      <c r="Y2301" s="35" t="str">
        <f>IF(Tabela2[[#This Row],[SIGLA]]="","",VLOOKUP(Tabela2[[#This Row],[SIGLA]],Tabela1[[#All],[Sigla Arte]:[Crédito]],2,0))</f>
        <v>NICOLAS FURTADO/ARQUIVO DA EDITORA</v>
      </c>
      <c r="Z2301" s="31"/>
      <c r="AA2301" s="31" t="str">
        <f>Tabela2[[#This Row],[ILUSTRADOR CRIAÇÃO]]</f>
        <v>NICOLAS FURTADO/ARQUIVO DA EDITORA</v>
      </c>
      <c r="AB2301" s="33">
        <v>8</v>
      </c>
      <c r="AC2301" s="16" t="s">
        <v>2102</v>
      </c>
      <c r="AD2301" s="16" t="s">
        <v>40</v>
      </c>
      <c r="AE2301" s="35" t="str">
        <f t="shared" si="37"/>
        <v>EF1 E002 Mat</v>
      </c>
    </row>
    <row r="2302" spans="1:31" ht="60" x14ac:dyDescent="0.25">
      <c r="A2302" s="31" t="s">
        <v>4815</v>
      </c>
      <c r="B2302" s="16" t="s">
        <v>97</v>
      </c>
      <c r="C2302" s="16" t="s">
        <v>33</v>
      </c>
      <c r="D2302" s="33" t="s">
        <v>34</v>
      </c>
      <c r="E2302" s="33">
        <v>133</v>
      </c>
      <c r="F2302" s="33">
        <v>3</v>
      </c>
      <c r="G2302" s="33">
        <v>6</v>
      </c>
      <c r="H2302" s="33"/>
      <c r="I2302" s="31" t="s">
        <v>995</v>
      </c>
      <c r="J2302" s="31"/>
      <c r="K2302" s="33"/>
      <c r="L2302" s="33"/>
      <c r="M2302" s="31"/>
      <c r="N2302" s="31"/>
      <c r="O2302" s="16" t="s">
        <v>4816</v>
      </c>
      <c r="P2302" s="16"/>
      <c r="Q2302" s="16"/>
      <c r="R2302" s="33">
        <v>90</v>
      </c>
      <c r="S2302" s="34">
        <v>45868</v>
      </c>
      <c r="T2302" s="34">
        <v>45870</v>
      </c>
      <c r="U2302" s="34"/>
      <c r="V2302" s="34"/>
      <c r="W2302" s="34">
        <v>45870</v>
      </c>
      <c r="X2302" s="33" t="s">
        <v>4713</v>
      </c>
      <c r="Y2302" s="35" t="str">
        <f>IF(Tabela2[[#This Row],[SIGLA]]="","",VLOOKUP(Tabela2[[#This Row],[SIGLA]],Tabela1[[#All],[Sigla Arte]:[Crédito]],2,0))</f>
        <v>NICOLAS FURTADO/ARQUIVO DA EDITORA</v>
      </c>
      <c r="Z2302" s="31"/>
      <c r="AA2302" s="31" t="str">
        <f>Tabela2[[#This Row],[ILUSTRADOR CRIAÇÃO]]</f>
        <v>NICOLAS FURTADO/ARQUIVO DA EDITORA</v>
      </c>
      <c r="AB2302" s="33">
        <v>8</v>
      </c>
      <c r="AC2302" s="16" t="s">
        <v>2102</v>
      </c>
      <c r="AD2302" s="16" t="s">
        <v>40</v>
      </c>
      <c r="AE2302" s="35" t="str">
        <f t="shared" si="37"/>
        <v>EF1 E002 Mat</v>
      </c>
    </row>
    <row r="2303" spans="1:31" x14ac:dyDescent="0.25">
      <c r="A2303" s="31" t="s">
        <v>4817</v>
      </c>
      <c r="B2303" s="16" t="s">
        <v>97</v>
      </c>
      <c r="C2303" s="16" t="s">
        <v>33</v>
      </c>
      <c r="D2303" s="33" t="s">
        <v>34</v>
      </c>
      <c r="E2303" s="33">
        <v>133</v>
      </c>
      <c r="F2303" s="33">
        <v>3</v>
      </c>
      <c r="G2303" s="33">
        <v>6</v>
      </c>
      <c r="H2303" s="33"/>
      <c r="I2303" s="31" t="s">
        <v>995</v>
      </c>
      <c r="J2303" s="31"/>
      <c r="K2303" s="33"/>
      <c r="L2303" s="33"/>
      <c r="M2303" s="31"/>
      <c r="N2303" s="31"/>
      <c r="O2303" s="16" t="s">
        <v>4818</v>
      </c>
      <c r="P2303" s="16"/>
      <c r="Q2303" s="16"/>
      <c r="R2303" s="33">
        <v>90</v>
      </c>
      <c r="S2303" s="34">
        <v>45868</v>
      </c>
      <c r="T2303" s="34">
        <v>45870</v>
      </c>
      <c r="U2303" s="34"/>
      <c r="V2303" s="34"/>
      <c r="W2303" s="34">
        <v>45870</v>
      </c>
      <c r="X2303" s="33" t="s">
        <v>4713</v>
      </c>
      <c r="Y2303" s="35" t="str">
        <f>IF(Tabela2[[#This Row],[SIGLA]]="","",VLOOKUP(Tabela2[[#This Row],[SIGLA]],Tabela1[[#All],[Sigla Arte]:[Crédito]],2,0))</f>
        <v>NICOLAS FURTADO/ARQUIVO DA EDITORA</v>
      </c>
      <c r="Z2303" s="31"/>
      <c r="AA2303" s="31" t="str">
        <f>Tabela2[[#This Row],[ILUSTRADOR CRIAÇÃO]]</f>
        <v>NICOLAS FURTADO/ARQUIVO DA EDITORA</v>
      </c>
      <c r="AB2303" s="33">
        <v>8</v>
      </c>
      <c r="AC2303" s="16" t="s">
        <v>2102</v>
      </c>
      <c r="AD2303" s="16" t="s">
        <v>40</v>
      </c>
      <c r="AE2303" s="35" t="str">
        <f t="shared" si="37"/>
        <v>EF1 E002 Mat</v>
      </c>
    </row>
    <row r="2304" spans="1:31" ht="45" x14ac:dyDescent="0.25">
      <c r="A2304" s="31" t="s">
        <v>4819</v>
      </c>
      <c r="B2304" s="16" t="s">
        <v>401</v>
      </c>
      <c r="C2304" s="16" t="s">
        <v>164</v>
      </c>
      <c r="D2304" s="33" t="s">
        <v>4732</v>
      </c>
      <c r="E2304" s="33">
        <v>22</v>
      </c>
      <c r="F2304" s="33">
        <v>2</v>
      </c>
      <c r="G2304" s="33">
        <v>1</v>
      </c>
      <c r="H2304" s="33"/>
      <c r="I2304" s="31" t="s">
        <v>995</v>
      </c>
      <c r="J2304" s="31"/>
      <c r="K2304" s="33"/>
      <c r="L2304" s="33"/>
      <c r="M2304" s="31"/>
      <c r="N2304" s="31"/>
      <c r="O2304" s="16" t="s">
        <v>4820</v>
      </c>
      <c r="P2304" s="16"/>
      <c r="Q2304" s="16"/>
      <c r="R2304" s="33">
        <v>92</v>
      </c>
      <c r="S2304" s="34">
        <v>45869</v>
      </c>
      <c r="T2304" s="34">
        <v>45869</v>
      </c>
      <c r="U2304" s="34"/>
      <c r="V2304" s="34"/>
      <c r="W2304" s="34">
        <v>45869</v>
      </c>
      <c r="X2304" s="33" t="s">
        <v>184</v>
      </c>
      <c r="Y2304" s="35" t="str">
        <f>IF(Tabela2[[#This Row],[SIGLA]]="","",VLOOKUP(Tabela2[[#This Row],[SIGLA]],Tabela1[[#All],[Sigla Arte]:[Crédito]],2,0))</f>
        <v>VER DOCUMENTO DE ILS. TÉCNICAS</v>
      </c>
      <c r="Z2304" s="31" t="s">
        <v>924</v>
      </c>
      <c r="AA2304" s="31" t="s">
        <v>185</v>
      </c>
      <c r="AB2304" s="33">
        <v>13</v>
      </c>
      <c r="AC2304" s="16" t="s">
        <v>1516</v>
      </c>
      <c r="AD2304" s="16" t="s">
        <v>40</v>
      </c>
      <c r="AE2304" s="35" t="str">
        <f t="shared" si="37"/>
        <v>EF1 E002 Mat</v>
      </c>
    </row>
    <row r="2305" spans="1:31" ht="45" x14ac:dyDescent="0.25">
      <c r="A2305" s="31" t="s">
        <v>4821</v>
      </c>
      <c r="B2305" s="16" t="s">
        <v>401</v>
      </c>
      <c r="C2305" s="16" t="s">
        <v>164</v>
      </c>
      <c r="D2305" s="33" t="s">
        <v>4732</v>
      </c>
      <c r="E2305" s="33">
        <v>22</v>
      </c>
      <c r="F2305" s="33">
        <v>2</v>
      </c>
      <c r="G2305" s="33">
        <v>1</v>
      </c>
      <c r="H2305" s="33"/>
      <c r="I2305" s="31" t="s">
        <v>995</v>
      </c>
      <c r="J2305" s="31"/>
      <c r="K2305" s="33"/>
      <c r="L2305" s="33"/>
      <c r="M2305" s="31"/>
      <c r="N2305" s="31"/>
      <c r="O2305" s="16" t="s">
        <v>4822</v>
      </c>
      <c r="P2305" s="16"/>
      <c r="Q2305" s="16"/>
      <c r="R2305" s="33">
        <v>92</v>
      </c>
      <c r="S2305" s="34">
        <v>45869</v>
      </c>
      <c r="T2305" s="34">
        <v>45869</v>
      </c>
      <c r="U2305" s="34"/>
      <c r="V2305" s="34"/>
      <c r="W2305" s="34">
        <v>45869</v>
      </c>
      <c r="X2305" s="33" t="s">
        <v>184</v>
      </c>
      <c r="Y2305" s="35" t="str">
        <f>IF(Tabela2[[#This Row],[SIGLA]]="","",VLOOKUP(Tabela2[[#This Row],[SIGLA]],Tabela1[[#All],[Sigla Arte]:[Crédito]],2,0))</f>
        <v>VER DOCUMENTO DE ILS. TÉCNICAS</v>
      </c>
      <c r="Z2305" s="31" t="s">
        <v>924</v>
      </c>
      <c r="AA2305" s="31" t="s">
        <v>185</v>
      </c>
      <c r="AB2305" s="33">
        <v>13</v>
      </c>
      <c r="AC2305" s="16" t="s">
        <v>1516</v>
      </c>
      <c r="AD2305" s="16" t="s">
        <v>40</v>
      </c>
      <c r="AE2305" s="35" t="str">
        <f t="shared" si="37"/>
        <v>EF1 E002 Mat</v>
      </c>
    </row>
    <row r="2306" spans="1:31" ht="45" x14ac:dyDescent="0.25">
      <c r="A2306" s="31" t="s">
        <v>4823</v>
      </c>
      <c r="B2306" s="16" t="s">
        <v>401</v>
      </c>
      <c r="C2306" s="16" t="s">
        <v>164</v>
      </c>
      <c r="D2306" s="33" t="s">
        <v>4732</v>
      </c>
      <c r="E2306" s="33">
        <v>22</v>
      </c>
      <c r="F2306" s="33">
        <v>2</v>
      </c>
      <c r="G2306" s="33">
        <v>1</v>
      </c>
      <c r="H2306" s="33"/>
      <c r="I2306" s="31" t="s">
        <v>46</v>
      </c>
      <c r="J2306" s="31"/>
      <c r="K2306" s="33"/>
      <c r="L2306" s="33"/>
      <c r="M2306" s="31"/>
      <c r="N2306" s="31"/>
      <c r="O2306" s="16" t="s">
        <v>4824</v>
      </c>
      <c r="P2306" s="16"/>
      <c r="Q2306" s="16"/>
      <c r="R2306" s="33"/>
      <c r="S2306" s="34"/>
      <c r="T2306" s="34"/>
      <c r="U2306" s="34"/>
      <c r="V2306" s="34"/>
      <c r="W2306" s="34"/>
      <c r="X2306" s="33"/>
      <c r="Y2306" s="35" t="str">
        <f>IF(Tabela2[[#This Row],[SIGLA]]="","",VLOOKUP(Tabela2[[#This Row],[SIGLA]],Tabela1[[#All],[Sigla Arte]:[Crédito]],2,0))</f>
        <v/>
      </c>
      <c r="Z2306" s="31"/>
      <c r="AA2306" s="31" t="str">
        <f>Tabela2[[#This Row],[ILUSTRADOR CRIAÇÃO]]</f>
        <v/>
      </c>
      <c r="AB2306" s="33"/>
      <c r="AC2306" s="16"/>
      <c r="AE2306" s="35" t="str">
        <f t="shared" si="37"/>
        <v>EF1 E002 Mat</v>
      </c>
    </row>
    <row r="2307" spans="1:31" ht="45" x14ac:dyDescent="0.25">
      <c r="A2307" s="31" t="s">
        <v>4825</v>
      </c>
      <c r="B2307" s="16" t="s">
        <v>401</v>
      </c>
      <c r="C2307" s="16" t="s">
        <v>164</v>
      </c>
      <c r="D2307" s="33" t="s">
        <v>4732</v>
      </c>
      <c r="E2307" s="33">
        <v>22</v>
      </c>
      <c r="F2307" s="33">
        <v>2</v>
      </c>
      <c r="G2307" s="33">
        <v>1</v>
      </c>
      <c r="H2307" s="33"/>
      <c r="I2307" s="31" t="s">
        <v>46</v>
      </c>
      <c r="J2307" s="31"/>
      <c r="K2307" s="33"/>
      <c r="L2307" s="33"/>
      <c r="M2307" s="31"/>
      <c r="N2307" s="31"/>
      <c r="O2307" s="16" t="s">
        <v>4826</v>
      </c>
      <c r="P2307" s="16"/>
      <c r="Q2307" s="16"/>
      <c r="R2307" s="33"/>
      <c r="S2307" s="34"/>
      <c r="T2307" s="34"/>
      <c r="U2307" s="34"/>
      <c r="V2307" s="34"/>
      <c r="W2307" s="34"/>
      <c r="X2307" s="33"/>
      <c r="Y2307" s="35" t="str">
        <f>IF(Tabela2[[#This Row],[SIGLA]]="","",VLOOKUP(Tabela2[[#This Row],[SIGLA]],Tabela1[[#All],[Sigla Arte]:[Crédito]],2,0))</f>
        <v/>
      </c>
      <c r="Z2307" s="31"/>
      <c r="AA2307" s="31" t="str">
        <f>Tabela2[[#This Row],[ILUSTRADOR CRIAÇÃO]]</f>
        <v/>
      </c>
      <c r="AB2307" s="33"/>
      <c r="AC2307" s="16"/>
      <c r="AE2307" s="35" t="str">
        <f t="shared" si="37"/>
        <v>EF1 E002 Mat</v>
      </c>
    </row>
    <row r="2308" spans="1:31" ht="45" x14ac:dyDescent="0.25">
      <c r="A2308" s="31" t="s">
        <v>4827</v>
      </c>
      <c r="B2308" s="16" t="s">
        <v>32</v>
      </c>
      <c r="C2308" s="16" t="s">
        <v>164</v>
      </c>
      <c r="D2308" s="33" t="s">
        <v>4732</v>
      </c>
      <c r="E2308" s="33">
        <v>34</v>
      </c>
      <c r="F2308" s="33">
        <v>2</v>
      </c>
      <c r="G2308" s="33">
        <v>1</v>
      </c>
      <c r="H2308" s="33"/>
      <c r="I2308" s="31" t="s">
        <v>46</v>
      </c>
      <c r="J2308" s="31"/>
      <c r="K2308" s="33"/>
      <c r="L2308" s="33"/>
      <c r="M2308" s="31"/>
      <c r="N2308" s="31"/>
      <c r="O2308" s="16" t="s">
        <v>4828</v>
      </c>
      <c r="P2308" s="16"/>
      <c r="Q2308" s="16"/>
      <c r="R2308" s="33"/>
      <c r="S2308" s="34"/>
      <c r="T2308" s="34"/>
      <c r="U2308" s="34"/>
      <c r="V2308" s="34"/>
      <c r="W2308" s="34"/>
      <c r="X2308" s="33" t="s">
        <v>48</v>
      </c>
      <c r="Y2308" s="35" t="str">
        <f>IF(Tabela2[[#This Row],[SIGLA]]="","",VLOOKUP(Tabela2[[#This Row],[SIGLA]],Tabela1[[#All],[Sigla Arte]:[Crédito]],2,0))</f>
        <v>SERGIO LIMA/ARQUIVO DA EDITORA</v>
      </c>
      <c r="Z2308" s="31"/>
      <c r="AA2308" s="31" t="str">
        <f>Tabela2[[#This Row],[ILUSTRADOR CRIAÇÃO]]</f>
        <v>SERGIO LIMA/ARQUIVO DA EDITORA</v>
      </c>
      <c r="AB2308" s="33"/>
      <c r="AC2308" s="16"/>
      <c r="AE2308" s="35" t="str">
        <f t="shared" si="37"/>
        <v>EF1 E002 Mat</v>
      </c>
    </row>
    <row r="2309" spans="1:31" ht="60" x14ac:dyDescent="0.25">
      <c r="A2309" s="31" t="s">
        <v>4829</v>
      </c>
      <c r="B2309" s="16" t="s">
        <v>401</v>
      </c>
      <c r="C2309" s="16" t="s">
        <v>164</v>
      </c>
      <c r="D2309" s="33" t="s">
        <v>4732</v>
      </c>
      <c r="E2309" s="33">
        <v>38</v>
      </c>
      <c r="F2309" s="33">
        <v>2</v>
      </c>
      <c r="G2309" s="33">
        <v>1</v>
      </c>
      <c r="H2309" s="33"/>
      <c r="I2309" s="31" t="s">
        <v>995</v>
      </c>
      <c r="J2309" s="31"/>
      <c r="K2309" s="33"/>
      <c r="L2309" s="33"/>
      <c r="M2309" s="31"/>
      <c r="N2309" s="31"/>
      <c r="O2309" s="16" t="s">
        <v>4830</v>
      </c>
      <c r="P2309" s="16"/>
      <c r="Q2309" s="16"/>
      <c r="R2309" s="33">
        <v>92</v>
      </c>
      <c r="S2309" s="34">
        <v>45869</v>
      </c>
      <c r="T2309" s="34">
        <v>45869</v>
      </c>
      <c r="U2309" s="34"/>
      <c r="V2309" s="34"/>
      <c r="W2309" s="34">
        <v>45869</v>
      </c>
      <c r="X2309" s="33" t="s">
        <v>184</v>
      </c>
      <c r="Y2309" s="35" t="str">
        <f>IF(Tabela2[[#This Row],[SIGLA]]="","",VLOOKUP(Tabela2[[#This Row],[SIGLA]],Tabela1[[#All],[Sigla Arte]:[Crédito]],2,0))</f>
        <v>VER DOCUMENTO DE ILS. TÉCNICAS</v>
      </c>
      <c r="Z2309" s="31" t="s">
        <v>924</v>
      </c>
      <c r="AA2309" s="31" t="s">
        <v>185</v>
      </c>
      <c r="AB2309" s="33">
        <v>13</v>
      </c>
      <c r="AC2309" s="16" t="s">
        <v>1516</v>
      </c>
      <c r="AD2309" s="16" t="s">
        <v>40</v>
      </c>
      <c r="AE2309" s="35" t="str">
        <f t="shared" si="37"/>
        <v>EF1 E002 Mat</v>
      </c>
    </row>
    <row r="2310" spans="1:31" ht="45" x14ac:dyDescent="0.25">
      <c r="A2310" s="31" t="s">
        <v>4831</v>
      </c>
      <c r="B2310" s="16" t="s">
        <v>401</v>
      </c>
      <c r="C2310" s="16" t="s">
        <v>164</v>
      </c>
      <c r="D2310" s="33" t="s">
        <v>4732</v>
      </c>
      <c r="E2310" s="33">
        <v>38</v>
      </c>
      <c r="F2310" s="33">
        <v>2</v>
      </c>
      <c r="G2310" s="33">
        <v>1</v>
      </c>
      <c r="H2310" s="33"/>
      <c r="I2310" s="31" t="s">
        <v>46</v>
      </c>
      <c r="J2310" s="31"/>
      <c r="K2310" s="33"/>
      <c r="L2310" s="33"/>
      <c r="M2310" s="31"/>
      <c r="N2310" s="31"/>
      <c r="O2310" s="16" t="s">
        <v>4824</v>
      </c>
      <c r="P2310" s="16"/>
      <c r="Q2310" s="16"/>
      <c r="R2310" s="33"/>
      <c r="S2310" s="34"/>
      <c r="T2310" s="34">
        <v>45878</v>
      </c>
      <c r="U2310" s="34"/>
      <c r="V2310" s="34"/>
      <c r="W2310" s="34">
        <v>45878</v>
      </c>
      <c r="X2310" s="33" t="s">
        <v>1201</v>
      </c>
      <c r="Y2310" s="35" t="str">
        <f>IF(Tabela2[[#This Row],[SIGLA]]="","",VLOOKUP(Tabela2[[#This Row],[SIGLA]],Tabela1[[#All],[Sigla Arte]:[Crédito]],2,0))</f>
        <v>RAFAELA PANISSA/ARQUIVO DA EDITORA</v>
      </c>
      <c r="Z2310" s="31" t="s">
        <v>352</v>
      </c>
      <c r="AA2310" s="31" t="str">
        <f>Tabela2[[#This Row],[ILUSTRADOR CRIAÇÃO]]</f>
        <v>RAFAELA PANISSA/ARQUIVO DA EDITORA</v>
      </c>
      <c r="AB2310" s="33">
        <v>13</v>
      </c>
      <c r="AC2310" s="16" t="s">
        <v>102</v>
      </c>
      <c r="AD2310" s="16" t="s">
        <v>40</v>
      </c>
      <c r="AE2310" s="35" t="str">
        <f t="shared" si="37"/>
        <v>EF1 E002 Mat</v>
      </c>
    </row>
    <row r="2311" spans="1:31" ht="45" x14ac:dyDescent="0.25">
      <c r="A2311" s="31" t="s">
        <v>4832</v>
      </c>
      <c r="B2311" s="16" t="s">
        <v>401</v>
      </c>
      <c r="C2311" s="16" t="s">
        <v>164</v>
      </c>
      <c r="D2311" s="33" t="s">
        <v>4732</v>
      </c>
      <c r="E2311" s="33">
        <v>38</v>
      </c>
      <c r="F2311" s="33">
        <v>2</v>
      </c>
      <c r="G2311" s="33">
        <v>1</v>
      </c>
      <c r="H2311" s="33"/>
      <c r="I2311" s="31" t="s">
        <v>46</v>
      </c>
      <c r="J2311" s="31"/>
      <c r="K2311" s="33"/>
      <c r="L2311" s="33"/>
      <c r="M2311" s="31"/>
      <c r="N2311" s="31"/>
      <c r="O2311" s="16" t="s">
        <v>4826</v>
      </c>
      <c r="P2311" s="16"/>
      <c r="Q2311" s="16"/>
      <c r="R2311" s="33"/>
      <c r="S2311" s="34"/>
      <c r="T2311" s="34"/>
      <c r="U2311" s="34"/>
      <c r="V2311" s="34"/>
      <c r="W2311" s="34"/>
      <c r="X2311" s="33"/>
      <c r="Y2311" s="35" t="str">
        <f>IF(Tabela2[[#This Row],[SIGLA]]="","",VLOOKUP(Tabela2[[#This Row],[SIGLA]],Tabela1[[#All],[Sigla Arte]:[Crédito]],2,0))</f>
        <v/>
      </c>
      <c r="Z2311" s="31"/>
      <c r="AA2311" s="31" t="str">
        <f>Tabela2[[#This Row],[ILUSTRADOR CRIAÇÃO]]</f>
        <v/>
      </c>
      <c r="AB2311" s="33"/>
      <c r="AC2311" s="16"/>
      <c r="AE2311" s="35" t="str">
        <f t="shared" si="37"/>
        <v>EF1 E002 Mat</v>
      </c>
    </row>
    <row r="2312" spans="1:31" ht="30" x14ac:dyDescent="0.25">
      <c r="A2312" s="31" t="s">
        <v>4833</v>
      </c>
      <c r="B2312" s="16" t="s">
        <v>32</v>
      </c>
      <c r="C2312" s="16" t="s">
        <v>164</v>
      </c>
      <c r="D2312" s="33" t="s">
        <v>34</v>
      </c>
      <c r="E2312" s="33">
        <v>149</v>
      </c>
      <c r="F2312" s="33">
        <v>3</v>
      </c>
      <c r="G2312" s="33">
        <v>7</v>
      </c>
      <c r="H2312" s="33"/>
      <c r="I2312" s="31" t="s">
        <v>995</v>
      </c>
      <c r="J2312" s="31"/>
      <c r="K2312" s="33"/>
      <c r="L2312" s="33"/>
      <c r="M2312" s="31"/>
      <c r="N2312" s="31"/>
      <c r="O2312" s="16" t="s">
        <v>4834</v>
      </c>
      <c r="P2312" s="16"/>
      <c r="Q2312" s="16"/>
      <c r="R2312" s="33">
        <v>94</v>
      </c>
      <c r="S2312" s="34">
        <v>45870</v>
      </c>
      <c r="T2312" s="34">
        <v>45873</v>
      </c>
      <c r="U2312" s="34"/>
      <c r="V2312" s="34"/>
      <c r="W2312" s="34">
        <v>45873</v>
      </c>
      <c r="X2312" s="33" t="s">
        <v>184</v>
      </c>
      <c r="Y2312" s="35" t="str">
        <f>IF(Tabela2[[#This Row],[SIGLA]]="","",VLOOKUP(Tabela2[[#This Row],[SIGLA]],Tabela1[[#All],[Sigla Arte]:[Crédito]],2,0))</f>
        <v>VER DOCUMENTO DE ILS. TÉCNICAS</v>
      </c>
      <c r="Z2312" s="31" t="s">
        <v>101</v>
      </c>
      <c r="AA2312" s="31" t="str">
        <f>Tabela2[[#This Row],[ILUSTRADOR CRIAÇÃO]]</f>
        <v>VER DOCUMENTO DE ILS. TÉCNICAS</v>
      </c>
      <c r="AB2312" s="33">
        <v>13</v>
      </c>
      <c r="AC2312" s="16" t="s">
        <v>2102</v>
      </c>
      <c r="AD2312" s="16" t="s">
        <v>40</v>
      </c>
      <c r="AE2312" s="35" t="str">
        <f t="shared" si="37"/>
        <v>EF1 E002 Mat</v>
      </c>
    </row>
    <row r="2313" spans="1:31" ht="90" x14ac:dyDescent="0.25">
      <c r="A2313" s="31" t="s">
        <v>4835</v>
      </c>
      <c r="B2313" s="16" t="s">
        <v>32</v>
      </c>
      <c r="C2313" s="16" t="s">
        <v>33</v>
      </c>
      <c r="D2313" s="33" t="s">
        <v>34</v>
      </c>
      <c r="E2313" s="33">
        <v>154</v>
      </c>
      <c r="F2313" s="33">
        <v>3</v>
      </c>
      <c r="G2313" s="33">
        <v>7</v>
      </c>
      <c r="H2313" s="33"/>
      <c r="I2313" s="31" t="s">
        <v>995</v>
      </c>
      <c r="J2313" s="31"/>
      <c r="K2313" s="33"/>
      <c r="L2313" s="33"/>
      <c r="M2313" s="31"/>
      <c r="N2313" s="31"/>
      <c r="O2313" s="16" t="s">
        <v>4836</v>
      </c>
      <c r="P2313" s="16"/>
      <c r="Q2313" s="16"/>
      <c r="R2313" s="33">
        <v>94</v>
      </c>
      <c r="S2313" s="34">
        <v>45870</v>
      </c>
      <c r="T2313" s="34">
        <v>45873</v>
      </c>
      <c r="U2313" s="34">
        <v>45875</v>
      </c>
      <c r="V2313" s="34">
        <v>45877</v>
      </c>
      <c r="W2313" s="34">
        <v>45880</v>
      </c>
      <c r="X2313" s="33" t="s">
        <v>3056</v>
      </c>
      <c r="Y2313" s="35" t="str">
        <f>IF(Tabela2[[#This Row],[SIGLA]]="","",VLOOKUP(Tabela2[[#This Row],[SIGLA]],Tabela1[[#All],[Sigla Arte]:[Crédito]],2,0))</f>
        <v>LEONARDO DE MOURA AMARAL/ARQUIVO DA EDITORA</v>
      </c>
      <c r="Z2313" s="31"/>
      <c r="AA2313" s="31" t="str">
        <f>Tabela2[[#This Row],[ILUSTRADOR CRIAÇÃO]]</f>
        <v>LEONARDO DE MOURA AMARAL/ARQUIVO DA EDITORA</v>
      </c>
      <c r="AB2313" s="33">
        <v>6</v>
      </c>
      <c r="AC2313" s="16" t="s">
        <v>4837</v>
      </c>
      <c r="AD2313" s="16" t="s">
        <v>1093</v>
      </c>
      <c r="AE2313" s="35" t="str">
        <f t="shared" si="37"/>
        <v>EF1 E002 Mat</v>
      </c>
    </row>
    <row r="2314" spans="1:31" ht="105" x14ac:dyDescent="0.25">
      <c r="A2314" s="31" t="s">
        <v>4838</v>
      </c>
      <c r="B2314" s="16" t="s">
        <v>32</v>
      </c>
      <c r="C2314" s="16" t="s">
        <v>327</v>
      </c>
      <c r="D2314" s="33" t="s">
        <v>34</v>
      </c>
      <c r="E2314" s="33">
        <v>159</v>
      </c>
      <c r="F2314" s="33">
        <v>3</v>
      </c>
      <c r="G2314" s="33">
        <v>7</v>
      </c>
      <c r="H2314" s="33"/>
      <c r="I2314" s="31" t="s">
        <v>995</v>
      </c>
      <c r="J2314" s="31"/>
      <c r="K2314" s="33"/>
      <c r="L2314" s="33"/>
      <c r="M2314" s="31"/>
      <c r="N2314" s="31"/>
      <c r="O2314" s="16" t="s">
        <v>4839</v>
      </c>
      <c r="P2314" s="16"/>
      <c r="Q2314" s="16"/>
      <c r="R2314" s="33">
        <v>94</v>
      </c>
      <c r="S2314" s="34">
        <v>45870</v>
      </c>
      <c r="T2314" s="34">
        <v>45873</v>
      </c>
      <c r="U2314" s="34"/>
      <c r="V2314" s="34"/>
      <c r="W2314" s="34">
        <v>45875</v>
      </c>
      <c r="X2314" s="33" t="s">
        <v>48</v>
      </c>
      <c r="Y2314" s="35" t="str">
        <f>IF(Tabela2[[#This Row],[SIGLA]]="","",VLOOKUP(Tabela2[[#This Row],[SIGLA]],Tabela1[[#All],[Sigla Arte]:[Crédito]],2,0))</f>
        <v>SERGIO LIMA/ARQUIVO DA EDITORA</v>
      </c>
      <c r="Z2314" s="31"/>
      <c r="AA2314" s="31" t="str">
        <f>Tabela2[[#This Row],[ILUSTRADOR CRIAÇÃO]]</f>
        <v>SERGIO LIMA/ARQUIVO DA EDITORA</v>
      </c>
      <c r="AB2314" s="33">
        <v>12</v>
      </c>
      <c r="AC2314" s="16" t="s">
        <v>4840</v>
      </c>
      <c r="AD2314" s="16" t="s">
        <v>1093</v>
      </c>
      <c r="AE2314" s="35" t="str">
        <f t="shared" si="37"/>
        <v>EF1 E002 Mat</v>
      </c>
    </row>
    <row r="2315" spans="1:31" ht="60" x14ac:dyDescent="0.25">
      <c r="A2315" s="31" t="s">
        <v>4841</v>
      </c>
      <c r="B2315" s="16" t="s">
        <v>32</v>
      </c>
      <c r="C2315" s="16" t="s">
        <v>164</v>
      </c>
      <c r="D2315" s="33" t="s">
        <v>34</v>
      </c>
      <c r="E2315" s="33">
        <v>162</v>
      </c>
      <c r="F2315" s="33">
        <v>3</v>
      </c>
      <c r="G2315" s="33">
        <v>8</v>
      </c>
      <c r="H2315" s="33"/>
      <c r="I2315" s="31" t="s">
        <v>46</v>
      </c>
      <c r="J2315" s="31"/>
      <c r="K2315" s="33"/>
      <c r="L2315" s="33"/>
      <c r="M2315" s="31"/>
      <c r="N2315" s="31"/>
      <c r="O2315" s="16" t="s">
        <v>4842</v>
      </c>
      <c r="P2315" s="16"/>
      <c r="Q2315" s="16"/>
      <c r="R2315" s="33"/>
      <c r="S2315" s="34"/>
      <c r="T2315" s="34"/>
      <c r="U2315" s="34"/>
      <c r="V2315" s="34"/>
      <c r="W2315" s="34"/>
      <c r="X2315" s="33" t="s">
        <v>48</v>
      </c>
      <c r="Y2315" s="35" t="str">
        <f>IF(Tabela2[[#This Row],[SIGLA]]="","",VLOOKUP(Tabela2[[#This Row],[SIGLA]],Tabela1[[#All],[Sigla Arte]:[Crédito]],2,0))</f>
        <v>SERGIO LIMA/ARQUIVO DA EDITORA</v>
      </c>
      <c r="Z2315" s="31"/>
      <c r="AA2315" s="31" t="s">
        <v>3019</v>
      </c>
      <c r="AB2315" s="33"/>
      <c r="AC2315" s="16"/>
      <c r="AE2315" s="35" t="str">
        <f t="shared" si="37"/>
        <v>EF1 E002 Mat</v>
      </c>
    </row>
    <row r="2316" spans="1:31" ht="105" x14ac:dyDescent="0.25">
      <c r="A2316" s="31" t="s">
        <v>4843</v>
      </c>
      <c r="B2316" s="16" t="s">
        <v>32</v>
      </c>
      <c r="C2316" s="16" t="s">
        <v>164</v>
      </c>
      <c r="D2316" s="33" t="s">
        <v>34</v>
      </c>
      <c r="E2316" s="33">
        <v>159</v>
      </c>
      <c r="F2316" s="33">
        <v>3</v>
      </c>
      <c r="G2316" s="33">
        <v>8</v>
      </c>
      <c r="H2316" s="33"/>
      <c r="I2316" s="31" t="s">
        <v>995</v>
      </c>
      <c r="J2316" s="31"/>
      <c r="K2316" s="33"/>
      <c r="L2316" s="33"/>
      <c r="M2316" s="31"/>
      <c r="N2316" s="31"/>
      <c r="O2316" s="16" t="s">
        <v>4844</v>
      </c>
      <c r="P2316" s="16"/>
      <c r="Q2316" s="16"/>
      <c r="R2316" s="33">
        <v>97</v>
      </c>
      <c r="S2316" s="34">
        <v>45870</v>
      </c>
      <c r="T2316" s="34">
        <v>45877</v>
      </c>
      <c r="U2316" s="34"/>
      <c r="V2316" s="34"/>
      <c r="W2316" s="34">
        <v>45877</v>
      </c>
      <c r="X2316" s="33" t="s">
        <v>4713</v>
      </c>
      <c r="Y2316" s="35" t="str">
        <f>IF(Tabela2[[#This Row],[SIGLA]]="","",VLOOKUP(Tabela2[[#This Row],[SIGLA]],Tabela1[[#All],[Sigla Arte]:[Crédito]],2,0))</f>
        <v>NICOLAS FURTADO/ARQUIVO DA EDITORA</v>
      </c>
      <c r="Z2316" s="31"/>
      <c r="AA2316" s="31" t="str">
        <f>Tabela2[[#This Row],[ILUSTRADOR CRIAÇÃO]]</f>
        <v>NICOLAS FURTADO/ARQUIVO DA EDITORA</v>
      </c>
      <c r="AB2316" s="33">
        <v>8</v>
      </c>
      <c r="AC2316" s="16" t="s">
        <v>2102</v>
      </c>
      <c r="AD2316" s="16" t="s">
        <v>40</v>
      </c>
      <c r="AE2316" s="35" t="str">
        <f t="shared" si="37"/>
        <v>EF1 E002 Mat</v>
      </c>
    </row>
    <row r="2317" spans="1:31" ht="150" x14ac:dyDescent="0.25">
      <c r="A2317" s="31" t="s">
        <v>4845</v>
      </c>
      <c r="B2317" s="16" t="s">
        <v>32</v>
      </c>
      <c r="C2317" s="16" t="s">
        <v>164</v>
      </c>
      <c r="D2317" s="33" t="s">
        <v>34</v>
      </c>
      <c r="E2317" s="33">
        <v>159</v>
      </c>
      <c r="F2317" s="33">
        <v>3</v>
      </c>
      <c r="G2317" s="33">
        <v>8</v>
      </c>
      <c r="H2317" s="33"/>
      <c r="I2317" s="31" t="s">
        <v>995</v>
      </c>
      <c r="J2317" s="31"/>
      <c r="K2317" s="33"/>
      <c r="L2317" s="33"/>
      <c r="M2317" s="31"/>
      <c r="N2317" s="31"/>
      <c r="O2317" s="16" t="s">
        <v>4846</v>
      </c>
      <c r="P2317" s="16"/>
      <c r="Q2317" s="16"/>
      <c r="R2317" s="33">
        <v>97</v>
      </c>
      <c r="S2317" s="34">
        <v>45870</v>
      </c>
      <c r="T2317" s="34">
        <v>45877</v>
      </c>
      <c r="U2317" s="34"/>
      <c r="V2317" s="34"/>
      <c r="W2317" s="34">
        <v>45877</v>
      </c>
      <c r="X2317" s="33" t="s">
        <v>4713</v>
      </c>
      <c r="Y2317" s="35" t="str">
        <f>IF(Tabela2[[#This Row],[SIGLA]]="","",VLOOKUP(Tabela2[[#This Row],[SIGLA]],Tabela1[[#All],[Sigla Arte]:[Crédito]],2,0))</f>
        <v>NICOLAS FURTADO/ARQUIVO DA EDITORA</v>
      </c>
      <c r="Z2317" s="31"/>
      <c r="AA2317" s="31" t="str">
        <f>Tabela2[[#This Row],[ILUSTRADOR CRIAÇÃO]]</f>
        <v>NICOLAS FURTADO/ARQUIVO DA EDITORA</v>
      </c>
      <c r="AB2317" s="33">
        <v>8</v>
      </c>
      <c r="AC2317" s="16" t="s">
        <v>2102</v>
      </c>
      <c r="AD2317" s="16" t="s">
        <v>40</v>
      </c>
      <c r="AE2317" s="35" t="str">
        <f t="shared" si="37"/>
        <v>EF1 E002 Mat</v>
      </c>
    </row>
    <row r="2318" spans="1:31" ht="105" x14ac:dyDescent="0.25">
      <c r="A2318" s="31" t="s">
        <v>4847</v>
      </c>
      <c r="B2318" s="16" t="s">
        <v>32</v>
      </c>
      <c r="C2318" s="16" t="s">
        <v>164</v>
      </c>
      <c r="D2318" s="33" t="s">
        <v>34</v>
      </c>
      <c r="E2318" s="33">
        <v>166</v>
      </c>
      <c r="F2318" s="33">
        <v>3</v>
      </c>
      <c r="G2318" s="33">
        <v>8</v>
      </c>
      <c r="H2318" s="33"/>
      <c r="I2318" s="31" t="s">
        <v>35</v>
      </c>
      <c r="J2318" s="31"/>
      <c r="K2318" s="33"/>
      <c r="L2318" s="33"/>
      <c r="M2318" s="31"/>
      <c r="N2318" s="31"/>
      <c r="O2318" s="16" t="s">
        <v>4848</v>
      </c>
      <c r="P2318" s="16"/>
      <c r="Q2318" s="16"/>
      <c r="R2318" s="33">
        <v>97</v>
      </c>
      <c r="S2318" s="34">
        <v>45870</v>
      </c>
      <c r="T2318" s="34">
        <v>45877</v>
      </c>
      <c r="U2318" s="34"/>
      <c r="V2318" s="34"/>
      <c r="W2318" s="34">
        <v>45877</v>
      </c>
      <c r="X2318" s="33" t="s">
        <v>184</v>
      </c>
      <c r="Y2318" s="35" t="str">
        <f>IF(Tabela2[[#This Row],[SIGLA]]="","",VLOOKUP(Tabela2[[#This Row],[SIGLA]],Tabela1[[#All],[Sigla Arte]:[Crédito]],2,0))</f>
        <v>VER DOCUMENTO DE ILS. TÉCNICAS</v>
      </c>
      <c r="Z2318" s="31" t="s">
        <v>101</v>
      </c>
      <c r="AA2318" s="31" t="s">
        <v>4849</v>
      </c>
      <c r="AB2318" s="33">
        <v>14</v>
      </c>
      <c r="AC2318" s="16" t="s">
        <v>102</v>
      </c>
      <c r="AD2318" s="16" t="s">
        <v>40</v>
      </c>
      <c r="AE2318" s="35" t="str">
        <f t="shared" si="37"/>
        <v>EF1 E002 Mat</v>
      </c>
    </row>
    <row r="2319" spans="1:31" ht="75" x14ac:dyDescent="0.25">
      <c r="A2319" s="31" t="s">
        <v>4850</v>
      </c>
      <c r="B2319" s="16" t="s">
        <v>32</v>
      </c>
      <c r="C2319" s="16" t="s">
        <v>327</v>
      </c>
      <c r="D2319" s="33" t="s">
        <v>34</v>
      </c>
      <c r="E2319" s="33">
        <v>169</v>
      </c>
      <c r="F2319" s="33">
        <v>3</v>
      </c>
      <c r="G2319" s="33">
        <v>8</v>
      </c>
      <c r="H2319" s="33"/>
      <c r="I2319" s="31" t="s">
        <v>995</v>
      </c>
      <c r="J2319" s="31"/>
      <c r="K2319" s="33"/>
      <c r="L2319" s="33"/>
      <c r="M2319" s="31"/>
      <c r="N2319" s="31"/>
      <c r="O2319" s="16" t="s">
        <v>4851</v>
      </c>
      <c r="P2319" s="16"/>
      <c r="Q2319" s="16"/>
      <c r="R2319" s="33">
        <v>97</v>
      </c>
      <c r="S2319" s="34">
        <v>45870</v>
      </c>
      <c r="T2319" s="34">
        <v>45877</v>
      </c>
      <c r="U2319" s="34"/>
      <c r="V2319" s="34"/>
      <c r="W2319" s="34">
        <v>45877</v>
      </c>
      <c r="X2319" s="33" t="s">
        <v>4713</v>
      </c>
      <c r="Y2319" s="35" t="str">
        <f>IF(Tabela2[[#This Row],[SIGLA]]="","",VLOOKUP(Tabela2[[#This Row],[SIGLA]],Tabela1[[#All],[Sigla Arte]:[Crédito]],2,0))</f>
        <v>NICOLAS FURTADO/ARQUIVO DA EDITORA</v>
      </c>
      <c r="Z2319" s="31"/>
      <c r="AA2319" s="31" t="str">
        <f>Tabela2[[#This Row],[ILUSTRADOR CRIAÇÃO]]</f>
        <v>NICOLAS FURTADO/ARQUIVO DA EDITORA</v>
      </c>
      <c r="AB2319" s="33">
        <v>8</v>
      </c>
      <c r="AC2319" s="16" t="s">
        <v>2102</v>
      </c>
      <c r="AD2319" s="16" t="s">
        <v>40</v>
      </c>
      <c r="AE2319" s="35" t="str">
        <f t="shared" si="37"/>
        <v>EF1 E002 Mat</v>
      </c>
    </row>
    <row r="2320" spans="1:31" ht="90" x14ac:dyDescent="0.25">
      <c r="A2320" s="31" t="s">
        <v>4852</v>
      </c>
      <c r="B2320" s="16" t="s">
        <v>32</v>
      </c>
      <c r="C2320" s="16" t="s">
        <v>164</v>
      </c>
      <c r="D2320" s="33" t="s">
        <v>34</v>
      </c>
      <c r="E2320" s="33">
        <v>171</v>
      </c>
      <c r="F2320" s="33">
        <v>3</v>
      </c>
      <c r="G2320" s="33">
        <v>8</v>
      </c>
      <c r="H2320" s="33"/>
      <c r="I2320" s="31" t="s">
        <v>995</v>
      </c>
      <c r="J2320" s="31"/>
      <c r="K2320" s="33"/>
      <c r="L2320" s="33"/>
      <c r="M2320" s="31"/>
      <c r="N2320" s="31"/>
      <c r="O2320" s="16" t="s">
        <v>4853</v>
      </c>
      <c r="P2320" s="16"/>
      <c r="Q2320" s="16"/>
      <c r="R2320" s="33">
        <v>97</v>
      </c>
      <c r="S2320" s="34">
        <v>45870</v>
      </c>
      <c r="T2320" s="34">
        <v>45877</v>
      </c>
      <c r="U2320" s="34"/>
      <c r="V2320" s="34"/>
      <c r="W2320" s="34">
        <v>45877</v>
      </c>
      <c r="X2320" s="33" t="s">
        <v>4713</v>
      </c>
      <c r="Y2320" s="35" t="str">
        <f>IF(Tabela2[[#This Row],[SIGLA]]="","",VLOOKUP(Tabela2[[#This Row],[SIGLA]],Tabela1[[#All],[Sigla Arte]:[Crédito]],2,0))</f>
        <v>NICOLAS FURTADO/ARQUIVO DA EDITORA</v>
      </c>
      <c r="Z2320" s="31"/>
      <c r="AA2320" s="31" t="str">
        <f>Tabela2[[#This Row],[ILUSTRADOR CRIAÇÃO]]</f>
        <v>NICOLAS FURTADO/ARQUIVO DA EDITORA</v>
      </c>
      <c r="AB2320" s="33">
        <v>8</v>
      </c>
      <c r="AC2320" s="16" t="s">
        <v>2102</v>
      </c>
      <c r="AD2320" s="16" t="s">
        <v>40</v>
      </c>
      <c r="AE2320" s="35" t="str">
        <f t="shared" si="37"/>
        <v>EF1 E002 Mat</v>
      </c>
    </row>
    <row r="2321" spans="1:31" ht="60" x14ac:dyDescent="0.25">
      <c r="A2321" s="31" t="s">
        <v>4854</v>
      </c>
      <c r="B2321" s="16" t="s">
        <v>32</v>
      </c>
      <c r="C2321" s="16" t="s">
        <v>164</v>
      </c>
      <c r="D2321" s="33" t="s">
        <v>34</v>
      </c>
      <c r="E2321" s="33">
        <v>171</v>
      </c>
      <c r="F2321" s="33">
        <v>3</v>
      </c>
      <c r="G2321" s="33">
        <v>8</v>
      </c>
      <c r="H2321" s="33"/>
      <c r="I2321" s="31" t="s">
        <v>995</v>
      </c>
      <c r="J2321" s="31"/>
      <c r="K2321" s="33"/>
      <c r="L2321" s="33"/>
      <c r="M2321" s="31"/>
      <c r="N2321" s="31"/>
      <c r="O2321" s="16" t="s">
        <v>4855</v>
      </c>
      <c r="P2321" s="16"/>
      <c r="Q2321" s="16"/>
      <c r="R2321" s="33">
        <v>97</v>
      </c>
      <c r="S2321" s="34">
        <v>45870</v>
      </c>
      <c r="T2321" s="34">
        <v>45877</v>
      </c>
      <c r="U2321" s="34"/>
      <c r="V2321" s="34"/>
      <c r="W2321" s="34">
        <v>45877</v>
      </c>
      <c r="X2321" s="33" t="s">
        <v>4713</v>
      </c>
      <c r="Y2321" s="35" t="str">
        <f>IF(Tabela2[[#This Row],[SIGLA]]="","",VLOOKUP(Tabela2[[#This Row],[SIGLA]],Tabela1[[#All],[Sigla Arte]:[Crédito]],2,0))</f>
        <v>NICOLAS FURTADO/ARQUIVO DA EDITORA</v>
      </c>
      <c r="Z2321" s="31"/>
      <c r="AA2321" s="31" t="str">
        <f>Tabela2[[#This Row],[ILUSTRADOR CRIAÇÃO]]</f>
        <v>NICOLAS FURTADO/ARQUIVO DA EDITORA</v>
      </c>
      <c r="AB2321" s="33">
        <v>8</v>
      </c>
      <c r="AC2321" s="16" t="s">
        <v>2102</v>
      </c>
      <c r="AD2321" s="16" t="s">
        <v>40</v>
      </c>
      <c r="AE2321" s="35" t="str">
        <f t="shared" si="37"/>
        <v>EF1 E002 Mat</v>
      </c>
    </row>
    <row r="2322" spans="1:31" ht="105" x14ac:dyDescent="0.25">
      <c r="A2322" s="31" t="s">
        <v>4856</v>
      </c>
      <c r="B2322" s="16" t="s">
        <v>97</v>
      </c>
      <c r="C2322" s="16" t="s">
        <v>327</v>
      </c>
      <c r="D2322" s="33" t="s">
        <v>34</v>
      </c>
      <c r="E2322" s="33">
        <v>171</v>
      </c>
      <c r="F2322" s="33">
        <v>3</v>
      </c>
      <c r="G2322" s="33">
        <v>8</v>
      </c>
      <c r="H2322" s="33"/>
      <c r="I2322" s="31" t="s">
        <v>995</v>
      </c>
      <c r="J2322" s="31"/>
      <c r="K2322" s="33"/>
      <c r="L2322" s="33"/>
      <c r="M2322" s="31"/>
      <c r="N2322" s="31"/>
      <c r="O2322" s="16" t="s">
        <v>4857</v>
      </c>
      <c r="P2322" s="16"/>
      <c r="Q2322" s="16"/>
      <c r="R2322" s="33">
        <v>97</v>
      </c>
      <c r="S2322" s="34">
        <v>45870</v>
      </c>
      <c r="T2322" s="34">
        <v>45877</v>
      </c>
      <c r="U2322" s="34"/>
      <c r="V2322" s="34"/>
      <c r="W2322" s="34">
        <v>45877</v>
      </c>
      <c r="X2322" s="33" t="s">
        <v>4713</v>
      </c>
      <c r="Y2322" s="35" t="str">
        <f>IF(Tabela2[[#This Row],[SIGLA]]="","",VLOOKUP(Tabela2[[#This Row],[SIGLA]],Tabela1[[#All],[Sigla Arte]:[Crédito]],2,0))</f>
        <v>NICOLAS FURTADO/ARQUIVO DA EDITORA</v>
      </c>
      <c r="Z2322" s="31"/>
      <c r="AA2322" s="31" t="str">
        <f>Tabela2[[#This Row],[ILUSTRADOR CRIAÇÃO]]</f>
        <v>NICOLAS FURTADO/ARQUIVO DA EDITORA</v>
      </c>
      <c r="AB2322" s="33">
        <v>8</v>
      </c>
      <c r="AC2322" s="16" t="s">
        <v>2102</v>
      </c>
      <c r="AD2322" s="16" t="s">
        <v>40</v>
      </c>
      <c r="AE2322" s="35" t="str">
        <f t="shared" si="37"/>
        <v>EF1 E002 Mat</v>
      </c>
    </row>
    <row r="2323" spans="1:31" ht="30" x14ac:dyDescent="0.25">
      <c r="A2323" s="31" t="s">
        <v>4858</v>
      </c>
      <c r="B2323" s="16" t="s">
        <v>32</v>
      </c>
      <c r="C2323" s="16" t="s">
        <v>33</v>
      </c>
      <c r="D2323" s="33" t="s">
        <v>34</v>
      </c>
      <c r="E2323" s="33">
        <v>58</v>
      </c>
      <c r="F2323" s="33">
        <v>3</v>
      </c>
      <c r="G2323" s="33">
        <v>3</v>
      </c>
      <c r="H2323" s="33"/>
      <c r="I2323" s="31" t="s">
        <v>46</v>
      </c>
      <c r="J2323" s="31"/>
      <c r="K2323" s="33"/>
      <c r="L2323" s="33"/>
      <c r="M2323" s="31"/>
      <c r="N2323" s="31"/>
      <c r="O2323" s="16" t="s">
        <v>4859</v>
      </c>
      <c r="P2323" s="16"/>
      <c r="Q2323" s="16"/>
      <c r="R2323" s="33"/>
      <c r="S2323" s="34"/>
      <c r="T2323" s="34"/>
      <c r="U2323" s="34"/>
      <c r="V2323" s="34"/>
      <c r="W2323" s="34"/>
      <c r="X2323" s="33" t="s">
        <v>48</v>
      </c>
      <c r="Y2323" s="35" t="str">
        <f>IF(Tabela2[[#This Row],[SIGLA]]="","",VLOOKUP(Tabela2[[#This Row],[SIGLA]],Tabela1[[#All],[Sigla Arte]:[Crédito]],2,0))</f>
        <v>SERGIO LIMA/ARQUIVO DA EDITORA</v>
      </c>
      <c r="Z2323" s="31"/>
      <c r="AA2323" s="31" t="str">
        <f>Tabela2[[#This Row],[ILUSTRADOR CRIAÇÃO]]</f>
        <v>SERGIO LIMA/ARQUIVO DA EDITORA</v>
      </c>
      <c r="AB2323" s="33"/>
      <c r="AC2323" s="16"/>
      <c r="AE2323" s="35" t="str">
        <f t="shared" si="37"/>
        <v>EF1 E002 Mat</v>
      </c>
    </row>
    <row r="2324" spans="1:31" ht="30" x14ac:dyDescent="0.25">
      <c r="A2324" s="31" t="s">
        <v>4860</v>
      </c>
      <c r="B2324" s="16" t="s">
        <v>32</v>
      </c>
      <c r="C2324" s="16" t="s">
        <v>164</v>
      </c>
      <c r="D2324" s="33" t="s">
        <v>34</v>
      </c>
      <c r="E2324" s="33">
        <v>57</v>
      </c>
      <c r="F2324" s="33">
        <v>1</v>
      </c>
      <c r="G2324" s="33">
        <v>1</v>
      </c>
      <c r="H2324" s="33"/>
      <c r="I2324" s="31" t="s">
        <v>35</v>
      </c>
      <c r="J2324" s="31"/>
      <c r="K2324" s="33"/>
      <c r="L2324" s="33"/>
      <c r="M2324" s="31"/>
      <c r="N2324" s="31"/>
      <c r="O2324" s="16" t="s">
        <v>4861</v>
      </c>
      <c r="P2324" s="16"/>
      <c r="Q2324" s="16"/>
      <c r="R2324" s="33">
        <v>99</v>
      </c>
      <c r="S2324" s="34">
        <v>45873</v>
      </c>
      <c r="T2324" s="34">
        <v>45873</v>
      </c>
      <c r="U2324" s="34"/>
      <c r="V2324" s="34"/>
      <c r="W2324" s="34">
        <v>45873</v>
      </c>
      <c r="X2324" s="33" t="s">
        <v>3443</v>
      </c>
      <c r="Y2324" s="35" t="str">
        <f>IF(Tabela2[[#This Row],[SIGLA]]="","",VLOOKUP(Tabela2[[#This Row],[SIGLA]],Tabela1[[#All],[Sigla Arte]:[Crédito]],2,0))</f>
        <v>VINÍCIUS COSTA/ARQUIVO DA EDITORA</v>
      </c>
      <c r="Z2324" s="31" t="s">
        <v>221</v>
      </c>
      <c r="AA2324" s="31" t="str">
        <f>Tabela2[[#This Row],[ILUSTRADOR CRIAÇÃO]]</f>
        <v>VINÍCIUS COSTA/ARQUIVO DA EDITORA</v>
      </c>
      <c r="AB2324" s="33">
        <v>13</v>
      </c>
      <c r="AC2324" s="16" t="s">
        <v>222</v>
      </c>
      <c r="AD2324" s="16" t="s">
        <v>40</v>
      </c>
      <c r="AE2324" s="35" t="str">
        <f t="shared" si="37"/>
        <v>EF1 E002 Mat</v>
      </c>
    </row>
    <row r="2325" spans="1:31" ht="30" x14ac:dyDescent="0.25">
      <c r="A2325" s="31" t="s">
        <v>4862</v>
      </c>
      <c r="B2325" s="16" t="s">
        <v>32</v>
      </c>
      <c r="C2325" s="16" t="s">
        <v>164</v>
      </c>
      <c r="D2325" s="33" t="s">
        <v>34</v>
      </c>
      <c r="E2325" s="33">
        <v>57</v>
      </c>
      <c r="F2325" s="33">
        <v>1</v>
      </c>
      <c r="G2325" s="33">
        <v>1</v>
      </c>
      <c r="H2325" s="33"/>
      <c r="I2325" s="31" t="s">
        <v>35</v>
      </c>
      <c r="J2325" s="31"/>
      <c r="K2325" s="33"/>
      <c r="L2325" s="33"/>
      <c r="M2325" s="31"/>
      <c r="N2325" s="31"/>
      <c r="O2325" s="16" t="s">
        <v>4863</v>
      </c>
      <c r="P2325" s="16"/>
      <c r="Q2325" s="16"/>
      <c r="R2325" s="33">
        <v>99</v>
      </c>
      <c r="S2325" s="34">
        <v>45873</v>
      </c>
      <c r="T2325" s="34">
        <v>45873</v>
      </c>
      <c r="U2325" s="34"/>
      <c r="V2325" s="34"/>
      <c r="W2325" s="34">
        <v>45873</v>
      </c>
      <c r="X2325" s="33" t="s">
        <v>3443</v>
      </c>
      <c r="Y2325" s="35" t="str">
        <f>IF(Tabela2[[#This Row],[SIGLA]]="","",VLOOKUP(Tabela2[[#This Row],[SIGLA]],Tabela1[[#All],[Sigla Arte]:[Crédito]],2,0))</f>
        <v>VINÍCIUS COSTA/ARQUIVO DA EDITORA</v>
      </c>
      <c r="Z2325" s="31" t="s">
        <v>221</v>
      </c>
      <c r="AA2325" s="31" t="str">
        <f>Tabela2[[#This Row],[ILUSTRADOR CRIAÇÃO]]</f>
        <v>VINÍCIUS COSTA/ARQUIVO DA EDITORA</v>
      </c>
      <c r="AB2325" s="33">
        <v>13</v>
      </c>
      <c r="AC2325" s="16" t="s">
        <v>222</v>
      </c>
      <c r="AD2325" s="16" t="s">
        <v>40</v>
      </c>
      <c r="AE2325" s="35" t="str">
        <f t="shared" si="37"/>
        <v>EF1 E002 Mat</v>
      </c>
    </row>
    <row r="2326" spans="1:31" ht="30" x14ac:dyDescent="0.25">
      <c r="A2326" s="31" t="s">
        <v>4864</v>
      </c>
      <c r="B2326" s="16" t="s">
        <v>32</v>
      </c>
      <c r="C2326" s="16" t="s">
        <v>164</v>
      </c>
      <c r="D2326" s="33" t="s">
        <v>34</v>
      </c>
      <c r="E2326" s="33">
        <v>57</v>
      </c>
      <c r="F2326" s="33">
        <v>1</v>
      </c>
      <c r="G2326" s="33">
        <v>1</v>
      </c>
      <c r="H2326" s="33"/>
      <c r="I2326" s="31" t="s">
        <v>35</v>
      </c>
      <c r="J2326" s="31"/>
      <c r="K2326" s="33"/>
      <c r="L2326" s="33"/>
      <c r="M2326" s="31"/>
      <c r="N2326" s="31"/>
      <c r="O2326" s="16" t="s">
        <v>4865</v>
      </c>
      <c r="P2326" s="16"/>
      <c r="Q2326" s="16"/>
      <c r="R2326" s="33">
        <v>99</v>
      </c>
      <c r="S2326" s="34">
        <v>45873</v>
      </c>
      <c r="T2326" s="34">
        <v>45873</v>
      </c>
      <c r="U2326" s="34"/>
      <c r="V2326" s="34"/>
      <c r="W2326" s="34">
        <v>45873</v>
      </c>
      <c r="X2326" s="33" t="s">
        <v>3443</v>
      </c>
      <c r="Y2326" s="35" t="str">
        <f>IF(Tabela2[[#This Row],[SIGLA]]="","",VLOOKUP(Tabela2[[#This Row],[SIGLA]],Tabela1[[#All],[Sigla Arte]:[Crédito]],2,0))</f>
        <v>VINÍCIUS COSTA/ARQUIVO DA EDITORA</v>
      </c>
      <c r="Z2326" s="31" t="s">
        <v>221</v>
      </c>
      <c r="AA2326" s="31" t="str">
        <f>Tabela2[[#This Row],[ILUSTRADOR CRIAÇÃO]]</f>
        <v>VINÍCIUS COSTA/ARQUIVO DA EDITORA</v>
      </c>
      <c r="AB2326" s="33">
        <v>13</v>
      </c>
      <c r="AC2326" s="16" t="s">
        <v>222</v>
      </c>
      <c r="AD2326" s="16" t="s">
        <v>40</v>
      </c>
      <c r="AE2326" s="35" t="str">
        <f t="shared" si="37"/>
        <v>EF1 E002 Mat</v>
      </c>
    </row>
    <row r="2327" spans="1:31" ht="30" x14ac:dyDescent="0.25">
      <c r="A2327" s="31" t="s">
        <v>4866</v>
      </c>
      <c r="B2327" s="16" t="s">
        <v>32</v>
      </c>
      <c r="C2327" s="16" t="s">
        <v>164</v>
      </c>
      <c r="D2327" s="33" t="s">
        <v>34</v>
      </c>
      <c r="E2327" s="33">
        <v>57</v>
      </c>
      <c r="F2327" s="33">
        <v>1</v>
      </c>
      <c r="G2327" s="33">
        <v>1</v>
      </c>
      <c r="H2327" s="33"/>
      <c r="I2327" s="31" t="s">
        <v>35</v>
      </c>
      <c r="J2327" s="31"/>
      <c r="K2327" s="33"/>
      <c r="L2327" s="33"/>
      <c r="M2327" s="31"/>
      <c r="N2327" s="31"/>
      <c r="O2327" s="16" t="s">
        <v>4867</v>
      </c>
      <c r="P2327" s="16"/>
      <c r="Q2327" s="16"/>
      <c r="R2327" s="33">
        <v>99</v>
      </c>
      <c r="S2327" s="34">
        <v>45873</v>
      </c>
      <c r="T2327" s="34">
        <v>45873</v>
      </c>
      <c r="U2327" s="34"/>
      <c r="V2327" s="34"/>
      <c r="W2327" s="34">
        <v>45873</v>
      </c>
      <c r="X2327" s="33" t="s">
        <v>3443</v>
      </c>
      <c r="Y2327" s="35" t="str">
        <f>IF(Tabela2[[#This Row],[SIGLA]]="","",VLOOKUP(Tabela2[[#This Row],[SIGLA]],Tabela1[[#All],[Sigla Arte]:[Crédito]],2,0))</f>
        <v>VINÍCIUS COSTA/ARQUIVO DA EDITORA</v>
      </c>
      <c r="Z2327" s="31" t="s">
        <v>221</v>
      </c>
      <c r="AA2327" s="31" t="str">
        <f>Tabela2[[#This Row],[ILUSTRADOR CRIAÇÃO]]</f>
        <v>VINÍCIUS COSTA/ARQUIVO DA EDITORA</v>
      </c>
      <c r="AB2327" s="33">
        <v>13</v>
      </c>
      <c r="AC2327" s="16" t="s">
        <v>222</v>
      </c>
      <c r="AD2327" s="16" t="s">
        <v>40</v>
      </c>
      <c r="AE2327" s="35" t="str">
        <f t="shared" si="37"/>
        <v>EF1 E002 Mat</v>
      </c>
    </row>
    <row r="2328" spans="1:31" ht="195" x14ac:dyDescent="0.25">
      <c r="A2328" s="31" t="s">
        <v>4868</v>
      </c>
      <c r="B2328" s="16" t="s">
        <v>32</v>
      </c>
      <c r="C2328" s="16" t="s">
        <v>164</v>
      </c>
      <c r="D2328" s="33" t="s">
        <v>4732</v>
      </c>
      <c r="E2328" s="33">
        <v>121</v>
      </c>
      <c r="F2328" s="33">
        <v>1</v>
      </c>
      <c r="G2328" s="33">
        <v>4</v>
      </c>
      <c r="H2328" s="33"/>
      <c r="I2328" s="31" t="s">
        <v>35</v>
      </c>
      <c r="J2328" s="31"/>
      <c r="K2328" s="33"/>
      <c r="L2328" s="33"/>
      <c r="M2328" s="31"/>
      <c r="N2328" s="31"/>
      <c r="O2328" s="16" t="s">
        <v>4869</v>
      </c>
      <c r="P2328" s="16"/>
      <c r="Q2328" s="16"/>
      <c r="R2328" s="33">
        <v>101</v>
      </c>
      <c r="S2328" s="34">
        <v>45876</v>
      </c>
      <c r="T2328" s="34">
        <v>45876</v>
      </c>
      <c r="U2328" s="34"/>
      <c r="V2328" s="34"/>
      <c r="W2328" s="34">
        <v>45876</v>
      </c>
      <c r="X2328" s="33" t="s">
        <v>399</v>
      </c>
      <c r="Y2328" s="35" t="str">
        <f>IF(Tabela2[[#This Row],[SIGLA]]="","",VLOOKUP(Tabela2[[#This Row],[SIGLA]],Tabela1[[#All],[Sigla Arte]:[Crédito]],2,0))</f>
        <v>MÁRCIO GUERRA/ARQUIVO DA EDITORA</v>
      </c>
      <c r="Z2328" s="31" t="s">
        <v>221</v>
      </c>
      <c r="AA2328" s="31" t="str">
        <f>Tabela2[[#This Row],[ILUSTRADOR CRIAÇÃO]]</f>
        <v>MÁRCIO GUERRA/ARQUIVO DA EDITORA</v>
      </c>
      <c r="AB2328" s="33">
        <v>13</v>
      </c>
      <c r="AC2328" s="16" t="s">
        <v>222</v>
      </c>
      <c r="AD2328" s="16" t="s">
        <v>40</v>
      </c>
      <c r="AE2328" s="35" t="str">
        <f t="shared" si="37"/>
        <v>EF1 E002 Mat</v>
      </c>
    </row>
    <row r="2329" spans="1:31" ht="180" x14ac:dyDescent="0.25">
      <c r="A2329" s="31" t="s">
        <v>4870</v>
      </c>
      <c r="B2329" s="16" t="s">
        <v>32</v>
      </c>
      <c r="C2329" s="16" t="s">
        <v>327</v>
      </c>
      <c r="D2329" s="33" t="s">
        <v>4732</v>
      </c>
      <c r="E2329" s="33">
        <v>107</v>
      </c>
      <c r="F2329" s="33">
        <v>2</v>
      </c>
      <c r="G2329" s="33">
        <v>4</v>
      </c>
      <c r="H2329" s="33"/>
      <c r="I2329" s="31" t="s">
        <v>35</v>
      </c>
      <c r="J2329" s="31"/>
      <c r="K2329" s="33"/>
      <c r="L2329" s="33"/>
      <c r="M2329" s="31"/>
      <c r="N2329" s="31"/>
      <c r="O2329" s="16" t="s">
        <v>4871</v>
      </c>
      <c r="P2329" s="16"/>
      <c r="Q2329" s="16"/>
      <c r="R2329" s="33">
        <v>102</v>
      </c>
      <c r="S2329" s="34">
        <v>45877</v>
      </c>
      <c r="T2329" s="34">
        <v>45877</v>
      </c>
      <c r="U2329" s="34"/>
      <c r="V2329" s="34"/>
      <c r="W2329" s="34">
        <v>45884</v>
      </c>
      <c r="X2329" s="33" t="s">
        <v>1201</v>
      </c>
      <c r="Y2329" s="35" t="str">
        <f>IF(Tabela2[[#This Row],[SIGLA]]="","",VLOOKUP(Tabela2[[#This Row],[SIGLA]],Tabela1[[#All],[Sigla Arte]:[Crédito]],2,0))</f>
        <v>RAFAELA PANISSA/ARQUIVO DA EDITORA</v>
      </c>
      <c r="Z2329" s="31" t="s">
        <v>352</v>
      </c>
      <c r="AA2329" s="31" t="str">
        <f>Tabela2[[#This Row],[ILUSTRADOR CRIAÇÃO]]</f>
        <v>RAFAELA PANISSA/ARQUIVO DA EDITORA</v>
      </c>
      <c r="AB2329" s="33">
        <v>13</v>
      </c>
      <c r="AC2329" s="16" t="s">
        <v>39</v>
      </c>
      <c r="AD2329" s="16" t="s">
        <v>40</v>
      </c>
      <c r="AE2329" s="35" t="str">
        <f t="shared" si="37"/>
        <v>EF1 E002 Mat</v>
      </c>
    </row>
    <row r="2330" spans="1:31" x14ac:dyDescent="0.25">
      <c r="A2330" s="31" t="s">
        <v>4872</v>
      </c>
      <c r="B2330" s="16" t="s">
        <v>32</v>
      </c>
      <c r="C2330" s="16" t="s">
        <v>164</v>
      </c>
      <c r="D2330" s="33" t="s">
        <v>34</v>
      </c>
      <c r="E2330" s="33">
        <v>96</v>
      </c>
      <c r="F2330" s="33">
        <v>3</v>
      </c>
      <c r="G2330" s="33">
        <v>5</v>
      </c>
      <c r="H2330" s="33"/>
      <c r="I2330" s="31" t="s">
        <v>995</v>
      </c>
      <c r="J2330" s="31"/>
      <c r="K2330" s="33"/>
      <c r="L2330" s="33"/>
      <c r="M2330" s="31"/>
      <c r="N2330" s="31"/>
      <c r="O2330" s="16" t="s">
        <v>4873</v>
      </c>
      <c r="P2330" s="16"/>
      <c r="Q2330" s="16"/>
      <c r="R2330" s="33">
        <v>104</v>
      </c>
      <c r="S2330" s="34">
        <v>45880</v>
      </c>
      <c r="T2330" s="34">
        <v>45881</v>
      </c>
      <c r="U2330" s="34"/>
      <c r="V2330" s="34"/>
      <c r="W2330" s="34">
        <v>45881</v>
      </c>
      <c r="X2330" s="33" t="s">
        <v>184</v>
      </c>
      <c r="Y2330" s="35" t="str">
        <f>IF(Tabela2[[#This Row],[SIGLA]]="","",VLOOKUP(Tabela2[[#This Row],[SIGLA]],Tabela1[[#All],[Sigla Arte]:[Crédito]],2,0))</f>
        <v>VER DOCUMENTO DE ILS. TÉCNICAS</v>
      </c>
      <c r="Z2330" s="31" t="s">
        <v>352</v>
      </c>
      <c r="AA2330" s="31" t="s">
        <v>191</v>
      </c>
      <c r="AB2330" s="33">
        <v>8</v>
      </c>
      <c r="AC2330" s="16" t="s">
        <v>439</v>
      </c>
      <c r="AD2330" s="16" t="s">
        <v>40</v>
      </c>
      <c r="AE2330" s="35" t="str">
        <f t="shared" si="37"/>
        <v>EF1 E002 Mat</v>
      </c>
    </row>
    <row r="2331" spans="1:31" ht="75" x14ac:dyDescent="0.25">
      <c r="A2331" s="31" t="s">
        <v>4874</v>
      </c>
      <c r="B2331" s="16" t="s">
        <v>32</v>
      </c>
      <c r="C2331" s="16" t="s">
        <v>33</v>
      </c>
      <c r="D2331" s="33" t="s">
        <v>34</v>
      </c>
      <c r="E2331" s="33">
        <v>199</v>
      </c>
      <c r="F2331" s="33">
        <v>3</v>
      </c>
      <c r="G2331" s="33">
        <v>10</v>
      </c>
      <c r="H2331" s="33"/>
      <c r="I2331" s="31" t="s">
        <v>35</v>
      </c>
      <c r="J2331" s="31"/>
      <c r="K2331" s="33"/>
      <c r="L2331" s="33"/>
      <c r="M2331" s="31"/>
      <c r="N2331" s="31"/>
      <c r="O2331" s="16" t="s">
        <v>4875</v>
      </c>
      <c r="P2331" s="16"/>
      <c r="Q2331" s="16"/>
      <c r="R2331" s="33">
        <v>105</v>
      </c>
      <c r="S2331" s="34">
        <v>45880</v>
      </c>
      <c r="T2331" s="34">
        <v>45881</v>
      </c>
      <c r="U2331" s="34"/>
      <c r="V2331" s="34"/>
      <c r="W2331" s="34">
        <v>45881</v>
      </c>
      <c r="X2331" s="33" t="s">
        <v>2269</v>
      </c>
      <c r="Y2331" s="35" t="str">
        <f>IF(Tabela2[[#This Row],[SIGLA]]="","",VLOOKUP(Tabela2[[#This Row],[SIGLA]],Tabela1[[#All],[Sigla Arte]:[Crédito]],2,0))</f>
        <v>GUSTAVO ALMEIDA/ARQUIVO DA EDITORA</v>
      </c>
      <c r="Z2331" s="31" t="s">
        <v>383</v>
      </c>
      <c r="AA2331" s="31" t="str">
        <f>Tabela2[[#This Row],[ILUSTRADOR CRIAÇÃO]]</f>
        <v>GUSTAVO ALMEIDA/ARQUIVO DA EDITORA</v>
      </c>
      <c r="AB2331" s="33">
        <v>13</v>
      </c>
      <c r="AC2331" s="16" t="s">
        <v>405</v>
      </c>
      <c r="AD2331" s="16" t="s">
        <v>40</v>
      </c>
      <c r="AE2331" s="35" t="str">
        <f t="shared" si="37"/>
        <v>EF1 E002 Mat</v>
      </c>
    </row>
    <row r="2332" spans="1:31" ht="75" x14ac:dyDescent="0.25">
      <c r="A2332" s="31" t="s">
        <v>4876</v>
      </c>
      <c r="B2332" s="16" t="s">
        <v>32</v>
      </c>
      <c r="C2332" s="16" t="s">
        <v>164</v>
      </c>
      <c r="D2332" s="33" t="s">
        <v>34</v>
      </c>
      <c r="E2332" s="33">
        <v>204</v>
      </c>
      <c r="F2332" s="33">
        <v>3</v>
      </c>
      <c r="G2332" s="33">
        <v>10</v>
      </c>
      <c r="H2332" s="33"/>
      <c r="I2332" s="31" t="s">
        <v>35</v>
      </c>
      <c r="J2332" s="31"/>
      <c r="K2332" s="33"/>
      <c r="L2332" s="33"/>
      <c r="M2332" s="31"/>
      <c r="N2332" s="31"/>
      <c r="O2332" s="16" t="s">
        <v>4877</v>
      </c>
      <c r="P2332" s="16"/>
      <c r="Q2332" s="16"/>
      <c r="R2332" s="33">
        <v>105</v>
      </c>
      <c r="S2332" s="34">
        <v>45880</v>
      </c>
      <c r="T2332" s="34">
        <v>45881</v>
      </c>
      <c r="U2332" s="34"/>
      <c r="V2332" s="34"/>
      <c r="W2332" s="34">
        <v>45881</v>
      </c>
      <c r="X2332" s="33" t="s">
        <v>184</v>
      </c>
      <c r="Y2332" s="35" t="str">
        <f>IF(Tabela2[[#This Row],[SIGLA]]="","",VLOOKUP(Tabela2[[#This Row],[SIGLA]],Tabela1[[#All],[Sigla Arte]:[Crédito]],2,0))</f>
        <v>VER DOCUMENTO DE ILS. TÉCNICAS</v>
      </c>
      <c r="Z2332" s="31" t="s">
        <v>383</v>
      </c>
      <c r="AA2332" s="31" t="s">
        <v>185</v>
      </c>
      <c r="AB2332" s="33">
        <v>13</v>
      </c>
      <c r="AC2332" s="16" t="s">
        <v>439</v>
      </c>
      <c r="AD2332" s="16" t="s">
        <v>40</v>
      </c>
      <c r="AE2332" s="35" t="str">
        <f t="shared" si="37"/>
        <v>EF1 E002 Mat</v>
      </c>
    </row>
    <row r="2333" spans="1:31" ht="120" x14ac:dyDescent="0.25">
      <c r="A2333" s="31" t="s">
        <v>4878</v>
      </c>
      <c r="B2333" s="16" t="s">
        <v>32</v>
      </c>
      <c r="C2333" s="16" t="s">
        <v>164</v>
      </c>
      <c r="D2333" s="33" t="s">
        <v>34</v>
      </c>
      <c r="E2333" s="33">
        <v>204</v>
      </c>
      <c r="F2333" s="33">
        <v>3</v>
      </c>
      <c r="G2333" s="33">
        <v>10</v>
      </c>
      <c r="H2333" s="33"/>
      <c r="I2333" s="31" t="s">
        <v>35</v>
      </c>
      <c r="J2333" s="31"/>
      <c r="K2333" s="33"/>
      <c r="L2333" s="33"/>
      <c r="M2333" s="31"/>
      <c r="N2333" s="31"/>
      <c r="O2333" s="16" t="s">
        <v>4879</v>
      </c>
      <c r="P2333" s="16"/>
      <c r="Q2333" s="16"/>
      <c r="R2333" s="33">
        <v>105</v>
      </c>
      <c r="S2333" s="34">
        <v>45880</v>
      </c>
      <c r="T2333" s="34">
        <v>45881</v>
      </c>
      <c r="U2333" s="34"/>
      <c r="V2333" s="34"/>
      <c r="W2333" s="34">
        <v>45881</v>
      </c>
      <c r="X2333" s="33" t="s">
        <v>184</v>
      </c>
      <c r="Y2333" s="35" t="str">
        <f>IF(Tabela2[[#This Row],[SIGLA]]="","",VLOOKUP(Tabela2[[#This Row],[SIGLA]],Tabela1[[#All],[Sigla Arte]:[Crédito]],2,0))</f>
        <v>VER DOCUMENTO DE ILS. TÉCNICAS</v>
      </c>
      <c r="Z2333" s="31" t="s">
        <v>383</v>
      </c>
      <c r="AA2333" s="31" t="s">
        <v>185</v>
      </c>
      <c r="AB2333" s="33">
        <v>13</v>
      </c>
      <c r="AC2333" s="16" t="s">
        <v>439</v>
      </c>
      <c r="AD2333" s="16" t="s">
        <v>40</v>
      </c>
      <c r="AE2333" s="35" t="str">
        <f t="shared" si="37"/>
        <v>EF1 E002 Mat</v>
      </c>
    </row>
    <row r="2334" spans="1:31" ht="60" x14ac:dyDescent="0.25">
      <c r="A2334" s="31" t="s">
        <v>4880</v>
      </c>
      <c r="B2334" s="16" t="s">
        <v>32</v>
      </c>
      <c r="C2334" s="16" t="s">
        <v>164</v>
      </c>
      <c r="D2334" s="33" t="s">
        <v>34</v>
      </c>
      <c r="E2334" s="33">
        <v>204</v>
      </c>
      <c r="F2334" s="33">
        <v>3</v>
      </c>
      <c r="G2334" s="33">
        <v>10</v>
      </c>
      <c r="H2334" s="33"/>
      <c r="I2334" s="31" t="s">
        <v>35</v>
      </c>
      <c r="J2334" s="31"/>
      <c r="K2334" s="33"/>
      <c r="L2334" s="33"/>
      <c r="M2334" s="31"/>
      <c r="N2334" s="31"/>
      <c r="O2334" s="16" t="s">
        <v>4881</v>
      </c>
      <c r="P2334" s="16"/>
      <c r="Q2334" s="16"/>
      <c r="R2334" s="33">
        <v>105</v>
      </c>
      <c r="S2334" s="34">
        <v>45880</v>
      </c>
      <c r="T2334" s="34">
        <v>45881</v>
      </c>
      <c r="U2334" s="34"/>
      <c r="V2334" s="34"/>
      <c r="W2334" s="34">
        <v>45881</v>
      </c>
      <c r="X2334" s="33" t="s">
        <v>184</v>
      </c>
      <c r="Y2334" s="35" t="str">
        <f>IF(Tabela2[[#This Row],[SIGLA]]="","",VLOOKUP(Tabela2[[#This Row],[SIGLA]],Tabela1[[#All],[Sigla Arte]:[Crédito]],2,0))</f>
        <v>VER DOCUMENTO DE ILS. TÉCNICAS</v>
      </c>
      <c r="Z2334" s="31" t="s">
        <v>383</v>
      </c>
      <c r="AA2334" s="31" t="s">
        <v>185</v>
      </c>
      <c r="AB2334" s="33">
        <v>13</v>
      </c>
      <c r="AC2334" s="16" t="s">
        <v>439</v>
      </c>
      <c r="AD2334" s="16" t="s">
        <v>40</v>
      </c>
      <c r="AE2334" s="35" t="str">
        <f t="shared" si="37"/>
        <v>EF1 E002 Mat</v>
      </c>
    </row>
    <row r="2335" spans="1:31" ht="90" x14ac:dyDescent="0.25">
      <c r="A2335" s="31" t="s">
        <v>4882</v>
      </c>
      <c r="B2335" s="16" t="s">
        <v>32</v>
      </c>
      <c r="C2335" s="16" t="s">
        <v>164</v>
      </c>
      <c r="D2335" s="33" t="s">
        <v>34</v>
      </c>
      <c r="E2335" s="33">
        <v>207</v>
      </c>
      <c r="F2335" s="33">
        <v>3</v>
      </c>
      <c r="G2335" s="33">
        <v>10</v>
      </c>
      <c r="H2335" s="33"/>
      <c r="I2335" s="31" t="s">
        <v>35</v>
      </c>
      <c r="J2335" s="31"/>
      <c r="K2335" s="33"/>
      <c r="L2335" s="33"/>
      <c r="M2335" s="31"/>
      <c r="N2335" s="31"/>
      <c r="O2335" s="16" t="s">
        <v>4883</v>
      </c>
      <c r="P2335" s="16"/>
      <c r="Q2335" s="16"/>
      <c r="R2335" s="33">
        <v>105</v>
      </c>
      <c r="S2335" s="34">
        <v>45880</v>
      </c>
      <c r="T2335" s="34">
        <v>45881</v>
      </c>
      <c r="U2335" s="34"/>
      <c r="V2335" s="34"/>
      <c r="W2335" s="34">
        <v>45881</v>
      </c>
      <c r="X2335" s="33" t="s">
        <v>184</v>
      </c>
      <c r="Y2335" s="35" t="str">
        <f>IF(Tabela2[[#This Row],[SIGLA]]="","",VLOOKUP(Tabela2[[#This Row],[SIGLA]],Tabela1[[#All],[Sigla Arte]:[Crédito]],2,0))</f>
        <v>VER DOCUMENTO DE ILS. TÉCNICAS</v>
      </c>
      <c r="Z2335" s="31" t="s">
        <v>383</v>
      </c>
      <c r="AA2335" s="31" t="s">
        <v>185</v>
      </c>
      <c r="AB2335" s="33">
        <v>13</v>
      </c>
      <c r="AC2335" s="16" t="s">
        <v>439</v>
      </c>
      <c r="AD2335" s="16" t="s">
        <v>40</v>
      </c>
      <c r="AE2335" s="35" t="str">
        <f t="shared" si="37"/>
        <v>EF1 E002 Mat</v>
      </c>
    </row>
    <row r="2336" spans="1:31" ht="75" x14ac:dyDescent="0.25">
      <c r="A2336" s="31" t="s">
        <v>4884</v>
      </c>
      <c r="B2336" s="16" t="s">
        <v>32</v>
      </c>
      <c r="C2336" s="16" t="s">
        <v>164</v>
      </c>
      <c r="D2336" s="33" t="s">
        <v>34</v>
      </c>
      <c r="E2336" s="33">
        <v>207</v>
      </c>
      <c r="F2336" s="33">
        <v>3</v>
      </c>
      <c r="G2336" s="33">
        <v>10</v>
      </c>
      <c r="H2336" s="33"/>
      <c r="I2336" s="31" t="s">
        <v>995</v>
      </c>
      <c r="J2336" s="31"/>
      <c r="K2336" s="33"/>
      <c r="L2336" s="33"/>
      <c r="M2336" s="31"/>
      <c r="N2336" s="31"/>
      <c r="O2336" s="16" t="s">
        <v>4885</v>
      </c>
      <c r="P2336" s="16"/>
      <c r="Q2336" s="16"/>
      <c r="R2336" s="33">
        <v>105</v>
      </c>
      <c r="S2336" s="34">
        <v>45880</v>
      </c>
      <c r="T2336" s="34">
        <v>45881</v>
      </c>
      <c r="U2336" s="34"/>
      <c r="V2336" s="34"/>
      <c r="W2336" s="34">
        <v>45881</v>
      </c>
      <c r="X2336" s="33" t="s">
        <v>184</v>
      </c>
      <c r="Y2336" s="35" t="str">
        <f>IF(Tabela2[[#This Row],[SIGLA]]="","",VLOOKUP(Tabela2[[#This Row],[SIGLA]],Tabela1[[#All],[Sigla Arte]:[Crédito]],2,0))</f>
        <v>VER DOCUMENTO DE ILS. TÉCNICAS</v>
      </c>
      <c r="Z2336" s="31" t="s">
        <v>383</v>
      </c>
      <c r="AA2336" s="31" t="s">
        <v>185</v>
      </c>
      <c r="AB2336" s="33">
        <v>13</v>
      </c>
      <c r="AC2336" s="16" t="s">
        <v>439</v>
      </c>
      <c r="AD2336" s="16" t="s">
        <v>40</v>
      </c>
      <c r="AE2336" s="35" t="str">
        <f t="shared" si="37"/>
        <v>EF1 E002 Mat</v>
      </c>
    </row>
    <row r="2337" spans="1:31" ht="90" x14ac:dyDescent="0.25">
      <c r="A2337" s="31" t="s">
        <v>4886</v>
      </c>
      <c r="B2337" s="16" t="s">
        <v>32</v>
      </c>
      <c r="C2337" s="16" t="s">
        <v>33</v>
      </c>
      <c r="D2337" s="33" t="s">
        <v>34</v>
      </c>
      <c r="E2337" s="33">
        <v>211</v>
      </c>
      <c r="F2337" s="33">
        <v>3</v>
      </c>
      <c r="G2337" s="33">
        <v>10</v>
      </c>
      <c r="H2337" s="33"/>
      <c r="I2337" s="31" t="s">
        <v>35</v>
      </c>
      <c r="J2337" s="31"/>
      <c r="K2337" s="33"/>
      <c r="L2337" s="33"/>
      <c r="M2337" s="31"/>
      <c r="N2337" s="31"/>
      <c r="O2337" s="16" t="s">
        <v>4887</v>
      </c>
      <c r="P2337" s="16"/>
      <c r="Q2337" s="16"/>
      <c r="R2337" s="33">
        <v>105</v>
      </c>
      <c r="S2337" s="34">
        <v>45880</v>
      </c>
      <c r="T2337" s="34">
        <v>45881</v>
      </c>
      <c r="U2337" s="34"/>
      <c r="V2337" s="34"/>
      <c r="W2337" s="34">
        <v>45881</v>
      </c>
      <c r="X2337" s="33" t="s">
        <v>162</v>
      </c>
      <c r="Y2337" s="35" t="str">
        <f>IF(Tabela2[[#This Row],[SIGLA]]="","",VLOOKUP(Tabela2[[#This Row],[SIGLA]],Tabela1[[#All],[Sigla Arte]:[Crédito]],2,0))</f>
        <v>IVY NUNES/ARQUIVO DA EDITORA</v>
      </c>
      <c r="Z2337" s="31" t="s">
        <v>383</v>
      </c>
      <c r="AA2337" s="31" t="str">
        <f>Tabela2[[#This Row],[ILUSTRADOR CRIAÇÃO]]</f>
        <v>IVY NUNES/ARQUIVO DA EDITORA</v>
      </c>
      <c r="AB2337" s="33">
        <v>13</v>
      </c>
      <c r="AC2337" s="16" t="s">
        <v>405</v>
      </c>
      <c r="AD2337" s="16" t="s">
        <v>40</v>
      </c>
      <c r="AE2337" s="35" t="str">
        <f t="shared" si="37"/>
        <v>EF1 E002 Mat</v>
      </c>
    </row>
    <row r="2338" spans="1:31" ht="90" x14ac:dyDescent="0.25">
      <c r="A2338" s="31" t="s">
        <v>4888</v>
      </c>
      <c r="B2338" s="16" t="s">
        <v>32</v>
      </c>
      <c r="C2338" s="16" t="s">
        <v>164</v>
      </c>
      <c r="D2338" s="33" t="s">
        <v>34</v>
      </c>
      <c r="E2338" s="33">
        <v>213</v>
      </c>
      <c r="F2338" s="33">
        <v>3</v>
      </c>
      <c r="G2338" s="33">
        <v>10</v>
      </c>
      <c r="H2338" s="33"/>
      <c r="I2338" s="31" t="s">
        <v>35</v>
      </c>
      <c r="J2338" s="31"/>
      <c r="K2338" s="33"/>
      <c r="L2338" s="33"/>
      <c r="M2338" s="31"/>
      <c r="N2338" s="31"/>
      <c r="O2338" s="16" t="s">
        <v>4889</v>
      </c>
      <c r="P2338" s="16"/>
      <c r="Q2338" s="16"/>
      <c r="R2338" s="33">
        <v>105</v>
      </c>
      <c r="S2338" s="34">
        <v>45880</v>
      </c>
      <c r="T2338" s="34">
        <v>45881</v>
      </c>
      <c r="U2338" s="34"/>
      <c r="V2338" s="34"/>
      <c r="W2338" s="34">
        <v>45881</v>
      </c>
      <c r="X2338" s="33" t="s">
        <v>184</v>
      </c>
      <c r="Y2338" s="35" t="str">
        <f>IF(Tabela2[[#This Row],[SIGLA]]="","",VLOOKUP(Tabela2[[#This Row],[SIGLA]],Tabela1[[#All],[Sigla Arte]:[Crédito]],2,0))</f>
        <v>VER DOCUMENTO DE ILS. TÉCNICAS</v>
      </c>
      <c r="Z2338" s="31" t="s">
        <v>383</v>
      </c>
      <c r="AA2338" s="31" t="s">
        <v>935</v>
      </c>
      <c r="AB2338" s="33">
        <v>13</v>
      </c>
      <c r="AC2338" s="16" t="s">
        <v>439</v>
      </c>
      <c r="AD2338" s="16" t="s">
        <v>40</v>
      </c>
      <c r="AE2338" s="35" t="str">
        <f t="shared" si="37"/>
        <v>EF1 E002 Mat</v>
      </c>
    </row>
    <row r="2339" spans="1:31" ht="45" x14ac:dyDescent="0.25">
      <c r="A2339" s="31" t="s">
        <v>4890</v>
      </c>
      <c r="B2339" s="16" t="s">
        <v>32</v>
      </c>
      <c r="C2339" s="16" t="s">
        <v>164</v>
      </c>
      <c r="D2339" s="33" t="s">
        <v>34</v>
      </c>
      <c r="E2339" s="33">
        <v>192</v>
      </c>
      <c r="F2339" s="33">
        <v>3</v>
      </c>
      <c r="G2339" s="33">
        <v>10</v>
      </c>
      <c r="H2339" s="33"/>
      <c r="I2339" s="31" t="s">
        <v>995</v>
      </c>
      <c r="J2339" s="31"/>
      <c r="K2339" s="33"/>
      <c r="L2339" s="33"/>
      <c r="M2339" s="31"/>
      <c r="N2339" s="31"/>
      <c r="O2339" s="16" t="s">
        <v>4891</v>
      </c>
      <c r="P2339" s="16"/>
      <c r="Q2339" s="16"/>
      <c r="R2339" s="33">
        <v>105</v>
      </c>
      <c r="S2339" s="34">
        <v>45880</v>
      </c>
      <c r="T2339" s="34">
        <v>45881</v>
      </c>
      <c r="U2339" s="34"/>
      <c r="V2339" s="34"/>
      <c r="W2339" s="34">
        <v>45881</v>
      </c>
      <c r="X2339" s="33" t="s">
        <v>4892</v>
      </c>
      <c r="Y2339" s="35" t="str">
        <f>IF(Tabela2[[#This Row],[SIGLA]]="","",VLOOKUP(Tabela2[[#This Row],[SIGLA]],Tabela1[[#All],[Sigla Arte]:[Crédito]],2,0))</f>
        <v>FELIPE GRIGOLI/ARQUIVO DA EDITORA</v>
      </c>
      <c r="Z2339" s="31" t="s">
        <v>572</v>
      </c>
      <c r="AA2339" s="31" t="str">
        <f>Tabela2[[#This Row],[ILUSTRADOR CRIAÇÃO]]</f>
        <v>FELIPE GRIGOLI/ARQUIVO DA EDITORA</v>
      </c>
      <c r="AB2339" s="33">
        <v>13</v>
      </c>
      <c r="AC2339" s="16" t="s">
        <v>439</v>
      </c>
      <c r="AD2339" s="16" t="s">
        <v>40</v>
      </c>
      <c r="AE2339" s="35" t="str">
        <f t="shared" si="37"/>
        <v>EF1 E002 Mat</v>
      </c>
    </row>
    <row r="2340" spans="1:31" ht="210" x14ac:dyDescent="0.25">
      <c r="A2340" s="31" t="s">
        <v>4893</v>
      </c>
      <c r="B2340" s="16" t="s">
        <v>32</v>
      </c>
      <c r="C2340" s="16" t="s">
        <v>164</v>
      </c>
      <c r="D2340" s="33" t="s">
        <v>34</v>
      </c>
      <c r="E2340" s="33">
        <v>246</v>
      </c>
      <c r="F2340" s="33">
        <v>3</v>
      </c>
      <c r="G2340" s="33">
        <v>12</v>
      </c>
      <c r="H2340" s="33"/>
      <c r="I2340" s="31" t="s">
        <v>995</v>
      </c>
      <c r="J2340" s="31"/>
      <c r="K2340" s="33"/>
      <c r="L2340" s="33"/>
      <c r="M2340" s="31"/>
      <c r="N2340" s="31"/>
      <c r="O2340" s="16" t="s">
        <v>4894</v>
      </c>
      <c r="P2340" s="16"/>
      <c r="Q2340" s="16"/>
      <c r="R2340" s="33">
        <v>106</v>
      </c>
      <c r="S2340" s="34">
        <v>45880</v>
      </c>
      <c r="T2340" s="34">
        <v>45882</v>
      </c>
      <c r="U2340" s="34"/>
      <c r="V2340" s="34"/>
      <c r="W2340" s="34">
        <v>45882</v>
      </c>
      <c r="X2340" s="33" t="s">
        <v>2101</v>
      </c>
      <c r="Y2340" s="35" t="str">
        <f>IF(Tabela2[[#This Row],[SIGLA]]="","",VLOOKUP(Tabela2[[#This Row],[SIGLA]],Tabela1[[#All],[Sigla Arte]:[Crédito]],2,0))</f>
        <v>KEITHY MOSTACHI/ARQUIVO DA EDITORA</v>
      </c>
      <c r="Z2340" s="31" t="s">
        <v>221</v>
      </c>
      <c r="AA2340" s="31" t="str">
        <f>Tabela2[[#This Row],[ILUSTRADOR CRIAÇÃO]]</f>
        <v>KEITHY MOSTACHI/ARQUIVO DA EDITORA</v>
      </c>
      <c r="AB2340" s="33">
        <v>13</v>
      </c>
      <c r="AC2340" s="16" t="s">
        <v>222</v>
      </c>
      <c r="AD2340" s="16" t="s">
        <v>40</v>
      </c>
      <c r="AE2340" s="35" t="str">
        <f t="shared" si="37"/>
        <v>EF1 E002 Mat</v>
      </c>
    </row>
    <row r="2341" spans="1:31" ht="180" x14ac:dyDescent="0.25">
      <c r="A2341" s="31" t="s">
        <v>4895</v>
      </c>
      <c r="B2341" s="16" t="s">
        <v>32</v>
      </c>
      <c r="C2341" s="16" t="s">
        <v>33</v>
      </c>
      <c r="D2341" s="33" t="s">
        <v>34</v>
      </c>
      <c r="E2341" s="33">
        <v>248</v>
      </c>
      <c r="F2341" s="33">
        <v>3</v>
      </c>
      <c r="G2341" s="33">
        <v>12</v>
      </c>
      <c r="H2341" s="33"/>
      <c r="I2341" s="31" t="s">
        <v>35</v>
      </c>
      <c r="J2341" s="31"/>
      <c r="K2341" s="33"/>
      <c r="L2341" s="33"/>
      <c r="M2341" s="31"/>
      <c r="N2341" s="31"/>
      <c r="O2341" s="16" t="s">
        <v>4896</v>
      </c>
      <c r="P2341" s="16"/>
      <c r="Q2341" s="16"/>
      <c r="R2341" s="33">
        <v>106</v>
      </c>
      <c r="S2341" s="34">
        <v>45880</v>
      </c>
      <c r="T2341" s="34">
        <v>45882</v>
      </c>
      <c r="U2341" s="34"/>
      <c r="V2341" s="34"/>
      <c r="W2341" s="34">
        <v>45882</v>
      </c>
      <c r="X2341" s="33" t="s">
        <v>194</v>
      </c>
      <c r="Y2341" s="35" t="str">
        <f>IF(Tabela2[[#This Row],[SIGLA]]="","",VLOOKUP(Tabela2[[#This Row],[SIGLA]],Tabela1[[#All],[Sigla Arte]:[Crédito]],2,0))</f>
        <v>LEANDRO LASSMAR/ARQUIVO DA EDITORA</v>
      </c>
      <c r="Z2341" s="31" t="s">
        <v>221</v>
      </c>
      <c r="AA2341" s="31" t="str">
        <f>Tabela2[[#This Row],[ILUSTRADOR CRIAÇÃO]]</f>
        <v>LEANDRO LASSMAR/ARQUIVO DA EDITORA</v>
      </c>
      <c r="AB2341" s="33">
        <v>13</v>
      </c>
      <c r="AC2341" s="16" t="s">
        <v>439</v>
      </c>
      <c r="AD2341" s="16" t="s">
        <v>40</v>
      </c>
      <c r="AE2341" s="35" t="str">
        <f t="shared" si="37"/>
        <v>EF1 E002 Mat</v>
      </c>
    </row>
    <row r="2342" spans="1:31" ht="30" x14ac:dyDescent="0.25">
      <c r="A2342" s="31" t="s">
        <v>4897</v>
      </c>
      <c r="B2342" s="16" t="s">
        <v>32</v>
      </c>
      <c r="C2342" s="16" t="s">
        <v>164</v>
      </c>
      <c r="D2342" s="33" t="s">
        <v>4732</v>
      </c>
      <c r="E2342" s="33">
        <v>149</v>
      </c>
      <c r="F2342" s="33">
        <v>2</v>
      </c>
      <c r="G2342" s="33">
        <v>6</v>
      </c>
      <c r="H2342" s="33"/>
      <c r="I2342" s="31" t="s">
        <v>46</v>
      </c>
      <c r="J2342" s="31"/>
      <c r="K2342" s="33"/>
      <c r="L2342" s="33"/>
      <c r="M2342" s="31"/>
      <c r="N2342" s="31"/>
      <c r="O2342" s="16" t="s">
        <v>4898</v>
      </c>
      <c r="P2342" s="16"/>
      <c r="Q2342" s="16"/>
      <c r="R2342" s="33"/>
      <c r="S2342" s="34"/>
      <c r="T2342" s="34"/>
      <c r="U2342" s="34"/>
      <c r="V2342" s="34"/>
      <c r="W2342" s="34"/>
      <c r="X2342" s="33" t="s">
        <v>184</v>
      </c>
      <c r="Y2342" s="35" t="str">
        <f>IF(Tabela2[[#This Row],[SIGLA]]="","",VLOOKUP(Tabela2[[#This Row],[SIGLA]],Tabela1[[#All],[Sigla Arte]:[Crédito]],2,0))</f>
        <v>VER DOCUMENTO DE ILS. TÉCNICAS</v>
      </c>
      <c r="Z2342" s="31"/>
      <c r="AA2342" s="31" t="s">
        <v>185</v>
      </c>
      <c r="AB2342" s="33"/>
      <c r="AC2342" s="16"/>
      <c r="AE2342" s="35" t="str">
        <f t="shared" si="37"/>
        <v>EF1 E002 Mat</v>
      </c>
    </row>
    <row r="2343" spans="1:31" ht="45" x14ac:dyDescent="0.25">
      <c r="A2343" s="31" t="s">
        <v>4899</v>
      </c>
      <c r="B2343" s="16" t="s">
        <v>32</v>
      </c>
      <c r="C2343" s="16" t="s">
        <v>164</v>
      </c>
      <c r="D2343" s="33" t="s">
        <v>4732</v>
      </c>
      <c r="E2343" s="33">
        <v>186</v>
      </c>
      <c r="F2343" s="33">
        <v>2</v>
      </c>
      <c r="G2343" s="33">
        <v>8</v>
      </c>
      <c r="H2343" s="33"/>
      <c r="I2343" s="31" t="s">
        <v>46</v>
      </c>
      <c r="J2343" s="31"/>
      <c r="K2343" s="33"/>
      <c r="L2343" s="33"/>
      <c r="M2343" s="31"/>
      <c r="N2343" s="31"/>
      <c r="O2343" s="16" t="s">
        <v>4900</v>
      </c>
      <c r="P2343" s="16"/>
      <c r="Q2343" s="16"/>
      <c r="R2343" s="33"/>
      <c r="S2343" s="34"/>
      <c r="T2343" s="34"/>
      <c r="U2343" s="34"/>
      <c r="V2343" s="34"/>
      <c r="W2343" s="34"/>
      <c r="X2343" s="33" t="s">
        <v>1119</v>
      </c>
      <c r="Y2343" s="35" t="str">
        <f>IF(Tabela2[[#This Row],[SIGLA]]="","",VLOOKUP(Tabela2[[#This Row],[SIGLA]],Tabela1[[#All],[Sigla Arte]:[Crédito]],2,0))</f>
        <v>CYNTHIA SEKIGUCHI/ARQUIVO DA EDITORA</v>
      </c>
      <c r="Z2343" s="31"/>
      <c r="AA2343" s="31" t="str">
        <f>Tabela2[[#This Row],[ILUSTRADOR CRIAÇÃO]]</f>
        <v>CYNTHIA SEKIGUCHI/ARQUIVO DA EDITORA</v>
      </c>
      <c r="AB2343" s="33"/>
      <c r="AC2343" s="16"/>
      <c r="AE2343" s="35" t="str">
        <f t="shared" si="37"/>
        <v>EF1 E002 Mat</v>
      </c>
    </row>
    <row r="2344" spans="1:31" ht="45" x14ac:dyDescent="0.25">
      <c r="A2344" s="31" t="s">
        <v>4901</v>
      </c>
      <c r="B2344" s="16" t="s">
        <v>32</v>
      </c>
      <c r="C2344" s="16" t="s">
        <v>164</v>
      </c>
      <c r="D2344" s="33" t="s">
        <v>4732</v>
      </c>
      <c r="E2344" s="33">
        <v>186</v>
      </c>
      <c r="F2344" s="33">
        <v>2</v>
      </c>
      <c r="G2344" s="33">
        <v>8</v>
      </c>
      <c r="H2344" s="33"/>
      <c r="I2344" s="31" t="s">
        <v>46</v>
      </c>
      <c r="J2344" s="31"/>
      <c r="K2344" s="33"/>
      <c r="L2344" s="33"/>
      <c r="M2344" s="31"/>
      <c r="N2344" s="31"/>
      <c r="O2344" s="16" t="s">
        <v>4902</v>
      </c>
      <c r="P2344" s="16"/>
      <c r="Q2344" s="16"/>
      <c r="R2344" s="33"/>
      <c r="S2344" s="34"/>
      <c r="T2344" s="34"/>
      <c r="U2344" s="34"/>
      <c r="V2344" s="34"/>
      <c r="W2344" s="34"/>
      <c r="X2344" s="33" t="s">
        <v>1119</v>
      </c>
      <c r="Y2344" s="35" t="str">
        <f>IF(Tabela2[[#This Row],[SIGLA]]="","",VLOOKUP(Tabela2[[#This Row],[SIGLA]],Tabela1[[#All],[Sigla Arte]:[Crédito]],2,0))</f>
        <v>CYNTHIA SEKIGUCHI/ARQUIVO DA EDITORA</v>
      </c>
      <c r="Z2344" s="31"/>
      <c r="AA2344" s="31" t="str">
        <f>Tabela2[[#This Row],[ILUSTRADOR CRIAÇÃO]]</f>
        <v>CYNTHIA SEKIGUCHI/ARQUIVO DA EDITORA</v>
      </c>
      <c r="AB2344" s="33"/>
      <c r="AC2344" s="16"/>
      <c r="AE2344" s="35" t="str">
        <f t="shared" si="37"/>
        <v>EF1 E002 Mat</v>
      </c>
    </row>
    <row r="2345" spans="1:31" ht="45" x14ac:dyDescent="0.25">
      <c r="A2345" s="31" t="s">
        <v>4903</v>
      </c>
      <c r="B2345" s="16" t="s">
        <v>32</v>
      </c>
      <c r="C2345" s="16" t="s">
        <v>164</v>
      </c>
      <c r="D2345" s="33" t="s">
        <v>4732</v>
      </c>
      <c r="E2345" s="33">
        <v>186</v>
      </c>
      <c r="F2345" s="33">
        <v>2</v>
      </c>
      <c r="G2345" s="33">
        <v>8</v>
      </c>
      <c r="H2345" s="33"/>
      <c r="I2345" s="31" t="s">
        <v>46</v>
      </c>
      <c r="J2345" s="31"/>
      <c r="K2345" s="33"/>
      <c r="L2345" s="33"/>
      <c r="M2345" s="31"/>
      <c r="N2345" s="31"/>
      <c r="O2345" s="16" t="s">
        <v>4904</v>
      </c>
      <c r="P2345" s="16"/>
      <c r="Q2345" s="16"/>
      <c r="R2345" s="33"/>
      <c r="S2345" s="34"/>
      <c r="T2345" s="34"/>
      <c r="U2345" s="34"/>
      <c r="V2345" s="34"/>
      <c r="W2345" s="34"/>
      <c r="X2345" s="33" t="s">
        <v>1119</v>
      </c>
      <c r="Y2345" s="35" t="str">
        <f>IF(Tabela2[[#This Row],[SIGLA]]="","",VLOOKUP(Tabela2[[#This Row],[SIGLA]],Tabela1[[#All],[Sigla Arte]:[Crédito]],2,0))</f>
        <v>CYNTHIA SEKIGUCHI/ARQUIVO DA EDITORA</v>
      </c>
      <c r="Z2345" s="31"/>
      <c r="AA2345" s="31" t="str">
        <f>Tabela2[[#This Row],[ILUSTRADOR CRIAÇÃO]]</f>
        <v>CYNTHIA SEKIGUCHI/ARQUIVO DA EDITORA</v>
      </c>
      <c r="AB2345" s="33"/>
      <c r="AC2345" s="16"/>
      <c r="AE2345" s="35" t="str">
        <f t="shared" si="37"/>
        <v>EF1 E002 Mat</v>
      </c>
    </row>
    <row r="2346" spans="1:31" ht="45" x14ac:dyDescent="0.25">
      <c r="A2346" s="31" t="s">
        <v>4905</v>
      </c>
      <c r="B2346" s="16" t="s">
        <v>32</v>
      </c>
      <c r="C2346" s="16" t="s">
        <v>164</v>
      </c>
      <c r="D2346" s="33" t="s">
        <v>4732</v>
      </c>
      <c r="E2346" s="33">
        <v>186</v>
      </c>
      <c r="F2346" s="33">
        <v>2</v>
      </c>
      <c r="G2346" s="33">
        <v>8</v>
      </c>
      <c r="H2346" s="33"/>
      <c r="I2346" s="31" t="s">
        <v>46</v>
      </c>
      <c r="J2346" s="31"/>
      <c r="K2346" s="33"/>
      <c r="L2346" s="33"/>
      <c r="M2346" s="31"/>
      <c r="N2346" s="31"/>
      <c r="O2346" s="16" t="s">
        <v>4906</v>
      </c>
      <c r="P2346" s="16"/>
      <c r="Q2346" s="16"/>
      <c r="R2346" s="33"/>
      <c r="S2346" s="34"/>
      <c r="T2346" s="34"/>
      <c r="U2346" s="34"/>
      <c r="V2346" s="34"/>
      <c r="W2346" s="34"/>
      <c r="X2346" s="33" t="s">
        <v>1119</v>
      </c>
      <c r="Y2346" s="35" t="str">
        <f>IF(Tabela2[[#This Row],[SIGLA]]="","",VLOOKUP(Tabela2[[#This Row],[SIGLA]],Tabela1[[#All],[Sigla Arte]:[Crédito]],2,0))</f>
        <v>CYNTHIA SEKIGUCHI/ARQUIVO DA EDITORA</v>
      </c>
      <c r="Z2346" s="31"/>
      <c r="AA2346" s="31" t="str">
        <f>Tabela2[[#This Row],[ILUSTRADOR CRIAÇÃO]]</f>
        <v>CYNTHIA SEKIGUCHI/ARQUIVO DA EDITORA</v>
      </c>
      <c r="AB2346" s="33"/>
      <c r="AC2346" s="16"/>
      <c r="AE2346" s="35" t="str">
        <f t="shared" si="37"/>
        <v>EF1 E002 Mat</v>
      </c>
    </row>
    <row r="2347" spans="1:31" ht="45" x14ac:dyDescent="0.25">
      <c r="A2347" s="31" t="s">
        <v>4907</v>
      </c>
      <c r="B2347" s="16" t="s">
        <v>32</v>
      </c>
      <c r="C2347" s="16" t="s">
        <v>164</v>
      </c>
      <c r="D2347" s="33" t="s">
        <v>4732</v>
      </c>
      <c r="E2347" s="33">
        <v>186</v>
      </c>
      <c r="F2347" s="33">
        <v>2</v>
      </c>
      <c r="G2347" s="33">
        <v>8</v>
      </c>
      <c r="H2347" s="33"/>
      <c r="I2347" s="31" t="s">
        <v>46</v>
      </c>
      <c r="J2347" s="31"/>
      <c r="K2347" s="33"/>
      <c r="L2347" s="33"/>
      <c r="M2347" s="31"/>
      <c r="N2347" s="31"/>
      <c r="O2347" s="16" t="s">
        <v>4908</v>
      </c>
      <c r="P2347" s="16"/>
      <c r="Q2347" s="16"/>
      <c r="R2347" s="33"/>
      <c r="S2347" s="34"/>
      <c r="T2347" s="34"/>
      <c r="U2347" s="34"/>
      <c r="V2347" s="34"/>
      <c r="W2347" s="34"/>
      <c r="X2347" s="33" t="s">
        <v>1119</v>
      </c>
      <c r="Y2347" s="35" t="str">
        <f>IF(Tabela2[[#This Row],[SIGLA]]="","",VLOOKUP(Tabela2[[#This Row],[SIGLA]],Tabela1[[#All],[Sigla Arte]:[Crédito]],2,0))</f>
        <v>CYNTHIA SEKIGUCHI/ARQUIVO DA EDITORA</v>
      </c>
      <c r="Z2347" s="31"/>
      <c r="AA2347" s="31" t="str">
        <f>Tabela2[[#This Row],[ILUSTRADOR CRIAÇÃO]]</f>
        <v>CYNTHIA SEKIGUCHI/ARQUIVO DA EDITORA</v>
      </c>
      <c r="AB2347" s="33"/>
      <c r="AC2347" s="16"/>
      <c r="AE2347" s="35" t="str">
        <f t="shared" si="37"/>
        <v>EF1 E002 Mat</v>
      </c>
    </row>
    <row r="2348" spans="1:31" ht="60" x14ac:dyDescent="0.25">
      <c r="A2348" s="31" t="s">
        <v>4909</v>
      </c>
      <c r="B2348" s="16" t="s">
        <v>32</v>
      </c>
      <c r="C2348" s="16" t="s">
        <v>164</v>
      </c>
      <c r="D2348" s="33" t="s">
        <v>4732</v>
      </c>
      <c r="E2348" s="33">
        <v>186</v>
      </c>
      <c r="F2348" s="33">
        <v>2</v>
      </c>
      <c r="G2348" s="33">
        <v>8</v>
      </c>
      <c r="H2348" s="33"/>
      <c r="I2348" s="31" t="s">
        <v>46</v>
      </c>
      <c r="J2348" s="31"/>
      <c r="K2348" s="33"/>
      <c r="L2348" s="33"/>
      <c r="M2348" s="31"/>
      <c r="N2348" s="31"/>
      <c r="O2348" s="16" t="s">
        <v>4910</v>
      </c>
      <c r="P2348" s="16"/>
      <c r="Q2348" s="16"/>
      <c r="R2348" s="33"/>
      <c r="S2348" s="34"/>
      <c r="T2348" s="34"/>
      <c r="U2348" s="34"/>
      <c r="V2348" s="34"/>
      <c r="W2348" s="34"/>
      <c r="X2348" s="33" t="s">
        <v>1119</v>
      </c>
      <c r="Y2348" s="35" t="str">
        <f>IF(Tabela2[[#This Row],[SIGLA]]="","",VLOOKUP(Tabela2[[#This Row],[SIGLA]],Tabela1[[#All],[Sigla Arte]:[Crédito]],2,0))</f>
        <v>CYNTHIA SEKIGUCHI/ARQUIVO DA EDITORA</v>
      </c>
      <c r="Z2348" s="31"/>
      <c r="AA2348" s="31" t="str">
        <f>Tabela2[[#This Row],[ILUSTRADOR CRIAÇÃO]]</f>
        <v>CYNTHIA SEKIGUCHI/ARQUIVO DA EDITORA</v>
      </c>
      <c r="AB2348" s="33"/>
      <c r="AC2348" s="16"/>
      <c r="AE2348" s="35" t="str">
        <f t="shared" si="37"/>
        <v>EF1 E002 Mat</v>
      </c>
    </row>
    <row r="2349" spans="1:31" ht="135" x14ac:dyDescent="0.25">
      <c r="A2349" s="31" t="s">
        <v>4911</v>
      </c>
      <c r="B2349" s="16" t="s">
        <v>32</v>
      </c>
      <c r="C2349" s="16" t="s">
        <v>164</v>
      </c>
      <c r="D2349" s="33" t="s">
        <v>4732</v>
      </c>
      <c r="E2349" s="33">
        <v>186</v>
      </c>
      <c r="F2349" s="33">
        <v>2</v>
      </c>
      <c r="G2349" s="33">
        <v>8</v>
      </c>
      <c r="H2349" s="33"/>
      <c r="I2349" s="31" t="s">
        <v>35</v>
      </c>
      <c r="J2349" s="31"/>
      <c r="K2349" s="33"/>
      <c r="L2349" s="33"/>
      <c r="M2349" s="31"/>
      <c r="N2349" s="31"/>
      <c r="O2349" s="16" t="s">
        <v>4912</v>
      </c>
      <c r="P2349" s="16"/>
      <c r="Q2349" s="16"/>
      <c r="R2349" s="33">
        <v>107</v>
      </c>
      <c r="S2349" s="34">
        <v>45881</v>
      </c>
      <c r="T2349" s="34">
        <v>45881</v>
      </c>
      <c r="U2349" s="34"/>
      <c r="V2349" s="34"/>
      <c r="W2349" s="34">
        <v>45881</v>
      </c>
      <c r="X2349" s="33" t="s">
        <v>162</v>
      </c>
      <c r="Y2349" s="35" t="str">
        <f>IF(Tabela2[[#This Row],[SIGLA]]="","",VLOOKUP(Tabela2[[#This Row],[SIGLA]],Tabela1[[#All],[Sigla Arte]:[Crédito]],2,0))</f>
        <v>IVY NUNES/ARQUIVO DA EDITORA</v>
      </c>
      <c r="Z2349" s="31" t="s">
        <v>101</v>
      </c>
      <c r="AA2349" s="31" t="str">
        <f>Tabela2[[#This Row],[ILUSTRADOR CRIAÇÃO]]</f>
        <v>IVY NUNES/ARQUIVO DA EDITORA</v>
      </c>
      <c r="AB2349" s="33">
        <v>14</v>
      </c>
      <c r="AC2349" s="16" t="s">
        <v>102</v>
      </c>
      <c r="AD2349" s="16" t="s">
        <v>40</v>
      </c>
      <c r="AE2349" s="35" t="str">
        <f t="shared" si="37"/>
        <v>EF1 E002 Mat</v>
      </c>
    </row>
    <row r="2350" spans="1:31" ht="90" x14ac:dyDescent="0.25">
      <c r="A2350" s="31" t="s">
        <v>4913</v>
      </c>
      <c r="B2350" s="16" t="s">
        <v>32</v>
      </c>
      <c r="C2350" s="16" t="s">
        <v>164</v>
      </c>
      <c r="D2350" s="33" t="s">
        <v>4732</v>
      </c>
      <c r="E2350" s="33">
        <v>197</v>
      </c>
      <c r="F2350" s="33">
        <v>2</v>
      </c>
      <c r="G2350" s="33">
        <v>8</v>
      </c>
      <c r="H2350" s="33"/>
      <c r="I2350" s="31" t="s">
        <v>35</v>
      </c>
      <c r="J2350" s="31"/>
      <c r="K2350" s="33"/>
      <c r="L2350" s="33"/>
      <c r="M2350" s="31"/>
      <c r="N2350" s="31"/>
      <c r="O2350" s="16" t="s">
        <v>4914</v>
      </c>
      <c r="P2350" s="16"/>
      <c r="Q2350" s="16"/>
      <c r="R2350" s="33">
        <v>107</v>
      </c>
      <c r="S2350" s="34">
        <v>45881</v>
      </c>
      <c r="T2350" s="34">
        <v>45881</v>
      </c>
      <c r="U2350" s="34"/>
      <c r="V2350" s="34"/>
      <c r="W2350" s="34">
        <v>45881</v>
      </c>
      <c r="X2350" s="33" t="s">
        <v>85</v>
      </c>
      <c r="Y2350" s="35" t="str">
        <f>IF(Tabela2[[#This Row],[SIGLA]]="","",VLOOKUP(Tabela2[[#This Row],[SIGLA]],Tabela1[[#All],[Sigla Arte]:[Crédito]],2,0))</f>
        <v>HELOÍSA PINTARELLI/ARQUIVO DA EDITORA</v>
      </c>
      <c r="Z2350" s="31" t="s">
        <v>101</v>
      </c>
      <c r="AA2350" s="31" t="str">
        <f>Tabela2[[#This Row],[ILUSTRADOR CRIAÇÃO]]</f>
        <v>HELOÍSA PINTARELLI/ARQUIVO DA EDITORA</v>
      </c>
      <c r="AB2350" s="33">
        <v>14</v>
      </c>
      <c r="AC2350" s="16" t="s">
        <v>102</v>
      </c>
      <c r="AD2350" s="16" t="s">
        <v>40</v>
      </c>
      <c r="AE2350" s="35" t="str">
        <f t="shared" si="37"/>
        <v>EF1 E002 Mat</v>
      </c>
    </row>
    <row r="2351" spans="1:31" ht="120" x14ac:dyDescent="0.25">
      <c r="A2351" s="31" t="s">
        <v>4915</v>
      </c>
      <c r="B2351" s="16" t="s">
        <v>32</v>
      </c>
      <c r="C2351" s="16" t="s">
        <v>164</v>
      </c>
      <c r="D2351" s="33" t="s">
        <v>4732</v>
      </c>
      <c r="E2351" s="33">
        <v>199</v>
      </c>
      <c r="F2351" s="33">
        <v>2</v>
      </c>
      <c r="G2351" s="33">
        <v>8</v>
      </c>
      <c r="H2351" s="33"/>
      <c r="I2351" s="31" t="s">
        <v>35</v>
      </c>
      <c r="J2351" s="31"/>
      <c r="K2351" s="33"/>
      <c r="L2351" s="33"/>
      <c r="M2351" s="31"/>
      <c r="N2351" s="31"/>
      <c r="O2351" s="16" t="s">
        <v>4916</v>
      </c>
      <c r="P2351" s="16"/>
      <c r="Q2351" s="16"/>
      <c r="R2351" s="33">
        <v>107</v>
      </c>
      <c r="S2351" s="34">
        <v>45881</v>
      </c>
      <c r="T2351" s="34">
        <v>45881</v>
      </c>
      <c r="U2351" s="34"/>
      <c r="V2351" s="34"/>
      <c r="W2351" s="34">
        <v>45881</v>
      </c>
      <c r="X2351" s="33" t="s">
        <v>247</v>
      </c>
      <c r="Y2351" s="35" t="str">
        <f>IF(Tabela2[[#This Row],[SIGLA]]="","",VLOOKUP(Tabela2[[#This Row],[SIGLA]],Tabela1[[#All],[Sigla Arte]:[Crédito]],2,0))</f>
        <v>THAIS CASTRO/ARQUIVO DA EDITORA</v>
      </c>
      <c r="Z2351" s="31" t="s">
        <v>101</v>
      </c>
      <c r="AA2351" s="31" t="str">
        <f>Tabela2[[#This Row],[ILUSTRADOR CRIAÇÃO]]</f>
        <v>THAIS CASTRO/ARQUIVO DA EDITORA</v>
      </c>
      <c r="AB2351" s="33">
        <v>14</v>
      </c>
      <c r="AC2351" s="16" t="s">
        <v>102</v>
      </c>
      <c r="AD2351" s="16" t="s">
        <v>40</v>
      </c>
      <c r="AE2351" s="35" t="str">
        <f t="shared" si="37"/>
        <v>EF1 E002 Mat</v>
      </c>
    </row>
    <row r="2352" spans="1:31" ht="105" x14ac:dyDescent="0.25">
      <c r="A2352" s="31" t="s">
        <v>4917</v>
      </c>
      <c r="B2352" s="16" t="s">
        <v>32</v>
      </c>
      <c r="C2352" s="16" t="s">
        <v>164</v>
      </c>
      <c r="D2352" s="33" t="s">
        <v>4732</v>
      </c>
      <c r="E2352" s="33">
        <v>199</v>
      </c>
      <c r="F2352" s="33">
        <v>2</v>
      </c>
      <c r="G2352" s="33">
        <v>8</v>
      </c>
      <c r="H2352" s="33"/>
      <c r="I2352" s="31" t="s">
        <v>35</v>
      </c>
      <c r="J2352" s="31"/>
      <c r="K2352" s="33"/>
      <c r="L2352" s="33"/>
      <c r="M2352" s="31"/>
      <c r="N2352" s="31"/>
      <c r="O2352" s="16" t="s">
        <v>4918</v>
      </c>
      <c r="P2352" s="16"/>
      <c r="Q2352" s="16"/>
      <c r="R2352" s="33">
        <v>107</v>
      </c>
      <c r="S2352" s="34">
        <v>45881</v>
      </c>
      <c r="T2352" s="34">
        <v>45881</v>
      </c>
      <c r="U2352" s="34"/>
      <c r="V2352" s="34"/>
      <c r="W2352" s="34">
        <v>45881</v>
      </c>
      <c r="X2352" s="33" t="s">
        <v>48</v>
      </c>
      <c r="Y2352" s="35" t="str">
        <f>IF(Tabela2[[#This Row],[SIGLA]]="","",VLOOKUP(Tabela2[[#This Row],[SIGLA]],Tabela1[[#All],[Sigla Arte]:[Crédito]],2,0))</f>
        <v>SERGIO LIMA/ARQUIVO DA EDITORA</v>
      </c>
      <c r="Z2352" s="31" t="s">
        <v>101</v>
      </c>
      <c r="AA2352" s="31" t="str">
        <f>Tabela2[[#This Row],[ILUSTRADOR CRIAÇÃO]]</f>
        <v>SERGIO LIMA/ARQUIVO DA EDITORA</v>
      </c>
      <c r="AB2352" s="33">
        <v>14</v>
      </c>
      <c r="AC2352" s="16" t="s">
        <v>102</v>
      </c>
      <c r="AD2352" s="16" t="s">
        <v>40</v>
      </c>
      <c r="AE2352" s="35" t="str">
        <f t="shared" si="37"/>
        <v>EF1 E002 Mat</v>
      </c>
    </row>
    <row r="2353" spans="1:31" ht="105" x14ac:dyDescent="0.25">
      <c r="A2353" s="31" t="s">
        <v>4919</v>
      </c>
      <c r="B2353" s="16" t="s">
        <v>32</v>
      </c>
      <c r="C2353" s="16" t="s">
        <v>164</v>
      </c>
      <c r="D2353" s="33" t="s">
        <v>4732</v>
      </c>
      <c r="E2353" s="33">
        <v>199</v>
      </c>
      <c r="F2353" s="33">
        <v>2</v>
      </c>
      <c r="G2353" s="33">
        <v>8</v>
      </c>
      <c r="H2353" s="33"/>
      <c r="I2353" s="31" t="s">
        <v>35</v>
      </c>
      <c r="J2353" s="31"/>
      <c r="K2353" s="33"/>
      <c r="L2353" s="33"/>
      <c r="M2353" s="31"/>
      <c r="N2353" s="31"/>
      <c r="O2353" s="16" t="s">
        <v>4920</v>
      </c>
      <c r="P2353" s="16"/>
      <c r="Q2353" s="16"/>
      <c r="R2353" s="33">
        <v>107</v>
      </c>
      <c r="S2353" s="34">
        <v>45881</v>
      </c>
      <c r="T2353" s="34">
        <v>45881</v>
      </c>
      <c r="U2353" s="34"/>
      <c r="V2353" s="34"/>
      <c r="W2353" s="34">
        <v>45881</v>
      </c>
      <c r="X2353" s="33" t="s">
        <v>48</v>
      </c>
      <c r="Y2353" s="35" t="str">
        <f>IF(Tabela2[[#This Row],[SIGLA]]="","",VLOOKUP(Tabela2[[#This Row],[SIGLA]],Tabela1[[#All],[Sigla Arte]:[Crédito]],2,0))</f>
        <v>SERGIO LIMA/ARQUIVO DA EDITORA</v>
      </c>
      <c r="Z2353" s="31" t="s">
        <v>101</v>
      </c>
      <c r="AA2353" s="31" t="str">
        <f>Tabela2[[#This Row],[ILUSTRADOR CRIAÇÃO]]</f>
        <v>SERGIO LIMA/ARQUIVO DA EDITORA</v>
      </c>
      <c r="AB2353" s="33">
        <v>14</v>
      </c>
      <c r="AC2353" s="16" t="s">
        <v>102</v>
      </c>
      <c r="AD2353" s="16" t="s">
        <v>40</v>
      </c>
      <c r="AE2353" s="35" t="str">
        <f t="shared" si="37"/>
        <v>EF1 E002 Mat</v>
      </c>
    </row>
    <row r="2354" spans="1:31" ht="135" x14ac:dyDescent="0.25">
      <c r="A2354" s="31" t="s">
        <v>4921</v>
      </c>
      <c r="B2354" s="16" t="s">
        <v>401</v>
      </c>
      <c r="C2354" s="16" t="s">
        <v>164</v>
      </c>
      <c r="D2354" s="33" t="s">
        <v>4732</v>
      </c>
      <c r="E2354" s="33">
        <v>275</v>
      </c>
      <c r="F2354" s="33">
        <v>3</v>
      </c>
      <c r="G2354" s="33">
        <v>2</v>
      </c>
      <c r="H2354" s="33"/>
      <c r="I2354" s="31" t="s">
        <v>995</v>
      </c>
      <c r="J2354" s="31"/>
      <c r="K2354" s="33"/>
      <c r="L2354" s="33"/>
      <c r="M2354" s="31"/>
      <c r="N2354" s="31"/>
      <c r="O2354" s="16" t="s">
        <v>4922</v>
      </c>
      <c r="P2354" s="16"/>
      <c r="Q2354" s="16" t="s">
        <v>1500</v>
      </c>
      <c r="R2354" s="33">
        <v>108</v>
      </c>
      <c r="S2354" s="34">
        <v>45881</v>
      </c>
      <c r="T2354" s="34">
        <v>45882</v>
      </c>
      <c r="U2354" s="34"/>
      <c r="V2354" s="34"/>
      <c r="W2354" s="34">
        <v>45882</v>
      </c>
      <c r="X2354" s="33" t="s">
        <v>85</v>
      </c>
      <c r="Y2354" s="35" t="str">
        <f>IF(Tabela2[[#This Row],[SIGLA]]="","",VLOOKUP(Tabela2[[#This Row],[SIGLA]],Tabela1[[#All],[Sigla Arte]:[Crédito]],2,0))</f>
        <v>HELOÍSA PINTARELLI/ARQUIVO DA EDITORA</v>
      </c>
      <c r="Z2354" s="31" t="s">
        <v>38</v>
      </c>
      <c r="AA2354" s="31" t="str">
        <f>Tabela2[[#This Row],[ILUSTRADOR CRIAÇÃO]]</f>
        <v>HELOÍSA PINTARELLI/ARQUIVO DA EDITORA</v>
      </c>
      <c r="AB2354" s="33">
        <v>13</v>
      </c>
      <c r="AC2354" s="16" t="s">
        <v>39</v>
      </c>
      <c r="AD2354" s="16" t="s">
        <v>40</v>
      </c>
      <c r="AE2354" s="35" t="str">
        <f t="shared" ref="AE2354:AE2417" si="38">"EF1 E002 Mat"</f>
        <v>EF1 E002 Mat</v>
      </c>
    </row>
    <row r="2355" spans="1:31" ht="270" x14ac:dyDescent="0.25">
      <c r="A2355" s="31" t="s">
        <v>4923</v>
      </c>
      <c r="B2355" s="16" t="s">
        <v>32</v>
      </c>
      <c r="C2355" s="16" t="s">
        <v>164</v>
      </c>
      <c r="D2355" s="33" t="s">
        <v>34</v>
      </c>
      <c r="E2355" s="33">
        <v>49</v>
      </c>
      <c r="F2355" s="33">
        <v>3</v>
      </c>
      <c r="G2355" s="33">
        <v>2</v>
      </c>
      <c r="H2355" s="33"/>
      <c r="I2355" s="31" t="s">
        <v>995</v>
      </c>
      <c r="J2355" s="31"/>
      <c r="K2355" s="33"/>
      <c r="L2355" s="33"/>
      <c r="M2355" s="31"/>
      <c r="N2355" s="31"/>
      <c r="O2355" s="16" t="s">
        <v>4924</v>
      </c>
      <c r="P2355" s="16"/>
      <c r="Q2355" s="16"/>
      <c r="R2355" s="33">
        <v>108</v>
      </c>
      <c r="S2355" s="34">
        <v>45881</v>
      </c>
      <c r="T2355" s="34">
        <v>45882</v>
      </c>
      <c r="U2355" s="34"/>
      <c r="V2355" s="34"/>
      <c r="W2355" s="34">
        <v>45882</v>
      </c>
      <c r="X2355" s="33" t="s">
        <v>3443</v>
      </c>
      <c r="Y2355" s="35" t="str">
        <f>IF(Tabela2[[#This Row],[SIGLA]]="","",VLOOKUP(Tabela2[[#This Row],[SIGLA]],Tabela1[[#All],[Sigla Arte]:[Crédito]],2,0))</f>
        <v>VINÍCIUS COSTA/ARQUIVO DA EDITORA</v>
      </c>
      <c r="Z2355" s="31"/>
      <c r="AA2355" s="31" t="str">
        <f>Tabela2[[#This Row],[ILUSTRADOR CRIAÇÃO]]</f>
        <v>VINÍCIUS COSTA/ARQUIVO DA EDITORA</v>
      </c>
      <c r="AB2355" s="33">
        <v>8</v>
      </c>
      <c r="AC2355" s="16" t="s">
        <v>924</v>
      </c>
      <c r="AD2355" s="16" t="s">
        <v>40</v>
      </c>
      <c r="AE2355" s="35" t="str">
        <f t="shared" si="38"/>
        <v>EF1 E002 Mat</v>
      </c>
    </row>
    <row r="2356" spans="1:31" ht="105" x14ac:dyDescent="0.25">
      <c r="A2356" s="31" t="s">
        <v>4925</v>
      </c>
      <c r="B2356" s="16" t="s">
        <v>32</v>
      </c>
      <c r="C2356" s="16" t="s">
        <v>33</v>
      </c>
      <c r="D2356" s="33" t="s">
        <v>34</v>
      </c>
      <c r="E2356" s="33">
        <v>85</v>
      </c>
      <c r="F2356" s="33">
        <v>3</v>
      </c>
      <c r="G2356" s="33">
        <v>4</v>
      </c>
      <c r="H2356" s="33"/>
      <c r="I2356" s="31" t="s">
        <v>35</v>
      </c>
      <c r="J2356" s="31"/>
      <c r="K2356" s="33"/>
      <c r="L2356" s="33"/>
      <c r="M2356" s="31"/>
      <c r="N2356" s="31"/>
      <c r="O2356" s="16" t="s">
        <v>4926</v>
      </c>
      <c r="P2356" s="16"/>
      <c r="Q2356" s="16"/>
      <c r="R2356" s="33">
        <v>109</v>
      </c>
      <c r="S2356" s="34">
        <v>45881</v>
      </c>
      <c r="T2356" s="34">
        <v>45881</v>
      </c>
      <c r="U2356" s="34"/>
      <c r="V2356" s="34"/>
      <c r="W2356" s="34">
        <v>45881</v>
      </c>
      <c r="X2356" s="33" t="s">
        <v>1126</v>
      </c>
      <c r="Y2356" s="35" t="str">
        <f>IF(Tabela2[[#This Row],[SIGLA]]="","",VLOOKUP(Tabela2[[#This Row],[SIGLA]],Tabela1[[#All],[Sigla Arte]:[Crédito]],2,0))</f>
        <v>GUSTAVO CONTI/ARQUIVO DA EDITORA</v>
      </c>
      <c r="Z2356" s="31" t="s">
        <v>383</v>
      </c>
      <c r="AA2356" s="31" t="str">
        <f>Tabela2[[#This Row],[ILUSTRADOR CRIAÇÃO]]</f>
        <v>GUSTAVO CONTI/ARQUIVO DA EDITORA</v>
      </c>
      <c r="AB2356" s="33">
        <v>13</v>
      </c>
      <c r="AC2356" s="47" t="s">
        <v>4927</v>
      </c>
      <c r="AD2356" s="16" t="s">
        <v>40</v>
      </c>
      <c r="AE2356" s="35" t="str">
        <f t="shared" si="38"/>
        <v>EF1 E002 Mat</v>
      </c>
    </row>
    <row r="2357" spans="1:31" ht="30" x14ac:dyDescent="0.25">
      <c r="A2357" s="31" t="s">
        <v>4928</v>
      </c>
      <c r="B2357" s="16" t="s">
        <v>32</v>
      </c>
      <c r="C2357" s="16" t="s">
        <v>164</v>
      </c>
      <c r="D2357" s="33" t="s">
        <v>34</v>
      </c>
      <c r="E2357" s="33">
        <v>76</v>
      </c>
      <c r="F2357" s="33">
        <v>3</v>
      </c>
      <c r="G2357" s="33" t="s">
        <v>4929</v>
      </c>
      <c r="H2357" s="33"/>
      <c r="I2357" s="31" t="s">
        <v>46</v>
      </c>
      <c r="J2357" s="31"/>
      <c r="K2357" s="33"/>
      <c r="L2357" s="33"/>
      <c r="M2357" s="31"/>
      <c r="N2357" s="31"/>
      <c r="O2357" s="16" t="s">
        <v>4930</v>
      </c>
      <c r="P2357" s="16"/>
      <c r="Q2357" s="16"/>
      <c r="R2357" s="33"/>
      <c r="S2357" s="34"/>
      <c r="T2357" s="34"/>
      <c r="U2357" s="34"/>
      <c r="V2357" s="34"/>
      <c r="W2357" s="34"/>
      <c r="X2357" s="33" t="s">
        <v>48</v>
      </c>
      <c r="Y2357" s="35" t="str">
        <f>IF(Tabela2[[#This Row],[SIGLA]]="","",VLOOKUP(Tabela2[[#This Row],[SIGLA]],Tabela1[[#All],[Sigla Arte]:[Crédito]],2,0))</f>
        <v>SERGIO LIMA/ARQUIVO DA EDITORA</v>
      </c>
      <c r="Z2357" s="31"/>
      <c r="AA2357" s="31" t="str">
        <f>Tabela2[[#This Row],[ILUSTRADOR CRIAÇÃO]]</f>
        <v>SERGIO LIMA/ARQUIVO DA EDITORA</v>
      </c>
      <c r="AB2357" s="33"/>
      <c r="AC2357" s="16"/>
      <c r="AE2357" s="35" t="str">
        <f t="shared" si="38"/>
        <v>EF1 E002 Mat</v>
      </c>
    </row>
    <row r="2358" spans="1:31" ht="45" x14ac:dyDescent="0.25">
      <c r="A2358" s="31" t="s">
        <v>4931</v>
      </c>
      <c r="B2358" s="16" t="s">
        <v>32</v>
      </c>
      <c r="C2358" s="16" t="s">
        <v>164</v>
      </c>
      <c r="D2358" s="33" t="s">
        <v>34</v>
      </c>
      <c r="E2358" s="33">
        <v>77</v>
      </c>
      <c r="F2358" s="33">
        <v>3</v>
      </c>
      <c r="G2358" s="33" t="s">
        <v>4929</v>
      </c>
      <c r="H2358" s="33"/>
      <c r="I2358" s="31" t="s">
        <v>46</v>
      </c>
      <c r="J2358" s="31"/>
      <c r="K2358" s="33"/>
      <c r="L2358" s="33"/>
      <c r="M2358" s="31"/>
      <c r="N2358" s="31"/>
      <c r="O2358" s="16" t="s">
        <v>4932</v>
      </c>
      <c r="P2358" s="16"/>
      <c r="Q2358" s="16"/>
      <c r="R2358" s="33"/>
      <c r="S2358" s="34"/>
      <c r="T2358" s="34"/>
      <c r="U2358" s="34"/>
      <c r="V2358" s="34"/>
      <c r="W2358" s="34"/>
      <c r="X2358" s="33" t="s">
        <v>48</v>
      </c>
      <c r="Y2358" s="35" t="str">
        <f>IF(Tabela2[[#This Row],[SIGLA]]="","",VLOOKUP(Tabela2[[#This Row],[SIGLA]],Tabela1[[#All],[Sigla Arte]:[Crédito]],2,0))</f>
        <v>SERGIO LIMA/ARQUIVO DA EDITORA</v>
      </c>
      <c r="Z2358" s="31"/>
      <c r="AA2358" s="31" t="str">
        <f>Tabela2[[#This Row],[ILUSTRADOR CRIAÇÃO]]</f>
        <v>SERGIO LIMA/ARQUIVO DA EDITORA</v>
      </c>
      <c r="AB2358" s="33"/>
      <c r="AC2358" s="16"/>
      <c r="AE2358" s="35" t="str">
        <f t="shared" si="38"/>
        <v>EF1 E002 Mat</v>
      </c>
    </row>
    <row r="2359" spans="1:31" ht="30" x14ac:dyDescent="0.25">
      <c r="A2359" s="31" t="s">
        <v>4933</v>
      </c>
      <c r="B2359" s="16" t="s">
        <v>32</v>
      </c>
      <c r="C2359" s="16" t="s">
        <v>164</v>
      </c>
      <c r="D2359" s="33" t="s">
        <v>34</v>
      </c>
      <c r="E2359" s="33">
        <v>77</v>
      </c>
      <c r="F2359" s="33">
        <v>3</v>
      </c>
      <c r="G2359" s="33" t="s">
        <v>4929</v>
      </c>
      <c r="H2359" s="33"/>
      <c r="I2359" s="31" t="s">
        <v>46</v>
      </c>
      <c r="J2359" s="31"/>
      <c r="K2359" s="33"/>
      <c r="L2359" s="33"/>
      <c r="M2359" s="31"/>
      <c r="N2359" s="31"/>
      <c r="O2359" s="16" t="s">
        <v>4934</v>
      </c>
      <c r="P2359" s="16"/>
      <c r="Q2359" s="16"/>
      <c r="R2359" s="33"/>
      <c r="S2359" s="34"/>
      <c r="T2359" s="34"/>
      <c r="U2359" s="34"/>
      <c r="V2359" s="34"/>
      <c r="W2359" s="34"/>
      <c r="X2359" s="33" t="s">
        <v>48</v>
      </c>
      <c r="Y2359" s="35" t="str">
        <f>IF(Tabela2[[#This Row],[SIGLA]]="","",VLOOKUP(Tabela2[[#This Row],[SIGLA]],Tabela1[[#All],[Sigla Arte]:[Crédito]],2,0))</f>
        <v>SERGIO LIMA/ARQUIVO DA EDITORA</v>
      </c>
      <c r="Z2359" s="31"/>
      <c r="AA2359" s="31" t="str">
        <f>Tabela2[[#This Row],[ILUSTRADOR CRIAÇÃO]]</f>
        <v>SERGIO LIMA/ARQUIVO DA EDITORA</v>
      </c>
      <c r="AB2359" s="33"/>
      <c r="AC2359" s="16"/>
      <c r="AE2359" s="35" t="str">
        <f t="shared" si="38"/>
        <v>EF1 E002 Mat</v>
      </c>
    </row>
    <row r="2360" spans="1:31" ht="30" x14ac:dyDescent="0.25">
      <c r="A2360" s="31" t="s">
        <v>4935</v>
      </c>
      <c r="B2360" s="16" t="s">
        <v>32</v>
      </c>
      <c r="C2360" s="16" t="s">
        <v>164</v>
      </c>
      <c r="D2360" s="33" t="s">
        <v>34</v>
      </c>
      <c r="E2360" s="33">
        <v>77</v>
      </c>
      <c r="F2360" s="33">
        <v>3</v>
      </c>
      <c r="G2360" s="33" t="s">
        <v>4929</v>
      </c>
      <c r="H2360" s="33"/>
      <c r="I2360" s="31" t="s">
        <v>46</v>
      </c>
      <c r="J2360" s="31"/>
      <c r="K2360" s="33"/>
      <c r="L2360" s="33"/>
      <c r="M2360" s="31"/>
      <c r="N2360" s="31"/>
      <c r="O2360" s="16" t="s">
        <v>4936</v>
      </c>
      <c r="P2360" s="16"/>
      <c r="Q2360" s="16"/>
      <c r="R2360" s="33"/>
      <c r="S2360" s="34"/>
      <c r="T2360" s="34"/>
      <c r="U2360" s="34"/>
      <c r="V2360" s="34"/>
      <c r="W2360" s="34"/>
      <c r="X2360" s="33" t="s">
        <v>48</v>
      </c>
      <c r="Y2360" s="35" t="str">
        <f>IF(Tabela2[[#This Row],[SIGLA]]="","",VLOOKUP(Tabela2[[#This Row],[SIGLA]],Tabela1[[#All],[Sigla Arte]:[Crédito]],2,0))</f>
        <v>SERGIO LIMA/ARQUIVO DA EDITORA</v>
      </c>
      <c r="Z2360" s="31"/>
      <c r="AA2360" s="31" t="str">
        <f>Tabela2[[#This Row],[ILUSTRADOR CRIAÇÃO]]</f>
        <v>SERGIO LIMA/ARQUIVO DA EDITORA</v>
      </c>
      <c r="AB2360" s="33"/>
      <c r="AC2360" s="16"/>
      <c r="AE2360" s="35" t="str">
        <f t="shared" si="38"/>
        <v>EF1 E002 Mat</v>
      </c>
    </row>
    <row r="2361" spans="1:31" ht="45" x14ac:dyDescent="0.25">
      <c r="A2361" s="31" t="s">
        <v>4937</v>
      </c>
      <c r="B2361" s="16" t="s">
        <v>32</v>
      </c>
      <c r="C2361" s="16" t="s">
        <v>164</v>
      </c>
      <c r="D2361" s="33" t="s">
        <v>34</v>
      </c>
      <c r="E2361" s="33">
        <v>77</v>
      </c>
      <c r="F2361" s="33">
        <v>3</v>
      </c>
      <c r="G2361" s="33" t="s">
        <v>4929</v>
      </c>
      <c r="H2361" s="33"/>
      <c r="I2361" s="31" t="s">
        <v>46</v>
      </c>
      <c r="J2361" s="31"/>
      <c r="K2361" s="33"/>
      <c r="L2361" s="33"/>
      <c r="M2361" s="31"/>
      <c r="N2361" s="31"/>
      <c r="O2361" s="16" t="s">
        <v>4938</v>
      </c>
      <c r="P2361" s="16"/>
      <c r="Q2361" s="16"/>
      <c r="R2361" s="33"/>
      <c r="S2361" s="34"/>
      <c r="T2361" s="34"/>
      <c r="U2361" s="34"/>
      <c r="V2361" s="34"/>
      <c r="W2361" s="34"/>
      <c r="X2361" s="33" t="s">
        <v>48</v>
      </c>
      <c r="Y2361" s="35" t="str">
        <f>IF(Tabela2[[#This Row],[SIGLA]]="","",VLOOKUP(Tabela2[[#This Row],[SIGLA]],Tabela1[[#All],[Sigla Arte]:[Crédito]],2,0))</f>
        <v>SERGIO LIMA/ARQUIVO DA EDITORA</v>
      </c>
      <c r="Z2361" s="31"/>
      <c r="AA2361" s="31" t="str">
        <f>Tabela2[[#This Row],[ILUSTRADOR CRIAÇÃO]]</f>
        <v>SERGIO LIMA/ARQUIVO DA EDITORA</v>
      </c>
      <c r="AB2361" s="33"/>
      <c r="AC2361" s="16"/>
      <c r="AE2361" s="35" t="str">
        <f t="shared" si="38"/>
        <v>EF1 E002 Mat</v>
      </c>
    </row>
    <row r="2362" spans="1:31" ht="30" x14ac:dyDescent="0.25">
      <c r="A2362" s="31" t="s">
        <v>4939</v>
      </c>
      <c r="B2362" s="16" t="s">
        <v>32</v>
      </c>
      <c r="C2362" s="16" t="s">
        <v>164</v>
      </c>
      <c r="D2362" s="33" t="s">
        <v>34</v>
      </c>
      <c r="E2362" s="33">
        <v>142</v>
      </c>
      <c r="F2362" s="33">
        <v>3</v>
      </c>
      <c r="G2362" s="33" t="s">
        <v>4929</v>
      </c>
      <c r="H2362" s="33"/>
      <c r="I2362" s="31" t="s">
        <v>35</v>
      </c>
      <c r="J2362" s="31"/>
      <c r="K2362" s="33"/>
      <c r="L2362" s="33"/>
      <c r="M2362" s="31"/>
      <c r="N2362" s="31"/>
      <c r="O2362" s="16" t="s">
        <v>4940</v>
      </c>
      <c r="P2362" s="16"/>
      <c r="Q2362" s="16"/>
      <c r="R2362" s="33"/>
      <c r="S2362" s="34"/>
      <c r="T2362" s="34">
        <v>45916</v>
      </c>
      <c r="U2362" s="34"/>
      <c r="V2362" s="34"/>
      <c r="W2362" s="34">
        <v>45916</v>
      </c>
      <c r="X2362" s="33" t="s">
        <v>247</v>
      </c>
      <c r="Y2362" s="35" t="str">
        <f>IF(Tabela2[[#This Row],[SIGLA]]="","",VLOOKUP(Tabela2[[#This Row],[SIGLA]],Tabela1[[#All],[Sigla Arte]:[Crédito]],2,0))</f>
        <v>THAIS CASTRO/ARQUIVO DA EDITORA</v>
      </c>
      <c r="Z2362" s="31" t="s">
        <v>572</v>
      </c>
      <c r="AA2362" s="31" t="str">
        <f>Tabela2[[#This Row],[ILUSTRADOR CRIAÇÃO]]</f>
        <v>THAIS CASTRO/ARQUIVO DA EDITORA</v>
      </c>
      <c r="AB2362" s="33">
        <v>13</v>
      </c>
      <c r="AC2362" s="16" t="s">
        <v>44</v>
      </c>
      <c r="AD2362" s="16" t="s">
        <v>40</v>
      </c>
      <c r="AE2362" s="35" t="str">
        <f t="shared" si="38"/>
        <v>EF1 E002 Mat</v>
      </c>
    </row>
    <row r="2363" spans="1:31" ht="45" x14ac:dyDescent="0.25">
      <c r="A2363" s="31" t="s">
        <v>4941</v>
      </c>
      <c r="B2363" s="16" t="s">
        <v>32</v>
      </c>
      <c r="C2363" s="16" t="s">
        <v>164</v>
      </c>
      <c r="D2363" s="33" t="s">
        <v>34</v>
      </c>
      <c r="E2363" s="33">
        <v>142</v>
      </c>
      <c r="F2363" s="33">
        <v>3</v>
      </c>
      <c r="G2363" s="33" t="s">
        <v>4929</v>
      </c>
      <c r="H2363" s="33"/>
      <c r="I2363" s="31" t="s">
        <v>46</v>
      </c>
      <c r="J2363" s="31"/>
      <c r="K2363" s="33"/>
      <c r="L2363" s="33"/>
      <c r="M2363" s="31"/>
      <c r="N2363" s="31"/>
      <c r="O2363" s="16" t="s">
        <v>4942</v>
      </c>
      <c r="P2363" s="16"/>
      <c r="Q2363" s="16"/>
      <c r="R2363" s="33"/>
      <c r="S2363" s="34"/>
      <c r="T2363" s="34"/>
      <c r="U2363" s="34"/>
      <c r="V2363" s="34"/>
      <c r="W2363" s="34"/>
      <c r="X2363" s="33" t="s">
        <v>184</v>
      </c>
      <c r="Y2363" s="35" t="str">
        <f>IF(Tabela2[[#This Row],[SIGLA]]="","",VLOOKUP(Tabela2[[#This Row],[SIGLA]],Tabela1[[#All],[Sigla Arte]:[Crédito]],2,0))</f>
        <v>VER DOCUMENTO DE ILS. TÉCNICAS</v>
      </c>
      <c r="Z2363" s="31"/>
      <c r="AA2363" s="31" t="s">
        <v>921</v>
      </c>
      <c r="AB2363" s="33"/>
      <c r="AC2363" s="16"/>
      <c r="AE2363" s="35" t="str">
        <f t="shared" si="38"/>
        <v>EF1 E002 Mat</v>
      </c>
    </row>
    <row r="2364" spans="1:31" ht="45" x14ac:dyDescent="0.25">
      <c r="A2364" s="31" t="s">
        <v>4943</v>
      </c>
      <c r="B2364" s="16" t="s">
        <v>32</v>
      </c>
      <c r="C2364" s="16" t="s">
        <v>164</v>
      </c>
      <c r="D2364" s="33" t="s">
        <v>34</v>
      </c>
      <c r="E2364" s="33">
        <v>142</v>
      </c>
      <c r="F2364" s="33">
        <v>3</v>
      </c>
      <c r="G2364" s="33" t="s">
        <v>4929</v>
      </c>
      <c r="H2364" s="33"/>
      <c r="I2364" s="31" t="s">
        <v>46</v>
      </c>
      <c r="J2364" s="31"/>
      <c r="K2364" s="33"/>
      <c r="L2364" s="33"/>
      <c r="M2364" s="31"/>
      <c r="N2364" s="31"/>
      <c r="O2364" s="16" t="s">
        <v>4944</v>
      </c>
      <c r="P2364" s="16"/>
      <c r="Q2364" s="16"/>
      <c r="R2364" s="33"/>
      <c r="S2364" s="34"/>
      <c r="T2364" s="34"/>
      <c r="U2364" s="34"/>
      <c r="V2364" s="34"/>
      <c r="W2364" s="34"/>
      <c r="X2364" s="33" t="s">
        <v>184</v>
      </c>
      <c r="Y2364" s="35" t="str">
        <f>IF(Tabela2[[#This Row],[SIGLA]]="","",VLOOKUP(Tabela2[[#This Row],[SIGLA]],Tabela1[[#All],[Sigla Arte]:[Crédito]],2,0))</f>
        <v>VER DOCUMENTO DE ILS. TÉCNICAS</v>
      </c>
      <c r="Z2364" s="31"/>
      <c r="AA2364" s="31" t="s">
        <v>921</v>
      </c>
      <c r="AB2364" s="33"/>
      <c r="AC2364" s="16"/>
      <c r="AE2364" s="35" t="str">
        <f t="shared" si="38"/>
        <v>EF1 E002 Mat</v>
      </c>
    </row>
    <row r="2365" spans="1:31" ht="45" x14ac:dyDescent="0.25">
      <c r="A2365" s="31" t="s">
        <v>4945</v>
      </c>
      <c r="B2365" s="16" t="s">
        <v>32</v>
      </c>
      <c r="C2365" s="16" t="s">
        <v>164</v>
      </c>
      <c r="D2365" s="33" t="s">
        <v>34</v>
      </c>
      <c r="E2365" s="33">
        <v>142</v>
      </c>
      <c r="F2365" s="33">
        <v>3</v>
      </c>
      <c r="G2365" s="33" t="s">
        <v>4929</v>
      </c>
      <c r="H2365" s="33"/>
      <c r="I2365" s="31" t="s">
        <v>46</v>
      </c>
      <c r="J2365" s="31"/>
      <c r="K2365" s="33"/>
      <c r="L2365" s="33"/>
      <c r="M2365" s="31"/>
      <c r="N2365" s="31"/>
      <c r="O2365" s="16" t="s">
        <v>4946</v>
      </c>
      <c r="P2365" s="16"/>
      <c r="Q2365" s="16"/>
      <c r="R2365" s="33"/>
      <c r="S2365" s="34"/>
      <c r="T2365" s="34"/>
      <c r="U2365" s="34"/>
      <c r="V2365" s="34"/>
      <c r="W2365" s="34"/>
      <c r="X2365" s="33" t="s">
        <v>184</v>
      </c>
      <c r="Y2365" s="35" t="str">
        <f>IF(Tabela2[[#This Row],[SIGLA]]="","",VLOOKUP(Tabela2[[#This Row],[SIGLA]],Tabela1[[#All],[Sigla Arte]:[Crédito]],2,0))</f>
        <v>VER DOCUMENTO DE ILS. TÉCNICAS</v>
      </c>
      <c r="Z2365" s="31"/>
      <c r="AA2365" s="31" t="s">
        <v>921</v>
      </c>
      <c r="AB2365" s="33"/>
      <c r="AC2365" s="16"/>
      <c r="AE2365" s="35" t="str">
        <f t="shared" si="38"/>
        <v>EF1 E002 Mat</v>
      </c>
    </row>
    <row r="2366" spans="1:31" ht="60" x14ac:dyDescent="0.25">
      <c r="A2366" s="31" t="s">
        <v>4947</v>
      </c>
      <c r="B2366" s="16" t="s">
        <v>32</v>
      </c>
      <c r="C2366" s="16" t="s">
        <v>164</v>
      </c>
      <c r="D2366" s="33" t="s">
        <v>34</v>
      </c>
      <c r="E2366" s="33">
        <v>142</v>
      </c>
      <c r="F2366" s="33">
        <v>3</v>
      </c>
      <c r="G2366" s="33" t="s">
        <v>4929</v>
      </c>
      <c r="H2366" s="33"/>
      <c r="I2366" s="31" t="s">
        <v>35</v>
      </c>
      <c r="J2366" s="31"/>
      <c r="K2366" s="33"/>
      <c r="L2366" s="33"/>
      <c r="M2366" s="31"/>
      <c r="N2366" s="31"/>
      <c r="O2366" s="16" t="s">
        <v>4948</v>
      </c>
      <c r="P2366" s="16"/>
      <c r="Q2366" s="16"/>
      <c r="R2366" s="33">
        <v>110</v>
      </c>
      <c r="S2366" s="34">
        <v>45882</v>
      </c>
      <c r="T2366" s="34">
        <v>45887</v>
      </c>
      <c r="U2366" s="34"/>
      <c r="V2366" s="34"/>
      <c r="W2366" s="34">
        <v>45887</v>
      </c>
      <c r="X2366" s="33" t="s">
        <v>247</v>
      </c>
      <c r="Y2366" s="35" t="str">
        <f>IF(Tabela2[[#This Row],[SIGLA]]="","",VLOOKUP(Tabela2[[#This Row],[SIGLA]],Tabela1[[#All],[Sigla Arte]:[Crédito]],2,0))</f>
        <v>THAIS CASTRO/ARQUIVO DA EDITORA</v>
      </c>
      <c r="Z2366" s="31"/>
      <c r="AA2366" s="31" t="str">
        <f>Tabela2[[#This Row],[ILUSTRADOR CRIAÇÃO]]</f>
        <v>THAIS CASTRO/ARQUIVO DA EDITORA</v>
      </c>
      <c r="AB2366" s="33">
        <v>13</v>
      </c>
      <c r="AC2366" s="16" t="s">
        <v>39</v>
      </c>
      <c r="AD2366" s="16" t="s">
        <v>40</v>
      </c>
      <c r="AE2366" s="35" t="str">
        <f t="shared" si="38"/>
        <v>EF1 E002 Mat</v>
      </c>
    </row>
    <row r="2367" spans="1:31" ht="30" x14ac:dyDescent="0.25">
      <c r="A2367" s="31" t="s">
        <v>4949</v>
      </c>
      <c r="B2367" s="16" t="s">
        <v>32</v>
      </c>
      <c r="C2367" s="16" t="s">
        <v>164</v>
      </c>
      <c r="D2367" s="33" t="s">
        <v>34</v>
      </c>
      <c r="E2367" s="33">
        <v>143</v>
      </c>
      <c r="F2367" s="33">
        <v>3</v>
      </c>
      <c r="G2367" s="33" t="s">
        <v>4929</v>
      </c>
      <c r="H2367" s="33"/>
      <c r="I2367" s="31" t="s">
        <v>995</v>
      </c>
      <c r="J2367" s="31"/>
      <c r="K2367" s="33"/>
      <c r="L2367" s="33"/>
      <c r="M2367" s="31"/>
      <c r="N2367" s="31"/>
      <c r="O2367" s="16" t="s">
        <v>4950</v>
      </c>
      <c r="P2367" s="16"/>
      <c r="Q2367" s="16"/>
      <c r="R2367" s="33">
        <v>110</v>
      </c>
      <c r="S2367" s="34">
        <v>45882</v>
      </c>
      <c r="T2367" s="34">
        <v>45887</v>
      </c>
      <c r="U2367" s="34"/>
      <c r="V2367" s="34"/>
      <c r="W2367" s="34">
        <v>45887</v>
      </c>
      <c r="X2367" s="33" t="s">
        <v>4892</v>
      </c>
      <c r="Y2367" s="35" t="str">
        <f>IF(Tabela2[[#This Row],[SIGLA]]="","",VLOOKUP(Tabela2[[#This Row],[SIGLA]],Tabela1[[#All],[Sigla Arte]:[Crédito]],2,0))</f>
        <v>FELIPE GRIGOLI/ARQUIVO DA EDITORA</v>
      </c>
      <c r="Z2367" s="31"/>
      <c r="AA2367" s="31" t="str">
        <f>Tabela2[[#This Row],[ILUSTRADOR CRIAÇÃO]]</f>
        <v>FELIPE GRIGOLI/ARQUIVO DA EDITORA</v>
      </c>
      <c r="AB2367" s="33">
        <v>8</v>
      </c>
      <c r="AC2367" s="16" t="s">
        <v>439</v>
      </c>
      <c r="AD2367" s="16" t="s">
        <v>40</v>
      </c>
      <c r="AE2367" s="35" t="str">
        <f t="shared" si="38"/>
        <v>EF1 E002 Mat</v>
      </c>
    </row>
    <row r="2368" spans="1:31" ht="45" x14ac:dyDescent="0.25">
      <c r="A2368" s="31" t="s">
        <v>4951</v>
      </c>
      <c r="B2368" s="16" t="s">
        <v>32</v>
      </c>
      <c r="C2368" s="16" t="s">
        <v>164</v>
      </c>
      <c r="D2368" s="33" t="s">
        <v>34</v>
      </c>
      <c r="E2368" s="33">
        <v>188</v>
      </c>
      <c r="F2368" s="33">
        <v>3</v>
      </c>
      <c r="G2368" s="33" t="s">
        <v>4929</v>
      </c>
      <c r="H2368" s="33"/>
      <c r="I2368" s="31" t="s">
        <v>46</v>
      </c>
      <c r="J2368" s="31"/>
      <c r="K2368" s="33"/>
      <c r="L2368" s="33"/>
      <c r="M2368" s="31"/>
      <c r="N2368" s="31"/>
      <c r="O2368" s="16" t="s">
        <v>4952</v>
      </c>
      <c r="P2368" s="16"/>
      <c r="Q2368" s="16"/>
      <c r="R2368" s="33"/>
      <c r="S2368" s="34"/>
      <c r="T2368" s="34"/>
      <c r="U2368" s="34"/>
      <c r="V2368" s="34"/>
      <c r="W2368" s="34"/>
      <c r="X2368" s="33" t="s">
        <v>85</v>
      </c>
      <c r="Y2368" s="35" t="str">
        <f>IF(Tabela2[[#This Row],[SIGLA]]="","",VLOOKUP(Tabela2[[#This Row],[SIGLA]],Tabela1[[#All],[Sigla Arte]:[Crédito]],2,0))</f>
        <v>HELOÍSA PINTARELLI/ARQUIVO DA EDITORA</v>
      </c>
      <c r="Z2368" s="31"/>
      <c r="AA2368" s="31" t="str">
        <f>Tabela2[[#This Row],[ILUSTRADOR CRIAÇÃO]]</f>
        <v>HELOÍSA PINTARELLI/ARQUIVO DA EDITORA</v>
      </c>
      <c r="AB2368" s="33"/>
      <c r="AC2368" s="16"/>
      <c r="AE2368" s="35" t="str">
        <f t="shared" si="38"/>
        <v>EF1 E002 Mat</v>
      </c>
    </row>
    <row r="2369" spans="1:31" ht="30" x14ac:dyDescent="0.25">
      <c r="A2369" s="31" t="s">
        <v>4953</v>
      </c>
      <c r="B2369" s="16" t="s">
        <v>32</v>
      </c>
      <c r="C2369" s="16" t="s">
        <v>164</v>
      </c>
      <c r="D2369" s="33" t="s">
        <v>34</v>
      </c>
      <c r="E2369" s="33">
        <v>189</v>
      </c>
      <c r="F2369" s="33">
        <v>3</v>
      </c>
      <c r="G2369" s="33" t="s">
        <v>4929</v>
      </c>
      <c r="H2369" s="33"/>
      <c r="I2369" s="31" t="s">
        <v>46</v>
      </c>
      <c r="J2369" s="31"/>
      <c r="K2369" s="33"/>
      <c r="L2369" s="33"/>
      <c r="M2369" s="31"/>
      <c r="N2369" s="31"/>
      <c r="O2369" s="16" t="s">
        <v>4954</v>
      </c>
      <c r="P2369" s="16"/>
      <c r="Q2369" s="16"/>
      <c r="R2369" s="33"/>
      <c r="S2369" s="34"/>
      <c r="T2369" s="34"/>
      <c r="U2369" s="34"/>
      <c r="V2369" s="34"/>
      <c r="W2369" s="34"/>
      <c r="X2369" s="33" t="s">
        <v>85</v>
      </c>
      <c r="Y2369" s="35" t="str">
        <f>IF(Tabela2[[#This Row],[SIGLA]]="","",VLOOKUP(Tabela2[[#This Row],[SIGLA]],Tabela1[[#All],[Sigla Arte]:[Crédito]],2,0))</f>
        <v>HELOÍSA PINTARELLI/ARQUIVO DA EDITORA</v>
      </c>
      <c r="Z2369" s="31"/>
      <c r="AA2369" s="31" t="str">
        <f>Tabela2[[#This Row],[ILUSTRADOR CRIAÇÃO]]</f>
        <v>HELOÍSA PINTARELLI/ARQUIVO DA EDITORA</v>
      </c>
      <c r="AB2369" s="33"/>
      <c r="AC2369" s="16"/>
      <c r="AE2369" s="35" t="str">
        <f t="shared" si="38"/>
        <v>EF1 E002 Mat</v>
      </c>
    </row>
    <row r="2370" spans="1:31" ht="30" x14ac:dyDescent="0.25">
      <c r="A2370" s="31" t="s">
        <v>4955</v>
      </c>
      <c r="B2370" s="16" t="s">
        <v>32</v>
      </c>
      <c r="C2370" s="16" t="s">
        <v>164</v>
      </c>
      <c r="D2370" s="33" t="s">
        <v>34</v>
      </c>
      <c r="E2370" s="33">
        <v>189</v>
      </c>
      <c r="F2370" s="33">
        <v>3</v>
      </c>
      <c r="G2370" s="33" t="s">
        <v>4929</v>
      </c>
      <c r="H2370" s="33"/>
      <c r="I2370" s="31" t="s">
        <v>35</v>
      </c>
      <c r="J2370" s="31"/>
      <c r="K2370" s="33"/>
      <c r="L2370" s="33"/>
      <c r="M2370" s="31"/>
      <c r="N2370" s="31"/>
      <c r="O2370" s="16" t="s">
        <v>4956</v>
      </c>
      <c r="P2370" s="16"/>
      <c r="Q2370" s="16"/>
      <c r="R2370" s="33">
        <v>160</v>
      </c>
      <c r="S2370" s="34">
        <v>45916</v>
      </c>
      <c r="T2370" s="34">
        <v>45916</v>
      </c>
      <c r="U2370" s="34"/>
      <c r="V2370" s="34"/>
      <c r="W2370" s="34">
        <v>45916</v>
      </c>
      <c r="X2370" s="33" t="s">
        <v>85</v>
      </c>
      <c r="Y2370" s="35" t="str">
        <f>IF(Tabela2[[#This Row],[SIGLA]]="","",VLOOKUP(Tabela2[[#This Row],[SIGLA]],Tabela1[[#All],[Sigla Arte]:[Crédito]],2,0))</f>
        <v>HELOÍSA PINTARELLI/ARQUIVO DA EDITORA</v>
      </c>
      <c r="Z2370" s="31" t="s">
        <v>572</v>
      </c>
      <c r="AA2370" s="31" t="str">
        <f>Tabela2[[#This Row],[ILUSTRADOR CRIAÇÃO]]</f>
        <v>HELOÍSA PINTARELLI/ARQUIVO DA EDITORA</v>
      </c>
      <c r="AB2370" s="33">
        <v>13</v>
      </c>
      <c r="AC2370" s="16" t="s">
        <v>44</v>
      </c>
      <c r="AD2370" s="16" t="s">
        <v>40</v>
      </c>
      <c r="AE2370" s="35" t="str">
        <f t="shared" si="38"/>
        <v>EF1 E002 Mat</v>
      </c>
    </row>
    <row r="2371" spans="1:31" ht="30" x14ac:dyDescent="0.25">
      <c r="A2371" s="31" t="s">
        <v>4957</v>
      </c>
      <c r="B2371" s="16" t="s">
        <v>32</v>
      </c>
      <c r="C2371" s="16" t="s">
        <v>164</v>
      </c>
      <c r="D2371" s="33" t="s">
        <v>34</v>
      </c>
      <c r="E2371" s="33">
        <v>252</v>
      </c>
      <c r="F2371" s="33">
        <v>3</v>
      </c>
      <c r="G2371" s="33" t="s">
        <v>4929</v>
      </c>
      <c r="H2371" s="33"/>
      <c r="I2371" s="31" t="s">
        <v>46</v>
      </c>
      <c r="J2371" s="31"/>
      <c r="K2371" s="33"/>
      <c r="L2371" s="33"/>
      <c r="M2371" s="31"/>
      <c r="N2371" s="31"/>
      <c r="O2371" s="16" t="s">
        <v>4958</v>
      </c>
      <c r="P2371" s="16"/>
      <c r="Q2371" s="16"/>
      <c r="R2371" s="33"/>
      <c r="S2371" s="34"/>
      <c r="T2371" s="34"/>
      <c r="U2371" s="34"/>
      <c r="V2371" s="34"/>
      <c r="W2371" s="34"/>
      <c r="X2371" s="33" t="s">
        <v>184</v>
      </c>
      <c r="Y2371" s="35" t="str">
        <f>IF(Tabela2[[#This Row],[SIGLA]]="","",VLOOKUP(Tabela2[[#This Row],[SIGLA]],Tabela1[[#All],[Sigla Arte]:[Crédito]],2,0))</f>
        <v>VER DOCUMENTO DE ILS. TÉCNICAS</v>
      </c>
      <c r="Z2371" s="31"/>
      <c r="AA2371" s="31" t="s">
        <v>4959</v>
      </c>
      <c r="AB2371" s="33"/>
      <c r="AC2371" s="16"/>
      <c r="AE2371" s="35" t="str">
        <f t="shared" si="38"/>
        <v>EF1 E002 Mat</v>
      </c>
    </row>
    <row r="2372" spans="1:31" ht="45" x14ac:dyDescent="0.25">
      <c r="A2372" s="31" t="s">
        <v>4960</v>
      </c>
      <c r="B2372" s="16" t="s">
        <v>32</v>
      </c>
      <c r="C2372" s="16" t="s">
        <v>164</v>
      </c>
      <c r="D2372" s="33" t="s">
        <v>34</v>
      </c>
      <c r="E2372" s="33">
        <v>253</v>
      </c>
      <c r="F2372" s="33">
        <v>3</v>
      </c>
      <c r="G2372" s="33" t="s">
        <v>4929</v>
      </c>
      <c r="H2372" s="33"/>
      <c r="I2372" s="31" t="s">
        <v>46</v>
      </c>
      <c r="J2372" s="31"/>
      <c r="K2372" s="33"/>
      <c r="L2372" s="33"/>
      <c r="M2372" s="31"/>
      <c r="N2372" s="31"/>
      <c r="O2372" s="16" t="s">
        <v>4961</v>
      </c>
      <c r="P2372" s="16"/>
      <c r="Q2372" s="16"/>
      <c r="R2372" s="33"/>
      <c r="S2372" s="34"/>
      <c r="T2372" s="34"/>
      <c r="U2372" s="34"/>
      <c r="V2372" s="34"/>
      <c r="W2372" s="34"/>
      <c r="X2372" s="33" t="s">
        <v>184</v>
      </c>
      <c r="Y2372" s="35" t="str">
        <f>IF(Tabela2[[#This Row],[SIGLA]]="","",VLOOKUP(Tabela2[[#This Row],[SIGLA]],Tabela1[[#All],[Sigla Arte]:[Crédito]],2,0))</f>
        <v>VER DOCUMENTO DE ILS. TÉCNICAS</v>
      </c>
      <c r="Z2372" s="31"/>
      <c r="AA2372" s="31" t="s">
        <v>4962</v>
      </c>
      <c r="AB2372" s="33"/>
      <c r="AC2372" s="16"/>
      <c r="AE2372" s="35" t="str">
        <f t="shared" si="38"/>
        <v>EF1 E002 Mat</v>
      </c>
    </row>
    <row r="2373" spans="1:31" ht="30" x14ac:dyDescent="0.25">
      <c r="A2373" s="31" t="s">
        <v>4963</v>
      </c>
      <c r="B2373" s="16" t="s">
        <v>32</v>
      </c>
      <c r="C2373" s="16" t="s">
        <v>164</v>
      </c>
      <c r="D2373" s="33" t="s">
        <v>34</v>
      </c>
      <c r="E2373" s="33">
        <v>253</v>
      </c>
      <c r="F2373" s="33">
        <v>3</v>
      </c>
      <c r="G2373" s="33" t="s">
        <v>4929</v>
      </c>
      <c r="H2373" s="33"/>
      <c r="I2373" s="31" t="s">
        <v>35</v>
      </c>
      <c r="J2373" s="31"/>
      <c r="K2373" s="33"/>
      <c r="L2373" s="33"/>
      <c r="M2373" s="31"/>
      <c r="N2373" s="31"/>
      <c r="O2373" s="16" t="s">
        <v>4964</v>
      </c>
      <c r="P2373" s="16"/>
      <c r="Q2373" s="16"/>
      <c r="R2373" s="33">
        <v>160</v>
      </c>
      <c r="S2373" s="34">
        <v>45916</v>
      </c>
      <c r="T2373" s="34">
        <v>45916</v>
      </c>
      <c r="U2373" s="34"/>
      <c r="V2373" s="34"/>
      <c r="W2373" s="34">
        <v>45916</v>
      </c>
      <c r="X2373" s="33" t="s">
        <v>85</v>
      </c>
      <c r="Y2373" s="35" t="str">
        <f>IF(Tabela2[[#This Row],[SIGLA]]="","",VLOOKUP(Tabela2[[#This Row],[SIGLA]],Tabela1[[#All],[Sigla Arte]:[Crédito]],2,0))</f>
        <v>HELOÍSA PINTARELLI/ARQUIVO DA EDITORA</v>
      </c>
      <c r="Z2373" s="31" t="s">
        <v>572</v>
      </c>
      <c r="AA2373" s="31" t="str">
        <f>Tabela2[[#This Row],[ILUSTRADOR CRIAÇÃO]]</f>
        <v>HELOÍSA PINTARELLI/ARQUIVO DA EDITORA</v>
      </c>
      <c r="AB2373" s="33">
        <v>13</v>
      </c>
      <c r="AC2373" s="16" t="s">
        <v>44</v>
      </c>
      <c r="AD2373" s="16" t="s">
        <v>40</v>
      </c>
      <c r="AE2373" s="35" t="str">
        <f t="shared" si="38"/>
        <v>EF1 E002 Mat</v>
      </c>
    </row>
    <row r="2374" spans="1:31" ht="30" x14ac:dyDescent="0.25">
      <c r="A2374" s="31" t="s">
        <v>4965</v>
      </c>
      <c r="B2374" s="16" t="s">
        <v>32</v>
      </c>
      <c r="C2374" s="16" t="s">
        <v>164</v>
      </c>
      <c r="D2374" s="33" t="s">
        <v>34</v>
      </c>
      <c r="E2374" s="33">
        <v>11</v>
      </c>
      <c r="F2374" s="33">
        <v>3</v>
      </c>
      <c r="G2374" s="33" t="s">
        <v>4966</v>
      </c>
      <c r="H2374" s="33"/>
      <c r="I2374" s="31" t="s">
        <v>35</v>
      </c>
      <c r="J2374" s="31"/>
      <c r="K2374" s="33"/>
      <c r="L2374" s="33"/>
      <c r="M2374" s="31"/>
      <c r="N2374" s="31"/>
      <c r="O2374" s="16" t="s">
        <v>4967</v>
      </c>
      <c r="P2374" s="16"/>
      <c r="Q2374" s="16"/>
      <c r="R2374" s="33">
        <v>160</v>
      </c>
      <c r="S2374" s="34">
        <v>45916</v>
      </c>
      <c r="T2374" s="34">
        <v>45916</v>
      </c>
      <c r="U2374" s="34"/>
      <c r="V2374" s="34"/>
      <c r="W2374" s="34">
        <v>45916</v>
      </c>
      <c r="X2374" s="33" t="s">
        <v>162</v>
      </c>
      <c r="Y2374" s="35" t="str">
        <f>IF(Tabela2[[#This Row],[SIGLA]]="","",VLOOKUP(Tabela2[[#This Row],[SIGLA]],Tabela1[[#All],[Sigla Arte]:[Crédito]],2,0))</f>
        <v>IVY NUNES/ARQUIVO DA EDITORA</v>
      </c>
      <c r="Z2374" s="31" t="s">
        <v>572</v>
      </c>
      <c r="AA2374" s="31" t="str">
        <f>Tabela2[[#This Row],[ILUSTRADOR CRIAÇÃO]]</f>
        <v>IVY NUNES/ARQUIVO DA EDITORA</v>
      </c>
      <c r="AB2374" s="33">
        <v>13</v>
      </c>
      <c r="AC2374" s="16" t="s">
        <v>44</v>
      </c>
      <c r="AD2374" s="16" t="s">
        <v>40</v>
      </c>
      <c r="AE2374" s="35" t="str">
        <f t="shared" si="38"/>
        <v>EF1 E002 Mat</v>
      </c>
    </row>
    <row r="2375" spans="1:31" ht="30" x14ac:dyDescent="0.25">
      <c r="A2375" s="31" t="s">
        <v>4968</v>
      </c>
      <c r="B2375" s="16" t="s">
        <v>32</v>
      </c>
      <c r="C2375" s="16" t="s">
        <v>164</v>
      </c>
      <c r="D2375" s="33" t="s">
        <v>34</v>
      </c>
      <c r="E2375" s="33">
        <v>11</v>
      </c>
      <c r="F2375" s="33">
        <v>3</v>
      </c>
      <c r="G2375" s="33" t="s">
        <v>4966</v>
      </c>
      <c r="H2375" s="33"/>
      <c r="I2375" s="31" t="s">
        <v>35</v>
      </c>
      <c r="J2375" s="31"/>
      <c r="K2375" s="33"/>
      <c r="L2375" s="33"/>
      <c r="M2375" s="31"/>
      <c r="N2375" s="31"/>
      <c r="O2375" s="16" t="s">
        <v>4969</v>
      </c>
      <c r="P2375" s="16"/>
      <c r="Q2375" s="16"/>
      <c r="R2375" s="33">
        <v>160</v>
      </c>
      <c r="S2375" s="34">
        <v>45916</v>
      </c>
      <c r="T2375" s="34">
        <v>45916</v>
      </c>
      <c r="U2375" s="34"/>
      <c r="V2375" s="34"/>
      <c r="W2375" s="34">
        <v>45916</v>
      </c>
      <c r="X2375" s="33" t="s">
        <v>162</v>
      </c>
      <c r="Y2375" s="35" t="str">
        <f>IF(Tabela2[[#This Row],[SIGLA]]="","",VLOOKUP(Tabela2[[#This Row],[SIGLA]],Tabela1[[#All],[Sigla Arte]:[Crédito]],2,0))</f>
        <v>IVY NUNES/ARQUIVO DA EDITORA</v>
      </c>
      <c r="Z2375" s="31" t="s">
        <v>572</v>
      </c>
      <c r="AA2375" s="31" t="str">
        <f>Tabela2[[#This Row],[ILUSTRADOR CRIAÇÃO]]</f>
        <v>IVY NUNES/ARQUIVO DA EDITORA</v>
      </c>
      <c r="AB2375" s="33">
        <v>13</v>
      </c>
      <c r="AC2375" s="16" t="s">
        <v>44</v>
      </c>
      <c r="AD2375" s="16" t="s">
        <v>40</v>
      </c>
      <c r="AE2375" s="35" t="str">
        <f t="shared" si="38"/>
        <v>EF1 E002 Mat</v>
      </c>
    </row>
    <row r="2376" spans="1:31" ht="30" x14ac:dyDescent="0.25">
      <c r="A2376" s="31" t="s">
        <v>4970</v>
      </c>
      <c r="B2376" s="16" t="s">
        <v>32</v>
      </c>
      <c r="C2376" s="16" t="s">
        <v>164</v>
      </c>
      <c r="D2376" s="33" t="s">
        <v>34</v>
      </c>
      <c r="E2376" s="33">
        <v>12</v>
      </c>
      <c r="F2376" s="33">
        <v>3</v>
      </c>
      <c r="G2376" s="33" t="s">
        <v>4966</v>
      </c>
      <c r="H2376" s="33"/>
      <c r="I2376" s="31" t="s">
        <v>46</v>
      </c>
      <c r="J2376" s="31"/>
      <c r="K2376" s="33"/>
      <c r="L2376" s="33"/>
      <c r="M2376" s="31"/>
      <c r="N2376" s="31"/>
      <c r="O2376" s="16" t="s">
        <v>4971</v>
      </c>
      <c r="P2376" s="16"/>
      <c r="Q2376" s="16"/>
      <c r="R2376" s="33"/>
      <c r="S2376" s="34"/>
      <c r="T2376" s="34"/>
      <c r="U2376" s="34"/>
      <c r="V2376" s="34"/>
      <c r="W2376" s="34"/>
      <c r="X2376" s="33" t="s">
        <v>162</v>
      </c>
      <c r="Y2376" s="35" t="str">
        <f>IF(Tabela2[[#This Row],[SIGLA]]="","",VLOOKUP(Tabela2[[#This Row],[SIGLA]],Tabela1[[#All],[Sigla Arte]:[Crédito]],2,0))</f>
        <v>IVY NUNES/ARQUIVO DA EDITORA</v>
      </c>
      <c r="Z2376" s="31"/>
      <c r="AA2376" s="31" t="str">
        <f>Tabela2[[#This Row],[ILUSTRADOR CRIAÇÃO]]</f>
        <v>IVY NUNES/ARQUIVO DA EDITORA</v>
      </c>
      <c r="AB2376" s="33"/>
      <c r="AC2376" s="16"/>
      <c r="AE2376" s="35" t="str">
        <f t="shared" si="38"/>
        <v>EF1 E002 Mat</v>
      </c>
    </row>
    <row r="2377" spans="1:31" ht="105" x14ac:dyDescent="0.25">
      <c r="A2377" s="31" t="s">
        <v>4972</v>
      </c>
      <c r="B2377" s="16" t="s">
        <v>32</v>
      </c>
      <c r="C2377" s="16" t="s">
        <v>164</v>
      </c>
      <c r="D2377" s="33" t="s">
        <v>34</v>
      </c>
      <c r="E2377" s="33">
        <v>12</v>
      </c>
      <c r="F2377" s="33">
        <v>3</v>
      </c>
      <c r="G2377" s="33" t="s">
        <v>4966</v>
      </c>
      <c r="H2377" s="33"/>
      <c r="I2377" s="31" t="s">
        <v>35</v>
      </c>
      <c r="J2377" s="31"/>
      <c r="K2377" s="33"/>
      <c r="L2377" s="33"/>
      <c r="M2377" s="31"/>
      <c r="N2377" s="31"/>
      <c r="O2377" s="16" t="s">
        <v>4973</v>
      </c>
      <c r="P2377" s="16"/>
      <c r="Q2377" s="16"/>
      <c r="R2377" s="33">
        <v>110</v>
      </c>
      <c r="S2377" s="34">
        <v>45882</v>
      </c>
      <c r="T2377" s="34">
        <v>45890</v>
      </c>
      <c r="U2377" s="34"/>
      <c r="V2377" s="34"/>
      <c r="W2377" s="34">
        <v>45890</v>
      </c>
      <c r="X2377" s="33" t="s">
        <v>48</v>
      </c>
      <c r="Y2377" s="35" t="str">
        <f>IF(Tabela2[[#This Row],[SIGLA]]="","",VLOOKUP(Tabela2[[#This Row],[SIGLA]],Tabela1[[#All],[Sigla Arte]:[Crédito]],2,0))</f>
        <v>SERGIO LIMA/ARQUIVO DA EDITORA</v>
      </c>
      <c r="Z2377" s="31" t="s">
        <v>383</v>
      </c>
      <c r="AA2377" s="31" t="str">
        <f>Tabela2[[#This Row],[ILUSTRADOR CRIAÇÃO]]</f>
        <v>SERGIO LIMA/ARQUIVO DA EDITORA</v>
      </c>
      <c r="AB2377" s="33">
        <v>13</v>
      </c>
      <c r="AC2377" s="16" t="s">
        <v>39</v>
      </c>
      <c r="AD2377" s="16" t="s">
        <v>40</v>
      </c>
      <c r="AE2377" s="35" t="str">
        <f t="shared" si="38"/>
        <v>EF1 E002 Mat</v>
      </c>
    </row>
    <row r="2378" spans="1:31" ht="30" x14ac:dyDescent="0.25">
      <c r="A2378" s="31" t="s">
        <v>4974</v>
      </c>
      <c r="B2378" s="16" t="s">
        <v>32</v>
      </c>
      <c r="C2378" s="16" t="s">
        <v>164</v>
      </c>
      <c r="D2378" s="33" t="s">
        <v>34</v>
      </c>
      <c r="E2378" s="33">
        <v>12</v>
      </c>
      <c r="F2378" s="33">
        <v>3</v>
      </c>
      <c r="G2378" s="33" t="s">
        <v>4966</v>
      </c>
      <c r="H2378" s="33"/>
      <c r="I2378" s="31" t="s">
        <v>46</v>
      </c>
      <c r="J2378" s="31"/>
      <c r="K2378" s="33"/>
      <c r="L2378" s="33"/>
      <c r="M2378" s="31"/>
      <c r="N2378" s="31"/>
      <c r="O2378" s="16" t="s">
        <v>4975</v>
      </c>
      <c r="P2378" s="16"/>
      <c r="Q2378" s="16"/>
      <c r="R2378" s="33"/>
      <c r="S2378" s="34"/>
      <c r="T2378" s="34"/>
      <c r="U2378" s="34"/>
      <c r="V2378" s="34"/>
      <c r="W2378" s="34"/>
      <c r="X2378" s="33" t="s">
        <v>48</v>
      </c>
      <c r="Y2378" s="35" t="str">
        <f>IF(Tabela2[[#This Row],[SIGLA]]="","",VLOOKUP(Tabela2[[#This Row],[SIGLA]],Tabela1[[#All],[Sigla Arte]:[Crédito]],2,0))</f>
        <v>SERGIO LIMA/ARQUIVO DA EDITORA</v>
      </c>
      <c r="Z2378" s="31"/>
      <c r="AA2378" s="31" t="str">
        <f>Tabela2[[#This Row],[ILUSTRADOR CRIAÇÃO]]</f>
        <v>SERGIO LIMA/ARQUIVO DA EDITORA</v>
      </c>
      <c r="AB2378" s="33"/>
      <c r="AC2378" s="16"/>
      <c r="AE2378" s="35" t="str">
        <f t="shared" si="38"/>
        <v>EF1 E002 Mat</v>
      </c>
    </row>
    <row r="2379" spans="1:31" ht="30" x14ac:dyDescent="0.25">
      <c r="A2379" s="31" t="s">
        <v>4976</v>
      </c>
      <c r="B2379" s="16" t="s">
        <v>32</v>
      </c>
      <c r="C2379" s="16" t="s">
        <v>164</v>
      </c>
      <c r="D2379" s="33" t="s">
        <v>34</v>
      </c>
      <c r="E2379" s="33">
        <v>12</v>
      </c>
      <c r="F2379" s="33">
        <v>3</v>
      </c>
      <c r="G2379" s="33" t="s">
        <v>4966</v>
      </c>
      <c r="H2379" s="33"/>
      <c r="I2379" s="31" t="s">
        <v>46</v>
      </c>
      <c r="J2379" s="31"/>
      <c r="K2379" s="33"/>
      <c r="L2379" s="33"/>
      <c r="M2379" s="31"/>
      <c r="N2379" s="31"/>
      <c r="O2379" s="16" t="s">
        <v>4977</v>
      </c>
      <c r="P2379" s="16"/>
      <c r="Q2379" s="16"/>
      <c r="R2379" s="33"/>
      <c r="S2379" s="34"/>
      <c r="T2379" s="34"/>
      <c r="U2379" s="34"/>
      <c r="V2379" s="34"/>
      <c r="W2379" s="34"/>
      <c r="X2379" s="33" t="s">
        <v>48</v>
      </c>
      <c r="Y2379" s="35" t="str">
        <f>IF(Tabela2[[#This Row],[SIGLA]]="","",VLOOKUP(Tabela2[[#This Row],[SIGLA]],Tabela1[[#All],[Sigla Arte]:[Crédito]],2,0))</f>
        <v>SERGIO LIMA/ARQUIVO DA EDITORA</v>
      </c>
      <c r="Z2379" s="31"/>
      <c r="AA2379" s="31" t="str">
        <f>Tabela2[[#This Row],[ILUSTRADOR CRIAÇÃO]]</f>
        <v>SERGIO LIMA/ARQUIVO DA EDITORA</v>
      </c>
      <c r="AB2379" s="33"/>
      <c r="AC2379" s="16"/>
      <c r="AE2379" s="35" t="str">
        <f t="shared" si="38"/>
        <v>EF1 E002 Mat</v>
      </c>
    </row>
    <row r="2380" spans="1:31" ht="30" x14ac:dyDescent="0.25">
      <c r="A2380" s="31" t="s">
        <v>4978</v>
      </c>
      <c r="B2380" s="16" t="s">
        <v>32</v>
      </c>
      <c r="C2380" s="16" t="s">
        <v>164</v>
      </c>
      <c r="D2380" s="33" t="s">
        <v>34</v>
      </c>
      <c r="E2380" s="33">
        <v>12</v>
      </c>
      <c r="F2380" s="33">
        <v>3</v>
      </c>
      <c r="G2380" s="33" t="s">
        <v>4966</v>
      </c>
      <c r="H2380" s="33"/>
      <c r="I2380" s="31" t="s">
        <v>46</v>
      </c>
      <c r="J2380" s="31"/>
      <c r="K2380" s="33"/>
      <c r="L2380" s="33"/>
      <c r="M2380" s="31"/>
      <c r="N2380" s="31"/>
      <c r="O2380" s="16" t="s">
        <v>4979</v>
      </c>
      <c r="P2380" s="16"/>
      <c r="Q2380" s="16"/>
      <c r="R2380" s="33"/>
      <c r="S2380" s="34"/>
      <c r="T2380" s="34"/>
      <c r="U2380" s="34"/>
      <c r="V2380" s="34"/>
      <c r="W2380" s="34"/>
      <c r="X2380" s="33" t="s">
        <v>48</v>
      </c>
      <c r="Y2380" s="35" t="str">
        <f>IF(Tabela2[[#This Row],[SIGLA]]="","",VLOOKUP(Tabela2[[#This Row],[SIGLA]],Tabela1[[#All],[Sigla Arte]:[Crédito]],2,0))</f>
        <v>SERGIO LIMA/ARQUIVO DA EDITORA</v>
      </c>
      <c r="Z2380" s="31"/>
      <c r="AA2380" s="31" t="str">
        <f>Tabela2[[#This Row],[ILUSTRADOR CRIAÇÃO]]</f>
        <v>SERGIO LIMA/ARQUIVO DA EDITORA</v>
      </c>
      <c r="AB2380" s="33"/>
      <c r="AC2380" s="16"/>
      <c r="AE2380" s="35" t="str">
        <f t="shared" si="38"/>
        <v>EF1 E002 Mat</v>
      </c>
    </row>
    <row r="2381" spans="1:31" ht="30" x14ac:dyDescent="0.25">
      <c r="A2381" s="31" t="s">
        <v>4980</v>
      </c>
      <c r="B2381" s="16" t="s">
        <v>32</v>
      </c>
      <c r="C2381" s="16" t="s">
        <v>164</v>
      </c>
      <c r="D2381" s="33" t="s">
        <v>34</v>
      </c>
      <c r="E2381" s="33">
        <v>12</v>
      </c>
      <c r="F2381" s="33">
        <v>3</v>
      </c>
      <c r="G2381" s="33" t="s">
        <v>4966</v>
      </c>
      <c r="H2381" s="33"/>
      <c r="I2381" s="31" t="s">
        <v>46</v>
      </c>
      <c r="J2381" s="31"/>
      <c r="K2381" s="33"/>
      <c r="L2381" s="33"/>
      <c r="M2381" s="31"/>
      <c r="N2381" s="31"/>
      <c r="O2381" s="16" t="s">
        <v>4981</v>
      </c>
      <c r="P2381" s="16"/>
      <c r="Q2381" s="16"/>
      <c r="R2381" s="33"/>
      <c r="S2381" s="34"/>
      <c r="T2381" s="34"/>
      <c r="U2381" s="34"/>
      <c r="V2381" s="34"/>
      <c r="W2381" s="34"/>
      <c r="X2381" s="33" t="s">
        <v>162</v>
      </c>
      <c r="Y2381" s="35" t="str">
        <f>IF(Tabela2[[#This Row],[SIGLA]]="","",VLOOKUP(Tabela2[[#This Row],[SIGLA]],Tabela1[[#All],[Sigla Arte]:[Crédito]],2,0))</f>
        <v>IVY NUNES/ARQUIVO DA EDITORA</v>
      </c>
      <c r="Z2381" s="31"/>
      <c r="AA2381" s="31" t="str">
        <f>Tabela2[[#This Row],[ILUSTRADOR CRIAÇÃO]]</f>
        <v>IVY NUNES/ARQUIVO DA EDITORA</v>
      </c>
      <c r="AB2381" s="33"/>
      <c r="AC2381" s="16"/>
      <c r="AE2381" s="35" t="str">
        <f t="shared" si="38"/>
        <v>EF1 E002 Mat</v>
      </c>
    </row>
    <row r="2382" spans="1:31" ht="30" x14ac:dyDescent="0.25">
      <c r="A2382" s="31" t="s">
        <v>4982</v>
      </c>
      <c r="B2382" s="16" t="s">
        <v>32</v>
      </c>
      <c r="C2382" s="16" t="s">
        <v>164</v>
      </c>
      <c r="D2382" s="33" t="s">
        <v>34</v>
      </c>
      <c r="E2382" s="33">
        <v>13</v>
      </c>
      <c r="F2382" s="33">
        <v>3</v>
      </c>
      <c r="G2382" s="33" t="s">
        <v>4966</v>
      </c>
      <c r="H2382" s="33"/>
      <c r="I2382" s="31" t="s">
        <v>46</v>
      </c>
      <c r="J2382" s="31"/>
      <c r="K2382" s="33"/>
      <c r="L2382" s="33"/>
      <c r="M2382" s="31"/>
      <c r="N2382" s="31"/>
      <c r="O2382" s="16" t="s">
        <v>4983</v>
      </c>
      <c r="P2382" s="16"/>
      <c r="Q2382" s="16"/>
      <c r="R2382" s="33"/>
      <c r="S2382" s="34"/>
      <c r="T2382" s="34"/>
      <c r="U2382" s="34"/>
      <c r="V2382" s="34"/>
      <c r="W2382" s="34"/>
      <c r="X2382" s="33" t="s">
        <v>48</v>
      </c>
      <c r="Y2382" s="35" t="str">
        <f>IF(Tabela2[[#This Row],[SIGLA]]="","",VLOOKUP(Tabela2[[#This Row],[SIGLA]],Tabela1[[#All],[Sigla Arte]:[Crédito]],2,0))</f>
        <v>SERGIO LIMA/ARQUIVO DA EDITORA</v>
      </c>
      <c r="Z2382" s="31"/>
      <c r="AA2382" s="31" t="str">
        <f>Tabela2[[#This Row],[ILUSTRADOR CRIAÇÃO]]</f>
        <v>SERGIO LIMA/ARQUIVO DA EDITORA</v>
      </c>
      <c r="AB2382" s="33"/>
      <c r="AC2382" s="16"/>
      <c r="AE2382" s="35" t="str">
        <f t="shared" si="38"/>
        <v>EF1 E002 Mat</v>
      </c>
    </row>
    <row r="2383" spans="1:31" ht="30" x14ac:dyDescent="0.25">
      <c r="A2383" s="60" t="s">
        <v>4984</v>
      </c>
      <c r="B2383" s="16" t="s">
        <v>32</v>
      </c>
      <c r="C2383" s="16" t="s">
        <v>164</v>
      </c>
      <c r="D2383" s="33" t="s">
        <v>34</v>
      </c>
      <c r="E2383" s="33">
        <v>13</v>
      </c>
      <c r="F2383" s="33">
        <v>3</v>
      </c>
      <c r="G2383" s="33" t="s">
        <v>4966</v>
      </c>
      <c r="H2383" s="33"/>
      <c r="I2383" s="31" t="s">
        <v>46</v>
      </c>
      <c r="J2383" s="31"/>
      <c r="K2383" s="33"/>
      <c r="L2383" s="33"/>
      <c r="M2383" s="31"/>
      <c r="N2383" s="31"/>
      <c r="O2383" s="16" t="s">
        <v>4985</v>
      </c>
      <c r="P2383" s="16"/>
      <c r="Q2383" s="16"/>
      <c r="R2383" s="33"/>
      <c r="S2383" s="34"/>
      <c r="T2383" s="34"/>
      <c r="U2383" s="34"/>
      <c r="V2383" s="34"/>
      <c r="W2383" s="34"/>
      <c r="X2383" s="33" t="s">
        <v>48</v>
      </c>
      <c r="Y2383" s="35" t="str">
        <f>IF(Tabela2[[#This Row],[SIGLA]]="","",VLOOKUP(Tabela2[[#This Row],[SIGLA]],Tabela1[[#All],[Sigla Arte]:[Crédito]],2,0))</f>
        <v>SERGIO LIMA/ARQUIVO DA EDITORA</v>
      </c>
      <c r="Z2383" s="31"/>
      <c r="AA2383" s="31" t="str">
        <f>Tabela2[[#This Row],[ILUSTRADOR CRIAÇÃO]]</f>
        <v>SERGIO LIMA/ARQUIVO DA EDITORA</v>
      </c>
      <c r="AB2383" s="33"/>
      <c r="AC2383" s="16"/>
      <c r="AE2383" s="35" t="str">
        <f t="shared" si="38"/>
        <v>EF1 E002 Mat</v>
      </c>
    </row>
    <row r="2384" spans="1:31" ht="30" x14ac:dyDescent="0.25">
      <c r="A2384" s="60" t="s">
        <v>4986</v>
      </c>
      <c r="B2384" s="16" t="s">
        <v>32</v>
      </c>
      <c r="C2384" s="16" t="s">
        <v>164</v>
      </c>
      <c r="D2384" s="33" t="s">
        <v>34</v>
      </c>
      <c r="E2384" s="33">
        <v>13</v>
      </c>
      <c r="F2384" s="33">
        <v>3</v>
      </c>
      <c r="G2384" s="33" t="s">
        <v>4966</v>
      </c>
      <c r="H2384" s="33"/>
      <c r="I2384" s="31" t="s">
        <v>46</v>
      </c>
      <c r="J2384" s="31"/>
      <c r="K2384" s="33"/>
      <c r="L2384" s="33"/>
      <c r="M2384" s="31"/>
      <c r="N2384" s="31"/>
      <c r="O2384" s="16" t="s">
        <v>4987</v>
      </c>
      <c r="P2384" s="16"/>
      <c r="Q2384" s="16"/>
      <c r="R2384" s="33"/>
      <c r="S2384" s="34"/>
      <c r="T2384" s="34"/>
      <c r="U2384" s="34"/>
      <c r="V2384" s="34"/>
      <c r="W2384" s="34"/>
      <c r="X2384" s="33" t="s">
        <v>48</v>
      </c>
      <c r="Y2384" s="35" t="str">
        <f>IF(Tabela2[[#This Row],[SIGLA]]="","",VLOOKUP(Tabela2[[#This Row],[SIGLA]],Tabela1[[#All],[Sigla Arte]:[Crédito]],2,0))</f>
        <v>SERGIO LIMA/ARQUIVO DA EDITORA</v>
      </c>
      <c r="Z2384" s="31"/>
      <c r="AA2384" s="31" t="str">
        <f>Tabela2[[#This Row],[ILUSTRADOR CRIAÇÃO]]</f>
        <v>SERGIO LIMA/ARQUIVO DA EDITORA</v>
      </c>
      <c r="AB2384" s="33"/>
      <c r="AC2384" s="16"/>
      <c r="AE2384" s="35" t="str">
        <f t="shared" si="38"/>
        <v>EF1 E002 Mat</v>
      </c>
    </row>
    <row r="2385" spans="1:31" ht="30" x14ac:dyDescent="0.25">
      <c r="A2385" s="60" t="s">
        <v>4988</v>
      </c>
      <c r="B2385" s="16" t="s">
        <v>32</v>
      </c>
      <c r="C2385" s="16" t="s">
        <v>164</v>
      </c>
      <c r="D2385" s="33" t="s">
        <v>34</v>
      </c>
      <c r="E2385" s="33">
        <v>13</v>
      </c>
      <c r="F2385" s="33">
        <v>3</v>
      </c>
      <c r="G2385" s="33" t="s">
        <v>4966</v>
      </c>
      <c r="H2385" s="33"/>
      <c r="I2385" s="31" t="s">
        <v>46</v>
      </c>
      <c r="J2385" s="31"/>
      <c r="K2385" s="33"/>
      <c r="L2385" s="33"/>
      <c r="M2385" s="31"/>
      <c r="N2385" s="31"/>
      <c r="O2385" s="16" t="s">
        <v>4989</v>
      </c>
      <c r="P2385" s="16"/>
      <c r="Q2385" s="16"/>
      <c r="R2385" s="33"/>
      <c r="S2385" s="34"/>
      <c r="T2385" s="34"/>
      <c r="U2385" s="34"/>
      <c r="V2385" s="34"/>
      <c r="W2385" s="34"/>
      <c r="X2385" s="33" t="s">
        <v>48</v>
      </c>
      <c r="Y2385" s="35" t="str">
        <f>IF(Tabela2[[#This Row],[SIGLA]]="","",VLOOKUP(Tabela2[[#This Row],[SIGLA]],Tabela1[[#All],[Sigla Arte]:[Crédito]],2,0))</f>
        <v>SERGIO LIMA/ARQUIVO DA EDITORA</v>
      </c>
      <c r="Z2385" s="31"/>
      <c r="AA2385" s="31" t="str">
        <f>Tabela2[[#This Row],[ILUSTRADOR CRIAÇÃO]]</f>
        <v>SERGIO LIMA/ARQUIVO DA EDITORA</v>
      </c>
      <c r="AB2385" s="33"/>
      <c r="AC2385" s="16"/>
      <c r="AE2385" s="35" t="str">
        <f t="shared" si="38"/>
        <v>EF1 E002 Mat</v>
      </c>
    </row>
    <row r="2386" spans="1:31" ht="45" x14ac:dyDescent="0.25">
      <c r="A2386" s="60" t="s">
        <v>4990</v>
      </c>
      <c r="B2386" s="16" t="s">
        <v>32</v>
      </c>
      <c r="C2386" s="16" t="s">
        <v>164</v>
      </c>
      <c r="D2386" s="33" t="s">
        <v>34</v>
      </c>
      <c r="E2386" s="33">
        <v>13</v>
      </c>
      <c r="F2386" s="33">
        <v>3</v>
      </c>
      <c r="G2386" s="33" t="s">
        <v>4966</v>
      </c>
      <c r="H2386" s="33"/>
      <c r="I2386" s="31" t="s">
        <v>46</v>
      </c>
      <c r="J2386" s="31"/>
      <c r="K2386" s="33"/>
      <c r="L2386" s="33"/>
      <c r="M2386" s="31"/>
      <c r="N2386" s="31"/>
      <c r="O2386" s="16" t="s">
        <v>4991</v>
      </c>
      <c r="P2386" s="16"/>
      <c r="Q2386" s="16"/>
      <c r="R2386" s="33"/>
      <c r="S2386" s="34"/>
      <c r="T2386" s="34"/>
      <c r="U2386" s="34"/>
      <c r="V2386" s="34"/>
      <c r="W2386" s="34"/>
      <c r="X2386" s="33" t="s">
        <v>48</v>
      </c>
      <c r="Y2386" s="35" t="str">
        <f>IF(Tabela2[[#This Row],[SIGLA]]="","",VLOOKUP(Tabela2[[#This Row],[SIGLA]],Tabela1[[#All],[Sigla Arte]:[Crédito]],2,0))</f>
        <v>SERGIO LIMA/ARQUIVO DA EDITORA</v>
      </c>
      <c r="Z2386" s="31"/>
      <c r="AA2386" s="31" t="str">
        <f>Tabela2[[#This Row],[ILUSTRADOR CRIAÇÃO]]</f>
        <v>SERGIO LIMA/ARQUIVO DA EDITORA</v>
      </c>
      <c r="AB2386" s="33"/>
      <c r="AC2386" s="16"/>
      <c r="AE2386" s="35" t="str">
        <f t="shared" si="38"/>
        <v>EF1 E002 Mat</v>
      </c>
    </row>
    <row r="2387" spans="1:31" ht="45" x14ac:dyDescent="0.25">
      <c r="A2387" s="60" t="s">
        <v>4992</v>
      </c>
      <c r="B2387" s="16" t="s">
        <v>32</v>
      </c>
      <c r="C2387" s="16" t="s">
        <v>164</v>
      </c>
      <c r="D2387" s="33" t="s">
        <v>34</v>
      </c>
      <c r="E2387" s="33">
        <v>13</v>
      </c>
      <c r="F2387" s="33">
        <v>3</v>
      </c>
      <c r="G2387" s="33" t="s">
        <v>4966</v>
      </c>
      <c r="H2387" s="33"/>
      <c r="I2387" s="31" t="s">
        <v>46</v>
      </c>
      <c r="J2387" s="31"/>
      <c r="K2387" s="33"/>
      <c r="L2387" s="33"/>
      <c r="M2387" s="31"/>
      <c r="N2387" s="31"/>
      <c r="O2387" s="16" t="s">
        <v>4993</v>
      </c>
      <c r="P2387" s="16"/>
      <c r="Q2387" s="16"/>
      <c r="R2387" s="33"/>
      <c r="S2387" s="34"/>
      <c r="T2387" s="34"/>
      <c r="U2387" s="34"/>
      <c r="V2387" s="34"/>
      <c r="W2387" s="34"/>
      <c r="X2387" s="33" t="s">
        <v>85</v>
      </c>
      <c r="Y2387" s="35" t="str">
        <f>IF(Tabela2[[#This Row],[SIGLA]]="","",VLOOKUP(Tabela2[[#This Row],[SIGLA]],Tabela1[[#All],[Sigla Arte]:[Crédito]],2,0))</f>
        <v>HELOÍSA PINTARELLI/ARQUIVO DA EDITORA</v>
      </c>
      <c r="Z2387" s="31"/>
      <c r="AA2387" s="31" t="str">
        <f>Tabela2[[#This Row],[ILUSTRADOR CRIAÇÃO]]</f>
        <v>HELOÍSA PINTARELLI/ARQUIVO DA EDITORA</v>
      </c>
      <c r="AB2387" s="33"/>
      <c r="AC2387" s="16"/>
      <c r="AE2387" s="35" t="str">
        <f t="shared" si="38"/>
        <v>EF1 E002 Mat</v>
      </c>
    </row>
    <row r="2388" spans="1:31" ht="30" x14ac:dyDescent="0.25">
      <c r="A2388" s="31" t="s">
        <v>4994</v>
      </c>
      <c r="B2388" s="16" t="s">
        <v>32</v>
      </c>
      <c r="C2388" s="16" t="s">
        <v>164</v>
      </c>
      <c r="D2388" s="33" t="s">
        <v>34</v>
      </c>
      <c r="E2388" s="33">
        <v>258</v>
      </c>
      <c r="F2388" s="33">
        <v>3</v>
      </c>
      <c r="G2388" s="33" t="s">
        <v>4995</v>
      </c>
      <c r="H2388" s="33"/>
      <c r="I2388" s="31" t="s">
        <v>46</v>
      </c>
      <c r="J2388" s="31"/>
      <c r="K2388" s="33"/>
      <c r="L2388" s="33"/>
      <c r="M2388" s="31"/>
      <c r="N2388" s="31"/>
      <c r="O2388" s="16" t="s">
        <v>4996</v>
      </c>
      <c r="P2388" s="16"/>
      <c r="Q2388" s="16"/>
      <c r="R2388" s="33"/>
      <c r="S2388" s="34"/>
      <c r="T2388" s="34"/>
      <c r="U2388" s="34"/>
      <c r="V2388" s="34"/>
      <c r="W2388" s="34"/>
      <c r="X2388" s="33" t="s">
        <v>1201</v>
      </c>
      <c r="Y2388" s="35" t="str">
        <f>IF(Tabela2[[#This Row],[SIGLA]]="","",VLOOKUP(Tabela2[[#This Row],[SIGLA]],Tabela1[[#All],[Sigla Arte]:[Crédito]],2,0))</f>
        <v>RAFAELA PANISSA/ARQUIVO DA EDITORA</v>
      </c>
      <c r="Z2388" s="31"/>
      <c r="AA2388" s="31" t="str">
        <f>Tabela2[[#This Row],[ILUSTRADOR CRIAÇÃO]]</f>
        <v>RAFAELA PANISSA/ARQUIVO DA EDITORA</v>
      </c>
      <c r="AB2388" s="33"/>
      <c r="AC2388" s="16"/>
      <c r="AE2388" s="35" t="str">
        <f t="shared" si="38"/>
        <v>EF1 E002 Mat</v>
      </c>
    </row>
    <row r="2389" spans="1:31" ht="30" x14ac:dyDescent="0.25">
      <c r="A2389" s="31" t="s">
        <v>4997</v>
      </c>
      <c r="B2389" s="16" t="s">
        <v>32</v>
      </c>
      <c r="C2389" s="16" t="s">
        <v>164</v>
      </c>
      <c r="D2389" s="33" t="s">
        <v>34</v>
      </c>
      <c r="E2389" s="33">
        <v>258</v>
      </c>
      <c r="F2389" s="33">
        <v>3</v>
      </c>
      <c r="G2389" s="33" t="s">
        <v>4995</v>
      </c>
      <c r="H2389" s="33"/>
      <c r="I2389" s="31" t="s">
        <v>46</v>
      </c>
      <c r="J2389" s="31"/>
      <c r="K2389" s="33"/>
      <c r="L2389" s="33"/>
      <c r="M2389" s="31"/>
      <c r="N2389" s="31"/>
      <c r="O2389" s="16" t="s">
        <v>4998</v>
      </c>
      <c r="P2389" s="16"/>
      <c r="Q2389" s="16"/>
      <c r="R2389" s="33"/>
      <c r="S2389" s="34"/>
      <c r="T2389" s="34"/>
      <c r="U2389" s="34"/>
      <c r="V2389" s="34"/>
      <c r="W2389" s="34"/>
      <c r="X2389" s="33" t="s">
        <v>1201</v>
      </c>
      <c r="Y2389" s="35" t="str">
        <f>IF(Tabela2[[#This Row],[SIGLA]]="","",VLOOKUP(Tabela2[[#This Row],[SIGLA]],Tabela1[[#All],[Sigla Arte]:[Crédito]],2,0))</f>
        <v>RAFAELA PANISSA/ARQUIVO DA EDITORA</v>
      </c>
      <c r="Z2389" s="31"/>
      <c r="AA2389" s="31" t="str">
        <f>Tabela2[[#This Row],[ILUSTRADOR CRIAÇÃO]]</f>
        <v>RAFAELA PANISSA/ARQUIVO DA EDITORA</v>
      </c>
      <c r="AB2389" s="33"/>
      <c r="AC2389" s="16"/>
      <c r="AE2389" s="35" t="str">
        <f t="shared" si="38"/>
        <v>EF1 E002 Mat</v>
      </c>
    </row>
    <row r="2390" spans="1:31" ht="30" x14ac:dyDescent="0.25">
      <c r="A2390" s="31" t="s">
        <v>4999</v>
      </c>
      <c r="B2390" s="16" t="s">
        <v>32</v>
      </c>
      <c r="C2390" s="16" t="s">
        <v>164</v>
      </c>
      <c r="D2390" s="33" t="s">
        <v>34</v>
      </c>
      <c r="E2390" s="33">
        <v>258</v>
      </c>
      <c r="F2390" s="33">
        <v>3</v>
      </c>
      <c r="G2390" s="33" t="s">
        <v>4995</v>
      </c>
      <c r="H2390" s="33"/>
      <c r="I2390" s="31" t="s">
        <v>46</v>
      </c>
      <c r="J2390" s="31"/>
      <c r="K2390" s="33"/>
      <c r="L2390" s="33"/>
      <c r="M2390" s="31"/>
      <c r="N2390" s="31"/>
      <c r="O2390" s="16" t="s">
        <v>5000</v>
      </c>
      <c r="P2390" s="16"/>
      <c r="Q2390" s="16"/>
      <c r="R2390" s="33"/>
      <c r="S2390" s="34"/>
      <c r="T2390" s="34"/>
      <c r="U2390" s="34"/>
      <c r="V2390" s="34"/>
      <c r="W2390" s="34"/>
      <c r="X2390" s="33" t="s">
        <v>1201</v>
      </c>
      <c r="Y2390" s="35" t="str">
        <f>IF(Tabela2[[#This Row],[SIGLA]]="","",VLOOKUP(Tabela2[[#This Row],[SIGLA]],Tabela1[[#All],[Sigla Arte]:[Crédito]],2,0))</f>
        <v>RAFAELA PANISSA/ARQUIVO DA EDITORA</v>
      </c>
      <c r="Z2390" s="31"/>
      <c r="AA2390" s="31" t="str">
        <f>Tabela2[[#This Row],[ILUSTRADOR CRIAÇÃO]]</f>
        <v>RAFAELA PANISSA/ARQUIVO DA EDITORA</v>
      </c>
      <c r="AB2390" s="33"/>
      <c r="AC2390" s="16"/>
      <c r="AE2390" s="35" t="str">
        <f t="shared" si="38"/>
        <v>EF1 E002 Mat</v>
      </c>
    </row>
    <row r="2391" spans="1:31" ht="30" x14ac:dyDescent="0.25">
      <c r="A2391" s="31" t="s">
        <v>5001</v>
      </c>
      <c r="B2391" s="16" t="s">
        <v>32</v>
      </c>
      <c r="C2391" s="16" t="s">
        <v>164</v>
      </c>
      <c r="D2391" s="33" t="s">
        <v>34</v>
      </c>
      <c r="E2391" s="33">
        <v>258</v>
      </c>
      <c r="F2391" s="33">
        <v>3</v>
      </c>
      <c r="G2391" s="33" t="s">
        <v>4995</v>
      </c>
      <c r="H2391" s="33"/>
      <c r="I2391" s="31" t="s">
        <v>46</v>
      </c>
      <c r="J2391" s="31"/>
      <c r="K2391" s="33"/>
      <c r="L2391" s="33"/>
      <c r="M2391" s="31"/>
      <c r="N2391" s="31"/>
      <c r="O2391" s="16" t="s">
        <v>5002</v>
      </c>
      <c r="P2391" s="16"/>
      <c r="Q2391" s="16"/>
      <c r="R2391" s="33"/>
      <c r="S2391" s="34"/>
      <c r="T2391" s="34"/>
      <c r="U2391" s="34"/>
      <c r="V2391" s="34"/>
      <c r="W2391" s="34"/>
      <c r="X2391" s="33" t="s">
        <v>184</v>
      </c>
      <c r="Y2391" s="35" t="str">
        <f>IF(Tabela2[[#This Row],[SIGLA]]="","",VLOOKUP(Tabela2[[#This Row],[SIGLA]],Tabela1[[#All],[Sigla Arte]:[Crédito]],2,0))</f>
        <v>VER DOCUMENTO DE ILS. TÉCNICAS</v>
      </c>
      <c r="Z2391" s="31"/>
      <c r="AA2391" s="31" t="s">
        <v>921</v>
      </c>
      <c r="AB2391" s="33"/>
      <c r="AC2391" s="16"/>
      <c r="AE2391" s="35" t="str">
        <f t="shared" si="38"/>
        <v>EF1 E002 Mat</v>
      </c>
    </row>
    <row r="2392" spans="1:31" ht="30" x14ac:dyDescent="0.25">
      <c r="A2392" s="31" t="s">
        <v>5003</v>
      </c>
      <c r="B2392" s="16" t="s">
        <v>32</v>
      </c>
      <c r="C2392" s="16" t="s">
        <v>164</v>
      </c>
      <c r="D2392" s="33" t="s">
        <v>34</v>
      </c>
      <c r="E2392" s="33">
        <v>258</v>
      </c>
      <c r="F2392" s="33">
        <v>3</v>
      </c>
      <c r="G2392" s="33" t="s">
        <v>4995</v>
      </c>
      <c r="H2392" s="33"/>
      <c r="I2392" s="31" t="s">
        <v>46</v>
      </c>
      <c r="J2392" s="31"/>
      <c r="K2392" s="33"/>
      <c r="L2392" s="33"/>
      <c r="M2392" s="31"/>
      <c r="N2392" s="31"/>
      <c r="O2392" s="16" t="s">
        <v>5004</v>
      </c>
      <c r="P2392" s="16"/>
      <c r="Q2392" s="16"/>
      <c r="R2392" s="33"/>
      <c r="S2392" s="34"/>
      <c r="T2392" s="34"/>
      <c r="U2392" s="34"/>
      <c r="V2392" s="34"/>
      <c r="W2392" s="34"/>
      <c r="X2392" s="33" t="s">
        <v>1201</v>
      </c>
      <c r="Y2392" s="35" t="str">
        <f>IF(Tabela2[[#This Row],[SIGLA]]="","",VLOOKUP(Tabela2[[#This Row],[SIGLA]],Tabela1[[#All],[Sigla Arte]:[Crédito]],2,0))</f>
        <v>RAFAELA PANISSA/ARQUIVO DA EDITORA</v>
      </c>
      <c r="Z2392" s="31"/>
      <c r="AA2392" s="31" t="str">
        <f>Tabela2[[#This Row],[ILUSTRADOR CRIAÇÃO]]</f>
        <v>RAFAELA PANISSA/ARQUIVO DA EDITORA</v>
      </c>
      <c r="AB2392" s="33"/>
      <c r="AC2392" s="16"/>
      <c r="AE2392" s="35" t="str">
        <f t="shared" si="38"/>
        <v>EF1 E002 Mat</v>
      </c>
    </row>
    <row r="2393" spans="1:31" ht="30" x14ac:dyDescent="0.25">
      <c r="A2393" s="31" t="s">
        <v>5005</v>
      </c>
      <c r="B2393" s="16" t="s">
        <v>32</v>
      </c>
      <c r="C2393" s="16" t="s">
        <v>164</v>
      </c>
      <c r="D2393" s="33" t="s">
        <v>34</v>
      </c>
      <c r="E2393" s="33">
        <v>258</v>
      </c>
      <c r="F2393" s="33">
        <v>3</v>
      </c>
      <c r="G2393" s="33" t="s">
        <v>4995</v>
      </c>
      <c r="H2393" s="33"/>
      <c r="I2393" s="31" t="s">
        <v>46</v>
      </c>
      <c r="J2393" s="31"/>
      <c r="K2393" s="33"/>
      <c r="L2393" s="33"/>
      <c r="M2393" s="31"/>
      <c r="N2393" s="31"/>
      <c r="O2393" s="16" t="s">
        <v>5006</v>
      </c>
      <c r="P2393" s="16"/>
      <c r="Q2393" s="16"/>
      <c r="R2393" s="33"/>
      <c r="S2393" s="34"/>
      <c r="T2393" s="34"/>
      <c r="U2393" s="34"/>
      <c r="V2393" s="34"/>
      <c r="W2393" s="34"/>
      <c r="X2393" s="33" t="s">
        <v>1201</v>
      </c>
      <c r="Y2393" s="35" t="str">
        <f>IF(Tabela2[[#This Row],[SIGLA]]="","",VLOOKUP(Tabela2[[#This Row],[SIGLA]],Tabela1[[#All],[Sigla Arte]:[Crédito]],2,0))</f>
        <v>RAFAELA PANISSA/ARQUIVO DA EDITORA</v>
      </c>
      <c r="Z2393" s="31"/>
      <c r="AA2393" s="31" t="str">
        <f>Tabela2[[#This Row],[ILUSTRADOR CRIAÇÃO]]</f>
        <v>RAFAELA PANISSA/ARQUIVO DA EDITORA</v>
      </c>
      <c r="AB2393" s="33"/>
      <c r="AC2393" s="16"/>
      <c r="AE2393" s="35" t="str">
        <f t="shared" si="38"/>
        <v>EF1 E002 Mat</v>
      </c>
    </row>
    <row r="2394" spans="1:31" ht="30" x14ac:dyDescent="0.25">
      <c r="A2394" s="31" t="s">
        <v>5007</v>
      </c>
      <c r="B2394" s="16" t="s">
        <v>32</v>
      </c>
      <c r="C2394" s="16" t="s">
        <v>164</v>
      </c>
      <c r="D2394" s="33" t="s">
        <v>34</v>
      </c>
      <c r="E2394" s="33">
        <v>258</v>
      </c>
      <c r="F2394" s="33">
        <v>3</v>
      </c>
      <c r="G2394" s="33" t="s">
        <v>4995</v>
      </c>
      <c r="H2394" s="33"/>
      <c r="I2394" s="31" t="s">
        <v>46</v>
      </c>
      <c r="J2394" s="31"/>
      <c r="K2394" s="33"/>
      <c r="L2394" s="33"/>
      <c r="M2394" s="31"/>
      <c r="N2394" s="31"/>
      <c r="O2394" s="16" t="s">
        <v>5008</v>
      </c>
      <c r="P2394" s="16"/>
      <c r="Q2394" s="16"/>
      <c r="R2394" s="33"/>
      <c r="S2394" s="34"/>
      <c r="T2394" s="34"/>
      <c r="U2394" s="34"/>
      <c r="V2394" s="34"/>
      <c r="W2394" s="34"/>
      <c r="X2394" s="33" t="s">
        <v>1201</v>
      </c>
      <c r="Y2394" s="35" t="str">
        <f>IF(Tabela2[[#This Row],[SIGLA]]="","",VLOOKUP(Tabela2[[#This Row],[SIGLA]],Tabela1[[#All],[Sigla Arte]:[Crédito]],2,0))</f>
        <v>RAFAELA PANISSA/ARQUIVO DA EDITORA</v>
      </c>
      <c r="Z2394" s="31"/>
      <c r="AA2394" s="31" t="str">
        <f>Tabela2[[#This Row],[ILUSTRADOR CRIAÇÃO]]</f>
        <v>RAFAELA PANISSA/ARQUIVO DA EDITORA</v>
      </c>
      <c r="AB2394" s="33"/>
      <c r="AC2394" s="16"/>
      <c r="AE2394" s="35" t="str">
        <f t="shared" si="38"/>
        <v>EF1 E002 Mat</v>
      </c>
    </row>
    <row r="2395" spans="1:31" ht="30" x14ac:dyDescent="0.25">
      <c r="A2395" s="31" t="s">
        <v>5009</v>
      </c>
      <c r="B2395" s="16" t="s">
        <v>32</v>
      </c>
      <c r="C2395" s="16" t="s">
        <v>164</v>
      </c>
      <c r="D2395" s="33" t="s">
        <v>34</v>
      </c>
      <c r="E2395" s="33">
        <v>260</v>
      </c>
      <c r="F2395" s="33">
        <v>3</v>
      </c>
      <c r="G2395" s="33" t="s">
        <v>4995</v>
      </c>
      <c r="H2395" s="33"/>
      <c r="I2395" s="31" t="s">
        <v>46</v>
      </c>
      <c r="J2395" s="31"/>
      <c r="K2395" s="33"/>
      <c r="L2395" s="33"/>
      <c r="M2395" s="31"/>
      <c r="N2395" s="31"/>
      <c r="O2395" s="16" t="s">
        <v>5010</v>
      </c>
      <c r="P2395" s="16"/>
      <c r="Q2395" s="16"/>
      <c r="R2395" s="33"/>
      <c r="S2395" s="34"/>
      <c r="T2395" s="34"/>
      <c r="U2395" s="34"/>
      <c r="V2395" s="34"/>
      <c r="W2395" s="34"/>
      <c r="X2395" s="33" t="s">
        <v>85</v>
      </c>
      <c r="Y2395" s="35" t="str">
        <f>IF(Tabela2[[#This Row],[SIGLA]]="","",VLOOKUP(Tabela2[[#This Row],[SIGLA]],Tabela1[[#All],[Sigla Arte]:[Crédito]],2,0))</f>
        <v>HELOÍSA PINTARELLI/ARQUIVO DA EDITORA</v>
      </c>
      <c r="Z2395" s="31"/>
      <c r="AA2395" s="31" t="str">
        <f>Tabela2[[#This Row],[ILUSTRADOR CRIAÇÃO]]</f>
        <v>HELOÍSA PINTARELLI/ARQUIVO DA EDITORA</v>
      </c>
      <c r="AB2395" s="33"/>
      <c r="AC2395" s="16"/>
      <c r="AE2395" s="35" t="str">
        <f t="shared" si="38"/>
        <v>EF1 E002 Mat</v>
      </c>
    </row>
    <row r="2396" spans="1:31" ht="30" x14ac:dyDescent="0.25">
      <c r="A2396" s="31" t="s">
        <v>5011</v>
      </c>
      <c r="B2396" s="16" t="s">
        <v>32</v>
      </c>
      <c r="C2396" s="16" t="s">
        <v>164</v>
      </c>
      <c r="D2396" s="33" t="s">
        <v>34</v>
      </c>
      <c r="E2396" s="33">
        <v>261</v>
      </c>
      <c r="F2396" s="33">
        <v>3</v>
      </c>
      <c r="G2396" s="33" t="s">
        <v>4995</v>
      </c>
      <c r="H2396" s="33"/>
      <c r="I2396" s="31" t="s">
        <v>46</v>
      </c>
      <c r="J2396" s="31"/>
      <c r="K2396" s="33"/>
      <c r="L2396" s="33"/>
      <c r="M2396" s="31"/>
      <c r="N2396" s="31"/>
      <c r="O2396" s="16" t="s">
        <v>5012</v>
      </c>
      <c r="P2396" s="16"/>
      <c r="Q2396" s="16"/>
      <c r="R2396" s="33"/>
      <c r="S2396" s="34"/>
      <c r="T2396" s="34"/>
      <c r="U2396" s="34"/>
      <c r="V2396" s="34"/>
      <c r="W2396" s="34"/>
      <c r="X2396" s="33" t="s">
        <v>85</v>
      </c>
      <c r="Y2396" s="35" t="str">
        <f>IF(Tabela2[[#This Row],[SIGLA]]="","",VLOOKUP(Tabela2[[#This Row],[SIGLA]],Tabela1[[#All],[Sigla Arte]:[Crédito]],2,0))</f>
        <v>HELOÍSA PINTARELLI/ARQUIVO DA EDITORA</v>
      </c>
      <c r="Z2396" s="31"/>
      <c r="AA2396" s="31" t="str">
        <f>Tabela2[[#This Row],[ILUSTRADOR CRIAÇÃO]]</f>
        <v>HELOÍSA PINTARELLI/ARQUIVO DA EDITORA</v>
      </c>
      <c r="AB2396" s="33"/>
      <c r="AC2396" s="16"/>
      <c r="AE2396" s="35" t="str">
        <f t="shared" si="38"/>
        <v>EF1 E002 Mat</v>
      </c>
    </row>
    <row r="2397" spans="1:31" ht="45" x14ac:dyDescent="0.25">
      <c r="A2397" s="31" t="s">
        <v>5013</v>
      </c>
      <c r="B2397" s="16" t="s">
        <v>32</v>
      </c>
      <c r="C2397" s="16" t="s">
        <v>164</v>
      </c>
      <c r="D2397" s="33" t="s">
        <v>34</v>
      </c>
      <c r="E2397" s="33">
        <v>261</v>
      </c>
      <c r="F2397" s="33">
        <v>3</v>
      </c>
      <c r="G2397" s="33" t="s">
        <v>4995</v>
      </c>
      <c r="H2397" s="33"/>
      <c r="I2397" s="31" t="s">
        <v>46</v>
      </c>
      <c r="J2397" s="31"/>
      <c r="K2397" s="33"/>
      <c r="L2397" s="33"/>
      <c r="M2397" s="31"/>
      <c r="N2397" s="31"/>
      <c r="O2397" s="16" t="s">
        <v>5014</v>
      </c>
      <c r="P2397" s="16"/>
      <c r="Q2397" s="16"/>
      <c r="R2397" s="33"/>
      <c r="S2397" s="34"/>
      <c r="T2397" s="34"/>
      <c r="U2397" s="34"/>
      <c r="V2397" s="34"/>
      <c r="W2397" s="34"/>
      <c r="X2397" s="33" t="s">
        <v>85</v>
      </c>
      <c r="Y2397" s="35" t="str">
        <f>IF(Tabela2[[#This Row],[SIGLA]]="","",VLOOKUP(Tabela2[[#This Row],[SIGLA]],Tabela1[[#All],[Sigla Arte]:[Crédito]],2,0))</f>
        <v>HELOÍSA PINTARELLI/ARQUIVO DA EDITORA</v>
      </c>
      <c r="Z2397" s="31"/>
      <c r="AA2397" s="31" t="str">
        <f>Tabela2[[#This Row],[ILUSTRADOR CRIAÇÃO]]</f>
        <v>HELOÍSA PINTARELLI/ARQUIVO DA EDITORA</v>
      </c>
      <c r="AB2397" s="33"/>
      <c r="AC2397" s="16"/>
      <c r="AE2397" s="35" t="str">
        <f t="shared" si="38"/>
        <v>EF1 E002 Mat</v>
      </c>
    </row>
    <row r="2398" spans="1:31" ht="135" x14ac:dyDescent="0.25">
      <c r="A2398" s="31" t="s">
        <v>5015</v>
      </c>
      <c r="B2398" s="16" t="s">
        <v>32</v>
      </c>
      <c r="C2398" s="16" t="s">
        <v>327</v>
      </c>
      <c r="D2398" s="33" t="s">
        <v>34</v>
      </c>
      <c r="E2398" s="33">
        <v>31</v>
      </c>
      <c r="F2398" s="33">
        <v>4</v>
      </c>
      <c r="G2398" s="33">
        <v>1</v>
      </c>
      <c r="H2398" s="33"/>
      <c r="I2398" s="31" t="s">
        <v>35</v>
      </c>
      <c r="J2398" s="31"/>
      <c r="K2398" s="33"/>
      <c r="L2398" s="33"/>
      <c r="M2398" s="31"/>
      <c r="N2398" s="31"/>
      <c r="O2398" s="16" t="s">
        <v>5016</v>
      </c>
      <c r="P2398" s="16"/>
      <c r="Q2398" s="16"/>
      <c r="R2398" s="33">
        <v>111</v>
      </c>
      <c r="S2398" s="34">
        <v>45882</v>
      </c>
      <c r="T2398" s="34">
        <v>45884</v>
      </c>
      <c r="U2398" s="34"/>
      <c r="V2398" s="34"/>
      <c r="W2398" s="34">
        <v>45887</v>
      </c>
      <c r="X2398" s="33" t="s">
        <v>1126</v>
      </c>
      <c r="Y2398" s="35" t="str">
        <f>IF(Tabela2[[#This Row],[SIGLA]]="","",VLOOKUP(Tabela2[[#This Row],[SIGLA]],Tabela1[[#All],[Sigla Arte]:[Crédito]],2,0))</f>
        <v>GUSTAVO CONTI/ARQUIVO DA EDITORA</v>
      </c>
      <c r="Z2398" s="31" t="s">
        <v>38</v>
      </c>
      <c r="AA2398" s="31" t="str">
        <f>Tabela2[[#This Row],[ILUSTRADOR CRIAÇÃO]]</f>
        <v>GUSTAVO CONTI/ARQUIVO DA EDITORA</v>
      </c>
      <c r="AB2398" s="33">
        <v>13</v>
      </c>
      <c r="AC2398" s="16" t="s">
        <v>39</v>
      </c>
      <c r="AD2398" s="16" t="s">
        <v>40</v>
      </c>
      <c r="AE2398" s="35" t="str">
        <f t="shared" si="38"/>
        <v>EF1 E002 Mat</v>
      </c>
    </row>
    <row r="2399" spans="1:31" ht="75" x14ac:dyDescent="0.25">
      <c r="A2399" s="31" t="s">
        <v>5017</v>
      </c>
      <c r="B2399" s="16" t="s">
        <v>32</v>
      </c>
      <c r="C2399" s="16" t="s">
        <v>4085</v>
      </c>
      <c r="D2399" s="33" t="s">
        <v>34</v>
      </c>
      <c r="E2399" s="33">
        <v>33</v>
      </c>
      <c r="F2399" s="33">
        <v>4</v>
      </c>
      <c r="G2399" s="33">
        <v>1</v>
      </c>
      <c r="H2399" s="33"/>
      <c r="I2399" s="31" t="s">
        <v>35</v>
      </c>
      <c r="J2399" s="31"/>
      <c r="K2399" s="33"/>
      <c r="L2399" s="33"/>
      <c r="M2399" s="31"/>
      <c r="N2399" s="31"/>
      <c r="O2399" s="16" t="s">
        <v>5018</v>
      </c>
      <c r="P2399" s="16"/>
      <c r="Q2399" s="16"/>
      <c r="R2399" s="33">
        <v>111</v>
      </c>
      <c r="S2399" s="34">
        <v>45882</v>
      </c>
      <c r="T2399" s="34">
        <v>45884</v>
      </c>
      <c r="U2399" s="34"/>
      <c r="V2399" s="34"/>
      <c r="W2399" s="34">
        <v>45887</v>
      </c>
      <c r="X2399" s="33" t="s">
        <v>1126</v>
      </c>
      <c r="Y2399" s="35" t="str">
        <f>IF(Tabela2[[#This Row],[SIGLA]]="","",VLOOKUP(Tabela2[[#This Row],[SIGLA]],Tabela1[[#All],[Sigla Arte]:[Crédito]],2,0))</f>
        <v>GUSTAVO CONTI/ARQUIVO DA EDITORA</v>
      </c>
      <c r="Z2399" s="31" t="s">
        <v>38</v>
      </c>
      <c r="AA2399" s="31" t="str">
        <f>Tabela2[[#This Row],[ILUSTRADOR CRIAÇÃO]]</f>
        <v>GUSTAVO CONTI/ARQUIVO DA EDITORA</v>
      </c>
      <c r="AB2399" s="33">
        <v>13</v>
      </c>
      <c r="AC2399" s="16" t="s">
        <v>39</v>
      </c>
      <c r="AD2399" s="16" t="s">
        <v>40</v>
      </c>
      <c r="AE2399" s="35" t="str">
        <f t="shared" si="38"/>
        <v>EF1 E002 Mat</v>
      </c>
    </row>
    <row r="2400" spans="1:31" ht="75" x14ac:dyDescent="0.25">
      <c r="A2400" s="31" t="s">
        <v>5019</v>
      </c>
      <c r="B2400" s="16" t="s">
        <v>32</v>
      </c>
      <c r="C2400" s="16" t="s">
        <v>164</v>
      </c>
      <c r="D2400" s="33" t="s">
        <v>34</v>
      </c>
      <c r="E2400" s="33">
        <v>269</v>
      </c>
      <c r="F2400" s="33">
        <v>4</v>
      </c>
      <c r="G2400" s="33" t="s">
        <v>4785</v>
      </c>
      <c r="H2400" s="33"/>
      <c r="I2400" s="31" t="s">
        <v>995</v>
      </c>
      <c r="J2400" s="31"/>
      <c r="K2400" s="33"/>
      <c r="L2400" s="33"/>
      <c r="M2400" s="31"/>
      <c r="N2400" s="31"/>
      <c r="O2400" s="16" t="s">
        <v>5020</v>
      </c>
      <c r="P2400" s="16"/>
      <c r="Q2400" s="16"/>
      <c r="R2400" s="33">
        <v>111</v>
      </c>
      <c r="S2400" s="34">
        <v>45882</v>
      </c>
      <c r="T2400" s="34">
        <v>45884</v>
      </c>
      <c r="U2400" s="34"/>
      <c r="V2400" s="34"/>
      <c r="W2400" s="34">
        <v>45887</v>
      </c>
      <c r="X2400" s="33" t="s">
        <v>3443</v>
      </c>
      <c r="Y2400" s="35" t="str">
        <f>IF(Tabela2[[#This Row],[SIGLA]]="","",VLOOKUP(Tabela2[[#This Row],[SIGLA]],Tabela1[[#All],[Sigla Arte]:[Crédito]],2,0))</f>
        <v>VINÍCIUS COSTA/ARQUIVO DA EDITORA</v>
      </c>
      <c r="Z2400" s="31"/>
      <c r="AA2400" s="31" t="str">
        <f>Tabela2[[#This Row],[ILUSTRADOR CRIAÇÃO]]</f>
        <v>VINÍCIUS COSTA/ARQUIVO DA EDITORA</v>
      </c>
      <c r="AB2400" s="33">
        <v>8</v>
      </c>
      <c r="AC2400" s="16" t="s">
        <v>924</v>
      </c>
      <c r="AD2400" s="16" t="s">
        <v>40</v>
      </c>
      <c r="AE2400" s="35" t="str">
        <f t="shared" si="38"/>
        <v>EF1 E002 Mat</v>
      </c>
    </row>
    <row r="2401" spans="1:31" ht="135" x14ac:dyDescent="0.25">
      <c r="A2401" s="31" t="s">
        <v>5021</v>
      </c>
      <c r="B2401" s="16" t="s">
        <v>32</v>
      </c>
      <c r="C2401" s="16" t="s">
        <v>164</v>
      </c>
      <c r="D2401" s="33" t="s">
        <v>34</v>
      </c>
      <c r="E2401" s="33">
        <v>271</v>
      </c>
      <c r="F2401" s="33">
        <v>4</v>
      </c>
      <c r="G2401" s="33" t="s">
        <v>4785</v>
      </c>
      <c r="H2401" s="33"/>
      <c r="I2401" s="31" t="s">
        <v>995</v>
      </c>
      <c r="J2401" s="31"/>
      <c r="K2401" s="33"/>
      <c r="L2401" s="33"/>
      <c r="M2401" s="31"/>
      <c r="N2401" s="31"/>
      <c r="O2401" s="16" t="s">
        <v>5022</v>
      </c>
      <c r="P2401" s="16"/>
      <c r="Q2401" s="16"/>
      <c r="R2401" s="33">
        <v>111</v>
      </c>
      <c r="S2401" s="34">
        <v>45882</v>
      </c>
      <c r="T2401" s="34">
        <v>45884</v>
      </c>
      <c r="U2401" s="34"/>
      <c r="V2401" s="34"/>
      <c r="W2401" s="34">
        <v>45887</v>
      </c>
      <c r="X2401" s="33" t="s">
        <v>3443</v>
      </c>
      <c r="Y2401" s="35" t="str">
        <f>IF(Tabela2[[#This Row],[SIGLA]]="","",VLOOKUP(Tabela2[[#This Row],[SIGLA]],Tabela1[[#All],[Sigla Arte]:[Crédito]],2,0))</f>
        <v>VINÍCIUS COSTA/ARQUIVO DA EDITORA</v>
      </c>
      <c r="Z2401" s="31"/>
      <c r="AA2401" s="31" t="str">
        <f>Tabela2[[#This Row],[ILUSTRADOR CRIAÇÃO]]</f>
        <v>VINÍCIUS COSTA/ARQUIVO DA EDITORA</v>
      </c>
      <c r="AB2401" s="33">
        <v>8</v>
      </c>
      <c r="AC2401" s="16" t="s">
        <v>924</v>
      </c>
      <c r="AD2401" s="16" t="s">
        <v>40</v>
      </c>
      <c r="AE2401" s="35" t="str">
        <f t="shared" si="38"/>
        <v>EF1 E002 Mat</v>
      </c>
    </row>
    <row r="2402" spans="1:31" ht="45" x14ac:dyDescent="0.25">
      <c r="A2402" s="31" t="s">
        <v>5023</v>
      </c>
      <c r="B2402" s="16" t="s">
        <v>32</v>
      </c>
      <c r="C2402" s="16" t="s">
        <v>164</v>
      </c>
      <c r="D2402" s="33" t="s">
        <v>34</v>
      </c>
      <c r="E2402" s="33">
        <v>260</v>
      </c>
      <c r="F2402" s="33">
        <v>4</v>
      </c>
      <c r="G2402" s="33"/>
      <c r="H2402" s="33" t="s">
        <v>1397</v>
      </c>
      <c r="I2402" s="31" t="s">
        <v>46</v>
      </c>
      <c r="J2402" s="31"/>
      <c r="K2402" s="33"/>
      <c r="L2402" s="33"/>
      <c r="M2402" s="31"/>
      <c r="N2402" s="31"/>
      <c r="O2402" s="16" t="s">
        <v>5024</v>
      </c>
      <c r="P2402" s="16"/>
      <c r="Q2402" s="16"/>
      <c r="R2402" s="33"/>
      <c r="S2402" s="34"/>
      <c r="T2402" s="34"/>
      <c r="U2402" s="34"/>
      <c r="V2402" s="34"/>
      <c r="W2402" s="34"/>
      <c r="X2402" s="33" t="s">
        <v>184</v>
      </c>
      <c r="Y2402" s="35" t="str">
        <f>IF(Tabela2[[#This Row],[SIGLA]]="","",VLOOKUP(Tabela2[[#This Row],[SIGLA]],Tabela1[[#All],[Sigla Arte]:[Crédito]],2,0))</f>
        <v>VER DOCUMENTO DE ILS. TÉCNICAS</v>
      </c>
      <c r="Z2402" s="31"/>
      <c r="AA2402" s="31" t="s">
        <v>191</v>
      </c>
      <c r="AB2402" s="33"/>
      <c r="AC2402" s="16"/>
      <c r="AE2402" s="35" t="str">
        <f t="shared" si="38"/>
        <v>EF1 E002 Mat</v>
      </c>
    </row>
    <row r="2403" spans="1:31" ht="45" x14ac:dyDescent="0.25">
      <c r="A2403" s="31" t="s">
        <v>5025</v>
      </c>
      <c r="B2403" s="16" t="s">
        <v>32</v>
      </c>
      <c r="C2403" s="16" t="s">
        <v>164</v>
      </c>
      <c r="D2403" s="33" t="s">
        <v>34</v>
      </c>
      <c r="E2403" s="33">
        <v>260</v>
      </c>
      <c r="F2403" s="33">
        <v>4</v>
      </c>
      <c r="G2403" s="33"/>
      <c r="H2403" s="33" t="s">
        <v>1397</v>
      </c>
      <c r="I2403" s="31" t="s">
        <v>46</v>
      </c>
      <c r="J2403" s="31"/>
      <c r="K2403" s="33"/>
      <c r="L2403" s="33"/>
      <c r="M2403" s="31"/>
      <c r="N2403" s="31"/>
      <c r="O2403" s="16" t="s">
        <v>5026</v>
      </c>
      <c r="P2403" s="16"/>
      <c r="Q2403" s="16"/>
      <c r="R2403" s="33"/>
      <c r="S2403" s="34"/>
      <c r="T2403" s="34"/>
      <c r="U2403" s="34"/>
      <c r="V2403" s="34"/>
      <c r="W2403" s="34"/>
      <c r="X2403" s="33" t="s">
        <v>184</v>
      </c>
      <c r="Y2403" s="35" t="str">
        <f>IF(Tabela2[[#This Row],[SIGLA]]="","",VLOOKUP(Tabela2[[#This Row],[SIGLA]],Tabela1[[#All],[Sigla Arte]:[Crédito]],2,0))</f>
        <v>VER DOCUMENTO DE ILS. TÉCNICAS</v>
      </c>
      <c r="Z2403" s="31"/>
      <c r="AA2403" s="31" t="s">
        <v>191</v>
      </c>
      <c r="AB2403" s="33"/>
      <c r="AC2403" s="16"/>
      <c r="AE2403" s="35" t="str">
        <f t="shared" si="38"/>
        <v>EF1 E002 Mat</v>
      </c>
    </row>
    <row r="2404" spans="1:31" ht="45" x14ac:dyDescent="0.25">
      <c r="A2404" s="31" t="s">
        <v>5027</v>
      </c>
      <c r="B2404" s="16" t="s">
        <v>32</v>
      </c>
      <c r="C2404" s="16" t="s">
        <v>164</v>
      </c>
      <c r="D2404" s="33" t="s">
        <v>34</v>
      </c>
      <c r="E2404" s="33">
        <v>260</v>
      </c>
      <c r="F2404" s="33">
        <v>4</v>
      </c>
      <c r="G2404" s="33"/>
      <c r="H2404" s="33" t="s">
        <v>1397</v>
      </c>
      <c r="I2404" s="31" t="s">
        <v>46</v>
      </c>
      <c r="J2404" s="31"/>
      <c r="K2404" s="33"/>
      <c r="L2404" s="33"/>
      <c r="M2404" s="31"/>
      <c r="N2404" s="31"/>
      <c r="O2404" s="16" t="s">
        <v>5028</v>
      </c>
      <c r="P2404" s="16"/>
      <c r="Q2404" s="16"/>
      <c r="R2404" s="33"/>
      <c r="S2404" s="34"/>
      <c r="T2404" s="34"/>
      <c r="U2404" s="34"/>
      <c r="V2404" s="34"/>
      <c r="W2404" s="34"/>
      <c r="X2404" s="33" t="s">
        <v>184</v>
      </c>
      <c r="Y2404" s="35" t="str">
        <f>IF(Tabela2[[#This Row],[SIGLA]]="","",VLOOKUP(Tabela2[[#This Row],[SIGLA]],Tabela1[[#All],[Sigla Arte]:[Crédito]],2,0))</f>
        <v>VER DOCUMENTO DE ILS. TÉCNICAS</v>
      </c>
      <c r="Z2404" s="31"/>
      <c r="AA2404" s="31" t="s">
        <v>191</v>
      </c>
      <c r="AB2404" s="33"/>
      <c r="AC2404" s="16"/>
      <c r="AE2404" s="35" t="str">
        <f t="shared" si="38"/>
        <v>EF1 E002 Mat</v>
      </c>
    </row>
    <row r="2405" spans="1:31" ht="45" x14ac:dyDescent="0.25">
      <c r="A2405" s="31" t="s">
        <v>5029</v>
      </c>
      <c r="B2405" s="16" t="s">
        <v>32</v>
      </c>
      <c r="C2405" s="16" t="s">
        <v>164</v>
      </c>
      <c r="D2405" s="33" t="s">
        <v>34</v>
      </c>
      <c r="E2405" s="33">
        <v>261</v>
      </c>
      <c r="F2405" s="33">
        <v>4</v>
      </c>
      <c r="G2405" s="33"/>
      <c r="H2405" s="33" t="s">
        <v>1397</v>
      </c>
      <c r="I2405" s="31" t="s">
        <v>46</v>
      </c>
      <c r="J2405" s="31"/>
      <c r="K2405" s="33"/>
      <c r="L2405" s="33"/>
      <c r="M2405" s="31"/>
      <c r="N2405" s="31"/>
      <c r="O2405" s="16" t="s">
        <v>5030</v>
      </c>
      <c r="P2405" s="16"/>
      <c r="Q2405" s="16"/>
      <c r="R2405" s="33"/>
      <c r="S2405" s="34"/>
      <c r="T2405" s="34"/>
      <c r="U2405" s="34"/>
      <c r="V2405" s="34"/>
      <c r="W2405" s="34"/>
      <c r="X2405" s="33" t="s">
        <v>48</v>
      </c>
      <c r="Y2405" s="35" t="str">
        <f>IF(Tabela2[[#This Row],[SIGLA]]="","",VLOOKUP(Tabela2[[#This Row],[SIGLA]],Tabela1[[#All],[Sigla Arte]:[Crédito]],2,0))</f>
        <v>SERGIO LIMA/ARQUIVO DA EDITORA</v>
      </c>
      <c r="Z2405" s="31"/>
      <c r="AA2405" s="31" t="str">
        <f>Tabela2[[#This Row],[ILUSTRADOR CRIAÇÃO]]</f>
        <v>SERGIO LIMA/ARQUIVO DA EDITORA</v>
      </c>
      <c r="AB2405" s="33"/>
      <c r="AC2405" s="16"/>
      <c r="AE2405" s="35" t="str">
        <f t="shared" si="38"/>
        <v>EF1 E002 Mat</v>
      </c>
    </row>
    <row r="2406" spans="1:31" ht="45" x14ac:dyDescent="0.25">
      <c r="A2406" s="31" t="s">
        <v>5031</v>
      </c>
      <c r="B2406" s="16" t="s">
        <v>32</v>
      </c>
      <c r="C2406" s="16" t="s">
        <v>164</v>
      </c>
      <c r="D2406" s="33" t="s">
        <v>34</v>
      </c>
      <c r="E2406" s="33">
        <v>261</v>
      </c>
      <c r="F2406" s="33">
        <v>4</v>
      </c>
      <c r="G2406" s="33"/>
      <c r="H2406" s="33" t="s">
        <v>1397</v>
      </c>
      <c r="I2406" s="31" t="s">
        <v>46</v>
      </c>
      <c r="J2406" s="31"/>
      <c r="K2406" s="33"/>
      <c r="L2406" s="33"/>
      <c r="M2406" s="31"/>
      <c r="N2406" s="31"/>
      <c r="O2406" s="16" t="s">
        <v>5032</v>
      </c>
      <c r="P2406" s="16"/>
      <c r="Q2406" s="16"/>
      <c r="R2406" s="33"/>
      <c r="S2406" s="34"/>
      <c r="T2406" s="34"/>
      <c r="U2406" s="34"/>
      <c r="V2406" s="34"/>
      <c r="W2406" s="34"/>
      <c r="X2406" s="33" t="s">
        <v>48</v>
      </c>
      <c r="Y2406" s="35" t="str">
        <f>IF(Tabela2[[#This Row],[SIGLA]]="","",VLOOKUP(Tabela2[[#This Row],[SIGLA]],Tabela1[[#All],[Sigla Arte]:[Crédito]],2,0))</f>
        <v>SERGIO LIMA/ARQUIVO DA EDITORA</v>
      </c>
      <c r="Z2406" s="31"/>
      <c r="AA2406" s="31" t="str">
        <f>Tabela2[[#This Row],[ILUSTRADOR CRIAÇÃO]]</f>
        <v>SERGIO LIMA/ARQUIVO DA EDITORA</v>
      </c>
      <c r="AB2406" s="33"/>
      <c r="AC2406" s="16"/>
      <c r="AE2406" s="35" t="str">
        <f t="shared" si="38"/>
        <v>EF1 E002 Mat</v>
      </c>
    </row>
    <row r="2407" spans="1:31" ht="45" x14ac:dyDescent="0.25">
      <c r="A2407" s="31" t="s">
        <v>5033</v>
      </c>
      <c r="B2407" s="16" t="s">
        <v>32</v>
      </c>
      <c r="C2407" s="16" t="s">
        <v>164</v>
      </c>
      <c r="D2407" s="33" t="s">
        <v>34</v>
      </c>
      <c r="E2407" s="33">
        <v>261</v>
      </c>
      <c r="F2407" s="33">
        <v>4</v>
      </c>
      <c r="G2407" s="33"/>
      <c r="H2407" s="33" t="s">
        <v>1397</v>
      </c>
      <c r="I2407" s="31" t="s">
        <v>46</v>
      </c>
      <c r="J2407" s="31"/>
      <c r="K2407" s="33"/>
      <c r="L2407" s="33"/>
      <c r="M2407" s="31"/>
      <c r="N2407" s="31"/>
      <c r="O2407" s="16" t="s">
        <v>5034</v>
      </c>
      <c r="P2407" s="16"/>
      <c r="Q2407" s="16"/>
      <c r="R2407" s="33"/>
      <c r="S2407" s="34"/>
      <c r="T2407" s="34"/>
      <c r="U2407" s="34"/>
      <c r="V2407" s="34"/>
      <c r="W2407" s="34"/>
      <c r="X2407" s="33" t="s">
        <v>48</v>
      </c>
      <c r="Y2407" s="35" t="str">
        <f>IF(Tabela2[[#This Row],[SIGLA]]="","",VLOOKUP(Tabela2[[#This Row],[SIGLA]],Tabela1[[#All],[Sigla Arte]:[Crédito]],2,0))</f>
        <v>SERGIO LIMA/ARQUIVO DA EDITORA</v>
      </c>
      <c r="Z2407" s="31"/>
      <c r="AA2407" s="31" t="str">
        <f>Tabela2[[#This Row],[ILUSTRADOR CRIAÇÃO]]</f>
        <v>SERGIO LIMA/ARQUIVO DA EDITORA</v>
      </c>
      <c r="AB2407" s="33"/>
      <c r="AC2407" s="16"/>
      <c r="AE2407" s="35" t="str">
        <f t="shared" si="38"/>
        <v>EF1 E002 Mat</v>
      </c>
    </row>
    <row r="2408" spans="1:31" ht="60" x14ac:dyDescent="0.25">
      <c r="A2408" s="31" t="s">
        <v>5035</v>
      </c>
      <c r="B2408" s="16" t="s">
        <v>32</v>
      </c>
      <c r="C2408" s="16" t="s">
        <v>164</v>
      </c>
      <c r="D2408" s="33" t="s">
        <v>34</v>
      </c>
      <c r="E2408" s="33">
        <v>261</v>
      </c>
      <c r="F2408" s="33">
        <v>4</v>
      </c>
      <c r="G2408" s="33"/>
      <c r="H2408" s="33" t="s">
        <v>1397</v>
      </c>
      <c r="I2408" s="31" t="s">
        <v>35</v>
      </c>
      <c r="J2408" s="31"/>
      <c r="K2408" s="33"/>
      <c r="L2408" s="33"/>
      <c r="M2408" s="31"/>
      <c r="N2408" s="31"/>
      <c r="O2408" s="16" t="s">
        <v>5036</v>
      </c>
      <c r="P2408" s="16"/>
      <c r="Q2408" s="16"/>
      <c r="R2408" s="33">
        <v>112</v>
      </c>
      <c r="S2408" s="34">
        <v>45883</v>
      </c>
      <c r="T2408" s="34">
        <v>45884</v>
      </c>
      <c r="U2408" s="34"/>
      <c r="V2408" s="34"/>
      <c r="W2408" s="34">
        <v>45884</v>
      </c>
      <c r="X2408" s="33" t="s">
        <v>48</v>
      </c>
      <c r="Y2408" s="35" t="str">
        <f>IF(Tabela2[[#This Row],[SIGLA]]="","",VLOOKUP(Tabela2[[#This Row],[SIGLA]],Tabela1[[#All],[Sigla Arte]:[Crédito]],2,0))</f>
        <v>SERGIO LIMA/ARQUIVO DA EDITORA</v>
      </c>
      <c r="Z2408" s="31" t="s">
        <v>924</v>
      </c>
      <c r="AA2408" s="31" t="str">
        <f>Tabela2[[#This Row],[ILUSTRADOR CRIAÇÃO]]</f>
        <v>SERGIO LIMA/ARQUIVO DA EDITORA</v>
      </c>
      <c r="AB2408" s="33">
        <v>13</v>
      </c>
      <c r="AC2408" s="16" t="s">
        <v>4514</v>
      </c>
      <c r="AD2408" s="16" t="s">
        <v>40</v>
      </c>
      <c r="AE2408" s="35" t="str">
        <f t="shared" si="38"/>
        <v>EF1 E002 Mat</v>
      </c>
    </row>
    <row r="2409" spans="1:31" ht="45" x14ac:dyDescent="0.25">
      <c r="A2409" s="31" t="s">
        <v>5037</v>
      </c>
      <c r="B2409" s="16" t="s">
        <v>32</v>
      </c>
      <c r="C2409" s="16" t="s">
        <v>164</v>
      </c>
      <c r="D2409" s="33" t="s">
        <v>34</v>
      </c>
      <c r="E2409" s="33">
        <v>261</v>
      </c>
      <c r="F2409" s="33">
        <v>4</v>
      </c>
      <c r="G2409" s="33"/>
      <c r="H2409" s="33" t="s">
        <v>1397</v>
      </c>
      <c r="I2409" s="31" t="s">
        <v>46</v>
      </c>
      <c r="J2409" s="31"/>
      <c r="K2409" s="33"/>
      <c r="L2409" s="33"/>
      <c r="M2409" s="31"/>
      <c r="N2409" s="31"/>
      <c r="O2409" s="16" t="s">
        <v>5038</v>
      </c>
      <c r="P2409" s="16"/>
      <c r="Q2409" s="16"/>
      <c r="R2409" s="33"/>
      <c r="S2409" s="34"/>
      <c r="T2409" s="34"/>
      <c r="U2409" s="34"/>
      <c r="V2409" s="34"/>
      <c r="W2409" s="34"/>
      <c r="X2409" s="33" t="s">
        <v>48</v>
      </c>
      <c r="Y2409" s="35" t="str">
        <f>IF(Tabela2[[#This Row],[SIGLA]]="","",VLOOKUP(Tabela2[[#This Row],[SIGLA]],Tabela1[[#All],[Sigla Arte]:[Crédito]],2,0))</f>
        <v>SERGIO LIMA/ARQUIVO DA EDITORA</v>
      </c>
      <c r="Z2409" s="31"/>
      <c r="AA2409" s="31" t="str">
        <f>Tabela2[[#This Row],[ILUSTRADOR CRIAÇÃO]]</f>
        <v>SERGIO LIMA/ARQUIVO DA EDITORA</v>
      </c>
      <c r="AB2409" s="33"/>
      <c r="AC2409" s="16"/>
      <c r="AE2409" s="35" t="str">
        <f t="shared" si="38"/>
        <v>EF1 E002 Mat</v>
      </c>
    </row>
    <row r="2410" spans="1:31" ht="45" x14ac:dyDescent="0.25">
      <c r="A2410" s="31" t="s">
        <v>5039</v>
      </c>
      <c r="B2410" s="16" t="s">
        <v>32</v>
      </c>
      <c r="C2410" s="16" t="s">
        <v>164</v>
      </c>
      <c r="D2410" s="33" t="s">
        <v>34</v>
      </c>
      <c r="E2410" s="33">
        <v>261</v>
      </c>
      <c r="F2410" s="33">
        <v>4</v>
      </c>
      <c r="G2410" s="33"/>
      <c r="H2410" s="33" t="s">
        <v>1397</v>
      </c>
      <c r="I2410" s="31" t="s">
        <v>46</v>
      </c>
      <c r="J2410" s="31"/>
      <c r="K2410" s="33"/>
      <c r="L2410" s="33"/>
      <c r="M2410" s="31"/>
      <c r="N2410" s="31"/>
      <c r="O2410" s="16" t="s">
        <v>5040</v>
      </c>
      <c r="P2410" s="16"/>
      <c r="Q2410" s="16"/>
      <c r="R2410" s="33"/>
      <c r="S2410" s="34"/>
      <c r="T2410" s="34"/>
      <c r="U2410" s="34"/>
      <c r="V2410" s="34"/>
      <c r="W2410" s="34"/>
      <c r="X2410" s="33" t="s">
        <v>48</v>
      </c>
      <c r="Y2410" s="35" t="str">
        <f>IF(Tabela2[[#This Row],[SIGLA]]="","",VLOOKUP(Tabela2[[#This Row],[SIGLA]],Tabela1[[#All],[Sigla Arte]:[Crédito]],2,0))</f>
        <v>SERGIO LIMA/ARQUIVO DA EDITORA</v>
      </c>
      <c r="Z2410" s="31"/>
      <c r="AA2410" s="31" t="str">
        <f>Tabela2[[#This Row],[ILUSTRADOR CRIAÇÃO]]</f>
        <v>SERGIO LIMA/ARQUIVO DA EDITORA</v>
      </c>
      <c r="AB2410" s="33"/>
      <c r="AC2410" s="16"/>
      <c r="AE2410" s="35" t="str">
        <f t="shared" si="38"/>
        <v>EF1 E002 Mat</v>
      </c>
    </row>
    <row r="2411" spans="1:31" ht="45" x14ac:dyDescent="0.25">
      <c r="A2411" s="31" t="s">
        <v>5041</v>
      </c>
      <c r="B2411" s="16" t="s">
        <v>32</v>
      </c>
      <c r="C2411" s="16" t="s">
        <v>164</v>
      </c>
      <c r="D2411" s="33" t="s">
        <v>34</v>
      </c>
      <c r="E2411" s="33">
        <v>261</v>
      </c>
      <c r="F2411" s="33">
        <v>4</v>
      </c>
      <c r="G2411" s="33"/>
      <c r="H2411" s="33" t="s">
        <v>1397</v>
      </c>
      <c r="I2411" s="31" t="s">
        <v>46</v>
      </c>
      <c r="J2411" s="31"/>
      <c r="K2411" s="33"/>
      <c r="L2411" s="33"/>
      <c r="M2411" s="31"/>
      <c r="N2411" s="31"/>
      <c r="O2411" s="16" t="s">
        <v>5042</v>
      </c>
      <c r="P2411" s="16"/>
      <c r="Q2411" s="16"/>
      <c r="R2411" s="33"/>
      <c r="S2411" s="34"/>
      <c r="T2411" s="34"/>
      <c r="U2411" s="34"/>
      <c r="V2411" s="34"/>
      <c r="W2411" s="34"/>
      <c r="X2411" s="33" t="s">
        <v>48</v>
      </c>
      <c r="Y2411" s="35" t="str">
        <f>IF(Tabela2[[#This Row],[SIGLA]]="","",VLOOKUP(Tabela2[[#This Row],[SIGLA]],Tabela1[[#All],[Sigla Arte]:[Crédito]],2,0))</f>
        <v>SERGIO LIMA/ARQUIVO DA EDITORA</v>
      </c>
      <c r="Z2411" s="31"/>
      <c r="AA2411" s="31" t="str">
        <f>Tabela2[[#This Row],[ILUSTRADOR CRIAÇÃO]]</f>
        <v>SERGIO LIMA/ARQUIVO DA EDITORA</v>
      </c>
      <c r="AB2411" s="33"/>
      <c r="AC2411" s="16"/>
      <c r="AE2411" s="35" t="str">
        <f t="shared" si="38"/>
        <v>EF1 E002 Mat</v>
      </c>
    </row>
    <row r="2412" spans="1:31" ht="30" x14ac:dyDescent="0.25">
      <c r="A2412" s="31" t="s">
        <v>5043</v>
      </c>
      <c r="B2412" s="16" t="s">
        <v>32</v>
      </c>
      <c r="C2412" s="16" t="s">
        <v>164</v>
      </c>
      <c r="D2412" s="33" t="s">
        <v>34</v>
      </c>
      <c r="E2412" s="33">
        <v>262</v>
      </c>
      <c r="F2412" s="33">
        <v>4</v>
      </c>
      <c r="G2412" s="33"/>
      <c r="H2412" s="33" t="s">
        <v>1397</v>
      </c>
      <c r="I2412" s="31" t="s">
        <v>46</v>
      </c>
      <c r="J2412" s="31"/>
      <c r="K2412" s="33"/>
      <c r="L2412" s="33"/>
      <c r="M2412" s="31"/>
      <c r="N2412" s="31"/>
      <c r="O2412" s="16" t="s">
        <v>5044</v>
      </c>
      <c r="P2412" s="16"/>
      <c r="Q2412" s="16"/>
      <c r="R2412" s="33"/>
      <c r="S2412" s="34"/>
      <c r="T2412" s="34"/>
      <c r="U2412" s="34"/>
      <c r="V2412" s="34"/>
      <c r="W2412" s="34"/>
      <c r="X2412" s="33" t="s">
        <v>3443</v>
      </c>
      <c r="Y2412" s="35" t="str">
        <f>IF(Tabela2[[#This Row],[SIGLA]]="","",VLOOKUP(Tabela2[[#This Row],[SIGLA]],Tabela1[[#All],[Sigla Arte]:[Crédito]],2,0))</f>
        <v>VINÍCIUS COSTA/ARQUIVO DA EDITORA</v>
      </c>
      <c r="Z2412" s="31"/>
      <c r="AA2412" s="31" t="str">
        <f>Tabela2[[#This Row],[ILUSTRADOR CRIAÇÃO]]</f>
        <v>VINÍCIUS COSTA/ARQUIVO DA EDITORA</v>
      </c>
      <c r="AB2412" s="33"/>
      <c r="AC2412" s="16"/>
      <c r="AE2412" s="35" t="str">
        <f t="shared" si="38"/>
        <v>EF1 E002 Mat</v>
      </c>
    </row>
    <row r="2413" spans="1:31" ht="30" x14ac:dyDescent="0.25">
      <c r="A2413" s="31" t="s">
        <v>5045</v>
      </c>
      <c r="B2413" s="16" t="s">
        <v>32</v>
      </c>
      <c r="C2413" s="16" t="s">
        <v>164</v>
      </c>
      <c r="D2413" s="33" t="s">
        <v>34</v>
      </c>
      <c r="E2413" s="33">
        <v>262</v>
      </c>
      <c r="F2413" s="33">
        <v>4</v>
      </c>
      <c r="G2413" s="33"/>
      <c r="H2413" s="33" t="s">
        <v>1397</v>
      </c>
      <c r="I2413" s="31" t="s">
        <v>46</v>
      </c>
      <c r="J2413" s="31"/>
      <c r="K2413" s="33"/>
      <c r="L2413" s="33"/>
      <c r="M2413" s="31"/>
      <c r="N2413" s="31"/>
      <c r="O2413" s="16" t="s">
        <v>5046</v>
      </c>
      <c r="P2413" s="16"/>
      <c r="Q2413" s="16"/>
      <c r="R2413" s="33"/>
      <c r="S2413" s="34"/>
      <c r="T2413" s="34"/>
      <c r="U2413" s="34"/>
      <c r="V2413" s="34"/>
      <c r="W2413" s="34"/>
      <c r="X2413" s="33" t="s">
        <v>3443</v>
      </c>
      <c r="Y2413" s="35" t="str">
        <f>IF(Tabela2[[#This Row],[SIGLA]]="","",VLOOKUP(Tabela2[[#This Row],[SIGLA]],Tabela1[[#All],[Sigla Arte]:[Crédito]],2,0))</f>
        <v>VINÍCIUS COSTA/ARQUIVO DA EDITORA</v>
      </c>
      <c r="Z2413" s="31"/>
      <c r="AA2413" s="31" t="str">
        <f>Tabela2[[#This Row],[ILUSTRADOR CRIAÇÃO]]</f>
        <v>VINÍCIUS COSTA/ARQUIVO DA EDITORA</v>
      </c>
      <c r="AB2413" s="33"/>
      <c r="AC2413" s="16"/>
      <c r="AE2413" s="35" t="str">
        <f t="shared" si="38"/>
        <v>EF1 E002 Mat</v>
      </c>
    </row>
    <row r="2414" spans="1:31" ht="30" x14ac:dyDescent="0.25">
      <c r="A2414" s="31" t="s">
        <v>5047</v>
      </c>
      <c r="B2414" s="16" t="s">
        <v>32</v>
      </c>
      <c r="C2414" s="16" t="s">
        <v>164</v>
      </c>
      <c r="D2414" s="33" t="s">
        <v>34</v>
      </c>
      <c r="E2414" s="33">
        <v>262</v>
      </c>
      <c r="F2414" s="33">
        <v>4</v>
      </c>
      <c r="G2414" s="33"/>
      <c r="H2414" s="33" t="s">
        <v>1397</v>
      </c>
      <c r="I2414" s="31" t="s">
        <v>46</v>
      </c>
      <c r="J2414" s="31"/>
      <c r="K2414" s="33"/>
      <c r="L2414" s="33"/>
      <c r="M2414" s="31"/>
      <c r="N2414" s="31"/>
      <c r="O2414" s="16" t="s">
        <v>5048</v>
      </c>
      <c r="P2414" s="16"/>
      <c r="Q2414" s="16"/>
      <c r="R2414" s="33"/>
      <c r="S2414" s="34"/>
      <c r="T2414" s="34"/>
      <c r="U2414" s="34"/>
      <c r="V2414" s="34"/>
      <c r="W2414" s="34"/>
      <c r="X2414" s="33" t="s">
        <v>3443</v>
      </c>
      <c r="Y2414" s="35" t="str">
        <f>IF(Tabela2[[#This Row],[SIGLA]]="","",VLOOKUP(Tabela2[[#This Row],[SIGLA]],Tabela1[[#All],[Sigla Arte]:[Crédito]],2,0))</f>
        <v>VINÍCIUS COSTA/ARQUIVO DA EDITORA</v>
      </c>
      <c r="Z2414" s="31"/>
      <c r="AA2414" s="31" t="str">
        <f>Tabela2[[#This Row],[ILUSTRADOR CRIAÇÃO]]</f>
        <v>VINÍCIUS COSTA/ARQUIVO DA EDITORA</v>
      </c>
      <c r="AB2414" s="33"/>
      <c r="AC2414" s="16"/>
      <c r="AE2414" s="35" t="str">
        <f t="shared" si="38"/>
        <v>EF1 E002 Mat</v>
      </c>
    </row>
    <row r="2415" spans="1:31" ht="30" x14ac:dyDescent="0.25">
      <c r="A2415" s="31" t="s">
        <v>5049</v>
      </c>
      <c r="B2415" s="16" t="s">
        <v>32</v>
      </c>
      <c r="C2415" s="16" t="s">
        <v>164</v>
      </c>
      <c r="D2415" s="33" t="s">
        <v>34</v>
      </c>
      <c r="E2415" s="33">
        <v>262</v>
      </c>
      <c r="F2415" s="33">
        <v>4</v>
      </c>
      <c r="G2415" s="33"/>
      <c r="H2415" s="33" t="s">
        <v>1397</v>
      </c>
      <c r="I2415" s="31" t="s">
        <v>46</v>
      </c>
      <c r="J2415" s="31"/>
      <c r="K2415" s="33"/>
      <c r="L2415" s="33"/>
      <c r="M2415" s="31"/>
      <c r="N2415" s="31"/>
      <c r="O2415" s="16" t="s">
        <v>5050</v>
      </c>
      <c r="P2415" s="16"/>
      <c r="Q2415" s="16"/>
      <c r="R2415" s="33"/>
      <c r="S2415" s="34"/>
      <c r="T2415" s="34"/>
      <c r="U2415" s="34"/>
      <c r="V2415" s="34"/>
      <c r="W2415" s="34"/>
      <c r="X2415" s="33" t="s">
        <v>3443</v>
      </c>
      <c r="Y2415" s="35" t="str">
        <f>IF(Tabela2[[#This Row],[SIGLA]]="","",VLOOKUP(Tabela2[[#This Row],[SIGLA]],Tabela1[[#All],[Sigla Arte]:[Crédito]],2,0))</f>
        <v>VINÍCIUS COSTA/ARQUIVO DA EDITORA</v>
      </c>
      <c r="Z2415" s="31"/>
      <c r="AA2415" s="31" t="str">
        <f>Tabela2[[#This Row],[ILUSTRADOR CRIAÇÃO]]</f>
        <v>VINÍCIUS COSTA/ARQUIVO DA EDITORA</v>
      </c>
      <c r="AB2415" s="33"/>
      <c r="AC2415" s="16"/>
      <c r="AE2415" s="35" t="str">
        <f t="shared" si="38"/>
        <v>EF1 E002 Mat</v>
      </c>
    </row>
    <row r="2416" spans="1:31" ht="30" x14ac:dyDescent="0.25">
      <c r="A2416" s="31" t="s">
        <v>5051</v>
      </c>
      <c r="B2416" s="16" t="s">
        <v>32</v>
      </c>
      <c r="C2416" s="16" t="s">
        <v>164</v>
      </c>
      <c r="D2416" s="33" t="s">
        <v>34</v>
      </c>
      <c r="E2416" s="33">
        <v>262</v>
      </c>
      <c r="F2416" s="33">
        <v>4</v>
      </c>
      <c r="G2416" s="33"/>
      <c r="H2416" s="33" t="s">
        <v>1397</v>
      </c>
      <c r="I2416" s="31" t="s">
        <v>46</v>
      </c>
      <c r="J2416" s="31"/>
      <c r="K2416" s="33"/>
      <c r="L2416" s="33"/>
      <c r="M2416" s="31"/>
      <c r="N2416" s="31"/>
      <c r="O2416" s="16" t="s">
        <v>5052</v>
      </c>
      <c r="P2416" s="16"/>
      <c r="Q2416" s="16"/>
      <c r="R2416" s="33"/>
      <c r="S2416" s="34"/>
      <c r="T2416" s="34"/>
      <c r="U2416" s="34"/>
      <c r="V2416" s="34"/>
      <c r="W2416" s="34"/>
      <c r="X2416" s="33" t="s">
        <v>3443</v>
      </c>
      <c r="Y2416" s="35" t="str">
        <f>IF(Tabela2[[#This Row],[SIGLA]]="","",VLOOKUP(Tabela2[[#This Row],[SIGLA]],Tabela1[[#All],[Sigla Arte]:[Crédito]],2,0))</f>
        <v>VINÍCIUS COSTA/ARQUIVO DA EDITORA</v>
      </c>
      <c r="Z2416" s="31"/>
      <c r="AA2416" s="31" t="str">
        <f>Tabela2[[#This Row],[ILUSTRADOR CRIAÇÃO]]</f>
        <v>VINÍCIUS COSTA/ARQUIVO DA EDITORA</v>
      </c>
      <c r="AB2416" s="33"/>
      <c r="AC2416" s="16"/>
      <c r="AE2416" s="35" t="str">
        <f t="shared" si="38"/>
        <v>EF1 E002 Mat</v>
      </c>
    </row>
    <row r="2417" spans="1:31" ht="30" x14ac:dyDescent="0.25">
      <c r="A2417" s="31" t="s">
        <v>5053</v>
      </c>
      <c r="B2417" s="16" t="s">
        <v>32</v>
      </c>
      <c r="C2417" s="16" t="s">
        <v>164</v>
      </c>
      <c r="D2417" s="33" t="s">
        <v>34</v>
      </c>
      <c r="E2417" s="33">
        <v>262</v>
      </c>
      <c r="F2417" s="33">
        <v>4</v>
      </c>
      <c r="G2417" s="33"/>
      <c r="H2417" s="33" t="s">
        <v>1397</v>
      </c>
      <c r="I2417" s="31" t="s">
        <v>46</v>
      </c>
      <c r="J2417" s="31"/>
      <c r="K2417" s="33"/>
      <c r="L2417" s="33"/>
      <c r="M2417" s="31"/>
      <c r="N2417" s="31"/>
      <c r="O2417" s="16" t="s">
        <v>5054</v>
      </c>
      <c r="P2417" s="16"/>
      <c r="Q2417" s="16"/>
      <c r="R2417" s="33"/>
      <c r="S2417" s="34"/>
      <c r="T2417" s="34"/>
      <c r="U2417" s="34"/>
      <c r="V2417" s="34"/>
      <c r="W2417" s="34"/>
      <c r="X2417" s="33" t="s">
        <v>3443</v>
      </c>
      <c r="Y2417" s="35" t="str">
        <f>IF(Tabela2[[#This Row],[SIGLA]]="","",VLOOKUP(Tabela2[[#This Row],[SIGLA]],Tabela1[[#All],[Sigla Arte]:[Crédito]],2,0))</f>
        <v>VINÍCIUS COSTA/ARQUIVO DA EDITORA</v>
      </c>
      <c r="Z2417" s="31"/>
      <c r="AA2417" s="31" t="str">
        <f>Tabela2[[#This Row],[ILUSTRADOR CRIAÇÃO]]</f>
        <v>VINÍCIUS COSTA/ARQUIVO DA EDITORA</v>
      </c>
      <c r="AB2417" s="33"/>
      <c r="AC2417" s="16"/>
      <c r="AE2417" s="35" t="str">
        <f t="shared" si="38"/>
        <v>EF1 E002 Mat</v>
      </c>
    </row>
    <row r="2418" spans="1:31" ht="105" x14ac:dyDescent="0.25">
      <c r="A2418" s="31" t="s">
        <v>5055</v>
      </c>
      <c r="B2418" s="16" t="s">
        <v>32</v>
      </c>
      <c r="C2418" s="16" t="s">
        <v>164</v>
      </c>
      <c r="D2418" s="33" t="s">
        <v>34</v>
      </c>
      <c r="E2418" s="33">
        <v>262</v>
      </c>
      <c r="F2418" s="33">
        <v>4</v>
      </c>
      <c r="G2418" s="33"/>
      <c r="H2418" s="33" t="s">
        <v>1397</v>
      </c>
      <c r="I2418" s="31" t="s">
        <v>35</v>
      </c>
      <c r="J2418" s="31"/>
      <c r="K2418" s="33"/>
      <c r="L2418" s="33"/>
      <c r="M2418" s="31"/>
      <c r="N2418" s="31"/>
      <c r="O2418" s="16" t="s">
        <v>5056</v>
      </c>
      <c r="P2418" s="16"/>
      <c r="Q2418" s="16"/>
      <c r="R2418" s="33">
        <v>112</v>
      </c>
      <c r="S2418" s="34">
        <v>45883</v>
      </c>
      <c r="T2418" s="34">
        <v>45884</v>
      </c>
      <c r="U2418" s="34"/>
      <c r="V2418" s="34"/>
      <c r="W2418" s="34">
        <v>45884</v>
      </c>
      <c r="X2418" s="33" t="s">
        <v>37</v>
      </c>
      <c r="Y2418" s="35" t="str">
        <f>IF(Tabela2[[#This Row],[SIGLA]]="","",VLOOKUP(Tabela2[[#This Row],[SIGLA]],Tabela1[[#All],[Sigla Arte]:[Crédito]],2,0))</f>
        <v>CAIO TANAKA/ARQUIVO DA EDITORA</v>
      </c>
      <c r="Z2418" s="31" t="s">
        <v>924</v>
      </c>
      <c r="AA2418" s="31" t="str">
        <f>Tabela2[[#This Row],[ILUSTRADOR CRIAÇÃO]]</f>
        <v>CAIO TANAKA/ARQUIVO DA EDITORA</v>
      </c>
      <c r="AB2418" s="33">
        <v>13</v>
      </c>
      <c r="AC2418" s="16" t="s">
        <v>4514</v>
      </c>
      <c r="AD2418" s="16" t="s">
        <v>40</v>
      </c>
      <c r="AE2418" s="35" t="str">
        <f t="shared" ref="AE2418:AE2481" si="39">"EF1 E002 Mat"</f>
        <v>EF1 E002 Mat</v>
      </c>
    </row>
    <row r="2419" spans="1:31" ht="57.6" customHeight="1" x14ac:dyDescent="0.25">
      <c r="A2419" s="31" t="s">
        <v>5057</v>
      </c>
      <c r="B2419" s="16" t="s">
        <v>32</v>
      </c>
      <c r="C2419" s="16" t="s">
        <v>164</v>
      </c>
      <c r="D2419" s="33" t="s">
        <v>34</v>
      </c>
      <c r="E2419" s="33">
        <v>263</v>
      </c>
      <c r="F2419" s="33">
        <v>4</v>
      </c>
      <c r="G2419" s="33"/>
      <c r="H2419" s="33" t="s">
        <v>1397</v>
      </c>
      <c r="I2419" s="31" t="s">
        <v>46</v>
      </c>
      <c r="J2419" s="31"/>
      <c r="K2419" s="33"/>
      <c r="L2419" s="33"/>
      <c r="M2419" s="31"/>
      <c r="N2419" s="31"/>
      <c r="O2419" s="16" t="s">
        <v>5058</v>
      </c>
      <c r="P2419" s="16"/>
      <c r="Q2419" s="16"/>
      <c r="R2419" s="33"/>
      <c r="S2419" s="34"/>
      <c r="T2419" s="34"/>
      <c r="U2419" s="34"/>
      <c r="V2419" s="34"/>
      <c r="W2419" s="34"/>
      <c r="X2419" s="33" t="s">
        <v>37</v>
      </c>
      <c r="Y2419" s="35" t="str">
        <f>IF(Tabela2[[#This Row],[SIGLA]]="","",VLOOKUP(Tabela2[[#This Row],[SIGLA]],Tabela1[[#All],[Sigla Arte]:[Crédito]],2,0))</f>
        <v>CAIO TANAKA/ARQUIVO DA EDITORA</v>
      </c>
      <c r="Z2419" s="31"/>
      <c r="AA2419" s="31" t="str">
        <f>Tabela2[[#This Row],[ILUSTRADOR CRIAÇÃO]]</f>
        <v>CAIO TANAKA/ARQUIVO DA EDITORA</v>
      </c>
      <c r="AB2419" s="33"/>
      <c r="AC2419" s="16"/>
      <c r="AE2419" s="35" t="str">
        <f t="shared" si="39"/>
        <v>EF1 E002 Mat</v>
      </c>
    </row>
    <row r="2420" spans="1:31" ht="45" x14ac:dyDescent="0.25">
      <c r="A2420" s="31" t="s">
        <v>5059</v>
      </c>
      <c r="B2420" s="16" t="s">
        <v>32</v>
      </c>
      <c r="C2420" s="16" t="s">
        <v>164</v>
      </c>
      <c r="D2420" s="33" t="s">
        <v>34</v>
      </c>
      <c r="E2420" s="33">
        <v>263</v>
      </c>
      <c r="F2420" s="33">
        <v>4</v>
      </c>
      <c r="G2420" s="33"/>
      <c r="H2420" s="33" t="s">
        <v>1397</v>
      </c>
      <c r="I2420" s="31" t="s">
        <v>46</v>
      </c>
      <c r="J2420" s="31"/>
      <c r="K2420" s="33"/>
      <c r="L2420" s="33"/>
      <c r="M2420" s="31"/>
      <c r="N2420" s="31"/>
      <c r="O2420" s="16" t="s">
        <v>5060</v>
      </c>
      <c r="P2420" s="16"/>
      <c r="Q2420" s="16"/>
      <c r="R2420" s="33"/>
      <c r="S2420" s="34"/>
      <c r="T2420" s="34"/>
      <c r="U2420" s="34"/>
      <c r="V2420" s="34"/>
      <c r="W2420" s="34"/>
      <c r="X2420" s="33" t="s">
        <v>184</v>
      </c>
      <c r="Y2420" s="35" t="str">
        <f>IF(Tabela2[[#This Row],[SIGLA]]="","",VLOOKUP(Tabela2[[#This Row],[SIGLA]],Tabela1[[#All],[Sigla Arte]:[Crédito]],2,0))</f>
        <v>VER DOCUMENTO DE ILS. TÉCNICAS</v>
      </c>
      <c r="Z2420" s="31"/>
      <c r="AA2420" s="31" t="s">
        <v>185</v>
      </c>
      <c r="AB2420" s="33"/>
      <c r="AC2420" s="16"/>
      <c r="AE2420" s="35" t="str">
        <f t="shared" si="39"/>
        <v>EF1 E002 Mat</v>
      </c>
    </row>
    <row r="2421" spans="1:31" ht="45" x14ac:dyDescent="0.25">
      <c r="A2421" s="31" t="s">
        <v>5061</v>
      </c>
      <c r="B2421" s="16" t="s">
        <v>32</v>
      </c>
      <c r="C2421" s="16" t="s">
        <v>164</v>
      </c>
      <c r="D2421" s="33" t="s">
        <v>34</v>
      </c>
      <c r="E2421" s="33">
        <v>263</v>
      </c>
      <c r="F2421" s="33">
        <v>4</v>
      </c>
      <c r="G2421" s="33"/>
      <c r="H2421" s="33" t="s">
        <v>1397</v>
      </c>
      <c r="I2421" s="31" t="s">
        <v>46</v>
      </c>
      <c r="J2421" s="31"/>
      <c r="K2421" s="33"/>
      <c r="L2421" s="33"/>
      <c r="M2421" s="31"/>
      <c r="N2421" s="31"/>
      <c r="O2421" s="16" t="s">
        <v>5062</v>
      </c>
      <c r="P2421" s="16"/>
      <c r="Q2421" s="16"/>
      <c r="R2421" s="33"/>
      <c r="S2421" s="34"/>
      <c r="T2421" s="34"/>
      <c r="U2421" s="34"/>
      <c r="V2421" s="34"/>
      <c r="W2421" s="34"/>
      <c r="X2421" s="33" t="s">
        <v>184</v>
      </c>
      <c r="Y2421" s="35" t="str">
        <f>IF(Tabela2[[#This Row],[SIGLA]]="","",VLOOKUP(Tabela2[[#This Row],[SIGLA]],Tabela1[[#All],[Sigla Arte]:[Crédito]],2,0))</f>
        <v>VER DOCUMENTO DE ILS. TÉCNICAS</v>
      </c>
      <c r="Z2421" s="31"/>
      <c r="AA2421" s="31" t="s">
        <v>185</v>
      </c>
      <c r="AB2421" s="33"/>
      <c r="AC2421" s="16"/>
      <c r="AE2421" s="35" t="str">
        <f t="shared" si="39"/>
        <v>EF1 E002 Mat</v>
      </c>
    </row>
    <row r="2422" spans="1:31" ht="45" x14ac:dyDescent="0.25">
      <c r="A2422" s="31" t="s">
        <v>5063</v>
      </c>
      <c r="B2422" s="16" t="s">
        <v>32</v>
      </c>
      <c r="C2422" s="16" t="s">
        <v>164</v>
      </c>
      <c r="D2422" s="33" t="s">
        <v>34</v>
      </c>
      <c r="E2422" s="33">
        <v>11</v>
      </c>
      <c r="F2422" s="33">
        <v>4</v>
      </c>
      <c r="G2422" s="33"/>
      <c r="H2422" s="33" t="s">
        <v>1885</v>
      </c>
      <c r="I2422" s="31" t="s">
        <v>46</v>
      </c>
      <c r="J2422" s="31"/>
      <c r="K2422" s="33"/>
      <c r="L2422" s="33"/>
      <c r="M2422" s="31"/>
      <c r="N2422" s="31"/>
      <c r="O2422" s="16" t="s">
        <v>5064</v>
      </c>
      <c r="P2422" s="16"/>
      <c r="Q2422" s="16"/>
      <c r="R2422" s="33"/>
      <c r="S2422" s="34"/>
      <c r="T2422" s="34"/>
      <c r="U2422" s="34"/>
      <c r="V2422" s="34"/>
      <c r="W2422" s="34"/>
      <c r="X2422" s="33" t="s">
        <v>1126</v>
      </c>
      <c r="Y2422" s="35" t="str">
        <f>IF(Tabela2[[#This Row],[SIGLA]]="","",VLOOKUP(Tabela2[[#This Row],[SIGLA]],Tabela1[[#All],[Sigla Arte]:[Crédito]],2,0))</f>
        <v>GUSTAVO CONTI/ARQUIVO DA EDITORA</v>
      </c>
      <c r="Z2422" s="31"/>
      <c r="AA2422" s="31" t="str">
        <f>Tabela2[[#This Row],[ILUSTRADOR CRIAÇÃO]]</f>
        <v>GUSTAVO CONTI/ARQUIVO DA EDITORA</v>
      </c>
      <c r="AB2422" s="33"/>
      <c r="AC2422" s="16"/>
      <c r="AE2422" s="35" t="str">
        <f t="shared" si="39"/>
        <v>EF1 E002 Mat</v>
      </c>
    </row>
    <row r="2423" spans="1:31" ht="45" x14ac:dyDescent="0.25">
      <c r="A2423" s="31" t="s">
        <v>5065</v>
      </c>
      <c r="B2423" s="16" t="s">
        <v>32</v>
      </c>
      <c r="C2423" s="16" t="s">
        <v>164</v>
      </c>
      <c r="D2423" s="33" t="s">
        <v>34</v>
      </c>
      <c r="E2423" s="33">
        <v>11</v>
      </c>
      <c r="F2423" s="33">
        <v>4</v>
      </c>
      <c r="G2423" s="33"/>
      <c r="H2423" s="33" t="s">
        <v>1885</v>
      </c>
      <c r="I2423" s="31" t="s">
        <v>46</v>
      </c>
      <c r="J2423" s="31"/>
      <c r="K2423" s="33"/>
      <c r="L2423" s="33"/>
      <c r="M2423" s="31"/>
      <c r="N2423" s="31"/>
      <c r="O2423" s="16" t="s">
        <v>5066</v>
      </c>
      <c r="P2423" s="16"/>
      <c r="Q2423" s="16"/>
      <c r="R2423" s="33"/>
      <c r="S2423" s="34"/>
      <c r="T2423" s="34"/>
      <c r="U2423" s="34"/>
      <c r="V2423" s="34"/>
      <c r="W2423" s="34"/>
      <c r="X2423" s="33" t="s">
        <v>1126</v>
      </c>
      <c r="Y2423" s="35" t="str">
        <f>IF(Tabela2[[#This Row],[SIGLA]]="","",VLOOKUP(Tabela2[[#This Row],[SIGLA]],Tabela1[[#All],[Sigla Arte]:[Crédito]],2,0))</f>
        <v>GUSTAVO CONTI/ARQUIVO DA EDITORA</v>
      </c>
      <c r="Z2423" s="31"/>
      <c r="AA2423" s="31" t="str">
        <f>Tabela2[[#This Row],[ILUSTRADOR CRIAÇÃO]]</f>
        <v>GUSTAVO CONTI/ARQUIVO DA EDITORA</v>
      </c>
      <c r="AB2423" s="33"/>
      <c r="AC2423" s="16"/>
      <c r="AE2423" s="35" t="str">
        <f t="shared" si="39"/>
        <v>EF1 E002 Mat</v>
      </c>
    </row>
    <row r="2424" spans="1:31" ht="45" x14ac:dyDescent="0.25">
      <c r="A2424" s="31" t="s">
        <v>5067</v>
      </c>
      <c r="B2424" s="16" t="s">
        <v>32</v>
      </c>
      <c r="C2424" s="16" t="s">
        <v>164</v>
      </c>
      <c r="D2424" s="33" t="s">
        <v>34</v>
      </c>
      <c r="E2424" s="33">
        <v>11</v>
      </c>
      <c r="F2424" s="33">
        <v>4</v>
      </c>
      <c r="G2424" s="33"/>
      <c r="H2424" s="33" t="s">
        <v>1885</v>
      </c>
      <c r="I2424" s="31" t="s">
        <v>46</v>
      </c>
      <c r="J2424" s="31"/>
      <c r="K2424" s="33"/>
      <c r="L2424" s="33"/>
      <c r="M2424" s="31"/>
      <c r="N2424" s="31"/>
      <c r="O2424" s="16" t="s">
        <v>5068</v>
      </c>
      <c r="P2424" s="16"/>
      <c r="Q2424" s="16"/>
      <c r="R2424" s="33"/>
      <c r="S2424" s="34"/>
      <c r="T2424" s="34"/>
      <c r="U2424" s="34"/>
      <c r="V2424" s="34"/>
      <c r="W2424" s="34"/>
      <c r="X2424" s="33" t="s">
        <v>1126</v>
      </c>
      <c r="Y2424" s="35" t="str">
        <f>IF(Tabela2[[#This Row],[SIGLA]]="","",VLOOKUP(Tabela2[[#This Row],[SIGLA]],Tabela1[[#All],[Sigla Arte]:[Crédito]],2,0))</f>
        <v>GUSTAVO CONTI/ARQUIVO DA EDITORA</v>
      </c>
      <c r="Z2424" s="31"/>
      <c r="AA2424" s="31" t="str">
        <f>Tabela2[[#This Row],[ILUSTRADOR CRIAÇÃO]]</f>
        <v>GUSTAVO CONTI/ARQUIVO DA EDITORA</v>
      </c>
      <c r="AB2424" s="33"/>
      <c r="AC2424" s="16"/>
      <c r="AE2424" s="35" t="str">
        <f t="shared" si="39"/>
        <v>EF1 E002 Mat</v>
      </c>
    </row>
    <row r="2425" spans="1:31" ht="60" x14ac:dyDescent="0.25">
      <c r="A2425" s="31" t="s">
        <v>5069</v>
      </c>
      <c r="B2425" s="16" t="s">
        <v>32</v>
      </c>
      <c r="C2425" s="16" t="s">
        <v>164</v>
      </c>
      <c r="D2425" s="33" t="s">
        <v>34</v>
      </c>
      <c r="E2425" s="33">
        <v>11</v>
      </c>
      <c r="F2425" s="33">
        <v>4</v>
      </c>
      <c r="G2425" s="33"/>
      <c r="H2425" s="33" t="s">
        <v>1885</v>
      </c>
      <c r="I2425" s="31" t="s">
        <v>46</v>
      </c>
      <c r="J2425" s="31"/>
      <c r="K2425" s="33"/>
      <c r="L2425" s="33"/>
      <c r="M2425" s="31"/>
      <c r="N2425" s="31"/>
      <c r="O2425" s="16" t="s">
        <v>5070</v>
      </c>
      <c r="P2425" s="16"/>
      <c r="Q2425" s="16"/>
      <c r="R2425" s="33"/>
      <c r="S2425" s="34"/>
      <c r="T2425" s="34"/>
      <c r="U2425" s="34"/>
      <c r="V2425" s="34"/>
      <c r="W2425" s="34"/>
      <c r="X2425" s="33" t="s">
        <v>1126</v>
      </c>
      <c r="Y2425" s="35" t="str">
        <f>IF(Tabela2[[#This Row],[SIGLA]]="","",VLOOKUP(Tabela2[[#This Row],[SIGLA]],Tabela1[[#All],[Sigla Arte]:[Crédito]],2,0))</f>
        <v>GUSTAVO CONTI/ARQUIVO DA EDITORA</v>
      </c>
      <c r="Z2425" s="31"/>
      <c r="AA2425" s="31" t="str">
        <f>Tabela2[[#This Row],[ILUSTRADOR CRIAÇÃO]]</f>
        <v>GUSTAVO CONTI/ARQUIVO DA EDITORA</v>
      </c>
      <c r="AB2425" s="33"/>
      <c r="AC2425" s="16"/>
      <c r="AE2425" s="35" t="str">
        <f t="shared" si="39"/>
        <v>EF1 E002 Mat</v>
      </c>
    </row>
    <row r="2426" spans="1:31" ht="45" x14ac:dyDescent="0.25">
      <c r="A2426" s="31" t="s">
        <v>5071</v>
      </c>
      <c r="B2426" s="16" t="s">
        <v>32</v>
      </c>
      <c r="C2426" s="16" t="s">
        <v>164</v>
      </c>
      <c r="D2426" s="33" t="s">
        <v>34</v>
      </c>
      <c r="E2426" s="33">
        <v>11</v>
      </c>
      <c r="F2426" s="33">
        <v>4</v>
      </c>
      <c r="G2426" s="33"/>
      <c r="H2426" s="33" t="s">
        <v>1885</v>
      </c>
      <c r="I2426" s="31" t="s">
        <v>46</v>
      </c>
      <c r="J2426" s="31"/>
      <c r="K2426" s="33"/>
      <c r="L2426" s="33"/>
      <c r="M2426" s="31"/>
      <c r="N2426" s="31"/>
      <c r="O2426" s="16" t="s">
        <v>5072</v>
      </c>
      <c r="P2426" s="16"/>
      <c r="Q2426" s="16"/>
      <c r="R2426" s="33"/>
      <c r="S2426" s="34"/>
      <c r="T2426" s="34"/>
      <c r="U2426" s="34"/>
      <c r="V2426" s="34"/>
      <c r="W2426" s="34"/>
      <c r="X2426" s="33" t="s">
        <v>1126</v>
      </c>
      <c r="Y2426" s="35" t="str">
        <f>IF(Tabela2[[#This Row],[SIGLA]]="","",VLOOKUP(Tabela2[[#This Row],[SIGLA]],Tabela1[[#All],[Sigla Arte]:[Crédito]],2,0))</f>
        <v>GUSTAVO CONTI/ARQUIVO DA EDITORA</v>
      </c>
      <c r="Z2426" s="31"/>
      <c r="AA2426" s="31" t="str">
        <f>Tabela2[[#This Row],[ILUSTRADOR CRIAÇÃO]]</f>
        <v>GUSTAVO CONTI/ARQUIVO DA EDITORA</v>
      </c>
      <c r="AB2426" s="33"/>
      <c r="AC2426" s="16"/>
      <c r="AE2426" s="35" t="str">
        <f t="shared" si="39"/>
        <v>EF1 E002 Mat</v>
      </c>
    </row>
    <row r="2427" spans="1:31" ht="45" x14ac:dyDescent="0.25">
      <c r="A2427" s="31" t="s">
        <v>5073</v>
      </c>
      <c r="B2427" s="16" t="s">
        <v>32</v>
      </c>
      <c r="C2427" s="16" t="s">
        <v>164</v>
      </c>
      <c r="D2427" s="33" t="s">
        <v>34</v>
      </c>
      <c r="E2427" s="33">
        <v>11</v>
      </c>
      <c r="F2427" s="33">
        <v>4</v>
      </c>
      <c r="G2427" s="33"/>
      <c r="H2427" s="33" t="s">
        <v>1885</v>
      </c>
      <c r="I2427" s="31" t="s">
        <v>46</v>
      </c>
      <c r="J2427" s="31"/>
      <c r="K2427" s="33"/>
      <c r="L2427" s="33"/>
      <c r="M2427" s="31"/>
      <c r="N2427" s="31"/>
      <c r="O2427" s="16" t="s">
        <v>5074</v>
      </c>
      <c r="P2427" s="16"/>
      <c r="Q2427" s="16"/>
      <c r="R2427" s="33"/>
      <c r="S2427" s="34"/>
      <c r="T2427" s="34"/>
      <c r="U2427" s="34"/>
      <c r="V2427" s="34"/>
      <c r="W2427" s="34"/>
      <c r="X2427" s="33" t="s">
        <v>1126</v>
      </c>
      <c r="Y2427" s="35" t="str">
        <f>IF(Tabela2[[#This Row],[SIGLA]]="","",VLOOKUP(Tabela2[[#This Row],[SIGLA]],Tabela1[[#All],[Sigla Arte]:[Crédito]],2,0))</f>
        <v>GUSTAVO CONTI/ARQUIVO DA EDITORA</v>
      </c>
      <c r="Z2427" s="31"/>
      <c r="AA2427" s="31" t="str">
        <f>Tabela2[[#This Row],[ILUSTRADOR CRIAÇÃO]]</f>
        <v>GUSTAVO CONTI/ARQUIVO DA EDITORA</v>
      </c>
      <c r="AB2427" s="33"/>
      <c r="AC2427" s="16"/>
      <c r="AE2427" s="35" t="str">
        <f t="shared" si="39"/>
        <v>EF1 E002 Mat</v>
      </c>
    </row>
    <row r="2428" spans="1:31" ht="60" x14ac:dyDescent="0.25">
      <c r="A2428" s="31" t="s">
        <v>5075</v>
      </c>
      <c r="B2428" s="16" t="s">
        <v>32</v>
      </c>
      <c r="C2428" s="16" t="s">
        <v>33</v>
      </c>
      <c r="D2428" s="33" t="s">
        <v>34</v>
      </c>
      <c r="E2428" s="33">
        <v>12</v>
      </c>
      <c r="F2428" s="33">
        <v>4</v>
      </c>
      <c r="G2428" s="33"/>
      <c r="H2428" s="33" t="s">
        <v>1885</v>
      </c>
      <c r="I2428" s="31" t="s">
        <v>35</v>
      </c>
      <c r="J2428" s="31"/>
      <c r="K2428" s="33"/>
      <c r="L2428" s="33"/>
      <c r="M2428" s="31"/>
      <c r="N2428" s="31"/>
      <c r="O2428" s="16" t="s">
        <v>5076</v>
      </c>
      <c r="P2428" s="16"/>
      <c r="Q2428" s="16"/>
      <c r="R2428" s="33">
        <v>112</v>
      </c>
      <c r="S2428" s="34">
        <v>45883</v>
      </c>
      <c r="T2428" s="34">
        <v>45884</v>
      </c>
      <c r="U2428" s="34"/>
      <c r="V2428" s="34"/>
      <c r="W2428" s="34">
        <v>45884</v>
      </c>
      <c r="X2428" s="33" t="s">
        <v>247</v>
      </c>
      <c r="Y2428" s="35" t="str">
        <f>IF(Tabela2[[#This Row],[SIGLA]]="","",VLOOKUP(Tabela2[[#This Row],[SIGLA]],Tabela1[[#All],[Sigla Arte]:[Crédito]],2,0))</f>
        <v>THAIS CASTRO/ARQUIVO DA EDITORA</v>
      </c>
      <c r="Z2428" s="31" t="s">
        <v>924</v>
      </c>
      <c r="AA2428" s="31" t="str">
        <f>Tabela2[[#This Row],[ILUSTRADOR CRIAÇÃO]]</f>
        <v>THAIS CASTRO/ARQUIVO DA EDITORA</v>
      </c>
      <c r="AB2428" s="33">
        <v>13</v>
      </c>
      <c r="AC2428" s="16" t="s">
        <v>4514</v>
      </c>
      <c r="AD2428" s="16" t="s">
        <v>40</v>
      </c>
      <c r="AE2428" s="35" t="str">
        <f t="shared" si="39"/>
        <v>EF1 E002 Mat</v>
      </c>
    </row>
    <row r="2429" spans="1:31" ht="60" x14ac:dyDescent="0.25">
      <c r="A2429" s="31" t="s">
        <v>5077</v>
      </c>
      <c r="B2429" s="16" t="s">
        <v>32</v>
      </c>
      <c r="C2429" s="16" t="s">
        <v>33</v>
      </c>
      <c r="D2429" s="33" t="s">
        <v>34</v>
      </c>
      <c r="E2429" s="33">
        <v>12</v>
      </c>
      <c r="F2429" s="33">
        <v>4</v>
      </c>
      <c r="G2429" s="33"/>
      <c r="H2429" s="33" t="s">
        <v>1885</v>
      </c>
      <c r="I2429" s="31" t="s">
        <v>35</v>
      </c>
      <c r="J2429" s="31"/>
      <c r="K2429" s="33"/>
      <c r="L2429" s="33"/>
      <c r="M2429" s="31"/>
      <c r="N2429" s="31"/>
      <c r="O2429" s="16" t="s">
        <v>5078</v>
      </c>
      <c r="P2429" s="16"/>
      <c r="Q2429" s="16"/>
      <c r="R2429" s="33">
        <v>112</v>
      </c>
      <c r="S2429" s="34">
        <v>45883</v>
      </c>
      <c r="T2429" s="34">
        <v>45884</v>
      </c>
      <c r="U2429" s="34"/>
      <c r="V2429" s="34"/>
      <c r="W2429" s="34">
        <v>45884</v>
      </c>
      <c r="X2429" s="33" t="s">
        <v>247</v>
      </c>
      <c r="Y2429" s="35" t="str">
        <f>IF(Tabela2[[#This Row],[SIGLA]]="","",VLOOKUP(Tabela2[[#This Row],[SIGLA]],Tabela1[[#All],[Sigla Arte]:[Crédito]],2,0))</f>
        <v>THAIS CASTRO/ARQUIVO DA EDITORA</v>
      </c>
      <c r="Z2429" s="31" t="s">
        <v>924</v>
      </c>
      <c r="AA2429" s="31" t="str">
        <f>Tabela2[[#This Row],[ILUSTRADOR CRIAÇÃO]]</f>
        <v>THAIS CASTRO/ARQUIVO DA EDITORA</v>
      </c>
      <c r="AB2429" s="33">
        <v>13</v>
      </c>
      <c r="AC2429" s="16" t="s">
        <v>4514</v>
      </c>
      <c r="AD2429" s="16" t="s">
        <v>40</v>
      </c>
      <c r="AE2429" s="35" t="str">
        <f t="shared" si="39"/>
        <v>EF1 E002 Mat</v>
      </c>
    </row>
    <row r="2430" spans="1:31" ht="45" x14ac:dyDescent="0.25">
      <c r="A2430" s="31" t="s">
        <v>5079</v>
      </c>
      <c r="B2430" s="16" t="s">
        <v>32</v>
      </c>
      <c r="C2430" s="16" t="s">
        <v>164</v>
      </c>
      <c r="D2430" s="33" t="s">
        <v>34</v>
      </c>
      <c r="E2430" s="33">
        <v>12</v>
      </c>
      <c r="F2430" s="33">
        <v>4</v>
      </c>
      <c r="G2430" s="33"/>
      <c r="H2430" s="33" t="s">
        <v>1885</v>
      </c>
      <c r="I2430" s="31" t="s">
        <v>46</v>
      </c>
      <c r="J2430" s="31"/>
      <c r="K2430" s="33"/>
      <c r="L2430" s="33"/>
      <c r="M2430" s="31"/>
      <c r="N2430" s="31"/>
      <c r="O2430" s="16" t="s">
        <v>5080</v>
      </c>
      <c r="P2430" s="16"/>
      <c r="Q2430" s="16"/>
      <c r="R2430" s="33">
        <v>112</v>
      </c>
      <c r="S2430" s="34">
        <v>45883</v>
      </c>
      <c r="T2430" s="34"/>
      <c r="U2430" s="34"/>
      <c r="V2430" s="34"/>
      <c r="W2430" s="34"/>
      <c r="X2430" s="33" t="s">
        <v>1126</v>
      </c>
      <c r="Y2430" s="35" t="str">
        <f>IF(Tabela2[[#This Row],[SIGLA]]="","",VLOOKUP(Tabela2[[#This Row],[SIGLA]],Tabela1[[#All],[Sigla Arte]:[Crédito]],2,0))</f>
        <v>GUSTAVO CONTI/ARQUIVO DA EDITORA</v>
      </c>
      <c r="Z2430" s="31"/>
      <c r="AA2430" s="31" t="str">
        <f>Tabela2[[#This Row],[ILUSTRADOR CRIAÇÃO]]</f>
        <v>GUSTAVO CONTI/ARQUIVO DA EDITORA</v>
      </c>
      <c r="AB2430" s="33"/>
      <c r="AC2430" s="16"/>
      <c r="AE2430" s="35" t="str">
        <f t="shared" si="39"/>
        <v>EF1 E002 Mat</v>
      </c>
    </row>
    <row r="2431" spans="1:31" ht="120" x14ac:dyDescent="0.25">
      <c r="A2431" s="31" t="s">
        <v>5081</v>
      </c>
      <c r="B2431" s="16" t="s">
        <v>32</v>
      </c>
      <c r="C2431" s="16" t="s">
        <v>164</v>
      </c>
      <c r="D2431" s="33" t="s">
        <v>34</v>
      </c>
      <c r="E2431" s="33">
        <v>130</v>
      </c>
      <c r="F2431" s="33">
        <v>4</v>
      </c>
      <c r="G2431" s="33">
        <v>6</v>
      </c>
      <c r="H2431" s="33" t="s">
        <v>1933</v>
      </c>
      <c r="I2431" s="31" t="s">
        <v>46</v>
      </c>
      <c r="J2431" s="31"/>
      <c r="K2431" s="33"/>
      <c r="L2431" s="33"/>
      <c r="M2431" s="31"/>
      <c r="N2431" s="31"/>
      <c r="O2431" s="16" t="s">
        <v>5082</v>
      </c>
      <c r="P2431" s="16"/>
      <c r="Q2431" s="33" t="s">
        <v>5083</v>
      </c>
      <c r="R2431" s="33"/>
      <c r="S2431" s="34"/>
      <c r="T2431" s="34"/>
      <c r="U2431" s="34"/>
      <c r="V2431" s="34"/>
      <c r="W2431" s="34"/>
      <c r="X2431" s="33" t="s">
        <v>48</v>
      </c>
      <c r="Y2431" s="35" t="str">
        <f>IF(Tabela2[[#This Row],[SIGLA]]="","",VLOOKUP(Tabela2[[#This Row],[SIGLA]],Tabela1[[#All],[Sigla Arte]:[Crédito]],2,0))</f>
        <v>SERGIO LIMA/ARQUIVO DA EDITORA</v>
      </c>
      <c r="Z2431" s="31"/>
      <c r="AA2431" s="31" t="str">
        <f>Tabela2[[#This Row],[ILUSTRADOR CRIAÇÃO]]</f>
        <v>SERGIO LIMA/ARQUIVO DA EDITORA</v>
      </c>
      <c r="AB2431" s="33"/>
      <c r="AC2431" s="16"/>
      <c r="AE2431" s="35" t="str">
        <f t="shared" si="39"/>
        <v>EF1 E002 Mat</v>
      </c>
    </row>
    <row r="2432" spans="1:31" ht="45" x14ac:dyDescent="0.25">
      <c r="A2432" s="31" t="s">
        <v>5084</v>
      </c>
      <c r="B2432" s="16" t="s">
        <v>32</v>
      </c>
      <c r="C2432" s="16" t="s">
        <v>164</v>
      </c>
      <c r="D2432" s="33" t="s">
        <v>34</v>
      </c>
      <c r="E2432" s="33">
        <v>130</v>
      </c>
      <c r="F2432" s="33">
        <v>4</v>
      </c>
      <c r="G2432" s="33">
        <v>6</v>
      </c>
      <c r="H2432" s="33" t="s">
        <v>1933</v>
      </c>
      <c r="I2432" s="31" t="s">
        <v>46</v>
      </c>
      <c r="J2432" s="31"/>
      <c r="K2432" s="33"/>
      <c r="L2432" s="33"/>
      <c r="M2432" s="31"/>
      <c r="N2432" s="31"/>
      <c r="O2432" s="16" t="s">
        <v>5085</v>
      </c>
      <c r="P2432" s="16"/>
      <c r="Q2432" s="33" t="s">
        <v>5083</v>
      </c>
      <c r="R2432" s="33"/>
      <c r="S2432" s="34"/>
      <c r="T2432" s="34"/>
      <c r="U2432" s="34"/>
      <c r="V2432" s="34"/>
      <c r="W2432" s="34"/>
      <c r="X2432" s="33" t="s">
        <v>399</v>
      </c>
      <c r="Y2432" s="35" t="str">
        <f>IF(Tabela2[[#This Row],[SIGLA]]="","",VLOOKUP(Tabela2[[#This Row],[SIGLA]],Tabela1[[#All],[Sigla Arte]:[Crédito]],2,0))</f>
        <v>MÁRCIO GUERRA/ARQUIVO DA EDITORA</v>
      </c>
      <c r="Z2432" s="31"/>
      <c r="AA2432" s="31" t="str">
        <f>Tabela2[[#This Row],[ILUSTRADOR CRIAÇÃO]]</f>
        <v>MÁRCIO GUERRA/ARQUIVO DA EDITORA</v>
      </c>
      <c r="AB2432" s="33"/>
      <c r="AC2432" s="16"/>
      <c r="AE2432" s="35" t="str">
        <f t="shared" si="39"/>
        <v>EF1 E002 Mat</v>
      </c>
    </row>
    <row r="2433" spans="1:31" ht="75" x14ac:dyDescent="0.25">
      <c r="A2433" s="31" t="s">
        <v>5086</v>
      </c>
      <c r="B2433" s="16" t="s">
        <v>401</v>
      </c>
      <c r="C2433" s="16" t="s">
        <v>164</v>
      </c>
      <c r="D2433" s="33" t="s">
        <v>34</v>
      </c>
      <c r="E2433" s="33">
        <v>131</v>
      </c>
      <c r="F2433" s="33">
        <v>4</v>
      </c>
      <c r="G2433" s="33">
        <v>6</v>
      </c>
      <c r="H2433" s="33" t="s">
        <v>1933</v>
      </c>
      <c r="I2433" s="31" t="s">
        <v>35</v>
      </c>
      <c r="J2433" s="31"/>
      <c r="K2433" s="33"/>
      <c r="L2433" s="33"/>
      <c r="M2433" s="31"/>
      <c r="N2433" s="31"/>
      <c r="O2433" s="16" t="s">
        <v>5087</v>
      </c>
      <c r="P2433" s="16"/>
      <c r="Q2433" s="33" t="s">
        <v>5083</v>
      </c>
      <c r="R2433" s="33">
        <v>112</v>
      </c>
      <c r="S2433" s="34">
        <v>45883</v>
      </c>
      <c r="T2433" s="34">
        <v>45884</v>
      </c>
      <c r="U2433" s="34"/>
      <c r="V2433" s="34"/>
      <c r="W2433" s="34">
        <v>45884</v>
      </c>
      <c r="X2433" s="33" t="s">
        <v>184</v>
      </c>
      <c r="Y2433" s="35" t="str">
        <f>IF(Tabela2[[#This Row],[SIGLA]]="","",VLOOKUP(Tabela2[[#This Row],[SIGLA]],Tabela1[[#All],[Sigla Arte]:[Crédito]],2,0))</f>
        <v>VER DOCUMENTO DE ILS. TÉCNICAS</v>
      </c>
      <c r="Z2433" s="31" t="s">
        <v>924</v>
      </c>
      <c r="AA2433" s="31" t="str">
        <f>Tabela2[[#This Row],[ILUSTRADOR CRIAÇÃO]]</f>
        <v>VER DOCUMENTO DE ILS. TÉCNICAS</v>
      </c>
      <c r="AB2433" s="33">
        <v>13</v>
      </c>
      <c r="AC2433" s="16" t="s">
        <v>4514</v>
      </c>
      <c r="AD2433" s="16" t="s">
        <v>40</v>
      </c>
      <c r="AE2433" s="35" t="str">
        <f t="shared" si="39"/>
        <v>EF1 E002 Mat</v>
      </c>
    </row>
    <row r="2434" spans="1:31" ht="45" x14ac:dyDescent="0.25">
      <c r="A2434" s="31" t="s">
        <v>5088</v>
      </c>
      <c r="B2434" s="16" t="s">
        <v>32</v>
      </c>
      <c r="C2434" s="16" t="s">
        <v>164</v>
      </c>
      <c r="D2434" s="33" t="s">
        <v>34</v>
      </c>
      <c r="E2434" s="33">
        <v>186</v>
      </c>
      <c r="F2434" s="33">
        <v>4</v>
      </c>
      <c r="G2434" s="33">
        <v>9</v>
      </c>
      <c r="H2434" s="33" t="s">
        <v>1933</v>
      </c>
      <c r="I2434" s="31" t="s">
        <v>46</v>
      </c>
      <c r="J2434" s="31"/>
      <c r="K2434" s="33"/>
      <c r="L2434" s="33"/>
      <c r="M2434" s="31"/>
      <c r="N2434" s="31"/>
      <c r="O2434" s="16" t="s">
        <v>5089</v>
      </c>
      <c r="P2434" s="16"/>
      <c r="Q2434" s="33" t="s">
        <v>5090</v>
      </c>
      <c r="R2434" s="33"/>
      <c r="S2434" s="34"/>
      <c r="T2434" s="34"/>
      <c r="U2434" s="34"/>
      <c r="V2434" s="34"/>
      <c r="W2434" s="34"/>
      <c r="X2434" s="33" t="s">
        <v>1126</v>
      </c>
      <c r="Y2434" s="35" t="str">
        <f>IF(Tabela2[[#This Row],[SIGLA]]="","",VLOOKUP(Tabela2[[#This Row],[SIGLA]],Tabela1[[#All],[Sigla Arte]:[Crédito]],2,0))</f>
        <v>GUSTAVO CONTI/ARQUIVO DA EDITORA</v>
      </c>
      <c r="Z2434" s="31"/>
      <c r="AA2434" s="31" t="str">
        <f>Tabela2[[#This Row],[ILUSTRADOR CRIAÇÃO]]</f>
        <v>GUSTAVO CONTI/ARQUIVO DA EDITORA</v>
      </c>
      <c r="AB2434" s="33"/>
      <c r="AC2434" s="16"/>
      <c r="AE2434" s="35" t="str">
        <f t="shared" si="39"/>
        <v>EF1 E002 Mat</v>
      </c>
    </row>
    <row r="2435" spans="1:31" ht="90" x14ac:dyDescent="0.25">
      <c r="A2435" s="31" t="s">
        <v>5091</v>
      </c>
      <c r="B2435" s="16" t="s">
        <v>32</v>
      </c>
      <c r="C2435" s="16" t="s">
        <v>327</v>
      </c>
      <c r="D2435" s="33" t="s">
        <v>34</v>
      </c>
      <c r="E2435" s="33">
        <v>187</v>
      </c>
      <c r="F2435" s="33">
        <v>4</v>
      </c>
      <c r="G2435" s="33">
        <v>9</v>
      </c>
      <c r="H2435" s="33" t="s">
        <v>1933</v>
      </c>
      <c r="I2435" s="31" t="s">
        <v>35</v>
      </c>
      <c r="J2435" s="31"/>
      <c r="K2435" s="33"/>
      <c r="L2435" s="33"/>
      <c r="M2435" s="31"/>
      <c r="N2435" s="31"/>
      <c r="O2435" s="16" t="s">
        <v>5092</v>
      </c>
      <c r="P2435" s="16"/>
      <c r="Q2435" s="33" t="s">
        <v>5090</v>
      </c>
      <c r="R2435" s="33">
        <v>112</v>
      </c>
      <c r="S2435" s="34">
        <v>45883</v>
      </c>
      <c r="T2435" s="34">
        <v>45884</v>
      </c>
      <c r="U2435" s="34"/>
      <c r="V2435" s="34"/>
      <c r="W2435" s="34">
        <v>45884</v>
      </c>
      <c r="X2435" s="33" t="s">
        <v>1126</v>
      </c>
      <c r="Y2435" s="35" t="str">
        <f>IF(Tabela2[[#This Row],[SIGLA]]="","",VLOOKUP(Tabela2[[#This Row],[SIGLA]],Tabela1[[#All],[Sigla Arte]:[Crédito]],2,0))</f>
        <v>GUSTAVO CONTI/ARQUIVO DA EDITORA</v>
      </c>
      <c r="Z2435" s="31" t="s">
        <v>924</v>
      </c>
      <c r="AA2435" s="31" t="str">
        <f>Tabela2[[#This Row],[ILUSTRADOR CRIAÇÃO]]</f>
        <v>GUSTAVO CONTI/ARQUIVO DA EDITORA</v>
      </c>
      <c r="AB2435" s="33">
        <v>13</v>
      </c>
      <c r="AC2435" s="16" t="s">
        <v>4514</v>
      </c>
      <c r="AD2435" s="16" t="s">
        <v>40</v>
      </c>
      <c r="AE2435" s="35" t="str">
        <f t="shared" si="39"/>
        <v>EF1 E002 Mat</v>
      </c>
    </row>
    <row r="2436" spans="1:31" ht="45" x14ac:dyDescent="0.25">
      <c r="A2436" s="31" t="s">
        <v>5093</v>
      </c>
      <c r="B2436" s="16" t="s">
        <v>32</v>
      </c>
      <c r="C2436" s="16" t="s">
        <v>164</v>
      </c>
      <c r="D2436" s="33" t="s">
        <v>34</v>
      </c>
      <c r="E2436" s="33">
        <v>187</v>
      </c>
      <c r="F2436" s="33">
        <v>4</v>
      </c>
      <c r="G2436" s="33">
        <v>9</v>
      </c>
      <c r="H2436" s="33" t="s">
        <v>1933</v>
      </c>
      <c r="I2436" s="31" t="s">
        <v>46</v>
      </c>
      <c r="J2436" s="31"/>
      <c r="K2436" s="33"/>
      <c r="L2436" s="33"/>
      <c r="M2436" s="31"/>
      <c r="N2436" s="31"/>
      <c r="O2436" s="16" t="s">
        <v>5094</v>
      </c>
      <c r="P2436" s="16"/>
      <c r="Q2436" s="33" t="s">
        <v>5090</v>
      </c>
      <c r="R2436" s="33"/>
      <c r="S2436" s="34"/>
      <c r="T2436" s="34"/>
      <c r="U2436" s="34"/>
      <c r="V2436" s="34"/>
      <c r="W2436" s="34"/>
      <c r="X2436" s="33" t="s">
        <v>184</v>
      </c>
      <c r="Y2436" s="35" t="str">
        <f>IF(Tabela2[[#This Row],[SIGLA]]="","",VLOOKUP(Tabela2[[#This Row],[SIGLA]],Tabela1[[#All],[Sigla Arte]:[Crédito]],2,0))</f>
        <v>VER DOCUMENTO DE ILS. TÉCNICAS</v>
      </c>
      <c r="Z2436" s="31"/>
      <c r="AA2436" s="31" t="s">
        <v>4066</v>
      </c>
      <c r="AB2436" s="33"/>
      <c r="AC2436" s="16"/>
      <c r="AE2436" s="35" t="str">
        <f t="shared" si="39"/>
        <v>EF1 E002 Mat</v>
      </c>
    </row>
    <row r="2437" spans="1:31" ht="45" x14ac:dyDescent="0.25">
      <c r="A2437" s="31" t="s">
        <v>5095</v>
      </c>
      <c r="B2437" s="16" t="s">
        <v>32</v>
      </c>
      <c r="C2437" s="16" t="s">
        <v>164</v>
      </c>
      <c r="D2437" s="33" t="s">
        <v>34</v>
      </c>
      <c r="E2437" s="33">
        <v>187</v>
      </c>
      <c r="F2437" s="33">
        <v>4</v>
      </c>
      <c r="G2437" s="33">
        <v>9</v>
      </c>
      <c r="H2437" s="33" t="s">
        <v>1933</v>
      </c>
      <c r="I2437" s="31" t="s">
        <v>46</v>
      </c>
      <c r="J2437" s="31"/>
      <c r="K2437" s="33"/>
      <c r="L2437" s="33"/>
      <c r="M2437" s="31"/>
      <c r="N2437" s="31"/>
      <c r="O2437" s="16" t="s">
        <v>5096</v>
      </c>
      <c r="P2437" s="16"/>
      <c r="Q2437" s="33" t="s">
        <v>5090</v>
      </c>
      <c r="R2437" s="33"/>
      <c r="S2437" s="34"/>
      <c r="T2437" s="34"/>
      <c r="U2437" s="34"/>
      <c r="V2437" s="34"/>
      <c r="W2437" s="34"/>
      <c r="X2437" s="33" t="s">
        <v>184</v>
      </c>
      <c r="Y2437" s="35" t="str">
        <f>IF(Tabela2[[#This Row],[SIGLA]]="","",VLOOKUP(Tabela2[[#This Row],[SIGLA]],Tabela1[[#All],[Sigla Arte]:[Crédito]],2,0))</f>
        <v>VER DOCUMENTO DE ILS. TÉCNICAS</v>
      </c>
      <c r="Z2437" s="31"/>
      <c r="AA2437" s="31" t="s">
        <v>4066</v>
      </c>
      <c r="AB2437" s="33"/>
      <c r="AC2437" s="16"/>
      <c r="AE2437" s="35" t="str">
        <f t="shared" si="39"/>
        <v>EF1 E002 Mat</v>
      </c>
    </row>
    <row r="2438" spans="1:31" ht="45" x14ac:dyDescent="0.25">
      <c r="A2438" s="31" t="s">
        <v>5097</v>
      </c>
      <c r="B2438" s="16" t="s">
        <v>32</v>
      </c>
      <c r="C2438" s="16" t="s">
        <v>33</v>
      </c>
      <c r="D2438" s="33" t="s">
        <v>34</v>
      </c>
      <c r="E2438" s="33">
        <v>258</v>
      </c>
      <c r="F2438" s="33">
        <v>4</v>
      </c>
      <c r="G2438" s="33">
        <v>12</v>
      </c>
      <c r="H2438" s="33" t="s">
        <v>1933</v>
      </c>
      <c r="I2438" s="31" t="s">
        <v>46</v>
      </c>
      <c r="J2438" s="31"/>
      <c r="K2438" s="33"/>
      <c r="L2438" s="33"/>
      <c r="M2438" s="31"/>
      <c r="N2438" s="31"/>
      <c r="O2438" s="16" t="s">
        <v>5098</v>
      </c>
      <c r="P2438" s="16"/>
      <c r="Q2438" s="33" t="s">
        <v>5099</v>
      </c>
      <c r="R2438" s="33"/>
      <c r="S2438" s="34"/>
      <c r="T2438" s="34"/>
      <c r="U2438" s="34"/>
      <c r="V2438" s="34"/>
      <c r="W2438" s="34"/>
      <c r="X2438" s="33" t="s">
        <v>85</v>
      </c>
      <c r="Y2438" s="35" t="str">
        <f>IF(Tabela2[[#This Row],[SIGLA]]="","",VLOOKUP(Tabela2[[#This Row],[SIGLA]],Tabela1[[#All],[Sigla Arte]:[Crédito]],2,0))</f>
        <v>HELOÍSA PINTARELLI/ARQUIVO DA EDITORA</v>
      </c>
      <c r="Z2438" s="31"/>
      <c r="AA2438" s="31" t="str">
        <f>Tabela2[[#This Row],[ILUSTRADOR CRIAÇÃO]]</f>
        <v>HELOÍSA PINTARELLI/ARQUIVO DA EDITORA</v>
      </c>
      <c r="AB2438" s="33"/>
      <c r="AC2438" s="16"/>
      <c r="AE2438" s="35" t="str">
        <f t="shared" si="39"/>
        <v>EF1 E002 Mat</v>
      </c>
    </row>
    <row r="2439" spans="1:31" ht="180" x14ac:dyDescent="0.25">
      <c r="A2439" s="31" t="s">
        <v>5100</v>
      </c>
      <c r="B2439" s="16" t="s">
        <v>32</v>
      </c>
      <c r="C2439" s="16" t="s">
        <v>33</v>
      </c>
      <c r="D2439" s="33" t="s">
        <v>34</v>
      </c>
      <c r="E2439" s="33">
        <v>258</v>
      </c>
      <c r="F2439" s="33">
        <v>4</v>
      </c>
      <c r="G2439" s="33">
        <v>12</v>
      </c>
      <c r="H2439" s="33" t="s">
        <v>1933</v>
      </c>
      <c r="I2439" s="31" t="s">
        <v>46</v>
      </c>
      <c r="J2439" s="31"/>
      <c r="K2439" s="33"/>
      <c r="L2439" s="33"/>
      <c r="M2439" s="31"/>
      <c r="N2439" s="31"/>
      <c r="O2439" s="16" t="s">
        <v>5101</v>
      </c>
      <c r="P2439" s="16"/>
      <c r="Q2439" s="33" t="s">
        <v>5099</v>
      </c>
      <c r="R2439" s="33"/>
      <c r="S2439" s="34"/>
      <c r="T2439" s="34"/>
      <c r="U2439" s="34"/>
      <c r="V2439" s="34"/>
      <c r="W2439" s="34"/>
      <c r="X2439" s="33" t="s">
        <v>3443</v>
      </c>
      <c r="Y2439" s="35" t="str">
        <f>IF(Tabela2[[#This Row],[SIGLA]]="","",VLOOKUP(Tabela2[[#This Row],[SIGLA]],Tabela1[[#All],[Sigla Arte]:[Crédito]],2,0))</f>
        <v>VINÍCIUS COSTA/ARQUIVO DA EDITORA</v>
      </c>
      <c r="Z2439" s="31"/>
      <c r="AA2439" s="31" t="str">
        <f>Tabela2[[#This Row],[ILUSTRADOR CRIAÇÃO]]</f>
        <v>VINÍCIUS COSTA/ARQUIVO DA EDITORA</v>
      </c>
      <c r="AB2439" s="33"/>
      <c r="AC2439" s="16"/>
      <c r="AE2439" s="35" t="str">
        <f t="shared" si="39"/>
        <v>EF1 E002 Mat</v>
      </c>
    </row>
    <row r="2440" spans="1:31" ht="135" x14ac:dyDescent="0.25">
      <c r="A2440" s="31" t="s">
        <v>5102</v>
      </c>
      <c r="B2440" s="16" t="s">
        <v>32</v>
      </c>
      <c r="C2440" s="16" t="s">
        <v>164</v>
      </c>
      <c r="D2440" s="33" t="s">
        <v>34</v>
      </c>
      <c r="E2440" s="33">
        <v>259</v>
      </c>
      <c r="F2440" s="33">
        <v>4</v>
      </c>
      <c r="G2440" s="33">
        <v>12</v>
      </c>
      <c r="H2440" s="33" t="s">
        <v>1933</v>
      </c>
      <c r="I2440" s="31" t="s">
        <v>46</v>
      </c>
      <c r="J2440" s="31"/>
      <c r="K2440" s="33"/>
      <c r="L2440" s="33"/>
      <c r="M2440" s="31"/>
      <c r="N2440" s="31"/>
      <c r="O2440" s="16" t="s">
        <v>5103</v>
      </c>
      <c r="P2440" s="16"/>
      <c r="Q2440" s="33" t="s">
        <v>5099</v>
      </c>
      <c r="R2440" s="33"/>
      <c r="S2440" s="34"/>
      <c r="T2440" s="34"/>
      <c r="U2440" s="34"/>
      <c r="V2440" s="34"/>
      <c r="W2440" s="34"/>
      <c r="X2440" s="33" t="s">
        <v>184</v>
      </c>
      <c r="Y2440" s="35" t="str">
        <f>IF(Tabela2[[#This Row],[SIGLA]]="","",VLOOKUP(Tabela2[[#This Row],[SIGLA]],Tabela1[[#All],[Sigla Arte]:[Crédito]],2,0))</f>
        <v>VER DOCUMENTO DE ILS. TÉCNICAS</v>
      </c>
      <c r="Z2440" s="31"/>
      <c r="AA2440" s="31" t="s">
        <v>191</v>
      </c>
      <c r="AB2440" s="33"/>
      <c r="AC2440" s="16"/>
      <c r="AE2440" s="35" t="str">
        <f t="shared" si="39"/>
        <v>EF1 E002 Mat</v>
      </c>
    </row>
    <row r="2441" spans="1:31" ht="120" x14ac:dyDescent="0.25">
      <c r="A2441" s="31" t="s">
        <v>5104</v>
      </c>
      <c r="B2441" s="16" t="s">
        <v>32</v>
      </c>
      <c r="C2441" s="16" t="s">
        <v>164</v>
      </c>
      <c r="D2441" s="33" t="s">
        <v>34</v>
      </c>
      <c r="E2441" s="33">
        <v>259</v>
      </c>
      <c r="F2441" s="33">
        <v>4</v>
      </c>
      <c r="G2441" s="33">
        <v>12</v>
      </c>
      <c r="H2441" s="33" t="s">
        <v>1933</v>
      </c>
      <c r="I2441" s="31" t="s">
        <v>46</v>
      </c>
      <c r="J2441" s="31"/>
      <c r="K2441" s="33"/>
      <c r="L2441" s="33"/>
      <c r="M2441" s="31"/>
      <c r="N2441" s="31"/>
      <c r="O2441" s="16" t="s">
        <v>5105</v>
      </c>
      <c r="P2441" s="16"/>
      <c r="Q2441" s="33" t="s">
        <v>5099</v>
      </c>
      <c r="R2441" s="33"/>
      <c r="S2441" s="34"/>
      <c r="T2441" s="34"/>
      <c r="U2441" s="34"/>
      <c r="V2441" s="34"/>
      <c r="W2441" s="34"/>
      <c r="X2441" s="33" t="s">
        <v>184</v>
      </c>
      <c r="Y2441" s="35" t="str">
        <f>IF(Tabela2[[#This Row],[SIGLA]]="","",VLOOKUP(Tabela2[[#This Row],[SIGLA]],Tabela1[[#All],[Sigla Arte]:[Crédito]],2,0))</f>
        <v>VER DOCUMENTO DE ILS. TÉCNICAS</v>
      </c>
      <c r="Z2441" s="31"/>
      <c r="AA2441" s="31" t="s">
        <v>191</v>
      </c>
      <c r="AB2441" s="33"/>
      <c r="AC2441" s="16"/>
      <c r="AE2441" s="35" t="str">
        <f t="shared" si="39"/>
        <v>EF1 E002 Mat</v>
      </c>
    </row>
    <row r="2442" spans="1:31" ht="45" x14ac:dyDescent="0.25">
      <c r="A2442" s="31" t="s">
        <v>5106</v>
      </c>
      <c r="B2442" s="16" t="s">
        <v>32</v>
      </c>
      <c r="C2442" s="16" t="s">
        <v>164</v>
      </c>
      <c r="D2442" s="33" t="s">
        <v>34</v>
      </c>
      <c r="E2442" s="33">
        <v>36</v>
      </c>
      <c r="F2442" s="33">
        <v>4</v>
      </c>
      <c r="G2442" s="33">
        <v>2</v>
      </c>
      <c r="H2442" s="33"/>
      <c r="I2442" s="31" t="s">
        <v>995</v>
      </c>
      <c r="J2442" s="31"/>
      <c r="K2442" s="33"/>
      <c r="L2442" s="33"/>
      <c r="M2442" s="31"/>
      <c r="N2442" s="31"/>
      <c r="O2442" s="16" t="s">
        <v>5107</v>
      </c>
      <c r="P2442" s="16"/>
      <c r="Q2442" s="33"/>
      <c r="R2442" s="33">
        <v>113</v>
      </c>
      <c r="S2442" s="34">
        <v>45883</v>
      </c>
      <c r="T2442" s="34">
        <v>45888</v>
      </c>
      <c r="U2442" s="34"/>
      <c r="V2442" s="34"/>
      <c r="W2442" s="34">
        <v>45889</v>
      </c>
      <c r="X2442" s="33" t="s">
        <v>184</v>
      </c>
      <c r="Y2442" s="35" t="str">
        <f>IF(Tabela2[[#This Row],[SIGLA]]="","",VLOOKUP(Tabela2[[#This Row],[SIGLA]],Tabela1[[#All],[Sigla Arte]:[Crédito]],2,0))</f>
        <v>VER DOCUMENTO DE ILS. TÉCNICAS</v>
      </c>
      <c r="Z2442" s="31" t="s">
        <v>352</v>
      </c>
      <c r="AA2442" s="31" t="s">
        <v>191</v>
      </c>
      <c r="AB2442" s="33">
        <v>8</v>
      </c>
      <c r="AC2442" s="16" t="s">
        <v>439</v>
      </c>
      <c r="AD2442" s="16" t="s">
        <v>40</v>
      </c>
      <c r="AE2442" s="35" t="str">
        <f t="shared" si="39"/>
        <v>EF1 E002 Mat</v>
      </c>
    </row>
    <row r="2443" spans="1:31" ht="90" x14ac:dyDescent="0.25">
      <c r="A2443" s="31" t="s">
        <v>5108</v>
      </c>
      <c r="B2443" s="16" t="s">
        <v>32</v>
      </c>
      <c r="C2443" s="16" t="s">
        <v>164</v>
      </c>
      <c r="D2443" s="33" t="s">
        <v>34</v>
      </c>
      <c r="E2443" s="33">
        <v>36</v>
      </c>
      <c r="F2443" s="33">
        <v>4</v>
      </c>
      <c r="G2443" s="33">
        <v>2</v>
      </c>
      <c r="H2443" s="33"/>
      <c r="I2443" s="31" t="s">
        <v>995</v>
      </c>
      <c r="J2443" s="31"/>
      <c r="K2443" s="33"/>
      <c r="L2443" s="33"/>
      <c r="M2443" s="31"/>
      <c r="N2443" s="31"/>
      <c r="O2443" s="16" t="s">
        <v>5109</v>
      </c>
      <c r="P2443" s="16"/>
      <c r="Q2443" s="33"/>
      <c r="R2443" s="33">
        <v>113</v>
      </c>
      <c r="S2443" s="34">
        <v>45883</v>
      </c>
      <c r="T2443" s="34">
        <v>45888</v>
      </c>
      <c r="U2443" s="34"/>
      <c r="V2443" s="34"/>
      <c r="W2443" s="34">
        <v>45889</v>
      </c>
      <c r="X2443" s="33" t="s">
        <v>184</v>
      </c>
      <c r="Y2443" s="35" t="str">
        <f>IF(Tabela2[[#This Row],[SIGLA]]="","",VLOOKUP(Tabela2[[#This Row],[SIGLA]],Tabela1[[#All],[Sigla Arte]:[Crédito]],2,0))</f>
        <v>VER DOCUMENTO DE ILS. TÉCNICAS</v>
      </c>
      <c r="Z2443" s="31" t="s">
        <v>352</v>
      </c>
      <c r="AA2443" s="31" t="s">
        <v>191</v>
      </c>
      <c r="AB2443" s="33">
        <v>8</v>
      </c>
      <c r="AC2443" s="16" t="s">
        <v>439</v>
      </c>
      <c r="AD2443" s="16" t="s">
        <v>40</v>
      </c>
      <c r="AE2443" s="35" t="str">
        <f t="shared" si="39"/>
        <v>EF1 E002 Mat</v>
      </c>
    </row>
    <row r="2444" spans="1:31" ht="45" x14ac:dyDescent="0.25">
      <c r="A2444" s="31" t="s">
        <v>5110</v>
      </c>
      <c r="B2444" s="16" t="s">
        <v>32</v>
      </c>
      <c r="C2444" s="16" t="s">
        <v>164</v>
      </c>
      <c r="D2444" s="33" t="s">
        <v>34</v>
      </c>
      <c r="E2444" s="33">
        <v>36</v>
      </c>
      <c r="F2444" s="33">
        <v>4</v>
      </c>
      <c r="G2444" s="33">
        <v>2</v>
      </c>
      <c r="H2444" s="33"/>
      <c r="I2444" s="31" t="s">
        <v>995</v>
      </c>
      <c r="J2444" s="31"/>
      <c r="K2444" s="33"/>
      <c r="L2444" s="33"/>
      <c r="M2444" s="31"/>
      <c r="N2444" s="31"/>
      <c r="O2444" s="16" t="s">
        <v>5111</v>
      </c>
      <c r="P2444" s="16"/>
      <c r="Q2444" s="33"/>
      <c r="R2444" s="33">
        <v>113</v>
      </c>
      <c r="S2444" s="34">
        <v>45883</v>
      </c>
      <c r="T2444" s="34">
        <v>45888</v>
      </c>
      <c r="U2444" s="34"/>
      <c r="V2444" s="34"/>
      <c r="W2444" s="34">
        <v>45889</v>
      </c>
      <c r="X2444" s="33" t="s">
        <v>184</v>
      </c>
      <c r="Y2444" s="35" t="str">
        <f>IF(Tabela2[[#This Row],[SIGLA]]="","",VLOOKUP(Tabela2[[#This Row],[SIGLA]],Tabela1[[#All],[Sigla Arte]:[Crédito]],2,0))</f>
        <v>VER DOCUMENTO DE ILS. TÉCNICAS</v>
      </c>
      <c r="Z2444" s="31" t="s">
        <v>352</v>
      </c>
      <c r="AA2444" s="31" t="s">
        <v>191</v>
      </c>
      <c r="AB2444" s="33">
        <v>8</v>
      </c>
      <c r="AC2444" s="16" t="s">
        <v>439</v>
      </c>
      <c r="AD2444" s="16" t="s">
        <v>40</v>
      </c>
      <c r="AE2444" s="35" t="str">
        <f t="shared" si="39"/>
        <v>EF1 E002 Mat</v>
      </c>
    </row>
    <row r="2445" spans="1:31" ht="60" x14ac:dyDescent="0.25">
      <c r="A2445" s="31" t="s">
        <v>5112</v>
      </c>
      <c r="B2445" s="16" t="s">
        <v>32</v>
      </c>
      <c r="C2445" s="16" t="s">
        <v>164</v>
      </c>
      <c r="D2445" s="33" t="s">
        <v>34</v>
      </c>
      <c r="E2445" s="33">
        <v>40</v>
      </c>
      <c r="F2445" s="33">
        <v>4</v>
      </c>
      <c r="G2445" s="33">
        <v>2</v>
      </c>
      <c r="H2445" s="33"/>
      <c r="I2445" s="31" t="s">
        <v>995</v>
      </c>
      <c r="J2445" s="31"/>
      <c r="K2445" s="33"/>
      <c r="L2445" s="33"/>
      <c r="M2445" s="31"/>
      <c r="N2445" s="31"/>
      <c r="O2445" s="16" t="s">
        <v>5113</v>
      </c>
      <c r="P2445" s="16"/>
      <c r="Q2445" s="33"/>
      <c r="R2445" s="33">
        <v>113</v>
      </c>
      <c r="S2445" s="34">
        <v>45883</v>
      </c>
      <c r="T2445" s="34">
        <v>45888</v>
      </c>
      <c r="U2445" s="34"/>
      <c r="V2445" s="34"/>
      <c r="W2445" s="34">
        <v>45889</v>
      </c>
      <c r="X2445" s="33" t="s">
        <v>184</v>
      </c>
      <c r="Y2445" s="35" t="str">
        <f>IF(Tabela2[[#This Row],[SIGLA]]="","",VLOOKUP(Tabela2[[#This Row],[SIGLA]],Tabela1[[#All],[Sigla Arte]:[Crédito]],2,0))</f>
        <v>VER DOCUMENTO DE ILS. TÉCNICAS</v>
      </c>
      <c r="Z2445" s="31" t="s">
        <v>352</v>
      </c>
      <c r="AA2445" s="31" t="s">
        <v>191</v>
      </c>
      <c r="AB2445" s="33">
        <v>8</v>
      </c>
      <c r="AC2445" s="16" t="s">
        <v>439</v>
      </c>
      <c r="AD2445" s="16" t="s">
        <v>40</v>
      </c>
      <c r="AE2445" s="35" t="str">
        <f t="shared" si="39"/>
        <v>EF1 E002 Mat</v>
      </c>
    </row>
    <row r="2446" spans="1:31" ht="75" x14ac:dyDescent="0.25">
      <c r="A2446" s="31" t="s">
        <v>5114</v>
      </c>
      <c r="B2446" s="16" t="s">
        <v>32</v>
      </c>
      <c r="C2446" s="16" t="s">
        <v>164</v>
      </c>
      <c r="D2446" s="33" t="s">
        <v>34</v>
      </c>
      <c r="E2446" s="33">
        <v>40</v>
      </c>
      <c r="F2446" s="33">
        <v>4</v>
      </c>
      <c r="G2446" s="33">
        <v>2</v>
      </c>
      <c r="H2446" s="33"/>
      <c r="I2446" s="31" t="s">
        <v>995</v>
      </c>
      <c r="J2446" s="31"/>
      <c r="K2446" s="33"/>
      <c r="L2446" s="33"/>
      <c r="M2446" s="31"/>
      <c r="N2446" s="31"/>
      <c r="O2446" s="16" t="s">
        <v>5115</v>
      </c>
      <c r="P2446" s="16"/>
      <c r="Q2446" s="33"/>
      <c r="R2446" s="33">
        <v>113</v>
      </c>
      <c r="S2446" s="34">
        <v>45883</v>
      </c>
      <c r="T2446" s="34">
        <v>45888</v>
      </c>
      <c r="U2446" s="34"/>
      <c r="V2446" s="34"/>
      <c r="W2446" s="34">
        <v>45889</v>
      </c>
      <c r="X2446" s="33" t="s">
        <v>184</v>
      </c>
      <c r="Y2446" s="35" t="str">
        <f>IF(Tabela2[[#This Row],[SIGLA]]="","",VLOOKUP(Tabela2[[#This Row],[SIGLA]],Tabela1[[#All],[Sigla Arte]:[Crédito]],2,0))</f>
        <v>VER DOCUMENTO DE ILS. TÉCNICAS</v>
      </c>
      <c r="Z2446" s="31" t="s">
        <v>352</v>
      </c>
      <c r="AA2446" s="31" t="s">
        <v>191</v>
      </c>
      <c r="AB2446" s="33">
        <v>8</v>
      </c>
      <c r="AC2446" s="16" t="s">
        <v>439</v>
      </c>
      <c r="AD2446" s="16" t="s">
        <v>40</v>
      </c>
      <c r="AE2446" s="35" t="str">
        <f t="shared" si="39"/>
        <v>EF1 E002 Mat</v>
      </c>
    </row>
    <row r="2447" spans="1:31" ht="90" x14ac:dyDescent="0.25">
      <c r="A2447" s="31" t="s">
        <v>5116</v>
      </c>
      <c r="B2447" s="16" t="s">
        <v>32</v>
      </c>
      <c r="C2447" s="16" t="s">
        <v>164</v>
      </c>
      <c r="D2447" s="33" t="s">
        <v>34</v>
      </c>
      <c r="E2447" s="33">
        <v>41</v>
      </c>
      <c r="F2447" s="33">
        <v>4</v>
      </c>
      <c r="G2447" s="33">
        <v>2</v>
      </c>
      <c r="H2447" s="33"/>
      <c r="I2447" s="31" t="s">
        <v>995</v>
      </c>
      <c r="J2447" s="31"/>
      <c r="K2447" s="33"/>
      <c r="L2447" s="33"/>
      <c r="M2447" s="31"/>
      <c r="N2447" s="31"/>
      <c r="O2447" s="16" t="s">
        <v>5117</v>
      </c>
      <c r="P2447" s="16"/>
      <c r="Q2447" s="16"/>
      <c r="R2447" s="33">
        <v>113</v>
      </c>
      <c r="S2447" s="34">
        <v>45883</v>
      </c>
      <c r="T2447" s="34">
        <v>45888</v>
      </c>
      <c r="U2447" s="34"/>
      <c r="V2447" s="34"/>
      <c r="W2447" s="34">
        <v>45889</v>
      </c>
      <c r="X2447" s="33" t="s">
        <v>184</v>
      </c>
      <c r="Y2447" s="35" t="str">
        <f>IF(Tabela2[[#This Row],[SIGLA]]="","",VLOOKUP(Tabela2[[#This Row],[SIGLA]],Tabela1[[#All],[Sigla Arte]:[Crédito]],2,0))</f>
        <v>VER DOCUMENTO DE ILS. TÉCNICAS</v>
      </c>
      <c r="Z2447" s="31" t="s">
        <v>352</v>
      </c>
      <c r="AA2447" s="31" t="s">
        <v>191</v>
      </c>
      <c r="AB2447" s="33">
        <v>8</v>
      </c>
      <c r="AC2447" s="16" t="s">
        <v>439</v>
      </c>
      <c r="AD2447" s="16" t="s">
        <v>40</v>
      </c>
      <c r="AE2447" s="35" t="str">
        <f t="shared" si="39"/>
        <v>EF1 E002 Mat</v>
      </c>
    </row>
    <row r="2448" spans="1:31" ht="75" x14ac:dyDescent="0.25">
      <c r="A2448" s="31" t="s">
        <v>5118</v>
      </c>
      <c r="B2448" s="16" t="s">
        <v>32</v>
      </c>
      <c r="C2448" s="16" t="s">
        <v>164</v>
      </c>
      <c r="D2448" s="33" t="s">
        <v>34</v>
      </c>
      <c r="E2448" s="33">
        <v>41</v>
      </c>
      <c r="F2448" s="33">
        <v>4</v>
      </c>
      <c r="G2448" s="33">
        <v>2</v>
      </c>
      <c r="H2448" s="33"/>
      <c r="I2448" s="31" t="s">
        <v>995</v>
      </c>
      <c r="J2448" s="31"/>
      <c r="K2448" s="33"/>
      <c r="L2448" s="33"/>
      <c r="M2448" s="31"/>
      <c r="N2448" s="31"/>
      <c r="O2448" s="16" t="s">
        <v>5119</v>
      </c>
      <c r="P2448" s="16"/>
      <c r="Q2448" s="16"/>
      <c r="R2448" s="33">
        <v>113</v>
      </c>
      <c r="S2448" s="34">
        <v>45883</v>
      </c>
      <c r="T2448" s="34">
        <v>45888</v>
      </c>
      <c r="U2448" s="34"/>
      <c r="V2448" s="34"/>
      <c r="W2448" s="34">
        <v>45889</v>
      </c>
      <c r="X2448" s="33" t="s">
        <v>184</v>
      </c>
      <c r="Y2448" s="35" t="str">
        <f>IF(Tabela2[[#This Row],[SIGLA]]="","",VLOOKUP(Tabela2[[#This Row],[SIGLA]],Tabela1[[#All],[Sigla Arte]:[Crédito]],2,0))</f>
        <v>VER DOCUMENTO DE ILS. TÉCNICAS</v>
      </c>
      <c r="Z2448" s="31" t="s">
        <v>352</v>
      </c>
      <c r="AA2448" s="31" t="s">
        <v>191</v>
      </c>
      <c r="AB2448" s="33">
        <v>8</v>
      </c>
      <c r="AC2448" s="16" t="s">
        <v>439</v>
      </c>
      <c r="AD2448" s="16" t="s">
        <v>40</v>
      </c>
      <c r="AE2448" s="35" t="str">
        <f t="shared" si="39"/>
        <v>EF1 E002 Mat</v>
      </c>
    </row>
    <row r="2449" spans="1:31" ht="30" x14ac:dyDescent="0.25">
      <c r="A2449" s="31" t="s">
        <v>5120</v>
      </c>
      <c r="B2449" s="16" t="s">
        <v>32</v>
      </c>
      <c r="C2449" s="16" t="s">
        <v>164</v>
      </c>
      <c r="D2449" s="33" t="s">
        <v>34</v>
      </c>
      <c r="E2449" s="33">
        <v>41</v>
      </c>
      <c r="F2449" s="33">
        <v>4</v>
      </c>
      <c r="G2449" s="33">
        <v>2</v>
      </c>
      <c r="H2449" s="33"/>
      <c r="I2449" s="31" t="s">
        <v>995</v>
      </c>
      <c r="J2449" s="31"/>
      <c r="K2449" s="33"/>
      <c r="L2449" s="33"/>
      <c r="M2449" s="31"/>
      <c r="N2449" s="31"/>
      <c r="O2449" s="16" t="s">
        <v>5121</v>
      </c>
      <c r="P2449" s="16"/>
      <c r="Q2449" s="16"/>
      <c r="R2449" s="33">
        <v>113</v>
      </c>
      <c r="S2449" s="34">
        <v>45883</v>
      </c>
      <c r="T2449" s="34">
        <v>45888</v>
      </c>
      <c r="U2449" s="34"/>
      <c r="V2449" s="34"/>
      <c r="W2449" s="34">
        <v>45889</v>
      </c>
      <c r="X2449" s="33" t="s">
        <v>184</v>
      </c>
      <c r="Y2449" s="35" t="str">
        <f>IF(Tabela2[[#This Row],[SIGLA]]="","",VLOOKUP(Tabela2[[#This Row],[SIGLA]],Tabela1[[#All],[Sigla Arte]:[Crédito]],2,0))</f>
        <v>VER DOCUMENTO DE ILS. TÉCNICAS</v>
      </c>
      <c r="Z2449" s="31" t="s">
        <v>352</v>
      </c>
      <c r="AA2449" s="31" t="s">
        <v>191</v>
      </c>
      <c r="AB2449" s="33">
        <v>8</v>
      </c>
      <c r="AC2449" s="16" t="s">
        <v>439</v>
      </c>
      <c r="AD2449" s="16" t="s">
        <v>40</v>
      </c>
      <c r="AE2449" s="35" t="str">
        <f t="shared" si="39"/>
        <v>EF1 E002 Mat</v>
      </c>
    </row>
    <row r="2450" spans="1:31" ht="90" x14ac:dyDescent="0.25">
      <c r="A2450" s="31" t="s">
        <v>5122</v>
      </c>
      <c r="B2450" s="16" t="s">
        <v>32</v>
      </c>
      <c r="C2450" s="16" t="s">
        <v>164</v>
      </c>
      <c r="D2450" s="33" t="s">
        <v>34</v>
      </c>
      <c r="E2450" s="33">
        <v>44</v>
      </c>
      <c r="F2450" s="33">
        <v>4</v>
      </c>
      <c r="G2450" s="33">
        <v>2</v>
      </c>
      <c r="H2450" s="33"/>
      <c r="I2450" s="31" t="s">
        <v>35</v>
      </c>
      <c r="J2450" s="31"/>
      <c r="K2450" s="33"/>
      <c r="L2450" s="33"/>
      <c r="M2450" s="31"/>
      <c r="N2450" s="31"/>
      <c r="O2450" s="16" t="s">
        <v>5123</v>
      </c>
      <c r="P2450" s="16"/>
      <c r="Q2450" s="16"/>
      <c r="R2450" s="33">
        <v>113</v>
      </c>
      <c r="S2450" s="34">
        <v>45883</v>
      </c>
      <c r="T2450" s="34">
        <v>45888</v>
      </c>
      <c r="U2450" s="34"/>
      <c r="V2450" s="34"/>
      <c r="W2450" s="34">
        <v>45889</v>
      </c>
      <c r="X2450" s="33" t="s">
        <v>399</v>
      </c>
      <c r="Y2450" s="35" t="str">
        <f>IF(Tabela2[[#This Row],[SIGLA]]="","",VLOOKUP(Tabela2[[#This Row],[SIGLA]],Tabela1[[#All],[Sigla Arte]:[Crédito]],2,0))</f>
        <v>MÁRCIO GUERRA/ARQUIVO DA EDITORA</v>
      </c>
      <c r="Z2450" s="31" t="s">
        <v>352</v>
      </c>
      <c r="AA2450" s="31" t="str">
        <f>Tabela2[[#This Row],[ILUSTRADOR CRIAÇÃO]]</f>
        <v>MÁRCIO GUERRA/ARQUIVO DA EDITORA</v>
      </c>
      <c r="AB2450" s="33">
        <v>14</v>
      </c>
      <c r="AC2450" s="16" t="s">
        <v>39</v>
      </c>
      <c r="AD2450" s="16" t="s">
        <v>40</v>
      </c>
      <c r="AE2450" s="35" t="str">
        <f t="shared" si="39"/>
        <v>EF1 E002 Mat</v>
      </c>
    </row>
    <row r="2451" spans="1:31" ht="75" x14ac:dyDescent="0.25">
      <c r="A2451" s="31" t="s">
        <v>5124</v>
      </c>
      <c r="B2451" s="16" t="s">
        <v>401</v>
      </c>
      <c r="C2451" s="16" t="s">
        <v>164</v>
      </c>
      <c r="D2451" s="33" t="s">
        <v>34</v>
      </c>
      <c r="E2451" s="33">
        <v>273</v>
      </c>
      <c r="F2451" s="33">
        <v>4</v>
      </c>
      <c r="G2451" s="33" t="s">
        <v>4785</v>
      </c>
      <c r="H2451" s="33"/>
      <c r="I2451" s="31" t="s">
        <v>995</v>
      </c>
      <c r="J2451" s="31"/>
      <c r="K2451" s="33"/>
      <c r="L2451" s="33"/>
      <c r="M2451" s="31"/>
      <c r="N2451" s="31"/>
      <c r="O2451" s="16" t="s">
        <v>5125</v>
      </c>
      <c r="P2451" s="16"/>
      <c r="Q2451" s="16"/>
      <c r="R2451" s="33">
        <v>113</v>
      </c>
      <c r="S2451" s="34">
        <v>45883</v>
      </c>
      <c r="T2451" s="34">
        <v>45888</v>
      </c>
      <c r="U2451" s="34"/>
      <c r="V2451" s="34"/>
      <c r="W2451" s="34">
        <v>45889</v>
      </c>
      <c r="X2451" s="33" t="s">
        <v>184</v>
      </c>
      <c r="Y2451" s="35" t="str">
        <f>IF(Tabela2[[#This Row],[SIGLA]]="","",VLOOKUP(Tabela2[[#This Row],[SIGLA]],Tabela1[[#All],[Sigla Arte]:[Crédito]],2,0))</f>
        <v>VER DOCUMENTO DE ILS. TÉCNICAS</v>
      </c>
      <c r="Z2451" s="31"/>
      <c r="AA2451" s="31" t="s">
        <v>191</v>
      </c>
      <c r="AB2451" s="33">
        <v>8</v>
      </c>
      <c r="AC2451" s="16" t="s">
        <v>439</v>
      </c>
      <c r="AD2451" s="16" t="s">
        <v>40</v>
      </c>
      <c r="AE2451" s="35" t="str">
        <f t="shared" si="39"/>
        <v>EF1 E002 Mat</v>
      </c>
    </row>
    <row r="2452" spans="1:31" ht="90" x14ac:dyDescent="0.25">
      <c r="A2452" s="31" t="s">
        <v>5126</v>
      </c>
      <c r="B2452" s="16" t="s">
        <v>401</v>
      </c>
      <c r="C2452" s="16" t="s">
        <v>164</v>
      </c>
      <c r="D2452" s="33" t="s">
        <v>34</v>
      </c>
      <c r="E2452" s="33">
        <v>275</v>
      </c>
      <c r="F2452" s="33">
        <v>4</v>
      </c>
      <c r="G2452" s="33" t="s">
        <v>4785</v>
      </c>
      <c r="H2452" s="33"/>
      <c r="I2452" s="31" t="s">
        <v>995</v>
      </c>
      <c r="J2452" s="31"/>
      <c r="K2452" s="33"/>
      <c r="L2452" s="33"/>
      <c r="M2452" s="31"/>
      <c r="N2452" s="31"/>
      <c r="O2452" s="16" t="s">
        <v>5127</v>
      </c>
      <c r="P2452" s="16"/>
      <c r="Q2452" s="16"/>
      <c r="R2452" s="33">
        <v>113</v>
      </c>
      <c r="S2452" s="34">
        <v>45883</v>
      </c>
      <c r="T2452" s="34">
        <v>45888</v>
      </c>
      <c r="U2452" s="34"/>
      <c r="V2452" s="34"/>
      <c r="W2452" s="34">
        <v>45889</v>
      </c>
      <c r="X2452" s="33" t="s">
        <v>184</v>
      </c>
      <c r="Y2452" s="35" t="str">
        <f>IF(Tabela2[[#This Row],[SIGLA]]="","",VLOOKUP(Tabela2[[#This Row],[SIGLA]],Tabela1[[#All],[Sigla Arte]:[Crédito]],2,0))</f>
        <v>VER DOCUMENTO DE ILS. TÉCNICAS</v>
      </c>
      <c r="Z2452" s="31"/>
      <c r="AA2452" s="31" t="s">
        <v>191</v>
      </c>
      <c r="AB2452" s="33">
        <v>8</v>
      </c>
      <c r="AC2452" s="16" t="s">
        <v>439</v>
      </c>
      <c r="AD2452" s="16" t="s">
        <v>40</v>
      </c>
      <c r="AE2452" s="35" t="str">
        <f t="shared" si="39"/>
        <v>EF1 E002 Mat</v>
      </c>
    </row>
    <row r="2453" spans="1:31" ht="75" x14ac:dyDescent="0.25">
      <c r="A2453" s="31" t="s">
        <v>5128</v>
      </c>
      <c r="B2453" s="16" t="s">
        <v>32</v>
      </c>
      <c r="C2453" s="16" t="s">
        <v>164</v>
      </c>
      <c r="D2453" s="33" t="s">
        <v>34</v>
      </c>
      <c r="E2453" s="33">
        <v>50</v>
      </c>
      <c r="F2453" s="33">
        <v>4</v>
      </c>
      <c r="G2453" s="33">
        <v>3</v>
      </c>
      <c r="H2453" s="33"/>
      <c r="I2453" s="31" t="s">
        <v>995</v>
      </c>
      <c r="J2453" s="31"/>
      <c r="K2453" s="33"/>
      <c r="L2453" s="33"/>
      <c r="M2453" s="31"/>
      <c r="N2453" s="31"/>
      <c r="O2453" s="16" t="s">
        <v>5129</v>
      </c>
      <c r="P2453" s="16"/>
      <c r="Q2453" s="16"/>
      <c r="R2453" s="33">
        <v>114</v>
      </c>
      <c r="S2453" s="34">
        <v>45883</v>
      </c>
      <c r="T2453" s="34">
        <v>45883</v>
      </c>
      <c r="U2453" s="34"/>
      <c r="V2453" s="34"/>
      <c r="W2453" s="34">
        <v>45884</v>
      </c>
      <c r="X2453" s="33" t="s">
        <v>5130</v>
      </c>
      <c r="Y2453" s="35" t="str">
        <f>IF(Tabela2[[#This Row],[SIGLA]]="","",VLOOKUP(Tabela2[[#This Row],[SIGLA]],Tabela1[[#All],[Sigla Arte]:[Crédito]],2,0))</f>
        <v>GABRIELLA IMAI/ARQUIVO DA EDITORA</v>
      </c>
      <c r="Z2453" s="31" t="s">
        <v>572</v>
      </c>
      <c r="AA2453" s="31" t="s">
        <v>191</v>
      </c>
      <c r="AB2453" s="33">
        <v>8</v>
      </c>
      <c r="AC2453" s="16" t="s">
        <v>439</v>
      </c>
      <c r="AD2453" s="16" t="s">
        <v>40</v>
      </c>
      <c r="AE2453" s="35" t="str">
        <f t="shared" si="39"/>
        <v>EF1 E002 Mat</v>
      </c>
    </row>
    <row r="2454" spans="1:31" ht="105" x14ac:dyDescent="0.25">
      <c r="A2454" s="31" t="s">
        <v>5131</v>
      </c>
      <c r="B2454" s="16" t="s">
        <v>32</v>
      </c>
      <c r="C2454" s="16" t="s">
        <v>164</v>
      </c>
      <c r="D2454" s="33" t="s">
        <v>34</v>
      </c>
      <c r="E2454" s="33">
        <v>50</v>
      </c>
      <c r="F2454" s="33">
        <v>4</v>
      </c>
      <c r="G2454" s="33">
        <v>3</v>
      </c>
      <c r="H2454" s="33"/>
      <c r="I2454" s="31" t="s">
        <v>995</v>
      </c>
      <c r="J2454" s="31"/>
      <c r="K2454" s="33"/>
      <c r="L2454" s="33"/>
      <c r="M2454" s="31"/>
      <c r="N2454" s="31"/>
      <c r="O2454" s="16" t="s">
        <v>5132</v>
      </c>
      <c r="P2454" s="16"/>
      <c r="Q2454" s="16"/>
      <c r="R2454" s="33">
        <v>114</v>
      </c>
      <c r="S2454" s="34">
        <v>45883</v>
      </c>
      <c r="T2454" s="34">
        <v>45883</v>
      </c>
      <c r="U2454" s="34"/>
      <c r="V2454" s="34"/>
      <c r="W2454" s="34">
        <v>45884</v>
      </c>
      <c r="X2454" s="33" t="s">
        <v>5130</v>
      </c>
      <c r="Y2454" s="35" t="str">
        <f>IF(Tabela2[[#This Row],[SIGLA]]="","",VLOOKUP(Tabela2[[#This Row],[SIGLA]],Tabela1[[#All],[Sigla Arte]:[Crédito]],2,0))</f>
        <v>GABRIELLA IMAI/ARQUIVO DA EDITORA</v>
      </c>
      <c r="Z2454" s="31" t="s">
        <v>572</v>
      </c>
      <c r="AA2454" s="31" t="s">
        <v>191</v>
      </c>
      <c r="AB2454" s="33">
        <v>8</v>
      </c>
      <c r="AC2454" s="16" t="s">
        <v>439</v>
      </c>
      <c r="AD2454" s="16" t="s">
        <v>40</v>
      </c>
      <c r="AE2454" s="35" t="str">
        <f t="shared" si="39"/>
        <v>EF1 E002 Mat</v>
      </c>
    </row>
    <row r="2455" spans="1:31" ht="75" x14ac:dyDescent="0.25">
      <c r="A2455" s="31" t="s">
        <v>5133</v>
      </c>
      <c r="B2455" s="16" t="s">
        <v>32</v>
      </c>
      <c r="C2455" s="16" t="s">
        <v>164</v>
      </c>
      <c r="D2455" s="33" t="s">
        <v>34</v>
      </c>
      <c r="E2455" s="33">
        <v>50</v>
      </c>
      <c r="F2455" s="33">
        <v>4</v>
      </c>
      <c r="G2455" s="33">
        <v>3</v>
      </c>
      <c r="H2455" s="33"/>
      <c r="I2455" s="31" t="s">
        <v>995</v>
      </c>
      <c r="J2455" s="31"/>
      <c r="K2455" s="33"/>
      <c r="L2455" s="33"/>
      <c r="M2455" s="31"/>
      <c r="N2455" s="31"/>
      <c r="O2455" s="16" t="s">
        <v>5134</v>
      </c>
      <c r="P2455" s="16"/>
      <c r="Q2455" s="16"/>
      <c r="R2455" s="33">
        <v>114</v>
      </c>
      <c r="S2455" s="34">
        <v>45883</v>
      </c>
      <c r="T2455" s="34">
        <v>45883</v>
      </c>
      <c r="U2455" s="34"/>
      <c r="V2455" s="34"/>
      <c r="W2455" s="34">
        <v>45884</v>
      </c>
      <c r="X2455" s="33" t="s">
        <v>5130</v>
      </c>
      <c r="Y2455" s="35" t="str">
        <f>IF(Tabela2[[#This Row],[SIGLA]]="","",VLOOKUP(Tabela2[[#This Row],[SIGLA]],Tabela1[[#All],[Sigla Arte]:[Crédito]],2,0))</f>
        <v>GABRIELLA IMAI/ARQUIVO DA EDITORA</v>
      </c>
      <c r="Z2455" s="31" t="s">
        <v>572</v>
      </c>
      <c r="AA2455" s="31" t="s">
        <v>191</v>
      </c>
      <c r="AB2455" s="33">
        <v>8</v>
      </c>
      <c r="AC2455" s="16" t="s">
        <v>439</v>
      </c>
      <c r="AD2455" s="16" t="s">
        <v>40</v>
      </c>
      <c r="AE2455" s="35" t="str">
        <f t="shared" si="39"/>
        <v>EF1 E002 Mat</v>
      </c>
    </row>
    <row r="2456" spans="1:31" ht="60" x14ac:dyDescent="0.25">
      <c r="A2456" s="31" t="s">
        <v>5135</v>
      </c>
      <c r="B2456" s="16" t="s">
        <v>32</v>
      </c>
      <c r="C2456" s="16" t="s">
        <v>164</v>
      </c>
      <c r="D2456" s="33" t="s">
        <v>34</v>
      </c>
      <c r="E2456" s="33">
        <v>60</v>
      </c>
      <c r="F2456" s="33">
        <v>4</v>
      </c>
      <c r="G2456" s="33">
        <v>3</v>
      </c>
      <c r="H2456" s="33"/>
      <c r="I2456" s="31" t="s">
        <v>995</v>
      </c>
      <c r="J2456" s="31"/>
      <c r="K2456" s="33"/>
      <c r="L2456" s="33"/>
      <c r="M2456" s="31"/>
      <c r="N2456" s="31"/>
      <c r="O2456" s="16" t="s">
        <v>5136</v>
      </c>
      <c r="P2456" s="16"/>
      <c r="Q2456" s="16"/>
      <c r="R2456" s="33">
        <v>114</v>
      </c>
      <c r="S2456" s="34">
        <v>45883</v>
      </c>
      <c r="T2456" s="34">
        <v>45883</v>
      </c>
      <c r="U2456" s="34"/>
      <c r="V2456" s="34"/>
      <c r="W2456" s="34">
        <v>45884</v>
      </c>
      <c r="X2456" s="33" t="s">
        <v>184</v>
      </c>
      <c r="Y2456" s="35" t="str">
        <f>IF(Tabela2[[#This Row],[SIGLA]]="","",VLOOKUP(Tabela2[[#This Row],[SIGLA]],Tabela1[[#All],[Sigla Arte]:[Crédito]],2,0))</f>
        <v>VER DOCUMENTO DE ILS. TÉCNICAS</v>
      </c>
      <c r="Z2456" s="31" t="s">
        <v>572</v>
      </c>
      <c r="AA2456" s="31" t="s">
        <v>191</v>
      </c>
      <c r="AB2456" s="33">
        <v>8</v>
      </c>
      <c r="AC2456" s="16" t="s">
        <v>439</v>
      </c>
      <c r="AD2456" s="16" t="s">
        <v>40</v>
      </c>
      <c r="AE2456" s="35" t="str">
        <f t="shared" si="39"/>
        <v>EF1 E002 Mat</v>
      </c>
    </row>
    <row r="2457" spans="1:31" ht="90" x14ac:dyDescent="0.25">
      <c r="A2457" s="31" t="s">
        <v>5137</v>
      </c>
      <c r="B2457" s="16" t="s">
        <v>32</v>
      </c>
      <c r="C2457" s="16" t="s">
        <v>33</v>
      </c>
      <c r="D2457" s="33" t="s">
        <v>34</v>
      </c>
      <c r="E2457" s="33">
        <v>64</v>
      </c>
      <c r="F2457" s="33">
        <v>4</v>
      </c>
      <c r="G2457" s="33">
        <v>3</v>
      </c>
      <c r="H2457" s="33"/>
      <c r="I2457" s="31" t="s">
        <v>35</v>
      </c>
      <c r="J2457" s="31"/>
      <c r="K2457" s="33"/>
      <c r="L2457" s="33"/>
      <c r="M2457" s="31"/>
      <c r="N2457" s="31"/>
      <c r="O2457" s="16" t="s">
        <v>5138</v>
      </c>
      <c r="P2457" s="16"/>
      <c r="Q2457" s="16"/>
      <c r="R2457" s="33">
        <v>114</v>
      </c>
      <c r="S2457" s="34">
        <v>45883</v>
      </c>
      <c r="T2457" s="34">
        <v>45884</v>
      </c>
      <c r="U2457" s="34"/>
      <c r="V2457" s="34"/>
      <c r="W2457" s="34">
        <v>45884</v>
      </c>
      <c r="X2457" s="33" t="s">
        <v>5139</v>
      </c>
      <c r="Y2457" s="35" t="str">
        <f>IF(Tabela2[[#This Row],[SIGLA]]="","",VLOOKUP(Tabela2[[#This Row],[SIGLA]],Tabela1[[#All],[Sigla Arte]:[Crédito]],2,0))</f>
        <v>MINNA MINÁ/ARQUIVO DA EDITORA</v>
      </c>
      <c r="Z2457" s="31"/>
      <c r="AA2457" s="31" t="str">
        <f>Tabela2[[#This Row],[ILUSTRADOR CRIAÇÃO]]</f>
        <v>MINNA MINÁ/ARQUIVO DA EDITORA</v>
      </c>
      <c r="AB2457" s="33">
        <v>13</v>
      </c>
      <c r="AC2457" s="16" t="s">
        <v>39</v>
      </c>
      <c r="AD2457" s="16" t="s">
        <v>40</v>
      </c>
      <c r="AE2457" s="35" t="str">
        <f t="shared" si="39"/>
        <v>EF1 E002 Mat</v>
      </c>
    </row>
    <row r="2458" spans="1:31" ht="120" x14ac:dyDescent="0.25">
      <c r="A2458" s="31" t="s">
        <v>5140</v>
      </c>
      <c r="B2458" s="16" t="s">
        <v>32</v>
      </c>
      <c r="C2458" s="16" t="s">
        <v>33</v>
      </c>
      <c r="D2458" s="33" t="s">
        <v>5141</v>
      </c>
      <c r="E2458" s="33">
        <v>24</v>
      </c>
      <c r="F2458" s="33">
        <v>1</v>
      </c>
      <c r="G2458" s="33"/>
      <c r="H2458" s="33"/>
      <c r="I2458" s="31" t="s">
        <v>995</v>
      </c>
      <c r="J2458" s="31"/>
      <c r="K2458" s="33"/>
      <c r="L2458" s="33"/>
      <c r="M2458" s="31"/>
      <c r="N2458" s="31"/>
      <c r="O2458" s="16" t="s">
        <v>5142</v>
      </c>
      <c r="P2458" s="16"/>
      <c r="Q2458" s="16"/>
      <c r="R2458" s="33">
        <v>115</v>
      </c>
      <c r="S2458" s="34">
        <v>45883</v>
      </c>
      <c r="T2458" s="34">
        <v>45883</v>
      </c>
      <c r="U2458" s="34"/>
      <c r="V2458" s="34"/>
      <c r="W2458" s="34">
        <v>45884</v>
      </c>
      <c r="X2458" s="33" t="s">
        <v>5130</v>
      </c>
      <c r="Y2458" s="35" t="str">
        <f>IF(Tabela2[[#This Row],[SIGLA]]="","",VLOOKUP(Tabela2[[#This Row],[SIGLA]],Tabela1[[#All],[Sigla Arte]:[Crédito]],2,0))</f>
        <v>GABRIELLA IMAI/ARQUIVO DA EDITORA</v>
      </c>
      <c r="Z2458" s="31"/>
      <c r="AA2458" s="31" t="str">
        <f>Tabela2[[#This Row],[ILUSTRADOR CRIAÇÃO]]</f>
        <v>GABRIELLA IMAI/ARQUIVO DA EDITORA</v>
      </c>
      <c r="AB2458" s="33">
        <v>12</v>
      </c>
      <c r="AC2458" s="16" t="s">
        <v>2102</v>
      </c>
      <c r="AD2458" s="16" t="s">
        <v>40</v>
      </c>
      <c r="AE2458" s="35" t="str">
        <f t="shared" si="39"/>
        <v>EF1 E002 Mat</v>
      </c>
    </row>
    <row r="2459" spans="1:31" ht="120" x14ac:dyDescent="0.25">
      <c r="A2459" s="31" t="s">
        <v>5143</v>
      </c>
      <c r="B2459" s="16" t="s">
        <v>32</v>
      </c>
      <c r="C2459" s="16" t="s">
        <v>33</v>
      </c>
      <c r="D2459" s="33" t="s">
        <v>5141</v>
      </c>
      <c r="E2459" s="33">
        <v>24</v>
      </c>
      <c r="F2459" s="33">
        <v>1</v>
      </c>
      <c r="G2459" s="33"/>
      <c r="H2459" s="33"/>
      <c r="I2459" s="31" t="s">
        <v>995</v>
      </c>
      <c r="J2459" s="31"/>
      <c r="K2459" s="33"/>
      <c r="L2459" s="33"/>
      <c r="M2459" s="31"/>
      <c r="N2459" s="31"/>
      <c r="O2459" s="16" t="s">
        <v>5144</v>
      </c>
      <c r="P2459" s="16"/>
      <c r="Q2459" s="16"/>
      <c r="R2459" s="33">
        <v>115</v>
      </c>
      <c r="S2459" s="34">
        <v>45883</v>
      </c>
      <c r="T2459" s="34">
        <v>45883</v>
      </c>
      <c r="U2459" s="34"/>
      <c r="V2459" s="34"/>
      <c r="W2459" s="34">
        <v>45884</v>
      </c>
      <c r="X2459" s="33" t="s">
        <v>5130</v>
      </c>
      <c r="Y2459" s="35" t="str">
        <f>IF(Tabela2[[#This Row],[SIGLA]]="","",VLOOKUP(Tabela2[[#This Row],[SIGLA]],Tabela1[[#All],[Sigla Arte]:[Crédito]],2,0))</f>
        <v>GABRIELLA IMAI/ARQUIVO DA EDITORA</v>
      </c>
      <c r="Z2459" s="31"/>
      <c r="AA2459" s="31" t="str">
        <f>Tabela2[[#This Row],[ILUSTRADOR CRIAÇÃO]]</f>
        <v>GABRIELLA IMAI/ARQUIVO DA EDITORA</v>
      </c>
      <c r="AB2459" s="33">
        <v>12</v>
      </c>
      <c r="AC2459" s="16" t="s">
        <v>2102</v>
      </c>
      <c r="AD2459" s="16" t="s">
        <v>40</v>
      </c>
      <c r="AE2459" s="35" t="str">
        <f t="shared" si="39"/>
        <v>EF1 E002 Mat</v>
      </c>
    </row>
    <row r="2460" spans="1:31" ht="180" x14ac:dyDescent="0.25">
      <c r="A2460" s="31" t="s">
        <v>5145</v>
      </c>
      <c r="B2460" s="16" t="s">
        <v>32</v>
      </c>
      <c r="C2460" s="16" t="s">
        <v>33</v>
      </c>
      <c r="D2460" s="33" t="s">
        <v>34</v>
      </c>
      <c r="E2460" s="33">
        <v>112</v>
      </c>
      <c r="F2460" s="33">
        <v>2</v>
      </c>
      <c r="G2460" s="33">
        <v>4</v>
      </c>
      <c r="H2460" s="33"/>
      <c r="I2460" s="31" t="s">
        <v>995</v>
      </c>
      <c r="J2460" s="31"/>
      <c r="K2460" s="33"/>
      <c r="L2460" s="33"/>
      <c r="M2460" s="31"/>
      <c r="N2460" s="31"/>
      <c r="O2460" s="16" t="s">
        <v>5146</v>
      </c>
      <c r="P2460" s="16"/>
      <c r="Q2460" s="16"/>
      <c r="R2460" s="33">
        <v>116</v>
      </c>
      <c r="S2460" s="34">
        <v>45883</v>
      </c>
      <c r="T2460" s="34">
        <v>45883</v>
      </c>
      <c r="U2460" s="34"/>
      <c r="V2460" s="34"/>
      <c r="W2460" s="34">
        <v>45884</v>
      </c>
      <c r="X2460" s="33" t="s">
        <v>5130</v>
      </c>
      <c r="Y2460" s="35" t="str">
        <f>IF(Tabela2[[#This Row],[SIGLA]]="","",VLOOKUP(Tabela2[[#This Row],[SIGLA]],Tabela1[[#All],[Sigla Arte]:[Crédito]],2,0))</f>
        <v>GABRIELLA IMAI/ARQUIVO DA EDITORA</v>
      </c>
      <c r="Z2460" s="31"/>
      <c r="AA2460" s="31" t="str">
        <f>Tabela2[[#This Row],[ILUSTRADOR CRIAÇÃO]]</f>
        <v>GABRIELLA IMAI/ARQUIVO DA EDITORA</v>
      </c>
      <c r="AB2460" s="33">
        <v>12</v>
      </c>
      <c r="AC2460" s="16" t="s">
        <v>2102</v>
      </c>
      <c r="AD2460" s="16" t="s">
        <v>40</v>
      </c>
      <c r="AE2460" s="35" t="str">
        <f t="shared" si="39"/>
        <v>EF1 E002 Mat</v>
      </c>
    </row>
    <row r="2461" spans="1:31" ht="120" x14ac:dyDescent="0.25">
      <c r="A2461" s="31" t="s">
        <v>5147</v>
      </c>
      <c r="B2461" s="16" t="s">
        <v>32</v>
      </c>
      <c r="C2461" s="16" t="s">
        <v>33</v>
      </c>
      <c r="D2461" s="33" t="s">
        <v>34</v>
      </c>
      <c r="E2461" s="33">
        <v>112</v>
      </c>
      <c r="F2461" s="33">
        <v>2</v>
      </c>
      <c r="G2461" s="33">
        <v>4</v>
      </c>
      <c r="H2461" s="33"/>
      <c r="I2461" s="31" t="s">
        <v>995</v>
      </c>
      <c r="J2461" s="31"/>
      <c r="K2461" s="33"/>
      <c r="L2461" s="33"/>
      <c r="M2461" s="31"/>
      <c r="N2461" s="31"/>
      <c r="O2461" s="16" t="s">
        <v>5148</v>
      </c>
      <c r="P2461" s="16"/>
      <c r="Q2461" s="16"/>
      <c r="R2461" s="33">
        <v>116</v>
      </c>
      <c r="S2461" s="34">
        <v>45883</v>
      </c>
      <c r="T2461" s="34">
        <v>45883</v>
      </c>
      <c r="U2461" s="34"/>
      <c r="V2461" s="34"/>
      <c r="W2461" s="34">
        <v>45884</v>
      </c>
      <c r="X2461" s="33" t="s">
        <v>5130</v>
      </c>
      <c r="Y2461" s="35" t="str">
        <f>IF(Tabela2[[#This Row],[SIGLA]]="","",VLOOKUP(Tabela2[[#This Row],[SIGLA]],Tabela1[[#All],[Sigla Arte]:[Crédito]],2,0))</f>
        <v>GABRIELLA IMAI/ARQUIVO DA EDITORA</v>
      </c>
      <c r="Z2461" s="31"/>
      <c r="AA2461" s="31" t="str">
        <f>Tabela2[[#This Row],[ILUSTRADOR CRIAÇÃO]]</f>
        <v>GABRIELLA IMAI/ARQUIVO DA EDITORA</v>
      </c>
      <c r="AB2461" s="33">
        <v>12</v>
      </c>
      <c r="AC2461" s="16" t="s">
        <v>439</v>
      </c>
      <c r="AD2461" s="16" t="s">
        <v>40</v>
      </c>
      <c r="AE2461" s="35" t="str">
        <f t="shared" si="39"/>
        <v>EF1 E002 Mat</v>
      </c>
    </row>
    <row r="2462" spans="1:31" ht="120" x14ac:dyDescent="0.25">
      <c r="A2462" s="31" t="s">
        <v>5149</v>
      </c>
      <c r="B2462" s="16" t="s">
        <v>32</v>
      </c>
      <c r="C2462" s="16" t="s">
        <v>33</v>
      </c>
      <c r="D2462" s="33" t="s">
        <v>34</v>
      </c>
      <c r="E2462" s="33">
        <v>112</v>
      </c>
      <c r="F2462" s="33">
        <v>2</v>
      </c>
      <c r="G2462" s="33">
        <v>4</v>
      </c>
      <c r="H2462" s="33"/>
      <c r="I2462" s="31" t="s">
        <v>995</v>
      </c>
      <c r="J2462" s="31"/>
      <c r="K2462" s="33"/>
      <c r="L2462" s="33"/>
      <c r="M2462" s="31"/>
      <c r="N2462" s="31"/>
      <c r="O2462" s="16" t="s">
        <v>5150</v>
      </c>
      <c r="P2462" s="16"/>
      <c r="Q2462" s="16"/>
      <c r="R2462" s="33">
        <v>116</v>
      </c>
      <c r="S2462" s="34">
        <v>45883</v>
      </c>
      <c r="T2462" s="34">
        <v>45883</v>
      </c>
      <c r="U2462" s="34"/>
      <c r="V2462" s="34"/>
      <c r="W2462" s="34">
        <v>45884</v>
      </c>
      <c r="X2462" s="33" t="s">
        <v>5130</v>
      </c>
      <c r="Y2462" s="35" t="str">
        <f>IF(Tabela2[[#This Row],[SIGLA]]="","",VLOOKUP(Tabela2[[#This Row],[SIGLA]],Tabela1[[#All],[Sigla Arte]:[Crédito]],2,0))</f>
        <v>GABRIELLA IMAI/ARQUIVO DA EDITORA</v>
      </c>
      <c r="Z2462" s="31"/>
      <c r="AA2462" s="31" t="str">
        <f>Tabela2[[#This Row],[ILUSTRADOR CRIAÇÃO]]</f>
        <v>GABRIELLA IMAI/ARQUIVO DA EDITORA</v>
      </c>
      <c r="AB2462" s="33">
        <v>12</v>
      </c>
      <c r="AC2462" s="16" t="s">
        <v>439</v>
      </c>
      <c r="AD2462" s="16" t="s">
        <v>40</v>
      </c>
      <c r="AE2462" s="35" t="str">
        <f t="shared" si="39"/>
        <v>EF1 E002 Mat</v>
      </c>
    </row>
    <row r="2463" spans="1:31" ht="150" x14ac:dyDescent="0.25">
      <c r="A2463" s="31" t="s">
        <v>5151</v>
      </c>
      <c r="B2463" s="16" t="s">
        <v>32</v>
      </c>
      <c r="C2463" s="16" t="s">
        <v>33</v>
      </c>
      <c r="D2463" s="33" t="s">
        <v>34</v>
      </c>
      <c r="E2463" s="33">
        <v>112</v>
      </c>
      <c r="F2463" s="33">
        <v>2</v>
      </c>
      <c r="G2463" s="33">
        <v>4</v>
      </c>
      <c r="H2463" s="33"/>
      <c r="I2463" s="31" t="s">
        <v>995</v>
      </c>
      <c r="J2463" s="31"/>
      <c r="K2463" s="33"/>
      <c r="L2463" s="33"/>
      <c r="M2463" s="31"/>
      <c r="N2463" s="31"/>
      <c r="O2463" s="16" t="s">
        <v>5152</v>
      </c>
      <c r="P2463" s="16"/>
      <c r="Q2463" s="16"/>
      <c r="R2463" s="33">
        <v>116</v>
      </c>
      <c r="S2463" s="34">
        <v>45883</v>
      </c>
      <c r="T2463" s="34">
        <v>45883</v>
      </c>
      <c r="U2463" s="34"/>
      <c r="V2463" s="34"/>
      <c r="W2463" s="34">
        <v>45884</v>
      </c>
      <c r="X2463" s="33" t="s">
        <v>5130</v>
      </c>
      <c r="Y2463" s="35" t="str">
        <f>IF(Tabela2[[#This Row],[SIGLA]]="","",VLOOKUP(Tabela2[[#This Row],[SIGLA]],Tabela1[[#All],[Sigla Arte]:[Crédito]],2,0))</f>
        <v>GABRIELLA IMAI/ARQUIVO DA EDITORA</v>
      </c>
      <c r="Z2463" s="31"/>
      <c r="AA2463" s="31" t="str">
        <f>Tabela2[[#This Row],[ILUSTRADOR CRIAÇÃO]]</f>
        <v>GABRIELLA IMAI/ARQUIVO DA EDITORA</v>
      </c>
      <c r="AB2463" s="33">
        <v>12</v>
      </c>
      <c r="AC2463" s="16" t="s">
        <v>439</v>
      </c>
      <c r="AD2463" s="16" t="s">
        <v>40</v>
      </c>
      <c r="AE2463" s="35" t="str">
        <f t="shared" si="39"/>
        <v>EF1 E002 Mat</v>
      </c>
    </row>
    <row r="2464" spans="1:31" ht="90" x14ac:dyDescent="0.25">
      <c r="A2464" s="31" t="s">
        <v>5153</v>
      </c>
      <c r="B2464" s="16" t="s">
        <v>32</v>
      </c>
      <c r="C2464" s="16" t="s">
        <v>164</v>
      </c>
      <c r="D2464" s="33" t="s">
        <v>34</v>
      </c>
      <c r="E2464" s="33">
        <v>79</v>
      </c>
      <c r="F2464" s="33">
        <v>4</v>
      </c>
      <c r="G2464" s="33">
        <v>4</v>
      </c>
      <c r="H2464" s="33"/>
      <c r="I2464" s="31" t="s">
        <v>995</v>
      </c>
      <c r="J2464" s="31"/>
      <c r="K2464" s="33"/>
      <c r="L2464" s="33"/>
      <c r="M2464" s="31"/>
      <c r="N2464" s="31"/>
      <c r="O2464" s="16" t="s">
        <v>5154</v>
      </c>
      <c r="P2464" s="16"/>
      <c r="Q2464" s="16"/>
      <c r="R2464" s="33">
        <v>117</v>
      </c>
      <c r="S2464" s="34">
        <v>45884</v>
      </c>
      <c r="T2464" s="34">
        <v>45884</v>
      </c>
      <c r="U2464" s="34"/>
      <c r="V2464" s="34"/>
      <c r="W2464" s="34">
        <v>45887</v>
      </c>
      <c r="X2464" s="33" t="s">
        <v>48</v>
      </c>
      <c r="Y2464" s="35" t="str">
        <f>IF(Tabela2[[#This Row],[SIGLA]]="","",VLOOKUP(Tabela2[[#This Row],[SIGLA]],Tabela1[[#All],[Sigla Arte]:[Crédito]],2,0))</f>
        <v>SERGIO LIMA/ARQUIVO DA EDITORA</v>
      </c>
      <c r="Z2464" s="31" t="s">
        <v>924</v>
      </c>
      <c r="AA2464" s="31" t="str">
        <f>Tabela2[[#This Row],[ILUSTRADOR CRIAÇÃO]]</f>
        <v>SERGIO LIMA/ARQUIVO DA EDITORA</v>
      </c>
      <c r="AB2464" s="33">
        <v>13</v>
      </c>
      <c r="AC2464" s="16" t="s">
        <v>222</v>
      </c>
      <c r="AD2464" s="16" t="s">
        <v>40</v>
      </c>
      <c r="AE2464" s="35" t="str">
        <f t="shared" si="39"/>
        <v>EF1 E002 Mat</v>
      </c>
    </row>
    <row r="2465" spans="1:31" ht="90" x14ac:dyDescent="0.25">
      <c r="A2465" s="31" t="s">
        <v>5155</v>
      </c>
      <c r="B2465" s="16" t="s">
        <v>32</v>
      </c>
      <c r="C2465" s="16" t="s">
        <v>164</v>
      </c>
      <c r="D2465" s="33" t="s">
        <v>34</v>
      </c>
      <c r="E2465" s="33">
        <v>79</v>
      </c>
      <c r="F2465" s="33">
        <v>4</v>
      </c>
      <c r="G2465" s="33">
        <v>4</v>
      </c>
      <c r="H2465" s="33"/>
      <c r="I2465" s="31" t="s">
        <v>995</v>
      </c>
      <c r="J2465" s="31"/>
      <c r="K2465" s="33"/>
      <c r="L2465" s="33"/>
      <c r="M2465" s="31"/>
      <c r="N2465" s="31"/>
      <c r="O2465" s="16" t="s">
        <v>5156</v>
      </c>
      <c r="P2465" s="16"/>
      <c r="Q2465" s="16"/>
      <c r="R2465" s="33">
        <v>117</v>
      </c>
      <c r="S2465" s="34">
        <v>45884</v>
      </c>
      <c r="T2465" s="34">
        <v>45884</v>
      </c>
      <c r="U2465" s="34"/>
      <c r="V2465" s="34"/>
      <c r="W2465" s="34">
        <v>45887</v>
      </c>
      <c r="X2465" s="33" t="s">
        <v>48</v>
      </c>
      <c r="Y2465" s="35" t="str">
        <f>IF(Tabela2[[#This Row],[SIGLA]]="","",VLOOKUP(Tabela2[[#This Row],[SIGLA]],Tabela1[[#All],[Sigla Arte]:[Crédito]],2,0))</f>
        <v>SERGIO LIMA/ARQUIVO DA EDITORA</v>
      </c>
      <c r="Z2465" s="31" t="s">
        <v>924</v>
      </c>
      <c r="AA2465" s="31" t="str">
        <f>Tabela2[[#This Row],[ILUSTRADOR CRIAÇÃO]]</f>
        <v>SERGIO LIMA/ARQUIVO DA EDITORA</v>
      </c>
      <c r="AB2465" s="33">
        <v>13</v>
      </c>
      <c r="AC2465" s="16" t="s">
        <v>222</v>
      </c>
      <c r="AD2465" s="16" t="s">
        <v>40</v>
      </c>
      <c r="AE2465" s="35" t="str">
        <f t="shared" si="39"/>
        <v>EF1 E002 Mat</v>
      </c>
    </row>
    <row r="2466" spans="1:31" ht="75" x14ac:dyDescent="0.25">
      <c r="A2466" s="31" t="s">
        <v>5157</v>
      </c>
      <c r="B2466" s="16" t="s">
        <v>32</v>
      </c>
      <c r="C2466" s="16" t="s">
        <v>164</v>
      </c>
      <c r="D2466" s="33" t="s">
        <v>34</v>
      </c>
      <c r="E2466" s="33">
        <v>79</v>
      </c>
      <c r="F2466" s="33">
        <v>4</v>
      </c>
      <c r="G2466" s="33">
        <v>4</v>
      </c>
      <c r="H2466" s="33"/>
      <c r="I2466" s="31" t="s">
        <v>995</v>
      </c>
      <c r="J2466" s="31"/>
      <c r="K2466" s="33"/>
      <c r="L2466" s="33"/>
      <c r="M2466" s="31"/>
      <c r="N2466" s="31"/>
      <c r="O2466" s="16" t="s">
        <v>5158</v>
      </c>
      <c r="P2466" s="16"/>
      <c r="Q2466" s="16"/>
      <c r="R2466" s="33">
        <v>117</v>
      </c>
      <c r="S2466" s="34">
        <v>45884</v>
      </c>
      <c r="T2466" s="34">
        <v>45884</v>
      </c>
      <c r="U2466" s="34"/>
      <c r="V2466" s="34"/>
      <c r="W2466" s="34">
        <v>45887</v>
      </c>
      <c r="X2466" s="33" t="s">
        <v>48</v>
      </c>
      <c r="Y2466" s="35" t="str">
        <f>IF(Tabela2[[#This Row],[SIGLA]]="","",VLOOKUP(Tabela2[[#This Row],[SIGLA]],Tabela1[[#All],[Sigla Arte]:[Crédito]],2,0))</f>
        <v>SERGIO LIMA/ARQUIVO DA EDITORA</v>
      </c>
      <c r="Z2466" s="31" t="s">
        <v>924</v>
      </c>
      <c r="AA2466" s="31" t="str">
        <f>Tabela2[[#This Row],[ILUSTRADOR CRIAÇÃO]]</f>
        <v>SERGIO LIMA/ARQUIVO DA EDITORA</v>
      </c>
      <c r="AB2466" s="33">
        <v>13</v>
      </c>
      <c r="AC2466" s="16" t="s">
        <v>222</v>
      </c>
      <c r="AD2466" s="16" t="s">
        <v>40</v>
      </c>
      <c r="AE2466" s="35" t="str">
        <f t="shared" si="39"/>
        <v>EF1 E002 Mat</v>
      </c>
    </row>
    <row r="2467" spans="1:31" ht="150" x14ac:dyDescent="0.25">
      <c r="A2467" s="31" t="s">
        <v>5159</v>
      </c>
      <c r="B2467" s="16" t="s">
        <v>32</v>
      </c>
      <c r="C2467" s="16" t="s">
        <v>33</v>
      </c>
      <c r="D2467" s="33" t="s">
        <v>34</v>
      </c>
      <c r="E2467" s="33">
        <v>74</v>
      </c>
      <c r="F2467" s="33">
        <v>4</v>
      </c>
      <c r="G2467" s="33">
        <v>4</v>
      </c>
      <c r="H2467" s="33"/>
      <c r="I2467" s="31" t="s">
        <v>995</v>
      </c>
      <c r="J2467" s="31"/>
      <c r="K2467" s="33"/>
      <c r="L2467" s="33"/>
      <c r="M2467" s="31"/>
      <c r="N2467" s="31"/>
      <c r="O2467" s="16" t="s">
        <v>5160</v>
      </c>
      <c r="P2467" s="16"/>
      <c r="Q2467" s="16"/>
      <c r="R2467" s="33">
        <v>117</v>
      </c>
      <c r="S2467" s="34">
        <v>45884</v>
      </c>
      <c r="T2467" s="34">
        <v>45884</v>
      </c>
      <c r="U2467" s="34"/>
      <c r="V2467" s="34"/>
      <c r="W2467" s="34">
        <v>45887</v>
      </c>
      <c r="X2467" s="33" t="s">
        <v>162</v>
      </c>
      <c r="Y2467" s="35" t="str">
        <f>IF(Tabela2[[#This Row],[SIGLA]]="","",VLOOKUP(Tabela2[[#This Row],[SIGLA]],Tabela1[[#All],[Sigla Arte]:[Crédito]],2,0))</f>
        <v>IVY NUNES/ARQUIVO DA EDITORA</v>
      </c>
      <c r="Z2467" s="31" t="s">
        <v>924</v>
      </c>
      <c r="AA2467" s="31" t="str">
        <f>Tabela2[[#This Row],[ILUSTRADOR CRIAÇÃO]]</f>
        <v>IVY NUNES/ARQUIVO DA EDITORA</v>
      </c>
      <c r="AB2467" s="33">
        <v>13</v>
      </c>
      <c r="AC2467" s="16" t="s">
        <v>222</v>
      </c>
      <c r="AD2467" s="16" t="s">
        <v>40</v>
      </c>
      <c r="AE2467" s="35" t="str">
        <f t="shared" si="39"/>
        <v>EF1 E002 Mat</v>
      </c>
    </row>
    <row r="2468" spans="1:31" ht="45" x14ac:dyDescent="0.25">
      <c r="A2468" s="31" t="s">
        <v>5161</v>
      </c>
      <c r="B2468" s="16" t="s">
        <v>32</v>
      </c>
      <c r="C2468" s="16" t="s">
        <v>164</v>
      </c>
      <c r="D2468" s="33" t="s">
        <v>34</v>
      </c>
      <c r="E2468" s="33">
        <v>86</v>
      </c>
      <c r="F2468" s="33">
        <v>4</v>
      </c>
      <c r="G2468" s="33">
        <v>5</v>
      </c>
      <c r="H2468" s="33"/>
      <c r="I2468" s="31" t="s">
        <v>995</v>
      </c>
      <c r="J2468" s="31"/>
      <c r="K2468" s="33"/>
      <c r="L2468" s="33"/>
      <c r="M2468" s="31"/>
      <c r="N2468" s="31"/>
      <c r="O2468" s="16" t="s">
        <v>5162</v>
      </c>
      <c r="P2468" s="16"/>
      <c r="Q2468" s="16"/>
      <c r="R2468" s="33">
        <v>118</v>
      </c>
      <c r="S2468" s="34">
        <v>45884</v>
      </c>
      <c r="T2468" s="34">
        <v>45888</v>
      </c>
      <c r="U2468" s="34"/>
      <c r="V2468" s="34"/>
      <c r="W2468" s="34">
        <v>45888</v>
      </c>
      <c r="X2468" s="33" t="s">
        <v>4713</v>
      </c>
      <c r="Y2468" s="35" t="str">
        <f>IF(Tabela2[[#This Row],[SIGLA]]="","",VLOOKUP(Tabela2[[#This Row],[SIGLA]],Tabela1[[#All],[Sigla Arte]:[Crédito]],2,0))</f>
        <v>NICOLAS FURTADO/ARQUIVO DA EDITORA</v>
      </c>
      <c r="Z2468" s="31"/>
      <c r="AA2468" s="31" t="str">
        <f>Tabela2[[#This Row],[ILUSTRADOR CRIAÇÃO]]</f>
        <v>NICOLAS FURTADO/ARQUIVO DA EDITORA</v>
      </c>
      <c r="AB2468" s="33">
        <v>8</v>
      </c>
      <c r="AC2468" s="16" t="s">
        <v>2102</v>
      </c>
      <c r="AD2468" s="16" t="s">
        <v>40</v>
      </c>
      <c r="AE2468" s="35" t="str">
        <f t="shared" si="39"/>
        <v>EF1 E002 Mat</v>
      </c>
    </row>
    <row r="2469" spans="1:31" ht="30" x14ac:dyDescent="0.25">
      <c r="A2469" s="60" t="s">
        <v>5163</v>
      </c>
      <c r="B2469" s="16" t="s">
        <v>32</v>
      </c>
      <c r="C2469" s="16" t="s">
        <v>164</v>
      </c>
      <c r="D2469" s="33" t="s">
        <v>34</v>
      </c>
      <c r="E2469" s="33">
        <v>86</v>
      </c>
      <c r="F2469" s="33">
        <v>4</v>
      </c>
      <c r="G2469" s="33">
        <v>5</v>
      </c>
      <c r="H2469" s="33"/>
      <c r="I2469" s="31" t="s">
        <v>995</v>
      </c>
      <c r="J2469" s="31"/>
      <c r="K2469" s="33"/>
      <c r="L2469" s="33"/>
      <c r="M2469" s="31"/>
      <c r="N2469" s="31"/>
      <c r="O2469" s="16" t="s">
        <v>5164</v>
      </c>
      <c r="P2469" s="16"/>
      <c r="Q2469" s="16"/>
      <c r="R2469" s="33">
        <v>118</v>
      </c>
      <c r="S2469" s="34">
        <v>45884</v>
      </c>
      <c r="T2469" s="34">
        <v>45888</v>
      </c>
      <c r="U2469" s="34"/>
      <c r="V2469" s="34"/>
      <c r="W2469" s="34">
        <v>45888</v>
      </c>
      <c r="X2469" s="33" t="s">
        <v>4713</v>
      </c>
      <c r="Y2469" s="35" t="str">
        <f>IF(Tabela2[[#This Row],[SIGLA]]="","",VLOOKUP(Tabela2[[#This Row],[SIGLA]],Tabela1[[#All],[Sigla Arte]:[Crédito]],2,0))</f>
        <v>NICOLAS FURTADO/ARQUIVO DA EDITORA</v>
      </c>
      <c r="Z2469" s="31"/>
      <c r="AA2469" s="31" t="str">
        <f>Tabela2[[#This Row],[ILUSTRADOR CRIAÇÃO]]</f>
        <v>NICOLAS FURTADO/ARQUIVO DA EDITORA</v>
      </c>
      <c r="AB2469" s="33">
        <v>8</v>
      </c>
      <c r="AC2469" s="16" t="s">
        <v>2102</v>
      </c>
      <c r="AD2469" s="16" t="s">
        <v>40</v>
      </c>
      <c r="AE2469" s="35" t="str">
        <f t="shared" si="39"/>
        <v>EF1 E002 Mat</v>
      </c>
    </row>
    <row r="2470" spans="1:31" ht="75" x14ac:dyDescent="0.25">
      <c r="A2470" s="60" t="s">
        <v>5165</v>
      </c>
      <c r="B2470" s="16" t="s">
        <v>32</v>
      </c>
      <c r="C2470" s="16" t="s">
        <v>164</v>
      </c>
      <c r="D2470" s="33" t="s">
        <v>34</v>
      </c>
      <c r="E2470" s="33">
        <v>86</v>
      </c>
      <c r="F2470" s="33">
        <v>4</v>
      </c>
      <c r="G2470" s="33">
        <v>5</v>
      </c>
      <c r="H2470" s="33"/>
      <c r="I2470" s="31" t="s">
        <v>995</v>
      </c>
      <c r="J2470" s="31"/>
      <c r="K2470" s="33"/>
      <c r="L2470" s="33"/>
      <c r="M2470" s="31"/>
      <c r="N2470" s="31"/>
      <c r="O2470" s="16" t="s">
        <v>5166</v>
      </c>
      <c r="P2470" s="16"/>
      <c r="Q2470" s="16"/>
      <c r="R2470" s="33">
        <v>118</v>
      </c>
      <c r="S2470" s="34">
        <v>45884</v>
      </c>
      <c r="T2470" s="34">
        <v>45888</v>
      </c>
      <c r="U2470" s="34"/>
      <c r="V2470" s="34"/>
      <c r="W2470" s="34">
        <v>45888</v>
      </c>
      <c r="X2470" s="33" t="s">
        <v>4713</v>
      </c>
      <c r="Y2470" s="35" t="str">
        <f>IF(Tabela2[[#This Row],[SIGLA]]="","",VLOOKUP(Tabela2[[#This Row],[SIGLA]],Tabela1[[#All],[Sigla Arte]:[Crédito]],2,0))</f>
        <v>NICOLAS FURTADO/ARQUIVO DA EDITORA</v>
      </c>
      <c r="Z2470" s="31"/>
      <c r="AA2470" s="31" t="str">
        <f>Tabela2[[#This Row],[ILUSTRADOR CRIAÇÃO]]</f>
        <v>NICOLAS FURTADO/ARQUIVO DA EDITORA</v>
      </c>
      <c r="AB2470" s="33">
        <v>8</v>
      </c>
      <c r="AC2470" s="16" t="s">
        <v>2102</v>
      </c>
      <c r="AD2470" s="16" t="s">
        <v>40</v>
      </c>
      <c r="AE2470" s="35" t="str">
        <f t="shared" si="39"/>
        <v>EF1 E002 Mat</v>
      </c>
    </row>
    <row r="2471" spans="1:31" ht="90" x14ac:dyDescent="0.25">
      <c r="A2471" s="31" t="s">
        <v>5167</v>
      </c>
      <c r="B2471" s="16" t="s">
        <v>32</v>
      </c>
      <c r="C2471" s="16" t="s">
        <v>164</v>
      </c>
      <c r="D2471" s="33" t="s">
        <v>34</v>
      </c>
      <c r="E2471" s="33">
        <v>92</v>
      </c>
      <c r="F2471" s="33">
        <v>4</v>
      </c>
      <c r="G2471" s="33">
        <v>5</v>
      </c>
      <c r="H2471" s="33"/>
      <c r="I2471" s="31" t="s">
        <v>995</v>
      </c>
      <c r="J2471" s="31"/>
      <c r="K2471" s="33"/>
      <c r="L2471" s="33"/>
      <c r="M2471" s="31"/>
      <c r="N2471" s="31"/>
      <c r="O2471" s="16" t="s">
        <v>5168</v>
      </c>
      <c r="P2471" s="16"/>
      <c r="Q2471" s="16"/>
      <c r="R2471" s="33">
        <v>118</v>
      </c>
      <c r="S2471" s="34">
        <v>45884</v>
      </c>
      <c r="T2471" s="34">
        <v>45888</v>
      </c>
      <c r="U2471" s="34"/>
      <c r="V2471" s="34"/>
      <c r="W2471" s="34">
        <v>45888</v>
      </c>
      <c r="X2471" s="33" t="s">
        <v>4713</v>
      </c>
      <c r="Y2471" s="35" t="str">
        <f>IF(Tabela2[[#This Row],[SIGLA]]="","",VLOOKUP(Tabela2[[#This Row],[SIGLA]],Tabela1[[#All],[Sigla Arte]:[Crédito]],2,0))</f>
        <v>NICOLAS FURTADO/ARQUIVO DA EDITORA</v>
      </c>
      <c r="Z2471" s="31"/>
      <c r="AA2471" s="31" t="str">
        <f>Tabela2[[#This Row],[ILUSTRADOR CRIAÇÃO]]</f>
        <v>NICOLAS FURTADO/ARQUIVO DA EDITORA</v>
      </c>
      <c r="AB2471" s="33">
        <v>8</v>
      </c>
      <c r="AC2471" s="16" t="s">
        <v>2102</v>
      </c>
      <c r="AD2471" s="16" t="s">
        <v>40</v>
      </c>
      <c r="AE2471" s="35" t="str">
        <f t="shared" si="39"/>
        <v>EF1 E002 Mat</v>
      </c>
    </row>
    <row r="2472" spans="1:31" ht="75" x14ac:dyDescent="0.25">
      <c r="A2472" s="31" t="s">
        <v>5169</v>
      </c>
      <c r="B2472" s="16" t="s">
        <v>32</v>
      </c>
      <c r="C2472" s="16" t="s">
        <v>164</v>
      </c>
      <c r="D2472" s="33" t="s">
        <v>34</v>
      </c>
      <c r="E2472" s="33">
        <v>92</v>
      </c>
      <c r="F2472" s="33">
        <v>4</v>
      </c>
      <c r="G2472" s="33">
        <v>5</v>
      </c>
      <c r="H2472" s="33"/>
      <c r="I2472" s="31" t="s">
        <v>995</v>
      </c>
      <c r="J2472" s="31"/>
      <c r="K2472" s="33"/>
      <c r="L2472" s="33"/>
      <c r="M2472" s="31"/>
      <c r="N2472" s="31"/>
      <c r="O2472" s="16" t="s">
        <v>5170</v>
      </c>
      <c r="P2472" s="16"/>
      <c r="Q2472" s="16"/>
      <c r="R2472" s="33">
        <v>118</v>
      </c>
      <c r="S2472" s="34">
        <v>45884</v>
      </c>
      <c r="T2472" s="34">
        <v>45888</v>
      </c>
      <c r="U2472" s="34"/>
      <c r="V2472" s="34"/>
      <c r="W2472" s="34">
        <v>45888</v>
      </c>
      <c r="X2472" s="33" t="s">
        <v>4713</v>
      </c>
      <c r="Y2472" s="35" t="str">
        <f>IF(Tabela2[[#This Row],[SIGLA]]="","",VLOOKUP(Tabela2[[#This Row],[SIGLA]],Tabela1[[#All],[Sigla Arte]:[Crédito]],2,0))</f>
        <v>NICOLAS FURTADO/ARQUIVO DA EDITORA</v>
      </c>
      <c r="Z2472" s="31"/>
      <c r="AA2472" s="31" t="str">
        <f>Tabela2[[#This Row],[ILUSTRADOR CRIAÇÃO]]</f>
        <v>NICOLAS FURTADO/ARQUIVO DA EDITORA</v>
      </c>
      <c r="AB2472" s="33">
        <v>8</v>
      </c>
      <c r="AC2472" s="16" t="s">
        <v>2102</v>
      </c>
      <c r="AD2472" s="16" t="s">
        <v>40</v>
      </c>
      <c r="AE2472" s="35" t="str">
        <f t="shared" si="39"/>
        <v>EF1 E002 Mat</v>
      </c>
    </row>
    <row r="2473" spans="1:31" ht="45" x14ac:dyDescent="0.25">
      <c r="A2473" s="60" t="s">
        <v>5171</v>
      </c>
      <c r="B2473" s="16" t="s">
        <v>32</v>
      </c>
      <c r="C2473" s="16" t="s">
        <v>164</v>
      </c>
      <c r="D2473" s="33" t="s">
        <v>34</v>
      </c>
      <c r="E2473" s="33">
        <v>92</v>
      </c>
      <c r="F2473" s="33">
        <v>4</v>
      </c>
      <c r="G2473" s="33">
        <v>5</v>
      </c>
      <c r="H2473" s="33"/>
      <c r="I2473" s="31" t="s">
        <v>995</v>
      </c>
      <c r="J2473" s="31"/>
      <c r="K2473" s="33"/>
      <c r="L2473" s="33"/>
      <c r="M2473" s="31"/>
      <c r="N2473" s="31"/>
      <c r="O2473" s="16" t="s">
        <v>5172</v>
      </c>
      <c r="P2473" s="16"/>
      <c r="Q2473" s="16"/>
      <c r="R2473" s="33">
        <v>118</v>
      </c>
      <c r="S2473" s="34">
        <v>45884</v>
      </c>
      <c r="T2473" s="34">
        <v>45888</v>
      </c>
      <c r="U2473" s="34"/>
      <c r="V2473" s="34"/>
      <c r="W2473" s="34">
        <v>45888</v>
      </c>
      <c r="X2473" s="33" t="s">
        <v>4713</v>
      </c>
      <c r="Y2473" s="35" t="str">
        <f>IF(Tabela2[[#This Row],[SIGLA]]="","",VLOOKUP(Tabela2[[#This Row],[SIGLA]],Tabela1[[#All],[Sigla Arte]:[Crédito]],2,0))</f>
        <v>NICOLAS FURTADO/ARQUIVO DA EDITORA</v>
      </c>
      <c r="Z2473" s="31"/>
      <c r="AA2473" s="31" t="str">
        <f>Tabela2[[#This Row],[ILUSTRADOR CRIAÇÃO]]</f>
        <v>NICOLAS FURTADO/ARQUIVO DA EDITORA</v>
      </c>
      <c r="AB2473" s="33">
        <v>8</v>
      </c>
      <c r="AC2473" s="16" t="s">
        <v>2102</v>
      </c>
      <c r="AD2473" s="16" t="s">
        <v>40</v>
      </c>
      <c r="AE2473" s="35" t="str">
        <f t="shared" si="39"/>
        <v>EF1 E002 Mat</v>
      </c>
    </row>
    <row r="2474" spans="1:31" ht="30" x14ac:dyDescent="0.25">
      <c r="A2474" s="31" t="s">
        <v>5173</v>
      </c>
      <c r="B2474" s="16" t="s">
        <v>32</v>
      </c>
      <c r="C2474" s="16" t="s">
        <v>164</v>
      </c>
      <c r="D2474" s="33" t="s">
        <v>34</v>
      </c>
      <c r="E2474" s="33">
        <v>96</v>
      </c>
      <c r="F2474" s="33">
        <v>4</v>
      </c>
      <c r="G2474" s="33">
        <v>5</v>
      </c>
      <c r="H2474" s="33"/>
      <c r="I2474" s="31" t="s">
        <v>995</v>
      </c>
      <c r="J2474" s="31"/>
      <c r="K2474" s="33"/>
      <c r="L2474" s="33"/>
      <c r="M2474" s="31"/>
      <c r="N2474" s="31"/>
      <c r="O2474" s="16" t="s">
        <v>5174</v>
      </c>
      <c r="P2474" s="16"/>
      <c r="Q2474" s="16"/>
      <c r="R2474" s="33">
        <v>118</v>
      </c>
      <c r="S2474" s="34">
        <v>45884</v>
      </c>
      <c r="T2474" s="34">
        <v>45888</v>
      </c>
      <c r="U2474" s="34"/>
      <c r="V2474" s="34"/>
      <c r="W2474" s="34">
        <v>45888</v>
      </c>
      <c r="X2474" s="33" t="s">
        <v>4713</v>
      </c>
      <c r="Y2474" s="35" t="str">
        <f>IF(Tabela2[[#This Row],[SIGLA]]="","",VLOOKUP(Tabela2[[#This Row],[SIGLA]],Tabela1[[#All],[Sigla Arte]:[Crédito]],2,0))</f>
        <v>NICOLAS FURTADO/ARQUIVO DA EDITORA</v>
      </c>
      <c r="Z2474" s="31"/>
      <c r="AA2474" s="31" t="str">
        <f>Tabela2[[#This Row],[ILUSTRADOR CRIAÇÃO]]</f>
        <v>NICOLAS FURTADO/ARQUIVO DA EDITORA</v>
      </c>
      <c r="AB2474" s="33">
        <v>8</v>
      </c>
      <c r="AC2474" s="16" t="s">
        <v>2102</v>
      </c>
      <c r="AD2474" s="16" t="s">
        <v>40</v>
      </c>
      <c r="AE2474" s="35" t="str">
        <f t="shared" si="39"/>
        <v>EF1 E002 Mat</v>
      </c>
    </row>
    <row r="2475" spans="1:31" ht="45" x14ac:dyDescent="0.25">
      <c r="A2475" s="31" t="s">
        <v>5175</v>
      </c>
      <c r="B2475" s="16" t="s">
        <v>32</v>
      </c>
      <c r="C2475" s="16" t="s">
        <v>164</v>
      </c>
      <c r="D2475" s="33" t="s">
        <v>34</v>
      </c>
      <c r="E2475" s="33">
        <v>96</v>
      </c>
      <c r="F2475" s="33">
        <v>4</v>
      </c>
      <c r="G2475" s="33">
        <v>5</v>
      </c>
      <c r="H2475" s="33"/>
      <c r="I2475" s="31" t="s">
        <v>995</v>
      </c>
      <c r="J2475" s="31"/>
      <c r="K2475" s="33"/>
      <c r="L2475" s="33"/>
      <c r="M2475" s="31"/>
      <c r="N2475" s="31"/>
      <c r="O2475" s="16" t="s">
        <v>5176</v>
      </c>
      <c r="P2475" s="16"/>
      <c r="Q2475" s="16"/>
      <c r="R2475" s="33">
        <v>118</v>
      </c>
      <c r="S2475" s="34">
        <v>45884</v>
      </c>
      <c r="T2475" s="34">
        <v>45888</v>
      </c>
      <c r="U2475" s="34"/>
      <c r="V2475" s="34"/>
      <c r="W2475" s="34">
        <v>45888</v>
      </c>
      <c r="X2475" s="33" t="s">
        <v>4713</v>
      </c>
      <c r="Y2475" s="35" t="str">
        <f>IF(Tabela2[[#This Row],[SIGLA]]="","",VLOOKUP(Tabela2[[#This Row],[SIGLA]],Tabela1[[#All],[Sigla Arte]:[Crédito]],2,0))</f>
        <v>NICOLAS FURTADO/ARQUIVO DA EDITORA</v>
      </c>
      <c r="Z2475" s="31"/>
      <c r="AA2475" s="31" t="str">
        <f>Tabela2[[#This Row],[ILUSTRADOR CRIAÇÃO]]</f>
        <v>NICOLAS FURTADO/ARQUIVO DA EDITORA</v>
      </c>
      <c r="AB2475" s="33">
        <v>8</v>
      </c>
      <c r="AC2475" s="16" t="s">
        <v>2102</v>
      </c>
      <c r="AD2475" s="16" t="s">
        <v>40</v>
      </c>
      <c r="AE2475" s="35" t="str">
        <f t="shared" si="39"/>
        <v>EF1 E002 Mat</v>
      </c>
    </row>
    <row r="2476" spans="1:31" ht="45" x14ac:dyDescent="0.25">
      <c r="A2476" s="31" t="s">
        <v>5177</v>
      </c>
      <c r="B2476" s="16" t="s">
        <v>32</v>
      </c>
      <c r="C2476" s="16" t="s">
        <v>164</v>
      </c>
      <c r="D2476" s="33" t="s">
        <v>34</v>
      </c>
      <c r="E2476" s="33">
        <v>96</v>
      </c>
      <c r="F2476" s="33">
        <v>4</v>
      </c>
      <c r="G2476" s="33">
        <v>5</v>
      </c>
      <c r="H2476" s="33"/>
      <c r="I2476" s="31" t="s">
        <v>995</v>
      </c>
      <c r="J2476" s="31"/>
      <c r="K2476" s="33"/>
      <c r="L2476" s="33"/>
      <c r="M2476" s="31"/>
      <c r="N2476" s="31"/>
      <c r="O2476" s="16" t="s">
        <v>5178</v>
      </c>
      <c r="P2476" s="16"/>
      <c r="Q2476" s="16"/>
      <c r="R2476" s="33">
        <v>118</v>
      </c>
      <c r="S2476" s="34">
        <v>45884</v>
      </c>
      <c r="T2476" s="34">
        <v>45888</v>
      </c>
      <c r="U2476" s="34"/>
      <c r="V2476" s="34"/>
      <c r="W2476" s="34">
        <v>45888</v>
      </c>
      <c r="X2476" s="33" t="s">
        <v>4713</v>
      </c>
      <c r="Y2476" s="35" t="str">
        <f>IF(Tabela2[[#This Row],[SIGLA]]="","",VLOOKUP(Tabela2[[#This Row],[SIGLA]],Tabela1[[#All],[Sigla Arte]:[Crédito]],2,0))</f>
        <v>NICOLAS FURTADO/ARQUIVO DA EDITORA</v>
      </c>
      <c r="Z2476" s="31"/>
      <c r="AA2476" s="31" t="str">
        <f>Tabela2[[#This Row],[ILUSTRADOR CRIAÇÃO]]</f>
        <v>NICOLAS FURTADO/ARQUIVO DA EDITORA</v>
      </c>
      <c r="AB2476" s="33">
        <v>8</v>
      </c>
      <c r="AC2476" s="16" t="s">
        <v>2102</v>
      </c>
      <c r="AD2476" s="16" t="s">
        <v>40</v>
      </c>
      <c r="AE2476" s="35" t="str">
        <f t="shared" si="39"/>
        <v>EF1 E002 Mat</v>
      </c>
    </row>
    <row r="2477" spans="1:31" ht="45" x14ac:dyDescent="0.25">
      <c r="A2477" s="31" t="s">
        <v>5179</v>
      </c>
      <c r="B2477" s="16" t="s">
        <v>32</v>
      </c>
      <c r="C2477" s="16" t="s">
        <v>164</v>
      </c>
      <c r="D2477" s="33" t="s">
        <v>34</v>
      </c>
      <c r="E2477" s="33">
        <v>96</v>
      </c>
      <c r="F2477" s="33">
        <v>4</v>
      </c>
      <c r="G2477" s="33">
        <v>5</v>
      </c>
      <c r="H2477" s="33"/>
      <c r="I2477" s="31" t="s">
        <v>995</v>
      </c>
      <c r="J2477" s="31"/>
      <c r="K2477" s="33"/>
      <c r="L2477" s="33"/>
      <c r="M2477" s="31"/>
      <c r="N2477" s="31"/>
      <c r="O2477" s="16" t="s">
        <v>5180</v>
      </c>
      <c r="P2477" s="16"/>
      <c r="Q2477" s="16"/>
      <c r="R2477" s="33">
        <v>118</v>
      </c>
      <c r="S2477" s="34">
        <v>45884</v>
      </c>
      <c r="T2477" s="34">
        <v>45888</v>
      </c>
      <c r="U2477" s="34"/>
      <c r="V2477" s="34"/>
      <c r="W2477" s="34">
        <v>45888</v>
      </c>
      <c r="X2477" s="33" t="s">
        <v>4713</v>
      </c>
      <c r="Y2477" s="35" t="str">
        <f>IF(Tabela2[[#This Row],[SIGLA]]="","",VLOOKUP(Tabela2[[#This Row],[SIGLA]],Tabela1[[#All],[Sigla Arte]:[Crédito]],2,0))</f>
        <v>NICOLAS FURTADO/ARQUIVO DA EDITORA</v>
      </c>
      <c r="Z2477" s="31"/>
      <c r="AA2477" s="31" t="str">
        <f>Tabela2[[#This Row],[ILUSTRADOR CRIAÇÃO]]</f>
        <v>NICOLAS FURTADO/ARQUIVO DA EDITORA</v>
      </c>
      <c r="AB2477" s="33">
        <v>8</v>
      </c>
      <c r="AC2477" s="16" t="s">
        <v>2102</v>
      </c>
      <c r="AD2477" s="16" t="s">
        <v>40</v>
      </c>
      <c r="AE2477" s="35" t="str">
        <f t="shared" si="39"/>
        <v>EF1 E002 Mat</v>
      </c>
    </row>
    <row r="2478" spans="1:31" ht="45" x14ac:dyDescent="0.25">
      <c r="A2478" s="31" t="s">
        <v>5181</v>
      </c>
      <c r="B2478" s="16" t="s">
        <v>32</v>
      </c>
      <c r="C2478" s="16" t="s">
        <v>164</v>
      </c>
      <c r="D2478" s="33" t="s">
        <v>34</v>
      </c>
      <c r="E2478" s="33">
        <v>96</v>
      </c>
      <c r="F2478" s="33">
        <v>4</v>
      </c>
      <c r="G2478" s="33">
        <v>5</v>
      </c>
      <c r="H2478" s="33"/>
      <c r="I2478" s="31" t="s">
        <v>995</v>
      </c>
      <c r="J2478" s="31"/>
      <c r="K2478" s="33"/>
      <c r="L2478" s="33"/>
      <c r="M2478" s="31"/>
      <c r="N2478" s="31"/>
      <c r="O2478" s="16" t="s">
        <v>5182</v>
      </c>
      <c r="P2478" s="16"/>
      <c r="Q2478" s="16"/>
      <c r="R2478" s="33">
        <v>118</v>
      </c>
      <c r="S2478" s="34">
        <v>45884</v>
      </c>
      <c r="T2478" s="34">
        <v>45888</v>
      </c>
      <c r="U2478" s="34"/>
      <c r="V2478" s="34"/>
      <c r="W2478" s="34">
        <v>45888</v>
      </c>
      <c r="X2478" s="33" t="s">
        <v>4713</v>
      </c>
      <c r="Y2478" s="35" t="str">
        <f>IF(Tabela2[[#This Row],[SIGLA]]="","",VLOOKUP(Tabela2[[#This Row],[SIGLA]],Tabela1[[#All],[Sigla Arte]:[Crédito]],2,0))</f>
        <v>NICOLAS FURTADO/ARQUIVO DA EDITORA</v>
      </c>
      <c r="Z2478" s="31"/>
      <c r="AA2478" s="31" t="str">
        <f>Tabela2[[#This Row],[ILUSTRADOR CRIAÇÃO]]</f>
        <v>NICOLAS FURTADO/ARQUIVO DA EDITORA</v>
      </c>
      <c r="AB2478" s="33">
        <v>8</v>
      </c>
      <c r="AC2478" s="16" t="s">
        <v>2102</v>
      </c>
      <c r="AD2478" s="16" t="s">
        <v>40</v>
      </c>
      <c r="AE2478" s="35" t="str">
        <f t="shared" si="39"/>
        <v>EF1 E002 Mat</v>
      </c>
    </row>
    <row r="2479" spans="1:31" ht="60" x14ac:dyDescent="0.25">
      <c r="A2479" s="31" t="s">
        <v>5183</v>
      </c>
      <c r="B2479" s="16" t="s">
        <v>32</v>
      </c>
      <c r="C2479" s="16" t="s">
        <v>164</v>
      </c>
      <c r="D2479" s="33" t="s">
        <v>34</v>
      </c>
      <c r="E2479" s="33">
        <v>97</v>
      </c>
      <c r="F2479" s="33">
        <v>4</v>
      </c>
      <c r="G2479" s="33">
        <v>5</v>
      </c>
      <c r="H2479" s="33"/>
      <c r="I2479" s="31" t="s">
        <v>995</v>
      </c>
      <c r="J2479" s="31"/>
      <c r="K2479" s="33"/>
      <c r="L2479" s="33"/>
      <c r="M2479" s="31"/>
      <c r="N2479" s="31"/>
      <c r="O2479" s="16" t="s">
        <v>5184</v>
      </c>
      <c r="P2479" s="16"/>
      <c r="Q2479" s="16"/>
      <c r="R2479" s="33">
        <v>118</v>
      </c>
      <c r="S2479" s="34">
        <v>45884</v>
      </c>
      <c r="T2479" s="34">
        <v>45888</v>
      </c>
      <c r="U2479" s="34"/>
      <c r="V2479" s="34"/>
      <c r="W2479" s="34">
        <v>45888</v>
      </c>
      <c r="X2479" s="33" t="s">
        <v>4713</v>
      </c>
      <c r="Y2479" s="35" t="str">
        <f>IF(Tabela2[[#This Row],[SIGLA]]="","",VLOOKUP(Tabela2[[#This Row],[SIGLA]],Tabela1[[#All],[Sigla Arte]:[Crédito]],2,0))</f>
        <v>NICOLAS FURTADO/ARQUIVO DA EDITORA</v>
      </c>
      <c r="Z2479" s="31"/>
      <c r="AA2479" s="31" t="str">
        <f>Tabela2[[#This Row],[ILUSTRADOR CRIAÇÃO]]</f>
        <v>NICOLAS FURTADO/ARQUIVO DA EDITORA</v>
      </c>
      <c r="AB2479" s="33">
        <v>8</v>
      </c>
      <c r="AC2479" s="16" t="s">
        <v>2102</v>
      </c>
      <c r="AD2479" s="16" t="s">
        <v>40</v>
      </c>
      <c r="AE2479" s="35" t="str">
        <f t="shared" si="39"/>
        <v>EF1 E002 Mat</v>
      </c>
    </row>
    <row r="2480" spans="1:31" ht="45" x14ac:dyDescent="0.25">
      <c r="A2480" s="31" t="s">
        <v>5185</v>
      </c>
      <c r="B2480" s="16" t="s">
        <v>32</v>
      </c>
      <c r="C2480" s="16" t="s">
        <v>164</v>
      </c>
      <c r="D2480" s="33" t="s">
        <v>34</v>
      </c>
      <c r="E2480" s="33">
        <v>97</v>
      </c>
      <c r="F2480" s="33">
        <v>4</v>
      </c>
      <c r="G2480" s="33">
        <v>5</v>
      </c>
      <c r="H2480" s="33"/>
      <c r="I2480" s="31" t="s">
        <v>995</v>
      </c>
      <c r="J2480" s="31"/>
      <c r="K2480" s="33"/>
      <c r="L2480" s="33"/>
      <c r="M2480" s="31"/>
      <c r="N2480" s="31"/>
      <c r="O2480" s="16" t="s">
        <v>5186</v>
      </c>
      <c r="P2480" s="16"/>
      <c r="Q2480" s="16"/>
      <c r="R2480" s="33">
        <v>118</v>
      </c>
      <c r="S2480" s="34">
        <v>45884</v>
      </c>
      <c r="T2480" s="34">
        <v>45888</v>
      </c>
      <c r="U2480" s="34"/>
      <c r="V2480" s="34"/>
      <c r="W2480" s="34">
        <v>45888</v>
      </c>
      <c r="X2480" s="33" t="s">
        <v>4713</v>
      </c>
      <c r="Y2480" s="35" t="str">
        <f>IF(Tabela2[[#This Row],[SIGLA]]="","",VLOOKUP(Tabela2[[#This Row],[SIGLA]],Tabela1[[#All],[Sigla Arte]:[Crédito]],2,0))</f>
        <v>NICOLAS FURTADO/ARQUIVO DA EDITORA</v>
      </c>
      <c r="Z2480" s="31"/>
      <c r="AA2480" s="31" t="str">
        <f>Tabela2[[#This Row],[ILUSTRADOR CRIAÇÃO]]</f>
        <v>NICOLAS FURTADO/ARQUIVO DA EDITORA</v>
      </c>
      <c r="AB2480" s="33">
        <v>8</v>
      </c>
      <c r="AC2480" s="16" t="s">
        <v>2102</v>
      </c>
      <c r="AD2480" s="16" t="s">
        <v>40</v>
      </c>
      <c r="AE2480" s="35" t="str">
        <f t="shared" si="39"/>
        <v>EF1 E002 Mat</v>
      </c>
    </row>
    <row r="2481" spans="1:31" ht="60" x14ac:dyDescent="0.25">
      <c r="A2481" s="31" t="s">
        <v>5187</v>
      </c>
      <c r="B2481" s="16" t="s">
        <v>32</v>
      </c>
      <c r="C2481" s="16" t="s">
        <v>164</v>
      </c>
      <c r="D2481" s="33" t="s">
        <v>34</v>
      </c>
      <c r="E2481" s="33">
        <v>98</v>
      </c>
      <c r="F2481" s="33">
        <v>4</v>
      </c>
      <c r="G2481" s="33">
        <v>5</v>
      </c>
      <c r="H2481" s="33"/>
      <c r="I2481" s="31" t="s">
        <v>995</v>
      </c>
      <c r="J2481" s="31"/>
      <c r="K2481" s="33"/>
      <c r="L2481" s="33"/>
      <c r="M2481" s="31"/>
      <c r="N2481" s="31"/>
      <c r="O2481" s="16" t="s">
        <v>5188</v>
      </c>
      <c r="P2481" s="16"/>
      <c r="Q2481" s="16"/>
      <c r="R2481" s="33">
        <v>118</v>
      </c>
      <c r="S2481" s="34">
        <v>45884</v>
      </c>
      <c r="T2481" s="34">
        <v>45888</v>
      </c>
      <c r="U2481" s="34"/>
      <c r="V2481" s="34"/>
      <c r="W2481" s="34">
        <v>45888</v>
      </c>
      <c r="X2481" s="33" t="s">
        <v>4713</v>
      </c>
      <c r="Y2481" s="35" t="str">
        <f>IF(Tabela2[[#This Row],[SIGLA]]="","",VLOOKUP(Tabela2[[#This Row],[SIGLA]],Tabela1[[#All],[Sigla Arte]:[Crédito]],2,0))</f>
        <v>NICOLAS FURTADO/ARQUIVO DA EDITORA</v>
      </c>
      <c r="Z2481" s="31"/>
      <c r="AA2481" s="31" t="str">
        <f>Tabela2[[#This Row],[ILUSTRADOR CRIAÇÃO]]</f>
        <v>NICOLAS FURTADO/ARQUIVO DA EDITORA</v>
      </c>
      <c r="AB2481" s="33">
        <v>8</v>
      </c>
      <c r="AC2481" s="16" t="s">
        <v>2102</v>
      </c>
      <c r="AD2481" s="16" t="s">
        <v>40</v>
      </c>
      <c r="AE2481" s="35" t="str">
        <f t="shared" si="39"/>
        <v>EF1 E002 Mat</v>
      </c>
    </row>
    <row r="2482" spans="1:31" ht="45" x14ac:dyDescent="0.25">
      <c r="A2482" s="31" t="s">
        <v>5189</v>
      </c>
      <c r="B2482" s="16" t="s">
        <v>32</v>
      </c>
      <c r="C2482" s="16" t="s">
        <v>33</v>
      </c>
      <c r="D2482" s="33" t="s">
        <v>4732</v>
      </c>
      <c r="E2482" s="33">
        <v>237</v>
      </c>
      <c r="F2482" s="33">
        <v>2</v>
      </c>
      <c r="G2482" s="33">
        <v>10</v>
      </c>
      <c r="H2482" s="33"/>
      <c r="I2482" s="31" t="s">
        <v>46</v>
      </c>
      <c r="J2482" s="31"/>
      <c r="K2482" s="33"/>
      <c r="L2482" s="33"/>
      <c r="M2482" s="31"/>
      <c r="N2482" s="31"/>
      <c r="O2482" s="16" t="s">
        <v>5190</v>
      </c>
      <c r="P2482" s="16"/>
      <c r="Q2482" s="16"/>
      <c r="R2482" s="33"/>
      <c r="S2482" s="34"/>
      <c r="T2482" s="34"/>
      <c r="U2482" s="34"/>
      <c r="V2482" s="34"/>
      <c r="W2482" s="34"/>
      <c r="X2482" s="33" t="s">
        <v>48</v>
      </c>
      <c r="Y2482" s="35" t="str">
        <f>IF(Tabela2[[#This Row],[SIGLA]]="","",VLOOKUP(Tabela2[[#This Row],[SIGLA]],Tabela1[[#All],[Sigla Arte]:[Crédito]],2,0))</f>
        <v>SERGIO LIMA/ARQUIVO DA EDITORA</v>
      </c>
      <c r="Z2482" s="31"/>
      <c r="AA2482" s="31" t="str">
        <f>Tabela2[[#This Row],[ILUSTRADOR CRIAÇÃO]]</f>
        <v>SERGIO LIMA/ARQUIVO DA EDITORA</v>
      </c>
      <c r="AB2482" s="33"/>
      <c r="AC2482" s="16"/>
      <c r="AE2482" s="35" t="str">
        <f t="shared" ref="AE2482:AE2545" si="40">"EF1 E002 Mat"</f>
        <v>EF1 E002 Mat</v>
      </c>
    </row>
    <row r="2483" spans="1:31" ht="45" x14ac:dyDescent="0.25">
      <c r="A2483" s="31" t="s">
        <v>5191</v>
      </c>
      <c r="B2483" s="16" t="s">
        <v>32</v>
      </c>
      <c r="C2483" s="16" t="s">
        <v>33</v>
      </c>
      <c r="D2483" s="33" t="s">
        <v>4732</v>
      </c>
      <c r="E2483" s="33">
        <v>224</v>
      </c>
      <c r="F2483" s="33">
        <v>2</v>
      </c>
      <c r="G2483" s="33">
        <v>10</v>
      </c>
      <c r="H2483" s="33"/>
      <c r="I2483" s="31" t="s">
        <v>46</v>
      </c>
      <c r="J2483" s="31"/>
      <c r="K2483" s="33"/>
      <c r="L2483" s="33"/>
      <c r="M2483" s="31"/>
      <c r="N2483" s="31"/>
      <c r="O2483" s="16" t="s">
        <v>5192</v>
      </c>
      <c r="P2483" s="16"/>
      <c r="Q2483" s="16"/>
      <c r="R2483" s="33"/>
      <c r="S2483" s="34"/>
      <c r="T2483" s="34"/>
      <c r="U2483" s="34"/>
      <c r="V2483" s="34"/>
      <c r="W2483" s="34"/>
      <c r="X2483" s="33" t="s">
        <v>48</v>
      </c>
      <c r="Y2483" s="35" t="str">
        <f>IF(Tabela2[[#This Row],[SIGLA]]="","",VLOOKUP(Tabela2[[#This Row],[SIGLA]],Tabela1[[#All],[Sigla Arte]:[Crédito]],2,0))</f>
        <v>SERGIO LIMA/ARQUIVO DA EDITORA</v>
      </c>
      <c r="Z2483" s="31"/>
      <c r="AA2483" s="31" t="str">
        <f>Tabela2[[#This Row],[ILUSTRADOR CRIAÇÃO]]</f>
        <v>SERGIO LIMA/ARQUIVO DA EDITORA</v>
      </c>
      <c r="AB2483" s="33"/>
      <c r="AC2483" s="16"/>
      <c r="AE2483" s="35" t="str">
        <f t="shared" si="40"/>
        <v>EF1 E002 Mat</v>
      </c>
    </row>
    <row r="2484" spans="1:31" ht="45" x14ac:dyDescent="0.25">
      <c r="A2484" s="31" t="s">
        <v>5193</v>
      </c>
      <c r="B2484" s="16" t="s">
        <v>32</v>
      </c>
      <c r="C2484" s="16" t="s">
        <v>33</v>
      </c>
      <c r="D2484" s="33" t="s">
        <v>4732</v>
      </c>
      <c r="E2484" s="33">
        <v>72</v>
      </c>
      <c r="F2484" s="33">
        <v>3</v>
      </c>
      <c r="G2484" s="33">
        <v>3</v>
      </c>
      <c r="H2484" s="33"/>
      <c r="I2484" s="31" t="s">
        <v>46</v>
      </c>
      <c r="J2484" s="31"/>
      <c r="K2484" s="33"/>
      <c r="L2484" s="33"/>
      <c r="M2484" s="31"/>
      <c r="N2484" s="31"/>
      <c r="O2484" s="16" t="s">
        <v>5194</v>
      </c>
      <c r="P2484" s="16"/>
      <c r="Q2484" s="16"/>
      <c r="R2484" s="33"/>
      <c r="S2484" s="34"/>
      <c r="T2484" s="34"/>
      <c r="U2484" s="34"/>
      <c r="V2484" s="34"/>
      <c r="W2484" s="34"/>
      <c r="X2484" s="33" t="s">
        <v>48</v>
      </c>
      <c r="Y2484" s="35" t="str">
        <f>IF(Tabela2[[#This Row],[SIGLA]]="","",VLOOKUP(Tabela2[[#This Row],[SIGLA]],Tabela1[[#All],[Sigla Arte]:[Crédito]],2,0))</f>
        <v>SERGIO LIMA/ARQUIVO DA EDITORA</v>
      </c>
      <c r="Z2484" s="31"/>
      <c r="AA2484" s="31" t="str">
        <f>Tabela2[[#This Row],[ILUSTRADOR CRIAÇÃO]]</f>
        <v>SERGIO LIMA/ARQUIVO DA EDITORA</v>
      </c>
      <c r="AB2484" s="33"/>
      <c r="AC2484" s="16"/>
      <c r="AE2484" s="35" t="str">
        <f t="shared" si="40"/>
        <v>EF1 E002 Mat</v>
      </c>
    </row>
    <row r="2485" spans="1:31" ht="90" x14ac:dyDescent="0.25">
      <c r="A2485" s="31" t="s">
        <v>5195</v>
      </c>
      <c r="B2485" s="16" t="s">
        <v>32</v>
      </c>
      <c r="C2485" s="16" t="s">
        <v>33</v>
      </c>
      <c r="D2485" s="33" t="s">
        <v>34</v>
      </c>
      <c r="E2485" s="33">
        <v>112</v>
      </c>
      <c r="F2485" s="33">
        <v>4</v>
      </c>
      <c r="G2485" s="33">
        <v>6</v>
      </c>
      <c r="H2485" s="33"/>
      <c r="I2485" s="31" t="s">
        <v>35</v>
      </c>
      <c r="J2485" s="31"/>
      <c r="K2485" s="33"/>
      <c r="L2485" s="33"/>
      <c r="M2485" s="31"/>
      <c r="N2485" s="31"/>
      <c r="O2485" s="16" t="s">
        <v>5196</v>
      </c>
      <c r="P2485" s="16"/>
      <c r="Q2485" s="16"/>
      <c r="R2485" s="33">
        <v>119</v>
      </c>
      <c r="S2485" s="34">
        <v>45888</v>
      </c>
      <c r="T2485" s="34">
        <v>45889</v>
      </c>
      <c r="U2485" s="34"/>
      <c r="V2485" s="34"/>
      <c r="W2485" s="34">
        <v>45890</v>
      </c>
      <c r="X2485" s="33" t="s">
        <v>247</v>
      </c>
      <c r="Y2485" s="35" t="str">
        <f>IF(Tabela2[[#This Row],[SIGLA]]="","",VLOOKUP(Tabela2[[#This Row],[SIGLA]],Tabela1[[#All],[Sigla Arte]:[Crédito]],2,0))</f>
        <v>THAIS CASTRO/ARQUIVO DA EDITORA</v>
      </c>
      <c r="Z2485" s="31" t="s">
        <v>924</v>
      </c>
      <c r="AA2485" s="31" t="str">
        <f>Tabela2[[#This Row],[ILUSTRADOR CRIAÇÃO]]</f>
        <v>THAIS CASTRO/ARQUIVO DA EDITORA</v>
      </c>
      <c r="AB2485" s="33">
        <v>13</v>
      </c>
      <c r="AC2485" s="16" t="s">
        <v>39</v>
      </c>
      <c r="AD2485" s="16" t="s">
        <v>40</v>
      </c>
      <c r="AE2485" s="35" t="str">
        <f t="shared" si="40"/>
        <v>EF1 E002 Mat</v>
      </c>
    </row>
    <row r="2486" spans="1:31" ht="45" x14ac:dyDescent="0.25">
      <c r="A2486" s="31" t="s">
        <v>5197</v>
      </c>
      <c r="B2486" s="16" t="s">
        <v>32</v>
      </c>
      <c r="C2486" s="16" t="s">
        <v>164</v>
      </c>
      <c r="D2486" s="33" t="s">
        <v>34</v>
      </c>
      <c r="E2486" s="33">
        <v>112</v>
      </c>
      <c r="F2486" s="33">
        <v>4</v>
      </c>
      <c r="G2486" s="33">
        <v>6</v>
      </c>
      <c r="H2486" s="33"/>
      <c r="I2486" s="31" t="s">
        <v>995</v>
      </c>
      <c r="J2486" s="31"/>
      <c r="K2486" s="33"/>
      <c r="L2486" s="33"/>
      <c r="M2486" s="31"/>
      <c r="N2486" s="31"/>
      <c r="O2486" s="16" t="s">
        <v>5198</v>
      </c>
      <c r="P2486" s="16"/>
      <c r="Q2486" s="16"/>
      <c r="R2486" s="33">
        <v>119</v>
      </c>
      <c r="S2486" s="34">
        <v>45888</v>
      </c>
      <c r="T2486" s="34">
        <v>45889</v>
      </c>
      <c r="U2486" s="34"/>
      <c r="V2486" s="34"/>
      <c r="W2486" s="34">
        <v>45894</v>
      </c>
      <c r="X2486" s="33" t="s">
        <v>85</v>
      </c>
      <c r="Y2486" s="35" t="str">
        <f>IF(Tabela2[[#This Row],[SIGLA]]="","",VLOOKUP(Tabela2[[#This Row],[SIGLA]],Tabela1[[#All],[Sigla Arte]:[Crédito]],2,0))</f>
        <v>HELOÍSA PINTARELLI/ARQUIVO DA EDITORA</v>
      </c>
      <c r="Z2486" s="31"/>
      <c r="AA2486" s="31" t="str">
        <f>Tabela2[[#This Row],[ILUSTRADOR CRIAÇÃO]]</f>
        <v>HELOÍSA PINTARELLI/ARQUIVO DA EDITORA</v>
      </c>
      <c r="AB2486" s="33">
        <v>8</v>
      </c>
      <c r="AC2486" s="16" t="s">
        <v>5199</v>
      </c>
      <c r="AD2486" s="16" t="s">
        <v>1093</v>
      </c>
      <c r="AE2486" s="35" t="str">
        <f t="shared" si="40"/>
        <v>EF1 E002 Mat</v>
      </c>
    </row>
    <row r="2487" spans="1:31" ht="90" x14ac:dyDescent="0.25">
      <c r="A2487" s="31" t="s">
        <v>5200</v>
      </c>
      <c r="B2487" s="16" t="s">
        <v>32</v>
      </c>
      <c r="C2487" s="16" t="s">
        <v>33</v>
      </c>
      <c r="D2487" s="33" t="s">
        <v>34</v>
      </c>
      <c r="E2487" s="33">
        <v>117</v>
      </c>
      <c r="F2487" s="33">
        <v>4</v>
      </c>
      <c r="G2487" s="33">
        <v>6</v>
      </c>
      <c r="H2487" s="33"/>
      <c r="I2487" s="31" t="s">
        <v>35</v>
      </c>
      <c r="J2487" s="31"/>
      <c r="K2487" s="33"/>
      <c r="L2487" s="33"/>
      <c r="M2487" s="31"/>
      <c r="N2487" s="31"/>
      <c r="O2487" s="16" t="s">
        <v>5201</v>
      </c>
      <c r="P2487" s="16"/>
      <c r="Q2487" s="16"/>
      <c r="R2487" s="33">
        <v>119</v>
      </c>
      <c r="S2487" s="34">
        <v>45888</v>
      </c>
      <c r="T2487" s="34">
        <v>45889</v>
      </c>
      <c r="U2487" s="34"/>
      <c r="V2487" s="34"/>
      <c r="W2487" s="34">
        <v>45890</v>
      </c>
      <c r="X2487" s="33" t="s">
        <v>1971</v>
      </c>
      <c r="Y2487" s="35" t="str">
        <f>IF(Tabela2[[#This Row],[SIGLA]]="","",VLOOKUP(Tabela2[[#This Row],[SIGLA]],Tabela1[[#All],[Sigla Arte]:[Crédito]],2,0))</f>
        <v>PETRA MENDES/ARQUIVO DA EDITORA</v>
      </c>
      <c r="Z2487" s="31" t="s">
        <v>924</v>
      </c>
      <c r="AA2487" s="31" t="s">
        <v>5202</v>
      </c>
      <c r="AB2487" s="33">
        <v>13</v>
      </c>
      <c r="AC2487" s="16" t="s">
        <v>39</v>
      </c>
      <c r="AD2487" s="16" t="s">
        <v>40</v>
      </c>
      <c r="AE2487" s="35" t="str">
        <f t="shared" si="40"/>
        <v>EF1 E002 Mat</v>
      </c>
    </row>
    <row r="2488" spans="1:31" ht="60" x14ac:dyDescent="0.25">
      <c r="A2488" s="31" t="s">
        <v>5203</v>
      </c>
      <c r="B2488" s="16" t="s">
        <v>32</v>
      </c>
      <c r="C2488" s="16" t="s">
        <v>33</v>
      </c>
      <c r="D2488" s="33" t="s">
        <v>34</v>
      </c>
      <c r="E2488" s="33">
        <v>121</v>
      </c>
      <c r="F2488" s="33">
        <v>4</v>
      </c>
      <c r="G2488" s="33">
        <v>6</v>
      </c>
      <c r="H2488" s="33"/>
      <c r="I2488" s="31" t="s">
        <v>995</v>
      </c>
      <c r="J2488" s="31"/>
      <c r="K2488" s="33"/>
      <c r="L2488" s="33"/>
      <c r="M2488" s="31"/>
      <c r="N2488" s="31"/>
      <c r="O2488" s="16" t="s">
        <v>5204</v>
      </c>
      <c r="P2488" s="16"/>
      <c r="Q2488" s="16"/>
      <c r="R2488" s="33">
        <v>119</v>
      </c>
      <c r="S2488" s="34">
        <v>45888</v>
      </c>
      <c r="T2488" s="34">
        <v>45889</v>
      </c>
      <c r="U2488" s="34"/>
      <c r="V2488" s="34"/>
      <c r="W2488" s="34">
        <v>45890</v>
      </c>
      <c r="X2488" s="33" t="s">
        <v>333</v>
      </c>
      <c r="Y2488" s="35" t="str">
        <f>IF(Tabela2[[#This Row],[SIGLA]]="","",VLOOKUP(Tabela2[[#This Row],[SIGLA]],Tabela1[[#All],[Sigla Arte]:[Crédito]],2,0))</f>
        <v>LISLLEY GOMES FEIGE/ARQUIVO DA EDITORA</v>
      </c>
      <c r="Z2488" s="31" t="s">
        <v>924</v>
      </c>
      <c r="AA2488" s="31" t="str">
        <f>Tabela2[[#This Row],[ILUSTRADOR CRIAÇÃO]]</f>
        <v>LISLLEY GOMES FEIGE/ARQUIVO DA EDITORA</v>
      </c>
      <c r="AB2488" s="33">
        <v>13</v>
      </c>
      <c r="AC2488" s="16" t="s">
        <v>39</v>
      </c>
      <c r="AD2488" s="16" t="s">
        <v>40</v>
      </c>
      <c r="AE2488" s="35" t="str">
        <f t="shared" si="40"/>
        <v>EF1 E002 Mat</v>
      </c>
    </row>
    <row r="2489" spans="1:31" ht="60" x14ac:dyDescent="0.25">
      <c r="A2489" s="31" t="s">
        <v>5205</v>
      </c>
      <c r="B2489" s="16" t="s">
        <v>32</v>
      </c>
      <c r="C2489" s="16" t="s">
        <v>33</v>
      </c>
      <c r="D2489" s="33" t="s">
        <v>34</v>
      </c>
      <c r="E2489" s="33">
        <v>126</v>
      </c>
      <c r="F2489" s="33">
        <v>4</v>
      </c>
      <c r="G2489" s="33">
        <v>6</v>
      </c>
      <c r="H2489" s="33"/>
      <c r="I2489" s="31" t="s">
        <v>995</v>
      </c>
      <c r="J2489" s="31"/>
      <c r="K2489" s="33"/>
      <c r="L2489" s="33"/>
      <c r="M2489" s="31"/>
      <c r="N2489" s="31"/>
      <c r="O2489" s="16" t="s">
        <v>5206</v>
      </c>
      <c r="P2489" s="16"/>
      <c r="Q2489" s="16"/>
      <c r="R2489" s="33">
        <v>119</v>
      </c>
      <c r="S2489" s="34">
        <v>45888</v>
      </c>
      <c r="T2489" s="34">
        <v>45889</v>
      </c>
      <c r="U2489" s="34"/>
      <c r="V2489" s="34"/>
      <c r="W2489" s="34">
        <v>45894</v>
      </c>
      <c r="X2489" s="33" t="s">
        <v>85</v>
      </c>
      <c r="Y2489" s="35" t="str">
        <f>IF(Tabela2[[#This Row],[SIGLA]]="","",VLOOKUP(Tabela2[[#This Row],[SIGLA]],Tabela1[[#All],[Sigla Arte]:[Crédito]],2,0))</f>
        <v>HELOÍSA PINTARELLI/ARQUIVO DA EDITORA</v>
      </c>
      <c r="Z2489" s="31"/>
      <c r="AA2489" s="31" t="str">
        <f>Tabela2[[#This Row],[ILUSTRADOR CRIAÇÃO]]</f>
        <v>HELOÍSA PINTARELLI/ARQUIVO DA EDITORA</v>
      </c>
      <c r="AB2489" s="33">
        <v>7</v>
      </c>
      <c r="AC2489" s="16" t="s">
        <v>5199</v>
      </c>
      <c r="AD2489" s="16" t="s">
        <v>1093</v>
      </c>
      <c r="AE2489" s="35" t="str">
        <f t="shared" si="40"/>
        <v>EF1 E002 Mat</v>
      </c>
    </row>
    <row r="2490" spans="1:31" ht="75" x14ac:dyDescent="0.25">
      <c r="A2490" s="31" t="s">
        <v>5207</v>
      </c>
      <c r="B2490" s="16" t="s">
        <v>32</v>
      </c>
      <c r="C2490" s="16" t="s">
        <v>327</v>
      </c>
      <c r="D2490" s="33" t="s">
        <v>34</v>
      </c>
      <c r="E2490" s="33">
        <v>141</v>
      </c>
      <c r="F2490" s="33">
        <v>4</v>
      </c>
      <c r="G2490" s="33">
        <v>7</v>
      </c>
      <c r="H2490" s="33"/>
      <c r="I2490" s="31" t="s">
        <v>35</v>
      </c>
      <c r="J2490" s="31"/>
      <c r="K2490" s="33"/>
      <c r="L2490" s="33"/>
      <c r="M2490" s="31"/>
      <c r="N2490" s="31"/>
      <c r="O2490" s="16" t="s">
        <v>5208</v>
      </c>
      <c r="P2490" s="16"/>
      <c r="Q2490" s="16"/>
      <c r="R2490" s="33">
        <v>120</v>
      </c>
      <c r="S2490" s="34">
        <v>45889</v>
      </c>
      <c r="T2490" s="34">
        <v>45891</v>
      </c>
      <c r="U2490" s="34"/>
      <c r="V2490" s="34"/>
      <c r="W2490" s="34">
        <v>45891</v>
      </c>
      <c r="X2490" s="33" t="s">
        <v>1126</v>
      </c>
      <c r="Y2490" s="35" t="str">
        <f>IF(Tabela2[[#This Row],[SIGLA]]="","",VLOOKUP(Tabela2[[#This Row],[SIGLA]],Tabela1[[#All],[Sigla Arte]:[Crédito]],2,0))</f>
        <v>GUSTAVO CONTI/ARQUIVO DA EDITORA</v>
      </c>
      <c r="Z2490" s="31" t="s">
        <v>924</v>
      </c>
      <c r="AA2490" s="31" t="str">
        <f>Tabela2[[#This Row],[ILUSTRADOR CRIAÇÃO]]</f>
        <v>GUSTAVO CONTI/ARQUIVO DA EDITORA</v>
      </c>
      <c r="AB2490" s="33">
        <v>13</v>
      </c>
      <c r="AC2490" s="16" t="s">
        <v>39</v>
      </c>
      <c r="AD2490" s="16" t="s">
        <v>40</v>
      </c>
      <c r="AE2490" s="35" t="str">
        <f t="shared" si="40"/>
        <v>EF1 E002 Mat</v>
      </c>
    </row>
    <row r="2491" spans="1:31" ht="105" x14ac:dyDescent="0.25">
      <c r="A2491" s="31" t="s">
        <v>5209</v>
      </c>
      <c r="B2491" s="16" t="s">
        <v>32</v>
      </c>
      <c r="C2491" s="16" t="s">
        <v>33</v>
      </c>
      <c r="D2491" s="33" t="s">
        <v>34</v>
      </c>
      <c r="E2491" s="33">
        <v>148</v>
      </c>
      <c r="F2491" s="33">
        <v>4</v>
      </c>
      <c r="G2491" s="33">
        <v>7</v>
      </c>
      <c r="H2491" s="33"/>
      <c r="I2491" s="31" t="s">
        <v>35</v>
      </c>
      <c r="J2491" s="31"/>
      <c r="K2491" s="33"/>
      <c r="L2491" s="33"/>
      <c r="M2491" s="31"/>
      <c r="N2491" s="31"/>
      <c r="O2491" s="16" t="s">
        <v>5210</v>
      </c>
      <c r="P2491" s="16"/>
      <c r="Q2491" s="16"/>
      <c r="R2491" s="33">
        <v>120</v>
      </c>
      <c r="S2491" s="34">
        <v>45889</v>
      </c>
      <c r="T2491" s="34">
        <v>45892</v>
      </c>
      <c r="U2491" s="34"/>
      <c r="V2491" s="34"/>
      <c r="W2491" s="34">
        <v>45892</v>
      </c>
      <c r="X2491" s="33" t="s">
        <v>162</v>
      </c>
      <c r="Y2491" s="35" t="str">
        <f>IF(Tabela2[[#This Row],[SIGLA]]="","",VLOOKUP(Tabela2[[#This Row],[SIGLA]],Tabela1[[#All],[Sigla Arte]:[Crédito]],2,0))</f>
        <v>IVY NUNES/ARQUIVO DA EDITORA</v>
      </c>
      <c r="Z2491" s="31" t="s">
        <v>924</v>
      </c>
      <c r="AA2491" s="31" t="str">
        <f>Tabela2[[#This Row],[ILUSTRADOR CRIAÇÃO]]</f>
        <v>IVY NUNES/ARQUIVO DA EDITORA</v>
      </c>
      <c r="AB2491" s="33">
        <v>13</v>
      </c>
      <c r="AC2491" s="16" t="s">
        <v>39</v>
      </c>
      <c r="AD2491" s="16" t="s">
        <v>40</v>
      </c>
      <c r="AE2491" s="35" t="str">
        <f t="shared" si="40"/>
        <v>EF1 E002 Mat</v>
      </c>
    </row>
    <row r="2492" spans="1:31" ht="165" x14ac:dyDescent="0.25">
      <c r="A2492" s="31" t="s">
        <v>5211</v>
      </c>
      <c r="B2492" s="16" t="s">
        <v>32</v>
      </c>
      <c r="C2492" s="16" t="s">
        <v>33</v>
      </c>
      <c r="D2492" s="33" t="s">
        <v>34</v>
      </c>
      <c r="E2492" s="33">
        <v>150</v>
      </c>
      <c r="F2492" s="33">
        <v>4</v>
      </c>
      <c r="G2492" s="33">
        <v>7</v>
      </c>
      <c r="H2492" s="33"/>
      <c r="I2492" s="31" t="s">
        <v>35</v>
      </c>
      <c r="J2492" s="31"/>
      <c r="K2492" s="33"/>
      <c r="L2492" s="33"/>
      <c r="M2492" s="31"/>
      <c r="N2492" s="31"/>
      <c r="O2492" s="16" t="s">
        <v>5212</v>
      </c>
      <c r="P2492" s="16"/>
      <c r="Q2492" s="16"/>
      <c r="R2492" s="33">
        <v>120</v>
      </c>
      <c r="S2492" s="34">
        <v>45889</v>
      </c>
      <c r="T2492" s="34">
        <v>45893</v>
      </c>
      <c r="U2492" s="34"/>
      <c r="V2492" s="34"/>
      <c r="W2492" s="34">
        <v>45893</v>
      </c>
      <c r="X2492" s="33" t="s">
        <v>4324</v>
      </c>
      <c r="Y2492" s="35" t="str">
        <f>IF(Tabela2[[#This Row],[SIGLA]]="","",VLOOKUP(Tabela2[[#This Row],[SIGLA]],Tabela1[[#All],[Sigla Arte]:[Crédito]],2,0))</f>
        <v>CARLITOS PINHEIRO/ARQUIVO DA EDITORA</v>
      </c>
      <c r="Z2492" s="31" t="s">
        <v>924</v>
      </c>
      <c r="AA2492" s="31" t="str">
        <f>Tabela2[[#This Row],[ILUSTRADOR CRIAÇÃO]]</f>
        <v>CARLITOS PINHEIRO/ARQUIVO DA EDITORA</v>
      </c>
      <c r="AB2492" s="33">
        <v>13</v>
      </c>
      <c r="AC2492" s="16" t="s">
        <v>39</v>
      </c>
      <c r="AD2492" s="16" t="s">
        <v>40</v>
      </c>
      <c r="AE2492" s="35" t="str">
        <f t="shared" si="40"/>
        <v>EF1 E002 Mat</v>
      </c>
    </row>
    <row r="2493" spans="1:31" ht="45" x14ac:dyDescent="0.25">
      <c r="A2493" s="31" t="s">
        <v>5213</v>
      </c>
      <c r="B2493" s="16" t="s">
        <v>32</v>
      </c>
      <c r="C2493" s="16" t="s">
        <v>33</v>
      </c>
      <c r="D2493" s="33" t="s">
        <v>34</v>
      </c>
      <c r="E2493" s="33">
        <v>204</v>
      </c>
      <c r="F2493" s="33">
        <v>3</v>
      </c>
      <c r="G2493" s="33">
        <v>10</v>
      </c>
      <c r="H2493" s="33"/>
      <c r="I2493" s="31" t="s">
        <v>46</v>
      </c>
      <c r="J2493" s="31"/>
      <c r="K2493" s="33"/>
      <c r="L2493" s="33"/>
      <c r="M2493" s="31"/>
      <c r="N2493" s="31"/>
      <c r="O2493" s="63" t="s">
        <v>5214</v>
      </c>
      <c r="P2493" s="16"/>
      <c r="Q2493" s="16"/>
      <c r="R2493" s="33"/>
      <c r="S2493" s="34"/>
      <c r="T2493" s="34"/>
      <c r="U2493" s="34"/>
      <c r="V2493" s="34"/>
      <c r="W2493" s="34"/>
      <c r="X2493" s="33" t="s">
        <v>2269</v>
      </c>
      <c r="Y2493" s="35" t="str">
        <f>IF(Tabela2[[#This Row],[SIGLA]]="","",VLOOKUP(Tabela2[[#This Row],[SIGLA]],Tabela1[[#All],[Sigla Arte]:[Crédito]],2,0))</f>
        <v>GUSTAVO ALMEIDA/ARQUIVO DA EDITORA</v>
      </c>
      <c r="Z2493" s="31"/>
      <c r="AA2493" s="31" t="str">
        <f>Tabela2[[#This Row],[ILUSTRADOR CRIAÇÃO]]</f>
        <v>GUSTAVO ALMEIDA/ARQUIVO DA EDITORA</v>
      </c>
      <c r="AB2493" s="33"/>
      <c r="AC2493" s="16"/>
      <c r="AE2493" s="35" t="str">
        <f t="shared" si="40"/>
        <v>EF1 E002 Mat</v>
      </c>
    </row>
    <row r="2494" spans="1:31" ht="60" x14ac:dyDescent="0.25">
      <c r="A2494" s="31" t="s">
        <v>5215</v>
      </c>
      <c r="B2494" s="16" t="s">
        <v>32</v>
      </c>
      <c r="C2494" s="16" t="s">
        <v>164</v>
      </c>
      <c r="D2494" s="33" t="s">
        <v>34</v>
      </c>
      <c r="E2494" s="33">
        <v>112</v>
      </c>
      <c r="F2494" s="33">
        <v>4</v>
      </c>
      <c r="G2494" s="33">
        <v>6</v>
      </c>
      <c r="H2494" s="33"/>
      <c r="I2494" s="31" t="s">
        <v>995</v>
      </c>
      <c r="J2494" s="31"/>
      <c r="K2494" s="33"/>
      <c r="L2494" s="33"/>
      <c r="M2494" s="31"/>
      <c r="N2494" s="31"/>
      <c r="O2494" s="16" t="s">
        <v>5216</v>
      </c>
      <c r="P2494" s="16"/>
      <c r="Q2494" s="16"/>
      <c r="R2494" s="33">
        <v>119</v>
      </c>
      <c r="S2494" s="34">
        <v>45888</v>
      </c>
      <c r="T2494" s="34">
        <v>45889</v>
      </c>
      <c r="U2494" s="34"/>
      <c r="V2494" s="34"/>
      <c r="W2494" s="34">
        <v>45894</v>
      </c>
      <c r="X2494" s="33" t="s">
        <v>85</v>
      </c>
      <c r="Y2494" s="35" t="str">
        <f>IF(Tabela2[[#This Row],[SIGLA]]="","",VLOOKUP(Tabela2[[#This Row],[SIGLA]],Tabela1[[#All],[Sigla Arte]:[Crédito]],2,0))</f>
        <v>HELOÍSA PINTARELLI/ARQUIVO DA EDITORA</v>
      </c>
      <c r="Z2494" s="31"/>
      <c r="AA2494" s="31" t="str">
        <f>Tabela2[[#This Row],[ILUSTRADOR CRIAÇÃO]]</f>
        <v>HELOÍSA PINTARELLI/ARQUIVO DA EDITORA</v>
      </c>
      <c r="AB2494" s="33">
        <v>13</v>
      </c>
      <c r="AC2494" s="16" t="s">
        <v>5199</v>
      </c>
      <c r="AD2494" s="16" t="s">
        <v>1093</v>
      </c>
      <c r="AE2494" s="35" t="str">
        <f t="shared" si="40"/>
        <v>EF1 E002 Mat</v>
      </c>
    </row>
    <row r="2495" spans="1:31" ht="94.5" x14ac:dyDescent="0.25">
      <c r="A2495" s="31" t="s">
        <v>5217</v>
      </c>
      <c r="B2495" s="16" t="s">
        <v>32</v>
      </c>
      <c r="C2495" s="16" t="s">
        <v>164</v>
      </c>
      <c r="D2495" s="33" t="s">
        <v>34</v>
      </c>
      <c r="E2495" s="33">
        <v>112</v>
      </c>
      <c r="F2495" s="33">
        <v>4</v>
      </c>
      <c r="G2495" s="33">
        <v>6</v>
      </c>
      <c r="H2495" s="33"/>
      <c r="I2495" s="31" t="s">
        <v>995</v>
      </c>
      <c r="J2495" s="31"/>
      <c r="K2495" s="33"/>
      <c r="L2495" s="33"/>
      <c r="M2495" s="31"/>
      <c r="N2495" s="31"/>
      <c r="O2495" s="62" t="s">
        <v>5218</v>
      </c>
      <c r="P2495" s="16"/>
      <c r="Q2495" s="16"/>
      <c r="R2495" s="33">
        <v>119</v>
      </c>
      <c r="S2495" s="34">
        <v>45888</v>
      </c>
      <c r="T2495" s="34">
        <v>45889</v>
      </c>
      <c r="U2495" s="34"/>
      <c r="V2495" s="34"/>
      <c r="W2495" s="34">
        <v>45894</v>
      </c>
      <c r="X2495" s="33" t="s">
        <v>85</v>
      </c>
      <c r="Y2495" s="35" t="str">
        <f>IF(Tabela2[[#This Row],[SIGLA]]="","",VLOOKUP(Tabela2[[#This Row],[SIGLA]],Tabela1[[#All],[Sigla Arte]:[Crédito]],2,0))</f>
        <v>HELOÍSA PINTARELLI/ARQUIVO DA EDITORA</v>
      </c>
      <c r="Z2495" s="31"/>
      <c r="AA2495" s="31" t="str">
        <f>Tabela2[[#This Row],[ILUSTRADOR CRIAÇÃO]]</f>
        <v>HELOÍSA PINTARELLI/ARQUIVO DA EDITORA</v>
      </c>
      <c r="AB2495" s="33">
        <v>13</v>
      </c>
      <c r="AC2495" s="16" t="s">
        <v>5199</v>
      </c>
      <c r="AD2495" s="16" t="s">
        <v>1093</v>
      </c>
      <c r="AE2495" s="35" t="str">
        <f t="shared" si="40"/>
        <v>EF1 E002 Mat</v>
      </c>
    </row>
    <row r="2496" spans="1:31" ht="63" x14ac:dyDescent="0.25">
      <c r="A2496" s="31" t="s">
        <v>5219</v>
      </c>
      <c r="B2496" s="16" t="s">
        <v>32</v>
      </c>
      <c r="C2496" s="16" t="s">
        <v>164</v>
      </c>
      <c r="D2496" s="33" t="s">
        <v>34</v>
      </c>
      <c r="E2496" s="33">
        <v>112</v>
      </c>
      <c r="F2496" s="33">
        <v>4</v>
      </c>
      <c r="G2496" s="33">
        <v>6</v>
      </c>
      <c r="H2496" s="33"/>
      <c r="I2496" s="31" t="s">
        <v>995</v>
      </c>
      <c r="J2496" s="31"/>
      <c r="K2496" s="33"/>
      <c r="L2496" s="33"/>
      <c r="M2496" s="31"/>
      <c r="N2496" s="31"/>
      <c r="O2496" s="62" t="s">
        <v>5220</v>
      </c>
      <c r="P2496" s="16"/>
      <c r="Q2496" s="16"/>
      <c r="R2496" s="33">
        <v>119</v>
      </c>
      <c r="S2496" s="34">
        <v>45888</v>
      </c>
      <c r="T2496" s="34">
        <v>45889</v>
      </c>
      <c r="U2496" s="34"/>
      <c r="V2496" s="34"/>
      <c r="W2496" s="34">
        <v>45894</v>
      </c>
      <c r="X2496" s="33" t="s">
        <v>85</v>
      </c>
      <c r="Y2496" s="35" t="str">
        <f>IF(Tabela2[[#This Row],[SIGLA]]="","",VLOOKUP(Tabela2[[#This Row],[SIGLA]],Tabela1[[#All],[Sigla Arte]:[Crédito]],2,0))</f>
        <v>HELOÍSA PINTARELLI/ARQUIVO DA EDITORA</v>
      </c>
      <c r="Z2496" s="31"/>
      <c r="AA2496" s="31" t="str">
        <f>Tabela2[[#This Row],[ILUSTRADOR CRIAÇÃO]]</f>
        <v>HELOÍSA PINTARELLI/ARQUIVO DA EDITORA</v>
      </c>
      <c r="AB2496" s="33">
        <v>13</v>
      </c>
      <c r="AC2496" s="16" t="s">
        <v>5199</v>
      </c>
      <c r="AD2496" s="16" t="s">
        <v>1093</v>
      </c>
      <c r="AE2496" s="35" t="str">
        <f t="shared" si="40"/>
        <v>EF1 E002 Mat</v>
      </c>
    </row>
    <row r="2497" spans="1:31" ht="30" x14ac:dyDescent="0.25">
      <c r="A2497" s="31" t="s">
        <v>5221</v>
      </c>
      <c r="B2497" s="16" t="s">
        <v>32</v>
      </c>
      <c r="C2497" s="16" t="s">
        <v>164</v>
      </c>
      <c r="D2497" s="33" t="s">
        <v>34</v>
      </c>
      <c r="E2497" s="33">
        <v>156</v>
      </c>
      <c r="F2497" s="33">
        <v>4</v>
      </c>
      <c r="G2497" s="33">
        <v>8</v>
      </c>
      <c r="H2497" s="33"/>
      <c r="I2497" s="31" t="s">
        <v>46</v>
      </c>
      <c r="J2497" s="31"/>
      <c r="K2497" s="33"/>
      <c r="L2497" s="33"/>
      <c r="M2497" s="31"/>
      <c r="N2497" s="31"/>
      <c r="O2497" s="16" t="s">
        <v>5222</v>
      </c>
      <c r="P2497" s="16"/>
      <c r="Q2497" s="16"/>
      <c r="R2497" s="33"/>
      <c r="S2497" s="34"/>
      <c r="T2497" s="34"/>
      <c r="U2497" s="34"/>
      <c r="V2497" s="34"/>
      <c r="W2497" s="34"/>
      <c r="X2497" s="33" t="s">
        <v>470</v>
      </c>
      <c r="Y2497" s="35" t="str">
        <f>IF(Tabela2[[#This Row],[SIGLA]]="","",VLOOKUP(Tabela2[[#This Row],[SIGLA]],Tabela1[[#All],[Sigla Arte]:[Crédito]],2,0))</f>
        <v>RENAN FONSECA/ARQUIVO DA EDITORA</v>
      </c>
      <c r="Z2497" s="31"/>
      <c r="AA2497" s="31" t="str">
        <f>Tabela2[[#This Row],[ILUSTRADOR CRIAÇÃO]]</f>
        <v>RENAN FONSECA/ARQUIVO DA EDITORA</v>
      </c>
      <c r="AB2497" s="33"/>
      <c r="AC2497" s="16"/>
      <c r="AE2497" s="35" t="str">
        <f t="shared" si="40"/>
        <v>EF1 E002 Mat</v>
      </c>
    </row>
    <row r="2498" spans="1:31" ht="45" x14ac:dyDescent="0.25">
      <c r="A2498" s="31" t="s">
        <v>5223</v>
      </c>
      <c r="B2498" s="16" t="s">
        <v>32</v>
      </c>
      <c r="C2498" s="16" t="s">
        <v>164</v>
      </c>
      <c r="D2498" s="33" t="s">
        <v>34</v>
      </c>
      <c r="E2498" s="33">
        <v>157</v>
      </c>
      <c r="F2498" s="33">
        <v>4</v>
      </c>
      <c r="G2498" s="33">
        <v>8</v>
      </c>
      <c r="H2498" s="33"/>
      <c r="I2498" s="31" t="s">
        <v>46</v>
      </c>
      <c r="J2498" s="31"/>
      <c r="K2498" s="33"/>
      <c r="L2498" s="33"/>
      <c r="M2498" s="31"/>
      <c r="N2498" s="31"/>
      <c r="O2498" s="16" t="s">
        <v>5224</v>
      </c>
      <c r="P2498" s="16"/>
      <c r="Q2498" s="16"/>
      <c r="R2498" s="33"/>
      <c r="S2498" s="34"/>
      <c r="T2498" s="34"/>
      <c r="U2498" s="34"/>
      <c r="V2498" s="34"/>
      <c r="W2498" s="34"/>
      <c r="X2498" s="33" t="s">
        <v>470</v>
      </c>
      <c r="Y2498" s="35" t="str">
        <f>IF(Tabela2[[#This Row],[SIGLA]]="","",VLOOKUP(Tabela2[[#This Row],[SIGLA]],Tabela1[[#All],[Sigla Arte]:[Crédito]],2,0))</f>
        <v>RENAN FONSECA/ARQUIVO DA EDITORA</v>
      </c>
      <c r="Z2498" s="31"/>
      <c r="AA2498" s="31" t="str">
        <f>Tabela2[[#This Row],[ILUSTRADOR CRIAÇÃO]]</f>
        <v>RENAN FONSECA/ARQUIVO DA EDITORA</v>
      </c>
      <c r="AB2498" s="33"/>
      <c r="AC2498" s="16"/>
      <c r="AE2498" s="35" t="str">
        <f t="shared" si="40"/>
        <v>EF1 E002 Mat</v>
      </c>
    </row>
    <row r="2499" spans="1:31" ht="90" x14ac:dyDescent="0.25">
      <c r="A2499" s="31" t="s">
        <v>5225</v>
      </c>
      <c r="B2499" s="16" t="s">
        <v>32</v>
      </c>
      <c r="C2499" s="16" t="s">
        <v>33</v>
      </c>
      <c r="D2499" s="33" t="s">
        <v>34</v>
      </c>
      <c r="E2499" s="33">
        <v>158</v>
      </c>
      <c r="F2499" s="33">
        <v>4</v>
      </c>
      <c r="G2499" s="33">
        <v>8</v>
      </c>
      <c r="H2499" s="33"/>
      <c r="I2499" s="31" t="s">
        <v>995</v>
      </c>
      <c r="J2499" s="31"/>
      <c r="K2499" s="33"/>
      <c r="L2499" s="33"/>
      <c r="M2499" s="31"/>
      <c r="N2499" s="31"/>
      <c r="O2499" s="16" t="s">
        <v>5226</v>
      </c>
      <c r="P2499" s="16"/>
      <c r="Q2499" s="16"/>
      <c r="R2499" s="33">
        <v>121</v>
      </c>
      <c r="S2499" s="34">
        <v>45889</v>
      </c>
      <c r="T2499" s="34">
        <v>45894</v>
      </c>
      <c r="U2499" s="34"/>
      <c r="V2499" s="34"/>
      <c r="W2499" s="34">
        <v>45897</v>
      </c>
      <c r="X2499" s="33" t="s">
        <v>85</v>
      </c>
      <c r="Y2499" s="35" t="str">
        <f>IF(Tabela2[[#This Row],[SIGLA]]="","",VLOOKUP(Tabela2[[#This Row],[SIGLA]],Tabela1[[#All],[Sigla Arte]:[Crédito]],2,0))</f>
        <v>HELOÍSA PINTARELLI/ARQUIVO DA EDITORA</v>
      </c>
      <c r="Z2499" s="31"/>
      <c r="AA2499" s="31" t="str">
        <f>Tabela2[[#This Row],[ILUSTRADOR CRIAÇÃO]]</f>
        <v>HELOÍSA PINTARELLI/ARQUIVO DA EDITORA</v>
      </c>
      <c r="AB2499" s="33">
        <v>7</v>
      </c>
      <c r="AC2499" s="16" t="s">
        <v>5227</v>
      </c>
      <c r="AD2499" s="16" t="s">
        <v>1093</v>
      </c>
      <c r="AE2499" s="35" t="str">
        <f t="shared" si="40"/>
        <v>EF1 E002 Mat</v>
      </c>
    </row>
    <row r="2500" spans="1:31" ht="135" x14ac:dyDescent="0.25">
      <c r="A2500" s="31" t="s">
        <v>5228</v>
      </c>
      <c r="B2500" s="16" t="s">
        <v>32</v>
      </c>
      <c r="C2500" s="16" t="s">
        <v>33</v>
      </c>
      <c r="D2500" s="33" t="s">
        <v>34</v>
      </c>
      <c r="E2500" s="33">
        <v>283</v>
      </c>
      <c r="F2500" s="33">
        <v>4</v>
      </c>
      <c r="G2500" s="33"/>
      <c r="H2500" s="33" t="s">
        <v>4419</v>
      </c>
      <c r="I2500" s="31" t="s">
        <v>995</v>
      </c>
      <c r="J2500" s="31"/>
      <c r="K2500" s="33"/>
      <c r="L2500" s="33"/>
      <c r="M2500" s="31"/>
      <c r="N2500" s="31"/>
      <c r="O2500" s="16" t="s">
        <v>5229</v>
      </c>
      <c r="P2500" s="16"/>
      <c r="Q2500" s="16"/>
      <c r="R2500" s="33">
        <v>121</v>
      </c>
      <c r="S2500" s="34">
        <v>45889</v>
      </c>
      <c r="T2500" s="34">
        <v>45894</v>
      </c>
      <c r="U2500" s="34"/>
      <c r="V2500" s="34"/>
      <c r="W2500" s="34">
        <v>45897</v>
      </c>
      <c r="X2500" s="33" t="s">
        <v>85</v>
      </c>
      <c r="Y2500" s="35" t="str">
        <f>IF(Tabela2[[#This Row],[SIGLA]]="","",VLOOKUP(Tabela2[[#This Row],[SIGLA]],Tabela1[[#All],[Sigla Arte]:[Crédito]],2,0))</f>
        <v>HELOÍSA PINTARELLI/ARQUIVO DA EDITORA</v>
      </c>
      <c r="Z2500" s="31"/>
      <c r="AA2500" s="31" t="str">
        <f>Tabela2[[#This Row],[ILUSTRADOR CRIAÇÃO]]</f>
        <v>HELOÍSA PINTARELLI/ARQUIVO DA EDITORA</v>
      </c>
      <c r="AB2500" s="33">
        <v>8</v>
      </c>
      <c r="AC2500" s="16" t="s">
        <v>5227</v>
      </c>
      <c r="AD2500" s="16" t="s">
        <v>1093</v>
      </c>
      <c r="AE2500" s="35" t="str">
        <f t="shared" si="40"/>
        <v>EF1 E002 Mat</v>
      </c>
    </row>
    <row r="2501" spans="1:31" ht="45" x14ac:dyDescent="0.25">
      <c r="A2501" s="31" t="s">
        <v>5230</v>
      </c>
      <c r="B2501" s="16" t="s">
        <v>32</v>
      </c>
      <c r="C2501" s="16" t="s">
        <v>164</v>
      </c>
      <c r="D2501" s="33" t="s">
        <v>34</v>
      </c>
      <c r="E2501" s="33">
        <v>165</v>
      </c>
      <c r="F2501" s="33">
        <v>4</v>
      </c>
      <c r="G2501" s="33">
        <v>8</v>
      </c>
      <c r="H2501" s="33"/>
      <c r="I2501" s="31" t="s">
        <v>995</v>
      </c>
      <c r="J2501" s="31"/>
      <c r="K2501" s="33"/>
      <c r="L2501" s="33"/>
      <c r="M2501" s="31"/>
      <c r="N2501" s="31"/>
      <c r="O2501" s="16" t="s">
        <v>5231</v>
      </c>
      <c r="P2501" s="16"/>
      <c r="Q2501" s="16"/>
      <c r="R2501" s="33">
        <v>121</v>
      </c>
      <c r="S2501" s="34">
        <v>45889</v>
      </c>
      <c r="T2501" s="34">
        <v>45894</v>
      </c>
      <c r="U2501" s="34"/>
      <c r="V2501" s="34"/>
      <c r="W2501" s="34">
        <v>45894</v>
      </c>
      <c r="X2501" s="33" t="s">
        <v>1267</v>
      </c>
      <c r="Y2501" s="35" t="str">
        <f>IF(Tabela2[[#This Row],[SIGLA]]="","",VLOOKUP(Tabela2[[#This Row],[SIGLA]],Tabela1[[#All],[Sigla Arte]:[Crédito]],2,0))</f>
        <v>INGRIDHI BORGES/ARQUIVO DA EDITORA</v>
      </c>
      <c r="Z2501" s="31" t="s">
        <v>924</v>
      </c>
      <c r="AA2501" s="31" t="str">
        <f>Tabela2[[#This Row],[ILUSTRADOR CRIAÇÃO]]</f>
        <v>INGRIDHI BORGES/ARQUIVO DA EDITORA</v>
      </c>
      <c r="AB2501" s="33">
        <v>8</v>
      </c>
      <c r="AC2501" s="16" t="s">
        <v>439</v>
      </c>
      <c r="AD2501" s="16" t="s">
        <v>40</v>
      </c>
      <c r="AE2501" s="35" t="str">
        <f t="shared" si="40"/>
        <v>EF1 E002 Mat</v>
      </c>
    </row>
    <row r="2502" spans="1:31" ht="30" x14ac:dyDescent="0.25">
      <c r="A2502" s="31" t="s">
        <v>5232</v>
      </c>
      <c r="B2502" s="16" t="s">
        <v>32</v>
      </c>
      <c r="C2502" s="16" t="s">
        <v>164</v>
      </c>
      <c r="D2502" s="33" t="s">
        <v>34</v>
      </c>
      <c r="E2502" s="33">
        <v>166</v>
      </c>
      <c r="F2502" s="33">
        <v>4</v>
      </c>
      <c r="G2502" s="33">
        <v>8</v>
      </c>
      <c r="H2502" s="33"/>
      <c r="I2502" s="31" t="s">
        <v>995</v>
      </c>
      <c r="J2502" s="31"/>
      <c r="K2502" s="33"/>
      <c r="L2502" s="33"/>
      <c r="M2502" s="31"/>
      <c r="N2502" s="31"/>
      <c r="O2502" s="16" t="s">
        <v>5233</v>
      </c>
      <c r="P2502" s="16"/>
      <c r="Q2502" s="16"/>
      <c r="R2502" s="33">
        <v>121</v>
      </c>
      <c r="S2502" s="34">
        <v>45889</v>
      </c>
      <c r="T2502" s="34">
        <v>45894</v>
      </c>
      <c r="U2502" s="34"/>
      <c r="V2502" s="34"/>
      <c r="W2502" s="34">
        <v>45894</v>
      </c>
      <c r="X2502" s="33" t="s">
        <v>1267</v>
      </c>
      <c r="Y2502" s="35" t="str">
        <f>IF(Tabela2[[#This Row],[SIGLA]]="","",VLOOKUP(Tabela2[[#This Row],[SIGLA]],Tabela1[[#All],[Sigla Arte]:[Crédito]],2,0))</f>
        <v>INGRIDHI BORGES/ARQUIVO DA EDITORA</v>
      </c>
      <c r="Z2502" s="31" t="s">
        <v>924</v>
      </c>
      <c r="AA2502" s="31" t="str">
        <f>Tabela2[[#This Row],[ILUSTRADOR CRIAÇÃO]]</f>
        <v>INGRIDHI BORGES/ARQUIVO DA EDITORA</v>
      </c>
      <c r="AB2502" s="33">
        <v>8</v>
      </c>
      <c r="AC2502" s="16" t="s">
        <v>439</v>
      </c>
      <c r="AD2502" s="16" t="s">
        <v>40</v>
      </c>
      <c r="AE2502" s="35" t="str">
        <f t="shared" si="40"/>
        <v>EF1 E002 Mat</v>
      </c>
    </row>
    <row r="2503" spans="1:31" ht="60" x14ac:dyDescent="0.25">
      <c r="A2503" s="31" t="s">
        <v>5234</v>
      </c>
      <c r="B2503" s="16" t="s">
        <v>32</v>
      </c>
      <c r="C2503" s="16" t="s">
        <v>164</v>
      </c>
      <c r="D2503" s="33" t="s">
        <v>34</v>
      </c>
      <c r="E2503" s="33">
        <v>166</v>
      </c>
      <c r="F2503" s="33">
        <v>4</v>
      </c>
      <c r="G2503" s="33">
        <v>8</v>
      </c>
      <c r="H2503" s="33"/>
      <c r="I2503" s="31" t="s">
        <v>995</v>
      </c>
      <c r="J2503" s="31"/>
      <c r="K2503" s="33"/>
      <c r="L2503" s="33"/>
      <c r="M2503" s="31"/>
      <c r="N2503" s="31"/>
      <c r="O2503" s="16" t="s">
        <v>5235</v>
      </c>
      <c r="P2503" s="16"/>
      <c r="Q2503" s="16"/>
      <c r="R2503" s="33">
        <v>121</v>
      </c>
      <c r="S2503" s="34">
        <v>45889</v>
      </c>
      <c r="T2503" s="34">
        <v>45894</v>
      </c>
      <c r="U2503" s="34"/>
      <c r="V2503" s="34"/>
      <c r="W2503" s="34">
        <v>45894</v>
      </c>
      <c r="X2503" s="33" t="s">
        <v>1267</v>
      </c>
      <c r="Y2503" s="35" t="str">
        <f>IF(Tabela2[[#This Row],[SIGLA]]="","",VLOOKUP(Tabela2[[#This Row],[SIGLA]],Tabela1[[#All],[Sigla Arte]:[Crédito]],2,0))</f>
        <v>INGRIDHI BORGES/ARQUIVO DA EDITORA</v>
      </c>
      <c r="Z2503" s="31" t="s">
        <v>924</v>
      </c>
      <c r="AA2503" s="31" t="str">
        <f>Tabela2[[#This Row],[ILUSTRADOR CRIAÇÃO]]</f>
        <v>INGRIDHI BORGES/ARQUIVO DA EDITORA</v>
      </c>
      <c r="AB2503" s="33">
        <v>8</v>
      </c>
      <c r="AC2503" s="16" t="s">
        <v>439</v>
      </c>
      <c r="AD2503" s="16" t="s">
        <v>40</v>
      </c>
      <c r="AE2503" s="35" t="str">
        <f t="shared" si="40"/>
        <v>EF1 E002 Mat</v>
      </c>
    </row>
    <row r="2504" spans="1:31" ht="195" x14ac:dyDescent="0.25">
      <c r="A2504" s="31" t="s">
        <v>5236</v>
      </c>
      <c r="B2504" s="16" t="s">
        <v>32</v>
      </c>
      <c r="C2504" s="16" t="s">
        <v>33</v>
      </c>
      <c r="D2504" s="33" t="s">
        <v>34</v>
      </c>
      <c r="E2504" s="33">
        <v>173</v>
      </c>
      <c r="F2504" s="33">
        <v>4</v>
      </c>
      <c r="G2504" s="33">
        <v>9</v>
      </c>
      <c r="H2504" s="33"/>
      <c r="I2504" s="31" t="s">
        <v>995</v>
      </c>
      <c r="J2504" s="31"/>
      <c r="K2504" s="33"/>
      <c r="L2504" s="33"/>
      <c r="M2504" s="31"/>
      <c r="N2504" s="31"/>
      <c r="O2504" s="16" t="s">
        <v>5237</v>
      </c>
      <c r="P2504" s="16"/>
      <c r="Q2504" s="16"/>
      <c r="R2504" s="33">
        <v>123</v>
      </c>
      <c r="S2504" s="34">
        <v>45890</v>
      </c>
      <c r="T2504" s="34">
        <v>45896</v>
      </c>
      <c r="U2504" s="34"/>
      <c r="V2504" s="34"/>
      <c r="W2504" s="34">
        <v>45902</v>
      </c>
      <c r="X2504" s="33" t="s">
        <v>85</v>
      </c>
      <c r="Y2504" s="35" t="str">
        <f>IF(Tabela2[[#This Row],[SIGLA]]="","",VLOOKUP(Tabela2[[#This Row],[SIGLA]],Tabela1[[#All],[Sigla Arte]:[Crédito]],2,0))</f>
        <v>HELOÍSA PINTARELLI/ARQUIVO DA EDITORA</v>
      </c>
      <c r="Z2504" s="31"/>
      <c r="AA2504" s="31" t="str">
        <f>Tabela2[[#This Row],[ILUSTRADOR CRIAÇÃO]]</f>
        <v>HELOÍSA PINTARELLI/ARQUIVO DA EDITORA</v>
      </c>
      <c r="AB2504" s="33">
        <v>7</v>
      </c>
      <c r="AC2504" s="16" t="s">
        <v>5238</v>
      </c>
      <c r="AD2504" s="16" t="s">
        <v>1093</v>
      </c>
      <c r="AE2504" s="35" t="str">
        <f t="shared" si="40"/>
        <v>EF1 E002 Mat</v>
      </c>
    </row>
    <row r="2505" spans="1:31" ht="45" x14ac:dyDescent="0.25">
      <c r="A2505" s="31" t="s">
        <v>5239</v>
      </c>
      <c r="B2505" s="16" t="s">
        <v>32</v>
      </c>
      <c r="C2505" s="16" t="s">
        <v>33</v>
      </c>
      <c r="D2505" s="33" t="s">
        <v>34</v>
      </c>
      <c r="E2505" s="33">
        <v>175</v>
      </c>
      <c r="F2505" s="33">
        <v>4</v>
      </c>
      <c r="G2505" s="33">
        <v>9</v>
      </c>
      <c r="H2505" s="33"/>
      <c r="I2505" s="31" t="s">
        <v>995</v>
      </c>
      <c r="J2505" s="31"/>
      <c r="K2505" s="33"/>
      <c r="L2505" s="33"/>
      <c r="M2505" s="31"/>
      <c r="N2505" s="31"/>
      <c r="O2505" s="16" t="s">
        <v>5240</v>
      </c>
      <c r="P2505" s="16"/>
      <c r="Q2505" s="16"/>
      <c r="R2505" s="33">
        <v>123</v>
      </c>
      <c r="S2505" s="34">
        <v>45890</v>
      </c>
      <c r="T2505" s="34">
        <v>45894</v>
      </c>
      <c r="U2505" s="34"/>
      <c r="V2505" s="34"/>
      <c r="W2505" s="34">
        <v>45896</v>
      </c>
      <c r="X2505" s="33" t="s">
        <v>184</v>
      </c>
      <c r="Y2505" s="35" t="str">
        <f>IF(Tabela2[[#This Row],[SIGLA]]="","",VLOOKUP(Tabela2[[#This Row],[SIGLA]],Tabela1[[#All],[Sigla Arte]:[Crédito]],2,0))</f>
        <v>VER DOCUMENTO DE ILS. TÉCNICAS</v>
      </c>
      <c r="Z2505" s="31" t="s">
        <v>352</v>
      </c>
      <c r="AA2505" s="31" t="s">
        <v>921</v>
      </c>
      <c r="AB2505" s="33">
        <v>8</v>
      </c>
      <c r="AC2505" s="16" t="s">
        <v>439</v>
      </c>
      <c r="AD2505" s="16" t="s">
        <v>40</v>
      </c>
      <c r="AE2505" s="35" t="str">
        <f t="shared" si="40"/>
        <v>EF1 E002 Mat</v>
      </c>
    </row>
    <row r="2506" spans="1:31" ht="90" x14ac:dyDescent="0.25">
      <c r="A2506" s="31" t="s">
        <v>5241</v>
      </c>
      <c r="B2506" s="16" t="s">
        <v>32</v>
      </c>
      <c r="C2506" s="16" t="s">
        <v>33</v>
      </c>
      <c r="D2506" s="33" t="s">
        <v>34</v>
      </c>
      <c r="E2506" s="33">
        <v>175</v>
      </c>
      <c r="F2506" s="33">
        <v>4</v>
      </c>
      <c r="G2506" s="33">
        <v>9</v>
      </c>
      <c r="H2506" s="33"/>
      <c r="I2506" s="31" t="s">
        <v>995</v>
      </c>
      <c r="J2506" s="31"/>
      <c r="K2506" s="33"/>
      <c r="L2506" s="33"/>
      <c r="M2506" s="31"/>
      <c r="N2506" s="31"/>
      <c r="O2506" s="16" t="s">
        <v>5242</v>
      </c>
      <c r="P2506" s="16"/>
      <c r="Q2506" s="16"/>
      <c r="R2506" s="33">
        <v>123</v>
      </c>
      <c r="S2506" s="34">
        <v>45890</v>
      </c>
      <c r="T2506" s="34">
        <v>45894</v>
      </c>
      <c r="U2506" s="34"/>
      <c r="V2506" s="34"/>
      <c r="W2506" s="34">
        <v>45896</v>
      </c>
      <c r="X2506" s="33" t="s">
        <v>184</v>
      </c>
      <c r="Y2506" s="35" t="str">
        <f>IF(Tabela2[[#This Row],[SIGLA]]="","",VLOOKUP(Tabela2[[#This Row],[SIGLA]],Tabela1[[#All],[Sigla Arte]:[Crédito]],2,0))</f>
        <v>VER DOCUMENTO DE ILS. TÉCNICAS</v>
      </c>
      <c r="Z2506" s="31" t="s">
        <v>352</v>
      </c>
      <c r="AA2506" s="31" t="s">
        <v>921</v>
      </c>
      <c r="AB2506" s="33">
        <v>8</v>
      </c>
      <c r="AC2506" s="16" t="s">
        <v>439</v>
      </c>
      <c r="AD2506" s="16" t="s">
        <v>40</v>
      </c>
      <c r="AE2506" s="35" t="str">
        <f t="shared" si="40"/>
        <v>EF1 E002 Mat</v>
      </c>
    </row>
    <row r="2507" spans="1:31" ht="120" x14ac:dyDescent="0.25">
      <c r="A2507" s="31" t="s">
        <v>5243</v>
      </c>
      <c r="B2507" s="16" t="s">
        <v>32</v>
      </c>
      <c r="C2507" s="16" t="s">
        <v>327</v>
      </c>
      <c r="D2507" s="33" t="s">
        <v>34</v>
      </c>
      <c r="E2507" s="33">
        <v>176</v>
      </c>
      <c r="F2507" s="33">
        <v>4</v>
      </c>
      <c r="G2507" s="33">
        <v>9</v>
      </c>
      <c r="H2507" s="33"/>
      <c r="I2507" s="31" t="s">
        <v>35</v>
      </c>
      <c r="J2507" s="31"/>
      <c r="K2507" s="33"/>
      <c r="L2507" s="33"/>
      <c r="M2507" s="31"/>
      <c r="N2507" s="31"/>
      <c r="O2507" s="16" t="s">
        <v>5244</v>
      </c>
      <c r="P2507" s="16"/>
      <c r="Q2507" s="16"/>
      <c r="R2507" s="33">
        <v>123</v>
      </c>
      <c r="S2507" s="34">
        <v>45890</v>
      </c>
      <c r="T2507" s="34">
        <v>45894</v>
      </c>
      <c r="U2507" s="34"/>
      <c r="V2507" s="34"/>
      <c r="W2507" s="34">
        <v>45896</v>
      </c>
      <c r="X2507" s="33" t="s">
        <v>48</v>
      </c>
      <c r="Y2507" s="35" t="str">
        <f>IF(Tabela2[[#This Row],[SIGLA]]="","",VLOOKUP(Tabela2[[#This Row],[SIGLA]],Tabela1[[#All],[Sigla Arte]:[Crédito]],2,0))</f>
        <v>SERGIO LIMA/ARQUIVO DA EDITORA</v>
      </c>
      <c r="Z2507" s="31" t="s">
        <v>352</v>
      </c>
      <c r="AA2507" s="31" t="str">
        <f>Tabela2[[#This Row],[ILUSTRADOR CRIAÇÃO]]</f>
        <v>SERGIO LIMA/ARQUIVO DA EDITORA</v>
      </c>
      <c r="AB2507" s="33">
        <v>13</v>
      </c>
      <c r="AC2507" s="16" t="s">
        <v>39</v>
      </c>
      <c r="AD2507" s="16" t="s">
        <v>40</v>
      </c>
      <c r="AE2507" s="35" t="str">
        <f t="shared" si="40"/>
        <v>EF1 E002 Mat</v>
      </c>
    </row>
    <row r="2508" spans="1:31" ht="60" x14ac:dyDescent="0.25">
      <c r="A2508" s="31" t="s">
        <v>5245</v>
      </c>
      <c r="B2508" s="16" t="s">
        <v>32</v>
      </c>
      <c r="C2508" s="16" t="s">
        <v>33</v>
      </c>
      <c r="D2508" s="33" t="s">
        <v>34</v>
      </c>
      <c r="E2508" s="33">
        <v>180</v>
      </c>
      <c r="F2508" s="33">
        <v>4</v>
      </c>
      <c r="G2508" s="33">
        <v>9</v>
      </c>
      <c r="H2508" s="33"/>
      <c r="I2508" s="31" t="s">
        <v>46</v>
      </c>
      <c r="J2508" s="31"/>
      <c r="K2508" s="33"/>
      <c r="L2508" s="33"/>
      <c r="M2508" s="31"/>
      <c r="N2508" s="31"/>
      <c r="O2508" s="16" t="s">
        <v>5246</v>
      </c>
      <c r="P2508" s="16"/>
      <c r="Q2508" s="16"/>
      <c r="R2508" s="33"/>
      <c r="S2508" s="34"/>
      <c r="T2508" s="34"/>
      <c r="U2508" s="34"/>
      <c r="V2508" s="34"/>
      <c r="W2508" s="34"/>
      <c r="X2508" s="33" t="s">
        <v>4713</v>
      </c>
      <c r="Y2508" s="35" t="str">
        <f>IF(Tabela2[[#This Row],[SIGLA]]="","",VLOOKUP(Tabela2[[#This Row],[SIGLA]],Tabela1[[#All],[Sigla Arte]:[Crédito]],2,0))</f>
        <v>NICOLAS FURTADO/ARQUIVO DA EDITORA</v>
      </c>
      <c r="Z2508" s="31"/>
      <c r="AA2508" s="31" t="str">
        <f>Tabela2[[#This Row],[ILUSTRADOR CRIAÇÃO]]</f>
        <v>NICOLAS FURTADO/ARQUIVO DA EDITORA</v>
      </c>
      <c r="AB2508" s="33"/>
      <c r="AC2508" s="16"/>
      <c r="AE2508" s="35" t="str">
        <f t="shared" si="40"/>
        <v>EF1 E002 Mat</v>
      </c>
    </row>
    <row r="2509" spans="1:31" ht="120" x14ac:dyDescent="0.25">
      <c r="A2509" s="31" t="s">
        <v>5247</v>
      </c>
      <c r="B2509" s="16" t="s">
        <v>32</v>
      </c>
      <c r="C2509" s="16" t="s">
        <v>33</v>
      </c>
      <c r="D2509" s="33" t="s">
        <v>34</v>
      </c>
      <c r="E2509" s="33">
        <v>180</v>
      </c>
      <c r="F2509" s="33">
        <v>4</v>
      </c>
      <c r="G2509" s="33">
        <v>9</v>
      </c>
      <c r="H2509" s="33"/>
      <c r="I2509" s="31" t="s">
        <v>995</v>
      </c>
      <c r="J2509" s="31"/>
      <c r="K2509" s="33"/>
      <c r="L2509" s="33"/>
      <c r="M2509" s="31"/>
      <c r="N2509" s="31"/>
      <c r="O2509" s="16" t="s">
        <v>5248</v>
      </c>
      <c r="P2509" s="16"/>
      <c r="Q2509" s="16"/>
      <c r="R2509" s="33">
        <v>123</v>
      </c>
      <c r="S2509" s="34">
        <v>45890</v>
      </c>
      <c r="T2509" s="34">
        <v>45894</v>
      </c>
      <c r="U2509" s="34"/>
      <c r="V2509" s="34"/>
      <c r="W2509" s="34">
        <v>45896</v>
      </c>
      <c r="X2509" s="33" t="s">
        <v>4394</v>
      </c>
      <c r="Y2509" s="35" t="str">
        <f>IF(Tabela2[[#This Row],[SIGLA]]="","",VLOOKUP(Tabela2[[#This Row],[SIGLA]],Tabela1[[#All],[Sigla Arte]:[Crédito]],2,0))</f>
        <v>MARYANE VIOTO SILVA/ARQUIVO DA EDITORA</v>
      </c>
      <c r="Z2509" s="31"/>
      <c r="AA2509" s="31" t="str">
        <f>Tabela2[[#This Row],[ILUSTRADOR CRIAÇÃO]]</f>
        <v>MARYANE VIOTO SILVA/ARQUIVO DA EDITORA</v>
      </c>
      <c r="AB2509" s="33">
        <v>8</v>
      </c>
      <c r="AC2509" s="16" t="s">
        <v>439</v>
      </c>
      <c r="AD2509" s="16" t="s">
        <v>40</v>
      </c>
      <c r="AE2509" s="35" t="str">
        <f t="shared" si="40"/>
        <v>EF1 E002 Mat</v>
      </c>
    </row>
    <row r="2510" spans="1:31" ht="120" x14ac:dyDescent="0.25">
      <c r="A2510" s="31" t="s">
        <v>5249</v>
      </c>
      <c r="B2510" s="16" t="s">
        <v>32</v>
      </c>
      <c r="C2510" s="16" t="s">
        <v>33</v>
      </c>
      <c r="D2510" s="33" t="s">
        <v>34</v>
      </c>
      <c r="E2510" s="33">
        <v>206</v>
      </c>
      <c r="F2510" s="33">
        <v>4</v>
      </c>
      <c r="G2510" s="33">
        <v>10</v>
      </c>
      <c r="H2510" s="33"/>
      <c r="I2510" s="31" t="s">
        <v>35</v>
      </c>
      <c r="J2510" s="31"/>
      <c r="K2510" s="33"/>
      <c r="L2510" s="33"/>
      <c r="M2510" s="31"/>
      <c r="N2510" s="31"/>
      <c r="O2510" s="16" t="s">
        <v>5250</v>
      </c>
      <c r="P2510" s="16"/>
      <c r="Q2510" s="16"/>
      <c r="R2510" s="33">
        <v>124</v>
      </c>
      <c r="S2510" s="34">
        <v>45891</v>
      </c>
      <c r="T2510" s="34">
        <v>45894</v>
      </c>
      <c r="U2510" s="34"/>
      <c r="V2510" s="34"/>
      <c r="W2510" s="34">
        <v>45894</v>
      </c>
      <c r="X2510" s="33" t="s">
        <v>1126</v>
      </c>
      <c r="Y2510" s="35" t="str">
        <f>IF(Tabela2[[#This Row],[SIGLA]]="","",VLOOKUP(Tabela2[[#This Row],[SIGLA]],Tabela1[[#All],[Sigla Arte]:[Crédito]],2,0))</f>
        <v>GUSTAVO CONTI/ARQUIVO DA EDITORA</v>
      </c>
      <c r="Z2510" s="31" t="s">
        <v>924</v>
      </c>
      <c r="AA2510" s="31" t="str">
        <f>Tabela2[[#This Row],[ILUSTRADOR CRIAÇÃO]]</f>
        <v>GUSTAVO CONTI/ARQUIVO DA EDITORA</v>
      </c>
      <c r="AB2510" s="33">
        <v>13</v>
      </c>
      <c r="AC2510" s="16" t="s">
        <v>222</v>
      </c>
      <c r="AD2510" s="16" t="s">
        <v>40</v>
      </c>
      <c r="AE2510" s="35" t="str">
        <f t="shared" si="40"/>
        <v>EF1 E002 Mat</v>
      </c>
    </row>
    <row r="2511" spans="1:31" ht="30" x14ac:dyDescent="0.25">
      <c r="A2511" s="31" t="s">
        <v>5251</v>
      </c>
      <c r="B2511" s="16" t="s">
        <v>32</v>
      </c>
      <c r="C2511" s="16" t="s">
        <v>33</v>
      </c>
      <c r="D2511" s="33" t="s">
        <v>34</v>
      </c>
      <c r="E2511" s="33">
        <v>207</v>
      </c>
      <c r="F2511" s="33">
        <v>4</v>
      </c>
      <c r="G2511" s="33">
        <v>10</v>
      </c>
      <c r="H2511" s="33"/>
      <c r="I2511" s="31" t="s">
        <v>995</v>
      </c>
      <c r="J2511" s="31"/>
      <c r="K2511" s="33"/>
      <c r="L2511" s="33"/>
      <c r="M2511" s="31"/>
      <c r="N2511" s="31"/>
      <c r="O2511" s="16" t="s">
        <v>5252</v>
      </c>
      <c r="P2511" s="16"/>
      <c r="Q2511" s="16"/>
      <c r="R2511" s="33">
        <v>124</v>
      </c>
      <c r="S2511" s="34">
        <v>45891</v>
      </c>
      <c r="T2511" s="34">
        <v>45894</v>
      </c>
      <c r="U2511" s="34"/>
      <c r="V2511" s="34"/>
      <c r="W2511" s="34">
        <v>45895</v>
      </c>
      <c r="X2511" s="33" t="s">
        <v>85</v>
      </c>
      <c r="Y2511" s="35" t="str">
        <f>IF(Tabela2[[#This Row],[SIGLA]]="","",VLOOKUP(Tabela2[[#This Row],[SIGLA]],Tabela1[[#All],[Sigla Arte]:[Crédito]],2,0))</f>
        <v>HELOÍSA PINTARELLI/ARQUIVO DA EDITORA</v>
      </c>
      <c r="Z2511" s="31"/>
      <c r="AA2511" s="31" t="str">
        <f>Tabela2[[#This Row],[ILUSTRADOR CRIAÇÃO]]</f>
        <v>HELOÍSA PINTARELLI/ARQUIVO DA EDITORA</v>
      </c>
      <c r="AB2511" s="33">
        <v>8</v>
      </c>
      <c r="AC2511" s="16" t="s">
        <v>5253</v>
      </c>
      <c r="AD2511" s="16" t="s">
        <v>1093</v>
      </c>
      <c r="AE2511" s="35" t="str">
        <f t="shared" si="40"/>
        <v>EF1 E002 Mat</v>
      </c>
    </row>
    <row r="2512" spans="1:31" ht="45" x14ac:dyDescent="0.25">
      <c r="A2512" s="31" t="s">
        <v>5254</v>
      </c>
      <c r="B2512" s="16" t="s">
        <v>32</v>
      </c>
      <c r="C2512" s="16" t="s">
        <v>33</v>
      </c>
      <c r="D2512" s="33" t="s">
        <v>34</v>
      </c>
      <c r="E2512" s="33">
        <v>207</v>
      </c>
      <c r="F2512" s="33">
        <v>4</v>
      </c>
      <c r="G2512" s="33">
        <v>10</v>
      </c>
      <c r="H2512" s="33"/>
      <c r="I2512" s="31" t="s">
        <v>995</v>
      </c>
      <c r="J2512" s="31"/>
      <c r="K2512" s="33"/>
      <c r="L2512" s="33"/>
      <c r="M2512" s="31"/>
      <c r="N2512" s="31"/>
      <c r="O2512" s="16" t="s">
        <v>5255</v>
      </c>
      <c r="P2512" s="16"/>
      <c r="Q2512" s="16"/>
      <c r="R2512" s="33">
        <v>124</v>
      </c>
      <c r="S2512" s="34">
        <v>45891</v>
      </c>
      <c r="T2512" s="34">
        <v>45894</v>
      </c>
      <c r="U2512" s="34"/>
      <c r="V2512" s="34"/>
      <c r="W2512" s="34">
        <v>45895</v>
      </c>
      <c r="X2512" s="33" t="s">
        <v>85</v>
      </c>
      <c r="Y2512" s="35" t="str">
        <f>IF(Tabela2[[#This Row],[SIGLA]]="","",VLOOKUP(Tabela2[[#This Row],[SIGLA]],Tabela1[[#All],[Sigla Arte]:[Crédito]],2,0))</f>
        <v>HELOÍSA PINTARELLI/ARQUIVO DA EDITORA</v>
      </c>
      <c r="Z2512" s="31"/>
      <c r="AA2512" s="31" t="str">
        <f>Tabela2[[#This Row],[ILUSTRADOR CRIAÇÃO]]</f>
        <v>HELOÍSA PINTARELLI/ARQUIVO DA EDITORA</v>
      </c>
      <c r="AB2512" s="33">
        <v>8</v>
      </c>
      <c r="AC2512" s="16" t="s">
        <v>5253</v>
      </c>
      <c r="AD2512" s="16" t="s">
        <v>1093</v>
      </c>
      <c r="AE2512" s="35" t="str">
        <f t="shared" si="40"/>
        <v>EF1 E002 Mat</v>
      </c>
    </row>
    <row r="2513" spans="1:31" ht="30" x14ac:dyDescent="0.25">
      <c r="A2513" s="31" t="s">
        <v>5256</v>
      </c>
      <c r="B2513" s="16" t="s">
        <v>32</v>
      </c>
      <c r="C2513" s="16" t="s">
        <v>33</v>
      </c>
      <c r="D2513" s="33" t="s">
        <v>34</v>
      </c>
      <c r="E2513" s="33">
        <v>207</v>
      </c>
      <c r="F2513" s="33">
        <v>4</v>
      </c>
      <c r="G2513" s="33">
        <v>10</v>
      </c>
      <c r="H2513" s="33"/>
      <c r="I2513" s="31" t="s">
        <v>995</v>
      </c>
      <c r="J2513" s="31"/>
      <c r="K2513" s="33"/>
      <c r="L2513" s="33"/>
      <c r="M2513" s="31"/>
      <c r="N2513" s="31"/>
      <c r="O2513" s="16" t="s">
        <v>5257</v>
      </c>
      <c r="P2513" s="16"/>
      <c r="Q2513" s="16"/>
      <c r="R2513" s="33">
        <v>124</v>
      </c>
      <c r="S2513" s="34">
        <v>45891</v>
      </c>
      <c r="T2513" s="34">
        <v>45894</v>
      </c>
      <c r="U2513" s="34"/>
      <c r="V2513" s="34"/>
      <c r="W2513" s="34">
        <v>45895</v>
      </c>
      <c r="X2513" s="33" t="s">
        <v>85</v>
      </c>
      <c r="Y2513" s="35" t="str">
        <f>IF(Tabela2[[#This Row],[SIGLA]]="","",VLOOKUP(Tabela2[[#This Row],[SIGLA]],Tabela1[[#All],[Sigla Arte]:[Crédito]],2,0))</f>
        <v>HELOÍSA PINTARELLI/ARQUIVO DA EDITORA</v>
      </c>
      <c r="Z2513" s="31"/>
      <c r="AA2513" s="31" t="str">
        <f>Tabela2[[#This Row],[ILUSTRADOR CRIAÇÃO]]</f>
        <v>HELOÍSA PINTARELLI/ARQUIVO DA EDITORA</v>
      </c>
      <c r="AB2513" s="33">
        <v>8</v>
      </c>
      <c r="AC2513" s="16" t="s">
        <v>5253</v>
      </c>
      <c r="AD2513" s="16" t="s">
        <v>1093</v>
      </c>
      <c r="AE2513" s="35" t="str">
        <f t="shared" si="40"/>
        <v>EF1 E002 Mat</v>
      </c>
    </row>
    <row r="2514" spans="1:31" ht="75" x14ac:dyDescent="0.25">
      <c r="A2514" s="31" t="s">
        <v>5258</v>
      </c>
      <c r="B2514" s="16" t="s">
        <v>32</v>
      </c>
      <c r="C2514" s="16" t="s">
        <v>164</v>
      </c>
      <c r="D2514" s="33" t="s">
        <v>34</v>
      </c>
      <c r="E2514" s="33">
        <v>215</v>
      </c>
      <c r="F2514" s="33">
        <v>4</v>
      </c>
      <c r="G2514" s="33">
        <v>10</v>
      </c>
      <c r="H2514" s="33"/>
      <c r="I2514" s="31" t="s">
        <v>995</v>
      </c>
      <c r="J2514" s="31"/>
      <c r="K2514" s="33"/>
      <c r="L2514" s="33"/>
      <c r="M2514" s="31"/>
      <c r="N2514" s="31"/>
      <c r="O2514" s="16" t="s">
        <v>5259</v>
      </c>
      <c r="P2514" s="16"/>
      <c r="Q2514" s="16"/>
      <c r="R2514" s="33">
        <v>124</v>
      </c>
      <c r="S2514" s="34">
        <v>45891</v>
      </c>
      <c r="T2514" s="34">
        <v>45894</v>
      </c>
      <c r="U2514" s="34"/>
      <c r="V2514" s="34"/>
      <c r="W2514" s="34">
        <v>45894</v>
      </c>
      <c r="X2514" s="33" t="s">
        <v>1126</v>
      </c>
      <c r="Y2514" s="35" t="str">
        <f>IF(Tabela2[[#This Row],[SIGLA]]="","",VLOOKUP(Tabela2[[#This Row],[SIGLA]],Tabela1[[#All],[Sigla Arte]:[Crédito]],2,0))</f>
        <v>GUSTAVO CONTI/ARQUIVO DA EDITORA</v>
      </c>
      <c r="Z2514" s="31" t="s">
        <v>924</v>
      </c>
      <c r="AA2514" s="31" t="s">
        <v>5260</v>
      </c>
      <c r="AB2514" s="33">
        <v>8</v>
      </c>
      <c r="AC2514" s="16" t="s">
        <v>439</v>
      </c>
      <c r="AD2514" s="16" t="s">
        <v>40</v>
      </c>
      <c r="AE2514" s="35" t="str">
        <f t="shared" si="40"/>
        <v>EF1 E002 Mat</v>
      </c>
    </row>
    <row r="2515" spans="1:31" ht="90" x14ac:dyDescent="0.25">
      <c r="A2515" s="31" t="s">
        <v>5261</v>
      </c>
      <c r="B2515" s="16" t="s">
        <v>32</v>
      </c>
      <c r="C2515" s="16" t="s">
        <v>164</v>
      </c>
      <c r="D2515" s="33" t="s">
        <v>34</v>
      </c>
      <c r="E2515" s="33">
        <v>215</v>
      </c>
      <c r="F2515" s="33">
        <v>4</v>
      </c>
      <c r="G2515" s="33">
        <v>10</v>
      </c>
      <c r="H2515" s="33"/>
      <c r="I2515" s="31" t="s">
        <v>995</v>
      </c>
      <c r="J2515" s="31"/>
      <c r="K2515" s="33"/>
      <c r="L2515" s="33"/>
      <c r="M2515" s="31"/>
      <c r="N2515" s="31"/>
      <c r="O2515" s="16" t="s">
        <v>5262</v>
      </c>
      <c r="P2515" s="16"/>
      <c r="Q2515" s="16"/>
      <c r="R2515" s="33">
        <v>124</v>
      </c>
      <c r="S2515" s="34">
        <v>45891</v>
      </c>
      <c r="T2515" s="34">
        <v>45894</v>
      </c>
      <c r="U2515" s="34"/>
      <c r="V2515" s="34"/>
      <c r="W2515" s="34">
        <v>45894</v>
      </c>
      <c r="X2515" s="33" t="s">
        <v>1126</v>
      </c>
      <c r="Y2515" s="35" t="str">
        <f>IF(Tabela2[[#This Row],[SIGLA]]="","",VLOOKUP(Tabela2[[#This Row],[SIGLA]],Tabela1[[#All],[Sigla Arte]:[Crédito]],2,0))</f>
        <v>GUSTAVO CONTI/ARQUIVO DA EDITORA</v>
      </c>
      <c r="Z2515" s="31" t="s">
        <v>924</v>
      </c>
      <c r="AA2515" s="31" t="s">
        <v>5260</v>
      </c>
      <c r="AB2515" s="33">
        <v>8</v>
      </c>
      <c r="AC2515" s="16" t="s">
        <v>439</v>
      </c>
      <c r="AD2515" s="16" t="s">
        <v>40</v>
      </c>
      <c r="AE2515" s="35" t="str">
        <f t="shared" si="40"/>
        <v>EF1 E002 Mat</v>
      </c>
    </row>
    <row r="2516" spans="1:31" ht="90" x14ac:dyDescent="0.25">
      <c r="A2516" s="31" t="s">
        <v>5263</v>
      </c>
      <c r="B2516" s="16" t="s">
        <v>32</v>
      </c>
      <c r="C2516" s="16" t="s">
        <v>327</v>
      </c>
      <c r="D2516" s="33" t="s">
        <v>34</v>
      </c>
      <c r="E2516" s="33">
        <v>255</v>
      </c>
      <c r="F2516" s="33">
        <v>4</v>
      </c>
      <c r="G2516" s="33">
        <v>12</v>
      </c>
      <c r="H2516" s="33"/>
      <c r="I2516" s="31" t="s">
        <v>35</v>
      </c>
      <c r="J2516" s="31"/>
      <c r="K2516" s="33"/>
      <c r="L2516" s="33"/>
      <c r="M2516" s="31"/>
      <c r="N2516" s="31"/>
      <c r="O2516" s="16" t="s">
        <v>5264</v>
      </c>
      <c r="P2516" s="16"/>
      <c r="Q2516" s="16"/>
      <c r="R2516" s="33">
        <v>125</v>
      </c>
      <c r="S2516" s="34">
        <v>45891</v>
      </c>
      <c r="T2516" s="34">
        <v>45892</v>
      </c>
      <c r="U2516" s="34"/>
      <c r="V2516" s="34"/>
      <c r="W2516" s="34">
        <v>45892</v>
      </c>
      <c r="X2516" s="33" t="s">
        <v>1126</v>
      </c>
      <c r="Y2516" s="35" t="str">
        <f>IF(Tabela2[[#This Row],[SIGLA]]="","",VLOOKUP(Tabela2[[#This Row],[SIGLA]],Tabela1[[#All],[Sigla Arte]:[Crédito]],2,0))</f>
        <v>GUSTAVO CONTI/ARQUIVO DA EDITORA</v>
      </c>
      <c r="Z2516" s="31" t="s">
        <v>352</v>
      </c>
      <c r="AA2516" s="31" t="str">
        <f>Tabela2[[#This Row],[ILUSTRADOR CRIAÇÃO]]</f>
        <v>GUSTAVO CONTI/ARQUIVO DA EDITORA</v>
      </c>
      <c r="AB2516" s="33">
        <v>13</v>
      </c>
      <c r="AC2516" s="16" t="s">
        <v>39</v>
      </c>
      <c r="AD2516" s="16" t="s">
        <v>40</v>
      </c>
      <c r="AE2516" s="35" t="str">
        <f t="shared" si="40"/>
        <v>EF1 E002 Mat</v>
      </c>
    </row>
    <row r="2517" spans="1:31" ht="135" x14ac:dyDescent="0.25">
      <c r="A2517" s="31" t="s">
        <v>5265</v>
      </c>
      <c r="B2517" s="16" t="s">
        <v>32</v>
      </c>
      <c r="C2517" s="16" t="s">
        <v>33</v>
      </c>
      <c r="D2517" s="33" t="s">
        <v>4732</v>
      </c>
      <c r="E2517" s="33">
        <v>251</v>
      </c>
      <c r="F2517" s="33">
        <v>2</v>
      </c>
      <c r="G2517" s="33" t="s">
        <v>4623</v>
      </c>
      <c r="H2517" s="33" t="s">
        <v>1397</v>
      </c>
      <c r="I2517" s="31" t="s">
        <v>35</v>
      </c>
      <c r="J2517" s="31"/>
      <c r="K2517" s="33"/>
      <c r="L2517" s="33"/>
      <c r="M2517" s="31"/>
      <c r="N2517" s="31"/>
      <c r="O2517" s="16" t="s">
        <v>5266</v>
      </c>
      <c r="P2517" s="16"/>
      <c r="Q2517" s="16"/>
      <c r="R2517" s="33">
        <v>126</v>
      </c>
      <c r="S2517" s="34">
        <v>45891</v>
      </c>
      <c r="T2517" s="34">
        <v>45892</v>
      </c>
      <c r="U2517" s="34"/>
      <c r="V2517" s="34"/>
      <c r="W2517" s="34">
        <v>45892</v>
      </c>
      <c r="X2517" s="33" t="s">
        <v>703</v>
      </c>
      <c r="Y2517" s="35" t="str">
        <f>IF(Tabela2[[#This Row],[SIGLA]]="","",VLOOKUP(Tabela2[[#This Row],[SIGLA]],Tabela1[[#All],[Sigla Arte]:[Crédito]],2,0))</f>
        <v>KLEBER MAURÍCIO COELHO/ARQUIVO DA EDITORA</v>
      </c>
      <c r="Z2517" s="31" t="s">
        <v>352</v>
      </c>
      <c r="AA2517" s="31" t="str">
        <f>Tabela2[[#This Row],[ILUSTRADOR CRIAÇÃO]]</f>
        <v>KLEBER MAURÍCIO COELHO/ARQUIVO DA EDITORA</v>
      </c>
      <c r="AB2517" s="33">
        <v>14</v>
      </c>
      <c r="AC2517" s="16" t="s">
        <v>39</v>
      </c>
      <c r="AD2517" s="16" t="s">
        <v>40</v>
      </c>
      <c r="AE2517" s="35" t="str">
        <f t="shared" si="40"/>
        <v>EF1 E002 Mat</v>
      </c>
    </row>
    <row r="2518" spans="1:31" ht="135" x14ac:dyDescent="0.25">
      <c r="A2518" s="31" t="s">
        <v>4832</v>
      </c>
      <c r="B2518" s="16" t="s">
        <v>32</v>
      </c>
      <c r="C2518" s="16" t="s">
        <v>33</v>
      </c>
      <c r="D2518" s="33" t="s">
        <v>4732</v>
      </c>
      <c r="E2518" s="33">
        <v>12</v>
      </c>
      <c r="F2518" s="33">
        <v>2</v>
      </c>
      <c r="G2518" s="33" t="s">
        <v>4582</v>
      </c>
      <c r="H2518" s="33" t="s">
        <v>1885</v>
      </c>
      <c r="I2518" s="31" t="s">
        <v>35</v>
      </c>
      <c r="J2518" s="31"/>
      <c r="K2518" s="33"/>
      <c r="L2518" s="33"/>
      <c r="M2518" s="31"/>
      <c r="N2518" s="31"/>
      <c r="O2518" s="16" t="s">
        <v>5267</v>
      </c>
      <c r="P2518" s="16"/>
      <c r="Q2518" s="16"/>
      <c r="R2518" s="33">
        <v>126</v>
      </c>
      <c r="S2518" s="34">
        <v>45891</v>
      </c>
      <c r="T2518" s="34">
        <v>45892</v>
      </c>
      <c r="U2518" s="34"/>
      <c r="V2518" s="34"/>
      <c r="W2518" s="34">
        <v>45892</v>
      </c>
      <c r="X2518" s="33" t="s">
        <v>162</v>
      </c>
      <c r="Y2518" s="35" t="str">
        <f>IF(Tabela2[[#This Row],[SIGLA]]="","",VLOOKUP(Tabela2[[#This Row],[SIGLA]],Tabela1[[#All],[Sigla Arte]:[Crédito]],2,0))</f>
        <v>IVY NUNES/ARQUIVO DA EDITORA</v>
      </c>
      <c r="Z2518" s="31" t="s">
        <v>352</v>
      </c>
      <c r="AA2518" s="31" t="str">
        <f>Tabela2[[#This Row],[ILUSTRADOR CRIAÇÃO]]</f>
        <v>IVY NUNES/ARQUIVO DA EDITORA</v>
      </c>
      <c r="AB2518" s="33">
        <v>14</v>
      </c>
      <c r="AC2518" s="16" t="s">
        <v>39</v>
      </c>
      <c r="AD2518" s="16" t="s">
        <v>40</v>
      </c>
      <c r="AE2518" s="35" t="str">
        <f t="shared" si="40"/>
        <v>EF1 E002 Mat</v>
      </c>
    </row>
    <row r="2519" spans="1:31" ht="120" x14ac:dyDescent="0.25">
      <c r="A2519" s="31" t="s">
        <v>5268</v>
      </c>
      <c r="B2519" s="16" t="s">
        <v>32</v>
      </c>
      <c r="C2519" s="16" t="s">
        <v>33</v>
      </c>
      <c r="D2519" s="33" t="s">
        <v>4732</v>
      </c>
      <c r="E2519" s="33">
        <v>205</v>
      </c>
      <c r="F2519" s="33">
        <v>2</v>
      </c>
      <c r="G2519" s="33" t="s">
        <v>4528</v>
      </c>
      <c r="H2519" s="33" t="s">
        <v>1933</v>
      </c>
      <c r="I2519" s="31" t="s">
        <v>35</v>
      </c>
      <c r="J2519" s="31"/>
      <c r="K2519" s="33"/>
      <c r="L2519" s="33"/>
      <c r="M2519" s="31"/>
      <c r="N2519" s="31"/>
      <c r="O2519" s="16" t="s">
        <v>5269</v>
      </c>
      <c r="P2519" s="16"/>
      <c r="Q2519" s="16"/>
      <c r="R2519" s="33">
        <v>126</v>
      </c>
      <c r="S2519" s="34">
        <v>45891</v>
      </c>
      <c r="T2519" s="34">
        <v>45892</v>
      </c>
      <c r="U2519" s="34"/>
      <c r="V2519" s="34"/>
      <c r="W2519" s="34">
        <v>45892</v>
      </c>
      <c r="X2519" s="33" t="s">
        <v>85</v>
      </c>
      <c r="Y2519" s="35" t="str">
        <f>IF(Tabela2[[#This Row],[SIGLA]]="","",VLOOKUP(Tabela2[[#This Row],[SIGLA]],Tabela1[[#All],[Sigla Arte]:[Crédito]],2,0))</f>
        <v>HELOÍSA PINTARELLI/ARQUIVO DA EDITORA</v>
      </c>
      <c r="Z2519" s="31" t="s">
        <v>352</v>
      </c>
      <c r="AA2519" s="31" t="str">
        <f>Tabela2[[#This Row],[ILUSTRADOR CRIAÇÃO]]</f>
        <v>HELOÍSA PINTARELLI/ARQUIVO DA EDITORA</v>
      </c>
      <c r="AB2519" s="33">
        <v>14</v>
      </c>
      <c r="AC2519" s="16" t="s">
        <v>39</v>
      </c>
      <c r="AD2519" s="16" t="s">
        <v>40</v>
      </c>
      <c r="AE2519" s="35" t="str">
        <f t="shared" si="40"/>
        <v>EF1 E002 Mat</v>
      </c>
    </row>
    <row r="2520" spans="1:31" ht="90" x14ac:dyDescent="0.25">
      <c r="A2520" s="31" t="s">
        <v>5270</v>
      </c>
      <c r="B2520" s="16" t="s">
        <v>32</v>
      </c>
      <c r="C2520" s="16" t="s">
        <v>33</v>
      </c>
      <c r="D2520" s="33" t="s">
        <v>4732</v>
      </c>
      <c r="E2520" s="33">
        <v>205</v>
      </c>
      <c r="F2520" s="33">
        <v>2</v>
      </c>
      <c r="G2520" s="33" t="s">
        <v>4528</v>
      </c>
      <c r="H2520" s="33" t="s">
        <v>1933</v>
      </c>
      <c r="I2520" s="31" t="s">
        <v>35</v>
      </c>
      <c r="J2520" s="31"/>
      <c r="K2520" s="33"/>
      <c r="L2520" s="33"/>
      <c r="M2520" s="31"/>
      <c r="N2520" s="31"/>
      <c r="O2520" s="16" t="s">
        <v>5271</v>
      </c>
      <c r="P2520" s="16"/>
      <c r="Q2520" s="16"/>
      <c r="R2520" s="33">
        <v>126</v>
      </c>
      <c r="S2520" s="34">
        <v>45891</v>
      </c>
      <c r="T2520" s="34">
        <v>45892</v>
      </c>
      <c r="U2520" s="34"/>
      <c r="V2520" s="34"/>
      <c r="W2520" s="34">
        <v>45892</v>
      </c>
      <c r="X2520" s="33" t="s">
        <v>85</v>
      </c>
      <c r="Y2520" s="35" t="str">
        <f>IF(Tabela2[[#This Row],[SIGLA]]="","",VLOOKUP(Tabela2[[#This Row],[SIGLA]],Tabela1[[#All],[Sigla Arte]:[Crédito]],2,0))</f>
        <v>HELOÍSA PINTARELLI/ARQUIVO DA EDITORA</v>
      </c>
      <c r="Z2520" s="31" t="s">
        <v>352</v>
      </c>
      <c r="AA2520" s="31" t="str">
        <f>Tabela2[[#This Row],[ILUSTRADOR CRIAÇÃO]]</f>
        <v>HELOÍSA PINTARELLI/ARQUIVO DA EDITORA</v>
      </c>
      <c r="AB2520" s="33">
        <v>13</v>
      </c>
      <c r="AC2520" s="16" t="s">
        <v>39</v>
      </c>
      <c r="AD2520" s="16" t="s">
        <v>40</v>
      </c>
      <c r="AE2520" s="35" t="str">
        <f t="shared" si="40"/>
        <v>EF1 E002 Mat</v>
      </c>
    </row>
    <row r="2521" spans="1:31" ht="135" x14ac:dyDescent="0.25">
      <c r="A2521" s="31" t="s">
        <v>5272</v>
      </c>
      <c r="B2521" s="16" t="s">
        <v>97</v>
      </c>
      <c r="C2521" s="16" t="s">
        <v>33</v>
      </c>
      <c r="D2521" s="33" t="s">
        <v>34</v>
      </c>
      <c r="E2521" s="33">
        <v>230</v>
      </c>
      <c r="F2521" s="33">
        <v>4</v>
      </c>
      <c r="G2521" s="33">
        <v>11</v>
      </c>
      <c r="H2521" s="33"/>
      <c r="I2521" s="31" t="s">
        <v>995</v>
      </c>
      <c r="J2521" s="31"/>
      <c r="K2521" s="33"/>
      <c r="L2521" s="33"/>
      <c r="M2521" s="31"/>
      <c r="N2521" s="31"/>
      <c r="O2521" s="16" t="s">
        <v>5273</v>
      </c>
      <c r="P2521" s="16"/>
      <c r="Q2521" s="16"/>
      <c r="R2521" s="33">
        <v>127</v>
      </c>
      <c r="S2521" s="34">
        <v>45894</v>
      </c>
      <c r="T2521" s="34">
        <v>45894</v>
      </c>
      <c r="U2521" s="34"/>
      <c r="V2521" s="34"/>
      <c r="W2521" s="34">
        <v>45896</v>
      </c>
      <c r="X2521" s="33" t="s">
        <v>1201</v>
      </c>
      <c r="Y2521" s="35" t="str">
        <f>IF(Tabela2[[#This Row],[SIGLA]]="","",VLOOKUP(Tabela2[[#This Row],[SIGLA]],Tabela1[[#All],[Sigla Arte]:[Crédito]],2,0))</f>
        <v>RAFAELA PANISSA/ARQUIVO DA EDITORA</v>
      </c>
      <c r="Z2521" s="31"/>
      <c r="AA2521" s="31" t="str">
        <f>Tabela2[[#This Row],[ILUSTRADOR CRIAÇÃO]]</f>
        <v>RAFAELA PANISSA/ARQUIVO DA EDITORA</v>
      </c>
      <c r="AB2521" s="33">
        <v>7</v>
      </c>
      <c r="AC2521" s="16" t="s">
        <v>924</v>
      </c>
      <c r="AD2521" s="16" t="s">
        <v>40</v>
      </c>
      <c r="AE2521" s="35" t="str">
        <f t="shared" si="40"/>
        <v>EF1 E002 Mat</v>
      </c>
    </row>
    <row r="2522" spans="1:31" ht="30" x14ac:dyDescent="0.25">
      <c r="A2522" s="31" t="s">
        <v>5274</v>
      </c>
      <c r="B2522" s="16" t="s">
        <v>97</v>
      </c>
      <c r="C2522" s="16" t="s">
        <v>164</v>
      </c>
      <c r="D2522" s="33" t="s">
        <v>34</v>
      </c>
      <c r="E2522" s="33">
        <v>232</v>
      </c>
      <c r="F2522" s="33">
        <v>4</v>
      </c>
      <c r="G2522" s="33">
        <v>11</v>
      </c>
      <c r="H2522" s="33"/>
      <c r="I2522" s="31" t="s">
        <v>995</v>
      </c>
      <c r="J2522" s="31"/>
      <c r="K2522" s="33"/>
      <c r="L2522" s="33"/>
      <c r="M2522" s="31"/>
      <c r="N2522" s="31"/>
      <c r="O2522" s="16" t="s">
        <v>5275</v>
      </c>
      <c r="P2522" s="16"/>
      <c r="Q2522" s="16"/>
      <c r="R2522" s="33">
        <v>127</v>
      </c>
      <c r="S2522" s="34">
        <v>45894</v>
      </c>
      <c r="T2522" s="34">
        <v>45894</v>
      </c>
      <c r="U2522" s="34"/>
      <c r="V2522" s="34"/>
      <c r="W2522" s="34">
        <v>45896</v>
      </c>
      <c r="X2522" s="33" t="s">
        <v>184</v>
      </c>
      <c r="Y2522" s="35" t="str">
        <f>IF(Tabela2[[#This Row],[SIGLA]]="","",VLOOKUP(Tabela2[[#This Row],[SIGLA]],Tabela1[[#All],[Sigla Arte]:[Crédito]],2,0))</f>
        <v>VER DOCUMENTO DE ILS. TÉCNICAS</v>
      </c>
      <c r="Z2522" s="31"/>
      <c r="AA2522" s="31" t="s">
        <v>5276</v>
      </c>
      <c r="AB2522" s="33">
        <v>8</v>
      </c>
      <c r="AC2522" s="16" t="s">
        <v>924</v>
      </c>
      <c r="AD2522" s="16" t="s">
        <v>40</v>
      </c>
      <c r="AE2522" s="35" t="str">
        <f t="shared" si="40"/>
        <v>EF1 E002 Mat</v>
      </c>
    </row>
    <row r="2523" spans="1:31" ht="30" x14ac:dyDescent="0.25">
      <c r="A2523" s="31" t="s">
        <v>5277</v>
      </c>
      <c r="B2523" s="16" t="s">
        <v>97</v>
      </c>
      <c r="C2523" s="16" t="s">
        <v>164</v>
      </c>
      <c r="D2523" s="33" t="s">
        <v>34</v>
      </c>
      <c r="E2523" s="33">
        <v>232</v>
      </c>
      <c r="F2523" s="33">
        <v>4</v>
      </c>
      <c r="G2523" s="33">
        <v>11</v>
      </c>
      <c r="H2523" s="33"/>
      <c r="I2523" s="31" t="s">
        <v>995</v>
      </c>
      <c r="J2523" s="31"/>
      <c r="K2523" s="33"/>
      <c r="L2523" s="33"/>
      <c r="M2523" s="31"/>
      <c r="N2523" s="31"/>
      <c r="O2523" s="16" t="s">
        <v>5278</v>
      </c>
      <c r="P2523" s="16"/>
      <c r="Q2523" s="16"/>
      <c r="R2523" s="33">
        <v>127</v>
      </c>
      <c r="S2523" s="34">
        <v>45894</v>
      </c>
      <c r="T2523" s="34">
        <v>45894</v>
      </c>
      <c r="U2523" s="34"/>
      <c r="V2523" s="34"/>
      <c r="W2523" s="34">
        <v>45896</v>
      </c>
      <c r="X2523" s="33" t="s">
        <v>184</v>
      </c>
      <c r="Y2523" s="35" t="str">
        <f>IF(Tabela2[[#This Row],[SIGLA]]="","",VLOOKUP(Tabela2[[#This Row],[SIGLA]],Tabela1[[#All],[Sigla Arte]:[Crédito]],2,0))</f>
        <v>VER DOCUMENTO DE ILS. TÉCNICAS</v>
      </c>
      <c r="Z2523" s="31"/>
      <c r="AA2523" s="31" t="s">
        <v>5276</v>
      </c>
      <c r="AB2523" s="33">
        <v>8</v>
      </c>
      <c r="AC2523" s="16" t="s">
        <v>924</v>
      </c>
      <c r="AD2523" s="16" t="s">
        <v>40</v>
      </c>
      <c r="AE2523" s="35" t="str">
        <f t="shared" si="40"/>
        <v>EF1 E002 Mat</v>
      </c>
    </row>
    <row r="2524" spans="1:31" ht="225" x14ac:dyDescent="0.25">
      <c r="A2524" s="31" t="s">
        <v>5279</v>
      </c>
      <c r="B2524" s="16" t="s">
        <v>97</v>
      </c>
      <c r="C2524" s="16" t="s">
        <v>33</v>
      </c>
      <c r="D2524" s="33" t="s">
        <v>34</v>
      </c>
      <c r="E2524" s="33">
        <v>240</v>
      </c>
      <c r="F2524" s="33">
        <v>4</v>
      </c>
      <c r="G2524" s="33">
        <v>11</v>
      </c>
      <c r="H2524" s="33"/>
      <c r="I2524" s="31" t="s">
        <v>995</v>
      </c>
      <c r="J2524" s="31"/>
      <c r="K2524" s="33"/>
      <c r="L2524" s="33"/>
      <c r="M2524" s="31"/>
      <c r="N2524" s="31"/>
      <c r="O2524" s="16" t="s">
        <v>5280</v>
      </c>
      <c r="P2524" s="16"/>
      <c r="Q2524" s="16"/>
      <c r="R2524" s="33">
        <v>127</v>
      </c>
      <c r="S2524" s="34">
        <v>45894</v>
      </c>
      <c r="T2524" s="34">
        <v>45895</v>
      </c>
      <c r="U2524" s="34">
        <v>45898</v>
      </c>
      <c r="V2524" s="34">
        <v>45901</v>
      </c>
      <c r="W2524" s="34">
        <v>45902</v>
      </c>
      <c r="X2524" s="33" t="s">
        <v>5281</v>
      </c>
      <c r="Y2524" s="35" t="str">
        <f>IF(Tabela2[[#This Row],[SIGLA]]="","",VLOOKUP(Tabela2[[#This Row],[SIGLA]],Tabela1[[#All],[Sigla Arte]:[Crédito]],2,0))</f>
        <v>JULIANA DACOSTA/ARQUIVO DA EDITORA</v>
      </c>
      <c r="Z2524" s="31"/>
      <c r="AA2524" s="31" t="str">
        <f>Tabela2[[#This Row],[ILUSTRADOR CRIAÇÃO]]</f>
        <v>JULIANA DACOSTA/ARQUIVO DA EDITORA</v>
      </c>
      <c r="AB2524" s="33">
        <v>5</v>
      </c>
      <c r="AC2524" s="16" t="s">
        <v>5282</v>
      </c>
      <c r="AD2524" s="16" t="s">
        <v>1093</v>
      </c>
      <c r="AE2524" s="35" t="str">
        <f t="shared" si="40"/>
        <v>EF1 E002 Mat</v>
      </c>
    </row>
    <row r="2525" spans="1:31" ht="240" x14ac:dyDescent="0.25">
      <c r="A2525" s="31" t="s">
        <v>5283</v>
      </c>
      <c r="B2525" s="16" t="s">
        <v>97</v>
      </c>
      <c r="C2525" s="16" t="s">
        <v>33</v>
      </c>
      <c r="D2525" s="33" t="s">
        <v>34</v>
      </c>
      <c r="E2525" s="33">
        <v>240</v>
      </c>
      <c r="F2525" s="33">
        <v>4</v>
      </c>
      <c r="G2525" s="33">
        <v>11</v>
      </c>
      <c r="H2525" s="33"/>
      <c r="I2525" s="31" t="s">
        <v>995</v>
      </c>
      <c r="J2525" s="31"/>
      <c r="K2525" s="33"/>
      <c r="L2525" s="33"/>
      <c r="M2525" s="31"/>
      <c r="N2525" s="31"/>
      <c r="O2525" s="16" t="s">
        <v>5284</v>
      </c>
      <c r="P2525" s="16"/>
      <c r="Q2525" s="16"/>
      <c r="R2525" s="33">
        <v>127</v>
      </c>
      <c r="S2525" s="34">
        <v>45894</v>
      </c>
      <c r="T2525" s="34">
        <v>45895</v>
      </c>
      <c r="U2525" s="34">
        <v>45898</v>
      </c>
      <c r="V2525" s="34">
        <v>45901</v>
      </c>
      <c r="W2525" s="34">
        <v>45902</v>
      </c>
      <c r="X2525" s="33" t="s">
        <v>5281</v>
      </c>
      <c r="Y2525" s="35" t="str">
        <f>IF(Tabela2[[#This Row],[SIGLA]]="","",VLOOKUP(Tabela2[[#This Row],[SIGLA]],Tabela1[[#All],[Sigla Arte]:[Crédito]],2,0))</f>
        <v>JULIANA DACOSTA/ARQUIVO DA EDITORA</v>
      </c>
      <c r="Z2525" s="31"/>
      <c r="AA2525" s="31" t="str">
        <f>Tabela2[[#This Row],[ILUSTRADOR CRIAÇÃO]]</f>
        <v>JULIANA DACOSTA/ARQUIVO DA EDITORA</v>
      </c>
      <c r="AB2525" s="33">
        <v>5</v>
      </c>
      <c r="AC2525" s="16" t="s">
        <v>5282</v>
      </c>
      <c r="AD2525" s="16" t="s">
        <v>1093</v>
      </c>
      <c r="AE2525" s="35" t="str">
        <f t="shared" si="40"/>
        <v>EF1 E002 Mat</v>
      </c>
    </row>
    <row r="2526" spans="1:31" ht="45" x14ac:dyDescent="0.25">
      <c r="A2526" s="31" t="s">
        <v>5285</v>
      </c>
      <c r="B2526" s="16" t="s">
        <v>32</v>
      </c>
      <c r="C2526" s="16" t="s">
        <v>164</v>
      </c>
      <c r="D2526" s="33" t="s">
        <v>34</v>
      </c>
      <c r="E2526" s="33">
        <v>283</v>
      </c>
      <c r="F2526" s="33">
        <v>4</v>
      </c>
      <c r="G2526" s="33"/>
      <c r="H2526" s="33" t="s">
        <v>4419</v>
      </c>
      <c r="I2526" s="31" t="s">
        <v>46</v>
      </c>
      <c r="J2526" s="31"/>
      <c r="K2526" s="33"/>
      <c r="L2526" s="33"/>
      <c r="M2526" s="31"/>
      <c r="N2526" s="31"/>
      <c r="O2526" s="16" t="s">
        <v>5286</v>
      </c>
      <c r="P2526" s="16"/>
      <c r="Q2526" s="16"/>
      <c r="R2526" s="33"/>
      <c r="S2526" s="34"/>
      <c r="T2526" s="34"/>
      <c r="U2526" s="34"/>
      <c r="V2526" s="34"/>
      <c r="W2526" s="34"/>
      <c r="X2526" s="33" t="s">
        <v>48</v>
      </c>
      <c r="Y2526" s="35" t="str">
        <f>IF(Tabela2[[#This Row],[SIGLA]]="","",VLOOKUP(Tabela2[[#This Row],[SIGLA]],Tabela1[[#All],[Sigla Arte]:[Crédito]],2,0))</f>
        <v>SERGIO LIMA/ARQUIVO DA EDITORA</v>
      </c>
      <c r="Z2526" s="31"/>
      <c r="AA2526" s="31" t="str">
        <f>Tabela2[[#This Row],[ILUSTRADOR CRIAÇÃO]]</f>
        <v>SERGIO LIMA/ARQUIVO DA EDITORA</v>
      </c>
      <c r="AB2526" s="33"/>
      <c r="AC2526" s="16"/>
      <c r="AE2526" s="35" t="str">
        <f t="shared" si="40"/>
        <v>EF1 E002 Mat</v>
      </c>
    </row>
    <row r="2527" spans="1:31" ht="45" x14ac:dyDescent="0.25">
      <c r="A2527" s="31" t="s">
        <v>5287</v>
      </c>
      <c r="B2527" s="16" t="s">
        <v>32</v>
      </c>
      <c r="C2527" s="16" t="s">
        <v>164</v>
      </c>
      <c r="D2527" s="33" t="s">
        <v>34</v>
      </c>
      <c r="E2527" s="33">
        <v>285</v>
      </c>
      <c r="F2527" s="33">
        <v>4</v>
      </c>
      <c r="G2527" s="33"/>
      <c r="H2527" s="33" t="s">
        <v>4419</v>
      </c>
      <c r="I2527" s="31" t="s">
        <v>35</v>
      </c>
      <c r="J2527" s="31"/>
      <c r="K2527" s="33"/>
      <c r="L2527" s="33"/>
      <c r="M2527" s="31"/>
      <c r="N2527" s="31"/>
      <c r="O2527" s="16" t="s">
        <v>5288</v>
      </c>
      <c r="P2527" s="16"/>
      <c r="Q2527" s="16"/>
      <c r="R2527" s="33">
        <v>191</v>
      </c>
      <c r="S2527" s="34">
        <v>45939</v>
      </c>
      <c r="T2527" s="34">
        <v>45939</v>
      </c>
      <c r="U2527" s="34"/>
      <c r="V2527" s="34"/>
      <c r="W2527" s="34">
        <v>45939</v>
      </c>
      <c r="X2527" s="33" t="s">
        <v>48</v>
      </c>
      <c r="Y2527" s="35" t="str">
        <f>IF(Tabela2[[#This Row],[SIGLA]]="","",VLOOKUP(Tabela2[[#This Row],[SIGLA]],Tabela1[[#All],[Sigla Arte]:[Crédito]],2,0))</f>
        <v>SERGIO LIMA/ARQUIVO DA EDITORA</v>
      </c>
      <c r="Z2527" s="31" t="s">
        <v>1465</v>
      </c>
      <c r="AA2527" s="31" t="str">
        <f>Tabela2[[#This Row],[ILUSTRADOR CRIAÇÃO]]</f>
        <v>SERGIO LIMA/ARQUIVO DA EDITORA</v>
      </c>
      <c r="AB2527" s="33">
        <v>13</v>
      </c>
      <c r="AC2527" s="16" t="s">
        <v>439</v>
      </c>
      <c r="AD2527" s="16" t="s">
        <v>40</v>
      </c>
      <c r="AE2527" s="35" t="str">
        <f t="shared" si="40"/>
        <v>EF1 E002 Mat</v>
      </c>
    </row>
    <row r="2528" spans="1:31" ht="45" x14ac:dyDescent="0.25">
      <c r="A2528" s="31" t="s">
        <v>5289</v>
      </c>
      <c r="B2528" s="16" t="s">
        <v>32</v>
      </c>
      <c r="C2528" s="16" t="s">
        <v>164</v>
      </c>
      <c r="D2528" s="33" t="s">
        <v>34</v>
      </c>
      <c r="E2528" s="33">
        <v>200</v>
      </c>
      <c r="F2528" s="33">
        <v>3</v>
      </c>
      <c r="G2528" s="33">
        <v>10</v>
      </c>
      <c r="H2528" s="33"/>
      <c r="I2528" s="31" t="s">
        <v>995</v>
      </c>
      <c r="J2528" s="31"/>
      <c r="K2528" s="33"/>
      <c r="L2528" s="33"/>
      <c r="M2528" s="31"/>
      <c r="N2528" s="31"/>
      <c r="O2528" s="16" t="s">
        <v>5290</v>
      </c>
      <c r="P2528" s="16"/>
      <c r="Q2528" s="16"/>
      <c r="R2528" s="33">
        <v>128</v>
      </c>
      <c r="S2528" s="34">
        <v>45895</v>
      </c>
      <c r="T2528" s="34">
        <v>45895</v>
      </c>
      <c r="U2528" s="34"/>
      <c r="V2528" s="34"/>
      <c r="W2528" s="34">
        <v>45895</v>
      </c>
      <c r="X2528" s="33" t="s">
        <v>184</v>
      </c>
      <c r="Y2528" s="35" t="str">
        <f>IF(Tabela2[[#This Row],[SIGLA]]="","",VLOOKUP(Tabela2[[#This Row],[SIGLA]],Tabela1[[#All],[Sigla Arte]:[Crédito]],2,0))</f>
        <v>VER DOCUMENTO DE ILS. TÉCNICAS</v>
      </c>
      <c r="Z2528" s="31" t="s">
        <v>572</v>
      </c>
      <c r="AA2528" s="31" t="s">
        <v>185</v>
      </c>
      <c r="AB2528" s="33">
        <v>13</v>
      </c>
      <c r="AC2528" s="16" t="s">
        <v>439</v>
      </c>
      <c r="AD2528" s="16" t="s">
        <v>40</v>
      </c>
      <c r="AE2528" s="35" t="str">
        <f t="shared" si="40"/>
        <v>EF1 E002 Mat</v>
      </c>
    </row>
    <row r="2529" spans="1:31" ht="105" x14ac:dyDescent="0.25">
      <c r="A2529" s="31" t="s">
        <v>5291</v>
      </c>
      <c r="B2529" s="16" t="s">
        <v>32</v>
      </c>
      <c r="C2529" s="16" t="s">
        <v>164</v>
      </c>
      <c r="D2529" s="33" t="s">
        <v>34</v>
      </c>
      <c r="E2529" s="33">
        <v>200</v>
      </c>
      <c r="F2529" s="33">
        <v>3</v>
      </c>
      <c r="G2529" s="33">
        <v>10</v>
      </c>
      <c r="H2529" s="33"/>
      <c r="I2529" s="31" t="s">
        <v>995</v>
      </c>
      <c r="J2529" s="31"/>
      <c r="K2529" s="33"/>
      <c r="L2529" s="33"/>
      <c r="M2529" s="31"/>
      <c r="N2529" s="31"/>
      <c r="O2529" s="16" t="s">
        <v>5292</v>
      </c>
      <c r="P2529" s="16"/>
      <c r="Q2529" s="16"/>
      <c r="R2529" s="33">
        <v>128</v>
      </c>
      <c r="S2529" s="34">
        <v>45895</v>
      </c>
      <c r="T2529" s="34">
        <v>45895</v>
      </c>
      <c r="U2529" s="34"/>
      <c r="V2529" s="34"/>
      <c r="W2529" s="34">
        <v>45895</v>
      </c>
      <c r="X2529" s="33" t="s">
        <v>184</v>
      </c>
      <c r="Y2529" s="35" t="str">
        <f>IF(Tabela2[[#This Row],[SIGLA]]="","",VLOOKUP(Tabela2[[#This Row],[SIGLA]],Tabela1[[#All],[Sigla Arte]:[Crédito]],2,0))</f>
        <v>VER DOCUMENTO DE ILS. TÉCNICAS</v>
      </c>
      <c r="Z2529" s="31" t="s">
        <v>572</v>
      </c>
      <c r="AA2529" s="31" t="s">
        <v>185</v>
      </c>
      <c r="AB2529" s="33">
        <v>13</v>
      </c>
      <c r="AC2529" s="16" t="s">
        <v>439</v>
      </c>
      <c r="AD2529" s="16" t="s">
        <v>40</v>
      </c>
      <c r="AE2529" s="35" t="str">
        <f t="shared" si="40"/>
        <v>EF1 E002 Mat</v>
      </c>
    </row>
    <row r="2530" spans="1:31" ht="45" x14ac:dyDescent="0.25">
      <c r="A2530" s="31" t="s">
        <v>5293</v>
      </c>
      <c r="B2530" s="16" t="s">
        <v>32</v>
      </c>
      <c r="C2530" s="16" t="s">
        <v>164</v>
      </c>
      <c r="D2530" s="33" t="s">
        <v>34</v>
      </c>
      <c r="E2530" s="33">
        <v>200</v>
      </c>
      <c r="F2530" s="33">
        <v>3</v>
      </c>
      <c r="G2530" s="33">
        <v>10</v>
      </c>
      <c r="H2530" s="33"/>
      <c r="I2530" s="31" t="s">
        <v>995</v>
      </c>
      <c r="J2530" s="31"/>
      <c r="K2530" s="33"/>
      <c r="L2530" s="33"/>
      <c r="M2530" s="31"/>
      <c r="N2530" s="31"/>
      <c r="O2530" s="16" t="s">
        <v>5294</v>
      </c>
      <c r="P2530" s="16"/>
      <c r="Q2530" s="16"/>
      <c r="R2530" s="33">
        <v>128</v>
      </c>
      <c r="S2530" s="34">
        <v>45895</v>
      </c>
      <c r="T2530" s="34">
        <v>45895</v>
      </c>
      <c r="U2530" s="34"/>
      <c r="V2530" s="34"/>
      <c r="W2530" s="34">
        <v>45895</v>
      </c>
      <c r="X2530" s="33" t="s">
        <v>184</v>
      </c>
      <c r="Y2530" s="35" t="str">
        <f>IF(Tabela2[[#This Row],[SIGLA]]="","",VLOOKUP(Tabela2[[#This Row],[SIGLA]],Tabela1[[#All],[Sigla Arte]:[Crédito]],2,0))</f>
        <v>VER DOCUMENTO DE ILS. TÉCNICAS</v>
      </c>
      <c r="Z2530" s="31" t="s">
        <v>572</v>
      </c>
      <c r="AA2530" s="31" t="s">
        <v>185</v>
      </c>
      <c r="AB2530" s="33">
        <v>13</v>
      </c>
      <c r="AC2530" s="16" t="s">
        <v>439</v>
      </c>
      <c r="AD2530" s="16" t="s">
        <v>40</v>
      </c>
      <c r="AE2530" s="35" t="str">
        <f t="shared" si="40"/>
        <v>EF1 E002 Mat</v>
      </c>
    </row>
    <row r="2531" spans="1:31" ht="165" x14ac:dyDescent="0.25">
      <c r="A2531" s="31" t="s">
        <v>5295</v>
      </c>
      <c r="B2531" s="16" t="s">
        <v>32</v>
      </c>
      <c r="C2531" s="16" t="s">
        <v>327</v>
      </c>
      <c r="D2531" s="33" t="s">
        <v>34</v>
      </c>
      <c r="E2531" s="33">
        <v>34</v>
      </c>
      <c r="F2531" s="33">
        <v>5</v>
      </c>
      <c r="G2531" s="33">
        <v>2</v>
      </c>
      <c r="H2531" s="33"/>
      <c r="I2531" s="31" t="s">
        <v>995</v>
      </c>
      <c r="J2531" s="31"/>
      <c r="K2531" s="33"/>
      <c r="L2531" s="33"/>
      <c r="M2531" s="31"/>
      <c r="N2531" s="31"/>
      <c r="O2531" s="16" t="s">
        <v>5296</v>
      </c>
      <c r="P2531" s="16"/>
      <c r="Q2531" s="16"/>
      <c r="R2531" s="33">
        <v>129</v>
      </c>
      <c r="S2531" s="34">
        <v>45895</v>
      </c>
      <c r="T2531" s="34">
        <v>45898</v>
      </c>
      <c r="U2531" s="34"/>
      <c r="V2531" s="34"/>
      <c r="W2531" s="34">
        <v>45898</v>
      </c>
      <c r="X2531" s="33" t="s">
        <v>4713</v>
      </c>
      <c r="Y2531" s="35" t="str">
        <f>IF(Tabela2[[#This Row],[SIGLA]]="","",VLOOKUP(Tabela2[[#This Row],[SIGLA]],Tabela1[[#All],[Sigla Arte]:[Crédito]],2,0))</f>
        <v>NICOLAS FURTADO/ARQUIVO DA EDITORA</v>
      </c>
      <c r="Z2531" s="31"/>
      <c r="AA2531" s="31" t="str">
        <f>Tabela2[[#This Row],[ILUSTRADOR CRIAÇÃO]]</f>
        <v>NICOLAS FURTADO/ARQUIVO DA EDITORA</v>
      </c>
      <c r="AB2531" s="33">
        <v>12</v>
      </c>
      <c r="AC2531" s="16" t="s">
        <v>2102</v>
      </c>
      <c r="AD2531" s="16" t="s">
        <v>40</v>
      </c>
      <c r="AE2531" s="35" t="str">
        <f t="shared" si="40"/>
        <v>EF1 E002 Mat</v>
      </c>
    </row>
    <row r="2532" spans="1:31" ht="60" x14ac:dyDescent="0.25">
      <c r="A2532" s="31" t="s">
        <v>5297</v>
      </c>
      <c r="B2532" s="16" t="s">
        <v>32</v>
      </c>
      <c r="C2532" s="16" t="s">
        <v>164</v>
      </c>
      <c r="D2532" s="33" t="s">
        <v>34</v>
      </c>
      <c r="E2532" s="33">
        <v>34</v>
      </c>
      <c r="F2532" s="33">
        <v>5</v>
      </c>
      <c r="G2532" s="33">
        <v>2</v>
      </c>
      <c r="H2532" s="33"/>
      <c r="I2532" s="31" t="s">
        <v>995</v>
      </c>
      <c r="J2532" s="31"/>
      <c r="K2532" s="33"/>
      <c r="L2532" s="33"/>
      <c r="M2532" s="31"/>
      <c r="N2532" s="31"/>
      <c r="O2532" s="16" t="s">
        <v>5298</v>
      </c>
      <c r="P2532" s="16"/>
      <c r="Q2532" s="16"/>
      <c r="R2532" s="33">
        <v>129</v>
      </c>
      <c r="S2532" s="34">
        <v>45895</v>
      </c>
      <c r="T2532" s="34">
        <v>45898</v>
      </c>
      <c r="U2532" s="34"/>
      <c r="V2532" s="34"/>
      <c r="W2532" s="34">
        <v>45898</v>
      </c>
      <c r="X2532" s="33" t="s">
        <v>184</v>
      </c>
      <c r="Y2532" s="35" t="str">
        <f>IF(Tabela2[[#This Row],[SIGLA]]="","",VLOOKUP(Tabela2[[#This Row],[SIGLA]],Tabela1[[#All],[Sigla Arte]:[Crédito]],2,0))</f>
        <v>VER DOCUMENTO DE ILS. TÉCNICAS</v>
      </c>
      <c r="Z2532" s="31" t="s">
        <v>101</v>
      </c>
      <c r="AA2532" s="31" t="s">
        <v>191</v>
      </c>
      <c r="AB2532" s="33">
        <v>14</v>
      </c>
      <c r="AC2532" s="16" t="s">
        <v>2102</v>
      </c>
      <c r="AD2532" s="16" t="s">
        <v>40</v>
      </c>
      <c r="AE2532" s="35" t="str">
        <f t="shared" si="40"/>
        <v>EF1 E002 Mat</v>
      </c>
    </row>
    <row r="2533" spans="1:31" ht="60" x14ac:dyDescent="0.25">
      <c r="A2533" s="31" t="s">
        <v>5299</v>
      </c>
      <c r="B2533" s="16" t="s">
        <v>32</v>
      </c>
      <c r="C2533" s="16" t="s">
        <v>164</v>
      </c>
      <c r="D2533" s="33" t="s">
        <v>34</v>
      </c>
      <c r="E2533" s="33">
        <v>35</v>
      </c>
      <c r="F2533" s="33">
        <v>5</v>
      </c>
      <c r="G2533" s="33">
        <v>2</v>
      </c>
      <c r="H2533" s="33"/>
      <c r="I2533" s="31" t="s">
        <v>995</v>
      </c>
      <c r="J2533" s="31"/>
      <c r="K2533" s="33"/>
      <c r="L2533" s="33"/>
      <c r="M2533" s="31"/>
      <c r="N2533" s="31"/>
      <c r="O2533" s="16" t="s">
        <v>5300</v>
      </c>
      <c r="P2533" s="16"/>
      <c r="Q2533" s="16"/>
      <c r="R2533" s="33">
        <v>129</v>
      </c>
      <c r="S2533" s="34">
        <v>45895</v>
      </c>
      <c r="T2533" s="34">
        <v>45898</v>
      </c>
      <c r="U2533" s="34"/>
      <c r="V2533" s="34"/>
      <c r="W2533" s="34">
        <v>45898</v>
      </c>
      <c r="X2533" s="33" t="s">
        <v>184</v>
      </c>
      <c r="Y2533" s="35" t="str">
        <f>IF(Tabela2[[#This Row],[SIGLA]]="","",VLOOKUP(Tabela2[[#This Row],[SIGLA]],Tabela1[[#All],[Sigla Arte]:[Crédito]],2,0))</f>
        <v>VER DOCUMENTO DE ILS. TÉCNICAS</v>
      </c>
      <c r="Z2533" s="31" t="s">
        <v>101</v>
      </c>
      <c r="AA2533" s="31" t="s">
        <v>191</v>
      </c>
      <c r="AB2533" s="33">
        <v>14</v>
      </c>
      <c r="AC2533" s="16" t="s">
        <v>2102</v>
      </c>
      <c r="AD2533" s="16" t="s">
        <v>40</v>
      </c>
      <c r="AE2533" s="35" t="str">
        <f t="shared" si="40"/>
        <v>EF1 E002 Mat</v>
      </c>
    </row>
    <row r="2534" spans="1:31" ht="60" x14ac:dyDescent="0.25">
      <c r="A2534" s="31" t="s">
        <v>5301</v>
      </c>
      <c r="B2534" s="16" t="s">
        <v>32</v>
      </c>
      <c r="C2534" s="16" t="s">
        <v>164</v>
      </c>
      <c r="D2534" s="33" t="s">
        <v>34</v>
      </c>
      <c r="E2534" s="33">
        <v>35</v>
      </c>
      <c r="F2534" s="33">
        <v>5</v>
      </c>
      <c r="G2534" s="33">
        <v>2</v>
      </c>
      <c r="H2534" s="33"/>
      <c r="I2534" s="31" t="s">
        <v>995</v>
      </c>
      <c r="J2534" s="31"/>
      <c r="K2534" s="33"/>
      <c r="L2534" s="33"/>
      <c r="M2534" s="31"/>
      <c r="N2534" s="31"/>
      <c r="O2534" s="16" t="s">
        <v>5302</v>
      </c>
      <c r="P2534" s="16"/>
      <c r="Q2534" s="16"/>
      <c r="R2534" s="33">
        <v>129</v>
      </c>
      <c r="S2534" s="34">
        <v>45895</v>
      </c>
      <c r="T2534" s="34">
        <v>45898</v>
      </c>
      <c r="U2534" s="34"/>
      <c r="V2534" s="34"/>
      <c r="W2534" s="34">
        <v>45898</v>
      </c>
      <c r="X2534" s="33" t="s">
        <v>184</v>
      </c>
      <c r="Y2534" s="35" t="str">
        <f>IF(Tabela2[[#This Row],[SIGLA]]="","",VLOOKUP(Tabela2[[#This Row],[SIGLA]],Tabela1[[#All],[Sigla Arte]:[Crédito]],2,0))</f>
        <v>VER DOCUMENTO DE ILS. TÉCNICAS</v>
      </c>
      <c r="Z2534" s="31" t="s">
        <v>101</v>
      </c>
      <c r="AA2534" s="31" t="s">
        <v>191</v>
      </c>
      <c r="AB2534" s="33">
        <v>14</v>
      </c>
      <c r="AC2534" s="16" t="s">
        <v>2102</v>
      </c>
      <c r="AD2534" s="16" t="s">
        <v>40</v>
      </c>
      <c r="AE2534" s="35" t="str">
        <f t="shared" si="40"/>
        <v>EF1 E002 Mat</v>
      </c>
    </row>
    <row r="2535" spans="1:31" ht="135" x14ac:dyDescent="0.25">
      <c r="A2535" s="31" t="s">
        <v>5303</v>
      </c>
      <c r="B2535" s="16" t="s">
        <v>32</v>
      </c>
      <c r="C2535" s="16" t="s">
        <v>33</v>
      </c>
      <c r="D2535" s="33" t="s">
        <v>34</v>
      </c>
      <c r="E2535" s="33">
        <v>39</v>
      </c>
      <c r="F2535" s="33">
        <v>5</v>
      </c>
      <c r="G2535" s="33">
        <v>2</v>
      </c>
      <c r="H2535" s="33"/>
      <c r="I2535" s="31" t="s">
        <v>35</v>
      </c>
      <c r="J2535" s="31"/>
      <c r="K2535" s="33"/>
      <c r="L2535" s="33"/>
      <c r="M2535" s="31"/>
      <c r="N2535" s="31"/>
      <c r="O2535" s="16" t="s">
        <v>5304</v>
      </c>
      <c r="P2535" s="16"/>
      <c r="Q2535" s="16"/>
      <c r="R2535" s="33">
        <v>129</v>
      </c>
      <c r="S2535" s="34">
        <v>45895</v>
      </c>
      <c r="T2535" s="34">
        <v>45898</v>
      </c>
      <c r="U2535" s="34"/>
      <c r="V2535" s="34"/>
      <c r="W2535" s="34">
        <v>45898</v>
      </c>
      <c r="X2535" s="33" t="s">
        <v>85</v>
      </c>
      <c r="Y2535" s="35" t="str">
        <f>IF(Tabela2[[#This Row],[SIGLA]]="","",VLOOKUP(Tabela2[[#This Row],[SIGLA]],Tabela1[[#All],[Sigla Arte]:[Crédito]],2,0))</f>
        <v>HELOÍSA PINTARELLI/ARQUIVO DA EDITORA</v>
      </c>
      <c r="Z2535" s="31" t="s">
        <v>101</v>
      </c>
      <c r="AA2535" s="31" t="str">
        <f>Tabela2[[#This Row],[ILUSTRADOR CRIAÇÃO]]</f>
        <v>HELOÍSA PINTARELLI/ARQUIVO DA EDITORA</v>
      </c>
      <c r="AB2535" s="33">
        <v>14</v>
      </c>
      <c r="AC2535" s="16" t="s">
        <v>102</v>
      </c>
      <c r="AD2535" s="16" t="s">
        <v>40</v>
      </c>
      <c r="AE2535" s="35" t="str">
        <f t="shared" si="40"/>
        <v>EF1 E002 Mat</v>
      </c>
    </row>
    <row r="2536" spans="1:31" ht="60" x14ac:dyDescent="0.25">
      <c r="A2536" s="31" t="s">
        <v>5305</v>
      </c>
      <c r="B2536" s="16" t="s">
        <v>32</v>
      </c>
      <c r="C2536" s="16" t="s">
        <v>33</v>
      </c>
      <c r="D2536" s="33" t="s">
        <v>34</v>
      </c>
      <c r="E2536" s="33">
        <v>43</v>
      </c>
      <c r="F2536" s="33">
        <v>5</v>
      </c>
      <c r="G2536" s="33">
        <v>2</v>
      </c>
      <c r="H2536" s="33"/>
      <c r="I2536" s="31" t="s">
        <v>35</v>
      </c>
      <c r="J2536" s="31"/>
      <c r="K2536" s="33"/>
      <c r="L2536" s="33"/>
      <c r="M2536" s="31"/>
      <c r="N2536" s="31"/>
      <c r="O2536" s="16" t="s">
        <v>5306</v>
      </c>
      <c r="P2536" s="16"/>
      <c r="Q2536" s="16"/>
      <c r="R2536" s="33">
        <v>196</v>
      </c>
      <c r="S2536" s="34">
        <v>45940</v>
      </c>
      <c r="T2536" s="34">
        <v>45940</v>
      </c>
      <c r="U2536" s="34"/>
      <c r="V2536" s="34"/>
      <c r="W2536" s="34">
        <v>45940</v>
      </c>
      <c r="X2536" s="33" t="s">
        <v>162</v>
      </c>
      <c r="Y2536" s="35" t="str">
        <f>IF(Tabela2[[#This Row],[SIGLA]]="","",VLOOKUP(Tabela2[[#This Row],[SIGLA]],Tabela1[[#All],[Sigla Arte]:[Crédito]],2,0))</f>
        <v>IVY NUNES/ARQUIVO DA EDITORA</v>
      </c>
      <c r="Z2536" s="31" t="s">
        <v>572</v>
      </c>
      <c r="AA2536" s="31" t="str">
        <f>Tabela2[[#This Row],[ILUSTRADOR CRIAÇÃO]]</f>
        <v>IVY NUNES/ARQUIVO DA EDITORA</v>
      </c>
      <c r="AB2536" s="33">
        <v>13</v>
      </c>
      <c r="AC2536" s="16" t="s">
        <v>44</v>
      </c>
      <c r="AD2536" s="16" t="s">
        <v>40</v>
      </c>
      <c r="AE2536" s="35" t="str">
        <f t="shared" si="40"/>
        <v>EF1 E002 Mat</v>
      </c>
    </row>
    <row r="2537" spans="1:31" ht="75" x14ac:dyDescent="0.25">
      <c r="A2537" s="31" t="s">
        <v>5307</v>
      </c>
      <c r="B2537" s="16" t="s">
        <v>32</v>
      </c>
      <c r="C2537" s="16" t="s">
        <v>164</v>
      </c>
      <c r="D2537" s="33" t="s">
        <v>34</v>
      </c>
      <c r="E2537" s="33">
        <v>273</v>
      </c>
      <c r="F2537" s="33">
        <v>5</v>
      </c>
      <c r="G2537" s="33">
        <v>2</v>
      </c>
      <c r="H2537" s="33" t="s">
        <v>4419</v>
      </c>
      <c r="I2537" s="31" t="s">
        <v>35</v>
      </c>
      <c r="J2537" s="31"/>
      <c r="K2537" s="33"/>
      <c r="L2537" s="33"/>
      <c r="M2537" s="31"/>
      <c r="N2537" s="31"/>
      <c r="O2537" s="16" t="s">
        <v>5308</v>
      </c>
      <c r="P2537" s="16"/>
      <c r="Q2537" s="16"/>
      <c r="R2537" s="33">
        <v>183</v>
      </c>
      <c r="S2537" s="34">
        <v>45936</v>
      </c>
      <c r="T2537" s="34">
        <v>45936</v>
      </c>
      <c r="U2537" s="34"/>
      <c r="V2537" s="34"/>
      <c r="W2537" s="34">
        <v>45936</v>
      </c>
      <c r="X2537" s="33" t="s">
        <v>184</v>
      </c>
      <c r="Y2537" s="35" t="str">
        <f>IF(Tabela2[[#This Row],[SIGLA]]="","",VLOOKUP(Tabela2[[#This Row],[SIGLA]],Tabela1[[#All],[Sigla Arte]:[Crédito]],2,0))</f>
        <v>VER DOCUMENTO DE ILS. TÉCNICAS</v>
      </c>
      <c r="Z2537" s="31" t="s">
        <v>572</v>
      </c>
      <c r="AA2537" s="31" t="s">
        <v>5309</v>
      </c>
      <c r="AB2537" s="33">
        <v>13</v>
      </c>
      <c r="AC2537" s="16" t="s">
        <v>44</v>
      </c>
      <c r="AD2537" s="16" t="s">
        <v>40</v>
      </c>
      <c r="AE2537" s="35" t="str">
        <f t="shared" si="40"/>
        <v>EF1 E002 Mat</v>
      </c>
    </row>
    <row r="2538" spans="1:31" ht="60" x14ac:dyDescent="0.25">
      <c r="A2538" s="31" t="s">
        <v>5310</v>
      </c>
      <c r="B2538" s="16" t="s">
        <v>32</v>
      </c>
      <c r="C2538" s="16" t="s">
        <v>164</v>
      </c>
      <c r="D2538" s="33" t="s">
        <v>34</v>
      </c>
      <c r="E2538" s="33">
        <v>275</v>
      </c>
      <c r="F2538" s="33">
        <v>5</v>
      </c>
      <c r="G2538" s="33">
        <v>2</v>
      </c>
      <c r="H2538" s="33" t="s">
        <v>4419</v>
      </c>
      <c r="I2538" s="31" t="s">
        <v>46</v>
      </c>
      <c r="J2538" s="31"/>
      <c r="K2538" s="33"/>
      <c r="L2538" s="33"/>
      <c r="M2538" s="31"/>
      <c r="N2538" s="31"/>
      <c r="O2538" s="16" t="s">
        <v>5311</v>
      </c>
      <c r="P2538" s="16"/>
      <c r="Q2538" s="16"/>
      <c r="R2538" s="33"/>
      <c r="S2538" s="34"/>
      <c r="T2538" s="34"/>
      <c r="U2538" s="34"/>
      <c r="V2538" s="34"/>
      <c r="W2538" s="34"/>
      <c r="X2538" s="33" t="s">
        <v>85</v>
      </c>
      <c r="Y2538" s="35" t="str">
        <f>IF(Tabela2[[#This Row],[SIGLA]]="","",VLOOKUP(Tabela2[[#This Row],[SIGLA]],Tabela1[[#All],[Sigla Arte]:[Crédito]],2,0))</f>
        <v>HELOÍSA PINTARELLI/ARQUIVO DA EDITORA</v>
      </c>
      <c r="Z2538" s="31"/>
      <c r="AA2538" s="31" t="str">
        <f>Tabela2[[#This Row],[ILUSTRADOR CRIAÇÃO]]</f>
        <v>HELOÍSA PINTARELLI/ARQUIVO DA EDITORA</v>
      </c>
      <c r="AB2538" s="33"/>
      <c r="AC2538" s="16"/>
      <c r="AE2538" s="35" t="str">
        <f t="shared" si="40"/>
        <v>EF1 E002 Mat</v>
      </c>
    </row>
    <row r="2539" spans="1:31" ht="165" x14ac:dyDescent="0.25">
      <c r="A2539" s="31" t="s">
        <v>5312</v>
      </c>
      <c r="B2539" s="16" t="s">
        <v>32</v>
      </c>
      <c r="C2539" s="16" t="s">
        <v>33</v>
      </c>
      <c r="D2539" s="33" t="s">
        <v>34</v>
      </c>
      <c r="E2539" s="33">
        <v>60</v>
      </c>
      <c r="F2539" s="33">
        <v>5</v>
      </c>
      <c r="G2539" s="33">
        <v>3</v>
      </c>
      <c r="H2539" s="33"/>
      <c r="I2539" s="31" t="s">
        <v>35</v>
      </c>
      <c r="J2539" s="31"/>
      <c r="K2539" s="33"/>
      <c r="L2539" s="33"/>
      <c r="M2539" s="31"/>
      <c r="N2539" s="31"/>
      <c r="O2539" s="16" t="s">
        <v>5313</v>
      </c>
      <c r="P2539" s="16"/>
      <c r="Q2539" s="16"/>
      <c r="R2539" s="33">
        <v>130</v>
      </c>
      <c r="S2539" s="34">
        <v>45896</v>
      </c>
      <c r="T2539" s="34">
        <v>45896</v>
      </c>
      <c r="U2539" s="34"/>
      <c r="V2539" s="34"/>
      <c r="W2539" s="34">
        <v>45897</v>
      </c>
      <c r="X2539" s="33" t="s">
        <v>162</v>
      </c>
      <c r="Y2539" s="35" t="str">
        <f>IF(Tabela2[[#This Row],[SIGLA]]="","",VLOOKUP(Tabela2[[#This Row],[SIGLA]],Tabela1[[#All],[Sigla Arte]:[Crédito]],2,0))</f>
        <v>IVY NUNES/ARQUIVO DA EDITORA</v>
      </c>
      <c r="Z2539" s="31" t="s">
        <v>572</v>
      </c>
      <c r="AA2539" s="31" t="str">
        <f>Tabela2[[#This Row],[ILUSTRADOR CRIAÇÃO]]</f>
        <v>IVY NUNES/ARQUIVO DA EDITORA</v>
      </c>
      <c r="AB2539" s="33">
        <v>13</v>
      </c>
      <c r="AC2539" s="16" t="s">
        <v>44</v>
      </c>
      <c r="AD2539" s="16" t="s">
        <v>40</v>
      </c>
      <c r="AE2539" s="35" t="str">
        <f t="shared" si="40"/>
        <v>EF1 E002 Mat</v>
      </c>
    </row>
    <row r="2540" spans="1:31" ht="75" x14ac:dyDescent="0.25">
      <c r="A2540" s="31" t="s">
        <v>3539</v>
      </c>
      <c r="B2540" s="16" t="s">
        <v>32</v>
      </c>
      <c r="C2540" s="16" t="s">
        <v>33</v>
      </c>
      <c r="D2540" s="33" t="s">
        <v>34</v>
      </c>
      <c r="E2540" s="33">
        <v>64</v>
      </c>
      <c r="F2540" s="33">
        <v>5</v>
      </c>
      <c r="G2540" s="33">
        <v>3</v>
      </c>
      <c r="H2540" s="33"/>
      <c r="I2540" s="31" t="s">
        <v>35</v>
      </c>
      <c r="J2540" s="31"/>
      <c r="K2540" s="33"/>
      <c r="L2540" s="33"/>
      <c r="M2540" s="31"/>
      <c r="N2540" s="31"/>
      <c r="O2540" s="16" t="s">
        <v>5314</v>
      </c>
      <c r="P2540" s="16"/>
      <c r="Q2540" s="16"/>
      <c r="R2540" s="33">
        <v>130</v>
      </c>
      <c r="S2540" s="34">
        <v>45896</v>
      </c>
      <c r="T2540" s="34">
        <v>45896</v>
      </c>
      <c r="U2540" s="34"/>
      <c r="V2540" s="34"/>
      <c r="W2540" s="34">
        <v>45897</v>
      </c>
      <c r="X2540" s="33" t="s">
        <v>85</v>
      </c>
      <c r="Y2540" s="35" t="str">
        <f>IF(Tabela2[[#This Row],[SIGLA]]="","",VLOOKUP(Tabela2[[#This Row],[SIGLA]],Tabela1[[#All],[Sigla Arte]:[Crédito]],2,0))</f>
        <v>HELOÍSA PINTARELLI/ARQUIVO DA EDITORA</v>
      </c>
      <c r="Z2540" s="31" t="s">
        <v>572</v>
      </c>
      <c r="AA2540" s="31" t="str">
        <f>Tabela2[[#This Row],[ILUSTRADOR CRIAÇÃO]]</f>
        <v>HELOÍSA PINTARELLI/ARQUIVO DA EDITORA</v>
      </c>
      <c r="AB2540" s="33">
        <v>13</v>
      </c>
      <c r="AC2540" s="16" t="s">
        <v>44</v>
      </c>
      <c r="AD2540" s="16" t="s">
        <v>40</v>
      </c>
      <c r="AE2540" s="35" t="str">
        <f t="shared" si="40"/>
        <v>EF1 E002 Mat</v>
      </c>
    </row>
    <row r="2541" spans="1:31" ht="165" x14ac:dyDescent="0.25">
      <c r="A2541" s="31" t="s">
        <v>5315</v>
      </c>
      <c r="B2541" s="16" t="s">
        <v>32</v>
      </c>
      <c r="C2541" s="16" t="s">
        <v>327</v>
      </c>
      <c r="D2541" s="33" t="s">
        <v>34</v>
      </c>
      <c r="E2541" s="33">
        <v>65</v>
      </c>
      <c r="F2541" s="33">
        <v>5</v>
      </c>
      <c r="G2541" s="33">
        <v>3</v>
      </c>
      <c r="H2541" s="33"/>
      <c r="I2541" s="31" t="s">
        <v>995</v>
      </c>
      <c r="J2541" s="31"/>
      <c r="K2541" s="33"/>
      <c r="L2541" s="33"/>
      <c r="M2541" s="31"/>
      <c r="N2541" s="31"/>
      <c r="O2541" s="16" t="s">
        <v>5316</v>
      </c>
      <c r="P2541" s="16"/>
      <c r="Q2541" s="16"/>
      <c r="R2541" s="33">
        <v>130</v>
      </c>
      <c r="S2541" s="34">
        <v>45896</v>
      </c>
      <c r="T2541" s="34">
        <v>45897</v>
      </c>
      <c r="U2541" s="34"/>
      <c r="V2541" s="34"/>
      <c r="W2541" s="34">
        <v>45897</v>
      </c>
      <c r="X2541" s="33" t="s">
        <v>5130</v>
      </c>
      <c r="Y2541" s="35" t="str">
        <f>IF(Tabela2[[#This Row],[SIGLA]]="","",VLOOKUP(Tabela2[[#This Row],[SIGLA]],Tabela1[[#All],[Sigla Arte]:[Crédito]],2,0))</f>
        <v>GABRIELLA IMAI/ARQUIVO DA EDITORA</v>
      </c>
      <c r="Z2541" s="31"/>
      <c r="AA2541" s="31" t="str">
        <f>Tabela2[[#This Row],[ILUSTRADOR CRIAÇÃO]]</f>
        <v>GABRIELLA IMAI/ARQUIVO DA EDITORA</v>
      </c>
      <c r="AB2541" s="33">
        <v>12</v>
      </c>
      <c r="AC2541" s="16"/>
      <c r="AD2541" s="16" t="s">
        <v>40</v>
      </c>
      <c r="AE2541" s="35" t="str">
        <f t="shared" si="40"/>
        <v>EF1 E002 Mat</v>
      </c>
    </row>
    <row r="2542" spans="1:31" ht="75" x14ac:dyDescent="0.25">
      <c r="A2542" s="31" t="s">
        <v>5317</v>
      </c>
      <c r="B2542" s="16" t="s">
        <v>32</v>
      </c>
      <c r="C2542" s="16" t="s">
        <v>164</v>
      </c>
      <c r="D2542" s="33" t="s">
        <v>34</v>
      </c>
      <c r="E2542" s="33">
        <v>28</v>
      </c>
      <c r="F2542" s="33">
        <v>5</v>
      </c>
      <c r="G2542" s="33">
        <v>1</v>
      </c>
      <c r="H2542" s="33"/>
      <c r="I2542" s="31" t="s">
        <v>35</v>
      </c>
      <c r="J2542" s="31"/>
      <c r="K2542" s="33"/>
      <c r="L2542" s="33"/>
      <c r="M2542" s="31"/>
      <c r="N2542" s="31"/>
      <c r="O2542" s="16" t="s">
        <v>5318</v>
      </c>
      <c r="P2542" s="16"/>
      <c r="Q2542" s="16"/>
      <c r="R2542" s="33">
        <v>131</v>
      </c>
      <c r="S2542" s="34">
        <v>45896</v>
      </c>
      <c r="T2542" s="34">
        <v>45897</v>
      </c>
      <c r="U2542" s="34"/>
      <c r="V2542" s="34"/>
      <c r="W2542" s="34">
        <v>45897</v>
      </c>
      <c r="X2542" s="33" t="s">
        <v>184</v>
      </c>
      <c r="Y2542" s="35" t="str">
        <f>IF(Tabela2[[#This Row],[SIGLA]]="","",VLOOKUP(Tabela2[[#This Row],[SIGLA]],Tabela1[[#All],[Sigla Arte]:[Crédito]],2,0))</f>
        <v>VER DOCUMENTO DE ILS. TÉCNICAS</v>
      </c>
      <c r="Z2542" s="31" t="s">
        <v>101</v>
      </c>
      <c r="AA2542" s="31" t="s">
        <v>2050</v>
      </c>
      <c r="AB2542" s="33">
        <v>14</v>
      </c>
      <c r="AC2542" s="16" t="s">
        <v>102</v>
      </c>
      <c r="AD2542" s="16" t="s">
        <v>40</v>
      </c>
      <c r="AE2542" s="35" t="str">
        <f t="shared" si="40"/>
        <v>EF1 E002 Mat</v>
      </c>
    </row>
    <row r="2543" spans="1:31" ht="75" x14ac:dyDescent="0.25">
      <c r="A2543" s="31" t="s">
        <v>3492</v>
      </c>
      <c r="B2543" s="16" t="s">
        <v>32</v>
      </c>
      <c r="C2543" s="16" t="s">
        <v>164</v>
      </c>
      <c r="D2543" s="33" t="s">
        <v>34</v>
      </c>
      <c r="E2543" s="33">
        <v>28</v>
      </c>
      <c r="F2543" s="33">
        <v>5</v>
      </c>
      <c r="G2543" s="33">
        <v>1</v>
      </c>
      <c r="H2543" s="33"/>
      <c r="I2543" s="31" t="s">
        <v>35</v>
      </c>
      <c r="J2543" s="31"/>
      <c r="K2543" s="33"/>
      <c r="L2543" s="33"/>
      <c r="M2543" s="31"/>
      <c r="N2543" s="31"/>
      <c r="O2543" s="16" t="s">
        <v>5319</v>
      </c>
      <c r="P2543" s="16"/>
      <c r="Q2543" s="16"/>
      <c r="R2543" s="33">
        <v>131</v>
      </c>
      <c r="S2543" s="34">
        <v>45896</v>
      </c>
      <c r="T2543" s="34">
        <v>45897</v>
      </c>
      <c r="U2543" s="34"/>
      <c r="V2543" s="34"/>
      <c r="W2543" s="34">
        <v>45897</v>
      </c>
      <c r="X2543" s="33" t="s">
        <v>184</v>
      </c>
      <c r="Y2543" s="35" t="str">
        <f>IF(Tabela2[[#This Row],[SIGLA]]="","",VLOOKUP(Tabela2[[#This Row],[SIGLA]],Tabela1[[#All],[Sigla Arte]:[Crédito]],2,0))</f>
        <v>VER DOCUMENTO DE ILS. TÉCNICAS</v>
      </c>
      <c r="Z2543" s="31" t="s">
        <v>101</v>
      </c>
      <c r="AA2543" s="31" t="s">
        <v>2050</v>
      </c>
      <c r="AB2543" s="33">
        <v>14</v>
      </c>
      <c r="AC2543" s="16" t="s">
        <v>102</v>
      </c>
      <c r="AD2543" s="16" t="s">
        <v>40</v>
      </c>
      <c r="AE2543" s="35" t="str">
        <f t="shared" si="40"/>
        <v>EF1 E002 Mat</v>
      </c>
    </row>
    <row r="2544" spans="1:31" ht="150" x14ac:dyDescent="0.25">
      <c r="A2544" s="31" t="s">
        <v>5320</v>
      </c>
      <c r="B2544" s="16" t="s">
        <v>32</v>
      </c>
      <c r="C2544" s="16" t="s">
        <v>327</v>
      </c>
      <c r="D2544" s="33" t="s">
        <v>34</v>
      </c>
      <c r="E2544" s="33">
        <v>30</v>
      </c>
      <c r="F2544" s="33">
        <v>5</v>
      </c>
      <c r="G2544" s="33">
        <v>1</v>
      </c>
      <c r="H2544" s="33"/>
      <c r="I2544" s="31" t="s">
        <v>35</v>
      </c>
      <c r="J2544" s="31"/>
      <c r="K2544" s="33"/>
      <c r="L2544" s="33"/>
      <c r="M2544" s="31"/>
      <c r="N2544" s="31"/>
      <c r="O2544" s="16" t="s">
        <v>5321</v>
      </c>
      <c r="P2544" s="16"/>
      <c r="Q2544" s="16"/>
      <c r="R2544" s="33">
        <v>131</v>
      </c>
      <c r="S2544" s="34">
        <v>45896</v>
      </c>
      <c r="T2544" s="34">
        <v>45897</v>
      </c>
      <c r="U2544" s="34"/>
      <c r="V2544" s="34"/>
      <c r="W2544" s="34">
        <v>45897</v>
      </c>
      <c r="X2544" s="33" t="s">
        <v>1126</v>
      </c>
      <c r="Y2544" s="35" t="str">
        <f>IF(Tabela2[[#This Row],[SIGLA]]="","",VLOOKUP(Tabela2[[#This Row],[SIGLA]],Tabela1[[#All],[Sigla Arte]:[Crédito]],2,0))</f>
        <v>GUSTAVO CONTI/ARQUIVO DA EDITORA</v>
      </c>
      <c r="Z2544" s="31" t="s">
        <v>101</v>
      </c>
      <c r="AA2544" s="31" t="str">
        <f>Tabela2[[#This Row],[ILUSTRADOR CRIAÇÃO]]</f>
        <v>GUSTAVO CONTI/ARQUIVO DA EDITORA</v>
      </c>
      <c r="AB2544" s="33">
        <v>14</v>
      </c>
      <c r="AC2544" s="16" t="s">
        <v>102</v>
      </c>
      <c r="AD2544" s="16" t="s">
        <v>40</v>
      </c>
      <c r="AE2544" s="35" t="str">
        <f t="shared" si="40"/>
        <v>EF1 E002 Mat</v>
      </c>
    </row>
    <row r="2545" spans="1:31" ht="135" x14ac:dyDescent="0.25">
      <c r="A2545" s="31" t="s">
        <v>5322</v>
      </c>
      <c r="B2545" s="16" t="s">
        <v>32</v>
      </c>
      <c r="C2545" s="16" t="s">
        <v>327</v>
      </c>
      <c r="D2545" s="33" t="s">
        <v>34</v>
      </c>
      <c r="E2545" s="33">
        <v>31</v>
      </c>
      <c r="F2545" s="33">
        <v>5</v>
      </c>
      <c r="G2545" s="33">
        <v>1</v>
      </c>
      <c r="H2545" s="33"/>
      <c r="I2545" s="31" t="s">
        <v>35</v>
      </c>
      <c r="J2545" s="31"/>
      <c r="K2545" s="33"/>
      <c r="L2545" s="33"/>
      <c r="M2545" s="31"/>
      <c r="N2545" s="31"/>
      <c r="O2545" s="16" t="s">
        <v>5323</v>
      </c>
      <c r="P2545" s="16"/>
      <c r="Q2545" s="16"/>
      <c r="R2545" s="33">
        <v>131</v>
      </c>
      <c r="S2545" s="34">
        <v>45896</v>
      </c>
      <c r="T2545" s="34">
        <v>45897</v>
      </c>
      <c r="U2545" s="34"/>
      <c r="V2545" s="34"/>
      <c r="W2545" s="34">
        <v>45897</v>
      </c>
      <c r="X2545" s="33" t="s">
        <v>1126</v>
      </c>
      <c r="Y2545" s="35" t="str">
        <f>IF(Tabela2[[#This Row],[SIGLA]]="","",VLOOKUP(Tabela2[[#This Row],[SIGLA]],Tabela1[[#All],[Sigla Arte]:[Crédito]],2,0))</f>
        <v>GUSTAVO CONTI/ARQUIVO DA EDITORA</v>
      </c>
      <c r="Z2545" s="31" t="s">
        <v>101</v>
      </c>
      <c r="AA2545" s="31" t="str">
        <f>Tabela2[[#This Row],[ILUSTRADOR CRIAÇÃO]]</f>
        <v>GUSTAVO CONTI/ARQUIVO DA EDITORA</v>
      </c>
      <c r="AB2545" s="33">
        <v>14</v>
      </c>
      <c r="AC2545" s="16" t="s">
        <v>102</v>
      </c>
      <c r="AD2545" s="16" t="s">
        <v>40</v>
      </c>
      <c r="AE2545" s="35" t="str">
        <f t="shared" si="40"/>
        <v>EF1 E002 Mat</v>
      </c>
    </row>
    <row r="2546" spans="1:31" ht="90" x14ac:dyDescent="0.25">
      <c r="A2546" s="31" t="s">
        <v>5324</v>
      </c>
      <c r="B2546" s="16" t="s">
        <v>32</v>
      </c>
      <c r="C2546" s="16" t="s">
        <v>33</v>
      </c>
      <c r="D2546" s="33" t="s">
        <v>34</v>
      </c>
      <c r="E2546" s="33">
        <v>82</v>
      </c>
      <c r="F2546" s="33">
        <v>5</v>
      </c>
      <c r="G2546" s="33">
        <v>4</v>
      </c>
      <c r="H2546" s="33"/>
      <c r="I2546" s="31" t="s">
        <v>35</v>
      </c>
      <c r="J2546" s="31"/>
      <c r="K2546" s="33"/>
      <c r="L2546" s="33"/>
      <c r="M2546" s="31"/>
      <c r="N2546" s="31"/>
      <c r="O2546" s="16" t="s">
        <v>5325</v>
      </c>
      <c r="P2546" s="16"/>
      <c r="Q2546" s="16"/>
      <c r="R2546" s="33">
        <v>132</v>
      </c>
      <c r="S2546" s="34">
        <v>45897</v>
      </c>
      <c r="T2546" s="34">
        <v>45897</v>
      </c>
      <c r="U2546" s="34"/>
      <c r="V2546" s="34"/>
      <c r="W2546" s="34">
        <v>45898</v>
      </c>
      <c r="X2546" s="33" t="s">
        <v>4324</v>
      </c>
      <c r="Y2546" s="35" t="str">
        <f>IF(Tabela2[[#This Row],[SIGLA]]="","",VLOOKUP(Tabela2[[#This Row],[SIGLA]],Tabela1[[#All],[Sigla Arte]:[Crédito]],2,0))</f>
        <v>CARLITOS PINHEIRO/ARQUIVO DA EDITORA</v>
      </c>
      <c r="Z2546" s="31" t="s">
        <v>38</v>
      </c>
      <c r="AA2546" s="31" t="str">
        <f>Tabela2[[#This Row],[ILUSTRADOR CRIAÇÃO]]</f>
        <v>CARLITOS PINHEIRO/ARQUIVO DA EDITORA</v>
      </c>
      <c r="AB2546" s="33">
        <v>13</v>
      </c>
      <c r="AC2546" s="16" t="s">
        <v>39</v>
      </c>
      <c r="AD2546" s="16" t="s">
        <v>40</v>
      </c>
      <c r="AE2546" s="35" t="str">
        <f t="shared" ref="AE2546:AE2609" si="41">"EF1 E002 Mat"</f>
        <v>EF1 E002 Mat</v>
      </c>
    </row>
    <row r="2547" spans="1:31" ht="120" x14ac:dyDescent="0.25">
      <c r="A2547" s="31" t="s">
        <v>5326</v>
      </c>
      <c r="B2547" s="16" t="s">
        <v>32</v>
      </c>
      <c r="C2547" s="16" t="s">
        <v>33</v>
      </c>
      <c r="D2547" s="33" t="s">
        <v>34</v>
      </c>
      <c r="E2547" s="33">
        <v>277</v>
      </c>
      <c r="F2547" s="33">
        <v>5</v>
      </c>
      <c r="G2547" s="33"/>
      <c r="H2547" s="33" t="s">
        <v>5327</v>
      </c>
      <c r="I2547" s="31" t="s">
        <v>35</v>
      </c>
      <c r="J2547" s="31"/>
      <c r="K2547" s="33"/>
      <c r="L2547" s="33"/>
      <c r="M2547" s="31"/>
      <c r="N2547" s="31"/>
      <c r="O2547" s="16" t="s">
        <v>5328</v>
      </c>
      <c r="P2547" s="16"/>
      <c r="Q2547" s="16"/>
      <c r="R2547" s="33">
        <v>132</v>
      </c>
      <c r="S2547" s="34">
        <v>45897</v>
      </c>
      <c r="T2547" s="34">
        <v>45897</v>
      </c>
      <c r="U2547" s="34"/>
      <c r="V2547" s="34"/>
      <c r="W2547" s="34">
        <v>45898</v>
      </c>
      <c r="X2547" s="33" t="s">
        <v>48</v>
      </c>
      <c r="Y2547" s="35" t="str">
        <f>IF(Tabela2[[#This Row],[SIGLA]]="","",VLOOKUP(Tabela2[[#This Row],[SIGLA]],Tabela1[[#All],[Sigla Arte]:[Crédito]],2,0))</f>
        <v>SERGIO LIMA/ARQUIVO DA EDITORA</v>
      </c>
      <c r="Z2547" s="31" t="s">
        <v>38</v>
      </c>
      <c r="AA2547" s="31" t="str">
        <f>Tabela2[[#This Row],[ILUSTRADOR CRIAÇÃO]]</f>
        <v>SERGIO LIMA/ARQUIVO DA EDITORA</v>
      </c>
      <c r="AB2547" s="33">
        <v>13</v>
      </c>
      <c r="AC2547" s="16" t="s">
        <v>39</v>
      </c>
      <c r="AD2547" s="16" t="s">
        <v>40</v>
      </c>
      <c r="AE2547" s="35" t="str">
        <f t="shared" si="41"/>
        <v>EF1 E002 Mat</v>
      </c>
    </row>
    <row r="2548" spans="1:31" ht="90" x14ac:dyDescent="0.25">
      <c r="A2548" s="31" t="s">
        <v>5329</v>
      </c>
      <c r="B2548" s="16" t="s">
        <v>32</v>
      </c>
      <c r="C2548" s="16" t="s">
        <v>33</v>
      </c>
      <c r="D2548" s="33" t="s">
        <v>34</v>
      </c>
      <c r="E2548" s="33">
        <v>279</v>
      </c>
      <c r="F2548" s="33">
        <v>5</v>
      </c>
      <c r="G2548" s="33"/>
      <c r="H2548" s="33" t="s">
        <v>5327</v>
      </c>
      <c r="I2548" s="31" t="s">
        <v>35</v>
      </c>
      <c r="J2548" s="31"/>
      <c r="K2548" s="33"/>
      <c r="L2548" s="33"/>
      <c r="M2548" s="31"/>
      <c r="N2548" s="31"/>
      <c r="O2548" s="16" t="s">
        <v>5330</v>
      </c>
      <c r="P2548" s="16"/>
      <c r="Q2548" s="16"/>
      <c r="R2548" s="33">
        <v>132</v>
      </c>
      <c r="S2548" s="34">
        <v>45897</v>
      </c>
      <c r="T2548" s="34">
        <v>45897</v>
      </c>
      <c r="U2548" s="34"/>
      <c r="V2548" s="34"/>
      <c r="W2548" s="34">
        <v>45898</v>
      </c>
      <c r="X2548" s="33" t="s">
        <v>48</v>
      </c>
      <c r="Y2548" s="35" t="str">
        <f>IF(Tabela2[[#This Row],[SIGLA]]="","",VLOOKUP(Tabela2[[#This Row],[SIGLA]],Tabela1[[#All],[Sigla Arte]:[Crédito]],2,0))</f>
        <v>SERGIO LIMA/ARQUIVO DA EDITORA</v>
      </c>
      <c r="Z2548" s="31" t="s">
        <v>38</v>
      </c>
      <c r="AA2548" s="31" t="str">
        <f>Tabela2[[#This Row],[ILUSTRADOR CRIAÇÃO]]</f>
        <v>SERGIO LIMA/ARQUIVO DA EDITORA</v>
      </c>
      <c r="AB2548" s="33">
        <v>13</v>
      </c>
      <c r="AC2548" s="16" t="s">
        <v>39</v>
      </c>
      <c r="AD2548" s="16" t="s">
        <v>40</v>
      </c>
      <c r="AE2548" s="35" t="str">
        <f t="shared" si="41"/>
        <v>EF1 E002 Mat</v>
      </c>
    </row>
    <row r="2549" spans="1:31" ht="45" x14ac:dyDescent="0.25">
      <c r="A2549" s="31" t="s">
        <v>5331</v>
      </c>
      <c r="B2549" s="16" t="s">
        <v>401</v>
      </c>
      <c r="C2549" s="16" t="s">
        <v>33</v>
      </c>
      <c r="D2549" s="33" t="s">
        <v>34</v>
      </c>
      <c r="E2549" s="33"/>
      <c r="F2549" s="33">
        <v>1</v>
      </c>
      <c r="G2549" s="33">
        <v>3</v>
      </c>
      <c r="H2549" s="33"/>
      <c r="I2549" s="31" t="s">
        <v>995</v>
      </c>
      <c r="J2549" s="31"/>
      <c r="K2549" s="33"/>
      <c r="L2549" s="33"/>
      <c r="M2549" s="31"/>
      <c r="N2549" s="31"/>
      <c r="O2549" s="16" t="s">
        <v>5332</v>
      </c>
      <c r="P2549" s="16" t="s">
        <v>5333</v>
      </c>
      <c r="Q2549" s="16"/>
      <c r="R2549" s="33">
        <v>133</v>
      </c>
      <c r="S2549" s="34">
        <v>45898</v>
      </c>
      <c r="T2549" s="34">
        <v>45898</v>
      </c>
      <c r="U2549" s="34"/>
      <c r="V2549" s="34"/>
      <c r="W2549" s="34"/>
      <c r="X2549" s="33"/>
      <c r="Y2549" s="35" t="str">
        <f>IF(Tabela2[[#This Row],[SIGLA]]="","",VLOOKUP(Tabela2[[#This Row],[SIGLA]],Tabela1[[#All],[Sigla Arte]:[Crédito]],2,0))</f>
        <v/>
      </c>
      <c r="Z2549" s="31"/>
      <c r="AA2549" s="31" t="str">
        <f>Tabela2[[#This Row],[ILUSTRADOR CRIAÇÃO]]</f>
        <v/>
      </c>
      <c r="AB2549" s="33"/>
      <c r="AC2549" s="16"/>
      <c r="AE2549" s="35" t="str">
        <f t="shared" si="41"/>
        <v>EF1 E002 Mat</v>
      </c>
    </row>
    <row r="2550" spans="1:31" ht="60" x14ac:dyDescent="0.25">
      <c r="A2550" s="31" t="s">
        <v>5334</v>
      </c>
      <c r="B2550" s="16" t="s">
        <v>97</v>
      </c>
      <c r="C2550" s="16" t="s">
        <v>33</v>
      </c>
      <c r="D2550" s="33" t="s">
        <v>34</v>
      </c>
      <c r="E2550" s="33">
        <v>121</v>
      </c>
      <c r="F2550" s="33">
        <v>1</v>
      </c>
      <c r="G2550" s="33">
        <v>4</v>
      </c>
      <c r="H2550" s="33"/>
      <c r="I2550" s="31" t="s">
        <v>35</v>
      </c>
      <c r="J2550" s="31"/>
      <c r="K2550" s="33"/>
      <c r="L2550" s="33"/>
      <c r="M2550" s="31"/>
      <c r="N2550" s="31"/>
      <c r="O2550" s="16" t="s">
        <v>5335</v>
      </c>
      <c r="P2550" s="16"/>
      <c r="Q2550" s="16"/>
      <c r="R2550" s="33">
        <v>133</v>
      </c>
      <c r="S2550" s="34">
        <v>45898</v>
      </c>
      <c r="T2550" s="34">
        <v>45898</v>
      </c>
      <c r="U2550" s="34"/>
      <c r="V2550" s="34"/>
      <c r="W2550" s="34">
        <v>45899</v>
      </c>
      <c r="X2550" s="33" t="s">
        <v>162</v>
      </c>
      <c r="Y2550" s="35" t="str">
        <f>IF(Tabela2[[#This Row],[SIGLA]]="","",VLOOKUP(Tabela2[[#This Row],[SIGLA]],Tabela1[[#All],[Sigla Arte]:[Crédito]],2,0))</f>
        <v>IVY NUNES/ARQUIVO DA EDITORA</v>
      </c>
      <c r="Z2550" s="31" t="s">
        <v>572</v>
      </c>
      <c r="AA2550" s="31" t="str">
        <f>Tabela2[[#This Row],[ILUSTRADOR CRIAÇÃO]]</f>
        <v>IVY NUNES/ARQUIVO DA EDITORA</v>
      </c>
      <c r="AB2550" s="33">
        <v>13</v>
      </c>
      <c r="AC2550" s="16" t="s">
        <v>44</v>
      </c>
      <c r="AD2550" s="16" t="s">
        <v>40</v>
      </c>
      <c r="AE2550" s="35" t="str">
        <f t="shared" si="41"/>
        <v>EF1 E002 Mat</v>
      </c>
    </row>
    <row r="2551" spans="1:31" ht="75" x14ac:dyDescent="0.25">
      <c r="A2551" s="31" t="s">
        <v>5336</v>
      </c>
      <c r="B2551" s="16" t="s">
        <v>32</v>
      </c>
      <c r="C2551" s="16" t="s">
        <v>164</v>
      </c>
      <c r="D2551" s="33" t="s">
        <v>34</v>
      </c>
      <c r="E2551" s="33">
        <v>171</v>
      </c>
      <c r="F2551" s="33">
        <v>4</v>
      </c>
      <c r="G2551" s="33">
        <v>9</v>
      </c>
      <c r="H2551" s="33"/>
      <c r="I2551" s="31" t="s">
        <v>995</v>
      </c>
      <c r="J2551" s="31"/>
      <c r="K2551" s="33"/>
      <c r="L2551" s="33"/>
      <c r="M2551" s="31"/>
      <c r="N2551" s="31"/>
      <c r="O2551" s="16" t="s">
        <v>5337</v>
      </c>
      <c r="P2551" s="16"/>
      <c r="Q2551" s="16"/>
      <c r="R2551" s="33">
        <v>139</v>
      </c>
      <c r="S2551" s="34">
        <v>45901</v>
      </c>
      <c r="T2551" s="34">
        <v>45902</v>
      </c>
      <c r="U2551" s="34"/>
      <c r="V2551" s="34"/>
      <c r="W2551" s="34">
        <v>45902</v>
      </c>
      <c r="X2551" s="33" t="s">
        <v>1267</v>
      </c>
      <c r="Y2551" s="35" t="str">
        <f>IF(Tabela2[[#This Row],[SIGLA]]="","",VLOOKUP(Tabela2[[#This Row],[SIGLA]],Tabela1[[#All],[Sigla Arte]:[Crédito]],2,0))</f>
        <v>INGRIDHI BORGES/ARQUIVO DA EDITORA</v>
      </c>
      <c r="Z2551" s="31" t="s">
        <v>924</v>
      </c>
      <c r="AA2551" s="31" t="s">
        <v>5338</v>
      </c>
      <c r="AB2551" s="33">
        <v>8</v>
      </c>
      <c r="AC2551" s="16" t="s">
        <v>1516</v>
      </c>
      <c r="AD2551" s="16" t="s">
        <v>40</v>
      </c>
      <c r="AE2551" s="35" t="str">
        <f t="shared" si="41"/>
        <v>EF1 E002 Mat</v>
      </c>
    </row>
    <row r="2552" spans="1:31" ht="135" x14ac:dyDescent="0.25">
      <c r="A2552" s="31" t="s">
        <v>5339</v>
      </c>
      <c r="B2552" s="16" t="s">
        <v>32</v>
      </c>
      <c r="C2552" s="16" t="s">
        <v>164</v>
      </c>
      <c r="D2552" s="33" t="s">
        <v>34</v>
      </c>
      <c r="E2552" s="33">
        <v>89</v>
      </c>
      <c r="F2552" s="33">
        <v>5</v>
      </c>
      <c r="G2552" s="33">
        <v>5</v>
      </c>
      <c r="H2552" s="33"/>
      <c r="I2552" s="31" t="s">
        <v>995</v>
      </c>
      <c r="J2552" s="31"/>
      <c r="K2552" s="33"/>
      <c r="L2552" s="33"/>
      <c r="M2552" s="31"/>
      <c r="N2552" s="31"/>
      <c r="O2552" s="16" t="s">
        <v>5340</v>
      </c>
      <c r="P2552" s="16"/>
      <c r="Q2552" s="16"/>
      <c r="R2552" s="33">
        <v>140</v>
      </c>
      <c r="S2552" s="34">
        <v>45901</v>
      </c>
      <c r="T2552" s="34">
        <v>45902</v>
      </c>
      <c r="U2552" s="34"/>
      <c r="V2552" s="34"/>
      <c r="W2552" s="34">
        <v>45902</v>
      </c>
      <c r="X2552" s="33" t="s">
        <v>1267</v>
      </c>
      <c r="Y2552" s="35" t="str">
        <f>IF(Tabela2[[#This Row],[SIGLA]]="","",VLOOKUP(Tabela2[[#This Row],[SIGLA]],Tabela1[[#All],[Sigla Arte]:[Crédito]],2,0))</f>
        <v>INGRIDHI BORGES/ARQUIVO DA EDITORA</v>
      </c>
      <c r="Z2552" s="31" t="s">
        <v>924</v>
      </c>
      <c r="AA2552" s="31" t="str">
        <f>Tabela2[[#This Row],[ILUSTRADOR CRIAÇÃO]]</f>
        <v>INGRIDHI BORGES/ARQUIVO DA EDITORA</v>
      </c>
      <c r="AB2552" s="33">
        <v>8</v>
      </c>
      <c r="AC2552" s="16" t="s">
        <v>1516</v>
      </c>
      <c r="AD2552" s="16" t="s">
        <v>40</v>
      </c>
      <c r="AE2552" s="35" t="str">
        <f t="shared" si="41"/>
        <v>EF1 E002 Mat</v>
      </c>
    </row>
    <row r="2553" spans="1:31" ht="45" x14ac:dyDescent="0.25">
      <c r="A2553" s="31" t="s">
        <v>5341</v>
      </c>
      <c r="B2553" s="16" t="s">
        <v>32</v>
      </c>
      <c r="C2553" s="16" t="s">
        <v>164</v>
      </c>
      <c r="D2553" s="33" t="s">
        <v>34</v>
      </c>
      <c r="E2553" s="33">
        <v>89</v>
      </c>
      <c r="F2553" s="33">
        <v>5</v>
      </c>
      <c r="G2553" s="33">
        <v>5</v>
      </c>
      <c r="H2553" s="33"/>
      <c r="I2553" s="31" t="s">
        <v>995</v>
      </c>
      <c r="J2553" s="31"/>
      <c r="K2553" s="33"/>
      <c r="L2553" s="33"/>
      <c r="M2553" s="31"/>
      <c r="N2553" s="31"/>
      <c r="O2553" s="16" t="s">
        <v>5342</v>
      </c>
      <c r="P2553" s="16"/>
      <c r="Q2553" s="16"/>
      <c r="R2553" s="33">
        <v>140</v>
      </c>
      <c r="S2553" s="34">
        <v>45901</v>
      </c>
      <c r="T2553" s="34">
        <v>45902</v>
      </c>
      <c r="U2553" s="34"/>
      <c r="V2553" s="34"/>
      <c r="W2553" s="34">
        <v>45902</v>
      </c>
      <c r="X2553" s="33" t="s">
        <v>1267</v>
      </c>
      <c r="Y2553" s="35" t="str">
        <f>IF(Tabela2[[#This Row],[SIGLA]]="","",VLOOKUP(Tabela2[[#This Row],[SIGLA]],Tabela1[[#All],[Sigla Arte]:[Crédito]],2,0))</f>
        <v>INGRIDHI BORGES/ARQUIVO DA EDITORA</v>
      </c>
      <c r="Z2553" s="31" t="s">
        <v>924</v>
      </c>
      <c r="AA2553" s="31" t="str">
        <f>Tabela2[[#This Row],[ILUSTRADOR CRIAÇÃO]]</f>
        <v>INGRIDHI BORGES/ARQUIVO DA EDITORA</v>
      </c>
      <c r="AB2553" s="33">
        <v>8</v>
      </c>
      <c r="AC2553" s="16" t="s">
        <v>1516</v>
      </c>
      <c r="AD2553" s="16" t="s">
        <v>40</v>
      </c>
      <c r="AE2553" s="35" t="str">
        <f t="shared" si="41"/>
        <v>EF1 E002 Mat</v>
      </c>
    </row>
    <row r="2554" spans="1:31" ht="75" x14ac:dyDescent="0.25">
      <c r="A2554" s="31" t="s">
        <v>5343</v>
      </c>
      <c r="B2554" s="16" t="s">
        <v>32</v>
      </c>
      <c r="C2554" s="16" t="s">
        <v>164</v>
      </c>
      <c r="D2554" s="33" t="s">
        <v>34</v>
      </c>
      <c r="E2554" s="33">
        <v>90</v>
      </c>
      <c r="F2554" s="33">
        <v>5</v>
      </c>
      <c r="G2554" s="33">
        <v>5</v>
      </c>
      <c r="H2554" s="33"/>
      <c r="I2554" s="31" t="s">
        <v>35</v>
      </c>
      <c r="J2554" s="31"/>
      <c r="K2554" s="33"/>
      <c r="L2554" s="33"/>
      <c r="M2554" s="31"/>
      <c r="N2554" s="31"/>
      <c r="O2554" s="16" t="s">
        <v>5344</v>
      </c>
      <c r="P2554" s="16"/>
      <c r="Q2554" s="16"/>
      <c r="R2554" s="33">
        <v>140</v>
      </c>
      <c r="S2554" s="34">
        <v>45901</v>
      </c>
      <c r="T2554" s="34">
        <v>45902</v>
      </c>
      <c r="U2554" s="34"/>
      <c r="V2554" s="34"/>
      <c r="W2554" s="34">
        <v>45902</v>
      </c>
      <c r="X2554" s="33" t="s">
        <v>708</v>
      </c>
      <c r="Y2554" s="35" t="str">
        <f>IF(Tabela2[[#This Row],[SIGLA]]="","",VLOOKUP(Tabela2[[#This Row],[SIGLA]],Tabela1[[#All],[Sigla Arte]:[Crédito]],2,0))</f>
        <v>KATHARINE FROTA/ARQUIVO DA EDITORA</v>
      </c>
      <c r="Z2554" s="31" t="s">
        <v>924</v>
      </c>
      <c r="AA2554" s="31" t="str">
        <f>Tabela2[[#This Row],[ILUSTRADOR CRIAÇÃO]]</f>
        <v>KATHARINE FROTA/ARQUIVO DA EDITORA</v>
      </c>
      <c r="AB2554" s="33">
        <v>13</v>
      </c>
      <c r="AC2554" s="16" t="s">
        <v>222</v>
      </c>
      <c r="AD2554" s="16" t="s">
        <v>40</v>
      </c>
      <c r="AE2554" s="35" t="str">
        <f t="shared" si="41"/>
        <v>EF1 E002 Mat</v>
      </c>
    </row>
    <row r="2555" spans="1:31" ht="45" x14ac:dyDescent="0.25">
      <c r="A2555" s="31" t="s">
        <v>5345</v>
      </c>
      <c r="B2555" s="16" t="s">
        <v>32</v>
      </c>
      <c r="C2555" s="16" t="s">
        <v>164</v>
      </c>
      <c r="D2555" s="33" t="s">
        <v>34</v>
      </c>
      <c r="E2555" s="33">
        <v>281</v>
      </c>
      <c r="F2555" s="33">
        <v>5</v>
      </c>
      <c r="G2555" s="33">
        <v>5</v>
      </c>
      <c r="H2555" s="33" t="s">
        <v>5327</v>
      </c>
      <c r="I2555" s="31" t="s">
        <v>35</v>
      </c>
      <c r="J2555" s="31"/>
      <c r="K2555" s="33"/>
      <c r="L2555" s="33"/>
      <c r="M2555" s="31"/>
      <c r="N2555" s="31"/>
      <c r="O2555" s="16" t="s">
        <v>5346</v>
      </c>
      <c r="P2555" s="16"/>
      <c r="Q2555" s="16"/>
      <c r="R2555" s="33">
        <v>183</v>
      </c>
      <c r="S2555" s="34">
        <v>45936</v>
      </c>
      <c r="T2555" s="34">
        <v>45936</v>
      </c>
      <c r="U2555" s="34"/>
      <c r="V2555" s="34"/>
      <c r="W2555" s="34">
        <v>45936</v>
      </c>
      <c r="X2555" s="33" t="s">
        <v>1126</v>
      </c>
      <c r="Y2555" s="35" t="str">
        <f>IF(Tabela2[[#This Row],[SIGLA]]="","",VLOOKUP(Tabela2[[#This Row],[SIGLA]],Tabela1[[#All],[Sigla Arte]:[Crédito]],2,0))</f>
        <v>GUSTAVO CONTI/ARQUIVO DA EDITORA</v>
      </c>
      <c r="Z2555" s="31" t="s">
        <v>572</v>
      </c>
      <c r="AA2555" s="31" t="str">
        <f>Tabela2[[#This Row],[ILUSTRADOR CRIAÇÃO]]</f>
        <v>GUSTAVO CONTI/ARQUIVO DA EDITORA</v>
      </c>
      <c r="AB2555" s="33">
        <v>13</v>
      </c>
      <c r="AC2555" s="16" t="s">
        <v>44</v>
      </c>
      <c r="AD2555" s="16" t="s">
        <v>40</v>
      </c>
      <c r="AE2555" s="35" t="str">
        <f t="shared" si="41"/>
        <v>EF1 E002 Mat</v>
      </c>
    </row>
    <row r="2556" spans="1:31" ht="45" x14ac:dyDescent="0.25">
      <c r="A2556" s="31" t="s">
        <v>5347</v>
      </c>
      <c r="B2556" s="16" t="s">
        <v>32</v>
      </c>
      <c r="C2556" s="16" t="s">
        <v>164</v>
      </c>
      <c r="D2556" s="33" t="s">
        <v>34</v>
      </c>
      <c r="E2556" s="33">
        <v>281</v>
      </c>
      <c r="F2556" s="33">
        <v>5</v>
      </c>
      <c r="G2556" s="33">
        <v>5</v>
      </c>
      <c r="H2556" s="33" t="s">
        <v>5327</v>
      </c>
      <c r="I2556" s="31" t="s">
        <v>35</v>
      </c>
      <c r="J2556" s="31"/>
      <c r="K2556" s="33"/>
      <c r="L2556" s="33"/>
      <c r="M2556" s="31"/>
      <c r="N2556" s="31"/>
      <c r="O2556" s="16" t="s">
        <v>5348</v>
      </c>
      <c r="P2556" s="16"/>
      <c r="Q2556" s="16"/>
      <c r="R2556" s="33">
        <v>183</v>
      </c>
      <c r="S2556" s="34">
        <v>45936</v>
      </c>
      <c r="T2556" s="34">
        <v>45936</v>
      </c>
      <c r="U2556" s="34"/>
      <c r="V2556" s="34"/>
      <c r="W2556" s="34">
        <v>45936</v>
      </c>
      <c r="X2556" s="33" t="s">
        <v>1126</v>
      </c>
      <c r="Y2556" s="35" t="str">
        <f>IF(Tabela2[[#This Row],[SIGLA]]="","",VLOOKUP(Tabela2[[#This Row],[SIGLA]],Tabela1[[#All],[Sigla Arte]:[Crédito]],2,0))</f>
        <v>GUSTAVO CONTI/ARQUIVO DA EDITORA</v>
      </c>
      <c r="Z2556" s="31" t="s">
        <v>572</v>
      </c>
      <c r="AA2556" s="31" t="str">
        <f>Tabela2[[#This Row],[ILUSTRADOR CRIAÇÃO]]</f>
        <v>GUSTAVO CONTI/ARQUIVO DA EDITORA</v>
      </c>
      <c r="AB2556" s="33">
        <v>13</v>
      </c>
      <c r="AC2556" s="16" t="s">
        <v>44</v>
      </c>
      <c r="AD2556" s="16" t="s">
        <v>40</v>
      </c>
      <c r="AE2556" s="35" t="str">
        <f t="shared" si="41"/>
        <v>EF1 E002 Mat</v>
      </c>
    </row>
    <row r="2557" spans="1:31" ht="75" x14ac:dyDescent="0.25">
      <c r="A2557" s="31" t="s">
        <v>5349</v>
      </c>
      <c r="B2557" s="16" t="s">
        <v>32</v>
      </c>
      <c r="C2557" s="16" t="s">
        <v>164</v>
      </c>
      <c r="D2557" s="33" t="s">
        <v>4732</v>
      </c>
      <c r="E2557" s="33">
        <v>242</v>
      </c>
      <c r="F2557" s="33">
        <v>4</v>
      </c>
      <c r="G2557" s="33">
        <v>10</v>
      </c>
      <c r="H2557" s="33"/>
      <c r="I2557" s="31" t="s">
        <v>46</v>
      </c>
      <c r="J2557" s="31"/>
      <c r="K2557" s="33"/>
      <c r="L2557" s="33"/>
      <c r="M2557" s="31"/>
      <c r="N2557" s="31"/>
      <c r="O2557" s="16" t="s">
        <v>5350</v>
      </c>
      <c r="P2557" s="16"/>
      <c r="Q2557" s="16"/>
      <c r="R2557" s="33"/>
      <c r="S2557" s="34"/>
      <c r="T2557" s="34"/>
      <c r="U2557" s="34"/>
      <c r="V2557" s="34"/>
      <c r="W2557" s="34"/>
      <c r="X2557" s="33" t="s">
        <v>5351</v>
      </c>
      <c r="Y2557" s="35" t="str">
        <f>IF(Tabela2[[#This Row],[SIGLA]]="","",VLOOKUP(Tabela2[[#This Row],[SIGLA]],Tabela1[[#All],[Sigla Arte]:[Crédito]],2,0))</f>
        <v>CÁTIA GERMANI/ARQUIVO DA EDITORA</v>
      </c>
      <c r="Z2557" s="31"/>
      <c r="AA2557" s="31" t="str">
        <f>Tabela2[[#This Row],[ILUSTRADOR CRIAÇÃO]]</f>
        <v>CÁTIA GERMANI/ARQUIVO DA EDITORA</v>
      </c>
      <c r="AB2557" s="33"/>
      <c r="AC2557" s="16"/>
      <c r="AE2557" s="35" t="str">
        <f t="shared" si="41"/>
        <v>EF1 E002 Mat</v>
      </c>
    </row>
    <row r="2558" spans="1:31" ht="60" x14ac:dyDescent="0.25">
      <c r="A2558" s="31" t="s">
        <v>5352</v>
      </c>
      <c r="B2558" s="16" t="s">
        <v>32</v>
      </c>
      <c r="C2558" s="16" t="s">
        <v>164</v>
      </c>
      <c r="D2558" s="33" t="s">
        <v>4732</v>
      </c>
      <c r="E2558" s="33">
        <v>124</v>
      </c>
      <c r="F2558" s="33">
        <v>3</v>
      </c>
      <c r="G2558" s="33">
        <v>6</v>
      </c>
      <c r="H2558" s="33"/>
      <c r="I2558" s="31" t="s">
        <v>46</v>
      </c>
      <c r="J2558" s="31"/>
      <c r="K2558" s="33"/>
      <c r="L2558" s="33"/>
      <c r="M2558" s="31"/>
      <c r="N2558" s="31"/>
      <c r="O2558" s="16" t="s">
        <v>5353</v>
      </c>
      <c r="P2558" s="16"/>
      <c r="Q2558" s="16"/>
      <c r="R2558" s="33"/>
      <c r="S2558" s="34"/>
      <c r="T2558" s="34"/>
      <c r="U2558" s="34"/>
      <c r="V2558" s="34"/>
      <c r="W2558" s="34"/>
      <c r="X2558" s="33" t="s">
        <v>48</v>
      </c>
      <c r="Y2558" s="35" t="str">
        <f>IF(Tabela2[[#This Row],[SIGLA]]="","",VLOOKUP(Tabela2[[#This Row],[SIGLA]],Tabela1[[#All],[Sigla Arte]:[Crédito]],2,0))</f>
        <v>SERGIO LIMA/ARQUIVO DA EDITORA</v>
      </c>
      <c r="Z2558" s="31"/>
      <c r="AA2558" s="31" t="str">
        <f>Tabela2[[#This Row],[ILUSTRADOR CRIAÇÃO]]</f>
        <v>SERGIO LIMA/ARQUIVO DA EDITORA</v>
      </c>
      <c r="AB2558" s="33"/>
      <c r="AC2558" s="16"/>
      <c r="AE2558" s="35" t="str">
        <f t="shared" si="41"/>
        <v>EF1 E002 Mat</v>
      </c>
    </row>
    <row r="2559" spans="1:31" ht="45" x14ac:dyDescent="0.25">
      <c r="A2559" s="31" t="s">
        <v>5354</v>
      </c>
      <c r="B2559" s="16" t="s">
        <v>32</v>
      </c>
      <c r="C2559" s="16" t="s">
        <v>164</v>
      </c>
      <c r="D2559" s="33" t="s">
        <v>4732</v>
      </c>
      <c r="E2559" s="33">
        <v>124</v>
      </c>
      <c r="F2559" s="33">
        <v>3</v>
      </c>
      <c r="G2559" s="33">
        <v>6</v>
      </c>
      <c r="H2559" s="33"/>
      <c r="I2559" s="31" t="s">
        <v>46</v>
      </c>
      <c r="J2559" s="31"/>
      <c r="K2559" s="33"/>
      <c r="L2559" s="33"/>
      <c r="M2559" s="31"/>
      <c r="N2559" s="31"/>
      <c r="O2559" s="16" t="s">
        <v>5355</v>
      </c>
      <c r="P2559" s="16"/>
      <c r="Q2559" s="16"/>
      <c r="R2559" s="33"/>
      <c r="S2559" s="34"/>
      <c r="T2559" s="34"/>
      <c r="U2559" s="34"/>
      <c r="V2559" s="34"/>
      <c r="W2559" s="34"/>
      <c r="X2559" s="33" t="s">
        <v>48</v>
      </c>
      <c r="Y2559" s="35" t="str">
        <f>IF(Tabela2[[#This Row],[SIGLA]]="","",VLOOKUP(Tabela2[[#This Row],[SIGLA]],Tabela1[[#All],[Sigla Arte]:[Crédito]],2,0))</f>
        <v>SERGIO LIMA/ARQUIVO DA EDITORA</v>
      </c>
      <c r="Z2559" s="31"/>
      <c r="AA2559" s="31" t="str">
        <f>Tabela2[[#This Row],[ILUSTRADOR CRIAÇÃO]]</f>
        <v>SERGIO LIMA/ARQUIVO DA EDITORA</v>
      </c>
      <c r="AB2559" s="33"/>
      <c r="AC2559" s="16"/>
      <c r="AE2559" s="35" t="str">
        <f t="shared" si="41"/>
        <v>EF1 E002 Mat</v>
      </c>
    </row>
    <row r="2560" spans="1:31" ht="60" x14ac:dyDescent="0.25">
      <c r="A2560" s="31" t="s">
        <v>5356</v>
      </c>
      <c r="B2560" s="16" t="s">
        <v>32</v>
      </c>
      <c r="C2560" s="16" t="s">
        <v>164</v>
      </c>
      <c r="D2560" s="33" t="s">
        <v>4732</v>
      </c>
      <c r="E2560" s="33">
        <v>124</v>
      </c>
      <c r="F2560" s="33">
        <v>3</v>
      </c>
      <c r="G2560" s="33">
        <v>6</v>
      </c>
      <c r="H2560" s="33"/>
      <c r="I2560" s="31" t="s">
        <v>46</v>
      </c>
      <c r="J2560" s="31"/>
      <c r="K2560" s="33"/>
      <c r="L2560" s="33"/>
      <c r="M2560" s="31"/>
      <c r="N2560" s="31"/>
      <c r="O2560" s="16" t="s">
        <v>5357</v>
      </c>
      <c r="P2560" s="16"/>
      <c r="Q2560" s="16"/>
      <c r="R2560" s="33"/>
      <c r="S2560" s="34"/>
      <c r="T2560" s="34"/>
      <c r="U2560" s="34"/>
      <c r="V2560" s="34"/>
      <c r="W2560" s="34"/>
      <c r="X2560" s="33" t="s">
        <v>48</v>
      </c>
      <c r="Y2560" s="35" t="str">
        <f>IF(Tabela2[[#This Row],[SIGLA]]="","",VLOOKUP(Tabela2[[#This Row],[SIGLA]],Tabela1[[#All],[Sigla Arte]:[Crédito]],2,0))</f>
        <v>SERGIO LIMA/ARQUIVO DA EDITORA</v>
      </c>
      <c r="Z2560" s="31"/>
      <c r="AA2560" s="31" t="str">
        <f>Tabela2[[#This Row],[ILUSTRADOR CRIAÇÃO]]</f>
        <v>SERGIO LIMA/ARQUIVO DA EDITORA</v>
      </c>
      <c r="AB2560" s="33"/>
      <c r="AC2560" s="16"/>
      <c r="AE2560" s="35" t="str">
        <f t="shared" si="41"/>
        <v>EF1 E002 Mat</v>
      </c>
    </row>
    <row r="2561" spans="1:31" ht="30" x14ac:dyDescent="0.25">
      <c r="A2561" s="31" t="s">
        <v>5358</v>
      </c>
      <c r="B2561" s="16" t="s">
        <v>32</v>
      </c>
      <c r="C2561" s="16" t="s">
        <v>164</v>
      </c>
      <c r="D2561" s="33" t="s">
        <v>4732</v>
      </c>
      <c r="E2561" s="33">
        <v>233</v>
      </c>
      <c r="F2561" s="33">
        <v>3</v>
      </c>
      <c r="G2561" s="33">
        <v>11</v>
      </c>
      <c r="H2561" s="33"/>
      <c r="I2561" s="31" t="s">
        <v>995</v>
      </c>
      <c r="J2561" s="31"/>
      <c r="K2561" s="33"/>
      <c r="L2561" s="33"/>
      <c r="M2561" s="31"/>
      <c r="N2561" s="31"/>
      <c r="O2561" s="16" t="s">
        <v>5359</v>
      </c>
      <c r="P2561" s="16"/>
      <c r="Q2561" s="16"/>
      <c r="R2561" s="33">
        <v>141</v>
      </c>
      <c r="S2561" s="34">
        <v>45901</v>
      </c>
      <c r="T2561" s="34">
        <v>45902</v>
      </c>
      <c r="U2561" s="34"/>
      <c r="V2561" s="34"/>
      <c r="W2561" s="34">
        <v>45902</v>
      </c>
      <c r="X2561" s="33" t="s">
        <v>4394</v>
      </c>
      <c r="Y2561" s="35" t="str">
        <f>IF(Tabela2[[#This Row],[SIGLA]]="","",VLOOKUP(Tabela2[[#This Row],[SIGLA]],Tabela1[[#All],[Sigla Arte]:[Crédito]],2,0))</f>
        <v>MARYANE VIOTO SILVA/ARQUIVO DA EDITORA</v>
      </c>
      <c r="Z2561" s="31"/>
      <c r="AA2561" s="31" t="str">
        <f>Tabela2[[#This Row],[ILUSTRADOR CRIAÇÃO]]</f>
        <v>MARYANE VIOTO SILVA/ARQUIVO DA EDITORA</v>
      </c>
      <c r="AB2561" s="33">
        <v>8</v>
      </c>
      <c r="AC2561" s="16" t="s">
        <v>439</v>
      </c>
      <c r="AD2561" s="16" t="s">
        <v>40</v>
      </c>
      <c r="AE2561" s="35" t="str">
        <f t="shared" si="41"/>
        <v>EF1 E002 Mat</v>
      </c>
    </row>
    <row r="2562" spans="1:31" ht="135" x14ac:dyDescent="0.25">
      <c r="A2562" s="31" t="s">
        <v>5360</v>
      </c>
      <c r="B2562" s="16" t="s">
        <v>32</v>
      </c>
      <c r="C2562" s="16" t="s">
        <v>33</v>
      </c>
      <c r="D2562" s="33" t="s">
        <v>34</v>
      </c>
      <c r="E2562" s="33">
        <v>110</v>
      </c>
      <c r="F2562" s="33">
        <v>5</v>
      </c>
      <c r="G2562" s="33">
        <v>6</v>
      </c>
      <c r="H2562" s="33"/>
      <c r="I2562" s="31" t="s">
        <v>995</v>
      </c>
      <c r="J2562" s="31"/>
      <c r="K2562" s="33"/>
      <c r="L2562" s="33"/>
      <c r="M2562" s="31"/>
      <c r="N2562" s="31"/>
      <c r="O2562" s="16" t="s">
        <v>5361</v>
      </c>
      <c r="P2562" s="16"/>
      <c r="Q2562" s="16"/>
      <c r="R2562" s="33">
        <v>143</v>
      </c>
      <c r="S2562" s="34">
        <v>45901</v>
      </c>
      <c r="T2562" s="34">
        <v>45902</v>
      </c>
      <c r="U2562" s="34">
        <v>45904</v>
      </c>
      <c r="V2562" s="34">
        <v>45905</v>
      </c>
      <c r="W2562" s="34">
        <v>45910</v>
      </c>
      <c r="X2562" s="33" t="s">
        <v>333</v>
      </c>
      <c r="Y2562" s="35" t="str">
        <f>IF(Tabela2[[#This Row],[SIGLA]]="","",VLOOKUP(Tabela2[[#This Row],[SIGLA]],Tabela1[[#All],[Sigla Arte]:[Crédito]],2,0))</f>
        <v>LISLLEY GOMES FEIGE/ARQUIVO DA EDITORA</v>
      </c>
      <c r="Z2562" s="31"/>
      <c r="AA2562" s="31" t="str">
        <f>Tabela2[[#This Row],[ILUSTRADOR CRIAÇÃO]]</f>
        <v>LISLLEY GOMES FEIGE/ARQUIVO DA EDITORA</v>
      </c>
      <c r="AB2562" s="33">
        <v>5</v>
      </c>
      <c r="AC2562" s="16" t="s">
        <v>5362</v>
      </c>
      <c r="AD2562" s="16" t="s">
        <v>1093</v>
      </c>
      <c r="AE2562" s="35" t="str">
        <f t="shared" si="41"/>
        <v>EF1 E002 Mat</v>
      </c>
    </row>
    <row r="2563" spans="1:31" ht="45" x14ac:dyDescent="0.25">
      <c r="A2563" s="31" t="s">
        <v>5363</v>
      </c>
      <c r="B2563" s="16" t="s">
        <v>32</v>
      </c>
      <c r="C2563" s="16" t="s">
        <v>164</v>
      </c>
      <c r="D2563" s="33" t="s">
        <v>34</v>
      </c>
      <c r="E2563" s="33">
        <v>128</v>
      </c>
      <c r="F2563" s="33">
        <v>5</v>
      </c>
      <c r="G2563" s="33">
        <v>6</v>
      </c>
      <c r="H2563" s="33"/>
      <c r="I2563" s="31" t="s">
        <v>46</v>
      </c>
      <c r="J2563" s="31"/>
      <c r="K2563" s="33"/>
      <c r="L2563" s="33"/>
      <c r="M2563" s="31"/>
      <c r="N2563" s="31"/>
      <c r="O2563" s="16" t="s">
        <v>5364</v>
      </c>
      <c r="P2563" s="16"/>
      <c r="Q2563" s="16"/>
      <c r="R2563" s="33"/>
      <c r="S2563" s="34"/>
      <c r="T2563" s="34"/>
      <c r="U2563" s="34"/>
      <c r="V2563" s="34"/>
      <c r="W2563" s="34"/>
      <c r="X2563" s="33" t="s">
        <v>1971</v>
      </c>
      <c r="Y2563" s="35" t="str">
        <f>IF(Tabela2[[#This Row],[SIGLA]]="","",VLOOKUP(Tabela2[[#This Row],[SIGLA]],Tabela1[[#All],[Sigla Arte]:[Crédito]],2,0))</f>
        <v>PETRA MENDES/ARQUIVO DA EDITORA</v>
      </c>
      <c r="Z2563" s="31"/>
      <c r="AA2563" s="31" t="s">
        <v>5365</v>
      </c>
      <c r="AB2563" s="33"/>
      <c r="AC2563" s="16"/>
      <c r="AE2563" s="35" t="str">
        <f t="shared" si="41"/>
        <v>EF1 E002 Mat</v>
      </c>
    </row>
    <row r="2564" spans="1:31" ht="75" x14ac:dyDescent="0.25">
      <c r="A2564" s="31" t="s">
        <v>5366</v>
      </c>
      <c r="B2564" s="16" t="s">
        <v>32</v>
      </c>
      <c r="C2564" s="16" t="s">
        <v>33</v>
      </c>
      <c r="D2564" s="33" t="s">
        <v>34</v>
      </c>
      <c r="E2564" s="33">
        <v>132</v>
      </c>
      <c r="F2564" s="33">
        <v>5</v>
      </c>
      <c r="G2564" s="33">
        <v>6</v>
      </c>
      <c r="H2564" s="33"/>
      <c r="I2564" s="31" t="s">
        <v>35</v>
      </c>
      <c r="J2564" s="31"/>
      <c r="K2564" s="33"/>
      <c r="L2564" s="33"/>
      <c r="M2564" s="31"/>
      <c r="N2564" s="31"/>
      <c r="O2564" s="16" t="s">
        <v>5367</v>
      </c>
      <c r="P2564" s="16"/>
      <c r="Q2564" s="16"/>
      <c r="R2564" s="33">
        <v>143</v>
      </c>
      <c r="S2564" s="34">
        <v>45901</v>
      </c>
      <c r="T2564" s="34">
        <v>45902</v>
      </c>
      <c r="U2564" s="34"/>
      <c r="V2564" s="34"/>
      <c r="W2564" s="34">
        <v>45902</v>
      </c>
      <c r="X2564" s="33" t="s">
        <v>708</v>
      </c>
      <c r="Y2564" s="35" t="str">
        <f>IF(Tabela2[[#This Row],[SIGLA]]="","",VLOOKUP(Tabela2[[#This Row],[SIGLA]],Tabela1[[#All],[Sigla Arte]:[Crédito]],2,0))</f>
        <v>KATHARINE FROTA/ARQUIVO DA EDITORA</v>
      </c>
      <c r="Z2564" s="31" t="s">
        <v>924</v>
      </c>
      <c r="AA2564" s="31" t="str">
        <f>Tabela2[[#This Row],[ILUSTRADOR CRIAÇÃO]]</f>
        <v>KATHARINE FROTA/ARQUIVO DA EDITORA</v>
      </c>
      <c r="AB2564" s="33">
        <v>13</v>
      </c>
      <c r="AC2564" s="16" t="s">
        <v>222</v>
      </c>
      <c r="AD2564" s="16" t="s">
        <v>40</v>
      </c>
      <c r="AE2564" s="35" t="str">
        <f t="shared" si="41"/>
        <v>EF1 E002 Mat</v>
      </c>
    </row>
    <row r="2565" spans="1:31" ht="45" x14ac:dyDescent="0.25">
      <c r="A2565" s="31" t="s">
        <v>5368</v>
      </c>
      <c r="B2565" s="16" t="s">
        <v>32</v>
      </c>
      <c r="C2565" s="16" t="s">
        <v>164</v>
      </c>
      <c r="D2565" s="33" t="s">
        <v>34</v>
      </c>
      <c r="E2565" s="33">
        <v>123</v>
      </c>
      <c r="F2565" s="33">
        <v>5</v>
      </c>
      <c r="G2565" s="33">
        <v>6</v>
      </c>
      <c r="H2565" s="33"/>
      <c r="I2565" s="31" t="s">
        <v>995</v>
      </c>
      <c r="J2565" s="31"/>
      <c r="K2565" s="33"/>
      <c r="L2565" s="33"/>
      <c r="M2565" s="31"/>
      <c r="N2565" s="31"/>
      <c r="O2565" s="16" t="s">
        <v>5369</v>
      </c>
      <c r="P2565" s="16"/>
      <c r="Q2565" s="16"/>
      <c r="R2565" s="33">
        <v>143</v>
      </c>
      <c r="S2565" s="34">
        <v>45901</v>
      </c>
      <c r="T2565" s="34">
        <v>45902</v>
      </c>
      <c r="U2565" s="34"/>
      <c r="V2565" s="34"/>
      <c r="W2565" s="34">
        <v>45902</v>
      </c>
      <c r="X2565" s="33" t="s">
        <v>1267</v>
      </c>
      <c r="Y2565" s="35" t="str">
        <f>IF(Tabela2[[#This Row],[SIGLA]]="","",VLOOKUP(Tabela2[[#This Row],[SIGLA]],Tabela1[[#All],[Sigla Arte]:[Crédito]],2,0))</f>
        <v>INGRIDHI BORGES/ARQUIVO DA EDITORA</v>
      </c>
      <c r="Z2565" s="31" t="s">
        <v>924</v>
      </c>
      <c r="AA2565" s="31" t="str">
        <f>Tabela2[[#This Row],[ILUSTRADOR CRIAÇÃO]]</f>
        <v>INGRIDHI BORGES/ARQUIVO DA EDITORA</v>
      </c>
      <c r="AB2565" s="33">
        <v>8</v>
      </c>
      <c r="AC2565" s="16" t="s">
        <v>4767</v>
      </c>
      <c r="AD2565" s="16" t="s">
        <v>40</v>
      </c>
      <c r="AE2565" s="35" t="str">
        <f t="shared" si="41"/>
        <v>EF1 E002 Mat</v>
      </c>
    </row>
    <row r="2566" spans="1:31" ht="30" x14ac:dyDescent="0.25">
      <c r="A2566" s="31" t="s">
        <v>5370</v>
      </c>
      <c r="B2566" s="16" t="s">
        <v>32</v>
      </c>
      <c r="C2566" s="16" t="s">
        <v>164</v>
      </c>
      <c r="D2566" s="33" t="s">
        <v>34</v>
      </c>
      <c r="E2566" s="33">
        <v>139</v>
      </c>
      <c r="F2566" s="33">
        <v>5</v>
      </c>
      <c r="G2566" s="33">
        <v>7</v>
      </c>
      <c r="H2566" s="33"/>
      <c r="I2566" s="31" t="s">
        <v>46</v>
      </c>
      <c r="J2566" s="31"/>
      <c r="K2566" s="33"/>
      <c r="L2566" s="33"/>
      <c r="M2566" s="31"/>
      <c r="N2566" s="31"/>
      <c r="O2566" s="16" t="s">
        <v>5371</v>
      </c>
      <c r="P2566" s="16"/>
      <c r="Q2566" s="16"/>
      <c r="R2566" s="33"/>
      <c r="S2566" s="34"/>
      <c r="T2566" s="34"/>
      <c r="U2566" s="34"/>
      <c r="V2566" s="34"/>
      <c r="W2566" s="34"/>
      <c r="X2566" s="33" t="s">
        <v>184</v>
      </c>
      <c r="Y2566" s="35" t="str">
        <f>IF(Tabela2[[#This Row],[SIGLA]]="","",VLOOKUP(Tabela2[[#This Row],[SIGLA]],Tabela1[[#All],[Sigla Arte]:[Crédito]],2,0))</f>
        <v>VER DOCUMENTO DE ILS. TÉCNICAS</v>
      </c>
      <c r="Z2566" s="31"/>
      <c r="AA2566" s="31" t="s">
        <v>3112</v>
      </c>
      <c r="AB2566" s="33"/>
      <c r="AC2566" s="16"/>
      <c r="AE2566" s="35" t="str">
        <f t="shared" si="41"/>
        <v>EF1 E002 Mat</v>
      </c>
    </row>
    <row r="2567" spans="1:31" ht="45" x14ac:dyDescent="0.25">
      <c r="A2567" s="31" t="s">
        <v>5372</v>
      </c>
      <c r="B2567" s="16" t="s">
        <v>32</v>
      </c>
      <c r="C2567" s="16" t="s">
        <v>164</v>
      </c>
      <c r="D2567" s="33" t="s">
        <v>34</v>
      </c>
      <c r="E2567" s="33">
        <v>143</v>
      </c>
      <c r="F2567" s="33">
        <v>5</v>
      </c>
      <c r="G2567" s="33">
        <v>7</v>
      </c>
      <c r="H2567" s="33"/>
      <c r="I2567" s="31" t="s">
        <v>46</v>
      </c>
      <c r="J2567" s="31"/>
      <c r="K2567" s="33"/>
      <c r="L2567" s="33"/>
      <c r="M2567" s="31"/>
      <c r="N2567" s="31"/>
      <c r="O2567" s="16" t="s">
        <v>5373</v>
      </c>
      <c r="P2567" s="16"/>
      <c r="Q2567" s="16"/>
      <c r="R2567" s="33"/>
      <c r="S2567" s="34"/>
      <c r="T2567" s="34"/>
      <c r="U2567" s="34"/>
      <c r="V2567" s="34"/>
      <c r="W2567" s="34"/>
      <c r="X2567" s="33" t="s">
        <v>48</v>
      </c>
      <c r="Y2567" s="35" t="str">
        <f>IF(Tabela2[[#This Row],[SIGLA]]="","",VLOOKUP(Tabela2[[#This Row],[SIGLA]],Tabela1[[#All],[Sigla Arte]:[Crédito]],2,0))</f>
        <v>SERGIO LIMA/ARQUIVO DA EDITORA</v>
      </c>
      <c r="Z2567" s="31"/>
      <c r="AA2567" s="31" t="str">
        <f>Tabela2[[#This Row],[ILUSTRADOR CRIAÇÃO]]</f>
        <v>SERGIO LIMA/ARQUIVO DA EDITORA</v>
      </c>
      <c r="AB2567" s="33"/>
      <c r="AC2567" s="16"/>
      <c r="AE2567" s="35" t="str">
        <f t="shared" si="41"/>
        <v>EF1 E002 Mat</v>
      </c>
    </row>
    <row r="2568" spans="1:31" ht="45" x14ac:dyDescent="0.25">
      <c r="A2568" s="31" t="s">
        <v>5374</v>
      </c>
      <c r="B2568" s="16" t="s">
        <v>3802</v>
      </c>
      <c r="C2568" s="16" t="s">
        <v>164</v>
      </c>
      <c r="D2568" s="33" t="s">
        <v>34</v>
      </c>
      <c r="E2568" s="33">
        <v>143</v>
      </c>
      <c r="F2568" s="33">
        <v>5</v>
      </c>
      <c r="G2568" s="33">
        <v>7</v>
      </c>
      <c r="H2568" s="33"/>
      <c r="I2568" s="31" t="s">
        <v>35</v>
      </c>
      <c r="J2568" s="31"/>
      <c r="K2568" s="33"/>
      <c r="L2568" s="33"/>
      <c r="M2568" s="31"/>
      <c r="N2568" s="31"/>
      <c r="O2568" s="16" t="s">
        <v>5375</v>
      </c>
      <c r="P2568" s="16"/>
      <c r="Q2568" s="16"/>
      <c r="R2568" s="33">
        <v>199</v>
      </c>
      <c r="S2568" s="34">
        <v>45943</v>
      </c>
      <c r="T2568" s="34">
        <v>45943</v>
      </c>
      <c r="U2568" s="34"/>
      <c r="V2568" s="34"/>
      <c r="W2568" s="34">
        <v>45943</v>
      </c>
      <c r="X2568" s="33" t="s">
        <v>3443</v>
      </c>
      <c r="Y2568" s="35" t="str">
        <f>IF(Tabela2[[#This Row],[SIGLA]]="","",VLOOKUP(Tabela2[[#This Row],[SIGLA]],Tabela1[[#All],[Sigla Arte]:[Crédito]],2,0))</f>
        <v>VINÍCIUS COSTA/ARQUIVO DA EDITORA</v>
      </c>
      <c r="Z2568" s="31" t="s">
        <v>1465</v>
      </c>
      <c r="AA2568" s="31" t="str">
        <f>Tabela2[[#This Row],[ILUSTRADOR CRIAÇÃO]]</f>
        <v>VINÍCIUS COSTA/ARQUIVO DA EDITORA</v>
      </c>
      <c r="AB2568" s="33">
        <v>13</v>
      </c>
      <c r="AC2568" s="16"/>
      <c r="AD2568" s="16" t="s">
        <v>40</v>
      </c>
      <c r="AE2568" s="35" t="str">
        <f t="shared" si="41"/>
        <v>EF1 E002 Mat</v>
      </c>
    </row>
    <row r="2569" spans="1:31" ht="75" x14ac:dyDescent="0.25">
      <c r="A2569" s="31" t="s">
        <v>5376</v>
      </c>
      <c r="B2569" s="16" t="s">
        <v>32</v>
      </c>
      <c r="C2569" s="16" t="s">
        <v>164</v>
      </c>
      <c r="D2569" s="33" t="s">
        <v>34</v>
      </c>
      <c r="E2569" s="33">
        <v>143</v>
      </c>
      <c r="F2569" s="33">
        <v>5</v>
      </c>
      <c r="G2569" s="33">
        <v>7</v>
      </c>
      <c r="H2569" s="33"/>
      <c r="I2569" s="31" t="s">
        <v>35</v>
      </c>
      <c r="J2569" s="31"/>
      <c r="K2569" s="33"/>
      <c r="L2569" s="33"/>
      <c r="M2569" s="31"/>
      <c r="N2569" s="31"/>
      <c r="O2569" s="16" t="s">
        <v>5377</v>
      </c>
      <c r="P2569" s="16"/>
      <c r="Q2569" s="16"/>
      <c r="R2569" s="33">
        <v>144</v>
      </c>
      <c r="S2569" s="34">
        <v>45901</v>
      </c>
      <c r="T2569" s="34">
        <v>45901</v>
      </c>
      <c r="U2569" s="34"/>
      <c r="V2569" s="34"/>
      <c r="W2569" s="34">
        <v>45902</v>
      </c>
      <c r="X2569" s="33" t="s">
        <v>3443</v>
      </c>
      <c r="Y2569" s="35" t="str">
        <f>IF(Tabela2[[#This Row],[SIGLA]]="","",VLOOKUP(Tabela2[[#This Row],[SIGLA]],Tabela1[[#All],[Sigla Arte]:[Crédito]],2,0))</f>
        <v>VINÍCIUS COSTA/ARQUIVO DA EDITORA</v>
      </c>
      <c r="Z2569" s="31" t="s">
        <v>572</v>
      </c>
      <c r="AA2569" s="31" t="str">
        <f>Tabela2[[#This Row],[ILUSTRADOR CRIAÇÃO]]</f>
        <v>VINÍCIUS COSTA/ARQUIVO DA EDITORA</v>
      </c>
      <c r="AB2569" s="33">
        <v>13</v>
      </c>
      <c r="AC2569" s="16" t="s">
        <v>44</v>
      </c>
      <c r="AD2569" s="16" t="s">
        <v>40</v>
      </c>
      <c r="AE2569" s="35" t="str">
        <f t="shared" si="41"/>
        <v>EF1 E002 Mat</v>
      </c>
    </row>
    <row r="2570" spans="1:31" ht="75" x14ac:dyDescent="0.25">
      <c r="A2570" s="31" t="s">
        <v>5378</v>
      </c>
      <c r="B2570" s="16" t="s">
        <v>32</v>
      </c>
      <c r="C2570" s="16" t="s">
        <v>164</v>
      </c>
      <c r="D2570" s="33" t="s">
        <v>34</v>
      </c>
      <c r="E2570" s="33">
        <v>155</v>
      </c>
      <c r="F2570" s="33">
        <v>5</v>
      </c>
      <c r="G2570" s="33">
        <v>7</v>
      </c>
      <c r="H2570" s="33"/>
      <c r="I2570" s="31" t="s">
        <v>995</v>
      </c>
      <c r="J2570" s="31"/>
      <c r="K2570" s="33"/>
      <c r="L2570" s="33"/>
      <c r="M2570" s="31"/>
      <c r="N2570" s="31"/>
      <c r="O2570" s="16" t="s">
        <v>5379</v>
      </c>
      <c r="P2570" s="16"/>
      <c r="Q2570" s="16"/>
      <c r="R2570" s="33">
        <v>144</v>
      </c>
      <c r="S2570" s="34">
        <v>45901</v>
      </c>
      <c r="T2570" s="34">
        <v>45901</v>
      </c>
      <c r="U2570" s="34"/>
      <c r="V2570" s="34"/>
      <c r="W2570" s="34">
        <v>45902</v>
      </c>
      <c r="X2570" s="33" t="s">
        <v>1126</v>
      </c>
      <c r="Y2570" s="35" t="str">
        <f>IF(Tabela2[[#This Row],[SIGLA]]="","",VLOOKUP(Tabela2[[#This Row],[SIGLA]],Tabela1[[#All],[Sigla Arte]:[Crédito]],2,0))</f>
        <v>GUSTAVO CONTI/ARQUIVO DA EDITORA</v>
      </c>
      <c r="Z2570" s="31" t="s">
        <v>572</v>
      </c>
      <c r="AA2570" s="31" t="str">
        <f>Tabela2[[#This Row],[ILUSTRADOR CRIAÇÃO]]</f>
        <v>GUSTAVO CONTI/ARQUIVO DA EDITORA</v>
      </c>
      <c r="AB2570" s="33">
        <v>13</v>
      </c>
      <c r="AC2570" s="16" t="s">
        <v>2102</v>
      </c>
      <c r="AD2570" s="16" t="s">
        <v>40</v>
      </c>
      <c r="AE2570" s="35" t="str">
        <f t="shared" si="41"/>
        <v>EF1 E002 Mat</v>
      </c>
    </row>
    <row r="2571" spans="1:31" ht="90" x14ac:dyDescent="0.25">
      <c r="A2571" s="31" t="s">
        <v>5380</v>
      </c>
      <c r="B2571" s="16" t="s">
        <v>32</v>
      </c>
      <c r="C2571" s="16" t="s">
        <v>164</v>
      </c>
      <c r="D2571" s="33" t="s">
        <v>34</v>
      </c>
      <c r="E2571" s="33">
        <v>155</v>
      </c>
      <c r="F2571" s="33">
        <v>5</v>
      </c>
      <c r="G2571" s="33">
        <v>7</v>
      </c>
      <c r="H2571" s="33"/>
      <c r="I2571" s="31" t="s">
        <v>995</v>
      </c>
      <c r="J2571" s="31"/>
      <c r="K2571" s="33"/>
      <c r="L2571" s="33"/>
      <c r="M2571" s="31"/>
      <c r="N2571" s="31"/>
      <c r="O2571" s="16" t="s">
        <v>5381</v>
      </c>
      <c r="P2571" s="16"/>
      <c r="Q2571" s="16"/>
      <c r="R2571" s="33">
        <v>144</v>
      </c>
      <c r="S2571" s="34">
        <v>45901</v>
      </c>
      <c r="T2571" s="34">
        <v>45901</v>
      </c>
      <c r="U2571" s="34"/>
      <c r="V2571" s="34"/>
      <c r="W2571" s="34">
        <v>45902</v>
      </c>
      <c r="X2571" s="33" t="s">
        <v>1126</v>
      </c>
      <c r="Y2571" s="35" t="str">
        <f>IF(Tabela2[[#This Row],[SIGLA]]="","",VLOOKUP(Tabela2[[#This Row],[SIGLA]],Tabela1[[#All],[Sigla Arte]:[Crédito]],2,0))</f>
        <v>GUSTAVO CONTI/ARQUIVO DA EDITORA</v>
      </c>
      <c r="Z2571" s="31" t="s">
        <v>572</v>
      </c>
      <c r="AA2571" s="31" t="str">
        <f>Tabela2[[#This Row],[ILUSTRADOR CRIAÇÃO]]</f>
        <v>GUSTAVO CONTI/ARQUIVO DA EDITORA</v>
      </c>
      <c r="AB2571" s="33">
        <v>13</v>
      </c>
      <c r="AC2571" s="16" t="s">
        <v>2102</v>
      </c>
      <c r="AD2571" s="16" t="s">
        <v>40</v>
      </c>
      <c r="AE2571" s="35" t="str">
        <f t="shared" si="41"/>
        <v>EF1 E002 Mat</v>
      </c>
    </row>
    <row r="2572" spans="1:31" ht="90" x14ac:dyDescent="0.25">
      <c r="A2572" s="31" t="s">
        <v>5382</v>
      </c>
      <c r="B2572" s="16" t="s">
        <v>32</v>
      </c>
      <c r="C2572" s="16" t="s">
        <v>164</v>
      </c>
      <c r="D2572" s="33" t="s">
        <v>34</v>
      </c>
      <c r="E2572" s="33">
        <v>155</v>
      </c>
      <c r="F2572" s="33">
        <v>5</v>
      </c>
      <c r="G2572" s="33">
        <v>7</v>
      </c>
      <c r="H2572" s="33"/>
      <c r="I2572" s="31" t="s">
        <v>995</v>
      </c>
      <c r="J2572" s="31"/>
      <c r="K2572" s="33"/>
      <c r="L2572" s="33"/>
      <c r="M2572" s="31"/>
      <c r="N2572" s="31"/>
      <c r="O2572" s="16" t="s">
        <v>5383</v>
      </c>
      <c r="P2572" s="16"/>
      <c r="Q2572" s="16"/>
      <c r="R2572" s="33">
        <v>144</v>
      </c>
      <c r="S2572" s="34">
        <v>45901</v>
      </c>
      <c r="T2572" s="34">
        <v>45901</v>
      </c>
      <c r="U2572" s="34"/>
      <c r="V2572" s="34"/>
      <c r="W2572" s="34">
        <v>45902</v>
      </c>
      <c r="X2572" s="33" t="s">
        <v>1126</v>
      </c>
      <c r="Y2572" s="35" t="str">
        <f>IF(Tabela2[[#This Row],[SIGLA]]="","",VLOOKUP(Tabela2[[#This Row],[SIGLA]],Tabela1[[#All],[Sigla Arte]:[Crédito]],2,0))</f>
        <v>GUSTAVO CONTI/ARQUIVO DA EDITORA</v>
      </c>
      <c r="Z2572" s="31" t="s">
        <v>572</v>
      </c>
      <c r="AA2572" s="31" t="str">
        <f>Tabela2[[#This Row],[ILUSTRADOR CRIAÇÃO]]</f>
        <v>GUSTAVO CONTI/ARQUIVO DA EDITORA</v>
      </c>
      <c r="AB2572" s="33">
        <v>13</v>
      </c>
      <c r="AC2572" s="16" t="s">
        <v>2102</v>
      </c>
      <c r="AD2572" s="16" t="s">
        <v>40</v>
      </c>
      <c r="AE2572" s="35" t="str">
        <f t="shared" si="41"/>
        <v>EF1 E002 Mat</v>
      </c>
    </row>
    <row r="2573" spans="1:31" ht="150" x14ac:dyDescent="0.25">
      <c r="A2573" s="31" t="s">
        <v>5384</v>
      </c>
      <c r="B2573" s="16" t="s">
        <v>32</v>
      </c>
      <c r="C2573" s="16" t="s">
        <v>164</v>
      </c>
      <c r="D2573" s="33" t="s">
        <v>34</v>
      </c>
      <c r="E2573" s="33">
        <v>165</v>
      </c>
      <c r="F2573" s="33">
        <v>5</v>
      </c>
      <c r="G2573" s="33">
        <v>8</v>
      </c>
      <c r="H2573" s="33"/>
      <c r="I2573" s="31" t="s">
        <v>995</v>
      </c>
      <c r="J2573" s="31"/>
      <c r="K2573" s="33"/>
      <c r="L2573" s="33"/>
      <c r="M2573" s="31"/>
      <c r="N2573" s="31"/>
      <c r="O2573" s="16" t="s">
        <v>5385</v>
      </c>
      <c r="P2573" s="16"/>
      <c r="Q2573" s="16"/>
      <c r="R2573" s="33">
        <v>145</v>
      </c>
      <c r="S2573" s="34">
        <v>45901</v>
      </c>
      <c r="T2573" s="34">
        <v>45903</v>
      </c>
      <c r="U2573" s="34"/>
      <c r="V2573" s="34"/>
      <c r="W2573" s="34">
        <v>45908</v>
      </c>
      <c r="X2573" s="33" t="s">
        <v>85</v>
      </c>
      <c r="Y2573" s="35" t="str">
        <f>IF(Tabela2[[#This Row],[SIGLA]]="","",VLOOKUP(Tabela2[[#This Row],[SIGLA]],Tabela1[[#All],[Sigla Arte]:[Crédito]],2,0))</f>
        <v>HELOÍSA PINTARELLI/ARQUIVO DA EDITORA</v>
      </c>
      <c r="Z2573" s="31"/>
      <c r="AA2573" s="31" t="str">
        <f>Tabela2[[#This Row],[ILUSTRADOR CRIAÇÃO]]</f>
        <v>HELOÍSA PINTARELLI/ARQUIVO DA EDITORA</v>
      </c>
      <c r="AB2573" s="33">
        <v>7</v>
      </c>
      <c r="AC2573" s="16" t="s">
        <v>5386</v>
      </c>
      <c r="AD2573" s="16" t="s">
        <v>1093</v>
      </c>
      <c r="AE2573" s="35" t="str">
        <f t="shared" si="41"/>
        <v>EF1 E002 Mat</v>
      </c>
    </row>
    <row r="2574" spans="1:31" ht="30" x14ac:dyDescent="0.25">
      <c r="A2574" s="31" t="s">
        <v>5387</v>
      </c>
      <c r="B2574" s="16" t="s">
        <v>32</v>
      </c>
      <c r="C2574" s="16" t="s">
        <v>164</v>
      </c>
      <c r="D2574" s="33" t="s">
        <v>34</v>
      </c>
      <c r="E2574" s="33">
        <v>169</v>
      </c>
      <c r="F2574" s="33">
        <v>5</v>
      </c>
      <c r="G2574" s="33">
        <v>8</v>
      </c>
      <c r="H2574" s="33"/>
      <c r="I2574" s="31" t="s">
        <v>995</v>
      </c>
      <c r="J2574" s="31"/>
      <c r="K2574" s="33"/>
      <c r="L2574" s="33"/>
      <c r="M2574" s="31"/>
      <c r="N2574" s="31"/>
      <c r="O2574" s="16" t="s">
        <v>5388</v>
      </c>
      <c r="P2574" s="16"/>
      <c r="Q2574" s="16"/>
      <c r="R2574" s="33">
        <v>145</v>
      </c>
      <c r="S2574" s="34">
        <v>45901</v>
      </c>
      <c r="T2574" s="34">
        <v>45903</v>
      </c>
      <c r="U2574" s="34"/>
      <c r="V2574" s="34"/>
      <c r="W2574" s="34">
        <v>45903</v>
      </c>
      <c r="X2574" s="33" t="s">
        <v>4394</v>
      </c>
      <c r="Y2574" s="35" t="str">
        <f>IF(Tabela2[[#This Row],[SIGLA]]="","",VLOOKUP(Tabela2[[#This Row],[SIGLA]],Tabela1[[#All],[Sigla Arte]:[Crédito]],2,0))</f>
        <v>MARYANE VIOTO SILVA/ARQUIVO DA EDITORA</v>
      </c>
      <c r="Z2574" s="31"/>
      <c r="AA2574" s="31" t="str">
        <f>Tabela2[[#This Row],[ILUSTRADOR CRIAÇÃO]]</f>
        <v>MARYANE VIOTO SILVA/ARQUIVO DA EDITORA</v>
      </c>
      <c r="AB2574" s="33">
        <v>8</v>
      </c>
      <c r="AC2574" s="16" t="s">
        <v>439</v>
      </c>
      <c r="AD2574" s="16" t="s">
        <v>40</v>
      </c>
      <c r="AE2574" s="35" t="str">
        <f t="shared" si="41"/>
        <v>EF1 E002 Mat</v>
      </c>
    </row>
    <row r="2575" spans="1:31" ht="30" x14ac:dyDescent="0.25">
      <c r="A2575" s="31" t="s">
        <v>5389</v>
      </c>
      <c r="B2575" s="16" t="s">
        <v>32</v>
      </c>
      <c r="C2575" s="16" t="s">
        <v>164</v>
      </c>
      <c r="D2575" s="33" t="s">
        <v>34</v>
      </c>
      <c r="E2575" s="33">
        <v>169</v>
      </c>
      <c r="F2575" s="33">
        <v>5</v>
      </c>
      <c r="G2575" s="33">
        <v>8</v>
      </c>
      <c r="H2575" s="33"/>
      <c r="I2575" s="31" t="s">
        <v>995</v>
      </c>
      <c r="J2575" s="31"/>
      <c r="K2575" s="33"/>
      <c r="L2575" s="33"/>
      <c r="M2575" s="31"/>
      <c r="N2575" s="31"/>
      <c r="O2575" s="16" t="s">
        <v>5390</v>
      </c>
      <c r="P2575" s="16"/>
      <c r="Q2575" s="16"/>
      <c r="R2575" s="33">
        <v>145</v>
      </c>
      <c r="S2575" s="34">
        <v>45901</v>
      </c>
      <c r="T2575" s="34">
        <v>45903</v>
      </c>
      <c r="U2575" s="34"/>
      <c r="V2575" s="34"/>
      <c r="W2575" s="34">
        <v>45903</v>
      </c>
      <c r="X2575" s="33" t="s">
        <v>4394</v>
      </c>
      <c r="Y2575" s="35" t="str">
        <f>IF(Tabela2[[#This Row],[SIGLA]]="","",VLOOKUP(Tabela2[[#This Row],[SIGLA]],Tabela1[[#All],[Sigla Arte]:[Crédito]],2,0))</f>
        <v>MARYANE VIOTO SILVA/ARQUIVO DA EDITORA</v>
      </c>
      <c r="Z2575" s="31"/>
      <c r="AA2575" s="31" t="str">
        <f>Tabela2[[#This Row],[ILUSTRADOR CRIAÇÃO]]</f>
        <v>MARYANE VIOTO SILVA/ARQUIVO DA EDITORA</v>
      </c>
      <c r="AB2575" s="33">
        <v>8</v>
      </c>
      <c r="AC2575" s="16" t="s">
        <v>439</v>
      </c>
      <c r="AD2575" s="16" t="s">
        <v>40</v>
      </c>
      <c r="AE2575" s="35" t="str">
        <f t="shared" si="41"/>
        <v>EF1 E002 Mat</v>
      </c>
    </row>
    <row r="2576" spans="1:31" ht="30" x14ac:dyDescent="0.25">
      <c r="A2576" s="31" t="s">
        <v>5391</v>
      </c>
      <c r="B2576" s="16" t="s">
        <v>32</v>
      </c>
      <c r="C2576" s="16" t="s">
        <v>164</v>
      </c>
      <c r="D2576" s="33" t="s">
        <v>34</v>
      </c>
      <c r="E2576" s="33">
        <v>10</v>
      </c>
      <c r="F2576" s="33">
        <v>5</v>
      </c>
      <c r="G2576" s="33"/>
      <c r="H2576" s="33" t="s">
        <v>1885</v>
      </c>
      <c r="I2576" s="31" t="s">
        <v>46</v>
      </c>
      <c r="J2576" s="31"/>
      <c r="K2576" s="33"/>
      <c r="L2576" s="33"/>
      <c r="M2576" s="31"/>
      <c r="N2576" s="31"/>
      <c r="O2576" s="16" t="s">
        <v>5392</v>
      </c>
      <c r="P2576" s="16"/>
      <c r="Q2576" s="16"/>
      <c r="R2576" s="33"/>
      <c r="S2576" s="34"/>
      <c r="T2576" s="34"/>
      <c r="U2576" s="34"/>
      <c r="V2576" s="34"/>
      <c r="W2576" s="34"/>
      <c r="X2576" s="33" t="s">
        <v>1126</v>
      </c>
      <c r="Y2576" s="35" t="str">
        <f>IF(Tabela2[[#This Row],[SIGLA]]="","",VLOOKUP(Tabela2[[#This Row],[SIGLA]],Tabela1[[#All],[Sigla Arte]:[Crédito]],2,0))</f>
        <v>GUSTAVO CONTI/ARQUIVO DA EDITORA</v>
      </c>
      <c r="Z2576" s="31"/>
      <c r="AA2576" s="31" t="str">
        <f>Tabela2[[#This Row],[ILUSTRADOR CRIAÇÃO]]</f>
        <v>GUSTAVO CONTI/ARQUIVO DA EDITORA</v>
      </c>
      <c r="AB2576" s="33"/>
      <c r="AC2576" s="16"/>
      <c r="AE2576" s="35" t="str">
        <f t="shared" si="41"/>
        <v>EF1 E002 Mat</v>
      </c>
    </row>
    <row r="2577" spans="1:31" ht="30" x14ac:dyDescent="0.25">
      <c r="A2577" s="31" t="s">
        <v>5393</v>
      </c>
      <c r="B2577" s="16" t="s">
        <v>32</v>
      </c>
      <c r="C2577" s="16" t="s">
        <v>164</v>
      </c>
      <c r="D2577" s="33" t="s">
        <v>34</v>
      </c>
      <c r="E2577" s="33">
        <v>10</v>
      </c>
      <c r="F2577" s="33">
        <v>5</v>
      </c>
      <c r="G2577" s="33"/>
      <c r="H2577" s="33" t="s">
        <v>1885</v>
      </c>
      <c r="I2577" s="31" t="s">
        <v>46</v>
      </c>
      <c r="J2577" s="31"/>
      <c r="K2577" s="33"/>
      <c r="L2577" s="33"/>
      <c r="M2577" s="31"/>
      <c r="N2577" s="31"/>
      <c r="O2577" s="16" t="s">
        <v>5394</v>
      </c>
      <c r="P2577" s="16"/>
      <c r="Q2577" s="16"/>
      <c r="R2577" s="33"/>
      <c r="S2577" s="34"/>
      <c r="T2577" s="34"/>
      <c r="U2577" s="34"/>
      <c r="V2577" s="34"/>
      <c r="W2577" s="34"/>
      <c r="X2577" s="33" t="s">
        <v>1126</v>
      </c>
      <c r="Y2577" s="35" t="str">
        <f>IF(Tabela2[[#This Row],[SIGLA]]="","",VLOOKUP(Tabela2[[#This Row],[SIGLA]],Tabela1[[#All],[Sigla Arte]:[Crédito]],2,0))</f>
        <v>GUSTAVO CONTI/ARQUIVO DA EDITORA</v>
      </c>
      <c r="Z2577" s="31"/>
      <c r="AA2577" s="31" t="str">
        <f>Tabela2[[#This Row],[ILUSTRADOR CRIAÇÃO]]</f>
        <v>GUSTAVO CONTI/ARQUIVO DA EDITORA</v>
      </c>
      <c r="AB2577" s="33"/>
      <c r="AC2577" s="16"/>
      <c r="AE2577" s="35" t="str">
        <f t="shared" si="41"/>
        <v>EF1 E002 Mat</v>
      </c>
    </row>
    <row r="2578" spans="1:31" ht="30" x14ac:dyDescent="0.25">
      <c r="A2578" s="31" t="s">
        <v>5395</v>
      </c>
      <c r="B2578" s="16" t="s">
        <v>32</v>
      </c>
      <c r="C2578" s="16" t="s">
        <v>164</v>
      </c>
      <c r="D2578" s="33" t="s">
        <v>34</v>
      </c>
      <c r="E2578" s="33">
        <v>10</v>
      </c>
      <c r="F2578" s="33">
        <v>5</v>
      </c>
      <c r="G2578" s="33"/>
      <c r="H2578" s="33" t="s">
        <v>1885</v>
      </c>
      <c r="I2578" s="31" t="s">
        <v>46</v>
      </c>
      <c r="J2578" s="31"/>
      <c r="K2578" s="33"/>
      <c r="L2578" s="33"/>
      <c r="M2578" s="31"/>
      <c r="N2578" s="31"/>
      <c r="O2578" s="16" t="s">
        <v>5396</v>
      </c>
      <c r="P2578" s="16"/>
      <c r="Q2578" s="16"/>
      <c r="R2578" s="33"/>
      <c r="S2578" s="34"/>
      <c r="T2578" s="34"/>
      <c r="U2578" s="34"/>
      <c r="V2578" s="34"/>
      <c r="W2578" s="34"/>
      <c r="X2578" s="33" t="s">
        <v>1126</v>
      </c>
      <c r="Y2578" s="35" t="str">
        <f>IF(Tabela2[[#This Row],[SIGLA]]="","",VLOOKUP(Tabela2[[#This Row],[SIGLA]],Tabela1[[#All],[Sigla Arte]:[Crédito]],2,0))</f>
        <v>GUSTAVO CONTI/ARQUIVO DA EDITORA</v>
      </c>
      <c r="Z2578" s="31"/>
      <c r="AA2578" s="31" t="str">
        <f>Tabela2[[#This Row],[ILUSTRADOR CRIAÇÃO]]</f>
        <v>GUSTAVO CONTI/ARQUIVO DA EDITORA</v>
      </c>
      <c r="AB2578" s="33"/>
      <c r="AC2578" s="16"/>
      <c r="AE2578" s="35" t="str">
        <f t="shared" si="41"/>
        <v>EF1 E002 Mat</v>
      </c>
    </row>
    <row r="2579" spans="1:31" ht="30" x14ac:dyDescent="0.25">
      <c r="A2579" s="31" t="s">
        <v>5397</v>
      </c>
      <c r="B2579" s="16" t="s">
        <v>32</v>
      </c>
      <c r="C2579" s="16" t="s">
        <v>164</v>
      </c>
      <c r="D2579" s="33" t="s">
        <v>34</v>
      </c>
      <c r="E2579" s="33">
        <v>10</v>
      </c>
      <c r="F2579" s="33">
        <v>5</v>
      </c>
      <c r="G2579" s="33"/>
      <c r="H2579" s="33" t="s">
        <v>1885</v>
      </c>
      <c r="I2579" s="31" t="s">
        <v>46</v>
      </c>
      <c r="J2579" s="31"/>
      <c r="K2579" s="33"/>
      <c r="L2579" s="33"/>
      <c r="M2579" s="31"/>
      <c r="N2579" s="31"/>
      <c r="O2579" s="16" t="s">
        <v>5398</v>
      </c>
      <c r="P2579" s="16"/>
      <c r="Q2579" s="16"/>
      <c r="R2579" s="33"/>
      <c r="S2579" s="34"/>
      <c r="T2579" s="34"/>
      <c r="U2579" s="34"/>
      <c r="V2579" s="34"/>
      <c r="W2579" s="34"/>
      <c r="X2579" s="33" t="s">
        <v>1126</v>
      </c>
      <c r="Y2579" s="35" t="str">
        <f>IF(Tabela2[[#This Row],[SIGLA]]="","",VLOOKUP(Tabela2[[#This Row],[SIGLA]],Tabela1[[#All],[Sigla Arte]:[Crédito]],2,0))</f>
        <v>GUSTAVO CONTI/ARQUIVO DA EDITORA</v>
      </c>
      <c r="Z2579" s="31"/>
      <c r="AA2579" s="31" t="str">
        <f>Tabela2[[#This Row],[ILUSTRADOR CRIAÇÃO]]</f>
        <v>GUSTAVO CONTI/ARQUIVO DA EDITORA</v>
      </c>
      <c r="AB2579" s="33"/>
      <c r="AC2579" s="16"/>
      <c r="AE2579" s="35" t="str">
        <f t="shared" si="41"/>
        <v>EF1 E002 Mat</v>
      </c>
    </row>
    <row r="2580" spans="1:31" ht="30" x14ac:dyDescent="0.25">
      <c r="A2580" s="31" t="s">
        <v>5399</v>
      </c>
      <c r="B2580" s="16" t="s">
        <v>32</v>
      </c>
      <c r="C2580" s="16" t="s">
        <v>164</v>
      </c>
      <c r="D2580" s="33" t="s">
        <v>34</v>
      </c>
      <c r="E2580" s="33">
        <v>10</v>
      </c>
      <c r="F2580" s="33">
        <v>5</v>
      </c>
      <c r="G2580" s="33"/>
      <c r="H2580" s="33" t="s">
        <v>1885</v>
      </c>
      <c r="I2580" s="31" t="s">
        <v>46</v>
      </c>
      <c r="J2580" s="31"/>
      <c r="K2580" s="33"/>
      <c r="L2580" s="33"/>
      <c r="M2580" s="31"/>
      <c r="N2580" s="31"/>
      <c r="O2580" s="16" t="s">
        <v>5400</v>
      </c>
      <c r="P2580" s="16"/>
      <c r="Q2580" s="16"/>
      <c r="R2580" s="33"/>
      <c r="S2580" s="34"/>
      <c r="T2580" s="34"/>
      <c r="U2580" s="34"/>
      <c r="V2580" s="34"/>
      <c r="W2580" s="34"/>
      <c r="X2580" s="33" t="s">
        <v>1126</v>
      </c>
      <c r="Y2580" s="35" t="str">
        <f>IF(Tabela2[[#This Row],[SIGLA]]="","",VLOOKUP(Tabela2[[#This Row],[SIGLA]],Tabela1[[#All],[Sigla Arte]:[Crédito]],2,0))</f>
        <v>GUSTAVO CONTI/ARQUIVO DA EDITORA</v>
      </c>
      <c r="Z2580" s="31"/>
      <c r="AA2580" s="31" t="str">
        <f>Tabela2[[#This Row],[ILUSTRADOR CRIAÇÃO]]</f>
        <v>GUSTAVO CONTI/ARQUIVO DA EDITORA</v>
      </c>
      <c r="AB2580" s="33"/>
      <c r="AC2580" s="16"/>
      <c r="AE2580" s="35" t="str">
        <f t="shared" si="41"/>
        <v>EF1 E002 Mat</v>
      </c>
    </row>
    <row r="2581" spans="1:31" ht="30" x14ac:dyDescent="0.25">
      <c r="A2581" s="31" t="s">
        <v>5401</v>
      </c>
      <c r="B2581" s="16" t="s">
        <v>32</v>
      </c>
      <c r="C2581" s="16" t="s">
        <v>164</v>
      </c>
      <c r="D2581" s="33" t="s">
        <v>34</v>
      </c>
      <c r="E2581" s="33">
        <v>10</v>
      </c>
      <c r="F2581" s="33">
        <v>5</v>
      </c>
      <c r="G2581" s="33"/>
      <c r="H2581" s="33" t="s">
        <v>1885</v>
      </c>
      <c r="I2581" s="31" t="s">
        <v>46</v>
      </c>
      <c r="J2581" s="31"/>
      <c r="K2581" s="33"/>
      <c r="L2581" s="33"/>
      <c r="M2581" s="31"/>
      <c r="N2581" s="31"/>
      <c r="O2581" s="16" t="s">
        <v>5402</v>
      </c>
      <c r="P2581" s="16"/>
      <c r="Q2581" s="16"/>
      <c r="R2581" s="33"/>
      <c r="S2581" s="34"/>
      <c r="T2581" s="34"/>
      <c r="U2581" s="34"/>
      <c r="V2581" s="34"/>
      <c r="W2581" s="34"/>
      <c r="X2581" s="33" t="s">
        <v>1126</v>
      </c>
      <c r="Y2581" s="35" t="str">
        <f>IF(Tabela2[[#This Row],[SIGLA]]="","",VLOOKUP(Tabela2[[#This Row],[SIGLA]],Tabela1[[#All],[Sigla Arte]:[Crédito]],2,0))</f>
        <v>GUSTAVO CONTI/ARQUIVO DA EDITORA</v>
      </c>
      <c r="Z2581" s="31"/>
      <c r="AA2581" s="31" t="str">
        <f>Tabela2[[#This Row],[ILUSTRADOR CRIAÇÃO]]</f>
        <v>GUSTAVO CONTI/ARQUIVO DA EDITORA</v>
      </c>
      <c r="AB2581" s="33"/>
      <c r="AC2581" s="16"/>
      <c r="AE2581" s="35" t="str">
        <f t="shared" si="41"/>
        <v>EF1 E002 Mat</v>
      </c>
    </row>
    <row r="2582" spans="1:31" ht="90" x14ac:dyDescent="0.25">
      <c r="A2582" s="31" t="s">
        <v>5403</v>
      </c>
      <c r="B2582" s="16" t="s">
        <v>32</v>
      </c>
      <c r="C2582" s="16" t="s">
        <v>164</v>
      </c>
      <c r="D2582" s="33" t="s">
        <v>34</v>
      </c>
      <c r="E2582" s="33">
        <v>11</v>
      </c>
      <c r="F2582" s="33">
        <v>5</v>
      </c>
      <c r="G2582" s="33"/>
      <c r="H2582" s="33" t="s">
        <v>1885</v>
      </c>
      <c r="I2582" s="31" t="s">
        <v>35</v>
      </c>
      <c r="J2582" s="31"/>
      <c r="K2582" s="33"/>
      <c r="L2582" s="33"/>
      <c r="M2582" s="31"/>
      <c r="N2582" s="31"/>
      <c r="O2582" s="16" t="s">
        <v>5404</v>
      </c>
      <c r="P2582" s="16"/>
      <c r="Q2582" s="16"/>
      <c r="R2582" s="33">
        <v>146</v>
      </c>
      <c r="S2582" s="34">
        <v>45902</v>
      </c>
      <c r="T2582" s="34">
        <v>45902</v>
      </c>
      <c r="U2582" s="34"/>
      <c r="V2582" s="34"/>
      <c r="W2582" s="34">
        <v>45908</v>
      </c>
      <c r="X2582" s="33" t="s">
        <v>1126</v>
      </c>
      <c r="Y2582" s="35" t="str">
        <f>IF(Tabela2[[#This Row],[SIGLA]]="","",VLOOKUP(Tabela2[[#This Row],[SIGLA]],Tabela1[[#All],[Sigla Arte]:[Crédito]],2,0))</f>
        <v>GUSTAVO CONTI/ARQUIVO DA EDITORA</v>
      </c>
      <c r="Z2582" s="31" t="s">
        <v>572</v>
      </c>
      <c r="AA2582" s="31" t="str">
        <f>Tabela2[[#This Row],[ILUSTRADOR CRIAÇÃO]]</f>
        <v>GUSTAVO CONTI/ARQUIVO DA EDITORA</v>
      </c>
      <c r="AB2582" s="33">
        <v>13</v>
      </c>
      <c r="AC2582" s="16" t="s">
        <v>44</v>
      </c>
      <c r="AD2582" s="16" t="s">
        <v>40</v>
      </c>
      <c r="AE2582" s="35" t="str">
        <f t="shared" si="41"/>
        <v>EF1 E002 Mat</v>
      </c>
    </row>
    <row r="2583" spans="1:31" ht="30" x14ac:dyDescent="0.25">
      <c r="A2583" s="31" t="s">
        <v>5405</v>
      </c>
      <c r="B2583" s="16" t="s">
        <v>32</v>
      </c>
      <c r="C2583" s="16" t="s">
        <v>164</v>
      </c>
      <c r="D2583" s="33" t="s">
        <v>34</v>
      </c>
      <c r="E2583" s="33">
        <v>12</v>
      </c>
      <c r="F2583" s="33">
        <v>5</v>
      </c>
      <c r="G2583" s="33"/>
      <c r="H2583" s="33" t="s">
        <v>1885</v>
      </c>
      <c r="I2583" s="31" t="s">
        <v>46</v>
      </c>
      <c r="J2583" s="31"/>
      <c r="K2583" s="33"/>
      <c r="L2583" s="33"/>
      <c r="M2583" s="31"/>
      <c r="N2583" s="31"/>
      <c r="O2583" s="16" t="s">
        <v>5406</v>
      </c>
      <c r="P2583" s="16"/>
      <c r="Q2583" s="16"/>
      <c r="R2583" s="33"/>
      <c r="S2583" s="34"/>
      <c r="T2583" s="34"/>
      <c r="U2583" s="34"/>
      <c r="V2583" s="34"/>
      <c r="W2583" s="34"/>
      <c r="X2583" s="33" t="s">
        <v>184</v>
      </c>
      <c r="Y2583" s="35" t="str">
        <f>IF(Tabela2[[#This Row],[SIGLA]]="","",VLOOKUP(Tabela2[[#This Row],[SIGLA]],Tabela1[[#All],[Sigla Arte]:[Crédito]],2,0))</f>
        <v>VER DOCUMENTO DE ILS. TÉCNICAS</v>
      </c>
      <c r="Z2583" s="31"/>
      <c r="AA2583" s="31" t="s">
        <v>2050</v>
      </c>
      <c r="AB2583" s="33"/>
      <c r="AC2583" s="16"/>
      <c r="AE2583" s="35" t="str">
        <f t="shared" si="41"/>
        <v>EF1 E002 Mat</v>
      </c>
    </row>
    <row r="2584" spans="1:31" ht="30" x14ac:dyDescent="0.25">
      <c r="A2584" s="31" t="s">
        <v>5407</v>
      </c>
      <c r="B2584" s="16" t="s">
        <v>32</v>
      </c>
      <c r="C2584" s="16" t="s">
        <v>164</v>
      </c>
      <c r="D2584" s="33" t="s">
        <v>34</v>
      </c>
      <c r="E2584" s="33">
        <v>12</v>
      </c>
      <c r="F2584" s="33">
        <v>5</v>
      </c>
      <c r="G2584" s="33"/>
      <c r="H2584" s="33" t="s">
        <v>1885</v>
      </c>
      <c r="I2584" s="31" t="s">
        <v>46</v>
      </c>
      <c r="J2584" s="31"/>
      <c r="K2584" s="33"/>
      <c r="L2584" s="33"/>
      <c r="M2584" s="31"/>
      <c r="N2584" s="31"/>
      <c r="O2584" s="16" t="s">
        <v>5408</v>
      </c>
      <c r="P2584" s="16"/>
      <c r="Q2584" s="16"/>
      <c r="R2584" s="33"/>
      <c r="S2584" s="34"/>
      <c r="T2584" s="34"/>
      <c r="U2584" s="34"/>
      <c r="V2584" s="34"/>
      <c r="W2584" s="34"/>
      <c r="X2584" s="33" t="s">
        <v>184</v>
      </c>
      <c r="Y2584" s="35" t="str">
        <f>IF(Tabela2[[#This Row],[SIGLA]]="","",VLOOKUP(Tabela2[[#This Row],[SIGLA]],Tabela1[[#All],[Sigla Arte]:[Crédito]],2,0))</f>
        <v>VER DOCUMENTO DE ILS. TÉCNICAS</v>
      </c>
      <c r="Z2584" s="31"/>
      <c r="AA2584" s="31" t="s">
        <v>2050</v>
      </c>
      <c r="AB2584" s="33"/>
      <c r="AC2584" s="16"/>
      <c r="AE2584" s="35" t="str">
        <f t="shared" si="41"/>
        <v>EF1 E002 Mat</v>
      </c>
    </row>
    <row r="2585" spans="1:31" ht="30" x14ac:dyDescent="0.25">
      <c r="A2585" s="31" t="s">
        <v>5409</v>
      </c>
      <c r="B2585" s="16" t="s">
        <v>32</v>
      </c>
      <c r="C2585" s="16" t="s">
        <v>164</v>
      </c>
      <c r="D2585" s="33" t="s">
        <v>34</v>
      </c>
      <c r="E2585" s="33">
        <v>12</v>
      </c>
      <c r="F2585" s="33">
        <v>5</v>
      </c>
      <c r="G2585" s="33"/>
      <c r="H2585" s="33" t="s">
        <v>1885</v>
      </c>
      <c r="I2585" s="31" t="s">
        <v>46</v>
      </c>
      <c r="J2585" s="31"/>
      <c r="K2585" s="33"/>
      <c r="L2585" s="33"/>
      <c r="M2585" s="31"/>
      <c r="N2585" s="31"/>
      <c r="O2585" s="16" t="s">
        <v>5410</v>
      </c>
      <c r="P2585" s="16"/>
      <c r="Q2585" s="16"/>
      <c r="R2585" s="33"/>
      <c r="S2585" s="34"/>
      <c r="T2585" s="34"/>
      <c r="U2585" s="34"/>
      <c r="V2585" s="34"/>
      <c r="W2585" s="34"/>
      <c r="X2585" s="33" t="s">
        <v>184</v>
      </c>
      <c r="Y2585" s="35" t="str">
        <f>IF(Tabela2[[#This Row],[SIGLA]]="","",VLOOKUP(Tabela2[[#This Row],[SIGLA]],Tabela1[[#All],[Sigla Arte]:[Crédito]],2,0))</f>
        <v>VER DOCUMENTO DE ILS. TÉCNICAS</v>
      </c>
      <c r="Z2585" s="31"/>
      <c r="AA2585" s="31" t="s">
        <v>2050</v>
      </c>
      <c r="AB2585" s="33"/>
      <c r="AC2585" s="16"/>
      <c r="AE2585" s="35" t="str">
        <f t="shared" si="41"/>
        <v>EF1 E002 Mat</v>
      </c>
    </row>
    <row r="2586" spans="1:31" ht="30" x14ac:dyDescent="0.25">
      <c r="A2586" s="31" t="s">
        <v>5411</v>
      </c>
      <c r="B2586" s="16" t="s">
        <v>32</v>
      </c>
      <c r="C2586" s="16" t="s">
        <v>164</v>
      </c>
      <c r="D2586" s="33" t="s">
        <v>34</v>
      </c>
      <c r="E2586" s="33">
        <v>12</v>
      </c>
      <c r="F2586" s="33">
        <v>5</v>
      </c>
      <c r="G2586" s="33"/>
      <c r="H2586" s="33" t="s">
        <v>1885</v>
      </c>
      <c r="I2586" s="31" t="s">
        <v>46</v>
      </c>
      <c r="J2586" s="31"/>
      <c r="K2586" s="33"/>
      <c r="L2586" s="33"/>
      <c r="M2586" s="31"/>
      <c r="N2586" s="31"/>
      <c r="O2586" s="16" t="s">
        <v>5412</v>
      </c>
      <c r="P2586" s="16"/>
      <c r="Q2586" s="16"/>
      <c r="R2586" s="33"/>
      <c r="S2586" s="34"/>
      <c r="T2586" s="34"/>
      <c r="U2586" s="34"/>
      <c r="V2586" s="34"/>
      <c r="W2586" s="34"/>
      <c r="X2586" s="33" t="s">
        <v>184</v>
      </c>
      <c r="Y2586" s="35" t="str">
        <f>IF(Tabela2[[#This Row],[SIGLA]]="","",VLOOKUP(Tabela2[[#This Row],[SIGLA]],Tabela1[[#All],[Sigla Arte]:[Crédito]],2,0))</f>
        <v>VER DOCUMENTO DE ILS. TÉCNICAS</v>
      </c>
      <c r="Z2586" s="31"/>
      <c r="AA2586" s="31" t="s">
        <v>921</v>
      </c>
      <c r="AB2586" s="33"/>
      <c r="AC2586" s="16"/>
      <c r="AE2586" s="35" t="str">
        <f t="shared" si="41"/>
        <v>EF1 E002 Mat</v>
      </c>
    </row>
    <row r="2587" spans="1:31" ht="30" x14ac:dyDescent="0.25">
      <c r="A2587" s="31" t="s">
        <v>5413</v>
      </c>
      <c r="B2587" s="16" t="s">
        <v>32</v>
      </c>
      <c r="C2587" s="16" t="s">
        <v>164</v>
      </c>
      <c r="D2587" s="33" t="s">
        <v>34</v>
      </c>
      <c r="E2587" s="33">
        <v>13</v>
      </c>
      <c r="F2587" s="33">
        <v>5</v>
      </c>
      <c r="G2587" s="33"/>
      <c r="H2587" s="33" t="s">
        <v>1885</v>
      </c>
      <c r="I2587" s="31" t="s">
        <v>46</v>
      </c>
      <c r="J2587" s="31"/>
      <c r="K2587" s="33"/>
      <c r="L2587" s="33"/>
      <c r="M2587" s="31"/>
      <c r="N2587" s="31"/>
      <c r="O2587" s="16" t="s">
        <v>5414</v>
      </c>
      <c r="P2587" s="16"/>
      <c r="Q2587" s="16"/>
      <c r="R2587" s="33"/>
      <c r="S2587" s="34"/>
      <c r="T2587" s="34"/>
      <c r="U2587" s="34"/>
      <c r="V2587" s="34"/>
      <c r="W2587" s="34"/>
      <c r="X2587" s="33" t="s">
        <v>184</v>
      </c>
      <c r="Y2587" s="35" t="str">
        <f>IF(Tabela2[[#This Row],[SIGLA]]="","",VLOOKUP(Tabela2[[#This Row],[SIGLA]],Tabela1[[#All],[Sigla Arte]:[Crédito]],2,0))</f>
        <v>VER DOCUMENTO DE ILS. TÉCNICAS</v>
      </c>
      <c r="Z2587" s="31"/>
      <c r="AA2587" s="31" t="s">
        <v>5415</v>
      </c>
      <c r="AB2587" s="33"/>
      <c r="AC2587" s="16"/>
      <c r="AE2587" s="35" t="str">
        <f t="shared" si="41"/>
        <v>EF1 E002 Mat</v>
      </c>
    </row>
    <row r="2588" spans="1:31" ht="30" x14ac:dyDescent="0.25">
      <c r="A2588" s="31" t="s">
        <v>5416</v>
      </c>
      <c r="B2588" s="16" t="s">
        <v>32</v>
      </c>
      <c r="C2588" s="16" t="s">
        <v>164</v>
      </c>
      <c r="D2588" s="33" t="s">
        <v>34</v>
      </c>
      <c r="E2588" s="33">
        <v>13</v>
      </c>
      <c r="F2588" s="33">
        <v>5</v>
      </c>
      <c r="G2588" s="33"/>
      <c r="H2588" s="33" t="s">
        <v>1885</v>
      </c>
      <c r="I2588" s="31" t="s">
        <v>46</v>
      </c>
      <c r="J2588" s="31"/>
      <c r="K2588" s="33"/>
      <c r="L2588" s="33"/>
      <c r="M2588" s="31"/>
      <c r="N2588" s="31"/>
      <c r="O2588" s="16" t="s">
        <v>5417</v>
      </c>
      <c r="P2588" s="16"/>
      <c r="Q2588" s="16"/>
      <c r="R2588" s="33"/>
      <c r="S2588" s="34"/>
      <c r="T2588" s="34"/>
      <c r="U2588" s="34"/>
      <c r="V2588" s="34"/>
      <c r="W2588" s="34"/>
      <c r="X2588" s="33" t="s">
        <v>184</v>
      </c>
      <c r="Y2588" s="35" t="str">
        <f>IF(Tabela2[[#This Row],[SIGLA]]="","",VLOOKUP(Tabela2[[#This Row],[SIGLA]],Tabela1[[#All],[Sigla Arte]:[Crédito]],2,0))</f>
        <v>VER DOCUMENTO DE ILS. TÉCNICAS</v>
      </c>
      <c r="Z2588" s="31"/>
      <c r="AA2588" s="31" t="s">
        <v>5415</v>
      </c>
      <c r="AB2588" s="33"/>
      <c r="AC2588" s="16"/>
      <c r="AE2588" s="35" t="str">
        <f t="shared" si="41"/>
        <v>EF1 E002 Mat</v>
      </c>
    </row>
    <row r="2589" spans="1:31" ht="75" x14ac:dyDescent="0.25">
      <c r="A2589" s="31" t="s">
        <v>5418</v>
      </c>
      <c r="B2589" s="16" t="s">
        <v>32</v>
      </c>
      <c r="C2589" s="16" t="s">
        <v>164</v>
      </c>
      <c r="D2589" s="33" t="s">
        <v>34</v>
      </c>
      <c r="E2589" s="33">
        <v>13</v>
      </c>
      <c r="F2589" s="33">
        <v>5</v>
      </c>
      <c r="G2589" s="33"/>
      <c r="H2589" s="33" t="s">
        <v>1885</v>
      </c>
      <c r="I2589" s="31" t="s">
        <v>35</v>
      </c>
      <c r="J2589" s="31"/>
      <c r="K2589" s="33"/>
      <c r="L2589" s="33"/>
      <c r="M2589" s="31"/>
      <c r="N2589" s="31"/>
      <c r="O2589" s="16" t="s">
        <v>5419</v>
      </c>
      <c r="P2589" s="16"/>
      <c r="Q2589" s="16"/>
      <c r="R2589" s="33">
        <v>146</v>
      </c>
      <c r="S2589" s="34">
        <v>45902</v>
      </c>
      <c r="T2589" s="34">
        <v>45902</v>
      </c>
      <c r="U2589" s="34"/>
      <c r="V2589" s="34"/>
      <c r="W2589" s="34">
        <v>45908</v>
      </c>
      <c r="X2589" s="33" t="s">
        <v>1126</v>
      </c>
      <c r="Y2589" s="35" t="str">
        <f>IF(Tabela2[[#This Row],[SIGLA]]="","",VLOOKUP(Tabela2[[#This Row],[SIGLA]],Tabela1[[#All],[Sigla Arte]:[Crédito]],2,0))</f>
        <v>GUSTAVO CONTI/ARQUIVO DA EDITORA</v>
      </c>
      <c r="Z2589" s="31" t="s">
        <v>572</v>
      </c>
      <c r="AA2589" s="31" t="str">
        <f>Tabela2[[#This Row],[ILUSTRADOR CRIAÇÃO]]</f>
        <v>GUSTAVO CONTI/ARQUIVO DA EDITORA</v>
      </c>
      <c r="AB2589" s="33">
        <v>13</v>
      </c>
      <c r="AC2589" s="16" t="s">
        <v>44</v>
      </c>
      <c r="AD2589" s="16" t="s">
        <v>40</v>
      </c>
      <c r="AE2589" s="35" t="str">
        <f t="shared" si="41"/>
        <v>EF1 E002 Mat</v>
      </c>
    </row>
    <row r="2590" spans="1:31" ht="30" x14ac:dyDescent="0.25">
      <c r="A2590" s="31" t="s">
        <v>5420</v>
      </c>
      <c r="B2590" s="16" t="s">
        <v>32</v>
      </c>
      <c r="C2590" s="16" t="s">
        <v>164</v>
      </c>
      <c r="D2590" s="33" t="s">
        <v>34</v>
      </c>
      <c r="E2590" s="33">
        <v>13</v>
      </c>
      <c r="F2590" s="33">
        <v>5</v>
      </c>
      <c r="G2590" s="33"/>
      <c r="H2590" s="33" t="s">
        <v>1885</v>
      </c>
      <c r="I2590" s="31" t="s">
        <v>35</v>
      </c>
      <c r="J2590" s="31"/>
      <c r="K2590" s="33"/>
      <c r="L2590" s="33"/>
      <c r="M2590" s="31"/>
      <c r="N2590" s="31"/>
      <c r="O2590" s="16" t="s">
        <v>5421</v>
      </c>
      <c r="P2590" s="16"/>
      <c r="Q2590" s="16"/>
      <c r="R2590" s="33">
        <v>193</v>
      </c>
      <c r="S2590" s="34">
        <v>45939</v>
      </c>
      <c r="T2590" s="34">
        <v>45939</v>
      </c>
      <c r="U2590" s="34"/>
      <c r="V2590" s="34"/>
      <c r="W2590" s="34">
        <v>45939</v>
      </c>
      <c r="X2590" s="33" t="s">
        <v>1126</v>
      </c>
      <c r="Y2590" s="35" t="str">
        <f>IF(Tabela2[[#This Row],[SIGLA]]="","",VLOOKUP(Tabela2[[#This Row],[SIGLA]],Tabela1[[#All],[Sigla Arte]:[Crédito]],2,0))</f>
        <v>GUSTAVO CONTI/ARQUIVO DA EDITORA</v>
      </c>
      <c r="Z2590" s="31" t="s">
        <v>539</v>
      </c>
      <c r="AA2590" s="31" t="str">
        <f>Tabela2[[#This Row],[ILUSTRADOR CRIAÇÃO]]</f>
        <v>GUSTAVO CONTI/ARQUIVO DA EDITORA</v>
      </c>
      <c r="AB2590" s="33">
        <v>13</v>
      </c>
      <c r="AC2590" s="16" t="s">
        <v>89</v>
      </c>
      <c r="AD2590" s="16" t="s">
        <v>40</v>
      </c>
      <c r="AE2590" s="35" t="str">
        <f t="shared" si="41"/>
        <v>EF1 E002 Mat</v>
      </c>
    </row>
    <row r="2591" spans="1:31" ht="30" x14ac:dyDescent="0.25">
      <c r="A2591" s="31" t="s">
        <v>5422</v>
      </c>
      <c r="B2591" s="16" t="s">
        <v>32</v>
      </c>
      <c r="C2591" s="16" t="s">
        <v>164</v>
      </c>
      <c r="D2591" s="33" t="s">
        <v>34</v>
      </c>
      <c r="E2591" s="33">
        <v>266</v>
      </c>
      <c r="F2591" s="33">
        <v>5</v>
      </c>
      <c r="G2591" s="33"/>
      <c r="H2591" s="33" t="s">
        <v>1397</v>
      </c>
      <c r="I2591" s="31" t="s">
        <v>46</v>
      </c>
      <c r="J2591" s="31"/>
      <c r="K2591" s="33"/>
      <c r="L2591" s="33"/>
      <c r="M2591" s="31"/>
      <c r="N2591" s="31"/>
      <c r="O2591" s="16" t="s">
        <v>5423</v>
      </c>
      <c r="P2591" s="16"/>
      <c r="Q2591" s="16"/>
      <c r="R2591" s="33"/>
      <c r="S2591" s="34"/>
      <c r="T2591" s="34"/>
      <c r="U2591" s="34"/>
      <c r="V2591" s="34"/>
      <c r="W2591" s="34"/>
      <c r="X2591" s="33" t="s">
        <v>184</v>
      </c>
      <c r="Y2591" s="35" t="str">
        <f>IF(Tabela2[[#This Row],[SIGLA]]="","",VLOOKUP(Tabela2[[#This Row],[SIGLA]],Tabela1[[#All],[Sigla Arte]:[Crédito]],2,0))</f>
        <v>VER DOCUMENTO DE ILS. TÉCNICAS</v>
      </c>
      <c r="Z2591" s="31"/>
      <c r="AA2591" s="31" t="s">
        <v>185</v>
      </c>
      <c r="AB2591" s="33"/>
      <c r="AC2591" s="16"/>
      <c r="AE2591" s="35" t="str">
        <f t="shared" si="41"/>
        <v>EF1 E002 Mat</v>
      </c>
    </row>
    <row r="2592" spans="1:31" ht="45" x14ac:dyDescent="0.25">
      <c r="A2592" s="31" t="s">
        <v>5424</v>
      </c>
      <c r="B2592" s="16" t="s">
        <v>32</v>
      </c>
      <c r="C2592" s="16" t="s">
        <v>164</v>
      </c>
      <c r="D2592" s="33" t="s">
        <v>34</v>
      </c>
      <c r="E2592" s="33">
        <v>266</v>
      </c>
      <c r="F2592" s="33">
        <v>5</v>
      </c>
      <c r="G2592" s="33"/>
      <c r="H2592" s="33" t="s">
        <v>1397</v>
      </c>
      <c r="I2592" s="31" t="s">
        <v>46</v>
      </c>
      <c r="J2592" s="31"/>
      <c r="K2592" s="33"/>
      <c r="L2592" s="33"/>
      <c r="M2592" s="31"/>
      <c r="N2592" s="31"/>
      <c r="O2592" s="16" t="s">
        <v>5425</v>
      </c>
      <c r="P2592" s="16"/>
      <c r="Q2592" s="16"/>
      <c r="R2592" s="33"/>
      <c r="S2592" s="34"/>
      <c r="T2592" s="34"/>
      <c r="U2592" s="34"/>
      <c r="V2592" s="34"/>
      <c r="W2592" s="34"/>
      <c r="X2592" s="33" t="s">
        <v>1126</v>
      </c>
      <c r="Y2592" s="35" t="str">
        <f>IF(Tabela2[[#This Row],[SIGLA]]="","",VLOOKUP(Tabela2[[#This Row],[SIGLA]],Tabela1[[#All],[Sigla Arte]:[Crédito]],2,0))</f>
        <v>GUSTAVO CONTI/ARQUIVO DA EDITORA</v>
      </c>
      <c r="Z2592" s="31"/>
      <c r="AA2592" s="31" t="str">
        <f>Tabela2[[#This Row],[ILUSTRADOR CRIAÇÃO]]</f>
        <v>GUSTAVO CONTI/ARQUIVO DA EDITORA</v>
      </c>
      <c r="AB2592" s="33"/>
      <c r="AC2592" s="16"/>
      <c r="AE2592" s="35" t="str">
        <f t="shared" si="41"/>
        <v>EF1 E002 Mat</v>
      </c>
    </row>
    <row r="2593" spans="1:31" ht="45" x14ac:dyDescent="0.25">
      <c r="A2593" s="31" t="s">
        <v>5426</v>
      </c>
      <c r="B2593" s="16" t="s">
        <v>32</v>
      </c>
      <c r="C2593" s="16" t="s">
        <v>164</v>
      </c>
      <c r="D2593" s="33" t="s">
        <v>34</v>
      </c>
      <c r="E2593" s="33">
        <v>266</v>
      </c>
      <c r="F2593" s="33">
        <v>5</v>
      </c>
      <c r="G2593" s="33"/>
      <c r="H2593" s="33" t="s">
        <v>1397</v>
      </c>
      <c r="I2593" s="31" t="s">
        <v>46</v>
      </c>
      <c r="J2593" s="31"/>
      <c r="K2593" s="33"/>
      <c r="L2593" s="33"/>
      <c r="M2593" s="31"/>
      <c r="N2593" s="31"/>
      <c r="O2593" s="16" t="s">
        <v>5427</v>
      </c>
      <c r="P2593" s="16"/>
      <c r="Q2593" s="16"/>
      <c r="R2593" s="33"/>
      <c r="S2593" s="34"/>
      <c r="T2593" s="34"/>
      <c r="U2593" s="34"/>
      <c r="V2593" s="34"/>
      <c r="W2593" s="34"/>
      <c r="X2593" s="33" t="s">
        <v>1126</v>
      </c>
      <c r="Y2593" s="35" t="str">
        <f>IF(Tabela2[[#This Row],[SIGLA]]="","",VLOOKUP(Tabela2[[#This Row],[SIGLA]],Tabela1[[#All],[Sigla Arte]:[Crédito]],2,0))</f>
        <v>GUSTAVO CONTI/ARQUIVO DA EDITORA</v>
      </c>
      <c r="Z2593" s="31"/>
      <c r="AA2593" s="31" t="str">
        <f>Tabela2[[#This Row],[ILUSTRADOR CRIAÇÃO]]</f>
        <v>GUSTAVO CONTI/ARQUIVO DA EDITORA</v>
      </c>
      <c r="AB2593" s="33"/>
      <c r="AC2593" s="16"/>
      <c r="AE2593" s="35" t="str">
        <f t="shared" si="41"/>
        <v>EF1 E002 Mat</v>
      </c>
    </row>
    <row r="2594" spans="1:31" ht="45" x14ac:dyDescent="0.25">
      <c r="A2594" s="31" t="s">
        <v>5428</v>
      </c>
      <c r="B2594" s="16" t="s">
        <v>32</v>
      </c>
      <c r="C2594" s="16" t="s">
        <v>164</v>
      </c>
      <c r="D2594" s="33" t="s">
        <v>34</v>
      </c>
      <c r="E2594" s="33">
        <v>266</v>
      </c>
      <c r="F2594" s="33">
        <v>5</v>
      </c>
      <c r="G2594" s="33"/>
      <c r="H2594" s="33" t="s">
        <v>1397</v>
      </c>
      <c r="I2594" s="31" t="s">
        <v>46</v>
      </c>
      <c r="J2594" s="31"/>
      <c r="K2594" s="33"/>
      <c r="L2594" s="33"/>
      <c r="M2594" s="31"/>
      <c r="N2594" s="31"/>
      <c r="O2594" s="16" t="s">
        <v>5429</v>
      </c>
      <c r="P2594" s="16"/>
      <c r="Q2594" s="16"/>
      <c r="R2594" s="33"/>
      <c r="S2594" s="34"/>
      <c r="T2594" s="34"/>
      <c r="U2594" s="34"/>
      <c r="V2594" s="34"/>
      <c r="W2594" s="34"/>
      <c r="X2594" s="33" t="s">
        <v>1126</v>
      </c>
      <c r="Y2594" s="35" t="str">
        <f>IF(Tabela2[[#This Row],[SIGLA]]="","",VLOOKUP(Tabela2[[#This Row],[SIGLA]],Tabela1[[#All],[Sigla Arte]:[Crédito]],2,0))</f>
        <v>GUSTAVO CONTI/ARQUIVO DA EDITORA</v>
      </c>
      <c r="Z2594" s="31"/>
      <c r="AA2594" s="31" t="str">
        <f>Tabela2[[#This Row],[ILUSTRADOR CRIAÇÃO]]</f>
        <v>GUSTAVO CONTI/ARQUIVO DA EDITORA</v>
      </c>
      <c r="AB2594" s="33"/>
      <c r="AC2594" s="16"/>
      <c r="AE2594" s="35" t="str">
        <f t="shared" si="41"/>
        <v>EF1 E002 Mat</v>
      </c>
    </row>
    <row r="2595" spans="1:31" ht="45" x14ac:dyDescent="0.25">
      <c r="A2595" s="31" t="s">
        <v>5430</v>
      </c>
      <c r="B2595" s="16" t="s">
        <v>32</v>
      </c>
      <c r="C2595" s="16" t="s">
        <v>164</v>
      </c>
      <c r="D2595" s="33" t="s">
        <v>34</v>
      </c>
      <c r="E2595" s="33">
        <v>267</v>
      </c>
      <c r="F2595" s="33">
        <v>5</v>
      </c>
      <c r="G2595" s="33"/>
      <c r="H2595" s="33" t="s">
        <v>1397</v>
      </c>
      <c r="I2595" s="31" t="s">
        <v>46</v>
      </c>
      <c r="J2595" s="31"/>
      <c r="K2595" s="33"/>
      <c r="L2595" s="33"/>
      <c r="M2595" s="31"/>
      <c r="N2595" s="31"/>
      <c r="O2595" s="16" t="s">
        <v>5431</v>
      </c>
      <c r="P2595" s="16"/>
      <c r="Q2595" s="16"/>
      <c r="R2595" s="33"/>
      <c r="S2595" s="34"/>
      <c r="T2595" s="34"/>
      <c r="U2595" s="34"/>
      <c r="V2595" s="34"/>
      <c r="W2595" s="34"/>
      <c r="X2595" s="33" t="s">
        <v>1126</v>
      </c>
      <c r="Y2595" s="35" t="str">
        <f>IF(Tabela2[[#This Row],[SIGLA]]="","",VLOOKUP(Tabela2[[#This Row],[SIGLA]],Tabela1[[#All],[Sigla Arte]:[Crédito]],2,0))</f>
        <v>GUSTAVO CONTI/ARQUIVO DA EDITORA</v>
      </c>
      <c r="Z2595" s="31"/>
      <c r="AA2595" s="31" t="str">
        <f>Tabela2[[#This Row],[ILUSTRADOR CRIAÇÃO]]</f>
        <v>GUSTAVO CONTI/ARQUIVO DA EDITORA</v>
      </c>
      <c r="AB2595" s="33"/>
      <c r="AC2595" s="16"/>
      <c r="AE2595" s="35" t="str">
        <f t="shared" si="41"/>
        <v>EF1 E002 Mat</v>
      </c>
    </row>
    <row r="2596" spans="1:31" ht="45" x14ac:dyDescent="0.25">
      <c r="A2596" s="31" t="s">
        <v>5432</v>
      </c>
      <c r="B2596" s="16" t="s">
        <v>32</v>
      </c>
      <c r="C2596" s="16" t="s">
        <v>164</v>
      </c>
      <c r="D2596" s="33" t="s">
        <v>34</v>
      </c>
      <c r="E2596" s="33">
        <v>267</v>
      </c>
      <c r="F2596" s="33">
        <v>5</v>
      </c>
      <c r="G2596" s="33"/>
      <c r="H2596" s="33" t="s">
        <v>1397</v>
      </c>
      <c r="I2596" s="31" t="s">
        <v>46</v>
      </c>
      <c r="J2596" s="31"/>
      <c r="K2596" s="33"/>
      <c r="L2596" s="33"/>
      <c r="M2596" s="31"/>
      <c r="N2596" s="31"/>
      <c r="O2596" s="16" t="s">
        <v>5433</v>
      </c>
      <c r="P2596" s="16"/>
      <c r="Q2596" s="16"/>
      <c r="R2596" s="33"/>
      <c r="S2596" s="34"/>
      <c r="T2596" s="34"/>
      <c r="U2596" s="34"/>
      <c r="V2596" s="34"/>
      <c r="W2596" s="34"/>
      <c r="X2596" s="33" t="s">
        <v>1126</v>
      </c>
      <c r="Y2596" s="35" t="str">
        <f>IF(Tabela2[[#This Row],[SIGLA]]="","",VLOOKUP(Tabela2[[#This Row],[SIGLA]],Tabela1[[#All],[Sigla Arte]:[Crédito]],2,0))</f>
        <v>GUSTAVO CONTI/ARQUIVO DA EDITORA</v>
      </c>
      <c r="Z2596" s="31"/>
      <c r="AA2596" s="31" t="str">
        <f>Tabela2[[#This Row],[ILUSTRADOR CRIAÇÃO]]</f>
        <v>GUSTAVO CONTI/ARQUIVO DA EDITORA</v>
      </c>
      <c r="AB2596" s="33"/>
      <c r="AC2596" s="16"/>
      <c r="AE2596" s="35" t="str">
        <f t="shared" si="41"/>
        <v>EF1 E002 Mat</v>
      </c>
    </row>
    <row r="2597" spans="1:31" ht="60" x14ac:dyDescent="0.25">
      <c r="A2597" s="31" t="s">
        <v>5434</v>
      </c>
      <c r="B2597" s="16" t="s">
        <v>32</v>
      </c>
      <c r="C2597" s="16" t="s">
        <v>327</v>
      </c>
      <c r="D2597" s="33" t="s">
        <v>34</v>
      </c>
      <c r="E2597" s="33">
        <v>268</v>
      </c>
      <c r="F2597" s="33">
        <v>5</v>
      </c>
      <c r="G2597" s="33"/>
      <c r="H2597" s="33" t="s">
        <v>1397</v>
      </c>
      <c r="I2597" s="31" t="s">
        <v>35</v>
      </c>
      <c r="J2597" s="31"/>
      <c r="K2597" s="33"/>
      <c r="L2597" s="33"/>
      <c r="M2597" s="31"/>
      <c r="N2597" s="31"/>
      <c r="O2597" s="16" t="s">
        <v>5435</v>
      </c>
      <c r="P2597" s="16"/>
      <c r="Q2597" s="16"/>
      <c r="R2597" s="33">
        <v>146</v>
      </c>
      <c r="S2597" s="34">
        <v>45902</v>
      </c>
      <c r="T2597" s="34">
        <v>45902</v>
      </c>
      <c r="U2597" s="34"/>
      <c r="V2597" s="34"/>
      <c r="W2597" s="34">
        <v>45908</v>
      </c>
      <c r="X2597" s="33" t="s">
        <v>1126</v>
      </c>
      <c r="Y2597" s="35" t="str">
        <f>IF(Tabela2[[#This Row],[SIGLA]]="","",VLOOKUP(Tabela2[[#This Row],[SIGLA]],Tabela1[[#All],[Sigla Arte]:[Crédito]],2,0))</f>
        <v>GUSTAVO CONTI/ARQUIVO DA EDITORA</v>
      </c>
      <c r="Z2597" s="31" t="s">
        <v>572</v>
      </c>
      <c r="AA2597" s="31" t="str">
        <f>Tabela2[[#This Row],[ILUSTRADOR CRIAÇÃO]]</f>
        <v>GUSTAVO CONTI/ARQUIVO DA EDITORA</v>
      </c>
      <c r="AB2597" s="33">
        <v>13</v>
      </c>
      <c r="AC2597" s="16" t="s">
        <v>44</v>
      </c>
      <c r="AD2597" s="16" t="s">
        <v>40</v>
      </c>
      <c r="AE2597" s="35" t="str">
        <f t="shared" si="41"/>
        <v>EF1 E002 Mat</v>
      </c>
    </row>
    <row r="2598" spans="1:31" ht="30" x14ac:dyDescent="0.25">
      <c r="A2598" s="31" t="s">
        <v>5436</v>
      </c>
      <c r="B2598" s="16" t="s">
        <v>32</v>
      </c>
      <c r="C2598" s="16" t="s">
        <v>164</v>
      </c>
      <c r="D2598" s="33" t="s">
        <v>34</v>
      </c>
      <c r="E2598" s="33">
        <v>269</v>
      </c>
      <c r="F2598" s="33">
        <v>5</v>
      </c>
      <c r="G2598" s="33"/>
      <c r="H2598" s="33" t="s">
        <v>1397</v>
      </c>
      <c r="I2598" s="31" t="s">
        <v>46</v>
      </c>
      <c r="J2598" s="31"/>
      <c r="K2598" s="33"/>
      <c r="L2598" s="33"/>
      <c r="M2598" s="31"/>
      <c r="N2598" s="31"/>
      <c r="O2598" s="16" t="s">
        <v>5437</v>
      </c>
      <c r="P2598" s="16"/>
      <c r="Q2598" s="16"/>
      <c r="R2598" s="33"/>
      <c r="S2598" s="34"/>
      <c r="T2598" s="34"/>
      <c r="U2598" s="34"/>
      <c r="V2598" s="34"/>
      <c r="W2598" s="34"/>
      <c r="X2598" s="33" t="s">
        <v>184</v>
      </c>
      <c r="Y2598" s="35" t="str">
        <f>IF(Tabela2[[#This Row],[SIGLA]]="","",VLOOKUP(Tabela2[[#This Row],[SIGLA]],Tabela1[[#All],[Sigla Arte]:[Crédito]],2,0))</f>
        <v>VER DOCUMENTO DE ILS. TÉCNICAS</v>
      </c>
      <c r="Z2598" s="31"/>
      <c r="AA2598" s="31" t="s">
        <v>4066</v>
      </c>
      <c r="AB2598" s="33"/>
      <c r="AC2598" s="16"/>
      <c r="AE2598" s="35" t="str">
        <f t="shared" si="41"/>
        <v>EF1 E002 Mat</v>
      </c>
    </row>
    <row r="2599" spans="1:31" ht="45" x14ac:dyDescent="0.25">
      <c r="A2599" s="31" t="s">
        <v>5438</v>
      </c>
      <c r="B2599" s="16" t="s">
        <v>32</v>
      </c>
      <c r="C2599" s="16" t="s">
        <v>164</v>
      </c>
      <c r="D2599" s="33" t="s">
        <v>34</v>
      </c>
      <c r="E2599" s="33">
        <v>134</v>
      </c>
      <c r="F2599" s="33">
        <v>5</v>
      </c>
      <c r="G2599" s="33"/>
      <c r="H2599" s="33" t="s">
        <v>1933</v>
      </c>
      <c r="I2599" s="31" t="s">
        <v>46</v>
      </c>
      <c r="J2599" s="31"/>
      <c r="K2599" s="33"/>
      <c r="L2599" s="33"/>
      <c r="M2599" s="31"/>
      <c r="N2599" s="31"/>
      <c r="O2599" s="16" t="s">
        <v>5439</v>
      </c>
      <c r="P2599" s="16"/>
      <c r="Q2599" s="16"/>
      <c r="R2599" s="33"/>
      <c r="S2599" s="34"/>
      <c r="T2599" s="34"/>
      <c r="U2599" s="34"/>
      <c r="V2599" s="34"/>
      <c r="W2599" s="34"/>
      <c r="X2599" s="33" t="s">
        <v>1126</v>
      </c>
      <c r="Y2599" s="35" t="str">
        <f>IF(Tabela2[[#This Row],[SIGLA]]="","",VLOOKUP(Tabela2[[#This Row],[SIGLA]],Tabela1[[#All],[Sigla Arte]:[Crédito]],2,0))</f>
        <v>GUSTAVO CONTI/ARQUIVO DA EDITORA</v>
      </c>
      <c r="Z2599" s="31"/>
      <c r="AA2599" s="31" t="str">
        <f>Tabela2[[#This Row],[ILUSTRADOR CRIAÇÃO]]</f>
        <v>GUSTAVO CONTI/ARQUIVO DA EDITORA</v>
      </c>
      <c r="AB2599" s="33"/>
      <c r="AC2599" s="16"/>
      <c r="AE2599" s="35" t="str">
        <f t="shared" si="41"/>
        <v>EF1 E002 Mat</v>
      </c>
    </row>
    <row r="2600" spans="1:31" ht="45" x14ac:dyDescent="0.25">
      <c r="A2600" s="31" t="s">
        <v>5440</v>
      </c>
      <c r="B2600" s="16" t="s">
        <v>32</v>
      </c>
      <c r="C2600" s="16" t="s">
        <v>164</v>
      </c>
      <c r="D2600" s="33" t="s">
        <v>34</v>
      </c>
      <c r="E2600" s="33">
        <v>134</v>
      </c>
      <c r="F2600" s="33">
        <v>5</v>
      </c>
      <c r="G2600" s="33"/>
      <c r="H2600" s="33" t="s">
        <v>1933</v>
      </c>
      <c r="I2600" s="31" t="s">
        <v>46</v>
      </c>
      <c r="J2600" s="31"/>
      <c r="K2600" s="33"/>
      <c r="L2600" s="33"/>
      <c r="M2600" s="31"/>
      <c r="N2600" s="31"/>
      <c r="O2600" s="16" t="s">
        <v>5441</v>
      </c>
      <c r="P2600" s="16"/>
      <c r="Q2600" s="16"/>
      <c r="R2600" s="33"/>
      <c r="S2600" s="34"/>
      <c r="T2600" s="34"/>
      <c r="U2600" s="34"/>
      <c r="V2600" s="34"/>
      <c r="W2600" s="34"/>
      <c r="X2600" s="33" t="s">
        <v>184</v>
      </c>
      <c r="Y2600" s="35" t="str">
        <f>IF(Tabela2[[#This Row],[SIGLA]]="","",VLOOKUP(Tabela2[[#This Row],[SIGLA]],Tabela1[[#All],[Sigla Arte]:[Crédito]],2,0))</f>
        <v>VER DOCUMENTO DE ILS. TÉCNICAS</v>
      </c>
      <c r="Z2600" s="31"/>
      <c r="AA2600" s="31" t="s">
        <v>2050</v>
      </c>
      <c r="AB2600" s="33"/>
      <c r="AC2600" s="16"/>
      <c r="AE2600" s="35" t="str">
        <f t="shared" si="41"/>
        <v>EF1 E002 Mat</v>
      </c>
    </row>
    <row r="2601" spans="1:31" ht="45" x14ac:dyDescent="0.25">
      <c r="A2601" s="31" t="s">
        <v>5442</v>
      </c>
      <c r="B2601" s="16" t="s">
        <v>32</v>
      </c>
      <c r="C2601" s="16" t="s">
        <v>164</v>
      </c>
      <c r="D2601" s="33" t="s">
        <v>34</v>
      </c>
      <c r="E2601" s="33">
        <v>134</v>
      </c>
      <c r="F2601" s="33">
        <v>5</v>
      </c>
      <c r="G2601" s="33"/>
      <c r="H2601" s="33" t="s">
        <v>1933</v>
      </c>
      <c r="I2601" s="31" t="s">
        <v>46</v>
      </c>
      <c r="J2601" s="31"/>
      <c r="K2601" s="33"/>
      <c r="L2601" s="33"/>
      <c r="M2601" s="31"/>
      <c r="N2601" s="31"/>
      <c r="O2601" s="16" t="s">
        <v>5443</v>
      </c>
      <c r="P2601" s="16"/>
      <c r="Q2601" s="16"/>
      <c r="R2601" s="33"/>
      <c r="S2601" s="34"/>
      <c r="T2601" s="34"/>
      <c r="U2601" s="34"/>
      <c r="V2601" s="34"/>
      <c r="W2601" s="34"/>
      <c r="X2601" s="33" t="s">
        <v>184</v>
      </c>
      <c r="Y2601" s="35" t="str">
        <f>IF(Tabela2[[#This Row],[SIGLA]]="","",VLOOKUP(Tabela2[[#This Row],[SIGLA]],Tabela1[[#All],[Sigla Arte]:[Crédito]],2,0))</f>
        <v>VER DOCUMENTO DE ILS. TÉCNICAS</v>
      </c>
      <c r="Z2601" s="31"/>
      <c r="AA2601" s="31" t="s">
        <v>2050</v>
      </c>
      <c r="AB2601" s="33"/>
      <c r="AC2601" s="16"/>
      <c r="AE2601" s="35" t="str">
        <f t="shared" si="41"/>
        <v>EF1 E002 Mat</v>
      </c>
    </row>
    <row r="2602" spans="1:31" ht="45" x14ac:dyDescent="0.25">
      <c r="A2602" s="31" t="s">
        <v>5444</v>
      </c>
      <c r="B2602" s="16" t="s">
        <v>32</v>
      </c>
      <c r="C2602" s="16" t="s">
        <v>164</v>
      </c>
      <c r="D2602" s="33" t="s">
        <v>34</v>
      </c>
      <c r="E2602" s="33">
        <v>134</v>
      </c>
      <c r="F2602" s="33">
        <v>5</v>
      </c>
      <c r="G2602" s="33"/>
      <c r="H2602" s="33" t="s">
        <v>1933</v>
      </c>
      <c r="I2602" s="31" t="s">
        <v>46</v>
      </c>
      <c r="J2602" s="31"/>
      <c r="K2602" s="33"/>
      <c r="L2602" s="33"/>
      <c r="M2602" s="31"/>
      <c r="N2602" s="31"/>
      <c r="O2602" s="16" t="s">
        <v>5445</v>
      </c>
      <c r="P2602" s="16"/>
      <c r="Q2602" s="16"/>
      <c r="R2602" s="33"/>
      <c r="S2602" s="34"/>
      <c r="T2602" s="34"/>
      <c r="U2602" s="34"/>
      <c r="V2602" s="34"/>
      <c r="W2602" s="34"/>
      <c r="X2602" s="33" t="s">
        <v>184</v>
      </c>
      <c r="Y2602" s="35" t="str">
        <f>IF(Tabela2[[#This Row],[SIGLA]]="","",VLOOKUP(Tabela2[[#This Row],[SIGLA]],Tabela1[[#All],[Sigla Arte]:[Crédito]],2,0))</f>
        <v>VER DOCUMENTO DE ILS. TÉCNICAS</v>
      </c>
      <c r="Z2602" s="31"/>
      <c r="AA2602" s="31" t="s">
        <v>2050</v>
      </c>
      <c r="AB2602" s="33"/>
      <c r="AC2602" s="16"/>
      <c r="AE2602" s="35" t="str">
        <f t="shared" si="41"/>
        <v>EF1 E002 Mat</v>
      </c>
    </row>
    <row r="2603" spans="1:31" ht="45" x14ac:dyDescent="0.25">
      <c r="A2603" s="31" t="s">
        <v>5446</v>
      </c>
      <c r="B2603" s="16" t="s">
        <v>32</v>
      </c>
      <c r="C2603" s="16" t="s">
        <v>164</v>
      </c>
      <c r="D2603" s="33" t="s">
        <v>34</v>
      </c>
      <c r="E2603" s="33">
        <v>134</v>
      </c>
      <c r="F2603" s="33">
        <v>5</v>
      </c>
      <c r="G2603" s="33"/>
      <c r="H2603" s="33" t="s">
        <v>1933</v>
      </c>
      <c r="I2603" s="31" t="s">
        <v>46</v>
      </c>
      <c r="J2603" s="31"/>
      <c r="K2603" s="33"/>
      <c r="L2603" s="33"/>
      <c r="M2603" s="31"/>
      <c r="N2603" s="31"/>
      <c r="O2603" s="16" t="s">
        <v>5447</v>
      </c>
      <c r="P2603" s="16"/>
      <c r="Q2603" s="16"/>
      <c r="R2603" s="33"/>
      <c r="S2603" s="34"/>
      <c r="T2603" s="34"/>
      <c r="U2603" s="34"/>
      <c r="V2603" s="34"/>
      <c r="W2603" s="34"/>
      <c r="X2603" s="33" t="s">
        <v>184</v>
      </c>
      <c r="Y2603" s="35" t="str">
        <f>IF(Tabela2[[#This Row],[SIGLA]]="","",VLOOKUP(Tabela2[[#This Row],[SIGLA]],Tabela1[[#All],[Sigla Arte]:[Crédito]],2,0))</f>
        <v>VER DOCUMENTO DE ILS. TÉCNICAS</v>
      </c>
      <c r="Z2603" s="31"/>
      <c r="AA2603" s="31" t="s">
        <v>2050</v>
      </c>
      <c r="AB2603" s="33"/>
      <c r="AC2603" s="16"/>
      <c r="AE2603" s="35" t="str">
        <f t="shared" si="41"/>
        <v>EF1 E002 Mat</v>
      </c>
    </row>
    <row r="2604" spans="1:31" ht="45" x14ac:dyDescent="0.25">
      <c r="A2604" s="31" t="s">
        <v>5448</v>
      </c>
      <c r="B2604" s="16" t="s">
        <v>32</v>
      </c>
      <c r="C2604" s="16" t="s">
        <v>164</v>
      </c>
      <c r="D2604" s="33" t="s">
        <v>34</v>
      </c>
      <c r="E2604" s="33">
        <v>216</v>
      </c>
      <c r="F2604" s="33">
        <v>5</v>
      </c>
      <c r="G2604" s="33"/>
      <c r="H2604" s="33" t="s">
        <v>1933</v>
      </c>
      <c r="I2604" s="31" t="s">
        <v>46</v>
      </c>
      <c r="J2604" s="31"/>
      <c r="K2604" s="33"/>
      <c r="L2604" s="33"/>
      <c r="M2604" s="31"/>
      <c r="N2604" s="31"/>
      <c r="O2604" s="16" t="s">
        <v>5449</v>
      </c>
      <c r="P2604" s="16"/>
      <c r="Q2604" s="16"/>
      <c r="R2604" s="33"/>
      <c r="S2604" s="34"/>
      <c r="T2604" s="34"/>
      <c r="U2604" s="34"/>
      <c r="V2604" s="34"/>
      <c r="W2604" s="34"/>
      <c r="X2604" s="33" t="s">
        <v>1126</v>
      </c>
      <c r="Y2604" s="35" t="str">
        <f>IF(Tabela2[[#This Row],[SIGLA]]="","",VLOOKUP(Tabela2[[#This Row],[SIGLA]],Tabela1[[#All],[Sigla Arte]:[Crédito]],2,0))</f>
        <v>GUSTAVO CONTI/ARQUIVO DA EDITORA</v>
      </c>
      <c r="Z2604" s="31"/>
      <c r="AA2604" s="31" t="str">
        <f>Tabela2[[#This Row],[ILUSTRADOR CRIAÇÃO]]</f>
        <v>GUSTAVO CONTI/ARQUIVO DA EDITORA</v>
      </c>
      <c r="AB2604" s="33"/>
      <c r="AC2604" s="16"/>
      <c r="AE2604" s="35" t="str">
        <f t="shared" si="41"/>
        <v>EF1 E002 Mat</v>
      </c>
    </row>
    <row r="2605" spans="1:31" ht="45" x14ac:dyDescent="0.25">
      <c r="A2605" s="31" t="s">
        <v>5450</v>
      </c>
      <c r="B2605" s="16" t="s">
        <v>32</v>
      </c>
      <c r="C2605" s="16" t="s">
        <v>164</v>
      </c>
      <c r="D2605" s="33" t="s">
        <v>34</v>
      </c>
      <c r="E2605" s="33">
        <v>216</v>
      </c>
      <c r="F2605" s="33">
        <v>5</v>
      </c>
      <c r="G2605" s="33"/>
      <c r="H2605" s="33" t="s">
        <v>1933</v>
      </c>
      <c r="I2605" s="31" t="s">
        <v>46</v>
      </c>
      <c r="J2605" s="31"/>
      <c r="K2605" s="33"/>
      <c r="L2605" s="33"/>
      <c r="M2605" s="31"/>
      <c r="N2605" s="31"/>
      <c r="O2605" s="16" t="s">
        <v>5451</v>
      </c>
      <c r="P2605" s="16"/>
      <c r="Q2605" s="16"/>
      <c r="R2605" s="33"/>
      <c r="S2605" s="34"/>
      <c r="T2605" s="34"/>
      <c r="U2605" s="34"/>
      <c r="V2605" s="34"/>
      <c r="W2605" s="34"/>
      <c r="X2605" s="33" t="s">
        <v>1126</v>
      </c>
      <c r="Y2605" s="35" t="str">
        <f>IF(Tabela2[[#This Row],[SIGLA]]="","",VLOOKUP(Tabela2[[#This Row],[SIGLA]],Tabela1[[#All],[Sigla Arte]:[Crédito]],2,0))</f>
        <v>GUSTAVO CONTI/ARQUIVO DA EDITORA</v>
      </c>
      <c r="Z2605" s="31"/>
      <c r="AA2605" s="31" t="str">
        <f>Tabela2[[#This Row],[ILUSTRADOR CRIAÇÃO]]</f>
        <v>GUSTAVO CONTI/ARQUIVO DA EDITORA</v>
      </c>
      <c r="AB2605" s="33"/>
      <c r="AC2605" s="16"/>
      <c r="AE2605" s="35" t="str">
        <f t="shared" si="41"/>
        <v>EF1 E002 Mat</v>
      </c>
    </row>
    <row r="2606" spans="1:31" ht="45" x14ac:dyDescent="0.25">
      <c r="A2606" s="31" t="s">
        <v>5452</v>
      </c>
      <c r="B2606" s="16" t="s">
        <v>32</v>
      </c>
      <c r="C2606" s="16" t="s">
        <v>164</v>
      </c>
      <c r="D2606" s="33" t="s">
        <v>34</v>
      </c>
      <c r="E2606" s="33">
        <v>216</v>
      </c>
      <c r="F2606" s="33">
        <v>5</v>
      </c>
      <c r="G2606" s="33"/>
      <c r="H2606" s="33" t="s">
        <v>1933</v>
      </c>
      <c r="I2606" s="31" t="s">
        <v>46</v>
      </c>
      <c r="J2606" s="31"/>
      <c r="K2606" s="33"/>
      <c r="L2606" s="33"/>
      <c r="M2606" s="31"/>
      <c r="N2606" s="31"/>
      <c r="O2606" s="16" t="s">
        <v>5453</v>
      </c>
      <c r="P2606" s="16"/>
      <c r="Q2606" s="16"/>
      <c r="R2606" s="33"/>
      <c r="S2606" s="34"/>
      <c r="T2606" s="34"/>
      <c r="U2606" s="34"/>
      <c r="V2606" s="34"/>
      <c r="W2606" s="34"/>
      <c r="X2606" s="33" t="s">
        <v>1126</v>
      </c>
      <c r="Y2606" s="35" t="str">
        <f>IF(Tabela2[[#This Row],[SIGLA]]="","",VLOOKUP(Tabela2[[#This Row],[SIGLA]],Tabela1[[#All],[Sigla Arte]:[Crédito]],2,0))</f>
        <v>GUSTAVO CONTI/ARQUIVO DA EDITORA</v>
      </c>
      <c r="Z2606" s="31"/>
      <c r="AA2606" s="31" t="str">
        <f>Tabela2[[#This Row],[ILUSTRADOR CRIAÇÃO]]</f>
        <v>GUSTAVO CONTI/ARQUIVO DA EDITORA</v>
      </c>
      <c r="AB2606" s="33"/>
      <c r="AC2606" s="16"/>
      <c r="AE2606" s="35" t="str">
        <f t="shared" si="41"/>
        <v>EF1 E002 Mat</v>
      </c>
    </row>
    <row r="2607" spans="1:31" ht="45" x14ac:dyDescent="0.25">
      <c r="A2607" s="31" t="s">
        <v>5454</v>
      </c>
      <c r="B2607" s="16" t="s">
        <v>32</v>
      </c>
      <c r="C2607" s="16" t="s">
        <v>164</v>
      </c>
      <c r="D2607" s="33" t="s">
        <v>34</v>
      </c>
      <c r="E2607" s="33">
        <v>216</v>
      </c>
      <c r="F2607" s="33">
        <v>5</v>
      </c>
      <c r="G2607" s="33"/>
      <c r="H2607" s="33" t="s">
        <v>1933</v>
      </c>
      <c r="I2607" s="31" t="s">
        <v>46</v>
      </c>
      <c r="J2607" s="31"/>
      <c r="K2607" s="33"/>
      <c r="L2607" s="33"/>
      <c r="M2607" s="31"/>
      <c r="N2607" s="31"/>
      <c r="O2607" s="16" t="s">
        <v>5455</v>
      </c>
      <c r="P2607" s="16"/>
      <c r="Q2607" s="16"/>
      <c r="R2607" s="33"/>
      <c r="S2607" s="34"/>
      <c r="T2607" s="34"/>
      <c r="U2607" s="34"/>
      <c r="V2607" s="34"/>
      <c r="W2607" s="34"/>
      <c r="X2607" s="33" t="s">
        <v>1126</v>
      </c>
      <c r="Y2607" s="35" t="str">
        <f>IF(Tabela2[[#This Row],[SIGLA]]="","",VLOOKUP(Tabela2[[#This Row],[SIGLA]],Tabela1[[#All],[Sigla Arte]:[Crédito]],2,0))</f>
        <v>GUSTAVO CONTI/ARQUIVO DA EDITORA</v>
      </c>
      <c r="Z2607" s="31"/>
      <c r="AA2607" s="31" t="str">
        <f>Tabela2[[#This Row],[ILUSTRADOR CRIAÇÃO]]</f>
        <v>GUSTAVO CONTI/ARQUIVO DA EDITORA</v>
      </c>
      <c r="AB2607" s="33"/>
      <c r="AC2607" s="16"/>
      <c r="AE2607" s="35" t="str">
        <f t="shared" si="41"/>
        <v>EF1 E002 Mat</v>
      </c>
    </row>
    <row r="2608" spans="1:31" ht="45" x14ac:dyDescent="0.25">
      <c r="A2608" s="31" t="s">
        <v>5456</v>
      </c>
      <c r="B2608" s="16" t="s">
        <v>32</v>
      </c>
      <c r="C2608" s="16" t="s">
        <v>164</v>
      </c>
      <c r="D2608" s="33" t="s">
        <v>34</v>
      </c>
      <c r="E2608" s="33">
        <v>216</v>
      </c>
      <c r="F2608" s="33">
        <v>5</v>
      </c>
      <c r="G2608" s="33"/>
      <c r="H2608" s="33" t="s">
        <v>1933</v>
      </c>
      <c r="I2608" s="31" t="s">
        <v>46</v>
      </c>
      <c r="J2608" s="31"/>
      <c r="K2608" s="33"/>
      <c r="L2608" s="33"/>
      <c r="M2608" s="31"/>
      <c r="N2608" s="31"/>
      <c r="O2608" s="16" t="s">
        <v>5457</v>
      </c>
      <c r="P2608" s="16"/>
      <c r="Q2608" s="16"/>
      <c r="R2608" s="33"/>
      <c r="S2608" s="34"/>
      <c r="T2608" s="34"/>
      <c r="U2608" s="34"/>
      <c r="V2608" s="34"/>
      <c r="W2608" s="34"/>
      <c r="X2608" s="33" t="s">
        <v>1126</v>
      </c>
      <c r="Y2608" s="35" t="str">
        <f>IF(Tabela2[[#This Row],[SIGLA]]="","",VLOOKUP(Tabela2[[#This Row],[SIGLA]],Tabela1[[#All],[Sigla Arte]:[Crédito]],2,0))</f>
        <v>GUSTAVO CONTI/ARQUIVO DA EDITORA</v>
      </c>
      <c r="Z2608" s="31"/>
      <c r="AA2608" s="31" t="str">
        <f>Tabela2[[#This Row],[ILUSTRADOR CRIAÇÃO]]</f>
        <v>GUSTAVO CONTI/ARQUIVO DA EDITORA</v>
      </c>
      <c r="AB2608" s="33"/>
      <c r="AC2608" s="16"/>
      <c r="AE2608" s="35" t="str">
        <f t="shared" si="41"/>
        <v>EF1 E002 Mat</v>
      </c>
    </row>
    <row r="2609" spans="1:31" ht="45" x14ac:dyDescent="0.25">
      <c r="A2609" s="31" t="s">
        <v>5458</v>
      </c>
      <c r="B2609" s="16" t="s">
        <v>32</v>
      </c>
      <c r="C2609" s="16" t="s">
        <v>164</v>
      </c>
      <c r="D2609" s="33" t="s">
        <v>34</v>
      </c>
      <c r="E2609" s="33">
        <v>216</v>
      </c>
      <c r="F2609" s="33">
        <v>5</v>
      </c>
      <c r="G2609" s="33"/>
      <c r="H2609" s="33" t="s">
        <v>1933</v>
      </c>
      <c r="I2609" s="31" t="s">
        <v>46</v>
      </c>
      <c r="J2609" s="31"/>
      <c r="K2609" s="33"/>
      <c r="L2609" s="33"/>
      <c r="M2609" s="31"/>
      <c r="N2609" s="31"/>
      <c r="O2609" s="16" t="s">
        <v>5459</v>
      </c>
      <c r="P2609" s="16"/>
      <c r="Q2609" s="16"/>
      <c r="R2609" s="33"/>
      <c r="S2609" s="34"/>
      <c r="T2609" s="34"/>
      <c r="U2609" s="34"/>
      <c r="V2609" s="34"/>
      <c r="W2609" s="34"/>
      <c r="X2609" s="33" t="s">
        <v>3823</v>
      </c>
      <c r="Y2609" s="35" t="str">
        <f>IF(Tabela2[[#This Row],[SIGLA]]="","",VLOOKUP(Tabela2[[#This Row],[SIGLA]],Tabela1[[#All],[Sigla Arte]:[Crédito]],2,0))</f>
        <v>RONALDO LUCENA/ARQUIVO DA EDITORA</v>
      </c>
      <c r="Z2609" s="31"/>
      <c r="AA2609" s="31" t="str">
        <f>Tabela2[[#This Row],[ILUSTRADOR CRIAÇÃO]]</f>
        <v>RONALDO LUCENA/ARQUIVO DA EDITORA</v>
      </c>
      <c r="AB2609" s="33"/>
      <c r="AC2609" s="16"/>
      <c r="AE2609" s="35" t="str">
        <f t="shared" si="41"/>
        <v>EF1 E002 Mat</v>
      </c>
    </row>
    <row r="2610" spans="1:31" ht="45" x14ac:dyDescent="0.25">
      <c r="A2610" s="31" t="s">
        <v>5460</v>
      </c>
      <c r="B2610" s="16" t="s">
        <v>32</v>
      </c>
      <c r="C2610" s="16" t="s">
        <v>164</v>
      </c>
      <c r="D2610" s="33" t="s">
        <v>34</v>
      </c>
      <c r="E2610" s="33">
        <v>216</v>
      </c>
      <c r="F2610" s="33">
        <v>5</v>
      </c>
      <c r="G2610" s="33"/>
      <c r="H2610" s="33" t="s">
        <v>1933</v>
      </c>
      <c r="I2610" s="31" t="s">
        <v>46</v>
      </c>
      <c r="J2610" s="31"/>
      <c r="K2610" s="33"/>
      <c r="L2610" s="33"/>
      <c r="M2610" s="31"/>
      <c r="N2610" s="31"/>
      <c r="O2610" s="16" t="s">
        <v>5461</v>
      </c>
      <c r="P2610" s="16"/>
      <c r="Q2610" s="16"/>
      <c r="R2610" s="33"/>
      <c r="S2610" s="34"/>
      <c r="T2610" s="34"/>
      <c r="U2610" s="34"/>
      <c r="V2610" s="34"/>
      <c r="W2610" s="34"/>
      <c r="X2610" s="33" t="s">
        <v>3823</v>
      </c>
      <c r="Y2610" s="35" t="str">
        <f>IF(Tabela2[[#This Row],[SIGLA]]="","",VLOOKUP(Tabela2[[#This Row],[SIGLA]],Tabela1[[#All],[Sigla Arte]:[Crédito]],2,0))</f>
        <v>RONALDO LUCENA/ARQUIVO DA EDITORA</v>
      </c>
      <c r="Z2610" s="31"/>
      <c r="AA2610" s="31" t="str">
        <f>Tabela2[[#This Row],[ILUSTRADOR CRIAÇÃO]]</f>
        <v>RONALDO LUCENA/ARQUIVO DA EDITORA</v>
      </c>
      <c r="AB2610" s="33"/>
      <c r="AC2610" s="16"/>
      <c r="AE2610" s="35" t="str">
        <f t="shared" ref="AE2610:AE2673" si="42">"EF1 E002 Mat"</f>
        <v>EF1 E002 Mat</v>
      </c>
    </row>
    <row r="2611" spans="1:31" ht="45" x14ac:dyDescent="0.25">
      <c r="A2611" s="31" t="s">
        <v>5462</v>
      </c>
      <c r="B2611" s="16" t="s">
        <v>32</v>
      </c>
      <c r="C2611" s="16" t="s">
        <v>164</v>
      </c>
      <c r="D2611" s="33" t="s">
        <v>34</v>
      </c>
      <c r="E2611" s="33">
        <v>216</v>
      </c>
      <c r="F2611" s="33">
        <v>5</v>
      </c>
      <c r="G2611" s="33"/>
      <c r="H2611" s="33" t="s">
        <v>1933</v>
      </c>
      <c r="I2611" s="31" t="s">
        <v>46</v>
      </c>
      <c r="J2611" s="31"/>
      <c r="K2611" s="33"/>
      <c r="L2611" s="33"/>
      <c r="M2611" s="31"/>
      <c r="N2611" s="31"/>
      <c r="O2611" s="16" t="s">
        <v>5463</v>
      </c>
      <c r="P2611" s="16"/>
      <c r="Q2611" s="16"/>
      <c r="R2611" s="33"/>
      <c r="S2611" s="34"/>
      <c r="T2611" s="34"/>
      <c r="U2611" s="34"/>
      <c r="V2611" s="34"/>
      <c r="W2611" s="34"/>
      <c r="X2611" s="33" t="s">
        <v>3823</v>
      </c>
      <c r="Y2611" s="35" t="str">
        <f>IF(Tabela2[[#This Row],[SIGLA]]="","",VLOOKUP(Tabela2[[#This Row],[SIGLA]],Tabela1[[#All],[Sigla Arte]:[Crédito]],2,0))</f>
        <v>RONALDO LUCENA/ARQUIVO DA EDITORA</v>
      </c>
      <c r="Z2611" s="31"/>
      <c r="AA2611" s="31" t="str">
        <f>Tabela2[[#This Row],[ILUSTRADOR CRIAÇÃO]]</f>
        <v>RONALDO LUCENA/ARQUIVO DA EDITORA</v>
      </c>
      <c r="AB2611" s="33"/>
      <c r="AC2611" s="16"/>
      <c r="AE2611" s="35" t="str">
        <f t="shared" si="42"/>
        <v>EF1 E002 Mat</v>
      </c>
    </row>
    <row r="2612" spans="1:31" ht="45" x14ac:dyDescent="0.25">
      <c r="A2612" s="31" t="s">
        <v>5464</v>
      </c>
      <c r="B2612" s="16" t="s">
        <v>32</v>
      </c>
      <c r="C2612" s="16" t="s">
        <v>164</v>
      </c>
      <c r="D2612" s="33" t="s">
        <v>34</v>
      </c>
      <c r="E2612" s="33">
        <v>216</v>
      </c>
      <c r="F2612" s="33">
        <v>5</v>
      </c>
      <c r="G2612" s="33"/>
      <c r="H2612" s="33" t="s">
        <v>1933</v>
      </c>
      <c r="I2612" s="31" t="s">
        <v>46</v>
      </c>
      <c r="J2612" s="31"/>
      <c r="K2612" s="33"/>
      <c r="L2612" s="33"/>
      <c r="M2612" s="31"/>
      <c r="N2612" s="31"/>
      <c r="O2612" s="16" t="s">
        <v>5465</v>
      </c>
      <c r="P2612" s="16"/>
      <c r="Q2612" s="16"/>
      <c r="R2612" s="33"/>
      <c r="S2612" s="34"/>
      <c r="T2612" s="34"/>
      <c r="U2612" s="34"/>
      <c r="V2612" s="34"/>
      <c r="W2612" s="34"/>
      <c r="X2612" s="33" t="s">
        <v>3823</v>
      </c>
      <c r="Y2612" s="35" t="str">
        <f>IF(Tabela2[[#This Row],[SIGLA]]="","",VLOOKUP(Tabela2[[#This Row],[SIGLA]],Tabela1[[#All],[Sigla Arte]:[Crédito]],2,0))</f>
        <v>RONALDO LUCENA/ARQUIVO DA EDITORA</v>
      </c>
      <c r="Z2612" s="31"/>
      <c r="AA2612" s="31" t="str">
        <f>Tabela2[[#This Row],[ILUSTRADOR CRIAÇÃO]]</f>
        <v>RONALDO LUCENA/ARQUIVO DA EDITORA</v>
      </c>
      <c r="AB2612" s="33"/>
      <c r="AC2612" s="16"/>
      <c r="AE2612" s="35" t="str">
        <f t="shared" si="42"/>
        <v>EF1 E002 Mat</v>
      </c>
    </row>
    <row r="2613" spans="1:31" ht="45" x14ac:dyDescent="0.25">
      <c r="A2613" s="31" t="s">
        <v>5466</v>
      </c>
      <c r="B2613" s="16" t="s">
        <v>32</v>
      </c>
      <c r="C2613" s="16" t="s">
        <v>164</v>
      </c>
      <c r="D2613" s="33" t="s">
        <v>34</v>
      </c>
      <c r="E2613" s="33">
        <v>216</v>
      </c>
      <c r="F2613" s="33">
        <v>5</v>
      </c>
      <c r="G2613" s="33"/>
      <c r="H2613" s="33" t="s">
        <v>1933</v>
      </c>
      <c r="I2613" s="31" t="s">
        <v>46</v>
      </c>
      <c r="J2613" s="31"/>
      <c r="K2613" s="33"/>
      <c r="L2613" s="33"/>
      <c r="M2613" s="31"/>
      <c r="N2613" s="31"/>
      <c r="O2613" s="16" t="s">
        <v>5467</v>
      </c>
      <c r="P2613" s="16"/>
      <c r="Q2613" s="16"/>
      <c r="R2613" s="33"/>
      <c r="S2613" s="34"/>
      <c r="T2613" s="34"/>
      <c r="U2613" s="34"/>
      <c r="V2613" s="34"/>
      <c r="W2613" s="34"/>
      <c r="X2613" s="33" t="s">
        <v>48</v>
      </c>
      <c r="Y2613" s="35" t="str">
        <f>IF(Tabela2[[#This Row],[SIGLA]]="","",VLOOKUP(Tabela2[[#This Row],[SIGLA]],Tabela1[[#All],[Sigla Arte]:[Crédito]],2,0))</f>
        <v>SERGIO LIMA/ARQUIVO DA EDITORA</v>
      </c>
      <c r="Z2613" s="31"/>
      <c r="AA2613" s="31" t="str">
        <f>Tabela2[[#This Row],[ILUSTRADOR CRIAÇÃO]]</f>
        <v>SERGIO LIMA/ARQUIVO DA EDITORA</v>
      </c>
      <c r="AB2613" s="33"/>
      <c r="AC2613" s="16"/>
      <c r="AE2613" s="35" t="str">
        <f t="shared" si="42"/>
        <v>EF1 E002 Mat</v>
      </c>
    </row>
    <row r="2614" spans="1:31" ht="45" x14ac:dyDescent="0.25">
      <c r="A2614" s="31" t="s">
        <v>5468</v>
      </c>
      <c r="B2614" s="16" t="s">
        <v>32</v>
      </c>
      <c r="C2614" s="16" t="s">
        <v>164</v>
      </c>
      <c r="D2614" s="33" t="s">
        <v>34</v>
      </c>
      <c r="E2614" s="33">
        <v>264</v>
      </c>
      <c r="F2614" s="33">
        <v>5</v>
      </c>
      <c r="G2614" s="33"/>
      <c r="H2614" s="33" t="s">
        <v>1933</v>
      </c>
      <c r="I2614" s="31" t="s">
        <v>46</v>
      </c>
      <c r="J2614" s="31"/>
      <c r="K2614" s="33"/>
      <c r="L2614" s="33"/>
      <c r="M2614" s="31"/>
      <c r="N2614" s="31"/>
      <c r="O2614" s="16" t="s">
        <v>5469</v>
      </c>
      <c r="P2614" s="16"/>
      <c r="Q2614" s="16"/>
      <c r="R2614" s="33"/>
      <c r="S2614" s="34"/>
      <c r="T2614" s="34"/>
      <c r="U2614" s="34"/>
      <c r="V2614" s="34"/>
      <c r="W2614" s="34"/>
      <c r="X2614" s="33" t="s">
        <v>48</v>
      </c>
      <c r="Y2614" s="35" t="str">
        <f>IF(Tabela2[[#This Row],[SIGLA]]="","",VLOOKUP(Tabela2[[#This Row],[SIGLA]],Tabela1[[#All],[Sigla Arte]:[Crédito]],2,0))</f>
        <v>SERGIO LIMA/ARQUIVO DA EDITORA</v>
      </c>
      <c r="Z2614" s="31"/>
      <c r="AA2614" s="31" t="str">
        <f>Tabela2[[#This Row],[ILUSTRADOR CRIAÇÃO]]</f>
        <v>SERGIO LIMA/ARQUIVO DA EDITORA</v>
      </c>
      <c r="AB2614" s="33"/>
      <c r="AC2614" s="16"/>
      <c r="AE2614" s="35" t="str">
        <f t="shared" si="42"/>
        <v>EF1 E002 Mat</v>
      </c>
    </row>
    <row r="2615" spans="1:31" ht="45" x14ac:dyDescent="0.25">
      <c r="A2615" s="31" t="s">
        <v>5470</v>
      </c>
      <c r="B2615" s="16" t="s">
        <v>32</v>
      </c>
      <c r="C2615" s="16" t="s">
        <v>164</v>
      </c>
      <c r="D2615" s="33" t="s">
        <v>34</v>
      </c>
      <c r="E2615" s="33">
        <v>264</v>
      </c>
      <c r="F2615" s="33">
        <v>5</v>
      </c>
      <c r="G2615" s="33"/>
      <c r="H2615" s="33" t="s">
        <v>1933</v>
      </c>
      <c r="I2615" s="31" t="s">
        <v>46</v>
      </c>
      <c r="J2615" s="31"/>
      <c r="K2615" s="33"/>
      <c r="L2615" s="33"/>
      <c r="M2615" s="31"/>
      <c r="N2615" s="31"/>
      <c r="O2615" s="16" t="s">
        <v>5471</v>
      </c>
      <c r="P2615" s="16"/>
      <c r="Q2615" s="16"/>
      <c r="R2615" s="33"/>
      <c r="S2615" s="34"/>
      <c r="T2615" s="34"/>
      <c r="U2615" s="34"/>
      <c r="V2615" s="34"/>
      <c r="W2615" s="34"/>
      <c r="X2615" s="33" t="s">
        <v>48</v>
      </c>
      <c r="Y2615" s="35" t="str">
        <f>IF(Tabela2[[#This Row],[SIGLA]]="","",VLOOKUP(Tabela2[[#This Row],[SIGLA]],Tabela1[[#All],[Sigla Arte]:[Crédito]],2,0))</f>
        <v>SERGIO LIMA/ARQUIVO DA EDITORA</v>
      </c>
      <c r="Z2615" s="31"/>
      <c r="AA2615" s="31" t="str">
        <f>Tabela2[[#This Row],[ILUSTRADOR CRIAÇÃO]]</f>
        <v>SERGIO LIMA/ARQUIVO DA EDITORA</v>
      </c>
      <c r="AB2615" s="33"/>
      <c r="AC2615" s="16"/>
      <c r="AE2615" s="35" t="str">
        <f t="shared" si="42"/>
        <v>EF1 E002 Mat</v>
      </c>
    </row>
    <row r="2616" spans="1:31" ht="45" x14ac:dyDescent="0.25">
      <c r="A2616" s="31" t="s">
        <v>5472</v>
      </c>
      <c r="B2616" s="16" t="s">
        <v>32</v>
      </c>
      <c r="C2616" s="16" t="s">
        <v>164</v>
      </c>
      <c r="D2616" s="33" t="s">
        <v>34</v>
      </c>
      <c r="E2616" s="33">
        <v>265</v>
      </c>
      <c r="F2616" s="33">
        <v>5</v>
      </c>
      <c r="G2616" s="33"/>
      <c r="H2616" s="33" t="s">
        <v>1933</v>
      </c>
      <c r="I2616" s="31" t="s">
        <v>46</v>
      </c>
      <c r="J2616" s="31"/>
      <c r="K2616" s="33"/>
      <c r="L2616" s="33"/>
      <c r="M2616" s="31"/>
      <c r="N2616" s="31"/>
      <c r="O2616" s="16" t="s">
        <v>5473</v>
      </c>
      <c r="P2616" s="16"/>
      <c r="Q2616" s="16"/>
      <c r="R2616" s="33"/>
      <c r="S2616" s="34"/>
      <c r="T2616" s="34"/>
      <c r="U2616" s="34"/>
      <c r="V2616" s="34"/>
      <c r="W2616" s="34"/>
      <c r="X2616" s="33" t="s">
        <v>48</v>
      </c>
      <c r="Y2616" s="35" t="str">
        <f>IF(Tabela2[[#This Row],[SIGLA]]="","",VLOOKUP(Tabela2[[#This Row],[SIGLA]],Tabela1[[#All],[Sigla Arte]:[Crédito]],2,0))</f>
        <v>SERGIO LIMA/ARQUIVO DA EDITORA</v>
      </c>
      <c r="Z2616" s="31"/>
      <c r="AA2616" s="31" t="str">
        <f>Tabela2[[#This Row],[ILUSTRADOR CRIAÇÃO]]</f>
        <v>SERGIO LIMA/ARQUIVO DA EDITORA</v>
      </c>
      <c r="AB2616" s="33"/>
      <c r="AC2616" s="16"/>
      <c r="AE2616" s="35" t="str">
        <f t="shared" si="42"/>
        <v>EF1 E002 Mat</v>
      </c>
    </row>
    <row r="2617" spans="1:31" ht="90" x14ac:dyDescent="0.25">
      <c r="A2617" s="31" t="s">
        <v>5474</v>
      </c>
      <c r="B2617" s="16" t="s">
        <v>32</v>
      </c>
      <c r="C2617" s="16" t="s">
        <v>327</v>
      </c>
      <c r="D2617" s="33" t="s">
        <v>34</v>
      </c>
      <c r="E2617" s="33">
        <v>188</v>
      </c>
      <c r="F2617" s="33">
        <v>5</v>
      </c>
      <c r="G2617" s="33">
        <v>9</v>
      </c>
      <c r="H2617" s="33"/>
      <c r="I2617" s="31" t="s">
        <v>35</v>
      </c>
      <c r="J2617" s="31"/>
      <c r="K2617" s="33"/>
      <c r="L2617" s="33"/>
      <c r="M2617" s="31"/>
      <c r="N2617" s="31"/>
      <c r="O2617" s="16" t="s">
        <v>5475</v>
      </c>
      <c r="P2617" s="16"/>
      <c r="Q2617" s="16"/>
      <c r="R2617" s="33">
        <v>147</v>
      </c>
      <c r="S2617" s="34">
        <v>45902</v>
      </c>
      <c r="T2617" s="34">
        <v>45902</v>
      </c>
      <c r="U2617" s="34"/>
      <c r="V2617" s="34"/>
      <c r="W2617" s="34">
        <v>45902</v>
      </c>
      <c r="X2617" s="33" t="s">
        <v>85</v>
      </c>
      <c r="Y2617" s="35" t="str">
        <f>IF(Tabela2[[#This Row],[SIGLA]]="","",VLOOKUP(Tabela2[[#This Row],[SIGLA]],Tabela1[[#All],[Sigla Arte]:[Crédito]],2,0))</f>
        <v>HELOÍSA PINTARELLI/ARQUIVO DA EDITORA</v>
      </c>
      <c r="Z2617" s="31" t="s">
        <v>572</v>
      </c>
      <c r="AA2617" s="31" t="str">
        <f>Tabela2[[#This Row],[ILUSTRADOR CRIAÇÃO]]</f>
        <v>HELOÍSA PINTARELLI/ARQUIVO DA EDITORA</v>
      </c>
      <c r="AB2617" s="33">
        <v>13</v>
      </c>
      <c r="AC2617" s="16" t="s">
        <v>44</v>
      </c>
      <c r="AD2617" s="16" t="s">
        <v>40</v>
      </c>
      <c r="AE2617" s="35" t="str">
        <f t="shared" si="42"/>
        <v>EF1 E002 Mat</v>
      </c>
    </row>
    <row r="2618" spans="1:31" ht="150" x14ac:dyDescent="0.25">
      <c r="A2618" s="31" t="s">
        <v>5476</v>
      </c>
      <c r="B2618" s="16" t="s">
        <v>32</v>
      </c>
      <c r="C2618" s="16" t="s">
        <v>327</v>
      </c>
      <c r="D2618" s="33" t="s">
        <v>34</v>
      </c>
      <c r="E2618" s="33">
        <v>224</v>
      </c>
      <c r="F2618" s="33">
        <v>5</v>
      </c>
      <c r="G2618" s="33">
        <v>10</v>
      </c>
      <c r="H2618" s="33"/>
      <c r="I2618" s="31" t="s">
        <v>35</v>
      </c>
      <c r="J2618" s="31"/>
      <c r="K2618" s="33"/>
      <c r="L2618" s="33"/>
      <c r="M2618" s="31"/>
      <c r="N2618" s="31"/>
      <c r="O2618" s="16" t="s">
        <v>5477</v>
      </c>
      <c r="P2618" s="16"/>
      <c r="Q2618" s="16"/>
      <c r="R2618" s="33">
        <v>148</v>
      </c>
      <c r="S2618" s="34">
        <v>45902</v>
      </c>
      <c r="T2618" s="34">
        <v>45902</v>
      </c>
      <c r="U2618" s="34"/>
      <c r="V2618" s="34"/>
      <c r="W2618" s="34">
        <v>45909</v>
      </c>
      <c r="X2618" s="33" t="s">
        <v>1126</v>
      </c>
      <c r="Y2618" s="35" t="str">
        <f>IF(Tabela2[[#This Row],[SIGLA]]="","",VLOOKUP(Tabela2[[#This Row],[SIGLA]],Tabela1[[#All],[Sigla Arte]:[Crédito]],2,0))</f>
        <v>GUSTAVO CONTI/ARQUIVO DA EDITORA</v>
      </c>
      <c r="Z2618" s="31" t="s">
        <v>572</v>
      </c>
      <c r="AA2618" s="31" t="str">
        <f>Tabela2[[#This Row],[ILUSTRADOR CRIAÇÃO]]</f>
        <v>GUSTAVO CONTI/ARQUIVO DA EDITORA</v>
      </c>
      <c r="AB2618" s="33">
        <v>13</v>
      </c>
      <c r="AC2618" s="16" t="s">
        <v>44</v>
      </c>
      <c r="AD2618" s="16" t="s">
        <v>40</v>
      </c>
      <c r="AE2618" s="35" t="str">
        <f t="shared" si="42"/>
        <v>EF1 E002 Mat</v>
      </c>
    </row>
    <row r="2619" spans="1:31" ht="135" x14ac:dyDescent="0.25">
      <c r="A2619" s="31" t="s">
        <v>5478</v>
      </c>
      <c r="B2619" s="16" t="s">
        <v>32</v>
      </c>
      <c r="C2619" s="16" t="s">
        <v>327</v>
      </c>
      <c r="D2619" s="33" t="s">
        <v>34</v>
      </c>
      <c r="E2619" s="33">
        <v>225</v>
      </c>
      <c r="F2619" s="33">
        <v>5</v>
      </c>
      <c r="G2619" s="33">
        <v>10</v>
      </c>
      <c r="H2619" s="33"/>
      <c r="I2619" s="31" t="s">
        <v>35</v>
      </c>
      <c r="J2619" s="31"/>
      <c r="K2619" s="33"/>
      <c r="L2619" s="33"/>
      <c r="M2619" s="31"/>
      <c r="N2619" s="31"/>
      <c r="O2619" s="16" t="s">
        <v>5479</v>
      </c>
      <c r="P2619" s="16"/>
      <c r="Q2619" s="16"/>
      <c r="R2619" s="33">
        <v>148</v>
      </c>
      <c r="S2619" s="34">
        <v>45902</v>
      </c>
      <c r="T2619" s="34">
        <v>45902</v>
      </c>
      <c r="U2619" s="34"/>
      <c r="V2619" s="34"/>
      <c r="W2619" s="34">
        <v>45909</v>
      </c>
      <c r="X2619" s="33" t="s">
        <v>1126</v>
      </c>
      <c r="Y2619" s="35" t="str">
        <f>IF(Tabela2[[#This Row],[SIGLA]]="","",VLOOKUP(Tabela2[[#This Row],[SIGLA]],Tabela1[[#All],[Sigla Arte]:[Crédito]],2,0))</f>
        <v>GUSTAVO CONTI/ARQUIVO DA EDITORA</v>
      </c>
      <c r="Z2619" s="31" t="s">
        <v>572</v>
      </c>
      <c r="AA2619" s="31" t="str">
        <f>Tabela2[[#This Row],[ILUSTRADOR CRIAÇÃO]]</f>
        <v>GUSTAVO CONTI/ARQUIVO DA EDITORA</v>
      </c>
      <c r="AB2619" s="33">
        <v>13</v>
      </c>
      <c r="AC2619" s="16" t="s">
        <v>44</v>
      </c>
      <c r="AD2619" s="16" t="s">
        <v>40</v>
      </c>
      <c r="AE2619" s="35" t="str">
        <f t="shared" si="42"/>
        <v>EF1 E002 Mat</v>
      </c>
    </row>
    <row r="2620" spans="1:31" ht="150" x14ac:dyDescent="0.25">
      <c r="A2620" s="31" t="s">
        <v>5480</v>
      </c>
      <c r="B2620" s="16" t="s">
        <v>32</v>
      </c>
      <c r="C2620" s="16" t="s">
        <v>327</v>
      </c>
      <c r="D2620" s="33" t="s">
        <v>34</v>
      </c>
      <c r="E2620" s="33">
        <v>228</v>
      </c>
      <c r="F2620" s="33">
        <v>5</v>
      </c>
      <c r="G2620" s="33">
        <v>10</v>
      </c>
      <c r="H2620" s="33"/>
      <c r="I2620" s="31" t="s">
        <v>35</v>
      </c>
      <c r="J2620" s="31"/>
      <c r="K2620" s="33"/>
      <c r="L2620" s="33"/>
      <c r="M2620" s="31"/>
      <c r="N2620" s="31"/>
      <c r="O2620" s="16" t="s">
        <v>5481</v>
      </c>
      <c r="P2620" s="16"/>
      <c r="Q2620" s="16"/>
      <c r="R2620" s="33">
        <v>148</v>
      </c>
      <c r="S2620" s="34">
        <v>45902</v>
      </c>
      <c r="T2620" s="34">
        <v>45902</v>
      </c>
      <c r="U2620" s="34"/>
      <c r="V2620" s="34"/>
      <c r="W2620" s="34">
        <v>45909</v>
      </c>
      <c r="X2620" s="33" t="s">
        <v>1126</v>
      </c>
      <c r="Y2620" s="35" t="str">
        <f>IF(Tabela2[[#This Row],[SIGLA]]="","",VLOOKUP(Tabela2[[#This Row],[SIGLA]],Tabela1[[#All],[Sigla Arte]:[Crédito]],2,0))</f>
        <v>GUSTAVO CONTI/ARQUIVO DA EDITORA</v>
      </c>
      <c r="Z2620" s="31" t="s">
        <v>572</v>
      </c>
      <c r="AA2620" s="31" t="str">
        <f>Tabela2[[#This Row],[ILUSTRADOR CRIAÇÃO]]</f>
        <v>GUSTAVO CONTI/ARQUIVO DA EDITORA</v>
      </c>
      <c r="AB2620" s="33">
        <v>13</v>
      </c>
      <c r="AC2620" s="16" t="s">
        <v>44</v>
      </c>
      <c r="AD2620" s="16" t="s">
        <v>40</v>
      </c>
      <c r="AE2620" s="35" t="str">
        <f t="shared" si="42"/>
        <v>EF1 E002 Mat</v>
      </c>
    </row>
    <row r="2621" spans="1:31" ht="30" x14ac:dyDescent="0.25">
      <c r="A2621" s="31" t="s">
        <v>5482</v>
      </c>
      <c r="B2621" s="16" t="s">
        <v>32</v>
      </c>
      <c r="C2621" s="16" t="s">
        <v>164</v>
      </c>
      <c r="D2621" s="33" t="s">
        <v>34</v>
      </c>
      <c r="E2621" s="33">
        <v>229</v>
      </c>
      <c r="F2621" s="33">
        <v>5</v>
      </c>
      <c r="G2621" s="33">
        <v>10</v>
      </c>
      <c r="H2621" s="33"/>
      <c r="I2621" s="31" t="s">
        <v>995</v>
      </c>
      <c r="J2621" s="31"/>
      <c r="K2621" s="33"/>
      <c r="L2621" s="33"/>
      <c r="M2621" s="31"/>
      <c r="N2621" s="31"/>
      <c r="O2621" s="16" t="s">
        <v>5483</v>
      </c>
      <c r="P2621" s="16"/>
      <c r="Q2621" s="16"/>
      <c r="R2621" s="33">
        <v>148</v>
      </c>
      <c r="S2621" s="34">
        <v>45902</v>
      </c>
      <c r="T2621" s="34">
        <v>45902</v>
      </c>
      <c r="U2621" s="34"/>
      <c r="V2621" s="34"/>
      <c r="W2621" s="34">
        <v>45909</v>
      </c>
      <c r="X2621" s="33" t="s">
        <v>184</v>
      </c>
      <c r="Y2621" s="35" t="str">
        <f>IF(Tabela2[[#This Row],[SIGLA]]="","",VLOOKUP(Tabela2[[#This Row],[SIGLA]],Tabela1[[#All],[Sigla Arte]:[Crédito]],2,0))</f>
        <v>VER DOCUMENTO DE ILS. TÉCNICAS</v>
      </c>
      <c r="Z2621" s="31" t="s">
        <v>572</v>
      </c>
      <c r="AA2621" s="31" t="s">
        <v>921</v>
      </c>
      <c r="AB2621" s="33">
        <v>13</v>
      </c>
      <c r="AC2621" s="16" t="s">
        <v>1450</v>
      </c>
      <c r="AD2621" s="16" t="s">
        <v>40</v>
      </c>
      <c r="AE2621" s="35" t="str">
        <f t="shared" si="42"/>
        <v>EF1 E002 Mat</v>
      </c>
    </row>
    <row r="2622" spans="1:31" ht="60" x14ac:dyDescent="0.25">
      <c r="A2622" s="31" t="s">
        <v>5484</v>
      </c>
      <c r="B2622" s="16" t="s">
        <v>32</v>
      </c>
      <c r="C2622" s="16" t="s">
        <v>164</v>
      </c>
      <c r="D2622" s="33" t="s">
        <v>34</v>
      </c>
      <c r="E2622" s="33">
        <v>229</v>
      </c>
      <c r="F2622" s="33">
        <v>5</v>
      </c>
      <c r="G2622" s="33">
        <v>10</v>
      </c>
      <c r="H2622" s="33"/>
      <c r="I2622" s="31" t="s">
        <v>46</v>
      </c>
      <c r="J2622" s="31"/>
      <c r="K2622" s="33"/>
      <c r="L2622" s="33"/>
      <c r="M2622" s="31"/>
      <c r="N2622" s="31"/>
      <c r="O2622" s="16" t="s">
        <v>5485</v>
      </c>
      <c r="P2622" s="16"/>
      <c r="Q2622" s="16"/>
      <c r="R2622" s="33"/>
      <c r="S2622" s="34"/>
      <c r="T2622" s="34"/>
      <c r="U2622" s="34"/>
      <c r="V2622" s="34"/>
      <c r="W2622" s="34"/>
      <c r="X2622" s="33" t="s">
        <v>4713</v>
      </c>
      <c r="Y2622" s="35" t="str">
        <f>IF(Tabela2[[#This Row],[SIGLA]]="","",VLOOKUP(Tabela2[[#This Row],[SIGLA]],Tabela1[[#All],[Sigla Arte]:[Crédito]],2,0))</f>
        <v>NICOLAS FURTADO/ARQUIVO DA EDITORA</v>
      </c>
      <c r="Z2622" s="31"/>
      <c r="AA2622" s="31" t="str">
        <f>Tabela2[[#This Row],[ILUSTRADOR CRIAÇÃO]]</f>
        <v>NICOLAS FURTADO/ARQUIVO DA EDITORA</v>
      </c>
      <c r="AB2622" s="33"/>
      <c r="AC2622" s="16"/>
      <c r="AE2622" s="35" t="str">
        <f t="shared" si="42"/>
        <v>EF1 E002 Mat</v>
      </c>
    </row>
    <row r="2623" spans="1:31" ht="45" x14ac:dyDescent="0.25">
      <c r="A2623" s="31" t="s">
        <v>5486</v>
      </c>
      <c r="B2623" s="16" t="s">
        <v>32</v>
      </c>
      <c r="C2623" s="16" t="s">
        <v>327</v>
      </c>
      <c r="D2623" s="33" t="s">
        <v>34</v>
      </c>
      <c r="E2623" s="33">
        <v>229</v>
      </c>
      <c r="F2623" s="33">
        <v>5</v>
      </c>
      <c r="G2623" s="33">
        <v>10</v>
      </c>
      <c r="H2623" s="33"/>
      <c r="I2623" s="31" t="s">
        <v>995</v>
      </c>
      <c r="J2623" s="31"/>
      <c r="K2623" s="33"/>
      <c r="L2623" s="33"/>
      <c r="M2623" s="31"/>
      <c r="N2623" s="31"/>
      <c r="O2623" s="16" t="s">
        <v>5487</v>
      </c>
      <c r="P2623" s="16"/>
      <c r="Q2623" s="16"/>
      <c r="R2623" s="33">
        <v>148</v>
      </c>
      <c r="S2623" s="34">
        <v>45902</v>
      </c>
      <c r="T2623" s="34">
        <v>45902</v>
      </c>
      <c r="U2623" s="34"/>
      <c r="V2623" s="34"/>
      <c r="W2623" s="34">
        <v>45909</v>
      </c>
      <c r="X2623" s="33" t="s">
        <v>5130</v>
      </c>
      <c r="Y2623" s="35" t="str">
        <f>IF(Tabela2[[#This Row],[SIGLA]]="","",VLOOKUP(Tabela2[[#This Row],[SIGLA]],Tabela1[[#All],[Sigla Arte]:[Crédito]],2,0))</f>
        <v>GABRIELLA IMAI/ARQUIVO DA EDITORA</v>
      </c>
      <c r="Z2623" s="31"/>
      <c r="AA2623" s="31" t="str">
        <f>Tabela2[[#This Row],[ILUSTRADOR CRIAÇÃO]]</f>
        <v>GABRIELLA IMAI/ARQUIVO DA EDITORA</v>
      </c>
      <c r="AB2623" s="33">
        <v>12</v>
      </c>
      <c r="AC2623" s="16" t="s">
        <v>2102</v>
      </c>
      <c r="AD2623" s="16" t="s">
        <v>40</v>
      </c>
      <c r="AE2623" s="35" t="str">
        <f t="shared" si="42"/>
        <v>EF1 E002 Mat</v>
      </c>
    </row>
    <row r="2624" spans="1:31" ht="105" x14ac:dyDescent="0.25">
      <c r="A2624" s="31" t="s">
        <v>5488</v>
      </c>
      <c r="B2624" s="16" t="s">
        <v>32</v>
      </c>
      <c r="C2624" s="16" t="s">
        <v>327</v>
      </c>
      <c r="D2624" s="33" t="s">
        <v>34</v>
      </c>
      <c r="E2624" s="33">
        <v>230</v>
      </c>
      <c r="F2624" s="33">
        <v>5</v>
      </c>
      <c r="G2624" s="33">
        <v>10</v>
      </c>
      <c r="H2624" s="33"/>
      <c r="I2624" s="31" t="s">
        <v>995</v>
      </c>
      <c r="J2624" s="31"/>
      <c r="K2624" s="33"/>
      <c r="L2624" s="33"/>
      <c r="M2624" s="31"/>
      <c r="N2624" s="31"/>
      <c r="O2624" s="16" t="s">
        <v>5489</v>
      </c>
      <c r="P2624" s="16"/>
      <c r="Q2624" s="16"/>
      <c r="R2624" s="33">
        <v>148</v>
      </c>
      <c r="S2624" s="34">
        <v>45902</v>
      </c>
      <c r="T2624" s="34">
        <v>45902</v>
      </c>
      <c r="U2624" s="34"/>
      <c r="V2624" s="34"/>
      <c r="W2624" s="34">
        <v>45909</v>
      </c>
      <c r="X2624" s="33" t="s">
        <v>5130</v>
      </c>
      <c r="Y2624" s="35" t="str">
        <f>IF(Tabela2[[#This Row],[SIGLA]]="","",VLOOKUP(Tabela2[[#This Row],[SIGLA]],Tabela1[[#All],[Sigla Arte]:[Crédito]],2,0))</f>
        <v>GABRIELLA IMAI/ARQUIVO DA EDITORA</v>
      </c>
      <c r="Z2624" s="31"/>
      <c r="AA2624" s="31" t="str">
        <f>Tabela2[[#This Row],[ILUSTRADOR CRIAÇÃO]]</f>
        <v>GABRIELLA IMAI/ARQUIVO DA EDITORA</v>
      </c>
      <c r="AB2624" s="33">
        <v>12</v>
      </c>
      <c r="AC2624" s="16" t="s">
        <v>2102</v>
      </c>
      <c r="AD2624" s="16" t="s">
        <v>40</v>
      </c>
      <c r="AE2624" s="35" t="str">
        <f t="shared" si="42"/>
        <v>EF1 E002 Mat</v>
      </c>
    </row>
    <row r="2625" spans="1:31" ht="60" x14ac:dyDescent="0.25">
      <c r="A2625" s="31" t="s">
        <v>5490</v>
      </c>
      <c r="B2625" s="16" t="s">
        <v>32</v>
      </c>
      <c r="C2625" s="16" t="s">
        <v>327</v>
      </c>
      <c r="D2625" s="33" t="s">
        <v>34</v>
      </c>
      <c r="E2625" s="33">
        <v>232</v>
      </c>
      <c r="F2625" s="33">
        <v>5</v>
      </c>
      <c r="G2625" s="33">
        <v>10</v>
      </c>
      <c r="H2625" s="33"/>
      <c r="I2625" s="31" t="s">
        <v>35</v>
      </c>
      <c r="J2625" s="31"/>
      <c r="K2625" s="33"/>
      <c r="L2625" s="33"/>
      <c r="M2625" s="31"/>
      <c r="N2625" s="31"/>
      <c r="O2625" s="16" t="s">
        <v>5491</v>
      </c>
      <c r="P2625" s="16"/>
      <c r="Q2625" s="16"/>
      <c r="R2625" s="33">
        <v>148</v>
      </c>
      <c r="S2625" s="34">
        <v>45902</v>
      </c>
      <c r="T2625" s="34">
        <v>45902</v>
      </c>
      <c r="U2625" s="34"/>
      <c r="V2625" s="34"/>
      <c r="W2625" s="34">
        <v>45909</v>
      </c>
      <c r="X2625" s="33" t="s">
        <v>1126</v>
      </c>
      <c r="Y2625" s="35" t="str">
        <f>IF(Tabela2[[#This Row],[SIGLA]]="","",VLOOKUP(Tabela2[[#This Row],[SIGLA]],Tabela1[[#All],[Sigla Arte]:[Crédito]],2,0))</f>
        <v>GUSTAVO CONTI/ARQUIVO DA EDITORA</v>
      </c>
      <c r="Z2625" s="31" t="s">
        <v>572</v>
      </c>
      <c r="AA2625" s="31" t="str">
        <f>Tabela2[[#This Row],[ILUSTRADOR CRIAÇÃO]]</f>
        <v>GUSTAVO CONTI/ARQUIVO DA EDITORA</v>
      </c>
      <c r="AB2625" s="33">
        <v>13</v>
      </c>
      <c r="AC2625" s="16" t="s">
        <v>44</v>
      </c>
      <c r="AD2625" s="16" t="s">
        <v>40</v>
      </c>
      <c r="AE2625" s="35" t="str">
        <f t="shared" si="42"/>
        <v>EF1 E002 Mat</v>
      </c>
    </row>
    <row r="2626" spans="1:31" ht="120" x14ac:dyDescent="0.25">
      <c r="A2626" s="31" t="s">
        <v>5492</v>
      </c>
      <c r="B2626" s="16" t="s">
        <v>32</v>
      </c>
      <c r="C2626" s="16" t="s">
        <v>164</v>
      </c>
      <c r="D2626" s="33" t="s">
        <v>34</v>
      </c>
      <c r="E2626" s="33">
        <v>233</v>
      </c>
      <c r="F2626" s="33">
        <v>5</v>
      </c>
      <c r="G2626" s="33">
        <v>10</v>
      </c>
      <c r="H2626" s="33"/>
      <c r="I2626" s="31" t="s">
        <v>995</v>
      </c>
      <c r="J2626" s="31"/>
      <c r="K2626" s="33"/>
      <c r="L2626" s="33"/>
      <c r="M2626" s="31"/>
      <c r="N2626" s="31"/>
      <c r="O2626" s="16" t="s">
        <v>5493</v>
      </c>
      <c r="P2626" s="16"/>
      <c r="Q2626" s="16"/>
      <c r="R2626" s="33">
        <v>148</v>
      </c>
      <c r="S2626" s="34">
        <v>45902</v>
      </c>
      <c r="T2626" s="34">
        <v>45902</v>
      </c>
      <c r="U2626" s="34"/>
      <c r="V2626" s="34"/>
      <c r="W2626" s="34">
        <v>45909</v>
      </c>
      <c r="X2626" s="33" t="s">
        <v>184</v>
      </c>
      <c r="Y2626" s="35" t="str">
        <f>IF(Tabela2[[#This Row],[SIGLA]]="","",VLOOKUP(Tabela2[[#This Row],[SIGLA]],Tabela1[[#All],[Sigla Arte]:[Crédito]],2,0))</f>
        <v>VER DOCUMENTO DE ILS. TÉCNICAS</v>
      </c>
      <c r="Z2626" s="31" t="s">
        <v>572</v>
      </c>
      <c r="AA2626" s="31" t="s">
        <v>5494</v>
      </c>
      <c r="AB2626" s="33">
        <v>11</v>
      </c>
      <c r="AC2626" s="16" t="s">
        <v>2102</v>
      </c>
      <c r="AD2626" s="16" t="s">
        <v>40</v>
      </c>
      <c r="AE2626" s="35" t="str">
        <f t="shared" si="42"/>
        <v>EF1 E002 Mat</v>
      </c>
    </row>
    <row r="2627" spans="1:31" ht="60" x14ac:dyDescent="0.25">
      <c r="A2627" s="31" t="s">
        <v>5495</v>
      </c>
      <c r="B2627" s="16" t="s">
        <v>32</v>
      </c>
      <c r="C2627" s="16" t="s">
        <v>327</v>
      </c>
      <c r="D2627" s="33" t="s">
        <v>34</v>
      </c>
      <c r="E2627" s="33">
        <v>233</v>
      </c>
      <c r="F2627" s="33">
        <v>5</v>
      </c>
      <c r="G2627" s="33">
        <v>10</v>
      </c>
      <c r="H2627" s="33"/>
      <c r="I2627" s="31" t="s">
        <v>995</v>
      </c>
      <c r="J2627" s="31"/>
      <c r="K2627" s="33"/>
      <c r="L2627" s="33"/>
      <c r="M2627" s="31"/>
      <c r="N2627" s="31"/>
      <c r="O2627" s="16" t="s">
        <v>5496</v>
      </c>
      <c r="P2627" s="16"/>
      <c r="Q2627" s="16"/>
      <c r="R2627" s="33">
        <v>148</v>
      </c>
      <c r="S2627" s="34">
        <v>45902</v>
      </c>
      <c r="T2627" s="34">
        <v>45909</v>
      </c>
      <c r="U2627" s="34"/>
      <c r="V2627" s="34"/>
      <c r="W2627" s="34">
        <v>45909</v>
      </c>
      <c r="X2627" s="33" t="s">
        <v>5130</v>
      </c>
      <c r="Y2627" s="35" t="str">
        <f>IF(Tabela2[[#This Row],[SIGLA]]="","",VLOOKUP(Tabela2[[#This Row],[SIGLA]],Tabela1[[#All],[Sigla Arte]:[Crédito]],2,0))</f>
        <v>GABRIELLA IMAI/ARQUIVO DA EDITORA</v>
      </c>
      <c r="Z2627" s="31"/>
      <c r="AA2627" s="31" t="str">
        <f>Tabela2[[#This Row],[ILUSTRADOR CRIAÇÃO]]</f>
        <v>GABRIELLA IMAI/ARQUIVO DA EDITORA</v>
      </c>
      <c r="AB2627" s="33">
        <v>12</v>
      </c>
      <c r="AC2627" s="16" t="s">
        <v>2102</v>
      </c>
      <c r="AD2627" s="16" t="s">
        <v>40</v>
      </c>
      <c r="AE2627" s="35" t="str">
        <f t="shared" si="42"/>
        <v>EF1 E002 Mat</v>
      </c>
    </row>
    <row r="2628" spans="1:31" ht="120" x14ac:dyDescent="0.25">
      <c r="A2628" s="31" t="s">
        <v>5497</v>
      </c>
      <c r="B2628" s="16" t="s">
        <v>32</v>
      </c>
      <c r="C2628" s="16" t="s">
        <v>164</v>
      </c>
      <c r="D2628" s="33" t="s">
        <v>34</v>
      </c>
      <c r="E2628" s="33">
        <v>241</v>
      </c>
      <c r="F2628" s="33">
        <v>5</v>
      </c>
      <c r="G2628" s="33">
        <v>11</v>
      </c>
      <c r="H2628" s="33"/>
      <c r="I2628" s="31" t="s">
        <v>35</v>
      </c>
      <c r="J2628" s="31"/>
      <c r="K2628" s="33"/>
      <c r="L2628" s="33"/>
      <c r="M2628" s="31"/>
      <c r="N2628" s="31"/>
      <c r="O2628" s="16" t="s">
        <v>5498</v>
      </c>
      <c r="P2628" s="16"/>
      <c r="Q2628" s="16"/>
      <c r="R2628" s="33">
        <v>149</v>
      </c>
      <c r="S2628" s="34">
        <v>45902</v>
      </c>
      <c r="T2628" s="34">
        <v>45902</v>
      </c>
      <c r="U2628" s="34"/>
      <c r="V2628" s="34"/>
      <c r="W2628" s="34">
        <v>45908</v>
      </c>
      <c r="X2628" s="33" t="s">
        <v>3443</v>
      </c>
      <c r="Y2628" s="35" t="str">
        <f>IF(Tabela2[[#This Row],[SIGLA]]="","",VLOOKUP(Tabela2[[#This Row],[SIGLA]],Tabela1[[#All],[Sigla Arte]:[Crédito]],2,0))</f>
        <v>VINÍCIUS COSTA/ARQUIVO DA EDITORA</v>
      </c>
      <c r="Z2628" s="31" t="s">
        <v>539</v>
      </c>
      <c r="AA2628" s="31" t="s">
        <v>5499</v>
      </c>
      <c r="AB2628" s="33">
        <v>13</v>
      </c>
      <c r="AC2628" s="16" t="s">
        <v>89</v>
      </c>
      <c r="AD2628" s="16" t="s">
        <v>40</v>
      </c>
      <c r="AE2628" s="35" t="str">
        <f t="shared" si="42"/>
        <v>EF1 E002 Mat</v>
      </c>
    </row>
    <row r="2629" spans="1:31" ht="150" x14ac:dyDescent="0.25">
      <c r="A2629" s="31" t="s">
        <v>5500</v>
      </c>
      <c r="B2629" s="16" t="s">
        <v>32</v>
      </c>
      <c r="C2629" s="16" t="s">
        <v>33</v>
      </c>
      <c r="D2629" s="33" t="s">
        <v>34</v>
      </c>
      <c r="E2629" s="33">
        <v>248</v>
      </c>
      <c r="F2629" s="33">
        <v>5</v>
      </c>
      <c r="G2629" s="33">
        <v>11</v>
      </c>
      <c r="H2629" s="33"/>
      <c r="I2629" s="31" t="s">
        <v>35</v>
      </c>
      <c r="J2629" s="31"/>
      <c r="K2629" s="33"/>
      <c r="L2629" s="33"/>
      <c r="M2629" s="31"/>
      <c r="N2629" s="31"/>
      <c r="O2629" s="16" t="s">
        <v>5501</v>
      </c>
      <c r="P2629" s="16"/>
      <c r="Q2629" s="16"/>
      <c r="R2629" s="33">
        <v>149</v>
      </c>
      <c r="S2629" s="34">
        <v>45902</v>
      </c>
      <c r="T2629" s="34">
        <v>45902</v>
      </c>
      <c r="U2629" s="34"/>
      <c r="V2629" s="34"/>
      <c r="W2629" s="34">
        <v>45908</v>
      </c>
      <c r="X2629" s="33" t="s">
        <v>1971</v>
      </c>
      <c r="Y2629" s="35" t="str">
        <f>IF(Tabela2[[#This Row],[SIGLA]]="","",VLOOKUP(Tabela2[[#This Row],[SIGLA]],Tabela1[[#All],[Sigla Arte]:[Crédito]],2,0))</f>
        <v>PETRA MENDES/ARQUIVO DA EDITORA</v>
      </c>
      <c r="Z2629" s="31" t="s">
        <v>539</v>
      </c>
      <c r="AA2629" s="31" t="str">
        <f>Tabela2[[#This Row],[ILUSTRADOR CRIAÇÃO]]</f>
        <v>PETRA MENDES/ARQUIVO DA EDITORA</v>
      </c>
      <c r="AB2629" s="33">
        <v>13</v>
      </c>
      <c r="AC2629" s="16" t="s">
        <v>89</v>
      </c>
      <c r="AD2629" s="16" t="s">
        <v>40</v>
      </c>
      <c r="AE2629" s="35" t="str">
        <f t="shared" si="42"/>
        <v>EF1 E002 Mat</v>
      </c>
    </row>
    <row r="2630" spans="1:31" ht="60" x14ac:dyDescent="0.25">
      <c r="A2630" s="31" t="s">
        <v>5502</v>
      </c>
      <c r="B2630" s="16" t="s">
        <v>32</v>
      </c>
      <c r="C2630" s="16" t="s">
        <v>33</v>
      </c>
      <c r="D2630" s="33" t="s">
        <v>34</v>
      </c>
      <c r="E2630" s="33">
        <v>261</v>
      </c>
      <c r="F2630" s="33">
        <v>5</v>
      </c>
      <c r="G2630" s="33">
        <v>12</v>
      </c>
      <c r="H2630" s="33"/>
      <c r="I2630" s="31" t="s">
        <v>35</v>
      </c>
      <c r="J2630" s="31"/>
      <c r="K2630" s="33"/>
      <c r="L2630" s="33"/>
      <c r="M2630" s="31"/>
      <c r="N2630" s="31"/>
      <c r="O2630" s="16" t="s">
        <v>5503</v>
      </c>
      <c r="P2630" s="16"/>
      <c r="Q2630" s="16"/>
      <c r="R2630" s="33">
        <v>150</v>
      </c>
      <c r="S2630" s="34">
        <v>45903</v>
      </c>
      <c r="T2630" s="34">
        <v>45908</v>
      </c>
      <c r="U2630" s="34"/>
      <c r="V2630" s="34"/>
      <c r="W2630" s="34">
        <v>45910</v>
      </c>
      <c r="X2630" s="33" t="s">
        <v>162</v>
      </c>
      <c r="Y2630" s="35" t="str">
        <f>IF(Tabela2[[#This Row],[SIGLA]]="","",VLOOKUP(Tabela2[[#This Row],[SIGLA]],Tabela1[[#All],[Sigla Arte]:[Crédito]],2,0))</f>
        <v>IVY NUNES/ARQUIVO DA EDITORA</v>
      </c>
      <c r="Z2630" s="31" t="s">
        <v>352</v>
      </c>
      <c r="AA2630" s="31" t="str">
        <f>Tabela2[[#This Row],[ILUSTRADOR CRIAÇÃO]]</f>
        <v>IVY NUNES/ARQUIVO DA EDITORA</v>
      </c>
      <c r="AB2630" s="33">
        <v>13</v>
      </c>
      <c r="AC2630" s="16" t="s">
        <v>39</v>
      </c>
      <c r="AD2630" s="16" t="s">
        <v>40</v>
      </c>
      <c r="AE2630" s="35" t="str">
        <f t="shared" si="42"/>
        <v>EF1 E002 Mat</v>
      </c>
    </row>
    <row r="2631" spans="1:31" ht="45" x14ac:dyDescent="0.25">
      <c r="A2631" s="31" t="s">
        <v>5504</v>
      </c>
      <c r="B2631" s="16" t="s">
        <v>32</v>
      </c>
      <c r="C2631" s="16" t="s">
        <v>164</v>
      </c>
      <c r="D2631" s="33" t="s">
        <v>34</v>
      </c>
      <c r="E2631" s="33">
        <v>285</v>
      </c>
      <c r="F2631" s="33">
        <v>5</v>
      </c>
      <c r="G2631" s="33"/>
      <c r="H2631" s="33" t="s">
        <v>5327</v>
      </c>
      <c r="I2631" s="31" t="s">
        <v>46</v>
      </c>
      <c r="J2631" s="31"/>
      <c r="K2631" s="33"/>
      <c r="L2631" s="33"/>
      <c r="M2631" s="31"/>
      <c r="N2631" s="31"/>
      <c r="O2631" s="16" t="s">
        <v>5505</v>
      </c>
      <c r="P2631" s="16"/>
      <c r="Q2631" s="16"/>
      <c r="R2631" s="33"/>
      <c r="S2631" s="34"/>
      <c r="T2631" s="34"/>
      <c r="U2631" s="34"/>
      <c r="V2631" s="34"/>
      <c r="W2631" s="34"/>
      <c r="X2631" s="33" t="s">
        <v>162</v>
      </c>
      <c r="Y2631" s="35" t="str">
        <f>IF(Tabela2[[#This Row],[SIGLA]]="","",VLOOKUP(Tabela2[[#This Row],[SIGLA]],Tabela1[[#All],[Sigla Arte]:[Crédito]],2,0))</f>
        <v>IVY NUNES/ARQUIVO DA EDITORA</v>
      </c>
      <c r="Z2631" s="31"/>
      <c r="AA2631" s="31" t="str">
        <f>Tabela2[[#This Row],[ILUSTRADOR CRIAÇÃO]]</f>
        <v>IVY NUNES/ARQUIVO DA EDITORA</v>
      </c>
      <c r="AB2631" s="33"/>
      <c r="AC2631" s="16"/>
      <c r="AE2631" s="35" t="str">
        <f t="shared" si="42"/>
        <v>EF1 E002 Mat</v>
      </c>
    </row>
    <row r="2632" spans="1:31" ht="45.75" customHeight="1" x14ac:dyDescent="0.25">
      <c r="A2632" s="65" t="s">
        <v>5506</v>
      </c>
      <c r="B2632" s="16" t="s">
        <v>32</v>
      </c>
      <c r="C2632" s="16" t="s">
        <v>164</v>
      </c>
      <c r="D2632" s="33" t="s">
        <v>34</v>
      </c>
      <c r="E2632" s="33">
        <v>285</v>
      </c>
      <c r="F2632" s="33">
        <v>5</v>
      </c>
      <c r="G2632" s="33"/>
      <c r="H2632" s="33" t="s">
        <v>5327</v>
      </c>
      <c r="I2632" s="31" t="s">
        <v>46</v>
      </c>
      <c r="J2632" s="31"/>
      <c r="K2632" s="33"/>
      <c r="L2632" s="33"/>
      <c r="M2632" s="31"/>
      <c r="N2632" s="31"/>
      <c r="O2632" s="16" t="s">
        <v>5507</v>
      </c>
      <c r="P2632" s="16"/>
      <c r="Q2632" s="16"/>
      <c r="R2632" s="33"/>
      <c r="S2632" s="34"/>
      <c r="T2632" s="34"/>
      <c r="U2632" s="34"/>
      <c r="V2632" s="34"/>
      <c r="W2632" s="34"/>
      <c r="X2632" s="33" t="s">
        <v>162</v>
      </c>
      <c r="Y2632" s="35" t="str">
        <f>IF(Tabela2[[#This Row],[SIGLA]]="","",VLOOKUP(Tabela2[[#This Row],[SIGLA]],Tabela1[[#All],[Sigla Arte]:[Crédito]],2,0))</f>
        <v>IVY NUNES/ARQUIVO DA EDITORA</v>
      </c>
      <c r="Z2632" s="31"/>
      <c r="AA2632" s="31" t="str">
        <f>Tabela2[[#This Row],[ILUSTRADOR CRIAÇÃO]]</f>
        <v>IVY NUNES/ARQUIVO DA EDITORA</v>
      </c>
      <c r="AB2632" s="33"/>
      <c r="AC2632" s="16"/>
      <c r="AE2632" s="35" t="str">
        <f t="shared" si="42"/>
        <v>EF1 E002 Mat</v>
      </c>
    </row>
    <row r="2633" spans="1:31" ht="39" customHeight="1" x14ac:dyDescent="0.25">
      <c r="A2633" s="65" t="s">
        <v>5508</v>
      </c>
      <c r="B2633" s="16" t="s">
        <v>32</v>
      </c>
      <c r="C2633" s="16" t="s">
        <v>164</v>
      </c>
      <c r="D2633" s="33" t="s">
        <v>34</v>
      </c>
      <c r="E2633" s="33">
        <v>287</v>
      </c>
      <c r="F2633" s="33">
        <v>5</v>
      </c>
      <c r="G2633" s="33"/>
      <c r="H2633" s="33" t="s">
        <v>5327</v>
      </c>
      <c r="I2633" s="31" t="s">
        <v>46</v>
      </c>
      <c r="J2633" s="31"/>
      <c r="K2633" s="33"/>
      <c r="L2633" s="33"/>
      <c r="M2633" s="31"/>
      <c r="N2633" s="31"/>
      <c r="O2633" s="16" t="s">
        <v>5509</v>
      </c>
      <c r="P2633" s="16"/>
      <c r="Q2633" s="16"/>
      <c r="R2633" s="33"/>
      <c r="S2633" s="34"/>
      <c r="T2633" s="34"/>
      <c r="U2633" s="34"/>
      <c r="V2633" s="34"/>
      <c r="W2633" s="34"/>
      <c r="X2633" s="33" t="s">
        <v>162</v>
      </c>
      <c r="Y2633" s="35" t="str">
        <f>IF(Tabela2[[#This Row],[SIGLA]]="","",VLOOKUP(Tabela2[[#This Row],[SIGLA]],Tabela1[[#All],[Sigla Arte]:[Crédito]],2,0))</f>
        <v>IVY NUNES/ARQUIVO DA EDITORA</v>
      </c>
      <c r="Z2633" s="31"/>
      <c r="AA2633" s="31" t="str">
        <f>Tabela2[[#This Row],[ILUSTRADOR CRIAÇÃO]]</f>
        <v>IVY NUNES/ARQUIVO DA EDITORA</v>
      </c>
      <c r="AB2633" s="33"/>
      <c r="AC2633" s="16"/>
      <c r="AE2633" s="35" t="str">
        <f t="shared" si="42"/>
        <v>EF1 E002 Mat</v>
      </c>
    </row>
    <row r="2634" spans="1:31" ht="45" x14ac:dyDescent="0.25">
      <c r="A2634" s="31" t="s">
        <v>5510</v>
      </c>
      <c r="B2634" s="16" t="s">
        <v>32</v>
      </c>
      <c r="C2634" s="16" t="s">
        <v>164</v>
      </c>
      <c r="D2634" s="33" t="s">
        <v>34</v>
      </c>
      <c r="E2634" s="33">
        <v>262</v>
      </c>
      <c r="F2634" s="33">
        <v>5</v>
      </c>
      <c r="G2634" s="33">
        <v>12</v>
      </c>
      <c r="H2634" s="33"/>
      <c r="I2634" s="31" t="s">
        <v>995</v>
      </c>
      <c r="J2634" s="31"/>
      <c r="K2634" s="33"/>
      <c r="L2634" s="33"/>
      <c r="M2634" s="31"/>
      <c r="N2634" s="31"/>
      <c r="O2634" s="16" t="s">
        <v>5511</v>
      </c>
      <c r="P2634" s="16"/>
      <c r="Q2634" s="16"/>
      <c r="R2634" s="33">
        <v>150</v>
      </c>
      <c r="S2634" s="34">
        <v>45903</v>
      </c>
      <c r="T2634" s="34">
        <v>45909</v>
      </c>
      <c r="U2634" s="34"/>
      <c r="V2634" s="34"/>
      <c r="W2634" s="34">
        <v>45912</v>
      </c>
      <c r="X2634" s="33" t="s">
        <v>85</v>
      </c>
      <c r="Y2634" s="35" t="str">
        <f>IF(Tabela2[[#This Row],[SIGLA]]="","",VLOOKUP(Tabela2[[#This Row],[SIGLA]],Tabela1[[#All],[Sigla Arte]:[Crédito]],2,0))</f>
        <v>HELOÍSA PINTARELLI/ARQUIVO DA EDITORA</v>
      </c>
      <c r="Z2634" s="31"/>
      <c r="AA2634" s="31" t="str">
        <f>Tabela2[[#This Row],[ILUSTRADOR CRIAÇÃO]]</f>
        <v>HELOÍSA PINTARELLI/ARQUIVO DA EDITORA</v>
      </c>
      <c r="AB2634" s="33">
        <v>8</v>
      </c>
      <c r="AC2634" s="16" t="s">
        <v>5512</v>
      </c>
      <c r="AD2634" s="16" t="s">
        <v>1093</v>
      </c>
      <c r="AE2634" s="35" t="str">
        <f t="shared" si="42"/>
        <v>EF1 E002 Mat</v>
      </c>
    </row>
    <row r="2635" spans="1:31" ht="60" x14ac:dyDescent="0.25">
      <c r="A2635" s="64" t="s">
        <v>5513</v>
      </c>
      <c r="B2635" s="16" t="s">
        <v>32</v>
      </c>
      <c r="C2635" s="16" t="s">
        <v>164</v>
      </c>
      <c r="D2635" s="33" t="s">
        <v>34</v>
      </c>
      <c r="E2635" s="33">
        <v>262</v>
      </c>
      <c r="F2635" s="33">
        <v>5</v>
      </c>
      <c r="G2635" s="33">
        <v>12</v>
      </c>
      <c r="H2635" s="33"/>
      <c r="I2635" s="31" t="s">
        <v>995</v>
      </c>
      <c r="J2635" s="31"/>
      <c r="K2635" s="33"/>
      <c r="L2635" s="33"/>
      <c r="M2635" s="31"/>
      <c r="N2635" s="31"/>
      <c r="O2635" s="16" t="s">
        <v>5514</v>
      </c>
      <c r="P2635" s="16"/>
      <c r="Q2635" s="16"/>
      <c r="R2635" s="33">
        <v>150</v>
      </c>
      <c r="S2635" s="34">
        <v>45903</v>
      </c>
      <c r="T2635" s="34">
        <v>45909</v>
      </c>
      <c r="U2635" s="34"/>
      <c r="V2635" s="34"/>
      <c r="W2635" s="34">
        <v>45912</v>
      </c>
      <c r="X2635" s="33" t="s">
        <v>85</v>
      </c>
      <c r="Y2635" s="35" t="str">
        <f>IF(Tabela2[[#This Row],[SIGLA]]="","",VLOOKUP(Tabela2[[#This Row],[SIGLA]],Tabela1[[#All],[Sigla Arte]:[Crédito]],2,0))</f>
        <v>HELOÍSA PINTARELLI/ARQUIVO DA EDITORA</v>
      </c>
      <c r="Z2635" s="31"/>
      <c r="AA2635" s="31" t="str">
        <f>Tabela2[[#This Row],[ILUSTRADOR CRIAÇÃO]]</f>
        <v>HELOÍSA PINTARELLI/ARQUIVO DA EDITORA</v>
      </c>
      <c r="AB2635" s="33">
        <v>8</v>
      </c>
      <c r="AC2635" s="16" t="s">
        <v>5512</v>
      </c>
      <c r="AD2635" s="16" t="s">
        <v>1093</v>
      </c>
      <c r="AE2635" s="35" t="str">
        <f t="shared" si="42"/>
        <v>EF1 E002 Mat</v>
      </c>
    </row>
    <row r="2636" spans="1:31" ht="105" x14ac:dyDescent="0.25">
      <c r="A2636" s="31" t="s">
        <v>5515</v>
      </c>
      <c r="B2636" s="16" t="s">
        <v>32</v>
      </c>
      <c r="C2636" s="16" t="s">
        <v>33</v>
      </c>
      <c r="D2636" s="33" t="s">
        <v>34</v>
      </c>
      <c r="E2636" s="33">
        <v>263</v>
      </c>
      <c r="F2636" s="33">
        <v>5</v>
      </c>
      <c r="G2636" s="33">
        <v>12</v>
      </c>
      <c r="H2636" s="33"/>
      <c r="I2636" s="31" t="s">
        <v>35</v>
      </c>
      <c r="J2636" s="31"/>
      <c r="K2636" s="33"/>
      <c r="L2636" s="33"/>
      <c r="M2636" s="31"/>
      <c r="N2636" s="31"/>
      <c r="O2636" s="16" t="s">
        <v>5516</v>
      </c>
      <c r="P2636" s="16"/>
      <c r="Q2636" s="16"/>
      <c r="R2636" s="33">
        <v>150</v>
      </c>
      <c r="S2636" s="34">
        <v>45903</v>
      </c>
      <c r="T2636" s="34">
        <v>45908</v>
      </c>
      <c r="U2636" s="34"/>
      <c r="V2636" s="34"/>
      <c r="W2636" s="34">
        <v>45910</v>
      </c>
      <c r="X2636" s="33" t="s">
        <v>2111</v>
      </c>
      <c r="Y2636" s="35" t="str">
        <f>IF(Tabela2[[#This Row],[SIGLA]]="","",VLOOKUP(Tabela2[[#This Row],[SIGLA]],Tabela1[[#All],[Sigla Arte]:[Crédito]],2,0))</f>
        <v>EZEQUIEL SILVA/ARQUIVO DA EDITORA</v>
      </c>
      <c r="Z2636" s="31" t="s">
        <v>352</v>
      </c>
      <c r="AA2636" s="31" t="str">
        <f>Tabela2[[#This Row],[ILUSTRADOR CRIAÇÃO]]</f>
        <v>EZEQUIEL SILVA/ARQUIVO DA EDITORA</v>
      </c>
      <c r="AB2636" s="33">
        <v>13</v>
      </c>
      <c r="AC2636" s="16" t="s">
        <v>39</v>
      </c>
      <c r="AD2636" s="16" t="s">
        <v>40</v>
      </c>
      <c r="AE2636" s="35" t="str">
        <f t="shared" si="42"/>
        <v>EF1 E002 Mat</v>
      </c>
    </row>
    <row r="2637" spans="1:31" ht="45" x14ac:dyDescent="0.25">
      <c r="A2637" s="31" t="s">
        <v>5517</v>
      </c>
      <c r="B2637" s="16" t="s">
        <v>32</v>
      </c>
      <c r="C2637" s="16" t="s">
        <v>164</v>
      </c>
      <c r="D2637" s="33" t="s">
        <v>34</v>
      </c>
      <c r="E2637" s="33">
        <v>263</v>
      </c>
      <c r="F2637" s="33">
        <v>2</v>
      </c>
      <c r="G2637" s="33" t="s">
        <v>5327</v>
      </c>
      <c r="H2637" s="33" t="s">
        <v>5327</v>
      </c>
      <c r="I2637" s="31" t="s">
        <v>995</v>
      </c>
      <c r="J2637" s="31"/>
      <c r="K2637" s="33"/>
      <c r="L2637" s="33"/>
      <c r="M2637" s="31"/>
      <c r="N2637" s="31"/>
      <c r="O2637" s="16" t="s">
        <v>5518</v>
      </c>
      <c r="P2637" s="16"/>
      <c r="Q2637" s="16"/>
      <c r="R2637" s="33">
        <v>152</v>
      </c>
      <c r="S2637" s="34">
        <v>45903</v>
      </c>
      <c r="T2637" s="34">
        <v>45903</v>
      </c>
      <c r="U2637" s="34"/>
      <c r="V2637" s="34"/>
      <c r="W2637" s="34">
        <v>45903</v>
      </c>
      <c r="X2637" s="33" t="s">
        <v>85</v>
      </c>
      <c r="Y2637" s="35" t="str">
        <f>IF(Tabela2[[#This Row],[SIGLA]]="","",VLOOKUP(Tabela2[[#This Row],[SIGLA]],Tabela1[[#All],[Sigla Arte]:[Crédito]],2,0))</f>
        <v>HELOÍSA PINTARELLI/ARQUIVO DA EDITORA</v>
      </c>
      <c r="Z2637" s="31" t="s">
        <v>572</v>
      </c>
      <c r="AA2637" s="31" t="str">
        <f>Tabela2[[#This Row],[ILUSTRADOR CRIAÇÃO]]</f>
        <v>HELOÍSA PINTARELLI/ARQUIVO DA EDITORA</v>
      </c>
      <c r="AB2637" s="33">
        <v>13</v>
      </c>
      <c r="AC2637" s="16" t="s">
        <v>44</v>
      </c>
      <c r="AD2637" s="16" t="s">
        <v>40</v>
      </c>
      <c r="AE2637" s="35" t="str">
        <f t="shared" si="42"/>
        <v>EF1 E002 Mat</v>
      </c>
    </row>
    <row r="2638" spans="1:31" ht="120" x14ac:dyDescent="0.25">
      <c r="A2638" s="31" t="s">
        <v>5519</v>
      </c>
      <c r="B2638" s="16" t="s">
        <v>401</v>
      </c>
      <c r="C2638" s="16" t="s">
        <v>164</v>
      </c>
      <c r="D2638" s="33" t="s">
        <v>34</v>
      </c>
      <c r="E2638" s="33">
        <v>265</v>
      </c>
      <c r="F2638" s="33">
        <v>2</v>
      </c>
      <c r="G2638" s="33" t="s">
        <v>5327</v>
      </c>
      <c r="H2638" s="33" t="s">
        <v>5327</v>
      </c>
      <c r="I2638" s="31" t="s">
        <v>995</v>
      </c>
      <c r="J2638" s="31"/>
      <c r="K2638" s="33"/>
      <c r="L2638" s="33"/>
      <c r="M2638" s="31"/>
      <c r="N2638" s="31"/>
      <c r="O2638" s="16" t="s">
        <v>5520</v>
      </c>
      <c r="P2638" s="16" t="s">
        <v>514</v>
      </c>
      <c r="Q2638" s="16"/>
      <c r="R2638" s="33">
        <v>152</v>
      </c>
      <c r="S2638" s="34">
        <v>45903</v>
      </c>
      <c r="T2638" s="34">
        <v>45903</v>
      </c>
      <c r="U2638" s="34"/>
      <c r="V2638" s="34"/>
      <c r="W2638" s="34">
        <v>45908</v>
      </c>
      <c r="X2638" s="33" t="s">
        <v>85</v>
      </c>
      <c r="Y2638" s="35" t="str">
        <f>IF(Tabela2[[#This Row],[SIGLA]]="","",VLOOKUP(Tabela2[[#This Row],[SIGLA]],Tabela1[[#All],[Sigla Arte]:[Crédito]],2,0))</f>
        <v>HELOÍSA PINTARELLI/ARQUIVO DA EDITORA</v>
      </c>
      <c r="Z2638" s="31" t="s">
        <v>572</v>
      </c>
      <c r="AA2638" s="31" t="str">
        <f>Tabela2[[#This Row],[ILUSTRADOR CRIAÇÃO]]</f>
        <v>HELOÍSA PINTARELLI/ARQUIVO DA EDITORA</v>
      </c>
      <c r="AB2638" s="33">
        <v>13</v>
      </c>
      <c r="AC2638" s="16" t="s">
        <v>44</v>
      </c>
      <c r="AD2638" s="16" t="s">
        <v>40</v>
      </c>
      <c r="AE2638" s="35" t="str">
        <f t="shared" si="42"/>
        <v>EF1 E002 Mat</v>
      </c>
    </row>
    <row r="2639" spans="1:31" ht="105" x14ac:dyDescent="0.25">
      <c r="A2639" s="31" t="s">
        <v>5521</v>
      </c>
      <c r="B2639" s="16" t="s">
        <v>32</v>
      </c>
      <c r="C2639" s="16" t="s">
        <v>164</v>
      </c>
      <c r="D2639" s="33" t="s">
        <v>34</v>
      </c>
      <c r="E2639" s="33">
        <v>265</v>
      </c>
      <c r="F2639" s="33">
        <v>2</v>
      </c>
      <c r="G2639" s="33" t="s">
        <v>5327</v>
      </c>
      <c r="H2639" s="33" t="s">
        <v>5327</v>
      </c>
      <c r="I2639" s="31" t="s">
        <v>46</v>
      </c>
      <c r="J2639" s="31"/>
      <c r="K2639" s="33"/>
      <c r="L2639" s="33"/>
      <c r="M2639" s="31"/>
      <c r="N2639" s="31"/>
      <c r="O2639" s="16" t="s">
        <v>5522</v>
      </c>
      <c r="P2639" s="16"/>
      <c r="Q2639" s="16"/>
      <c r="R2639" s="33">
        <v>152</v>
      </c>
      <c r="S2639" s="34">
        <v>45903</v>
      </c>
      <c r="T2639" s="34"/>
      <c r="U2639" s="34"/>
      <c r="V2639" s="34"/>
      <c r="W2639" s="34"/>
      <c r="X2639" s="33" t="s">
        <v>85</v>
      </c>
      <c r="Y2639" s="35" t="str">
        <f>IF(Tabela2[[#This Row],[SIGLA]]="","",VLOOKUP(Tabela2[[#This Row],[SIGLA]],Tabela1[[#All],[Sigla Arte]:[Crédito]],2,0))</f>
        <v>HELOÍSA PINTARELLI/ARQUIVO DA EDITORA</v>
      </c>
      <c r="Z2639" s="31"/>
      <c r="AA2639" s="31" t="str">
        <f>Tabela2[[#This Row],[ILUSTRADOR CRIAÇÃO]]</f>
        <v>HELOÍSA PINTARELLI/ARQUIVO DA EDITORA</v>
      </c>
      <c r="AB2639" s="33"/>
      <c r="AC2639" s="16"/>
      <c r="AE2639" s="35" t="str">
        <f t="shared" si="42"/>
        <v>EF1 E002 Mat</v>
      </c>
    </row>
    <row r="2640" spans="1:31" ht="105" x14ac:dyDescent="0.25">
      <c r="A2640" s="31" t="s">
        <v>5523</v>
      </c>
      <c r="B2640" s="16" t="s">
        <v>401</v>
      </c>
      <c r="C2640" s="16" t="s">
        <v>164</v>
      </c>
      <c r="D2640" s="33" t="s">
        <v>34</v>
      </c>
      <c r="E2640" s="33">
        <v>265</v>
      </c>
      <c r="F2640" s="33">
        <v>2</v>
      </c>
      <c r="G2640" s="33" t="s">
        <v>5327</v>
      </c>
      <c r="H2640" s="33" t="s">
        <v>5327</v>
      </c>
      <c r="I2640" s="31" t="s">
        <v>995</v>
      </c>
      <c r="J2640" s="31"/>
      <c r="K2640" s="33"/>
      <c r="L2640" s="33"/>
      <c r="M2640" s="31"/>
      <c r="N2640" s="31"/>
      <c r="O2640" s="16" t="s">
        <v>5524</v>
      </c>
      <c r="P2640" s="16" t="s">
        <v>514</v>
      </c>
      <c r="Q2640" s="16"/>
      <c r="R2640" s="33">
        <v>152</v>
      </c>
      <c r="S2640" s="34">
        <v>45903</v>
      </c>
      <c r="T2640" s="34"/>
      <c r="U2640" s="34"/>
      <c r="V2640" s="34"/>
      <c r="W2640" s="34"/>
      <c r="X2640" s="33"/>
      <c r="Y2640" s="35" t="str">
        <f>IF(Tabela2[[#This Row],[SIGLA]]="","",VLOOKUP(Tabela2[[#This Row],[SIGLA]],Tabela1[[#All],[Sigla Arte]:[Crédito]],2,0))</f>
        <v/>
      </c>
      <c r="Z2640" s="31"/>
      <c r="AA2640" s="31" t="str">
        <f>Tabela2[[#This Row],[ILUSTRADOR CRIAÇÃO]]</f>
        <v/>
      </c>
      <c r="AB2640" s="33"/>
      <c r="AC2640" s="16"/>
      <c r="AE2640" s="35" t="str">
        <f t="shared" si="42"/>
        <v>EF1 E002 Mat</v>
      </c>
    </row>
    <row r="2641" spans="1:31" ht="105" x14ac:dyDescent="0.25">
      <c r="A2641" s="31" t="s">
        <v>5525</v>
      </c>
      <c r="B2641" s="16" t="s">
        <v>32</v>
      </c>
      <c r="C2641" s="16" t="s">
        <v>164</v>
      </c>
      <c r="D2641" s="33" t="s">
        <v>34</v>
      </c>
      <c r="E2641" s="33">
        <v>271</v>
      </c>
      <c r="F2641" s="33">
        <v>2</v>
      </c>
      <c r="G2641" s="33" t="s">
        <v>5327</v>
      </c>
      <c r="H2641" s="33" t="s">
        <v>5327</v>
      </c>
      <c r="I2641" s="31" t="s">
        <v>995</v>
      </c>
      <c r="J2641" s="31"/>
      <c r="K2641" s="33"/>
      <c r="L2641" s="33"/>
      <c r="M2641" s="31"/>
      <c r="N2641" s="31"/>
      <c r="O2641" s="16" t="s">
        <v>5526</v>
      </c>
      <c r="P2641" s="16"/>
      <c r="Q2641" s="16"/>
      <c r="R2641" s="33">
        <v>152</v>
      </c>
      <c r="S2641" s="34">
        <v>45903</v>
      </c>
      <c r="T2641" s="34">
        <v>45903</v>
      </c>
      <c r="U2641" s="34"/>
      <c r="V2641" s="34"/>
      <c r="W2641" s="34">
        <v>45908</v>
      </c>
      <c r="X2641" s="33" t="s">
        <v>5130</v>
      </c>
      <c r="Y2641" s="35" t="str">
        <f>IF(Tabela2[[#This Row],[SIGLA]]="","",VLOOKUP(Tabela2[[#This Row],[SIGLA]],Tabela1[[#All],[Sigla Arte]:[Crédito]],2,0))</f>
        <v>GABRIELLA IMAI/ARQUIVO DA EDITORA</v>
      </c>
      <c r="Z2641" s="31"/>
      <c r="AA2641" s="31" t="str">
        <f>Tabela2[[#This Row],[ILUSTRADOR CRIAÇÃO]]</f>
        <v>GABRIELLA IMAI/ARQUIVO DA EDITORA</v>
      </c>
      <c r="AB2641" s="33">
        <v>12</v>
      </c>
      <c r="AC2641" s="16" t="s">
        <v>2102</v>
      </c>
      <c r="AD2641" s="16" t="s">
        <v>40</v>
      </c>
      <c r="AE2641" s="35" t="str">
        <f t="shared" si="42"/>
        <v>EF1 E002 Mat</v>
      </c>
    </row>
    <row r="2642" spans="1:31" ht="135" x14ac:dyDescent="0.25">
      <c r="A2642" s="31" t="s">
        <v>5527</v>
      </c>
      <c r="B2642" s="16" t="s">
        <v>32</v>
      </c>
      <c r="C2642" s="16" t="s">
        <v>164</v>
      </c>
      <c r="D2642" s="33" t="s">
        <v>34</v>
      </c>
      <c r="E2642" s="33">
        <v>273</v>
      </c>
      <c r="F2642" s="33">
        <v>2</v>
      </c>
      <c r="G2642" s="33" t="s">
        <v>5327</v>
      </c>
      <c r="H2642" s="33" t="s">
        <v>5327</v>
      </c>
      <c r="I2642" s="31" t="s">
        <v>995</v>
      </c>
      <c r="J2642" s="31"/>
      <c r="K2642" s="33"/>
      <c r="L2642" s="33"/>
      <c r="M2642" s="31"/>
      <c r="N2642" s="31"/>
      <c r="O2642" s="16" t="s">
        <v>5528</v>
      </c>
      <c r="P2642" s="16"/>
      <c r="Q2642" s="16"/>
      <c r="R2642" s="33">
        <v>152</v>
      </c>
      <c r="S2642" s="34">
        <v>45903</v>
      </c>
      <c r="T2642" s="34">
        <v>45903</v>
      </c>
      <c r="U2642" s="34"/>
      <c r="V2642" s="34"/>
      <c r="W2642" s="34">
        <v>45908</v>
      </c>
      <c r="X2642" s="33" t="s">
        <v>5130</v>
      </c>
      <c r="Y2642" s="35" t="str">
        <f>IF(Tabela2[[#This Row],[SIGLA]]="","",VLOOKUP(Tabela2[[#This Row],[SIGLA]],Tabela1[[#All],[Sigla Arte]:[Crédito]],2,0))</f>
        <v>GABRIELLA IMAI/ARQUIVO DA EDITORA</v>
      </c>
      <c r="Z2642" s="31"/>
      <c r="AA2642" s="31" t="str">
        <f>Tabela2[[#This Row],[ILUSTRADOR CRIAÇÃO]]</f>
        <v>GABRIELLA IMAI/ARQUIVO DA EDITORA</v>
      </c>
      <c r="AB2642" s="33">
        <v>12</v>
      </c>
      <c r="AC2642" s="16" t="s">
        <v>2102</v>
      </c>
      <c r="AD2642" s="16" t="s">
        <v>40</v>
      </c>
      <c r="AE2642" s="35" t="str">
        <f t="shared" si="42"/>
        <v>EF1 E002 Mat</v>
      </c>
    </row>
    <row r="2643" spans="1:31" ht="45" x14ac:dyDescent="0.25">
      <c r="A2643" s="31" t="s">
        <v>5529</v>
      </c>
      <c r="B2643" s="16" t="s">
        <v>32</v>
      </c>
      <c r="C2643" s="16" t="s">
        <v>164</v>
      </c>
      <c r="D2643" s="33" t="s">
        <v>34</v>
      </c>
      <c r="E2643" s="33">
        <v>283</v>
      </c>
      <c r="F2643" s="33">
        <v>2</v>
      </c>
      <c r="G2643" s="33" t="s">
        <v>5327</v>
      </c>
      <c r="H2643" s="33" t="s">
        <v>5327</v>
      </c>
      <c r="I2643" s="31" t="s">
        <v>46</v>
      </c>
      <c r="J2643" s="31"/>
      <c r="K2643" s="33"/>
      <c r="L2643" s="33"/>
      <c r="M2643" s="31"/>
      <c r="N2643" s="31"/>
      <c r="O2643" s="16" t="s">
        <v>5530</v>
      </c>
      <c r="P2643" s="16"/>
      <c r="Q2643" s="16"/>
      <c r="R2643" s="33"/>
      <c r="S2643" s="34"/>
      <c r="T2643" s="34"/>
      <c r="U2643" s="34"/>
      <c r="V2643" s="34"/>
      <c r="W2643" s="34"/>
      <c r="X2643" s="33" t="s">
        <v>1126</v>
      </c>
      <c r="Y2643" s="35" t="str">
        <f>IF(Tabela2[[#This Row],[SIGLA]]="","",VLOOKUP(Tabela2[[#This Row],[SIGLA]],Tabela1[[#All],[Sigla Arte]:[Crédito]],2,0))</f>
        <v>GUSTAVO CONTI/ARQUIVO DA EDITORA</v>
      </c>
      <c r="Z2643" s="31"/>
      <c r="AA2643" s="31" t="str">
        <f>Tabela2[[#This Row],[ILUSTRADOR CRIAÇÃO]]</f>
        <v>GUSTAVO CONTI/ARQUIVO DA EDITORA</v>
      </c>
      <c r="AB2643" s="33"/>
      <c r="AC2643" s="16"/>
      <c r="AE2643" s="35" t="str">
        <f t="shared" si="42"/>
        <v>EF1 E002 Mat</v>
      </c>
    </row>
    <row r="2644" spans="1:31" ht="150" x14ac:dyDescent="0.25">
      <c r="A2644" s="31" t="s">
        <v>5531</v>
      </c>
      <c r="B2644" s="16" t="s">
        <v>32</v>
      </c>
      <c r="C2644" s="16" t="s">
        <v>164</v>
      </c>
      <c r="D2644" s="33" t="s">
        <v>34</v>
      </c>
      <c r="E2644" s="33">
        <v>285</v>
      </c>
      <c r="F2644" s="33">
        <v>2</v>
      </c>
      <c r="G2644" s="33" t="s">
        <v>5327</v>
      </c>
      <c r="H2644" s="33" t="s">
        <v>5327</v>
      </c>
      <c r="I2644" s="31" t="s">
        <v>995</v>
      </c>
      <c r="J2644" s="31"/>
      <c r="K2644" s="33"/>
      <c r="L2644" s="33"/>
      <c r="M2644" s="31"/>
      <c r="N2644" s="31"/>
      <c r="O2644" s="16" t="s">
        <v>5532</v>
      </c>
      <c r="P2644" s="16"/>
      <c r="Q2644" s="16"/>
      <c r="R2644" s="33">
        <v>152</v>
      </c>
      <c r="S2644" s="34">
        <v>45903</v>
      </c>
      <c r="T2644" s="34">
        <v>45903</v>
      </c>
      <c r="U2644" s="34"/>
      <c r="V2644" s="34"/>
      <c r="W2644" s="34">
        <v>45903</v>
      </c>
      <c r="X2644" s="33" t="s">
        <v>184</v>
      </c>
      <c r="Y2644" s="35" t="str">
        <f>IF(Tabela2[[#This Row],[SIGLA]]="","",VLOOKUP(Tabela2[[#This Row],[SIGLA]],Tabela1[[#All],[Sigla Arte]:[Crédito]],2,0))</f>
        <v>VER DOCUMENTO DE ILS. TÉCNICAS</v>
      </c>
      <c r="Z2644" s="31" t="s">
        <v>572</v>
      </c>
      <c r="AA2644" s="31" t="s">
        <v>921</v>
      </c>
      <c r="AB2644" s="33">
        <v>13</v>
      </c>
      <c r="AC2644" s="16" t="s">
        <v>1450</v>
      </c>
      <c r="AD2644" s="16" t="s">
        <v>40</v>
      </c>
      <c r="AE2644" s="35" t="str">
        <f t="shared" si="42"/>
        <v>EF1 E002 Mat</v>
      </c>
    </row>
    <row r="2645" spans="1:31" ht="45" x14ac:dyDescent="0.25">
      <c r="A2645" s="31" t="s">
        <v>5533</v>
      </c>
      <c r="B2645" s="16" t="s">
        <v>32</v>
      </c>
      <c r="C2645" s="16" t="s">
        <v>164</v>
      </c>
      <c r="D2645" s="33" t="s">
        <v>4732</v>
      </c>
      <c r="E2645" s="33">
        <v>245</v>
      </c>
      <c r="F2645" s="33">
        <v>3</v>
      </c>
      <c r="G2645" s="33">
        <v>12</v>
      </c>
      <c r="H2645" s="33"/>
      <c r="I2645" s="31" t="s">
        <v>46</v>
      </c>
      <c r="J2645" s="31"/>
      <c r="K2645" s="33"/>
      <c r="L2645" s="33"/>
      <c r="M2645" s="31"/>
      <c r="N2645" s="31"/>
      <c r="O2645" s="16" t="s">
        <v>5534</v>
      </c>
      <c r="P2645" s="16"/>
      <c r="Q2645" s="16"/>
      <c r="R2645" s="33"/>
      <c r="S2645" s="34"/>
      <c r="T2645" s="34"/>
      <c r="U2645" s="34"/>
      <c r="V2645" s="34"/>
      <c r="W2645" s="34"/>
      <c r="X2645" s="33" t="s">
        <v>1201</v>
      </c>
      <c r="Y2645" s="35" t="str">
        <f>IF(Tabela2[[#This Row],[SIGLA]]="","",VLOOKUP(Tabela2[[#This Row],[SIGLA]],Tabela1[[#All],[Sigla Arte]:[Crédito]],2,0))</f>
        <v>RAFAELA PANISSA/ARQUIVO DA EDITORA</v>
      </c>
      <c r="Z2645" s="31"/>
      <c r="AA2645" s="31" t="str">
        <f>Tabela2[[#This Row],[ILUSTRADOR CRIAÇÃO]]</f>
        <v>RAFAELA PANISSA/ARQUIVO DA EDITORA</v>
      </c>
      <c r="AB2645" s="33"/>
      <c r="AC2645" s="16"/>
      <c r="AE2645" s="35" t="str">
        <f t="shared" si="42"/>
        <v>EF1 E002 Mat</v>
      </c>
    </row>
    <row r="2646" spans="1:31" ht="180" x14ac:dyDescent="0.25">
      <c r="A2646" s="31" t="s">
        <v>5535</v>
      </c>
      <c r="B2646" s="16" t="s">
        <v>32</v>
      </c>
      <c r="C2646" s="16" t="s">
        <v>164</v>
      </c>
      <c r="D2646" s="33" t="s">
        <v>4732</v>
      </c>
      <c r="E2646" s="33">
        <v>13</v>
      </c>
      <c r="F2646" s="33">
        <v>3</v>
      </c>
      <c r="G2646" s="33"/>
      <c r="H2646" s="33" t="s">
        <v>5536</v>
      </c>
      <c r="I2646" s="31" t="s">
        <v>35</v>
      </c>
      <c r="J2646" s="31"/>
      <c r="K2646" s="33"/>
      <c r="L2646" s="33"/>
      <c r="M2646" s="31"/>
      <c r="N2646" s="31"/>
      <c r="O2646" s="16" t="s">
        <v>5537</v>
      </c>
      <c r="P2646" s="16"/>
      <c r="Q2646" s="16"/>
      <c r="R2646" s="33">
        <v>153</v>
      </c>
      <c r="S2646" s="34">
        <v>45905</v>
      </c>
      <c r="T2646" s="34">
        <v>45906</v>
      </c>
      <c r="U2646" s="34"/>
      <c r="V2646" s="34"/>
      <c r="W2646" s="34">
        <v>45906</v>
      </c>
      <c r="X2646" s="33" t="s">
        <v>48</v>
      </c>
      <c r="Y2646" s="35" t="str">
        <f>IF(Tabela2[[#This Row],[SIGLA]]="","",VLOOKUP(Tabela2[[#This Row],[SIGLA]],Tabela1[[#All],[Sigla Arte]:[Crédito]],2,0))</f>
        <v>SERGIO LIMA/ARQUIVO DA EDITORA</v>
      </c>
      <c r="Z2646" s="31" t="s">
        <v>352</v>
      </c>
      <c r="AA2646" s="31" t="str">
        <f>Tabela2[[#This Row],[ILUSTRADOR CRIAÇÃO]]</f>
        <v>SERGIO LIMA/ARQUIVO DA EDITORA</v>
      </c>
      <c r="AB2646" s="33">
        <v>13</v>
      </c>
      <c r="AC2646" s="16" t="s">
        <v>39</v>
      </c>
      <c r="AD2646" s="16" t="s">
        <v>40</v>
      </c>
      <c r="AE2646" s="35" t="str">
        <f t="shared" si="42"/>
        <v>EF1 E002 Mat</v>
      </c>
    </row>
    <row r="2647" spans="1:31" ht="75" x14ac:dyDescent="0.25">
      <c r="A2647" s="31" t="s">
        <v>5538</v>
      </c>
      <c r="B2647" s="16" t="s">
        <v>32</v>
      </c>
      <c r="C2647" s="16" t="s">
        <v>164</v>
      </c>
      <c r="D2647" s="33" t="s">
        <v>4732</v>
      </c>
      <c r="E2647" s="33">
        <v>43</v>
      </c>
      <c r="F2647" s="33">
        <v>4</v>
      </c>
      <c r="G2647" s="33">
        <v>2</v>
      </c>
      <c r="H2647" s="33"/>
      <c r="I2647" s="31" t="s">
        <v>46</v>
      </c>
      <c r="J2647" s="31"/>
      <c r="K2647" s="33"/>
      <c r="L2647" s="33"/>
      <c r="M2647" s="31"/>
      <c r="N2647" s="31"/>
      <c r="O2647" s="16" t="s">
        <v>5539</v>
      </c>
      <c r="P2647" s="16"/>
      <c r="Q2647" s="16"/>
      <c r="R2647" s="33"/>
      <c r="S2647" s="34"/>
      <c r="T2647" s="34"/>
      <c r="U2647" s="34"/>
      <c r="V2647" s="34"/>
      <c r="W2647" s="34"/>
      <c r="X2647" s="33" t="s">
        <v>48</v>
      </c>
      <c r="Y2647" s="35" t="str">
        <f>IF(Tabela2[[#This Row],[SIGLA]]="","",VLOOKUP(Tabela2[[#This Row],[SIGLA]],Tabela1[[#All],[Sigla Arte]:[Crédito]],2,0))</f>
        <v>SERGIO LIMA/ARQUIVO DA EDITORA</v>
      </c>
      <c r="Z2647" s="31"/>
      <c r="AA2647" s="31" t="str">
        <f>Tabela2[[#This Row],[ILUSTRADOR CRIAÇÃO]]</f>
        <v>SERGIO LIMA/ARQUIVO DA EDITORA</v>
      </c>
      <c r="AB2647" s="33"/>
      <c r="AC2647" s="16"/>
      <c r="AE2647" s="35" t="str">
        <f t="shared" si="42"/>
        <v>EF1 E002 Mat</v>
      </c>
    </row>
    <row r="2648" spans="1:31" ht="75" x14ac:dyDescent="0.25">
      <c r="A2648" s="31" t="s">
        <v>5540</v>
      </c>
      <c r="B2648" s="16" t="s">
        <v>32</v>
      </c>
      <c r="C2648" s="16" t="s">
        <v>164</v>
      </c>
      <c r="D2648" s="33" t="s">
        <v>4732</v>
      </c>
      <c r="E2648" s="33">
        <v>43</v>
      </c>
      <c r="F2648" s="33">
        <v>4</v>
      </c>
      <c r="G2648" s="33">
        <v>2</v>
      </c>
      <c r="H2648" s="33"/>
      <c r="I2648" s="31" t="s">
        <v>46</v>
      </c>
      <c r="J2648" s="31"/>
      <c r="K2648" s="33"/>
      <c r="L2648" s="33"/>
      <c r="M2648" s="31"/>
      <c r="N2648" s="31"/>
      <c r="O2648" s="16" t="s">
        <v>5541</v>
      </c>
      <c r="P2648" s="16"/>
      <c r="Q2648" s="16"/>
      <c r="R2648" s="33"/>
      <c r="S2648" s="34"/>
      <c r="T2648" s="34"/>
      <c r="U2648" s="34"/>
      <c r="V2648" s="34"/>
      <c r="W2648" s="34"/>
      <c r="X2648" s="33" t="s">
        <v>48</v>
      </c>
      <c r="Y2648" s="35" t="str">
        <f>IF(Tabela2[[#This Row],[SIGLA]]="","",VLOOKUP(Tabela2[[#This Row],[SIGLA]],Tabela1[[#All],[Sigla Arte]:[Crédito]],2,0))</f>
        <v>SERGIO LIMA/ARQUIVO DA EDITORA</v>
      </c>
      <c r="Z2648" s="31"/>
      <c r="AA2648" s="31" t="str">
        <f>Tabela2[[#This Row],[ILUSTRADOR CRIAÇÃO]]</f>
        <v>SERGIO LIMA/ARQUIVO DA EDITORA</v>
      </c>
      <c r="AB2648" s="33"/>
      <c r="AC2648" s="16"/>
      <c r="AE2648" s="35" t="str">
        <f t="shared" si="42"/>
        <v>EF1 E002 Mat</v>
      </c>
    </row>
    <row r="2649" spans="1:31" ht="30" x14ac:dyDescent="0.25">
      <c r="A2649" s="31" t="s">
        <v>5542</v>
      </c>
      <c r="B2649" s="16" t="s">
        <v>32</v>
      </c>
      <c r="C2649" s="16" t="s">
        <v>164</v>
      </c>
      <c r="D2649" s="33" t="s">
        <v>4732</v>
      </c>
      <c r="E2649" s="33">
        <v>47</v>
      </c>
      <c r="F2649" s="33">
        <v>4</v>
      </c>
      <c r="G2649" s="33">
        <v>2</v>
      </c>
      <c r="H2649" s="33"/>
      <c r="I2649" s="31" t="s">
        <v>995</v>
      </c>
      <c r="J2649" s="31"/>
      <c r="K2649" s="33"/>
      <c r="L2649" s="33"/>
      <c r="M2649" s="31"/>
      <c r="N2649" s="31"/>
      <c r="O2649" s="16" t="s">
        <v>5543</v>
      </c>
      <c r="P2649" s="16"/>
      <c r="Q2649" s="16"/>
      <c r="R2649" s="33">
        <v>154</v>
      </c>
      <c r="S2649" s="34">
        <v>45905</v>
      </c>
      <c r="T2649" s="34">
        <v>45906</v>
      </c>
      <c r="U2649" s="34"/>
      <c r="V2649" s="34"/>
      <c r="W2649" s="34">
        <v>45906</v>
      </c>
      <c r="X2649" s="33" t="s">
        <v>4394</v>
      </c>
      <c r="Y2649" s="35" t="str">
        <f>IF(Tabela2[[#This Row],[SIGLA]]="","",VLOOKUP(Tabela2[[#This Row],[SIGLA]],Tabela1[[#All],[Sigla Arte]:[Crédito]],2,0))</f>
        <v>MARYANE VIOTO SILVA/ARQUIVO DA EDITORA</v>
      </c>
      <c r="Z2649" s="31"/>
      <c r="AA2649" s="31" t="str">
        <f>Tabela2[[#This Row],[ILUSTRADOR CRIAÇÃO]]</f>
        <v>MARYANE VIOTO SILVA/ARQUIVO DA EDITORA</v>
      </c>
      <c r="AB2649" s="33">
        <v>7</v>
      </c>
      <c r="AC2649" s="16" t="s">
        <v>924</v>
      </c>
      <c r="AD2649" s="16" t="s">
        <v>40</v>
      </c>
      <c r="AE2649" s="35" t="str">
        <f t="shared" si="42"/>
        <v>EF1 E002 Mat</v>
      </c>
    </row>
    <row r="2650" spans="1:31" ht="60" x14ac:dyDescent="0.25">
      <c r="A2650" s="31" t="s">
        <v>5544</v>
      </c>
      <c r="B2650" s="16" t="s">
        <v>32</v>
      </c>
      <c r="C2650" s="16" t="s">
        <v>33</v>
      </c>
      <c r="D2650" s="33" t="s">
        <v>4732</v>
      </c>
      <c r="E2650" s="33">
        <v>72</v>
      </c>
      <c r="F2650" s="33">
        <v>4</v>
      </c>
      <c r="G2650" s="33">
        <v>4</v>
      </c>
      <c r="H2650" s="33"/>
      <c r="I2650" s="31" t="s">
        <v>46</v>
      </c>
      <c r="J2650" s="31"/>
      <c r="K2650" s="33"/>
      <c r="L2650" s="33"/>
      <c r="M2650" s="31"/>
      <c r="N2650" s="31"/>
      <c r="O2650" s="16" t="s">
        <v>5545</v>
      </c>
      <c r="P2650" s="16"/>
      <c r="Q2650" s="16"/>
      <c r="R2650" s="33"/>
      <c r="S2650" s="34"/>
      <c r="T2650" s="34"/>
      <c r="U2650" s="34"/>
      <c r="V2650" s="34"/>
      <c r="W2650" s="34"/>
      <c r="X2650" s="33" t="s">
        <v>48</v>
      </c>
      <c r="Y2650" s="35" t="str">
        <f>IF(Tabela2[[#This Row],[SIGLA]]="","",VLOOKUP(Tabela2[[#This Row],[SIGLA]],Tabela1[[#All],[Sigla Arte]:[Crédito]],2,0))</f>
        <v>SERGIO LIMA/ARQUIVO DA EDITORA</v>
      </c>
      <c r="Z2650" s="31"/>
      <c r="AA2650" s="31" t="str">
        <f>Tabela2[[#This Row],[ILUSTRADOR CRIAÇÃO]]</f>
        <v>SERGIO LIMA/ARQUIVO DA EDITORA</v>
      </c>
      <c r="AB2650" s="33"/>
      <c r="AC2650" s="16"/>
      <c r="AE2650" s="35" t="str">
        <f t="shared" si="42"/>
        <v>EF1 E002 Mat</v>
      </c>
    </row>
    <row r="2651" spans="1:31" ht="45" x14ac:dyDescent="0.25">
      <c r="A2651" s="31" t="s">
        <v>5546</v>
      </c>
      <c r="B2651" s="16" t="s">
        <v>32</v>
      </c>
      <c r="C2651" s="16" t="s">
        <v>164</v>
      </c>
      <c r="D2651" s="33" t="s">
        <v>34</v>
      </c>
      <c r="E2651" s="33">
        <v>263</v>
      </c>
      <c r="F2651" s="33">
        <v>4</v>
      </c>
      <c r="G2651" s="33"/>
      <c r="H2651" s="33" t="s">
        <v>2137</v>
      </c>
      <c r="I2651" s="31" t="s">
        <v>995</v>
      </c>
      <c r="J2651" s="31"/>
      <c r="K2651" s="33"/>
      <c r="L2651" s="33"/>
      <c r="M2651" s="31"/>
      <c r="N2651" s="31"/>
      <c r="O2651" s="16" t="s">
        <v>5547</v>
      </c>
      <c r="P2651" s="16"/>
      <c r="Q2651" s="16"/>
      <c r="R2651" s="33">
        <v>156</v>
      </c>
      <c r="S2651" s="34">
        <v>45911</v>
      </c>
      <c r="T2651" s="34">
        <v>45911</v>
      </c>
      <c r="U2651" s="34"/>
      <c r="V2651" s="34"/>
      <c r="W2651" s="34">
        <v>45911</v>
      </c>
      <c r="X2651" s="33" t="s">
        <v>4713</v>
      </c>
      <c r="Y2651" s="35" t="str">
        <f>IF(Tabela2[[#This Row],[SIGLA]]="","",VLOOKUP(Tabela2[[#This Row],[SIGLA]],Tabela1[[#All],[Sigla Arte]:[Crédito]],2,0))</f>
        <v>NICOLAS FURTADO/ARQUIVO DA EDITORA</v>
      </c>
      <c r="Z2651" s="31"/>
      <c r="AA2651" s="31" t="str">
        <f>Tabela2[[#This Row],[ILUSTRADOR CRIAÇÃO]]</f>
        <v>NICOLAS FURTADO/ARQUIVO DA EDITORA</v>
      </c>
      <c r="AB2651" s="33">
        <v>8</v>
      </c>
      <c r="AC2651" s="16" t="s">
        <v>2102</v>
      </c>
      <c r="AD2651" s="16" t="s">
        <v>40</v>
      </c>
      <c r="AE2651" s="35" t="str">
        <f t="shared" si="42"/>
        <v>EF1 E002 Mat</v>
      </c>
    </row>
    <row r="2652" spans="1:31" ht="45" x14ac:dyDescent="0.25">
      <c r="A2652" s="31" t="s">
        <v>5548</v>
      </c>
      <c r="B2652" s="16" t="s">
        <v>32</v>
      </c>
      <c r="C2652" s="16" t="s">
        <v>164</v>
      </c>
      <c r="D2652" s="33" t="s">
        <v>4732</v>
      </c>
      <c r="E2652" s="33">
        <v>156</v>
      </c>
      <c r="F2652" s="33">
        <v>4</v>
      </c>
      <c r="G2652" s="33">
        <v>8</v>
      </c>
      <c r="H2652" s="33"/>
      <c r="I2652" s="31" t="s">
        <v>46</v>
      </c>
      <c r="J2652" s="31"/>
      <c r="K2652" s="33"/>
      <c r="L2652" s="33"/>
      <c r="M2652" s="31"/>
      <c r="N2652" s="31"/>
      <c r="O2652" s="16" t="s">
        <v>5549</v>
      </c>
      <c r="P2652" s="16"/>
      <c r="Q2652" s="16"/>
      <c r="R2652" s="33"/>
      <c r="S2652" s="34"/>
      <c r="T2652" s="34"/>
      <c r="U2652" s="34"/>
      <c r="V2652" s="34"/>
      <c r="W2652" s="34"/>
      <c r="X2652" s="33" t="s">
        <v>5351</v>
      </c>
      <c r="Y2652" s="35" t="str">
        <f>IF(Tabela2[[#This Row],[SIGLA]]="","",VLOOKUP(Tabela2[[#This Row],[SIGLA]],Tabela1[[#All],[Sigla Arte]:[Crédito]],2,0))</f>
        <v>CÁTIA GERMANI/ARQUIVO DA EDITORA</v>
      </c>
      <c r="Z2652" s="31"/>
      <c r="AA2652" s="31" t="str">
        <f>Tabela2[[#This Row],[ILUSTRADOR CRIAÇÃO]]</f>
        <v>CÁTIA GERMANI/ARQUIVO DA EDITORA</v>
      </c>
      <c r="AB2652" s="33"/>
      <c r="AC2652" s="16"/>
      <c r="AE2652" s="35" t="str">
        <f t="shared" si="42"/>
        <v>EF1 E002 Mat</v>
      </c>
    </row>
    <row r="2653" spans="1:31" ht="45" x14ac:dyDescent="0.25">
      <c r="A2653" s="31" t="s">
        <v>5550</v>
      </c>
      <c r="B2653" s="16" t="s">
        <v>32</v>
      </c>
      <c r="C2653" s="16" t="s">
        <v>164</v>
      </c>
      <c r="D2653" s="33" t="s">
        <v>4732</v>
      </c>
      <c r="E2653" s="33">
        <v>191</v>
      </c>
      <c r="F2653" s="33">
        <v>4</v>
      </c>
      <c r="G2653" s="33">
        <v>10</v>
      </c>
      <c r="H2653" s="33"/>
      <c r="I2653" s="31" t="s">
        <v>46</v>
      </c>
      <c r="J2653" s="31"/>
      <c r="K2653" s="33"/>
      <c r="L2653" s="33"/>
      <c r="M2653" s="31"/>
      <c r="N2653" s="31"/>
      <c r="O2653" s="16" t="s">
        <v>5551</v>
      </c>
      <c r="P2653" s="16"/>
      <c r="Q2653" s="16"/>
      <c r="R2653" s="33"/>
      <c r="S2653" s="34"/>
      <c r="T2653" s="34"/>
      <c r="U2653" s="34"/>
      <c r="V2653" s="34"/>
      <c r="W2653" s="34"/>
      <c r="X2653" s="33" t="s">
        <v>5351</v>
      </c>
      <c r="Y2653" s="35" t="str">
        <f>IF(Tabela2[[#This Row],[SIGLA]]="","",VLOOKUP(Tabela2[[#This Row],[SIGLA]],Tabela1[[#All],[Sigla Arte]:[Crédito]],2,0))</f>
        <v>CÁTIA GERMANI/ARQUIVO DA EDITORA</v>
      </c>
      <c r="Z2653" s="31"/>
      <c r="AA2653" s="31" t="str">
        <f>Tabela2[[#This Row],[ILUSTRADOR CRIAÇÃO]]</f>
        <v>CÁTIA GERMANI/ARQUIVO DA EDITORA</v>
      </c>
      <c r="AB2653" s="33"/>
      <c r="AC2653" s="16"/>
      <c r="AE2653" s="35" t="str">
        <f t="shared" si="42"/>
        <v>EF1 E002 Mat</v>
      </c>
    </row>
    <row r="2654" spans="1:31" ht="45" x14ac:dyDescent="0.25">
      <c r="A2654" s="31" t="s">
        <v>5552</v>
      </c>
      <c r="B2654" s="16" t="s">
        <v>32</v>
      </c>
      <c r="C2654" s="16" t="s">
        <v>164</v>
      </c>
      <c r="D2654" s="33" t="s">
        <v>4732</v>
      </c>
      <c r="E2654" s="33">
        <v>191</v>
      </c>
      <c r="F2654" s="33">
        <v>4</v>
      </c>
      <c r="G2654" s="33">
        <v>10</v>
      </c>
      <c r="H2654" s="33"/>
      <c r="I2654" s="31" t="s">
        <v>46</v>
      </c>
      <c r="J2654" s="31"/>
      <c r="K2654" s="33"/>
      <c r="L2654" s="33"/>
      <c r="M2654" s="31"/>
      <c r="N2654" s="31"/>
      <c r="O2654" s="16" t="s">
        <v>5553</v>
      </c>
      <c r="P2654" s="16"/>
      <c r="Q2654" s="16"/>
      <c r="R2654" s="33"/>
      <c r="S2654" s="34"/>
      <c r="T2654" s="34"/>
      <c r="U2654" s="34"/>
      <c r="V2654" s="34"/>
      <c r="W2654" s="34"/>
      <c r="X2654" s="33" t="s">
        <v>5351</v>
      </c>
      <c r="Y2654" s="35" t="str">
        <f>IF(Tabela2[[#This Row],[SIGLA]]="","",VLOOKUP(Tabela2[[#This Row],[SIGLA]],Tabela1[[#All],[Sigla Arte]:[Crédito]],2,0))</f>
        <v>CÁTIA GERMANI/ARQUIVO DA EDITORA</v>
      </c>
      <c r="Z2654" s="31"/>
      <c r="AA2654" s="31" t="str">
        <f>Tabela2[[#This Row],[ILUSTRADOR CRIAÇÃO]]</f>
        <v>CÁTIA GERMANI/ARQUIVO DA EDITORA</v>
      </c>
      <c r="AB2654" s="33"/>
      <c r="AC2654" s="16"/>
      <c r="AE2654" s="35" t="str">
        <f t="shared" si="42"/>
        <v>EF1 E002 Mat</v>
      </c>
    </row>
    <row r="2655" spans="1:31" ht="45" x14ac:dyDescent="0.25">
      <c r="A2655" s="31" t="s">
        <v>5554</v>
      </c>
      <c r="B2655" s="16" t="s">
        <v>32</v>
      </c>
      <c r="C2655" s="16" t="s">
        <v>164</v>
      </c>
      <c r="D2655" s="33" t="s">
        <v>4732</v>
      </c>
      <c r="E2655" s="33">
        <v>191</v>
      </c>
      <c r="F2655" s="33">
        <v>4</v>
      </c>
      <c r="G2655" s="33">
        <v>10</v>
      </c>
      <c r="H2655" s="33"/>
      <c r="I2655" s="31" t="s">
        <v>46</v>
      </c>
      <c r="J2655" s="31"/>
      <c r="K2655" s="33"/>
      <c r="L2655" s="33"/>
      <c r="M2655" s="31"/>
      <c r="N2655" s="31"/>
      <c r="O2655" s="16" t="s">
        <v>5555</v>
      </c>
      <c r="P2655" s="16"/>
      <c r="Q2655" s="16"/>
      <c r="R2655" s="33"/>
      <c r="S2655" s="34"/>
      <c r="T2655" s="34"/>
      <c r="U2655" s="34"/>
      <c r="V2655" s="34"/>
      <c r="W2655" s="34"/>
      <c r="X2655" s="33" t="s">
        <v>5351</v>
      </c>
      <c r="Y2655" s="35" t="str">
        <f>IF(Tabela2[[#This Row],[SIGLA]]="","",VLOOKUP(Tabela2[[#This Row],[SIGLA]],Tabela1[[#All],[Sigla Arte]:[Crédito]],2,0))</f>
        <v>CÁTIA GERMANI/ARQUIVO DA EDITORA</v>
      </c>
      <c r="Z2655" s="31"/>
      <c r="AA2655" s="31" t="str">
        <f>Tabela2[[#This Row],[ILUSTRADOR CRIAÇÃO]]</f>
        <v>CÁTIA GERMANI/ARQUIVO DA EDITORA</v>
      </c>
      <c r="AB2655" s="33"/>
      <c r="AC2655" s="16"/>
      <c r="AE2655" s="35" t="str">
        <f t="shared" si="42"/>
        <v>EF1 E002 Mat</v>
      </c>
    </row>
    <row r="2656" spans="1:31" ht="45" x14ac:dyDescent="0.25">
      <c r="A2656" s="31" t="s">
        <v>5556</v>
      </c>
      <c r="B2656" s="16" t="s">
        <v>32</v>
      </c>
      <c r="C2656" s="16" t="s">
        <v>164</v>
      </c>
      <c r="D2656" s="33" t="s">
        <v>4732</v>
      </c>
      <c r="E2656" s="33">
        <v>191</v>
      </c>
      <c r="F2656" s="33">
        <v>4</v>
      </c>
      <c r="G2656" s="33">
        <v>10</v>
      </c>
      <c r="H2656" s="33"/>
      <c r="I2656" s="31" t="s">
        <v>46</v>
      </c>
      <c r="J2656" s="31"/>
      <c r="K2656" s="33"/>
      <c r="L2656" s="33"/>
      <c r="M2656" s="31"/>
      <c r="N2656" s="31"/>
      <c r="O2656" s="16" t="s">
        <v>5557</v>
      </c>
      <c r="P2656" s="16"/>
      <c r="Q2656" s="16"/>
      <c r="R2656" s="33"/>
      <c r="S2656" s="34"/>
      <c r="T2656" s="34"/>
      <c r="U2656" s="34"/>
      <c r="V2656" s="34"/>
      <c r="W2656" s="34"/>
      <c r="X2656" s="33" t="s">
        <v>5351</v>
      </c>
      <c r="Y2656" s="35" t="str">
        <f>IF(Tabela2[[#This Row],[SIGLA]]="","",VLOOKUP(Tabela2[[#This Row],[SIGLA]],Tabela1[[#All],[Sigla Arte]:[Crédito]],2,0))</f>
        <v>CÁTIA GERMANI/ARQUIVO DA EDITORA</v>
      </c>
      <c r="Z2656" s="31"/>
      <c r="AA2656" s="31" t="str">
        <f>Tabela2[[#This Row],[ILUSTRADOR CRIAÇÃO]]</f>
        <v>CÁTIA GERMANI/ARQUIVO DA EDITORA</v>
      </c>
      <c r="AB2656" s="33"/>
      <c r="AC2656" s="16"/>
      <c r="AE2656" s="35" t="str">
        <f t="shared" si="42"/>
        <v>EF1 E002 Mat</v>
      </c>
    </row>
    <row r="2657" spans="1:31" ht="45" x14ac:dyDescent="0.25">
      <c r="A2657" s="31" t="s">
        <v>5558</v>
      </c>
      <c r="B2657" s="16" t="s">
        <v>32</v>
      </c>
      <c r="C2657" s="16" t="s">
        <v>164</v>
      </c>
      <c r="D2657" s="33" t="s">
        <v>4732</v>
      </c>
      <c r="E2657" s="33">
        <v>191</v>
      </c>
      <c r="F2657" s="33">
        <v>4</v>
      </c>
      <c r="G2657" s="33">
        <v>10</v>
      </c>
      <c r="H2657" s="33"/>
      <c r="I2657" s="31" t="s">
        <v>46</v>
      </c>
      <c r="J2657" s="31"/>
      <c r="K2657" s="33"/>
      <c r="L2657" s="33"/>
      <c r="M2657" s="31"/>
      <c r="N2657" s="31"/>
      <c r="O2657" s="16" t="s">
        <v>5559</v>
      </c>
      <c r="P2657" s="16"/>
      <c r="Q2657" s="16"/>
      <c r="R2657" s="33"/>
      <c r="S2657" s="34"/>
      <c r="T2657" s="34"/>
      <c r="U2657" s="34"/>
      <c r="V2657" s="34"/>
      <c r="W2657" s="34"/>
      <c r="X2657" s="33" t="s">
        <v>5351</v>
      </c>
      <c r="Y2657" s="35" t="str">
        <f>IF(Tabela2[[#This Row],[SIGLA]]="","",VLOOKUP(Tabela2[[#This Row],[SIGLA]],Tabela1[[#All],[Sigla Arte]:[Crédito]],2,0))</f>
        <v>CÁTIA GERMANI/ARQUIVO DA EDITORA</v>
      </c>
      <c r="Z2657" s="31"/>
      <c r="AA2657" s="31" t="str">
        <f>Tabela2[[#This Row],[ILUSTRADOR CRIAÇÃO]]</f>
        <v>CÁTIA GERMANI/ARQUIVO DA EDITORA</v>
      </c>
      <c r="AB2657" s="33"/>
      <c r="AC2657" s="16"/>
      <c r="AE2657" s="35" t="str">
        <f t="shared" si="42"/>
        <v>EF1 E002 Mat</v>
      </c>
    </row>
    <row r="2658" spans="1:31" ht="45" x14ac:dyDescent="0.25">
      <c r="A2658" s="31" t="s">
        <v>5560</v>
      </c>
      <c r="B2658" s="16" t="s">
        <v>32</v>
      </c>
      <c r="C2658" s="16" t="s">
        <v>164</v>
      </c>
      <c r="D2658" s="33" t="s">
        <v>4732</v>
      </c>
      <c r="E2658" s="33">
        <v>191</v>
      </c>
      <c r="F2658" s="33">
        <v>4</v>
      </c>
      <c r="G2658" s="33">
        <v>10</v>
      </c>
      <c r="H2658" s="33"/>
      <c r="I2658" s="31" t="s">
        <v>46</v>
      </c>
      <c r="J2658" s="31"/>
      <c r="K2658" s="33"/>
      <c r="L2658" s="33"/>
      <c r="M2658" s="31"/>
      <c r="N2658" s="31"/>
      <c r="O2658" s="16" t="s">
        <v>5561</v>
      </c>
      <c r="P2658" s="16"/>
      <c r="Q2658" s="16"/>
      <c r="R2658" s="33"/>
      <c r="S2658" s="34"/>
      <c r="T2658" s="34"/>
      <c r="U2658" s="34"/>
      <c r="V2658" s="34"/>
      <c r="W2658" s="34"/>
      <c r="X2658" s="33" t="s">
        <v>5351</v>
      </c>
      <c r="Y2658" s="35" t="str">
        <f>IF(Tabela2[[#This Row],[SIGLA]]="","",VLOOKUP(Tabela2[[#This Row],[SIGLA]],Tabela1[[#All],[Sigla Arte]:[Crédito]],2,0))</f>
        <v>CÁTIA GERMANI/ARQUIVO DA EDITORA</v>
      </c>
      <c r="Z2658" s="31"/>
      <c r="AA2658" s="31" t="str">
        <f>Tabela2[[#This Row],[ILUSTRADOR CRIAÇÃO]]</f>
        <v>CÁTIA GERMANI/ARQUIVO DA EDITORA</v>
      </c>
      <c r="AB2658" s="33"/>
      <c r="AC2658" s="16"/>
      <c r="AE2658" s="35" t="str">
        <f t="shared" si="42"/>
        <v>EF1 E002 Mat</v>
      </c>
    </row>
    <row r="2659" spans="1:31" ht="90" x14ac:dyDescent="0.25">
      <c r="A2659" s="31" t="s">
        <v>5562</v>
      </c>
      <c r="B2659" s="16" t="s">
        <v>32</v>
      </c>
      <c r="C2659" s="16" t="s">
        <v>164</v>
      </c>
      <c r="D2659" s="33" t="s">
        <v>4732</v>
      </c>
      <c r="E2659" s="33">
        <v>194</v>
      </c>
      <c r="F2659" s="33">
        <v>4</v>
      </c>
      <c r="G2659" s="33">
        <v>10</v>
      </c>
      <c r="H2659" s="33"/>
      <c r="I2659" s="31" t="s">
        <v>35</v>
      </c>
      <c r="J2659" s="31"/>
      <c r="K2659" s="33"/>
      <c r="L2659" s="33"/>
      <c r="M2659" s="31"/>
      <c r="N2659" s="31"/>
      <c r="O2659" s="16" t="s">
        <v>5563</v>
      </c>
      <c r="P2659" s="16"/>
      <c r="Q2659" s="16"/>
      <c r="R2659" s="33">
        <v>157</v>
      </c>
      <c r="S2659" s="34">
        <v>45911</v>
      </c>
      <c r="T2659" s="34">
        <v>45911</v>
      </c>
      <c r="U2659" s="34"/>
      <c r="V2659" s="34"/>
      <c r="W2659" s="34">
        <v>45912</v>
      </c>
      <c r="X2659" s="33" t="s">
        <v>5130</v>
      </c>
      <c r="Y2659" s="35" t="str">
        <f>IF(Tabela2[[#This Row],[SIGLA]]="","",VLOOKUP(Tabela2[[#This Row],[SIGLA]],Tabela1[[#All],[Sigla Arte]:[Crédito]],2,0))</f>
        <v>GABRIELLA IMAI/ARQUIVO DA EDITORA</v>
      </c>
      <c r="Z2659" s="31" t="s">
        <v>924</v>
      </c>
      <c r="AA2659" s="31" t="str">
        <f>Tabela2[[#This Row],[ILUSTRADOR CRIAÇÃO]]</f>
        <v>GABRIELLA IMAI/ARQUIVO DA EDITORA</v>
      </c>
      <c r="AB2659" s="33">
        <v>12</v>
      </c>
      <c r="AC2659" s="16" t="s">
        <v>2102</v>
      </c>
      <c r="AD2659" s="16" t="s">
        <v>40</v>
      </c>
      <c r="AE2659" s="35" t="str">
        <f t="shared" si="42"/>
        <v>EF1 E002 Mat</v>
      </c>
    </row>
    <row r="2660" spans="1:31" ht="30" x14ac:dyDescent="0.25">
      <c r="A2660" s="31" t="s">
        <v>5564</v>
      </c>
      <c r="B2660" s="16" t="s">
        <v>32</v>
      </c>
      <c r="C2660" s="16" t="s">
        <v>164</v>
      </c>
      <c r="D2660" s="33" t="s">
        <v>4732</v>
      </c>
      <c r="E2660" s="33">
        <v>205</v>
      </c>
      <c r="F2660" s="33">
        <v>4</v>
      </c>
      <c r="G2660" s="33">
        <v>10</v>
      </c>
      <c r="H2660" s="33"/>
      <c r="I2660" s="31" t="s">
        <v>46</v>
      </c>
      <c r="J2660" s="31"/>
      <c r="K2660" s="33"/>
      <c r="L2660" s="33"/>
      <c r="M2660" s="31"/>
      <c r="N2660" s="31"/>
      <c r="O2660" s="16" t="s">
        <v>5565</v>
      </c>
      <c r="P2660" s="16"/>
      <c r="Q2660" s="16"/>
      <c r="R2660" s="33"/>
      <c r="S2660" s="34"/>
      <c r="T2660" s="34"/>
      <c r="U2660" s="34"/>
      <c r="V2660" s="34"/>
      <c r="W2660" s="34"/>
      <c r="X2660" s="33" t="s">
        <v>1126</v>
      </c>
      <c r="Y2660" s="35" t="str">
        <f>IF(Tabela2[[#This Row],[SIGLA]]="","",VLOOKUP(Tabela2[[#This Row],[SIGLA]],Tabela1[[#All],[Sigla Arte]:[Crédito]],2,0))</f>
        <v>GUSTAVO CONTI/ARQUIVO DA EDITORA</v>
      </c>
      <c r="Z2660" s="31"/>
      <c r="AA2660" s="31" t="str">
        <f>Tabela2[[#This Row],[ILUSTRADOR CRIAÇÃO]]</f>
        <v>GUSTAVO CONTI/ARQUIVO DA EDITORA</v>
      </c>
      <c r="AB2660" s="33"/>
      <c r="AC2660" s="16"/>
      <c r="AE2660" s="35" t="str">
        <f t="shared" si="42"/>
        <v>EF1 E002 Mat</v>
      </c>
    </row>
    <row r="2661" spans="1:31" ht="30" x14ac:dyDescent="0.25">
      <c r="A2661" s="31" t="s">
        <v>5566</v>
      </c>
      <c r="B2661" s="16" t="s">
        <v>32</v>
      </c>
      <c r="C2661" s="16" t="s">
        <v>164</v>
      </c>
      <c r="D2661" s="33" t="s">
        <v>4732</v>
      </c>
      <c r="E2661" s="33">
        <v>205</v>
      </c>
      <c r="F2661" s="33">
        <v>4</v>
      </c>
      <c r="G2661" s="33">
        <v>10</v>
      </c>
      <c r="H2661" s="33"/>
      <c r="I2661" s="31" t="s">
        <v>46</v>
      </c>
      <c r="J2661" s="31"/>
      <c r="K2661" s="33"/>
      <c r="L2661" s="33"/>
      <c r="M2661" s="31"/>
      <c r="N2661" s="31"/>
      <c r="O2661" s="16" t="s">
        <v>5567</v>
      </c>
      <c r="P2661" s="16"/>
      <c r="Q2661" s="16"/>
      <c r="R2661" s="33"/>
      <c r="S2661" s="34"/>
      <c r="T2661" s="34"/>
      <c r="U2661" s="34"/>
      <c r="V2661" s="34"/>
      <c r="W2661" s="34"/>
      <c r="X2661" s="33" t="s">
        <v>1126</v>
      </c>
      <c r="Y2661" s="35" t="str">
        <f>IF(Tabela2[[#This Row],[SIGLA]]="","",VLOOKUP(Tabela2[[#This Row],[SIGLA]],Tabela1[[#All],[Sigla Arte]:[Crédito]],2,0))</f>
        <v>GUSTAVO CONTI/ARQUIVO DA EDITORA</v>
      </c>
      <c r="Z2661" s="31"/>
      <c r="AA2661" s="31" t="str">
        <f>Tabela2[[#This Row],[ILUSTRADOR CRIAÇÃO]]</f>
        <v>GUSTAVO CONTI/ARQUIVO DA EDITORA</v>
      </c>
      <c r="AB2661" s="33"/>
      <c r="AC2661" s="16"/>
      <c r="AE2661" s="35" t="str">
        <f t="shared" si="42"/>
        <v>EF1 E002 Mat</v>
      </c>
    </row>
    <row r="2662" spans="1:31" ht="30" x14ac:dyDescent="0.25">
      <c r="A2662" s="31" t="s">
        <v>5568</v>
      </c>
      <c r="B2662" s="16" t="s">
        <v>32</v>
      </c>
      <c r="C2662" s="16" t="s">
        <v>164</v>
      </c>
      <c r="D2662" s="33" t="s">
        <v>4732</v>
      </c>
      <c r="E2662" s="33">
        <v>209</v>
      </c>
      <c r="F2662" s="33">
        <v>4</v>
      </c>
      <c r="G2662" s="33">
        <v>10</v>
      </c>
      <c r="H2662" s="33"/>
      <c r="I2662" s="31" t="s">
        <v>46</v>
      </c>
      <c r="J2662" s="31"/>
      <c r="K2662" s="33"/>
      <c r="L2662" s="33"/>
      <c r="M2662" s="31"/>
      <c r="N2662" s="31"/>
      <c r="O2662" s="16" t="s">
        <v>5569</v>
      </c>
      <c r="P2662" s="16"/>
      <c r="Q2662" s="16"/>
      <c r="R2662" s="33"/>
      <c r="S2662" s="34"/>
      <c r="T2662" s="34"/>
      <c r="U2662" s="34"/>
      <c r="V2662" s="34"/>
      <c r="W2662" s="34"/>
      <c r="X2662" s="33" t="s">
        <v>48</v>
      </c>
      <c r="Y2662" s="35" t="str">
        <f>IF(Tabela2[[#This Row],[SIGLA]]="","",VLOOKUP(Tabela2[[#This Row],[SIGLA]],Tabela1[[#All],[Sigla Arte]:[Crédito]],2,0))</f>
        <v>SERGIO LIMA/ARQUIVO DA EDITORA</v>
      </c>
      <c r="Z2662" s="31"/>
      <c r="AA2662" s="31" t="str">
        <f>Tabela2[[#This Row],[ILUSTRADOR CRIAÇÃO]]</f>
        <v>SERGIO LIMA/ARQUIVO DA EDITORA</v>
      </c>
      <c r="AB2662" s="33"/>
      <c r="AC2662" s="16"/>
      <c r="AE2662" s="35" t="str">
        <f t="shared" si="42"/>
        <v>EF1 E002 Mat</v>
      </c>
    </row>
    <row r="2663" spans="1:31" ht="30" x14ac:dyDescent="0.25">
      <c r="A2663" s="31" t="s">
        <v>5570</v>
      </c>
      <c r="B2663" s="16" t="s">
        <v>32</v>
      </c>
      <c r="C2663" s="16" t="s">
        <v>164</v>
      </c>
      <c r="D2663" s="33" t="s">
        <v>4732</v>
      </c>
      <c r="E2663" s="33">
        <v>210</v>
      </c>
      <c r="F2663" s="33">
        <v>4</v>
      </c>
      <c r="G2663" s="33">
        <v>10</v>
      </c>
      <c r="H2663" s="33"/>
      <c r="I2663" s="31" t="s">
        <v>46</v>
      </c>
      <c r="J2663" s="31"/>
      <c r="K2663" s="33"/>
      <c r="L2663" s="33"/>
      <c r="M2663" s="31"/>
      <c r="N2663" s="31"/>
      <c r="O2663" s="16" t="s">
        <v>5571</v>
      </c>
      <c r="P2663" s="16"/>
      <c r="Q2663" s="16"/>
      <c r="R2663" s="33"/>
      <c r="S2663" s="34"/>
      <c r="T2663" s="34"/>
      <c r="U2663" s="34"/>
      <c r="V2663" s="34"/>
      <c r="W2663" s="34"/>
      <c r="X2663" s="33" t="s">
        <v>48</v>
      </c>
      <c r="Y2663" s="35" t="str">
        <f>IF(Tabela2[[#This Row],[SIGLA]]="","",VLOOKUP(Tabela2[[#This Row],[SIGLA]],Tabela1[[#All],[Sigla Arte]:[Crédito]],2,0))</f>
        <v>SERGIO LIMA/ARQUIVO DA EDITORA</v>
      </c>
      <c r="Z2663" s="31"/>
      <c r="AA2663" s="31" t="str">
        <f>Tabela2[[#This Row],[ILUSTRADOR CRIAÇÃO]]</f>
        <v>SERGIO LIMA/ARQUIVO DA EDITORA</v>
      </c>
      <c r="AB2663" s="33"/>
      <c r="AC2663" s="16"/>
      <c r="AE2663" s="35" t="str">
        <f t="shared" si="42"/>
        <v>EF1 E002 Mat</v>
      </c>
    </row>
    <row r="2664" spans="1:31" ht="75" x14ac:dyDescent="0.25">
      <c r="A2664" s="31" t="s">
        <v>5572</v>
      </c>
      <c r="B2664" s="16" t="s">
        <v>32</v>
      </c>
      <c r="C2664" s="16" t="s">
        <v>164</v>
      </c>
      <c r="D2664" s="33" t="s">
        <v>4732</v>
      </c>
      <c r="E2664" s="33">
        <v>210</v>
      </c>
      <c r="F2664" s="33">
        <v>4</v>
      </c>
      <c r="G2664" s="33">
        <v>10</v>
      </c>
      <c r="H2664" s="33"/>
      <c r="I2664" s="31" t="s">
        <v>35</v>
      </c>
      <c r="J2664" s="31"/>
      <c r="K2664" s="33"/>
      <c r="L2664" s="33"/>
      <c r="M2664" s="31"/>
      <c r="N2664" s="31"/>
      <c r="O2664" s="16" t="s">
        <v>5573</v>
      </c>
      <c r="P2664" s="16"/>
      <c r="Q2664" s="16"/>
      <c r="R2664" s="33">
        <v>157</v>
      </c>
      <c r="S2664" s="34">
        <v>45911</v>
      </c>
      <c r="T2664" s="34">
        <v>45911</v>
      </c>
      <c r="U2664" s="34"/>
      <c r="V2664" s="34"/>
      <c r="W2664" s="34">
        <v>45912</v>
      </c>
      <c r="X2664" s="33" t="s">
        <v>1126</v>
      </c>
      <c r="Y2664" s="35" t="str">
        <f>IF(Tabela2[[#This Row],[SIGLA]]="","",VLOOKUP(Tabela2[[#This Row],[SIGLA]],Tabela1[[#All],[Sigla Arte]:[Crédito]],2,0))</f>
        <v>GUSTAVO CONTI/ARQUIVO DA EDITORA</v>
      </c>
      <c r="Z2664" s="31" t="s">
        <v>572</v>
      </c>
      <c r="AA2664" s="31" t="str">
        <f>Tabela2[[#This Row],[ILUSTRADOR CRIAÇÃO]]</f>
        <v>GUSTAVO CONTI/ARQUIVO DA EDITORA</v>
      </c>
      <c r="AB2664" s="33">
        <v>13</v>
      </c>
      <c r="AC2664" s="16" t="s">
        <v>44</v>
      </c>
      <c r="AD2664" s="16" t="s">
        <v>40</v>
      </c>
      <c r="AE2664" s="35" t="str">
        <f t="shared" si="42"/>
        <v>EF1 E002 Mat</v>
      </c>
    </row>
    <row r="2665" spans="1:31" ht="75" x14ac:dyDescent="0.25">
      <c r="A2665" s="31" t="s">
        <v>5574</v>
      </c>
      <c r="B2665" s="16" t="s">
        <v>32</v>
      </c>
      <c r="C2665" s="16" t="s">
        <v>164</v>
      </c>
      <c r="D2665" s="33" t="s">
        <v>4732</v>
      </c>
      <c r="E2665" s="33">
        <v>210</v>
      </c>
      <c r="F2665" s="33">
        <v>4</v>
      </c>
      <c r="G2665" s="33">
        <v>10</v>
      </c>
      <c r="H2665" s="33"/>
      <c r="I2665" s="31" t="s">
        <v>35</v>
      </c>
      <c r="J2665" s="31"/>
      <c r="K2665" s="33"/>
      <c r="L2665" s="33"/>
      <c r="M2665" s="31"/>
      <c r="N2665" s="31"/>
      <c r="O2665" s="16" t="s">
        <v>5575</v>
      </c>
      <c r="P2665" s="16"/>
      <c r="Q2665" s="16"/>
      <c r="R2665" s="33">
        <v>157</v>
      </c>
      <c r="S2665" s="34">
        <v>45911</v>
      </c>
      <c r="T2665" s="34">
        <v>45911</v>
      </c>
      <c r="U2665" s="34"/>
      <c r="V2665" s="34"/>
      <c r="W2665" s="34">
        <v>45912</v>
      </c>
      <c r="X2665" s="33" t="s">
        <v>1126</v>
      </c>
      <c r="Y2665" s="35" t="str">
        <f>IF(Tabela2[[#This Row],[SIGLA]]="","",VLOOKUP(Tabela2[[#This Row],[SIGLA]],Tabela1[[#All],[Sigla Arte]:[Crédito]],2,0))</f>
        <v>GUSTAVO CONTI/ARQUIVO DA EDITORA</v>
      </c>
      <c r="Z2665" s="31" t="s">
        <v>572</v>
      </c>
      <c r="AA2665" s="31" t="str">
        <f>Tabela2[[#This Row],[ILUSTRADOR CRIAÇÃO]]</f>
        <v>GUSTAVO CONTI/ARQUIVO DA EDITORA</v>
      </c>
      <c r="AB2665" s="33">
        <v>13</v>
      </c>
      <c r="AC2665" s="16" t="s">
        <v>44</v>
      </c>
      <c r="AD2665" s="16" t="s">
        <v>40</v>
      </c>
      <c r="AE2665" s="35" t="str">
        <f t="shared" si="42"/>
        <v>EF1 E002 Mat</v>
      </c>
    </row>
    <row r="2666" spans="1:31" ht="60" x14ac:dyDescent="0.25">
      <c r="A2666" s="31" t="s">
        <v>5576</v>
      </c>
      <c r="B2666" s="16" t="s">
        <v>401</v>
      </c>
      <c r="C2666" s="16" t="s">
        <v>164</v>
      </c>
      <c r="D2666" s="33" t="s">
        <v>4732</v>
      </c>
      <c r="E2666" s="33">
        <v>210</v>
      </c>
      <c r="F2666" s="33">
        <v>4</v>
      </c>
      <c r="G2666" s="33">
        <v>10</v>
      </c>
      <c r="H2666" s="33"/>
      <c r="I2666" s="31" t="s">
        <v>35</v>
      </c>
      <c r="J2666" s="31"/>
      <c r="K2666" s="33"/>
      <c r="L2666" s="33"/>
      <c r="M2666" s="31"/>
      <c r="N2666" s="31"/>
      <c r="O2666" s="16" t="s">
        <v>5577</v>
      </c>
      <c r="P2666" s="16"/>
      <c r="Q2666" s="16" t="s">
        <v>1500</v>
      </c>
      <c r="R2666" s="33">
        <v>157</v>
      </c>
      <c r="S2666" s="34">
        <v>45911</v>
      </c>
      <c r="T2666" s="34">
        <v>45911</v>
      </c>
      <c r="U2666" s="34"/>
      <c r="V2666" s="34"/>
      <c r="W2666" s="34">
        <v>45912</v>
      </c>
      <c r="X2666" s="33" t="s">
        <v>48</v>
      </c>
      <c r="Y2666" s="35" t="str">
        <f>IF(Tabela2[[#This Row],[SIGLA]]="","",VLOOKUP(Tabela2[[#This Row],[SIGLA]],Tabela1[[#All],[Sigla Arte]:[Crédito]],2,0))</f>
        <v>SERGIO LIMA/ARQUIVO DA EDITORA</v>
      </c>
      <c r="Z2666" s="31" t="s">
        <v>572</v>
      </c>
      <c r="AA2666" s="31" t="str">
        <f>Tabela2[[#This Row],[ILUSTRADOR CRIAÇÃO]]</f>
        <v>SERGIO LIMA/ARQUIVO DA EDITORA</v>
      </c>
      <c r="AB2666" s="33">
        <v>13</v>
      </c>
      <c r="AC2666" s="16" t="s">
        <v>44</v>
      </c>
      <c r="AD2666" s="16" t="s">
        <v>40</v>
      </c>
      <c r="AE2666" s="35" t="str">
        <f t="shared" si="42"/>
        <v>EF1 E002 Mat</v>
      </c>
    </row>
    <row r="2667" spans="1:31" ht="45" x14ac:dyDescent="0.25">
      <c r="A2667" s="31" t="s">
        <v>5578</v>
      </c>
      <c r="B2667" s="16" t="s">
        <v>401</v>
      </c>
      <c r="C2667" s="16" t="s">
        <v>164</v>
      </c>
      <c r="D2667" s="33" t="s">
        <v>4732</v>
      </c>
      <c r="E2667" s="33">
        <v>210</v>
      </c>
      <c r="F2667" s="33">
        <v>4</v>
      </c>
      <c r="G2667" s="33">
        <v>10</v>
      </c>
      <c r="H2667" s="33"/>
      <c r="I2667" s="31" t="s">
        <v>35</v>
      </c>
      <c r="J2667" s="31"/>
      <c r="K2667" s="33"/>
      <c r="L2667" s="33"/>
      <c r="M2667" s="31"/>
      <c r="N2667" s="31"/>
      <c r="O2667" s="16" t="s">
        <v>5579</v>
      </c>
      <c r="P2667" s="16"/>
      <c r="Q2667" s="16" t="s">
        <v>1500</v>
      </c>
      <c r="R2667" s="33">
        <v>157</v>
      </c>
      <c r="S2667" s="34">
        <v>45911</v>
      </c>
      <c r="T2667" s="34">
        <v>45911</v>
      </c>
      <c r="U2667" s="34"/>
      <c r="V2667" s="34"/>
      <c r="W2667" s="34">
        <v>45912</v>
      </c>
      <c r="X2667" s="33" t="s">
        <v>48</v>
      </c>
      <c r="Y2667" s="35" t="str">
        <f>IF(Tabela2[[#This Row],[SIGLA]]="","",VLOOKUP(Tabela2[[#This Row],[SIGLA]],Tabela1[[#All],[Sigla Arte]:[Crédito]],2,0))</f>
        <v>SERGIO LIMA/ARQUIVO DA EDITORA</v>
      </c>
      <c r="Z2667" s="31" t="s">
        <v>572</v>
      </c>
      <c r="AA2667" s="31" t="str">
        <f>Tabela2[[#This Row],[ILUSTRADOR CRIAÇÃO]]</f>
        <v>SERGIO LIMA/ARQUIVO DA EDITORA</v>
      </c>
      <c r="AB2667" s="33">
        <v>13</v>
      </c>
      <c r="AC2667" s="16" t="s">
        <v>44</v>
      </c>
      <c r="AD2667" s="16" t="s">
        <v>40</v>
      </c>
      <c r="AE2667" s="35" t="str">
        <f t="shared" si="42"/>
        <v>EF1 E002 Mat</v>
      </c>
    </row>
    <row r="2668" spans="1:31" ht="45" x14ac:dyDescent="0.25">
      <c r="A2668" s="31" t="s">
        <v>5580</v>
      </c>
      <c r="B2668" s="16" t="s">
        <v>32</v>
      </c>
      <c r="C2668" s="16" t="s">
        <v>164</v>
      </c>
      <c r="D2668" s="33" t="s">
        <v>4732</v>
      </c>
      <c r="E2668" s="33">
        <v>211</v>
      </c>
      <c r="F2668" s="33">
        <v>4</v>
      </c>
      <c r="G2668" s="33">
        <v>10</v>
      </c>
      <c r="H2668" s="33"/>
      <c r="I2668" s="31" t="s">
        <v>46</v>
      </c>
      <c r="J2668" s="31"/>
      <c r="K2668" s="33"/>
      <c r="L2668" s="33"/>
      <c r="M2668" s="31"/>
      <c r="N2668" s="31"/>
      <c r="O2668" s="16" t="s">
        <v>5581</v>
      </c>
      <c r="P2668" s="16"/>
      <c r="Q2668" s="16"/>
      <c r="R2668" s="33"/>
      <c r="S2668" s="34"/>
      <c r="T2668" s="34"/>
      <c r="U2668" s="34"/>
      <c r="V2668" s="34"/>
      <c r="W2668" s="34"/>
      <c r="X2668" s="33" t="s">
        <v>48</v>
      </c>
      <c r="Y2668" s="35" t="str">
        <f>IF(Tabela2[[#This Row],[SIGLA]]="","",VLOOKUP(Tabela2[[#This Row],[SIGLA]],Tabela1[[#All],[Sigla Arte]:[Crédito]],2,0))</f>
        <v>SERGIO LIMA/ARQUIVO DA EDITORA</v>
      </c>
      <c r="Z2668" s="31"/>
      <c r="AA2668" s="31" t="str">
        <f>Tabela2[[#This Row],[ILUSTRADOR CRIAÇÃO]]</f>
        <v>SERGIO LIMA/ARQUIVO DA EDITORA</v>
      </c>
      <c r="AB2668" s="33"/>
      <c r="AC2668" s="16"/>
      <c r="AE2668" s="35" t="str">
        <f t="shared" si="42"/>
        <v>EF1 E002 Mat</v>
      </c>
    </row>
    <row r="2669" spans="1:31" ht="45" x14ac:dyDescent="0.25">
      <c r="A2669" s="31" t="s">
        <v>5582</v>
      </c>
      <c r="B2669" s="16" t="s">
        <v>32</v>
      </c>
      <c r="C2669" s="16" t="s">
        <v>164</v>
      </c>
      <c r="D2669" s="33" t="s">
        <v>4732</v>
      </c>
      <c r="E2669" s="33">
        <v>211</v>
      </c>
      <c r="F2669" s="33">
        <v>4</v>
      </c>
      <c r="G2669" s="33">
        <v>10</v>
      </c>
      <c r="H2669" s="33"/>
      <c r="I2669" s="31" t="s">
        <v>46</v>
      </c>
      <c r="J2669" s="31"/>
      <c r="K2669" s="33"/>
      <c r="L2669" s="33"/>
      <c r="M2669" s="31"/>
      <c r="N2669" s="31"/>
      <c r="O2669" s="16" t="s">
        <v>5583</v>
      </c>
      <c r="P2669" s="16"/>
      <c r="Q2669" s="16"/>
      <c r="R2669" s="33"/>
      <c r="S2669" s="34"/>
      <c r="T2669" s="34"/>
      <c r="U2669" s="34"/>
      <c r="V2669" s="34"/>
      <c r="W2669" s="34"/>
      <c r="X2669" s="33" t="s">
        <v>48</v>
      </c>
      <c r="Y2669" s="35" t="str">
        <f>IF(Tabela2[[#This Row],[SIGLA]]="","",VLOOKUP(Tabela2[[#This Row],[SIGLA]],Tabela1[[#All],[Sigla Arte]:[Crédito]],2,0))</f>
        <v>SERGIO LIMA/ARQUIVO DA EDITORA</v>
      </c>
      <c r="Z2669" s="31"/>
      <c r="AA2669" s="31" t="str">
        <f>Tabela2[[#This Row],[ILUSTRADOR CRIAÇÃO]]</f>
        <v>SERGIO LIMA/ARQUIVO DA EDITORA</v>
      </c>
      <c r="AB2669" s="33"/>
      <c r="AC2669" s="16"/>
      <c r="AE2669" s="35" t="str">
        <f t="shared" si="42"/>
        <v>EF1 E002 Mat</v>
      </c>
    </row>
    <row r="2670" spans="1:31" ht="45" x14ac:dyDescent="0.25">
      <c r="A2670" s="31" t="s">
        <v>5584</v>
      </c>
      <c r="B2670" s="16" t="s">
        <v>32</v>
      </c>
      <c r="C2670" s="16" t="s">
        <v>164</v>
      </c>
      <c r="D2670" s="33" t="s">
        <v>4732</v>
      </c>
      <c r="E2670" s="33">
        <v>211</v>
      </c>
      <c r="F2670" s="33">
        <v>4</v>
      </c>
      <c r="G2670" s="33">
        <v>10</v>
      </c>
      <c r="H2670" s="33"/>
      <c r="I2670" s="31" t="s">
        <v>46</v>
      </c>
      <c r="J2670" s="31"/>
      <c r="K2670" s="33"/>
      <c r="L2670" s="33"/>
      <c r="M2670" s="31"/>
      <c r="N2670" s="31"/>
      <c r="O2670" s="16" t="s">
        <v>5585</v>
      </c>
      <c r="P2670" s="16"/>
      <c r="Q2670" s="16"/>
      <c r="R2670" s="33"/>
      <c r="S2670" s="34"/>
      <c r="T2670" s="34"/>
      <c r="U2670" s="34"/>
      <c r="V2670" s="34"/>
      <c r="W2670" s="34"/>
      <c r="X2670" s="33" t="s">
        <v>48</v>
      </c>
      <c r="Y2670" s="35" t="str">
        <f>IF(Tabela2[[#This Row],[SIGLA]]="","",VLOOKUP(Tabela2[[#This Row],[SIGLA]],Tabela1[[#All],[Sigla Arte]:[Crédito]],2,0))</f>
        <v>SERGIO LIMA/ARQUIVO DA EDITORA</v>
      </c>
      <c r="Z2670" s="31"/>
      <c r="AA2670" s="31" t="str">
        <f>Tabela2[[#This Row],[ILUSTRADOR CRIAÇÃO]]</f>
        <v>SERGIO LIMA/ARQUIVO DA EDITORA</v>
      </c>
      <c r="AB2670" s="33"/>
      <c r="AC2670" s="16"/>
      <c r="AE2670" s="35" t="str">
        <f t="shared" si="42"/>
        <v>EF1 E002 Mat</v>
      </c>
    </row>
    <row r="2671" spans="1:31" ht="45" x14ac:dyDescent="0.25">
      <c r="A2671" s="31" t="s">
        <v>5586</v>
      </c>
      <c r="B2671" s="16" t="s">
        <v>32</v>
      </c>
      <c r="C2671" s="16" t="s">
        <v>164</v>
      </c>
      <c r="D2671" s="33" t="s">
        <v>4732</v>
      </c>
      <c r="E2671" s="33">
        <v>211</v>
      </c>
      <c r="F2671" s="33">
        <v>4</v>
      </c>
      <c r="G2671" s="33">
        <v>10</v>
      </c>
      <c r="H2671" s="33"/>
      <c r="I2671" s="31" t="s">
        <v>46</v>
      </c>
      <c r="J2671" s="31"/>
      <c r="K2671" s="33"/>
      <c r="L2671" s="33"/>
      <c r="M2671" s="31"/>
      <c r="N2671" s="31"/>
      <c r="O2671" s="16" t="s">
        <v>5587</v>
      </c>
      <c r="P2671" s="16"/>
      <c r="Q2671" s="16"/>
      <c r="R2671" s="33"/>
      <c r="S2671" s="34"/>
      <c r="T2671" s="34"/>
      <c r="U2671" s="34"/>
      <c r="V2671" s="34"/>
      <c r="W2671" s="34"/>
      <c r="X2671" s="33" t="s">
        <v>48</v>
      </c>
      <c r="Y2671" s="35" t="str">
        <f>IF(Tabela2[[#This Row],[SIGLA]]="","",VLOOKUP(Tabela2[[#This Row],[SIGLA]],Tabela1[[#All],[Sigla Arte]:[Crédito]],2,0))</f>
        <v>SERGIO LIMA/ARQUIVO DA EDITORA</v>
      </c>
      <c r="Z2671" s="31"/>
      <c r="AA2671" s="31" t="str">
        <f>Tabela2[[#This Row],[ILUSTRADOR CRIAÇÃO]]</f>
        <v>SERGIO LIMA/ARQUIVO DA EDITORA</v>
      </c>
      <c r="AB2671" s="33"/>
      <c r="AC2671" s="16"/>
      <c r="AE2671" s="35" t="str">
        <f t="shared" si="42"/>
        <v>EF1 E002 Mat</v>
      </c>
    </row>
    <row r="2672" spans="1:31" ht="30" x14ac:dyDescent="0.25">
      <c r="A2672" s="31" t="s">
        <v>5588</v>
      </c>
      <c r="B2672" s="16" t="s">
        <v>32</v>
      </c>
      <c r="C2672" s="16" t="s">
        <v>164</v>
      </c>
      <c r="D2672" s="33" t="s">
        <v>4732</v>
      </c>
      <c r="E2672" s="33">
        <v>211</v>
      </c>
      <c r="F2672" s="33">
        <v>4</v>
      </c>
      <c r="G2672" s="33">
        <v>10</v>
      </c>
      <c r="H2672" s="33"/>
      <c r="I2672" s="31" t="s">
        <v>46</v>
      </c>
      <c r="J2672" s="31"/>
      <c r="K2672" s="33"/>
      <c r="L2672" s="33"/>
      <c r="M2672" s="31"/>
      <c r="N2672" s="31"/>
      <c r="O2672" s="16" t="s">
        <v>5589</v>
      </c>
      <c r="P2672" s="16"/>
      <c r="Q2672" s="16"/>
      <c r="R2672" s="33"/>
      <c r="S2672" s="34"/>
      <c r="T2672" s="34"/>
      <c r="U2672" s="34"/>
      <c r="V2672" s="34"/>
      <c r="W2672" s="34"/>
      <c r="X2672" s="33" t="s">
        <v>48</v>
      </c>
      <c r="Y2672" s="35" t="str">
        <f>IF(Tabela2[[#This Row],[SIGLA]]="","",VLOOKUP(Tabela2[[#This Row],[SIGLA]],Tabela1[[#All],[Sigla Arte]:[Crédito]],2,0))</f>
        <v>SERGIO LIMA/ARQUIVO DA EDITORA</v>
      </c>
      <c r="Z2672" s="31"/>
      <c r="AA2672" s="31" t="str">
        <f>Tabela2[[#This Row],[ILUSTRADOR CRIAÇÃO]]</f>
        <v>SERGIO LIMA/ARQUIVO DA EDITORA</v>
      </c>
      <c r="AB2672" s="33"/>
      <c r="AC2672" s="16"/>
      <c r="AE2672" s="35" t="str">
        <f t="shared" si="42"/>
        <v>EF1 E002 Mat</v>
      </c>
    </row>
    <row r="2673" spans="1:31" ht="45" x14ac:dyDescent="0.25">
      <c r="A2673" s="31" t="s">
        <v>5590</v>
      </c>
      <c r="B2673" s="16" t="s">
        <v>32</v>
      </c>
      <c r="C2673" s="16" t="s">
        <v>164</v>
      </c>
      <c r="D2673" s="33" t="s">
        <v>4732</v>
      </c>
      <c r="E2673" s="33">
        <v>211</v>
      </c>
      <c r="F2673" s="33">
        <v>4</v>
      </c>
      <c r="G2673" s="33">
        <v>10</v>
      </c>
      <c r="H2673" s="33"/>
      <c r="I2673" s="31" t="s">
        <v>46</v>
      </c>
      <c r="J2673" s="31"/>
      <c r="K2673" s="33"/>
      <c r="L2673" s="33"/>
      <c r="M2673" s="31"/>
      <c r="N2673" s="31"/>
      <c r="O2673" s="16" t="s">
        <v>5591</v>
      </c>
      <c r="P2673" s="16"/>
      <c r="Q2673" s="16"/>
      <c r="R2673" s="33"/>
      <c r="S2673" s="34"/>
      <c r="T2673" s="34"/>
      <c r="U2673" s="34"/>
      <c r="V2673" s="34"/>
      <c r="W2673" s="34"/>
      <c r="X2673" s="33" t="s">
        <v>48</v>
      </c>
      <c r="Y2673" s="35" t="str">
        <f>IF(Tabela2[[#This Row],[SIGLA]]="","",VLOOKUP(Tabela2[[#This Row],[SIGLA]],Tabela1[[#All],[Sigla Arte]:[Crédito]],2,0))</f>
        <v>SERGIO LIMA/ARQUIVO DA EDITORA</v>
      </c>
      <c r="Z2673" s="31"/>
      <c r="AA2673" s="31" t="str">
        <f>Tabela2[[#This Row],[ILUSTRADOR CRIAÇÃO]]</f>
        <v>SERGIO LIMA/ARQUIVO DA EDITORA</v>
      </c>
      <c r="AB2673" s="33"/>
      <c r="AC2673" s="16"/>
      <c r="AE2673" s="35" t="str">
        <f t="shared" si="42"/>
        <v>EF1 E002 Mat</v>
      </c>
    </row>
    <row r="2674" spans="1:31" ht="105" x14ac:dyDescent="0.25">
      <c r="A2674" s="31" t="s">
        <v>5592</v>
      </c>
      <c r="B2674" s="16" t="s">
        <v>32</v>
      </c>
      <c r="C2674" s="16" t="s">
        <v>164</v>
      </c>
      <c r="D2674" s="33" t="s">
        <v>4732</v>
      </c>
      <c r="E2674" s="33">
        <v>211</v>
      </c>
      <c r="F2674" s="33">
        <v>4</v>
      </c>
      <c r="G2674" s="33">
        <v>10</v>
      </c>
      <c r="H2674" s="33"/>
      <c r="I2674" s="31" t="s">
        <v>35</v>
      </c>
      <c r="J2674" s="31"/>
      <c r="K2674" s="33"/>
      <c r="L2674" s="33"/>
      <c r="M2674" s="31"/>
      <c r="N2674" s="31"/>
      <c r="O2674" s="16" t="s">
        <v>5593</v>
      </c>
      <c r="P2674" s="16"/>
      <c r="Q2674" s="16"/>
      <c r="R2674" s="33">
        <v>157</v>
      </c>
      <c r="S2674" s="34">
        <v>45911</v>
      </c>
      <c r="T2674" s="34">
        <v>45911</v>
      </c>
      <c r="U2674" s="34"/>
      <c r="V2674" s="34"/>
      <c r="W2674" s="34">
        <v>45912</v>
      </c>
      <c r="X2674" s="33" t="s">
        <v>1126</v>
      </c>
      <c r="Y2674" s="35" t="str">
        <f>IF(Tabela2[[#This Row],[SIGLA]]="","",VLOOKUP(Tabela2[[#This Row],[SIGLA]],Tabela1[[#All],[Sigla Arte]:[Crédito]],2,0))</f>
        <v>GUSTAVO CONTI/ARQUIVO DA EDITORA</v>
      </c>
      <c r="Z2674" s="31" t="s">
        <v>572</v>
      </c>
      <c r="AA2674" s="31" t="str">
        <f>Tabela2[[#This Row],[ILUSTRADOR CRIAÇÃO]]</f>
        <v>GUSTAVO CONTI/ARQUIVO DA EDITORA</v>
      </c>
      <c r="AB2674" s="33">
        <v>13</v>
      </c>
      <c r="AC2674" s="16" t="s">
        <v>44</v>
      </c>
      <c r="AD2674" s="16" t="s">
        <v>40</v>
      </c>
      <c r="AE2674" s="35" t="str">
        <f t="shared" ref="AE2674:AE2737" si="43">"EF1 E002 Mat"</f>
        <v>EF1 E002 Mat</v>
      </c>
    </row>
    <row r="2675" spans="1:31" ht="30" x14ac:dyDescent="0.25">
      <c r="A2675" s="31" t="s">
        <v>5594</v>
      </c>
      <c r="B2675" s="16" t="s">
        <v>32</v>
      </c>
      <c r="C2675" s="16" t="s">
        <v>164</v>
      </c>
      <c r="D2675" s="33" t="s">
        <v>4732</v>
      </c>
      <c r="E2675" s="33">
        <v>215</v>
      </c>
      <c r="F2675" s="33">
        <v>4</v>
      </c>
      <c r="G2675" s="33">
        <v>10</v>
      </c>
      <c r="H2675" s="33"/>
      <c r="I2675" s="31" t="s">
        <v>995</v>
      </c>
      <c r="J2675" s="31"/>
      <c r="K2675" s="33"/>
      <c r="L2675" s="33"/>
      <c r="M2675" s="31"/>
      <c r="N2675" s="31"/>
      <c r="O2675" s="16" t="s">
        <v>5595</v>
      </c>
      <c r="P2675" s="16"/>
      <c r="Q2675" s="16"/>
      <c r="R2675" s="33">
        <v>157</v>
      </c>
      <c r="S2675" s="34">
        <v>45911</v>
      </c>
      <c r="T2675" s="34">
        <v>45911</v>
      </c>
      <c r="U2675" s="34"/>
      <c r="V2675" s="34"/>
      <c r="W2675" s="34">
        <v>45912</v>
      </c>
      <c r="X2675" s="33" t="s">
        <v>5130</v>
      </c>
      <c r="Y2675" s="35" t="str">
        <f>IF(Tabela2[[#This Row],[SIGLA]]="","",VLOOKUP(Tabela2[[#This Row],[SIGLA]],Tabela1[[#All],[Sigla Arte]:[Crédito]],2,0))</f>
        <v>GABRIELLA IMAI/ARQUIVO DA EDITORA</v>
      </c>
      <c r="Z2675" s="31"/>
      <c r="AA2675" s="31" t="str">
        <f>Tabela2[[#This Row],[ILUSTRADOR CRIAÇÃO]]</f>
        <v>GABRIELLA IMAI/ARQUIVO DA EDITORA</v>
      </c>
      <c r="AB2675" s="33">
        <v>12</v>
      </c>
      <c r="AC2675" s="16" t="s">
        <v>2102</v>
      </c>
      <c r="AD2675" s="16" t="s">
        <v>40</v>
      </c>
      <c r="AE2675" s="35" t="str">
        <f t="shared" si="43"/>
        <v>EF1 E002 Mat</v>
      </c>
    </row>
    <row r="2676" spans="1:31" ht="45" x14ac:dyDescent="0.25">
      <c r="A2676" s="31" t="s">
        <v>5596</v>
      </c>
      <c r="B2676" s="16" t="s">
        <v>32</v>
      </c>
      <c r="C2676" s="16" t="s">
        <v>164</v>
      </c>
      <c r="D2676" s="33" t="s">
        <v>4732</v>
      </c>
      <c r="E2676" s="33">
        <v>215</v>
      </c>
      <c r="F2676" s="33">
        <v>4</v>
      </c>
      <c r="G2676" s="33">
        <v>10</v>
      </c>
      <c r="H2676" s="33"/>
      <c r="I2676" s="31" t="s">
        <v>995</v>
      </c>
      <c r="J2676" s="31"/>
      <c r="K2676" s="33"/>
      <c r="L2676" s="33"/>
      <c r="M2676" s="31"/>
      <c r="N2676" s="31"/>
      <c r="O2676" s="16" t="s">
        <v>5597</v>
      </c>
      <c r="P2676" s="16"/>
      <c r="Q2676" s="16"/>
      <c r="R2676" s="33">
        <v>157</v>
      </c>
      <c r="S2676" s="34">
        <v>45911</v>
      </c>
      <c r="T2676" s="34">
        <v>45911</v>
      </c>
      <c r="U2676" s="34"/>
      <c r="V2676" s="34"/>
      <c r="W2676" s="34">
        <v>45912</v>
      </c>
      <c r="X2676" s="33" t="s">
        <v>5130</v>
      </c>
      <c r="Y2676" s="35" t="str">
        <f>IF(Tabela2[[#This Row],[SIGLA]]="","",VLOOKUP(Tabela2[[#This Row],[SIGLA]],Tabela1[[#All],[Sigla Arte]:[Crédito]],2,0))</f>
        <v>GABRIELLA IMAI/ARQUIVO DA EDITORA</v>
      </c>
      <c r="Z2676" s="31"/>
      <c r="AA2676" s="31" t="str">
        <f>Tabela2[[#This Row],[ILUSTRADOR CRIAÇÃO]]</f>
        <v>GABRIELLA IMAI/ARQUIVO DA EDITORA</v>
      </c>
      <c r="AB2676" s="33">
        <v>12</v>
      </c>
      <c r="AC2676" s="16" t="s">
        <v>2102</v>
      </c>
      <c r="AD2676" s="16" t="s">
        <v>40</v>
      </c>
      <c r="AE2676" s="35" t="str">
        <f t="shared" si="43"/>
        <v>EF1 E002 Mat</v>
      </c>
    </row>
    <row r="2677" spans="1:31" ht="45" x14ac:dyDescent="0.25">
      <c r="A2677" s="31" t="s">
        <v>5598</v>
      </c>
      <c r="B2677" s="16" t="s">
        <v>32</v>
      </c>
      <c r="C2677" s="16" t="s">
        <v>164</v>
      </c>
      <c r="D2677" s="33" t="s">
        <v>34</v>
      </c>
      <c r="E2677" s="33">
        <v>281</v>
      </c>
      <c r="F2677" s="33">
        <v>2</v>
      </c>
      <c r="G2677" s="33" t="s">
        <v>4419</v>
      </c>
      <c r="H2677" s="33"/>
      <c r="I2677" s="31" t="s">
        <v>46</v>
      </c>
      <c r="J2677" s="31"/>
      <c r="K2677" s="33"/>
      <c r="L2677" s="33"/>
      <c r="M2677" s="31"/>
      <c r="N2677" s="31"/>
      <c r="O2677" s="16" t="s">
        <v>5599</v>
      </c>
      <c r="P2677" s="16"/>
      <c r="Q2677" s="16"/>
      <c r="R2677" s="33"/>
      <c r="S2677" s="34"/>
      <c r="T2677" s="34"/>
      <c r="U2677" s="34"/>
      <c r="V2677" s="34"/>
      <c r="W2677" s="34"/>
      <c r="X2677" s="33" t="s">
        <v>184</v>
      </c>
      <c r="Y2677" s="35" t="str">
        <f>IF(Tabela2[[#This Row],[SIGLA]]="","",VLOOKUP(Tabela2[[#This Row],[SIGLA]],Tabela1[[#All],[Sigla Arte]:[Crédito]],2,0))</f>
        <v>VER DOCUMENTO DE ILS. TÉCNICAS</v>
      </c>
      <c r="Z2677" s="31"/>
      <c r="AA2677" s="31" t="s">
        <v>185</v>
      </c>
      <c r="AB2677" s="33"/>
      <c r="AC2677" s="16"/>
      <c r="AE2677" s="35" t="str">
        <f t="shared" si="43"/>
        <v>EF1 E002 Mat</v>
      </c>
    </row>
    <row r="2678" spans="1:31" ht="60" x14ac:dyDescent="0.25">
      <c r="A2678" s="31" t="s">
        <v>5600</v>
      </c>
      <c r="B2678" s="16" t="s">
        <v>32</v>
      </c>
      <c r="C2678" s="16" t="s">
        <v>164</v>
      </c>
      <c r="D2678" s="33" t="s">
        <v>34</v>
      </c>
      <c r="E2678" s="33">
        <v>261</v>
      </c>
      <c r="F2678" s="33">
        <v>3</v>
      </c>
      <c r="G2678" s="33" t="s">
        <v>5327</v>
      </c>
      <c r="H2678" s="33"/>
      <c r="I2678" s="31" t="s">
        <v>46</v>
      </c>
      <c r="J2678" s="31"/>
      <c r="K2678" s="33"/>
      <c r="L2678" s="33"/>
      <c r="M2678" s="31"/>
      <c r="N2678" s="31"/>
      <c r="O2678" s="16" t="s">
        <v>5601</v>
      </c>
      <c r="P2678" s="16"/>
      <c r="Q2678" s="16"/>
      <c r="R2678" s="33"/>
      <c r="S2678" s="34"/>
      <c r="T2678" s="34"/>
      <c r="U2678" s="34"/>
      <c r="V2678" s="34"/>
      <c r="W2678" s="34"/>
      <c r="X2678" s="33" t="s">
        <v>184</v>
      </c>
      <c r="Y2678" s="35" t="str">
        <f>IF(Tabela2[[#This Row],[SIGLA]]="","",VLOOKUP(Tabela2[[#This Row],[SIGLA]],Tabela1[[#All],[Sigla Arte]:[Crédito]],2,0))</f>
        <v>VER DOCUMENTO DE ILS. TÉCNICAS</v>
      </c>
      <c r="Z2678" s="31"/>
      <c r="AA2678" s="31" t="s">
        <v>185</v>
      </c>
      <c r="AB2678" s="33"/>
      <c r="AC2678" s="16"/>
      <c r="AE2678" s="35" t="str">
        <f t="shared" si="43"/>
        <v>EF1 E002 Mat</v>
      </c>
    </row>
    <row r="2679" spans="1:31" ht="60" x14ac:dyDescent="0.25">
      <c r="A2679" s="31" t="s">
        <v>5602</v>
      </c>
      <c r="B2679" s="16" t="s">
        <v>32</v>
      </c>
      <c r="C2679" s="16" t="s">
        <v>164</v>
      </c>
      <c r="D2679" s="33" t="s">
        <v>34</v>
      </c>
      <c r="E2679" s="33">
        <v>263</v>
      </c>
      <c r="F2679" s="33">
        <v>3</v>
      </c>
      <c r="G2679" s="33" t="s">
        <v>5327</v>
      </c>
      <c r="H2679" s="33"/>
      <c r="I2679" s="31" t="s">
        <v>995</v>
      </c>
      <c r="J2679" s="31"/>
      <c r="K2679" s="33"/>
      <c r="L2679" s="33"/>
      <c r="M2679" s="31"/>
      <c r="N2679" s="31"/>
      <c r="O2679" s="16" t="s">
        <v>5603</v>
      </c>
      <c r="P2679" s="16"/>
      <c r="Q2679" s="16"/>
      <c r="R2679" s="33">
        <v>159</v>
      </c>
      <c r="S2679" s="34">
        <v>45916</v>
      </c>
      <c r="T2679" s="34">
        <v>45916</v>
      </c>
      <c r="U2679" s="34"/>
      <c r="V2679" s="34"/>
      <c r="W2679" s="34">
        <v>45916</v>
      </c>
      <c r="X2679" s="33" t="s">
        <v>184</v>
      </c>
      <c r="Y2679" s="35" t="str">
        <f>IF(Tabela2[[#This Row],[SIGLA]]="","",VLOOKUP(Tabela2[[#This Row],[SIGLA]],Tabela1[[#All],[Sigla Arte]:[Crédito]],2,0))</f>
        <v>VER DOCUMENTO DE ILS. TÉCNICAS</v>
      </c>
      <c r="Z2679" s="31" t="s">
        <v>572</v>
      </c>
      <c r="AA2679" s="31" t="s">
        <v>185</v>
      </c>
      <c r="AB2679" s="33">
        <v>12</v>
      </c>
      <c r="AC2679" s="16" t="s">
        <v>1450</v>
      </c>
      <c r="AD2679" s="16" t="s">
        <v>40</v>
      </c>
      <c r="AE2679" s="35" t="str">
        <f t="shared" si="43"/>
        <v>EF1 E002 Mat</v>
      </c>
    </row>
    <row r="2680" spans="1:31" ht="45" x14ac:dyDescent="0.25">
      <c r="A2680" s="31" t="s">
        <v>5604</v>
      </c>
      <c r="B2680" s="16" t="s">
        <v>32</v>
      </c>
      <c r="C2680" s="16" t="s">
        <v>164</v>
      </c>
      <c r="D2680" s="33" t="s">
        <v>34</v>
      </c>
      <c r="E2680" s="33">
        <v>263</v>
      </c>
      <c r="F2680" s="33">
        <v>3</v>
      </c>
      <c r="G2680" s="33" t="s">
        <v>5327</v>
      </c>
      <c r="H2680" s="33"/>
      <c r="I2680" s="31" t="s">
        <v>995</v>
      </c>
      <c r="J2680" s="31"/>
      <c r="K2680" s="33"/>
      <c r="L2680" s="33"/>
      <c r="M2680" s="31"/>
      <c r="N2680" s="31"/>
      <c r="O2680" s="16" t="s">
        <v>5605</v>
      </c>
      <c r="P2680" s="16"/>
      <c r="Q2680" s="16"/>
      <c r="R2680" s="33">
        <v>159</v>
      </c>
      <c r="S2680" s="34">
        <v>45916</v>
      </c>
      <c r="T2680" s="34">
        <v>45916</v>
      </c>
      <c r="U2680" s="34"/>
      <c r="V2680" s="34"/>
      <c r="W2680" s="34">
        <v>45916</v>
      </c>
      <c r="X2680" s="33" t="s">
        <v>184</v>
      </c>
      <c r="Y2680" s="35" t="str">
        <f>IF(Tabela2[[#This Row],[SIGLA]]="","",VLOOKUP(Tabela2[[#This Row],[SIGLA]],Tabela1[[#All],[Sigla Arte]:[Crédito]],2,0))</f>
        <v>VER DOCUMENTO DE ILS. TÉCNICAS</v>
      </c>
      <c r="Z2680" s="31" t="s">
        <v>572</v>
      </c>
      <c r="AA2680" s="61" t="s">
        <v>185</v>
      </c>
      <c r="AB2680" s="33">
        <v>12</v>
      </c>
      <c r="AC2680" s="16" t="s">
        <v>1450</v>
      </c>
      <c r="AD2680" s="16" t="s">
        <v>40</v>
      </c>
      <c r="AE2680" s="35" t="str">
        <f t="shared" si="43"/>
        <v>EF1 E002 Mat</v>
      </c>
    </row>
    <row r="2681" spans="1:31" ht="45" x14ac:dyDescent="0.25">
      <c r="A2681" s="31" t="s">
        <v>5606</v>
      </c>
      <c r="B2681" s="16" t="s">
        <v>32</v>
      </c>
      <c r="C2681" s="16" t="s">
        <v>164</v>
      </c>
      <c r="D2681" s="33" t="s">
        <v>34</v>
      </c>
      <c r="E2681" s="33">
        <v>265</v>
      </c>
      <c r="F2681" s="33">
        <v>3</v>
      </c>
      <c r="G2681" s="33" t="s">
        <v>5327</v>
      </c>
      <c r="H2681" s="33"/>
      <c r="I2681" s="31" t="s">
        <v>46</v>
      </c>
      <c r="J2681" s="31"/>
      <c r="K2681" s="33"/>
      <c r="L2681" s="33"/>
      <c r="M2681" s="31"/>
      <c r="N2681" s="31"/>
      <c r="O2681" s="16" t="s">
        <v>5607</v>
      </c>
      <c r="P2681" s="16"/>
      <c r="Q2681" s="16"/>
      <c r="R2681" s="33"/>
      <c r="S2681" s="34"/>
      <c r="T2681" s="34"/>
      <c r="U2681" s="34"/>
      <c r="V2681" s="34"/>
      <c r="W2681" s="34"/>
      <c r="X2681" s="33" t="s">
        <v>85</v>
      </c>
      <c r="Y2681" s="35" t="str">
        <f>IF(Tabela2[[#This Row],[SIGLA]]="","",VLOOKUP(Tabela2[[#This Row],[SIGLA]],Tabela1[[#All],[Sigla Arte]:[Crédito]],2,0))</f>
        <v>HELOÍSA PINTARELLI/ARQUIVO DA EDITORA</v>
      </c>
      <c r="Z2681" s="31"/>
      <c r="AA2681" s="31" t="str">
        <f>Tabela2[[#This Row],[ILUSTRADOR CRIAÇÃO]]</f>
        <v>HELOÍSA PINTARELLI/ARQUIVO DA EDITORA</v>
      </c>
      <c r="AB2681" s="33"/>
      <c r="AC2681" s="16"/>
      <c r="AE2681" s="35" t="str">
        <f t="shared" si="43"/>
        <v>EF1 E002 Mat</v>
      </c>
    </row>
    <row r="2682" spans="1:31" ht="60" x14ac:dyDescent="0.25">
      <c r="A2682" s="31" t="s">
        <v>5608</v>
      </c>
      <c r="B2682" s="16" t="s">
        <v>32</v>
      </c>
      <c r="C2682" s="16" t="s">
        <v>164</v>
      </c>
      <c r="D2682" s="33" t="s">
        <v>34</v>
      </c>
      <c r="E2682" s="33">
        <v>267</v>
      </c>
      <c r="F2682" s="33">
        <v>3</v>
      </c>
      <c r="G2682" s="33" t="s">
        <v>5327</v>
      </c>
      <c r="H2682" s="33"/>
      <c r="I2682" s="31" t="s">
        <v>46</v>
      </c>
      <c r="J2682" s="31"/>
      <c r="K2682" s="33"/>
      <c r="L2682" s="33"/>
      <c r="M2682" s="31"/>
      <c r="N2682" s="31"/>
      <c r="O2682" s="16" t="s">
        <v>5609</v>
      </c>
      <c r="P2682" s="16"/>
      <c r="Q2682" s="16"/>
      <c r="R2682" s="33"/>
      <c r="S2682" s="34"/>
      <c r="T2682" s="34"/>
      <c r="U2682" s="34"/>
      <c r="V2682" s="34"/>
      <c r="W2682" s="34"/>
      <c r="X2682" s="33" t="s">
        <v>85</v>
      </c>
      <c r="Y2682" s="35" t="str">
        <f>IF(Tabela2[[#This Row],[SIGLA]]="","",VLOOKUP(Tabela2[[#This Row],[SIGLA]],Tabela1[[#All],[Sigla Arte]:[Crédito]],2,0))</f>
        <v>HELOÍSA PINTARELLI/ARQUIVO DA EDITORA</v>
      </c>
      <c r="Z2682" s="31"/>
      <c r="AA2682" s="31" t="str">
        <f>Tabela2[[#This Row],[ILUSTRADOR CRIAÇÃO]]</f>
        <v>HELOÍSA PINTARELLI/ARQUIVO DA EDITORA</v>
      </c>
      <c r="AB2682" s="33"/>
      <c r="AC2682" s="16"/>
      <c r="AE2682" s="35" t="str">
        <f t="shared" si="43"/>
        <v>EF1 E002 Mat</v>
      </c>
    </row>
    <row r="2683" spans="1:31" ht="75" x14ac:dyDescent="0.25">
      <c r="A2683" s="31" t="s">
        <v>5610</v>
      </c>
      <c r="B2683" s="16" t="s">
        <v>32</v>
      </c>
      <c r="C2683" s="16" t="s">
        <v>164</v>
      </c>
      <c r="D2683" s="33" t="s">
        <v>34</v>
      </c>
      <c r="E2683" s="33">
        <v>277</v>
      </c>
      <c r="F2683" s="33">
        <v>3</v>
      </c>
      <c r="G2683" s="33" t="s">
        <v>5327</v>
      </c>
      <c r="H2683" s="33"/>
      <c r="I2683" s="31" t="s">
        <v>35</v>
      </c>
      <c r="J2683" s="31"/>
      <c r="K2683" s="33"/>
      <c r="L2683" s="33"/>
      <c r="M2683" s="31"/>
      <c r="N2683" s="31"/>
      <c r="O2683" s="16" t="s">
        <v>5611</v>
      </c>
      <c r="P2683" s="16"/>
      <c r="Q2683" s="16"/>
      <c r="R2683" s="33">
        <v>159</v>
      </c>
      <c r="S2683" s="34">
        <v>45916</v>
      </c>
      <c r="T2683" s="34">
        <v>45916</v>
      </c>
      <c r="U2683" s="34"/>
      <c r="V2683" s="34"/>
      <c r="W2683" s="34">
        <v>45916</v>
      </c>
      <c r="X2683" s="33" t="s">
        <v>184</v>
      </c>
      <c r="Y2683" s="35" t="str">
        <f>IF(Tabela2[[#This Row],[SIGLA]]="","",VLOOKUP(Tabela2[[#This Row],[SIGLA]],Tabela1[[#All],[Sigla Arte]:[Crédito]],2,0))</f>
        <v>VER DOCUMENTO DE ILS. TÉCNICAS</v>
      </c>
      <c r="Z2683" s="31" t="s">
        <v>572</v>
      </c>
      <c r="AA2683" s="31" t="s">
        <v>5309</v>
      </c>
      <c r="AB2683" s="33">
        <v>12</v>
      </c>
      <c r="AC2683" s="16" t="s">
        <v>1450</v>
      </c>
      <c r="AD2683" s="16" t="s">
        <v>40</v>
      </c>
      <c r="AE2683" s="35" t="str">
        <f t="shared" si="43"/>
        <v>EF1 E002 Mat</v>
      </c>
    </row>
    <row r="2684" spans="1:31" ht="105" x14ac:dyDescent="0.25">
      <c r="A2684" s="31" t="s">
        <v>5612</v>
      </c>
      <c r="B2684" s="16" t="s">
        <v>32</v>
      </c>
      <c r="C2684" s="16" t="s">
        <v>164</v>
      </c>
      <c r="D2684" s="33" t="s">
        <v>34</v>
      </c>
      <c r="E2684" s="33">
        <v>279</v>
      </c>
      <c r="F2684" s="33">
        <v>3</v>
      </c>
      <c r="G2684" s="33" t="s">
        <v>5327</v>
      </c>
      <c r="H2684" s="33"/>
      <c r="I2684" s="31" t="s">
        <v>46</v>
      </c>
      <c r="J2684" s="31"/>
      <c r="K2684" s="33"/>
      <c r="L2684" s="33"/>
      <c r="M2684" s="31"/>
      <c r="N2684" s="31"/>
      <c r="O2684" s="16" t="s">
        <v>5613</v>
      </c>
      <c r="P2684" s="16"/>
      <c r="Q2684" s="16"/>
      <c r="R2684" s="33"/>
      <c r="S2684" s="34"/>
      <c r="T2684" s="34"/>
      <c r="U2684" s="34"/>
      <c r="V2684" s="34"/>
      <c r="W2684" s="34"/>
      <c r="X2684" s="33" t="s">
        <v>85</v>
      </c>
      <c r="Y2684" s="35" t="str">
        <f>IF(Tabela2[[#This Row],[SIGLA]]="","",VLOOKUP(Tabela2[[#This Row],[SIGLA]],Tabela1[[#All],[Sigla Arte]:[Crédito]],2,0))</f>
        <v>HELOÍSA PINTARELLI/ARQUIVO DA EDITORA</v>
      </c>
      <c r="Z2684" s="31"/>
      <c r="AA2684" s="31" t="str">
        <f>Tabela2[[#This Row],[ILUSTRADOR CRIAÇÃO]]</f>
        <v>HELOÍSA PINTARELLI/ARQUIVO DA EDITORA</v>
      </c>
      <c r="AB2684" s="33"/>
      <c r="AC2684" s="16"/>
      <c r="AE2684" s="35" t="str">
        <f t="shared" si="43"/>
        <v>EF1 E002 Mat</v>
      </c>
    </row>
    <row r="2685" spans="1:31" ht="45" x14ac:dyDescent="0.25">
      <c r="A2685" s="31" t="s">
        <v>5614</v>
      </c>
      <c r="B2685" s="16" t="s">
        <v>32</v>
      </c>
      <c r="C2685" s="16" t="s">
        <v>164</v>
      </c>
      <c r="D2685" s="33" t="s">
        <v>34</v>
      </c>
      <c r="E2685" s="33">
        <v>279</v>
      </c>
      <c r="F2685" s="33">
        <v>3</v>
      </c>
      <c r="G2685" s="33" t="s">
        <v>5327</v>
      </c>
      <c r="H2685" s="33"/>
      <c r="I2685" s="31" t="s">
        <v>46</v>
      </c>
      <c r="J2685" s="31"/>
      <c r="K2685" s="33"/>
      <c r="L2685" s="33"/>
      <c r="M2685" s="31"/>
      <c r="N2685" s="31"/>
      <c r="O2685" s="16" t="s">
        <v>5615</v>
      </c>
      <c r="P2685" s="16"/>
      <c r="Q2685" s="16"/>
      <c r="R2685" s="33"/>
      <c r="S2685" s="34"/>
      <c r="T2685" s="34"/>
      <c r="U2685" s="34"/>
      <c r="V2685" s="34"/>
      <c r="W2685" s="34"/>
      <c r="X2685" s="33" t="s">
        <v>1971</v>
      </c>
      <c r="Y2685" s="35" t="str">
        <f>IF(Tabela2[[#This Row],[SIGLA]]="","",VLOOKUP(Tabela2[[#This Row],[SIGLA]],Tabela1[[#All],[Sigla Arte]:[Crédito]],2,0))</f>
        <v>PETRA MENDES/ARQUIVO DA EDITORA</v>
      </c>
      <c r="Z2685" s="31"/>
      <c r="AA2685" s="31" t="str">
        <f>Tabela2[[#This Row],[ILUSTRADOR CRIAÇÃO]]</f>
        <v>PETRA MENDES/ARQUIVO DA EDITORA</v>
      </c>
      <c r="AB2685" s="33"/>
      <c r="AC2685" s="16"/>
      <c r="AE2685" s="35" t="str">
        <f t="shared" si="43"/>
        <v>EF1 E002 Mat</v>
      </c>
    </row>
    <row r="2686" spans="1:31" ht="45" x14ac:dyDescent="0.25">
      <c r="A2686" s="31" t="s">
        <v>5616</v>
      </c>
      <c r="B2686" s="16" t="s">
        <v>32</v>
      </c>
      <c r="C2686" s="16" t="s">
        <v>33</v>
      </c>
      <c r="D2686" s="33" t="s">
        <v>34</v>
      </c>
      <c r="E2686" s="33">
        <v>281</v>
      </c>
      <c r="F2686" s="33">
        <v>3</v>
      </c>
      <c r="G2686" s="33" t="s">
        <v>5327</v>
      </c>
      <c r="H2686" s="33"/>
      <c r="I2686" s="31" t="s">
        <v>35</v>
      </c>
      <c r="J2686" s="31"/>
      <c r="K2686" s="33"/>
      <c r="L2686" s="33"/>
      <c r="M2686" s="31"/>
      <c r="N2686" s="31"/>
      <c r="O2686" s="16" t="s">
        <v>5617</v>
      </c>
      <c r="P2686" s="16"/>
      <c r="Q2686" s="16"/>
      <c r="R2686" s="33">
        <v>168</v>
      </c>
      <c r="S2686" s="34">
        <v>45917</v>
      </c>
      <c r="T2686" s="34">
        <v>45917</v>
      </c>
      <c r="U2686" s="34"/>
      <c r="V2686" s="34"/>
      <c r="W2686" s="34">
        <v>45917</v>
      </c>
      <c r="X2686" s="33" t="s">
        <v>247</v>
      </c>
      <c r="Y2686" s="35" t="str">
        <f>IF(Tabela2[[#This Row],[SIGLA]]="","",VLOOKUP(Tabela2[[#This Row],[SIGLA]],Tabela1[[#All],[Sigla Arte]:[Crédito]],2,0))</f>
        <v>THAIS CASTRO/ARQUIVO DA EDITORA</v>
      </c>
      <c r="Z2686" s="31" t="s">
        <v>383</v>
      </c>
      <c r="AA2686" s="31" t="str">
        <f>Tabela2[[#This Row],[ILUSTRADOR CRIAÇÃO]]</f>
        <v>THAIS CASTRO/ARQUIVO DA EDITORA</v>
      </c>
      <c r="AB2686" s="33">
        <v>13</v>
      </c>
      <c r="AC2686" s="16" t="s">
        <v>44</v>
      </c>
      <c r="AE2686" s="35" t="str">
        <f t="shared" si="43"/>
        <v>EF1 E002 Mat</v>
      </c>
    </row>
    <row r="2687" spans="1:31" ht="45" x14ac:dyDescent="0.25">
      <c r="A2687" s="31" t="s">
        <v>5618</v>
      </c>
      <c r="B2687" s="16" t="s">
        <v>32</v>
      </c>
      <c r="C2687" s="16" t="s">
        <v>33</v>
      </c>
      <c r="D2687" s="33" t="s">
        <v>34</v>
      </c>
      <c r="E2687" s="33">
        <v>281</v>
      </c>
      <c r="F2687" s="33">
        <v>3</v>
      </c>
      <c r="G2687" s="33" t="s">
        <v>5327</v>
      </c>
      <c r="H2687" s="33"/>
      <c r="I2687" s="31" t="s">
        <v>35</v>
      </c>
      <c r="J2687" s="31"/>
      <c r="K2687" s="33"/>
      <c r="L2687" s="33"/>
      <c r="M2687" s="31"/>
      <c r="N2687" s="31"/>
      <c r="O2687" s="16" t="s">
        <v>5619</v>
      </c>
      <c r="P2687" s="16"/>
      <c r="Q2687" s="16"/>
      <c r="R2687" s="33">
        <v>168</v>
      </c>
      <c r="S2687" s="34">
        <v>45917</v>
      </c>
      <c r="T2687" s="34">
        <v>45917</v>
      </c>
      <c r="U2687" s="34"/>
      <c r="V2687" s="34"/>
      <c r="W2687" s="34">
        <v>45917</v>
      </c>
      <c r="X2687" s="33" t="s">
        <v>247</v>
      </c>
      <c r="Y2687" s="35" t="str">
        <f>IF(Tabela2[[#This Row],[SIGLA]]="","",VLOOKUP(Tabela2[[#This Row],[SIGLA]],Tabela1[[#All],[Sigla Arte]:[Crédito]],2,0))</f>
        <v>THAIS CASTRO/ARQUIVO DA EDITORA</v>
      </c>
      <c r="Z2687" s="31" t="s">
        <v>383</v>
      </c>
      <c r="AA2687" s="31" t="str">
        <f>Tabela2[[#This Row],[ILUSTRADOR CRIAÇÃO]]</f>
        <v>THAIS CASTRO/ARQUIVO DA EDITORA</v>
      </c>
      <c r="AB2687" s="33">
        <v>13</v>
      </c>
      <c r="AC2687" s="16" t="s">
        <v>44</v>
      </c>
      <c r="AE2687" s="35" t="str">
        <f t="shared" si="43"/>
        <v>EF1 E002 Mat</v>
      </c>
    </row>
    <row r="2688" spans="1:31" ht="45" x14ac:dyDescent="0.25">
      <c r="A2688" s="31" t="s">
        <v>5620</v>
      </c>
      <c r="B2688" s="16" t="s">
        <v>32</v>
      </c>
      <c r="C2688" s="16" t="s">
        <v>164</v>
      </c>
      <c r="D2688" s="33" t="s">
        <v>34</v>
      </c>
      <c r="E2688" s="33">
        <v>16</v>
      </c>
      <c r="F2688" s="33">
        <v>3</v>
      </c>
      <c r="G2688" s="33">
        <v>1</v>
      </c>
      <c r="H2688" s="33"/>
      <c r="I2688" s="31" t="s">
        <v>46</v>
      </c>
      <c r="J2688" s="31"/>
      <c r="K2688" s="33"/>
      <c r="L2688" s="33"/>
      <c r="M2688" s="31"/>
      <c r="N2688" s="31"/>
      <c r="O2688" s="16" t="s">
        <v>5621</v>
      </c>
      <c r="P2688" s="16"/>
      <c r="Q2688" s="16"/>
      <c r="R2688" s="33"/>
      <c r="S2688" s="34"/>
      <c r="T2688" s="34"/>
      <c r="U2688" s="34"/>
      <c r="V2688" s="34"/>
      <c r="W2688" s="34"/>
      <c r="X2688" s="33" t="s">
        <v>184</v>
      </c>
      <c r="Y2688" s="35" t="str">
        <f>IF(Tabela2[[#This Row],[SIGLA]]="","",VLOOKUP(Tabela2[[#This Row],[SIGLA]],Tabela1[[#All],[Sigla Arte]:[Crédito]],2,0))</f>
        <v>VER DOCUMENTO DE ILS. TÉCNICAS</v>
      </c>
      <c r="Z2688" s="31"/>
      <c r="AA2688" s="31" t="s">
        <v>935</v>
      </c>
      <c r="AB2688" s="33"/>
      <c r="AC2688" s="16"/>
      <c r="AE2688" s="35" t="str">
        <f t="shared" si="43"/>
        <v>EF1 E002 Mat</v>
      </c>
    </row>
    <row r="2689" spans="1:31" ht="60" x14ac:dyDescent="0.25">
      <c r="A2689" s="31" t="s">
        <v>5622</v>
      </c>
      <c r="B2689" s="16" t="s">
        <v>397</v>
      </c>
      <c r="C2689" s="16" t="s">
        <v>33</v>
      </c>
      <c r="D2689" s="33" t="s">
        <v>34</v>
      </c>
      <c r="E2689" s="33">
        <v>287</v>
      </c>
      <c r="F2689" s="33">
        <v>1</v>
      </c>
      <c r="G2689" s="33" t="s">
        <v>4419</v>
      </c>
      <c r="H2689" s="33"/>
      <c r="I2689" s="31" t="s">
        <v>35</v>
      </c>
      <c r="J2689" s="31"/>
      <c r="K2689" s="33"/>
      <c r="L2689" s="33"/>
      <c r="M2689" s="31"/>
      <c r="N2689" s="31"/>
      <c r="O2689" s="16" t="s">
        <v>5623</v>
      </c>
      <c r="P2689" s="16" t="s">
        <v>5624</v>
      </c>
      <c r="Q2689" s="16"/>
      <c r="R2689" s="33">
        <v>167</v>
      </c>
      <c r="S2689" s="34">
        <v>45917</v>
      </c>
      <c r="T2689" s="34">
        <v>45917</v>
      </c>
      <c r="U2689" s="34"/>
      <c r="V2689" s="34"/>
      <c r="W2689" s="34">
        <v>45917</v>
      </c>
      <c r="X2689" s="33" t="s">
        <v>48</v>
      </c>
      <c r="Y2689" s="35" t="str">
        <f>IF(Tabela2[[#This Row],[SIGLA]]="","",VLOOKUP(Tabela2[[#This Row],[SIGLA]],Tabela1[[#All],[Sigla Arte]:[Crédito]],2,0))</f>
        <v>SERGIO LIMA/ARQUIVO DA EDITORA</v>
      </c>
      <c r="Z2689" s="31" t="s">
        <v>383</v>
      </c>
      <c r="AA2689" s="31" t="str">
        <f>Tabela2[[#This Row],[ILUSTRADOR CRIAÇÃO]]</f>
        <v>SERGIO LIMA/ARQUIVO DA EDITORA</v>
      </c>
      <c r="AB2689" s="33">
        <v>13</v>
      </c>
      <c r="AC2689" s="16" t="s">
        <v>405</v>
      </c>
      <c r="AD2689" s="16" t="s">
        <v>40</v>
      </c>
      <c r="AE2689" s="35" t="str">
        <f t="shared" si="43"/>
        <v>EF1 E002 Mat</v>
      </c>
    </row>
    <row r="2690" spans="1:31" ht="105" x14ac:dyDescent="0.25">
      <c r="A2690" s="31" t="s">
        <v>5625</v>
      </c>
      <c r="B2690" s="16" t="s">
        <v>32</v>
      </c>
      <c r="C2690" s="16" t="s">
        <v>164</v>
      </c>
      <c r="D2690" s="33" t="s">
        <v>4732</v>
      </c>
      <c r="E2690" s="33">
        <v>262</v>
      </c>
      <c r="F2690" s="33">
        <v>4</v>
      </c>
      <c r="G2690" s="33" t="s">
        <v>2137</v>
      </c>
      <c r="H2690" s="33"/>
      <c r="I2690" s="31" t="s">
        <v>35</v>
      </c>
      <c r="J2690" s="31"/>
      <c r="K2690" s="33"/>
      <c r="L2690" s="33"/>
      <c r="M2690" s="31"/>
      <c r="N2690" s="31"/>
      <c r="O2690" s="16" t="s">
        <v>5626</v>
      </c>
      <c r="P2690" s="16"/>
      <c r="Q2690" s="16"/>
      <c r="R2690" s="33">
        <v>170</v>
      </c>
      <c r="S2690" s="34">
        <v>45917</v>
      </c>
      <c r="T2690" s="34">
        <v>45917</v>
      </c>
      <c r="U2690" s="34"/>
      <c r="V2690" s="34"/>
      <c r="W2690" s="34">
        <v>45917</v>
      </c>
      <c r="X2690" s="33" t="s">
        <v>37</v>
      </c>
      <c r="Y2690" s="35" t="str">
        <f>IF(Tabela2[[#This Row],[SIGLA]]="","",VLOOKUP(Tabela2[[#This Row],[SIGLA]],Tabela1[[#All],[Sigla Arte]:[Crédito]],2,0))</f>
        <v>CAIO TANAKA/ARQUIVO DA EDITORA</v>
      </c>
      <c r="Z2690" s="31" t="s">
        <v>153</v>
      </c>
      <c r="AA2690" s="31" t="str">
        <f>Tabela2[[#This Row],[ILUSTRADOR CRIAÇÃO]]</f>
        <v>CAIO TANAKA/ARQUIVO DA EDITORA</v>
      </c>
      <c r="AB2690" s="33">
        <v>13</v>
      </c>
      <c r="AC2690" s="16" t="s">
        <v>44</v>
      </c>
      <c r="AD2690" s="16" t="s">
        <v>40</v>
      </c>
      <c r="AE2690" s="35" t="str">
        <f t="shared" si="43"/>
        <v>EF1 E002 Mat</v>
      </c>
    </row>
    <row r="2691" spans="1:31" ht="45" x14ac:dyDescent="0.25">
      <c r="A2691" s="31" t="s">
        <v>5627</v>
      </c>
      <c r="B2691" s="16" t="s">
        <v>32</v>
      </c>
      <c r="C2691" s="16" t="s">
        <v>164</v>
      </c>
      <c r="D2691" s="33" t="s">
        <v>4732</v>
      </c>
      <c r="E2691" s="33">
        <v>25</v>
      </c>
      <c r="F2691" s="33">
        <v>5</v>
      </c>
      <c r="G2691" s="33">
        <v>1</v>
      </c>
      <c r="H2691" s="33"/>
      <c r="I2691" s="31" t="s">
        <v>995</v>
      </c>
      <c r="J2691" s="31"/>
      <c r="K2691" s="33"/>
      <c r="L2691" s="33"/>
      <c r="M2691" s="31"/>
      <c r="N2691" s="31"/>
      <c r="O2691" s="16" t="s">
        <v>5628</v>
      </c>
      <c r="P2691" s="16"/>
      <c r="Q2691" s="16"/>
      <c r="R2691" s="33">
        <v>171</v>
      </c>
      <c r="S2691" s="34">
        <v>45917</v>
      </c>
      <c r="T2691" s="34">
        <v>45917</v>
      </c>
      <c r="U2691" s="34"/>
      <c r="V2691" s="34"/>
      <c r="W2691" s="34">
        <v>45917</v>
      </c>
      <c r="X2691" s="33" t="s">
        <v>184</v>
      </c>
      <c r="Y2691" s="35" t="str">
        <f>IF(Tabela2[[#This Row],[SIGLA]]="","",VLOOKUP(Tabela2[[#This Row],[SIGLA]],Tabela1[[#All],[Sigla Arte]:[Crédito]],2,0))</f>
        <v>VER DOCUMENTO DE ILS. TÉCNICAS</v>
      </c>
      <c r="Z2691" s="31" t="s">
        <v>572</v>
      </c>
      <c r="AA2691" s="31" t="s">
        <v>191</v>
      </c>
      <c r="AB2691" s="33">
        <v>13</v>
      </c>
      <c r="AC2691" s="16" t="s">
        <v>2102</v>
      </c>
      <c r="AD2691" s="16" t="s">
        <v>40</v>
      </c>
      <c r="AE2691" s="35" t="str">
        <f t="shared" si="43"/>
        <v>EF1 E002 Mat</v>
      </c>
    </row>
    <row r="2692" spans="1:31" ht="45" x14ac:dyDescent="0.25">
      <c r="A2692" s="31" t="s">
        <v>5629</v>
      </c>
      <c r="B2692" s="16" t="s">
        <v>32</v>
      </c>
      <c r="C2692" s="16" t="s">
        <v>164</v>
      </c>
      <c r="D2692" s="33" t="s">
        <v>4732</v>
      </c>
      <c r="E2692" s="33">
        <v>25</v>
      </c>
      <c r="F2692" s="33">
        <v>5</v>
      </c>
      <c r="G2692" s="33">
        <v>1</v>
      </c>
      <c r="H2692" s="33"/>
      <c r="I2692" s="31" t="s">
        <v>995</v>
      </c>
      <c r="J2692" s="31"/>
      <c r="K2692" s="33"/>
      <c r="L2692" s="33"/>
      <c r="M2692" s="31"/>
      <c r="N2692" s="31"/>
      <c r="O2692" s="16" t="s">
        <v>5630</v>
      </c>
      <c r="P2692" s="16"/>
      <c r="Q2692" s="16"/>
      <c r="R2692" s="33">
        <v>171</v>
      </c>
      <c r="S2692" s="34">
        <v>45917</v>
      </c>
      <c r="T2692" s="34">
        <v>45917</v>
      </c>
      <c r="U2692" s="34"/>
      <c r="V2692" s="34"/>
      <c r="W2692" s="34">
        <v>45917</v>
      </c>
      <c r="X2692" s="33" t="s">
        <v>184</v>
      </c>
      <c r="Y2692" s="35" t="str">
        <f>IF(Tabela2[[#This Row],[SIGLA]]="","",VLOOKUP(Tabela2[[#This Row],[SIGLA]],Tabela1[[#All],[Sigla Arte]:[Crédito]],2,0))</f>
        <v>VER DOCUMENTO DE ILS. TÉCNICAS</v>
      </c>
      <c r="Z2692" s="31" t="s">
        <v>572</v>
      </c>
      <c r="AA2692" s="31" t="s">
        <v>191</v>
      </c>
      <c r="AB2692" s="33">
        <v>13</v>
      </c>
      <c r="AC2692" s="16" t="s">
        <v>2102</v>
      </c>
      <c r="AD2692" s="16" t="s">
        <v>40</v>
      </c>
      <c r="AE2692" s="35" t="str">
        <f t="shared" si="43"/>
        <v>EF1 E002 Mat</v>
      </c>
    </row>
    <row r="2693" spans="1:31" ht="45" x14ac:dyDescent="0.25">
      <c r="A2693" s="31" t="s">
        <v>5631</v>
      </c>
      <c r="B2693" s="16" t="s">
        <v>32</v>
      </c>
      <c r="C2693" s="16" t="s">
        <v>164</v>
      </c>
      <c r="D2693" s="33" t="s">
        <v>4732</v>
      </c>
      <c r="E2693" s="33">
        <v>25</v>
      </c>
      <c r="F2693" s="33">
        <v>5</v>
      </c>
      <c r="G2693" s="33">
        <v>1</v>
      </c>
      <c r="H2693" s="33"/>
      <c r="I2693" s="31" t="s">
        <v>995</v>
      </c>
      <c r="J2693" s="31"/>
      <c r="K2693" s="33"/>
      <c r="L2693" s="33"/>
      <c r="M2693" s="31"/>
      <c r="N2693" s="31"/>
      <c r="O2693" s="16" t="s">
        <v>5632</v>
      </c>
      <c r="P2693" s="16"/>
      <c r="Q2693" s="16"/>
      <c r="R2693" s="33">
        <v>171</v>
      </c>
      <c r="S2693" s="34">
        <v>45917</v>
      </c>
      <c r="T2693" s="34">
        <v>45917</v>
      </c>
      <c r="U2693" s="34"/>
      <c r="V2693" s="34"/>
      <c r="W2693" s="34">
        <v>45917</v>
      </c>
      <c r="X2693" s="33" t="s">
        <v>184</v>
      </c>
      <c r="Y2693" s="35" t="str">
        <f>IF(Tabela2[[#This Row],[SIGLA]]="","",VLOOKUP(Tabela2[[#This Row],[SIGLA]],Tabela1[[#All],[Sigla Arte]:[Crédito]],2,0))</f>
        <v>VER DOCUMENTO DE ILS. TÉCNICAS</v>
      </c>
      <c r="Z2693" s="31" t="s">
        <v>572</v>
      </c>
      <c r="AA2693" s="31" t="s">
        <v>191</v>
      </c>
      <c r="AB2693" s="33">
        <v>13</v>
      </c>
      <c r="AC2693" s="16" t="s">
        <v>2102</v>
      </c>
      <c r="AD2693" s="16" t="s">
        <v>40</v>
      </c>
      <c r="AE2693" s="35" t="str">
        <f t="shared" si="43"/>
        <v>EF1 E002 Mat</v>
      </c>
    </row>
    <row r="2694" spans="1:31" ht="45" x14ac:dyDescent="0.25">
      <c r="A2694" s="31" t="s">
        <v>5633</v>
      </c>
      <c r="B2694" s="16" t="s">
        <v>32</v>
      </c>
      <c r="C2694" s="16" t="s">
        <v>164</v>
      </c>
      <c r="D2694" s="33" t="s">
        <v>4732</v>
      </c>
      <c r="E2694" s="33">
        <v>25</v>
      </c>
      <c r="F2694" s="33">
        <v>5</v>
      </c>
      <c r="G2694" s="33">
        <v>1</v>
      </c>
      <c r="H2694" s="33"/>
      <c r="I2694" s="31" t="s">
        <v>995</v>
      </c>
      <c r="J2694" s="31"/>
      <c r="K2694" s="33"/>
      <c r="L2694" s="33"/>
      <c r="M2694" s="31"/>
      <c r="N2694" s="31"/>
      <c r="O2694" s="16" t="s">
        <v>5634</v>
      </c>
      <c r="P2694" s="16"/>
      <c r="Q2694" s="16"/>
      <c r="R2694" s="33">
        <v>171</v>
      </c>
      <c r="S2694" s="34">
        <v>45917</v>
      </c>
      <c r="T2694" s="34">
        <v>45917</v>
      </c>
      <c r="U2694" s="34"/>
      <c r="V2694" s="34"/>
      <c r="W2694" s="34">
        <v>45917</v>
      </c>
      <c r="X2694" s="33" t="s">
        <v>184</v>
      </c>
      <c r="Y2694" s="35" t="str">
        <f>IF(Tabela2[[#This Row],[SIGLA]]="","",VLOOKUP(Tabela2[[#This Row],[SIGLA]],Tabela1[[#All],[Sigla Arte]:[Crédito]],2,0))</f>
        <v>VER DOCUMENTO DE ILS. TÉCNICAS</v>
      </c>
      <c r="Z2694" s="31" t="s">
        <v>572</v>
      </c>
      <c r="AA2694" s="31" t="s">
        <v>191</v>
      </c>
      <c r="AB2694" s="33">
        <v>13</v>
      </c>
      <c r="AC2694" s="16" t="s">
        <v>2102</v>
      </c>
      <c r="AD2694" s="16" t="s">
        <v>40</v>
      </c>
      <c r="AE2694" s="35" t="str">
        <f t="shared" si="43"/>
        <v>EF1 E002 Mat</v>
      </c>
    </row>
    <row r="2695" spans="1:31" ht="90" x14ac:dyDescent="0.25">
      <c r="A2695" s="31" t="s">
        <v>5635</v>
      </c>
      <c r="B2695" s="16" t="s">
        <v>32</v>
      </c>
      <c r="C2695" s="16" t="s">
        <v>33</v>
      </c>
      <c r="D2695" s="33" t="s">
        <v>4732</v>
      </c>
      <c r="E2695" s="33">
        <v>20</v>
      </c>
      <c r="F2695" s="33">
        <v>5</v>
      </c>
      <c r="G2695" s="33">
        <v>1</v>
      </c>
      <c r="H2695" s="33"/>
      <c r="I2695" s="31" t="s">
        <v>46</v>
      </c>
      <c r="J2695" s="31"/>
      <c r="K2695" s="33"/>
      <c r="L2695" s="33"/>
      <c r="M2695" s="31"/>
      <c r="N2695" s="31"/>
      <c r="O2695" s="16" t="s">
        <v>5636</v>
      </c>
      <c r="P2695" s="16"/>
      <c r="Q2695" s="16"/>
      <c r="R2695" s="33"/>
      <c r="S2695" s="34"/>
      <c r="T2695" s="34"/>
      <c r="U2695" s="34"/>
      <c r="V2695" s="34"/>
      <c r="W2695" s="34"/>
      <c r="X2695" s="33" t="s">
        <v>1126</v>
      </c>
      <c r="Y2695" s="35" t="str">
        <f>IF(Tabela2[[#This Row],[SIGLA]]="","",VLOOKUP(Tabela2[[#This Row],[SIGLA]],Tabela1[[#All],[Sigla Arte]:[Crédito]],2,0))</f>
        <v>GUSTAVO CONTI/ARQUIVO DA EDITORA</v>
      </c>
      <c r="Z2695" s="31"/>
      <c r="AA2695" s="31" t="str">
        <f>Tabela2[[#This Row],[ILUSTRADOR CRIAÇÃO]]</f>
        <v>GUSTAVO CONTI/ARQUIVO DA EDITORA</v>
      </c>
      <c r="AB2695" s="33"/>
      <c r="AC2695" s="16"/>
      <c r="AE2695" s="35" t="str">
        <f t="shared" si="43"/>
        <v>EF1 E002 Mat</v>
      </c>
    </row>
    <row r="2696" spans="1:31" ht="105" x14ac:dyDescent="0.25">
      <c r="A2696" s="31" t="s">
        <v>5637</v>
      </c>
      <c r="B2696" s="16" t="s">
        <v>32</v>
      </c>
      <c r="C2696" s="16" t="s">
        <v>164</v>
      </c>
      <c r="D2696" s="33" t="s">
        <v>4732</v>
      </c>
      <c r="E2696" s="33">
        <v>30</v>
      </c>
      <c r="F2696" s="33">
        <v>5</v>
      </c>
      <c r="G2696" s="33">
        <v>1</v>
      </c>
      <c r="H2696" s="33"/>
      <c r="I2696" s="31" t="s">
        <v>46</v>
      </c>
      <c r="J2696" s="31"/>
      <c r="K2696" s="33"/>
      <c r="L2696" s="33"/>
      <c r="M2696" s="31"/>
      <c r="N2696" s="31"/>
      <c r="O2696" s="16" t="s">
        <v>5638</v>
      </c>
      <c r="P2696" s="16"/>
      <c r="Q2696" s="16"/>
      <c r="R2696" s="33">
        <v>192</v>
      </c>
      <c r="S2696" s="34">
        <v>45939</v>
      </c>
      <c r="T2696" s="34">
        <v>45939</v>
      </c>
      <c r="U2696" s="34"/>
      <c r="V2696" s="34"/>
      <c r="W2696" s="34">
        <v>45939</v>
      </c>
      <c r="X2696" s="33" t="s">
        <v>1126</v>
      </c>
      <c r="Y2696" s="35" t="str">
        <f>IF(Tabela2[[#This Row],[SIGLA]]="","",VLOOKUP(Tabela2[[#This Row],[SIGLA]],Tabela1[[#All],[Sigla Arte]:[Crédito]],2,0))</f>
        <v>GUSTAVO CONTI/ARQUIVO DA EDITORA</v>
      </c>
      <c r="Z2696" s="31" t="s">
        <v>1465</v>
      </c>
      <c r="AA2696" s="31" t="str">
        <f>Tabela2[[#This Row],[ILUSTRADOR CRIAÇÃO]]</f>
        <v>GUSTAVO CONTI/ARQUIVO DA EDITORA</v>
      </c>
      <c r="AB2696" s="33">
        <v>13</v>
      </c>
      <c r="AC2696" s="16" t="s">
        <v>2102</v>
      </c>
      <c r="AD2696" s="16" t="s">
        <v>40</v>
      </c>
      <c r="AE2696" s="35" t="str">
        <f t="shared" si="43"/>
        <v>EF1 E002 Mat</v>
      </c>
    </row>
    <row r="2697" spans="1:31" ht="105" x14ac:dyDescent="0.25">
      <c r="A2697" s="31" t="s">
        <v>5639</v>
      </c>
      <c r="B2697" s="16" t="s">
        <v>32</v>
      </c>
      <c r="C2697" s="16" t="s">
        <v>164</v>
      </c>
      <c r="D2697" s="33" t="s">
        <v>4732</v>
      </c>
      <c r="E2697" s="33">
        <v>30</v>
      </c>
      <c r="F2697" s="33">
        <v>5</v>
      </c>
      <c r="G2697" s="33">
        <v>1</v>
      </c>
      <c r="H2697" s="33"/>
      <c r="I2697" s="31" t="s">
        <v>46</v>
      </c>
      <c r="J2697" s="31"/>
      <c r="K2697" s="33"/>
      <c r="L2697" s="33"/>
      <c r="M2697" s="31"/>
      <c r="N2697" s="31"/>
      <c r="O2697" s="16" t="s">
        <v>5640</v>
      </c>
      <c r="P2697" s="16"/>
      <c r="Q2697" s="16"/>
      <c r="R2697" s="33">
        <v>192</v>
      </c>
      <c r="S2697" s="34">
        <v>45939</v>
      </c>
      <c r="T2697" s="34">
        <v>45939</v>
      </c>
      <c r="U2697" s="34"/>
      <c r="V2697" s="34"/>
      <c r="W2697" s="34">
        <v>45939</v>
      </c>
      <c r="X2697" s="33" t="s">
        <v>1126</v>
      </c>
      <c r="Y2697" s="35" t="str">
        <f>IF(Tabela2[[#This Row],[SIGLA]]="","",VLOOKUP(Tabela2[[#This Row],[SIGLA]],Tabela1[[#All],[Sigla Arte]:[Crédito]],2,0))</f>
        <v>GUSTAVO CONTI/ARQUIVO DA EDITORA</v>
      </c>
      <c r="Z2697" s="31" t="s">
        <v>1465</v>
      </c>
      <c r="AA2697" s="31" t="str">
        <f>Tabela2[[#This Row],[ILUSTRADOR CRIAÇÃO]]</f>
        <v>GUSTAVO CONTI/ARQUIVO DA EDITORA</v>
      </c>
      <c r="AB2697" s="33">
        <v>13</v>
      </c>
      <c r="AC2697" s="16" t="s">
        <v>2102</v>
      </c>
      <c r="AD2697" s="16" t="s">
        <v>40</v>
      </c>
      <c r="AE2697" s="35" t="str">
        <f t="shared" si="43"/>
        <v>EF1 E002 Mat</v>
      </c>
    </row>
    <row r="2698" spans="1:31" ht="90" x14ac:dyDescent="0.25">
      <c r="A2698" s="31" t="s">
        <v>5641</v>
      </c>
      <c r="B2698" s="16" t="s">
        <v>401</v>
      </c>
      <c r="C2698" s="16" t="s">
        <v>164</v>
      </c>
      <c r="D2698" s="33" t="s">
        <v>4732</v>
      </c>
      <c r="E2698" s="33">
        <v>30</v>
      </c>
      <c r="F2698" s="33">
        <v>5</v>
      </c>
      <c r="G2698" s="33">
        <v>1</v>
      </c>
      <c r="H2698" s="33"/>
      <c r="I2698" s="31" t="s">
        <v>46</v>
      </c>
      <c r="J2698" s="31"/>
      <c r="K2698" s="33"/>
      <c r="L2698" s="33"/>
      <c r="M2698" s="31"/>
      <c r="N2698" s="31"/>
      <c r="O2698" s="16" t="s">
        <v>5642</v>
      </c>
      <c r="P2698" s="16"/>
      <c r="Q2698" s="16"/>
      <c r="R2698" s="33">
        <v>192</v>
      </c>
      <c r="S2698" s="34">
        <v>45939</v>
      </c>
      <c r="T2698" s="34">
        <v>45939</v>
      </c>
      <c r="U2698" s="34"/>
      <c r="V2698" s="34"/>
      <c r="W2698" s="34">
        <v>45939</v>
      </c>
      <c r="X2698" s="33" t="s">
        <v>1126</v>
      </c>
      <c r="Y2698" s="35" t="str">
        <f>IF(Tabela2[[#This Row],[SIGLA]]="","",VLOOKUP(Tabela2[[#This Row],[SIGLA]],Tabela1[[#All],[Sigla Arte]:[Crédito]],2,0))</f>
        <v>GUSTAVO CONTI/ARQUIVO DA EDITORA</v>
      </c>
      <c r="Z2698" s="31" t="s">
        <v>1465</v>
      </c>
      <c r="AA2698" s="31" t="str">
        <f>Tabela2[[#This Row],[ILUSTRADOR CRIAÇÃO]]</f>
        <v>GUSTAVO CONTI/ARQUIVO DA EDITORA</v>
      </c>
      <c r="AB2698" s="33">
        <v>13</v>
      </c>
      <c r="AC2698" s="16" t="s">
        <v>2102</v>
      </c>
      <c r="AD2698" s="16" t="s">
        <v>40</v>
      </c>
      <c r="AE2698" s="35" t="str">
        <f t="shared" si="43"/>
        <v>EF1 E002 Mat</v>
      </c>
    </row>
    <row r="2699" spans="1:31" ht="60" x14ac:dyDescent="0.25">
      <c r="A2699" s="31" t="s">
        <v>5643</v>
      </c>
      <c r="B2699" s="16" t="s">
        <v>32</v>
      </c>
      <c r="C2699" s="16" t="s">
        <v>33</v>
      </c>
      <c r="D2699" s="33" t="s">
        <v>4732</v>
      </c>
      <c r="E2699" s="33">
        <v>75</v>
      </c>
      <c r="F2699" s="33">
        <v>5</v>
      </c>
      <c r="G2699" s="33">
        <v>4</v>
      </c>
      <c r="H2699" s="33"/>
      <c r="I2699" s="31" t="s">
        <v>46</v>
      </c>
      <c r="J2699" s="31"/>
      <c r="K2699" s="33"/>
      <c r="L2699" s="33"/>
      <c r="M2699" s="31"/>
      <c r="N2699" s="31"/>
      <c r="O2699" s="16" t="s">
        <v>5644</v>
      </c>
      <c r="P2699" s="16"/>
      <c r="Q2699" s="16"/>
      <c r="R2699" s="33"/>
      <c r="S2699" s="34"/>
      <c r="T2699" s="34"/>
      <c r="U2699" s="34"/>
      <c r="V2699" s="34"/>
      <c r="W2699" s="34"/>
      <c r="X2699" s="33" t="s">
        <v>48</v>
      </c>
      <c r="Y2699" s="35" t="str">
        <f>IF(Tabela2[[#This Row],[SIGLA]]="","",VLOOKUP(Tabela2[[#This Row],[SIGLA]],Tabela1[[#All],[Sigla Arte]:[Crédito]],2,0))</f>
        <v>SERGIO LIMA/ARQUIVO DA EDITORA</v>
      </c>
      <c r="Z2699" s="31"/>
      <c r="AA2699" s="31" t="str">
        <f>Tabela2[[#This Row],[ILUSTRADOR CRIAÇÃO]]</f>
        <v>SERGIO LIMA/ARQUIVO DA EDITORA</v>
      </c>
      <c r="AB2699" s="33"/>
      <c r="AC2699" s="16"/>
      <c r="AE2699" s="35" t="str">
        <f t="shared" si="43"/>
        <v>EF1 E002 Mat</v>
      </c>
    </row>
    <row r="2700" spans="1:31" ht="60" x14ac:dyDescent="0.25">
      <c r="A2700" s="31" t="s">
        <v>5645</v>
      </c>
      <c r="B2700" s="16" t="s">
        <v>32</v>
      </c>
      <c r="C2700" s="16" t="s">
        <v>33</v>
      </c>
      <c r="D2700" s="33" t="s">
        <v>4732</v>
      </c>
      <c r="E2700" s="33">
        <v>75</v>
      </c>
      <c r="F2700" s="33">
        <v>5</v>
      </c>
      <c r="G2700" s="33">
        <v>4</v>
      </c>
      <c r="H2700" s="33"/>
      <c r="I2700" s="31" t="s">
        <v>46</v>
      </c>
      <c r="J2700" s="31"/>
      <c r="K2700" s="33"/>
      <c r="L2700" s="33"/>
      <c r="M2700" s="31"/>
      <c r="N2700" s="31"/>
      <c r="O2700" s="16" t="s">
        <v>5646</v>
      </c>
      <c r="P2700" s="16"/>
      <c r="Q2700" s="16"/>
      <c r="R2700" s="33"/>
      <c r="S2700" s="34"/>
      <c r="T2700" s="34"/>
      <c r="U2700" s="34"/>
      <c r="V2700" s="34"/>
      <c r="W2700" s="34"/>
      <c r="X2700" s="33" t="s">
        <v>48</v>
      </c>
      <c r="Y2700" s="35" t="str">
        <f>IF(Tabela2[[#This Row],[SIGLA]]="","",VLOOKUP(Tabela2[[#This Row],[SIGLA]],Tabela1[[#All],[Sigla Arte]:[Crédito]],2,0))</f>
        <v>SERGIO LIMA/ARQUIVO DA EDITORA</v>
      </c>
      <c r="Z2700" s="31"/>
      <c r="AA2700" s="31" t="str">
        <f>Tabela2[[#This Row],[ILUSTRADOR CRIAÇÃO]]</f>
        <v>SERGIO LIMA/ARQUIVO DA EDITORA</v>
      </c>
      <c r="AB2700" s="33"/>
      <c r="AC2700" s="16"/>
      <c r="AE2700" s="35" t="str">
        <f t="shared" si="43"/>
        <v>EF1 E002 Mat</v>
      </c>
    </row>
    <row r="2701" spans="1:31" ht="45" x14ac:dyDescent="0.25">
      <c r="A2701" s="31" t="s">
        <v>5647</v>
      </c>
      <c r="B2701" s="16" t="s">
        <v>32</v>
      </c>
      <c r="C2701" s="16" t="s">
        <v>164</v>
      </c>
      <c r="D2701" s="33" t="s">
        <v>4732</v>
      </c>
      <c r="E2701" s="33">
        <v>77</v>
      </c>
      <c r="F2701" s="33">
        <v>5</v>
      </c>
      <c r="G2701" s="33">
        <v>4</v>
      </c>
      <c r="H2701" s="33"/>
      <c r="I2701" s="31" t="s">
        <v>46</v>
      </c>
      <c r="J2701" s="31"/>
      <c r="K2701" s="33"/>
      <c r="L2701" s="33"/>
      <c r="M2701" s="31"/>
      <c r="N2701" s="31"/>
      <c r="O2701" s="16" t="s">
        <v>5648</v>
      </c>
      <c r="P2701" s="16"/>
      <c r="Q2701" s="16"/>
      <c r="R2701" s="33"/>
      <c r="S2701" s="34"/>
      <c r="T2701" s="34"/>
      <c r="U2701" s="34"/>
      <c r="V2701" s="34"/>
      <c r="W2701" s="34"/>
      <c r="X2701" s="33" t="s">
        <v>1201</v>
      </c>
      <c r="Y2701" s="35" t="str">
        <f>IF(Tabela2[[#This Row],[SIGLA]]="","",VLOOKUP(Tabela2[[#This Row],[SIGLA]],Tabela1[[#All],[Sigla Arte]:[Crédito]],2,0))</f>
        <v>RAFAELA PANISSA/ARQUIVO DA EDITORA</v>
      </c>
      <c r="Z2701" s="31"/>
      <c r="AA2701" s="31" t="str">
        <f>Tabela2[[#This Row],[ILUSTRADOR CRIAÇÃO]]</f>
        <v>RAFAELA PANISSA/ARQUIVO DA EDITORA</v>
      </c>
      <c r="AB2701" s="33"/>
      <c r="AC2701" s="16"/>
      <c r="AE2701" s="35" t="str">
        <f t="shared" si="43"/>
        <v>EF1 E002 Mat</v>
      </c>
    </row>
    <row r="2702" spans="1:31" ht="45" x14ac:dyDescent="0.25">
      <c r="A2702" s="31" t="s">
        <v>5649</v>
      </c>
      <c r="B2702" s="16" t="s">
        <v>32</v>
      </c>
      <c r="C2702" s="16" t="s">
        <v>164</v>
      </c>
      <c r="D2702" s="33" t="s">
        <v>4732</v>
      </c>
      <c r="E2702" s="33">
        <v>77</v>
      </c>
      <c r="F2702" s="33">
        <v>5</v>
      </c>
      <c r="G2702" s="33">
        <v>4</v>
      </c>
      <c r="H2702" s="33"/>
      <c r="I2702" s="31" t="s">
        <v>46</v>
      </c>
      <c r="J2702" s="31"/>
      <c r="K2702" s="33"/>
      <c r="L2702" s="33"/>
      <c r="M2702" s="31"/>
      <c r="N2702" s="31"/>
      <c r="O2702" s="16" t="s">
        <v>5650</v>
      </c>
      <c r="P2702" s="16"/>
      <c r="Q2702" s="16"/>
      <c r="R2702" s="33"/>
      <c r="S2702" s="34"/>
      <c r="T2702" s="34"/>
      <c r="U2702" s="34"/>
      <c r="V2702" s="34"/>
      <c r="W2702" s="34"/>
      <c r="X2702" s="33" t="s">
        <v>1201</v>
      </c>
      <c r="Y2702" s="35" t="str">
        <f>IF(Tabela2[[#This Row],[SIGLA]]="","",VLOOKUP(Tabela2[[#This Row],[SIGLA]],Tabela1[[#All],[Sigla Arte]:[Crédito]],2,0))</f>
        <v>RAFAELA PANISSA/ARQUIVO DA EDITORA</v>
      </c>
      <c r="Z2702" s="31"/>
      <c r="AA2702" s="31" t="str">
        <f>Tabela2[[#This Row],[ILUSTRADOR CRIAÇÃO]]</f>
        <v>RAFAELA PANISSA/ARQUIVO DA EDITORA</v>
      </c>
      <c r="AB2702" s="33"/>
      <c r="AC2702" s="16"/>
      <c r="AE2702" s="35" t="str">
        <f t="shared" si="43"/>
        <v>EF1 E002 Mat</v>
      </c>
    </row>
    <row r="2703" spans="1:31" ht="45" x14ac:dyDescent="0.25">
      <c r="A2703" s="31" t="s">
        <v>5651</v>
      </c>
      <c r="B2703" s="16" t="s">
        <v>32</v>
      </c>
      <c r="C2703" s="16" t="s">
        <v>164</v>
      </c>
      <c r="D2703" s="33" t="s">
        <v>4732</v>
      </c>
      <c r="E2703" s="33">
        <v>77</v>
      </c>
      <c r="F2703" s="33">
        <v>5</v>
      </c>
      <c r="G2703" s="33">
        <v>4</v>
      </c>
      <c r="H2703" s="33"/>
      <c r="I2703" s="31" t="s">
        <v>46</v>
      </c>
      <c r="J2703" s="31"/>
      <c r="K2703" s="33"/>
      <c r="L2703" s="33"/>
      <c r="M2703" s="31"/>
      <c r="N2703" s="31"/>
      <c r="O2703" s="16" t="s">
        <v>5652</v>
      </c>
      <c r="P2703" s="16"/>
      <c r="Q2703" s="16"/>
      <c r="R2703" s="33"/>
      <c r="S2703" s="34"/>
      <c r="T2703" s="34"/>
      <c r="U2703" s="34"/>
      <c r="V2703" s="34"/>
      <c r="W2703" s="34"/>
      <c r="X2703" s="33" t="s">
        <v>1201</v>
      </c>
      <c r="Y2703" s="35" t="str">
        <f>IF(Tabela2[[#This Row],[SIGLA]]="","",VLOOKUP(Tabela2[[#This Row],[SIGLA]],Tabela1[[#All],[Sigla Arte]:[Crédito]],2,0))</f>
        <v>RAFAELA PANISSA/ARQUIVO DA EDITORA</v>
      </c>
      <c r="Z2703" s="31"/>
      <c r="AA2703" s="31" t="str">
        <f>Tabela2[[#This Row],[ILUSTRADOR CRIAÇÃO]]</f>
        <v>RAFAELA PANISSA/ARQUIVO DA EDITORA</v>
      </c>
      <c r="AB2703" s="33"/>
      <c r="AC2703" s="16"/>
      <c r="AE2703" s="35" t="str">
        <f t="shared" si="43"/>
        <v>EF1 E002 Mat</v>
      </c>
    </row>
    <row r="2704" spans="1:31" ht="45" x14ac:dyDescent="0.25">
      <c r="A2704" s="31" t="s">
        <v>5653</v>
      </c>
      <c r="B2704" s="16" t="s">
        <v>32</v>
      </c>
      <c r="C2704" s="16" t="s">
        <v>164</v>
      </c>
      <c r="D2704" s="33" t="s">
        <v>4732</v>
      </c>
      <c r="E2704" s="33">
        <v>77</v>
      </c>
      <c r="F2704" s="33">
        <v>5</v>
      </c>
      <c r="G2704" s="33">
        <v>4</v>
      </c>
      <c r="H2704" s="33"/>
      <c r="I2704" s="31" t="s">
        <v>46</v>
      </c>
      <c r="J2704" s="31"/>
      <c r="K2704" s="33"/>
      <c r="L2704" s="33"/>
      <c r="M2704" s="31"/>
      <c r="N2704" s="31"/>
      <c r="O2704" s="16" t="s">
        <v>5654</v>
      </c>
      <c r="P2704" s="16"/>
      <c r="Q2704" s="16"/>
      <c r="R2704" s="33"/>
      <c r="S2704" s="34"/>
      <c r="T2704" s="34"/>
      <c r="U2704" s="34"/>
      <c r="V2704" s="34"/>
      <c r="W2704" s="34"/>
      <c r="X2704" s="33" t="s">
        <v>1201</v>
      </c>
      <c r="Y2704" s="35" t="str">
        <f>IF(Tabela2[[#This Row],[SIGLA]]="","",VLOOKUP(Tabela2[[#This Row],[SIGLA]],Tabela1[[#All],[Sigla Arte]:[Crédito]],2,0))</f>
        <v>RAFAELA PANISSA/ARQUIVO DA EDITORA</v>
      </c>
      <c r="Z2704" s="31"/>
      <c r="AA2704" s="31" t="str">
        <f>Tabela2[[#This Row],[ILUSTRADOR CRIAÇÃO]]</f>
        <v>RAFAELA PANISSA/ARQUIVO DA EDITORA</v>
      </c>
      <c r="AB2704" s="33"/>
      <c r="AC2704" s="16"/>
      <c r="AE2704" s="35" t="str">
        <f t="shared" si="43"/>
        <v>EF1 E002 Mat</v>
      </c>
    </row>
    <row r="2705" spans="1:31" ht="30" x14ac:dyDescent="0.25">
      <c r="A2705" s="31" t="s">
        <v>5655</v>
      </c>
      <c r="B2705" s="16" t="s">
        <v>32</v>
      </c>
      <c r="C2705" s="16" t="s">
        <v>164</v>
      </c>
      <c r="D2705" s="33" t="s">
        <v>4732</v>
      </c>
      <c r="E2705" s="33">
        <v>79</v>
      </c>
      <c r="F2705" s="33">
        <v>5</v>
      </c>
      <c r="G2705" s="33">
        <v>4</v>
      </c>
      <c r="H2705" s="33"/>
      <c r="I2705" s="31" t="s">
        <v>46</v>
      </c>
      <c r="J2705" s="31"/>
      <c r="K2705" s="33"/>
      <c r="L2705" s="33"/>
      <c r="M2705" s="31"/>
      <c r="N2705" s="31"/>
      <c r="O2705" s="16" t="s">
        <v>5656</v>
      </c>
      <c r="P2705" s="16"/>
      <c r="Q2705" s="16"/>
      <c r="R2705" s="33"/>
      <c r="S2705" s="34"/>
      <c r="T2705" s="34"/>
      <c r="U2705" s="34"/>
      <c r="V2705" s="34"/>
      <c r="W2705" s="34"/>
      <c r="X2705" s="33" t="s">
        <v>48</v>
      </c>
      <c r="Y2705" s="35" t="str">
        <f>IF(Tabela2[[#This Row],[SIGLA]]="","",VLOOKUP(Tabela2[[#This Row],[SIGLA]],Tabela1[[#All],[Sigla Arte]:[Crédito]],2,0))</f>
        <v>SERGIO LIMA/ARQUIVO DA EDITORA</v>
      </c>
      <c r="Z2705" s="31"/>
      <c r="AA2705" s="31" t="str">
        <f>Tabela2[[#This Row],[ILUSTRADOR CRIAÇÃO]]</f>
        <v>SERGIO LIMA/ARQUIVO DA EDITORA</v>
      </c>
      <c r="AB2705" s="33"/>
      <c r="AC2705" s="16"/>
      <c r="AE2705" s="35" t="str">
        <f t="shared" si="43"/>
        <v>EF1 E002 Mat</v>
      </c>
    </row>
    <row r="2706" spans="1:31" ht="45" x14ac:dyDescent="0.25">
      <c r="A2706" s="31" t="s">
        <v>5657</v>
      </c>
      <c r="B2706" s="16" t="s">
        <v>32</v>
      </c>
      <c r="C2706" s="16" t="s">
        <v>164</v>
      </c>
      <c r="D2706" s="33" t="s">
        <v>4732</v>
      </c>
      <c r="E2706" s="33">
        <v>79</v>
      </c>
      <c r="F2706" s="33">
        <v>5</v>
      </c>
      <c r="G2706" s="33">
        <v>4</v>
      </c>
      <c r="H2706" s="33"/>
      <c r="I2706" s="31" t="s">
        <v>46</v>
      </c>
      <c r="J2706" s="31"/>
      <c r="K2706" s="33"/>
      <c r="L2706" s="33"/>
      <c r="M2706" s="31"/>
      <c r="N2706" s="31"/>
      <c r="O2706" s="16" t="s">
        <v>5658</v>
      </c>
      <c r="P2706" s="16"/>
      <c r="Q2706" s="16"/>
      <c r="R2706" s="33"/>
      <c r="S2706" s="34"/>
      <c r="T2706" s="34"/>
      <c r="U2706" s="34"/>
      <c r="V2706" s="34"/>
      <c r="W2706" s="34"/>
      <c r="X2706" s="33" t="s">
        <v>48</v>
      </c>
      <c r="Y2706" s="35" t="str">
        <f>IF(Tabela2[[#This Row],[SIGLA]]="","",VLOOKUP(Tabela2[[#This Row],[SIGLA]],Tabela1[[#All],[Sigla Arte]:[Crédito]],2,0))</f>
        <v>SERGIO LIMA/ARQUIVO DA EDITORA</v>
      </c>
      <c r="Z2706" s="31"/>
      <c r="AA2706" s="31" t="str">
        <f>Tabela2[[#This Row],[ILUSTRADOR CRIAÇÃO]]</f>
        <v>SERGIO LIMA/ARQUIVO DA EDITORA</v>
      </c>
      <c r="AB2706" s="33"/>
      <c r="AC2706" s="16"/>
      <c r="AE2706" s="35" t="str">
        <f t="shared" si="43"/>
        <v>EF1 E002 Mat</v>
      </c>
    </row>
    <row r="2707" spans="1:31" ht="45" x14ac:dyDescent="0.25">
      <c r="A2707" s="31" t="s">
        <v>5659</v>
      </c>
      <c r="B2707" s="16" t="s">
        <v>32</v>
      </c>
      <c r="C2707" s="16" t="s">
        <v>164</v>
      </c>
      <c r="D2707" s="33" t="s">
        <v>4732</v>
      </c>
      <c r="E2707" s="33">
        <v>79</v>
      </c>
      <c r="F2707" s="33">
        <v>5</v>
      </c>
      <c r="G2707" s="33">
        <v>4</v>
      </c>
      <c r="H2707" s="33"/>
      <c r="I2707" s="31" t="s">
        <v>46</v>
      </c>
      <c r="J2707" s="31"/>
      <c r="K2707" s="33"/>
      <c r="L2707" s="33"/>
      <c r="M2707" s="31"/>
      <c r="N2707" s="31"/>
      <c r="O2707" s="16" t="s">
        <v>5660</v>
      </c>
      <c r="P2707" s="16"/>
      <c r="Q2707" s="16"/>
      <c r="R2707" s="33"/>
      <c r="S2707" s="34"/>
      <c r="T2707" s="34"/>
      <c r="U2707" s="34"/>
      <c r="V2707" s="34"/>
      <c r="W2707" s="34"/>
      <c r="X2707" s="33" t="s">
        <v>48</v>
      </c>
      <c r="Y2707" s="35" t="str">
        <f>IF(Tabela2[[#This Row],[SIGLA]]="","",VLOOKUP(Tabela2[[#This Row],[SIGLA]],Tabela1[[#All],[Sigla Arte]:[Crédito]],2,0))</f>
        <v>SERGIO LIMA/ARQUIVO DA EDITORA</v>
      </c>
      <c r="Z2707" s="31"/>
      <c r="AA2707" s="31" t="str">
        <f>Tabela2[[#This Row],[ILUSTRADOR CRIAÇÃO]]</f>
        <v>SERGIO LIMA/ARQUIVO DA EDITORA</v>
      </c>
      <c r="AB2707" s="33"/>
      <c r="AC2707" s="16"/>
      <c r="AE2707" s="35" t="str">
        <f t="shared" si="43"/>
        <v>EF1 E002 Mat</v>
      </c>
    </row>
    <row r="2708" spans="1:31" ht="45" x14ac:dyDescent="0.25">
      <c r="A2708" s="31" t="s">
        <v>5661</v>
      </c>
      <c r="B2708" s="16" t="s">
        <v>32</v>
      </c>
      <c r="C2708" s="16" t="s">
        <v>164</v>
      </c>
      <c r="D2708" s="33" t="s">
        <v>4732</v>
      </c>
      <c r="E2708" s="33">
        <v>80</v>
      </c>
      <c r="F2708" s="33">
        <v>5</v>
      </c>
      <c r="G2708" s="33">
        <v>4</v>
      </c>
      <c r="H2708" s="33"/>
      <c r="I2708" s="31" t="s">
        <v>46</v>
      </c>
      <c r="J2708" s="31"/>
      <c r="K2708" s="33"/>
      <c r="L2708" s="33"/>
      <c r="M2708" s="31"/>
      <c r="N2708" s="31"/>
      <c r="O2708" s="16" t="s">
        <v>5662</v>
      </c>
      <c r="P2708" s="16"/>
      <c r="Q2708" s="16"/>
      <c r="R2708" s="33"/>
      <c r="S2708" s="34"/>
      <c r="T2708" s="34"/>
      <c r="U2708" s="34"/>
      <c r="V2708" s="34"/>
      <c r="W2708" s="34"/>
      <c r="X2708" s="33" t="s">
        <v>48</v>
      </c>
      <c r="Y2708" s="35" t="str">
        <f>IF(Tabela2[[#This Row],[SIGLA]]="","",VLOOKUP(Tabela2[[#This Row],[SIGLA]],Tabela1[[#All],[Sigla Arte]:[Crédito]],2,0))</f>
        <v>SERGIO LIMA/ARQUIVO DA EDITORA</v>
      </c>
      <c r="Z2708" s="31"/>
      <c r="AA2708" s="31" t="str">
        <f>Tabela2[[#This Row],[ILUSTRADOR CRIAÇÃO]]</f>
        <v>SERGIO LIMA/ARQUIVO DA EDITORA</v>
      </c>
      <c r="AB2708" s="33"/>
      <c r="AC2708" s="16"/>
      <c r="AE2708" s="35" t="str">
        <f t="shared" si="43"/>
        <v>EF1 E002 Mat</v>
      </c>
    </row>
    <row r="2709" spans="1:31" ht="45" x14ac:dyDescent="0.25">
      <c r="A2709" s="31" t="s">
        <v>5663</v>
      </c>
      <c r="B2709" s="16" t="s">
        <v>32</v>
      </c>
      <c r="C2709" s="16" t="s">
        <v>164</v>
      </c>
      <c r="D2709" s="33" t="s">
        <v>4732</v>
      </c>
      <c r="E2709" s="33">
        <v>80</v>
      </c>
      <c r="F2709" s="33">
        <v>5</v>
      </c>
      <c r="G2709" s="33">
        <v>4</v>
      </c>
      <c r="H2709" s="33"/>
      <c r="I2709" s="31" t="s">
        <v>46</v>
      </c>
      <c r="J2709" s="31"/>
      <c r="K2709" s="33"/>
      <c r="L2709" s="33"/>
      <c r="M2709" s="31"/>
      <c r="N2709" s="31"/>
      <c r="O2709" s="16" t="s">
        <v>5664</v>
      </c>
      <c r="P2709" s="16"/>
      <c r="Q2709" s="16"/>
      <c r="R2709" s="33"/>
      <c r="S2709" s="34"/>
      <c r="T2709" s="34"/>
      <c r="U2709" s="34"/>
      <c r="V2709" s="34"/>
      <c r="W2709" s="34"/>
      <c r="X2709" s="33" t="s">
        <v>48</v>
      </c>
      <c r="Y2709" s="35" t="str">
        <f>IF(Tabela2[[#This Row],[SIGLA]]="","",VLOOKUP(Tabela2[[#This Row],[SIGLA]],Tabela1[[#All],[Sigla Arte]:[Crédito]],2,0))</f>
        <v>SERGIO LIMA/ARQUIVO DA EDITORA</v>
      </c>
      <c r="Z2709" s="31"/>
      <c r="AA2709" s="31" t="str">
        <f>Tabela2[[#This Row],[ILUSTRADOR CRIAÇÃO]]</f>
        <v>SERGIO LIMA/ARQUIVO DA EDITORA</v>
      </c>
      <c r="AB2709" s="33"/>
      <c r="AC2709" s="16"/>
      <c r="AE2709" s="35" t="str">
        <f t="shared" si="43"/>
        <v>EF1 E002 Mat</v>
      </c>
    </row>
    <row r="2710" spans="1:31" ht="45" x14ac:dyDescent="0.25">
      <c r="A2710" s="31" t="s">
        <v>5665</v>
      </c>
      <c r="B2710" s="16" t="s">
        <v>32</v>
      </c>
      <c r="C2710" s="16" t="s">
        <v>164</v>
      </c>
      <c r="D2710" s="33" t="s">
        <v>4732</v>
      </c>
      <c r="E2710" s="33">
        <v>200</v>
      </c>
      <c r="F2710" s="33">
        <v>5</v>
      </c>
      <c r="G2710" s="33">
        <v>9</v>
      </c>
      <c r="H2710" s="33"/>
      <c r="I2710" s="31" t="s">
        <v>46</v>
      </c>
      <c r="J2710" s="31"/>
      <c r="K2710" s="33"/>
      <c r="L2710" s="33"/>
      <c r="M2710" s="31"/>
      <c r="N2710" s="31"/>
      <c r="O2710" s="16" t="s">
        <v>5666</v>
      </c>
      <c r="P2710" s="16"/>
      <c r="Q2710" s="16"/>
      <c r="R2710" s="33"/>
      <c r="S2710" s="34"/>
      <c r="T2710" s="34"/>
      <c r="U2710" s="34"/>
      <c r="V2710" s="34"/>
      <c r="W2710" s="34"/>
      <c r="X2710" s="33" t="s">
        <v>3823</v>
      </c>
      <c r="Y2710" s="35" t="str">
        <f>IF(Tabela2[[#This Row],[SIGLA]]="","",VLOOKUP(Tabela2[[#This Row],[SIGLA]],Tabela1[[#All],[Sigla Arte]:[Crédito]],2,0))</f>
        <v>RONALDO LUCENA/ARQUIVO DA EDITORA</v>
      </c>
      <c r="Z2710" s="31"/>
      <c r="AA2710" s="31" t="str">
        <f>Tabela2[[#This Row],[ILUSTRADOR CRIAÇÃO]]</f>
        <v>RONALDO LUCENA/ARQUIVO DA EDITORA</v>
      </c>
      <c r="AB2710" s="33"/>
      <c r="AC2710" s="16"/>
      <c r="AE2710" s="35" t="str">
        <f t="shared" si="43"/>
        <v>EF1 E002 Mat</v>
      </c>
    </row>
    <row r="2711" spans="1:31" ht="75" x14ac:dyDescent="0.25">
      <c r="A2711" s="31" t="s">
        <v>5667</v>
      </c>
      <c r="B2711" s="16" t="s">
        <v>32</v>
      </c>
      <c r="C2711" s="16" t="s">
        <v>164</v>
      </c>
      <c r="D2711" s="33" t="s">
        <v>4732</v>
      </c>
      <c r="E2711" s="33">
        <v>238</v>
      </c>
      <c r="F2711" s="33">
        <v>5</v>
      </c>
      <c r="G2711" s="33">
        <v>11</v>
      </c>
      <c r="H2711" s="33"/>
      <c r="I2711" s="31" t="s">
        <v>46</v>
      </c>
      <c r="J2711" s="31"/>
      <c r="K2711" s="33"/>
      <c r="L2711" s="33"/>
      <c r="M2711" s="31"/>
      <c r="N2711" s="31"/>
      <c r="O2711" s="16" t="s">
        <v>5668</v>
      </c>
      <c r="P2711" s="16"/>
      <c r="Q2711" s="16"/>
      <c r="R2711" s="33"/>
      <c r="S2711" s="34"/>
      <c r="T2711" s="34"/>
      <c r="U2711" s="34"/>
      <c r="V2711" s="34"/>
      <c r="W2711" s="34"/>
      <c r="X2711" s="33" t="s">
        <v>184</v>
      </c>
      <c r="Y2711" s="35" t="str">
        <f>IF(Tabela2[[#This Row],[SIGLA]]="","",VLOOKUP(Tabela2[[#This Row],[SIGLA]],Tabela1[[#All],[Sigla Arte]:[Crédito]],2,0))</f>
        <v>VER DOCUMENTO DE ILS. TÉCNICAS</v>
      </c>
      <c r="Z2711" s="31"/>
      <c r="AA2711" s="31" t="s">
        <v>4391</v>
      </c>
      <c r="AB2711" s="33"/>
      <c r="AC2711" s="16"/>
      <c r="AE2711" s="35" t="str">
        <f t="shared" si="43"/>
        <v>EF1 E002 Mat</v>
      </c>
    </row>
    <row r="2712" spans="1:31" ht="75" x14ac:dyDescent="0.25">
      <c r="A2712" s="31" t="s">
        <v>5669</v>
      </c>
      <c r="B2712" s="16" t="s">
        <v>32</v>
      </c>
      <c r="C2712" s="16" t="s">
        <v>164</v>
      </c>
      <c r="D2712" s="33" t="s">
        <v>4732</v>
      </c>
      <c r="E2712" s="33">
        <v>239</v>
      </c>
      <c r="F2712" s="33">
        <v>5</v>
      </c>
      <c r="G2712" s="33">
        <v>11</v>
      </c>
      <c r="H2712" s="33"/>
      <c r="I2712" s="31" t="s">
        <v>46</v>
      </c>
      <c r="J2712" s="31"/>
      <c r="K2712" s="33"/>
      <c r="L2712" s="33"/>
      <c r="M2712" s="31"/>
      <c r="N2712" s="31"/>
      <c r="O2712" s="16" t="s">
        <v>5670</v>
      </c>
      <c r="P2712" s="16"/>
      <c r="Q2712" s="16"/>
      <c r="R2712" s="33"/>
      <c r="S2712" s="34"/>
      <c r="T2712" s="34"/>
      <c r="U2712" s="34"/>
      <c r="V2712" s="34"/>
      <c r="W2712" s="34"/>
      <c r="X2712" s="33" t="s">
        <v>184</v>
      </c>
      <c r="Y2712" s="35" t="str">
        <f>IF(Tabela2[[#This Row],[SIGLA]]="","",VLOOKUP(Tabela2[[#This Row],[SIGLA]],Tabela1[[#All],[Sigla Arte]:[Crédito]],2,0))</f>
        <v>VER DOCUMENTO DE ILS. TÉCNICAS</v>
      </c>
      <c r="Z2712" s="31"/>
      <c r="AA2712" s="31" t="s">
        <v>4391</v>
      </c>
      <c r="AB2712" s="33"/>
      <c r="AC2712" s="16"/>
      <c r="AE2712" s="35" t="str">
        <f t="shared" si="43"/>
        <v>EF1 E002 Mat</v>
      </c>
    </row>
    <row r="2713" spans="1:31" ht="120" x14ac:dyDescent="0.25">
      <c r="A2713" s="31" t="s">
        <v>5671</v>
      </c>
      <c r="B2713" s="16" t="s">
        <v>32</v>
      </c>
      <c r="C2713" s="16" t="s">
        <v>164</v>
      </c>
      <c r="D2713" s="33" t="s">
        <v>4732</v>
      </c>
      <c r="E2713" s="33">
        <v>245</v>
      </c>
      <c r="F2713" s="33">
        <v>5</v>
      </c>
      <c r="G2713" s="33">
        <v>11</v>
      </c>
      <c r="H2713" s="33"/>
      <c r="I2713" s="31" t="s">
        <v>35</v>
      </c>
      <c r="J2713" s="31"/>
      <c r="K2713" s="33"/>
      <c r="L2713" s="33"/>
      <c r="M2713" s="31"/>
      <c r="N2713" s="31"/>
      <c r="O2713" s="16" t="s">
        <v>5672</v>
      </c>
      <c r="P2713" s="16"/>
      <c r="Q2713" s="16"/>
      <c r="R2713" s="33">
        <v>173</v>
      </c>
      <c r="S2713" s="34">
        <v>45919</v>
      </c>
      <c r="T2713" s="34">
        <v>45919</v>
      </c>
      <c r="U2713" s="34"/>
      <c r="V2713" s="34"/>
      <c r="W2713" s="34">
        <v>45920</v>
      </c>
      <c r="X2713" s="33" t="s">
        <v>48</v>
      </c>
      <c r="Y2713" s="35" t="str">
        <f>IF(Tabela2[[#This Row],[SIGLA]]="","",VLOOKUP(Tabela2[[#This Row],[SIGLA]],Tabela1[[#All],[Sigla Arte]:[Crédito]],2,0))</f>
        <v>SERGIO LIMA/ARQUIVO DA EDITORA</v>
      </c>
      <c r="Z2713" s="31" t="s">
        <v>572</v>
      </c>
      <c r="AA2713" s="31" t="str">
        <f>Tabela2[[#This Row],[ILUSTRADOR CRIAÇÃO]]</f>
        <v>SERGIO LIMA/ARQUIVO DA EDITORA</v>
      </c>
      <c r="AB2713" s="33">
        <v>13</v>
      </c>
      <c r="AC2713" s="16" t="s">
        <v>44</v>
      </c>
      <c r="AD2713" s="16" t="s">
        <v>40</v>
      </c>
      <c r="AE2713" s="35" t="str">
        <f t="shared" si="43"/>
        <v>EF1 E002 Mat</v>
      </c>
    </row>
    <row r="2714" spans="1:31" ht="135" x14ac:dyDescent="0.25">
      <c r="A2714" s="31" t="s">
        <v>5673</v>
      </c>
      <c r="B2714" s="16" t="s">
        <v>32</v>
      </c>
      <c r="C2714" s="16" t="s">
        <v>164</v>
      </c>
      <c r="D2714" s="33" t="s">
        <v>4732</v>
      </c>
      <c r="E2714" s="33">
        <v>245</v>
      </c>
      <c r="F2714" s="33">
        <v>5</v>
      </c>
      <c r="G2714" s="33">
        <v>11</v>
      </c>
      <c r="H2714" s="33"/>
      <c r="I2714" s="31" t="s">
        <v>35</v>
      </c>
      <c r="J2714" s="31"/>
      <c r="K2714" s="33"/>
      <c r="L2714" s="33"/>
      <c r="M2714" s="31"/>
      <c r="N2714" s="31"/>
      <c r="O2714" s="16" t="s">
        <v>5674</v>
      </c>
      <c r="P2714" s="16"/>
      <c r="Q2714" s="16"/>
      <c r="R2714" s="33">
        <v>173</v>
      </c>
      <c r="S2714" s="34">
        <v>45919</v>
      </c>
      <c r="T2714" s="34">
        <v>45919</v>
      </c>
      <c r="U2714" s="34"/>
      <c r="V2714" s="34"/>
      <c r="W2714" s="34">
        <v>45920</v>
      </c>
      <c r="X2714" s="33" t="s">
        <v>1126</v>
      </c>
      <c r="Y2714" s="35" t="str">
        <f>IF(Tabela2[[#This Row],[SIGLA]]="","",VLOOKUP(Tabela2[[#This Row],[SIGLA]],Tabela1[[#All],[Sigla Arte]:[Crédito]],2,0))</f>
        <v>GUSTAVO CONTI/ARQUIVO DA EDITORA</v>
      </c>
      <c r="Z2714" s="31" t="s">
        <v>572</v>
      </c>
      <c r="AA2714" s="31" t="str">
        <f>Tabela2[[#This Row],[ILUSTRADOR CRIAÇÃO]]</f>
        <v>GUSTAVO CONTI/ARQUIVO DA EDITORA</v>
      </c>
      <c r="AB2714" s="33">
        <v>13</v>
      </c>
      <c r="AC2714" s="16" t="s">
        <v>44</v>
      </c>
      <c r="AD2714" s="16" t="s">
        <v>40</v>
      </c>
      <c r="AE2714" s="35" t="str">
        <f t="shared" si="43"/>
        <v>EF1 E002 Mat</v>
      </c>
    </row>
    <row r="2715" spans="1:31" ht="135" x14ac:dyDescent="0.25">
      <c r="A2715" s="31" t="s">
        <v>5675</v>
      </c>
      <c r="B2715" s="16" t="s">
        <v>32</v>
      </c>
      <c r="C2715" s="16" t="s">
        <v>33</v>
      </c>
      <c r="D2715" s="33" t="s">
        <v>4732</v>
      </c>
      <c r="E2715" s="33">
        <v>245</v>
      </c>
      <c r="F2715" s="33">
        <v>5</v>
      </c>
      <c r="G2715" s="33">
        <v>11</v>
      </c>
      <c r="H2715" s="33"/>
      <c r="I2715" s="31" t="s">
        <v>35</v>
      </c>
      <c r="J2715" s="31"/>
      <c r="K2715" s="33"/>
      <c r="L2715" s="33"/>
      <c r="M2715" s="31"/>
      <c r="N2715" s="31"/>
      <c r="O2715" s="16" t="s">
        <v>5676</v>
      </c>
      <c r="P2715" s="16"/>
      <c r="Q2715" s="16"/>
      <c r="R2715" s="33">
        <v>173</v>
      </c>
      <c r="S2715" s="34">
        <v>45919</v>
      </c>
      <c r="T2715" s="34">
        <v>45919</v>
      </c>
      <c r="U2715" s="34"/>
      <c r="V2715" s="34"/>
      <c r="W2715" s="34">
        <v>45920</v>
      </c>
      <c r="X2715" s="33" t="s">
        <v>1126</v>
      </c>
      <c r="Y2715" s="35" t="str">
        <f>IF(Tabela2[[#This Row],[SIGLA]]="","",VLOOKUP(Tabela2[[#This Row],[SIGLA]],Tabela1[[#All],[Sigla Arte]:[Crédito]],2,0))</f>
        <v>GUSTAVO CONTI/ARQUIVO DA EDITORA</v>
      </c>
      <c r="Z2715" s="31" t="s">
        <v>572</v>
      </c>
      <c r="AA2715" s="31" t="str">
        <f>Tabela2[[#This Row],[ILUSTRADOR CRIAÇÃO]]</f>
        <v>GUSTAVO CONTI/ARQUIVO DA EDITORA</v>
      </c>
      <c r="AB2715" s="33">
        <v>13</v>
      </c>
      <c r="AC2715" s="16" t="s">
        <v>44</v>
      </c>
      <c r="AD2715" s="16" t="s">
        <v>40</v>
      </c>
      <c r="AE2715" s="35" t="str">
        <f t="shared" si="43"/>
        <v>EF1 E002 Mat</v>
      </c>
    </row>
    <row r="2716" spans="1:31" ht="75" x14ac:dyDescent="0.25">
      <c r="A2716" s="31" t="s">
        <v>5677</v>
      </c>
      <c r="B2716" s="16" t="s">
        <v>32</v>
      </c>
      <c r="C2716" s="16" t="s">
        <v>1192</v>
      </c>
      <c r="D2716" s="33" t="s">
        <v>4732</v>
      </c>
      <c r="E2716" s="33">
        <v>246</v>
      </c>
      <c r="F2716" s="33">
        <v>5</v>
      </c>
      <c r="G2716" s="33">
        <v>11</v>
      </c>
      <c r="H2716" s="33"/>
      <c r="I2716" s="31" t="s">
        <v>35</v>
      </c>
      <c r="J2716" s="31"/>
      <c r="K2716" s="33"/>
      <c r="L2716" s="33"/>
      <c r="M2716" s="31"/>
      <c r="N2716" s="31"/>
      <c r="O2716" s="16" t="s">
        <v>5678</v>
      </c>
      <c r="P2716" s="16"/>
      <c r="Q2716" s="16"/>
      <c r="R2716" s="33">
        <v>173</v>
      </c>
      <c r="S2716" s="34">
        <v>45919</v>
      </c>
      <c r="T2716" s="34">
        <v>45919</v>
      </c>
      <c r="U2716" s="34"/>
      <c r="V2716" s="34"/>
      <c r="W2716" s="34">
        <v>45920</v>
      </c>
      <c r="X2716" s="33" t="s">
        <v>3443</v>
      </c>
      <c r="Y2716" s="35" t="str">
        <f>IF(Tabela2[[#This Row],[SIGLA]]="","",VLOOKUP(Tabela2[[#This Row],[SIGLA]],Tabela1[[#All],[Sigla Arte]:[Crédito]],2,0))</f>
        <v>VINÍCIUS COSTA/ARQUIVO DA EDITORA</v>
      </c>
      <c r="Z2716" s="31" t="s">
        <v>572</v>
      </c>
      <c r="AA2716" s="31" t="s">
        <v>4098</v>
      </c>
      <c r="AB2716" s="33">
        <v>13</v>
      </c>
      <c r="AC2716" s="16" t="s">
        <v>44</v>
      </c>
      <c r="AD2716" s="16" t="s">
        <v>40</v>
      </c>
      <c r="AE2716" s="35" t="str">
        <f t="shared" si="43"/>
        <v>EF1 E002 Mat</v>
      </c>
    </row>
    <row r="2717" spans="1:31" ht="90" x14ac:dyDescent="0.25">
      <c r="A2717" s="31" t="s">
        <v>5679</v>
      </c>
      <c r="B2717" s="16" t="s">
        <v>32</v>
      </c>
      <c r="C2717" s="16" t="s">
        <v>1192</v>
      </c>
      <c r="D2717" s="33" t="s">
        <v>4732</v>
      </c>
      <c r="E2717" s="33">
        <v>247</v>
      </c>
      <c r="F2717" s="33">
        <v>5</v>
      </c>
      <c r="G2717" s="33">
        <v>11</v>
      </c>
      <c r="H2717" s="33"/>
      <c r="I2717" s="31" t="s">
        <v>35</v>
      </c>
      <c r="J2717" s="31"/>
      <c r="K2717" s="33"/>
      <c r="L2717" s="33"/>
      <c r="M2717" s="31"/>
      <c r="N2717" s="31"/>
      <c r="O2717" s="16" t="s">
        <v>5680</v>
      </c>
      <c r="P2717" s="16"/>
      <c r="Q2717" s="16"/>
      <c r="R2717" s="33">
        <v>173</v>
      </c>
      <c r="S2717" s="34">
        <v>45919</v>
      </c>
      <c r="T2717" s="34">
        <v>45919</v>
      </c>
      <c r="U2717" s="34"/>
      <c r="V2717" s="34"/>
      <c r="W2717" s="34">
        <v>45920</v>
      </c>
      <c r="X2717" s="33" t="s">
        <v>3443</v>
      </c>
      <c r="Y2717" s="35" t="str">
        <f>IF(Tabela2[[#This Row],[SIGLA]]="","",VLOOKUP(Tabela2[[#This Row],[SIGLA]],Tabela1[[#All],[Sigla Arte]:[Crédito]],2,0))</f>
        <v>VINÍCIUS COSTA/ARQUIVO DA EDITORA</v>
      </c>
      <c r="Z2717" s="31" t="s">
        <v>572</v>
      </c>
      <c r="AA2717" s="31" t="s">
        <v>4105</v>
      </c>
      <c r="AB2717" s="33">
        <v>13</v>
      </c>
      <c r="AC2717" s="16" t="s">
        <v>44</v>
      </c>
      <c r="AD2717" s="16" t="s">
        <v>40</v>
      </c>
      <c r="AE2717" s="35" t="str">
        <f t="shared" si="43"/>
        <v>EF1 E002 Mat</v>
      </c>
    </row>
    <row r="2718" spans="1:31" ht="60" x14ac:dyDescent="0.25">
      <c r="A2718" s="31" t="s">
        <v>5681</v>
      </c>
      <c r="B2718" s="16" t="s">
        <v>32</v>
      </c>
      <c r="C2718" s="16" t="s">
        <v>164</v>
      </c>
      <c r="D2718" s="33" t="s">
        <v>4732</v>
      </c>
      <c r="E2718" s="33">
        <v>254</v>
      </c>
      <c r="F2718" s="33">
        <v>5</v>
      </c>
      <c r="G2718" s="33">
        <v>12</v>
      </c>
      <c r="H2718" s="33"/>
      <c r="I2718" s="31" t="s">
        <v>46</v>
      </c>
      <c r="J2718" s="31"/>
      <c r="K2718" s="33"/>
      <c r="L2718" s="33"/>
      <c r="M2718" s="31"/>
      <c r="N2718" s="31"/>
      <c r="O2718" s="16" t="s">
        <v>5682</v>
      </c>
      <c r="P2718" s="16"/>
      <c r="Q2718" s="16"/>
      <c r="R2718" s="33"/>
      <c r="S2718" s="34"/>
      <c r="T2718" s="34"/>
      <c r="U2718" s="34"/>
      <c r="V2718" s="34"/>
      <c r="W2718" s="34"/>
      <c r="X2718" s="33" t="s">
        <v>5351</v>
      </c>
      <c r="Y2718" s="35" t="str">
        <f>IF(Tabela2[[#This Row],[SIGLA]]="","",VLOOKUP(Tabela2[[#This Row],[SIGLA]],Tabela1[[#All],[Sigla Arte]:[Crédito]],2,0))</f>
        <v>CÁTIA GERMANI/ARQUIVO DA EDITORA</v>
      </c>
      <c r="Z2718" s="31"/>
      <c r="AA2718" s="31" t="str">
        <f>Tabela2[[#This Row],[ILUSTRADOR CRIAÇÃO]]</f>
        <v>CÁTIA GERMANI/ARQUIVO DA EDITORA</v>
      </c>
      <c r="AB2718" s="33"/>
      <c r="AC2718" s="16"/>
      <c r="AE2718" s="35" t="str">
        <f t="shared" si="43"/>
        <v>EF1 E002 Mat</v>
      </c>
    </row>
    <row r="2719" spans="1:31" ht="60" x14ac:dyDescent="0.25">
      <c r="A2719" s="31" t="s">
        <v>5683</v>
      </c>
      <c r="B2719" s="16" t="s">
        <v>32</v>
      </c>
      <c r="C2719" s="16" t="s">
        <v>164</v>
      </c>
      <c r="D2719" s="33" t="s">
        <v>4732</v>
      </c>
      <c r="E2719" s="33">
        <v>254</v>
      </c>
      <c r="F2719" s="33">
        <v>5</v>
      </c>
      <c r="G2719" s="33">
        <v>12</v>
      </c>
      <c r="H2719" s="33"/>
      <c r="I2719" s="31" t="s">
        <v>46</v>
      </c>
      <c r="J2719" s="31"/>
      <c r="K2719" s="33"/>
      <c r="L2719" s="33"/>
      <c r="M2719" s="31"/>
      <c r="N2719" s="31"/>
      <c r="O2719" s="16" t="s">
        <v>5684</v>
      </c>
      <c r="P2719" s="16"/>
      <c r="Q2719" s="16"/>
      <c r="R2719" s="33"/>
      <c r="S2719" s="34"/>
      <c r="T2719" s="34"/>
      <c r="U2719" s="34"/>
      <c r="V2719" s="34"/>
      <c r="W2719" s="34"/>
      <c r="X2719" s="33" t="s">
        <v>5351</v>
      </c>
      <c r="Y2719" s="35" t="str">
        <f>IF(Tabela2[[#This Row],[SIGLA]]="","",VLOOKUP(Tabela2[[#This Row],[SIGLA]],Tabela1[[#All],[Sigla Arte]:[Crédito]],2,0))</f>
        <v>CÁTIA GERMANI/ARQUIVO DA EDITORA</v>
      </c>
      <c r="Z2719" s="31"/>
      <c r="AA2719" s="31" t="str">
        <f>Tabela2[[#This Row],[ILUSTRADOR CRIAÇÃO]]</f>
        <v>CÁTIA GERMANI/ARQUIVO DA EDITORA</v>
      </c>
      <c r="AB2719" s="33"/>
      <c r="AC2719" s="16"/>
      <c r="AE2719" s="35" t="str">
        <f t="shared" si="43"/>
        <v>EF1 E002 Mat</v>
      </c>
    </row>
    <row r="2720" spans="1:31" ht="60" x14ac:dyDescent="0.25">
      <c r="A2720" s="31" t="s">
        <v>5685</v>
      </c>
      <c r="B2720" s="16" t="s">
        <v>32</v>
      </c>
      <c r="C2720" s="16" t="s">
        <v>164</v>
      </c>
      <c r="D2720" s="33" t="s">
        <v>4732</v>
      </c>
      <c r="E2720" s="33">
        <v>254</v>
      </c>
      <c r="F2720" s="33">
        <v>5</v>
      </c>
      <c r="G2720" s="33">
        <v>12</v>
      </c>
      <c r="H2720" s="33"/>
      <c r="I2720" s="31" t="s">
        <v>46</v>
      </c>
      <c r="J2720" s="31"/>
      <c r="K2720" s="33"/>
      <c r="L2720" s="33"/>
      <c r="M2720" s="31"/>
      <c r="N2720" s="31"/>
      <c r="O2720" s="16" t="s">
        <v>5686</v>
      </c>
      <c r="P2720" s="16"/>
      <c r="Q2720" s="16"/>
      <c r="R2720" s="33"/>
      <c r="S2720" s="34"/>
      <c r="T2720" s="34"/>
      <c r="U2720" s="34"/>
      <c r="V2720" s="34"/>
      <c r="W2720" s="34"/>
      <c r="X2720" s="33" t="s">
        <v>5351</v>
      </c>
      <c r="Y2720" s="35" t="str">
        <f>IF(Tabela2[[#This Row],[SIGLA]]="","",VLOOKUP(Tabela2[[#This Row],[SIGLA]],Tabela1[[#All],[Sigla Arte]:[Crédito]],2,0))</f>
        <v>CÁTIA GERMANI/ARQUIVO DA EDITORA</v>
      </c>
      <c r="Z2720" s="31"/>
      <c r="AA2720" s="31" t="str">
        <f>Tabela2[[#This Row],[ILUSTRADOR CRIAÇÃO]]</f>
        <v>CÁTIA GERMANI/ARQUIVO DA EDITORA</v>
      </c>
      <c r="AB2720" s="33"/>
      <c r="AC2720" s="16"/>
      <c r="AE2720" s="35" t="str">
        <f t="shared" si="43"/>
        <v>EF1 E002 Mat</v>
      </c>
    </row>
    <row r="2721" spans="1:31" ht="60" x14ac:dyDescent="0.25">
      <c r="A2721" s="31" t="s">
        <v>5687</v>
      </c>
      <c r="B2721" s="16" t="s">
        <v>32</v>
      </c>
      <c r="C2721" s="16" t="s">
        <v>164</v>
      </c>
      <c r="D2721" s="33" t="s">
        <v>4732</v>
      </c>
      <c r="E2721" s="33">
        <v>254</v>
      </c>
      <c r="F2721" s="33">
        <v>5</v>
      </c>
      <c r="G2721" s="33">
        <v>12</v>
      </c>
      <c r="H2721" s="33"/>
      <c r="I2721" s="31" t="s">
        <v>46</v>
      </c>
      <c r="J2721" s="31"/>
      <c r="K2721" s="33"/>
      <c r="L2721" s="33"/>
      <c r="M2721" s="31"/>
      <c r="N2721" s="31"/>
      <c r="O2721" s="16" t="s">
        <v>5688</v>
      </c>
      <c r="P2721" s="16"/>
      <c r="Q2721" s="16"/>
      <c r="R2721" s="33"/>
      <c r="S2721" s="34"/>
      <c r="T2721" s="34"/>
      <c r="U2721" s="34"/>
      <c r="V2721" s="34"/>
      <c r="W2721" s="34"/>
      <c r="X2721" s="33" t="s">
        <v>5351</v>
      </c>
      <c r="Y2721" s="35" t="str">
        <f>IF(Tabela2[[#This Row],[SIGLA]]="","",VLOOKUP(Tabela2[[#This Row],[SIGLA]],Tabela1[[#All],[Sigla Arte]:[Crédito]],2,0))</f>
        <v>CÁTIA GERMANI/ARQUIVO DA EDITORA</v>
      </c>
      <c r="Z2721" s="31"/>
      <c r="AA2721" s="31" t="str">
        <f>Tabela2[[#This Row],[ILUSTRADOR CRIAÇÃO]]</f>
        <v>CÁTIA GERMANI/ARQUIVO DA EDITORA</v>
      </c>
      <c r="AB2721" s="33"/>
      <c r="AC2721" s="16"/>
      <c r="AE2721" s="35" t="str">
        <f t="shared" si="43"/>
        <v>EF1 E002 Mat</v>
      </c>
    </row>
    <row r="2722" spans="1:31" ht="45" x14ac:dyDescent="0.25">
      <c r="A2722" s="31" t="s">
        <v>5689</v>
      </c>
      <c r="B2722" s="16" t="s">
        <v>32</v>
      </c>
      <c r="C2722" s="16" t="s">
        <v>164</v>
      </c>
      <c r="D2722" s="33" t="s">
        <v>4732</v>
      </c>
      <c r="E2722" s="33">
        <v>255</v>
      </c>
      <c r="F2722" s="33">
        <v>5</v>
      </c>
      <c r="G2722" s="33">
        <v>12</v>
      </c>
      <c r="H2722" s="33"/>
      <c r="I2722" s="31" t="s">
        <v>46</v>
      </c>
      <c r="J2722" s="31"/>
      <c r="K2722" s="33"/>
      <c r="L2722" s="33"/>
      <c r="M2722" s="31"/>
      <c r="N2722" s="31"/>
      <c r="O2722" s="16" t="s">
        <v>5690</v>
      </c>
      <c r="P2722" s="16"/>
      <c r="Q2722" s="16"/>
      <c r="R2722" s="33"/>
      <c r="S2722" s="34"/>
      <c r="T2722" s="34"/>
      <c r="U2722" s="34"/>
      <c r="V2722" s="34"/>
      <c r="W2722" s="34"/>
      <c r="X2722" s="33" t="s">
        <v>5351</v>
      </c>
      <c r="Y2722" s="35" t="str">
        <f>IF(Tabela2[[#This Row],[SIGLA]]="","",VLOOKUP(Tabela2[[#This Row],[SIGLA]],Tabela1[[#All],[Sigla Arte]:[Crédito]],2,0))</f>
        <v>CÁTIA GERMANI/ARQUIVO DA EDITORA</v>
      </c>
      <c r="Z2722" s="31"/>
      <c r="AA2722" s="31" t="str">
        <f>Tabela2[[#This Row],[ILUSTRADOR CRIAÇÃO]]</f>
        <v>CÁTIA GERMANI/ARQUIVO DA EDITORA</v>
      </c>
      <c r="AB2722" s="33"/>
      <c r="AC2722" s="16"/>
      <c r="AE2722" s="35" t="str">
        <f t="shared" si="43"/>
        <v>EF1 E002 Mat</v>
      </c>
    </row>
    <row r="2723" spans="1:31" ht="60" x14ac:dyDescent="0.25">
      <c r="A2723" s="31" t="s">
        <v>5691</v>
      </c>
      <c r="B2723" s="16" t="s">
        <v>32</v>
      </c>
      <c r="C2723" s="16" t="s">
        <v>164</v>
      </c>
      <c r="D2723" s="33" t="s">
        <v>4732</v>
      </c>
      <c r="E2723" s="33">
        <v>141</v>
      </c>
      <c r="F2723" s="33">
        <v>5</v>
      </c>
      <c r="G2723" s="33">
        <v>7</v>
      </c>
      <c r="H2723" s="33"/>
      <c r="I2723" s="31" t="s">
        <v>46</v>
      </c>
      <c r="J2723" s="31"/>
      <c r="K2723" s="33"/>
      <c r="L2723" s="33"/>
      <c r="M2723" s="31"/>
      <c r="N2723" s="31"/>
      <c r="O2723" s="16" t="s">
        <v>5692</v>
      </c>
      <c r="P2723" s="16"/>
      <c r="Q2723" s="16"/>
      <c r="R2723" s="33"/>
      <c r="S2723" s="34"/>
      <c r="T2723" s="34"/>
      <c r="U2723" s="34"/>
      <c r="V2723" s="34"/>
      <c r="W2723" s="34"/>
      <c r="X2723" s="33" t="s">
        <v>1126</v>
      </c>
      <c r="Y2723" s="35" t="str">
        <f>IF(Tabela2[[#This Row],[SIGLA]]="","",VLOOKUP(Tabela2[[#This Row],[SIGLA]],Tabela1[[#All],[Sigla Arte]:[Crédito]],2,0))</f>
        <v>GUSTAVO CONTI/ARQUIVO DA EDITORA</v>
      </c>
      <c r="Z2723" s="31"/>
      <c r="AA2723" s="31" t="str">
        <f>Tabela2[[#This Row],[ILUSTRADOR CRIAÇÃO]]</f>
        <v>GUSTAVO CONTI/ARQUIVO DA EDITORA</v>
      </c>
      <c r="AB2723" s="33"/>
      <c r="AC2723" s="16"/>
      <c r="AE2723" s="35" t="str">
        <f t="shared" si="43"/>
        <v>EF1 E002 Mat</v>
      </c>
    </row>
    <row r="2724" spans="1:31" ht="60" x14ac:dyDescent="0.25">
      <c r="A2724" s="31" t="s">
        <v>5693</v>
      </c>
      <c r="B2724" s="16" t="s">
        <v>32</v>
      </c>
      <c r="C2724" s="16" t="s">
        <v>164</v>
      </c>
      <c r="D2724" s="33" t="s">
        <v>4732</v>
      </c>
      <c r="E2724" s="33">
        <v>141</v>
      </c>
      <c r="F2724" s="33">
        <v>5</v>
      </c>
      <c r="G2724" s="33">
        <v>7</v>
      </c>
      <c r="H2724" s="33"/>
      <c r="I2724" s="31" t="s">
        <v>46</v>
      </c>
      <c r="J2724" s="31"/>
      <c r="K2724" s="33"/>
      <c r="L2724" s="33"/>
      <c r="M2724" s="31"/>
      <c r="N2724" s="31"/>
      <c r="O2724" s="16" t="s">
        <v>5694</v>
      </c>
      <c r="P2724" s="16"/>
      <c r="Q2724" s="16"/>
      <c r="R2724" s="33"/>
      <c r="S2724" s="34"/>
      <c r="T2724" s="34"/>
      <c r="U2724" s="34"/>
      <c r="V2724" s="34"/>
      <c r="W2724" s="34"/>
      <c r="X2724" s="33" t="s">
        <v>1126</v>
      </c>
      <c r="Y2724" s="35" t="str">
        <f>IF(Tabela2[[#This Row],[SIGLA]]="","",VLOOKUP(Tabela2[[#This Row],[SIGLA]],Tabela1[[#All],[Sigla Arte]:[Crédito]],2,0))</f>
        <v>GUSTAVO CONTI/ARQUIVO DA EDITORA</v>
      </c>
      <c r="Z2724" s="31"/>
      <c r="AA2724" s="31" t="str">
        <f>Tabela2[[#This Row],[ILUSTRADOR CRIAÇÃO]]</f>
        <v>GUSTAVO CONTI/ARQUIVO DA EDITORA</v>
      </c>
      <c r="AB2724" s="33"/>
      <c r="AC2724" s="16"/>
      <c r="AE2724" s="35" t="str">
        <f t="shared" si="43"/>
        <v>EF1 E002 Mat</v>
      </c>
    </row>
    <row r="2725" spans="1:31" ht="105" x14ac:dyDescent="0.25">
      <c r="A2725" s="31" t="s">
        <v>5695</v>
      </c>
      <c r="B2725" s="16" t="s">
        <v>32</v>
      </c>
      <c r="C2725" s="16" t="s">
        <v>164</v>
      </c>
      <c r="D2725" s="33" t="s">
        <v>4732</v>
      </c>
      <c r="E2725" s="33">
        <v>141</v>
      </c>
      <c r="F2725" s="33">
        <v>5</v>
      </c>
      <c r="G2725" s="33">
        <v>7</v>
      </c>
      <c r="H2725" s="33"/>
      <c r="I2725" s="31" t="s">
        <v>35</v>
      </c>
      <c r="J2725" s="31"/>
      <c r="K2725" s="33"/>
      <c r="L2725" s="33"/>
      <c r="M2725" s="31"/>
      <c r="N2725" s="31"/>
      <c r="O2725" s="16" t="s">
        <v>5696</v>
      </c>
      <c r="P2725" s="16"/>
      <c r="Q2725" s="16"/>
      <c r="R2725" s="33">
        <v>174</v>
      </c>
      <c r="S2725" s="34">
        <v>45920</v>
      </c>
      <c r="T2725" s="34">
        <v>45920</v>
      </c>
      <c r="U2725" s="34"/>
      <c r="V2725" s="34"/>
      <c r="W2725" s="34">
        <v>45920</v>
      </c>
      <c r="X2725" s="33" t="s">
        <v>1126</v>
      </c>
      <c r="Y2725" s="35" t="str">
        <f>IF(Tabela2[[#This Row],[SIGLA]]="","",VLOOKUP(Tabela2[[#This Row],[SIGLA]],Tabela1[[#All],[Sigla Arte]:[Crédito]],2,0))</f>
        <v>GUSTAVO CONTI/ARQUIVO DA EDITORA</v>
      </c>
      <c r="Z2725" s="31" t="s">
        <v>572</v>
      </c>
      <c r="AA2725" s="31" t="str">
        <f>Tabela2[[#This Row],[ILUSTRADOR CRIAÇÃO]]</f>
        <v>GUSTAVO CONTI/ARQUIVO DA EDITORA</v>
      </c>
      <c r="AB2725" s="33">
        <v>13</v>
      </c>
      <c r="AC2725" s="16" t="s">
        <v>44</v>
      </c>
      <c r="AD2725" s="16" t="s">
        <v>40</v>
      </c>
      <c r="AE2725" s="35" t="str">
        <f t="shared" si="43"/>
        <v>EF1 E002 Mat</v>
      </c>
    </row>
    <row r="2726" spans="1:31" ht="60" x14ac:dyDescent="0.25">
      <c r="A2726" s="31" t="s">
        <v>5697</v>
      </c>
      <c r="B2726" s="16" t="s">
        <v>32</v>
      </c>
      <c r="C2726" s="16" t="s">
        <v>164</v>
      </c>
      <c r="D2726" s="33" t="s">
        <v>4732</v>
      </c>
      <c r="E2726" s="33">
        <v>145</v>
      </c>
      <c r="F2726" s="33">
        <v>5</v>
      </c>
      <c r="G2726" s="33">
        <v>7</v>
      </c>
      <c r="H2726" s="33"/>
      <c r="I2726" s="31" t="s">
        <v>35</v>
      </c>
      <c r="J2726" s="31"/>
      <c r="K2726" s="33"/>
      <c r="L2726" s="33"/>
      <c r="M2726" s="31"/>
      <c r="N2726" s="31"/>
      <c r="O2726" s="16" t="s">
        <v>5698</v>
      </c>
      <c r="P2726" s="16"/>
      <c r="Q2726" s="16"/>
      <c r="R2726" s="33">
        <v>174</v>
      </c>
      <c r="S2726" s="34">
        <v>45920</v>
      </c>
      <c r="T2726" s="34">
        <v>45920</v>
      </c>
      <c r="U2726" s="34"/>
      <c r="V2726" s="34"/>
      <c r="W2726" s="34">
        <v>45920</v>
      </c>
      <c r="X2726" s="33" t="s">
        <v>715</v>
      </c>
      <c r="Y2726" s="35" t="str">
        <f>IF(Tabela2[[#This Row],[SIGLA]]="","",VLOOKUP(Tabela2[[#This Row],[SIGLA]],Tabela1[[#All],[Sigla Arte]:[Crédito]],2,0))</f>
        <v>RAFAELA H. PEREIRA/ARQUIVO DA EDITORA</v>
      </c>
      <c r="Z2726" s="31" t="s">
        <v>572</v>
      </c>
      <c r="AA2726" s="31" t="str">
        <f>Tabela2[[#This Row],[ILUSTRADOR CRIAÇÃO]]</f>
        <v>RAFAELA H. PEREIRA/ARQUIVO DA EDITORA</v>
      </c>
      <c r="AB2726" s="33">
        <v>13</v>
      </c>
      <c r="AC2726" s="16" t="s">
        <v>44</v>
      </c>
      <c r="AD2726" s="16" t="s">
        <v>40</v>
      </c>
      <c r="AE2726" s="35" t="str">
        <f t="shared" si="43"/>
        <v>EF1 E002 Mat</v>
      </c>
    </row>
    <row r="2727" spans="1:31" ht="75" x14ac:dyDescent="0.25">
      <c r="A2727" s="31" t="s">
        <v>5699</v>
      </c>
      <c r="B2727" s="16" t="s">
        <v>32</v>
      </c>
      <c r="C2727" s="16" t="s">
        <v>164</v>
      </c>
      <c r="D2727" s="33" t="s">
        <v>4732</v>
      </c>
      <c r="E2727" s="33">
        <v>150</v>
      </c>
      <c r="F2727" s="33">
        <v>5</v>
      </c>
      <c r="G2727" s="33">
        <v>7</v>
      </c>
      <c r="H2727" s="33"/>
      <c r="I2727" s="31" t="s">
        <v>46</v>
      </c>
      <c r="J2727" s="31"/>
      <c r="K2727" s="33"/>
      <c r="L2727" s="33"/>
      <c r="M2727" s="31"/>
      <c r="N2727" s="31"/>
      <c r="O2727" s="16" t="s">
        <v>5700</v>
      </c>
      <c r="P2727" s="16"/>
      <c r="Q2727" s="16"/>
      <c r="R2727" s="33"/>
      <c r="S2727" s="34"/>
      <c r="T2727" s="34"/>
      <c r="U2727" s="34"/>
      <c r="V2727" s="34"/>
      <c r="W2727" s="34"/>
      <c r="X2727" s="33" t="s">
        <v>3823</v>
      </c>
      <c r="Y2727" s="35" t="str">
        <f>IF(Tabela2[[#This Row],[SIGLA]]="","",VLOOKUP(Tabela2[[#This Row],[SIGLA]],Tabela1[[#All],[Sigla Arte]:[Crédito]],2,0))</f>
        <v>RONALDO LUCENA/ARQUIVO DA EDITORA</v>
      </c>
      <c r="Z2727" s="31"/>
      <c r="AA2727" s="31" t="str">
        <f>Tabela2[[#This Row],[ILUSTRADOR CRIAÇÃO]]</f>
        <v>RONALDO LUCENA/ARQUIVO DA EDITORA</v>
      </c>
      <c r="AB2727" s="33"/>
      <c r="AC2727" s="16"/>
      <c r="AE2727" s="35" t="str">
        <f t="shared" si="43"/>
        <v>EF1 E002 Mat</v>
      </c>
    </row>
    <row r="2728" spans="1:31" ht="45" x14ac:dyDescent="0.25">
      <c r="A2728" s="31" t="s">
        <v>5701</v>
      </c>
      <c r="B2728" s="16" t="s">
        <v>401</v>
      </c>
      <c r="C2728" s="16" t="s">
        <v>164</v>
      </c>
      <c r="D2728" s="33" t="s">
        <v>4732</v>
      </c>
      <c r="E2728" s="33">
        <v>155</v>
      </c>
      <c r="F2728" s="33">
        <v>5</v>
      </c>
      <c r="G2728" s="33">
        <v>7</v>
      </c>
      <c r="H2728" s="33"/>
      <c r="I2728" s="31" t="s">
        <v>46</v>
      </c>
      <c r="J2728" s="31"/>
      <c r="K2728" s="33"/>
      <c r="L2728" s="33"/>
      <c r="M2728" s="31"/>
      <c r="N2728" s="31"/>
      <c r="O2728" s="16" t="s">
        <v>5702</v>
      </c>
      <c r="P2728" s="16"/>
      <c r="Q2728" s="16"/>
      <c r="R2728" s="33"/>
      <c r="S2728" s="34"/>
      <c r="T2728" s="34"/>
      <c r="U2728" s="34"/>
      <c r="V2728" s="34"/>
      <c r="W2728" s="34"/>
      <c r="X2728" s="33" t="s">
        <v>3823</v>
      </c>
      <c r="Y2728" s="35" t="str">
        <f>IF(Tabela2[[#This Row],[SIGLA]]="","",VLOOKUP(Tabela2[[#This Row],[SIGLA]],Tabela1[[#All],[Sigla Arte]:[Crédito]],2,0))</f>
        <v>RONALDO LUCENA/ARQUIVO DA EDITORA</v>
      </c>
      <c r="Z2728" s="31"/>
      <c r="AA2728" s="31" t="str">
        <f>Tabela2[[#This Row],[ILUSTRADOR CRIAÇÃO]]</f>
        <v>RONALDO LUCENA/ARQUIVO DA EDITORA</v>
      </c>
      <c r="AB2728" s="33"/>
      <c r="AC2728" s="16"/>
      <c r="AE2728" s="35" t="str">
        <f t="shared" si="43"/>
        <v>EF1 E002 Mat</v>
      </c>
    </row>
    <row r="2729" spans="1:31" ht="45" x14ac:dyDescent="0.25">
      <c r="A2729" s="31" t="s">
        <v>5703</v>
      </c>
      <c r="B2729" s="16" t="s">
        <v>401</v>
      </c>
      <c r="C2729" s="16" t="s">
        <v>164</v>
      </c>
      <c r="D2729" s="33" t="s">
        <v>4732</v>
      </c>
      <c r="E2729" s="33">
        <v>155</v>
      </c>
      <c r="F2729" s="33">
        <v>5</v>
      </c>
      <c r="G2729" s="33">
        <v>7</v>
      </c>
      <c r="H2729" s="33"/>
      <c r="I2729" s="31" t="s">
        <v>46</v>
      </c>
      <c r="J2729" s="31"/>
      <c r="K2729" s="33"/>
      <c r="L2729" s="33"/>
      <c r="M2729" s="31"/>
      <c r="N2729" s="31"/>
      <c r="O2729" s="16" t="s">
        <v>5704</v>
      </c>
      <c r="P2729" s="16"/>
      <c r="Q2729" s="16"/>
      <c r="R2729" s="33"/>
      <c r="S2729" s="34"/>
      <c r="T2729" s="34"/>
      <c r="U2729" s="34"/>
      <c r="V2729" s="34"/>
      <c r="W2729" s="34"/>
      <c r="X2729" s="33" t="s">
        <v>3823</v>
      </c>
      <c r="Y2729" s="35" t="str">
        <f>IF(Tabela2[[#This Row],[SIGLA]]="","",VLOOKUP(Tabela2[[#This Row],[SIGLA]],Tabela1[[#All],[Sigla Arte]:[Crédito]],2,0))</f>
        <v>RONALDO LUCENA/ARQUIVO DA EDITORA</v>
      </c>
      <c r="Z2729" s="31"/>
      <c r="AA2729" s="31" t="str">
        <f>Tabela2[[#This Row],[ILUSTRADOR CRIAÇÃO]]</f>
        <v>RONALDO LUCENA/ARQUIVO DA EDITORA</v>
      </c>
      <c r="AB2729" s="33"/>
      <c r="AC2729" s="16"/>
      <c r="AE2729" s="35" t="str">
        <f t="shared" si="43"/>
        <v>EF1 E002 Mat</v>
      </c>
    </row>
    <row r="2730" spans="1:31" ht="45" x14ac:dyDescent="0.25">
      <c r="A2730" s="31" t="s">
        <v>5705</v>
      </c>
      <c r="B2730" s="16" t="s">
        <v>401</v>
      </c>
      <c r="C2730" s="16" t="s">
        <v>164</v>
      </c>
      <c r="D2730" s="33" t="s">
        <v>4732</v>
      </c>
      <c r="E2730" s="33">
        <v>155</v>
      </c>
      <c r="F2730" s="33">
        <v>5</v>
      </c>
      <c r="G2730" s="33">
        <v>7</v>
      </c>
      <c r="H2730" s="33"/>
      <c r="I2730" s="31" t="s">
        <v>46</v>
      </c>
      <c r="J2730" s="31"/>
      <c r="K2730" s="33"/>
      <c r="L2730" s="33"/>
      <c r="M2730" s="31"/>
      <c r="N2730" s="31"/>
      <c r="O2730" s="16" t="s">
        <v>5706</v>
      </c>
      <c r="P2730" s="16"/>
      <c r="Q2730" s="16"/>
      <c r="R2730" s="33"/>
      <c r="S2730" s="34"/>
      <c r="T2730" s="34"/>
      <c r="U2730" s="34"/>
      <c r="V2730" s="34"/>
      <c r="W2730" s="34"/>
      <c r="X2730" s="33" t="s">
        <v>3823</v>
      </c>
      <c r="Y2730" s="35" t="str">
        <f>IF(Tabela2[[#This Row],[SIGLA]]="","",VLOOKUP(Tabela2[[#This Row],[SIGLA]],Tabela1[[#All],[Sigla Arte]:[Crédito]],2,0))</f>
        <v>RONALDO LUCENA/ARQUIVO DA EDITORA</v>
      </c>
      <c r="Z2730" s="31"/>
      <c r="AA2730" s="31" t="str">
        <f>Tabela2[[#This Row],[ILUSTRADOR CRIAÇÃO]]</f>
        <v>RONALDO LUCENA/ARQUIVO DA EDITORA</v>
      </c>
      <c r="AB2730" s="33"/>
      <c r="AC2730" s="16"/>
      <c r="AE2730" s="35" t="str">
        <f t="shared" si="43"/>
        <v>EF1 E002 Mat</v>
      </c>
    </row>
    <row r="2731" spans="1:31" ht="45" x14ac:dyDescent="0.25">
      <c r="A2731" s="31" t="s">
        <v>5707</v>
      </c>
      <c r="B2731" s="16" t="s">
        <v>32</v>
      </c>
      <c r="C2731" s="16" t="s">
        <v>164</v>
      </c>
      <c r="D2731" s="33" t="s">
        <v>4732</v>
      </c>
      <c r="E2731" s="33">
        <v>117</v>
      </c>
      <c r="F2731" s="33">
        <v>5</v>
      </c>
      <c r="G2731" s="33">
        <v>6</v>
      </c>
      <c r="H2731" s="33"/>
      <c r="I2731" s="31" t="s">
        <v>46</v>
      </c>
      <c r="J2731" s="31"/>
      <c r="K2731" s="33"/>
      <c r="L2731" s="33"/>
      <c r="M2731" s="31"/>
      <c r="N2731" s="31"/>
      <c r="O2731" s="16" t="s">
        <v>5708</v>
      </c>
      <c r="P2731" s="16"/>
      <c r="Q2731" s="16"/>
      <c r="R2731" s="33"/>
      <c r="S2731" s="34"/>
      <c r="T2731" s="34"/>
      <c r="U2731" s="34"/>
      <c r="V2731" s="34"/>
      <c r="W2731" s="34"/>
      <c r="X2731" s="33" t="s">
        <v>1126</v>
      </c>
      <c r="Y2731" s="35" t="str">
        <f>IF(Tabela2[[#This Row],[SIGLA]]="","",VLOOKUP(Tabela2[[#This Row],[SIGLA]],Tabela1[[#All],[Sigla Arte]:[Crédito]],2,0))</f>
        <v>GUSTAVO CONTI/ARQUIVO DA EDITORA</v>
      </c>
      <c r="Z2731" s="31"/>
      <c r="AA2731" s="31" t="str">
        <f>Tabela2[[#This Row],[ILUSTRADOR CRIAÇÃO]]</f>
        <v>GUSTAVO CONTI/ARQUIVO DA EDITORA</v>
      </c>
      <c r="AB2731" s="33"/>
      <c r="AC2731" s="16"/>
      <c r="AE2731" s="35" t="str">
        <f t="shared" si="43"/>
        <v>EF1 E002 Mat</v>
      </c>
    </row>
    <row r="2732" spans="1:31" ht="45" x14ac:dyDescent="0.25">
      <c r="A2732" s="31" t="s">
        <v>5709</v>
      </c>
      <c r="B2732" s="16" t="s">
        <v>32</v>
      </c>
      <c r="C2732" s="16" t="s">
        <v>164</v>
      </c>
      <c r="D2732" s="33" t="s">
        <v>4732</v>
      </c>
      <c r="E2732" s="33">
        <v>117</v>
      </c>
      <c r="F2732" s="33">
        <v>5</v>
      </c>
      <c r="G2732" s="33">
        <v>6</v>
      </c>
      <c r="H2732" s="33"/>
      <c r="I2732" s="31" t="s">
        <v>46</v>
      </c>
      <c r="J2732" s="31"/>
      <c r="K2732" s="33"/>
      <c r="L2732" s="33"/>
      <c r="M2732" s="31"/>
      <c r="N2732" s="31"/>
      <c r="O2732" s="16" t="s">
        <v>5710</v>
      </c>
      <c r="P2732" s="16"/>
      <c r="Q2732" s="16"/>
      <c r="R2732" s="33"/>
      <c r="S2732" s="34"/>
      <c r="T2732" s="34"/>
      <c r="U2732" s="34"/>
      <c r="V2732" s="34"/>
      <c r="W2732" s="34"/>
      <c r="X2732" s="33" t="s">
        <v>1126</v>
      </c>
      <c r="Y2732" s="35" t="str">
        <f>IF(Tabela2[[#This Row],[SIGLA]]="","",VLOOKUP(Tabela2[[#This Row],[SIGLA]],Tabela1[[#All],[Sigla Arte]:[Crédito]],2,0))</f>
        <v>GUSTAVO CONTI/ARQUIVO DA EDITORA</v>
      </c>
      <c r="Z2732" s="31"/>
      <c r="AA2732" s="31" t="str">
        <f>Tabela2[[#This Row],[ILUSTRADOR CRIAÇÃO]]</f>
        <v>GUSTAVO CONTI/ARQUIVO DA EDITORA</v>
      </c>
      <c r="AB2732" s="33"/>
      <c r="AC2732" s="16"/>
      <c r="AE2732" s="35" t="str">
        <f t="shared" si="43"/>
        <v>EF1 E002 Mat</v>
      </c>
    </row>
    <row r="2733" spans="1:31" ht="45" x14ac:dyDescent="0.25">
      <c r="A2733" s="31" t="s">
        <v>5711</v>
      </c>
      <c r="B2733" s="16" t="s">
        <v>3802</v>
      </c>
      <c r="C2733" s="16" t="s">
        <v>164</v>
      </c>
      <c r="D2733" s="33" t="s">
        <v>4732</v>
      </c>
      <c r="E2733" s="33">
        <v>122</v>
      </c>
      <c r="F2733" s="33">
        <v>5</v>
      </c>
      <c r="G2733" s="33">
        <v>6</v>
      </c>
      <c r="H2733" s="33"/>
      <c r="I2733" s="31" t="s">
        <v>35</v>
      </c>
      <c r="J2733" s="31"/>
      <c r="K2733" s="33"/>
      <c r="L2733" s="33"/>
      <c r="M2733" s="31"/>
      <c r="N2733" s="31"/>
      <c r="O2733" s="16" t="s">
        <v>5712</v>
      </c>
      <c r="P2733" s="16"/>
      <c r="Q2733" s="16"/>
      <c r="R2733" s="33"/>
      <c r="S2733" s="34"/>
      <c r="T2733" s="34"/>
      <c r="U2733" s="34"/>
      <c r="V2733" s="34"/>
      <c r="W2733" s="34"/>
      <c r="X2733" s="33" t="s">
        <v>1126</v>
      </c>
      <c r="Y2733" s="35" t="str">
        <f>IF(Tabela2[[#This Row],[SIGLA]]="","",VLOOKUP(Tabela2[[#This Row],[SIGLA]],Tabela1[[#All],[Sigla Arte]:[Crédito]],2,0))</f>
        <v>GUSTAVO CONTI/ARQUIVO DA EDITORA</v>
      </c>
      <c r="Z2733" s="31"/>
      <c r="AA2733" s="31" t="str">
        <f>Tabela2[[#This Row],[ILUSTRADOR CRIAÇÃO]]</f>
        <v>GUSTAVO CONTI/ARQUIVO DA EDITORA</v>
      </c>
      <c r="AB2733" s="33"/>
      <c r="AC2733" s="16"/>
      <c r="AE2733" s="35" t="str">
        <f t="shared" si="43"/>
        <v>EF1 E002 Mat</v>
      </c>
    </row>
    <row r="2734" spans="1:31" ht="45" x14ac:dyDescent="0.25">
      <c r="A2734" s="31" t="s">
        <v>5713</v>
      </c>
      <c r="B2734" s="16" t="s">
        <v>3802</v>
      </c>
      <c r="C2734" s="16" t="s">
        <v>164</v>
      </c>
      <c r="D2734" s="33" t="s">
        <v>4732</v>
      </c>
      <c r="E2734" s="33">
        <v>122</v>
      </c>
      <c r="F2734" s="33">
        <v>5</v>
      </c>
      <c r="G2734" s="33">
        <v>6</v>
      </c>
      <c r="H2734" s="33"/>
      <c r="I2734" s="31" t="s">
        <v>35</v>
      </c>
      <c r="J2734" s="31"/>
      <c r="K2734" s="33"/>
      <c r="L2734" s="33"/>
      <c r="M2734" s="31"/>
      <c r="N2734" s="31"/>
      <c r="O2734" s="16" t="s">
        <v>5714</v>
      </c>
      <c r="P2734" s="16"/>
      <c r="Q2734" s="16"/>
      <c r="R2734" s="33">
        <v>197</v>
      </c>
      <c r="S2734" s="34">
        <v>45940</v>
      </c>
      <c r="T2734" s="34">
        <v>45940</v>
      </c>
      <c r="U2734" s="34"/>
      <c r="V2734" s="34"/>
      <c r="W2734" s="34">
        <v>45941</v>
      </c>
      <c r="X2734" s="33" t="s">
        <v>1126</v>
      </c>
      <c r="Y2734" s="35" t="str">
        <f>IF(Tabela2[[#This Row],[SIGLA]]="","",VLOOKUP(Tabela2[[#This Row],[SIGLA]],Tabela1[[#All],[Sigla Arte]:[Crédito]],2,0))</f>
        <v>GUSTAVO CONTI/ARQUIVO DA EDITORA</v>
      </c>
      <c r="Z2734" s="31" t="s">
        <v>88</v>
      </c>
      <c r="AA2734" s="31" t="str">
        <f>Tabela2[[#This Row],[ILUSTRADOR CRIAÇÃO]]</f>
        <v>GUSTAVO CONTI/ARQUIVO DA EDITORA</v>
      </c>
      <c r="AB2734" s="33">
        <v>13</v>
      </c>
      <c r="AC2734" s="16" t="s">
        <v>39</v>
      </c>
      <c r="AD2734" s="16" t="s">
        <v>40</v>
      </c>
      <c r="AE2734" s="35" t="str">
        <f t="shared" si="43"/>
        <v>EF1 E002 Mat</v>
      </c>
    </row>
    <row r="2735" spans="1:31" ht="45" x14ac:dyDescent="0.25">
      <c r="A2735" s="31" t="s">
        <v>5715</v>
      </c>
      <c r="B2735" s="16" t="s">
        <v>32</v>
      </c>
      <c r="C2735" s="16" t="s">
        <v>164</v>
      </c>
      <c r="D2735" s="33" t="s">
        <v>4732</v>
      </c>
      <c r="E2735" s="33">
        <v>122</v>
      </c>
      <c r="F2735" s="33">
        <v>5</v>
      </c>
      <c r="G2735" s="33">
        <v>6</v>
      </c>
      <c r="H2735" s="33"/>
      <c r="I2735" s="31" t="s">
        <v>46</v>
      </c>
      <c r="J2735" s="31"/>
      <c r="K2735" s="33"/>
      <c r="L2735" s="33"/>
      <c r="M2735" s="31"/>
      <c r="N2735" s="31"/>
      <c r="O2735" s="16" t="s">
        <v>5716</v>
      </c>
      <c r="P2735" s="16"/>
      <c r="Q2735" s="16"/>
      <c r="R2735" s="33">
        <v>197</v>
      </c>
      <c r="S2735" s="34">
        <v>45940</v>
      </c>
      <c r="T2735" s="34">
        <v>45940</v>
      </c>
      <c r="U2735" s="34"/>
      <c r="V2735" s="34"/>
      <c r="W2735" s="34">
        <v>45941</v>
      </c>
      <c r="X2735" s="33" t="s">
        <v>1126</v>
      </c>
      <c r="Y2735" s="35" t="str">
        <f>IF(Tabela2[[#This Row],[SIGLA]]="","",VLOOKUP(Tabela2[[#This Row],[SIGLA]],Tabela1[[#All],[Sigla Arte]:[Crédito]],2,0))</f>
        <v>GUSTAVO CONTI/ARQUIVO DA EDITORA</v>
      </c>
      <c r="Z2735" s="31" t="s">
        <v>88</v>
      </c>
      <c r="AA2735" s="31" t="str">
        <f>Tabela2[[#This Row],[ILUSTRADOR CRIAÇÃO]]</f>
        <v>GUSTAVO CONTI/ARQUIVO DA EDITORA</v>
      </c>
      <c r="AB2735" s="33">
        <v>13</v>
      </c>
      <c r="AC2735" s="16" t="s">
        <v>39</v>
      </c>
      <c r="AD2735" s="16" t="s">
        <v>40</v>
      </c>
      <c r="AE2735" s="35" t="str">
        <f t="shared" si="43"/>
        <v>EF1 E002 Mat</v>
      </c>
    </row>
    <row r="2736" spans="1:31" ht="105" x14ac:dyDescent="0.25">
      <c r="A2736" s="31" t="s">
        <v>5717</v>
      </c>
      <c r="B2736" s="16" t="s">
        <v>32</v>
      </c>
      <c r="C2736" s="16" t="s">
        <v>327</v>
      </c>
      <c r="D2736" s="33" t="s">
        <v>4732</v>
      </c>
      <c r="E2736" s="33">
        <v>232</v>
      </c>
      <c r="F2736" s="33">
        <v>5</v>
      </c>
      <c r="G2736" s="33">
        <v>10</v>
      </c>
      <c r="H2736" s="33"/>
      <c r="I2736" s="31" t="s">
        <v>35</v>
      </c>
      <c r="J2736" s="31"/>
      <c r="K2736" s="33"/>
      <c r="L2736" s="33"/>
      <c r="M2736" s="31"/>
      <c r="N2736" s="31"/>
      <c r="O2736" s="16" t="s">
        <v>5718</v>
      </c>
      <c r="P2736" s="16"/>
      <c r="Q2736" s="16"/>
      <c r="R2736" s="33">
        <v>177</v>
      </c>
      <c r="S2736" s="34">
        <v>45923</v>
      </c>
      <c r="T2736" s="34">
        <v>45923</v>
      </c>
      <c r="U2736" s="34"/>
      <c r="V2736" s="34"/>
      <c r="W2736" s="34">
        <v>45924</v>
      </c>
      <c r="X2736" s="33" t="s">
        <v>1126</v>
      </c>
      <c r="Y2736" s="35" t="str">
        <f>IF(Tabela2[[#This Row],[SIGLA]]="","",VLOOKUP(Tabela2[[#This Row],[SIGLA]],Tabela1[[#All],[Sigla Arte]:[Crédito]],2,0))</f>
        <v>GUSTAVO CONTI/ARQUIVO DA EDITORA</v>
      </c>
      <c r="Z2736" s="31" t="s">
        <v>572</v>
      </c>
      <c r="AA2736" s="31" t="str">
        <f>Tabela2[[#This Row],[ILUSTRADOR CRIAÇÃO]]</f>
        <v>GUSTAVO CONTI/ARQUIVO DA EDITORA</v>
      </c>
      <c r="AB2736" s="33">
        <v>13</v>
      </c>
      <c r="AC2736" s="16" t="s">
        <v>44</v>
      </c>
      <c r="AD2736" s="16" t="s">
        <v>40</v>
      </c>
      <c r="AE2736" s="35" t="str">
        <f t="shared" si="43"/>
        <v>EF1 E002 Mat</v>
      </c>
    </row>
    <row r="2737" spans="1:31" ht="75" x14ac:dyDescent="0.25">
      <c r="A2737" s="31" t="s">
        <v>5719</v>
      </c>
      <c r="B2737" s="16" t="s">
        <v>32</v>
      </c>
      <c r="C2737" s="16" t="s">
        <v>164</v>
      </c>
      <c r="D2737" s="33" t="s">
        <v>4732</v>
      </c>
      <c r="E2737" s="33">
        <v>232</v>
      </c>
      <c r="F2737" s="33">
        <v>5</v>
      </c>
      <c r="G2737" s="33">
        <v>10</v>
      </c>
      <c r="H2737" s="33"/>
      <c r="I2737" s="31" t="s">
        <v>35</v>
      </c>
      <c r="J2737" s="31"/>
      <c r="K2737" s="33"/>
      <c r="L2737" s="33"/>
      <c r="M2737" s="31"/>
      <c r="N2737" s="31"/>
      <c r="O2737" s="16" t="s">
        <v>5720</v>
      </c>
      <c r="P2737" s="16"/>
      <c r="Q2737" s="16"/>
      <c r="R2737" s="33">
        <v>177</v>
      </c>
      <c r="S2737" s="34">
        <v>45923</v>
      </c>
      <c r="T2737" s="34">
        <v>45923</v>
      </c>
      <c r="U2737" s="34"/>
      <c r="V2737" s="34"/>
      <c r="W2737" s="34">
        <v>45927</v>
      </c>
      <c r="X2737" s="33" t="s">
        <v>1126</v>
      </c>
      <c r="Y2737" s="35" t="str">
        <f>IF(Tabela2[[#This Row],[SIGLA]]="","",VLOOKUP(Tabela2[[#This Row],[SIGLA]],Tabela1[[#All],[Sigla Arte]:[Crédito]],2,0))</f>
        <v>GUSTAVO CONTI/ARQUIVO DA EDITORA</v>
      </c>
      <c r="Z2737" s="31" t="s">
        <v>572</v>
      </c>
      <c r="AA2737" s="31" t="str">
        <f>Tabela2[[#This Row],[ILUSTRADOR CRIAÇÃO]]</f>
        <v>GUSTAVO CONTI/ARQUIVO DA EDITORA</v>
      </c>
      <c r="AB2737" s="33">
        <v>13</v>
      </c>
      <c r="AC2737" s="16" t="s">
        <v>44</v>
      </c>
      <c r="AE2737" s="35" t="str">
        <f t="shared" si="43"/>
        <v>EF1 E002 Mat</v>
      </c>
    </row>
    <row r="2738" spans="1:31" ht="45" x14ac:dyDescent="0.25">
      <c r="A2738" s="31" t="s">
        <v>5721</v>
      </c>
      <c r="B2738" s="16" t="s">
        <v>32</v>
      </c>
      <c r="C2738" s="16" t="s">
        <v>164</v>
      </c>
      <c r="D2738" s="33" t="s">
        <v>34</v>
      </c>
      <c r="E2738" s="33">
        <v>277</v>
      </c>
      <c r="F2738" s="33">
        <v>4</v>
      </c>
      <c r="G2738" s="33" t="s">
        <v>4785</v>
      </c>
      <c r="H2738" s="33" t="s">
        <v>4419</v>
      </c>
      <c r="I2738" s="31" t="s">
        <v>46</v>
      </c>
      <c r="J2738" s="31"/>
      <c r="K2738" s="33"/>
      <c r="L2738" s="33"/>
      <c r="M2738" s="31"/>
      <c r="N2738" s="31"/>
      <c r="O2738" s="16" t="s">
        <v>5722</v>
      </c>
      <c r="P2738" s="16"/>
      <c r="Q2738" s="16"/>
      <c r="R2738" s="33"/>
      <c r="S2738" s="34"/>
      <c r="T2738" s="34"/>
      <c r="U2738" s="34"/>
      <c r="V2738" s="34"/>
      <c r="W2738" s="34"/>
      <c r="X2738" s="33" t="s">
        <v>162</v>
      </c>
      <c r="Y2738" s="35" t="str">
        <f>IF(Tabela2[[#This Row],[SIGLA]]="","",VLOOKUP(Tabela2[[#This Row],[SIGLA]],Tabela1[[#All],[Sigla Arte]:[Crédito]],2,0))</f>
        <v>IVY NUNES/ARQUIVO DA EDITORA</v>
      </c>
      <c r="Z2738" s="31"/>
      <c r="AA2738" s="31" t="str">
        <f>Tabela2[[#This Row],[ILUSTRADOR CRIAÇÃO]]</f>
        <v>IVY NUNES/ARQUIVO DA EDITORA</v>
      </c>
      <c r="AB2738" s="33"/>
      <c r="AC2738" s="16"/>
      <c r="AE2738" s="35" t="str">
        <f t="shared" ref="AE2738:AE2801" si="44">"EF1 E002 Mat"</f>
        <v>EF1 E002 Mat</v>
      </c>
    </row>
    <row r="2739" spans="1:31" ht="45" x14ac:dyDescent="0.25">
      <c r="A2739" s="31" t="s">
        <v>5723</v>
      </c>
      <c r="B2739" s="16" t="s">
        <v>32</v>
      </c>
      <c r="C2739" s="16" t="s">
        <v>164</v>
      </c>
      <c r="D2739" s="33" t="s">
        <v>34</v>
      </c>
      <c r="E2739" s="33">
        <v>279</v>
      </c>
      <c r="F2739" s="33">
        <v>4</v>
      </c>
      <c r="G2739" s="33" t="s">
        <v>4785</v>
      </c>
      <c r="H2739" s="33" t="s">
        <v>4419</v>
      </c>
      <c r="I2739" s="31" t="s">
        <v>46</v>
      </c>
      <c r="J2739" s="31"/>
      <c r="K2739" s="33"/>
      <c r="L2739" s="33"/>
      <c r="M2739" s="31"/>
      <c r="N2739" s="31"/>
      <c r="O2739" s="16" t="s">
        <v>5724</v>
      </c>
      <c r="P2739" s="16"/>
      <c r="Q2739" s="16"/>
      <c r="R2739" s="33"/>
      <c r="S2739" s="34"/>
      <c r="T2739" s="34"/>
      <c r="U2739" s="34"/>
      <c r="V2739" s="34"/>
      <c r="W2739" s="34"/>
      <c r="X2739" s="33" t="s">
        <v>3443</v>
      </c>
      <c r="Y2739" s="35" t="str">
        <f>IF(Tabela2[[#This Row],[SIGLA]]="","",VLOOKUP(Tabela2[[#This Row],[SIGLA]],Tabela1[[#All],[Sigla Arte]:[Crédito]],2,0))</f>
        <v>VINÍCIUS COSTA/ARQUIVO DA EDITORA</v>
      </c>
      <c r="Z2739" s="31"/>
      <c r="AA2739" s="31" t="str">
        <f>Tabela2[[#This Row],[ILUSTRADOR CRIAÇÃO]]</f>
        <v>VINÍCIUS COSTA/ARQUIVO DA EDITORA</v>
      </c>
      <c r="AB2739" s="33"/>
      <c r="AC2739" s="16"/>
      <c r="AE2739" s="35" t="str">
        <f t="shared" si="44"/>
        <v>EF1 E002 Mat</v>
      </c>
    </row>
    <row r="2740" spans="1:31" ht="45" x14ac:dyDescent="0.25">
      <c r="A2740" s="31" t="s">
        <v>5725</v>
      </c>
      <c r="B2740" s="16" t="s">
        <v>32</v>
      </c>
      <c r="C2740" s="16" t="s">
        <v>164</v>
      </c>
      <c r="D2740" s="33" t="s">
        <v>34</v>
      </c>
      <c r="E2740" s="33">
        <v>279</v>
      </c>
      <c r="F2740" s="33">
        <v>4</v>
      </c>
      <c r="G2740" s="33" t="s">
        <v>4785</v>
      </c>
      <c r="H2740" s="33" t="s">
        <v>4419</v>
      </c>
      <c r="I2740" s="31" t="s">
        <v>46</v>
      </c>
      <c r="J2740" s="31"/>
      <c r="K2740" s="33"/>
      <c r="L2740" s="33"/>
      <c r="M2740" s="31"/>
      <c r="N2740" s="31"/>
      <c r="O2740" s="16" t="s">
        <v>5726</v>
      </c>
      <c r="P2740" s="16"/>
      <c r="Q2740" s="16"/>
      <c r="R2740" s="33"/>
      <c r="S2740" s="34"/>
      <c r="T2740" s="34"/>
      <c r="U2740" s="34"/>
      <c r="V2740" s="34"/>
      <c r="W2740" s="34"/>
      <c r="X2740" s="33" t="s">
        <v>3443</v>
      </c>
      <c r="Y2740" s="35" t="str">
        <f>IF(Tabela2[[#This Row],[SIGLA]]="","",VLOOKUP(Tabela2[[#This Row],[SIGLA]],Tabela1[[#All],[Sigla Arte]:[Crédito]],2,0))</f>
        <v>VINÍCIUS COSTA/ARQUIVO DA EDITORA</v>
      </c>
      <c r="Z2740" s="31"/>
      <c r="AA2740" s="31" t="str">
        <f>Tabela2[[#This Row],[ILUSTRADOR CRIAÇÃO]]</f>
        <v>VINÍCIUS COSTA/ARQUIVO DA EDITORA</v>
      </c>
      <c r="AB2740" s="33"/>
      <c r="AC2740" s="16"/>
      <c r="AE2740" s="35" t="str">
        <f t="shared" si="44"/>
        <v>EF1 E002 Mat</v>
      </c>
    </row>
    <row r="2741" spans="1:31" ht="45" x14ac:dyDescent="0.25">
      <c r="A2741" s="31" t="s">
        <v>5727</v>
      </c>
      <c r="B2741" s="16" t="s">
        <v>32</v>
      </c>
      <c r="C2741" s="16" t="s">
        <v>164</v>
      </c>
      <c r="D2741" s="33" t="s">
        <v>34</v>
      </c>
      <c r="E2741" s="33">
        <v>287</v>
      </c>
      <c r="F2741" s="33">
        <v>4</v>
      </c>
      <c r="G2741" s="33" t="s">
        <v>4785</v>
      </c>
      <c r="H2741" s="33" t="s">
        <v>4419</v>
      </c>
      <c r="I2741" s="31" t="s">
        <v>46</v>
      </c>
      <c r="J2741" s="31"/>
      <c r="K2741" s="33"/>
      <c r="L2741" s="33"/>
      <c r="M2741" s="31"/>
      <c r="N2741" s="31"/>
      <c r="O2741" s="16" t="s">
        <v>5728</v>
      </c>
      <c r="P2741" s="16"/>
      <c r="Q2741" s="16"/>
      <c r="R2741" s="33"/>
      <c r="S2741" s="34"/>
      <c r="T2741" s="34"/>
      <c r="U2741" s="34"/>
      <c r="V2741" s="34"/>
      <c r="W2741" s="34"/>
      <c r="X2741" s="33" t="s">
        <v>1126</v>
      </c>
      <c r="Y2741" s="35" t="str">
        <f>IF(Tabela2[[#This Row],[SIGLA]]="","",VLOOKUP(Tabela2[[#This Row],[SIGLA]],Tabela1[[#All],[Sigla Arte]:[Crédito]],2,0))</f>
        <v>GUSTAVO CONTI/ARQUIVO DA EDITORA</v>
      </c>
      <c r="Z2741" s="31"/>
      <c r="AA2741" s="31" t="str">
        <f>Tabela2[[#This Row],[ILUSTRADOR CRIAÇÃO]]</f>
        <v>GUSTAVO CONTI/ARQUIVO DA EDITORA</v>
      </c>
      <c r="AB2741" s="33"/>
      <c r="AC2741" s="16"/>
      <c r="AE2741" s="35" t="str">
        <f t="shared" si="44"/>
        <v>EF1 E002 Mat</v>
      </c>
    </row>
    <row r="2742" spans="1:31" ht="30" x14ac:dyDescent="0.25">
      <c r="A2742" s="31" t="s">
        <v>5729</v>
      </c>
      <c r="B2742" s="16" t="s">
        <v>32</v>
      </c>
      <c r="C2742" s="16" t="s">
        <v>164</v>
      </c>
      <c r="D2742" s="33" t="s">
        <v>34</v>
      </c>
      <c r="E2742" s="33">
        <v>62</v>
      </c>
      <c r="F2742" s="33">
        <v>2</v>
      </c>
      <c r="G2742" s="33">
        <v>2</v>
      </c>
      <c r="H2742" s="33"/>
      <c r="I2742" s="31" t="s">
        <v>46</v>
      </c>
      <c r="J2742" s="31"/>
      <c r="K2742" s="33"/>
      <c r="L2742" s="33"/>
      <c r="M2742" s="31"/>
      <c r="N2742" s="31"/>
      <c r="O2742" s="16" t="s">
        <v>5730</v>
      </c>
      <c r="P2742" s="16"/>
      <c r="Q2742" s="16"/>
      <c r="R2742" s="33"/>
      <c r="S2742" s="34"/>
      <c r="T2742" s="34"/>
      <c r="U2742" s="34"/>
      <c r="V2742" s="34"/>
      <c r="W2742" s="34"/>
      <c r="X2742" s="33" t="s">
        <v>48</v>
      </c>
      <c r="Y2742" s="35" t="str">
        <f>IF(Tabela2[[#This Row],[SIGLA]]="","",VLOOKUP(Tabela2[[#This Row],[SIGLA]],Tabela1[[#All],[Sigla Arte]:[Crédito]],2,0))</f>
        <v>SERGIO LIMA/ARQUIVO DA EDITORA</v>
      </c>
      <c r="Z2742" s="31"/>
      <c r="AA2742" s="31" t="str">
        <f>Tabela2[[#This Row],[ILUSTRADOR CRIAÇÃO]]</f>
        <v>SERGIO LIMA/ARQUIVO DA EDITORA</v>
      </c>
      <c r="AB2742" s="33"/>
      <c r="AC2742" s="16"/>
      <c r="AE2742" s="35" t="str">
        <f t="shared" si="44"/>
        <v>EF1 E002 Mat</v>
      </c>
    </row>
    <row r="2743" spans="1:31" x14ac:dyDescent="0.25">
      <c r="A2743" s="31" t="s">
        <v>5731</v>
      </c>
      <c r="B2743" s="16" t="s">
        <v>32</v>
      </c>
      <c r="C2743" s="16" t="s">
        <v>164</v>
      </c>
      <c r="D2743" s="33" t="s">
        <v>34</v>
      </c>
      <c r="E2743" s="33">
        <v>179</v>
      </c>
      <c r="F2743" s="33">
        <v>2</v>
      </c>
      <c r="G2743" s="33">
        <v>7</v>
      </c>
      <c r="H2743" s="33"/>
      <c r="I2743" s="31" t="s">
        <v>995</v>
      </c>
      <c r="J2743" s="31"/>
      <c r="K2743" s="33"/>
      <c r="L2743" s="33"/>
      <c r="M2743" s="31"/>
      <c r="N2743" s="31"/>
      <c r="O2743" s="16" t="s">
        <v>5732</v>
      </c>
      <c r="P2743" s="16"/>
      <c r="Q2743" s="16"/>
      <c r="R2743" s="33">
        <v>181</v>
      </c>
      <c r="S2743" s="34">
        <v>45931</v>
      </c>
      <c r="T2743" s="34">
        <v>45931</v>
      </c>
      <c r="U2743" s="34"/>
      <c r="V2743" s="34"/>
      <c r="W2743" s="34">
        <v>45931</v>
      </c>
      <c r="X2743" s="33" t="s">
        <v>184</v>
      </c>
      <c r="Y2743" s="35" t="str">
        <f>IF(Tabela2[[#This Row],[SIGLA]]="","",VLOOKUP(Tabela2[[#This Row],[SIGLA]],Tabela1[[#All],[Sigla Arte]:[Crédito]],2,0))</f>
        <v>VER DOCUMENTO DE ILS. TÉCNICAS</v>
      </c>
      <c r="Z2743" s="31" t="s">
        <v>572</v>
      </c>
      <c r="AA2743" s="31" t="s">
        <v>949</v>
      </c>
      <c r="AB2743" s="33">
        <v>13</v>
      </c>
      <c r="AC2743" s="16" t="s">
        <v>1450</v>
      </c>
      <c r="AD2743" s="16" t="s">
        <v>40</v>
      </c>
      <c r="AE2743" s="35" t="str">
        <f t="shared" si="44"/>
        <v>EF1 E002 Mat</v>
      </c>
    </row>
    <row r="2744" spans="1:31" ht="30" x14ac:dyDescent="0.25">
      <c r="A2744" s="31" t="s">
        <v>5733</v>
      </c>
      <c r="B2744" s="16" t="s">
        <v>32</v>
      </c>
      <c r="C2744" s="16" t="s">
        <v>164</v>
      </c>
      <c r="D2744" s="33" t="s">
        <v>34</v>
      </c>
      <c r="E2744" s="33">
        <v>245</v>
      </c>
      <c r="F2744" s="33">
        <v>2</v>
      </c>
      <c r="G2744" s="33">
        <v>10</v>
      </c>
      <c r="H2744" s="33"/>
      <c r="I2744" s="31" t="s">
        <v>995</v>
      </c>
      <c r="J2744" s="31"/>
      <c r="K2744" s="33"/>
      <c r="L2744" s="33"/>
      <c r="M2744" s="31"/>
      <c r="N2744" s="31"/>
      <c r="O2744" s="16" t="s">
        <v>5734</v>
      </c>
      <c r="P2744" s="16"/>
      <c r="Q2744" s="16"/>
      <c r="R2744" s="33">
        <v>182</v>
      </c>
      <c r="S2744" s="34">
        <v>45932</v>
      </c>
      <c r="T2744" s="34">
        <v>45932</v>
      </c>
      <c r="U2744" s="34"/>
      <c r="V2744" s="34"/>
      <c r="W2744" s="34">
        <v>45932</v>
      </c>
      <c r="X2744" s="33" t="s">
        <v>184</v>
      </c>
      <c r="Y2744" s="35" t="str">
        <f>IF(Tabela2[[#This Row],[SIGLA]]="","",VLOOKUP(Tabela2[[#This Row],[SIGLA]],Tabela1[[#All],[Sigla Arte]:[Crédito]],2,0))</f>
        <v>VER DOCUMENTO DE ILS. TÉCNICAS</v>
      </c>
      <c r="Z2744" s="31" t="s">
        <v>572</v>
      </c>
      <c r="AA2744" s="31" t="s">
        <v>921</v>
      </c>
      <c r="AB2744" s="33">
        <v>13</v>
      </c>
      <c r="AC2744" s="16" t="s">
        <v>1450</v>
      </c>
      <c r="AD2744" s="16" t="s">
        <v>40</v>
      </c>
      <c r="AE2744" s="35" t="str">
        <f t="shared" si="44"/>
        <v>EF1 E002 Mat</v>
      </c>
    </row>
    <row r="2745" spans="1:31" ht="30" x14ac:dyDescent="0.25">
      <c r="A2745" s="31" t="s">
        <v>5735</v>
      </c>
      <c r="B2745" s="16" t="s">
        <v>32</v>
      </c>
      <c r="C2745" s="16" t="s">
        <v>164</v>
      </c>
      <c r="D2745" s="33" t="s">
        <v>34</v>
      </c>
      <c r="E2745" s="33">
        <v>245</v>
      </c>
      <c r="F2745" s="33">
        <v>2</v>
      </c>
      <c r="G2745" s="33">
        <v>10</v>
      </c>
      <c r="H2745" s="33"/>
      <c r="I2745" s="31" t="s">
        <v>995</v>
      </c>
      <c r="J2745" s="31"/>
      <c r="K2745" s="33"/>
      <c r="L2745" s="33"/>
      <c r="M2745" s="31"/>
      <c r="N2745" s="31"/>
      <c r="O2745" s="16" t="s">
        <v>5736</v>
      </c>
      <c r="P2745" s="16"/>
      <c r="Q2745" s="16"/>
      <c r="R2745" s="33">
        <v>182</v>
      </c>
      <c r="S2745" s="34">
        <v>45932</v>
      </c>
      <c r="T2745" s="34">
        <v>45932</v>
      </c>
      <c r="U2745" s="34"/>
      <c r="V2745" s="34"/>
      <c r="W2745" s="34">
        <v>45932</v>
      </c>
      <c r="X2745" s="33" t="s">
        <v>184</v>
      </c>
      <c r="Y2745" s="35" t="str">
        <f>IF(Tabela2[[#This Row],[SIGLA]]="","",VLOOKUP(Tabela2[[#This Row],[SIGLA]],Tabela1[[#All],[Sigla Arte]:[Crédito]],2,0))</f>
        <v>VER DOCUMENTO DE ILS. TÉCNICAS</v>
      </c>
      <c r="Z2745" s="31" t="s">
        <v>572</v>
      </c>
      <c r="AA2745" s="31" t="s">
        <v>921</v>
      </c>
      <c r="AB2745" s="33">
        <v>13</v>
      </c>
      <c r="AC2745" s="16" t="s">
        <v>1450</v>
      </c>
      <c r="AD2745" s="16" t="s">
        <v>40</v>
      </c>
      <c r="AE2745" s="35" t="str">
        <f t="shared" si="44"/>
        <v>EF1 E002 Mat</v>
      </c>
    </row>
    <row r="2746" spans="1:31" ht="30" x14ac:dyDescent="0.25">
      <c r="A2746" s="31" t="s">
        <v>5737</v>
      </c>
      <c r="B2746" s="16" t="s">
        <v>32</v>
      </c>
      <c r="C2746" s="16" t="s">
        <v>164</v>
      </c>
      <c r="D2746" s="33" t="s">
        <v>34</v>
      </c>
      <c r="E2746" s="33">
        <v>245</v>
      </c>
      <c r="F2746" s="33">
        <v>2</v>
      </c>
      <c r="G2746" s="33">
        <v>10</v>
      </c>
      <c r="H2746" s="33"/>
      <c r="I2746" s="31" t="s">
        <v>995</v>
      </c>
      <c r="J2746" s="31"/>
      <c r="K2746" s="33"/>
      <c r="L2746" s="33"/>
      <c r="M2746" s="31"/>
      <c r="N2746" s="31"/>
      <c r="O2746" s="16" t="s">
        <v>5738</v>
      </c>
      <c r="P2746" s="16"/>
      <c r="Q2746" s="16"/>
      <c r="R2746" s="33">
        <v>182</v>
      </c>
      <c r="S2746" s="34">
        <v>45932</v>
      </c>
      <c r="T2746" s="34">
        <v>45932</v>
      </c>
      <c r="U2746" s="34"/>
      <c r="V2746" s="34"/>
      <c r="W2746" s="34">
        <v>45932</v>
      </c>
      <c r="X2746" s="33" t="s">
        <v>184</v>
      </c>
      <c r="Y2746" s="35" t="str">
        <f>IF(Tabela2[[#This Row],[SIGLA]]="","",VLOOKUP(Tabela2[[#This Row],[SIGLA]],Tabela1[[#All],[Sigla Arte]:[Crédito]],2,0))</f>
        <v>VER DOCUMENTO DE ILS. TÉCNICAS</v>
      </c>
      <c r="Z2746" s="31" t="s">
        <v>572</v>
      </c>
      <c r="AA2746" s="31" t="s">
        <v>921</v>
      </c>
      <c r="AB2746" s="33">
        <v>13</v>
      </c>
      <c r="AC2746" s="16" t="s">
        <v>1450</v>
      </c>
      <c r="AD2746" s="16" t="s">
        <v>40</v>
      </c>
      <c r="AE2746" s="35" t="str">
        <f t="shared" si="44"/>
        <v>EF1 E002 Mat</v>
      </c>
    </row>
    <row r="2747" spans="1:31" ht="30" x14ac:dyDescent="0.25">
      <c r="A2747" s="31" t="s">
        <v>5739</v>
      </c>
      <c r="B2747" s="16" t="s">
        <v>32</v>
      </c>
      <c r="C2747" s="16" t="s">
        <v>164</v>
      </c>
      <c r="D2747" s="33" t="s">
        <v>34</v>
      </c>
      <c r="E2747" s="33">
        <v>245</v>
      </c>
      <c r="F2747" s="33">
        <v>2</v>
      </c>
      <c r="G2747" s="33">
        <v>10</v>
      </c>
      <c r="H2747" s="33"/>
      <c r="I2747" s="31" t="s">
        <v>995</v>
      </c>
      <c r="J2747" s="31"/>
      <c r="K2747" s="33"/>
      <c r="L2747" s="33"/>
      <c r="M2747" s="31"/>
      <c r="N2747" s="31"/>
      <c r="O2747" s="16" t="s">
        <v>5740</v>
      </c>
      <c r="P2747" s="16"/>
      <c r="Q2747" s="16"/>
      <c r="R2747" s="33">
        <v>182</v>
      </c>
      <c r="S2747" s="34">
        <v>45932</v>
      </c>
      <c r="T2747" s="34">
        <v>45932</v>
      </c>
      <c r="U2747" s="34"/>
      <c r="V2747" s="34"/>
      <c r="W2747" s="34">
        <v>45932</v>
      </c>
      <c r="X2747" s="33" t="s">
        <v>184</v>
      </c>
      <c r="Y2747" s="35" t="str">
        <f>IF(Tabela2[[#This Row],[SIGLA]]="","",VLOOKUP(Tabela2[[#This Row],[SIGLA]],Tabela1[[#All],[Sigla Arte]:[Crédito]],2,0))</f>
        <v>VER DOCUMENTO DE ILS. TÉCNICAS</v>
      </c>
      <c r="Z2747" s="31" t="s">
        <v>572</v>
      </c>
      <c r="AA2747" s="31" t="s">
        <v>921</v>
      </c>
      <c r="AB2747" s="33">
        <v>13</v>
      </c>
      <c r="AC2747" s="16" t="s">
        <v>1450</v>
      </c>
      <c r="AD2747" s="16" t="s">
        <v>40</v>
      </c>
      <c r="AE2747" s="35" t="str">
        <f t="shared" si="44"/>
        <v>EF1 E002 Mat</v>
      </c>
    </row>
    <row r="2748" spans="1:31" ht="45" x14ac:dyDescent="0.25">
      <c r="A2748" s="31" t="s">
        <v>5741</v>
      </c>
      <c r="B2748" s="16" t="s">
        <v>32</v>
      </c>
      <c r="C2748" s="16" t="s">
        <v>164</v>
      </c>
      <c r="D2748" s="33" t="s">
        <v>34</v>
      </c>
      <c r="E2748" s="33">
        <v>146</v>
      </c>
      <c r="F2748" s="33">
        <v>4</v>
      </c>
      <c r="G2748" s="33">
        <v>7</v>
      </c>
      <c r="H2748" s="33"/>
      <c r="I2748" s="31" t="s">
        <v>995</v>
      </c>
      <c r="J2748" s="31"/>
      <c r="K2748" s="33"/>
      <c r="L2748" s="33"/>
      <c r="M2748" s="31"/>
      <c r="N2748" s="31"/>
      <c r="O2748" s="16" t="s">
        <v>5742</v>
      </c>
      <c r="P2748" s="16"/>
      <c r="Q2748" s="16"/>
      <c r="R2748" s="33">
        <v>189</v>
      </c>
      <c r="S2748" s="34">
        <v>45938</v>
      </c>
      <c r="T2748" s="34">
        <v>45938</v>
      </c>
      <c r="U2748" s="34"/>
      <c r="V2748" s="34"/>
      <c r="W2748" s="34">
        <v>45938</v>
      </c>
      <c r="X2748" s="33" t="s">
        <v>184</v>
      </c>
      <c r="Y2748" s="35" t="str">
        <f>IF(Tabela2[[#This Row],[SIGLA]]="","",VLOOKUP(Tabela2[[#This Row],[SIGLA]],Tabela1[[#All],[Sigla Arte]:[Crédito]],2,0))</f>
        <v>VER DOCUMENTO DE ILS. TÉCNICAS</v>
      </c>
      <c r="Z2748" s="31" t="s">
        <v>1465</v>
      </c>
      <c r="AA2748" s="31" t="s">
        <v>921</v>
      </c>
      <c r="AB2748" s="33">
        <v>13</v>
      </c>
      <c r="AC2748" s="16" t="s">
        <v>439</v>
      </c>
      <c r="AD2748" s="16" t="s">
        <v>40</v>
      </c>
      <c r="AE2748" s="35" t="str">
        <f t="shared" si="44"/>
        <v>EF1 E002 Mat</v>
      </c>
    </row>
    <row r="2749" spans="1:31" ht="45" x14ac:dyDescent="0.25">
      <c r="A2749" s="31" t="s">
        <v>5743</v>
      </c>
      <c r="B2749" s="16" t="s">
        <v>32</v>
      </c>
      <c r="C2749" s="16" t="s">
        <v>164</v>
      </c>
      <c r="D2749" s="33" t="s">
        <v>34</v>
      </c>
      <c r="E2749" s="33">
        <v>146</v>
      </c>
      <c r="F2749" s="33">
        <v>4</v>
      </c>
      <c r="G2749" s="33">
        <v>7</v>
      </c>
      <c r="H2749" s="33"/>
      <c r="I2749" s="31" t="s">
        <v>995</v>
      </c>
      <c r="J2749" s="31"/>
      <c r="K2749" s="33"/>
      <c r="L2749" s="33"/>
      <c r="M2749" s="31"/>
      <c r="N2749" s="31"/>
      <c r="O2749" s="16" t="s">
        <v>5744</v>
      </c>
      <c r="P2749" s="16"/>
      <c r="Q2749" s="16"/>
      <c r="R2749" s="33">
        <v>189</v>
      </c>
      <c r="S2749" s="34">
        <v>45938</v>
      </c>
      <c r="T2749" s="34">
        <v>45938</v>
      </c>
      <c r="U2749" s="34"/>
      <c r="V2749" s="34"/>
      <c r="W2749" s="34">
        <v>45938</v>
      </c>
      <c r="X2749" s="33" t="s">
        <v>184</v>
      </c>
      <c r="Y2749" s="35" t="str">
        <f>IF(Tabela2[[#This Row],[SIGLA]]="","",VLOOKUP(Tabela2[[#This Row],[SIGLA]],Tabela1[[#All],[Sigla Arte]:[Crédito]],2,0))</f>
        <v>VER DOCUMENTO DE ILS. TÉCNICAS</v>
      </c>
      <c r="Z2749" s="31" t="s">
        <v>1465</v>
      </c>
      <c r="AA2749" s="31" t="s">
        <v>921</v>
      </c>
      <c r="AB2749" s="33">
        <v>13</v>
      </c>
      <c r="AC2749" s="16" t="s">
        <v>439</v>
      </c>
      <c r="AD2749" s="16" t="s">
        <v>40</v>
      </c>
      <c r="AE2749" s="35" t="str">
        <f t="shared" si="44"/>
        <v>EF1 E002 Mat</v>
      </c>
    </row>
    <row r="2750" spans="1:31" ht="45" x14ac:dyDescent="0.25">
      <c r="A2750" s="31" t="s">
        <v>5745</v>
      </c>
      <c r="B2750" s="16" t="s">
        <v>32</v>
      </c>
      <c r="C2750" s="16" t="s">
        <v>164</v>
      </c>
      <c r="D2750" s="33" t="s">
        <v>34</v>
      </c>
      <c r="E2750" s="33">
        <v>273</v>
      </c>
      <c r="F2750" s="33">
        <v>4</v>
      </c>
      <c r="G2750" s="33"/>
      <c r="H2750" s="33" t="s">
        <v>4419</v>
      </c>
      <c r="I2750" s="31" t="s">
        <v>46</v>
      </c>
      <c r="J2750" s="31"/>
      <c r="K2750" s="33"/>
      <c r="L2750" s="33"/>
      <c r="M2750" s="31"/>
      <c r="N2750" s="31"/>
      <c r="O2750" s="16" t="s">
        <v>5746</v>
      </c>
      <c r="P2750" s="16"/>
      <c r="Q2750" s="16"/>
      <c r="R2750" s="33"/>
      <c r="S2750" s="34"/>
      <c r="T2750" s="34"/>
      <c r="U2750" s="34"/>
      <c r="V2750" s="34"/>
      <c r="W2750" s="34"/>
      <c r="X2750" s="33" t="s">
        <v>184</v>
      </c>
      <c r="Y2750" s="35" t="str">
        <f>IF(Tabela2[[#This Row],[SIGLA]]="","",VLOOKUP(Tabela2[[#This Row],[SIGLA]],Tabela1[[#All],[Sigla Arte]:[Crédito]],2,0))</f>
        <v>VER DOCUMENTO DE ILS. TÉCNICAS</v>
      </c>
      <c r="Z2750" s="31"/>
      <c r="AA2750" s="31" t="s">
        <v>5309</v>
      </c>
      <c r="AB2750" s="33"/>
      <c r="AC2750" s="16"/>
      <c r="AE2750" s="35" t="str">
        <f t="shared" si="44"/>
        <v>EF1 E002 Mat</v>
      </c>
    </row>
    <row r="2751" spans="1:31" ht="45" x14ac:dyDescent="0.25">
      <c r="A2751" s="31" t="s">
        <v>5747</v>
      </c>
      <c r="B2751" s="16" t="s">
        <v>32</v>
      </c>
      <c r="C2751" s="16" t="s">
        <v>164</v>
      </c>
      <c r="D2751" s="33" t="s">
        <v>34</v>
      </c>
      <c r="E2751" s="33">
        <v>273</v>
      </c>
      <c r="F2751" s="33">
        <v>4</v>
      </c>
      <c r="G2751" s="33"/>
      <c r="H2751" s="33" t="s">
        <v>4419</v>
      </c>
      <c r="I2751" s="31" t="s">
        <v>46</v>
      </c>
      <c r="J2751" s="31"/>
      <c r="K2751" s="33"/>
      <c r="L2751" s="33"/>
      <c r="M2751" s="31"/>
      <c r="N2751" s="31"/>
      <c r="O2751" s="16" t="s">
        <v>5748</v>
      </c>
      <c r="P2751" s="16"/>
      <c r="Q2751" s="16"/>
      <c r="R2751" s="33"/>
      <c r="S2751" s="34"/>
      <c r="T2751" s="34"/>
      <c r="U2751" s="34"/>
      <c r="V2751" s="34"/>
      <c r="W2751" s="34"/>
      <c r="X2751" s="33" t="s">
        <v>184</v>
      </c>
      <c r="Y2751" s="35" t="str">
        <f>IF(Tabela2[[#This Row],[SIGLA]]="","",VLOOKUP(Tabela2[[#This Row],[SIGLA]],Tabela1[[#All],[Sigla Arte]:[Crédito]],2,0))</f>
        <v>VER DOCUMENTO DE ILS. TÉCNICAS</v>
      </c>
      <c r="Z2751" s="31"/>
      <c r="AA2751" s="31" t="s">
        <v>5309</v>
      </c>
      <c r="AB2751" s="33"/>
      <c r="AC2751" s="16"/>
      <c r="AE2751" s="35" t="str">
        <f t="shared" si="44"/>
        <v>EF1 E002 Mat</v>
      </c>
    </row>
    <row r="2752" spans="1:31" ht="45" x14ac:dyDescent="0.25">
      <c r="A2752" s="31" t="s">
        <v>5749</v>
      </c>
      <c r="B2752" s="16" t="s">
        <v>3802</v>
      </c>
      <c r="C2752" s="16" t="s">
        <v>164</v>
      </c>
      <c r="D2752" s="33" t="s">
        <v>4732</v>
      </c>
      <c r="E2752" s="33">
        <v>118</v>
      </c>
      <c r="F2752" s="33">
        <v>5</v>
      </c>
      <c r="G2752" s="33">
        <v>6</v>
      </c>
      <c r="H2752" s="33"/>
      <c r="I2752" s="31" t="s">
        <v>995</v>
      </c>
      <c r="J2752" s="31"/>
      <c r="K2752" s="33"/>
      <c r="L2752" s="33"/>
      <c r="M2752" s="31"/>
      <c r="N2752" s="31"/>
      <c r="O2752" s="16" t="s">
        <v>5750</v>
      </c>
      <c r="P2752" s="16"/>
      <c r="Q2752" s="16"/>
      <c r="R2752" s="33">
        <v>197</v>
      </c>
      <c r="S2752" s="34">
        <v>45940</v>
      </c>
      <c r="T2752" s="34">
        <v>45940</v>
      </c>
      <c r="U2752" s="34"/>
      <c r="V2752" s="34"/>
      <c r="W2752" s="34">
        <v>45941</v>
      </c>
      <c r="X2752" s="33" t="s">
        <v>3749</v>
      </c>
      <c r="Y2752" s="35" t="str">
        <f>IF(Tabela2[[#This Row],[SIGLA]]="","",VLOOKUP(Tabela2[[#This Row],[SIGLA]],Tabela1[[#All],[Sigla Arte]:[Crédito]],2,0))</f>
        <v>TATIANE GALHEIRO/ARQUIVO DA EDITORA</v>
      </c>
      <c r="Z2752" s="31"/>
      <c r="AA2752" s="31" t="str">
        <f>Tabela2[[#This Row],[ILUSTRADOR CRIAÇÃO]]</f>
        <v>TATIANE GALHEIRO/ARQUIVO DA EDITORA</v>
      </c>
      <c r="AB2752" s="33">
        <v>8</v>
      </c>
      <c r="AC2752" s="16" t="s">
        <v>3750</v>
      </c>
      <c r="AD2752" s="16" t="s">
        <v>40</v>
      </c>
      <c r="AE2752" s="35" t="str">
        <f t="shared" si="44"/>
        <v>EF1 E002 Mat</v>
      </c>
    </row>
    <row r="2753" spans="1:31" ht="60" x14ac:dyDescent="0.25">
      <c r="A2753" s="31" t="s">
        <v>5751</v>
      </c>
      <c r="B2753" s="16" t="s">
        <v>3802</v>
      </c>
      <c r="C2753" s="16" t="s">
        <v>164</v>
      </c>
      <c r="D2753" s="33" t="s">
        <v>4732</v>
      </c>
      <c r="E2753" s="33">
        <v>118</v>
      </c>
      <c r="F2753" s="33">
        <v>5</v>
      </c>
      <c r="G2753" s="33">
        <v>6</v>
      </c>
      <c r="H2753" s="33"/>
      <c r="I2753" s="31" t="s">
        <v>995</v>
      </c>
      <c r="J2753" s="31"/>
      <c r="K2753" s="33"/>
      <c r="L2753" s="33"/>
      <c r="M2753" s="31"/>
      <c r="N2753" s="31"/>
      <c r="O2753" s="16" t="s">
        <v>5752</v>
      </c>
      <c r="P2753" s="16"/>
      <c r="Q2753" s="16"/>
      <c r="R2753" s="33">
        <v>197</v>
      </c>
      <c r="S2753" s="34">
        <v>45940</v>
      </c>
      <c r="T2753" s="34">
        <v>45940</v>
      </c>
      <c r="U2753" s="34"/>
      <c r="V2753" s="34"/>
      <c r="W2753" s="34">
        <v>45941</v>
      </c>
      <c r="X2753" s="33" t="s">
        <v>3749</v>
      </c>
      <c r="Y2753" s="35" t="str">
        <f>IF(Tabela2[[#This Row],[SIGLA]]="","",VLOOKUP(Tabela2[[#This Row],[SIGLA]],Tabela1[[#All],[Sigla Arte]:[Crédito]],2,0))</f>
        <v>TATIANE GALHEIRO/ARQUIVO DA EDITORA</v>
      </c>
      <c r="Z2753" s="31"/>
      <c r="AA2753" s="31" t="str">
        <f>Tabela2[[#This Row],[ILUSTRADOR CRIAÇÃO]]</f>
        <v>TATIANE GALHEIRO/ARQUIVO DA EDITORA</v>
      </c>
      <c r="AB2753" s="33">
        <v>8</v>
      </c>
      <c r="AC2753" s="16" t="s">
        <v>3750</v>
      </c>
      <c r="AD2753" s="16" t="s">
        <v>40</v>
      </c>
      <c r="AE2753" s="35" t="str">
        <f t="shared" si="44"/>
        <v>EF1 E002 Mat</v>
      </c>
    </row>
    <row r="2754" spans="1:31" x14ac:dyDescent="0.25">
      <c r="A2754" s="31"/>
      <c r="B2754" s="16"/>
      <c r="C2754" s="16"/>
      <c r="D2754" s="33"/>
      <c r="E2754" s="33"/>
      <c r="F2754" s="33"/>
      <c r="G2754" s="33"/>
      <c r="H2754" s="33"/>
      <c r="I2754" s="31"/>
      <c r="J2754" s="31"/>
      <c r="K2754" s="33"/>
      <c r="L2754" s="33"/>
      <c r="M2754" s="31"/>
      <c r="N2754" s="31"/>
      <c r="O2754" s="16"/>
      <c r="P2754" s="16"/>
      <c r="Q2754" s="16"/>
      <c r="R2754" s="33"/>
      <c r="S2754" s="34"/>
      <c r="T2754" s="34"/>
      <c r="U2754" s="34"/>
      <c r="V2754" s="34"/>
      <c r="W2754" s="34"/>
      <c r="X2754" s="33"/>
      <c r="Y2754" s="35" t="str">
        <f>IF(Tabela2[[#This Row],[SIGLA]]="","",VLOOKUP(Tabela2[[#This Row],[SIGLA]],Tabela1[[#All],[Sigla Arte]:[Crédito]],2,0))</f>
        <v/>
      </c>
      <c r="Z2754" s="31"/>
      <c r="AA2754" s="31" t="str">
        <f>Tabela2[[#This Row],[ILUSTRADOR CRIAÇÃO]]</f>
        <v/>
      </c>
      <c r="AB2754" s="33"/>
      <c r="AC2754" s="16"/>
      <c r="AE2754" s="35" t="str">
        <f t="shared" si="44"/>
        <v>EF1 E002 Mat</v>
      </c>
    </row>
    <row r="2755" spans="1:31" x14ac:dyDescent="0.25">
      <c r="A2755" s="31"/>
      <c r="B2755" s="16"/>
      <c r="C2755" s="16"/>
      <c r="D2755" s="33"/>
      <c r="E2755" s="33"/>
      <c r="F2755" s="33"/>
      <c r="G2755" s="33"/>
      <c r="H2755" s="33"/>
      <c r="I2755" s="31"/>
      <c r="J2755" s="31"/>
      <c r="K2755" s="33"/>
      <c r="L2755" s="33"/>
      <c r="M2755" s="31"/>
      <c r="N2755" s="31"/>
      <c r="O2755" s="16"/>
      <c r="P2755" s="16"/>
      <c r="Q2755" s="16"/>
      <c r="R2755" s="33"/>
      <c r="S2755" s="34"/>
      <c r="T2755" s="34"/>
      <c r="U2755" s="34"/>
      <c r="V2755" s="34"/>
      <c r="W2755" s="34"/>
      <c r="X2755" s="33"/>
      <c r="Y2755" s="35" t="str">
        <f>IF(Tabela2[[#This Row],[SIGLA]]="","",VLOOKUP(Tabela2[[#This Row],[SIGLA]],Tabela1[[#All],[Sigla Arte]:[Crédito]],2,0))</f>
        <v/>
      </c>
      <c r="Z2755" s="31"/>
      <c r="AA2755" s="31" t="str">
        <f>Tabela2[[#This Row],[ILUSTRADOR CRIAÇÃO]]</f>
        <v/>
      </c>
      <c r="AB2755" s="33"/>
      <c r="AC2755" s="16"/>
      <c r="AE2755" s="35" t="str">
        <f t="shared" si="44"/>
        <v>EF1 E002 Mat</v>
      </c>
    </row>
    <row r="2756" spans="1:31" x14ac:dyDescent="0.25">
      <c r="A2756" s="31"/>
      <c r="B2756" s="16"/>
      <c r="C2756" s="16"/>
      <c r="D2756" s="33"/>
      <c r="E2756" s="33"/>
      <c r="F2756" s="33"/>
      <c r="G2756" s="33"/>
      <c r="H2756" s="33"/>
      <c r="I2756" s="31"/>
      <c r="J2756" s="31"/>
      <c r="K2756" s="33"/>
      <c r="L2756" s="33"/>
      <c r="M2756" s="31"/>
      <c r="N2756" s="31"/>
      <c r="O2756" s="16"/>
      <c r="P2756" s="16"/>
      <c r="Q2756" s="16"/>
      <c r="R2756" s="33"/>
      <c r="S2756" s="34"/>
      <c r="T2756" s="34"/>
      <c r="U2756" s="34"/>
      <c r="V2756" s="34"/>
      <c r="W2756" s="34"/>
      <c r="X2756" s="33"/>
      <c r="Y2756" s="35" t="str">
        <f>IF(Tabela2[[#This Row],[SIGLA]]="","",VLOOKUP(Tabela2[[#This Row],[SIGLA]],Tabela1[[#All],[Sigla Arte]:[Crédito]],2,0))</f>
        <v/>
      </c>
      <c r="Z2756" s="31"/>
      <c r="AA2756" s="31" t="str">
        <f>Tabela2[[#This Row],[ILUSTRADOR CRIAÇÃO]]</f>
        <v/>
      </c>
      <c r="AB2756" s="33"/>
      <c r="AC2756" s="16"/>
      <c r="AE2756" s="35" t="str">
        <f t="shared" si="44"/>
        <v>EF1 E002 Mat</v>
      </c>
    </row>
    <row r="2757" spans="1:31" x14ac:dyDescent="0.25">
      <c r="A2757" s="31"/>
      <c r="B2757" s="16"/>
      <c r="C2757" s="16"/>
      <c r="D2757" s="33"/>
      <c r="E2757" s="33"/>
      <c r="F2757" s="33"/>
      <c r="G2757" s="33"/>
      <c r="H2757" s="33"/>
      <c r="I2757" s="31"/>
      <c r="J2757" s="31"/>
      <c r="K2757" s="33"/>
      <c r="L2757" s="33"/>
      <c r="M2757" s="31"/>
      <c r="N2757" s="31"/>
      <c r="O2757" s="16"/>
      <c r="P2757" s="16"/>
      <c r="Q2757" s="16"/>
      <c r="R2757" s="33"/>
      <c r="S2757" s="34"/>
      <c r="T2757" s="34"/>
      <c r="U2757" s="34"/>
      <c r="V2757" s="34"/>
      <c r="W2757" s="34"/>
      <c r="X2757" s="33"/>
      <c r="Y2757" s="35" t="str">
        <f>IF(Tabela2[[#This Row],[SIGLA]]="","",VLOOKUP(Tabela2[[#This Row],[SIGLA]],Tabela1[[#All],[Sigla Arte]:[Crédito]],2,0))</f>
        <v/>
      </c>
      <c r="Z2757" s="31"/>
      <c r="AA2757" s="31" t="str">
        <f>Tabela2[[#This Row],[ILUSTRADOR CRIAÇÃO]]</f>
        <v/>
      </c>
      <c r="AB2757" s="33"/>
      <c r="AC2757" s="16"/>
      <c r="AE2757" s="35" t="str">
        <f t="shared" si="44"/>
        <v>EF1 E002 Mat</v>
      </c>
    </row>
    <row r="2758" spans="1:31" x14ac:dyDescent="0.25">
      <c r="A2758" s="31"/>
      <c r="B2758" s="16"/>
      <c r="C2758" s="16"/>
      <c r="D2758" s="33"/>
      <c r="E2758" s="33"/>
      <c r="F2758" s="33"/>
      <c r="G2758" s="33"/>
      <c r="H2758" s="33"/>
      <c r="I2758" s="31"/>
      <c r="J2758" s="31"/>
      <c r="K2758" s="33"/>
      <c r="L2758" s="33"/>
      <c r="M2758" s="31"/>
      <c r="N2758" s="31"/>
      <c r="O2758" s="16"/>
      <c r="P2758" s="16"/>
      <c r="Q2758" s="16"/>
      <c r="R2758" s="33"/>
      <c r="S2758" s="34"/>
      <c r="T2758" s="34"/>
      <c r="U2758" s="34"/>
      <c r="V2758" s="34"/>
      <c r="W2758" s="34"/>
      <c r="X2758" s="33"/>
      <c r="Y2758" s="35" t="str">
        <f>IF(Tabela2[[#This Row],[SIGLA]]="","",VLOOKUP(Tabela2[[#This Row],[SIGLA]],Tabela1[[#All],[Sigla Arte]:[Crédito]],2,0))</f>
        <v/>
      </c>
      <c r="Z2758" s="31"/>
      <c r="AA2758" s="31" t="str">
        <f>Tabela2[[#This Row],[ILUSTRADOR CRIAÇÃO]]</f>
        <v/>
      </c>
      <c r="AB2758" s="33"/>
      <c r="AC2758" s="16"/>
      <c r="AE2758" s="35" t="str">
        <f t="shared" si="44"/>
        <v>EF1 E002 Mat</v>
      </c>
    </row>
    <row r="2759" spans="1:31" x14ac:dyDescent="0.25">
      <c r="A2759" s="31"/>
      <c r="B2759" s="16"/>
      <c r="C2759" s="16"/>
      <c r="D2759" s="33"/>
      <c r="E2759" s="33"/>
      <c r="F2759" s="33"/>
      <c r="G2759" s="33"/>
      <c r="H2759" s="33"/>
      <c r="I2759" s="31"/>
      <c r="J2759" s="31"/>
      <c r="K2759" s="33"/>
      <c r="L2759" s="33"/>
      <c r="M2759" s="31"/>
      <c r="N2759" s="31"/>
      <c r="O2759" s="16"/>
      <c r="P2759" s="16"/>
      <c r="Q2759" s="16"/>
      <c r="R2759" s="33"/>
      <c r="S2759" s="34"/>
      <c r="T2759" s="34"/>
      <c r="U2759" s="34"/>
      <c r="V2759" s="34"/>
      <c r="W2759" s="34"/>
      <c r="X2759" s="33"/>
      <c r="Y2759" s="35" t="str">
        <f>IF(Tabela2[[#This Row],[SIGLA]]="","",VLOOKUP(Tabela2[[#This Row],[SIGLA]],Tabela1[[#All],[Sigla Arte]:[Crédito]],2,0))</f>
        <v/>
      </c>
      <c r="Z2759" s="31"/>
      <c r="AA2759" s="31" t="str">
        <f>Tabela2[[#This Row],[ILUSTRADOR CRIAÇÃO]]</f>
        <v/>
      </c>
      <c r="AB2759" s="33"/>
      <c r="AC2759" s="16"/>
      <c r="AE2759" s="35" t="str">
        <f t="shared" si="44"/>
        <v>EF1 E002 Mat</v>
      </c>
    </row>
    <row r="2760" spans="1:31" x14ac:dyDescent="0.25">
      <c r="A2760" s="31"/>
      <c r="B2760" s="16"/>
      <c r="C2760" s="16"/>
      <c r="D2760" s="33"/>
      <c r="E2760" s="33"/>
      <c r="F2760" s="33"/>
      <c r="G2760" s="33"/>
      <c r="H2760" s="33"/>
      <c r="I2760" s="31"/>
      <c r="J2760" s="31"/>
      <c r="K2760" s="33"/>
      <c r="L2760" s="33"/>
      <c r="M2760" s="31"/>
      <c r="N2760" s="31"/>
      <c r="O2760" s="16"/>
      <c r="P2760" s="16"/>
      <c r="Q2760" s="16"/>
      <c r="R2760" s="33"/>
      <c r="S2760" s="34"/>
      <c r="T2760" s="34"/>
      <c r="U2760" s="34"/>
      <c r="V2760" s="34"/>
      <c r="W2760" s="34"/>
      <c r="X2760" s="33"/>
      <c r="Y2760" s="35" t="str">
        <f>IF(Tabela2[[#This Row],[SIGLA]]="","",VLOOKUP(Tabela2[[#This Row],[SIGLA]],Tabela1[[#All],[Sigla Arte]:[Crédito]],2,0))</f>
        <v/>
      </c>
      <c r="Z2760" s="31"/>
      <c r="AA2760" s="31" t="str">
        <f>Tabela2[[#This Row],[ILUSTRADOR CRIAÇÃO]]</f>
        <v/>
      </c>
      <c r="AB2760" s="33"/>
      <c r="AC2760" s="16"/>
      <c r="AE2760" s="35" t="str">
        <f t="shared" si="44"/>
        <v>EF1 E002 Mat</v>
      </c>
    </row>
    <row r="2761" spans="1:31" x14ac:dyDescent="0.25">
      <c r="A2761" s="31"/>
      <c r="B2761" s="16"/>
      <c r="C2761" s="16"/>
      <c r="D2761" s="33"/>
      <c r="E2761" s="33"/>
      <c r="F2761" s="33"/>
      <c r="G2761" s="33"/>
      <c r="H2761" s="33"/>
      <c r="I2761" s="31"/>
      <c r="J2761" s="31"/>
      <c r="K2761" s="33"/>
      <c r="L2761" s="33"/>
      <c r="M2761" s="31"/>
      <c r="N2761" s="31"/>
      <c r="O2761" s="16"/>
      <c r="P2761" s="16"/>
      <c r="Q2761" s="16"/>
      <c r="R2761" s="33"/>
      <c r="S2761" s="34"/>
      <c r="T2761" s="34"/>
      <c r="U2761" s="34"/>
      <c r="V2761" s="34"/>
      <c r="W2761" s="34"/>
      <c r="X2761" s="33"/>
      <c r="Y2761" s="35" t="str">
        <f>IF(Tabela2[[#This Row],[SIGLA]]="","",VLOOKUP(Tabela2[[#This Row],[SIGLA]],Tabela1[[#All],[Sigla Arte]:[Crédito]],2,0))</f>
        <v/>
      </c>
      <c r="Z2761" s="31"/>
      <c r="AA2761" s="31" t="str">
        <f>Tabela2[[#This Row],[ILUSTRADOR CRIAÇÃO]]</f>
        <v/>
      </c>
      <c r="AB2761" s="33"/>
      <c r="AC2761" s="16"/>
      <c r="AE2761" s="35" t="str">
        <f t="shared" si="44"/>
        <v>EF1 E002 Mat</v>
      </c>
    </row>
    <row r="2762" spans="1:31" x14ac:dyDescent="0.25">
      <c r="A2762" s="31"/>
      <c r="B2762" s="16"/>
      <c r="C2762" s="16"/>
      <c r="D2762" s="33"/>
      <c r="E2762" s="33"/>
      <c r="F2762" s="33"/>
      <c r="G2762" s="33"/>
      <c r="H2762" s="33"/>
      <c r="I2762" s="31"/>
      <c r="J2762" s="31"/>
      <c r="K2762" s="33"/>
      <c r="L2762" s="33"/>
      <c r="M2762" s="31"/>
      <c r="N2762" s="31"/>
      <c r="O2762" s="16"/>
      <c r="P2762" s="16"/>
      <c r="Q2762" s="16"/>
      <c r="R2762" s="33"/>
      <c r="S2762" s="34"/>
      <c r="T2762" s="34"/>
      <c r="U2762" s="34"/>
      <c r="V2762" s="34"/>
      <c r="W2762" s="34"/>
      <c r="X2762" s="33"/>
      <c r="Y2762" s="35" t="str">
        <f>IF(Tabela2[[#This Row],[SIGLA]]="","",VLOOKUP(Tabela2[[#This Row],[SIGLA]],Tabela1[[#All],[Sigla Arte]:[Crédito]],2,0))</f>
        <v/>
      </c>
      <c r="Z2762" s="31"/>
      <c r="AA2762" s="31" t="str">
        <f>Tabela2[[#This Row],[ILUSTRADOR CRIAÇÃO]]</f>
        <v/>
      </c>
      <c r="AB2762" s="33"/>
      <c r="AC2762" s="16"/>
      <c r="AE2762" s="35" t="str">
        <f t="shared" si="44"/>
        <v>EF1 E002 Mat</v>
      </c>
    </row>
    <row r="2763" spans="1:31" x14ac:dyDescent="0.25">
      <c r="A2763" s="31"/>
      <c r="B2763" s="16"/>
      <c r="C2763" s="16"/>
      <c r="D2763" s="33"/>
      <c r="E2763" s="33"/>
      <c r="F2763" s="33"/>
      <c r="G2763" s="33"/>
      <c r="H2763" s="33"/>
      <c r="I2763" s="31"/>
      <c r="J2763" s="31"/>
      <c r="K2763" s="33"/>
      <c r="L2763" s="33"/>
      <c r="M2763" s="31"/>
      <c r="N2763" s="31"/>
      <c r="O2763" s="16"/>
      <c r="P2763" s="16"/>
      <c r="Q2763" s="16"/>
      <c r="R2763" s="33"/>
      <c r="S2763" s="34"/>
      <c r="T2763" s="34"/>
      <c r="U2763" s="34"/>
      <c r="V2763" s="34"/>
      <c r="W2763" s="34"/>
      <c r="X2763" s="33"/>
      <c r="Y2763" s="35" t="str">
        <f>IF(Tabela2[[#This Row],[SIGLA]]="","",VLOOKUP(Tabela2[[#This Row],[SIGLA]],Tabela1[[#All],[Sigla Arte]:[Crédito]],2,0))</f>
        <v/>
      </c>
      <c r="Z2763" s="31"/>
      <c r="AA2763" s="31" t="str">
        <f>Tabela2[[#This Row],[ILUSTRADOR CRIAÇÃO]]</f>
        <v/>
      </c>
      <c r="AB2763" s="33"/>
      <c r="AC2763" s="16"/>
      <c r="AE2763" s="35" t="str">
        <f t="shared" si="44"/>
        <v>EF1 E002 Mat</v>
      </c>
    </row>
    <row r="2764" spans="1:31" x14ac:dyDescent="0.25">
      <c r="A2764" s="31"/>
      <c r="B2764" s="16"/>
      <c r="C2764" s="16"/>
      <c r="D2764" s="33"/>
      <c r="E2764" s="33"/>
      <c r="F2764" s="33"/>
      <c r="G2764" s="33"/>
      <c r="H2764" s="33"/>
      <c r="I2764" s="31"/>
      <c r="J2764" s="31"/>
      <c r="K2764" s="33"/>
      <c r="L2764" s="33"/>
      <c r="M2764" s="31"/>
      <c r="N2764" s="31"/>
      <c r="O2764" s="16"/>
      <c r="P2764" s="16"/>
      <c r="Q2764" s="16"/>
      <c r="R2764" s="33"/>
      <c r="S2764" s="34"/>
      <c r="T2764" s="34"/>
      <c r="U2764" s="34"/>
      <c r="V2764" s="34"/>
      <c r="W2764" s="34"/>
      <c r="X2764" s="33"/>
      <c r="Y2764" s="35" t="str">
        <f>IF(Tabela2[[#This Row],[SIGLA]]="","",VLOOKUP(Tabela2[[#This Row],[SIGLA]],Tabela1[[#All],[Sigla Arte]:[Crédito]],2,0))</f>
        <v/>
      </c>
      <c r="Z2764" s="31"/>
      <c r="AA2764" s="31" t="str">
        <f>Tabela2[[#This Row],[ILUSTRADOR CRIAÇÃO]]</f>
        <v/>
      </c>
      <c r="AB2764" s="33"/>
      <c r="AC2764" s="16"/>
      <c r="AE2764" s="35" t="str">
        <f t="shared" si="44"/>
        <v>EF1 E002 Mat</v>
      </c>
    </row>
    <row r="2765" spans="1:31" x14ac:dyDescent="0.25">
      <c r="A2765" s="31"/>
      <c r="B2765" s="16"/>
      <c r="C2765" s="16"/>
      <c r="D2765" s="33"/>
      <c r="E2765" s="33"/>
      <c r="F2765" s="33"/>
      <c r="G2765" s="33"/>
      <c r="H2765" s="33"/>
      <c r="I2765" s="31"/>
      <c r="J2765" s="31"/>
      <c r="K2765" s="33"/>
      <c r="L2765" s="33"/>
      <c r="M2765" s="31"/>
      <c r="N2765" s="31"/>
      <c r="O2765" s="16"/>
      <c r="P2765" s="16"/>
      <c r="Q2765" s="16"/>
      <c r="R2765" s="33"/>
      <c r="S2765" s="34"/>
      <c r="T2765" s="34"/>
      <c r="U2765" s="34"/>
      <c r="V2765" s="34"/>
      <c r="W2765" s="34"/>
      <c r="X2765" s="33"/>
      <c r="Y2765" s="35" t="str">
        <f>IF(Tabela2[[#This Row],[SIGLA]]="","",VLOOKUP(Tabela2[[#This Row],[SIGLA]],Tabela1[[#All],[Sigla Arte]:[Crédito]],2,0))</f>
        <v/>
      </c>
      <c r="Z2765" s="31"/>
      <c r="AA2765" s="31" t="str">
        <f>Tabela2[[#This Row],[ILUSTRADOR CRIAÇÃO]]</f>
        <v/>
      </c>
      <c r="AB2765" s="33"/>
      <c r="AC2765" s="16"/>
      <c r="AE2765" s="35" t="str">
        <f t="shared" si="44"/>
        <v>EF1 E002 Mat</v>
      </c>
    </row>
    <row r="2766" spans="1:31" x14ac:dyDescent="0.25">
      <c r="A2766" s="31"/>
      <c r="B2766" s="16"/>
      <c r="C2766" s="16"/>
      <c r="D2766" s="33"/>
      <c r="E2766" s="33"/>
      <c r="F2766" s="33"/>
      <c r="G2766" s="33"/>
      <c r="H2766" s="33"/>
      <c r="I2766" s="31"/>
      <c r="J2766" s="31"/>
      <c r="K2766" s="33"/>
      <c r="L2766" s="33"/>
      <c r="M2766" s="31"/>
      <c r="N2766" s="31"/>
      <c r="O2766" s="16"/>
      <c r="P2766" s="16"/>
      <c r="Q2766" s="16"/>
      <c r="R2766" s="33"/>
      <c r="S2766" s="34"/>
      <c r="T2766" s="34"/>
      <c r="U2766" s="34"/>
      <c r="V2766" s="34"/>
      <c r="W2766" s="34"/>
      <c r="X2766" s="33"/>
      <c r="Y2766" s="35" t="str">
        <f>IF(Tabela2[[#This Row],[SIGLA]]="","",VLOOKUP(Tabela2[[#This Row],[SIGLA]],Tabela1[[#All],[Sigla Arte]:[Crédito]],2,0))</f>
        <v/>
      </c>
      <c r="Z2766" s="31"/>
      <c r="AA2766" s="31" t="str">
        <f>Tabela2[[#This Row],[ILUSTRADOR CRIAÇÃO]]</f>
        <v/>
      </c>
      <c r="AB2766" s="33"/>
      <c r="AC2766" s="16"/>
      <c r="AE2766" s="35" t="str">
        <f t="shared" si="44"/>
        <v>EF1 E002 Mat</v>
      </c>
    </row>
    <row r="2767" spans="1:31" x14ac:dyDescent="0.25">
      <c r="A2767" s="31"/>
      <c r="B2767" s="16"/>
      <c r="C2767" s="16"/>
      <c r="D2767" s="33"/>
      <c r="E2767" s="33"/>
      <c r="F2767" s="33"/>
      <c r="G2767" s="33"/>
      <c r="H2767" s="33"/>
      <c r="I2767" s="31"/>
      <c r="J2767" s="31"/>
      <c r="K2767" s="33"/>
      <c r="L2767" s="33"/>
      <c r="M2767" s="31"/>
      <c r="N2767" s="31"/>
      <c r="O2767" s="16"/>
      <c r="P2767" s="16"/>
      <c r="Q2767" s="16"/>
      <c r="R2767" s="33"/>
      <c r="S2767" s="34"/>
      <c r="T2767" s="34"/>
      <c r="U2767" s="34"/>
      <c r="V2767" s="34"/>
      <c r="W2767" s="34"/>
      <c r="X2767" s="33"/>
      <c r="Y2767" s="35" t="str">
        <f>IF(Tabela2[[#This Row],[SIGLA]]="","",VLOOKUP(Tabela2[[#This Row],[SIGLA]],Tabela1[[#All],[Sigla Arte]:[Crédito]],2,0))</f>
        <v/>
      </c>
      <c r="Z2767" s="31"/>
      <c r="AA2767" s="31" t="str">
        <f>Tabela2[[#This Row],[ILUSTRADOR CRIAÇÃO]]</f>
        <v/>
      </c>
      <c r="AB2767" s="33"/>
      <c r="AC2767" s="16"/>
      <c r="AE2767" s="35" t="str">
        <f t="shared" si="44"/>
        <v>EF1 E002 Mat</v>
      </c>
    </row>
    <row r="2768" spans="1:31" x14ac:dyDescent="0.25">
      <c r="A2768" s="31"/>
      <c r="B2768" s="16"/>
      <c r="C2768" s="16"/>
      <c r="D2768" s="33"/>
      <c r="E2768" s="33"/>
      <c r="F2768" s="33"/>
      <c r="G2768" s="33"/>
      <c r="H2768" s="33"/>
      <c r="I2768" s="31"/>
      <c r="J2768" s="31"/>
      <c r="K2768" s="33"/>
      <c r="L2768" s="33"/>
      <c r="M2768" s="31"/>
      <c r="N2768" s="31"/>
      <c r="O2768" s="16"/>
      <c r="P2768" s="16"/>
      <c r="Q2768" s="16"/>
      <c r="R2768" s="33"/>
      <c r="S2768" s="34"/>
      <c r="T2768" s="34"/>
      <c r="U2768" s="34"/>
      <c r="V2768" s="34"/>
      <c r="W2768" s="34"/>
      <c r="X2768" s="33"/>
      <c r="Y2768" s="35" t="str">
        <f>IF(Tabela2[[#This Row],[SIGLA]]="","",VLOOKUP(Tabela2[[#This Row],[SIGLA]],Tabela1[[#All],[Sigla Arte]:[Crédito]],2,0))</f>
        <v/>
      </c>
      <c r="Z2768" s="31"/>
      <c r="AA2768" s="31" t="str">
        <f>Tabela2[[#This Row],[ILUSTRADOR CRIAÇÃO]]</f>
        <v/>
      </c>
      <c r="AB2768" s="33"/>
      <c r="AC2768" s="16"/>
      <c r="AE2768" s="35" t="str">
        <f t="shared" si="44"/>
        <v>EF1 E002 Mat</v>
      </c>
    </row>
    <row r="2769" spans="1:31" x14ac:dyDescent="0.25">
      <c r="A2769" s="31"/>
      <c r="B2769" s="16"/>
      <c r="C2769" s="16"/>
      <c r="D2769" s="33"/>
      <c r="E2769" s="33"/>
      <c r="F2769" s="33"/>
      <c r="G2769" s="33"/>
      <c r="H2769" s="33"/>
      <c r="I2769" s="31"/>
      <c r="J2769" s="31"/>
      <c r="K2769" s="33"/>
      <c r="L2769" s="33"/>
      <c r="M2769" s="31"/>
      <c r="N2769" s="31"/>
      <c r="O2769" s="16"/>
      <c r="P2769" s="16"/>
      <c r="Q2769" s="16"/>
      <c r="R2769" s="33"/>
      <c r="S2769" s="34"/>
      <c r="T2769" s="34"/>
      <c r="U2769" s="34"/>
      <c r="V2769" s="34"/>
      <c r="W2769" s="34"/>
      <c r="X2769" s="33"/>
      <c r="Y2769" s="35" t="str">
        <f>IF(Tabela2[[#This Row],[SIGLA]]="","",VLOOKUP(Tabela2[[#This Row],[SIGLA]],Tabela1[[#All],[Sigla Arte]:[Crédito]],2,0))</f>
        <v/>
      </c>
      <c r="Z2769" s="31"/>
      <c r="AA2769" s="31" t="str">
        <f>Tabela2[[#This Row],[ILUSTRADOR CRIAÇÃO]]</f>
        <v/>
      </c>
      <c r="AB2769" s="33"/>
      <c r="AC2769" s="16"/>
      <c r="AE2769" s="35" t="str">
        <f t="shared" si="44"/>
        <v>EF1 E002 Mat</v>
      </c>
    </row>
    <row r="2770" spans="1:31" x14ac:dyDescent="0.25">
      <c r="A2770" s="31"/>
      <c r="B2770" s="16"/>
      <c r="C2770" s="16"/>
      <c r="D2770" s="33"/>
      <c r="E2770" s="33"/>
      <c r="F2770" s="33"/>
      <c r="G2770" s="33"/>
      <c r="H2770" s="33"/>
      <c r="I2770" s="31"/>
      <c r="J2770" s="31"/>
      <c r="K2770" s="33"/>
      <c r="L2770" s="33"/>
      <c r="M2770" s="31"/>
      <c r="N2770" s="31"/>
      <c r="O2770" s="16"/>
      <c r="P2770" s="16"/>
      <c r="Q2770" s="16"/>
      <c r="R2770" s="33"/>
      <c r="S2770" s="34"/>
      <c r="T2770" s="34"/>
      <c r="U2770" s="34"/>
      <c r="V2770" s="34"/>
      <c r="W2770" s="34"/>
      <c r="X2770" s="33"/>
      <c r="Y2770" s="35" t="str">
        <f>IF(Tabela2[[#This Row],[SIGLA]]="","",VLOOKUP(Tabela2[[#This Row],[SIGLA]],Tabela1[[#All],[Sigla Arte]:[Crédito]],2,0))</f>
        <v/>
      </c>
      <c r="Z2770" s="31"/>
      <c r="AA2770" s="31" t="str">
        <f>Tabela2[[#This Row],[ILUSTRADOR CRIAÇÃO]]</f>
        <v/>
      </c>
      <c r="AB2770" s="33"/>
      <c r="AC2770" s="16"/>
      <c r="AE2770" s="35" t="str">
        <f t="shared" si="44"/>
        <v>EF1 E002 Mat</v>
      </c>
    </row>
    <row r="2771" spans="1:31" x14ac:dyDescent="0.25">
      <c r="A2771" s="31"/>
      <c r="B2771" s="16"/>
      <c r="C2771" s="16"/>
      <c r="D2771" s="33"/>
      <c r="E2771" s="33"/>
      <c r="F2771" s="33"/>
      <c r="G2771" s="33"/>
      <c r="H2771" s="33"/>
      <c r="I2771" s="31"/>
      <c r="J2771" s="31"/>
      <c r="K2771" s="33"/>
      <c r="L2771" s="33"/>
      <c r="M2771" s="31"/>
      <c r="N2771" s="31"/>
      <c r="O2771" s="16"/>
      <c r="P2771" s="16"/>
      <c r="Q2771" s="16"/>
      <c r="R2771" s="33"/>
      <c r="S2771" s="34"/>
      <c r="T2771" s="34"/>
      <c r="U2771" s="34"/>
      <c r="V2771" s="34"/>
      <c r="W2771" s="34"/>
      <c r="X2771" s="33"/>
      <c r="Y2771" s="35" t="str">
        <f>IF(Tabela2[[#This Row],[SIGLA]]="","",VLOOKUP(Tabela2[[#This Row],[SIGLA]],Tabela1[[#All],[Sigla Arte]:[Crédito]],2,0))</f>
        <v/>
      </c>
      <c r="Z2771" s="31"/>
      <c r="AA2771" s="31" t="str">
        <f>Tabela2[[#This Row],[ILUSTRADOR CRIAÇÃO]]</f>
        <v/>
      </c>
      <c r="AB2771" s="33"/>
      <c r="AC2771" s="16"/>
      <c r="AE2771" s="35" t="str">
        <f t="shared" si="44"/>
        <v>EF1 E002 Mat</v>
      </c>
    </row>
    <row r="2772" spans="1:31" x14ac:dyDescent="0.25">
      <c r="A2772" s="31"/>
      <c r="B2772" s="16"/>
      <c r="C2772" s="16"/>
      <c r="D2772" s="33"/>
      <c r="E2772" s="33"/>
      <c r="F2772" s="33"/>
      <c r="G2772" s="33"/>
      <c r="H2772" s="33"/>
      <c r="I2772" s="31"/>
      <c r="J2772" s="31"/>
      <c r="K2772" s="33"/>
      <c r="L2772" s="33"/>
      <c r="M2772" s="31"/>
      <c r="N2772" s="31"/>
      <c r="O2772" s="16"/>
      <c r="P2772" s="16"/>
      <c r="Q2772" s="16"/>
      <c r="R2772" s="33"/>
      <c r="S2772" s="34"/>
      <c r="T2772" s="34"/>
      <c r="U2772" s="34"/>
      <c r="V2772" s="34"/>
      <c r="W2772" s="34"/>
      <c r="X2772" s="33"/>
      <c r="Y2772" s="35" t="str">
        <f>IF(Tabela2[[#This Row],[SIGLA]]="","",VLOOKUP(Tabela2[[#This Row],[SIGLA]],Tabela1[[#All],[Sigla Arte]:[Crédito]],2,0))</f>
        <v/>
      </c>
      <c r="Z2772" s="31"/>
      <c r="AA2772" s="31" t="str">
        <f>Tabela2[[#This Row],[ILUSTRADOR CRIAÇÃO]]</f>
        <v/>
      </c>
      <c r="AB2772" s="33"/>
      <c r="AC2772" s="16"/>
      <c r="AE2772" s="35" t="str">
        <f t="shared" si="44"/>
        <v>EF1 E002 Mat</v>
      </c>
    </row>
    <row r="2773" spans="1:31" x14ac:dyDescent="0.25">
      <c r="A2773" s="31"/>
      <c r="B2773" s="16"/>
      <c r="C2773" s="16"/>
      <c r="D2773" s="33"/>
      <c r="E2773" s="33"/>
      <c r="F2773" s="33"/>
      <c r="G2773" s="33"/>
      <c r="H2773" s="33"/>
      <c r="I2773" s="31"/>
      <c r="J2773" s="31"/>
      <c r="K2773" s="33"/>
      <c r="L2773" s="33"/>
      <c r="M2773" s="31"/>
      <c r="N2773" s="31"/>
      <c r="O2773" s="16"/>
      <c r="P2773" s="16"/>
      <c r="Q2773" s="16"/>
      <c r="R2773" s="33"/>
      <c r="S2773" s="34"/>
      <c r="T2773" s="34"/>
      <c r="U2773" s="34"/>
      <c r="V2773" s="34"/>
      <c r="W2773" s="34"/>
      <c r="X2773" s="33"/>
      <c r="Y2773" s="35" t="str">
        <f>IF(Tabela2[[#This Row],[SIGLA]]="","",VLOOKUP(Tabela2[[#This Row],[SIGLA]],Tabela1[[#All],[Sigla Arte]:[Crédito]],2,0))</f>
        <v/>
      </c>
      <c r="Z2773" s="31"/>
      <c r="AA2773" s="31" t="str">
        <f>Tabela2[[#This Row],[ILUSTRADOR CRIAÇÃO]]</f>
        <v/>
      </c>
      <c r="AB2773" s="33"/>
      <c r="AC2773" s="16"/>
      <c r="AE2773" s="35" t="str">
        <f t="shared" si="44"/>
        <v>EF1 E002 Mat</v>
      </c>
    </row>
    <row r="2774" spans="1:31" x14ac:dyDescent="0.25">
      <c r="A2774" s="31"/>
      <c r="B2774" s="16"/>
      <c r="C2774" s="16"/>
      <c r="D2774" s="33"/>
      <c r="E2774" s="33"/>
      <c r="F2774" s="33"/>
      <c r="G2774" s="33"/>
      <c r="H2774" s="33"/>
      <c r="I2774" s="31"/>
      <c r="J2774" s="31"/>
      <c r="K2774" s="33"/>
      <c r="L2774" s="33"/>
      <c r="M2774" s="31"/>
      <c r="N2774" s="31"/>
      <c r="O2774" s="16"/>
      <c r="P2774" s="16"/>
      <c r="Q2774" s="16"/>
      <c r="R2774" s="33"/>
      <c r="S2774" s="34"/>
      <c r="T2774" s="34"/>
      <c r="U2774" s="34"/>
      <c r="V2774" s="34"/>
      <c r="W2774" s="34"/>
      <c r="X2774" s="33"/>
      <c r="Y2774" s="35" t="str">
        <f>IF(Tabela2[[#This Row],[SIGLA]]="","",VLOOKUP(Tabela2[[#This Row],[SIGLA]],Tabela1[[#All],[Sigla Arte]:[Crédito]],2,0))</f>
        <v/>
      </c>
      <c r="Z2774" s="31"/>
      <c r="AA2774" s="31" t="str">
        <f>Tabela2[[#This Row],[ILUSTRADOR CRIAÇÃO]]</f>
        <v/>
      </c>
      <c r="AB2774" s="33"/>
      <c r="AC2774" s="16"/>
      <c r="AE2774" s="35" t="str">
        <f t="shared" si="44"/>
        <v>EF1 E002 Mat</v>
      </c>
    </row>
    <row r="2775" spans="1:31" x14ac:dyDescent="0.25">
      <c r="A2775" s="31"/>
      <c r="B2775" s="16"/>
      <c r="C2775" s="16"/>
      <c r="D2775" s="33"/>
      <c r="E2775" s="33"/>
      <c r="F2775" s="33"/>
      <c r="G2775" s="33"/>
      <c r="H2775" s="33"/>
      <c r="I2775" s="31"/>
      <c r="J2775" s="31"/>
      <c r="K2775" s="33"/>
      <c r="L2775" s="33"/>
      <c r="M2775" s="31"/>
      <c r="N2775" s="31"/>
      <c r="O2775" s="16"/>
      <c r="P2775" s="16"/>
      <c r="Q2775" s="16"/>
      <c r="R2775" s="33"/>
      <c r="S2775" s="34"/>
      <c r="T2775" s="34"/>
      <c r="U2775" s="34"/>
      <c r="V2775" s="34"/>
      <c r="W2775" s="34"/>
      <c r="X2775" s="33"/>
      <c r="Y2775" s="35" t="str">
        <f>IF(Tabela2[[#This Row],[SIGLA]]="","",VLOOKUP(Tabela2[[#This Row],[SIGLA]],Tabela1[[#All],[Sigla Arte]:[Crédito]],2,0))</f>
        <v/>
      </c>
      <c r="Z2775" s="31"/>
      <c r="AA2775" s="31" t="str">
        <f>Tabela2[[#This Row],[ILUSTRADOR CRIAÇÃO]]</f>
        <v/>
      </c>
      <c r="AB2775" s="33"/>
      <c r="AC2775" s="16"/>
      <c r="AE2775" s="35" t="str">
        <f t="shared" si="44"/>
        <v>EF1 E002 Mat</v>
      </c>
    </row>
    <row r="2776" spans="1:31" x14ac:dyDescent="0.25">
      <c r="A2776" s="31"/>
      <c r="B2776" s="16"/>
      <c r="C2776" s="16"/>
      <c r="D2776" s="33"/>
      <c r="E2776" s="33"/>
      <c r="F2776" s="33"/>
      <c r="G2776" s="33"/>
      <c r="H2776" s="33"/>
      <c r="I2776" s="31"/>
      <c r="J2776" s="31"/>
      <c r="K2776" s="33"/>
      <c r="L2776" s="33"/>
      <c r="M2776" s="31"/>
      <c r="N2776" s="31"/>
      <c r="O2776" s="16"/>
      <c r="P2776" s="16"/>
      <c r="Q2776" s="16"/>
      <c r="R2776" s="33"/>
      <c r="S2776" s="34"/>
      <c r="T2776" s="34"/>
      <c r="U2776" s="34"/>
      <c r="V2776" s="34"/>
      <c r="W2776" s="34"/>
      <c r="X2776" s="33"/>
      <c r="Y2776" s="35" t="str">
        <f>IF(Tabela2[[#This Row],[SIGLA]]="","",VLOOKUP(Tabela2[[#This Row],[SIGLA]],Tabela1[[#All],[Sigla Arte]:[Crédito]],2,0))</f>
        <v/>
      </c>
      <c r="Z2776" s="31"/>
      <c r="AA2776" s="31" t="str">
        <f>Tabela2[[#This Row],[ILUSTRADOR CRIAÇÃO]]</f>
        <v/>
      </c>
      <c r="AB2776" s="33"/>
      <c r="AC2776" s="16"/>
      <c r="AE2776" s="35" t="str">
        <f t="shared" si="44"/>
        <v>EF1 E002 Mat</v>
      </c>
    </row>
    <row r="2777" spans="1:31" x14ac:dyDescent="0.25">
      <c r="A2777" s="31"/>
      <c r="B2777" s="16"/>
      <c r="C2777" s="16"/>
      <c r="D2777" s="33"/>
      <c r="E2777" s="33"/>
      <c r="F2777" s="33"/>
      <c r="G2777" s="33"/>
      <c r="H2777" s="33"/>
      <c r="I2777" s="31"/>
      <c r="J2777" s="31"/>
      <c r="K2777" s="33"/>
      <c r="L2777" s="33"/>
      <c r="M2777" s="31"/>
      <c r="N2777" s="31"/>
      <c r="O2777" s="16"/>
      <c r="P2777" s="16"/>
      <c r="Q2777" s="16"/>
      <c r="R2777" s="33"/>
      <c r="S2777" s="34"/>
      <c r="T2777" s="34"/>
      <c r="U2777" s="34"/>
      <c r="V2777" s="34"/>
      <c r="W2777" s="34"/>
      <c r="X2777" s="33"/>
      <c r="Y2777" s="35" t="str">
        <f>IF(Tabela2[[#This Row],[SIGLA]]="","",VLOOKUP(Tabela2[[#This Row],[SIGLA]],Tabela1[[#All],[Sigla Arte]:[Crédito]],2,0))</f>
        <v/>
      </c>
      <c r="Z2777" s="31"/>
      <c r="AA2777" s="31" t="str">
        <f>Tabela2[[#This Row],[ILUSTRADOR CRIAÇÃO]]</f>
        <v/>
      </c>
      <c r="AB2777" s="33"/>
      <c r="AC2777" s="16"/>
      <c r="AE2777" s="35" t="str">
        <f t="shared" si="44"/>
        <v>EF1 E002 Mat</v>
      </c>
    </row>
    <row r="2778" spans="1:31" x14ac:dyDescent="0.25">
      <c r="A2778" s="31"/>
      <c r="B2778" s="16"/>
      <c r="C2778" s="16"/>
      <c r="D2778" s="33"/>
      <c r="E2778" s="33"/>
      <c r="F2778" s="33"/>
      <c r="G2778" s="33"/>
      <c r="H2778" s="33"/>
      <c r="I2778" s="31"/>
      <c r="J2778" s="31"/>
      <c r="K2778" s="33"/>
      <c r="L2778" s="33"/>
      <c r="M2778" s="31"/>
      <c r="N2778" s="31"/>
      <c r="O2778" s="16"/>
      <c r="P2778" s="16"/>
      <c r="Q2778" s="16"/>
      <c r="R2778" s="33"/>
      <c r="S2778" s="34"/>
      <c r="T2778" s="34"/>
      <c r="U2778" s="34"/>
      <c r="V2778" s="34"/>
      <c r="W2778" s="34"/>
      <c r="X2778" s="33"/>
      <c r="Y2778" s="35" t="str">
        <f>IF(Tabela2[[#This Row],[SIGLA]]="","",VLOOKUP(Tabela2[[#This Row],[SIGLA]],Tabela1[[#All],[Sigla Arte]:[Crédito]],2,0))</f>
        <v/>
      </c>
      <c r="Z2778" s="31"/>
      <c r="AA2778" s="31" t="str">
        <f>Tabela2[[#This Row],[ILUSTRADOR CRIAÇÃO]]</f>
        <v/>
      </c>
      <c r="AB2778" s="33"/>
      <c r="AC2778" s="16"/>
      <c r="AE2778" s="35" t="str">
        <f t="shared" si="44"/>
        <v>EF1 E002 Mat</v>
      </c>
    </row>
    <row r="2779" spans="1:31" x14ac:dyDescent="0.25">
      <c r="A2779" s="31"/>
      <c r="B2779" s="16"/>
      <c r="C2779" s="16"/>
      <c r="D2779" s="33"/>
      <c r="E2779" s="33"/>
      <c r="F2779" s="33"/>
      <c r="G2779" s="33"/>
      <c r="H2779" s="33"/>
      <c r="I2779" s="31"/>
      <c r="J2779" s="31"/>
      <c r="K2779" s="33"/>
      <c r="L2779" s="33"/>
      <c r="M2779" s="31"/>
      <c r="N2779" s="31"/>
      <c r="O2779" s="16"/>
      <c r="P2779" s="16"/>
      <c r="Q2779" s="16"/>
      <c r="R2779" s="33"/>
      <c r="S2779" s="34"/>
      <c r="T2779" s="34"/>
      <c r="U2779" s="34"/>
      <c r="V2779" s="34"/>
      <c r="W2779" s="34"/>
      <c r="X2779" s="33"/>
      <c r="Y2779" s="35" t="str">
        <f>IF(Tabela2[[#This Row],[SIGLA]]="","",VLOOKUP(Tabela2[[#This Row],[SIGLA]],Tabela1[[#All],[Sigla Arte]:[Crédito]],2,0))</f>
        <v/>
      </c>
      <c r="Z2779" s="31"/>
      <c r="AA2779" s="31" t="str">
        <f>Tabela2[[#This Row],[ILUSTRADOR CRIAÇÃO]]</f>
        <v/>
      </c>
      <c r="AB2779" s="33"/>
      <c r="AC2779" s="16"/>
      <c r="AE2779" s="35" t="str">
        <f t="shared" si="44"/>
        <v>EF1 E002 Mat</v>
      </c>
    </row>
    <row r="2780" spans="1:31" x14ac:dyDescent="0.25">
      <c r="A2780" s="31"/>
      <c r="B2780" s="16"/>
      <c r="C2780" s="16"/>
      <c r="D2780" s="33"/>
      <c r="E2780" s="33"/>
      <c r="F2780" s="33"/>
      <c r="G2780" s="33"/>
      <c r="H2780" s="33"/>
      <c r="I2780" s="31"/>
      <c r="J2780" s="31"/>
      <c r="K2780" s="33"/>
      <c r="L2780" s="33"/>
      <c r="M2780" s="31"/>
      <c r="N2780" s="31"/>
      <c r="O2780" s="16"/>
      <c r="P2780" s="16"/>
      <c r="Q2780" s="16"/>
      <c r="R2780" s="33"/>
      <c r="S2780" s="34"/>
      <c r="T2780" s="34"/>
      <c r="U2780" s="34"/>
      <c r="V2780" s="34"/>
      <c r="W2780" s="34"/>
      <c r="X2780" s="33"/>
      <c r="Y2780" s="35" t="str">
        <f>IF(Tabela2[[#This Row],[SIGLA]]="","",VLOOKUP(Tabela2[[#This Row],[SIGLA]],Tabela1[[#All],[Sigla Arte]:[Crédito]],2,0))</f>
        <v/>
      </c>
      <c r="Z2780" s="31"/>
      <c r="AA2780" s="31" t="str">
        <f>Tabela2[[#This Row],[ILUSTRADOR CRIAÇÃO]]</f>
        <v/>
      </c>
      <c r="AB2780" s="33"/>
      <c r="AC2780" s="16"/>
      <c r="AE2780" s="35" t="str">
        <f t="shared" si="44"/>
        <v>EF1 E002 Mat</v>
      </c>
    </row>
    <row r="2781" spans="1:31" x14ac:dyDescent="0.25">
      <c r="A2781" s="31"/>
      <c r="B2781" s="16"/>
      <c r="C2781" s="16"/>
      <c r="D2781" s="33"/>
      <c r="E2781" s="33"/>
      <c r="F2781" s="33"/>
      <c r="G2781" s="33"/>
      <c r="H2781" s="33"/>
      <c r="I2781" s="31"/>
      <c r="J2781" s="31"/>
      <c r="K2781" s="33"/>
      <c r="L2781" s="33"/>
      <c r="M2781" s="31"/>
      <c r="N2781" s="31"/>
      <c r="O2781" s="16"/>
      <c r="P2781" s="16"/>
      <c r="Q2781" s="16"/>
      <c r="R2781" s="33"/>
      <c r="S2781" s="34"/>
      <c r="T2781" s="34"/>
      <c r="U2781" s="34"/>
      <c r="V2781" s="34"/>
      <c r="W2781" s="34"/>
      <c r="X2781" s="33"/>
      <c r="Y2781" s="35" t="str">
        <f>IF(Tabela2[[#This Row],[SIGLA]]="","",VLOOKUP(Tabela2[[#This Row],[SIGLA]],Tabela1[[#All],[Sigla Arte]:[Crédito]],2,0))</f>
        <v/>
      </c>
      <c r="Z2781" s="31"/>
      <c r="AA2781" s="31" t="str">
        <f>Tabela2[[#This Row],[ILUSTRADOR CRIAÇÃO]]</f>
        <v/>
      </c>
      <c r="AB2781" s="33"/>
      <c r="AC2781" s="16"/>
      <c r="AE2781" s="35" t="str">
        <f t="shared" si="44"/>
        <v>EF1 E002 Mat</v>
      </c>
    </row>
    <row r="2782" spans="1:31" x14ac:dyDescent="0.25">
      <c r="A2782" s="31"/>
      <c r="B2782" s="16"/>
      <c r="C2782" s="16"/>
      <c r="D2782" s="33"/>
      <c r="E2782" s="33"/>
      <c r="F2782" s="33"/>
      <c r="G2782" s="33"/>
      <c r="H2782" s="33"/>
      <c r="I2782" s="31"/>
      <c r="J2782" s="31"/>
      <c r="K2782" s="33"/>
      <c r="L2782" s="33"/>
      <c r="M2782" s="31"/>
      <c r="N2782" s="31"/>
      <c r="O2782" s="16"/>
      <c r="P2782" s="16"/>
      <c r="Q2782" s="16"/>
      <c r="R2782" s="33"/>
      <c r="S2782" s="34"/>
      <c r="T2782" s="34"/>
      <c r="U2782" s="34"/>
      <c r="V2782" s="34"/>
      <c r="W2782" s="34"/>
      <c r="X2782" s="33"/>
      <c r="Y2782" s="35" t="str">
        <f>IF(Tabela2[[#This Row],[SIGLA]]="","",VLOOKUP(Tabela2[[#This Row],[SIGLA]],Tabela1[[#All],[Sigla Arte]:[Crédito]],2,0))</f>
        <v/>
      </c>
      <c r="Z2782" s="31"/>
      <c r="AA2782" s="31" t="str">
        <f>Tabela2[[#This Row],[ILUSTRADOR CRIAÇÃO]]</f>
        <v/>
      </c>
      <c r="AB2782" s="33"/>
      <c r="AC2782" s="16"/>
      <c r="AE2782" s="35" t="str">
        <f t="shared" si="44"/>
        <v>EF1 E002 Mat</v>
      </c>
    </row>
    <row r="2783" spans="1:31" x14ac:dyDescent="0.25">
      <c r="A2783" s="31"/>
      <c r="B2783" s="16"/>
      <c r="C2783" s="16"/>
      <c r="D2783" s="33"/>
      <c r="E2783" s="33"/>
      <c r="F2783" s="33"/>
      <c r="G2783" s="33"/>
      <c r="H2783" s="33"/>
      <c r="I2783" s="31"/>
      <c r="J2783" s="31"/>
      <c r="K2783" s="33"/>
      <c r="L2783" s="33"/>
      <c r="M2783" s="31"/>
      <c r="N2783" s="31"/>
      <c r="O2783" s="16"/>
      <c r="P2783" s="16"/>
      <c r="Q2783" s="16"/>
      <c r="R2783" s="33"/>
      <c r="S2783" s="34"/>
      <c r="T2783" s="34"/>
      <c r="U2783" s="34"/>
      <c r="V2783" s="34"/>
      <c r="W2783" s="34"/>
      <c r="X2783" s="33"/>
      <c r="Y2783" s="35" t="str">
        <f>IF(Tabela2[[#This Row],[SIGLA]]="","",VLOOKUP(Tabela2[[#This Row],[SIGLA]],Tabela1[[#All],[Sigla Arte]:[Crédito]],2,0))</f>
        <v/>
      </c>
      <c r="Z2783" s="31"/>
      <c r="AA2783" s="31" t="str">
        <f>Tabela2[[#This Row],[ILUSTRADOR CRIAÇÃO]]</f>
        <v/>
      </c>
      <c r="AB2783" s="33"/>
      <c r="AC2783" s="16"/>
      <c r="AE2783" s="35" t="str">
        <f t="shared" si="44"/>
        <v>EF1 E002 Mat</v>
      </c>
    </row>
    <row r="2784" spans="1:31" x14ac:dyDescent="0.25">
      <c r="A2784" s="31"/>
      <c r="B2784" s="16"/>
      <c r="C2784" s="16"/>
      <c r="D2784" s="33"/>
      <c r="E2784" s="33"/>
      <c r="F2784" s="33"/>
      <c r="G2784" s="33"/>
      <c r="H2784" s="33"/>
      <c r="I2784" s="31"/>
      <c r="J2784" s="31"/>
      <c r="K2784" s="33"/>
      <c r="L2784" s="33"/>
      <c r="M2784" s="31"/>
      <c r="N2784" s="31"/>
      <c r="O2784" s="16"/>
      <c r="P2784" s="16"/>
      <c r="Q2784" s="16"/>
      <c r="R2784" s="33"/>
      <c r="S2784" s="34"/>
      <c r="T2784" s="34"/>
      <c r="U2784" s="34"/>
      <c r="V2784" s="34"/>
      <c r="W2784" s="34"/>
      <c r="X2784" s="33"/>
      <c r="Y2784" s="35" t="str">
        <f>IF(Tabela2[[#This Row],[SIGLA]]="","",VLOOKUP(Tabela2[[#This Row],[SIGLA]],Tabela1[[#All],[Sigla Arte]:[Crédito]],2,0))</f>
        <v/>
      </c>
      <c r="Z2784" s="31"/>
      <c r="AA2784" s="31" t="str">
        <f>Tabela2[[#This Row],[ILUSTRADOR CRIAÇÃO]]</f>
        <v/>
      </c>
      <c r="AB2784" s="33"/>
      <c r="AC2784" s="16"/>
      <c r="AE2784" s="35" t="str">
        <f t="shared" si="44"/>
        <v>EF1 E002 Mat</v>
      </c>
    </row>
    <row r="2785" spans="1:31" x14ac:dyDescent="0.25">
      <c r="A2785" s="31"/>
      <c r="B2785" s="16"/>
      <c r="C2785" s="16"/>
      <c r="D2785" s="33"/>
      <c r="E2785" s="33"/>
      <c r="F2785" s="33"/>
      <c r="G2785" s="33"/>
      <c r="H2785" s="33"/>
      <c r="I2785" s="31"/>
      <c r="J2785" s="31"/>
      <c r="K2785" s="33"/>
      <c r="L2785" s="33"/>
      <c r="M2785" s="31"/>
      <c r="N2785" s="31"/>
      <c r="O2785" s="16"/>
      <c r="P2785" s="16"/>
      <c r="Q2785" s="16"/>
      <c r="R2785" s="33"/>
      <c r="S2785" s="34"/>
      <c r="T2785" s="34"/>
      <c r="U2785" s="34"/>
      <c r="V2785" s="34"/>
      <c r="W2785" s="34"/>
      <c r="X2785" s="33"/>
      <c r="Y2785" s="35" t="str">
        <f>IF(Tabela2[[#This Row],[SIGLA]]="","",VLOOKUP(Tabela2[[#This Row],[SIGLA]],Tabela1[[#All],[Sigla Arte]:[Crédito]],2,0))</f>
        <v/>
      </c>
      <c r="Z2785" s="31"/>
      <c r="AA2785" s="31" t="str">
        <f>Tabela2[[#This Row],[ILUSTRADOR CRIAÇÃO]]</f>
        <v/>
      </c>
      <c r="AB2785" s="33"/>
      <c r="AC2785" s="16"/>
      <c r="AE2785" s="35" t="str">
        <f t="shared" si="44"/>
        <v>EF1 E002 Mat</v>
      </c>
    </row>
    <row r="2786" spans="1:31" x14ac:dyDescent="0.25">
      <c r="A2786" s="31"/>
      <c r="B2786" s="16"/>
      <c r="C2786" s="16"/>
      <c r="D2786" s="33"/>
      <c r="E2786" s="33"/>
      <c r="F2786" s="33"/>
      <c r="G2786" s="33"/>
      <c r="H2786" s="33"/>
      <c r="I2786" s="31"/>
      <c r="J2786" s="31"/>
      <c r="K2786" s="33"/>
      <c r="L2786" s="33"/>
      <c r="M2786" s="31"/>
      <c r="N2786" s="31"/>
      <c r="O2786" s="16"/>
      <c r="P2786" s="16"/>
      <c r="Q2786" s="16"/>
      <c r="R2786" s="33"/>
      <c r="S2786" s="34"/>
      <c r="T2786" s="34"/>
      <c r="U2786" s="34"/>
      <c r="V2786" s="34"/>
      <c r="W2786" s="34"/>
      <c r="X2786" s="33"/>
      <c r="Y2786" s="35" t="str">
        <f>IF(Tabela2[[#This Row],[SIGLA]]="","",VLOOKUP(Tabela2[[#This Row],[SIGLA]],Tabela1[[#All],[Sigla Arte]:[Crédito]],2,0))</f>
        <v/>
      </c>
      <c r="Z2786" s="31"/>
      <c r="AA2786" s="31" t="str">
        <f>Tabela2[[#This Row],[ILUSTRADOR CRIAÇÃO]]</f>
        <v/>
      </c>
      <c r="AB2786" s="33"/>
      <c r="AC2786" s="16"/>
      <c r="AE2786" s="35" t="str">
        <f t="shared" si="44"/>
        <v>EF1 E002 Mat</v>
      </c>
    </row>
    <row r="2787" spans="1:31" x14ac:dyDescent="0.25">
      <c r="A2787" s="31"/>
      <c r="B2787" s="16"/>
      <c r="C2787" s="16"/>
      <c r="D2787" s="33"/>
      <c r="E2787" s="33"/>
      <c r="F2787" s="33"/>
      <c r="G2787" s="33"/>
      <c r="H2787" s="33"/>
      <c r="I2787" s="31"/>
      <c r="J2787" s="31"/>
      <c r="K2787" s="33"/>
      <c r="L2787" s="33"/>
      <c r="M2787" s="31"/>
      <c r="N2787" s="31"/>
      <c r="O2787" s="16"/>
      <c r="P2787" s="16"/>
      <c r="Q2787" s="16"/>
      <c r="R2787" s="33"/>
      <c r="S2787" s="34"/>
      <c r="T2787" s="34"/>
      <c r="U2787" s="34"/>
      <c r="V2787" s="34"/>
      <c r="W2787" s="34"/>
      <c r="X2787" s="33"/>
      <c r="Y2787" s="35" t="str">
        <f>IF(Tabela2[[#This Row],[SIGLA]]="","",VLOOKUP(Tabela2[[#This Row],[SIGLA]],Tabela1[[#All],[Sigla Arte]:[Crédito]],2,0))</f>
        <v/>
      </c>
      <c r="Z2787" s="31"/>
      <c r="AA2787" s="31" t="str">
        <f>Tabela2[[#This Row],[ILUSTRADOR CRIAÇÃO]]</f>
        <v/>
      </c>
      <c r="AB2787" s="33"/>
      <c r="AC2787" s="16"/>
      <c r="AE2787" s="35" t="str">
        <f t="shared" si="44"/>
        <v>EF1 E002 Mat</v>
      </c>
    </row>
    <row r="2788" spans="1:31" x14ac:dyDescent="0.25">
      <c r="A2788" s="31"/>
      <c r="B2788" s="16"/>
      <c r="C2788" s="16"/>
      <c r="D2788" s="33"/>
      <c r="E2788" s="33"/>
      <c r="F2788" s="33"/>
      <c r="G2788" s="33"/>
      <c r="H2788" s="33"/>
      <c r="I2788" s="31"/>
      <c r="J2788" s="31"/>
      <c r="K2788" s="33"/>
      <c r="L2788" s="33"/>
      <c r="M2788" s="31"/>
      <c r="N2788" s="31"/>
      <c r="O2788" s="16"/>
      <c r="P2788" s="16"/>
      <c r="Q2788" s="16"/>
      <c r="R2788" s="33"/>
      <c r="S2788" s="34"/>
      <c r="T2788" s="34"/>
      <c r="U2788" s="34"/>
      <c r="V2788" s="34"/>
      <c r="W2788" s="34"/>
      <c r="X2788" s="33"/>
      <c r="Y2788" s="35" t="str">
        <f>IF(Tabela2[[#This Row],[SIGLA]]="","",VLOOKUP(Tabela2[[#This Row],[SIGLA]],Tabela1[[#All],[Sigla Arte]:[Crédito]],2,0))</f>
        <v/>
      </c>
      <c r="Z2788" s="31"/>
      <c r="AA2788" s="31" t="str">
        <f>Tabela2[[#This Row],[ILUSTRADOR CRIAÇÃO]]</f>
        <v/>
      </c>
      <c r="AB2788" s="33"/>
      <c r="AC2788" s="16"/>
      <c r="AE2788" s="35" t="str">
        <f t="shared" si="44"/>
        <v>EF1 E002 Mat</v>
      </c>
    </row>
    <row r="2789" spans="1:31" x14ac:dyDescent="0.25">
      <c r="A2789" s="31"/>
      <c r="B2789" s="16"/>
      <c r="C2789" s="16"/>
      <c r="D2789" s="33"/>
      <c r="E2789" s="33"/>
      <c r="F2789" s="33"/>
      <c r="G2789" s="33"/>
      <c r="H2789" s="33"/>
      <c r="I2789" s="31"/>
      <c r="J2789" s="31"/>
      <c r="K2789" s="33"/>
      <c r="L2789" s="33"/>
      <c r="M2789" s="31"/>
      <c r="N2789" s="31"/>
      <c r="O2789" s="16"/>
      <c r="P2789" s="16"/>
      <c r="Q2789" s="16"/>
      <c r="R2789" s="33"/>
      <c r="S2789" s="34"/>
      <c r="T2789" s="34"/>
      <c r="U2789" s="34"/>
      <c r="V2789" s="34"/>
      <c r="W2789" s="34"/>
      <c r="X2789" s="33"/>
      <c r="Y2789" s="35" t="str">
        <f>IF(Tabela2[[#This Row],[SIGLA]]="","",VLOOKUP(Tabela2[[#This Row],[SIGLA]],Tabela1[[#All],[Sigla Arte]:[Crédito]],2,0))</f>
        <v/>
      </c>
      <c r="Z2789" s="31"/>
      <c r="AA2789" s="31" t="str">
        <f>Tabela2[[#This Row],[ILUSTRADOR CRIAÇÃO]]</f>
        <v/>
      </c>
      <c r="AB2789" s="33"/>
      <c r="AC2789" s="16"/>
      <c r="AE2789" s="35" t="str">
        <f t="shared" si="44"/>
        <v>EF1 E002 Mat</v>
      </c>
    </row>
    <row r="2790" spans="1:31" x14ac:dyDescent="0.25">
      <c r="A2790" s="31"/>
      <c r="B2790" s="16"/>
      <c r="C2790" s="16"/>
      <c r="D2790" s="33"/>
      <c r="E2790" s="33"/>
      <c r="F2790" s="33"/>
      <c r="G2790" s="33"/>
      <c r="H2790" s="33"/>
      <c r="I2790" s="31"/>
      <c r="J2790" s="31"/>
      <c r="K2790" s="33"/>
      <c r="L2790" s="33"/>
      <c r="M2790" s="31"/>
      <c r="N2790" s="31"/>
      <c r="O2790" s="16"/>
      <c r="P2790" s="16"/>
      <c r="Q2790" s="16"/>
      <c r="R2790" s="33"/>
      <c r="S2790" s="34"/>
      <c r="T2790" s="34"/>
      <c r="U2790" s="34"/>
      <c r="V2790" s="34"/>
      <c r="W2790" s="34"/>
      <c r="X2790" s="33"/>
      <c r="Y2790" s="35" t="str">
        <f>IF(Tabela2[[#This Row],[SIGLA]]="","",VLOOKUP(Tabela2[[#This Row],[SIGLA]],Tabela1[[#All],[Sigla Arte]:[Crédito]],2,0))</f>
        <v/>
      </c>
      <c r="Z2790" s="31"/>
      <c r="AA2790" s="31" t="str">
        <f>Tabela2[[#This Row],[ILUSTRADOR CRIAÇÃO]]</f>
        <v/>
      </c>
      <c r="AB2790" s="33"/>
      <c r="AC2790" s="16"/>
      <c r="AE2790" s="35" t="str">
        <f t="shared" si="44"/>
        <v>EF1 E002 Mat</v>
      </c>
    </row>
    <row r="2791" spans="1:31" x14ac:dyDescent="0.25">
      <c r="A2791" s="31"/>
      <c r="B2791" s="16"/>
      <c r="C2791" s="16"/>
      <c r="D2791" s="33"/>
      <c r="E2791" s="33"/>
      <c r="F2791" s="33"/>
      <c r="G2791" s="33"/>
      <c r="H2791" s="33"/>
      <c r="I2791" s="31"/>
      <c r="J2791" s="31"/>
      <c r="K2791" s="33"/>
      <c r="L2791" s="33"/>
      <c r="M2791" s="31"/>
      <c r="N2791" s="31"/>
      <c r="O2791" s="16"/>
      <c r="P2791" s="16"/>
      <c r="Q2791" s="16"/>
      <c r="R2791" s="33"/>
      <c r="S2791" s="34"/>
      <c r="T2791" s="34"/>
      <c r="U2791" s="34"/>
      <c r="V2791" s="34"/>
      <c r="W2791" s="34"/>
      <c r="X2791" s="33"/>
      <c r="Y2791" s="35" t="str">
        <f>IF(Tabela2[[#This Row],[SIGLA]]="","",VLOOKUP(Tabela2[[#This Row],[SIGLA]],Tabela1[[#All],[Sigla Arte]:[Crédito]],2,0))</f>
        <v/>
      </c>
      <c r="Z2791" s="31"/>
      <c r="AA2791" s="31" t="str">
        <f>Tabela2[[#This Row],[ILUSTRADOR CRIAÇÃO]]</f>
        <v/>
      </c>
      <c r="AB2791" s="33"/>
      <c r="AC2791" s="16"/>
      <c r="AE2791" s="35" t="str">
        <f t="shared" si="44"/>
        <v>EF1 E002 Mat</v>
      </c>
    </row>
    <row r="2792" spans="1:31" x14ac:dyDescent="0.25">
      <c r="A2792" s="31"/>
      <c r="B2792" s="16"/>
      <c r="C2792" s="16"/>
      <c r="D2792" s="33"/>
      <c r="E2792" s="33"/>
      <c r="F2792" s="33"/>
      <c r="G2792" s="33"/>
      <c r="H2792" s="33"/>
      <c r="I2792" s="31"/>
      <c r="J2792" s="31"/>
      <c r="K2792" s="33"/>
      <c r="L2792" s="33"/>
      <c r="M2792" s="31"/>
      <c r="N2792" s="31"/>
      <c r="O2792" s="16"/>
      <c r="P2792" s="16"/>
      <c r="Q2792" s="16"/>
      <c r="R2792" s="33"/>
      <c r="S2792" s="34"/>
      <c r="T2792" s="34"/>
      <c r="U2792" s="34"/>
      <c r="V2792" s="34"/>
      <c r="W2792" s="34"/>
      <c r="X2792" s="33"/>
      <c r="Y2792" s="35" t="str">
        <f>IF(Tabela2[[#This Row],[SIGLA]]="","",VLOOKUP(Tabela2[[#This Row],[SIGLA]],Tabela1[[#All],[Sigla Arte]:[Crédito]],2,0))</f>
        <v/>
      </c>
      <c r="Z2792" s="31"/>
      <c r="AA2792" s="31" t="str">
        <f>Tabela2[[#This Row],[ILUSTRADOR CRIAÇÃO]]</f>
        <v/>
      </c>
      <c r="AB2792" s="33"/>
      <c r="AC2792" s="16"/>
      <c r="AE2792" s="35" t="str">
        <f t="shared" si="44"/>
        <v>EF1 E002 Mat</v>
      </c>
    </row>
    <row r="2793" spans="1:31" x14ac:dyDescent="0.25">
      <c r="A2793" s="31"/>
      <c r="B2793" s="16"/>
      <c r="C2793" s="16"/>
      <c r="D2793" s="33"/>
      <c r="E2793" s="33"/>
      <c r="F2793" s="33"/>
      <c r="G2793" s="33"/>
      <c r="H2793" s="33"/>
      <c r="I2793" s="31"/>
      <c r="J2793" s="31"/>
      <c r="K2793" s="33"/>
      <c r="L2793" s="33"/>
      <c r="M2793" s="31"/>
      <c r="N2793" s="31"/>
      <c r="O2793" s="16"/>
      <c r="P2793" s="16"/>
      <c r="Q2793" s="16"/>
      <c r="R2793" s="33"/>
      <c r="S2793" s="34"/>
      <c r="T2793" s="34"/>
      <c r="U2793" s="34"/>
      <c r="V2793" s="34"/>
      <c r="W2793" s="34"/>
      <c r="X2793" s="33"/>
      <c r="Y2793" s="35" t="str">
        <f>IF(Tabela2[[#This Row],[SIGLA]]="","",VLOOKUP(Tabela2[[#This Row],[SIGLA]],Tabela1[[#All],[Sigla Arte]:[Crédito]],2,0))</f>
        <v/>
      </c>
      <c r="Z2793" s="31"/>
      <c r="AA2793" s="31" t="str">
        <f>Tabela2[[#This Row],[ILUSTRADOR CRIAÇÃO]]</f>
        <v/>
      </c>
      <c r="AB2793" s="33"/>
      <c r="AC2793" s="16"/>
      <c r="AE2793" s="35" t="str">
        <f t="shared" si="44"/>
        <v>EF1 E002 Mat</v>
      </c>
    </row>
    <row r="2794" spans="1:31" x14ac:dyDescent="0.25">
      <c r="A2794" s="31"/>
      <c r="B2794" s="16"/>
      <c r="C2794" s="16"/>
      <c r="D2794" s="33"/>
      <c r="E2794" s="33"/>
      <c r="F2794" s="33"/>
      <c r="G2794" s="33"/>
      <c r="H2794" s="33"/>
      <c r="I2794" s="31"/>
      <c r="J2794" s="31"/>
      <c r="K2794" s="33"/>
      <c r="L2794" s="33"/>
      <c r="M2794" s="31"/>
      <c r="N2794" s="31"/>
      <c r="O2794" s="16"/>
      <c r="P2794" s="16"/>
      <c r="Q2794" s="16"/>
      <c r="R2794" s="33"/>
      <c r="S2794" s="34"/>
      <c r="T2794" s="34"/>
      <c r="U2794" s="34"/>
      <c r="V2794" s="34"/>
      <c r="W2794" s="34"/>
      <c r="X2794" s="33"/>
      <c r="Y2794" s="35" t="str">
        <f>IF(Tabela2[[#This Row],[SIGLA]]="","",VLOOKUP(Tabela2[[#This Row],[SIGLA]],Tabela1[[#All],[Sigla Arte]:[Crédito]],2,0))</f>
        <v/>
      </c>
      <c r="Z2794" s="31"/>
      <c r="AA2794" s="31" t="str">
        <f>Tabela2[[#This Row],[ILUSTRADOR CRIAÇÃO]]</f>
        <v/>
      </c>
      <c r="AB2794" s="33"/>
      <c r="AC2794" s="16"/>
      <c r="AE2794" s="35" t="str">
        <f t="shared" si="44"/>
        <v>EF1 E002 Mat</v>
      </c>
    </row>
    <row r="2795" spans="1:31" x14ac:dyDescent="0.25">
      <c r="A2795" s="31"/>
      <c r="B2795" s="16"/>
      <c r="C2795" s="16"/>
      <c r="D2795" s="33"/>
      <c r="E2795" s="33"/>
      <c r="F2795" s="33"/>
      <c r="G2795" s="33"/>
      <c r="H2795" s="33"/>
      <c r="I2795" s="31"/>
      <c r="J2795" s="31"/>
      <c r="K2795" s="33"/>
      <c r="L2795" s="33"/>
      <c r="M2795" s="31"/>
      <c r="N2795" s="31"/>
      <c r="O2795" s="16"/>
      <c r="P2795" s="16"/>
      <c r="Q2795" s="16"/>
      <c r="R2795" s="33"/>
      <c r="S2795" s="34"/>
      <c r="T2795" s="34"/>
      <c r="U2795" s="34"/>
      <c r="V2795" s="34"/>
      <c r="W2795" s="34"/>
      <c r="X2795" s="33"/>
      <c r="Y2795" s="35" t="str">
        <f>IF(Tabela2[[#This Row],[SIGLA]]="","",VLOOKUP(Tabela2[[#This Row],[SIGLA]],Tabela1[[#All],[Sigla Arte]:[Crédito]],2,0))</f>
        <v/>
      </c>
      <c r="Z2795" s="31"/>
      <c r="AA2795" s="31" t="str">
        <f>Tabela2[[#This Row],[ILUSTRADOR CRIAÇÃO]]</f>
        <v/>
      </c>
      <c r="AB2795" s="33"/>
      <c r="AC2795" s="16"/>
      <c r="AE2795" s="35" t="str">
        <f t="shared" si="44"/>
        <v>EF1 E002 Mat</v>
      </c>
    </row>
    <row r="2796" spans="1:31" x14ac:dyDescent="0.25">
      <c r="A2796" s="31"/>
      <c r="B2796" s="16"/>
      <c r="C2796" s="16"/>
      <c r="D2796" s="33"/>
      <c r="E2796" s="33"/>
      <c r="F2796" s="33"/>
      <c r="G2796" s="33"/>
      <c r="H2796" s="33"/>
      <c r="I2796" s="31"/>
      <c r="J2796" s="31"/>
      <c r="K2796" s="33"/>
      <c r="L2796" s="33"/>
      <c r="M2796" s="31"/>
      <c r="N2796" s="31"/>
      <c r="O2796" s="16"/>
      <c r="P2796" s="16"/>
      <c r="Q2796" s="16"/>
      <c r="R2796" s="33"/>
      <c r="S2796" s="34"/>
      <c r="T2796" s="34"/>
      <c r="U2796" s="34"/>
      <c r="V2796" s="34"/>
      <c r="W2796" s="34"/>
      <c r="X2796" s="33"/>
      <c r="Y2796" s="35" t="str">
        <f>IF(Tabela2[[#This Row],[SIGLA]]="","",VLOOKUP(Tabela2[[#This Row],[SIGLA]],Tabela1[[#All],[Sigla Arte]:[Crédito]],2,0))</f>
        <v/>
      </c>
      <c r="Z2796" s="31"/>
      <c r="AA2796" s="31" t="str">
        <f>Tabela2[[#This Row],[ILUSTRADOR CRIAÇÃO]]</f>
        <v/>
      </c>
      <c r="AB2796" s="33"/>
      <c r="AC2796" s="16"/>
      <c r="AE2796" s="35" t="str">
        <f t="shared" si="44"/>
        <v>EF1 E002 Mat</v>
      </c>
    </row>
    <row r="2797" spans="1:31" x14ac:dyDescent="0.25">
      <c r="A2797" s="31"/>
      <c r="B2797" s="16"/>
      <c r="C2797" s="16"/>
      <c r="D2797" s="33"/>
      <c r="E2797" s="33"/>
      <c r="F2797" s="33"/>
      <c r="G2797" s="33"/>
      <c r="H2797" s="33"/>
      <c r="I2797" s="31"/>
      <c r="J2797" s="31"/>
      <c r="K2797" s="33"/>
      <c r="L2797" s="33"/>
      <c r="M2797" s="31"/>
      <c r="N2797" s="31"/>
      <c r="O2797" s="16"/>
      <c r="P2797" s="16"/>
      <c r="Q2797" s="16"/>
      <c r="R2797" s="33"/>
      <c r="S2797" s="34"/>
      <c r="T2797" s="34"/>
      <c r="U2797" s="34"/>
      <c r="V2797" s="34"/>
      <c r="W2797" s="34"/>
      <c r="X2797" s="33"/>
      <c r="Y2797" s="35" t="str">
        <f>IF(Tabela2[[#This Row],[SIGLA]]="","",VLOOKUP(Tabela2[[#This Row],[SIGLA]],Tabela1[[#All],[Sigla Arte]:[Crédito]],2,0))</f>
        <v/>
      </c>
      <c r="Z2797" s="31"/>
      <c r="AA2797" s="31" t="str">
        <f>Tabela2[[#This Row],[ILUSTRADOR CRIAÇÃO]]</f>
        <v/>
      </c>
      <c r="AB2797" s="33"/>
      <c r="AC2797" s="16"/>
      <c r="AE2797" s="35" t="str">
        <f t="shared" si="44"/>
        <v>EF1 E002 Mat</v>
      </c>
    </row>
    <row r="2798" spans="1:31" x14ac:dyDescent="0.25">
      <c r="A2798" s="31"/>
      <c r="B2798" s="16"/>
      <c r="C2798" s="16"/>
      <c r="D2798" s="33"/>
      <c r="E2798" s="33"/>
      <c r="F2798" s="33"/>
      <c r="G2798" s="33"/>
      <c r="H2798" s="33"/>
      <c r="I2798" s="31"/>
      <c r="J2798" s="31"/>
      <c r="K2798" s="33"/>
      <c r="L2798" s="33"/>
      <c r="M2798" s="31"/>
      <c r="N2798" s="31"/>
      <c r="O2798" s="16"/>
      <c r="P2798" s="16"/>
      <c r="Q2798" s="16"/>
      <c r="R2798" s="33"/>
      <c r="S2798" s="34"/>
      <c r="T2798" s="34"/>
      <c r="U2798" s="34"/>
      <c r="V2798" s="34"/>
      <c r="W2798" s="34"/>
      <c r="X2798" s="33"/>
      <c r="Y2798" s="35" t="str">
        <f>IF(Tabela2[[#This Row],[SIGLA]]="","",VLOOKUP(Tabela2[[#This Row],[SIGLA]],Tabela1[[#All],[Sigla Arte]:[Crédito]],2,0))</f>
        <v/>
      </c>
      <c r="Z2798" s="31"/>
      <c r="AA2798" s="31" t="str">
        <f>Tabela2[[#This Row],[ILUSTRADOR CRIAÇÃO]]</f>
        <v/>
      </c>
      <c r="AB2798" s="33"/>
      <c r="AC2798" s="16"/>
      <c r="AE2798" s="35" t="str">
        <f t="shared" si="44"/>
        <v>EF1 E002 Mat</v>
      </c>
    </row>
    <row r="2799" spans="1:31" x14ac:dyDescent="0.25">
      <c r="A2799" s="31"/>
      <c r="B2799" s="16"/>
      <c r="C2799" s="16"/>
      <c r="D2799" s="33"/>
      <c r="E2799" s="33"/>
      <c r="F2799" s="33"/>
      <c r="G2799" s="33"/>
      <c r="H2799" s="33"/>
      <c r="I2799" s="31"/>
      <c r="J2799" s="31"/>
      <c r="K2799" s="33"/>
      <c r="L2799" s="33"/>
      <c r="M2799" s="31"/>
      <c r="N2799" s="31"/>
      <c r="O2799" s="16"/>
      <c r="P2799" s="16"/>
      <c r="Q2799" s="16"/>
      <c r="R2799" s="33"/>
      <c r="S2799" s="34"/>
      <c r="T2799" s="34"/>
      <c r="U2799" s="34"/>
      <c r="V2799" s="34"/>
      <c r="W2799" s="34"/>
      <c r="X2799" s="33"/>
      <c r="Y2799" s="35" t="str">
        <f>IF(Tabela2[[#This Row],[SIGLA]]="","",VLOOKUP(Tabela2[[#This Row],[SIGLA]],Tabela1[[#All],[Sigla Arte]:[Crédito]],2,0))</f>
        <v/>
      </c>
      <c r="Z2799" s="31"/>
      <c r="AA2799" s="31" t="str">
        <f>Tabela2[[#This Row],[ILUSTRADOR CRIAÇÃO]]</f>
        <v/>
      </c>
      <c r="AB2799" s="33"/>
      <c r="AC2799" s="16"/>
      <c r="AE2799" s="35" t="str">
        <f t="shared" si="44"/>
        <v>EF1 E002 Mat</v>
      </c>
    </row>
    <row r="2800" spans="1:31" x14ac:dyDescent="0.25">
      <c r="A2800" s="31"/>
      <c r="B2800" s="16"/>
      <c r="C2800" s="16"/>
      <c r="D2800" s="33"/>
      <c r="E2800" s="33"/>
      <c r="F2800" s="33"/>
      <c r="G2800" s="33"/>
      <c r="H2800" s="33"/>
      <c r="I2800" s="31"/>
      <c r="J2800" s="31"/>
      <c r="K2800" s="33"/>
      <c r="L2800" s="33"/>
      <c r="M2800" s="31"/>
      <c r="N2800" s="31"/>
      <c r="O2800" s="16"/>
      <c r="P2800" s="16"/>
      <c r="Q2800" s="16"/>
      <c r="R2800" s="33"/>
      <c r="S2800" s="34"/>
      <c r="T2800" s="34"/>
      <c r="U2800" s="34"/>
      <c r="V2800" s="34"/>
      <c r="W2800" s="34"/>
      <c r="X2800" s="33"/>
      <c r="Y2800" s="35" t="str">
        <f>IF(Tabela2[[#This Row],[SIGLA]]="","",VLOOKUP(Tabela2[[#This Row],[SIGLA]],Tabela1[[#All],[Sigla Arte]:[Crédito]],2,0))</f>
        <v/>
      </c>
      <c r="Z2800" s="31"/>
      <c r="AA2800" s="31" t="str">
        <f>Tabela2[[#This Row],[ILUSTRADOR CRIAÇÃO]]</f>
        <v/>
      </c>
      <c r="AB2800" s="33"/>
      <c r="AC2800" s="16"/>
      <c r="AE2800" s="35" t="str">
        <f t="shared" si="44"/>
        <v>EF1 E002 Mat</v>
      </c>
    </row>
    <row r="2801" spans="1:31" x14ac:dyDescent="0.25">
      <c r="A2801" s="31"/>
      <c r="B2801" s="16"/>
      <c r="C2801" s="16"/>
      <c r="D2801" s="33"/>
      <c r="E2801" s="33"/>
      <c r="F2801" s="33"/>
      <c r="G2801" s="33"/>
      <c r="H2801" s="33"/>
      <c r="I2801" s="31"/>
      <c r="J2801" s="31"/>
      <c r="K2801" s="33"/>
      <c r="L2801" s="33"/>
      <c r="M2801" s="31"/>
      <c r="N2801" s="31"/>
      <c r="O2801" s="16"/>
      <c r="P2801" s="16"/>
      <c r="Q2801" s="16"/>
      <c r="R2801" s="33"/>
      <c r="S2801" s="34"/>
      <c r="T2801" s="34"/>
      <c r="U2801" s="34"/>
      <c r="V2801" s="34"/>
      <c r="W2801" s="34"/>
      <c r="X2801" s="33"/>
      <c r="Y2801" s="35" t="str">
        <f>IF(Tabela2[[#This Row],[SIGLA]]="","",VLOOKUP(Tabela2[[#This Row],[SIGLA]],Tabela1[[#All],[Sigla Arte]:[Crédito]],2,0))</f>
        <v/>
      </c>
      <c r="Z2801" s="31"/>
      <c r="AA2801" s="31" t="str">
        <f>Tabela2[[#This Row],[ILUSTRADOR CRIAÇÃO]]</f>
        <v/>
      </c>
      <c r="AB2801" s="33"/>
      <c r="AC2801" s="16"/>
      <c r="AE2801" s="35" t="str">
        <f t="shared" si="44"/>
        <v>EF1 E002 Mat</v>
      </c>
    </row>
    <row r="2802" spans="1:31" x14ac:dyDescent="0.25">
      <c r="A2802" s="31"/>
      <c r="B2802" s="16"/>
      <c r="C2802" s="16"/>
      <c r="D2802" s="33"/>
      <c r="E2802" s="33"/>
      <c r="F2802" s="33"/>
      <c r="G2802" s="33"/>
      <c r="H2802" s="33"/>
      <c r="I2802" s="31"/>
      <c r="J2802" s="31"/>
      <c r="K2802" s="33"/>
      <c r="L2802" s="33"/>
      <c r="M2802" s="31"/>
      <c r="N2802" s="31"/>
      <c r="O2802" s="16"/>
      <c r="P2802" s="16"/>
      <c r="Q2802" s="16"/>
      <c r="R2802" s="33"/>
      <c r="S2802" s="34"/>
      <c r="T2802" s="34"/>
      <c r="U2802" s="34"/>
      <c r="V2802" s="34"/>
      <c r="W2802" s="34"/>
      <c r="X2802" s="33"/>
      <c r="Y2802" s="35" t="str">
        <f>IF(Tabela2[[#This Row],[SIGLA]]="","",VLOOKUP(Tabela2[[#This Row],[SIGLA]],Tabela1[[#All],[Sigla Arte]:[Crédito]],2,0))</f>
        <v/>
      </c>
      <c r="Z2802" s="31"/>
      <c r="AA2802" s="31" t="str">
        <f>Tabela2[[#This Row],[ILUSTRADOR CRIAÇÃO]]</f>
        <v/>
      </c>
      <c r="AB2802" s="33"/>
      <c r="AC2802" s="16"/>
      <c r="AE2802" s="35" t="str">
        <f t="shared" ref="AE2802:AE2865" si="45">"EF1 E002 Mat"</f>
        <v>EF1 E002 Mat</v>
      </c>
    </row>
    <row r="2803" spans="1:31" x14ac:dyDescent="0.25">
      <c r="A2803" s="31"/>
      <c r="B2803" s="16"/>
      <c r="C2803" s="16"/>
      <c r="D2803" s="33"/>
      <c r="E2803" s="33"/>
      <c r="F2803" s="33"/>
      <c r="G2803" s="33"/>
      <c r="H2803" s="33"/>
      <c r="I2803" s="31"/>
      <c r="J2803" s="31"/>
      <c r="K2803" s="33"/>
      <c r="L2803" s="33"/>
      <c r="M2803" s="31"/>
      <c r="N2803" s="31"/>
      <c r="O2803" s="16"/>
      <c r="P2803" s="16"/>
      <c r="Q2803" s="16"/>
      <c r="R2803" s="33"/>
      <c r="S2803" s="34"/>
      <c r="T2803" s="34"/>
      <c r="U2803" s="34"/>
      <c r="V2803" s="34"/>
      <c r="W2803" s="34"/>
      <c r="X2803" s="33"/>
      <c r="Y2803" s="35" t="str">
        <f>IF(Tabela2[[#This Row],[SIGLA]]="","",VLOOKUP(Tabela2[[#This Row],[SIGLA]],Tabela1[[#All],[Sigla Arte]:[Crédito]],2,0))</f>
        <v/>
      </c>
      <c r="Z2803" s="31"/>
      <c r="AA2803" s="31" t="str">
        <f>Tabela2[[#This Row],[ILUSTRADOR CRIAÇÃO]]</f>
        <v/>
      </c>
      <c r="AB2803" s="33"/>
      <c r="AC2803" s="16"/>
      <c r="AE2803" s="35" t="str">
        <f t="shared" si="45"/>
        <v>EF1 E002 Mat</v>
      </c>
    </row>
    <row r="2804" spans="1:31" x14ac:dyDescent="0.25">
      <c r="A2804" s="31"/>
      <c r="B2804" s="16"/>
      <c r="C2804" s="16"/>
      <c r="D2804" s="33"/>
      <c r="E2804" s="33"/>
      <c r="F2804" s="33"/>
      <c r="G2804" s="33"/>
      <c r="H2804" s="33"/>
      <c r="I2804" s="31"/>
      <c r="J2804" s="31"/>
      <c r="K2804" s="33"/>
      <c r="L2804" s="33"/>
      <c r="M2804" s="31"/>
      <c r="N2804" s="31"/>
      <c r="O2804" s="16"/>
      <c r="P2804" s="16"/>
      <c r="Q2804" s="16"/>
      <c r="R2804" s="33"/>
      <c r="S2804" s="34"/>
      <c r="T2804" s="34"/>
      <c r="U2804" s="34"/>
      <c r="V2804" s="34"/>
      <c r="W2804" s="34"/>
      <c r="X2804" s="33"/>
      <c r="Y2804" s="35" t="str">
        <f>IF(Tabela2[[#This Row],[SIGLA]]="","",VLOOKUP(Tabela2[[#This Row],[SIGLA]],Tabela1[[#All],[Sigla Arte]:[Crédito]],2,0))</f>
        <v/>
      </c>
      <c r="Z2804" s="31"/>
      <c r="AA2804" s="31" t="str">
        <f>Tabela2[[#This Row],[ILUSTRADOR CRIAÇÃO]]</f>
        <v/>
      </c>
      <c r="AB2804" s="33"/>
      <c r="AC2804" s="16"/>
      <c r="AE2804" s="35" t="str">
        <f t="shared" si="45"/>
        <v>EF1 E002 Mat</v>
      </c>
    </row>
    <row r="2805" spans="1:31" x14ac:dyDescent="0.25">
      <c r="A2805" s="31"/>
      <c r="B2805" s="16"/>
      <c r="C2805" s="16"/>
      <c r="D2805" s="33"/>
      <c r="E2805" s="33"/>
      <c r="F2805" s="33"/>
      <c r="G2805" s="33"/>
      <c r="H2805" s="33"/>
      <c r="I2805" s="31"/>
      <c r="J2805" s="31"/>
      <c r="K2805" s="33"/>
      <c r="L2805" s="33"/>
      <c r="M2805" s="31"/>
      <c r="N2805" s="31"/>
      <c r="O2805" s="16"/>
      <c r="P2805" s="16"/>
      <c r="Q2805" s="16"/>
      <c r="R2805" s="33"/>
      <c r="S2805" s="34"/>
      <c r="T2805" s="34"/>
      <c r="U2805" s="34"/>
      <c r="V2805" s="34"/>
      <c r="W2805" s="34"/>
      <c r="X2805" s="33"/>
      <c r="Y2805" s="35" t="str">
        <f>IF(Tabela2[[#This Row],[SIGLA]]="","",VLOOKUP(Tabela2[[#This Row],[SIGLA]],Tabela1[[#All],[Sigla Arte]:[Crédito]],2,0))</f>
        <v/>
      </c>
      <c r="Z2805" s="31"/>
      <c r="AA2805" s="31" t="str">
        <f>Tabela2[[#This Row],[ILUSTRADOR CRIAÇÃO]]</f>
        <v/>
      </c>
      <c r="AB2805" s="33"/>
      <c r="AC2805" s="16"/>
      <c r="AE2805" s="35" t="str">
        <f t="shared" si="45"/>
        <v>EF1 E002 Mat</v>
      </c>
    </row>
    <row r="2806" spans="1:31" x14ac:dyDescent="0.25">
      <c r="A2806" s="31"/>
      <c r="B2806" s="16"/>
      <c r="C2806" s="16"/>
      <c r="D2806" s="33"/>
      <c r="E2806" s="33"/>
      <c r="F2806" s="33"/>
      <c r="G2806" s="33"/>
      <c r="H2806" s="33"/>
      <c r="I2806" s="31"/>
      <c r="J2806" s="31"/>
      <c r="K2806" s="33"/>
      <c r="L2806" s="33"/>
      <c r="M2806" s="31"/>
      <c r="N2806" s="31"/>
      <c r="O2806" s="16"/>
      <c r="P2806" s="16"/>
      <c r="Q2806" s="16"/>
      <c r="R2806" s="33"/>
      <c r="S2806" s="34"/>
      <c r="T2806" s="34"/>
      <c r="U2806" s="34"/>
      <c r="V2806" s="34"/>
      <c r="W2806" s="34"/>
      <c r="X2806" s="33"/>
      <c r="Y2806" s="35" t="str">
        <f>IF(Tabela2[[#This Row],[SIGLA]]="","",VLOOKUP(Tabela2[[#This Row],[SIGLA]],Tabela1[[#All],[Sigla Arte]:[Crédito]],2,0))</f>
        <v/>
      </c>
      <c r="Z2806" s="31"/>
      <c r="AA2806" s="31" t="str">
        <f>Tabela2[[#This Row],[ILUSTRADOR CRIAÇÃO]]</f>
        <v/>
      </c>
      <c r="AB2806" s="33"/>
      <c r="AC2806" s="16"/>
      <c r="AE2806" s="35" t="str">
        <f t="shared" si="45"/>
        <v>EF1 E002 Mat</v>
      </c>
    </row>
    <row r="2807" spans="1:31" x14ac:dyDescent="0.25">
      <c r="A2807" s="31"/>
      <c r="B2807" s="16"/>
      <c r="C2807" s="16"/>
      <c r="D2807" s="33"/>
      <c r="E2807" s="33"/>
      <c r="F2807" s="33"/>
      <c r="G2807" s="33"/>
      <c r="H2807" s="33"/>
      <c r="I2807" s="31"/>
      <c r="J2807" s="31"/>
      <c r="K2807" s="33"/>
      <c r="L2807" s="33"/>
      <c r="M2807" s="31"/>
      <c r="N2807" s="31"/>
      <c r="O2807" s="16"/>
      <c r="P2807" s="16"/>
      <c r="Q2807" s="16"/>
      <c r="R2807" s="33"/>
      <c r="S2807" s="34"/>
      <c r="T2807" s="34"/>
      <c r="U2807" s="34"/>
      <c r="V2807" s="34"/>
      <c r="W2807" s="34"/>
      <c r="X2807" s="33"/>
      <c r="Y2807" s="35" t="str">
        <f>IF(Tabela2[[#This Row],[SIGLA]]="","",VLOOKUP(Tabela2[[#This Row],[SIGLA]],Tabela1[[#All],[Sigla Arte]:[Crédito]],2,0))</f>
        <v/>
      </c>
      <c r="Z2807" s="31"/>
      <c r="AA2807" s="31" t="str">
        <f>Tabela2[[#This Row],[ILUSTRADOR CRIAÇÃO]]</f>
        <v/>
      </c>
      <c r="AB2807" s="33"/>
      <c r="AC2807" s="16"/>
      <c r="AE2807" s="35" t="str">
        <f t="shared" si="45"/>
        <v>EF1 E002 Mat</v>
      </c>
    </row>
    <row r="2808" spans="1:31" x14ac:dyDescent="0.25">
      <c r="A2808" s="31"/>
      <c r="B2808" s="16"/>
      <c r="C2808" s="16"/>
      <c r="D2808" s="33"/>
      <c r="E2808" s="33"/>
      <c r="F2808" s="33"/>
      <c r="G2808" s="33"/>
      <c r="H2808" s="33"/>
      <c r="I2808" s="31"/>
      <c r="J2808" s="31"/>
      <c r="K2808" s="33"/>
      <c r="L2808" s="33"/>
      <c r="M2808" s="31"/>
      <c r="N2808" s="31"/>
      <c r="O2808" s="16"/>
      <c r="P2808" s="16"/>
      <c r="Q2808" s="16"/>
      <c r="R2808" s="33"/>
      <c r="S2808" s="34"/>
      <c r="T2808" s="34"/>
      <c r="U2808" s="34"/>
      <c r="V2808" s="34"/>
      <c r="W2808" s="34"/>
      <c r="X2808" s="33"/>
      <c r="Y2808" s="35" t="str">
        <f>IF(Tabela2[[#This Row],[SIGLA]]="","",VLOOKUP(Tabela2[[#This Row],[SIGLA]],Tabela1[[#All],[Sigla Arte]:[Crédito]],2,0))</f>
        <v/>
      </c>
      <c r="Z2808" s="31"/>
      <c r="AA2808" s="31" t="str">
        <f>Tabela2[[#This Row],[ILUSTRADOR CRIAÇÃO]]</f>
        <v/>
      </c>
      <c r="AB2808" s="33"/>
      <c r="AC2808" s="16"/>
      <c r="AE2808" s="35" t="str">
        <f t="shared" si="45"/>
        <v>EF1 E002 Mat</v>
      </c>
    </row>
    <row r="2809" spans="1:31" x14ac:dyDescent="0.25">
      <c r="A2809" s="31"/>
      <c r="B2809" s="16"/>
      <c r="C2809" s="16"/>
      <c r="D2809" s="33"/>
      <c r="E2809" s="33"/>
      <c r="F2809" s="33"/>
      <c r="G2809" s="33"/>
      <c r="H2809" s="33"/>
      <c r="I2809" s="31"/>
      <c r="J2809" s="31"/>
      <c r="K2809" s="33"/>
      <c r="L2809" s="33"/>
      <c r="M2809" s="31"/>
      <c r="N2809" s="31"/>
      <c r="O2809" s="16"/>
      <c r="P2809" s="16"/>
      <c r="Q2809" s="16"/>
      <c r="R2809" s="33"/>
      <c r="S2809" s="34"/>
      <c r="T2809" s="34"/>
      <c r="U2809" s="34"/>
      <c r="V2809" s="34"/>
      <c r="W2809" s="34"/>
      <c r="X2809" s="33"/>
      <c r="Y2809" s="35" t="str">
        <f>IF(Tabela2[[#This Row],[SIGLA]]="","",VLOOKUP(Tabela2[[#This Row],[SIGLA]],Tabela1[[#All],[Sigla Arte]:[Crédito]],2,0))</f>
        <v/>
      </c>
      <c r="Z2809" s="31"/>
      <c r="AA2809" s="31" t="str">
        <f>Tabela2[[#This Row],[ILUSTRADOR CRIAÇÃO]]</f>
        <v/>
      </c>
      <c r="AB2809" s="33"/>
      <c r="AC2809" s="16"/>
      <c r="AE2809" s="35" t="str">
        <f t="shared" si="45"/>
        <v>EF1 E002 Mat</v>
      </c>
    </row>
    <row r="2810" spans="1:31" x14ac:dyDescent="0.25">
      <c r="A2810" s="31"/>
      <c r="B2810" s="16"/>
      <c r="C2810" s="16"/>
      <c r="D2810" s="33"/>
      <c r="E2810" s="33"/>
      <c r="F2810" s="33"/>
      <c r="G2810" s="33"/>
      <c r="H2810" s="33"/>
      <c r="I2810" s="31"/>
      <c r="J2810" s="31"/>
      <c r="K2810" s="33"/>
      <c r="L2810" s="33"/>
      <c r="M2810" s="31"/>
      <c r="N2810" s="31"/>
      <c r="O2810" s="16"/>
      <c r="P2810" s="16"/>
      <c r="Q2810" s="16"/>
      <c r="R2810" s="33"/>
      <c r="S2810" s="34"/>
      <c r="T2810" s="34"/>
      <c r="U2810" s="34"/>
      <c r="V2810" s="34"/>
      <c r="W2810" s="34"/>
      <c r="X2810" s="33"/>
      <c r="Y2810" s="35" t="str">
        <f>IF(Tabela2[[#This Row],[SIGLA]]="","",VLOOKUP(Tabela2[[#This Row],[SIGLA]],Tabela1[[#All],[Sigla Arte]:[Crédito]],2,0))</f>
        <v/>
      </c>
      <c r="Z2810" s="31"/>
      <c r="AA2810" s="31" t="str">
        <f>Tabela2[[#This Row],[ILUSTRADOR CRIAÇÃO]]</f>
        <v/>
      </c>
      <c r="AB2810" s="33"/>
      <c r="AC2810" s="16"/>
      <c r="AE2810" s="35" t="str">
        <f t="shared" si="45"/>
        <v>EF1 E002 Mat</v>
      </c>
    </row>
    <row r="2811" spans="1:31" x14ac:dyDescent="0.25">
      <c r="A2811" s="31"/>
      <c r="B2811" s="16"/>
      <c r="C2811" s="16"/>
      <c r="D2811" s="33"/>
      <c r="E2811" s="33"/>
      <c r="F2811" s="33"/>
      <c r="G2811" s="33"/>
      <c r="H2811" s="33"/>
      <c r="I2811" s="31"/>
      <c r="J2811" s="31"/>
      <c r="K2811" s="33"/>
      <c r="L2811" s="33"/>
      <c r="M2811" s="31"/>
      <c r="N2811" s="31"/>
      <c r="O2811" s="16"/>
      <c r="P2811" s="16"/>
      <c r="Q2811" s="16"/>
      <c r="R2811" s="33"/>
      <c r="S2811" s="34"/>
      <c r="T2811" s="34"/>
      <c r="U2811" s="34"/>
      <c r="V2811" s="34"/>
      <c r="W2811" s="34"/>
      <c r="X2811" s="33"/>
      <c r="Y2811" s="35" t="str">
        <f>IF(Tabela2[[#This Row],[SIGLA]]="","",VLOOKUP(Tabela2[[#This Row],[SIGLA]],Tabela1[[#All],[Sigla Arte]:[Crédito]],2,0))</f>
        <v/>
      </c>
      <c r="Z2811" s="31"/>
      <c r="AA2811" s="31" t="str">
        <f>Tabela2[[#This Row],[ILUSTRADOR CRIAÇÃO]]</f>
        <v/>
      </c>
      <c r="AB2811" s="33"/>
      <c r="AC2811" s="16"/>
      <c r="AE2811" s="35" t="str">
        <f t="shared" si="45"/>
        <v>EF1 E002 Mat</v>
      </c>
    </row>
    <row r="2812" spans="1:31" x14ac:dyDescent="0.25">
      <c r="A2812" s="31"/>
      <c r="B2812" s="16"/>
      <c r="C2812" s="16"/>
      <c r="D2812" s="33"/>
      <c r="E2812" s="33"/>
      <c r="F2812" s="33"/>
      <c r="G2812" s="33"/>
      <c r="H2812" s="33"/>
      <c r="I2812" s="31"/>
      <c r="J2812" s="31"/>
      <c r="K2812" s="33"/>
      <c r="L2812" s="33"/>
      <c r="M2812" s="31"/>
      <c r="N2812" s="31"/>
      <c r="O2812" s="16"/>
      <c r="P2812" s="16"/>
      <c r="Q2812" s="16"/>
      <c r="R2812" s="33"/>
      <c r="S2812" s="34"/>
      <c r="T2812" s="34"/>
      <c r="U2812" s="34"/>
      <c r="V2812" s="34"/>
      <c r="W2812" s="34"/>
      <c r="X2812" s="33"/>
      <c r="Y2812" s="35" t="str">
        <f>IF(Tabela2[[#This Row],[SIGLA]]="","",VLOOKUP(Tabela2[[#This Row],[SIGLA]],Tabela1[[#All],[Sigla Arte]:[Crédito]],2,0))</f>
        <v/>
      </c>
      <c r="Z2812" s="31"/>
      <c r="AA2812" s="31" t="str">
        <f>Tabela2[[#This Row],[ILUSTRADOR CRIAÇÃO]]</f>
        <v/>
      </c>
      <c r="AB2812" s="33"/>
      <c r="AC2812" s="16"/>
      <c r="AE2812" s="35" t="str">
        <f t="shared" si="45"/>
        <v>EF1 E002 Mat</v>
      </c>
    </row>
    <row r="2813" spans="1:31" x14ac:dyDescent="0.25">
      <c r="A2813" s="31"/>
      <c r="B2813" s="16"/>
      <c r="C2813" s="16"/>
      <c r="D2813" s="33"/>
      <c r="E2813" s="33"/>
      <c r="F2813" s="33"/>
      <c r="G2813" s="33"/>
      <c r="H2813" s="33"/>
      <c r="I2813" s="31"/>
      <c r="J2813" s="31"/>
      <c r="K2813" s="33"/>
      <c r="L2813" s="33"/>
      <c r="M2813" s="31"/>
      <c r="N2813" s="31"/>
      <c r="O2813" s="16"/>
      <c r="P2813" s="16"/>
      <c r="Q2813" s="16"/>
      <c r="R2813" s="33"/>
      <c r="S2813" s="34"/>
      <c r="T2813" s="34"/>
      <c r="U2813" s="34"/>
      <c r="V2813" s="34"/>
      <c r="W2813" s="34"/>
      <c r="X2813" s="33"/>
      <c r="Y2813" s="35" t="str">
        <f>IF(Tabela2[[#This Row],[SIGLA]]="","",VLOOKUP(Tabela2[[#This Row],[SIGLA]],Tabela1[[#All],[Sigla Arte]:[Crédito]],2,0))</f>
        <v/>
      </c>
      <c r="Z2813" s="31"/>
      <c r="AA2813" s="31" t="str">
        <f>Tabela2[[#This Row],[ILUSTRADOR CRIAÇÃO]]</f>
        <v/>
      </c>
      <c r="AB2813" s="33"/>
      <c r="AC2813" s="16"/>
      <c r="AE2813" s="35" t="str">
        <f t="shared" si="45"/>
        <v>EF1 E002 Mat</v>
      </c>
    </row>
    <row r="2814" spans="1:31" x14ac:dyDescent="0.25">
      <c r="A2814" s="31"/>
      <c r="B2814" s="16"/>
      <c r="C2814" s="16"/>
      <c r="D2814" s="33"/>
      <c r="E2814" s="33"/>
      <c r="F2814" s="33"/>
      <c r="G2814" s="33"/>
      <c r="H2814" s="33"/>
      <c r="I2814" s="31"/>
      <c r="J2814" s="31"/>
      <c r="K2814" s="33"/>
      <c r="L2814" s="33"/>
      <c r="M2814" s="31"/>
      <c r="N2814" s="31"/>
      <c r="O2814" s="16"/>
      <c r="P2814" s="16"/>
      <c r="Q2814" s="16"/>
      <c r="R2814" s="33"/>
      <c r="S2814" s="34"/>
      <c r="T2814" s="34"/>
      <c r="U2814" s="34"/>
      <c r="V2814" s="34"/>
      <c r="W2814" s="34"/>
      <c r="X2814" s="33"/>
      <c r="Y2814" s="35" t="str">
        <f>IF(Tabela2[[#This Row],[SIGLA]]="","",VLOOKUP(Tabela2[[#This Row],[SIGLA]],Tabela1[[#All],[Sigla Arte]:[Crédito]],2,0))</f>
        <v/>
      </c>
      <c r="Z2814" s="31"/>
      <c r="AA2814" s="31" t="str">
        <f>Tabela2[[#This Row],[ILUSTRADOR CRIAÇÃO]]</f>
        <v/>
      </c>
      <c r="AB2814" s="33"/>
      <c r="AC2814" s="16"/>
      <c r="AE2814" s="35" t="str">
        <f t="shared" si="45"/>
        <v>EF1 E002 Mat</v>
      </c>
    </row>
    <row r="2815" spans="1:31" x14ac:dyDescent="0.25">
      <c r="A2815" s="31"/>
      <c r="B2815" s="16"/>
      <c r="C2815" s="16"/>
      <c r="D2815" s="33"/>
      <c r="E2815" s="33"/>
      <c r="F2815" s="33"/>
      <c r="G2815" s="33"/>
      <c r="H2815" s="33"/>
      <c r="I2815" s="31"/>
      <c r="J2815" s="31"/>
      <c r="K2815" s="33"/>
      <c r="L2815" s="33"/>
      <c r="M2815" s="31"/>
      <c r="N2815" s="31"/>
      <c r="O2815" s="16"/>
      <c r="P2815" s="16"/>
      <c r="Q2815" s="16"/>
      <c r="R2815" s="33"/>
      <c r="S2815" s="34"/>
      <c r="T2815" s="34"/>
      <c r="U2815" s="34"/>
      <c r="V2815" s="34"/>
      <c r="W2815" s="34"/>
      <c r="X2815" s="33"/>
      <c r="Y2815" s="35" t="str">
        <f>IF(Tabela2[[#This Row],[SIGLA]]="","",VLOOKUP(Tabela2[[#This Row],[SIGLA]],Tabela1[[#All],[Sigla Arte]:[Crédito]],2,0))</f>
        <v/>
      </c>
      <c r="Z2815" s="31"/>
      <c r="AA2815" s="31" t="str">
        <f>Tabela2[[#This Row],[ILUSTRADOR CRIAÇÃO]]</f>
        <v/>
      </c>
      <c r="AB2815" s="33"/>
      <c r="AC2815" s="16"/>
      <c r="AE2815" s="35" t="str">
        <f t="shared" si="45"/>
        <v>EF1 E002 Mat</v>
      </c>
    </row>
    <row r="2816" spans="1:31" x14ac:dyDescent="0.25">
      <c r="A2816" s="31"/>
      <c r="B2816" s="16"/>
      <c r="C2816" s="16"/>
      <c r="D2816" s="33"/>
      <c r="E2816" s="33"/>
      <c r="F2816" s="33"/>
      <c r="G2816" s="33"/>
      <c r="H2816" s="33"/>
      <c r="I2816" s="31"/>
      <c r="J2816" s="31"/>
      <c r="K2816" s="33"/>
      <c r="L2816" s="33"/>
      <c r="M2816" s="31"/>
      <c r="N2816" s="31"/>
      <c r="O2816" s="16"/>
      <c r="P2816" s="16"/>
      <c r="Q2816" s="16"/>
      <c r="R2816" s="33"/>
      <c r="S2816" s="34"/>
      <c r="T2816" s="34"/>
      <c r="U2816" s="34"/>
      <c r="V2816" s="34"/>
      <c r="W2816" s="34"/>
      <c r="X2816" s="33"/>
      <c r="Y2816" s="35" t="str">
        <f>IF(Tabela2[[#This Row],[SIGLA]]="","",VLOOKUP(Tabela2[[#This Row],[SIGLA]],Tabela1[[#All],[Sigla Arte]:[Crédito]],2,0))</f>
        <v/>
      </c>
      <c r="Z2816" s="31"/>
      <c r="AA2816" s="31" t="str">
        <f>Tabela2[[#This Row],[ILUSTRADOR CRIAÇÃO]]</f>
        <v/>
      </c>
      <c r="AB2816" s="33"/>
      <c r="AC2816" s="16"/>
      <c r="AE2816" s="35" t="str">
        <f t="shared" si="45"/>
        <v>EF1 E002 Mat</v>
      </c>
    </row>
    <row r="2817" spans="1:31" x14ac:dyDescent="0.25">
      <c r="A2817" s="31"/>
      <c r="B2817" s="16"/>
      <c r="C2817" s="16"/>
      <c r="D2817" s="33"/>
      <c r="E2817" s="33"/>
      <c r="F2817" s="33"/>
      <c r="G2817" s="33"/>
      <c r="H2817" s="33"/>
      <c r="I2817" s="31"/>
      <c r="J2817" s="31"/>
      <c r="K2817" s="33"/>
      <c r="L2817" s="33"/>
      <c r="M2817" s="31"/>
      <c r="N2817" s="31"/>
      <c r="O2817" s="16"/>
      <c r="P2817" s="16"/>
      <c r="Q2817" s="16"/>
      <c r="R2817" s="33"/>
      <c r="S2817" s="34"/>
      <c r="T2817" s="34"/>
      <c r="U2817" s="34"/>
      <c r="V2817" s="34"/>
      <c r="W2817" s="34"/>
      <c r="X2817" s="33"/>
      <c r="Y2817" s="35" t="str">
        <f>IF(Tabela2[[#This Row],[SIGLA]]="","",VLOOKUP(Tabela2[[#This Row],[SIGLA]],Tabela1[[#All],[Sigla Arte]:[Crédito]],2,0))</f>
        <v/>
      </c>
      <c r="Z2817" s="31"/>
      <c r="AA2817" s="31" t="str">
        <f>Tabela2[[#This Row],[ILUSTRADOR CRIAÇÃO]]</f>
        <v/>
      </c>
      <c r="AB2817" s="33"/>
      <c r="AC2817" s="16"/>
      <c r="AE2817" s="35" t="str">
        <f t="shared" si="45"/>
        <v>EF1 E002 Mat</v>
      </c>
    </row>
    <row r="2818" spans="1:31" x14ac:dyDescent="0.25">
      <c r="A2818" s="31"/>
      <c r="B2818" s="16"/>
      <c r="C2818" s="16"/>
      <c r="D2818" s="33"/>
      <c r="E2818" s="33"/>
      <c r="F2818" s="33"/>
      <c r="G2818" s="33"/>
      <c r="H2818" s="33"/>
      <c r="I2818" s="31"/>
      <c r="J2818" s="31"/>
      <c r="K2818" s="33"/>
      <c r="L2818" s="33"/>
      <c r="M2818" s="31"/>
      <c r="N2818" s="31"/>
      <c r="O2818" s="16"/>
      <c r="P2818" s="16"/>
      <c r="Q2818" s="16"/>
      <c r="R2818" s="33"/>
      <c r="S2818" s="34"/>
      <c r="T2818" s="34"/>
      <c r="U2818" s="34"/>
      <c r="V2818" s="34"/>
      <c r="W2818" s="34"/>
      <c r="X2818" s="33"/>
      <c r="Y2818" s="35" t="str">
        <f>IF(Tabela2[[#This Row],[SIGLA]]="","",VLOOKUP(Tabela2[[#This Row],[SIGLA]],Tabela1[[#All],[Sigla Arte]:[Crédito]],2,0))</f>
        <v/>
      </c>
      <c r="Z2818" s="31"/>
      <c r="AA2818" s="31" t="str">
        <f>Tabela2[[#This Row],[ILUSTRADOR CRIAÇÃO]]</f>
        <v/>
      </c>
      <c r="AB2818" s="33"/>
      <c r="AC2818" s="16"/>
      <c r="AE2818" s="35" t="str">
        <f t="shared" si="45"/>
        <v>EF1 E002 Mat</v>
      </c>
    </row>
    <row r="2819" spans="1:31" x14ac:dyDescent="0.25">
      <c r="A2819" s="31"/>
      <c r="B2819" s="16"/>
      <c r="C2819" s="16"/>
      <c r="D2819" s="33"/>
      <c r="E2819" s="33"/>
      <c r="F2819" s="33"/>
      <c r="G2819" s="33"/>
      <c r="H2819" s="33"/>
      <c r="I2819" s="31"/>
      <c r="J2819" s="31"/>
      <c r="K2819" s="33"/>
      <c r="L2819" s="33"/>
      <c r="M2819" s="31"/>
      <c r="N2819" s="31"/>
      <c r="O2819" s="16"/>
      <c r="P2819" s="16"/>
      <c r="Q2819" s="16"/>
      <c r="R2819" s="33"/>
      <c r="S2819" s="34"/>
      <c r="T2819" s="34"/>
      <c r="U2819" s="34"/>
      <c r="V2819" s="34"/>
      <c r="W2819" s="34"/>
      <c r="X2819" s="33"/>
      <c r="Y2819" s="35" t="str">
        <f>IF(Tabela2[[#This Row],[SIGLA]]="","",VLOOKUP(Tabela2[[#This Row],[SIGLA]],Tabela1[[#All],[Sigla Arte]:[Crédito]],2,0))</f>
        <v/>
      </c>
      <c r="Z2819" s="31"/>
      <c r="AA2819" s="31" t="str">
        <f>Tabela2[[#This Row],[ILUSTRADOR CRIAÇÃO]]</f>
        <v/>
      </c>
      <c r="AB2819" s="33"/>
      <c r="AC2819" s="16"/>
      <c r="AE2819" s="35" t="str">
        <f t="shared" si="45"/>
        <v>EF1 E002 Mat</v>
      </c>
    </row>
    <row r="2820" spans="1:31" x14ac:dyDescent="0.25">
      <c r="A2820" s="31"/>
      <c r="B2820" s="16"/>
      <c r="C2820" s="16"/>
      <c r="D2820" s="33"/>
      <c r="E2820" s="33"/>
      <c r="F2820" s="33"/>
      <c r="G2820" s="33"/>
      <c r="H2820" s="33"/>
      <c r="I2820" s="31"/>
      <c r="J2820" s="31"/>
      <c r="K2820" s="33"/>
      <c r="L2820" s="33"/>
      <c r="M2820" s="31"/>
      <c r="N2820" s="31"/>
      <c r="O2820" s="16"/>
      <c r="P2820" s="16"/>
      <c r="Q2820" s="16"/>
      <c r="R2820" s="33"/>
      <c r="S2820" s="34"/>
      <c r="T2820" s="34"/>
      <c r="U2820" s="34"/>
      <c r="V2820" s="34"/>
      <c r="W2820" s="34"/>
      <c r="X2820" s="33"/>
      <c r="Y2820" s="35" t="str">
        <f>IF(Tabela2[[#This Row],[SIGLA]]="","",VLOOKUP(Tabela2[[#This Row],[SIGLA]],Tabela1[[#All],[Sigla Arte]:[Crédito]],2,0))</f>
        <v/>
      </c>
      <c r="Z2820" s="31"/>
      <c r="AA2820" s="31" t="str">
        <f>Tabela2[[#This Row],[ILUSTRADOR CRIAÇÃO]]</f>
        <v/>
      </c>
      <c r="AB2820" s="33"/>
      <c r="AC2820" s="16"/>
      <c r="AE2820" s="35" t="str">
        <f t="shared" si="45"/>
        <v>EF1 E002 Mat</v>
      </c>
    </row>
    <row r="2821" spans="1:31" x14ac:dyDescent="0.25">
      <c r="A2821" s="31"/>
      <c r="B2821" s="16"/>
      <c r="C2821" s="16"/>
      <c r="D2821" s="33"/>
      <c r="E2821" s="33"/>
      <c r="F2821" s="33"/>
      <c r="G2821" s="33"/>
      <c r="H2821" s="33"/>
      <c r="I2821" s="31"/>
      <c r="J2821" s="31"/>
      <c r="K2821" s="33"/>
      <c r="L2821" s="33"/>
      <c r="M2821" s="31"/>
      <c r="N2821" s="31"/>
      <c r="O2821" s="16"/>
      <c r="P2821" s="16"/>
      <c r="Q2821" s="16"/>
      <c r="R2821" s="33"/>
      <c r="S2821" s="34"/>
      <c r="T2821" s="34"/>
      <c r="U2821" s="34"/>
      <c r="V2821" s="34"/>
      <c r="W2821" s="34"/>
      <c r="X2821" s="33"/>
      <c r="Y2821" s="35" t="str">
        <f>IF(Tabela2[[#This Row],[SIGLA]]="","",VLOOKUP(Tabela2[[#This Row],[SIGLA]],Tabela1[[#All],[Sigla Arte]:[Crédito]],2,0))</f>
        <v/>
      </c>
      <c r="Z2821" s="31"/>
      <c r="AA2821" s="31" t="str">
        <f>Tabela2[[#This Row],[ILUSTRADOR CRIAÇÃO]]</f>
        <v/>
      </c>
      <c r="AB2821" s="33"/>
      <c r="AC2821" s="16"/>
      <c r="AE2821" s="35" t="str">
        <f t="shared" si="45"/>
        <v>EF1 E002 Mat</v>
      </c>
    </row>
    <row r="2822" spans="1:31" x14ac:dyDescent="0.25">
      <c r="A2822" s="31"/>
      <c r="B2822" s="16"/>
      <c r="C2822" s="16"/>
      <c r="D2822" s="33"/>
      <c r="E2822" s="33"/>
      <c r="F2822" s="33"/>
      <c r="G2822" s="33"/>
      <c r="H2822" s="33"/>
      <c r="I2822" s="31"/>
      <c r="J2822" s="31"/>
      <c r="K2822" s="33"/>
      <c r="L2822" s="33"/>
      <c r="M2822" s="31"/>
      <c r="N2822" s="31"/>
      <c r="O2822" s="16"/>
      <c r="P2822" s="16"/>
      <c r="Q2822" s="16"/>
      <c r="R2822" s="33"/>
      <c r="S2822" s="34"/>
      <c r="T2822" s="34"/>
      <c r="U2822" s="34"/>
      <c r="V2822" s="34"/>
      <c r="W2822" s="34"/>
      <c r="X2822" s="33"/>
      <c r="Y2822" s="35" t="str">
        <f>IF(Tabela2[[#This Row],[SIGLA]]="","",VLOOKUP(Tabela2[[#This Row],[SIGLA]],Tabela1[[#All],[Sigla Arte]:[Crédito]],2,0))</f>
        <v/>
      </c>
      <c r="Z2822" s="31"/>
      <c r="AA2822" s="31" t="str">
        <f>Tabela2[[#This Row],[ILUSTRADOR CRIAÇÃO]]</f>
        <v/>
      </c>
      <c r="AB2822" s="33"/>
      <c r="AC2822" s="16"/>
      <c r="AE2822" s="35" t="str">
        <f t="shared" si="45"/>
        <v>EF1 E002 Mat</v>
      </c>
    </row>
    <row r="2823" spans="1:31" x14ac:dyDescent="0.25">
      <c r="A2823" s="31"/>
      <c r="B2823" s="16"/>
      <c r="C2823" s="16"/>
      <c r="D2823" s="33"/>
      <c r="E2823" s="33"/>
      <c r="F2823" s="33"/>
      <c r="G2823" s="33"/>
      <c r="H2823" s="33"/>
      <c r="I2823" s="31"/>
      <c r="J2823" s="31"/>
      <c r="K2823" s="33"/>
      <c r="L2823" s="33"/>
      <c r="M2823" s="31"/>
      <c r="N2823" s="31"/>
      <c r="O2823" s="16"/>
      <c r="P2823" s="16"/>
      <c r="Q2823" s="16"/>
      <c r="R2823" s="33"/>
      <c r="S2823" s="34"/>
      <c r="T2823" s="34"/>
      <c r="U2823" s="34"/>
      <c r="V2823" s="34"/>
      <c r="W2823" s="34"/>
      <c r="X2823" s="33"/>
      <c r="Y2823" s="35" t="str">
        <f>IF(Tabela2[[#This Row],[SIGLA]]="","",VLOOKUP(Tabela2[[#This Row],[SIGLA]],Tabela1[[#All],[Sigla Arte]:[Crédito]],2,0))</f>
        <v/>
      </c>
      <c r="Z2823" s="31"/>
      <c r="AA2823" s="31" t="str">
        <f>Tabela2[[#This Row],[ILUSTRADOR CRIAÇÃO]]</f>
        <v/>
      </c>
      <c r="AB2823" s="33"/>
      <c r="AC2823" s="16"/>
      <c r="AE2823" s="35" t="str">
        <f t="shared" si="45"/>
        <v>EF1 E002 Mat</v>
      </c>
    </row>
    <row r="2824" spans="1:31" x14ac:dyDescent="0.25">
      <c r="A2824" s="31"/>
      <c r="B2824" s="16"/>
      <c r="C2824" s="16"/>
      <c r="D2824" s="33"/>
      <c r="E2824" s="33"/>
      <c r="F2824" s="33"/>
      <c r="G2824" s="33"/>
      <c r="H2824" s="33"/>
      <c r="I2824" s="31"/>
      <c r="J2824" s="31"/>
      <c r="K2824" s="33"/>
      <c r="L2824" s="33"/>
      <c r="M2824" s="31"/>
      <c r="N2824" s="31"/>
      <c r="O2824" s="16"/>
      <c r="P2824" s="16"/>
      <c r="Q2824" s="16"/>
      <c r="R2824" s="33"/>
      <c r="S2824" s="34"/>
      <c r="T2824" s="34"/>
      <c r="U2824" s="34"/>
      <c r="V2824" s="34"/>
      <c r="W2824" s="34"/>
      <c r="X2824" s="33"/>
      <c r="Y2824" s="35" t="str">
        <f>IF(Tabela2[[#This Row],[SIGLA]]="","",VLOOKUP(Tabela2[[#This Row],[SIGLA]],Tabela1[[#All],[Sigla Arte]:[Crédito]],2,0))</f>
        <v/>
      </c>
      <c r="Z2824" s="31"/>
      <c r="AA2824" s="31" t="str">
        <f>Tabela2[[#This Row],[ILUSTRADOR CRIAÇÃO]]</f>
        <v/>
      </c>
      <c r="AB2824" s="33"/>
      <c r="AC2824" s="16"/>
      <c r="AE2824" s="35" t="str">
        <f t="shared" si="45"/>
        <v>EF1 E002 Mat</v>
      </c>
    </row>
    <row r="2825" spans="1:31" x14ac:dyDescent="0.25">
      <c r="A2825" s="31"/>
      <c r="B2825" s="16"/>
      <c r="C2825" s="16"/>
      <c r="D2825" s="33"/>
      <c r="E2825" s="33"/>
      <c r="F2825" s="33"/>
      <c r="G2825" s="33"/>
      <c r="H2825" s="33"/>
      <c r="I2825" s="31"/>
      <c r="J2825" s="31"/>
      <c r="K2825" s="33"/>
      <c r="L2825" s="33"/>
      <c r="M2825" s="31"/>
      <c r="N2825" s="31"/>
      <c r="O2825" s="16"/>
      <c r="P2825" s="16"/>
      <c r="Q2825" s="16"/>
      <c r="R2825" s="33"/>
      <c r="S2825" s="34"/>
      <c r="T2825" s="34"/>
      <c r="U2825" s="34"/>
      <c r="V2825" s="34"/>
      <c r="W2825" s="34"/>
      <c r="X2825" s="33"/>
      <c r="Y2825" s="35" t="str">
        <f>IF(Tabela2[[#This Row],[SIGLA]]="","",VLOOKUP(Tabela2[[#This Row],[SIGLA]],Tabela1[[#All],[Sigla Arte]:[Crédito]],2,0))</f>
        <v/>
      </c>
      <c r="Z2825" s="31"/>
      <c r="AA2825" s="31" t="str">
        <f>Tabela2[[#This Row],[ILUSTRADOR CRIAÇÃO]]</f>
        <v/>
      </c>
      <c r="AB2825" s="33"/>
      <c r="AC2825" s="16"/>
      <c r="AE2825" s="35" t="str">
        <f t="shared" si="45"/>
        <v>EF1 E002 Mat</v>
      </c>
    </row>
    <row r="2826" spans="1:31" x14ac:dyDescent="0.25">
      <c r="A2826" s="31"/>
      <c r="B2826" s="16"/>
      <c r="C2826" s="16"/>
      <c r="D2826" s="33"/>
      <c r="E2826" s="33"/>
      <c r="F2826" s="33"/>
      <c r="G2826" s="33"/>
      <c r="H2826" s="33"/>
      <c r="I2826" s="31"/>
      <c r="J2826" s="31"/>
      <c r="K2826" s="33"/>
      <c r="L2826" s="33"/>
      <c r="M2826" s="31"/>
      <c r="N2826" s="31"/>
      <c r="O2826" s="16"/>
      <c r="P2826" s="16"/>
      <c r="Q2826" s="16"/>
      <c r="R2826" s="33"/>
      <c r="S2826" s="34"/>
      <c r="T2826" s="34"/>
      <c r="U2826" s="34"/>
      <c r="V2826" s="34"/>
      <c r="W2826" s="34"/>
      <c r="X2826" s="33"/>
      <c r="Y2826" s="35" t="str">
        <f>IF(Tabela2[[#This Row],[SIGLA]]="","",VLOOKUP(Tabela2[[#This Row],[SIGLA]],Tabela1[[#All],[Sigla Arte]:[Crédito]],2,0))</f>
        <v/>
      </c>
      <c r="Z2826" s="31"/>
      <c r="AA2826" s="31" t="str">
        <f>Tabela2[[#This Row],[ILUSTRADOR CRIAÇÃO]]</f>
        <v/>
      </c>
      <c r="AB2826" s="33"/>
      <c r="AC2826" s="16"/>
      <c r="AE2826" s="35" t="str">
        <f t="shared" si="45"/>
        <v>EF1 E002 Mat</v>
      </c>
    </row>
    <row r="2827" spans="1:31" x14ac:dyDescent="0.25">
      <c r="A2827" s="31"/>
      <c r="B2827" s="16"/>
      <c r="C2827" s="16"/>
      <c r="D2827" s="33"/>
      <c r="E2827" s="33"/>
      <c r="F2827" s="33"/>
      <c r="G2827" s="33"/>
      <c r="H2827" s="33"/>
      <c r="I2827" s="31"/>
      <c r="J2827" s="31"/>
      <c r="K2827" s="33"/>
      <c r="L2827" s="33"/>
      <c r="M2827" s="31"/>
      <c r="N2827" s="31"/>
      <c r="O2827" s="16"/>
      <c r="P2827" s="16"/>
      <c r="Q2827" s="16"/>
      <c r="R2827" s="33"/>
      <c r="S2827" s="34"/>
      <c r="T2827" s="34"/>
      <c r="U2827" s="34"/>
      <c r="V2827" s="34"/>
      <c r="W2827" s="34"/>
      <c r="X2827" s="33"/>
      <c r="Y2827" s="35" t="str">
        <f>IF(Tabela2[[#This Row],[SIGLA]]="","",VLOOKUP(Tabela2[[#This Row],[SIGLA]],Tabela1[[#All],[Sigla Arte]:[Crédito]],2,0))</f>
        <v/>
      </c>
      <c r="Z2827" s="31"/>
      <c r="AA2827" s="31" t="str">
        <f>Tabela2[[#This Row],[ILUSTRADOR CRIAÇÃO]]</f>
        <v/>
      </c>
      <c r="AB2827" s="33"/>
      <c r="AC2827" s="16"/>
      <c r="AE2827" s="35" t="str">
        <f t="shared" si="45"/>
        <v>EF1 E002 Mat</v>
      </c>
    </row>
    <row r="2828" spans="1:31" x14ac:dyDescent="0.25">
      <c r="A2828" s="31"/>
      <c r="B2828" s="16"/>
      <c r="C2828" s="16"/>
      <c r="D2828" s="33"/>
      <c r="E2828" s="33"/>
      <c r="F2828" s="33"/>
      <c r="G2828" s="33"/>
      <c r="H2828" s="33"/>
      <c r="I2828" s="31"/>
      <c r="J2828" s="31"/>
      <c r="K2828" s="33"/>
      <c r="L2828" s="33"/>
      <c r="M2828" s="31"/>
      <c r="N2828" s="31"/>
      <c r="O2828" s="16"/>
      <c r="P2828" s="16"/>
      <c r="Q2828" s="16"/>
      <c r="R2828" s="33"/>
      <c r="S2828" s="34"/>
      <c r="T2828" s="34"/>
      <c r="U2828" s="34"/>
      <c r="V2828" s="34"/>
      <c r="W2828" s="34"/>
      <c r="X2828" s="33"/>
      <c r="Y2828" s="35" t="str">
        <f>IF(Tabela2[[#This Row],[SIGLA]]="","",VLOOKUP(Tabela2[[#This Row],[SIGLA]],Tabela1[[#All],[Sigla Arte]:[Crédito]],2,0))</f>
        <v/>
      </c>
      <c r="Z2828" s="31"/>
      <c r="AA2828" s="31" t="str">
        <f>Tabela2[[#This Row],[ILUSTRADOR CRIAÇÃO]]</f>
        <v/>
      </c>
      <c r="AB2828" s="33"/>
      <c r="AC2828" s="16"/>
      <c r="AE2828" s="35" t="str">
        <f t="shared" si="45"/>
        <v>EF1 E002 Mat</v>
      </c>
    </row>
    <row r="2829" spans="1:31" x14ac:dyDescent="0.25">
      <c r="A2829" s="31"/>
      <c r="B2829" s="16"/>
      <c r="C2829" s="16"/>
      <c r="D2829" s="33"/>
      <c r="E2829" s="33"/>
      <c r="F2829" s="33"/>
      <c r="G2829" s="33"/>
      <c r="H2829" s="33"/>
      <c r="I2829" s="31"/>
      <c r="J2829" s="31"/>
      <c r="K2829" s="33"/>
      <c r="L2829" s="33"/>
      <c r="M2829" s="31"/>
      <c r="N2829" s="31"/>
      <c r="O2829" s="16"/>
      <c r="P2829" s="16"/>
      <c r="Q2829" s="16"/>
      <c r="R2829" s="33"/>
      <c r="S2829" s="34"/>
      <c r="T2829" s="34"/>
      <c r="U2829" s="34"/>
      <c r="V2829" s="34"/>
      <c r="W2829" s="34"/>
      <c r="X2829" s="33"/>
      <c r="Y2829" s="35" t="str">
        <f>IF(Tabela2[[#This Row],[SIGLA]]="","",VLOOKUP(Tabela2[[#This Row],[SIGLA]],Tabela1[[#All],[Sigla Arte]:[Crédito]],2,0))</f>
        <v/>
      </c>
      <c r="Z2829" s="31"/>
      <c r="AA2829" s="31" t="str">
        <f>Tabela2[[#This Row],[ILUSTRADOR CRIAÇÃO]]</f>
        <v/>
      </c>
      <c r="AB2829" s="33"/>
      <c r="AC2829" s="16"/>
      <c r="AE2829" s="35" t="str">
        <f t="shared" si="45"/>
        <v>EF1 E002 Mat</v>
      </c>
    </row>
    <row r="2830" spans="1:31" x14ac:dyDescent="0.25">
      <c r="A2830" s="31"/>
      <c r="B2830" s="16"/>
      <c r="C2830" s="16"/>
      <c r="D2830" s="33"/>
      <c r="E2830" s="33"/>
      <c r="F2830" s="33"/>
      <c r="G2830" s="33"/>
      <c r="H2830" s="33"/>
      <c r="I2830" s="31"/>
      <c r="J2830" s="31"/>
      <c r="K2830" s="33"/>
      <c r="L2830" s="33"/>
      <c r="M2830" s="31"/>
      <c r="N2830" s="31"/>
      <c r="O2830" s="16"/>
      <c r="P2830" s="16"/>
      <c r="Q2830" s="16"/>
      <c r="R2830" s="33"/>
      <c r="S2830" s="34"/>
      <c r="T2830" s="34"/>
      <c r="U2830" s="34"/>
      <c r="V2830" s="34"/>
      <c r="W2830" s="34"/>
      <c r="X2830" s="33"/>
      <c r="Y2830" s="35" t="str">
        <f>IF(Tabela2[[#This Row],[SIGLA]]="","",VLOOKUP(Tabela2[[#This Row],[SIGLA]],Tabela1[[#All],[Sigla Arte]:[Crédito]],2,0))</f>
        <v/>
      </c>
      <c r="Z2830" s="31"/>
      <c r="AA2830" s="31" t="str">
        <f>Tabela2[[#This Row],[ILUSTRADOR CRIAÇÃO]]</f>
        <v/>
      </c>
      <c r="AB2830" s="33"/>
      <c r="AC2830" s="16"/>
      <c r="AE2830" s="35" t="str">
        <f t="shared" si="45"/>
        <v>EF1 E002 Mat</v>
      </c>
    </row>
    <row r="2831" spans="1:31" x14ac:dyDescent="0.25">
      <c r="A2831" s="31"/>
      <c r="B2831" s="16"/>
      <c r="C2831" s="16"/>
      <c r="D2831" s="33"/>
      <c r="E2831" s="33"/>
      <c r="F2831" s="33"/>
      <c r="G2831" s="33"/>
      <c r="H2831" s="33"/>
      <c r="I2831" s="31"/>
      <c r="J2831" s="31"/>
      <c r="K2831" s="33"/>
      <c r="L2831" s="33"/>
      <c r="M2831" s="31"/>
      <c r="N2831" s="31"/>
      <c r="O2831" s="16"/>
      <c r="P2831" s="16"/>
      <c r="Q2831" s="16"/>
      <c r="R2831" s="33"/>
      <c r="S2831" s="34"/>
      <c r="T2831" s="34"/>
      <c r="U2831" s="34"/>
      <c r="V2831" s="34"/>
      <c r="W2831" s="34"/>
      <c r="X2831" s="33"/>
      <c r="Y2831" s="35" t="str">
        <f>IF(Tabela2[[#This Row],[SIGLA]]="","",VLOOKUP(Tabela2[[#This Row],[SIGLA]],Tabela1[[#All],[Sigla Arte]:[Crédito]],2,0))</f>
        <v/>
      </c>
      <c r="Z2831" s="31"/>
      <c r="AA2831" s="31" t="str">
        <f>Tabela2[[#This Row],[ILUSTRADOR CRIAÇÃO]]</f>
        <v/>
      </c>
      <c r="AB2831" s="33"/>
      <c r="AC2831" s="16"/>
      <c r="AE2831" s="35" t="str">
        <f t="shared" si="45"/>
        <v>EF1 E002 Mat</v>
      </c>
    </row>
    <row r="2832" spans="1:31" x14ac:dyDescent="0.25">
      <c r="A2832" s="31"/>
      <c r="B2832" s="16"/>
      <c r="C2832" s="16"/>
      <c r="D2832" s="33"/>
      <c r="E2832" s="33"/>
      <c r="F2832" s="33"/>
      <c r="G2832" s="33"/>
      <c r="H2832" s="33"/>
      <c r="I2832" s="31"/>
      <c r="J2832" s="31"/>
      <c r="K2832" s="33"/>
      <c r="L2832" s="33"/>
      <c r="M2832" s="31"/>
      <c r="N2832" s="31"/>
      <c r="O2832" s="16"/>
      <c r="P2832" s="16"/>
      <c r="Q2832" s="16"/>
      <c r="R2832" s="33"/>
      <c r="S2832" s="34"/>
      <c r="T2832" s="34"/>
      <c r="U2832" s="34"/>
      <c r="V2832" s="34"/>
      <c r="W2832" s="34"/>
      <c r="X2832" s="33"/>
      <c r="Y2832" s="35" t="str">
        <f>IF(Tabela2[[#This Row],[SIGLA]]="","",VLOOKUP(Tabela2[[#This Row],[SIGLA]],Tabela1[[#All],[Sigla Arte]:[Crédito]],2,0))</f>
        <v/>
      </c>
      <c r="Z2832" s="31"/>
      <c r="AA2832" s="31" t="str">
        <f>Tabela2[[#This Row],[ILUSTRADOR CRIAÇÃO]]</f>
        <v/>
      </c>
      <c r="AB2832" s="33"/>
      <c r="AC2832" s="16"/>
      <c r="AE2832" s="35" t="str">
        <f t="shared" si="45"/>
        <v>EF1 E002 Mat</v>
      </c>
    </row>
    <row r="2833" spans="1:31" x14ac:dyDescent="0.25">
      <c r="A2833" s="31"/>
      <c r="B2833" s="16"/>
      <c r="C2833" s="16"/>
      <c r="D2833" s="33"/>
      <c r="E2833" s="33"/>
      <c r="F2833" s="33"/>
      <c r="G2833" s="33"/>
      <c r="H2833" s="33"/>
      <c r="I2833" s="31"/>
      <c r="J2833" s="31"/>
      <c r="K2833" s="33"/>
      <c r="L2833" s="33"/>
      <c r="M2833" s="31"/>
      <c r="N2833" s="31"/>
      <c r="O2833" s="16"/>
      <c r="P2833" s="16"/>
      <c r="Q2833" s="16"/>
      <c r="R2833" s="33"/>
      <c r="S2833" s="34"/>
      <c r="T2833" s="34"/>
      <c r="U2833" s="34"/>
      <c r="V2833" s="34"/>
      <c r="W2833" s="34"/>
      <c r="X2833" s="33"/>
      <c r="Y2833" s="35" t="str">
        <f>IF(Tabela2[[#This Row],[SIGLA]]="","",VLOOKUP(Tabela2[[#This Row],[SIGLA]],Tabela1[[#All],[Sigla Arte]:[Crédito]],2,0))</f>
        <v/>
      </c>
      <c r="Z2833" s="31"/>
      <c r="AA2833" s="31" t="str">
        <f>Tabela2[[#This Row],[ILUSTRADOR CRIAÇÃO]]</f>
        <v/>
      </c>
      <c r="AB2833" s="33"/>
      <c r="AC2833" s="16"/>
      <c r="AE2833" s="35" t="str">
        <f t="shared" si="45"/>
        <v>EF1 E002 Mat</v>
      </c>
    </row>
    <row r="2834" spans="1:31" x14ac:dyDescent="0.25">
      <c r="A2834" s="31"/>
      <c r="B2834" s="16"/>
      <c r="C2834" s="16"/>
      <c r="D2834" s="33"/>
      <c r="E2834" s="33"/>
      <c r="F2834" s="33"/>
      <c r="G2834" s="33"/>
      <c r="H2834" s="33"/>
      <c r="I2834" s="31"/>
      <c r="J2834" s="31"/>
      <c r="K2834" s="33"/>
      <c r="L2834" s="33"/>
      <c r="M2834" s="31"/>
      <c r="N2834" s="31"/>
      <c r="O2834" s="16"/>
      <c r="P2834" s="16"/>
      <c r="Q2834" s="16"/>
      <c r="R2834" s="33"/>
      <c r="S2834" s="34"/>
      <c r="T2834" s="34"/>
      <c r="U2834" s="34"/>
      <c r="V2834" s="34"/>
      <c r="W2834" s="34"/>
      <c r="X2834" s="33"/>
      <c r="Y2834" s="35" t="str">
        <f>IF(Tabela2[[#This Row],[SIGLA]]="","",VLOOKUP(Tabela2[[#This Row],[SIGLA]],Tabela1[[#All],[Sigla Arte]:[Crédito]],2,0))</f>
        <v/>
      </c>
      <c r="Z2834" s="31"/>
      <c r="AA2834" s="31" t="str">
        <f>Tabela2[[#This Row],[ILUSTRADOR CRIAÇÃO]]</f>
        <v/>
      </c>
      <c r="AB2834" s="33"/>
      <c r="AC2834" s="16"/>
      <c r="AE2834" s="35" t="str">
        <f t="shared" si="45"/>
        <v>EF1 E002 Mat</v>
      </c>
    </row>
    <row r="2835" spans="1:31" x14ac:dyDescent="0.25">
      <c r="A2835" s="31"/>
      <c r="B2835" s="16"/>
      <c r="C2835" s="16"/>
      <c r="D2835" s="33"/>
      <c r="E2835" s="33"/>
      <c r="F2835" s="33"/>
      <c r="G2835" s="33"/>
      <c r="H2835" s="33"/>
      <c r="I2835" s="31"/>
      <c r="J2835" s="31"/>
      <c r="K2835" s="33"/>
      <c r="L2835" s="33"/>
      <c r="M2835" s="31"/>
      <c r="N2835" s="31"/>
      <c r="O2835" s="16"/>
      <c r="P2835" s="16"/>
      <c r="Q2835" s="16"/>
      <c r="R2835" s="33"/>
      <c r="S2835" s="34"/>
      <c r="T2835" s="34"/>
      <c r="U2835" s="34"/>
      <c r="V2835" s="34"/>
      <c r="W2835" s="34"/>
      <c r="X2835" s="33"/>
      <c r="Y2835" s="35" t="str">
        <f>IF(Tabela2[[#This Row],[SIGLA]]="","",VLOOKUP(Tabela2[[#This Row],[SIGLA]],Tabela1[[#All],[Sigla Arte]:[Crédito]],2,0))</f>
        <v/>
      </c>
      <c r="Z2835" s="31"/>
      <c r="AA2835" s="31" t="str">
        <f>Tabela2[[#This Row],[ILUSTRADOR CRIAÇÃO]]</f>
        <v/>
      </c>
      <c r="AB2835" s="33"/>
      <c r="AC2835" s="16"/>
      <c r="AE2835" s="35" t="str">
        <f t="shared" si="45"/>
        <v>EF1 E002 Mat</v>
      </c>
    </row>
    <row r="2836" spans="1:31" x14ac:dyDescent="0.25">
      <c r="A2836" s="31"/>
      <c r="B2836" s="16"/>
      <c r="C2836" s="16"/>
      <c r="D2836" s="33"/>
      <c r="E2836" s="33"/>
      <c r="F2836" s="33"/>
      <c r="G2836" s="33"/>
      <c r="H2836" s="33"/>
      <c r="I2836" s="31"/>
      <c r="J2836" s="31"/>
      <c r="K2836" s="33"/>
      <c r="L2836" s="33"/>
      <c r="M2836" s="31"/>
      <c r="N2836" s="31"/>
      <c r="O2836" s="16"/>
      <c r="P2836" s="16"/>
      <c r="Q2836" s="16"/>
      <c r="R2836" s="33"/>
      <c r="S2836" s="34"/>
      <c r="T2836" s="34"/>
      <c r="U2836" s="34"/>
      <c r="V2836" s="34"/>
      <c r="W2836" s="34"/>
      <c r="X2836" s="33"/>
      <c r="Y2836" s="35" t="str">
        <f>IF(Tabela2[[#This Row],[SIGLA]]="","",VLOOKUP(Tabela2[[#This Row],[SIGLA]],Tabela1[[#All],[Sigla Arte]:[Crédito]],2,0))</f>
        <v/>
      </c>
      <c r="Z2836" s="31"/>
      <c r="AA2836" s="31" t="str">
        <f>Tabela2[[#This Row],[ILUSTRADOR CRIAÇÃO]]</f>
        <v/>
      </c>
      <c r="AB2836" s="33"/>
      <c r="AC2836" s="16"/>
      <c r="AE2836" s="35" t="str">
        <f t="shared" si="45"/>
        <v>EF1 E002 Mat</v>
      </c>
    </row>
    <row r="2837" spans="1:31" x14ac:dyDescent="0.25">
      <c r="A2837" s="31"/>
      <c r="B2837" s="16"/>
      <c r="C2837" s="16"/>
      <c r="D2837" s="33"/>
      <c r="E2837" s="33"/>
      <c r="F2837" s="33"/>
      <c r="G2837" s="33"/>
      <c r="H2837" s="33"/>
      <c r="I2837" s="31"/>
      <c r="J2837" s="31"/>
      <c r="K2837" s="33"/>
      <c r="L2837" s="33"/>
      <c r="M2837" s="31"/>
      <c r="N2837" s="31"/>
      <c r="O2837" s="16"/>
      <c r="P2837" s="16"/>
      <c r="Q2837" s="16"/>
      <c r="R2837" s="33"/>
      <c r="S2837" s="34"/>
      <c r="T2837" s="34"/>
      <c r="U2837" s="34"/>
      <c r="V2837" s="34"/>
      <c r="W2837" s="34"/>
      <c r="X2837" s="33"/>
      <c r="Y2837" s="35" t="str">
        <f>IF(Tabela2[[#This Row],[SIGLA]]="","",VLOOKUP(Tabela2[[#This Row],[SIGLA]],Tabela1[[#All],[Sigla Arte]:[Crédito]],2,0))</f>
        <v/>
      </c>
      <c r="Z2837" s="31"/>
      <c r="AA2837" s="31" t="str">
        <f>Tabela2[[#This Row],[ILUSTRADOR CRIAÇÃO]]</f>
        <v/>
      </c>
      <c r="AB2837" s="33"/>
      <c r="AC2837" s="16"/>
      <c r="AE2837" s="35" t="str">
        <f t="shared" si="45"/>
        <v>EF1 E002 Mat</v>
      </c>
    </row>
    <row r="2838" spans="1:31" x14ac:dyDescent="0.25">
      <c r="A2838" s="31"/>
      <c r="B2838" s="16"/>
      <c r="C2838" s="16"/>
      <c r="D2838" s="33"/>
      <c r="E2838" s="33"/>
      <c r="F2838" s="33"/>
      <c r="G2838" s="33"/>
      <c r="H2838" s="33"/>
      <c r="I2838" s="31"/>
      <c r="J2838" s="31"/>
      <c r="K2838" s="33"/>
      <c r="L2838" s="33"/>
      <c r="M2838" s="31"/>
      <c r="N2838" s="31"/>
      <c r="O2838" s="16"/>
      <c r="P2838" s="16"/>
      <c r="Q2838" s="16"/>
      <c r="R2838" s="33"/>
      <c r="S2838" s="34"/>
      <c r="T2838" s="34"/>
      <c r="U2838" s="34"/>
      <c r="V2838" s="34"/>
      <c r="W2838" s="34"/>
      <c r="X2838" s="33"/>
      <c r="Y2838" s="35" t="str">
        <f>IF(Tabela2[[#This Row],[SIGLA]]="","",VLOOKUP(Tabela2[[#This Row],[SIGLA]],Tabela1[[#All],[Sigla Arte]:[Crédito]],2,0))</f>
        <v/>
      </c>
      <c r="Z2838" s="31"/>
      <c r="AA2838" s="31" t="str">
        <f>Tabela2[[#This Row],[ILUSTRADOR CRIAÇÃO]]</f>
        <v/>
      </c>
      <c r="AB2838" s="33"/>
      <c r="AC2838" s="16"/>
      <c r="AE2838" s="35" t="str">
        <f t="shared" si="45"/>
        <v>EF1 E002 Mat</v>
      </c>
    </row>
    <row r="2839" spans="1:31" x14ac:dyDescent="0.25">
      <c r="A2839" s="31"/>
      <c r="B2839" s="16"/>
      <c r="C2839" s="16"/>
      <c r="D2839" s="33"/>
      <c r="E2839" s="33"/>
      <c r="F2839" s="33"/>
      <c r="G2839" s="33"/>
      <c r="H2839" s="33"/>
      <c r="I2839" s="31"/>
      <c r="J2839" s="31"/>
      <c r="K2839" s="33"/>
      <c r="L2839" s="33"/>
      <c r="M2839" s="31"/>
      <c r="N2839" s="31"/>
      <c r="O2839" s="16"/>
      <c r="P2839" s="16"/>
      <c r="Q2839" s="16"/>
      <c r="R2839" s="33"/>
      <c r="S2839" s="34"/>
      <c r="T2839" s="34"/>
      <c r="U2839" s="34"/>
      <c r="V2839" s="34"/>
      <c r="W2839" s="34"/>
      <c r="X2839" s="33"/>
      <c r="Y2839" s="35" t="str">
        <f>IF(Tabela2[[#This Row],[SIGLA]]="","",VLOOKUP(Tabela2[[#This Row],[SIGLA]],Tabela1[[#All],[Sigla Arte]:[Crédito]],2,0))</f>
        <v/>
      </c>
      <c r="Z2839" s="31"/>
      <c r="AA2839" s="31" t="str">
        <f>Tabela2[[#This Row],[ILUSTRADOR CRIAÇÃO]]</f>
        <v/>
      </c>
      <c r="AB2839" s="33"/>
      <c r="AC2839" s="16"/>
      <c r="AE2839" s="35" t="str">
        <f t="shared" si="45"/>
        <v>EF1 E002 Mat</v>
      </c>
    </row>
    <row r="2840" spans="1:31" x14ac:dyDescent="0.25">
      <c r="A2840" s="31"/>
      <c r="B2840" s="16"/>
      <c r="C2840" s="16"/>
      <c r="D2840" s="33"/>
      <c r="E2840" s="33"/>
      <c r="F2840" s="33"/>
      <c r="G2840" s="33"/>
      <c r="H2840" s="33"/>
      <c r="I2840" s="31"/>
      <c r="J2840" s="31"/>
      <c r="K2840" s="33"/>
      <c r="L2840" s="33"/>
      <c r="M2840" s="31"/>
      <c r="N2840" s="31"/>
      <c r="O2840" s="16"/>
      <c r="P2840" s="16"/>
      <c r="Q2840" s="16"/>
      <c r="R2840" s="33"/>
      <c r="S2840" s="34"/>
      <c r="T2840" s="34"/>
      <c r="U2840" s="34"/>
      <c r="V2840" s="34"/>
      <c r="W2840" s="34"/>
      <c r="X2840" s="33"/>
      <c r="Y2840" s="35" t="str">
        <f>IF(Tabela2[[#This Row],[SIGLA]]="","",VLOOKUP(Tabela2[[#This Row],[SIGLA]],Tabela1[[#All],[Sigla Arte]:[Crédito]],2,0))</f>
        <v/>
      </c>
      <c r="Z2840" s="31"/>
      <c r="AA2840" s="31" t="str">
        <f>Tabela2[[#This Row],[ILUSTRADOR CRIAÇÃO]]</f>
        <v/>
      </c>
      <c r="AB2840" s="33"/>
      <c r="AC2840" s="16"/>
      <c r="AE2840" s="35" t="str">
        <f t="shared" si="45"/>
        <v>EF1 E002 Mat</v>
      </c>
    </row>
    <row r="2841" spans="1:31" x14ac:dyDescent="0.25">
      <c r="A2841" s="31"/>
      <c r="B2841" s="16"/>
      <c r="C2841" s="16"/>
      <c r="D2841" s="33"/>
      <c r="E2841" s="33"/>
      <c r="F2841" s="33"/>
      <c r="G2841" s="33"/>
      <c r="H2841" s="33"/>
      <c r="I2841" s="31"/>
      <c r="J2841" s="31"/>
      <c r="K2841" s="33"/>
      <c r="L2841" s="33"/>
      <c r="M2841" s="31"/>
      <c r="N2841" s="31"/>
      <c r="O2841" s="16"/>
      <c r="P2841" s="16"/>
      <c r="Q2841" s="16"/>
      <c r="R2841" s="33"/>
      <c r="S2841" s="34"/>
      <c r="T2841" s="34"/>
      <c r="U2841" s="34"/>
      <c r="V2841" s="34"/>
      <c r="W2841" s="34"/>
      <c r="X2841" s="33"/>
      <c r="Y2841" s="35" t="str">
        <f>IF(Tabela2[[#This Row],[SIGLA]]="","",VLOOKUP(Tabela2[[#This Row],[SIGLA]],Tabela1[[#All],[Sigla Arte]:[Crédito]],2,0))</f>
        <v/>
      </c>
      <c r="Z2841" s="31"/>
      <c r="AA2841" s="31" t="str">
        <f>Tabela2[[#This Row],[ILUSTRADOR CRIAÇÃO]]</f>
        <v/>
      </c>
      <c r="AB2841" s="33"/>
      <c r="AC2841" s="16"/>
      <c r="AE2841" s="35" t="str">
        <f t="shared" si="45"/>
        <v>EF1 E002 Mat</v>
      </c>
    </row>
    <row r="2842" spans="1:31" x14ac:dyDescent="0.25">
      <c r="A2842" s="31"/>
      <c r="B2842" s="16"/>
      <c r="C2842" s="16"/>
      <c r="D2842" s="33"/>
      <c r="E2842" s="33"/>
      <c r="F2842" s="33"/>
      <c r="G2842" s="33"/>
      <c r="H2842" s="33"/>
      <c r="I2842" s="31"/>
      <c r="J2842" s="31"/>
      <c r="K2842" s="33"/>
      <c r="L2842" s="33"/>
      <c r="M2842" s="31"/>
      <c r="N2842" s="31"/>
      <c r="O2842" s="16"/>
      <c r="P2842" s="16"/>
      <c r="Q2842" s="16"/>
      <c r="R2842" s="33"/>
      <c r="S2842" s="34"/>
      <c r="T2842" s="34"/>
      <c r="U2842" s="34"/>
      <c r="V2842" s="34"/>
      <c r="W2842" s="34"/>
      <c r="X2842" s="33"/>
      <c r="Y2842" s="35" t="str">
        <f>IF(Tabela2[[#This Row],[SIGLA]]="","",VLOOKUP(Tabela2[[#This Row],[SIGLA]],Tabela1[[#All],[Sigla Arte]:[Crédito]],2,0))</f>
        <v/>
      </c>
      <c r="Z2842" s="31"/>
      <c r="AA2842" s="31" t="str">
        <f>Tabela2[[#This Row],[ILUSTRADOR CRIAÇÃO]]</f>
        <v/>
      </c>
      <c r="AB2842" s="33"/>
      <c r="AC2842" s="16"/>
      <c r="AE2842" s="35" t="str">
        <f t="shared" si="45"/>
        <v>EF1 E002 Mat</v>
      </c>
    </row>
    <row r="2843" spans="1:31" x14ac:dyDescent="0.25">
      <c r="A2843" s="31"/>
      <c r="B2843" s="16"/>
      <c r="C2843" s="16"/>
      <c r="D2843" s="33"/>
      <c r="E2843" s="33"/>
      <c r="F2843" s="33"/>
      <c r="G2843" s="33"/>
      <c r="H2843" s="33"/>
      <c r="I2843" s="31"/>
      <c r="J2843" s="31"/>
      <c r="K2843" s="33"/>
      <c r="L2843" s="33"/>
      <c r="M2843" s="31"/>
      <c r="N2843" s="31"/>
      <c r="O2843" s="16"/>
      <c r="P2843" s="16"/>
      <c r="Q2843" s="16"/>
      <c r="R2843" s="33"/>
      <c r="S2843" s="34"/>
      <c r="T2843" s="34"/>
      <c r="U2843" s="34"/>
      <c r="V2843" s="34"/>
      <c r="W2843" s="34"/>
      <c r="X2843" s="33"/>
      <c r="Y2843" s="35" t="str">
        <f>IF(Tabela2[[#This Row],[SIGLA]]="","",VLOOKUP(Tabela2[[#This Row],[SIGLA]],Tabela1[[#All],[Sigla Arte]:[Crédito]],2,0))</f>
        <v/>
      </c>
      <c r="Z2843" s="31"/>
      <c r="AA2843" s="31" t="str">
        <f>Tabela2[[#This Row],[ILUSTRADOR CRIAÇÃO]]</f>
        <v/>
      </c>
      <c r="AB2843" s="33"/>
      <c r="AC2843" s="16"/>
      <c r="AE2843" s="35" t="str">
        <f t="shared" si="45"/>
        <v>EF1 E002 Mat</v>
      </c>
    </row>
    <row r="2844" spans="1:31" x14ac:dyDescent="0.25">
      <c r="A2844" s="31"/>
      <c r="B2844" s="16"/>
      <c r="C2844" s="16"/>
      <c r="D2844" s="33"/>
      <c r="E2844" s="33"/>
      <c r="F2844" s="33"/>
      <c r="G2844" s="33"/>
      <c r="H2844" s="33"/>
      <c r="I2844" s="31"/>
      <c r="J2844" s="31"/>
      <c r="K2844" s="33"/>
      <c r="L2844" s="33"/>
      <c r="M2844" s="31"/>
      <c r="N2844" s="31"/>
      <c r="O2844" s="16"/>
      <c r="P2844" s="16"/>
      <c r="Q2844" s="16"/>
      <c r="R2844" s="33"/>
      <c r="S2844" s="34"/>
      <c r="T2844" s="34"/>
      <c r="U2844" s="34"/>
      <c r="V2844" s="34"/>
      <c r="W2844" s="34"/>
      <c r="X2844" s="33"/>
      <c r="Y2844" s="35" t="str">
        <f>IF(Tabela2[[#This Row],[SIGLA]]="","",VLOOKUP(Tabela2[[#This Row],[SIGLA]],Tabela1[[#All],[Sigla Arte]:[Crédito]],2,0))</f>
        <v/>
      </c>
      <c r="Z2844" s="31"/>
      <c r="AA2844" s="31" t="str">
        <f>Tabela2[[#This Row],[ILUSTRADOR CRIAÇÃO]]</f>
        <v/>
      </c>
      <c r="AB2844" s="33"/>
      <c r="AC2844" s="16"/>
      <c r="AE2844" s="35" t="str">
        <f t="shared" si="45"/>
        <v>EF1 E002 Mat</v>
      </c>
    </row>
    <row r="2845" spans="1:31" x14ac:dyDescent="0.25">
      <c r="A2845" s="31"/>
      <c r="B2845" s="16"/>
      <c r="C2845" s="16"/>
      <c r="D2845" s="33"/>
      <c r="E2845" s="33"/>
      <c r="F2845" s="33"/>
      <c r="G2845" s="33"/>
      <c r="H2845" s="33"/>
      <c r="I2845" s="31"/>
      <c r="J2845" s="31"/>
      <c r="K2845" s="33"/>
      <c r="L2845" s="33"/>
      <c r="M2845" s="31"/>
      <c r="N2845" s="31"/>
      <c r="O2845" s="16"/>
      <c r="P2845" s="16"/>
      <c r="Q2845" s="16"/>
      <c r="R2845" s="33"/>
      <c r="S2845" s="34"/>
      <c r="T2845" s="34"/>
      <c r="U2845" s="34"/>
      <c r="V2845" s="34"/>
      <c r="W2845" s="34"/>
      <c r="X2845" s="33"/>
      <c r="Y2845" s="35" t="str">
        <f>IF(Tabela2[[#This Row],[SIGLA]]="","",VLOOKUP(Tabela2[[#This Row],[SIGLA]],Tabela1[[#All],[Sigla Arte]:[Crédito]],2,0))</f>
        <v/>
      </c>
      <c r="Z2845" s="31"/>
      <c r="AA2845" s="31" t="str">
        <f>Tabela2[[#This Row],[ILUSTRADOR CRIAÇÃO]]</f>
        <v/>
      </c>
      <c r="AB2845" s="33"/>
      <c r="AC2845" s="16"/>
      <c r="AE2845" s="35" t="str">
        <f t="shared" si="45"/>
        <v>EF1 E002 Mat</v>
      </c>
    </row>
    <row r="2846" spans="1:31" x14ac:dyDescent="0.25">
      <c r="A2846" s="31"/>
      <c r="B2846" s="16"/>
      <c r="C2846" s="16"/>
      <c r="D2846" s="33"/>
      <c r="E2846" s="33"/>
      <c r="F2846" s="33"/>
      <c r="G2846" s="33"/>
      <c r="H2846" s="33"/>
      <c r="I2846" s="31"/>
      <c r="J2846" s="31"/>
      <c r="K2846" s="33"/>
      <c r="L2846" s="33"/>
      <c r="M2846" s="31"/>
      <c r="N2846" s="31"/>
      <c r="O2846" s="16"/>
      <c r="P2846" s="16"/>
      <c r="Q2846" s="16"/>
      <c r="R2846" s="33"/>
      <c r="S2846" s="34"/>
      <c r="T2846" s="34"/>
      <c r="U2846" s="34"/>
      <c r="V2846" s="34"/>
      <c r="W2846" s="34"/>
      <c r="X2846" s="33"/>
      <c r="Y2846" s="35" t="str">
        <f>IF(Tabela2[[#This Row],[SIGLA]]="","",VLOOKUP(Tabela2[[#This Row],[SIGLA]],Tabela1[[#All],[Sigla Arte]:[Crédito]],2,0))</f>
        <v/>
      </c>
      <c r="Z2846" s="31"/>
      <c r="AA2846" s="31" t="str">
        <f>Tabela2[[#This Row],[ILUSTRADOR CRIAÇÃO]]</f>
        <v/>
      </c>
      <c r="AB2846" s="33"/>
      <c r="AC2846" s="16"/>
      <c r="AE2846" s="35" t="str">
        <f t="shared" si="45"/>
        <v>EF1 E002 Mat</v>
      </c>
    </row>
    <row r="2847" spans="1:31" x14ac:dyDescent="0.25">
      <c r="A2847" s="31"/>
      <c r="B2847" s="16"/>
      <c r="C2847" s="16"/>
      <c r="D2847" s="33"/>
      <c r="E2847" s="33"/>
      <c r="F2847" s="33"/>
      <c r="G2847" s="33"/>
      <c r="H2847" s="33"/>
      <c r="I2847" s="31"/>
      <c r="J2847" s="31"/>
      <c r="K2847" s="33"/>
      <c r="L2847" s="33"/>
      <c r="M2847" s="31"/>
      <c r="N2847" s="31"/>
      <c r="O2847" s="16"/>
      <c r="P2847" s="16"/>
      <c r="Q2847" s="16"/>
      <c r="R2847" s="33"/>
      <c r="S2847" s="34"/>
      <c r="T2847" s="34"/>
      <c r="U2847" s="34"/>
      <c r="V2847" s="34"/>
      <c r="W2847" s="34"/>
      <c r="X2847" s="33"/>
      <c r="Y2847" s="35" t="str">
        <f>IF(Tabela2[[#This Row],[SIGLA]]="","",VLOOKUP(Tabela2[[#This Row],[SIGLA]],Tabela1[[#All],[Sigla Arte]:[Crédito]],2,0))</f>
        <v/>
      </c>
      <c r="Z2847" s="31"/>
      <c r="AA2847" s="31" t="str">
        <f>Tabela2[[#This Row],[ILUSTRADOR CRIAÇÃO]]</f>
        <v/>
      </c>
      <c r="AB2847" s="33"/>
      <c r="AC2847" s="16"/>
      <c r="AE2847" s="35" t="str">
        <f t="shared" si="45"/>
        <v>EF1 E002 Mat</v>
      </c>
    </row>
    <row r="2848" spans="1:31" x14ac:dyDescent="0.25">
      <c r="A2848" s="31"/>
      <c r="B2848" s="16"/>
      <c r="C2848" s="16"/>
      <c r="D2848" s="33"/>
      <c r="E2848" s="33"/>
      <c r="F2848" s="33"/>
      <c r="G2848" s="33"/>
      <c r="H2848" s="33"/>
      <c r="I2848" s="31"/>
      <c r="J2848" s="31"/>
      <c r="K2848" s="33"/>
      <c r="L2848" s="33"/>
      <c r="M2848" s="31"/>
      <c r="N2848" s="31"/>
      <c r="O2848" s="16"/>
      <c r="P2848" s="16"/>
      <c r="Q2848" s="16"/>
      <c r="R2848" s="33"/>
      <c r="S2848" s="34"/>
      <c r="T2848" s="34"/>
      <c r="U2848" s="34"/>
      <c r="V2848" s="34"/>
      <c r="W2848" s="34"/>
      <c r="X2848" s="33"/>
      <c r="Y2848" s="35" t="str">
        <f>IF(Tabela2[[#This Row],[SIGLA]]="","",VLOOKUP(Tabela2[[#This Row],[SIGLA]],Tabela1[[#All],[Sigla Arte]:[Crédito]],2,0))</f>
        <v/>
      </c>
      <c r="Z2848" s="31"/>
      <c r="AA2848" s="31" t="str">
        <f>Tabela2[[#This Row],[ILUSTRADOR CRIAÇÃO]]</f>
        <v/>
      </c>
      <c r="AB2848" s="33"/>
      <c r="AC2848" s="16"/>
      <c r="AE2848" s="35" t="str">
        <f t="shared" si="45"/>
        <v>EF1 E002 Mat</v>
      </c>
    </row>
    <row r="2849" spans="1:31" x14ac:dyDescent="0.25">
      <c r="A2849" s="31"/>
      <c r="B2849" s="16"/>
      <c r="C2849" s="16"/>
      <c r="D2849" s="33"/>
      <c r="E2849" s="33"/>
      <c r="F2849" s="33"/>
      <c r="G2849" s="33"/>
      <c r="H2849" s="33"/>
      <c r="I2849" s="31"/>
      <c r="J2849" s="31"/>
      <c r="K2849" s="33"/>
      <c r="L2849" s="33"/>
      <c r="M2849" s="31"/>
      <c r="N2849" s="31"/>
      <c r="O2849" s="16"/>
      <c r="P2849" s="16"/>
      <c r="Q2849" s="16"/>
      <c r="R2849" s="33"/>
      <c r="S2849" s="34"/>
      <c r="T2849" s="34"/>
      <c r="U2849" s="34"/>
      <c r="V2849" s="34"/>
      <c r="W2849" s="34"/>
      <c r="X2849" s="33"/>
      <c r="Y2849" s="35" t="str">
        <f>IF(Tabela2[[#This Row],[SIGLA]]="","",VLOOKUP(Tabela2[[#This Row],[SIGLA]],Tabela1[[#All],[Sigla Arte]:[Crédito]],2,0))</f>
        <v/>
      </c>
      <c r="Z2849" s="31"/>
      <c r="AA2849" s="31" t="str">
        <f>Tabela2[[#This Row],[ILUSTRADOR CRIAÇÃO]]</f>
        <v/>
      </c>
      <c r="AB2849" s="33"/>
      <c r="AC2849" s="16"/>
      <c r="AE2849" s="35" t="str">
        <f t="shared" si="45"/>
        <v>EF1 E002 Mat</v>
      </c>
    </row>
    <row r="2850" spans="1:31" x14ac:dyDescent="0.25">
      <c r="A2850" s="31"/>
      <c r="B2850" s="16"/>
      <c r="C2850" s="16"/>
      <c r="D2850" s="33"/>
      <c r="E2850" s="33"/>
      <c r="F2850" s="33"/>
      <c r="G2850" s="33"/>
      <c r="H2850" s="33"/>
      <c r="I2850" s="31"/>
      <c r="J2850" s="31"/>
      <c r="K2850" s="33"/>
      <c r="L2850" s="33"/>
      <c r="M2850" s="31"/>
      <c r="N2850" s="31"/>
      <c r="O2850" s="16"/>
      <c r="P2850" s="16"/>
      <c r="Q2850" s="16"/>
      <c r="R2850" s="33"/>
      <c r="S2850" s="34"/>
      <c r="T2850" s="34"/>
      <c r="U2850" s="34"/>
      <c r="V2850" s="34"/>
      <c r="W2850" s="34"/>
      <c r="X2850" s="33"/>
      <c r="Y2850" s="35" t="str">
        <f>IF(Tabela2[[#This Row],[SIGLA]]="","",VLOOKUP(Tabela2[[#This Row],[SIGLA]],Tabela1[[#All],[Sigla Arte]:[Crédito]],2,0))</f>
        <v/>
      </c>
      <c r="Z2850" s="31"/>
      <c r="AA2850" s="31" t="str">
        <f>Tabela2[[#This Row],[ILUSTRADOR CRIAÇÃO]]</f>
        <v/>
      </c>
      <c r="AB2850" s="33"/>
      <c r="AC2850" s="16"/>
      <c r="AE2850" s="35" t="str">
        <f t="shared" si="45"/>
        <v>EF1 E002 Mat</v>
      </c>
    </row>
    <row r="2851" spans="1:31" x14ac:dyDescent="0.25">
      <c r="A2851" s="31"/>
      <c r="B2851" s="16"/>
      <c r="C2851" s="16"/>
      <c r="D2851" s="33"/>
      <c r="E2851" s="33"/>
      <c r="F2851" s="33"/>
      <c r="G2851" s="33"/>
      <c r="H2851" s="33"/>
      <c r="I2851" s="31"/>
      <c r="J2851" s="31"/>
      <c r="K2851" s="33"/>
      <c r="L2851" s="33"/>
      <c r="M2851" s="31"/>
      <c r="N2851" s="31"/>
      <c r="O2851" s="16"/>
      <c r="P2851" s="16"/>
      <c r="Q2851" s="16"/>
      <c r="R2851" s="33"/>
      <c r="S2851" s="34"/>
      <c r="T2851" s="34"/>
      <c r="U2851" s="34"/>
      <c r="V2851" s="34"/>
      <c r="W2851" s="34"/>
      <c r="X2851" s="33"/>
      <c r="Y2851" s="35" t="str">
        <f>IF(Tabela2[[#This Row],[SIGLA]]="","",VLOOKUP(Tabela2[[#This Row],[SIGLA]],Tabela1[[#All],[Sigla Arte]:[Crédito]],2,0))</f>
        <v/>
      </c>
      <c r="Z2851" s="31"/>
      <c r="AA2851" s="31" t="str">
        <f>Tabela2[[#This Row],[ILUSTRADOR CRIAÇÃO]]</f>
        <v/>
      </c>
      <c r="AB2851" s="33"/>
      <c r="AC2851" s="16"/>
      <c r="AE2851" s="35" t="str">
        <f t="shared" si="45"/>
        <v>EF1 E002 Mat</v>
      </c>
    </row>
    <row r="2852" spans="1:31" x14ac:dyDescent="0.25">
      <c r="A2852" s="31"/>
      <c r="B2852" s="16"/>
      <c r="C2852" s="16"/>
      <c r="D2852" s="33"/>
      <c r="E2852" s="33"/>
      <c r="F2852" s="33"/>
      <c r="G2852" s="33"/>
      <c r="H2852" s="33"/>
      <c r="I2852" s="31"/>
      <c r="J2852" s="31"/>
      <c r="K2852" s="33"/>
      <c r="L2852" s="33"/>
      <c r="M2852" s="31"/>
      <c r="N2852" s="31"/>
      <c r="O2852" s="16"/>
      <c r="P2852" s="16"/>
      <c r="Q2852" s="16"/>
      <c r="R2852" s="33"/>
      <c r="S2852" s="34"/>
      <c r="T2852" s="34"/>
      <c r="U2852" s="34"/>
      <c r="V2852" s="34"/>
      <c r="W2852" s="34"/>
      <c r="X2852" s="33"/>
      <c r="Y2852" s="35" t="str">
        <f>IF(Tabela2[[#This Row],[SIGLA]]="","",VLOOKUP(Tabela2[[#This Row],[SIGLA]],Tabela1[[#All],[Sigla Arte]:[Crédito]],2,0))</f>
        <v/>
      </c>
      <c r="Z2852" s="31"/>
      <c r="AA2852" s="31" t="str">
        <f>Tabela2[[#This Row],[ILUSTRADOR CRIAÇÃO]]</f>
        <v/>
      </c>
      <c r="AB2852" s="33"/>
      <c r="AC2852" s="16"/>
      <c r="AE2852" s="35" t="str">
        <f t="shared" si="45"/>
        <v>EF1 E002 Mat</v>
      </c>
    </row>
    <row r="2853" spans="1:31" x14ac:dyDescent="0.25">
      <c r="A2853" s="31"/>
      <c r="B2853" s="16"/>
      <c r="C2853" s="16"/>
      <c r="D2853" s="33"/>
      <c r="E2853" s="33"/>
      <c r="F2853" s="33"/>
      <c r="G2853" s="33"/>
      <c r="H2853" s="33"/>
      <c r="I2853" s="31"/>
      <c r="J2853" s="31"/>
      <c r="K2853" s="33"/>
      <c r="L2853" s="33"/>
      <c r="M2853" s="31"/>
      <c r="N2853" s="31"/>
      <c r="O2853" s="16"/>
      <c r="P2853" s="16"/>
      <c r="Q2853" s="16"/>
      <c r="R2853" s="33"/>
      <c r="S2853" s="34"/>
      <c r="T2853" s="34"/>
      <c r="U2853" s="34"/>
      <c r="V2853" s="34"/>
      <c r="W2853" s="34"/>
      <c r="X2853" s="33"/>
      <c r="Y2853" s="35" t="str">
        <f>IF(Tabela2[[#This Row],[SIGLA]]="","",VLOOKUP(Tabela2[[#This Row],[SIGLA]],Tabela1[[#All],[Sigla Arte]:[Crédito]],2,0))</f>
        <v/>
      </c>
      <c r="Z2853" s="31"/>
      <c r="AA2853" s="31" t="str">
        <f>Tabela2[[#This Row],[ILUSTRADOR CRIAÇÃO]]</f>
        <v/>
      </c>
      <c r="AB2853" s="33"/>
      <c r="AC2853" s="16"/>
      <c r="AE2853" s="35" t="str">
        <f t="shared" si="45"/>
        <v>EF1 E002 Mat</v>
      </c>
    </row>
    <row r="2854" spans="1:31" x14ac:dyDescent="0.25">
      <c r="A2854" s="31"/>
      <c r="B2854" s="16"/>
      <c r="C2854" s="16"/>
      <c r="D2854" s="33"/>
      <c r="E2854" s="33"/>
      <c r="F2854" s="33"/>
      <c r="G2854" s="33"/>
      <c r="H2854" s="33"/>
      <c r="I2854" s="31"/>
      <c r="J2854" s="31"/>
      <c r="K2854" s="33"/>
      <c r="L2854" s="33"/>
      <c r="M2854" s="31"/>
      <c r="N2854" s="31"/>
      <c r="O2854" s="16"/>
      <c r="P2854" s="16"/>
      <c r="Q2854" s="16"/>
      <c r="R2854" s="33"/>
      <c r="S2854" s="34"/>
      <c r="T2854" s="34"/>
      <c r="U2854" s="34"/>
      <c r="V2854" s="34"/>
      <c r="W2854" s="34"/>
      <c r="X2854" s="33"/>
      <c r="Y2854" s="35" t="str">
        <f>IF(Tabela2[[#This Row],[SIGLA]]="","",VLOOKUP(Tabela2[[#This Row],[SIGLA]],Tabela1[[#All],[Sigla Arte]:[Crédito]],2,0))</f>
        <v/>
      </c>
      <c r="Z2854" s="31"/>
      <c r="AA2854" s="31" t="str">
        <f>Tabela2[[#This Row],[ILUSTRADOR CRIAÇÃO]]</f>
        <v/>
      </c>
      <c r="AB2854" s="33"/>
      <c r="AC2854" s="16"/>
      <c r="AE2854" s="35" t="str">
        <f t="shared" si="45"/>
        <v>EF1 E002 Mat</v>
      </c>
    </row>
    <row r="2855" spans="1:31" x14ac:dyDescent="0.25">
      <c r="A2855" s="31"/>
      <c r="B2855" s="16"/>
      <c r="C2855" s="16"/>
      <c r="D2855" s="33"/>
      <c r="E2855" s="33"/>
      <c r="F2855" s="33"/>
      <c r="G2855" s="33"/>
      <c r="H2855" s="33"/>
      <c r="I2855" s="31"/>
      <c r="J2855" s="31"/>
      <c r="K2855" s="33"/>
      <c r="L2855" s="33"/>
      <c r="M2855" s="31"/>
      <c r="N2855" s="31"/>
      <c r="O2855" s="16"/>
      <c r="P2855" s="16"/>
      <c r="Q2855" s="16"/>
      <c r="R2855" s="33"/>
      <c r="S2855" s="34"/>
      <c r="T2855" s="34"/>
      <c r="U2855" s="34"/>
      <c r="V2855" s="34"/>
      <c r="W2855" s="34"/>
      <c r="X2855" s="33"/>
      <c r="Y2855" s="35" t="str">
        <f>IF(Tabela2[[#This Row],[SIGLA]]="","",VLOOKUP(Tabela2[[#This Row],[SIGLA]],Tabela1[[#All],[Sigla Arte]:[Crédito]],2,0))</f>
        <v/>
      </c>
      <c r="Z2855" s="31"/>
      <c r="AA2855" s="31" t="str">
        <f>Tabela2[[#This Row],[ILUSTRADOR CRIAÇÃO]]</f>
        <v/>
      </c>
      <c r="AB2855" s="33"/>
      <c r="AC2855" s="16"/>
      <c r="AE2855" s="35" t="str">
        <f t="shared" si="45"/>
        <v>EF1 E002 Mat</v>
      </c>
    </row>
    <row r="2856" spans="1:31" x14ac:dyDescent="0.25">
      <c r="A2856" s="31"/>
      <c r="B2856" s="16"/>
      <c r="C2856" s="16"/>
      <c r="D2856" s="33"/>
      <c r="E2856" s="33"/>
      <c r="F2856" s="33"/>
      <c r="G2856" s="33"/>
      <c r="H2856" s="33"/>
      <c r="I2856" s="31"/>
      <c r="J2856" s="31"/>
      <c r="K2856" s="33"/>
      <c r="L2856" s="33"/>
      <c r="M2856" s="31"/>
      <c r="N2856" s="31"/>
      <c r="O2856" s="16"/>
      <c r="P2856" s="16"/>
      <c r="Q2856" s="16"/>
      <c r="R2856" s="33"/>
      <c r="S2856" s="34"/>
      <c r="T2856" s="34"/>
      <c r="U2856" s="34"/>
      <c r="V2856" s="34"/>
      <c r="W2856" s="34"/>
      <c r="X2856" s="33"/>
      <c r="Y2856" s="35" t="str">
        <f>IF(Tabela2[[#This Row],[SIGLA]]="","",VLOOKUP(Tabela2[[#This Row],[SIGLA]],Tabela1[[#All],[Sigla Arte]:[Crédito]],2,0))</f>
        <v/>
      </c>
      <c r="Z2856" s="31"/>
      <c r="AA2856" s="31" t="str">
        <f>Tabela2[[#This Row],[ILUSTRADOR CRIAÇÃO]]</f>
        <v/>
      </c>
      <c r="AB2856" s="33"/>
      <c r="AC2856" s="16"/>
      <c r="AE2856" s="35" t="str">
        <f t="shared" si="45"/>
        <v>EF1 E002 Mat</v>
      </c>
    </row>
    <row r="2857" spans="1:31" x14ac:dyDescent="0.25">
      <c r="A2857" s="31"/>
      <c r="B2857" s="16"/>
      <c r="C2857" s="16"/>
      <c r="D2857" s="33"/>
      <c r="E2857" s="33"/>
      <c r="F2857" s="33"/>
      <c r="G2857" s="33"/>
      <c r="H2857" s="33"/>
      <c r="I2857" s="31"/>
      <c r="J2857" s="31"/>
      <c r="K2857" s="33"/>
      <c r="L2857" s="33"/>
      <c r="M2857" s="31"/>
      <c r="N2857" s="31"/>
      <c r="O2857" s="16"/>
      <c r="P2857" s="16"/>
      <c r="Q2857" s="16"/>
      <c r="R2857" s="33"/>
      <c r="S2857" s="34"/>
      <c r="T2857" s="34"/>
      <c r="U2857" s="34"/>
      <c r="V2857" s="34"/>
      <c r="W2857" s="34"/>
      <c r="X2857" s="33"/>
      <c r="Y2857" s="35" t="str">
        <f>IF(Tabela2[[#This Row],[SIGLA]]="","",VLOOKUP(Tabela2[[#This Row],[SIGLA]],Tabela1[[#All],[Sigla Arte]:[Crédito]],2,0))</f>
        <v/>
      </c>
      <c r="Z2857" s="31"/>
      <c r="AA2857" s="31" t="str">
        <f>Tabela2[[#This Row],[ILUSTRADOR CRIAÇÃO]]</f>
        <v/>
      </c>
      <c r="AB2857" s="33"/>
      <c r="AC2857" s="16"/>
      <c r="AE2857" s="35" t="str">
        <f t="shared" si="45"/>
        <v>EF1 E002 Mat</v>
      </c>
    </row>
    <row r="2858" spans="1:31" x14ac:dyDescent="0.25">
      <c r="A2858" s="31"/>
      <c r="B2858" s="16"/>
      <c r="C2858" s="16"/>
      <c r="D2858" s="33"/>
      <c r="E2858" s="33"/>
      <c r="F2858" s="33"/>
      <c r="G2858" s="33"/>
      <c r="H2858" s="33"/>
      <c r="I2858" s="31"/>
      <c r="J2858" s="31"/>
      <c r="K2858" s="33"/>
      <c r="L2858" s="33"/>
      <c r="M2858" s="31"/>
      <c r="N2858" s="31"/>
      <c r="O2858" s="16"/>
      <c r="P2858" s="16"/>
      <c r="Q2858" s="16"/>
      <c r="R2858" s="33"/>
      <c r="S2858" s="34"/>
      <c r="T2858" s="34"/>
      <c r="U2858" s="34"/>
      <c r="V2858" s="34"/>
      <c r="W2858" s="34"/>
      <c r="X2858" s="33"/>
      <c r="Y2858" s="35" t="str">
        <f>IF(Tabela2[[#This Row],[SIGLA]]="","",VLOOKUP(Tabela2[[#This Row],[SIGLA]],Tabela1[[#All],[Sigla Arte]:[Crédito]],2,0))</f>
        <v/>
      </c>
      <c r="Z2858" s="31"/>
      <c r="AA2858" s="31" t="str">
        <f>Tabela2[[#This Row],[ILUSTRADOR CRIAÇÃO]]</f>
        <v/>
      </c>
      <c r="AB2858" s="33"/>
      <c r="AC2858" s="16"/>
      <c r="AE2858" s="35" t="str">
        <f t="shared" si="45"/>
        <v>EF1 E002 Mat</v>
      </c>
    </row>
    <row r="2859" spans="1:31" x14ac:dyDescent="0.25">
      <c r="A2859" s="31"/>
      <c r="B2859" s="16"/>
      <c r="C2859" s="16"/>
      <c r="D2859" s="33"/>
      <c r="E2859" s="33"/>
      <c r="F2859" s="33"/>
      <c r="G2859" s="33"/>
      <c r="H2859" s="33"/>
      <c r="I2859" s="31"/>
      <c r="J2859" s="31"/>
      <c r="K2859" s="33"/>
      <c r="L2859" s="33"/>
      <c r="M2859" s="31"/>
      <c r="N2859" s="31"/>
      <c r="O2859" s="16"/>
      <c r="P2859" s="16"/>
      <c r="Q2859" s="16"/>
      <c r="R2859" s="33"/>
      <c r="S2859" s="34"/>
      <c r="T2859" s="34"/>
      <c r="U2859" s="34"/>
      <c r="V2859" s="34"/>
      <c r="W2859" s="34"/>
      <c r="X2859" s="33"/>
      <c r="Y2859" s="35" t="str">
        <f>IF(Tabela2[[#This Row],[SIGLA]]="","",VLOOKUP(Tabela2[[#This Row],[SIGLA]],Tabela1[[#All],[Sigla Arte]:[Crédito]],2,0))</f>
        <v/>
      </c>
      <c r="Z2859" s="31"/>
      <c r="AA2859" s="31" t="str">
        <f>Tabela2[[#This Row],[ILUSTRADOR CRIAÇÃO]]</f>
        <v/>
      </c>
      <c r="AB2859" s="33"/>
      <c r="AC2859" s="16"/>
      <c r="AE2859" s="35" t="str">
        <f t="shared" si="45"/>
        <v>EF1 E002 Mat</v>
      </c>
    </row>
    <row r="2860" spans="1:31" x14ac:dyDescent="0.25">
      <c r="A2860" s="31"/>
      <c r="B2860" s="16"/>
      <c r="C2860" s="16"/>
      <c r="D2860" s="33"/>
      <c r="E2860" s="33"/>
      <c r="F2860" s="33"/>
      <c r="G2860" s="33"/>
      <c r="H2860" s="33"/>
      <c r="I2860" s="31"/>
      <c r="J2860" s="31"/>
      <c r="K2860" s="33"/>
      <c r="L2860" s="33"/>
      <c r="M2860" s="31"/>
      <c r="N2860" s="31"/>
      <c r="O2860" s="16"/>
      <c r="P2860" s="16"/>
      <c r="Q2860" s="16"/>
      <c r="R2860" s="33"/>
      <c r="S2860" s="34"/>
      <c r="T2860" s="34"/>
      <c r="U2860" s="34"/>
      <c r="V2860" s="34"/>
      <c r="W2860" s="34"/>
      <c r="X2860" s="33"/>
      <c r="Y2860" s="35" t="str">
        <f>IF(Tabela2[[#This Row],[SIGLA]]="","",VLOOKUP(Tabela2[[#This Row],[SIGLA]],Tabela1[[#All],[Sigla Arte]:[Crédito]],2,0))</f>
        <v/>
      </c>
      <c r="Z2860" s="31"/>
      <c r="AA2860" s="31" t="str">
        <f>Tabela2[[#This Row],[ILUSTRADOR CRIAÇÃO]]</f>
        <v/>
      </c>
      <c r="AB2860" s="33"/>
      <c r="AC2860" s="16"/>
      <c r="AE2860" s="35" t="str">
        <f t="shared" si="45"/>
        <v>EF1 E002 Mat</v>
      </c>
    </row>
    <row r="2861" spans="1:31" x14ac:dyDescent="0.25">
      <c r="A2861" s="31"/>
      <c r="B2861" s="16"/>
      <c r="C2861" s="16"/>
      <c r="D2861" s="33"/>
      <c r="E2861" s="33"/>
      <c r="F2861" s="33"/>
      <c r="G2861" s="33"/>
      <c r="H2861" s="33"/>
      <c r="I2861" s="31"/>
      <c r="J2861" s="31"/>
      <c r="K2861" s="33"/>
      <c r="L2861" s="33"/>
      <c r="M2861" s="31"/>
      <c r="N2861" s="31"/>
      <c r="O2861" s="16"/>
      <c r="P2861" s="16"/>
      <c r="Q2861" s="16"/>
      <c r="R2861" s="33"/>
      <c r="S2861" s="34"/>
      <c r="T2861" s="34"/>
      <c r="U2861" s="34"/>
      <c r="V2861" s="34"/>
      <c r="W2861" s="34"/>
      <c r="X2861" s="33"/>
      <c r="Y2861" s="35" t="str">
        <f>IF(Tabela2[[#This Row],[SIGLA]]="","",VLOOKUP(Tabela2[[#This Row],[SIGLA]],Tabela1[[#All],[Sigla Arte]:[Crédito]],2,0))</f>
        <v/>
      </c>
      <c r="Z2861" s="31"/>
      <c r="AA2861" s="31" t="str">
        <f>Tabela2[[#This Row],[ILUSTRADOR CRIAÇÃO]]</f>
        <v/>
      </c>
      <c r="AB2861" s="33"/>
      <c r="AC2861" s="16"/>
      <c r="AE2861" s="35" t="str">
        <f t="shared" si="45"/>
        <v>EF1 E002 Mat</v>
      </c>
    </row>
    <row r="2862" spans="1:31" x14ac:dyDescent="0.25">
      <c r="A2862" s="31"/>
      <c r="B2862" s="16"/>
      <c r="C2862" s="16"/>
      <c r="D2862" s="33"/>
      <c r="E2862" s="33"/>
      <c r="F2862" s="33"/>
      <c r="G2862" s="33"/>
      <c r="H2862" s="33"/>
      <c r="I2862" s="31"/>
      <c r="J2862" s="31"/>
      <c r="K2862" s="33"/>
      <c r="L2862" s="33"/>
      <c r="M2862" s="31"/>
      <c r="N2862" s="31"/>
      <c r="O2862" s="16"/>
      <c r="P2862" s="16"/>
      <c r="Q2862" s="16"/>
      <c r="R2862" s="33"/>
      <c r="S2862" s="34"/>
      <c r="T2862" s="34"/>
      <c r="U2862" s="34"/>
      <c r="V2862" s="34"/>
      <c r="W2862" s="34"/>
      <c r="X2862" s="33"/>
      <c r="Y2862" s="35" t="str">
        <f>IF(Tabela2[[#This Row],[SIGLA]]="","",VLOOKUP(Tabela2[[#This Row],[SIGLA]],Tabela1[[#All],[Sigla Arte]:[Crédito]],2,0))</f>
        <v/>
      </c>
      <c r="Z2862" s="31"/>
      <c r="AA2862" s="31" t="str">
        <f>Tabela2[[#This Row],[ILUSTRADOR CRIAÇÃO]]</f>
        <v/>
      </c>
      <c r="AB2862" s="33"/>
      <c r="AC2862" s="16"/>
      <c r="AE2862" s="35" t="str">
        <f t="shared" si="45"/>
        <v>EF1 E002 Mat</v>
      </c>
    </row>
    <row r="2863" spans="1:31" x14ac:dyDescent="0.25">
      <c r="A2863" s="31"/>
      <c r="B2863" s="16"/>
      <c r="C2863" s="16"/>
      <c r="D2863" s="33"/>
      <c r="E2863" s="33"/>
      <c r="F2863" s="33"/>
      <c r="G2863" s="33"/>
      <c r="H2863" s="33"/>
      <c r="I2863" s="31"/>
      <c r="J2863" s="31"/>
      <c r="K2863" s="33"/>
      <c r="L2863" s="33"/>
      <c r="M2863" s="31"/>
      <c r="N2863" s="31"/>
      <c r="O2863" s="16"/>
      <c r="P2863" s="16"/>
      <c r="Q2863" s="16"/>
      <c r="R2863" s="33"/>
      <c r="S2863" s="34"/>
      <c r="T2863" s="34"/>
      <c r="U2863" s="34"/>
      <c r="V2863" s="34"/>
      <c r="W2863" s="34"/>
      <c r="X2863" s="33"/>
      <c r="Y2863" s="35" t="str">
        <f>IF(Tabela2[[#This Row],[SIGLA]]="","",VLOOKUP(Tabela2[[#This Row],[SIGLA]],Tabela1[[#All],[Sigla Arte]:[Crédito]],2,0))</f>
        <v/>
      </c>
      <c r="Z2863" s="31"/>
      <c r="AA2863" s="31" t="str">
        <f>Tabela2[[#This Row],[ILUSTRADOR CRIAÇÃO]]</f>
        <v/>
      </c>
      <c r="AB2863" s="33"/>
      <c r="AC2863" s="16"/>
      <c r="AE2863" s="35" t="str">
        <f t="shared" si="45"/>
        <v>EF1 E002 Mat</v>
      </c>
    </row>
    <row r="2864" spans="1:31" x14ac:dyDescent="0.25">
      <c r="A2864" s="31"/>
      <c r="B2864" s="16"/>
      <c r="C2864" s="16"/>
      <c r="D2864" s="33"/>
      <c r="E2864" s="33"/>
      <c r="F2864" s="33"/>
      <c r="G2864" s="33"/>
      <c r="H2864" s="33"/>
      <c r="I2864" s="31"/>
      <c r="J2864" s="31"/>
      <c r="K2864" s="33"/>
      <c r="L2864" s="33"/>
      <c r="M2864" s="31"/>
      <c r="N2864" s="31"/>
      <c r="O2864" s="16"/>
      <c r="P2864" s="16"/>
      <c r="Q2864" s="16"/>
      <c r="R2864" s="33"/>
      <c r="S2864" s="34"/>
      <c r="T2864" s="34"/>
      <c r="U2864" s="34"/>
      <c r="V2864" s="34"/>
      <c r="W2864" s="34"/>
      <c r="X2864" s="33"/>
      <c r="Y2864" s="35" t="str">
        <f>IF(Tabela2[[#This Row],[SIGLA]]="","",VLOOKUP(Tabela2[[#This Row],[SIGLA]],Tabela1[[#All],[Sigla Arte]:[Crédito]],2,0))</f>
        <v/>
      </c>
      <c r="Z2864" s="31"/>
      <c r="AA2864" s="31" t="str">
        <f>Tabela2[[#This Row],[ILUSTRADOR CRIAÇÃO]]</f>
        <v/>
      </c>
      <c r="AB2864" s="33"/>
      <c r="AC2864" s="16"/>
      <c r="AE2864" s="35" t="str">
        <f t="shared" si="45"/>
        <v>EF1 E002 Mat</v>
      </c>
    </row>
    <row r="2865" spans="1:31" x14ac:dyDescent="0.25">
      <c r="A2865" s="31"/>
      <c r="B2865" s="16"/>
      <c r="C2865" s="16"/>
      <c r="D2865" s="33"/>
      <c r="E2865" s="33"/>
      <c r="F2865" s="33"/>
      <c r="G2865" s="33"/>
      <c r="H2865" s="33"/>
      <c r="I2865" s="31"/>
      <c r="J2865" s="31"/>
      <c r="K2865" s="33"/>
      <c r="L2865" s="33"/>
      <c r="M2865" s="31"/>
      <c r="N2865" s="31"/>
      <c r="O2865" s="16"/>
      <c r="P2865" s="16"/>
      <c r="Q2865" s="16"/>
      <c r="R2865" s="33"/>
      <c r="S2865" s="34"/>
      <c r="T2865" s="34"/>
      <c r="U2865" s="34"/>
      <c r="V2865" s="34"/>
      <c r="W2865" s="34"/>
      <c r="X2865" s="33"/>
      <c r="Y2865" s="35" t="str">
        <f>IF(Tabela2[[#This Row],[SIGLA]]="","",VLOOKUP(Tabela2[[#This Row],[SIGLA]],Tabela1[[#All],[Sigla Arte]:[Crédito]],2,0))</f>
        <v/>
      </c>
      <c r="Z2865" s="31"/>
      <c r="AA2865" s="31" t="str">
        <f>Tabela2[[#This Row],[ILUSTRADOR CRIAÇÃO]]</f>
        <v/>
      </c>
      <c r="AB2865" s="33"/>
      <c r="AC2865" s="16"/>
      <c r="AE2865" s="35" t="str">
        <f t="shared" si="45"/>
        <v>EF1 E002 Mat</v>
      </c>
    </row>
    <row r="2866" spans="1:31" x14ac:dyDescent="0.25">
      <c r="A2866" s="31"/>
      <c r="B2866" s="16"/>
      <c r="C2866" s="16"/>
      <c r="D2866" s="33"/>
      <c r="E2866" s="33"/>
      <c r="F2866" s="33"/>
      <c r="G2866" s="33"/>
      <c r="H2866" s="33"/>
      <c r="I2866" s="31"/>
      <c r="J2866" s="31"/>
      <c r="K2866" s="33"/>
      <c r="L2866" s="33"/>
      <c r="M2866" s="31"/>
      <c r="N2866" s="31"/>
      <c r="O2866" s="16"/>
      <c r="P2866" s="16"/>
      <c r="Q2866" s="16"/>
      <c r="R2866" s="33"/>
      <c r="S2866" s="34"/>
      <c r="T2866" s="34"/>
      <c r="U2866" s="34"/>
      <c r="V2866" s="34"/>
      <c r="W2866" s="34"/>
      <c r="X2866" s="33"/>
      <c r="Y2866" s="35" t="str">
        <f>IF(Tabela2[[#This Row],[SIGLA]]="","",VLOOKUP(Tabela2[[#This Row],[SIGLA]],Tabela1[[#All],[Sigla Arte]:[Crédito]],2,0))</f>
        <v/>
      </c>
      <c r="Z2866" s="31"/>
      <c r="AA2866" s="31" t="str">
        <f>Tabela2[[#This Row],[ILUSTRADOR CRIAÇÃO]]</f>
        <v/>
      </c>
      <c r="AB2866" s="33"/>
      <c r="AC2866" s="16"/>
      <c r="AE2866" s="35" t="str">
        <f t="shared" ref="AE2866:AE2929" si="46">"EF1 E002 Mat"</f>
        <v>EF1 E002 Mat</v>
      </c>
    </row>
    <row r="2867" spans="1:31" x14ac:dyDescent="0.25">
      <c r="A2867" s="31"/>
      <c r="B2867" s="16"/>
      <c r="C2867" s="16"/>
      <c r="D2867" s="33"/>
      <c r="E2867" s="33"/>
      <c r="F2867" s="33"/>
      <c r="G2867" s="33"/>
      <c r="H2867" s="33"/>
      <c r="I2867" s="31"/>
      <c r="J2867" s="31"/>
      <c r="K2867" s="33"/>
      <c r="L2867" s="33"/>
      <c r="M2867" s="31"/>
      <c r="N2867" s="31"/>
      <c r="O2867" s="16"/>
      <c r="P2867" s="16"/>
      <c r="Q2867" s="16"/>
      <c r="R2867" s="33"/>
      <c r="S2867" s="34"/>
      <c r="T2867" s="34"/>
      <c r="U2867" s="34"/>
      <c r="V2867" s="34"/>
      <c r="W2867" s="34"/>
      <c r="X2867" s="33"/>
      <c r="Y2867" s="35" t="str">
        <f>IF(Tabela2[[#This Row],[SIGLA]]="","",VLOOKUP(Tabela2[[#This Row],[SIGLA]],Tabela1[[#All],[Sigla Arte]:[Crédito]],2,0))</f>
        <v/>
      </c>
      <c r="Z2867" s="31"/>
      <c r="AA2867" s="31" t="str">
        <f>Tabela2[[#This Row],[ILUSTRADOR CRIAÇÃO]]</f>
        <v/>
      </c>
      <c r="AB2867" s="33"/>
      <c r="AC2867" s="16"/>
      <c r="AE2867" s="35" t="str">
        <f t="shared" si="46"/>
        <v>EF1 E002 Mat</v>
      </c>
    </row>
    <row r="2868" spans="1:31" x14ac:dyDescent="0.25">
      <c r="A2868" s="31"/>
      <c r="B2868" s="16"/>
      <c r="C2868" s="16"/>
      <c r="D2868" s="33"/>
      <c r="E2868" s="33"/>
      <c r="F2868" s="33"/>
      <c r="G2868" s="33"/>
      <c r="H2868" s="33"/>
      <c r="I2868" s="31"/>
      <c r="J2868" s="31"/>
      <c r="K2868" s="33"/>
      <c r="L2868" s="33"/>
      <c r="M2868" s="31"/>
      <c r="N2868" s="31"/>
      <c r="O2868" s="16"/>
      <c r="P2868" s="16"/>
      <c r="Q2868" s="16"/>
      <c r="R2868" s="33"/>
      <c r="S2868" s="34"/>
      <c r="T2868" s="34"/>
      <c r="U2868" s="34"/>
      <c r="V2868" s="34"/>
      <c r="W2868" s="34"/>
      <c r="X2868" s="33"/>
      <c r="Y2868" s="35" t="str">
        <f>IF(Tabela2[[#This Row],[SIGLA]]="","",VLOOKUP(Tabela2[[#This Row],[SIGLA]],Tabela1[[#All],[Sigla Arte]:[Crédito]],2,0))</f>
        <v/>
      </c>
      <c r="Z2868" s="31"/>
      <c r="AA2868" s="31" t="str">
        <f>Tabela2[[#This Row],[ILUSTRADOR CRIAÇÃO]]</f>
        <v/>
      </c>
      <c r="AB2868" s="33"/>
      <c r="AC2868" s="16"/>
      <c r="AE2868" s="35" t="str">
        <f t="shared" si="46"/>
        <v>EF1 E002 Mat</v>
      </c>
    </row>
    <row r="2869" spans="1:31" x14ac:dyDescent="0.25">
      <c r="A2869" s="31"/>
      <c r="B2869" s="16"/>
      <c r="C2869" s="16"/>
      <c r="D2869" s="33"/>
      <c r="E2869" s="33"/>
      <c r="F2869" s="33"/>
      <c r="G2869" s="33"/>
      <c r="H2869" s="33"/>
      <c r="I2869" s="31"/>
      <c r="J2869" s="31"/>
      <c r="K2869" s="33"/>
      <c r="L2869" s="33"/>
      <c r="M2869" s="31"/>
      <c r="N2869" s="31"/>
      <c r="O2869" s="16"/>
      <c r="P2869" s="16"/>
      <c r="Q2869" s="16"/>
      <c r="R2869" s="33"/>
      <c r="S2869" s="34"/>
      <c r="T2869" s="34"/>
      <c r="U2869" s="34"/>
      <c r="V2869" s="34"/>
      <c r="W2869" s="34"/>
      <c r="X2869" s="33"/>
      <c r="Y2869" s="35" t="str">
        <f>IF(Tabela2[[#This Row],[SIGLA]]="","",VLOOKUP(Tabela2[[#This Row],[SIGLA]],Tabela1[[#All],[Sigla Arte]:[Crédito]],2,0))</f>
        <v/>
      </c>
      <c r="Z2869" s="31"/>
      <c r="AA2869" s="31" t="str">
        <f>Tabela2[[#This Row],[ILUSTRADOR CRIAÇÃO]]</f>
        <v/>
      </c>
      <c r="AB2869" s="33"/>
      <c r="AC2869" s="16"/>
      <c r="AE2869" s="35" t="str">
        <f t="shared" si="46"/>
        <v>EF1 E002 Mat</v>
      </c>
    </row>
    <row r="2870" spans="1:31" x14ac:dyDescent="0.25">
      <c r="A2870" s="31"/>
      <c r="B2870" s="16"/>
      <c r="C2870" s="16"/>
      <c r="D2870" s="33"/>
      <c r="E2870" s="33"/>
      <c r="F2870" s="33"/>
      <c r="G2870" s="33"/>
      <c r="H2870" s="33"/>
      <c r="I2870" s="31"/>
      <c r="J2870" s="31"/>
      <c r="K2870" s="33"/>
      <c r="L2870" s="33"/>
      <c r="M2870" s="31"/>
      <c r="N2870" s="31"/>
      <c r="O2870" s="16"/>
      <c r="P2870" s="16"/>
      <c r="Q2870" s="16"/>
      <c r="R2870" s="33"/>
      <c r="S2870" s="34"/>
      <c r="T2870" s="34"/>
      <c r="U2870" s="34"/>
      <c r="V2870" s="34"/>
      <c r="W2870" s="34"/>
      <c r="X2870" s="33"/>
      <c r="Y2870" s="35" t="str">
        <f>IF(Tabela2[[#This Row],[SIGLA]]="","",VLOOKUP(Tabela2[[#This Row],[SIGLA]],Tabela1[[#All],[Sigla Arte]:[Crédito]],2,0))</f>
        <v/>
      </c>
      <c r="Z2870" s="31"/>
      <c r="AA2870" s="31" t="str">
        <f>Tabela2[[#This Row],[ILUSTRADOR CRIAÇÃO]]</f>
        <v/>
      </c>
      <c r="AB2870" s="33"/>
      <c r="AC2870" s="16"/>
      <c r="AE2870" s="35" t="str">
        <f t="shared" si="46"/>
        <v>EF1 E002 Mat</v>
      </c>
    </row>
    <row r="2871" spans="1:31" x14ac:dyDescent="0.25">
      <c r="A2871" s="31"/>
      <c r="B2871" s="16"/>
      <c r="C2871" s="16"/>
      <c r="D2871" s="33"/>
      <c r="E2871" s="33"/>
      <c r="F2871" s="33"/>
      <c r="G2871" s="33"/>
      <c r="H2871" s="33"/>
      <c r="I2871" s="31"/>
      <c r="J2871" s="31"/>
      <c r="K2871" s="33"/>
      <c r="L2871" s="33"/>
      <c r="M2871" s="31"/>
      <c r="N2871" s="31"/>
      <c r="O2871" s="16"/>
      <c r="P2871" s="16"/>
      <c r="Q2871" s="16"/>
      <c r="R2871" s="33"/>
      <c r="S2871" s="34"/>
      <c r="T2871" s="34"/>
      <c r="U2871" s="34"/>
      <c r="V2871" s="34"/>
      <c r="W2871" s="34"/>
      <c r="X2871" s="33"/>
      <c r="Y2871" s="35" t="str">
        <f>IF(Tabela2[[#This Row],[SIGLA]]="","",VLOOKUP(Tabela2[[#This Row],[SIGLA]],Tabela1[[#All],[Sigla Arte]:[Crédito]],2,0))</f>
        <v/>
      </c>
      <c r="Z2871" s="31"/>
      <c r="AA2871" s="31" t="str">
        <f>Tabela2[[#This Row],[ILUSTRADOR CRIAÇÃO]]</f>
        <v/>
      </c>
      <c r="AB2871" s="33"/>
      <c r="AC2871" s="16"/>
      <c r="AE2871" s="35" t="str">
        <f t="shared" si="46"/>
        <v>EF1 E002 Mat</v>
      </c>
    </row>
    <row r="2872" spans="1:31" x14ac:dyDescent="0.25">
      <c r="A2872" s="31"/>
      <c r="B2872" s="16"/>
      <c r="C2872" s="16"/>
      <c r="D2872" s="33"/>
      <c r="E2872" s="33"/>
      <c r="F2872" s="33"/>
      <c r="G2872" s="33"/>
      <c r="H2872" s="33"/>
      <c r="I2872" s="31"/>
      <c r="J2872" s="31"/>
      <c r="K2872" s="33"/>
      <c r="L2872" s="33"/>
      <c r="M2872" s="31"/>
      <c r="N2872" s="31"/>
      <c r="O2872" s="16"/>
      <c r="P2872" s="16"/>
      <c r="Q2872" s="16"/>
      <c r="R2872" s="33"/>
      <c r="S2872" s="34"/>
      <c r="T2872" s="34"/>
      <c r="U2872" s="34"/>
      <c r="V2872" s="34"/>
      <c r="W2872" s="34"/>
      <c r="X2872" s="33"/>
      <c r="Y2872" s="35" t="str">
        <f>IF(Tabela2[[#This Row],[SIGLA]]="","",VLOOKUP(Tabela2[[#This Row],[SIGLA]],Tabela1[[#All],[Sigla Arte]:[Crédito]],2,0))</f>
        <v/>
      </c>
      <c r="Z2872" s="31"/>
      <c r="AA2872" s="31" t="str">
        <f>Tabela2[[#This Row],[ILUSTRADOR CRIAÇÃO]]</f>
        <v/>
      </c>
      <c r="AB2872" s="33"/>
      <c r="AC2872" s="16"/>
      <c r="AE2872" s="35" t="str">
        <f t="shared" si="46"/>
        <v>EF1 E002 Mat</v>
      </c>
    </row>
    <row r="2873" spans="1:31" x14ac:dyDescent="0.25">
      <c r="A2873" s="31"/>
      <c r="B2873" s="16"/>
      <c r="C2873" s="16"/>
      <c r="D2873" s="33"/>
      <c r="E2873" s="33"/>
      <c r="F2873" s="33"/>
      <c r="G2873" s="33"/>
      <c r="H2873" s="33"/>
      <c r="I2873" s="31"/>
      <c r="J2873" s="31"/>
      <c r="K2873" s="33"/>
      <c r="L2873" s="33"/>
      <c r="M2873" s="31"/>
      <c r="N2873" s="31"/>
      <c r="O2873" s="16"/>
      <c r="P2873" s="16"/>
      <c r="Q2873" s="16"/>
      <c r="R2873" s="33"/>
      <c r="S2873" s="34"/>
      <c r="T2873" s="34"/>
      <c r="U2873" s="34"/>
      <c r="V2873" s="34"/>
      <c r="W2873" s="34"/>
      <c r="X2873" s="33"/>
      <c r="Y2873" s="35" t="str">
        <f>IF(Tabela2[[#This Row],[SIGLA]]="","",VLOOKUP(Tabela2[[#This Row],[SIGLA]],Tabela1[[#All],[Sigla Arte]:[Crédito]],2,0))</f>
        <v/>
      </c>
      <c r="Z2873" s="31"/>
      <c r="AA2873" s="31" t="str">
        <f>Tabela2[[#This Row],[ILUSTRADOR CRIAÇÃO]]</f>
        <v/>
      </c>
      <c r="AB2873" s="33"/>
      <c r="AC2873" s="16"/>
      <c r="AE2873" s="35" t="str">
        <f t="shared" si="46"/>
        <v>EF1 E002 Mat</v>
      </c>
    </row>
    <row r="2874" spans="1:31" x14ac:dyDescent="0.25">
      <c r="A2874" s="31"/>
      <c r="B2874" s="16"/>
      <c r="C2874" s="16"/>
      <c r="D2874" s="33"/>
      <c r="E2874" s="33"/>
      <c r="F2874" s="33"/>
      <c r="G2874" s="33"/>
      <c r="H2874" s="33"/>
      <c r="I2874" s="31"/>
      <c r="J2874" s="31"/>
      <c r="K2874" s="33"/>
      <c r="L2874" s="33"/>
      <c r="M2874" s="31"/>
      <c r="N2874" s="31"/>
      <c r="O2874" s="16"/>
      <c r="P2874" s="16"/>
      <c r="Q2874" s="16"/>
      <c r="R2874" s="33"/>
      <c r="S2874" s="34"/>
      <c r="T2874" s="34"/>
      <c r="U2874" s="34"/>
      <c r="V2874" s="34"/>
      <c r="W2874" s="34"/>
      <c r="X2874" s="33"/>
      <c r="Y2874" s="35" t="str">
        <f>IF(Tabela2[[#This Row],[SIGLA]]="","",VLOOKUP(Tabela2[[#This Row],[SIGLA]],Tabela1[[#All],[Sigla Arte]:[Crédito]],2,0))</f>
        <v/>
      </c>
      <c r="Z2874" s="31"/>
      <c r="AA2874" s="31" t="str">
        <f>Tabela2[[#This Row],[ILUSTRADOR CRIAÇÃO]]</f>
        <v/>
      </c>
      <c r="AB2874" s="33"/>
      <c r="AC2874" s="16"/>
      <c r="AE2874" s="35" t="str">
        <f t="shared" si="46"/>
        <v>EF1 E002 Mat</v>
      </c>
    </row>
    <row r="2875" spans="1:31" x14ac:dyDescent="0.25">
      <c r="A2875" s="31"/>
      <c r="B2875" s="16"/>
      <c r="C2875" s="16"/>
      <c r="D2875" s="33"/>
      <c r="E2875" s="33"/>
      <c r="F2875" s="33"/>
      <c r="G2875" s="33"/>
      <c r="H2875" s="33"/>
      <c r="I2875" s="31"/>
      <c r="J2875" s="31"/>
      <c r="K2875" s="33"/>
      <c r="L2875" s="33"/>
      <c r="M2875" s="31"/>
      <c r="N2875" s="31"/>
      <c r="O2875" s="16"/>
      <c r="P2875" s="16"/>
      <c r="Q2875" s="16"/>
      <c r="R2875" s="33"/>
      <c r="S2875" s="34"/>
      <c r="T2875" s="34"/>
      <c r="U2875" s="34"/>
      <c r="V2875" s="34"/>
      <c r="W2875" s="34"/>
      <c r="X2875" s="33"/>
      <c r="Y2875" s="35" t="str">
        <f>IF(Tabela2[[#This Row],[SIGLA]]="","",VLOOKUP(Tabela2[[#This Row],[SIGLA]],Tabela1[[#All],[Sigla Arte]:[Crédito]],2,0))</f>
        <v/>
      </c>
      <c r="Z2875" s="31"/>
      <c r="AA2875" s="31" t="str">
        <f>Tabela2[[#This Row],[ILUSTRADOR CRIAÇÃO]]</f>
        <v/>
      </c>
      <c r="AB2875" s="33"/>
      <c r="AC2875" s="16"/>
      <c r="AE2875" s="35" t="str">
        <f t="shared" si="46"/>
        <v>EF1 E002 Mat</v>
      </c>
    </row>
    <row r="2876" spans="1:31" x14ac:dyDescent="0.25">
      <c r="A2876" s="31"/>
      <c r="B2876" s="16"/>
      <c r="C2876" s="16"/>
      <c r="D2876" s="33"/>
      <c r="E2876" s="33"/>
      <c r="F2876" s="33"/>
      <c r="G2876" s="33"/>
      <c r="H2876" s="33"/>
      <c r="I2876" s="31"/>
      <c r="J2876" s="31"/>
      <c r="K2876" s="33"/>
      <c r="L2876" s="33"/>
      <c r="M2876" s="31"/>
      <c r="N2876" s="31"/>
      <c r="O2876" s="16"/>
      <c r="P2876" s="16"/>
      <c r="Q2876" s="16"/>
      <c r="R2876" s="33"/>
      <c r="S2876" s="34"/>
      <c r="T2876" s="34"/>
      <c r="U2876" s="34"/>
      <c r="V2876" s="34"/>
      <c r="W2876" s="34"/>
      <c r="X2876" s="33"/>
      <c r="Y2876" s="35" t="str">
        <f>IF(Tabela2[[#This Row],[SIGLA]]="","",VLOOKUP(Tabela2[[#This Row],[SIGLA]],Tabela1[[#All],[Sigla Arte]:[Crédito]],2,0))</f>
        <v/>
      </c>
      <c r="Z2876" s="31"/>
      <c r="AA2876" s="31" t="str">
        <f>Tabela2[[#This Row],[ILUSTRADOR CRIAÇÃO]]</f>
        <v/>
      </c>
      <c r="AB2876" s="33"/>
      <c r="AC2876" s="16"/>
      <c r="AE2876" s="35" t="str">
        <f t="shared" si="46"/>
        <v>EF1 E002 Mat</v>
      </c>
    </row>
    <row r="2877" spans="1:31" x14ac:dyDescent="0.25">
      <c r="A2877" s="31"/>
      <c r="B2877" s="16"/>
      <c r="C2877" s="16"/>
      <c r="D2877" s="33"/>
      <c r="E2877" s="33"/>
      <c r="F2877" s="33"/>
      <c r="G2877" s="33"/>
      <c r="H2877" s="33"/>
      <c r="I2877" s="31"/>
      <c r="J2877" s="31"/>
      <c r="K2877" s="33"/>
      <c r="L2877" s="33"/>
      <c r="M2877" s="31"/>
      <c r="N2877" s="31"/>
      <c r="O2877" s="16"/>
      <c r="P2877" s="16"/>
      <c r="Q2877" s="16"/>
      <c r="R2877" s="33"/>
      <c r="S2877" s="34"/>
      <c r="T2877" s="34"/>
      <c r="U2877" s="34"/>
      <c r="V2877" s="34"/>
      <c r="W2877" s="34"/>
      <c r="X2877" s="33"/>
      <c r="Y2877" s="35" t="str">
        <f>IF(Tabela2[[#This Row],[SIGLA]]="","",VLOOKUP(Tabela2[[#This Row],[SIGLA]],Tabela1[[#All],[Sigla Arte]:[Crédito]],2,0))</f>
        <v/>
      </c>
      <c r="Z2877" s="31"/>
      <c r="AA2877" s="31" t="str">
        <f>Tabela2[[#This Row],[ILUSTRADOR CRIAÇÃO]]</f>
        <v/>
      </c>
      <c r="AB2877" s="33"/>
      <c r="AC2877" s="16"/>
      <c r="AE2877" s="35" t="str">
        <f t="shared" si="46"/>
        <v>EF1 E002 Mat</v>
      </c>
    </row>
    <row r="2878" spans="1:31" x14ac:dyDescent="0.25">
      <c r="A2878" s="31"/>
      <c r="B2878" s="16"/>
      <c r="C2878" s="16"/>
      <c r="D2878" s="33"/>
      <c r="E2878" s="33"/>
      <c r="F2878" s="33"/>
      <c r="G2878" s="33"/>
      <c r="H2878" s="33"/>
      <c r="I2878" s="31"/>
      <c r="J2878" s="31"/>
      <c r="K2878" s="33"/>
      <c r="L2878" s="33"/>
      <c r="M2878" s="31"/>
      <c r="N2878" s="31"/>
      <c r="O2878" s="16"/>
      <c r="P2878" s="16"/>
      <c r="Q2878" s="16"/>
      <c r="R2878" s="33"/>
      <c r="S2878" s="34"/>
      <c r="T2878" s="34"/>
      <c r="U2878" s="34"/>
      <c r="V2878" s="34"/>
      <c r="W2878" s="34"/>
      <c r="X2878" s="33"/>
      <c r="Y2878" s="35" t="str">
        <f>IF(Tabela2[[#This Row],[SIGLA]]="","",VLOOKUP(Tabela2[[#This Row],[SIGLA]],Tabela1[[#All],[Sigla Arte]:[Crédito]],2,0))</f>
        <v/>
      </c>
      <c r="Z2878" s="31"/>
      <c r="AA2878" s="31" t="str">
        <f>Tabela2[[#This Row],[ILUSTRADOR CRIAÇÃO]]</f>
        <v/>
      </c>
      <c r="AB2878" s="33"/>
      <c r="AC2878" s="16"/>
      <c r="AE2878" s="35" t="str">
        <f t="shared" si="46"/>
        <v>EF1 E002 Mat</v>
      </c>
    </row>
    <row r="2879" spans="1:31" x14ac:dyDescent="0.25">
      <c r="A2879" s="31"/>
      <c r="B2879" s="16"/>
      <c r="C2879" s="16"/>
      <c r="D2879" s="33"/>
      <c r="E2879" s="33"/>
      <c r="F2879" s="33"/>
      <c r="G2879" s="33"/>
      <c r="H2879" s="33"/>
      <c r="I2879" s="31"/>
      <c r="J2879" s="31"/>
      <c r="K2879" s="33"/>
      <c r="L2879" s="33"/>
      <c r="M2879" s="31"/>
      <c r="N2879" s="31"/>
      <c r="O2879" s="16"/>
      <c r="P2879" s="16"/>
      <c r="Q2879" s="16"/>
      <c r="R2879" s="33"/>
      <c r="S2879" s="34"/>
      <c r="T2879" s="34"/>
      <c r="U2879" s="34"/>
      <c r="V2879" s="34"/>
      <c r="W2879" s="34"/>
      <c r="X2879" s="33"/>
      <c r="Y2879" s="35" t="str">
        <f>IF(Tabela2[[#This Row],[SIGLA]]="","",VLOOKUP(Tabela2[[#This Row],[SIGLA]],Tabela1[[#All],[Sigla Arte]:[Crédito]],2,0))</f>
        <v/>
      </c>
      <c r="Z2879" s="31"/>
      <c r="AA2879" s="31" t="str">
        <f>Tabela2[[#This Row],[ILUSTRADOR CRIAÇÃO]]</f>
        <v/>
      </c>
      <c r="AB2879" s="33"/>
      <c r="AC2879" s="16"/>
      <c r="AE2879" s="35" t="str">
        <f t="shared" si="46"/>
        <v>EF1 E002 Mat</v>
      </c>
    </row>
    <row r="2880" spans="1:31" x14ac:dyDescent="0.25">
      <c r="A2880" s="31"/>
      <c r="B2880" s="16"/>
      <c r="C2880" s="16"/>
      <c r="D2880" s="33"/>
      <c r="E2880" s="33"/>
      <c r="F2880" s="33"/>
      <c r="G2880" s="33"/>
      <c r="H2880" s="33"/>
      <c r="I2880" s="31"/>
      <c r="J2880" s="31"/>
      <c r="K2880" s="33"/>
      <c r="L2880" s="33"/>
      <c r="M2880" s="31"/>
      <c r="N2880" s="31"/>
      <c r="O2880" s="16"/>
      <c r="P2880" s="16"/>
      <c r="Q2880" s="16"/>
      <c r="R2880" s="33"/>
      <c r="S2880" s="34"/>
      <c r="T2880" s="34"/>
      <c r="U2880" s="34"/>
      <c r="V2880" s="34"/>
      <c r="W2880" s="34"/>
      <c r="X2880" s="33"/>
      <c r="Y2880" s="35" t="str">
        <f>IF(Tabela2[[#This Row],[SIGLA]]="","",VLOOKUP(Tabela2[[#This Row],[SIGLA]],Tabela1[[#All],[Sigla Arte]:[Crédito]],2,0))</f>
        <v/>
      </c>
      <c r="Z2880" s="31"/>
      <c r="AA2880" s="31" t="str">
        <f>Tabela2[[#This Row],[ILUSTRADOR CRIAÇÃO]]</f>
        <v/>
      </c>
      <c r="AB2880" s="33"/>
      <c r="AC2880" s="16"/>
      <c r="AE2880" s="35" t="str">
        <f t="shared" si="46"/>
        <v>EF1 E002 Mat</v>
      </c>
    </row>
    <row r="2881" spans="1:31" x14ac:dyDescent="0.25">
      <c r="A2881" s="31"/>
      <c r="B2881" s="16"/>
      <c r="C2881" s="16"/>
      <c r="D2881" s="33"/>
      <c r="E2881" s="33"/>
      <c r="F2881" s="33"/>
      <c r="G2881" s="33"/>
      <c r="H2881" s="33"/>
      <c r="I2881" s="31"/>
      <c r="J2881" s="31"/>
      <c r="K2881" s="33"/>
      <c r="L2881" s="33"/>
      <c r="M2881" s="31"/>
      <c r="N2881" s="31"/>
      <c r="O2881" s="16"/>
      <c r="P2881" s="16"/>
      <c r="Q2881" s="16"/>
      <c r="R2881" s="33"/>
      <c r="S2881" s="34"/>
      <c r="T2881" s="34"/>
      <c r="U2881" s="34"/>
      <c r="V2881" s="34"/>
      <c r="W2881" s="34"/>
      <c r="X2881" s="33"/>
      <c r="Y2881" s="35" t="str">
        <f>IF(Tabela2[[#This Row],[SIGLA]]="","",VLOOKUP(Tabela2[[#This Row],[SIGLA]],Tabela1[[#All],[Sigla Arte]:[Crédito]],2,0))</f>
        <v/>
      </c>
      <c r="Z2881" s="31"/>
      <c r="AA2881" s="31" t="str">
        <f>Tabela2[[#This Row],[ILUSTRADOR CRIAÇÃO]]</f>
        <v/>
      </c>
      <c r="AB2881" s="33"/>
      <c r="AC2881" s="16"/>
      <c r="AE2881" s="35" t="str">
        <f t="shared" si="46"/>
        <v>EF1 E002 Mat</v>
      </c>
    </row>
    <row r="2882" spans="1:31" x14ac:dyDescent="0.25">
      <c r="A2882" s="31"/>
      <c r="B2882" s="16"/>
      <c r="C2882" s="16"/>
      <c r="D2882" s="33"/>
      <c r="E2882" s="33"/>
      <c r="F2882" s="33"/>
      <c r="G2882" s="33"/>
      <c r="H2882" s="33"/>
      <c r="I2882" s="31"/>
      <c r="J2882" s="31"/>
      <c r="K2882" s="33"/>
      <c r="L2882" s="33"/>
      <c r="M2882" s="31"/>
      <c r="N2882" s="31"/>
      <c r="O2882" s="16"/>
      <c r="P2882" s="16"/>
      <c r="Q2882" s="16"/>
      <c r="R2882" s="33"/>
      <c r="S2882" s="34"/>
      <c r="T2882" s="34"/>
      <c r="U2882" s="34"/>
      <c r="V2882" s="34"/>
      <c r="W2882" s="34"/>
      <c r="X2882" s="33"/>
      <c r="Y2882" s="35" t="str">
        <f>IF(Tabela2[[#This Row],[SIGLA]]="","",VLOOKUP(Tabela2[[#This Row],[SIGLA]],Tabela1[[#All],[Sigla Arte]:[Crédito]],2,0))</f>
        <v/>
      </c>
      <c r="Z2882" s="31"/>
      <c r="AA2882" s="31" t="str">
        <f>Tabela2[[#This Row],[ILUSTRADOR CRIAÇÃO]]</f>
        <v/>
      </c>
      <c r="AB2882" s="33"/>
      <c r="AC2882" s="16"/>
      <c r="AE2882" s="35" t="str">
        <f t="shared" si="46"/>
        <v>EF1 E002 Mat</v>
      </c>
    </row>
    <row r="2883" spans="1:31" x14ac:dyDescent="0.25">
      <c r="A2883" s="31"/>
      <c r="B2883" s="16"/>
      <c r="C2883" s="16"/>
      <c r="D2883" s="33"/>
      <c r="E2883" s="33"/>
      <c r="F2883" s="33"/>
      <c r="G2883" s="33"/>
      <c r="H2883" s="33"/>
      <c r="I2883" s="31"/>
      <c r="J2883" s="31"/>
      <c r="K2883" s="33"/>
      <c r="L2883" s="33"/>
      <c r="M2883" s="31"/>
      <c r="N2883" s="31"/>
      <c r="O2883" s="16"/>
      <c r="P2883" s="16"/>
      <c r="Q2883" s="16"/>
      <c r="R2883" s="33"/>
      <c r="S2883" s="34"/>
      <c r="T2883" s="34"/>
      <c r="U2883" s="34"/>
      <c r="V2883" s="34"/>
      <c r="W2883" s="34"/>
      <c r="X2883" s="33"/>
      <c r="Y2883" s="35" t="str">
        <f>IF(Tabela2[[#This Row],[SIGLA]]="","",VLOOKUP(Tabela2[[#This Row],[SIGLA]],Tabela1[[#All],[Sigla Arte]:[Crédito]],2,0))</f>
        <v/>
      </c>
      <c r="Z2883" s="31"/>
      <c r="AA2883" s="31" t="str">
        <f>Tabela2[[#This Row],[ILUSTRADOR CRIAÇÃO]]</f>
        <v/>
      </c>
      <c r="AB2883" s="33"/>
      <c r="AC2883" s="16"/>
      <c r="AE2883" s="35" t="str">
        <f t="shared" si="46"/>
        <v>EF1 E002 Mat</v>
      </c>
    </row>
    <row r="2884" spans="1:31" x14ac:dyDescent="0.25">
      <c r="A2884" s="31"/>
      <c r="B2884" s="16"/>
      <c r="C2884" s="16"/>
      <c r="D2884" s="33"/>
      <c r="E2884" s="33"/>
      <c r="F2884" s="33"/>
      <c r="G2884" s="33"/>
      <c r="H2884" s="33"/>
      <c r="I2884" s="31"/>
      <c r="J2884" s="31"/>
      <c r="K2884" s="33"/>
      <c r="L2884" s="33"/>
      <c r="M2884" s="31"/>
      <c r="N2884" s="31"/>
      <c r="O2884" s="16"/>
      <c r="P2884" s="16"/>
      <c r="Q2884" s="16"/>
      <c r="R2884" s="33"/>
      <c r="S2884" s="34"/>
      <c r="T2884" s="34"/>
      <c r="U2884" s="34"/>
      <c r="V2884" s="34"/>
      <c r="W2884" s="34"/>
      <c r="X2884" s="33"/>
      <c r="Y2884" s="35" t="str">
        <f>IF(Tabela2[[#This Row],[SIGLA]]="","",VLOOKUP(Tabela2[[#This Row],[SIGLA]],Tabela1[[#All],[Sigla Arte]:[Crédito]],2,0))</f>
        <v/>
      </c>
      <c r="Z2884" s="31"/>
      <c r="AA2884" s="31" t="str">
        <f>Tabela2[[#This Row],[ILUSTRADOR CRIAÇÃO]]</f>
        <v/>
      </c>
      <c r="AB2884" s="33"/>
      <c r="AC2884" s="16"/>
      <c r="AE2884" s="35" t="str">
        <f t="shared" si="46"/>
        <v>EF1 E002 Mat</v>
      </c>
    </row>
    <row r="2885" spans="1:31" x14ac:dyDescent="0.25">
      <c r="A2885" s="31"/>
      <c r="B2885" s="16"/>
      <c r="C2885" s="16"/>
      <c r="D2885" s="33"/>
      <c r="E2885" s="33"/>
      <c r="F2885" s="33"/>
      <c r="G2885" s="33"/>
      <c r="H2885" s="33"/>
      <c r="I2885" s="31"/>
      <c r="J2885" s="31"/>
      <c r="K2885" s="33"/>
      <c r="L2885" s="33"/>
      <c r="M2885" s="31"/>
      <c r="N2885" s="31"/>
      <c r="O2885" s="16"/>
      <c r="P2885" s="16"/>
      <c r="Q2885" s="16"/>
      <c r="R2885" s="33"/>
      <c r="S2885" s="34"/>
      <c r="T2885" s="34"/>
      <c r="U2885" s="34"/>
      <c r="V2885" s="34"/>
      <c r="W2885" s="34"/>
      <c r="X2885" s="33"/>
      <c r="Y2885" s="35" t="str">
        <f>IF(Tabela2[[#This Row],[SIGLA]]="","",VLOOKUP(Tabela2[[#This Row],[SIGLA]],Tabela1[[#All],[Sigla Arte]:[Crédito]],2,0))</f>
        <v/>
      </c>
      <c r="Z2885" s="31"/>
      <c r="AA2885" s="31" t="str">
        <f>Tabela2[[#This Row],[ILUSTRADOR CRIAÇÃO]]</f>
        <v/>
      </c>
      <c r="AB2885" s="33"/>
      <c r="AC2885" s="16"/>
      <c r="AE2885" s="35" t="str">
        <f t="shared" si="46"/>
        <v>EF1 E002 Mat</v>
      </c>
    </row>
    <row r="2886" spans="1:31" x14ac:dyDescent="0.25">
      <c r="A2886" s="31"/>
      <c r="B2886" s="16"/>
      <c r="C2886" s="16"/>
      <c r="D2886" s="33"/>
      <c r="E2886" s="33"/>
      <c r="F2886" s="33"/>
      <c r="G2886" s="33"/>
      <c r="H2886" s="33"/>
      <c r="I2886" s="31"/>
      <c r="J2886" s="31"/>
      <c r="K2886" s="33"/>
      <c r="L2886" s="33"/>
      <c r="M2886" s="31"/>
      <c r="N2886" s="31"/>
      <c r="O2886" s="16"/>
      <c r="P2886" s="16"/>
      <c r="Q2886" s="16"/>
      <c r="R2886" s="33"/>
      <c r="S2886" s="34"/>
      <c r="T2886" s="34"/>
      <c r="U2886" s="34"/>
      <c r="V2886" s="34"/>
      <c r="W2886" s="34"/>
      <c r="X2886" s="33"/>
      <c r="Y2886" s="35" t="str">
        <f>IF(Tabela2[[#This Row],[SIGLA]]="","",VLOOKUP(Tabela2[[#This Row],[SIGLA]],Tabela1[[#All],[Sigla Arte]:[Crédito]],2,0))</f>
        <v/>
      </c>
      <c r="Z2886" s="31"/>
      <c r="AA2886" s="31" t="str">
        <f>Tabela2[[#This Row],[ILUSTRADOR CRIAÇÃO]]</f>
        <v/>
      </c>
      <c r="AB2886" s="33"/>
      <c r="AC2886" s="16"/>
      <c r="AE2886" s="35" t="str">
        <f t="shared" si="46"/>
        <v>EF1 E002 Mat</v>
      </c>
    </row>
    <row r="2887" spans="1:31" x14ac:dyDescent="0.25">
      <c r="A2887" s="31"/>
      <c r="B2887" s="16"/>
      <c r="C2887" s="16"/>
      <c r="D2887" s="33"/>
      <c r="E2887" s="33"/>
      <c r="F2887" s="33"/>
      <c r="G2887" s="33"/>
      <c r="H2887" s="33"/>
      <c r="I2887" s="31"/>
      <c r="J2887" s="31"/>
      <c r="K2887" s="33"/>
      <c r="L2887" s="33"/>
      <c r="M2887" s="31"/>
      <c r="N2887" s="31"/>
      <c r="O2887" s="16"/>
      <c r="P2887" s="16"/>
      <c r="Q2887" s="16"/>
      <c r="R2887" s="33"/>
      <c r="S2887" s="34"/>
      <c r="T2887" s="34"/>
      <c r="U2887" s="34"/>
      <c r="V2887" s="34"/>
      <c r="W2887" s="34"/>
      <c r="X2887" s="33"/>
      <c r="Y2887" s="35" t="str">
        <f>IF(Tabela2[[#This Row],[SIGLA]]="","",VLOOKUP(Tabela2[[#This Row],[SIGLA]],Tabela1[[#All],[Sigla Arte]:[Crédito]],2,0))</f>
        <v/>
      </c>
      <c r="Z2887" s="31"/>
      <c r="AA2887" s="31" t="str">
        <f>Tabela2[[#This Row],[ILUSTRADOR CRIAÇÃO]]</f>
        <v/>
      </c>
      <c r="AB2887" s="33"/>
      <c r="AC2887" s="16"/>
      <c r="AE2887" s="35" t="str">
        <f t="shared" si="46"/>
        <v>EF1 E002 Mat</v>
      </c>
    </row>
    <row r="2888" spans="1:31" x14ac:dyDescent="0.25">
      <c r="A2888" s="31"/>
      <c r="B2888" s="16"/>
      <c r="C2888" s="16"/>
      <c r="D2888" s="33"/>
      <c r="E2888" s="33"/>
      <c r="F2888" s="33"/>
      <c r="G2888" s="33"/>
      <c r="H2888" s="33"/>
      <c r="I2888" s="31"/>
      <c r="J2888" s="31"/>
      <c r="K2888" s="33"/>
      <c r="L2888" s="33"/>
      <c r="M2888" s="31"/>
      <c r="N2888" s="31"/>
      <c r="O2888" s="16"/>
      <c r="P2888" s="16"/>
      <c r="Q2888" s="16"/>
      <c r="R2888" s="33"/>
      <c r="S2888" s="34"/>
      <c r="T2888" s="34"/>
      <c r="U2888" s="34"/>
      <c r="V2888" s="34"/>
      <c r="W2888" s="34"/>
      <c r="X2888" s="33"/>
      <c r="Y2888" s="35" t="str">
        <f>IF(Tabela2[[#This Row],[SIGLA]]="","",VLOOKUP(Tabela2[[#This Row],[SIGLA]],Tabela1[[#All],[Sigla Arte]:[Crédito]],2,0))</f>
        <v/>
      </c>
      <c r="Z2888" s="31"/>
      <c r="AA2888" s="31" t="str">
        <f>Tabela2[[#This Row],[ILUSTRADOR CRIAÇÃO]]</f>
        <v/>
      </c>
      <c r="AB2888" s="33"/>
      <c r="AC2888" s="16"/>
      <c r="AE2888" s="35" t="str">
        <f t="shared" si="46"/>
        <v>EF1 E002 Mat</v>
      </c>
    </row>
    <row r="2889" spans="1:31" x14ac:dyDescent="0.25">
      <c r="A2889" s="31"/>
      <c r="B2889" s="16"/>
      <c r="C2889" s="16"/>
      <c r="D2889" s="33"/>
      <c r="E2889" s="33"/>
      <c r="F2889" s="33"/>
      <c r="G2889" s="33"/>
      <c r="H2889" s="33"/>
      <c r="I2889" s="31"/>
      <c r="J2889" s="31"/>
      <c r="K2889" s="33"/>
      <c r="L2889" s="33"/>
      <c r="M2889" s="31"/>
      <c r="N2889" s="31"/>
      <c r="O2889" s="16"/>
      <c r="P2889" s="16"/>
      <c r="Q2889" s="16"/>
      <c r="R2889" s="33"/>
      <c r="S2889" s="34"/>
      <c r="T2889" s="34"/>
      <c r="U2889" s="34"/>
      <c r="V2889" s="34"/>
      <c r="W2889" s="34"/>
      <c r="X2889" s="33"/>
      <c r="Y2889" s="35" t="str">
        <f>IF(Tabela2[[#This Row],[SIGLA]]="","",VLOOKUP(Tabela2[[#This Row],[SIGLA]],Tabela1[[#All],[Sigla Arte]:[Crédito]],2,0))</f>
        <v/>
      </c>
      <c r="Z2889" s="31"/>
      <c r="AA2889" s="31" t="str">
        <f>Tabela2[[#This Row],[ILUSTRADOR CRIAÇÃO]]</f>
        <v/>
      </c>
      <c r="AB2889" s="33"/>
      <c r="AC2889" s="16"/>
      <c r="AE2889" s="35" t="str">
        <f t="shared" si="46"/>
        <v>EF1 E002 Mat</v>
      </c>
    </row>
    <row r="2890" spans="1:31" x14ac:dyDescent="0.25">
      <c r="A2890" s="31"/>
      <c r="B2890" s="16"/>
      <c r="C2890" s="16"/>
      <c r="D2890" s="33"/>
      <c r="E2890" s="33"/>
      <c r="F2890" s="33"/>
      <c r="G2890" s="33"/>
      <c r="H2890" s="33"/>
      <c r="I2890" s="31"/>
      <c r="J2890" s="31"/>
      <c r="K2890" s="33"/>
      <c r="L2890" s="33"/>
      <c r="M2890" s="31"/>
      <c r="N2890" s="31"/>
      <c r="O2890" s="16"/>
      <c r="P2890" s="16"/>
      <c r="Q2890" s="16"/>
      <c r="R2890" s="33"/>
      <c r="S2890" s="34"/>
      <c r="T2890" s="34"/>
      <c r="U2890" s="34"/>
      <c r="V2890" s="34"/>
      <c r="W2890" s="34"/>
      <c r="X2890" s="33"/>
      <c r="Y2890" s="35" t="str">
        <f>IF(Tabela2[[#This Row],[SIGLA]]="","",VLOOKUP(Tabela2[[#This Row],[SIGLA]],Tabela1[[#All],[Sigla Arte]:[Crédito]],2,0))</f>
        <v/>
      </c>
      <c r="Z2890" s="31"/>
      <c r="AA2890" s="31" t="str">
        <f>Tabela2[[#This Row],[ILUSTRADOR CRIAÇÃO]]</f>
        <v/>
      </c>
      <c r="AB2890" s="33"/>
      <c r="AC2890" s="16"/>
      <c r="AE2890" s="35" t="str">
        <f t="shared" si="46"/>
        <v>EF1 E002 Mat</v>
      </c>
    </row>
    <row r="2891" spans="1:31" x14ac:dyDescent="0.25">
      <c r="A2891" s="31"/>
      <c r="B2891" s="16"/>
      <c r="C2891" s="16"/>
      <c r="D2891" s="33"/>
      <c r="E2891" s="33"/>
      <c r="F2891" s="33"/>
      <c r="G2891" s="33"/>
      <c r="H2891" s="33"/>
      <c r="I2891" s="31"/>
      <c r="J2891" s="31"/>
      <c r="K2891" s="33"/>
      <c r="L2891" s="33"/>
      <c r="M2891" s="31"/>
      <c r="N2891" s="31"/>
      <c r="O2891" s="16"/>
      <c r="P2891" s="16"/>
      <c r="Q2891" s="16"/>
      <c r="R2891" s="33"/>
      <c r="S2891" s="34"/>
      <c r="T2891" s="34"/>
      <c r="U2891" s="34"/>
      <c r="V2891" s="34"/>
      <c r="W2891" s="34"/>
      <c r="X2891" s="33"/>
      <c r="Y2891" s="35" t="str">
        <f>IF(Tabela2[[#This Row],[SIGLA]]="","",VLOOKUP(Tabela2[[#This Row],[SIGLA]],Tabela1[[#All],[Sigla Arte]:[Crédito]],2,0))</f>
        <v/>
      </c>
      <c r="Z2891" s="31"/>
      <c r="AA2891" s="31" t="str">
        <f>Tabela2[[#This Row],[ILUSTRADOR CRIAÇÃO]]</f>
        <v/>
      </c>
      <c r="AB2891" s="33"/>
      <c r="AC2891" s="16"/>
      <c r="AE2891" s="35" t="str">
        <f t="shared" si="46"/>
        <v>EF1 E002 Mat</v>
      </c>
    </row>
    <row r="2892" spans="1:31" x14ac:dyDescent="0.25">
      <c r="A2892" s="31"/>
      <c r="B2892" s="16"/>
      <c r="C2892" s="16"/>
      <c r="D2892" s="33"/>
      <c r="E2892" s="33"/>
      <c r="F2892" s="33"/>
      <c r="G2892" s="33"/>
      <c r="H2892" s="33"/>
      <c r="I2892" s="31"/>
      <c r="J2892" s="31"/>
      <c r="K2892" s="33"/>
      <c r="L2892" s="33"/>
      <c r="M2892" s="31"/>
      <c r="N2892" s="31"/>
      <c r="O2892" s="16"/>
      <c r="P2892" s="16"/>
      <c r="Q2892" s="16"/>
      <c r="R2892" s="33"/>
      <c r="S2892" s="34"/>
      <c r="T2892" s="34"/>
      <c r="U2892" s="34"/>
      <c r="V2892" s="34"/>
      <c r="W2892" s="34"/>
      <c r="X2892" s="33"/>
      <c r="Y2892" s="35" t="str">
        <f>IF(Tabela2[[#This Row],[SIGLA]]="","",VLOOKUP(Tabela2[[#This Row],[SIGLA]],Tabela1[[#All],[Sigla Arte]:[Crédito]],2,0))</f>
        <v/>
      </c>
      <c r="Z2892" s="31"/>
      <c r="AA2892" s="31" t="str">
        <f>Tabela2[[#This Row],[ILUSTRADOR CRIAÇÃO]]</f>
        <v/>
      </c>
      <c r="AB2892" s="33"/>
      <c r="AC2892" s="16"/>
      <c r="AE2892" s="35" t="str">
        <f t="shared" si="46"/>
        <v>EF1 E002 Mat</v>
      </c>
    </row>
    <row r="2893" spans="1:31" x14ac:dyDescent="0.25">
      <c r="A2893" s="31"/>
      <c r="B2893" s="16"/>
      <c r="C2893" s="16"/>
      <c r="D2893" s="33"/>
      <c r="E2893" s="33"/>
      <c r="F2893" s="33"/>
      <c r="G2893" s="33"/>
      <c r="H2893" s="33"/>
      <c r="I2893" s="31"/>
      <c r="J2893" s="31"/>
      <c r="K2893" s="33"/>
      <c r="L2893" s="33"/>
      <c r="M2893" s="31"/>
      <c r="N2893" s="31"/>
      <c r="O2893" s="16"/>
      <c r="P2893" s="16"/>
      <c r="Q2893" s="16"/>
      <c r="R2893" s="33"/>
      <c r="S2893" s="34"/>
      <c r="T2893" s="34"/>
      <c r="U2893" s="34"/>
      <c r="V2893" s="34"/>
      <c r="W2893" s="34"/>
      <c r="X2893" s="33"/>
      <c r="Y2893" s="35" t="str">
        <f>IF(Tabela2[[#This Row],[SIGLA]]="","",VLOOKUP(Tabela2[[#This Row],[SIGLA]],Tabela1[[#All],[Sigla Arte]:[Crédito]],2,0))</f>
        <v/>
      </c>
      <c r="Z2893" s="31"/>
      <c r="AA2893" s="31" t="str">
        <f>Tabela2[[#This Row],[ILUSTRADOR CRIAÇÃO]]</f>
        <v/>
      </c>
      <c r="AB2893" s="33"/>
      <c r="AC2893" s="16"/>
      <c r="AE2893" s="35" t="str">
        <f t="shared" si="46"/>
        <v>EF1 E002 Mat</v>
      </c>
    </row>
    <row r="2894" spans="1:31" x14ac:dyDescent="0.25">
      <c r="A2894" s="31"/>
      <c r="B2894" s="16"/>
      <c r="C2894" s="16"/>
      <c r="D2894" s="33"/>
      <c r="E2894" s="33"/>
      <c r="F2894" s="33"/>
      <c r="G2894" s="33"/>
      <c r="H2894" s="33"/>
      <c r="I2894" s="31"/>
      <c r="J2894" s="31"/>
      <c r="K2894" s="33"/>
      <c r="L2894" s="33"/>
      <c r="M2894" s="31"/>
      <c r="N2894" s="31"/>
      <c r="O2894" s="16"/>
      <c r="P2894" s="16"/>
      <c r="Q2894" s="16"/>
      <c r="R2894" s="33"/>
      <c r="S2894" s="34"/>
      <c r="T2894" s="34"/>
      <c r="U2894" s="34"/>
      <c r="V2894" s="34"/>
      <c r="W2894" s="34"/>
      <c r="X2894" s="33"/>
      <c r="Y2894" s="35" t="str">
        <f>IF(Tabela2[[#This Row],[SIGLA]]="","",VLOOKUP(Tabela2[[#This Row],[SIGLA]],Tabela1[[#All],[Sigla Arte]:[Crédito]],2,0))</f>
        <v/>
      </c>
      <c r="Z2894" s="31"/>
      <c r="AA2894" s="31" t="str">
        <f>Tabela2[[#This Row],[ILUSTRADOR CRIAÇÃO]]</f>
        <v/>
      </c>
      <c r="AB2894" s="33"/>
      <c r="AC2894" s="16"/>
      <c r="AE2894" s="35" t="str">
        <f t="shared" si="46"/>
        <v>EF1 E002 Mat</v>
      </c>
    </row>
    <row r="2895" spans="1:31" x14ac:dyDescent="0.25">
      <c r="A2895" s="31"/>
      <c r="B2895" s="16"/>
      <c r="C2895" s="16"/>
      <c r="D2895" s="33"/>
      <c r="E2895" s="33"/>
      <c r="F2895" s="33"/>
      <c r="G2895" s="33"/>
      <c r="H2895" s="33"/>
      <c r="I2895" s="31"/>
      <c r="J2895" s="31"/>
      <c r="K2895" s="33"/>
      <c r="L2895" s="33"/>
      <c r="M2895" s="31"/>
      <c r="N2895" s="31"/>
      <c r="O2895" s="16"/>
      <c r="P2895" s="16"/>
      <c r="Q2895" s="16"/>
      <c r="R2895" s="33"/>
      <c r="S2895" s="34"/>
      <c r="T2895" s="34"/>
      <c r="U2895" s="34"/>
      <c r="V2895" s="34"/>
      <c r="W2895" s="34"/>
      <c r="X2895" s="33"/>
      <c r="Y2895" s="35" t="str">
        <f>IF(Tabela2[[#This Row],[SIGLA]]="","",VLOOKUP(Tabela2[[#This Row],[SIGLA]],Tabela1[[#All],[Sigla Arte]:[Crédito]],2,0))</f>
        <v/>
      </c>
      <c r="Z2895" s="31"/>
      <c r="AA2895" s="31" t="str">
        <f>Tabela2[[#This Row],[ILUSTRADOR CRIAÇÃO]]</f>
        <v/>
      </c>
      <c r="AB2895" s="33"/>
      <c r="AC2895" s="16"/>
      <c r="AE2895" s="35" t="str">
        <f t="shared" si="46"/>
        <v>EF1 E002 Mat</v>
      </c>
    </row>
    <row r="2896" spans="1:31" x14ac:dyDescent="0.25">
      <c r="A2896" s="31"/>
      <c r="B2896" s="16"/>
      <c r="C2896" s="16"/>
      <c r="D2896" s="33"/>
      <c r="E2896" s="33"/>
      <c r="F2896" s="33"/>
      <c r="G2896" s="33"/>
      <c r="H2896" s="33"/>
      <c r="I2896" s="31"/>
      <c r="J2896" s="31"/>
      <c r="K2896" s="33"/>
      <c r="L2896" s="33"/>
      <c r="M2896" s="31"/>
      <c r="N2896" s="31"/>
      <c r="O2896" s="16"/>
      <c r="P2896" s="16"/>
      <c r="Q2896" s="16"/>
      <c r="R2896" s="33"/>
      <c r="S2896" s="34"/>
      <c r="T2896" s="34"/>
      <c r="U2896" s="34"/>
      <c r="V2896" s="34"/>
      <c r="W2896" s="34"/>
      <c r="X2896" s="33"/>
      <c r="Y2896" s="35" t="str">
        <f>IF(Tabela2[[#This Row],[SIGLA]]="","",VLOOKUP(Tabela2[[#This Row],[SIGLA]],Tabela1[[#All],[Sigla Arte]:[Crédito]],2,0))</f>
        <v/>
      </c>
      <c r="Z2896" s="31"/>
      <c r="AA2896" s="31" t="str">
        <f>Tabela2[[#This Row],[ILUSTRADOR CRIAÇÃO]]</f>
        <v/>
      </c>
      <c r="AB2896" s="33"/>
      <c r="AC2896" s="16"/>
      <c r="AE2896" s="35" t="str">
        <f t="shared" si="46"/>
        <v>EF1 E002 Mat</v>
      </c>
    </row>
    <row r="2897" spans="1:31" x14ac:dyDescent="0.25">
      <c r="A2897" s="31"/>
      <c r="B2897" s="16"/>
      <c r="C2897" s="16"/>
      <c r="D2897" s="33"/>
      <c r="E2897" s="33"/>
      <c r="F2897" s="33"/>
      <c r="G2897" s="33"/>
      <c r="H2897" s="33"/>
      <c r="I2897" s="31"/>
      <c r="J2897" s="31"/>
      <c r="K2897" s="33"/>
      <c r="L2897" s="33"/>
      <c r="M2897" s="31"/>
      <c r="N2897" s="31"/>
      <c r="O2897" s="16"/>
      <c r="P2897" s="16"/>
      <c r="Q2897" s="16"/>
      <c r="R2897" s="33"/>
      <c r="S2897" s="34"/>
      <c r="T2897" s="34"/>
      <c r="U2897" s="34"/>
      <c r="V2897" s="34"/>
      <c r="W2897" s="34"/>
      <c r="X2897" s="33"/>
      <c r="Y2897" s="35" t="str">
        <f>IF(Tabela2[[#This Row],[SIGLA]]="","",VLOOKUP(Tabela2[[#This Row],[SIGLA]],Tabela1[[#All],[Sigla Arte]:[Crédito]],2,0))</f>
        <v/>
      </c>
      <c r="Z2897" s="31"/>
      <c r="AA2897" s="31" t="str">
        <f>Tabela2[[#This Row],[ILUSTRADOR CRIAÇÃO]]</f>
        <v/>
      </c>
      <c r="AB2897" s="33"/>
      <c r="AC2897" s="16"/>
      <c r="AE2897" s="35" t="str">
        <f t="shared" si="46"/>
        <v>EF1 E002 Mat</v>
      </c>
    </row>
    <row r="2898" spans="1:31" x14ac:dyDescent="0.25">
      <c r="A2898" s="31"/>
      <c r="B2898" s="16"/>
      <c r="C2898" s="16"/>
      <c r="D2898" s="33"/>
      <c r="E2898" s="33"/>
      <c r="F2898" s="33"/>
      <c r="G2898" s="33"/>
      <c r="H2898" s="33"/>
      <c r="I2898" s="31"/>
      <c r="J2898" s="31"/>
      <c r="K2898" s="33"/>
      <c r="L2898" s="33"/>
      <c r="M2898" s="31"/>
      <c r="N2898" s="31"/>
      <c r="O2898" s="16"/>
      <c r="P2898" s="16"/>
      <c r="Q2898" s="16"/>
      <c r="R2898" s="33"/>
      <c r="S2898" s="34"/>
      <c r="T2898" s="34"/>
      <c r="U2898" s="34"/>
      <c r="V2898" s="34"/>
      <c r="W2898" s="34"/>
      <c r="X2898" s="33"/>
      <c r="Y2898" s="35" t="str">
        <f>IF(Tabela2[[#This Row],[SIGLA]]="","",VLOOKUP(Tabela2[[#This Row],[SIGLA]],Tabela1[[#All],[Sigla Arte]:[Crédito]],2,0))</f>
        <v/>
      </c>
      <c r="Z2898" s="31"/>
      <c r="AA2898" s="31" t="str">
        <f>Tabela2[[#This Row],[ILUSTRADOR CRIAÇÃO]]</f>
        <v/>
      </c>
      <c r="AB2898" s="33"/>
      <c r="AC2898" s="16"/>
      <c r="AE2898" s="35" t="str">
        <f t="shared" si="46"/>
        <v>EF1 E002 Mat</v>
      </c>
    </row>
    <row r="2899" spans="1:31" x14ac:dyDescent="0.25">
      <c r="A2899" s="31"/>
      <c r="B2899" s="16"/>
      <c r="C2899" s="16"/>
      <c r="D2899" s="33"/>
      <c r="E2899" s="33"/>
      <c r="F2899" s="33"/>
      <c r="G2899" s="33"/>
      <c r="H2899" s="33"/>
      <c r="I2899" s="31"/>
      <c r="J2899" s="31"/>
      <c r="K2899" s="33"/>
      <c r="L2899" s="33"/>
      <c r="M2899" s="31"/>
      <c r="N2899" s="31"/>
      <c r="O2899" s="16"/>
      <c r="P2899" s="16"/>
      <c r="Q2899" s="16"/>
      <c r="R2899" s="33"/>
      <c r="S2899" s="34"/>
      <c r="T2899" s="34"/>
      <c r="U2899" s="34"/>
      <c r="V2899" s="34"/>
      <c r="W2899" s="34"/>
      <c r="X2899" s="33"/>
      <c r="Y2899" s="35" t="str">
        <f>IF(Tabela2[[#This Row],[SIGLA]]="","",VLOOKUP(Tabela2[[#This Row],[SIGLA]],Tabela1[[#All],[Sigla Arte]:[Crédito]],2,0))</f>
        <v/>
      </c>
      <c r="Z2899" s="31"/>
      <c r="AA2899" s="31" t="str">
        <f>Tabela2[[#This Row],[ILUSTRADOR CRIAÇÃO]]</f>
        <v/>
      </c>
      <c r="AB2899" s="33"/>
      <c r="AC2899" s="16"/>
      <c r="AE2899" s="35" t="str">
        <f t="shared" si="46"/>
        <v>EF1 E002 Mat</v>
      </c>
    </row>
    <row r="2900" spans="1:31" x14ac:dyDescent="0.25">
      <c r="A2900" s="31"/>
      <c r="B2900" s="16"/>
      <c r="C2900" s="16"/>
      <c r="D2900" s="33"/>
      <c r="E2900" s="33"/>
      <c r="F2900" s="33"/>
      <c r="G2900" s="33"/>
      <c r="H2900" s="33"/>
      <c r="I2900" s="31"/>
      <c r="J2900" s="31"/>
      <c r="K2900" s="33"/>
      <c r="L2900" s="33"/>
      <c r="M2900" s="31"/>
      <c r="N2900" s="31"/>
      <c r="O2900" s="16"/>
      <c r="P2900" s="16"/>
      <c r="Q2900" s="16"/>
      <c r="R2900" s="33"/>
      <c r="S2900" s="34"/>
      <c r="T2900" s="34"/>
      <c r="U2900" s="34"/>
      <c r="V2900" s="34"/>
      <c r="W2900" s="34"/>
      <c r="X2900" s="33"/>
      <c r="Y2900" s="35" t="str">
        <f>IF(Tabela2[[#This Row],[SIGLA]]="","",VLOOKUP(Tabela2[[#This Row],[SIGLA]],Tabela1[[#All],[Sigla Arte]:[Crédito]],2,0))</f>
        <v/>
      </c>
      <c r="Z2900" s="31"/>
      <c r="AA2900" s="31" t="str">
        <f>Tabela2[[#This Row],[ILUSTRADOR CRIAÇÃO]]</f>
        <v/>
      </c>
      <c r="AB2900" s="33"/>
      <c r="AC2900" s="16"/>
      <c r="AE2900" s="35" t="str">
        <f t="shared" si="46"/>
        <v>EF1 E002 Mat</v>
      </c>
    </row>
    <row r="2901" spans="1:31" x14ac:dyDescent="0.25">
      <c r="A2901" s="31"/>
      <c r="B2901" s="16"/>
      <c r="C2901" s="16"/>
      <c r="D2901" s="33"/>
      <c r="E2901" s="33"/>
      <c r="F2901" s="33"/>
      <c r="G2901" s="33"/>
      <c r="H2901" s="33"/>
      <c r="I2901" s="31"/>
      <c r="J2901" s="31"/>
      <c r="K2901" s="33"/>
      <c r="L2901" s="33"/>
      <c r="M2901" s="31"/>
      <c r="N2901" s="31"/>
      <c r="O2901" s="16"/>
      <c r="P2901" s="16"/>
      <c r="Q2901" s="16"/>
      <c r="R2901" s="33"/>
      <c r="S2901" s="34"/>
      <c r="T2901" s="34"/>
      <c r="U2901" s="34"/>
      <c r="V2901" s="34"/>
      <c r="W2901" s="34"/>
      <c r="X2901" s="33"/>
      <c r="Y2901" s="35" t="str">
        <f>IF(Tabela2[[#This Row],[SIGLA]]="","",VLOOKUP(Tabela2[[#This Row],[SIGLA]],Tabela1[[#All],[Sigla Arte]:[Crédito]],2,0))</f>
        <v/>
      </c>
      <c r="Z2901" s="31"/>
      <c r="AA2901" s="31" t="str">
        <f>Tabela2[[#This Row],[ILUSTRADOR CRIAÇÃO]]</f>
        <v/>
      </c>
      <c r="AB2901" s="33"/>
      <c r="AC2901" s="16"/>
      <c r="AE2901" s="35" t="str">
        <f t="shared" si="46"/>
        <v>EF1 E002 Mat</v>
      </c>
    </row>
    <row r="2902" spans="1:31" x14ac:dyDescent="0.25">
      <c r="A2902" s="31"/>
      <c r="B2902" s="16"/>
      <c r="C2902" s="16"/>
      <c r="D2902" s="33"/>
      <c r="E2902" s="33"/>
      <c r="F2902" s="33"/>
      <c r="G2902" s="33"/>
      <c r="H2902" s="33"/>
      <c r="I2902" s="31"/>
      <c r="J2902" s="31"/>
      <c r="K2902" s="33"/>
      <c r="L2902" s="33"/>
      <c r="M2902" s="31"/>
      <c r="N2902" s="31"/>
      <c r="O2902" s="16"/>
      <c r="P2902" s="16"/>
      <c r="Q2902" s="16"/>
      <c r="R2902" s="33"/>
      <c r="S2902" s="34"/>
      <c r="T2902" s="34"/>
      <c r="U2902" s="34"/>
      <c r="V2902" s="34"/>
      <c r="W2902" s="34"/>
      <c r="X2902" s="33"/>
      <c r="Y2902" s="35" t="str">
        <f>IF(Tabela2[[#This Row],[SIGLA]]="","",VLOOKUP(Tabela2[[#This Row],[SIGLA]],Tabela1[[#All],[Sigla Arte]:[Crédito]],2,0))</f>
        <v/>
      </c>
      <c r="Z2902" s="31"/>
      <c r="AA2902" s="31" t="str">
        <f>Tabela2[[#This Row],[ILUSTRADOR CRIAÇÃO]]</f>
        <v/>
      </c>
      <c r="AB2902" s="33"/>
      <c r="AC2902" s="16"/>
      <c r="AE2902" s="35" t="str">
        <f t="shared" si="46"/>
        <v>EF1 E002 Mat</v>
      </c>
    </row>
    <row r="2903" spans="1:31" x14ac:dyDescent="0.25">
      <c r="A2903" s="31"/>
      <c r="B2903" s="16"/>
      <c r="C2903" s="16"/>
      <c r="D2903" s="33"/>
      <c r="E2903" s="33"/>
      <c r="F2903" s="33"/>
      <c r="G2903" s="33"/>
      <c r="H2903" s="33"/>
      <c r="I2903" s="31"/>
      <c r="J2903" s="31"/>
      <c r="K2903" s="33"/>
      <c r="L2903" s="33"/>
      <c r="M2903" s="31"/>
      <c r="N2903" s="31"/>
      <c r="O2903" s="16"/>
      <c r="P2903" s="16"/>
      <c r="Q2903" s="16"/>
      <c r="R2903" s="33"/>
      <c r="S2903" s="34"/>
      <c r="T2903" s="34"/>
      <c r="U2903" s="34"/>
      <c r="V2903" s="34"/>
      <c r="W2903" s="34"/>
      <c r="X2903" s="33"/>
      <c r="Y2903" s="35" t="str">
        <f>IF(Tabela2[[#This Row],[SIGLA]]="","",VLOOKUP(Tabela2[[#This Row],[SIGLA]],Tabela1[[#All],[Sigla Arte]:[Crédito]],2,0))</f>
        <v/>
      </c>
      <c r="Z2903" s="31"/>
      <c r="AA2903" s="31" t="str">
        <f>Tabela2[[#This Row],[ILUSTRADOR CRIAÇÃO]]</f>
        <v/>
      </c>
      <c r="AB2903" s="33"/>
      <c r="AC2903" s="16"/>
      <c r="AE2903" s="35" t="str">
        <f t="shared" si="46"/>
        <v>EF1 E002 Mat</v>
      </c>
    </row>
    <row r="2904" spans="1:31" x14ac:dyDescent="0.25">
      <c r="A2904" s="31"/>
      <c r="B2904" s="16"/>
      <c r="C2904" s="16"/>
      <c r="D2904" s="33"/>
      <c r="E2904" s="33"/>
      <c r="F2904" s="33"/>
      <c r="G2904" s="33"/>
      <c r="H2904" s="33"/>
      <c r="I2904" s="31"/>
      <c r="J2904" s="31"/>
      <c r="K2904" s="33"/>
      <c r="L2904" s="33"/>
      <c r="M2904" s="31"/>
      <c r="N2904" s="31"/>
      <c r="O2904" s="16"/>
      <c r="P2904" s="16"/>
      <c r="Q2904" s="16"/>
      <c r="R2904" s="33"/>
      <c r="S2904" s="34"/>
      <c r="T2904" s="34"/>
      <c r="U2904" s="34"/>
      <c r="V2904" s="34"/>
      <c r="W2904" s="34"/>
      <c r="X2904" s="33"/>
      <c r="Y2904" s="35" t="str">
        <f>IF(Tabela2[[#This Row],[SIGLA]]="","",VLOOKUP(Tabela2[[#This Row],[SIGLA]],Tabela1[[#All],[Sigla Arte]:[Crédito]],2,0))</f>
        <v/>
      </c>
      <c r="Z2904" s="31"/>
      <c r="AA2904" s="31" t="str">
        <f>Tabela2[[#This Row],[ILUSTRADOR CRIAÇÃO]]</f>
        <v/>
      </c>
      <c r="AB2904" s="33"/>
      <c r="AC2904" s="16"/>
      <c r="AE2904" s="35" t="str">
        <f t="shared" si="46"/>
        <v>EF1 E002 Mat</v>
      </c>
    </row>
    <row r="2905" spans="1:31" x14ac:dyDescent="0.25">
      <c r="A2905" s="31"/>
      <c r="B2905" s="16"/>
      <c r="C2905" s="16"/>
      <c r="D2905" s="33"/>
      <c r="E2905" s="33"/>
      <c r="F2905" s="33"/>
      <c r="G2905" s="33"/>
      <c r="H2905" s="33"/>
      <c r="I2905" s="31"/>
      <c r="J2905" s="31"/>
      <c r="K2905" s="33"/>
      <c r="L2905" s="33"/>
      <c r="M2905" s="31"/>
      <c r="N2905" s="31"/>
      <c r="O2905" s="16"/>
      <c r="P2905" s="16"/>
      <c r="Q2905" s="16"/>
      <c r="R2905" s="33"/>
      <c r="S2905" s="34"/>
      <c r="T2905" s="34"/>
      <c r="U2905" s="34"/>
      <c r="V2905" s="34"/>
      <c r="W2905" s="34"/>
      <c r="X2905" s="33"/>
      <c r="Y2905" s="35" t="str">
        <f>IF(Tabela2[[#This Row],[SIGLA]]="","",VLOOKUP(Tabela2[[#This Row],[SIGLA]],Tabela1[[#All],[Sigla Arte]:[Crédito]],2,0))</f>
        <v/>
      </c>
      <c r="Z2905" s="31"/>
      <c r="AA2905" s="31" t="str">
        <f>Tabela2[[#This Row],[ILUSTRADOR CRIAÇÃO]]</f>
        <v/>
      </c>
      <c r="AB2905" s="33"/>
      <c r="AC2905" s="16"/>
      <c r="AE2905" s="35" t="str">
        <f t="shared" si="46"/>
        <v>EF1 E002 Mat</v>
      </c>
    </row>
    <row r="2906" spans="1:31" x14ac:dyDescent="0.25">
      <c r="A2906" s="31"/>
      <c r="B2906" s="16"/>
      <c r="C2906" s="16"/>
      <c r="D2906" s="33"/>
      <c r="E2906" s="33"/>
      <c r="F2906" s="33"/>
      <c r="G2906" s="33"/>
      <c r="H2906" s="33"/>
      <c r="I2906" s="31"/>
      <c r="J2906" s="31"/>
      <c r="K2906" s="33"/>
      <c r="L2906" s="33"/>
      <c r="M2906" s="31"/>
      <c r="N2906" s="31"/>
      <c r="O2906" s="16"/>
      <c r="P2906" s="16"/>
      <c r="Q2906" s="16"/>
      <c r="R2906" s="33"/>
      <c r="S2906" s="34"/>
      <c r="T2906" s="34"/>
      <c r="U2906" s="34"/>
      <c r="V2906" s="34"/>
      <c r="W2906" s="34"/>
      <c r="X2906" s="33"/>
      <c r="Y2906" s="35" t="str">
        <f>IF(Tabela2[[#This Row],[SIGLA]]="","",VLOOKUP(Tabela2[[#This Row],[SIGLA]],Tabela1[[#All],[Sigla Arte]:[Crédito]],2,0))</f>
        <v/>
      </c>
      <c r="Z2906" s="31"/>
      <c r="AA2906" s="31" t="str">
        <f>Tabela2[[#This Row],[ILUSTRADOR CRIAÇÃO]]</f>
        <v/>
      </c>
      <c r="AB2906" s="33"/>
      <c r="AC2906" s="16"/>
      <c r="AE2906" s="35" t="str">
        <f t="shared" si="46"/>
        <v>EF1 E002 Mat</v>
      </c>
    </row>
    <row r="2907" spans="1:31" x14ac:dyDescent="0.25">
      <c r="A2907" s="31"/>
      <c r="B2907" s="16"/>
      <c r="C2907" s="16"/>
      <c r="D2907" s="33"/>
      <c r="E2907" s="33"/>
      <c r="F2907" s="33"/>
      <c r="G2907" s="33"/>
      <c r="H2907" s="33"/>
      <c r="I2907" s="31"/>
      <c r="J2907" s="31"/>
      <c r="K2907" s="33"/>
      <c r="L2907" s="33"/>
      <c r="M2907" s="31"/>
      <c r="N2907" s="31"/>
      <c r="O2907" s="16"/>
      <c r="P2907" s="16"/>
      <c r="Q2907" s="16"/>
      <c r="R2907" s="33"/>
      <c r="S2907" s="34"/>
      <c r="T2907" s="34"/>
      <c r="U2907" s="34"/>
      <c r="V2907" s="34"/>
      <c r="W2907" s="34"/>
      <c r="X2907" s="33"/>
      <c r="Y2907" s="35" t="str">
        <f>IF(Tabela2[[#This Row],[SIGLA]]="","",VLOOKUP(Tabela2[[#This Row],[SIGLA]],Tabela1[[#All],[Sigla Arte]:[Crédito]],2,0))</f>
        <v/>
      </c>
      <c r="Z2907" s="31"/>
      <c r="AA2907" s="31" t="str">
        <f>Tabela2[[#This Row],[ILUSTRADOR CRIAÇÃO]]</f>
        <v/>
      </c>
      <c r="AB2907" s="33"/>
      <c r="AC2907" s="16"/>
      <c r="AE2907" s="35" t="str">
        <f t="shared" si="46"/>
        <v>EF1 E002 Mat</v>
      </c>
    </row>
    <row r="2908" spans="1:31" x14ac:dyDescent="0.25">
      <c r="A2908" s="31"/>
      <c r="B2908" s="16"/>
      <c r="C2908" s="16"/>
      <c r="D2908" s="33"/>
      <c r="E2908" s="33"/>
      <c r="F2908" s="33"/>
      <c r="G2908" s="33"/>
      <c r="H2908" s="33"/>
      <c r="I2908" s="31"/>
      <c r="J2908" s="31"/>
      <c r="K2908" s="33"/>
      <c r="L2908" s="33"/>
      <c r="M2908" s="31"/>
      <c r="N2908" s="31"/>
      <c r="O2908" s="16"/>
      <c r="P2908" s="16"/>
      <c r="Q2908" s="16"/>
      <c r="R2908" s="33"/>
      <c r="S2908" s="34"/>
      <c r="T2908" s="34"/>
      <c r="U2908" s="34"/>
      <c r="V2908" s="34"/>
      <c r="W2908" s="34"/>
      <c r="X2908" s="33"/>
      <c r="Y2908" s="35" t="str">
        <f>IF(Tabela2[[#This Row],[SIGLA]]="","",VLOOKUP(Tabela2[[#This Row],[SIGLA]],Tabela1[[#All],[Sigla Arte]:[Crédito]],2,0))</f>
        <v/>
      </c>
      <c r="Z2908" s="31"/>
      <c r="AA2908" s="31" t="str">
        <f>Tabela2[[#This Row],[ILUSTRADOR CRIAÇÃO]]</f>
        <v/>
      </c>
      <c r="AB2908" s="33"/>
      <c r="AC2908" s="16"/>
      <c r="AE2908" s="35" t="str">
        <f t="shared" si="46"/>
        <v>EF1 E002 Mat</v>
      </c>
    </row>
    <row r="2909" spans="1:31" x14ac:dyDescent="0.25">
      <c r="A2909" s="31"/>
      <c r="B2909" s="16"/>
      <c r="C2909" s="16"/>
      <c r="D2909" s="33"/>
      <c r="E2909" s="33"/>
      <c r="F2909" s="33"/>
      <c r="G2909" s="33"/>
      <c r="H2909" s="33"/>
      <c r="I2909" s="31"/>
      <c r="J2909" s="31"/>
      <c r="K2909" s="33"/>
      <c r="L2909" s="33"/>
      <c r="M2909" s="31"/>
      <c r="N2909" s="31"/>
      <c r="O2909" s="16"/>
      <c r="P2909" s="16"/>
      <c r="Q2909" s="16"/>
      <c r="R2909" s="33"/>
      <c r="S2909" s="34"/>
      <c r="T2909" s="34"/>
      <c r="U2909" s="34"/>
      <c r="V2909" s="34"/>
      <c r="W2909" s="34"/>
      <c r="X2909" s="33"/>
      <c r="Y2909" s="35" t="str">
        <f>IF(Tabela2[[#This Row],[SIGLA]]="","",VLOOKUP(Tabela2[[#This Row],[SIGLA]],Tabela1[[#All],[Sigla Arte]:[Crédito]],2,0))</f>
        <v/>
      </c>
      <c r="Z2909" s="31"/>
      <c r="AA2909" s="31" t="str">
        <f>Tabela2[[#This Row],[ILUSTRADOR CRIAÇÃO]]</f>
        <v/>
      </c>
      <c r="AB2909" s="33"/>
      <c r="AC2909" s="16"/>
      <c r="AE2909" s="35" t="str">
        <f t="shared" si="46"/>
        <v>EF1 E002 Mat</v>
      </c>
    </row>
    <row r="2910" spans="1:31" x14ac:dyDescent="0.25">
      <c r="A2910" s="31"/>
      <c r="B2910" s="16"/>
      <c r="C2910" s="16"/>
      <c r="D2910" s="33"/>
      <c r="E2910" s="33"/>
      <c r="F2910" s="33"/>
      <c r="G2910" s="33"/>
      <c r="H2910" s="33"/>
      <c r="I2910" s="31"/>
      <c r="J2910" s="31"/>
      <c r="K2910" s="33"/>
      <c r="L2910" s="33"/>
      <c r="M2910" s="31"/>
      <c r="N2910" s="31"/>
      <c r="O2910" s="16"/>
      <c r="P2910" s="16"/>
      <c r="Q2910" s="16"/>
      <c r="R2910" s="33"/>
      <c r="S2910" s="34"/>
      <c r="T2910" s="34"/>
      <c r="U2910" s="34"/>
      <c r="V2910" s="34"/>
      <c r="W2910" s="34"/>
      <c r="X2910" s="33"/>
      <c r="Y2910" s="35" t="str">
        <f>IF(Tabela2[[#This Row],[SIGLA]]="","",VLOOKUP(Tabela2[[#This Row],[SIGLA]],Tabela1[[#All],[Sigla Arte]:[Crédito]],2,0))</f>
        <v/>
      </c>
      <c r="Z2910" s="31"/>
      <c r="AA2910" s="31" t="str">
        <f>Tabela2[[#This Row],[ILUSTRADOR CRIAÇÃO]]</f>
        <v/>
      </c>
      <c r="AB2910" s="33"/>
      <c r="AC2910" s="16"/>
      <c r="AE2910" s="35" t="str">
        <f t="shared" si="46"/>
        <v>EF1 E002 Mat</v>
      </c>
    </row>
    <row r="2911" spans="1:31" x14ac:dyDescent="0.25">
      <c r="A2911" s="31"/>
      <c r="B2911" s="16"/>
      <c r="C2911" s="16"/>
      <c r="D2911" s="33"/>
      <c r="E2911" s="33"/>
      <c r="F2911" s="33"/>
      <c r="G2911" s="33"/>
      <c r="H2911" s="33"/>
      <c r="I2911" s="31"/>
      <c r="J2911" s="31"/>
      <c r="K2911" s="33"/>
      <c r="L2911" s="33"/>
      <c r="M2911" s="31"/>
      <c r="N2911" s="31"/>
      <c r="O2911" s="16"/>
      <c r="P2911" s="16"/>
      <c r="Q2911" s="16"/>
      <c r="R2911" s="33"/>
      <c r="S2911" s="34"/>
      <c r="T2911" s="34"/>
      <c r="U2911" s="34"/>
      <c r="V2911" s="34"/>
      <c r="W2911" s="34"/>
      <c r="X2911" s="33"/>
      <c r="Y2911" s="35" t="str">
        <f>IF(Tabela2[[#This Row],[SIGLA]]="","",VLOOKUP(Tabela2[[#This Row],[SIGLA]],Tabela1[[#All],[Sigla Arte]:[Crédito]],2,0))</f>
        <v/>
      </c>
      <c r="Z2911" s="31"/>
      <c r="AA2911" s="31" t="str">
        <f>Tabela2[[#This Row],[ILUSTRADOR CRIAÇÃO]]</f>
        <v/>
      </c>
      <c r="AB2911" s="33"/>
      <c r="AC2911" s="16"/>
      <c r="AE2911" s="35" t="str">
        <f t="shared" si="46"/>
        <v>EF1 E002 Mat</v>
      </c>
    </row>
    <row r="2912" spans="1:31" x14ac:dyDescent="0.25">
      <c r="A2912" s="31"/>
      <c r="B2912" s="16"/>
      <c r="C2912" s="16"/>
      <c r="D2912" s="33"/>
      <c r="E2912" s="33"/>
      <c r="F2912" s="33"/>
      <c r="G2912" s="33"/>
      <c r="H2912" s="33"/>
      <c r="I2912" s="31"/>
      <c r="J2912" s="31"/>
      <c r="K2912" s="33"/>
      <c r="L2912" s="33"/>
      <c r="M2912" s="31"/>
      <c r="N2912" s="31"/>
      <c r="O2912" s="16"/>
      <c r="P2912" s="16"/>
      <c r="Q2912" s="16"/>
      <c r="R2912" s="33"/>
      <c r="S2912" s="34"/>
      <c r="T2912" s="34"/>
      <c r="U2912" s="34"/>
      <c r="V2912" s="34"/>
      <c r="W2912" s="34"/>
      <c r="X2912" s="33"/>
      <c r="Y2912" s="35" t="str">
        <f>IF(Tabela2[[#This Row],[SIGLA]]="","",VLOOKUP(Tabela2[[#This Row],[SIGLA]],Tabela1[[#All],[Sigla Arte]:[Crédito]],2,0))</f>
        <v/>
      </c>
      <c r="Z2912" s="31"/>
      <c r="AA2912" s="31" t="str">
        <f>Tabela2[[#This Row],[ILUSTRADOR CRIAÇÃO]]</f>
        <v/>
      </c>
      <c r="AB2912" s="33"/>
      <c r="AC2912" s="16"/>
      <c r="AE2912" s="35" t="str">
        <f t="shared" si="46"/>
        <v>EF1 E002 Mat</v>
      </c>
    </row>
    <row r="2913" spans="1:31" x14ac:dyDescent="0.25">
      <c r="A2913" s="31"/>
      <c r="B2913" s="16"/>
      <c r="C2913" s="16"/>
      <c r="D2913" s="33"/>
      <c r="E2913" s="33"/>
      <c r="F2913" s="33"/>
      <c r="G2913" s="33"/>
      <c r="H2913" s="33"/>
      <c r="I2913" s="31"/>
      <c r="J2913" s="31"/>
      <c r="K2913" s="33"/>
      <c r="L2913" s="33"/>
      <c r="M2913" s="31"/>
      <c r="N2913" s="31"/>
      <c r="O2913" s="16"/>
      <c r="P2913" s="16"/>
      <c r="Q2913" s="16"/>
      <c r="R2913" s="33"/>
      <c r="S2913" s="34"/>
      <c r="T2913" s="34"/>
      <c r="U2913" s="34"/>
      <c r="V2913" s="34"/>
      <c r="W2913" s="34"/>
      <c r="X2913" s="33"/>
      <c r="Y2913" s="35" t="str">
        <f>IF(Tabela2[[#This Row],[SIGLA]]="","",VLOOKUP(Tabela2[[#This Row],[SIGLA]],Tabela1[[#All],[Sigla Arte]:[Crédito]],2,0))</f>
        <v/>
      </c>
      <c r="Z2913" s="31"/>
      <c r="AA2913" s="31" t="str">
        <f>Tabela2[[#This Row],[ILUSTRADOR CRIAÇÃO]]</f>
        <v/>
      </c>
      <c r="AB2913" s="33"/>
      <c r="AC2913" s="16"/>
      <c r="AE2913" s="35" t="str">
        <f t="shared" si="46"/>
        <v>EF1 E002 Mat</v>
      </c>
    </row>
    <row r="2914" spans="1:31" x14ac:dyDescent="0.25">
      <c r="A2914" s="31"/>
      <c r="B2914" s="16"/>
      <c r="C2914" s="16"/>
      <c r="D2914" s="33"/>
      <c r="E2914" s="33"/>
      <c r="F2914" s="33"/>
      <c r="G2914" s="33"/>
      <c r="H2914" s="33"/>
      <c r="I2914" s="31"/>
      <c r="J2914" s="31"/>
      <c r="K2914" s="33"/>
      <c r="L2914" s="33"/>
      <c r="M2914" s="31"/>
      <c r="N2914" s="31"/>
      <c r="O2914" s="16"/>
      <c r="P2914" s="16"/>
      <c r="Q2914" s="16"/>
      <c r="R2914" s="33"/>
      <c r="S2914" s="34"/>
      <c r="T2914" s="34"/>
      <c r="U2914" s="34"/>
      <c r="V2914" s="34"/>
      <c r="W2914" s="34"/>
      <c r="X2914" s="33"/>
      <c r="Y2914" s="35" t="str">
        <f>IF(Tabela2[[#This Row],[SIGLA]]="","",VLOOKUP(Tabela2[[#This Row],[SIGLA]],Tabela1[[#All],[Sigla Arte]:[Crédito]],2,0))</f>
        <v/>
      </c>
      <c r="Z2914" s="31"/>
      <c r="AA2914" s="31" t="str">
        <f>Tabela2[[#This Row],[ILUSTRADOR CRIAÇÃO]]</f>
        <v/>
      </c>
      <c r="AB2914" s="33"/>
      <c r="AC2914" s="16"/>
      <c r="AE2914" s="35" t="str">
        <f t="shared" si="46"/>
        <v>EF1 E002 Mat</v>
      </c>
    </row>
    <row r="2915" spans="1:31" x14ac:dyDescent="0.25">
      <c r="A2915" s="31"/>
      <c r="B2915" s="16"/>
      <c r="C2915" s="16"/>
      <c r="D2915" s="33"/>
      <c r="E2915" s="33"/>
      <c r="F2915" s="33"/>
      <c r="G2915" s="33"/>
      <c r="H2915" s="33"/>
      <c r="I2915" s="31"/>
      <c r="J2915" s="31"/>
      <c r="K2915" s="33"/>
      <c r="L2915" s="33"/>
      <c r="M2915" s="31"/>
      <c r="N2915" s="31"/>
      <c r="O2915" s="16"/>
      <c r="P2915" s="16"/>
      <c r="Q2915" s="16"/>
      <c r="R2915" s="33"/>
      <c r="S2915" s="34"/>
      <c r="T2915" s="34"/>
      <c r="U2915" s="34"/>
      <c r="V2915" s="34"/>
      <c r="W2915" s="34"/>
      <c r="X2915" s="33"/>
      <c r="Y2915" s="35" t="str">
        <f>IF(Tabela2[[#This Row],[SIGLA]]="","",VLOOKUP(Tabela2[[#This Row],[SIGLA]],Tabela1[[#All],[Sigla Arte]:[Crédito]],2,0))</f>
        <v/>
      </c>
      <c r="Z2915" s="31"/>
      <c r="AA2915" s="31" t="str">
        <f>Tabela2[[#This Row],[ILUSTRADOR CRIAÇÃO]]</f>
        <v/>
      </c>
      <c r="AB2915" s="33"/>
      <c r="AC2915" s="16"/>
      <c r="AE2915" s="35" t="str">
        <f t="shared" si="46"/>
        <v>EF1 E002 Mat</v>
      </c>
    </row>
    <row r="2916" spans="1:31" x14ac:dyDescent="0.25">
      <c r="A2916" s="31"/>
      <c r="B2916" s="16"/>
      <c r="C2916" s="16"/>
      <c r="D2916" s="33"/>
      <c r="E2916" s="33"/>
      <c r="F2916" s="33"/>
      <c r="G2916" s="33"/>
      <c r="H2916" s="33"/>
      <c r="I2916" s="31"/>
      <c r="J2916" s="31"/>
      <c r="K2916" s="33"/>
      <c r="L2916" s="33"/>
      <c r="M2916" s="31"/>
      <c r="N2916" s="31"/>
      <c r="O2916" s="16"/>
      <c r="P2916" s="16"/>
      <c r="Q2916" s="16"/>
      <c r="R2916" s="33"/>
      <c r="S2916" s="34"/>
      <c r="T2916" s="34"/>
      <c r="U2916" s="34"/>
      <c r="V2916" s="34"/>
      <c r="W2916" s="34"/>
      <c r="X2916" s="33"/>
      <c r="Y2916" s="35" t="str">
        <f>IF(Tabela2[[#This Row],[SIGLA]]="","",VLOOKUP(Tabela2[[#This Row],[SIGLA]],Tabela1[[#All],[Sigla Arte]:[Crédito]],2,0))</f>
        <v/>
      </c>
      <c r="Z2916" s="31"/>
      <c r="AA2916" s="31" t="str">
        <f>Tabela2[[#This Row],[ILUSTRADOR CRIAÇÃO]]</f>
        <v/>
      </c>
      <c r="AB2916" s="33"/>
      <c r="AC2916" s="16"/>
      <c r="AE2916" s="35" t="str">
        <f t="shared" si="46"/>
        <v>EF1 E002 Mat</v>
      </c>
    </row>
    <row r="2917" spans="1:31" x14ac:dyDescent="0.25">
      <c r="A2917" s="31"/>
      <c r="B2917" s="16"/>
      <c r="C2917" s="16"/>
      <c r="D2917" s="33"/>
      <c r="E2917" s="33"/>
      <c r="F2917" s="33"/>
      <c r="G2917" s="33"/>
      <c r="H2917" s="33"/>
      <c r="I2917" s="31"/>
      <c r="J2917" s="31"/>
      <c r="K2917" s="33"/>
      <c r="L2917" s="33"/>
      <c r="M2917" s="31"/>
      <c r="N2917" s="31"/>
      <c r="O2917" s="16"/>
      <c r="P2917" s="16"/>
      <c r="Q2917" s="16"/>
      <c r="R2917" s="33"/>
      <c r="S2917" s="34"/>
      <c r="T2917" s="34"/>
      <c r="U2917" s="34"/>
      <c r="V2917" s="34"/>
      <c r="W2917" s="34"/>
      <c r="X2917" s="33"/>
      <c r="Y2917" s="35" t="str">
        <f>IF(Tabela2[[#This Row],[SIGLA]]="","",VLOOKUP(Tabela2[[#This Row],[SIGLA]],Tabela1[[#All],[Sigla Arte]:[Crédito]],2,0))</f>
        <v/>
      </c>
      <c r="Z2917" s="31"/>
      <c r="AA2917" s="31" t="str">
        <f>Tabela2[[#This Row],[ILUSTRADOR CRIAÇÃO]]</f>
        <v/>
      </c>
      <c r="AB2917" s="33"/>
      <c r="AC2917" s="16"/>
      <c r="AE2917" s="35" t="str">
        <f t="shared" si="46"/>
        <v>EF1 E002 Mat</v>
      </c>
    </row>
    <row r="2918" spans="1:31" x14ac:dyDescent="0.25">
      <c r="A2918" s="31"/>
      <c r="B2918" s="16"/>
      <c r="C2918" s="16"/>
      <c r="D2918" s="33"/>
      <c r="E2918" s="33"/>
      <c r="F2918" s="33"/>
      <c r="G2918" s="33"/>
      <c r="H2918" s="33"/>
      <c r="I2918" s="31"/>
      <c r="J2918" s="31"/>
      <c r="K2918" s="33"/>
      <c r="L2918" s="33"/>
      <c r="M2918" s="31"/>
      <c r="N2918" s="31"/>
      <c r="O2918" s="16"/>
      <c r="P2918" s="16"/>
      <c r="Q2918" s="16"/>
      <c r="R2918" s="33"/>
      <c r="S2918" s="34"/>
      <c r="T2918" s="34"/>
      <c r="U2918" s="34"/>
      <c r="V2918" s="34"/>
      <c r="W2918" s="34"/>
      <c r="X2918" s="33"/>
      <c r="Y2918" s="35" t="str">
        <f>IF(Tabela2[[#This Row],[SIGLA]]="","",VLOOKUP(Tabela2[[#This Row],[SIGLA]],Tabela1[[#All],[Sigla Arte]:[Crédito]],2,0))</f>
        <v/>
      </c>
      <c r="Z2918" s="31"/>
      <c r="AA2918" s="31" t="str">
        <f>Tabela2[[#This Row],[ILUSTRADOR CRIAÇÃO]]</f>
        <v/>
      </c>
      <c r="AB2918" s="33"/>
      <c r="AC2918" s="16"/>
      <c r="AE2918" s="35" t="str">
        <f t="shared" si="46"/>
        <v>EF1 E002 Mat</v>
      </c>
    </row>
    <row r="2919" spans="1:31" x14ac:dyDescent="0.25">
      <c r="A2919" s="31"/>
      <c r="B2919" s="16"/>
      <c r="C2919" s="16"/>
      <c r="D2919" s="33"/>
      <c r="E2919" s="33"/>
      <c r="F2919" s="33"/>
      <c r="G2919" s="33"/>
      <c r="H2919" s="33"/>
      <c r="I2919" s="31"/>
      <c r="J2919" s="31"/>
      <c r="K2919" s="33"/>
      <c r="L2919" s="33"/>
      <c r="M2919" s="31"/>
      <c r="N2919" s="31"/>
      <c r="O2919" s="16"/>
      <c r="P2919" s="16"/>
      <c r="Q2919" s="16"/>
      <c r="R2919" s="33"/>
      <c r="S2919" s="34"/>
      <c r="T2919" s="34"/>
      <c r="U2919" s="34"/>
      <c r="V2919" s="34"/>
      <c r="W2919" s="34"/>
      <c r="X2919" s="33"/>
      <c r="Y2919" s="35" t="str">
        <f>IF(Tabela2[[#This Row],[SIGLA]]="","",VLOOKUP(Tabela2[[#This Row],[SIGLA]],Tabela1[[#All],[Sigla Arte]:[Crédito]],2,0))</f>
        <v/>
      </c>
      <c r="Z2919" s="31"/>
      <c r="AA2919" s="31" t="str">
        <f>Tabela2[[#This Row],[ILUSTRADOR CRIAÇÃO]]</f>
        <v/>
      </c>
      <c r="AB2919" s="33"/>
      <c r="AC2919" s="16"/>
      <c r="AE2919" s="35" t="str">
        <f t="shared" si="46"/>
        <v>EF1 E002 Mat</v>
      </c>
    </row>
    <row r="2920" spans="1:31" x14ac:dyDescent="0.25">
      <c r="A2920" s="31"/>
      <c r="B2920" s="16"/>
      <c r="C2920" s="16"/>
      <c r="D2920" s="33"/>
      <c r="E2920" s="33"/>
      <c r="F2920" s="33"/>
      <c r="G2920" s="33"/>
      <c r="H2920" s="33"/>
      <c r="I2920" s="31"/>
      <c r="J2920" s="31"/>
      <c r="K2920" s="33"/>
      <c r="L2920" s="33"/>
      <c r="M2920" s="31"/>
      <c r="N2920" s="31"/>
      <c r="O2920" s="16"/>
      <c r="P2920" s="16"/>
      <c r="Q2920" s="16"/>
      <c r="R2920" s="33"/>
      <c r="S2920" s="34"/>
      <c r="T2920" s="34"/>
      <c r="U2920" s="34"/>
      <c r="V2920" s="34"/>
      <c r="W2920" s="34"/>
      <c r="X2920" s="33"/>
      <c r="Y2920" s="35" t="str">
        <f>IF(Tabela2[[#This Row],[SIGLA]]="","",VLOOKUP(Tabela2[[#This Row],[SIGLA]],Tabela1[[#All],[Sigla Arte]:[Crédito]],2,0))</f>
        <v/>
      </c>
      <c r="Z2920" s="31"/>
      <c r="AA2920" s="31" t="str">
        <f>Tabela2[[#This Row],[ILUSTRADOR CRIAÇÃO]]</f>
        <v/>
      </c>
      <c r="AB2920" s="33"/>
      <c r="AC2920" s="16"/>
      <c r="AE2920" s="35" t="str">
        <f t="shared" si="46"/>
        <v>EF1 E002 Mat</v>
      </c>
    </row>
    <row r="2921" spans="1:31" x14ac:dyDescent="0.25">
      <c r="A2921" s="31"/>
      <c r="B2921" s="16"/>
      <c r="C2921" s="16"/>
      <c r="D2921" s="33"/>
      <c r="E2921" s="33"/>
      <c r="F2921" s="33"/>
      <c r="G2921" s="33"/>
      <c r="H2921" s="33"/>
      <c r="I2921" s="31"/>
      <c r="J2921" s="31"/>
      <c r="K2921" s="33"/>
      <c r="L2921" s="33"/>
      <c r="M2921" s="31"/>
      <c r="N2921" s="31"/>
      <c r="O2921" s="16"/>
      <c r="P2921" s="16"/>
      <c r="Q2921" s="16"/>
      <c r="R2921" s="33"/>
      <c r="S2921" s="34"/>
      <c r="T2921" s="34"/>
      <c r="U2921" s="34"/>
      <c r="V2921" s="34"/>
      <c r="W2921" s="34"/>
      <c r="X2921" s="33"/>
      <c r="Y2921" s="35" t="str">
        <f>IF(Tabela2[[#This Row],[SIGLA]]="","",VLOOKUP(Tabela2[[#This Row],[SIGLA]],Tabela1[[#All],[Sigla Arte]:[Crédito]],2,0))</f>
        <v/>
      </c>
      <c r="Z2921" s="31"/>
      <c r="AA2921" s="31" t="str">
        <f>Tabela2[[#This Row],[ILUSTRADOR CRIAÇÃO]]</f>
        <v/>
      </c>
      <c r="AB2921" s="33"/>
      <c r="AC2921" s="16"/>
      <c r="AE2921" s="35" t="str">
        <f t="shared" si="46"/>
        <v>EF1 E002 Mat</v>
      </c>
    </row>
    <row r="2922" spans="1:31" x14ac:dyDescent="0.25">
      <c r="A2922" s="31"/>
      <c r="B2922" s="16"/>
      <c r="C2922" s="16"/>
      <c r="D2922" s="33"/>
      <c r="E2922" s="33"/>
      <c r="F2922" s="33"/>
      <c r="G2922" s="33"/>
      <c r="H2922" s="33"/>
      <c r="I2922" s="31"/>
      <c r="J2922" s="31"/>
      <c r="K2922" s="33"/>
      <c r="L2922" s="33"/>
      <c r="M2922" s="31"/>
      <c r="N2922" s="31"/>
      <c r="O2922" s="16"/>
      <c r="P2922" s="16"/>
      <c r="Q2922" s="16"/>
      <c r="R2922" s="33"/>
      <c r="S2922" s="34"/>
      <c r="T2922" s="34"/>
      <c r="U2922" s="34"/>
      <c r="V2922" s="34"/>
      <c r="W2922" s="34"/>
      <c r="X2922" s="33"/>
      <c r="Y2922" s="35" t="str">
        <f>IF(Tabela2[[#This Row],[SIGLA]]="","",VLOOKUP(Tabela2[[#This Row],[SIGLA]],Tabela1[[#All],[Sigla Arte]:[Crédito]],2,0))</f>
        <v/>
      </c>
      <c r="Z2922" s="31"/>
      <c r="AA2922" s="31" t="str">
        <f>Tabela2[[#This Row],[ILUSTRADOR CRIAÇÃO]]</f>
        <v/>
      </c>
      <c r="AB2922" s="33"/>
      <c r="AC2922" s="16"/>
      <c r="AE2922" s="35" t="str">
        <f t="shared" si="46"/>
        <v>EF1 E002 Mat</v>
      </c>
    </row>
    <row r="2923" spans="1:31" x14ac:dyDescent="0.25">
      <c r="A2923" s="31"/>
      <c r="B2923" s="16"/>
      <c r="C2923" s="16"/>
      <c r="D2923" s="33"/>
      <c r="E2923" s="33"/>
      <c r="F2923" s="33"/>
      <c r="G2923" s="33"/>
      <c r="H2923" s="33"/>
      <c r="I2923" s="31"/>
      <c r="J2923" s="31"/>
      <c r="K2923" s="33"/>
      <c r="L2923" s="33"/>
      <c r="M2923" s="31"/>
      <c r="N2923" s="31"/>
      <c r="O2923" s="16"/>
      <c r="P2923" s="16"/>
      <c r="Q2923" s="16"/>
      <c r="R2923" s="33"/>
      <c r="S2923" s="34"/>
      <c r="T2923" s="34"/>
      <c r="U2923" s="34"/>
      <c r="V2923" s="34"/>
      <c r="W2923" s="34"/>
      <c r="X2923" s="33"/>
      <c r="Y2923" s="35" t="str">
        <f>IF(Tabela2[[#This Row],[SIGLA]]="","",VLOOKUP(Tabela2[[#This Row],[SIGLA]],Tabela1[[#All],[Sigla Arte]:[Crédito]],2,0))</f>
        <v/>
      </c>
      <c r="Z2923" s="31"/>
      <c r="AA2923" s="31" t="str">
        <f>Tabela2[[#This Row],[ILUSTRADOR CRIAÇÃO]]</f>
        <v/>
      </c>
      <c r="AB2923" s="33"/>
      <c r="AC2923" s="16"/>
      <c r="AE2923" s="35" t="str">
        <f t="shared" si="46"/>
        <v>EF1 E002 Mat</v>
      </c>
    </row>
    <row r="2924" spans="1:31" x14ac:dyDescent="0.25">
      <c r="A2924" s="31"/>
      <c r="B2924" s="16"/>
      <c r="C2924" s="16"/>
      <c r="D2924" s="33"/>
      <c r="E2924" s="33"/>
      <c r="F2924" s="33"/>
      <c r="G2924" s="33"/>
      <c r="H2924" s="33"/>
      <c r="I2924" s="31"/>
      <c r="J2924" s="31"/>
      <c r="K2924" s="33"/>
      <c r="L2924" s="33"/>
      <c r="M2924" s="31"/>
      <c r="N2924" s="31"/>
      <c r="O2924" s="16"/>
      <c r="P2924" s="16"/>
      <c r="Q2924" s="16"/>
      <c r="R2924" s="33"/>
      <c r="S2924" s="34"/>
      <c r="T2924" s="34"/>
      <c r="U2924" s="34"/>
      <c r="V2924" s="34"/>
      <c r="W2924" s="34"/>
      <c r="X2924" s="33"/>
      <c r="Y2924" s="35" t="str">
        <f>IF(Tabela2[[#This Row],[SIGLA]]="","",VLOOKUP(Tabela2[[#This Row],[SIGLA]],Tabela1[[#All],[Sigla Arte]:[Crédito]],2,0))</f>
        <v/>
      </c>
      <c r="Z2924" s="31"/>
      <c r="AA2924" s="31" t="str">
        <f>Tabela2[[#This Row],[ILUSTRADOR CRIAÇÃO]]</f>
        <v/>
      </c>
      <c r="AB2924" s="33"/>
      <c r="AC2924" s="16"/>
      <c r="AE2924" s="35" t="str">
        <f t="shared" si="46"/>
        <v>EF1 E002 Mat</v>
      </c>
    </row>
    <row r="2925" spans="1:31" x14ac:dyDescent="0.25">
      <c r="A2925" s="31"/>
      <c r="B2925" s="16"/>
      <c r="C2925" s="16"/>
      <c r="D2925" s="33"/>
      <c r="E2925" s="33"/>
      <c r="F2925" s="33"/>
      <c r="G2925" s="33"/>
      <c r="H2925" s="33"/>
      <c r="I2925" s="31"/>
      <c r="J2925" s="31"/>
      <c r="K2925" s="33"/>
      <c r="L2925" s="33"/>
      <c r="M2925" s="31"/>
      <c r="N2925" s="31"/>
      <c r="O2925" s="16"/>
      <c r="P2925" s="16"/>
      <c r="Q2925" s="16"/>
      <c r="R2925" s="33"/>
      <c r="S2925" s="34"/>
      <c r="T2925" s="34"/>
      <c r="U2925" s="34"/>
      <c r="V2925" s="34"/>
      <c r="W2925" s="34"/>
      <c r="X2925" s="33"/>
      <c r="Y2925" s="35" t="str">
        <f>IF(Tabela2[[#This Row],[SIGLA]]="","",VLOOKUP(Tabela2[[#This Row],[SIGLA]],Tabela1[[#All],[Sigla Arte]:[Crédito]],2,0))</f>
        <v/>
      </c>
      <c r="Z2925" s="31"/>
      <c r="AA2925" s="31" t="str">
        <f>Tabela2[[#This Row],[ILUSTRADOR CRIAÇÃO]]</f>
        <v/>
      </c>
      <c r="AB2925" s="33"/>
      <c r="AC2925" s="16"/>
      <c r="AE2925" s="35" t="str">
        <f t="shared" si="46"/>
        <v>EF1 E002 Mat</v>
      </c>
    </row>
    <row r="2926" spans="1:31" x14ac:dyDescent="0.25">
      <c r="A2926" s="31"/>
      <c r="B2926" s="16"/>
      <c r="C2926" s="16"/>
      <c r="D2926" s="33"/>
      <c r="E2926" s="33"/>
      <c r="F2926" s="33"/>
      <c r="G2926" s="33"/>
      <c r="H2926" s="33"/>
      <c r="I2926" s="31"/>
      <c r="J2926" s="31"/>
      <c r="K2926" s="33"/>
      <c r="L2926" s="33"/>
      <c r="M2926" s="31"/>
      <c r="N2926" s="31"/>
      <c r="O2926" s="16"/>
      <c r="P2926" s="16"/>
      <c r="Q2926" s="16"/>
      <c r="R2926" s="33"/>
      <c r="S2926" s="34"/>
      <c r="T2926" s="34"/>
      <c r="U2926" s="34"/>
      <c r="V2926" s="34"/>
      <c r="W2926" s="34"/>
      <c r="X2926" s="33"/>
      <c r="Y2926" s="35" t="str">
        <f>IF(Tabela2[[#This Row],[SIGLA]]="","",VLOOKUP(Tabela2[[#This Row],[SIGLA]],Tabela1[[#All],[Sigla Arte]:[Crédito]],2,0))</f>
        <v/>
      </c>
      <c r="Z2926" s="31"/>
      <c r="AA2926" s="31" t="str">
        <f>Tabela2[[#This Row],[ILUSTRADOR CRIAÇÃO]]</f>
        <v/>
      </c>
      <c r="AB2926" s="33"/>
      <c r="AC2926" s="16"/>
      <c r="AE2926" s="35" t="str">
        <f t="shared" si="46"/>
        <v>EF1 E002 Mat</v>
      </c>
    </row>
    <row r="2927" spans="1:31" x14ac:dyDescent="0.25">
      <c r="A2927" s="31"/>
      <c r="B2927" s="16"/>
      <c r="C2927" s="16"/>
      <c r="D2927" s="33"/>
      <c r="E2927" s="33"/>
      <c r="F2927" s="33"/>
      <c r="G2927" s="33"/>
      <c r="H2927" s="33"/>
      <c r="I2927" s="31"/>
      <c r="J2927" s="31"/>
      <c r="K2927" s="33"/>
      <c r="L2927" s="33"/>
      <c r="M2927" s="31"/>
      <c r="N2927" s="31"/>
      <c r="O2927" s="16"/>
      <c r="P2927" s="16"/>
      <c r="Q2927" s="16"/>
      <c r="R2927" s="33"/>
      <c r="S2927" s="34"/>
      <c r="T2927" s="34"/>
      <c r="U2927" s="34"/>
      <c r="V2927" s="34"/>
      <c r="W2927" s="34"/>
      <c r="X2927" s="33"/>
      <c r="Y2927" s="35" t="str">
        <f>IF(Tabela2[[#This Row],[SIGLA]]="","",VLOOKUP(Tabela2[[#This Row],[SIGLA]],Tabela1[[#All],[Sigla Arte]:[Crédito]],2,0))</f>
        <v/>
      </c>
      <c r="Z2927" s="31"/>
      <c r="AA2927" s="31" t="str">
        <f>Tabela2[[#This Row],[ILUSTRADOR CRIAÇÃO]]</f>
        <v/>
      </c>
      <c r="AB2927" s="33"/>
      <c r="AC2927" s="16"/>
      <c r="AE2927" s="35" t="str">
        <f t="shared" si="46"/>
        <v>EF1 E002 Mat</v>
      </c>
    </row>
    <row r="2928" spans="1:31" x14ac:dyDescent="0.25">
      <c r="A2928" s="31"/>
      <c r="B2928" s="16"/>
      <c r="C2928" s="16"/>
      <c r="D2928" s="33"/>
      <c r="E2928" s="33"/>
      <c r="F2928" s="33"/>
      <c r="G2928" s="33"/>
      <c r="H2928" s="33"/>
      <c r="I2928" s="31"/>
      <c r="J2928" s="31"/>
      <c r="K2928" s="33"/>
      <c r="L2928" s="33"/>
      <c r="M2928" s="31"/>
      <c r="N2928" s="31"/>
      <c r="O2928" s="16"/>
      <c r="P2928" s="16"/>
      <c r="Q2928" s="16"/>
      <c r="R2928" s="33"/>
      <c r="S2928" s="34"/>
      <c r="T2928" s="34"/>
      <c r="U2928" s="34"/>
      <c r="V2928" s="34"/>
      <c r="W2928" s="34"/>
      <c r="X2928" s="33"/>
      <c r="Y2928" s="35" t="str">
        <f>IF(Tabela2[[#This Row],[SIGLA]]="","",VLOOKUP(Tabela2[[#This Row],[SIGLA]],Tabela1[[#All],[Sigla Arte]:[Crédito]],2,0))</f>
        <v/>
      </c>
      <c r="Z2928" s="31"/>
      <c r="AA2928" s="31" t="str">
        <f>Tabela2[[#This Row],[ILUSTRADOR CRIAÇÃO]]</f>
        <v/>
      </c>
      <c r="AB2928" s="33"/>
      <c r="AC2928" s="16"/>
      <c r="AE2928" s="35" t="str">
        <f t="shared" si="46"/>
        <v>EF1 E002 Mat</v>
      </c>
    </row>
    <row r="2929" spans="1:31" x14ac:dyDescent="0.25">
      <c r="A2929" s="31"/>
      <c r="B2929" s="16"/>
      <c r="C2929" s="16"/>
      <c r="D2929" s="33"/>
      <c r="E2929" s="33"/>
      <c r="F2929" s="33"/>
      <c r="G2929" s="33"/>
      <c r="H2929" s="33"/>
      <c r="I2929" s="31"/>
      <c r="J2929" s="31"/>
      <c r="K2929" s="33"/>
      <c r="L2929" s="33"/>
      <c r="M2929" s="31"/>
      <c r="N2929" s="31"/>
      <c r="O2929" s="16"/>
      <c r="P2929" s="16"/>
      <c r="Q2929" s="16"/>
      <c r="R2929" s="33"/>
      <c r="S2929" s="34"/>
      <c r="T2929" s="34"/>
      <c r="U2929" s="34"/>
      <c r="V2929" s="34"/>
      <c r="W2929" s="34"/>
      <c r="X2929" s="33"/>
      <c r="Y2929" s="35" t="str">
        <f>IF(Tabela2[[#This Row],[SIGLA]]="","",VLOOKUP(Tabela2[[#This Row],[SIGLA]],Tabela1[[#All],[Sigla Arte]:[Crédito]],2,0))</f>
        <v/>
      </c>
      <c r="Z2929" s="31"/>
      <c r="AA2929" s="31" t="str">
        <f>Tabela2[[#This Row],[ILUSTRADOR CRIAÇÃO]]</f>
        <v/>
      </c>
      <c r="AB2929" s="33"/>
      <c r="AC2929" s="16"/>
      <c r="AE2929" s="35" t="str">
        <f t="shared" si="46"/>
        <v>EF1 E002 Mat</v>
      </c>
    </row>
    <row r="2930" spans="1:31" x14ac:dyDescent="0.25">
      <c r="A2930" s="31"/>
      <c r="B2930" s="16"/>
      <c r="C2930" s="16"/>
      <c r="D2930" s="33"/>
      <c r="E2930" s="33"/>
      <c r="F2930" s="33"/>
      <c r="G2930" s="33"/>
      <c r="H2930" s="33"/>
      <c r="I2930" s="31"/>
      <c r="J2930" s="31"/>
      <c r="K2930" s="33"/>
      <c r="L2930" s="33"/>
      <c r="M2930" s="31"/>
      <c r="N2930" s="31"/>
      <c r="O2930" s="16"/>
      <c r="P2930" s="16"/>
      <c r="Q2930" s="16"/>
      <c r="R2930" s="33"/>
      <c r="S2930" s="34"/>
      <c r="T2930" s="34"/>
      <c r="U2930" s="34"/>
      <c r="V2930" s="34"/>
      <c r="W2930" s="34"/>
      <c r="X2930" s="33"/>
      <c r="Y2930" s="35" t="str">
        <f>IF(Tabela2[[#This Row],[SIGLA]]="","",VLOOKUP(Tabela2[[#This Row],[SIGLA]],Tabela1[[#All],[Sigla Arte]:[Crédito]],2,0))</f>
        <v/>
      </c>
      <c r="Z2930" s="31"/>
      <c r="AA2930" s="31" t="str">
        <f>Tabela2[[#This Row],[ILUSTRADOR CRIAÇÃO]]</f>
        <v/>
      </c>
      <c r="AB2930" s="33"/>
      <c r="AC2930" s="16"/>
      <c r="AE2930" s="35" t="str">
        <f t="shared" ref="AE2930:AE2993" si="47">"EF1 E002 Mat"</f>
        <v>EF1 E002 Mat</v>
      </c>
    </row>
    <row r="2931" spans="1:31" x14ac:dyDescent="0.25">
      <c r="A2931" s="31"/>
      <c r="B2931" s="16"/>
      <c r="C2931" s="16"/>
      <c r="D2931" s="33"/>
      <c r="E2931" s="33"/>
      <c r="F2931" s="33"/>
      <c r="G2931" s="33"/>
      <c r="H2931" s="33"/>
      <c r="I2931" s="31"/>
      <c r="J2931" s="31"/>
      <c r="K2931" s="33"/>
      <c r="L2931" s="33"/>
      <c r="M2931" s="31"/>
      <c r="N2931" s="31"/>
      <c r="O2931" s="16"/>
      <c r="P2931" s="16"/>
      <c r="Q2931" s="16"/>
      <c r="R2931" s="33"/>
      <c r="S2931" s="34"/>
      <c r="T2931" s="34"/>
      <c r="U2931" s="34"/>
      <c r="V2931" s="34"/>
      <c r="W2931" s="34"/>
      <c r="X2931" s="33"/>
      <c r="Y2931" s="35" t="str">
        <f>IF(Tabela2[[#This Row],[SIGLA]]="","",VLOOKUP(Tabela2[[#This Row],[SIGLA]],Tabela1[[#All],[Sigla Arte]:[Crédito]],2,0))</f>
        <v/>
      </c>
      <c r="Z2931" s="31"/>
      <c r="AA2931" s="31" t="str">
        <f>Tabela2[[#This Row],[ILUSTRADOR CRIAÇÃO]]</f>
        <v/>
      </c>
      <c r="AB2931" s="33"/>
      <c r="AC2931" s="16"/>
      <c r="AE2931" s="35" t="str">
        <f t="shared" si="47"/>
        <v>EF1 E002 Mat</v>
      </c>
    </row>
    <row r="2932" spans="1:31" x14ac:dyDescent="0.25">
      <c r="A2932" s="31"/>
      <c r="B2932" s="16"/>
      <c r="C2932" s="16"/>
      <c r="D2932" s="33"/>
      <c r="E2932" s="33"/>
      <c r="F2932" s="33"/>
      <c r="G2932" s="33"/>
      <c r="H2932" s="33"/>
      <c r="I2932" s="31"/>
      <c r="J2932" s="31"/>
      <c r="K2932" s="33"/>
      <c r="L2932" s="33"/>
      <c r="M2932" s="31"/>
      <c r="N2932" s="31"/>
      <c r="O2932" s="16"/>
      <c r="P2932" s="16"/>
      <c r="Q2932" s="16"/>
      <c r="R2932" s="33"/>
      <c r="S2932" s="34"/>
      <c r="T2932" s="34"/>
      <c r="U2932" s="34"/>
      <c r="V2932" s="34"/>
      <c r="W2932" s="34"/>
      <c r="X2932" s="33"/>
      <c r="Y2932" s="35" t="str">
        <f>IF(Tabela2[[#This Row],[SIGLA]]="","",VLOOKUP(Tabela2[[#This Row],[SIGLA]],Tabela1[[#All],[Sigla Arte]:[Crédito]],2,0))</f>
        <v/>
      </c>
      <c r="Z2932" s="31"/>
      <c r="AA2932" s="31" t="str">
        <f>Tabela2[[#This Row],[ILUSTRADOR CRIAÇÃO]]</f>
        <v/>
      </c>
      <c r="AB2932" s="33"/>
      <c r="AC2932" s="16"/>
      <c r="AE2932" s="35" t="str">
        <f t="shared" si="47"/>
        <v>EF1 E002 Mat</v>
      </c>
    </row>
    <row r="2933" spans="1:31" x14ac:dyDescent="0.25">
      <c r="A2933" s="31"/>
      <c r="B2933" s="16"/>
      <c r="C2933" s="16"/>
      <c r="D2933" s="33"/>
      <c r="E2933" s="33"/>
      <c r="F2933" s="33"/>
      <c r="G2933" s="33"/>
      <c r="H2933" s="33"/>
      <c r="I2933" s="31"/>
      <c r="J2933" s="31"/>
      <c r="K2933" s="33"/>
      <c r="L2933" s="33"/>
      <c r="M2933" s="31"/>
      <c r="N2933" s="31"/>
      <c r="O2933" s="16"/>
      <c r="P2933" s="16"/>
      <c r="Q2933" s="16"/>
      <c r="R2933" s="33"/>
      <c r="S2933" s="34"/>
      <c r="T2933" s="34"/>
      <c r="U2933" s="34"/>
      <c r="V2933" s="34"/>
      <c r="W2933" s="34"/>
      <c r="X2933" s="33"/>
      <c r="Y2933" s="35" t="str">
        <f>IF(Tabela2[[#This Row],[SIGLA]]="","",VLOOKUP(Tabela2[[#This Row],[SIGLA]],Tabela1[[#All],[Sigla Arte]:[Crédito]],2,0))</f>
        <v/>
      </c>
      <c r="Z2933" s="31"/>
      <c r="AA2933" s="31" t="str">
        <f>Tabela2[[#This Row],[ILUSTRADOR CRIAÇÃO]]</f>
        <v/>
      </c>
      <c r="AB2933" s="33"/>
      <c r="AC2933" s="16"/>
      <c r="AE2933" s="35" t="str">
        <f t="shared" si="47"/>
        <v>EF1 E002 Mat</v>
      </c>
    </row>
    <row r="2934" spans="1:31" x14ac:dyDescent="0.25">
      <c r="A2934" s="31"/>
      <c r="B2934" s="16"/>
      <c r="C2934" s="16"/>
      <c r="D2934" s="33"/>
      <c r="E2934" s="33"/>
      <c r="F2934" s="33"/>
      <c r="G2934" s="33"/>
      <c r="H2934" s="33"/>
      <c r="I2934" s="31"/>
      <c r="J2934" s="31"/>
      <c r="K2934" s="33"/>
      <c r="L2934" s="33"/>
      <c r="M2934" s="31"/>
      <c r="N2934" s="31"/>
      <c r="O2934" s="16"/>
      <c r="P2934" s="16"/>
      <c r="Q2934" s="16"/>
      <c r="R2934" s="33"/>
      <c r="S2934" s="34"/>
      <c r="T2934" s="34"/>
      <c r="U2934" s="34"/>
      <c r="V2934" s="34"/>
      <c r="W2934" s="34"/>
      <c r="X2934" s="33"/>
      <c r="Y2934" s="35" t="str">
        <f>IF(Tabela2[[#This Row],[SIGLA]]="","",VLOOKUP(Tabela2[[#This Row],[SIGLA]],Tabela1[[#All],[Sigla Arte]:[Crédito]],2,0))</f>
        <v/>
      </c>
      <c r="Z2934" s="31"/>
      <c r="AA2934" s="31" t="str">
        <f>Tabela2[[#This Row],[ILUSTRADOR CRIAÇÃO]]</f>
        <v/>
      </c>
      <c r="AB2934" s="33"/>
      <c r="AC2934" s="16"/>
      <c r="AE2934" s="35" t="str">
        <f t="shared" si="47"/>
        <v>EF1 E002 Mat</v>
      </c>
    </row>
    <row r="2935" spans="1:31" x14ac:dyDescent="0.25">
      <c r="A2935" s="31"/>
      <c r="B2935" s="16"/>
      <c r="C2935" s="16"/>
      <c r="D2935" s="33"/>
      <c r="E2935" s="33"/>
      <c r="F2935" s="33"/>
      <c r="G2935" s="33"/>
      <c r="H2935" s="33"/>
      <c r="I2935" s="31"/>
      <c r="J2935" s="31"/>
      <c r="K2935" s="33"/>
      <c r="L2935" s="33"/>
      <c r="M2935" s="31"/>
      <c r="N2935" s="31"/>
      <c r="O2935" s="16"/>
      <c r="P2935" s="16"/>
      <c r="Q2935" s="16"/>
      <c r="R2935" s="33"/>
      <c r="S2935" s="34"/>
      <c r="T2935" s="34"/>
      <c r="U2935" s="34"/>
      <c r="V2935" s="34"/>
      <c r="W2935" s="34"/>
      <c r="X2935" s="33"/>
      <c r="Y2935" s="35" t="str">
        <f>IF(Tabela2[[#This Row],[SIGLA]]="","",VLOOKUP(Tabela2[[#This Row],[SIGLA]],Tabela1[[#All],[Sigla Arte]:[Crédito]],2,0))</f>
        <v/>
      </c>
      <c r="Z2935" s="31"/>
      <c r="AA2935" s="31" t="str">
        <f>Tabela2[[#This Row],[ILUSTRADOR CRIAÇÃO]]</f>
        <v/>
      </c>
      <c r="AB2935" s="33"/>
      <c r="AC2935" s="16"/>
      <c r="AE2935" s="35" t="str">
        <f t="shared" si="47"/>
        <v>EF1 E002 Mat</v>
      </c>
    </row>
    <row r="2936" spans="1:31" x14ac:dyDescent="0.25">
      <c r="A2936" s="31"/>
      <c r="B2936" s="16"/>
      <c r="C2936" s="16"/>
      <c r="D2936" s="33"/>
      <c r="E2936" s="33"/>
      <c r="F2936" s="33"/>
      <c r="G2936" s="33"/>
      <c r="H2936" s="33"/>
      <c r="I2936" s="31"/>
      <c r="J2936" s="31"/>
      <c r="K2936" s="33"/>
      <c r="L2936" s="33"/>
      <c r="M2936" s="31"/>
      <c r="N2936" s="31"/>
      <c r="O2936" s="16"/>
      <c r="P2936" s="16"/>
      <c r="Q2936" s="16"/>
      <c r="R2936" s="33"/>
      <c r="S2936" s="34"/>
      <c r="T2936" s="34"/>
      <c r="U2936" s="34"/>
      <c r="V2936" s="34"/>
      <c r="W2936" s="34"/>
      <c r="X2936" s="33"/>
      <c r="Y2936" s="35" t="str">
        <f>IF(Tabela2[[#This Row],[SIGLA]]="","",VLOOKUP(Tabela2[[#This Row],[SIGLA]],Tabela1[[#All],[Sigla Arte]:[Crédito]],2,0))</f>
        <v/>
      </c>
      <c r="Z2936" s="31"/>
      <c r="AA2936" s="31" t="str">
        <f>Tabela2[[#This Row],[ILUSTRADOR CRIAÇÃO]]</f>
        <v/>
      </c>
      <c r="AB2936" s="33"/>
      <c r="AC2936" s="16"/>
      <c r="AE2936" s="35" t="str">
        <f t="shared" si="47"/>
        <v>EF1 E002 Mat</v>
      </c>
    </row>
    <row r="2937" spans="1:31" x14ac:dyDescent="0.25">
      <c r="A2937" s="31"/>
      <c r="B2937" s="16"/>
      <c r="C2937" s="16"/>
      <c r="D2937" s="33"/>
      <c r="E2937" s="33"/>
      <c r="F2937" s="33"/>
      <c r="G2937" s="33"/>
      <c r="H2937" s="33"/>
      <c r="I2937" s="31"/>
      <c r="J2937" s="31"/>
      <c r="K2937" s="33"/>
      <c r="L2937" s="33"/>
      <c r="M2937" s="31"/>
      <c r="N2937" s="31"/>
      <c r="O2937" s="16"/>
      <c r="P2937" s="16"/>
      <c r="Q2937" s="16"/>
      <c r="R2937" s="33"/>
      <c r="S2937" s="34"/>
      <c r="T2937" s="34"/>
      <c r="U2937" s="34"/>
      <c r="V2937" s="34"/>
      <c r="W2937" s="34"/>
      <c r="X2937" s="33"/>
      <c r="Y2937" s="35" t="str">
        <f>IF(Tabela2[[#This Row],[SIGLA]]="","",VLOOKUP(Tabela2[[#This Row],[SIGLA]],Tabela1[[#All],[Sigla Arte]:[Crédito]],2,0))</f>
        <v/>
      </c>
      <c r="Z2937" s="31"/>
      <c r="AA2937" s="31" t="str">
        <f>Tabela2[[#This Row],[ILUSTRADOR CRIAÇÃO]]</f>
        <v/>
      </c>
      <c r="AB2937" s="33"/>
      <c r="AC2937" s="16"/>
      <c r="AE2937" s="35" t="str">
        <f t="shared" si="47"/>
        <v>EF1 E002 Mat</v>
      </c>
    </row>
    <row r="2938" spans="1:31" x14ac:dyDescent="0.25">
      <c r="A2938" s="31"/>
      <c r="B2938" s="16"/>
      <c r="C2938" s="16"/>
      <c r="D2938" s="33"/>
      <c r="E2938" s="33"/>
      <c r="F2938" s="33"/>
      <c r="G2938" s="33"/>
      <c r="H2938" s="33"/>
      <c r="I2938" s="31"/>
      <c r="J2938" s="31"/>
      <c r="K2938" s="33"/>
      <c r="L2938" s="33"/>
      <c r="M2938" s="31"/>
      <c r="N2938" s="31"/>
      <c r="O2938" s="16"/>
      <c r="P2938" s="16"/>
      <c r="Q2938" s="16"/>
      <c r="R2938" s="33"/>
      <c r="S2938" s="34"/>
      <c r="T2938" s="34"/>
      <c r="U2938" s="34"/>
      <c r="V2938" s="34"/>
      <c r="W2938" s="34"/>
      <c r="X2938" s="33"/>
      <c r="Y2938" s="35" t="str">
        <f>IF(Tabela2[[#This Row],[SIGLA]]="","",VLOOKUP(Tabela2[[#This Row],[SIGLA]],Tabela1[[#All],[Sigla Arte]:[Crédito]],2,0))</f>
        <v/>
      </c>
      <c r="Z2938" s="31"/>
      <c r="AA2938" s="31" t="str">
        <f>Tabela2[[#This Row],[ILUSTRADOR CRIAÇÃO]]</f>
        <v/>
      </c>
      <c r="AB2938" s="33"/>
      <c r="AC2938" s="16"/>
      <c r="AE2938" s="35" t="str">
        <f t="shared" si="47"/>
        <v>EF1 E002 Mat</v>
      </c>
    </row>
    <row r="2939" spans="1:31" x14ac:dyDescent="0.25">
      <c r="A2939" s="31"/>
      <c r="B2939" s="16"/>
      <c r="C2939" s="16"/>
      <c r="D2939" s="33"/>
      <c r="E2939" s="33"/>
      <c r="F2939" s="33"/>
      <c r="G2939" s="33"/>
      <c r="H2939" s="33"/>
      <c r="I2939" s="31"/>
      <c r="J2939" s="31"/>
      <c r="K2939" s="33"/>
      <c r="L2939" s="33"/>
      <c r="M2939" s="31"/>
      <c r="N2939" s="31"/>
      <c r="O2939" s="16"/>
      <c r="P2939" s="16"/>
      <c r="Q2939" s="16"/>
      <c r="R2939" s="33"/>
      <c r="S2939" s="34"/>
      <c r="T2939" s="34"/>
      <c r="U2939" s="34"/>
      <c r="V2939" s="34"/>
      <c r="W2939" s="34"/>
      <c r="X2939" s="33"/>
      <c r="Y2939" s="35" t="str">
        <f>IF(Tabela2[[#This Row],[SIGLA]]="","",VLOOKUP(Tabela2[[#This Row],[SIGLA]],Tabela1[[#All],[Sigla Arte]:[Crédito]],2,0))</f>
        <v/>
      </c>
      <c r="Z2939" s="31"/>
      <c r="AA2939" s="31" t="str">
        <f>Tabela2[[#This Row],[ILUSTRADOR CRIAÇÃO]]</f>
        <v/>
      </c>
      <c r="AB2939" s="33"/>
      <c r="AC2939" s="16"/>
      <c r="AE2939" s="35" t="str">
        <f t="shared" si="47"/>
        <v>EF1 E002 Mat</v>
      </c>
    </row>
    <row r="2940" spans="1:31" x14ac:dyDescent="0.25">
      <c r="A2940" s="31"/>
      <c r="B2940" s="16"/>
      <c r="C2940" s="16"/>
      <c r="D2940" s="33"/>
      <c r="E2940" s="33"/>
      <c r="F2940" s="33"/>
      <c r="G2940" s="33"/>
      <c r="H2940" s="33"/>
      <c r="I2940" s="31"/>
      <c r="J2940" s="31"/>
      <c r="K2940" s="33"/>
      <c r="L2940" s="33"/>
      <c r="M2940" s="31"/>
      <c r="N2940" s="31"/>
      <c r="O2940" s="16"/>
      <c r="P2940" s="16"/>
      <c r="Q2940" s="16"/>
      <c r="R2940" s="33"/>
      <c r="S2940" s="34"/>
      <c r="T2940" s="34"/>
      <c r="U2940" s="34"/>
      <c r="V2940" s="34"/>
      <c r="W2940" s="34"/>
      <c r="X2940" s="33"/>
      <c r="Y2940" s="35" t="str">
        <f>IF(Tabela2[[#This Row],[SIGLA]]="","",VLOOKUP(Tabela2[[#This Row],[SIGLA]],Tabela1[[#All],[Sigla Arte]:[Crédito]],2,0))</f>
        <v/>
      </c>
      <c r="Z2940" s="31"/>
      <c r="AA2940" s="31" t="str">
        <f>Tabela2[[#This Row],[ILUSTRADOR CRIAÇÃO]]</f>
        <v/>
      </c>
      <c r="AB2940" s="33"/>
      <c r="AC2940" s="16"/>
      <c r="AE2940" s="35" t="str">
        <f t="shared" si="47"/>
        <v>EF1 E002 Mat</v>
      </c>
    </row>
    <row r="2941" spans="1:31" x14ac:dyDescent="0.25">
      <c r="A2941" s="31"/>
      <c r="B2941" s="16"/>
      <c r="C2941" s="16"/>
      <c r="D2941" s="33"/>
      <c r="E2941" s="33"/>
      <c r="F2941" s="33"/>
      <c r="G2941" s="33"/>
      <c r="H2941" s="33"/>
      <c r="I2941" s="31"/>
      <c r="J2941" s="31"/>
      <c r="K2941" s="33"/>
      <c r="L2941" s="33"/>
      <c r="M2941" s="31"/>
      <c r="N2941" s="31"/>
      <c r="O2941" s="16"/>
      <c r="P2941" s="16"/>
      <c r="Q2941" s="16"/>
      <c r="R2941" s="33"/>
      <c r="S2941" s="34"/>
      <c r="T2941" s="34"/>
      <c r="U2941" s="34"/>
      <c r="V2941" s="34"/>
      <c r="W2941" s="34"/>
      <c r="X2941" s="33"/>
      <c r="Y2941" s="35" t="str">
        <f>IF(Tabela2[[#This Row],[SIGLA]]="","",VLOOKUP(Tabela2[[#This Row],[SIGLA]],Tabela1[[#All],[Sigla Arte]:[Crédito]],2,0))</f>
        <v/>
      </c>
      <c r="Z2941" s="31"/>
      <c r="AA2941" s="31" t="str">
        <f>Tabela2[[#This Row],[ILUSTRADOR CRIAÇÃO]]</f>
        <v/>
      </c>
      <c r="AB2941" s="33"/>
      <c r="AC2941" s="16"/>
      <c r="AE2941" s="35" t="str">
        <f t="shared" si="47"/>
        <v>EF1 E002 Mat</v>
      </c>
    </row>
    <row r="2942" spans="1:31" x14ac:dyDescent="0.25">
      <c r="A2942" s="31"/>
      <c r="B2942" s="16"/>
      <c r="C2942" s="16"/>
      <c r="D2942" s="33"/>
      <c r="E2942" s="33"/>
      <c r="F2942" s="33"/>
      <c r="G2942" s="33"/>
      <c r="H2942" s="33"/>
      <c r="I2942" s="31"/>
      <c r="J2942" s="31"/>
      <c r="K2942" s="33"/>
      <c r="L2942" s="33"/>
      <c r="M2942" s="31"/>
      <c r="N2942" s="31"/>
      <c r="O2942" s="16"/>
      <c r="P2942" s="16"/>
      <c r="Q2942" s="16"/>
      <c r="R2942" s="33"/>
      <c r="S2942" s="34"/>
      <c r="T2942" s="34"/>
      <c r="U2942" s="34"/>
      <c r="V2942" s="34"/>
      <c r="W2942" s="34"/>
      <c r="X2942" s="33"/>
      <c r="Y2942" s="35" t="str">
        <f>IF(Tabela2[[#This Row],[SIGLA]]="","",VLOOKUP(Tabela2[[#This Row],[SIGLA]],Tabela1[[#All],[Sigla Arte]:[Crédito]],2,0))</f>
        <v/>
      </c>
      <c r="Z2942" s="31"/>
      <c r="AA2942" s="31" t="str">
        <f>Tabela2[[#This Row],[ILUSTRADOR CRIAÇÃO]]</f>
        <v/>
      </c>
      <c r="AB2942" s="33"/>
      <c r="AC2942" s="16"/>
      <c r="AE2942" s="35" t="str">
        <f t="shared" si="47"/>
        <v>EF1 E002 Mat</v>
      </c>
    </row>
    <row r="2943" spans="1:31" x14ac:dyDescent="0.25">
      <c r="A2943" s="31"/>
      <c r="B2943" s="16"/>
      <c r="C2943" s="16"/>
      <c r="D2943" s="33"/>
      <c r="E2943" s="33"/>
      <c r="F2943" s="33"/>
      <c r="G2943" s="33"/>
      <c r="H2943" s="33"/>
      <c r="I2943" s="31"/>
      <c r="J2943" s="31"/>
      <c r="K2943" s="33"/>
      <c r="L2943" s="33"/>
      <c r="M2943" s="31"/>
      <c r="N2943" s="31"/>
      <c r="O2943" s="16"/>
      <c r="P2943" s="16"/>
      <c r="Q2943" s="16"/>
      <c r="R2943" s="33"/>
      <c r="S2943" s="34"/>
      <c r="T2943" s="34"/>
      <c r="U2943" s="34"/>
      <c r="V2943" s="34"/>
      <c r="W2943" s="34"/>
      <c r="X2943" s="33"/>
      <c r="Y2943" s="35" t="str">
        <f>IF(Tabela2[[#This Row],[SIGLA]]="","",VLOOKUP(Tabela2[[#This Row],[SIGLA]],Tabela1[[#All],[Sigla Arte]:[Crédito]],2,0))</f>
        <v/>
      </c>
      <c r="Z2943" s="31"/>
      <c r="AA2943" s="31" t="str">
        <f>Tabela2[[#This Row],[ILUSTRADOR CRIAÇÃO]]</f>
        <v/>
      </c>
      <c r="AB2943" s="33"/>
      <c r="AC2943" s="16"/>
      <c r="AE2943" s="35" t="str">
        <f t="shared" si="47"/>
        <v>EF1 E002 Mat</v>
      </c>
    </row>
    <row r="2944" spans="1:31" x14ac:dyDescent="0.25">
      <c r="A2944" s="31"/>
      <c r="B2944" s="16"/>
      <c r="C2944" s="16"/>
      <c r="D2944" s="33"/>
      <c r="E2944" s="33"/>
      <c r="F2944" s="33"/>
      <c r="G2944" s="33"/>
      <c r="H2944" s="33"/>
      <c r="I2944" s="31"/>
      <c r="J2944" s="31"/>
      <c r="K2944" s="33"/>
      <c r="L2944" s="33"/>
      <c r="M2944" s="31"/>
      <c r="N2944" s="31"/>
      <c r="O2944" s="16"/>
      <c r="P2944" s="16"/>
      <c r="Q2944" s="16"/>
      <c r="R2944" s="33"/>
      <c r="S2944" s="34"/>
      <c r="T2944" s="34"/>
      <c r="U2944" s="34"/>
      <c r="V2944" s="34"/>
      <c r="W2944" s="34"/>
      <c r="X2944" s="33"/>
      <c r="Y2944" s="35" t="str">
        <f>IF(Tabela2[[#This Row],[SIGLA]]="","",VLOOKUP(Tabela2[[#This Row],[SIGLA]],Tabela1[[#All],[Sigla Arte]:[Crédito]],2,0))</f>
        <v/>
      </c>
      <c r="Z2944" s="31"/>
      <c r="AA2944" s="31" t="str">
        <f>Tabela2[[#This Row],[ILUSTRADOR CRIAÇÃO]]</f>
        <v/>
      </c>
      <c r="AB2944" s="33"/>
      <c r="AC2944" s="16"/>
      <c r="AE2944" s="35" t="str">
        <f t="shared" si="47"/>
        <v>EF1 E002 Mat</v>
      </c>
    </row>
    <row r="2945" spans="1:31" x14ac:dyDescent="0.25">
      <c r="A2945" s="31"/>
      <c r="B2945" s="16"/>
      <c r="C2945" s="16"/>
      <c r="D2945" s="33"/>
      <c r="E2945" s="33"/>
      <c r="F2945" s="33"/>
      <c r="G2945" s="33"/>
      <c r="H2945" s="33"/>
      <c r="I2945" s="31"/>
      <c r="J2945" s="31"/>
      <c r="K2945" s="33"/>
      <c r="L2945" s="33"/>
      <c r="M2945" s="31"/>
      <c r="N2945" s="31"/>
      <c r="O2945" s="16"/>
      <c r="P2945" s="16"/>
      <c r="Q2945" s="16"/>
      <c r="R2945" s="33"/>
      <c r="S2945" s="34"/>
      <c r="T2945" s="34"/>
      <c r="U2945" s="34"/>
      <c r="V2945" s="34"/>
      <c r="W2945" s="34"/>
      <c r="X2945" s="33"/>
      <c r="Y2945" s="35" t="str">
        <f>IF(Tabela2[[#This Row],[SIGLA]]="","",VLOOKUP(Tabela2[[#This Row],[SIGLA]],Tabela1[[#All],[Sigla Arte]:[Crédito]],2,0))</f>
        <v/>
      </c>
      <c r="Z2945" s="31"/>
      <c r="AA2945" s="31" t="str">
        <f>Tabela2[[#This Row],[ILUSTRADOR CRIAÇÃO]]</f>
        <v/>
      </c>
      <c r="AB2945" s="33"/>
      <c r="AC2945" s="16"/>
      <c r="AE2945" s="35" t="str">
        <f t="shared" si="47"/>
        <v>EF1 E002 Mat</v>
      </c>
    </row>
    <row r="2946" spans="1:31" x14ac:dyDescent="0.25">
      <c r="A2946" s="31"/>
      <c r="B2946" s="16"/>
      <c r="C2946" s="16"/>
      <c r="D2946" s="33"/>
      <c r="E2946" s="33"/>
      <c r="F2946" s="33"/>
      <c r="G2946" s="33"/>
      <c r="H2946" s="33"/>
      <c r="I2946" s="31"/>
      <c r="J2946" s="31"/>
      <c r="K2946" s="33"/>
      <c r="L2946" s="33"/>
      <c r="M2946" s="31"/>
      <c r="N2946" s="31"/>
      <c r="O2946" s="16"/>
      <c r="P2946" s="16"/>
      <c r="Q2946" s="16"/>
      <c r="R2946" s="33"/>
      <c r="S2946" s="34"/>
      <c r="T2946" s="34"/>
      <c r="U2946" s="34"/>
      <c r="V2946" s="34"/>
      <c r="W2946" s="34"/>
      <c r="X2946" s="33"/>
      <c r="Y2946" s="35" t="str">
        <f>IF(Tabela2[[#This Row],[SIGLA]]="","",VLOOKUP(Tabela2[[#This Row],[SIGLA]],Tabela1[[#All],[Sigla Arte]:[Crédito]],2,0))</f>
        <v/>
      </c>
      <c r="Z2946" s="31"/>
      <c r="AA2946" s="31" t="str">
        <f>Tabela2[[#This Row],[ILUSTRADOR CRIAÇÃO]]</f>
        <v/>
      </c>
      <c r="AB2946" s="33"/>
      <c r="AC2946" s="16"/>
      <c r="AE2946" s="35" t="str">
        <f t="shared" si="47"/>
        <v>EF1 E002 Mat</v>
      </c>
    </row>
    <row r="2947" spans="1:31" x14ac:dyDescent="0.25">
      <c r="A2947" s="31"/>
      <c r="B2947" s="16"/>
      <c r="C2947" s="16"/>
      <c r="D2947" s="33"/>
      <c r="E2947" s="33"/>
      <c r="F2947" s="33"/>
      <c r="G2947" s="33"/>
      <c r="H2947" s="33"/>
      <c r="I2947" s="31"/>
      <c r="J2947" s="31"/>
      <c r="K2947" s="33"/>
      <c r="L2947" s="33"/>
      <c r="M2947" s="31"/>
      <c r="N2947" s="31"/>
      <c r="O2947" s="16"/>
      <c r="P2947" s="16"/>
      <c r="Q2947" s="16"/>
      <c r="R2947" s="33"/>
      <c r="S2947" s="34"/>
      <c r="T2947" s="34"/>
      <c r="U2947" s="34"/>
      <c r="V2947" s="34"/>
      <c r="W2947" s="34"/>
      <c r="X2947" s="33"/>
      <c r="Y2947" s="35" t="str">
        <f>IF(Tabela2[[#This Row],[SIGLA]]="","",VLOOKUP(Tabela2[[#This Row],[SIGLA]],Tabela1[[#All],[Sigla Arte]:[Crédito]],2,0))</f>
        <v/>
      </c>
      <c r="Z2947" s="31"/>
      <c r="AA2947" s="31" t="str">
        <f>Tabela2[[#This Row],[ILUSTRADOR CRIAÇÃO]]</f>
        <v/>
      </c>
      <c r="AB2947" s="33"/>
      <c r="AC2947" s="16"/>
      <c r="AE2947" s="35" t="str">
        <f t="shared" si="47"/>
        <v>EF1 E002 Mat</v>
      </c>
    </row>
    <row r="2948" spans="1:31" x14ac:dyDescent="0.25">
      <c r="A2948" s="31"/>
      <c r="B2948" s="16"/>
      <c r="C2948" s="16"/>
      <c r="D2948" s="33"/>
      <c r="E2948" s="33"/>
      <c r="F2948" s="33"/>
      <c r="G2948" s="33"/>
      <c r="H2948" s="33"/>
      <c r="I2948" s="31"/>
      <c r="J2948" s="31"/>
      <c r="K2948" s="33"/>
      <c r="L2948" s="33"/>
      <c r="M2948" s="31"/>
      <c r="N2948" s="31"/>
      <c r="O2948" s="16"/>
      <c r="P2948" s="16"/>
      <c r="Q2948" s="16"/>
      <c r="R2948" s="33"/>
      <c r="S2948" s="34"/>
      <c r="T2948" s="34"/>
      <c r="U2948" s="34"/>
      <c r="V2948" s="34"/>
      <c r="W2948" s="34"/>
      <c r="X2948" s="33"/>
      <c r="Y2948" s="35" t="str">
        <f>IF(Tabela2[[#This Row],[SIGLA]]="","",VLOOKUP(Tabela2[[#This Row],[SIGLA]],Tabela1[[#All],[Sigla Arte]:[Crédito]],2,0))</f>
        <v/>
      </c>
      <c r="Z2948" s="31"/>
      <c r="AA2948" s="31" t="str">
        <f>Tabela2[[#This Row],[ILUSTRADOR CRIAÇÃO]]</f>
        <v/>
      </c>
      <c r="AB2948" s="33"/>
      <c r="AC2948" s="16"/>
      <c r="AE2948" s="35" t="str">
        <f t="shared" si="47"/>
        <v>EF1 E002 Mat</v>
      </c>
    </row>
    <row r="2949" spans="1:31" x14ac:dyDescent="0.25">
      <c r="A2949" s="31"/>
      <c r="B2949" s="16"/>
      <c r="C2949" s="16"/>
      <c r="D2949" s="33"/>
      <c r="E2949" s="33"/>
      <c r="F2949" s="33"/>
      <c r="G2949" s="33"/>
      <c r="H2949" s="33"/>
      <c r="I2949" s="31"/>
      <c r="J2949" s="31"/>
      <c r="K2949" s="33"/>
      <c r="L2949" s="33"/>
      <c r="M2949" s="31"/>
      <c r="N2949" s="31"/>
      <c r="O2949" s="16"/>
      <c r="P2949" s="16"/>
      <c r="Q2949" s="16"/>
      <c r="R2949" s="33"/>
      <c r="S2949" s="34"/>
      <c r="T2949" s="34"/>
      <c r="U2949" s="34"/>
      <c r="V2949" s="34"/>
      <c r="W2949" s="34"/>
      <c r="X2949" s="33"/>
      <c r="Y2949" s="35" t="str">
        <f>IF(Tabela2[[#This Row],[SIGLA]]="","",VLOOKUP(Tabela2[[#This Row],[SIGLA]],Tabela1[[#All],[Sigla Arte]:[Crédito]],2,0))</f>
        <v/>
      </c>
      <c r="Z2949" s="31"/>
      <c r="AA2949" s="31" t="str">
        <f>Tabela2[[#This Row],[ILUSTRADOR CRIAÇÃO]]</f>
        <v/>
      </c>
      <c r="AB2949" s="33"/>
      <c r="AC2949" s="16"/>
      <c r="AE2949" s="35" t="str">
        <f t="shared" si="47"/>
        <v>EF1 E002 Mat</v>
      </c>
    </row>
    <row r="2950" spans="1:31" x14ac:dyDescent="0.25">
      <c r="A2950" s="31"/>
      <c r="B2950" s="16"/>
      <c r="C2950" s="16"/>
      <c r="D2950" s="33"/>
      <c r="E2950" s="33"/>
      <c r="F2950" s="33"/>
      <c r="G2950" s="33"/>
      <c r="H2950" s="33"/>
      <c r="I2950" s="31"/>
      <c r="J2950" s="31"/>
      <c r="K2950" s="33"/>
      <c r="L2950" s="33"/>
      <c r="M2950" s="31"/>
      <c r="N2950" s="31"/>
      <c r="O2950" s="16"/>
      <c r="P2950" s="16"/>
      <c r="Q2950" s="16"/>
      <c r="R2950" s="33"/>
      <c r="S2950" s="34"/>
      <c r="T2950" s="34"/>
      <c r="U2950" s="34"/>
      <c r="V2950" s="34"/>
      <c r="W2950" s="34"/>
      <c r="X2950" s="33"/>
      <c r="Y2950" s="35" t="str">
        <f>IF(Tabela2[[#This Row],[SIGLA]]="","",VLOOKUP(Tabela2[[#This Row],[SIGLA]],Tabela1[[#All],[Sigla Arte]:[Crédito]],2,0))</f>
        <v/>
      </c>
      <c r="Z2950" s="31"/>
      <c r="AA2950" s="31" t="str">
        <f>Tabela2[[#This Row],[ILUSTRADOR CRIAÇÃO]]</f>
        <v/>
      </c>
      <c r="AB2950" s="33"/>
      <c r="AC2950" s="16"/>
      <c r="AE2950" s="35" t="str">
        <f t="shared" si="47"/>
        <v>EF1 E002 Mat</v>
      </c>
    </row>
    <row r="2951" spans="1:31" x14ac:dyDescent="0.25">
      <c r="A2951" s="31"/>
      <c r="B2951" s="16"/>
      <c r="C2951" s="16"/>
      <c r="D2951" s="33"/>
      <c r="E2951" s="33"/>
      <c r="F2951" s="33"/>
      <c r="G2951" s="33"/>
      <c r="H2951" s="33"/>
      <c r="I2951" s="31"/>
      <c r="J2951" s="31"/>
      <c r="K2951" s="33"/>
      <c r="L2951" s="33"/>
      <c r="M2951" s="31"/>
      <c r="N2951" s="31"/>
      <c r="O2951" s="16"/>
      <c r="P2951" s="16"/>
      <c r="Q2951" s="16"/>
      <c r="R2951" s="33"/>
      <c r="S2951" s="34"/>
      <c r="T2951" s="34"/>
      <c r="U2951" s="34"/>
      <c r="V2951" s="34"/>
      <c r="W2951" s="34"/>
      <c r="X2951" s="33"/>
      <c r="Y2951" s="35" t="str">
        <f>IF(Tabela2[[#This Row],[SIGLA]]="","",VLOOKUP(Tabela2[[#This Row],[SIGLA]],Tabela1[[#All],[Sigla Arte]:[Crédito]],2,0))</f>
        <v/>
      </c>
      <c r="Z2951" s="31"/>
      <c r="AA2951" s="31" t="str">
        <f>Tabela2[[#This Row],[ILUSTRADOR CRIAÇÃO]]</f>
        <v/>
      </c>
      <c r="AB2951" s="33"/>
      <c r="AC2951" s="16"/>
      <c r="AE2951" s="35" t="str">
        <f t="shared" si="47"/>
        <v>EF1 E002 Mat</v>
      </c>
    </row>
    <row r="2952" spans="1:31" x14ac:dyDescent="0.25">
      <c r="A2952" s="31"/>
      <c r="B2952" s="16"/>
      <c r="C2952" s="16"/>
      <c r="D2952" s="33"/>
      <c r="E2952" s="33"/>
      <c r="F2952" s="33"/>
      <c r="G2952" s="33"/>
      <c r="H2952" s="33"/>
      <c r="I2952" s="31"/>
      <c r="J2952" s="31"/>
      <c r="K2952" s="33"/>
      <c r="L2952" s="33"/>
      <c r="M2952" s="31"/>
      <c r="N2952" s="31"/>
      <c r="O2952" s="16"/>
      <c r="P2952" s="16"/>
      <c r="Q2952" s="16"/>
      <c r="R2952" s="33"/>
      <c r="S2952" s="34"/>
      <c r="T2952" s="34"/>
      <c r="U2952" s="34"/>
      <c r="V2952" s="34"/>
      <c r="W2952" s="34"/>
      <c r="X2952" s="33"/>
      <c r="Y2952" s="35" t="str">
        <f>IF(Tabela2[[#This Row],[SIGLA]]="","",VLOOKUP(Tabela2[[#This Row],[SIGLA]],Tabela1[[#All],[Sigla Arte]:[Crédito]],2,0))</f>
        <v/>
      </c>
      <c r="Z2952" s="31"/>
      <c r="AA2952" s="31" t="str">
        <f>Tabela2[[#This Row],[ILUSTRADOR CRIAÇÃO]]</f>
        <v/>
      </c>
      <c r="AB2952" s="33"/>
      <c r="AC2952" s="16"/>
      <c r="AE2952" s="35" t="str">
        <f t="shared" si="47"/>
        <v>EF1 E002 Mat</v>
      </c>
    </row>
    <row r="2953" spans="1:31" x14ac:dyDescent="0.25">
      <c r="A2953" s="31"/>
      <c r="B2953" s="16"/>
      <c r="C2953" s="16"/>
      <c r="D2953" s="33"/>
      <c r="E2953" s="33"/>
      <c r="F2953" s="33"/>
      <c r="G2953" s="33"/>
      <c r="H2953" s="33"/>
      <c r="I2953" s="31"/>
      <c r="J2953" s="31"/>
      <c r="K2953" s="33"/>
      <c r="L2953" s="33"/>
      <c r="M2953" s="31"/>
      <c r="N2953" s="31"/>
      <c r="O2953" s="16"/>
      <c r="P2953" s="16"/>
      <c r="Q2953" s="16"/>
      <c r="R2953" s="33"/>
      <c r="S2953" s="34"/>
      <c r="T2953" s="34"/>
      <c r="U2953" s="34"/>
      <c r="V2953" s="34"/>
      <c r="W2953" s="34"/>
      <c r="X2953" s="33"/>
      <c r="Y2953" s="35" t="str">
        <f>IF(Tabela2[[#This Row],[SIGLA]]="","",VLOOKUP(Tabela2[[#This Row],[SIGLA]],Tabela1[[#All],[Sigla Arte]:[Crédito]],2,0))</f>
        <v/>
      </c>
      <c r="Z2953" s="31"/>
      <c r="AA2953" s="31" t="str">
        <f>Tabela2[[#This Row],[ILUSTRADOR CRIAÇÃO]]</f>
        <v/>
      </c>
      <c r="AB2953" s="33"/>
      <c r="AC2953" s="16"/>
      <c r="AE2953" s="35" t="str">
        <f t="shared" si="47"/>
        <v>EF1 E002 Mat</v>
      </c>
    </row>
    <row r="2954" spans="1:31" x14ac:dyDescent="0.25">
      <c r="A2954" s="31"/>
      <c r="B2954" s="16"/>
      <c r="C2954" s="16"/>
      <c r="D2954" s="33"/>
      <c r="E2954" s="33"/>
      <c r="F2954" s="33"/>
      <c r="G2954" s="33"/>
      <c r="H2954" s="33"/>
      <c r="I2954" s="31"/>
      <c r="J2954" s="31"/>
      <c r="K2954" s="33"/>
      <c r="L2954" s="33"/>
      <c r="M2954" s="31"/>
      <c r="N2954" s="31"/>
      <c r="O2954" s="16"/>
      <c r="P2954" s="16"/>
      <c r="Q2954" s="16"/>
      <c r="R2954" s="33"/>
      <c r="S2954" s="34"/>
      <c r="T2954" s="34"/>
      <c r="U2954" s="34"/>
      <c r="V2954" s="34"/>
      <c r="W2954" s="34"/>
      <c r="X2954" s="33"/>
      <c r="Y2954" s="35" t="str">
        <f>IF(Tabela2[[#This Row],[SIGLA]]="","",VLOOKUP(Tabela2[[#This Row],[SIGLA]],Tabela1[[#All],[Sigla Arte]:[Crédito]],2,0))</f>
        <v/>
      </c>
      <c r="Z2954" s="31"/>
      <c r="AA2954" s="31" t="str">
        <f>Tabela2[[#This Row],[ILUSTRADOR CRIAÇÃO]]</f>
        <v/>
      </c>
      <c r="AB2954" s="33"/>
      <c r="AC2954" s="16"/>
      <c r="AE2954" s="35" t="str">
        <f t="shared" si="47"/>
        <v>EF1 E002 Mat</v>
      </c>
    </row>
    <row r="2955" spans="1:31" x14ac:dyDescent="0.25">
      <c r="A2955" s="31"/>
      <c r="B2955" s="16"/>
      <c r="C2955" s="16"/>
      <c r="D2955" s="33"/>
      <c r="E2955" s="33"/>
      <c r="F2955" s="33"/>
      <c r="G2955" s="33"/>
      <c r="H2955" s="33"/>
      <c r="I2955" s="31"/>
      <c r="J2955" s="31"/>
      <c r="K2955" s="33"/>
      <c r="L2955" s="33"/>
      <c r="M2955" s="31"/>
      <c r="N2955" s="31"/>
      <c r="O2955" s="16"/>
      <c r="P2955" s="16"/>
      <c r="Q2955" s="16"/>
      <c r="R2955" s="33"/>
      <c r="S2955" s="34"/>
      <c r="T2955" s="34"/>
      <c r="U2955" s="34"/>
      <c r="V2955" s="34"/>
      <c r="W2955" s="34"/>
      <c r="X2955" s="33"/>
      <c r="Y2955" s="35" t="str">
        <f>IF(Tabela2[[#This Row],[SIGLA]]="","",VLOOKUP(Tabela2[[#This Row],[SIGLA]],Tabela1[[#All],[Sigla Arte]:[Crédito]],2,0))</f>
        <v/>
      </c>
      <c r="Z2955" s="31"/>
      <c r="AA2955" s="31" t="str">
        <f>Tabela2[[#This Row],[ILUSTRADOR CRIAÇÃO]]</f>
        <v/>
      </c>
      <c r="AB2955" s="33"/>
      <c r="AC2955" s="16"/>
      <c r="AE2955" s="35" t="str">
        <f t="shared" si="47"/>
        <v>EF1 E002 Mat</v>
      </c>
    </row>
    <row r="2956" spans="1:31" x14ac:dyDescent="0.25">
      <c r="A2956" s="31"/>
      <c r="B2956" s="16"/>
      <c r="C2956" s="16"/>
      <c r="D2956" s="33"/>
      <c r="E2956" s="33"/>
      <c r="F2956" s="33"/>
      <c r="G2956" s="33"/>
      <c r="H2956" s="33"/>
      <c r="I2956" s="31"/>
      <c r="J2956" s="31"/>
      <c r="K2956" s="33"/>
      <c r="L2956" s="33"/>
      <c r="M2956" s="31"/>
      <c r="N2956" s="31"/>
      <c r="O2956" s="16"/>
      <c r="P2956" s="16"/>
      <c r="Q2956" s="16"/>
      <c r="R2956" s="33"/>
      <c r="S2956" s="34"/>
      <c r="T2956" s="34"/>
      <c r="U2956" s="34"/>
      <c r="V2956" s="34"/>
      <c r="W2956" s="34"/>
      <c r="X2956" s="33"/>
      <c r="Y2956" s="35" t="str">
        <f>IF(Tabela2[[#This Row],[SIGLA]]="","",VLOOKUP(Tabela2[[#This Row],[SIGLA]],Tabela1[[#All],[Sigla Arte]:[Crédito]],2,0))</f>
        <v/>
      </c>
      <c r="Z2956" s="31"/>
      <c r="AA2956" s="31" t="str">
        <f>Tabela2[[#This Row],[ILUSTRADOR CRIAÇÃO]]</f>
        <v/>
      </c>
      <c r="AB2956" s="33"/>
      <c r="AC2956" s="16"/>
      <c r="AE2956" s="35" t="str">
        <f t="shared" si="47"/>
        <v>EF1 E002 Mat</v>
      </c>
    </row>
    <row r="2957" spans="1:31" x14ac:dyDescent="0.25">
      <c r="A2957" s="31"/>
      <c r="B2957" s="16"/>
      <c r="C2957" s="16"/>
      <c r="D2957" s="33"/>
      <c r="E2957" s="33"/>
      <c r="F2957" s="33"/>
      <c r="G2957" s="33"/>
      <c r="H2957" s="33"/>
      <c r="I2957" s="31"/>
      <c r="J2957" s="31"/>
      <c r="K2957" s="33"/>
      <c r="L2957" s="33"/>
      <c r="M2957" s="31"/>
      <c r="N2957" s="31"/>
      <c r="O2957" s="16"/>
      <c r="P2957" s="16"/>
      <c r="Q2957" s="16"/>
      <c r="R2957" s="33"/>
      <c r="S2957" s="34"/>
      <c r="T2957" s="34"/>
      <c r="U2957" s="34"/>
      <c r="V2957" s="34"/>
      <c r="W2957" s="34"/>
      <c r="X2957" s="33"/>
      <c r="Y2957" s="35" t="str">
        <f>IF(Tabela2[[#This Row],[SIGLA]]="","",VLOOKUP(Tabela2[[#This Row],[SIGLA]],Tabela1[[#All],[Sigla Arte]:[Crédito]],2,0))</f>
        <v/>
      </c>
      <c r="Z2957" s="31"/>
      <c r="AA2957" s="31" t="str">
        <f>Tabela2[[#This Row],[ILUSTRADOR CRIAÇÃO]]</f>
        <v/>
      </c>
      <c r="AB2957" s="33"/>
      <c r="AC2957" s="16"/>
      <c r="AE2957" s="35" t="str">
        <f t="shared" si="47"/>
        <v>EF1 E002 Mat</v>
      </c>
    </row>
    <row r="2958" spans="1:31" x14ac:dyDescent="0.25">
      <c r="A2958" s="31"/>
      <c r="B2958" s="16"/>
      <c r="C2958" s="16"/>
      <c r="D2958" s="33"/>
      <c r="E2958" s="33"/>
      <c r="F2958" s="33"/>
      <c r="G2958" s="33"/>
      <c r="H2958" s="33"/>
      <c r="I2958" s="31"/>
      <c r="J2958" s="31"/>
      <c r="K2958" s="33"/>
      <c r="L2958" s="33"/>
      <c r="M2958" s="31"/>
      <c r="N2958" s="31"/>
      <c r="O2958" s="16"/>
      <c r="P2958" s="16"/>
      <c r="Q2958" s="16"/>
      <c r="R2958" s="33"/>
      <c r="S2958" s="34"/>
      <c r="T2958" s="34"/>
      <c r="U2958" s="34"/>
      <c r="V2958" s="34"/>
      <c r="W2958" s="34"/>
      <c r="X2958" s="33"/>
      <c r="Y2958" s="35" t="str">
        <f>IF(Tabela2[[#This Row],[SIGLA]]="","",VLOOKUP(Tabela2[[#This Row],[SIGLA]],Tabela1[[#All],[Sigla Arte]:[Crédito]],2,0))</f>
        <v/>
      </c>
      <c r="Z2958" s="31"/>
      <c r="AA2958" s="31" t="str">
        <f>Tabela2[[#This Row],[ILUSTRADOR CRIAÇÃO]]</f>
        <v/>
      </c>
      <c r="AB2958" s="33"/>
      <c r="AC2958" s="16"/>
      <c r="AE2958" s="35" t="str">
        <f t="shared" si="47"/>
        <v>EF1 E002 Mat</v>
      </c>
    </row>
    <row r="2959" spans="1:31" x14ac:dyDescent="0.25">
      <c r="A2959" s="31"/>
      <c r="B2959" s="16"/>
      <c r="C2959" s="16"/>
      <c r="D2959" s="33"/>
      <c r="E2959" s="33"/>
      <c r="F2959" s="33"/>
      <c r="G2959" s="33"/>
      <c r="H2959" s="33"/>
      <c r="I2959" s="31"/>
      <c r="J2959" s="31"/>
      <c r="K2959" s="33"/>
      <c r="L2959" s="33"/>
      <c r="M2959" s="31"/>
      <c r="N2959" s="31"/>
      <c r="O2959" s="16"/>
      <c r="P2959" s="16"/>
      <c r="Q2959" s="16"/>
      <c r="R2959" s="33"/>
      <c r="S2959" s="34"/>
      <c r="T2959" s="34"/>
      <c r="U2959" s="34"/>
      <c r="V2959" s="34"/>
      <c r="W2959" s="34"/>
      <c r="X2959" s="33"/>
      <c r="Y2959" s="35" t="str">
        <f>IF(Tabela2[[#This Row],[SIGLA]]="","",VLOOKUP(Tabela2[[#This Row],[SIGLA]],Tabela1[[#All],[Sigla Arte]:[Crédito]],2,0))</f>
        <v/>
      </c>
      <c r="Z2959" s="31"/>
      <c r="AA2959" s="31" t="str">
        <f>Tabela2[[#This Row],[ILUSTRADOR CRIAÇÃO]]</f>
        <v/>
      </c>
      <c r="AB2959" s="33"/>
      <c r="AC2959" s="16"/>
      <c r="AE2959" s="35" t="str">
        <f t="shared" si="47"/>
        <v>EF1 E002 Mat</v>
      </c>
    </row>
    <row r="2960" spans="1:31" x14ac:dyDescent="0.25">
      <c r="A2960" s="31"/>
      <c r="B2960" s="16"/>
      <c r="C2960" s="16"/>
      <c r="D2960" s="33"/>
      <c r="E2960" s="33"/>
      <c r="F2960" s="33"/>
      <c r="G2960" s="33"/>
      <c r="H2960" s="33"/>
      <c r="I2960" s="31"/>
      <c r="J2960" s="31"/>
      <c r="K2960" s="33"/>
      <c r="L2960" s="33"/>
      <c r="M2960" s="31"/>
      <c r="N2960" s="31"/>
      <c r="O2960" s="16"/>
      <c r="P2960" s="16"/>
      <c r="Q2960" s="16"/>
      <c r="R2960" s="33"/>
      <c r="S2960" s="34"/>
      <c r="T2960" s="34"/>
      <c r="U2960" s="34"/>
      <c r="V2960" s="34"/>
      <c r="W2960" s="34"/>
      <c r="X2960" s="33"/>
      <c r="Y2960" s="35" t="str">
        <f>IF(Tabela2[[#This Row],[SIGLA]]="","",VLOOKUP(Tabela2[[#This Row],[SIGLA]],Tabela1[[#All],[Sigla Arte]:[Crédito]],2,0))</f>
        <v/>
      </c>
      <c r="Z2960" s="31"/>
      <c r="AA2960" s="31" t="str">
        <f>Tabela2[[#This Row],[ILUSTRADOR CRIAÇÃO]]</f>
        <v/>
      </c>
      <c r="AB2960" s="33"/>
      <c r="AC2960" s="16"/>
      <c r="AE2960" s="35" t="str">
        <f t="shared" si="47"/>
        <v>EF1 E002 Mat</v>
      </c>
    </row>
    <row r="2961" spans="1:31" x14ac:dyDescent="0.25">
      <c r="A2961" s="31"/>
      <c r="B2961" s="16"/>
      <c r="C2961" s="16"/>
      <c r="D2961" s="33"/>
      <c r="E2961" s="33"/>
      <c r="F2961" s="33"/>
      <c r="G2961" s="33"/>
      <c r="H2961" s="33"/>
      <c r="I2961" s="31"/>
      <c r="J2961" s="31"/>
      <c r="K2961" s="33"/>
      <c r="L2961" s="33"/>
      <c r="M2961" s="31"/>
      <c r="N2961" s="31"/>
      <c r="O2961" s="16"/>
      <c r="P2961" s="16"/>
      <c r="Q2961" s="16"/>
      <c r="R2961" s="33"/>
      <c r="S2961" s="34"/>
      <c r="T2961" s="34"/>
      <c r="U2961" s="34"/>
      <c r="V2961" s="34"/>
      <c r="W2961" s="34"/>
      <c r="X2961" s="33"/>
      <c r="Y2961" s="35" t="str">
        <f>IF(Tabela2[[#This Row],[SIGLA]]="","",VLOOKUP(Tabela2[[#This Row],[SIGLA]],Tabela1[[#All],[Sigla Arte]:[Crédito]],2,0))</f>
        <v/>
      </c>
      <c r="Z2961" s="31"/>
      <c r="AA2961" s="31" t="str">
        <f>Tabela2[[#This Row],[ILUSTRADOR CRIAÇÃO]]</f>
        <v/>
      </c>
      <c r="AB2961" s="33"/>
      <c r="AC2961" s="16"/>
      <c r="AE2961" s="35" t="str">
        <f t="shared" si="47"/>
        <v>EF1 E002 Mat</v>
      </c>
    </row>
    <row r="2962" spans="1:31" x14ac:dyDescent="0.25">
      <c r="A2962" s="31"/>
      <c r="B2962" s="16"/>
      <c r="C2962" s="16"/>
      <c r="D2962" s="33"/>
      <c r="E2962" s="33"/>
      <c r="F2962" s="33"/>
      <c r="G2962" s="33"/>
      <c r="H2962" s="33"/>
      <c r="I2962" s="31"/>
      <c r="J2962" s="31"/>
      <c r="K2962" s="33"/>
      <c r="L2962" s="33"/>
      <c r="M2962" s="31"/>
      <c r="N2962" s="31"/>
      <c r="O2962" s="16"/>
      <c r="P2962" s="16"/>
      <c r="Q2962" s="16"/>
      <c r="R2962" s="33"/>
      <c r="S2962" s="34"/>
      <c r="T2962" s="34"/>
      <c r="U2962" s="34"/>
      <c r="V2962" s="34"/>
      <c r="W2962" s="34"/>
      <c r="X2962" s="33"/>
      <c r="Y2962" s="35" t="str">
        <f>IF(Tabela2[[#This Row],[SIGLA]]="","",VLOOKUP(Tabela2[[#This Row],[SIGLA]],Tabela1[[#All],[Sigla Arte]:[Crédito]],2,0))</f>
        <v/>
      </c>
      <c r="Z2962" s="31"/>
      <c r="AA2962" s="31" t="str">
        <f>Tabela2[[#This Row],[ILUSTRADOR CRIAÇÃO]]</f>
        <v/>
      </c>
      <c r="AB2962" s="33"/>
      <c r="AC2962" s="16"/>
      <c r="AE2962" s="35" t="str">
        <f t="shared" si="47"/>
        <v>EF1 E002 Mat</v>
      </c>
    </row>
    <row r="2963" spans="1:31" x14ac:dyDescent="0.25">
      <c r="A2963" s="31"/>
      <c r="B2963" s="16"/>
      <c r="C2963" s="16"/>
      <c r="D2963" s="33"/>
      <c r="E2963" s="33"/>
      <c r="F2963" s="33"/>
      <c r="G2963" s="33"/>
      <c r="H2963" s="33"/>
      <c r="I2963" s="31"/>
      <c r="J2963" s="31"/>
      <c r="K2963" s="33"/>
      <c r="L2963" s="33"/>
      <c r="M2963" s="31"/>
      <c r="N2963" s="31"/>
      <c r="O2963" s="16"/>
      <c r="P2963" s="16"/>
      <c r="Q2963" s="16"/>
      <c r="R2963" s="33"/>
      <c r="S2963" s="34"/>
      <c r="T2963" s="34"/>
      <c r="U2963" s="34"/>
      <c r="V2963" s="34"/>
      <c r="W2963" s="34"/>
      <c r="X2963" s="33"/>
      <c r="Y2963" s="35" t="str">
        <f>IF(Tabela2[[#This Row],[SIGLA]]="","",VLOOKUP(Tabela2[[#This Row],[SIGLA]],Tabela1[[#All],[Sigla Arte]:[Crédito]],2,0))</f>
        <v/>
      </c>
      <c r="Z2963" s="31"/>
      <c r="AA2963" s="31" t="str">
        <f>Tabela2[[#This Row],[ILUSTRADOR CRIAÇÃO]]</f>
        <v/>
      </c>
      <c r="AB2963" s="33"/>
      <c r="AC2963" s="16"/>
      <c r="AE2963" s="35" t="str">
        <f t="shared" si="47"/>
        <v>EF1 E002 Mat</v>
      </c>
    </row>
    <row r="2964" spans="1:31" x14ac:dyDescent="0.25">
      <c r="A2964" s="31"/>
      <c r="B2964" s="16"/>
      <c r="C2964" s="16"/>
      <c r="D2964" s="33"/>
      <c r="E2964" s="33"/>
      <c r="F2964" s="33"/>
      <c r="G2964" s="33"/>
      <c r="H2964" s="33"/>
      <c r="I2964" s="31"/>
      <c r="J2964" s="31"/>
      <c r="K2964" s="33"/>
      <c r="L2964" s="33"/>
      <c r="M2964" s="31"/>
      <c r="N2964" s="31"/>
      <c r="O2964" s="16"/>
      <c r="P2964" s="16"/>
      <c r="Q2964" s="16"/>
      <c r="R2964" s="33"/>
      <c r="S2964" s="34"/>
      <c r="T2964" s="34"/>
      <c r="U2964" s="34"/>
      <c r="V2964" s="34"/>
      <c r="W2964" s="34"/>
      <c r="X2964" s="33"/>
      <c r="Y2964" s="35" t="str">
        <f>IF(Tabela2[[#This Row],[SIGLA]]="","",VLOOKUP(Tabela2[[#This Row],[SIGLA]],Tabela1[[#All],[Sigla Arte]:[Crédito]],2,0))</f>
        <v/>
      </c>
      <c r="Z2964" s="31"/>
      <c r="AA2964" s="31" t="str">
        <f>Tabela2[[#This Row],[ILUSTRADOR CRIAÇÃO]]</f>
        <v/>
      </c>
      <c r="AB2964" s="33"/>
      <c r="AC2964" s="16"/>
      <c r="AE2964" s="35" t="str">
        <f t="shared" si="47"/>
        <v>EF1 E002 Mat</v>
      </c>
    </row>
    <row r="2965" spans="1:31" x14ac:dyDescent="0.25">
      <c r="A2965" s="31"/>
      <c r="B2965" s="16"/>
      <c r="C2965" s="16"/>
      <c r="D2965" s="33"/>
      <c r="E2965" s="33"/>
      <c r="F2965" s="33"/>
      <c r="G2965" s="33"/>
      <c r="H2965" s="33"/>
      <c r="I2965" s="31"/>
      <c r="J2965" s="31"/>
      <c r="K2965" s="33"/>
      <c r="L2965" s="33"/>
      <c r="M2965" s="31"/>
      <c r="N2965" s="31"/>
      <c r="O2965" s="16"/>
      <c r="P2965" s="16"/>
      <c r="Q2965" s="16"/>
      <c r="R2965" s="33"/>
      <c r="S2965" s="34"/>
      <c r="T2965" s="34"/>
      <c r="U2965" s="34"/>
      <c r="V2965" s="34"/>
      <c r="W2965" s="34"/>
      <c r="X2965" s="33"/>
      <c r="Y2965" s="35" t="str">
        <f>IF(Tabela2[[#This Row],[SIGLA]]="","",VLOOKUP(Tabela2[[#This Row],[SIGLA]],Tabela1[[#All],[Sigla Arte]:[Crédito]],2,0))</f>
        <v/>
      </c>
      <c r="Z2965" s="31"/>
      <c r="AA2965" s="31" t="str">
        <f>Tabela2[[#This Row],[ILUSTRADOR CRIAÇÃO]]</f>
        <v/>
      </c>
      <c r="AB2965" s="33"/>
      <c r="AC2965" s="16"/>
      <c r="AE2965" s="35" t="str">
        <f t="shared" si="47"/>
        <v>EF1 E002 Mat</v>
      </c>
    </row>
    <row r="2966" spans="1:31" x14ac:dyDescent="0.25">
      <c r="A2966" s="31"/>
      <c r="B2966" s="16"/>
      <c r="C2966" s="16"/>
      <c r="D2966" s="33"/>
      <c r="E2966" s="33"/>
      <c r="F2966" s="33"/>
      <c r="G2966" s="33"/>
      <c r="H2966" s="33"/>
      <c r="I2966" s="31"/>
      <c r="J2966" s="31"/>
      <c r="K2966" s="33"/>
      <c r="L2966" s="33"/>
      <c r="M2966" s="31"/>
      <c r="N2966" s="31"/>
      <c r="O2966" s="16"/>
      <c r="P2966" s="16"/>
      <c r="Q2966" s="16"/>
      <c r="R2966" s="33"/>
      <c r="S2966" s="34"/>
      <c r="T2966" s="34"/>
      <c r="U2966" s="34"/>
      <c r="V2966" s="34"/>
      <c r="W2966" s="34"/>
      <c r="X2966" s="33"/>
      <c r="Y2966" s="35" t="str">
        <f>IF(Tabela2[[#This Row],[SIGLA]]="","",VLOOKUP(Tabela2[[#This Row],[SIGLA]],Tabela1[[#All],[Sigla Arte]:[Crédito]],2,0))</f>
        <v/>
      </c>
      <c r="Z2966" s="31"/>
      <c r="AA2966" s="31" t="str">
        <f>Tabela2[[#This Row],[ILUSTRADOR CRIAÇÃO]]</f>
        <v/>
      </c>
      <c r="AB2966" s="33"/>
      <c r="AC2966" s="16"/>
      <c r="AE2966" s="35" t="str">
        <f t="shared" si="47"/>
        <v>EF1 E002 Mat</v>
      </c>
    </row>
    <row r="2967" spans="1:31" x14ac:dyDescent="0.25">
      <c r="A2967" s="31"/>
      <c r="B2967" s="16"/>
      <c r="C2967" s="16"/>
      <c r="D2967" s="33"/>
      <c r="E2967" s="33"/>
      <c r="F2967" s="33"/>
      <c r="G2967" s="33"/>
      <c r="H2967" s="33"/>
      <c r="I2967" s="31"/>
      <c r="J2967" s="31"/>
      <c r="K2967" s="33"/>
      <c r="L2967" s="33"/>
      <c r="M2967" s="31"/>
      <c r="N2967" s="31"/>
      <c r="O2967" s="16"/>
      <c r="P2967" s="16"/>
      <c r="Q2967" s="16"/>
      <c r="R2967" s="33"/>
      <c r="S2967" s="34"/>
      <c r="T2967" s="34"/>
      <c r="U2967" s="34"/>
      <c r="V2967" s="34"/>
      <c r="W2967" s="34"/>
      <c r="X2967" s="33"/>
      <c r="Y2967" s="35" t="str">
        <f>IF(Tabela2[[#This Row],[SIGLA]]="","",VLOOKUP(Tabela2[[#This Row],[SIGLA]],Tabela1[[#All],[Sigla Arte]:[Crédito]],2,0))</f>
        <v/>
      </c>
      <c r="Z2967" s="31"/>
      <c r="AA2967" s="31" t="str">
        <f>Tabela2[[#This Row],[ILUSTRADOR CRIAÇÃO]]</f>
        <v/>
      </c>
      <c r="AB2967" s="33"/>
      <c r="AC2967" s="16"/>
      <c r="AE2967" s="35" t="str">
        <f t="shared" si="47"/>
        <v>EF1 E002 Mat</v>
      </c>
    </row>
    <row r="2968" spans="1:31" x14ac:dyDescent="0.25">
      <c r="A2968" s="31"/>
      <c r="B2968" s="16"/>
      <c r="C2968" s="16"/>
      <c r="D2968" s="33"/>
      <c r="E2968" s="33"/>
      <c r="F2968" s="33"/>
      <c r="G2968" s="33"/>
      <c r="H2968" s="33"/>
      <c r="I2968" s="31"/>
      <c r="J2968" s="31"/>
      <c r="K2968" s="33"/>
      <c r="L2968" s="33"/>
      <c r="M2968" s="31"/>
      <c r="N2968" s="31"/>
      <c r="O2968" s="16"/>
      <c r="P2968" s="16"/>
      <c r="Q2968" s="16"/>
      <c r="R2968" s="33"/>
      <c r="S2968" s="34"/>
      <c r="T2968" s="34"/>
      <c r="U2968" s="34"/>
      <c r="V2968" s="34"/>
      <c r="W2968" s="34"/>
      <c r="X2968" s="33"/>
      <c r="Y2968" s="35" t="str">
        <f>IF(Tabela2[[#This Row],[SIGLA]]="","",VLOOKUP(Tabela2[[#This Row],[SIGLA]],Tabela1[[#All],[Sigla Arte]:[Crédito]],2,0))</f>
        <v/>
      </c>
      <c r="Z2968" s="31"/>
      <c r="AA2968" s="31" t="str">
        <f>Tabela2[[#This Row],[ILUSTRADOR CRIAÇÃO]]</f>
        <v/>
      </c>
      <c r="AB2968" s="33"/>
      <c r="AC2968" s="16"/>
      <c r="AE2968" s="35" t="str">
        <f t="shared" si="47"/>
        <v>EF1 E002 Mat</v>
      </c>
    </row>
    <row r="2969" spans="1:31" x14ac:dyDescent="0.25">
      <c r="A2969" s="31"/>
      <c r="B2969" s="16"/>
      <c r="C2969" s="16"/>
      <c r="D2969" s="33"/>
      <c r="E2969" s="33"/>
      <c r="F2969" s="33"/>
      <c r="G2969" s="33"/>
      <c r="H2969" s="33"/>
      <c r="I2969" s="31"/>
      <c r="J2969" s="31"/>
      <c r="K2969" s="33"/>
      <c r="L2969" s="33"/>
      <c r="M2969" s="31"/>
      <c r="N2969" s="31"/>
      <c r="O2969" s="16"/>
      <c r="P2969" s="16"/>
      <c r="Q2969" s="16"/>
      <c r="R2969" s="33"/>
      <c r="S2969" s="34"/>
      <c r="T2969" s="34"/>
      <c r="U2969" s="34"/>
      <c r="V2969" s="34"/>
      <c r="W2969" s="34"/>
      <c r="X2969" s="33"/>
      <c r="Y2969" s="35" t="str">
        <f>IF(Tabela2[[#This Row],[SIGLA]]="","",VLOOKUP(Tabela2[[#This Row],[SIGLA]],Tabela1[[#All],[Sigla Arte]:[Crédito]],2,0))</f>
        <v/>
      </c>
      <c r="Z2969" s="31"/>
      <c r="AA2969" s="31" t="str">
        <f>Tabela2[[#This Row],[ILUSTRADOR CRIAÇÃO]]</f>
        <v/>
      </c>
      <c r="AB2969" s="33"/>
      <c r="AC2969" s="16"/>
      <c r="AE2969" s="35" t="str">
        <f t="shared" si="47"/>
        <v>EF1 E002 Mat</v>
      </c>
    </row>
    <row r="2970" spans="1:31" x14ac:dyDescent="0.25">
      <c r="A2970" s="31"/>
      <c r="B2970" s="16"/>
      <c r="C2970" s="16"/>
      <c r="D2970" s="33"/>
      <c r="E2970" s="33"/>
      <c r="F2970" s="33"/>
      <c r="G2970" s="33"/>
      <c r="H2970" s="33"/>
      <c r="I2970" s="31"/>
      <c r="J2970" s="31"/>
      <c r="K2970" s="33"/>
      <c r="L2970" s="33"/>
      <c r="M2970" s="31"/>
      <c r="N2970" s="31"/>
      <c r="O2970" s="16"/>
      <c r="P2970" s="16"/>
      <c r="Q2970" s="16"/>
      <c r="R2970" s="33"/>
      <c r="S2970" s="34"/>
      <c r="T2970" s="34"/>
      <c r="U2970" s="34"/>
      <c r="V2970" s="34"/>
      <c r="W2970" s="34"/>
      <c r="X2970" s="33"/>
      <c r="Y2970" s="35" t="str">
        <f>IF(Tabela2[[#This Row],[SIGLA]]="","",VLOOKUP(Tabela2[[#This Row],[SIGLA]],Tabela1[[#All],[Sigla Arte]:[Crédito]],2,0))</f>
        <v/>
      </c>
      <c r="Z2970" s="31"/>
      <c r="AA2970" s="31" t="str">
        <f>Tabela2[[#This Row],[ILUSTRADOR CRIAÇÃO]]</f>
        <v/>
      </c>
      <c r="AB2970" s="33"/>
      <c r="AC2970" s="16"/>
      <c r="AE2970" s="35" t="str">
        <f t="shared" si="47"/>
        <v>EF1 E002 Mat</v>
      </c>
    </row>
    <row r="2971" spans="1:31" x14ac:dyDescent="0.25">
      <c r="A2971" s="31"/>
      <c r="B2971" s="16"/>
      <c r="C2971" s="16"/>
      <c r="D2971" s="33"/>
      <c r="E2971" s="33"/>
      <c r="F2971" s="33"/>
      <c r="G2971" s="33"/>
      <c r="H2971" s="33"/>
      <c r="I2971" s="31"/>
      <c r="J2971" s="31"/>
      <c r="K2971" s="33"/>
      <c r="L2971" s="33"/>
      <c r="M2971" s="31"/>
      <c r="N2971" s="31"/>
      <c r="O2971" s="16"/>
      <c r="P2971" s="16"/>
      <c r="Q2971" s="16"/>
      <c r="R2971" s="33"/>
      <c r="S2971" s="34"/>
      <c r="T2971" s="34"/>
      <c r="U2971" s="34"/>
      <c r="V2971" s="34"/>
      <c r="W2971" s="34"/>
      <c r="X2971" s="33"/>
      <c r="Y2971" s="35" t="str">
        <f>IF(Tabela2[[#This Row],[SIGLA]]="","",VLOOKUP(Tabela2[[#This Row],[SIGLA]],Tabela1[[#All],[Sigla Arte]:[Crédito]],2,0))</f>
        <v/>
      </c>
      <c r="Z2971" s="31"/>
      <c r="AA2971" s="31" t="str">
        <f>Tabela2[[#This Row],[ILUSTRADOR CRIAÇÃO]]</f>
        <v/>
      </c>
      <c r="AB2971" s="33"/>
      <c r="AC2971" s="16"/>
      <c r="AE2971" s="35" t="str">
        <f t="shared" si="47"/>
        <v>EF1 E002 Mat</v>
      </c>
    </row>
    <row r="2972" spans="1:31" x14ac:dyDescent="0.25">
      <c r="A2972" s="31"/>
      <c r="B2972" s="16"/>
      <c r="C2972" s="16"/>
      <c r="D2972" s="33"/>
      <c r="E2972" s="33"/>
      <c r="F2972" s="33"/>
      <c r="G2972" s="33"/>
      <c r="H2972" s="33"/>
      <c r="I2972" s="31"/>
      <c r="J2972" s="31"/>
      <c r="K2972" s="33"/>
      <c r="L2972" s="33"/>
      <c r="M2972" s="31"/>
      <c r="N2972" s="31"/>
      <c r="O2972" s="16"/>
      <c r="P2972" s="16"/>
      <c r="Q2972" s="16"/>
      <c r="R2972" s="33"/>
      <c r="S2972" s="34"/>
      <c r="T2972" s="34"/>
      <c r="U2972" s="34"/>
      <c r="V2972" s="34"/>
      <c r="W2972" s="34"/>
      <c r="X2972" s="33"/>
      <c r="Y2972" s="35" t="str">
        <f>IF(Tabela2[[#This Row],[SIGLA]]="","",VLOOKUP(Tabela2[[#This Row],[SIGLA]],Tabela1[[#All],[Sigla Arte]:[Crédito]],2,0))</f>
        <v/>
      </c>
      <c r="Z2972" s="31"/>
      <c r="AA2972" s="31" t="str">
        <f>Tabela2[[#This Row],[ILUSTRADOR CRIAÇÃO]]</f>
        <v/>
      </c>
      <c r="AB2972" s="33"/>
      <c r="AC2972" s="16"/>
      <c r="AE2972" s="35" t="str">
        <f t="shared" si="47"/>
        <v>EF1 E002 Mat</v>
      </c>
    </row>
    <row r="2973" spans="1:31" x14ac:dyDescent="0.25">
      <c r="A2973" s="31"/>
      <c r="B2973" s="16"/>
      <c r="C2973" s="16"/>
      <c r="D2973" s="33"/>
      <c r="E2973" s="33"/>
      <c r="F2973" s="33"/>
      <c r="G2973" s="33"/>
      <c r="H2973" s="33"/>
      <c r="I2973" s="31"/>
      <c r="J2973" s="31"/>
      <c r="K2973" s="33"/>
      <c r="L2973" s="33"/>
      <c r="M2973" s="31"/>
      <c r="N2973" s="31"/>
      <c r="O2973" s="16"/>
      <c r="P2973" s="16"/>
      <c r="Q2973" s="16"/>
      <c r="R2973" s="33"/>
      <c r="S2973" s="34"/>
      <c r="T2973" s="34"/>
      <c r="U2973" s="34"/>
      <c r="V2973" s="34"/>
      <c r="W2973" s="34"/>
      <c r="X2973" s="33"/>
      <c r="Y2973" s="35" t="str">
        <f>IF(Tabela2[[#This Row],[SIGLA]]="","",VLOOKUP(Tabela2[[#This Row],[SIGLA]],Tabela1[[#All],[Sigla Arte]:[Crédito]],2,0))</f>
        <v/>
      </c>
      <c r="Z2973" s="31"/>
      <c r="AA2973" s="31" t="str">
        <f>Tabela2[[#This Row],[ILUSTRADOR CRIAÇÃO]]</f>
        <v/>
      </c>
      <c r="AB2973" s="33"/>
      <c r="AC2973" s="16"/>
      <c r="AE2973" s="35" t="str">
        <f t="shared" si="47"/>
        <v>EF1 E002 Mat</v>
      </c>
    </row>
    <row r="2974" spans="1:31" x14ac:dyDescent="0.25">
      <c r="A2974" s="31"/>
      <c r="B2974" s="16"/>
      <c r="C2974" s="16"/>
      <c r="D2974" s="33"/>
      <c r="E2974" s="33"/>
      <c r="F2974" s="33"/>
      <c r="G2974" s="33"/>
      <c r="H2974" s="33"/>
      <c r="I2974" s="31"/>
      <c r="J2974" s="31"/>
      <c r="K2974" s="33"/>
      <c r="L2974" s="33"/>
      <c r="M2974" s="31"/>
      <c r="N2974" s="31"/>
      <c r="O2974" s="16"/>
      <c r="P2974" s="16"/>
      <c r="Q2974" s="16"/>
      <c r="R2974" s="33"/>
      <c r="S2974" s="34"/>
      <c r="T2974" s="34"/>
      <c r="U2974" s="34"/>
      <c r="V2974" s="34"/>
      <c r="W2974" s="34"/>
      <c r="X2974" s="33"/>
      <c r="Y2974" s="35" t="str">
        <f>IF(Tabela2[[#This Row],[SIGLA]]="","",VLOOKUP(Tabela2[[#This Row],[SIGLA]],Tabela1[[#All],[Sigla Arte]:[Crédito]],2,0))</f>
        <v/>
      </c>
      <c r="Z2974" s="31"/>
      <c r="AA2974" s="31" t="str">
        <f>Tabela2[[#This Row],[ILUSTRADOR CRIAÇÃO]]</f>
        <v/>
      </c>
      <c r="AB2974" s="33"/>
      <c r="AC2974" s="16"/>
      <c r="AE2974" s="35" t="str">
        <f t="shared" si="47"/>
        <v>EF1 E002 Mat</v>
      </c>
    </row>
    <row r="2975" spans="1:31" x14ac:dyDescent="0.25">
      <c r="A2975" s="31"/>
      <c r="B2975" s="16"/>
      <c r="C2975" s="16"/>
      <c r="D2975" s="33"/>
      <c r="E2975" s="33"/>
      <c r="F2975" s="33"/>
      <c r="G2975" s="33"/>
      <c r="H2975" s="33"/>
      <c r="I2975" s="31"/>
      <c r="J2975" s="31"/>
      <c r="K2975" s="33"/>
      <c r="L2975" s="33"/>
      <c r="M2975" s="31"/>
      <c r="N2975" s="31"/>
      <c r="O2975" s="16"/>
      <c r="P2975" s="16"/>
      <c r="Q2975" s="16"/>
      <c r="R2975" s="33"/>
      <c r="S2975" s="34"/>
      <c r="T2975" s="34"/>
      <c r="U2975" s="34"/>
      <c r="V2975" s="34"/>
      <c r="W2975" s="34"/>
      <c r="X2975" s="33"/>
      <c r="Y2975" s="35" t="str">
        <f>IF(Tabela2[[#This Row],[SIGLA]]="","",VLOOKUP(Tabela2[[#This Row],[SIGLA]],Tabela1[[#All],[Sigla Arte]:[Crédito]],2,0))</f>
        <v/>
      </c>
      <c r="Z2975" s="31"/>
      <c r="AA2975" s="31" t="str">
        <f>Tabela2[[#This Row],[ILUSTRADOR CRIAÇÃO]]</f>
        <v/>
      </c>
      <c r="AB2975" s="33"/>
      <c r="AC2975" s="16"/>
      <c r="AE2975" s="35" t="str">
        <f t="shared" si="47"/>
        <v>EF1 E002 Mat</v>
      </c>
    </row>
    <row r="2976" spans="1:31" x14ac:dyDescent="0.25">
      <c r="A2976" s="31"/>
      <c r="B2976" s="16"/>
      <c r="C2976" s="16"/>
      <c r="D2976" s="33"/>
      <c r="E2976" s="33"/>
      <c r="F2976" s="33"/>
      <c r="G2976" s="33"/>
      <c r="H2976" s="33"/>
      <c r="I2976" s="31"/>
      <c r="J2976" s="31"/>
      <c r="K2976" s="33"/>
      <c r="L2976" s="33"/>
      <c r="M2976" s="31"/>
      <c r="N2976" s="31"/>
      <c r="O2976" s="16"/>
      <c r="P2976" s="16"/>
      <c r="Q2976" s="16"/>
      <c r="R2976" s="33"/>
      <c r="S2976" s="34"/>
      <c r="T2976" s="34"/>
      <c r="U2976" s="34"/>
      <c r="V2976" s="34"/>
      <c r="W2976" s="34"/>
      <c r="X2976" s="33"/>
      <c r="Y2976" s="35" t="str">
        <f>IF(Tabela2[[#This Row],[SIGLA]]="","",VLOOKUP(Tabela2[[#This Row],[SIGLA]],Tabela1[[#All],[Sigla Arte]:[Crédito]],2,0))</f>
        <v/>
      </c>
      <c r="Z2976" s="31"/>
      <c r="AA2976" s="31" t="str">
        <f>Tabela2[[#This Row],[ILUSTRADOR CRIAÇÃO]]</f>
        <v/>
      </c>
      <c r="AB2976" s="33"/>
      <c r="AC2976" s="16"/>
      <c r="AE2976" s="35" t="str">
        <f t="shared" si="47"/>
        <v>EF1 E002 Mat</v>
      </c>
    </row>
    <row r="2977" spans="1:31" x14ac:dyDescent="0.25">
      <c r="A2977" s="31"/>
      <c r="B2977" s="16"/>
      <c r="C2977" s="16"/>
      <c r="D2977" s="33"/>
      <c r="E2977" s="33"/>
      <c r="F2977" s="33"/>
      <c r="G2977" s="33"/>
      <c r="H2977" s="33"/>
      <c r="I2977" s="31"/>
      <c r="J2977" s="31"/>
      <c r="K2977" s="33"/>
      <c r="L2977" s="33"/>
      <c r="M2977" s="31"/>
      <c r="N2977" s="31"/>
      <c r="O2977" s="16"/>
      <c r="P2977" s="16"/>
      <c r="Q2977" s="16"/>
      <c r="R2977" s="33"/>
      <c r="S2977" s="34"/>
      <c r="T2977" s="34"/>
      <c r="U2977" s="34"/>
      <c r="V2977" s="34"/>
      <c r="W2977" s="34"/>
      <c r="X2977" s="33"/>
      <c r="Y2977" s="35" t="str">
        <f>IF(Tabela2[[#This Row],[SIGLA]]="","",VLOOKUP(Tabela2[[#This Row],[SIGLA]],Tabela1[[#All],[Sigla Arte]:[Crédito]],2,0))</f>
        <v/>
      </c>
      <c r="Z2977" s="31"/>
      <c r="AA2977" s="31" t="str">
        <f>Tabela2[[#This Row],[ILUSTRADOR CRIAÇÃO]]</f>
        <v/>
      </c>
      <c r="AB2977" s="33"/>
      <c r="AC2977" s="16"/>
      <c r="AE2977" s="35" t="str">
        <f t="shared" si="47"/>
        <v>EF1 E002 Mat</v>
      </c>
    </row>
    <row r="2978" spans="1:31" x14ac:dyDescent="0.25">
      <c r="A2978" s="31"/>
      <c r="B2978" s="16"/>
      <c r="C2978" s="16"/>
      <c r="D2978" s="33"/>
      <c r="E2978" s="33"/>
      <c r="F2978" s="33"/>
      <c r="G2978" s="33"/>
      <c r="H2978" s="33"/>
      <c r="I2978" s="31"/>
      <c r="J2978" s="31"/>
      <c r="K2978" s="33"/>
      <c r="L2978" s="33"/>
      <c r="M2978" s="31"/>
      <c r="N2978" s="31"/>
      <c r="O2978" s="16"/>
      <c r="P2978" s="16"/>
      <c r="Q2978" s="16"/>
      <c r="R2978" s="33"/>
      <c r="S2978" s="34"/>
      <c r="T2978" s="34"/>
      <c r="U2978" s="34"/>
      <c r="V2978" s="34"/>
      <c r="W2978" s="34"/>
      <c r="X2978" s="33"/>
      <c r="Y2978" s="35" t="str">
        <f>IF(Tabela2[[#This Row],[SIGLA]]="","",VLOOKUP(Tabela2[[#This Row],[SIGLA]],Tabela1[[#All],[Sigla Arte]:[Crédito]],2,0))</f>
        <v/>
      </c>
      <c r="Z2978" s="31"/>
      <c r="AA2978" s="31" t="str">
        <f>Tabela2[[#This Row],[ILUSTRADOR CRIAÇÃO]]</f>
        <v/>
      </c>
      <c r="AB2978" s="33"/>
      <c r="AC2978" s="16"/>
      <c r="AE2978" s="35" t="str">
        <f t="shared" si="47"/>
        <v>EF1 E002 Mat</v>
      </c>
    </row>
    <row r="2979" spans="1:31" x14ac:dyDescent="0.25">
      <c r="A2979" s="31"/>
      <c r="B2979" s="16"/>
      <c r="C2979" s="16"/>
      <c r="D2979" s="33"/>
      <c r="E2979" s="33"/>
      <c r="F2979" s="33"/>
      <c r="G2979" s="33"/>
      <c r="H2979" s="33"/>
      <c r="I2979" s="31"/>
      <c r="J2979" s="31"/>
      <c r="K2979" s="33"/>
      <c r="L2979" s="33"/>
      <c r="M2979" s="31"/>
      <c r="N2979" s="31"/>
      <c r="O2979" s="16"/>
      <c r="P2979" s="16"/>
      <c r="Q2979" s="16"/>
      <c r="R2979" s="33"/>
      <c r="S2979" s="34"/>
      <c r="T2979" s="34"/>
      <c r="U2979" s="34"/>
      <c r="V2979" s="34"/>
      <c r="W2979" s="34"/>
      <c r="X2979" s="33"/>
      <c r="Y2979" s="35" t="str">
        <f>IF(Tabela2[[#This Row],[SIGLA]]="","",VLOOKUP(Tabela2[[#This Row],[SIGLA]],Tabela1[[#All],[Sigla Arte]:[Crédito]],2,0))</f>
        <v/>
      </c>
      <c r="Z2979" s="31"/>
      <c r="AA2979" s="31" t="str">
        <f>Tabela2[[#This Row],[ILUSTRADOR CRIAÇÃO]]</f>
        <v/>
      </c>
      <c r="AB2979" s="33"/>
      <c r="AC2979" s="16"/>
      <c r="AE2979" s="35" t="str">
        <f t="shared" si="47"/>
        <v>EF1 E002 Mat</v>
      </c>
    </row>
    <row r="2980" spans="1:31" x14ac:dyDescent="0.25">
      <c r="A2980" s="31"/>
      <c r="B2980" s="16"/>
      <c r="C2980" s="16"/>
      <c r="D2980" s="33"/>
      <c r="E2980" s="33"/>
      <c r="F2980" s="33"/>
      <c r="G2980" s="33"/>
      <c r="H2980" s="33"/>
      <c r="I2980" s="31"/>
      <c r="J2980" s="31"/>
      <c r="K2980" s="33"/>
      <c r="L2980" s="33"/>
      <c r="M2980" s="31"/>
      <c r="N2980" s="31"/>
      <c r="O2980" s="16"/>
      <c r="P2980" s="16"/>
      <c r="Q2980" s="16"/>
      <c r="R2980" s="33"/>
      <c r="S2980" s="34"/>
      <c r="T2980" s="34"/>
      <c r="U2980" s="34"/>
      <c r="V2980" s="34"/>
      <c r="W2980" s="34"/>
      <c r="X2980" s="33"/>
      <c r="Y2980" s="35" t="str">
        <f>IF(Tabela2[[#This Row],[SIGLA]]="","",VLOOKUP(Tabela2[[#This Row],[SIGLA]],Tabela1[[#All],[Sigla Arte]:[Crédito]],2,0))</f>
        <v/>
      </c>
      <c r="Z2980" s="31"/>
      <c r="AA2980" s="31" t="str">
        <f>Tabela2[[#This Row],[ILUSTRADOR CRIAÇÃO]]</f>
        <v/>
      </c>
      <c r="AB2980" s="33"/>
      <c r="AC2980" s="16"/>
      <c r="AE2980" s="35" t="str">
        <f t="shared" si="47"/>
        <v>EF1 E002 Mat</v>
      </c>
    </row>
    <row r="2981" spans="1:31" x14ac:dyDescent="0.25">
      <c r="A2981" s="31"/>
      <c r="B2981" s="16"/>
      <c r="C2981" s="16"/>
      <c r="D2981" s="33"/>
      <c r="E2981" s="33"/>
      <c r="F2981" s="33"/>
      <c r="G2981" s="33"/>
      <c r="H2981" s="33"/>
      <c r="I2981" s="31"/>
      <c r="J2981" s="31"/>
      <c r="K2981" s="33"/>
      <c r="L2981" s="33"/>
      <c r="M2981" s="31"/>
      <c r="N2981" s="31"/>
      <c r="O2981" s="16"/>
      <c r="P2981" s="16"/>
      <c r="Q2981" s="16"/>
      <c r="R2981" s="33"/>
      <c r="S2981" s="34"/>
      <c r="T2981" s="34"/>
      <c r="U2981" s="34"/>
      <c r="V2981" s="34"/>
      <c r="W2981" s="34"/>
      <c r="X2981" s="33"/>
      <c r="Y2981" s="35" t="str">
        <f>IF(Tabela2[[#This Row],[SIGLA]]="","",VLOOKUP(Tabela2[[#This Row],[SIGLA]],Tabela1[[#All],[Sigla Arte]:[Crédito]],2,0))</f>
        <v/>
      </c>
      <c r="Z2981" s="31"/>
      <c r="AA2981" s="31" t="str">
        <f>Tabela2[[#This Row],[ILUSTRADOR CRIAÇÃO]]</f>
        <v/>
      </c>
      <c r="AB2981" s="33"/>
      <c r="AC2981" s="16"/>
      <c r="AE2981" s="35" t="str">
        <f t="shared" si="47"/>
        <v>EF1 E002 Mat</v>
      </c>
    </row>
    <row r="2982" spans="1:31" x14ac:dyDescent="0.25">
      <c r="A2982" s="31"/>
      <c r="B2982" s="16"/>
      <c r="C2982" s="16"/>
      <c r="D2982" s="33"/>
      <c r="E2982" s="33"/>
      <c r="F2982" s="33"/>
      <c r="G2982" s="33"/>
      <c r="H2982" s="33"/>
      <c r="I2982" s="31"/>
      <c r="J2982" s="31"/>
      <c r="K2982" s="33"/>
      <c r="L2982" s="33"/>
      <c r="M2982" s="31"/>
      <c r="N2982" s="31"/>
      <c r="O2982" s="16"/>
      <c r="P2982" s="16"/>
      <c r="Q2982" s="16"/>
      <c r="R2982" s="33"/>
      <c r="S2982" s="34"/>
      <c r="T2982" s="34"/>
      <c r="U2982" s="34"/>
      <c r="V2982" s="34"/>
      <c r="W2982" s="34"/>
      <c r="X2982" s="33"/>
      <c r="Y2982" s="35" t="str">
        <f>IF(Tabela2[[#This Row],[SIGLA]]="","",VLOOKUP(Tabela2[[#This Row],[SIGLA]],Tabela1[[#All],[Sigla Arte]:[Crédito]],2,0))</f>
        <v/>
      </c>
      <c r="Z2982" s="31"/>
      <c r="AA2982" s="31" t="str">
        <f>Tabela2[[#This Row],[ILUSTRADOR CRIAÇÃO]]</f>
        <v/>
      </c>
      <c r="AB2982" s="33"/>
      <c r="AC2982" s="16"/>
      <c r="AE2982" s="35" t="str">
        <f t="shared" si="47"/>
        <v>EF1 E002 Mat</v>
      </c>
    </row>
    <row r="2983" spans="1:31" x14ac:dyDescent="0.25">
      <c r="A2983" s="31"/>
      <c r="B2983" s="16"/>
      <c r="C2983" s="16"/>
      <c r="D2983" s="33"/>
      <c r="E2983" s="33"/>
      <c r="F2983" s="33"/>
      <c r="G2983" s="33"/>
      <c r="H2983" s="33"/>
      <c r="I2983" s="31"/>
      <c r="J2983" s="31"/>
      <c r="K2983" s="33"/>
      <c r="L2983" s="33"/>
      <c r="M2983" s="31"/>
      <c r="N2983" s="31"/>
      <c r="O2983" s="16"/>
      <c r="P2983" s="16"/>
      <c r="Q2983" s="16"/>
      <c r="R2983" s="33"/>
      <c r="S2983" s="34"/>
      <c r="T2983" s="34"/>
      <c r="U2983" s="34"/>
      <c r="V2983" s="34"/>
      <c r="W2983" s="34"/>
      <c r="X2983" s="33"/>
      <c r="Y2983" s="35" t="str">
        <f>IF(Tabela2[[#This Row],[SIGLA]]="","",VLOOKUP(Tabela2[[#This Row],[SIGLA]],Tabela1[[#All],[Sigla Arte]:[Crédito]],2,0))</f>
        <v/>
      </c>
      <c r="Z2983" s="31"/>
      <c r="AA2983" s="31" t="str">
        <f>Tabela2[[#This Row],[ILUSTRADOR CRIAÇÃO]]</f>
        <v/>
      </c>
      <c r="AB2983" s="33"/>
      <c r="AC2983" s="16"/>
      <c r="AE2983" s="35" t="str">
        <f t="shared" si="47"/>
        <v>EF1 E002 Mat</v>
      </c>
    </row>
    <row r="2984" spans="1:31" x14ac:dyDescent="0.25">
      <c r="A2984" s="31"/>
      <c r="B2984" s="16"/>
      <c r="C2984" s="16"/>
      <c r="D2984" s="33"/>
      <c r="E2984" s="33"/>
      <c r="F2984" s="33"/>
      <c r="G2984" s="33"/>
      <c r="H2984" s="33"/>
      <c r="I2984" s="31"/>
      <c r="J2984" s="31"/>
      <c r="K2984" s="33"/>
      <c r="L2984" s="33"/>
      <c r="M2984" s="31"/>
      <c r="N2984" s="31"/>
      <c r="O2984" s="16"/>
      <c r="P2984" s="16"/>
      <c r="Q2984" s="16"/>
      <c r="R2984" s="33"/>
      <c r="S2984" s="34"/>
      <c r="T2984" s="34"/>
      <c r="U2984" s="34"/>
      <c r="V2984" s="34"/>
      <c r="W2984" s="34"/>
      <c r="X2984" s="33"/>
      <c r="Y2984" s="35" t="str">
        <f>IF(Tabela2[[#This Row],[SIGLA]]="","",VLOOKUP(Tabela2[[#This Row],[SIGLA]],Tabela1[[#All],[Sigla Arte]:[Crédito]],2,0))</f>
        <v/>
      </c>
      <c r="Z2984" s="31"/>
      <c r="AA2984" s="31" t="str">
        <f>Tabela2[[#This Row],[ILUSTRADOR CRIAÇÃO]]</f>
        <v/>
      </c>
      <c r="AB2984" s="33"/>
      <c r="AC2984" s="16"/>
      <c r="AE2984" s="35" t="str">
        <f t="shared" si="47"/>
        <v>EF1 E002 Mat</v>
      </c>
    </row>
    <row r="2985" spans="1:31" x14ac:dyDescent="0.25">
      <c r="A2985" s="31"/>
      <c r="B2985" s="16"/>
      <c r="C2985" s="16"/>
      <c r="D2985" s="33"/>
      <c r="E2985" s="33"/>
      <c r="F2985" s="33"/>
      <c r="G2985" s="33"/>
      <c r="H2985" s="33"/>
      <c r="I2985" s="31"/>
      <c r="J2985" s="31"/>
      <c r="K2985" s="33"/>
      <c r="L2985" s="33"/>
      <c r="M2985" s="31"/>
      <c r="N2985" s="31"/>
      <c r="O2985" s="16"/>
      <c r="P2985" s="16"/>
      <c r="Q2985" s="16"/>
      <c r="R2985" s="33"/>
      <c r="S2985" s="34"/>
      <c r="T2985" s="34"/>
      <c r="U2985" s="34"/>
      <c r="V2985" s="34"/>
      <c r="W2985" s="34"/>
      <c r="X2985" s="33"/>
      <c r="Y2985" s="35" t="str">
        <f>IF(Tabela2[[#This Row],[SIGLA]]="","",VLOOKUP(Tabela2[[#This Row],[SIGLA]],Tabela1[[#All],[Sigla Arte]:[Crédito]],2,0))</f>
        <v/>
      </c>
      <c r="Z2985" s="31"/>
      <c r="AA2985" s="31" t="str">
        <f>Tabela2[[#This Row],[ILUSTRADOR CRIAÇÃO]]</f>
        <v/>
      </c>
      <c r="AB2985" s="33"/>
      <c r="AC2985" s="16"/>
      <c r="AE2985" s="35" t="str">
        <f t="shared" si="47"/>
        <v>EF1 E002 Mat</v>
      </c>
    </row>
    <row r="2986" spans="1:31" x14ac:dyDescent="0.25">
      <c r="A2986" s="31"/>
      <c r="B2986" s="16"/>
      <c r="C2986" s="16"/>
      <c r="D2986" s="33"/>
      <c r="E2986" s="33"/>
      <c r="F2986" s="33"/>
      <c r="G2986" s="33"/>
      <c r="H2986" s="33"/>
      <c r="I2986" s="31"/>
      <c r="J2986" s="31"/>
      <c r="K2986" s="33"/>
      <c r="L2986" s="33"/>
      <c r="M2986" s="31"/>
      <c r="N2986" s="31"/>
      <c r="O2986" s="16"/>
      <c r="P2986" s="16"/>
      <c r="Q2986" s="16"/>
      <c r="R2986" s="33"/>
      <c r="S2986" s="34"/>
      <c r="T2986" s="34"/>
      <c r="U2986" s="34"/>
      <c r="V2986" s="34"/>
      <c r="W2986" s="34"/>
      <c r="X2986" s="33"/>
      <c r="Y2986" s="35" t="str">
        <f>IF(Tabela2[[#This Row],[SIGLA]]="","",VLOOKUP(Tabela2[[#This Row],[SIGLA]],Tabela1[[#All],[Sigla Arte]:[Crédito]],2,0))</f>
        <v/>
      </c>
      <c r="Z2986" s="31"/>
      <c r="AA2986" s="31" t="str">
        <f>Tabela2[[#This Row],[ILUSTRADOR CRIAÇÃO]]</f>
        <v/>
      </c>
      <c r="AB2986" s="33"/>
      <c r="AC2986" s="16"/>
      <c r="AE2986" s="35" t="str">
        <f t="shared" si="47"/>
        <v>EF1 E002 Mat</v>
      </c>
    </row>
    <row r="2987" spans="1:31" x14ac:dyDescent="0.25">
      <c r="A2987" s="31"/>
      <c r="B2987" s="16"/>
      <c r="C2987" s="16"/>
      <c r="D2987" s="33"/>
      <c r="E2987" s="33"/>
      <c r="F2987" s="33"/>
      <c r="G2987" s="33"/>
      <c r="H2987" s="33"/>
      <c r="I2987" s="31"/>
      <c r="J2987" s="31"/>
      <c r="K2987" s="33"/>
      <c r="L2987" s="33"/>
      <c r="M2987" s="31"/>
      <c r="N2987" s="31"/>
      <c r="O2987" s="16"/>
      <c r="P2987" s="16"/>
      <c r="Q2987" s="16"/>
      <c r="R2987" s="33"/>
      <c r="S2987" s="34"/>
      <c r="T2987" s="34"/>
      <c r="U2987" s="34"/>
      <c r="V2987" s="34"/>
      <c r="W2987" s="34"/>
      <c r="X2987" s="33"/>
      <c r="Y2987" s="35" t="str">
        <f>IF(Tabela2[[#This Row],[SIGLA]]="","",VLOOKUP(Tabela2[[#This Row],[SIGLA]],Tabela1[[#All],[Sigla Arte]:[Crédito]],2,0))</f>
        <v/>
      </c>
      <c r="Z2987" s="31"/>
      <c r="AA2987" s="31" t="str">
        <f>Tabela2[[#This Row],[ILUSTRADOR CRIAÇÃO]]</f>
        <v/>
      </c>
      <c r="AB2987" s="33"/>
      <c r="AC2987" s="16"/>
      <c r="AE2987" s="35" t="str">
        <f t="shared" si="47"/>
        <v>EF1 E002 Mat</v>
      </c>
    </row>
    <row r="2988" spans="1:31" x14ac:dyDescent="0.25">
      <c r="A2988" s="31"/>
      <c r="B2988" s="16"/>
      <c r="C2988" s="16"/>
      <c r="D2988" s="33"/>
      <c r="E2988" s="33"/>
      <c r="F2988" s="33"/>
      <c r="G2988" s="33"/>
      <c r="H2988" s="33"/>
      <c r="I2988" s="31"/>
      <c r="J2988" s="31"/>
      <c r="K2988" s="33"/>
      <c r="L2988" s="33"/>
      <c r="M2988" s="31"/>
      <c r="N2988" s="31"/>
      <c r="O2988" s="16"/>
      <c r="P2988" s="16"/>
      <c r="Q2988" s="16"/>
      <c r="R2988" s="33"/>
      <c r="S2988" s="34"/>
      <c r="T2988" s="34"/>
      <c r="U2988" s="34"/>
      <c r="V2988" s="34"/>
      <c r="W2988" s="34"/>
      <c r="X2988" s="33"/>
      <c r="Y2988" s="35" t="str">
        <f>IF(Tabela2[[#This Row],[SIGLA]]="","",VLOOKUP(Tabela2[[#This Row],[SIGLA]],Tabela1[[#All],[Sigla Arte]:[Crédito]],2,0))</f>
        <v/>
      </c>
      <c r="Z2988" s="31"/>
      <c r="AA2988" s="31" t="str">
        <f>Tabela2[[#This Row],[ILUSTRADOR CRIAÇÃO]]</f>
        <v/>
      </c>
      <c r="AB2988" s="33"/>
      <c r="AC2988" s="16"/>
      <c r="AE2988" s="35" t="str">
        <f t="shared" si="47"/>
        <v>EF1 E002 Mat</v>
      </c>
    </row>
    <row r="2989" spans="1:31" x14ac:dyDescent="0.25">
      <c r="A2989" s="31"/>
      <c r="B2989" s="16"/>
      <c r="C2989" s="16"/>
      <c r="D2989" s="33"/>
      <c r="E2989" s="33"/>
      <c r="F2989" s="33"/>
      <c r="G2989" s="33"/>
      <c r="H2989" s="33"/>
      <c r="I2989" s="31"/>
      <c r="J2989" s="31"/>
      <c r="K2989" s="33"/>
      <c r="L2989" s="33"/>
      <c r="M2989" s="31"/>
      <c r="N2989" s="31"/>
      <c r="O2989" s="16"/>
      <c r="P2989" s="16"/>
      <c r="Q2989" s="16"/>
      <c r="R2989" s="33"/>
      <c r="S2989" s="34"/>
      <c r="T2989" s="34"/>
      <c r="U2989" s="34"/>
      <c r="V2989" s="34"/>
      <c r="W2989" s="34"/>
      <c r="X2989" s="33"/>
      <c r="Y2989" s="35" t="str">
        <f>IF(Tabela2[[#This Row],[SIGLA]]="","",VLOOKUP(Tabela2[[#This Row],[SIGLA]],Tabela1[[#All],[Sigla Arte]:[Crédito]],2,0))</f>
        <v/>
      </c>
      <c r="Z2989" s="31"/>
      <c r="AA2989" s="31" t="str">
        <f>Tabela2[[#This Row],[ILUSTRADOR CRIAÇÃO]]</f>
        <v/>
      </c>
      <c r="AB2989" s="33"/>
      <c r="AC2989" s="16"/>
      <c r="AE2989" s="35" t="str">
        <f t="shared" si="47"/>
        <v>EF1 E002 Mat</v>
      </c>
    </row>
    <row r="2990" spans="1:31" x14ac:dyDescent="0.25">
      <c r="A2990" s="31"/>
      <c r="B2990" s="16"/>
      <c r="C2990" s="16"/>
      <c r="D2990" s="33"/>
      <c r="E2990" s="33"/>
      <c r="F2990" s="33"/>
      <c r="G2990" s="33"/>
      <c r="H2990" s="33"/>
      <c r="I2990" s="31"/>
      <c r="J2990" s="31"/>
      <c r="K2990" s="33"/>
      <c r="L2990" s="33"/>
      <c r="M2990" s="31"/>
      <c r="N2990" s="31"/>
      <c r="O2990" s="16"/>
      <c r="P2990" s="16"/>
      <c r="Q2990" s="16"/>
      <c r="R2990" s="33"/>
      <c r="S2990" s="34"/>
      <c r="T2990" s="34"/>
      <c r="U2990" s="34"/>
      <c r="V2990" s="34"/>
      <c r="W2990" s="34"/>
      <c r="X2990" s="33"/>
      <c r="Y2990" s="35" t="str">
        <f>IF(Tabela2[[#This Row],[SIGLA]]="","",VLOOKUP(Tabela2[[#This Row],[SIGLA]],Tabela1[[#All],[Sigla Arte]:[Crédito]],2,0))</f>
        <v/>
      </c>
      <c r="Z2990" s="31"/>
      <c r="AA2990" s="31" t="str">
        <f>Tabela2[[#This Row],[ILUSTRADOR CRIAÇÃO]]</f>
        <v/>
      </c>
      <c r="AB2990" s="33"/>
      <c r="AC2990" s="16"/>
      <c r="AE2990" s="35" t="str">
        <f t="shared" si="47"/>
        <v>EF1 E002 Mat</v>
      </c>
    </row>
    <row r="2991" spans="1:31" x14ac:dyDescent="0.25">
      <c r="A2991" s="31"/>
      <c r="B2991" s="16"/>
      <c r="C2991" s="16"/>
      <c r="D2991" s="33"/>
      <c r="E2991" s="33"/>
      <c r="F2991" s="33"/>
      <c r="G2991" s="33"/>
      <c r="H2991" s="33"/>
      <c r="I2991" s="31"/>
      <c r="J2991" s="31"/>
      <c r="K2991" s="33"/>
      <c r="L2991" s="33"/>
      <c r="M2991" s="31"/>
      <c r="N2991" s="31"/>
      <c r="O2991" s="16"/>
      <c r="P2991" s="16"/>
      <c r="Q2991" s="16"/>
      <c r="R2991" s="33"/>
      <c r="S2991" s="34"/>
      <c r="T2991" s="34"/>
      <c r="U2991" s="34"/>
      <c r="V2991" s="34"/>
      <c r="W2991" s="34"/>
      <c r="X2991" s="33"/>
      <c r="Y2991" s="35" t="str">
        <f>IF(Tabela2[[#This Row],[SIGLA]]="","",VLOOKUP(Tabela2[[#This Row],[SIGLA]],Tabela1[[#All],[Sigla Arte]:[Crédito]],2,0))</f>
        <v/>
      </c>
      <c r="Z2991" s="31"/>
      <c r="AA2991" s="31" t="str">
        <f>Tabela2[[#This Row],[ILUSTRADOR CRIAÇÃO]]</f>
        <v/>
      </c>
      <c r="AB2991" s="33"/>
      <c r="AC2991" s="16"/>
      <c r="AE2991" s="35" t="str">
        <f t="shared" si="47"/>
        <v>EF1 E002 Mat</v>
      </c>
    </row>
    <row r="2992" spans="1:31" x14ac:dyDescent="0.25">
      <c r="A2992" s="31"/>
      <c r="B2992" s="16"/>
      <c r="C2992" s="16"/>
      <c r="D2992" s="33"/>
      <c r="E2992" s="33"/>
      <c r="F2992" s="33"/>
      <c r="G2992" s="33"/>
      <c r="H2992" s="33"/>
      <c r="I2992" s="31"/>
      <c r="J2992" s="31"/>
      <c r="K2992" s="33"/>
      <c r="L2992" s="33"/>
      <c r="M2992" s="31"/>
      <c r="N2992" s="31"/>
      <c r="O2992" s="16"/>
      <c r="P2992" s="16"/>
      <c r="Q2992" s="16"/>
      <c r="R2992" s="33"/>
      <c r="S2992" s="34"/>
      <c r="T2992" s="34"/>
      <c r="U2992" s="34"/>
      <c r="V2992" s="34"/>
      <c r="W2992" s="34"/>
      <c r="X2992" s="33"/>
      <c r="Y2992" s="35" t="str">
        <f>IF(Tabela2[[#This Row],[SIGLA]]="","",VLOOKUP(Tabela2[[#This Row],[SIGLA]],Tabela1[[#All],[Sigla Arte]:[Crédito]],2,0))</f>
        <v/>
      </c>
      <c r="Z2992" s="31"/>
      <c r="AA2992" s="31" t="str">
        <f>Tabela2[[#This Row],[ILUSTRADOR CRIAÇÃO]]</f>
        <v/>
      </c>
      <c r="AB2992" s="33"/>
      <c r="AC2992" s="16"/>
      <c r="AE2992" s="35" t="str">
        <f t="shared" si="47"/>
        <v>EF1 E002 Mat</v>
      </c>
    </row>
    <row r="2993" spans="1:31" x14ac:dyDescent="0.25">
      <c r="A2993" s="31"/>
      <c r="B2993" s="16"/>
      <c r="C2993" s="16"/>
      <c r="D2993" s="33"/>
      <c r="E2993" s="33"/>
      <c r="F2993" s="33"/>
      <c r="G2993" s="33"/>
      <c r="H2993" s="33"/>
      <c r="I2993" s="31"/>
      <c r="J2993" s="31"/>
      <c r="K2993" s="33"/>
      <c r="L2993" s="33"/>
      <c r="M2993" s="31"/>
      <c r="N2993" s="31"/>
      <c r="O2993" s="16"/>
      <c r="P2993" s="16"/>
      <c r="Q2993" s="16"/>
      <c r="R2993" s="33"/>
      <c r="S2993" s="34"/>
      <c r="T2993" s="34"/>
      <c r="U2993" s="34"/>
      <c r="V2993" s="34"/>
      <c r="W2993" s="34"/>
      <c r="X2993" s="33"/>
      <c r="Y2993" s="35" t="str">
        <f>IF(Tabela2[[#This Row],[SIGLA]]="","",VLOOKUP(Tabela2[[#This Row],[SIGLA]],Tabela1[[#All],[Sigla Arte]:[Crédito]],2,0))</f>
        <v/>
      </c>
      <c r="Z2993" s="31"/>
      <c r="AA2993" s="31" t="str">
        <f>Tabela2[[#This Row],[ILUSTRADOR CRIAÇÃO]]</f>
        <v/>
      </c>
      <c r="AB2993" s="33"/>
      <c r="AC2993" s="16"/>
      <c r="AE2993" s="35" t="str">
        <f t="shared" si="47"/>
        <v>EF1 E002 Mat</v>
      </c>
    </row>
    <row r="2994" spans="1:31" x14ac:dyDescent="0.25">
      <c r="A2994" s="31"/>
      <c r="B2994" s="16"/>
      <c r="C2994" s="16"/>
      <c r="D2994" s="33"/>
      <c r="E2994" s="33"/>
      <c r="F2994" s="33"/>
      <c r="G2994" s="33"/>
      <c r="H2994" s="33"/>
      <c r="I2994" s="31"/>
      <c r="J2994" s="31"/>
      <c r="K2994" s="33"/>
      <c r="L2994" s="33"/>
      <c r="M2994" s="31"/>
      <c r="N2994" s="31"/>
      <c r="O2994" s="16"/>
      <c r="P2994" s="16"/>
      <c r="Q2994" s="16"/>
      <c r="R2994" s="33"/>
      <c r="S2994" s="34"/>
      <c r="T2994" s="34"/>
      <c r="U2994" s="34"/>
      <c r="V2994" s="34"/>
      <c r="W2994" s="34"/>
      <c r="X2994" s="33"/>
      <c r="Y2994" s="35" t="str">
        <f>IF(Tabela2[[#This Row],[SIGLA]]="","",VLOOKUP(Tabela2[[#This Row],[SIGLA]],Tabela1[[#All],[Sigla Arte]:[Crédito]],2,0))</f>
        <v/>
      </c>
      <c r="Z2994" s="31"/>
      <c r="AA2994" s="31" t="str">
        <f>Tabela2[[#This Row],[ILUSTRADOR CRIAÇÃO]]</f>
        <v/>
      </c>
      <c r="AB2994" s="33"/>
      <c r="AC2994" s="16"/>
      <c r="AE2994" s="35" t="str">
        <f t="shared" ref="AE2994:AE3057" si="48">"EF1 E002 Mat"</f>
        <v>EF1 E002 Mat</v>
      </c>
    </row>
    <row r="2995" spans="1:31" x14ac:dyDescent="0.25">
      <c r="A2995" s="31"/>
      <c r="B2995" s="16"/>
      <c r="C2995" s="16"/>
      <c r="D2995" s="33"/>
      <c r="E2995" s="33"/>
      <c r="F2995" s="33"/>
      <c r="G2995" s="33"/>
      <c r="H2995" s="33"/>
      <c r="I2995" s="31"/>
      <c r="J2995" s="31"/>
      <c r="K2995" s="33"/>
      <c r="L2995" s="33"/>
      <c r="M2995" s="31"/>
      <c r="N2995" s="31"/>
      <c r="O2995" s="16"/>
      <c r="P2995" s="16"/>
      <c r="Q2995" s="16"/>
      <c r="R2995" s="33"/>
      <c r="S2995" s="34"/>
      <c r="T2995" s="34"/>
      <c r="U2995" s="34"/>
      <c r="V2995" s="34"/>
      <c r="W2995" s="34"/>
      <c r="X2995" s="33"/>
      <c r="Y2995" s="35" t="str">
        <f>IF(Tabela2[[#This Row],[SIGLA]]="","",VLOOKUP(Tabela2[[#This Row],[SIGLA]],Tabela1[[#All],[Sigla Arte]:[Crédito]],2,0))</f>
        <v/>
      </c>
      <c r="Z2995" s="31"/>
      <c r="AA2995" s="31" t="str">
        <f>Tabela2[[#This Row],[ILUSTRADOR CRIAÇÃO]]</f>
        <v/>
      </c>
      <c r="AB2995" s="33"/>
      <c r="AC2995" s="16"/>
      <c r="AE2995" s="35" t="str">
        <f t="shared" si="48"/>
        <v>EF1 E002 Mat</v>
      </c>
    </row>
    <row r="2996" spans="1:31" x14ac:dyDescent="0.25">
      <c r="A2996" s="31"/>
      <c r="B2996" s="16"/>
      <c r="C2996" s="16"/>
      <c r="D2996" s="33"/>
      <c r="E2996" s="33"/>
      <c r="F2996" s="33"/>
      <c r="G2996" s="33"/>
      <c r="H2996" s="33"/>
      <c r="I2996" s="31"/>
      <c r="J2996" s="31"/>
      <c r="K2996" s="33"/>
      <c r="L2996" s="33"/>
      <c r="M2996" s="31"/>
      <c r="N2996" s="31"/>
      <c r="O2996" s="16"/>
      <c r="P2996" s="16"/>
      <c r="Q2996" s="16"/>
      <c r="R2996" s="33"/>
      <c r="S2996" s="34"/>
      <c r="T2996" s="34"/>
      <c r="U2996" s="34"/>
      <c r="V2996" s="34"/>
      <c r="W2996" s="34"/>
      <c r="X2996" s="33"/>
      <c r="Y2996" s="35" t="str">
        <f>IF(Tabela2[[#This Row],[SIGLA]]="","",VLOOKUP(Tabela2[[#This Row],[SIGLA]],Tabela1[[#All],[Sigla Arte]:[Crédito]],2,0))</f>
        <v/>
      </c>
      <c r="Z2996" s="31"/>
      <c r="AA2996" s="31" t="str">
        <f>Tabela2[[#This Row],[ILUSTRADOR CRIAÇÃO]]</f>
        <v/>
      </c>
      <c r="AB2996" s="33"/>
      <c r="AC2996" s="16"/>
      <c r="AE2996" s="35" t="str">
        <f t="shared" si="48"/>
        <v>EF1 E002 Mat</v>
      </c>
    </row>
    <row r="2997" spans="1:31" x14ac:dyDescent="0.25">
      <c r="A2997" s="31"/>
      <c r="B2997" s="16"/>
      <c r="C2997" s="16"/>
      <c r="D2997" s="33"/>
      <c r="E2997" s="33"/>
      <c r="F2997" s="33"/>
      <c r="G2997" s="33"/>
      <c r="H2997" s="33"/>
      <c r="I2997" s="31"/>
      <c r="J2997" s="31"/>
      <c r="K2997" s="33"/>
      <c r="L2997" s="33"/>
      <c r="M2997" s="31"/>
      <c r="N2997" s="31"/>
      <c r="O2997" s="16"/>
      <c r="P2997" s="16"/>
      <c r="Q2997" s="16"/>
      <c r="R2997" s="33"/>
      <c r="S2997" s="34"/>
      <c r="T2997" s="34"/>
      <c r="U2997" s="34"/>
      <c r="V2997" s="34"/>
      <c r="W2997" s="34"/>
      <c r="X2997" s="33"/>
      <c r="Y2997" s="35" t="str">
        <f>IF(Tabela2[[#This Row],[SIGLA]]="","",VLOOKUP(Tabela2[[#This Row],[SIGLA]],Tabela1[[#All],[Sigla Arte]:[Crédito]],2,0))</f>
        <v/>
      </c>
      <c r="Z2997" s="31"/>
      <c r="AA2997" s="31" t="str">
        <f>Tabela2[[#This Row],[ILUSTRADOR CRIAÇÃO]]</f>
        <v/>
      </c>
      <c r="AB2997" s="33"/>
      <c r="AC2997" s="16"/>
      <c r="AE2997" s="35" t="str">
        <f t="shared" si="48"/>
        <v>EF1 E002 Mat</v>
      </c>
    </row>
    <row r="2998" spans="1:31" x14ac:dyDescent="0.25">
      <c r="A2998" s="31"/>
      <c r="B2998" s="16"/>
      <c r="C2998" s="16"/>
      <c r="D2998" s="33"/>
      <c r="E2998" s="33"/>
      <c r="F2998" s="33"/>
      <c r="G2998" s="33"/>
      <c r="H2998" s="33"/>
      <c r="I2998" s="31"/>
      <c r="J2998" s="31"/>
      <c r="K2998" s="33"/>
      <c r="L2998" s="33"/>
      <c r="M2998" s="31"/>
      <c r="N2998" s="31"/>
      <c r="O2998" s="16"/>
      <c r="P2998" s="16"/>
      <c r="Q2998" s="16"/>
      <c r="R2998" s="33"/>
      <c r="S2998" s="34"/>
      <c r="T2998" s="34"/>
      <c r="U2998" s="34"/>
      <c r="V2998" s="34"/>
      <c r="W2998" s="34"/>
      <c r="X2998" s="33"/>
      <c r="Y2998" s="35" t="str">
        <f>IF(Tabela2[[#This Row],[SIGLA]]="","",VLOOKUP(Tabela2[[#This Row],[SIGLA]],Tabela1[[#All],[Sigla Arte]:[Crédito]],2,0))</f>
        <v/>
      </c>
      <c r="Z2998" s="31"/>
      <c r="AA2998" s="31" t="str">
        <f>Tabela2[[#This Row],[ILUSTRADOR CRIAÇÃO]]</f>
        <v/>
      </c>
      <c r="AB2998" s="33"/>
      <c r="AC2998" s="16"/>
      <c r="AE2998" s="35" t="str">
        <f t="shared" si="48"/>
        <v>EF1 E002 Mat</v>
      </c>
    </row>
    <row r="2999" spans="1:31" x14ac:dyDescent="0.25">
      <c r="A2999" s="31"/>
      <c r="B2999" s="16"/>
      <c r="C2999" s="16"/>
      <c r="D2999" s="33"/>
      <c r="E2999" s="33"/>
      <c r="F2999" s="33"/>
      <c r="G2999" s="33"/>
      <c r="H2999" s="33"/>
      <c r="I2999" s="31"/>
      <c r="J2999" s="31"/>
      <c r="K2999" s="33"/>
      <c r="L2999" s="33"/>
      <c r="M2999" s="31"/>
      <c r="N2999" s="31"/>
      <c r="O2999" s="16"/>
      <c r="P2999" s="16"/>
      <c r="Q2999" s="16"/>
      <c r="R2999" s="33"/>
      <c r="S2999" s="34"/>
      <c r="T2999" s="34"/>
      <c r="U2999" s="34"/>
      <c r="V2999" s="34"/>
      <c r="W2999" s="34"/>
      <c r="X2999" s="33"/>
      <c r="Y2999" s="35" t="str">
        <f>IF(Tabela2[[#This Row],[SIGLA]]="","",VLOOKUP(Tabela2[[#This Row],[SIGLA]],Tabela1[[#All],[Sigla Arte]:[Crédito]],2,0))</f>
        <v/>
      </c>
      <c r="Z2999" s="31"/>
      <c r="AA2999" s="31" t="str">
        <f>Tabela2[[#This Row],[ILUSTRADOR CRIAÇÃO]]</f>
        <v/>
      </c>
      <c r="AB2999" s="33"/>
      <c r="AC2999" s="16"/>
      <c r="AE2999" s="35" t="str">
        <f t="shared" si="48"/>
        <v>EF1 E002 Mat</v>
      </c>
    </row>
    <row r="3000" spans="1:31" x14ac:dyDescent="0.25">
      <c r="A3000" s="31"/>
      <c r="B3000" s="16"/>
      <c r="C3000" s="16"/>
      <c r="D3000" s="33"/>
      <c r="E3000" s="33"/>
      <c r="F3000" s="33"/>
      <c r="G3000" s="33"/>
      <c r="H3000" s="33"/>
      <c r="I3000" s="31"/>
      <c r="J3000" s="31"/>
      <c r="K3000" s="33"/>
      <c r="L3000" s="33"/>
      <c r="M3000" s="31"/>
      <c r="N3000" s="31"/>
      <c r="O3000" s="16"/>
      <c r="P3000" s="16"/>
      <c r="Q3000" s="16"/>
      <c r="R3000" s="33"/>
      <c r="S3000" s="34"/>
      <c r="T3000" s="34"/>
      <c r="U3000" s="34"/>
      <c r="V3000" s="34"/>
      <c r="W3000" s="34"/>
      <c r="X3000" s="33"/>
      <c r="Y3000" s="35" t="str">
        <f>IF(Tabela2[[#This Row],[SIGLA]]="","",VLOOKUP(Tabela2[[#This Row],[SIGLA]],Tabela1[[#All],[Sigla Arte]:[Crédito]],2,0))</f>
        <v/>
      </c>
      <c r="Z3000" s="31"/>
      <c r="AA3000" s="31" t="str">
        <f>Tabela2[[#This Row],[ILUSTRADOR CRIAÇÃO]]</f>
        <v/>
      </c>
      <c r="AB3000" s="33"/>
      <c r="AC3000" s="16"/>
      <c r="AE3000" s="35" t="str">
        <f t="shared" si="48"/>
        <v>EF1 E002 Mat</v>
      </c>
    </row>
    <row r="3001" spans="1:31" x14ac:dyDescent="0.25">
      <c r="A3001" s="31"/>
      <c r="B3001" s="16"/>
      <c r="C3001" s="16"/>
      <c r="D3001" s="33"/>
      <c r="E3001" s="33"/>
      <c r="F3001" s="33"/>
      <c r="G3001" s="33"/>
      <c r="H3001" s="33"/>
      <c r="I3001" s="31"/>
      <c r="J3001" s="31"/>
      <c r="K3001" s="33"/>
      <c r="L3001" s="33"/>
      <c r="M3001" s="31"/>
      <c r="N3001" s="31"/>
      <c r="O3001" s="16"/>
      <c r="P3001" s="16"/>
      <c r="Q3001" s="16"/>
      <c r="R3001" s="33"/>
      <c r="S3001" s="34"/>
      <c r="T3001" s="34"/>
      <c r="U3001" s="34"/>
      <c r="V3001" s="34"/>
      <c r="W3001" s="34"/>
      <c r="X3001" s="33"/>
      <c r="Y3001" s="35" t="str">
        <f>IF(Tabela2[[#This Row],[SIGLA]]="","",VLOOKUP(Tabela2[[#This Row],[SIGLA]],Tabela1[[#All],[Sigla Arte]:[Crédito]],2,0))</f>
        <v/>
      </c>
      <c r="Z3001" s="31"/>
      <c r="AA3001" s="31" t="str">
        <f>Tabela2[[#This Row],[ILUSTRADOR CRIAÇÃO]]</f>
        <v/>
      </c>
      <c r="AB3001" s="33"/>
      <c r="AC3001" s="16"/>
      <c r="AE3001" s="35" t="str">
        <f t="shared" si="48"/>
        <v>EF1 E002 Mat</v>
      </c>
    </row>
    <row r="3002" spans="1:31" x14ac:dyDescent="0.25">
      <c r="A3002" s="31"/>
      <c r="B3002" s="16"/>
      <c r="C3002" s="16"/>
      <c r="D3002" s="33"/>
      <c r="E3002" s="33"/>
      <c r="F3002" s="33"/>
      <c r="G3002" s="33"/>
      <c r="H3002" s="33"/>
      <c r="I3002" s="31"/>
      <c r="J3002" s="31"/>
      <c r="K3002" s="33"/>
      <c r="L3002" s="33"/>
      <c r="M3002" s="31"/>
      <c r="N3002" s="31"/>
      <c r="O3002" s="16"/>
      <c r="P3002" s="16"/>
      <c r="Q3002" s="16"/>
      <c r="R3002" s="33"/>
      <c r="S3002" s="34"/>
      <c r="T3002" s="34"/>
      <c r="U3002" s="34"/>
      <c r="V3002" s="34"/>
      <c r="W3002" s="34"/>
      <c r="X3002" s="33"/>
      <c r="Y3002" s="35" t="str">
        <f>IF(Tabela2[[#This Row],[SIGLA]]="","",VLOOKUP(Tabela2[[#This Row],[SIGLA]],Tabela1[[#All],[Sigla Arte]:[Crédito]],2,0))</f>
        <v/>
      </c>
      <c r="Z3002" s="31"/>
      <c r="AA3002" s="31" t="str">
        <f>Tabela2[[#This Row],[ILUSTRADOR CRIAÇÃO]]</f>
        <v/>
      </c>
      <c r="AB3002" s="33"/>
      <c r="AC3002" s="16"/>
      <c r="AE3002" s="35" t="str">
        <f t="shared" si="48"/>
        <v>EF1 E002 Mat</v>
      </c>
    </row>
    <row r="3003" spans="1:31" x14ac:dyDescent="0.25">
      <c r="A3003" s="31"/>
      <c r="B3003" s="16"/>
      <c r="C3003" s="16"/>
      <c r="D3003" s="33"/>
      <c r="E3003" s="33"/>
      <c r="F3003" s="33"/>
      <c r="G3003" s="33"/>
      <c r="H3003" s="33"/>
      <c r="I3003" s="31"/>
      <c r="J3003" s="31"/>
      <c r="K3003" s="33"/>
      <c r="L3003" s="33"/>
      <c r="M3003" s="31"/>
      <c r="N3003" s="31"/>
      <c r="O3003" s="16"/>
      <c r="P3003" s="16"/>
      <c r="Q3003" s="16"/>
      <c r="R3003" s="33"/>
      <c r="S3003" s="34"/>
      <c r="T3003" s="34"/>
      <c r="U3003" s="34"/>
      <c r="V3003" s="34"/>
      <c r="W3003" s="34"/>
      <c r="X3003" s="33"/>
      <c r="Y3003" s="35" t="str">
        <f>IF(Tabela2[[#This Row],[SIGLA]]="","",VLOOKUP(Tabela2[[#This Row],[SIGLA]],Tabela1[[#All],[Sigla Arte]:[Crédito]],2,0))</f>
        <v/>
      </c>
      <c r="Z3003" s="31"/>
      <c r="AA3003" s="31" t="str">
        <f>Tabela2[[#This Row],[ILUSTRADOR CRIAÇÃO]]</f>
        <v/>
      </c>
      <c r="AB3003" s="33"/>
      <c r="AC3003" s="16"/>
      <c r="AE3003" s="35" t="str">
        <f t="shared" si="48"/>
        <v>EF1 E002 Mat</v>
      </c>
    </row>
    <row r="3004" spans="1:31" x14ac:dyDescent="0.25">
      <c r="A3004" s="31"/>
      <c r="B3004" s="16"/>
      <c r="C3004" s="16"/>
      <c r="D3004" s="33"/>
      <c r="E3004" s="33"/>
      <c r="F3004" s="33"/>
      <c r="G3004" s="33"/>
      <c r="H3004" s="33"/>
      <c r="I3004" s="31"/>
      <c r="J3004" s="31"/>
      <c r="K3004" s="33"/>
      <c r="L3004" s="33"/>
      <c r="M3004" s="31"/>
      <c r="N3004" s="31"/>
      <c r="O3004" s="16"/>
      <c r="P3004" s="16"/>
      <c r="Q3004" s="16"/>
      <c r="R3004" s="33"/>
      <c r="S3004" s="34"/>
      <c r="T3004" s="34"/>
      <c r="U3004" s="34"/>
      <c r="V3004" s="34"/>
      <c r="W3004" s="34"/>
      <c r="X3004" s="33"/>
      <c r="Y3004" s="35" t="str">
        <f>IF(Tabela2[[#This Row],[SIGLA]]="","",VLOOKUP(Tabela2[[#This Row],[SIGLA]],Tabela1[[#All],[Sigla Arte]:[Crédito]],2,0))</f>
        <v/>
      </c>
      <c r="Z3004" s="31"/>
      <c r="AA3004" s="31" t="str">
        <f>Tabela2[[#This Row],[ILUSTRADOR CRIAÇÃO]]</f>
        <v/>
      </c>
      <c r="AB3004" s="33"/>
      <c r="AC3004" s="16"/>
      <c r="AE3004" s="35" t="str">
        <f t="shared" si="48"/>
        <v>EF1 E002 Mat</v>
      </c>
    </row>
    <row r="3005" spans="1:31" x14ac:dyDescent="0.25">
      <c r="A3005" s="31"/>
      <c r="B3005" s="16"/>
      <c r="C3005" s="16"/>
      <c r="D3005" s="33"/>
      <c r="E3005" s="33"/>
      <c r="F3005" s="33"/>
      <c r="G3005" s="33"/>
      <c r="H3005" s="33"/>
      <c r="I3005" s="31"/>
      <c r="J3005" s="31"/>
      <c r="K3005" s="33"/>
      <c r="L3005" s="33"/>
      <c r="M3005" s="31"/>
      <c r="N3005" s="31"/>
      <c r="O3005" s="16"/>
      <c r="P3005" s="16"/>
      <c r="Q3005" s="16"/>
      <c r="R3005" s="33"/>
      <c r="S3005" s="34"/>
      <c r="T3005" s="34"/>
      <c r="U3005" s="34"/>
      <c r="V3005" s="34"/>
      <c r="W3005" s="34"/>
      <c r="X3005" s="33"/>
      <c r="Y3005" s="35" t="str">
        <f>IF(Tabela2[[#This Row],[SIGLA]]="","",VLOOKUP(Tabela2[[#This Row],[SIGLA]],Tabela1[[#All],[Sigla Arte]:[Crédito]],2,0))</f>
        <v/>
      </c>
      <c r="Z3005" s="31"/>
      <c r="AA3005" s="31" t="str">
        <f>Tabela2[[#This Row],[ILUSTRADOR CRIAÇÃO]]</f>
        <v/>
      </c>
      <c r="AB3005" s="33"/>
      <c r="AC3005" s="16"/>
      <c r="AE3005" s="35" t="str">
        <f t="shared" si="48"/>
        <v>EF1 E002 Mat</v>
      </c>
    </row>
    <row r="3006" spans="1:31" x14ac:dyDescent="0.25">
      <c r="A3006" s="31"/>
      <c r="B3006" s="16"/>
      <c r="C3006" s="16"/>
      <c r="D3006" s="33"/>
      <c r="E3006" s="33"/>
      <c r="F3006" s="33"/>
      <c r="G3006" s="33"/>
      <c r="H3006" s="33"/>
      <c r="I3006" s="31"/>
      <c r="J3006" s="31"/>
      <c r="K3006" s="33"/>
      <c r="L3006" s="33"/>
      <c r="M3006" s="31"/>
      <c r="N3006" s="31"/>
      <c r="O3006" s="16"/>
      <c r="P3006" s="16"/>
      <c r="Q3006" s="16"/>
      <c r="R3006" s="33"/>
      <c r="S3006" s="34"/>
      <c r="T3006" s="34"/>
      <c r="U3006" s="34"/>
      <c r="V3006" s="34"/>
      <c r="W3006" s="34"/>
      <c r="X3006" s="33"/>
      <c r="Y3006" s="35" t="str">
        <f>IF(Tabela2[[#This Row],[SIGLA]]="","",VLOOKUP(Tabela2[[#This Row],[SIGLA]],Tabela1[[#All],[Sigla Arte]:[Crédito]],2,0))</f>
        <v/>
      </c>
      <c r="Z3006" s="31"/>
      <c r="AA3006" s="31" t="str">
        <f>Tabela2[[#This Row],[ILUSTRADOR CRIAÇÃO]]</f>
        <v/>
      </c>
      <c r="AB3006" s="33"/>
      <c r="AC3006" s="16"/>
      <c r="AE3006" s="35" t="str">
        <f t="shared" si="48"/>
        <v>EF1 E002 Mat</v>
      </c>
    </row>
    <row r="3007" spans="1:31" x14ac:dyDescent="0.25">
      <c r="A3007" s="31"/>
      <c r="B3007" s="16"/>
      <c r="C3007" s="16"/>
      <c r="D3007" s="33"/>
      <c r="E3007" s="33"/>
      <c r="F3007" s="33"/>
      <c r="G3007" s="33"/>
      <c r="H3007" s="33"/>
      <c r="I3007" s="31"/>
      <c r="J3007" s="31"/>
      <c r="K3007" s="33"/>
      <c r="L3007" s="33"/>
      <c r="M3007" s="31"/>
      <c r="N3007" s="31"/>
      <c r="O3007" s="16"/>
      <c r="P3007" s="16"/>
      <c r="Q3007" s="16"/>
      <c r="R3007" s="33"/>
      <c r="S3007" s="34"/>
      <c r="T3007" s="34"/>
      <c r="U3007" s="34"/>
      <c r="V3007" s="34"/>
      <c r="W3007" s="34"/>
      <c r="X3007" s="33"/>
      <c r="Y3007" s="35" t="str">
        <f>IF(Tabela2[[#This Row],[SIGLA]]="","",VLOOKUP(Tabela2[[#This Row],[SIGLA]],Tabela1[[#All],[Sigla Arte]:[Crédito]],2,0))</f>
        <v/>
      </c>
      <c r="Z3007" s="31"/>
      <c r="AA3007" s="31" t="str">
        <f>Tabela2[[#This Row],[ILUSTRADOR CRIAÇÃO]]</f>
        <v/>
      </c>
      <c r="AB3007" s="33"/>
      <c r="AC3007" s="16"/>
      <c r="AE3007" s="35" t="str">
        <f t="shared" si="48"/>
        <v>EF1 E002 Mat</v>
      </c>
    </row>
    <row r="3008" spans="1:31" x14ac:dyDescent="0.25">
      <c r="A3008" s="31"/>
      <c r="B3008" s="16"/>
      <c r="C3008" s="16"/>
      <c r="D3008" s="33"/>
      <c r="E3008" s="33"/>
      <c r="F3008" s="33"/>
      <c r="G3008" s="33"/>
      <c r="H3008" s="33"/>
      <c r="I3008" s="31"/>
      <c r="J3008" s="31"/>
      <c r="K3008" s="33"/>
      <c r="L3008" s="33"/>
      <c r="M3008" s="31"/>
      <c r="N3008" s="31"/>
      <c r="O3008" s="16"/>
      <c r="P3008" s="16"/>
      <c r="Q3008" s="16"/>
      <c r="R3008" s="33"/>
      <c r="S3008" s="34"/>
      <c r="T3008" s="34"/>
      <c r="U3008" s="34"/>
      <c r="V3008" s="34"/>
      <c r="W3008" s="34"/>
      <c r="X3008" s="33"/>
      <c r="Y3008" s="35" t="str">
        <f>IF(Tabela2[[#This Row],[SIGLA]]="","",VLOOKUP(Tabela2[[#This Row],[SIGLA]],Tabela1[[#All],[Sigla Arte]:[Crédito]],2,0))</f>
        <v/>
      </c>
      <c r="Z3008" s="31"/>
      <c r="AA3008" s="31" t="str">
        <f>Tabela2[[#This Row],[ILUSTRADOR CRIAÇÃO]]</f>
        <v/>
      </c>
      <c r="AB3008" s="33"/>
      <c r="AC3008" s="16"/>
      <c r="AE3008" s="35" t="str">
        <f t="shared" si="48"/>
        <v>EF1 E002 Mat</v>
      </c>
    </row>
    <row r="3009" spans="1:31" x14ac:dyDescent="0.25">
      <c r="A3009" s="31"/>
      <c r="B3009" s="16"/>
      <c r="C3009" s="16"/>
      <c r="D3009" s="33"/>
      <c r="E3009" s="33"/>
      <c r="F3009" s="33"/>
      <c r="G3009" s="33"/>
      <c r="H3009" s="33"/>
      <c r="I3009" s="31"/>
      <c r="J3009" s="31"/>
      <c r="K3009" s="33"/>
      <c r="L3009" s="33"/>
      <c r="M3009" s="31"/>
      <c r="N3009" s="31"/>
      <c r="O3009" s="16"/>
      <c r="P3009" s="16"/>
      <c r="Q3009" s="16"/>
      <c r="R3009" s="33"/>
      <c r="S3009" s="34"/>
      <c r="T3009" s="34"/>
      <c r="U3009" s="34"/>
      <c r="V3009" s="34"/>
      <c r="W3009" s="34"/>
      <c r="X3009" s="33"/>
      <c r="Y3009" s="35" t="str">
        <f>IF(Tabela2[[#This Row],[SIGLA]]="","",VLOOKUP(Tabela2[[#This Row],[SIGLA]],Tabela1[[#All],[Sigla Arte]:[Crédito]],2,0))</f>
        <v/>
      </c>
      <c r="Z3009" s="31"/>
      <c r="AA3009" s="31" t="str">
        <f>Tabela2[[#This Row],[ILUSTRADOR CRIAÇÃO]]</f>
        <v/>
      </c>
      <c r="AB3009" s="33"/>
      <c r="AC3009" s="16"/>
      <c r="AE3009" s="35" t="str">
        <f t="shared" si="48"/>
        <v>EF1 E002 Mat</v>
      </c>
    </row>
    <row r="3010" spans="1:31" x14ac:dyDescent="0.25">
      <c r="A3010" s="31"/>
      <c r="B3010" s="16"/>
      <c r="C3010" s="16"/>
      <c r="D3010" s="33"/>
      <c r="E3010" s="33"/>
      <c r="F3010" s="33"/>
      <c r="G3010" s="33"/>
      <c r="H3010" s="33"/>
      <c r="I3010" s="31"/>
      <c r="J3010" s="31"/>
      <c r="K3010" s="33"/>
      <c r="L3010" s="33"/>
      <c r="M3010" s="31"/>
      <c r="N3010" s="31"/>
      <c r="O3010" s="16"/>
      <c r="P3010" s="16"/>
      <c r="Q3010" s="16"/>
      <c r="R3010" s="33"/>
      <c r="S3010" s="34"/>
      <c r="T3010" s="34"/>
      <c r="U3010" s="34"/>
      <c r="V3010" s="34"/>
      <c r="W3010" s="34"/>
      <c r="X3010" s="33"/>
      <c r="Y3010" s="35" t="str">
        <f>IF(Tabela2[[#This Row],[SIGLA]]="","",VLOOKUP(Tabela2[[#This Row],[SIGLA]],Tabela1[[#All],[Sigla Arte]:[Crédito]],2,0))</f>
        <v/>
      </c>
      <c r="Z3010" s="31"/>
      <c r="AA3010" s="31" t="str">
        <f>Tabela2[[#This Row],[ILUSTRADOR CRIAÇÃO]]</f>
        <v/>
      </c>
      <c r="AB3010" s="33"/>
      <c r="AC3010" s="16"/>
      <c r="AE3010" s="35" t="str">
        <f t="shared" si="48"/>
        <v>EF1 E002 Mat</v>
      </c>
    </row>
    <row r="3011" spans="1:31" x14ac:dyDescent="0.25">
      <c r="A3011" s="31"/>
      <c r="B3011" s="16"/>
      <c r="C3011" s="16"/>
      <c r="D3011" s="33"/>
      <c r="E3011" s="33"/>
      <c r="F3011" s="33"/>
      <c r="G3011" s="33"/>
      <c r="H3011" s="33"/>
      <c r="I3011" s="31"/>
      <c r="J3011" s="31"/>
      <c r="K3011" s="33"/>
      <c r="L3011" s="33"/>
      <c r="M3011" s="31"/>
      <c r="N3011" s="31"/>
      <c r="O3011" s="16"/>
      <c r="P3011" s="16"/>
      <c r="Q3011" s="16"/>
      <c r="R3011" s="33"/>
      <c r="S3011" s="34"/>
      <c r="T3011" s="34"/>
      <c r="U3011" s="34"/>
      <c r="V3011" s="34"/>
      <c r="W3011" s="34"/>
      <c r="X3011" s="33"/>
      <c r="Y3011" s="35" t="str">
        <f>IF(Tabela2[[#This Row],[SIGLA]]="","",VLOOKUP(Tabela2[[#This Row],[SIGLA]],Tabela1[[#All],[Sigla Arte]:[Crédito]],2,0))</f>
        <v/>
      </c>
      <c r="Z3011" s="31"/>
      <c r="AA3011" s="31" t="str">
        <f>Tabela2[[#This Row],[ILUSTRADOR CRIAÇÃO]]</f>
        <v/>
      </c>
      <c r="AB3011" s="33"/>
      <c r="AC3011" s="16"/>
      <c r="AE3011" s="35" t="str">
        <f t="shared" si="48"/>
        <v>EF1 E002 Mat</v>
      </c>
    </row>
    <row r="3012" spans="1:31" x14ac:dyDescent="0.25">
      <c r="A3012" s="31"/>
      <c r="B3012" s="16"/>
      <c r="C3012" s="16"/>
      <c r="D3012" s="33"/>
      <c r="E3012" s="33"/>
      <c r="F3012" s="33"/>
      <c r="G3012" s="33"/>
      <c r="H3012" s="33"/>
      <c r="I3012" s="31"/>
      <c r="J3012" s="31"/>
      <c r="K3012" s="33"/>
      <c r="L3012" s="33"/>
      <c r="M3012" s="31"/>
      <c r="N3012" s="31"/>
      <c r="O3012" s="16"/>
      <c r="P3012" s="16"/>
      <c r="Q3012" s="16"/>
      <c r="R3012" s="33"/>
      <c r="S3012" s="34"/>
      <c r="T3012" s="34"/>
      <c r="U3012" s="34"/>
      <c r="V3012" s="34"/>
      <c r="W3012" s="34"/>
      <c r="X3012" s="33"/>
      <c r="Y3012" s="35" t="str">
        <f>IF(Tabela2[[#This Row],[SIGLA]]="","",VLOOKUP(Tabela2[[#This Row],[SIGLA]],Tabela1[[#All],[Sigla Arte]:[Crédito]],2,0))</f>
        <v/>
      </c>
      <c r="Z3012" s="31"/>
      <c r="AA3012" s="31" t="str">
        <f>Tabela2[[#This Row],[ILUSTRADOR CRIAÇÃO]]</f>
        <v/>
      </c>
      <c r="AB3012" s="33"/>
      <c r="AC3012" s="16"/>
      <c r="AE3012" s="35" t="str">
        <f t="shared" si="48"/>
        <v>EF1 E002 Mat</v>
      </c>
    </row>
    <row r="3013" spans="1:31" x14ac:dyDescent="0.25">
      <c r="A3013" s="31"/>
      <c r="B3013" s="16"/>
      <c r="C3013" s="16"/>
      <c r="D3013" s="33"/>
      <c r="E3013" s="33"/>
      <c r="F3013" s="33"/>
      <c r="G3013" s="33"/>
      <c r="H3013" s="33"/>
      <c r="I3013" s="31"/>
      <c r="J3013" s="31"/>
      <c r="K3013" s="33"/>
      <c r="L3013" s="33"/>
      <c r="M3013" s="31"/>
      <c r="N3013" s="31"/>
      <c r="O3013" s="16"/>
      <c r="P3013" s="16"/>
      <c r="Q3013" s="16"/>
      <c r="R3013" s="33"/>
      <c r="S3013" s="34"/>
      <c r="T3013" s="34"/>
      <c r="U3013" s="34"/>
      <c r="V3013" s="34"/>
      <c r="W3013" s="34"/>
      <c r="X3013" s="33"/>
      <c r="Y3013" s="35" t="str">
        <f>IF(Tabela2[[#This Row],[SIGLA]]="","",VLOOKUP(Tabela2[[#This Row],[SIGLA]],Tabela1[[#All],[Sigla Arte]:[Crédito]],2,0))</f>
        <v/>
      </c>
      <c r="Z3013" s="31"/>
      <c r="AA3013" s="31" t="str">
        <f>Tabela2[[#This Row],[ILUSTRADOR CRIAÇÃO]]</f>
        <v/>
      </c>
      <c r="AB3013" s="33"/>
      <c r="AC3013" s="16"/>
      <c r="AE3013" s="35" t="str">
        <f t="shared" si="48"/>
        <v>EF1 E002 Mat</v>
      </c>
    </row>
    <row r="3014" spans="1:31" x14ac:dyDescent="0.25">
      <c r="A3014" s="31"/>
      <c r="B3014" s="16"/>
      <c r="C3014" s="16"/>
      <c r="D3014" s="33"/>
      <c r="E3014" s="33"/>
      <c r="F3014" s="33"/>
      <c r="G3014" s="33"/>
      <c r="H3014" s="33"/>
      <c r="I3014" s="31"/>
      <c r="J3014" s="31"/>
      <c r="K3014" s="33"/>
      <c r="L3014" s="33"/>
      <c r="M3014" s="31"/>
      <c r="N3014" s="31"/>
      <c r="O3014" s="16"/>
      <c r="P3014" s="16"/>
      <c r="Q3014" s="16"/>
      <c r="R3014" s="33"/>
      <c r="S3014" s="34"/>
      <c r="T3014" s="34"/>
      <c r="U3014" s="34"/>
      <c r="V3014" s="34"/>
      <c r="W3014" s="34"/>
      <c r="X3014" s="33"/>
      <c r="Y3014" s="35" t="str">
        <f>IF(Tabela2[[#This Row],[SIGLA]]="","",VLOOKUP(Tabela2[[#This Row],[SIGLA]],Tabela1[[#All],[Sigla Arte]:[Crédito]],2,0))</f>
        <v/>
      </c>
      <c r="Z3014" s="31"/>
      <c r="AA3014" s="31" t="str">
        <f>Tabela2[[#This Row],[ILUSTRADOR CRIAÇÃO]]</f>
        <v/>
      </c>
      <c r="AB3014" s="33"/>
      <c r="AC3014" s="16"/>
      <c r="AE3014" s="35" t="str">
        <f t="shared" si="48"/>
        <v>EF1 E002 Mat</v>
      </c>
    </row>
    <row r="3015" spans="1:31" x14ac:dyDescent="0.25">
      <c r="A3015" s="31"/>
      <c r="B3015" s="16"/>
      <c r="C3015" s="16"/>
      <c r="D3015" s="33"/>
      <c r="E3015" s="33"/>
      <c r="F3015" s="33"/>
      <c r="G3015" s="33"/>
      <c r="H3015" s="33"/>
      <c r="I3015" s="31"/>
      <c r="J3015" s="31"/>
      <c r="K3015" s="33"/>
      <c r="L3015" s="33"/>
      <c r="M3015" s="31"/>
      <c r="N3015" s="31"/>
      <c r="O3015" s="16"/>
      <c r="P3015" s="16"/>
      <c r="Q3015" s="16"/>
      <c r="R3015" s="33"/>
      <c r="S3015" s="34"/>
      <c r="T3015" s="34"/>
      <c r="U3015" s="34"/>
      <c r="V3015" s="34"/>
      <c r="W3015" s="34"/>
      <c r="X3015" s="33"/>
      <c r="Y3015" s="35" t="str">
        <f>IF(Tabela2[[#This Row],[SIGLA]]="","",VLOOKUP(Tabela2[[#This Row],[SIGLA]],Tabela1[[#All],[Sigla Arte]:[Crédito]],2,0))</f>
        <v/>
      </c>
      <c r="Z3015" s="31"/>
      <c r="AA3015" s="31" t="str">
        <f>Tabela2[[#This Row],[ILUSTRADOR CRIAÇÃO]]</f>
        <v/>
      </c>
      <c r="AB3015" s="33"/>
      <c r="AC3015" s="16"/>
      <c r="AE3015" s="35" t="str">
        <f t="shared" si="48"/>
        <v>EF1 E002 Mat</v>
      </c>
    </row>
    <row r="3016" spans="1:31" x14ac:dyDescent="0.25">
      <c r="A3016" s="31"/>
      <c r="B3016" s="16"/>
      <c r="C3016" s="16"/>
      <c r="D3016" s="33"/>
      <c r="E3016" s="33"/>
      <c r="F3016" s="33"/>
      <c r="G3016" s="33"/>
      <c r="H3016" s="33"/>
      <c r="I3016" s="31"/>
      <c r="J3016" s="31"/>
      <c r="K3016" s="33"/>
      <c r="L3016" s="33"/>
      <c r="M3016" s="31"/>
      <c r="N3016" s="31"/>
      <c r="O3016" s="16"/>
      <c r="P3016" s="16"/>
      <c r="Q3016" s="16"/>
      <c r="R3016" s="33"/>
      <c r="S3016" s="34"/>
      <c r="T3016" s="34"/>
      <c r="U3016" s="34"/>
      <c r="V3016" s="34"/>
      <c r="W3016" s="34"/>
      <c r="X3016" s="33"/>
      <c r="Y3016" s="35" t="str">
        <f>IF(Tabela2[[#This Row],[SIGLA]]="","",VLOOKUP(Tabela2[[#This Row],[SIGLA]],Tabela1[[#All],[Sigla Arte]:[Crédito]],2,0))</f>
        <v/>
      </c>
      <c r="Z3016" s="31"/>
      <c r="AA3016" s="31" t="str">
        <f>Tabela2[[#This Row],[ILUSTRADOR CRIAÇÃO]]</f>
        <v/>
      </c>
      <c r="AB3016" s="33"/>
      <c r="AC3016" s="16"/>
      <c r="AE3016" s="35" t="str">
        <f t="shared" si="48"/>
        <v>EF1 E002 Mat</v>
      </c>
    </row>
    <row r="3017" spans="1:31" x14ac:dyDescent="0.25">
      <c r="A3017" s="31"/>
      <c r="B3017" s="16"/>
      <c r="C3017" s="16"/>
      <c r="D3017" s="33"/>
      <c r="E3017" s="33"/>
      <c r="F3017" s="33"/>
      <c r="G3017" s="33"/>
      <c r="H3017" s="33"/>
      <c r="I3017" s="31"/>
      <c r="J3017" s="31"/>
      <c r="K3017" s="33"/>
      <c r="L3017" s="33"/>
      <c r="M3017" s="31"/>
      <c r="N3017" s="31"/>
      <c r="O3017" s="16"/>
      <c r="P3017" s="16"/>
      <c r="Q3017" s="16"/>
      <c r="R3017" s="33"/>
      <c r="S3017" s="34"/>
      <c r="T3017" s="34"/>
      <c r="U3017" s="34"/>
      <c r="V3017" s="34"/>
      <c r="W3017" s="34"/>
      <c r="X3017" s="33"/>
      <c r="Y3017" s="35" t="str">
        <f>IF(Tabela2[[#This Row],[SIGLA]]="","",VLOOKUP(Tabela2[[#This Row],[SIGLA]],Tabela1[[#All],[Sigla Arte]:[Crédito]],2,0))</f>
        <v/>
      </c>
      <c r="Z3017" s="31"/>
      <c r="AA3017" s="31" t="str">
        <f>Tabela2[[#This Row],[ILUSTRADOR CRIAÇÃO]]</f>
        <v/>
      </c>
      <c r="AB3017" s="33"/>
      <c r="AC3017" s="16"/>
      <c r="AE3017" s="35" t="str">
        <f t="shared" si="48"/>
        <v>EF1 E002 Mat</v>
      </c>
    </row>
    <row r="3018" spans="1:31" x14ac:dyDescent="0.25">
      <c r="A3018" s="31"/>
      <c r="B3018" s="16"/>
      <c r="C3018" s="16"/>
      <c r="D3018" s="33"/>
      <c r="E3018" s="33"/>
      <c r="F3018" s="33"/>
      <c r="G3018" s="33"/>
      <c r="H3018" s="33"/>
      <c r="I3018" s="31"/>
      <c r="J3018" s="31"/>
      <c r="K3018" s="33"/>
      <c r="L3018" s="33"/>
      <c r="M3018" s="31"/>
      <c r="N3018" s="31"/>
      <c r="O3018" s="16"/>
      <c r="P3018" s="16"/>
      <c r="Q3018" s="16"/>
      <c r="R3018" s="33"/>
      <c r="S3018" s="34"/>
      <c r="T3018" s="34"/>
      <c r="U3018" s="34"/>
      <c r="V3018" s="34"/>
      <c r="W3018" s="34"/>
      <c r="X3018" s="33"/>
      <c r="Y3018" s="35" t="str">
        <f>IF(Tabela2[[#This Row],[SIGLA]]="","",VLOOKUP(Tabela2[[#This Row],[SIGLA]],Tabela1[[#All],[Sigla Arte]:[Crédito]],2,0))</f>
        <v/>
      </c>
      <c r="Z3018" s="31"/>
      <c r="AA3018" s="31" t="str">
        <f>Tabela2[[#This Row],[ILUSTRADOR CRIAÇÃO]]</f>
        <v/>
      </c>
      <c r="AB3018" s="33"/>
      <c r="AC3018" s="16"/>
      <c r="AE3018" s="35" t="str">
        <f t="shared" si="48"/>
        <v>EF1 E002 Mat</v>
      </c>
    </row>
    <row r="3019" spans="1:31" x14ac:dyDescent="0.25">
      <c r="A3019" s="31"/>
      <c r="B3019" s="16"/>
      <c r="C3019" s="16"/>
      <c r="D3019" s="33"/>
      <c r="E3019" s="33"/>
      <c r="F3019" s="33"/>
      <c r="G3019" s="33"/>
      <c r="H3019" s="33"/>
      <c r="I3019" s="31"/>
      <c r="J3019" s="31"/>
      <c r="K3019" s="33"/>
      <c r="L3019" s="33"/>
      <c r="M3019" s="31"/>
      <c r="N3019" s="31"/>
      <c r="O3019" s="16"/>
      <c r="P3019" s="16"/>
      <c r="Q3019" s="16"/>
      <c r="R3019" s="33"/>
      <c r="S3019" s="34"/>
      <c r="T3019" s="34"/>
      <c r="U3019" s="34"/>
      <c r="V3019" s="34"/>
      <c r="W3019" s="34"/>
      <c r="X3019" s="33"/>
      <c r="Y3019" s="35" t="str">
        <f>IF(Tabela2[[#This Row],[SIGLA]]="","",VLOOKUP(Tabela2[[#This Row],[SIGLA]],Tabela1[[#All],[Sigla Arte]:[Crédito]],2,0))</f>
        <v/>
      </c>
      <c r="Z3019" s="31"/>
      <c r="AA3019" s="31" t="str">
        <f>Tabela2[[#This Row],[ILUSTRADOR CRIAÇÃO]]</f>
        <v/>
      </c>
      <c r="AB3019" s="33"/>
      <c r="AC3019" s="16"/>
      <c r="AE3019" s="35" t="str">
        <f t="shared" si="48"/>
        <v>EF1 E002 Mat</v>
      </c>
    </row>
    <row r="3020" spans="1:31" x14ac:dyDescent="0.25">
      <c r="A3020" s="31"/>
      <c r="B3020" s="16"/>
      <c r="C3020" s="16"/>
      <c r="D3020" s="33"/>
      <c r="E3020" s="33"/>
      <c r="F3020" s="33"/>
      <c r="G3020" s="33"/>
      <c r="H3020" s="33"/>
      <c r="I3020" s="31"/>
      <c r="J3020" s="31"/>
      <c r="K3020" s="33"/>
      <c r="L3020" s="33"/>
      <c r="M3020" s="31"/>
      <c r="N3020" s="31"/>
      <c r="O3020" s="16"/>
      <c r="P3020" s="16"/>
      <c r="Q3020" s="16"/>
      <c r="R3020" s="33"/>
      <c r="S3020" s="34"/>
      <c r="T3020" s="34"/>
      <c r="U3020" s="34"/>
      <c r="V3020" s="34"/>
      <c r="W3020" s="34"/>
      <c r="X3020" s="33"/>
      <c r="Y3020" s="35" t="str">
        <f>IF(Tabela2[[#This Row],[SIGLA]]="","",VLOOKUP(Tabela2[[#This Row],[SIGLA]],Tabela1[[#All],[Sigla Arte]:[Crédito]],2,0))</f>
        <v/>
      </c>
      <c r="Z3020" s="31"/>
      <c r="AA3020" s="31" t="str">
        <f>Tabela2[[#This Row],[ILUSTRADOR CRIAÇÃO]]</f>
        <v/>
      </c>
      <c r="AB3020" s="33"/>
      <c r="AC3020" s="16"/>
      <c r="AE3020" s="35" t="str">
        <f t="shared" si="48"/>
        <v>EF1 E002 Mat</v>
      </c>
    </row>
    <row r="3021" spans="1:31" x14ac:dyDescent="0.25">
      <c r="A3021" s="31"/>
      <c r="B3021" s="16"/>
      <c r="C3021" s="16"/>
      <c r="D3021" s="33"/>
      <c r="E3021" s="33"/>
      <c r="F3021" s="33"/>
      <c r="G3021" s="33"/>
      <c r="H3021" s="33"/>
      <c r="I3021" s="31"/>
      <c r="J3021" s="31"/>
      <c r="K3021" s="33"/>
      <c r="L3021" s="33"/>
      <c r="M3021" s="31"/>
      <c r="N3021" s="31"/>
      <c r="O3021" s="16"/>
      <c r="P3021" s="16"/>
      <c r="Q3021" s="16"/>
      <c r="R3021" s="33"/>
      <c r="S3021" s="34"/>
      <c r="T3021" s="34"/>
      <c r="U3021" s="34"/>
      <c r="V3021" s="34"/>
      <c r="W3021" s="34"/>
      <c r="X3021" s="33"/>
      <c r="Y3021" s="35" t="str">
        <f>IF(Tabela2[[#This Row],[SIGLA]]="","",VLOOKUP(Tabela2[[#This Row],[SIGLA]],Tabela1[[#All],[Sigla Arte]:[Crédito]],2,0))</f>
        <v/>
      </c>
      <c r="Z3021" s="31"/>
      <c r="AA3021" s="31" t="str">
        <f>Tabela2[[#This Row],[ILUSTRADOR CRIAÇÃO]]</f>
        <v/>
      </c>
      <c r="AB3021" s="33"/>
      <c r="AC3021" s="16"/>
      <c r="AE3021" s="35" t="str">
        <f t="shared" si="48"/>
        <v>EF1 E002 Mat</v>
      </c>
    </row>
    <row r="3022" spans="1:31" x14ac:dyDescent="0.25">
      <c r="A3022" s="31"/>
      <c r="B3022" s="16"/>
      <c r="C3022" s="16"/>
      <c r="D3022" s="33"/>
      <c r="E3022" s="33"/>
      <c r="F3022" s="33"/>
      <c r="G3022" s="33"/>
      <c r="H3022" s="33"/>
      <c r="I3022" s="31"/>
      <c r="J3022" s="31"/>
      <c r="K3022" s="33"/>
      <c r="L3022" s="33"/>
      <c r="M3022" s="31"/>
      <c r="N3022" s="31"/>
      <c r="O3022" s="16"/>
      <c r="P3022" s="16"/>
      <c r="Q3022" s="16"/>
      <c r="R3022" s="33"/>
      <c r="S3022" s="34"/>
      <c r="T3022" s="34"/>
      <c r="U3022" s="34"/>
      <c r="V3022" s="34"/>
      <c r="W3022" s="34"/>
      <c r="X3022" s="33"/>
      <c r="Y3022" s="35" t="str">
        <f>IF(Tabela2[[#This Row],[SIGLA]]="","",VLOOKUP(Tabela2[[#This Row],[SIGLA]],Tabela1[[#All],[Sigla Arte]:[Crédito]],2,0))</f>
        <v/>
      </c>
      <c r="Z3022" s="31"/>
      <c r="AA3022" s="31" t="str">
        <f>Tabela2[[#This Row],[ILUSTRADOR CRIAÇÃO]]</f>
        <v/>
      </c>
      <c r="AB3022" s="33"/>
      <c r="AC3022" s="16"/>
      <c r="AE3022" s="35" t="str">
        <f t="shared" si="48"/>
        <v>EF1 E002 Mat</v>
      </c>
    </row>
    <row r="3023" spans="1:31" x14ac:dyDescent="0.25">
      <c r="A3023" s="31"/>
      <c r="B3023" s="16"/>
      <c r="C3023" s="16"/>
      <c r="D3023" s="33"/>
      <c r="E3023" s="33"/>
      <c r="F3023" s="33"/>
      <c r="G3023" s="33"/>
      <c r="H3023" s="33"/>
      <c r="I3023" s="31"/>
      <c r="J3023" s="31"/>
      <c r="K3023" s="33"/>
      <c r="L3023" s="33"/>
      <c r="M3023" s="31"/>
      <c r="N3023" s="31"/>
      <c r="O3023" s="16"/>
      <c r="P3023" s="16"/>
      <c r="Q3023" s="16"/>
      <c r="R3023" s="33"/>
      <c r="S3023" s="34"/>
      <c r="T3023" s="34"/>
      <c r="U3023" s="34"/>
      <c r="V3023" s="34"/>
      <c r="W3023" s="34"/>
      <c r="X3023" s="33"/>
      <c r="Y3023" s="35" t="str">
        <f>IF(Tabela2[[#This Row],[SIGLA]]="","",VLOOKUP(Tabela2[[#This Row],[SIGLA]],Tabela1[[#All],[Sigla Arte]:[Crédito]],2,0))</f>
        <v/>
      </c>
      <c r="Z3023" s="31"/>
      <c r="AA3023" s="31" t="str">
        <f>Tabela2[[#This Row],[ILUSTRADOR CRIAÇÃO]]</f>
        <v/>
      </c>
      <c r="AB3023" s="33"/>
      <c r="AC3023" s="16"/>
      <c r="AE3023" s="35" t="str">
        <f t="shared" si="48"/>
        <v>EF1 E002 Mat</v>
      </c>
    </row>
    <row r="3024" spans="1:31" x14ac:dyDescent="0.25">
      <c r="A3024" s="31"/>
      <c r="B3024" s="16"/>
      <c r="C3024" s="16"/>
      <c r="D3024" s="33"/>
      <c r="E3024" s="33"/>
      <c r="F3024" s="33"/>
      <c r="G3024" s="33"/>
      <c r="H3024" s="33"/>
      <c r="I3024" s="31"/>
      <c r="J3024" s="31"/>
      <c r="K3024" s="33"/>
      <c r="L3024" s="33"/>
      <c r="M3024" s="31"/>
      <c r="N3024" s="31"/>
      <c r="O3024" s="16"/>
      <c r="P3024" s="16"/>
      <c r="Q3024" s="16"/>
      <c r="R3024" s="33"/>
      <c r="S3024" s="34"/>
      <c r="T3024" s="34"/>
      <c r="U3024" s="34"/>
      <c r="V3024" s="34"/>
      <c r="W3024" s="34"/>
      <c r="X3024" s="33"/>
      <c r="Y3024" s="35" t="str">
        <f>IF(Tabela2[[#This Row],[SIGLA]]="","",VLOOKUP(Tabela2[[#This Row],[SIGLA]],Tabela1[[#All],[Sigla Arte]:[Crédito]],2,0))</f>
        <v/>
      </c>
      <c r="Z3024" s="31"/>
      <c r="AA3024" s="31" t="str">
        <f>Tabela2[[#This Row],[ILUSTRADOR CRIAÇÃO]]</f>
        <v/>
      </c>
      <c r="AB3024" s="33"/>
      <c r="AC3024" s="16"/>
      <c r="AE3024" s="35" t="str">
        <f t="shared" si="48"/>
        <v>EF1 E002 Mat</v>
      </c>
    </row>
    <row r="3025" spans="1:31" x14ac:dyDescent="0.25">
      <c r="A3025" s="31"/>
      <c r="B3025" s="16"/>
      <c r="C3025" s="16"/>
      <c r="D3025" s="33"/>
      <c r="E3025" s="33"/>
      <c r="F3025" s="33"/>
      <c r="G3025" s="33"/>
      <c r="H3025" s="33"/>
      <c r="I3025" s="31"/>
      <c r="J3025" s="31"/>
      <c r="K3025" s="33"/>
      <c r="L3025" s="33"/>
      <c r="M3025" s="31"/>
      <c r="N3025" s="31"/>
      <c r="O3025" s="16"/>
      <c r="P3025" s="16"/>
      <c r="Q3025" s="16"/>
      <c r="R3025" s="33"/>
      <c r="S3025" s="34"/>
      <c r="T3025" s="34"/>
      <c r="U3025" s="34"/>
      <c r="V3025" s="34"/>
      <c r="W3025" s="34"/>
      <c r="X3025" s="33"/>
      <c r="Y3025" s="35" t="str">
        <f>IF(Tabela2[[#This Row],[SIGLA]]="","",VLOOKUP(Tabela2[[#This Row],[SIGLA]],Tabela1[[#All],[Sigla Arte]:[Crédito]],2,0))</f>
        <v/>
      </c>
      <c r="Z3025" s="31"/>
      <c r="AA3025" s="31" t="str">
        <f>Tabela2[[#This Row],[ILUSTRADOR CRIAÇÃO]]</f>
        <v/>
      </c>
      <c r="AB3025" s="33"/>
      <c r="AC3025" s="16"/>
      <c r="AE3025" s="35" t="str">
        <f t="shared" si="48"/>
        <v>EF1 E002 Mat</v>
      </c>
    </row>
    <row r="3026" spans="1:31" x14ac:dyDescent="0.25">
      <c r="A3026" s="31"/>
      <c r="B3026" s="16"/>
      <c r="C3026" s="16"/>
      <c r="D3026" s="33"/>
      <c r="E3026" s="33"/>
      <c r="F3026" s="33"/>
      <c r="G3026" s="33"/>
      <c r="H3026" s="33"/>
      <c r="I3026" s="31"/>
      <c r="J3026" s="31"/>
      <c r="K3026" s="33"/>
      <c r="L3026" s="33"/>
      <c r="M3026" s="31"/>
      <c r="N3026" s="31"/>
      <c r="O3026" s="16"/>
      <c r="P3026" s="16"/>
      <c r="Q3026" s="16"/>
      <c r="R3026" s="33"/>
      <c r="S3026" s="34"/>
      <c r="T3026" s="34"/>
      <c r="U3026" s="34"/>
      <c r="V3026" s="34"/>
      <c r="W3026" s="34"/>
      <c r="X3026" s="33"/>
      <c r="Y3026" s="35" t="str">
        <f>IF(Tabela2[[#This Row],[SIGLA]]="","",VLOOKUP(Tabela2[[#This Row],[SIGLA]],Tabela1[[#All],[Sigla Arte]:[Crédito]],2,0))</f>
        <v/>
      </c>
      <c r="Z3026" s="31"/>
      <c r="AA3026" s="31" t="str">
        <f>Tabela2[[#This Row],[ILUSTRADOR CRIAÇÃO]]</f>
        <v/>
      </c>
      <c r="AB3026" s="33"/>
      <c r="AC3026" s="16"/>
      <c r="AE3026" s="35" t="str">
        <f t="shared" si="48"/>
        <v>EF1 E002 Mat</v>
      </c>
    </row>
    <row r="3027" spans="1:31" x14ac:dyDescent="0.25">
      <c r="A3027" s="31"/>
      <c r="B3027" s="16"/>
      <c r="C3027" s="16"/>
      <c r="D3027" s="33"/>
      <c r="E3027" s="33"/>
      <c r="F3027" s="33"/>
      <c r="G3027" s="33"/>
      <c r="H3027" s="33"/>
      <c r="I3027" s="31"/>
      <c r="J3027" s="31"/>
      <c r="K3027" s="33"/>
      <c r="L3027" s="33"/>
      <c r="M3027" s="31"/>
      <c r="N3027" s="31"/>
      <c r="O3027" s="16"/>
      <c r="P3027" s="16"/>
      <c r="Q3027" s="16"/>
      <c r="R3027" s="33"/>
      <c r="S3027" s="34"/>
      <c r="T3027" s="34"/>
      <c r="U3027" s="34"/>
      <c r="V3027" s="34"/>
      <c r="W3027" s="34"/>
      <c r="X3027" s="33"/>
      <c r="Y3027" s="35" t="str">
        <f>IF(Tabela2[[#This Row],[SIGLA]]="","",VLOOKUP(Tabela2[[#This Row],[SIGLA]],Tabela1[[#All],[Sigla Arte]:[Crédito]],2,0))</f>
        <v/>
      </c>
      <c r="Z3027" s="31"/>
      <c r="AA3027" s="31" t="str">
        <f>Tabela2[[#This Row],[ILUSTRADOR CRIAÇÃO]]</f>
        <v/>
      </c>
      <c r="AB3027" s="33"/>
      <c r="AC3027" s="16"/>
      <c r="AE3027" s="35" t="str">
        <f t="shared" si="48"/>
        <v>EF1 E002 Mat</v>
      </c>
    </row>
    <row r="3028" spans="1:31" x14ac:dyDescent="0.25">
      <c r="A3028" s="31"/>
      <c r="B3028" s="16"/>
      <c r="C3028" s="16"/>
      <c r="D3028" s="33"/>
      <c r="E3028" s="33"/>
      <c r="F3028" s="33"/>
      <c r="G3028" s="33"/>
      <c r="H3028" s="33"/>
      <c r="I3028" s="31"/>
      <c r="J3028" s="31"/>
      <c r="K3028" s="33"/>
      <c r="L3028" s="33"/>
      <c r="M3028" s="31"/>
      <c r="N3028" s="31"/>
      <c r="O3028" s="16"/>
      <c r="P3028" s="16"/>
      <c r="Q3028" s="16"/>
      <c r="R3028" s="33"/>
      <c r="S3028" s="34"/>
      <c r="T3028" s="34"/>
      <c r="U3028" s="34"/>
      <c r="V3028" s="34"/>
      <c r="W3028" s="34"/>
      <c r="X3028" s="33"/>
      <c r="Y3028" s="35" t="str">
        <f>IF(Tabela2[[#This Row],[SIGLA]]="","",VLOOKUP(Tabela2[[#This Row],[SIGLA]],Tabela1[[#All],[Sigla Arte]:[Crédito]],2,0))</f>
        <v/>
      </c>
      <c r="Z3028" s="31"/>
      <c r="AA3028" s="31" t="str">
        <f>Tabela2[[#This Row],[ILUSTRADOR CRIAÇÃO]]</f>
        <v/>
      </c>
      <c r="AB3028" s="33"/>
      <c r="AC3028" s="16"/>
      <c r="AE3028" s="35" t="str">
        <f t="shared" si="48"/>
        <v>EF1 E002 Mat</v>
      </c>
    </row>
    <row r="3029" spans="1:31" x14ac:dyDescent="0.25">
      <c r="A3029" s="31"/>
      <c r="B3029" s="16"/>
      <c r="C3029" s="16"/>
      <c r="D3029" s="33"/>
      <c r="E3029" s="33"/>
      <c r="F3029" s="33"/>
      <c r="G3029" s="33"/>
      <c r="H3029" s="33"/>
      <c r="I3029" s="31"/>
      <c r="J3029" s="31"/>
      <c r="K3029" s="33"/>
      <c r="L3029" s="33"/>
      <c r="M3029" s="31"/>
      <c r="N3029" s="31"/>
      <c r="O3029" s="16"/>
      <c r="P3029" s="16"/>
      <c r="Q3029" s="16"/>
      <c r="R3029" s="33"/>
      <c r="S3029" s="34"/>
      <c r="T3029" s="34"/>
      <c r="U3029" s="34"/>
      <c r="V3029" s="34"/>
      <c r="W3029" s="34"/>
      <c r="X3029" s="33"/>
      <c r="Y3029" s="35" t="str">
        <f>IF(Tabela2[[#This Row],[SIGLA]]="","",VLOOKUP(Tabela2[[#This Row],[SIGLA]],Tabela1[[#All],[Sigla Arte]:[Crédito]],2,0))</f>
        <v/>
      </c>
      <c r="Z3029" s="31"/>
      <c r="AA3029" s="31" t="str">
        <f>Tabela2[[#This Row],[ILUSTRADOR CRIAÇÃO]]</f>
        <v/>
      </c>
      <c r="AB3029" s="33"/>
      <c r="AC3029" s="16"/>
      <c r="AE3029" s="35" t="str">
        <f t="shared" si="48"/>
        <v>EF1 E002 Mat</v>
      </c>
    </row>
    <row r="3030" spans="1:31" x14ac:dyDescent="0.25">
      <c r="A3030" s="31"/>
      <c r="B3030" s="16"/>
      <c r="C3030" s="16"/>
      <c r="D3030" s="33"/>
      <c r="E3030" s="33"/>
      <c r="F3030" s="33"/>
      <c r="G3030" s="33"/>
      <c r="H3030" s="33"/>
      <c r="I3030" s="31"/>
      <c r="J3030" s="31"/>
      <c r="K3030" s="33"/>
      <c r="L3030" s="33"/>
      <c r="M3030" s="31"/>
      <c r="N3030" s="31"/>
      <c r="O3030" s="16"/>
      <c r="P3030" s="16"/>
      <c r="Q3030" s="16"/>
      <c r="R3030" s="33"/>
      <c r="S3030" s="34"/>
      <c r="T3030" s="34"/>
      <c r="U3030" s="34"/>
      <c r="V3030" s="34"/>
      <c r="W3030" s="34"/>
      <c r="X3030" s="33"/>
      <c r="Y3030" s="35" t="str">
        <f>IF(Tabela2[[#This Row],[SIGLA]]="","",VLOOKUP(Tabela2[[#This Row],[SIGLA]],Tabela1[[#All],[Sigla Arte]:[Crédito]],2,0))</f>
        <v/>
      </c>
      <c r="Z3030" s="31"/>
      <c r="AA3030" s="31" t="str">
        <f>Tabela2[[#This Row],[ILUSTRADOR CRIAÇÃO]]</f>
        <v/>
      </c>
      <c r="AB3030" s="33"/>
      <c r="AC3030" s="16"/>
      <c r="AE3030" s="35" t="str">
        <f t="shared" si="48"/>
        <v>EF1 E002 Mat</v>
      </c>
    </row>
    <row r="3031" spans="1:31" x14ac:dyDescent="0.25">
      <c r="A3031" s="31"/>
      <c r="B3031" s="16"/>
      <c r="C3031" s="16"/>
      <c r="D3031" s="33"/>
      <c r="E3031" s="33"/>
      <c r="F3031" s="33"/>
      <c r="G3031" s="33"/>
      <c r="H3031" s="33"/>
      <c r="I3031" s="31"/>
      <c r="J3031" s="31"/>
      <c r="K3031" s="33"/>
      <c r="L3031" s="33"/>
      <c r="M3031" s="31"/>
      <c r="N3031" s="31"/>
      <c r="O3031" s="16"/>
      <c r="P3031" s="16"/>
      <c r="Q3031" s="16"/>
      <c r="R3031" s="33"/>
      <c r="S3031" s="34"/>
      <c r="T3031" s="34"/>
      <c r="U3031" s="34"/>
      <c r="V3031" s="34"/>
      <c r="W3031" s="34"/>
      <c r="X3031" s="33"/>
      <c r="Y3031" s="35" t="str">
        <f>IF(Tabela2[[#This Row],[SIGLA]]="","",VLOOKUP(Tabela2[[#This Row],[SIGLA]],Tabela1[[#All],[Sigla Arte]:[Crédito]],2,0))</f>
        <v/>
      </c>
      <c r="Z3031" s="31"/>
      <c r="AA3031" s="31" t="str">
        <f>Tabela2[[#This Row],[ILUSTRADOR CRIAÇÃO]]</f>
        <v/>
      </c>
      <c r="AB3031" s="33"/>
      <c r="AC3031" s="16"/>
      <c r="AE3031" s="35" t="str">
        <f t="shared" si="48"/>
        <v>EF1 E002 Mat</v>
      </c>
    </row>
    <row r="3032" spans="1:31" x14ac:dyDescent="0.25">
      <c r="A3032" s="31"/>
      <c r="B3032" s="16"/>
      <c r="C3032" s="16"/>
      <c r="D3032" s="33"/>
      <c r="E3032" s="33"/>
      <c r="F3032" s="33"/>
      <c r="G3032" s="33"/>
      <c r="H3032" s="33"/>
      <c r="I3032" s="31"/>
      <c r="J3032" s="31"/>
      <c r="K3032" s="33"/>
      <c r="L3032" s="33"/>
      <c r="M3032" s="31"/>
      <c r="N3032" s="31"/>
      <c r="O3032" s="16"/>
      <c r="P3032" s="16"/>
      <c r="Q3032" s="16"/>
      <c r="R3032" s="33"/>
      <c r="S3032" s="34"/>
      <c r="T3032" s="34"/>
      <c r="U3032" s="34"/>
      <c r="V3032" s="34"/>
      <c r="W3032" s="34"/>
      <c r="X3032" s="33"/>
      <c r="Y3032" s="35" t="str">
        <f>IF(Tabela2[[#This Row],[SIGLA]]="","",VLOOKUP(Tabela2[[#This Row],[SIGLA]],Tabela1[[#All],[Sigla Arte]:[Crédito]],2,0))</f>
        <v/>
      </c>
      <c r="Z3032" s="31"/>
      <c r="AA3032" s="31" t="str">
        <f>Tabela2[[#This Row],[ILUSTRADOR CRIAÇÃO]]</f>
        <v/>
      </c>
      <c r="AB3032" s="33"/>
      <c r="AC3032" s="16"/>
      <c r="AE3032" s="35" t="str">
        <f t="shared" si="48"/>
        <v>EF1 E002 Mat</v>
      </c>
    </row>
    <row r="3033" spans="1:31" x14ac:dyDescent="0.25">
      <c r="A3033" s="31"/>
      <c r="B3033" s="16"/>
      <c r="C3033" s="16"/>
      <c r="D3033" s="33"/>
      <c r="E3033" s="33"/>
      <c r="F3033" s="33"/>
      <c r="G3033" s="33"/>
      <c r="H3033" s="33"/>
      <c r="I3033" s="31"/>
      <c r="J3033" s="31"/>
      <c r="K3033" s="33"/>
      <c r="L3033" s="33"/>
      <c r="M3033" s="31"/>
      <c r="N3033" s="31"/>
      <c r="O3033" s="16"/>
      <c r="P3033" s="16"/>
      <c r="Q3033" s="16"/>
      <c r="R3033" s="33"/>
      <c r="S3033" s="34"/>
      <c r="T3033" s="34"/>
      <c r="U3033" s="34"/>
      <c r="V3033" s="34"/>
      <c r="W3033" s="34"/>
      <c r="X3033" s="33"/>
      <c r="Y3033" s="35" t="str">
        <f>IF(Tabela2[[#This Row],[SIGLA]]="","",VLOOKUP(Tabela2[[#This Row],[SIGLA]],Tabela1[[#All],[Sigla Arte]:[Crédito]],2,0))</f>
        <v/>
      </c>
      <c r="Z3033" s="31"/>
      <c r="AA3033" s="31" t="str">
        <f>Tabela2[[#This Row],[ILUSTRADOR CRIAÇÃO]]</f>
        <v/>
      </c>
      <c r="AB3033" s="33"/>
      <c r="AC3033" s="16"/>
      <c r="AE3033" s="35" t="str">
        <f t="shared" si="48"/>
        <v>EF1 E002 Mat</v>
      </c>
    </row>
    <row r="3034" spans="1:31" x14ac:dyDescent="0.25">
      <c r="A3034" s="31"/>
      <c r="B3034" s="16"/>
      <c r="C3034" s="16"/>
      <c r="D3034" s="33"/>
      <c r="E3034" s="33"/>
      <c r="F3034" s="33"/>
      <c r="G3034" s="33"/>
      <c r="H3034" s="33"/>
      <c r="I3034" s="31"/>
      <c r="J3034" s="31"/>
      <c r="K3034" s="33"/>
      <c r="L3034" s="33"/>
      <c r="M3034" s="31"/>
      <c r="N3034" s="31"/>
      <c r="O3034" s="16"/>
      <c r="P3034" s="16"/>
      <c r="Q3034" s="16"/>
      <c r="R3034" s="33"/>
      <c r="S3034" s="34"/>
      <c r="T3034" s="34"/>
      <c r="U3034" s="34"/>
      <c r="V3034" s="34"/>
      <c r="W3034" s="34"/>
      <c r="X3034" s="33"/>
      <c r="Y3034" s="35" t="str">
        <f>IF(Tabela2[[#This Row],[SIGLA]]="","",VLOOKUP(Tabela2[[#This Row],[SIGLA]],Tabela1[[#All],[Sigla Arte]:[Crédito]],2,0))</f>
        <v/>
      </c>
      <c r="Z3034" s="31"/>
      <c r="AA3034" s="31" t="str">
        <f>Tabela2[[#This Row],[ILUSTRADOR CRIAÇÃO]]</f>
        <v/>
      </c>
      <c r="AB3034" s="33"/>
      <c r="AC3034" s="16"/>
      <c r="AE3034" s="35" t="str">
        <f t="shared" si="48"/>
        <v>EF1 E002 Mat</v>
      </c>
    </row>
    <row r="3035" spans="1:31" x14ac:dyDescent="0.25">
      <c r="A3035" s="31"/>
      <c r="B3035" s="16"/>
      <c r="C3035" s="16"/>
      <c r="D3035" s="33"/>
      <c r="E3035" s="33"/>
      <c r="F3035" s="33"/>
      <c r="G3035" s="33"/>
      <c r="H3035" s="33"/>
      <c r="I3035" s="31"/>
      <c r="J3035" s="31"/>
      <c r="K3035" s="33"/>
      <c r="L3035" s="33"/>
      <c r="M3035" s="31"/>
      <c r="N3035" s="31"/>
      <c r="O3035" s="16"/>
      <c r="P3035" s="16"/>
      <c r="Q3035" s="16"/>
      <c r="R3035" s="33"/>
      <c r="S3035" s="34"/>
      <c r="T3035" s="34"/>
      <c r="U3035" s="34"/>
      <c r="V3035" s="34"/>
      <c r="W3035" s="34"/>
      <c r="X3035" s="33"/>
      <c r="Y3035" s="35" t="str">
        <f>IF(Tabela2[[#This Row],[SIGLA]]="","",VLOOKUP(Tabela2[[#This Row],[SIGLA]],Tabela1[[#All],[Sigla Arte]:[Crédito]],2,0))</f>
        <v/>
      </c>
      <c r="Z3035" s="31"/>
      <c r="AA3035" s="31" t="str">
        <f>Tabela2[[#This Row],[ILUSTRADOR CRIAÇÃO]]</f>
        <v/>
      </c>
      <c r="AB3035" s="33"/>
      <c r="AC3035" s="16"/>
      <c r="AE3035" s="35" t="str">
        <f t="shared" si="48"/>
        <v>EF1 E002 Mat</v>
      </c>
    </row>
    <row r="3036" spans="1:31" x14ac:dyDescent="0.25">
      <c r="A3036" s="31"/>
      <c r="B3036" s="16"/>
      <c r="C3036" s="16"/>
      <c r="D3036" s="33"/>
      <c r="E3036" s="33"/>
      <c r="F3036" s="33"/>
      <c r="G3036" s="33"/>
      <c r="H3036" s="33"/>
      <c r="I3036" s="31"/>
      <c r="J3036" s="31"/>
      <c r="K3036" s="33"/>
      <c r="L3036" s="33"/>
      <c r="M3036" s="31"/>
      <c r="N3036" s="31"/>
      <c r="O3036" s="16"/>
      <c r="P3036" s="16"/>
      <c r="Q3036" s="16"/>
      <c r="R3036" s="33"/>
      <c r="S3036" s="34"/>
      <c r="T3036" s="34"/>
      <c r="U3036" s="34"/>
      <c r="V3036" s="34"/>
      <c r="W3036" s="34"/>
      <c r="X3036" s="33"/>
      <c r="Y3036" s="35" t="str">
        <f>IF(Tabela2[[#This Row],[SIGLA]]="","",VLOOKUP(Tabela2[[#This Row],[SIGLA]],Tabela1[[#All],[Sigla Arte]:[Crédito]],2,0))</f>
        <v/>
      </c>
      <c r="Z3036" s="31"/>
      <c r="AA3036" s="31" t="str">
        <f>Tabela2[[#This Row],[ILUSTRADOR CRIAÇÃO]]</f>
        <v/>
      </c>
      <c r="AB3036" s="33"/>
      <c r="AC3036" s="16"/>
      <c r="AE3036" s="35" t="str">
        <f t="shared" si="48"/>
        <v>EF1 E002 Mat</v>
      </c>
    </row>
    <row r="3037" spans="1:31" x14ac:dyDescent="0.25">
      <c r="A3037" s="31"/>
      <c r="B3037" s="16"/>
      <c r="C3037" s="16"/>
      <c r="D3037" s="33"/>
      <c r="E3037" s="33"/>
      <c r="F3037" s="33"/>
      <c r="G3037" s="33"/>
      <c r="H3037" s="33"/>
      <c r="I3037" s="31"/>
      <c r="J3037" s="31"/>
      <c r="K3037" s="33"/>
      <c r="L3037" s="33"/>
      <c r="M3037" s="31"/>
      <c r="N3037" s="31"/>
      <c r="O3037" s="16"/>
      <c r="P3037" s="16"/>
      <c r="Q3037" s="16"/>
      <c r="R3037" s="33"/>
      <c r="S3037" s="34"/>
      <c r="T3037" s="34"/>
      <c r="U3037" s="34"/>
      <c r="V3037" s="34"/>
      <c r="W3037" s="34"/>
      <c r="X3037" s="33"/>
      <c r="Y3037" s="35" t="str">
        <f>IF(Tabela2[[#This Row],[SIGLA]]="","",VLOOKUP(Tabela2[[#This Row],[SIGLA]],Tabela1[[#All],[Sigla Arte]:[Crédito]],2,0))</f>
        <v/>
      </c>
      <c r="Z3037" s="31"/>
      <c r="AA3037" s="31" t="str">
        <f>Tabela2[[#This Row],[ILUSTRADOR CRIAÇÃO]]</f>
        <v/>
      </c>
      <c r="AB3037" s="33"/>
      <c r="AC3037" s="16"/>
      <c r="AE3037" s="35" t="str">
        <f t="shared" si="48"/>
        <v>EF1 E002 Mat</v>
      </c>
    </row>
    <row r="3038" spans="1:31" x14ac:dyDescent="0.25">
      <c r="A3038" s="31"/>
      <c r="B3038" s="16"/>
      <c r="C3038" s="16"/>
      <c r="D3038" s="33"/>
      <c r="E3038" s="33"/>
      <c r="F3038" s="33"/>
      <c r="G3038" s="33"/>
      <c r="H3038" s="33"/>
      <c r="I3038" s="31"/>
      <c r="J3038" s="31"/>
      <c r="K3038" s="33"/>
      <c r="L3038" s="33"/>
      <c r="M3038" s="31"/>
      <c r="N3038" s="31"/>
      <c r="O3038" s="16"/>
      <c r="P3038" s="16"/>
      <c r="Q3038" s="16"/>
      <c r="R3038" s="33"/>
      <c r="S3038" s="34"/>
      <c r="T3038" s="34"/>
      <c r="U3038" s="34"/>
      <c r="V3038" s="34"/>
      <c r="W3038" s="34"/>
      <c r="X3038" s="33"/>
      <c r="Y3038" s="35" t="str">
        <f>IF(Tabela2[[#This Row],[SIGLA]]="","",VLOOKUP(Tabela2[[#This Row],[SIGLA]],Tabela1[[#All],[Sigla Arte]:[Crédito]],2,0))</f>
        <v/>
      </c>
      <c r="Z3038" s="31"/>
      <c r="AA3038" s="31" t="str">
        <f>Tabela2[[#This Row],[ILUSTRADOR CRIAÇÃO]]</f>
        <v/>
      </c>
      <c r="AB3038" s="33"/>
      <c r="AC3038" s="16"/>
      <c r="AE3038" s="35" t="str">
        <f t="shared" si="48"/>
        <v>EF1 E002 Mat</v>
      </c>
    </row>
    <row r="3039" spans="1:31" x14ac:dyDescent="0.25">
      <c r="A3039" s="31"/>
      <c r="B3039" s="16"/>
      <c r="C3039" s="16"/>
      <c r="D3039" s="33"/>
      <c r="E3039" s="33"/>
      <c r="F3039" s="33"/>
      <c r="G3039" s="33"/>
      <c r="H3039" s="33"/>
      <c r="I3039" s="31"/>
      <c r="J3039" s="31"/>
      <c r="K3039" s="33"/>
      <c r="L3039" s="33"/>
      <c r="M3039" s="31"/>
      <c r="N3039" s="31"/>
      <c r="O3039" s="16"/>
      <c r="P3039" s="16"/>
      <c r="Q3039" s="16"/>
      <c r="R3039" s="33"/>
      <c r="S3039" s="34"/>
      <c r="T3039" s="34"/>
      <c r="U3039" s="34"/>
      <c r="V3039" s="34"/>
      <c r="W3039" s="34"/>
      <c r="X3039" s="33"/>
      <c r="Y3039" s="35" t="str">
        <f>IF(Tabela2[[#This Row],[SIGLA]]="","",VLOOKUP(Tabela2[[#This Row],[SIGLA]],Tabela1[[#All],[Sigla Arte]:[Crédito]],2,0))</f>
        <v/>
      </c>
      <c r="Z3039" s="31"/>
      <c r="AA3039" s="31" t="str">
        <f>Tabela2[[#This Row],[ILUSTRADOR CRIAÇÃO]]</f>
        <v/>
      </c>
      <c r="AB3039" s="33"/>
      <c r="AC3039" s="16"/>
      <c r="AE3039" s="35" t="str">
        <f t="shared" si="48"/>
        <v>EF1 E002 Mat</v>
      </c>
    </row>
    <row r="3040" spans="1:31" x14ac:dyDescent="0.25">
      <c r="A3040" s="31"/>
      <c r="B3040" s="16"/>
      <c r="C3040" s="16"/>
      <c r="D3040" s="33"/>
      <c r="E3040" s="33"/>
      <c r="F3040" s="33"/>
      <c r="G3040" s="33"/>
      <c r="H3040" s="33"/>
      <c r="I3040" s="31"/>
      <c r="J3040" s="31"/>
      <c r="K3040" s="33"/>
      <c r="L3040" s="33"/>
      <c r="M3040" s="31"/>
      <c r="N3040" s="31"/>
      <c r="O3040" s="16"/>
      <c r="P3040" s="16"/>
      <c r="Q3040" s="16"/>
      <c r="R3040" s="33"/>
      <c r="S3040" s="34"/>
      <c r="T3040" s="34"/>
      <c r="U3040" s="34"/>
      <c r="V3040" s="34"/>
      <c r="W3040" s="34"/>
      <c r="X3040" s="33"/>
      <c r="Y3040" s="35" t="str">
        <f>IF(Tabela2[[#This Row],[SIGLA]]="","",VLOOKUP(Tabela2[[#This Row],[SIGLA]],Tabela1[[#All],[Sigla Arte]:[Crédito]],2,0))</f>
        <v/>
      </c>
      <c r="Z3040" s="31"/>
      <c r="AA3040" s="31" t="str">
        <f>Tabela2[[#This Row],[ILUSTRADOR CRIAÇÃO]]</f>
        <v/>
      </c>
      <c r="AB3040" s="33"/>
      <c r="AC3040" s="16"/>
      <c r="AE3040" s="35" t="str">
        <f t="shared" si="48"/>
        <v>EF1 E002 Mat</v>
      </c>
    </row>
    <row r="3041" spans="1:31" x14ac:dyDescent="0.25">
      <c r="A3041" s="31"/>
      <c r="B3041" s="16"/>
      <c r="C3041" s="16"/>
      <c r="D3041" s="33"/>
      <c r="E3041" s="33"/>
      <c r="F3041" s="33"/>
      <c r="G3041" s="33"/>
      <c r="H3041" s="33"/>
      <c r="I3041" s="31"/>
      <c r="J3041" s="31"/>
      <c r="K3041" s="33"/>
      <c r="L3041" s="33"/>
      <c r="M3041" s="31"/>
      <c r="N3041" s="31"/>
      <c r="O3041" s="16"/>
      <c r="P3041" s="16"/>
      <c r="Q3041" s="16"/>
      <c r="R3041" s="33"/>
      <c r="S3041" s="34"/>
      <c r="T3041" s="34"/>
      <c r="U3041" s="34"/>
      <c r="V3041" s="34"/>
      <c r="W3041" s="34"/>
      <c r="X3041" s="33"/>
      <c r="Y3041" s="35" t="str">
        <f>IF(Tabela2[[#This Row],[SIGLA]]="","",VLOOKUP(Tabela2[[#This Row],[SIGLA]],Tabela1[[#All],[Sigla Arte]:[Crédito]],2,0))</f>
        <v/>
      </c>
      <c r="Z3041" s="31"/>
      <c r="AA3041" s="31" t="str">
        <f>Tabela2[[#This Row],[ILUSTRADOR CRIAÇÃO]]</f>
        <v/>
      </c>
      <c r="AB3041" s="33"/>
      <c r="AC3041" s="16"/>
      <c r="AE3041" s="35" t="str">
        <f t="shared" si="48"/>
        <v>EF1 E002 Mat</v>
      </c>
    </row>
    <row r="3042" spans="1:31" x14ac:dyDescent="0.25">
      <c r="A3042" s="31"/>
      <c r="B3042" s="16"/>
      <c r="C3042" s="16"/>
      <c r="D3042" s="33"/>
      <c r="E3042" s="33"/>
      <c r="F3042" s="33"/>
      <c r="G3042" s="33"/>
      <c r="H3042" s="33"/>
      <c r="I3042" s="31"/>
      <c r="J3042" s="31"/>
      <c r="K3042" s="33"/>
      <c r="L3042" s="33"/>
      <c r="M3042" s="31"/>
      <c r="N3042" s="31"/>
      <c r="O3042" s="16"/>
      <c r="P3042" s="16"/>
      <c r="Q3042" s="16"/>
      <c r="R3042" s="33"/>
      <c r="S3042" s="34"/>
      <c r="T3042" s="34"/>
      <c r="U3042" s="34"/>
      <c r="V3042" s="34"/>
      <c r="W3042" s="34"/>
      <c r="X3042" s="33"/>
      <c r="Y3042" s="35" t="str">
        <f>IF(Tabela2[[#This Row],[SIGLA]]="","",VLOOKUP(Tabela2[[#This Row],[SIGLA]],Tabela1[[#All],[Sigla Arte]:[Crédito]],2,0))</f>
        <v/>
      </c>
      <c r="Z3042" s="31"/>
      <c r="AA3042" s="31" t="str">
        <f>Tabela2[[#This Row],[ILUSTRADOR CRIAÇÃO]]</f>
        <v/>
      </c>
      <c r="AB3042" s="33"/>
      <c r="AC3042" s="16"/>
      <c r="AE3042" s="35" t="str">
        <f t="shared" si="48"/>
        <v>EF1 E002 Mat</v>
      </c>
    </row>
    <row r="3043" spans="1:31" x14ac:dyDescent="0.25">
      <c r="A3043" s="31"/>
      <c r="B3043" s="16"/>
      <c r="C3043" s="16"/>
      <c r="D3043" s="33"/>
      <c r="E3043" s="33"/>
      <c r="F3043" s="33"/>
      <c r="G3043" s="33"/>
      <c r="H3043" s="33"/>
      <c r="I3043" s="31"/>
      <c r="J3043" s="31"/>
      <c r="K3043" s="33"/>
      <c r="L3043" s="33"/>
      <c r="M3043" s="31"/>
      <c r="N3043" s="31"/>
      <c r="O3043" s="16"/>
      <c r="P3043" s="16"/>
      <c r="Q3043" s="16"/>
      <c r="R3043" s="33"/>
      <c r="S3043" s="34"/>
      <c r="T3043" s="34"/>
      <c r="U3043" s="34"/>
      <c r="V3043" s="34"/>
      <c r="W3043" s="34"/>
      <c r="X3043" s="33"/>
      <c r="Y3043" s="35" t="str">
        <f>IF(Tabela2[[#This Row],[SIGLA]]="","",VLOOKUP(Tabela2[[#This Row],[SIGLA]],Tabela1[[#All],[Sigla Arte]:[Crédito]],2,0))</f>
        <v/>
      </c>
      <c r="Z3043" s="31"/>
      <c r="AA3043" s="31" t="str">
        <f>Tabela2[[#This Row],[ILUSTRADOR CRIAÇÃO]]</f>
        <v/>
      </c>
      <c r="AB3043" s="33"/>
      <c r="AC3043" s="16"/>
      <c r="AE3043" s="35" t="str">
        <f t="shared" si="48"/>
        <v>EF1 E002 Mat</v>
      </c>
    </row>
    <row r="3044" spans="1:31" x14ac:dyDescent="0.25">
      <c r="A3044" s="31"/>
      <c r="B3044" s="16"/>
      <c r="C3044" s="16"/>
      <c r="D3044" s="33"/>
      <c r="E3044" s="33"/>
      <c r="F3044" s="33"/>
      <c r="G3044" s="33"/>
      <c r="H3044" s="33"/>
      <c r="I3044" s="31"/>
      <c r="J3044" s="31"/>
      <c r="K3044" s="33"/>
      <c r="L3044" s="33"/>
      <c r="M3044" s="31"/>
      <c r="N3044" s="31"/>
      <c r="O3044" s="16"/>
      <c r="P3044" s="16"/>
      <c r="Q3044" s="16"/>
      <c r="R3044" s="33"/>
      <c r="S3044" s="34"/>
      <c r="T3044" s="34"/>
      <c r="U3044" s="34"/>
      <c r="V3044" s="34"/>
      <c r="W3044" s="34"/>
      <c r="X3044" s="33"/>
      <c r="Y3044" s="35" t="str">
        <f>IF(Tabela2[[#This Row],[SIGLA]]="","",VLOOKUP(Tabela2[[#This Row],[SIGLA]],Tabela1[[#All],[Sigla Arte]:[Crédito]],2,0))</f>
        <v/>
      </c>
      <c r="Z3044" s="31"/>
      <c r="AA3044" s="31" t="str">
        <f>Tabela2[[#This Row],[ILUSTRADOR CRIAÇÃO]]</f>
        <v/>
      </c>
      <c r="AB3044" s="33"/>
      <c r="AC3044" s="16"/>
      <c r="AE3044" s="35" t="str">
        <f t="shared" si="48"/>
        <v>EF1 E002 Mat</v>
      </c>
    </row>
    <row r="3045" spans="1:31" x14ac:dyDescent="0.25">
      <c r="A3045" s="31"/>
      <c r="B3045" s="16"/>
      <c r="C3045" s="16"/>
      <c r="D3045" s="33"/>
      <c r="E3045" s="33"/>
      <c r="F3045" s="33"/>
      <c r="G3045" s="33"/>
      <c r="H3045" s="33"/>
      <c r="I3045" s="31"/>
      <c r="J3045" s="31"/>
      <c r="K3045" s="33"/>
      <c r="L3045" s="33"/>
      <c r="M3045" s="31"/>
      <c r="N3045" s="31"/>
      <c r="O3045" s="16"/>
      <c r="P3045" s="16"/>
      <c r="Q3045" s="16"/>
      <c r="R3045" s="33"/>
      <c r="S3045" s="34"/>
      <c r="T3045" s="34"/>
      <c r="U3045" s="34"/>
      <c r="V3045" s="34"/>
      <c r="W3045" s="34"/>
      <c r="X3045" s="33"/>
      <c r="Y3045" s="35" t="str">
        <f>IF(Tabela2[[#This Row],[SIGLA]]="","",VLOOKUP(Tabela2[[#This Row],[SIGLA]],Tabela1[[#All],[Sigla Arte]:[Crédito]],2,0))</f>
        <v/>
      </c>
      <c r="Z3045" s="31"/>
      <c r="AA3045" s="31" t="str">
        <f>Tabela2[[#This Row],[ILUSTRADOR CRIAÇÃO]]</f>
        <v/>
      </c>
      <c r="AB3045" s="33"/>
      <c r="AC3045" s="16"/>
      <c r="AE3045" s="35" t="str">
        <f t="shared" si="48"/>
        <v>EF1 E002 Mat</v>
      </c>
    </row>
    <row r="3046" spans="1:31" x14ac:dyDescent="0.25">
      <c r="A3046" s="31"/>
      <c r="B3046" s="16"/>
      <c r="C3046" s="16"/>
      <c r="D3046" s="33"/>
      <c r="E3046" s="33"/>
      <c r="F3046" s="33"/>
      <c r="G3046" s="33"/>
      <c r="H3046" s="33"/>
      <c r="I3046" s="31"/>
      <c r="J3046" s="31"/>
      <c r="K3046" s="33"/>
      <c r="L3046" s="33"/>
      <c r="M3046" s="31"/>
      <c r="N3046" s="31"/>
      <c r="O3046" s="16"/>
      <c r="P3046" s="16"/>
      <c r="Q3046" s="16"/>
      <c r="R3046" s="33"/>
      <c r="S3046" s="34"/>
      <c r="T3046" s="34"/>
      <c r="U3046" s="34"/>
      <c r="V3046" s="34"/>
      <c r="W3046" s="34"/>
      <c r="X3046" s="33"/>
      <c r="Y3046" s="35" t="str">
        <f>IF(Tabela2[[#This Row],[SIGLA]]="","",VLOOKUP(Tabela2[[#This Row],[SIGLA]],Tabela1[[#All],[Sigla Arte]:[Crédito]],2,0))</f>
        <v/>
      </c>
      <c r="Z3046" s="31"/>
      <c r="AA3046" s="31" t="str">
        <f>Tabela2[[#This Row],[ILUSTRADOR CRIAÇÃO]]</f>
        <v/>
      </c>
      <c r="AB3046" s="33"/>
      <c r="AC3046" s="16"/>
      <c r="AE3046" s="35" t="str">
        <f t="shared" si="48"/>
        <v>EF1 E002 Mat</v>
      </c>
    </row>
    <row r="3047" spans="1:31" x14ac:dyDescent="0.25">
      <c r="A3047" s="31"/>
      <c r="B3047" s="16"/>
      <c r="C3047" s="16"/>
      <c r="D3047" s="33"/>
      <c r="E3047" s="33"/>
      <c r="F3047" s="33"/>
      <c r="G3047" s="33"/>
      <c r="H3047" s="33"/>
      <c r="I3047" s="31"/>
      <c r="J3047" s="31"/>
      <c r="K3047" s="33"/>
      <c r="L3047" s="33"/>
      <c r="M3047" s="31"/>
      <c r="N3047" s="31"/>
      <c r="O3047" s="16"/>
      <c r="P3047" s="16"/>
      <c r="Q3047" s="16"/>
      <c r="R3047" s="33"/>
      <c r="S3047" s="34"/>
      <c r="T3047" s="34"/>
      <c r="U3047" s="34"/>
      <c r="V3047" s="34"/>
      <c r="W3047" s="34"/>
      <c r="X3047" s="33"/>
      <c r="Y3047" s="35" t="str">
        <f>IF(Tabela2[[#This Row],[SIGLA]]="","",VLOOKUP(Tabela2[[#This Row],[SIGLA]],Tabela1[[#All],[Sigla Arte]:[Crédito]],2,0))</f>
        <v/>
      </c>
      <c r="Z3047" s="31"/>
      <c r="AA3047" s="31" t="str">
        <f>Tabela2[[#This Row],[ILUSTRADOR CRIAÇÃO]]</f>
        <v/>
      </c>
      <c r="AB3047" s="33"/>
      <c r="AC3047" s="16"/>
      <c r="AE3047" s="35" t="str">
        <f t="shared" si="48"/>
        <v>EF1 E002 Mat</v>
      </c>
    </row>
    <row r="3048" spans="1:31" x14ac:dyDescent="0.25">
      <c r="A3048" s="31"/>
      <c r="B3048" s="16"/>
      <c r="C3048" s="16"/>
      <c r="D3048" s="33"/>
      <c r="E3048" s="33"/>
      <c r="F3048" s="33"/>
      <c r="G3048" s="33"/>
      <c r="H3048" s="33"/>
      <c r="I3048" s="31"/>
      <c r="J3048" s="31"/>
      <c r="K3048" s="33"/>
      <c r="L3048" s="33"/>
      <c r="M3048" s="31"/>
      <c r="N3048" s="31"/>
      <c r="O3048" s="16"/>
      <c r="P3048" s="16"/>
      <c r="Q3048" s="16"/>
      <c r="R3048" s="33"/>
      <c r="S3048" s="34"/>
      <c r="T3048" s="34"/>
      <c r="U3048" s="34"/>
      <c r="V3048" s="34"/>
      <c r="W3048" s="34"/>
      <c r="X3048" s="33"/>
      <c r="Y3048" s="35" t="str">
        <f>IF(Tabela2[[#This Row],[SIGLA]]="","",VLOOKUP(Tabela2[[#This Row],[SIGLA]],Tabela1[[#All],[Sigla Arte]:[Crédito]],2,0))</f>
        <v/>
      </c>
      <c r="Z3048" s="31"/>
      <c r="AA3048" s="31" t="str">
        <f>Tabela2[[#This Row],[ILUSTRADOR CRIAÇÃO]]</f>
        <v/>
      </c>
      <c r="AB3048" s="33"/>
      <c r="AC3048" s="16"/>
      <c r="AE3048" s="35" t="str">
        <f t="shared" si="48"/>
        <v>EF1 E002 Mat</v>
      </c>
    </row>
    <row r="3049" spans="1:31" x14ac:dyDescent="0.25">
      <c r="A3049" s="31"/>
      <c r="B3049" s="16"/>
      <c r="C3049" s="16"/>
      <c r="D3049" s="33"/>
      <c r="E3049" s="33"/>
      <c r="F3049" s="33"/>
      <c r="G3049" s="33"/>
      <c r="H3049" s="33"/>
      <c r="I3049" s="31"/>
      <c r="J3049" s="31"/>
      <c r="K3049" s="33"/>
      <c r="L3049" s="33"/>
      <c r="M3049" s="31"/>
      <c r="N3049" s="31"/>
      <c r="O3049" s="16"/>
      <c r="P3049" s="16"/>
      <c r="Q3049" s="16"/>
      <c r="R3049" s="33"/>
      <c r="S3049" s="34"/>
      <c r="T3049" s="34"/>
      <c r="U3049" s="34"/>
      <c r="V3049" s="34"/>
      <c r="W3049" s="34"/>
      <c r="X3049" s="33"/>
      <c r="Y3049" s="35" t="str">
        <f>IF(Tabela2[[#This Row],[SIGLA]]="","",VLOOKUP(Tabela2[[#This Row],[SIGLA]],Tabela1[[#All],[Sigla Arte]:[Crédito]],2,0))</f>
        <v/>
      </c>
      <c r="Z3049" s="31"/>
      <c r="AA3049" s="31" t="str">
        <f>Tabela2[[#This Row],[ILUSTRADOR CRIAÇÃO]]</f>
        <v/>
      </c>
      <c r="AB3049" s="33"/>
      <c r="AC3049" s="16"/>
      <c r="AE3049" s="35" t="str">
        <f t="shared" si="48"/>
        <v>EF1 E002 Mat</v>
      </c>
    </row>
    <row r="3050" spans="1:31" x14ac:dyDescent="0.25">
      <c r="A3050" s="31"/>
      <c r="B3050" s="16"/>
      <c r="C3050" s="16"/>
      <c r="D3050" s="33"/>
      <c r="E3050" s="33"/>
      <c r="F3050" s="33"/>
      <c r="G3050" s="33"/>
      <c r="H3050" s="33"/>
      <c r="I3050" s="31"/>
      <c r="J3050" s="31"/>
      <c r="K3050" s="33"/>
      <c r="L3050" s="33"/>
      <c r="M3050" s="31"/>
      <c r="N3050" s="31"/>
      <c r="O3050" s="16"/>
      <c r="P3050" s="16"/>
      <c r="Q3050" s="16"/>
      <c r="R3050" s="33"/>
      <c r="S3050" s="34"/>
      <c r="T3050" s="34"/>
      <c r="U3050" s="34"/>
      <c r="V3050" s="34"/>
      <c r="W3050" s="34"/>
      <c r="X3050" s="33"/>
      <c r="Y3050" s="35" t="str">
        <f>IF(Tabela2[[#This Row],[SIGLA]]="","",VLOOKUP(Tabela2[[#This Row],[SIGLA]],Tabela1[[#All],[Sigla Arte]:[Crédito]],2,0))</f>
        <v/>
      </c>
      <c r="Z3050" s="31"/>
      <c r="AA3050" s="31" t="str">
        <f>Tabela2[[#This Row],[ILUSTRADOR CRIAÇÃO]]</f>
        <v/>
      </c>
      <c r="AB3050" s="33"/>
      <c r="AC3050" s="16"/>
      <c r="AE3050" s="35" t="str">
        <f t="shared" si="48"/>
        <v>EF1 E002 Mat</v>
      </c>
    </row>
    <row r="3051" spans="1:31" x14ac:dyDescent="0.25">
      <c r="A3051" s="31"/>
      <c r="B3051" s="16"/>
      <c r="C3051" s="16"/>
      <c r="D3051" s="33"/>
      <c r="E3051" s="33"/>
      <c r="F3051" s="33"/>
      <c r="G3051" s="33"/>
      <c r="H3051" s="33"/>
      <c r="I3051" s="31"/>
      <c r="J3051" s="31"/>
      <c r="K3051" s="33"/>
      <c r="L3051" s="33"/>
      <c r="M3051" s="31"/>
      <c r="N3051" s="31"/>
      <c r="O3051" s="16"/>
      <c r="P3051" s="16"/>
      <c r="Q3051" s="16"/>
      <c r="R3051" s="33"/>
      <c r="S3051" s="34"/>
      <c r="T3051" s="34"/>
      <c r="U3051" s="34"/>
      <c r="V3051" s="34"/>
      <c r="W3051" s="34"/>
      <c r="X3051" s="33"/>
      <c r="Y3051" s="35" t="str">
        <f>IF(Tabela2[[#This Row],[SIGLA]]="","",VLOOKUP(Tabela2[[#This Row],[SIGLA]],Tabela1[[#All],[Sigla Arte]:[Crédito]],2,0))</f>
        <v/>
      </c>
      <c r="Z3051" s="31"/>
      <c r="AA3051" s="31" t="str">
        <f>Tabela2[[#This Row],[ILUSTRADOR CRIAÇÃO]]</f>
        <v/>
      </c>
      <c r="AB3051" s="33"/>
      <c r="AC3051" s="16"/>
      <c r="AE3051" s="35" t="str">
        <f t="shared" si="48"/>
        <v>EF1 E002 Mat</v>
      </c>
    </row>
    <row r="3052" spans="1:31" x14ac:dyDescent="0.25">
      <c r="A3052" s="31"/>
      <c r="B3052" s="16"/>
      <c r="C3052" s="16"/>
      <c r="D3052" s="33"/>
      <c r="E3052" s="33"/>
      <c r="F3052" s="33"/>
      <c r="G3052" s="33"/>
      <c r="H3052" s="33"/>
      <c r="I3052" s="31"/>
      <c r="J3052" s="31"/>
      <c r="K3052" s="33"/>
      <c r="L3052" s="33"/>
      <c r="M3052" s="31"/>
      <c r="N3052" s="31"/>
      <c r="O3052" s="16"/>
      <c r="P3052" s="16"/>
      <c r="Q3052" s="16"/>
      <c r="R3052" s="33"/>
      <c r="S3052" s="34"/>
      <c r="T3052" s="34"/>
      <c r="U3052" s="34"/>
      <c r="V3052" s="34"/>
      <c r="W3052" s="34"/>
      <c r="X3052" s="33"/>
      <c r="Y3052" s="35" t="str">
        <f>IF(Tabela2[[#This Row],[SIGLA]]="","",VLOOKUP(Tabela2[[#This Row],[SIGLA]],Tabela1[[#All],[Sigla Arte]:[Crédito]],2,0))</f>
        <v/>
      </c>
      <c r="Z3052" s="31"/>
      <c r="AA3052" s="31" t="str">
        <f>Tabela2[[#This Row],[ILUSTRADOR CRIAÇÃO]]</f>
        <v/>
      </c>
      <c r="AB3052" s="33"/>
      <c r="AC3052" s="16"/>
      <c r="AE3052" s="35" t="str">
        <f t="shared" si="48"/>
        <v>EF1 E002 Mat</v>
      </c>
    </row>
    <row r="3053" spans="1:31" x14ac:dyDescent="0.25">
      <c r="A3053" s="31"/>
      <c r="B3053" s="16"/>
      <c r="C3053" s="16"/>
      <c r="D3053" s="33"/>
      <c r="E3053" s="33"/>
      <c r="F3053" s="33"/>
      <c r="G3053" s="33"/>
      <c r="H3053" s="33"/>
      <c r="I3053" s="31"/>
      <c r="J3053" s="31"/>
      <c r="K3053" s="33"/>
      <c r="L3053" s="33"/>
      <c r="M3053" s="31"/>
      <c r="N3053" s="31"/>
      <c r="O3053" s="16"/>
      <c r="P3053" s="16"/>
      <c r="Q3053" s="16"/>
      <c r="R3053" s="33"/>
      <c r="S3053" s="34"/>
      <c r="T3053" s="34"/>
      <c r="U3053" s="34"/>
      <c r="V3053" s="34"/>
      <c r="W3053" s="34"/>
      <c r="X3053" s="33"/>
      <c r="Y3053" s="35" t="str">
        <f>IF(Tabela2[[#This Row],[SIGLA]]="","",VLOOKUP(Tabela2[[#This Row],[SIGLA]],Tabela1[[#All],[Sigla Arte]:[Crédito]],2,0))</f>
        <v/>
      </c>
      <c r="Z3053" s="31"/>
      <c r="AA3053" s="31" t="str">
        <f>Tabela2[[#This Row],[ILUSTRADOR CRIAÇÃO]]</f>
        <v/>
      </c>
      <c r="AB3053" s="33"/>
      <c r="AC3053" s="16"/>
      <c r="AE3053" s="35" t="str">
        <f t="shared" si="48"/>
        <v>EF1 E002 Mat</v>
      </c>
    </row>
    <row r="3054" spans="1:31" x14ac:dyDescent="0.25">
      <c r="A3054" s="31"/>
      <c r="B3054" s="16"/>
      <c r="C3054" s="16"/>
      <c r="D3054" s="33"/>
      <c r="E3054" s="33"/>
      <c r="F3054" s="33"/>
      <c r="G3054" s="33"/>
      <c r="H3054" s="33"/>
      <c r="I3054" s="31"/>
      <c r="J3054" s="31"/>
      <c r="K3054" s="33"/>
      <c r="L3054" s="33"/>
      <c r="M3054" s="31"/>
      <c r="N3054" s="31"/>
      <c r="O3054" s="16"/>
      <c r="P3054" s="16"/>
      <c r="Q3054" s="16"/>
      <c r="R3054" s="33"/>
      <c r="S3054" s="34"/>
      <c r="T3054" s="34"/>
      <c r="U3054" s="34"/>
      <c r="V3054" s="34"/>
      <c r="W3054" s="34"/>
      <c r="X3054" s="33"/>
      <c r="Y3054" s="35" t="str">
        <f>IF(Tabela2[[#This Row],[SIGLA]]="","",VLOOKUP(Tabela2[[#This Row],[SIGLA]],Tabela1[[#All],[Sigla Arte]:[Crédito]],2,0))</f>
        <v/>
      </c>
      <c r="Z3054" s="31"/>
      <c r="AA3054" s="31" t="str">
        <f>Tabela2[[#This Row],[ILUSTRADOR CRIAÇÃO]]</f>
        <v/>
      </c>
      <c r="AB3054" s="33"/>
      <c r="AC3054" s="16"/>
      <c r="AE3054" s="35" t="str">
        <f t="shared" si="48"/>
        <v>EF1 E002 Mat</v>
      </c>
    </row>
    <row r="3055" spans="1:31" x14ac:dyDescent="0.25">
      <c r="A3055" s="31"/>
      <c r="B3055" s="16"/>
      <c r="C3055" s="16"/>
      <c r="D3055" s="33"/>
      <c r="E3055" s="33"/>
      <c r="F3055" s="33"/>
      <c r="G3055" s="33"/>
      <c r="H3055" s="33"/>
      <c r="I3055" s="31"/>
      <c r="J3055" s="31"/>
      <c r="K3055" s="33"/>
      <c r="L3055" s="33"/>
      <c r="M3055" s="31"/>
      <c r="N3055" s="31"/>
      <c r="O3055" s="16"/>
      <c r="P3055" s="16"/>
      <c r="Q3055" s="16"/>
      <c r="R3055" s="33"/>
      <c r="S3055" s="34"/>
      <c r="T3055" s="34"/>
      <c r="U3055" s="34"/>
      <c r="V3055" s="34"/>
      <c r="W3055" s="34"/>
      <c r="X3055" s="33"/>
      <c r="Y3055" s="35" t="str">
        <f>IF(Tabela2[[#This Row],[SIGLA]]="","",VLOOKUP(Tabela2[[#This Row],[SIGLA]],Tabela1[[#All],[Sigla Arte]:[Crédito]],2,0))</f>
        <v/>
      </c>
      <c r="Z3055" s="31"/>
      <c r="AA3055" s="31" t="str">
        <f>Tabela2[[#This Row],[ILUSTRADOR CRIAÇÃO]]</f>
        <v/>
      </c>
      <c r="AB3055" s="33"/>
      <c r="AC3055" s="16"/>
      <c r="AE3055" s="35" t="str">
        <f t="shared" si="48"/>
        <v>EF1 E002 Mat</v>
      </c>
    </row>
    <row r="3056" spans="1:31" x14ac:dyDescent="0.25">
      <c r="A3056" s="31"/>
      <c r="B3056" s="16"/>
      <c r="C3056" s="16"/>
      <c r="D3056" s="33"/>
      <c r="E3056" s="33"/>
      <c r="F3056" s="33"/>
      <c r="G3056" s="33"/>
      <c r="H3056" s="33"/>
      <c r="I3056" s="31"/>
      <c r="J3056" s="31"/>
      <c r="K3056" s="33"/>
      <c r="L3056" s="33"/>
      <c r="M3056" s="31"/>
      <c r="N3056" s="31"/>
      <c r="O3056" s="16"/>
      <c r="P3056" s="16"/>
      <c r="Q3056" s="16"/>
      <c r="R3056" s="33"/>
      <c r="S3056" s="34"/>
      <c r="T3056" s="34"/>
      <c r="U3056" s="34"/>
      <c r="V3056" s="34"/>
      <c r="W3056" s="34"/>
      <c r="X3056" s="33"/>
      <c r="Y3056" s="35" t="str">
        <f>IF(Tabela2[[#This Row],[SIGLA]]="","",VLOOKUP(Tabela2[[#This Row],[SIGLA]],Tabela1[[#All],[Sigla Arte]:[Crédito]],2,0))</f>
        <v/>
      </c>
      <c r="Z3056" s="31"/>
      <c r="AA3056" s="31" t="str">
        <f>Tabela2[[#This Row],[ILUSTRADOR CRIAÇÃO]]</f>
        <v/>
      </c>
      <c r="AB3056" s="33"/>
      <c r="AC3056" s="16"/>
      <c r="AE3056" s="35" t="str">
        <f t="shared" si="48"/>
        <v>EF1 E002 Mat</v>
      </c>
    </row>
    <row r="3057" spans="1:31" x14ac:dyDescent="0.25">
      <c r="A3057" s="31"/>
      <c r="B3057" s="16"/>
      <c r="C3057" s="16"/>
      <c r="D3057" s="33"/>
      <c r="E3057" s="33"/>
      <c r="F3057" s="33"/>
      <c r="G3057" s="33"/>
      <c r="H3057" s="33"/>
      <c r="I3057" s="31"/>
      <c r="J3057" s="31"/>
      <c r="K3057" s="33"/>
      <c r="L3057" s="33"/>
      <c r="M3057" s="31"/>
      <c r="N3057" s="31"/>
      <c r="O3057" s="16"/>
      <c r="P3057" s="16"/>
      <c r="Q3057" s="16"/>
      <c r="R3057" s="33"/>
      <c r="S3057" s="34"/>
      <c r="T3057" s="34"/>
      <c r="U3057" s="34"/>
      <c r="V3057" s="34"/>
      <c r="W3057" s="34"/>
      <c r="X3057" s="33"/>
      <c r="Y3057" s="35" t="str">
        <f>IF(Tabela2[[#This Row],[SIGLA]]="","",VLOOKUP(Tabela2[[#This Row],[SIGLA]],Tabela1[[#All],[Sigla Arte]:[Crédito]],2,0))</f>
        <v/>
      </c>
      <c r="Z3057" s="31"/>
      <c r="AA3057" s="31" t="str">
        <f>Tabela2[[#This Row],[ILUSTRADOR CRIAÇÃO]]</f>
        <v/>
      </c>
      <c r="AB3057" s="33"/>
      <c r="AC3057" s="16"/>
      <c r="AE3057" s="35" t="str">
        <f t="shared" si="48"/>
        <v>EF1 E002 Mat</v>
      </c>
    </row>
    <row r="3058" spans="1:31" x14ac:dyDescent="0.25">
      <c r="A3058" s="31"/>
      <c r="B3058" s="16"/>
      <c r="C3058" s="16"/>
      <c r="D3058" s="33"/>
      <c r="E3058" s="33"/>
      <c r="F3058" s="33"/>
      <c r="G3058" s="33"/>
      <c r="H3058" s="33"/>
      <c r="I3058" s="31"/>
      <c r="J3058" s="31"/>
      <c r="K3058" s="33"/>
      <c r="L3058" s="33"/>
      <c r="M3058" s="31"/>
      <c r="N3058" s="31"/>
      <c r="O3058" s="16"/>
      <c r="P3058" s="16"/>
      <c r="Q3058" s="16"/>
      <c r="R3058" s="33"/>
      <c r="S3058" s="34"/>
      <c r="T3058" s="34"/>
      <c r="U3058" s="34"/>
      <c r="V3058" s="34"/>
      <c r="W3058" s="34"/>
      <c r="X3058" s="33"/>
      <c r="Y3058" s="35" t="str">
        <f>IF(Tabela2[[#This Row],[SIGLA]]="","",VLOOKUP(Tabela2[[#This Row],[SIGLA]],Tabela1[[#All],[Sigla Arte]:[Crédito]],2,0))</f>
        <v/>
      </c>
      <c r="Z3058" s="31"/>
      <c r="AA3058" s="31" t="str">
        <f>Tabela2[[#This Row],[ILUSTRADOR CRIAÇÃO]]</f>
        <v/>
      </c>
      <c r="AB3058" s="33"/>
      <c r="AC3058" s="16"/>
      <c r="AE3058" s="35" t="str">
        <f t="shared" ref="AE3058:AE3121" si="49">"EF1 E002 Mat"</f>
        <v>EF1 E002 Mat</v>
      </c>
    </row>
    <row r="3059" spans="1:31" x14ac:dyDescent="0.25">
      <c r="A3059" s="31"/>
      <c r="B3059" s="16"/>
      <c r="C3059" s="16"/>
      <c r="D3059" s="33"/>
      <c r="E3059" s="33"/>
      <c r="F3059" s="33"/>
      <c r="G3059" s="33"/>
      <c r="H3059" s="33"/>
      <c r="I3059" s="31"/>
      <c r="J3059" s="31"/>
      <c r="K3059" s="33"/>
      <c r="L3059" s="33"/>
      <c r="M3059" s="31"/>
      <c r="N3059" s="31"/>
      <c r="O3059" s="16"/>
      <c r="P3059" s="16"/>
      <c r="Q3059" s="16"/>
      <c r="R3059" s="33"/>
      <c r="S3059" s="34"/>
      <c r="T3059" s="34"/>
      <c r="U3059" s="34"/>
      <c r="V3059" s="34"/>
      <c r="W3059" s="34"/>
      <c r="X3059" s="33"/>
      <c r="Y3059" s="35" t="str">
        <f>IF(Tabela2[[#This Row],[SIGLA]]="","",VLOOKUP(Tabela2[[#This Row],[SIGLA]],Tabela1[[#All],[Sigla Arte]:[Crédito]],2,0))</f>
        <v/>
      </c>
      <c r="Z3059" s="31"/>
      <c r="AA3059" s="31" t="str">
        <f>Tabela2[[#This Row],[ILUSTRADOR CRIAÇÃO]]</f>
        <v/>
      </c>
      <c r="AB3059" s="33"/>
      <c r="AC3059" s="16"/>
      <c r="AE3059" s="35" t="str">
        <f t="shared" si="49"/>
        <v>EF1 E002 Mat</v>
      </c>
    </row>
    <row r="3060" spans="1:31" x14ac:dyDescent="0.25">
      <c r="A3060" s="31"/>
      <c r="B3060" s="16"/>
      <c r="C3060" s="16"/>
      <c r="D3060" s="33"/>
      <c r="E3060" s="33"/>
      <c r="F3060" s="33"/>
      <c r="G3060" s="33"/>
      <c r="H3060" s="33"/>
      <c r="I3060" s="31"/>
      <c r="J3060" s="31"/>
      <c r="K3060" s="33"/>
      <c r="L3060" s="33"/>
      <c r="M3060" s="31"/>
      <c r="N3060" s="31"/>
      <c r="O3060" s="16"/>
      <c r="P3060" s="16"/>
      <c r="Q3060" s="16"/>
      <c r="R3060" s="33"/>
      <c r="S3060" s="34"/>
      <c r="T3060" s="34"/>
      <c r="U3060" s="34"/>
      <c r="V3060" s="34"/>
      <c r="W3060" s="34"/>
      <c r="X3060" s="33"/>
      <c r="Y3060" s="35" t="str">
        <f>IF(Tabela2[[#This Row],[SIGLA]]="","",VLOOKUP(Tabela2[[#This Row],[SIGLA]],Tabela1[[#All],[Sigla Arte]:[Crédito]],2,0))</f>
        <v/>
      </c>
      <c r="Z3060" s="31"/>
      <c r="AA3060" s="31" t="str">
        <f>Tabela2[[#This Row],[ILUSTRADOR CRIAÇÃO]]</f>
        <v/>
      </c>
      <c r="AB3060" s="33"/>
      <c r="AC3060" s="16"/>
      <c r="AE3060" s="35" t="str">
        <f t="shared" si="49"/>
        <v>EF1 E002 Mat</v>
      </c>
    </row>
    <row r="3061" spans="1:31" x14ac:dyDescent="0.25">
      <c r="A3061" s="31"/>
      <c r="B3061" s="16"/>
      <c r="C3061" s="16"/>
      <c r="D3061" s="33"/>
      <c r="E3061" s="33"/>
      <c r="F3061" s="33"/>
      <c r="G3061" s="33"/>
      <c r="H3061" s="33"/>
      <c r="I3061" s="31"/>
      <c r="J3061" s="31"/>
      <c r="K3061" s="33"/>
      <c r="L3061" s="33"/>
      <c r="M3061" s="31"/>
      <c r="N3061" s="31"/>
      <c r="O3061" s="16"/>
      <c r="P3061" s="16"/>
      <c r="Q3061" s="16"/>
      <c r="R3061" s="33"/>
      <c r="S3061" s="34"/>
      <c r="T3061" s="34"/>
      <c r="U3061" s="34"/>
      <c r="V3061" s="34"/>
      <c r="W3061" s="34"/>
      <c r="X3061" s="33"/>
      <c r="Y3061" s="35" t="str">
        <f>IF(Tabela2[[#This Row],[SIGLA]]="","",VLOOKUP(Tabela2[[#This Row],[SIGLA]],Tabela1[[#All],[Sigla Arte]:[Crédito]],2,0))</f>
        <v/>
      </c>
      <c r="Z3061" s="31"/>
      <c r="AA3061" s="31" t="str">
        <f>Tabela2[[#This Row],[ILUSTRADOR CRIAÇÃO]]</f>
        <v/>
      </c>
      <c r="AB3061" s="33"/>
      <c r="AC3061" s="16"/>
      <c r="AE3061" s="35" t="str">
        <f t="shared" si="49"/>
        <v>EF1 E002 Mat</v>
      </c>
    </row>
    <row r="3062" spans="1:31" x14ac:dyDescent="0.25">
      <c r="A3062" s="31"/>
      <c r="B3062" s="16"/>
      <c r="C3062" s="16"/>
      <c r="D3062" s="33"/>
      <c r="E3062" s="33"/>
      <c r="F3062" s="33"/>
      <c r="G3062" s="33"/>
      <c r="H3062" s="33"/>
      <c r="I3062" s="31"/>
      <c r="J3062" s="31"/>
      <c r="K3062" s="33"/>
      <c r="L3062" s="33"/>
      <c r="M3062" s="31"/>
      <c r="N3062" s="31"/>
      <c r="O3062" s="16"/>
      <c r="P3062" s="16"/>
      <c r="Q3062" s="16"/>
      <c r="R3062" s="33"/>
      <c r="S3062" s="34"/>
      <c r="T3062" s="34"/>
      <c r="U3062" s="34"/>
      <c r="V3062" s="34"/>
      <c r="W3062" s="34"/>
      <c r="X3062" s="33"/>
      <c r="Y3062" s="35" t="str">
        <f>IF(Tabela2[[#This Row],[SIGLA]]="","",VLOOKUP(Tabela2[[#This Row],[SIGLA]],Tabela1[[#All],[Sigla Arte]:[Crédito]],2,0))</f>
        <v/>
      </c>
      <c r="Z3062" s="31"/>
      <c r="AA3062" s="31" t="str">
        <f>Tabela2[[#This Row],[ILUSTRADOR CRIAÇÃO]]</f>
        <v/>
      </c>
      <c r="AB3062" s="33"/>
      <c r="AC3062" s="16"/>
      <c r="AE3062" s="35" t="str">
        <f t="shared" si="49"/>
        <v>EF1 E002 Mat</v>
      </c>
    </row>
    <row r="3063" spans="1:31" x14ac:dyDescent="0.25">
      <c r="A3063" s="31"/>
      <c r="B3063" s="16"/>
      <c r="C3063" s="16"/>
      <c r="D3063" s="33"/>
      <c r="E3063" s="33"/>
      <c r="F3063" s="33"/>
      <c r="G3063" s="33"/>
      <c r="H3063" s="33"/>
      <c r="I3063" s="31"/>
      <c r="J3063" s="31"/>
      <c r="K3063" s="33"/>
      <c r="L3063" s="33"/>
      <c r="M3063" s="31"/>
      <c r="N3063" s="31"/>
      <c r="O3063" s="16"/>
      <c r="P3063" s="16"/>
      <c r="Q3063" s="16"/>
      <c r="R3063" s="33"/>
      <c r="S3063" s="34"/>
      <c r="T3063" s="34"/>
      <c r="U3063" s="34"/>
      <c r="V3063" s="34"/>
      <c r="W3063" s="34"/>
      <c r="X3063" s="33"/>
      <c r="Y3063" s="35" t="str">
        <f>IF(Tabela2[[#This Row],[SIGLA]]="","",VLOOKUP(Tabela2[[#This Row],[SIGLA]],Tabela1[[#All],[Sigla Arte]:[Crédito]],2,0))</f>
        <v/>
      </c>
      <c r="Z3063" s="31"/>
      <c r="AA3063" s="31" t="str">
        <f>Tabela2[[#This Row],[ILUSTRADOR CRIAÇÃO]]</f>
        <v/>
      </c>
      <c r="AB3063" s="33"/>
      <c r="AC3063" s="16"/>
      <c r="AE3063" s="35" t="str">
        <f t="shared" si="49"/>
        <v>EF1 E002 Mat</v>
      </c>
    </row>
    <row r="3064" spans="1:31" x14ac:dyDescent="0.25">
      <c r="A3064" s="31"/>
      <c r="B3064" s="16"/>
      <c r="C3064" s="16"/>
      <c r="D3064" s="33"/>
      <c r="E3064" s="33"/>
      <c r="F3064" s="33"/>
      <c r="G3064" s="33"/>
      <c r="H3064" s="33"/>
      <c r="I3064" s="31"/>
      <c r="J3064" s="31"/>
      <c r="K3064" s="33"/>
      <c r="L3064" s="33"/>
      <c r="M3064" s="31"/>
      <c r="N3064" s="31"/>
      <c r="O3064" s="16"/>
      <c r="P3064" s="16"/>
      <c r="Q3064" s="16"/>
      <c r="R3064" s="33"/>
      <c r="S3064" s="34"/>
      <c r="T3064" s="34"/>
      <c r="U3064" s="34"/>
      <c r="V3064" s="34"/>
      <c r="W3064" s="34"/>
      <c r="X3064" s="33"/>
      <c r="Y3064" s="35" t="str">
        <f>IF(Tabela2[[#This Row],[SIGLA]]="","",VLOOKUP(Tabela2[[#This Row],[SIGLA]],Tabela1[[#All],[Sigla Arte]:[Crédito]],2,0))</f>
        <v/>
      </c>
      <c r="Z3064" s="31"/>
      <c r="AA3064" s="31" t="str">
        <f>Tabela2[[#This Row],[ILUSTRADOR CRIAÇÃO]]</f>
        <v/>
      </c>
      <c r="AB3064" s="33"/>
      <c r="AC3064" s="16"/>
      <c r="AE3064" s="35" t="str">
        <f t="shared" si="49"/>
        <v>EF1 E002 Mat</v>
      </c>
    </row>
    <row r="3065" spans="1:31" x14ac:dyDescent="0.25">
      <c r="A3065" s="31"/>
      <c r="B3065" s="16"/>
      <c r="C3065" s="16"/>
      <c r="D3065" s="33"/>
      <c r="E3065" s="33"/>
      <c r="F3065" s="33"/>
      <c r="G3065" s="33"/>
      <c r="H3065" s="33"/>
      <c r="I3065" s="31"/>
      <c r="J3065" s="31"/>
      <c r="K3065" s="33"/>
      <c r="L3065" s="33"/>
      <c r="M3065" s="31"/>
      <c r="N3065" s="31"/>
      <c r="O3065" s="16"/>
      <c r="P3065" s="16"/>
      <c r="Q3065" s="16"/>
      <c r="R3065" s="33"/>
      <c r="S3065" s="34"/>
      <c r="T3065" s="34"/>
      <c r="U3065" s="34"/>
      <c r="V3065" s="34"/>
      <c r="W3065" s="34"/>
      <c r="X3065" s="33"/>
      <c r="Y3065" s="35" t="str">
        <f>IF(Tabela2[[#This Row],[SIGLA]]="","",VLOOKUP(Tabela2[[#This Row],[SIGLA]],Tabela1[[#All],[Sigla Arte]:[Crédito]],2,0))</f>
        <v/>
      </c>
      <c r="Z3065" s="31"/>
      <c r="AA3065" s="31" t="str">
        <f>Tabela2[[#This Row],[ILUSTRADOR CRIAÇÃO]]</f>
        <v/>
      </c>
      <c r="AB3065" s="33"/>
      <c r="AC3065" s="16"/>
      <c r="AE3065" s="35" t="str">
        <f t="shared" si="49"/>
        <v>EF1 E002 Mat</v>
      </c>
    </row>
    <row r="3066" spans="1:31" x14ac:dyDescent="0.25">
      <c r="A3066" s="31"/>
      <c r="B3066" s="16"/>
      <c r="C3066" s="16"/>
      <c r="D3066" s="33"/>
      <c r="E3066" s="33"/>
      <c r="F3066" s="33"/>
      <c r="G3066" s="33"/>
      <c r="H3066" s="33"/>
      <c r="I3066" s="31"/>
      <c r="J3066" s="31"/>
      <c r="K3066" s="33"/>
      <c r="L3066" s="33"/>
      <c r="M3066" s="31"/>
      <c r="N3066" s="31"/>
      <c r="O3066" s="16"/>
      <c r="P3066" s="16"/>
      <c r="Q3066" s="16"/>
      <c r="R3066" s="33"/>
      <c r="S3066" s="34"/>
      <c r="T3066" s="34"/>
      <c r="U3066" s="34"/>
      <c r="V3066" s="34"/>
      <c r="W3066" s="34"/>
      <c r="X3066" s="33"/>
      <c r="Y3066" s="35" t="str">
        <f>IF(Tabela2[[#This Row],[SIGLA]]="","",VLOOKUP(Tabela2[[#This Row],[SIGLA]],Tabela1[[#All],[Sigla Arte]:[Crédito]],2,0))</f>
        <v/>
      </c>
      <c r="Z3066" s="31"/>
      <c r="AA3066" s="31" t="str">
        <f>Tabela2[[#This Row],[ILUSTRADOR CRIAÇÃO]]</f>
        <v/>
      </c>
      <c r="AB3066" s="33"/>
      <c r="AC3066" s="16"/>
      <c r="AE3066" s="35" t="str">
        <f t="shared" si="49"/>
        <v>EF1 E002 Mat</v>
      </c>
    </row>
    <row r="3067" spans="1:31" x14ac:dyDescent="0.25">
      <c r="A3067" s="31"/>
      <c r="B3067" s="16"/>
      <c r="C3067" s="16"/>
      <c r="D3067" s="33"/>
      <c r="E3067" s="33"/>
      <c r="F3067" s="33"/>
      <c r="G3067" s="33"/>
      <c r="H3067" s="33"/>
      <c r="I3067" s="31"/>
      <c r="J3067" s="31"/>
      <c r="K3067" s="33"/>
      <c r="L3067" s="33"/>
      <c r="M3067" s="31"/>
      <c r="N3067" s="31"/>
      <c r="O3067" s="16"/>
      <c r="P3067" s="16"/>
      <c r="Q3067" s="16"/>
      <c r="R3067" s="33"/>
      <c r="S3067" s="34"/>
      <c r="T3067" s="34"/>
      <c r="U3067" s="34"/>
      <c r="V3067" s="34"/>
      <c r="W3067" s="34"/>
      <c r="X3067" s="33"/>
      <c r="Y3067" s="35" t="str">
        <f>IF(Tabela2[[#This Row],[SIGLA]]="","",VLOOKUP(Tabela2[[#This Row],[SIGLA]],Tabela1[[#All],[Sigla Arte]:[Crédito]],2,0))</f>
        <v/>
      </c>
      <c r="Z3067" s="31"/>
      <c r="AA3067" s="31" t="str">
        <f>Tabela2[[#This Row],[ILUSTRADOR CRIAÇÃO]]</f>
        <v/>
      </c>
      <c r="AB3067" s="33"/>
      <c r="AC3067" s="16"/>
      <c r="AE3067" s="35" t="str">
        <f t="shared" si="49"/>
        <v>EF1 E002 Mat</v>
      </c>
    </row>
    <row r="3068" spans="1:31" x14ac:dyDescent="0.25">
      <c r="A3068" s="31"/>
      <c r="B3068" s="16"/>
      <c r="C3068" s="16"/>
      <c r="D3068" s="33"/>
      <c r="E3068" s="33"/>
      <c r="F3068" s="33"/>
      <c r="G3068" s="33"/>
      <c r="H3068" s="33"/>
      <c r="I3068" s="31"/>
      <c r="J3068" s="31"/>
      <c r="K3068" s="33"/>
      <c r="L3068" s="33"/>
      <c r="M3068" s="31"/>
      <c r="N3068" s="31"/>
      <c r="O3068" s="16"/>
      <c r="P3068" s="16"/>
      <c r="Q3068" s="16"/>
      <c r="R3068" s="33"/>
      <c r="S3068" s="34"/>
      <c r="T3068" s="34"/>
      <c r="U3068" s="34"/>
      <c r="V3068" s="34"/>
      <c r="W3068" s="34"/>
      <c r="X3068" s="33"/>
      <c r="Y3068" s="35" t="str">
        <f>IF(Tabela2[[#This Row],[SIGLA]]="","",VLOOKUP(Tabela2[[#This Row],[SIGLA]],Tabela1[[#All],[Sigla Arte]:[Crédito]],2,0))</f>
        <v/>
      </c>
      <c r="Z3068" s="31"/>
      <c r="AA3068" s="31" t="str">
        <f>Tabela2[[#This Row],[ILUSTRADOR CRIAÇÃO]]</f>
        <v/>
      </c>
      <c r="AB3068" s="33"/>
      <c r="AC3068" s="16"/>
      <c r="AE3068" s="35" t="str">
        <f t="shared" si="49"/>
        <v>EF1 E002 Mat</v>
      </c>
    </row>
    <row r="3069" spans="1:31" x14ac:dyDescent="0.25">
      <c r="A3069" s="31"/>
      <c r="B3069" s="16"/>
      <c r="C3069" s="16"/>
      <c r="D3069" s="33"/>
      <c r="E3069" s="33"/>
      <c r="F3069" s="33"/>
      <c r="G3069" s="33"/>
      <c r="H3069" s="33"/>
      <c r="I3069" s="31"/>
      <c r="J3069" s="31"/>
      <c r="K3069" s="33"/>
      <c r="L3069" s="33"/>
      <c r="M3069" s="31"/>
      <c r="N3069" s="31"/>
      <c r="O3069" s="16"/>
      <c r="P3069" s="16"/>
      <c r="Q3069" s="16"/>
      <c r="R3069" s="33"/>
      <c r="S3069" s="34"/>
      <c r="T3069" s="34"/>
      <c r="U3069" s="34"/>
      <c r="V3069" s="34"/>
      <c r="W3069" s="34"/>
      <c r="X3069" s="33"/>
      <c r="Y3069" s="35" t="str">
        <f>IF(Tabela2[[#This Row],[SIGLA]]="","",VLOOKUP(Tabela2[[#This Row],[SIGLA]],Tabela1[[#All],[Sigla Arte]:[Crédito]],2,0))</f>
        <v/>
      </c>
      <c r="Z3069" s="31"/>
      <c r="AA3069" s="31" t="str">
        <f>Tabela2[[#This Row],[ILUSTRADOR CRIAÇÃO]]</f>
        <v/>
      </c>
      <c r="AB3069" s="33"/>
      <c r="AC3069" s="16"/>
      <c r="AE3069" s="35" t="str">
        <f t="shared" si="49"/>
        <v>EF1 E002 Mat</v>
      </c>
    </row>
    <row r="3070" spans="1:31" x14ac:dyDescent="0.25">
      <c r="A3070" s="31"/>
      <c r="B3070" s="16"/>
      <c r="C3070" s="16"/>
      <c r="D3070" s="33"/>
      <c r="E3070" s="33"/>
      <c r="F3070" s="33"/>
      <c r="G3070" s="33"/>
      <c r="H3070" s="33"/>
      <c r="I3070" s="31"/>
      <c r="J3070" s="31"/>
      <c r="K3070" s="33"/>
      <c r="L3070" s="33"/>
      <c r="M3070" s="31"/>
      <c r="N3070" s="31"/>
      <c r="O3070" s="16"/>
      <c r="P3070" s="16"/>
      <c r="Q3070" s="16"/>
      <c r="R3070" s="33"/>
      <c r="S3070" s="34"/>
      <c r="T3070" s="34"/>
      <c r="U3070" s="34"/>
      <c r="V3070" s="34"/>
      <c r="W3070" s="34"/>
      <c r="X3070" s="33"/>
      <c r="Y3070" s="35" t="str">
        <f>IF(Tabela2[[#This Row],[SIGLA]]="","",VLOOKUP(Tabela2[[#This Row],[SIGLA]],Tabela1[[#All],[Sigla Arte]:[Crédito]],2,0))</f>
        <v/>
      </c>
      <c r="Z3070" s="31"/>
      <c r="AA3070" s="31" t="str">
        <f>Tabela2[[#This Row],[ILUSTRADOR CRIAÇÃO]]</f>
        <v/>
      </c>
      <c r="AB3070" s="33"/>
      <c r="AC3070" s="16"/>
      <c r="AE3070" s="35" t="str">
        <f t="shared" si="49"/>
        <v>EF1 E002 Mat</v>
      </c>
    </row>
    <row r="3071" spans="1:31" x14ac:dyDescent="0.25">
      <c r="A3071" s="31"/>
      <c r="B3071" s="16"/>
      <c r="C3071" s="16"/>
      <c r="D3071" s="33"/>
      <c r="E3071" s="33"/>
      <c r="F3071" s="33"/>
      <c r="G3071" s="33"/>
      <c r="H3071" s="33"/>
      <c r="I3071" s="31"/>
      <c r="J3071" s="31"/>
      <c r="K3071" s="33"/>
      <c r="L3071" s="33"/>
      <c r="M3071" s="31"/>
      <c r="N3071" s="31"/>
      <c r="O3071" s="16"/>
      <c r="P3071" s="16"/>
      <c r="Q3071" s="16"/>
      <c r="R3071" s="33"/>
      <c r="S3071" s="34"/>
      <c r="T3071" s="34"/>
      <c r="U3071" s="34"/>
      <c r="V3071" s="34"/>
      <c r="W3071" s="34"/>
      <c r="X3071" s="33"/>
      <c r="Y3071" s="35" t="str">
        <f>IF(Tabela2[[#This Row],[SIGLA]]="","",VLOOKUP(Tabela2[[#This Row],[SIGLA]],Tabela1[[#All],[Sigla Arte]:[Crédito]],2,0))</f>
        <v/>
      </c>
      <c r="Z3071" s="31"/>
      <c r="AA3071" s="31" t="str">
        <f>Tabela2[[#This Row],[ILUSTRADOR CRIAÇÃO]]</f>
        <v/>
      </c>
      <c r="AB3071" s="33"/>
      <c r="AC3071" s="16"/>
      <c r="AE3071" s="35" t="str">
        <f t="shared" si="49"/>
        <v>EF1 E002 Mat</v>
      </c>
    </row>
    <row r="3072" spans="1:31" x14ac:dyDescent="0.25">
      <c r="A3072" s="31"/>
      <c r="B3072" s="16"/>
      <c r="C3072" s="16"/>
      <c r="D3072" s="33"/>
      <c r="E3072" s="33"/>
      <c r="F3072" s="33"/>
      <c r="G3072" s="33"/>
      <c r="H3072" s="33"/>
      <c r="I3072" s="31"/>
      <c r="J3072" s="31"/>
      <c r="K3072" s="33"/>
      <c r="L3072" s="33"/>
      <c r="M3072" s="31"/>
      <c r="N3072" s="31"/>
      <c r="O3072" s="16"/>
      <c r="P3072" s="16"/>
      <c r="Q3072" s="16"/>
      <c r="R3072" s="33"/>
      <c r="S3072" s="34"/>
      <c r="T3072" s="34"/>
      <c r="U3072" s="34"/>
      <c r="V3072" s="34"/>
      <c r="W3072" s="34"/>
      <c r="X3072" s="33"/>
      <c r="Y3072" s="35" t="str">
        <f>IF(Tabela2[[#This Row],[SIGLA]]="","",VLOOKUP(Tabela2[[#This Row],[SIGLA]],Tabela1[[#All],[Sigla Arte]:[Crédito]],2,0))</f>
        <v/>
      </c>
      <c r="Z3072" s="31"/>
      <c r="AA3072" s="31" t="str">
        <f>Tabela2[[#This Row],[ILUSTRADOR CRIAÇÃO]]</f>
        <v/>
      </c>
      <c r="AB3072" s="33"/>
      <c r="AC3072" s="16"/>
      <c r="AE3072" s="35" t="str">
        <f t="shared" si="49"/>
        <v>EF1 E002 Mat</v>
      </c>
    </row>
    <row r="3073" spans="1:31" x14ac:dyDescent="0.25">
      <c r="A3073" s="31"/>
      <c r="B3073" s="16"/>
      <c r="C3073" s="16"/>
      <c r="D3073" s="33"/>
      <c r="E3073" s="33"/>
      <c r="F3073" s="33"/>
      <c r="G3073" s="33"/>
      <c r="H3073" s="33"/>
      <c r="I3073" s="31"/>
      <c r="J3073" s="31"/>
      <c r="K3073" s="33"/>
      <c r="L3073" s="33"/>
      <c r="M3073" s="31"/>
      <c r="N3073" s="31"/>
      <c r="O3073" s="16"/>
      <c r="P3073" s="16"/>
      <c r="Q3073" s="16"/>
      <c r="R3073" s="33"/>
      <c r="S3073" s="34"/>
      <c r="T3073" s="34"/>
      <c r="U3073" s="34"/>
      <c r="V3073" s="34"/>
      <c r="W3073" s="34"/>
      <c r="X3073" s="33"/>
      <c r="Y3073" s="35" t="str">
        <f>IF(Tabela2[[#This Row],[SIGLA]]="","",VLOOKUP(Tabela2[[#This Row],[SIGLA]],Tabela1[[#All],[Sigla Arte]:[Crédito]],2,0))</f>
        <v/>
      </c>
      <c r="Z3073" s="31"/>
      <c r="AA3073" s="31" t="str">
        <f>Tabela2[[#This Row],[ILUSTRADOR CRIAÇÃO]]</f>
        <v/>
      </c>
      <c r="AB3073" s="33"/>
      <c r="AC3073" s="16"/>
      <c r="AE3073" s="35" t="str">
        <f t="shared" si="49"/>
        <v>EF1 E002 Mat</v>
      </c>
    </row>
    <row r="3074" spans="1:31" x14ac:dyDescent="0.25">
      <c r="A3074" s="31"/>
      <c r="B3074" s="16"/>
      <c r="C3074" s="16"/>
      <c r="D3074" s="33"/>
      <c r="E3074" s="33"/>
      <c r="F3074" s="33"/>
      <c r="G3074" s="33"/>
      <c r="H3074" s="33"/>
      <c r="I3074" s="31"/>
      <c r="J3074" s="31"/>
      <c r="K3074" s="33"/>
      <c r="L3074" s="33"/>
      <c r="M3074" s="31"/>
      <c r="N3074" s="31"/>
      <c r="O3074" s="16"/>
      <c r="P3074" s="16"/>
      <c r="Q3074" s="16"/>
      <c r="R3074" s="33"/>
      <c r="S3074" s="34"/>
      <c r="T3074" s="34"/>
      <c r="U3074" s="34"/>
      <c r="V3074" s="34"/>
      <c r="W3074" s="34"/>
      <c r="X3074" s="33"/>
      <c r="Y3074" s="35" t="str">
        <f>IF(Tabela2[[#This Row],[SIGLA]]="","",VLOOKUP(Tabela2[[#This Row],[SIGLA]],Tabela1[[#All],[Sigla Arte]:[Crédito]],2,0))</f>
        <v/>
      </c>
      <c r="Z3074" s="31"/>
      <c r="AA3074" s="31" t="str">
        <f>Tabela2[[#This Row],[ILUSTRADOR CRIAÇÃO]]</f>
        <v/>
      </c>
      <c r="AB3074" s="33"/>
      <c r="AC3074" s="16"/>
      <c r="AE3074" s="35" t="str">
        <f t="shared" si="49"/>
        <v>EF1 E002 Mat</v>
      </c>
    </row>
    <row r="3075" spans="1:31" x14ac:dyDescent="0.25">
      <c r="A3075" s="31"/>
      <c r="B3075" s="16"/>
      <c r="C3075" s="16"/>
      <c r="D3075" s="33"/>
      <c r="E3075" s="33"/>
      <c r="F3075" s="33"/>
      <c r="G3075" s="33"/>
      <c r="H3075" s="33"/>
      <c r="I3075" s="31"/>
      <c r="J3075" s="31"/>
      <c r="K3075" s="33"/>
      <c r="L3075" s="33"/>
      <c r="M3075" s="31"/>
      <c r="N3075" s="31"/>
      <c r="O3075" s="16"/>
      <c r="P3075" s="16"/>
      <c r="Q3075" s="16"/>
      <c r="R3075" s="33"/>
      <c r="S3075" s="34"/>
      <c r="T3075" s="34"/>
      <c r="U3075" s="34"/>
      <c r="V3075" s="34"/>
      <c r="W3075" s="34"/>
      <c r="X3075" s="33"/>
      <c r="Y3075" s="35" t="str">
        <f>IF(Tabela2[[#This Row],[SIGLA]]="","",VLOOKUP(Tabela2[[#This Row],[SIGLA]],Tabela1[[#All],[Sigla Arte]:[Crédito]],2,0))</f>
        <v/>
      </c>
      <c r="Z3075" s="31"/>
      <c r="AA3075" s="31" t="str">
        <f>Tabela2[[#This Row],[ILUSTRADOR CRIAÇÃO]]</f>
        <v/>
      </c>
      <c r="AB3075" s="33"/>
      <c r="AC3075" s="16"/>
      <c r="AE3075" s="35" t="str">
        <f t="shared" si="49"/>
        <v>EF1 E002 Mat</v>
      </c>
    </row>
    <row r="3076" spans="1:31" x14ac:dyDescent="0.25">
      <c r="A3076" s="31"/>
      <c r="B3076" s="16"/>
      <c r="C3076" s="16"/>
      <c r="D3076" s="33"/>
      <c r="E3076" s="33"/>
      <c r="F3076" s="33"/>
      <c r="G3076" s="33"/>
      <c r="H3076" s="33"/>
      <c r="I3076" s="31"/>
      <c r="J3076" s="31"/>
      <c r="K3076" s="33"/>
      <c r="L3076" s="33"/>
      <c r="M3076" s="31"/>
      <c r="N3076" s="31"/>
      <c r="O3076" s="16"/>
      <c r="P3076" s="16"/>
      <c r="Q3076" s="16"/>
      <c r="R3076" s="33"/>
      <c r="S3076" s="34"/>
      <c r="T3076" s="34"/>
      <c r="U3076" s="34"/>
      <c r="V3076" s="34"/>
      <c r="W3076" s="34"/>
      <c r="X3076" s="33"/>
      <c r="Y3076" s="35" t="str">
        <f>IF(Tabela2[[#This Row],[SIGLA]]="","",VLOOKUP(Tabela2[[#This Row],[SIGLA]],Tabela1[[#All],[Sigla Arte]:[Crédito]],2,0))</f>
        <v/>
      </c>
      <c r="Z3076" s="31"/>
      <c r="AA3076" s="31" t="str">
        <f>Tabela2[[#This Row],[ILUSTRADOR CRIAÇÃO]]</f>
        <v/>
      </c>
      <c r="AB3076" s="33"/>
      <c r="AC3076" s="16"/>
      <c r="AE3076" s="35" t="str">
        <f t="shared" si="49"/>
        <v>EF1 E002 Mat</v>
      </c>
    </row>
    <row r="3077" spans="1:31" x14ac:dyDescent="0.25">
      <c r="A3077" s="31"/>
      <c r="B3077" s="16"/>
      <c r="C3077" s="16"/>
      <c r="D3077" s="33"/>
      <c r="E3077" s="33"/>
      <c r="F3077" s="33"/>
      <c r="G3077" s="33"/>
      <c r="H3077" s="33"/>
      <c r="I3077" s="31"/>
      <c r="J3077" s="31"/>
      <c r="K3077" s="33"/>
      <c r="L3077" s="33"/>
      <c r="M3077" s="31"/>
      <c r="N3077" s="31"/>
      <c r="O3077" s="16"/>
      <c r="P3077" s="16"/>
      <c r="Q3077" s="16"/>
      <c r="R3077" s="33"/>
      <c r="S3077" s="34"/>
      <c r="T3077" s="34"/>
      <c r="U3077" s="34"/>
      <c r="V3077" s="34"/>
      <c r="W3077" s="34"/>
      <c r="X3077" s="33"/>
      <c r="Y3077" s="35" t="str">
        <f>IF(Tabela2[[#This Row],[SIGLA]]="","",VLOOKUP(Tabela2[[#This Row],[SIGLA]],Tabela1[[#All],[Sigla Arte]:[Crédito]],2,0))</f>
        <v/>
      </c>
      <c r="Z3077" s="31"/>
      <c r="AA3077" s="31" t="str">
        <f>Tabela2[[#This Row],[ILUSTRADOR CRIAÇÃO]]</f>
        <v/>
      </c>
      <c r="AB3077" s="33"/>
      <c r="AC3077" s="16"/>
      <c r="AE3077" s="35" t="str">
        <f t="shared" si="49"/>
        <v>EF1 E002 Mat</v>
      </c>
    </row>
    <row r="3078" spans="1:31" x14ac:dyDescent="0.25">
      <c r="A3078" s="31"/>
      <c r="B3078" s="16"/>
      <c r="C3078" s="16"/>
      <c r="D3078" s="33"/>
      <c r="E3078" s="33"/>
      <c r="F3078" s="33"/>
      <c r="G3078" s="33"/>
      <c r="H3078" s="33"/>
      <c r="I3078" s="31"/>
      <c r="J3078" s="31"/>
      <c r="K3078" s="33"/>
      <c r="L3078" s="33"/>
      <c r="M3078" s="31"/>
      <c r="N3078" s="31"/>
      <c r="O3078" s="16"/>
      <c r="P3078" s="16"/>
      <c r="Q3078" s="16"/>
      <c r="R3078" s="33"/>
      <c r="S3078" s="34"/>
      <c r="T3078" s="34"/>
      <c r="U3078" s="34"/>
      <c r="V3078" s="34"/>
      <c r="W3078" s="34"/>
      <c r="X3078" s="33"/>
      <c r="Y3078" s="35" t="str">
        <f>IF(Tabela2[[#This Row],[SIGLA]]="","",VLOOKUP(Tabela2[[#This Row],[SIGLA]],Tabela1[[#All],[Sigla Arte]:[Crédito]],2,0))</f>
        <v/>
      </c>
      <c r="Z3078" s="31"/>
      <c r="AA3078" s="31" t="str">
        <f>Tabela2[[#This Row],[ILUSTRADOR CRIAÇÃO]]</f>
        <v/>
      </c>
      <c r="AB3078" s="33"/>
      <c r="AC3078" s="16"/>
      <c r="AE3078" s="35" t="str">
        <f t="shared" si="49"/>
        <v>EF1 E002 Mat</v>
      </c>
    </row>
    <row r="3079" spans="1:31" x14ac:dyDescent="0.25">
      <c r="A3079" s="31"/>
      <c r="B3079" s="16"/>
      <c r="C3079" s="16"/>
      <c r="D3079" s="33"/>
      <c r="E3079" s="33"/>
      <c r="F3079" s="33"/>
      <c r="G3079" s="33"/>
      <c r="H3079" s="33"/>
      <c r="I3079" s="31"/>
      <c r="J3079" s="31"/>
      <c r="K3079" s="33"/>
      <c r="L3079" s="33"/>
      <c r="M3079" s="31"/>
      <c r="N3079" s="31"/>
      <c r="O3079" s="16"/>
      <c r="P3079" s="16"/>
      <c r="Q3079" s="16"/>
      <c r="R3079" s="33"/>
      <c r="S3079" s="34"/>
      <c r="T3079" s="34"/>
      <c r="U3079" s="34"/>
      <c r="V3079" s="34"/>
      <c r="W3079" s="34"/>
      <c r="X3079" s="33"/>
      <c r="Y3079" s="35" t="str">
        <f>IF(Tabela2[[#This Row],[SIGLA]]="","",VLOOKUP(Tabela2[[#This Row],[SIGLA]],Tabela1[[#All],[Sigla Arte]:[Crédito]],2,0))</f>
        <v/>
      </c>
      <c r="Z3079" s="31"/>
      <c r="AA3079" s="31" t="str">
        <f>Tabela2[[#This Row],[ILUSTRADOR CRIAÇÃO]]</f>
        <v/>
      </c>
      <c r="AB3079" s="33"/>
      <c r="AC3079" s="16"/>
      <c r="AE3079" s="35" t="str">
        <f t="shared" si="49"/>
        <v>EF1 E002 Mat</v>
      </c>
    </row>
    <row r="3080" spans="1:31" x14ac:dyDescent="0.25">
      <c r="A3080" s="31"/>
      <c r="B3080" s="16"/>
      <c r="C3080" s="16"/>
      <c r="D3080" s="33"/>
      <c r="E3080" s="33"/>
      <c r="F3080" s="33"/>
      <c r="G3080" s="33"/>
      <c r="H3080" s="33"/>
      <c r="I3080" s="31"/>
      <c r="J3080" s="31"/>
      <c r="K3080" s="33"/>
      <c r="L3080" s="33"/>
      <c r="M3080" s="31"/>
      <c r="N3080" s="31"/>
      <c r="O3080" s="16"/>
      <c r="P3080" s="16"/>
      <c r="Q3080" s="16"/>
      <c r="R3080" s="33"/>
      <c r="S3080" s="34"/>
      <c r="T3080" s="34"/>
      <c r="U3080" s="34"/>
      <c r="V3080" s="34"/>
      <c r="W3080" s="34"/>
      <c r="X3080" s="33"/>
      <c r="Y3080" s="35" t="str">
        <f>IF(Tabela2[[#This Row],[SIGLA]]="","",VLOOKUP(Tabela2[[#This Row],[SIGLA]],Tabela1[[#All],[Sigla Arte]:[Crédito]],2,0))</f>
        <v/>
      </c>
      <c r="Z3080" s="31"/>
      <c r="AA3080" s="31" t="str">
        <f>Tabela2[[#This Row],[ILUSTRADOR CRIAÇÃO]]</f>
        <v/>
      </c>
      <c r="AB3080" s="33"/>
      <c r="AC3080" s="16"/>
      <c r="AE3080" s="35" t="str">
        <f t="shared" si="49"/>
        <v>EF1 E002 Mat</v>
      </c>
    </row>
    <row r="3081" spans="1:31" x14ac:dyDescent="0.25">
      <c r="A3081" s="31"/>
      <c r="B3081" s="16"/>
      <c r="C3081" s="16"/>
      <c r="D3081" s="33"/>
      <c r="E3081" s="33"/>
      <c r="F3081" s="33"/>
      <c r="G3081" s="33"/>
      <c r="H3081" s="33"/>
      <c r="I3081" s="31"/>
      <c r="J3081" s="31"/>
      <c r="K3081" s="33"/>
      <c r="L3081" s="33"/>
      <c r="M3081" s="31"/>
      <c r="N3081" s="31"/>
      <c r="O3081" s="16"/>
      <c r="P3081" s="16"/>
      <c r="Q3081" s="16"/>
      <c r="R3081" s="33"/>
      <c r="S3081" s="34"/>
      <c r="T3081" s="34"/>
      <c r="U3081" s="34"/>
      <c r="V3081" s="34"/>
      <c r="W3081" s="34"/>
      <c r="X3081" s="33"/>
      <c r="Y3081" s="35" t="str">
        <f>IF(Tabela2[[#This Row],[SIGLA]]="","",VLOOKUP(Tabela2[[#This Row],[SIGLA]],Tabela1[[#All],[Sigla Arte]:[Crédito]],2,0))</f>
        <v/>
      </c>
      <c r="Z3081" s="31"/>
      <c r="AA3081" s="31" t="str">
        <f>Tabela2[[#This Row],[ILUSTRADOR CRIAÇÃO]]</f>
        <v/>
      </c>
      <c r="AB3081" s="33"/>
      <c r="AC3081" s="16"/>
      <c r="AE3081" s="35" t="str">
        <f t="shared" si="49"/>
        <v>EF1 E002 Mat</v>
      </c>
    </row>
    <row r="3082" spans="1:31" x14ac:dyDescent="0.25">
      <c r="A3082" s="31"/>
      <c r="B3082" s="16"/>
      <c r="C3082" s="16"/>
      <c r="D3082" s="33"/>
      <c r="E3082" s="33"/>
      <c r="F3082" s="33"/>
      <c r="G3082" s="33"/>
      <c r="H3082" s="33"/>
      <c r="I3082" s="31"/>
      <c r="J3082" s="31"/>
      <c r="K3082" s="33"/>
      <c r="L3082" s="33"/>
      <c r="M3082" s="31"/>
      <c r="N3082" s="31"/>
      <c r="O3082" s="16"/>
      <c r="P3082" s="16"/>
      <c r="Q3082" s="16"/>
      <c r="R3082" s="33"/>
      <c r="S3082" s="34"/>
      <c r="T3082" s="34"/>
      <c r="U3082" s="34"/>
      <c r="V3082" s="34"/>
      <c r="W3082" s="34"/>
      <c r="X3082" s="33"/>
      <c r="Y3082" s="35" t="str">
        <f>IF(Tabela2[[#This Row],[SIGLA]]="","",VLOOKUP(Tabela2[[#This Row],[SIGLA]],Tabela1[[#All],[Sigla Arte]:[Crédito]],2,0))</f>
        <v/>
      </c>
      <c r="Z3082" s="31"/>
      <c r="AA3082" s="31" t="str">
        <f>Tabela2[[#This Row],[ILUSTRADOR CRIAÇÃO]]</f>
        <v/>
      </c>
      <c r="AB3082" s="33"/>
      <c r="AC3082" s="16"/>
      <c r="AE3082" s="35" t="str">
        <f t="shared" si="49"/>
        <v>EF1 E002 Mat</v>
      </c>
    </row>
    <row r="3083" spans="1:31" x14ac:dyDescent="0.25">
      <c r="A3083" s="31"/>
      <c r="B3083" s="16"/>
      <c r="C3083" s="16"/>
      <c r="D3083" s="33"/>
      <c r="E3083" s="33"/>
      <c r="F3083" s="33"/>
      <c r="G3083" s="33"/>
      <c r="H3083" s="33"/>
      <c r="I3083" s="31"/>
      <c r="J3083" s="31"/>
      <c r="K3083" s="33"/>
      <c r="L3083" s="33"/>
      <c r="M3083" s="31"/>
      <c r="N3083" s="31"/>
      <c r="O3083" s="16"/>
      <c r="P3083" s="16"/>
      <c r="Q3083" s="16"/>
      <c r="R3083" s="33"/>
      <c r="S3083" s="34"/>
      <c r="T3083" s="34"/>
      <c r="U3083" s="34"/>
      <c r="V3083" s="34"/>
      <c r="W3083" s="34"/>
      <c r="X3083" s="33"/>
      <c r="Y3083" s="35" t="str">
        <f>IF(Tabela2[[#This Row],[SIGLA]]="","",VLOOKUP(Tabela2[[#This Row],[SIGLA]],Tabela1[[#All],[Sigla Arte]:[Crédito]],2,0))</f>
        <v/>
      </c>
      <c r="Z3083" s="31"/>
      <c r="AA3083" s="31" t="str">
        <f>Tabela2[[#This Row],[ILUSTRADOR CRIAÇÃO]]</f>
        <v/>
      </c>
      <c r="AB3083" s="33"/>
      <c r="AC3083" s="16"/>
      <c r="AE3083" s="35" t="str">
        <f t="shared" si="49"/>
        <v>EF1 E002 Mat</v>
      </c>
    </row>
    <row r="3084" spans="1:31" x14ac:dyDescent="0.25">
      <c r="A3084" s="31"/>
      <c r="B3084" s="16"/>
      <c r="C3084" s="16"/>
      <c r="D3084" s="33"/>
      <c r="E3084" s="33"/>
      <c r="F3084" s="33"/>
      <c r="G3084" s="33"/>
      <c r="H3084" s="33"/>
      <c r="I3084" s="31"/>
      <c r="J3084" s="31"/>
      <c r="K3084" s="33"/>
      <c r="L3084" s="33"/>
      <c r="M3084" s="31"/>
      <c r="N3084" s="31"/>
      <c r="O3084" s="16"/>
      <c r="P3084" s="16"/>
      <c r="Q3084" s="16"/>
      <c r="R3084" s="33"/>
      <c r="S3084" s="34"/>
      <c r="T3084" s="34"/>
      <c r="U3084" s="34"/>
      <c r="V3084" s="34"/>
      <c r="W3084" s="34"/>
      <c r="X3084" s="33"/>
      <c r="Y3084" s="35" t="str">
        <f>IF(Tabela2[[#This Row],[SIGLA]]="","",VLOOKUP(Tabela2[[#This Row],[SIGLA]],Tabela1[[#All],[Sigla Arte]:[Crédito]],2,0))</f>
        <v/>
      </c>
      <c r="Z3084" s="31"/>
      <c r="AA3084" s="31" t="str">
        <f>Tabela2[[#This Row],[ILUSTRADOR CRIAÇÃO]]</f>
        <v/>
      </c>
      <c r="AB3084" s="33"/>
      <c r="AC3084" s="16"/>
      <c r="AE3084" s="35" t="str">
        <f t="shared" si="49"/>
        <v>EF1 E002 Mat</v>
      </c>
    </row>
    <row r="3085" spans="1:31" x14ac:dyDescent="0.25">
      <c r="A3085" s="31"/>
      <c r="B3085" s="16"/>
      <c r="C3085" s="16"/>
      <c r="D3085" s="33"/>
      <c r="E3085" s="33"/>
      <c r="F3085" s="33"/>
      <c r="G3085" s="33"/>
      <c r="H3085" s="33"/>
      <c r="I3085" s="31"/>
      <c r="J3085" s="31"/>
      <c r="K3085" s="33"/>
      <c r="L3085" s="33"/>
      <c r="M3085" s="31"/>
      <c r="N3085" s="31"/>
      <c r="O3085" s="16"/>
      <c r="P3085" s="16"/>
      <c r="Q3085" s="16"/>
      <c r="R3085" s="33"/>
      <c r="S3085" s="34"/>
      <c r="T3085" s="34"/>
      <c r="U3085" s="34"/>
      <c r="V3085" s="34"/>
      <c r="W3085" s="34"/>
      <c r="X3085" s="33"/>
      <c r="Y3085" s="35" t="str">
        <f>IF(Tabela2[[#This Row],[SIGLA]]="","",VLOOKUP(Tabela2[[#This Row],[SIGLA]],Tabela1[[#All],[Sigla Arte]:[Crédito]],2,0))</f>
        <v/>
      </c>
      <c r="Z3085" s="31"/>
      <c r="AA3085" s="31" t="str">
        <f>Tabela2[[#This Row],[ILUSTRADOR CRIAÇÃO]]</f>
        <v/>
      </c>
      <c r="AB3085" s="33"/>
      <c r="AC3085" s="16"/>
      <c r="AE3085" s="35" t="str">
        <f t="shared" si="49"/>
        <v>EF1 E002 Mat</v>
      </c>
    </row>
    <row r="3086" spans="1:31" x14ac:dyDescent="0.25">
      <c r="A3086" s="31"/>
      <c r="B3086" s="16"/>
      <c r="C3086" s="16"/>
      <c r="D3086" s="33"/>
      <c r="E3086" s="33"/>
      <c r="F3086" s="33"/>
      <c r="G3086" s="33"/>
      <c r="H3086" s="33"/>
      <c r="I3086" s="31"/>
      <c r="J3086" s="31"/>
      <c r="K3086" s="33"/>
      <c r="L3086" s="33"/>
      <c r="M3086" s="31"/>
      <c r="N3086" s="31"/>
      <c r="O3086" s="16"/>
      <c r="P3086" s="16"/>
      <c r="Q3086" s="16"/>
      <c r="R3086" s="33"/>
      <c r="S3086" s="34"/>
      <c r="T3086" s="34"/>
      <c r="U3086" s="34"/>
      <c r="V3086" s="34"/>
      <c r="W3086" s="34"/>
      <c r="X3086" s="33"/>
      <c r="Y3086" s="35" t="str">
        <f>IF(Tabela2[[#This Row],[SIGLA]]="","",VLOOKUP(Tabela2[[#This Row],[SIGLA]],Tabela1[[#All],[Sigla Arte]:[Crédito]],2,0))</f>
        <v/>
      </c>
      <c r="Z3086" s="31"/>
      <c r="AA3086" s="31" t="str">
        <f>Tabela2[[#This Row],[ILUSTRADOR CRIAÇÃO]]</f>
        <v/>
      </c>
      <c r="AB3086" s="33"/>
      <c r="AC3086" s="16"/>
      <c r="AE3086" s="35" t="str">
        <f t="shared" si="49"/>
        <v>EF1 E002 Mat</v>
      </c>
    </row>
    <row r="3087" spans="1:31" x14ac:dyDescent="0.25">
      <c r="A3087" s="31"/>
      <c r="B3087" s="16"/>
      <c r="C3087" s="16"/>
      <c r="D3087" s="33"/>
      <c r="E3087" s="33"/>
      <c r="F3087" s="33"/>
      <c r="G3087" s="33"/>
      <c r="H3087" s="33"/>
      <c r="I3087" s="31"/>
      <c r="J3087" s="31"/>
      <c r="K3087" s="33"/>
      <c r="L3087" s="33"/>
      <c r="M3087" s="31"/>
      <c r="N3087" s="31"/>
      <c r="O3087" s="16"/>
      <c r="P3087" s="16"/>
      <c r="Q3087" s="16"/>
      <c r="R3087" s="33"/>
      <c r="S3087" s="34"/>
      <c r="T3087" s="34"/>
      <c r="U3087" s="34"/>
      <c r="V3087" s="34"/>
      <c r="W3087" s="34"/>
      <c r="X3087" s="33"/>
      <c r="Y3087" s="35" t="str">
        <f>IF(Tabela2[[#This Row],[SIGLA]]="","",VLOOKUP(Tabela2[[#This Row],[SIGLA]],Tabela1[[#All],[Sigla Arte]:[Crédito]],2,0))</f>
        <v/>
      </c>
      <c r="Z3087" s="31"/>
      <c r="AA3087" s="31" t="str">
        <f>Tabela2[[#This Row],[ILUSTRADOR CRIAÇÃO]]</f>
        <v/>
      </c>
      <c r="AB3087" s="33"/>
      <c r="AC3087" s="16"/>
      <c r="AE3087" s="35" t="str">
        <f t="shared" si="49"/>
        <v>EF1 E002 Mat</v>
      </c>
    </row>
    <row r="3088" spans="1:31" x14ac:dyDescent="0.25">
      <c r="A3088" s="31"/>
      <c r="B3088" s="16"/>
      <c r="C3088" s="16"/>
      <c r="D3088" s="33"/>
      <c r="E3088" s="33"/>
      <c r="F3088" s="33"/>
      <c r="G3088" s="33"/>
      <c r="H3088" s="33"/>
      <c r="I3088" s="31"/>
      <c r="J3088" s="31"/>
      <c r="K3088" s="33"/>
      <c r="L3088" s="33"/>
      <c r="M3088" s="31"/>
      <c r="N3088" s="31"/>
      <c r="O3088" s="16"/>
      <c r="P3088" s="16"/>
      <c r="Q3088" s="16"/>
      <c r="R3088" s="33"/>
      <c r="S3088" s="34"/>
      <c r="T3088" s="34"/>
      <c r="U3088" s="34"/>
      <c r="V3088" s="34"/>
      <c r="W3088" s="34"/>
      <c r="X3088" s="33"/>
      <c r="Y3088" s="35" t="str">
        <f>IF(Tabela2[[#This Row],[SIGLA]]="","",VLOOKUP(Tabela2[[#This Row],[SIGLA]],Tabela1[[#All],[Sigla Arte]:[Crédito]],2,0))</f>
        <v/>
      </c>
      <c r="Z3088" s="31"/>
      <c r="AA3088" s="31" t="str">
        <f>Tabela2[[#This Row],[ILUSTRADOR CRIAÇÃO]]</f>
        <v/>
      </c>
      <c r="AB3088" s="33"/>
      <c r="AC3088" s="16"/>
      <c r="AE3088" s="35" t="str">
        <f t="shared" si="49"/>
        <v>EF1 E002 Mat</v>
      </c>
    </row>
    <row r="3089" spans="1:31" x14ac:dyDescent="0.25">
      <c r="A3089" s="31"/>
      <c r="B3089" s="16"/>
      <c r="C3089" s="16"/>
      <c r="D3089" s="33"/>
      <c r="E3089" s="33"/>
      <c r="F3089" s="33"/>
      <c r="G3089" s="33"/>
      <c r="H3089" s="33"/>
      <c r="I3089" s="31"/>
      <c r="J3089" s="31"/>
      <c r="K3089" s="33"/>
      <c r="L3089" s="33"/>
      <c r="M3089" s="31"/>
      <c r="N3089" s="31"/>
      <c r="O3089" s="16"/>
      <c r="P3089" s="16"/>
      <c r="Q3089" s="16"/>
      <c r="R3089" s="33"/>
      <c r="S3089" s="34"/>
      <c r="T3089" s="34"/>
      <c r="U3089" s="34"/>
      <c r="V3089" s="34"/>
      <c r="W3089" s="34"/>
      <c r="X3089" s="33"/>
      <c r="Y3089" s="35" t="str">
        <f>IF(Tabela2[[#This Row],[SIGLA]]="","",VLOOKUP(Tabela2[[#This Row],[SIGLA]],Tabela1[[#All],[Sigla Arte]:[Crédito]],2,0))</f>
        <v/>
      </c>
      <c r="Z3089" s="31"/>
      <c r="AA3089" s="31" t="str">
        <f>Tabela2[[#This Row],[ILUSTRADOR CRIAÇÃO]]</f>
        <v/>
      </c>
      <c r="AB3089" s="33"/>
      <c r="AC3089" s="16"/>
      <c r="AE3089" s="35" t="str">
        <f t="shared" si="49"/>
        <v>EF1 E002 Mat</v>
      </c>
    </row>
    <row r="3090" spans="1:31" x14ac:dyDescent="0.25">
      <c r="A3090" s="31"/>
      <c r="B3090" s="16"/>
      <c r="C3090" s="16"/>
      <c r="D3090" s="33"/>
      <c r="E3090" s="33"/>
      <c r="F3090" s="33"/>
      <c r="G3090" s="33"/>
      <c r="H3090" s="33"/>
      <c r="I3090" s="31"/>
      <c r="J3090" s="31"/>
      <c r="K3090" s="33"/>
      <c r="L3090" s="33"/>
      <c r="M3090" s="31"/>
      <c r="N3090" s="31"/>
      <c r="O3090" s="16"/>
      <c r="P3090" s="16"/>
      <c r="Q3090" s="16"/>
      <c r="R3090" s="33"/>
      <c r="S3090" s="34"/>
      <c r="T3090" s="34"/>
      <c r="U3090" s="34"/>
      <c r="V3090" s="34"/>
      <c r="W3090" s="34"/>
      <c r="X3090" s="33"/>
      <c r="Y3090" s="35" t="str">
        <f>IF(Tabela2[[#This Row],[SIGLA]]="","",VLOOKUP(Tabela2[[#This Row],[SIGLA]],Tabela1[[#All],[Sigla Arte]:[Crédito]],2,0))</f>
        <v/>
      </c>
      <c r="Z3090" s="31"/>
      <c r="AA3090" s="31" t="str">
        <f>Tabela2[[#This Row],[ILUSTRADOR CRIAÇÃO]]</f>
        <v/>
      </c>
      <c r="AB3090" s="33"/>
      <c r="AC3090" s="16"/>
      <c r="AE3090" s="35" t="str">
        <f t="shared" si="49"/>
        <v>EF1 E002 Mat</v>
      </c>
    </row>
    <row r="3091" spans="1:31" x14ac:dyDescent="0.25">
      <c r="A3091" s="31"/>
      <c r="B3091" s="16"/>
      <c r="C3091" s="16"/>
      <c r="D3091" s="33"/>
      <c r="E3091" s="33"/>
      <c r="F3091" s="33"/>
      <c r="G3091" s="33"/>
      <c r="H3091" s="33"/>
      <c r="I3091" s="31"/>
      <c r="J3091" s="31"/>
      <c r="K3091" s="33"/>
      <c r="L3091" s="33"/>
      <c r="M3091" s="31"/>
      <c r="N3091" s="31"/>
      <c r="O3091" s="16"/>
      <c r="P3091" s="16"/>
      <c r="Q3091" s="16"/>
      <c r="R3091" s="33"/>
      <c r="S3091" s="34"/>
      <c r="T3091" s="34"/>
      <c r="U3091" s="34"/>
      <c r="V3091" s="34"/>
      <c r="W3091" s="34"/>
      <c r="X3091" s="33"/>
      <c r="Y3091" s="35" t="str">
        <f>IF(Tabela2[[#This Row],[SIGLA]]="","",VLOOKUP(Tabela2[[#This Row],[SIGLA]],Tabela1[[#All],[Sigla Arte]:[Crédito]],2,0))</f>
        <v/>
      </c>
      <c r="Z3091" s="31"/>
      <c r="AA3091" s="31" t="str">
        <f>Tabela2[[#This Row],[ILUSTRADOR CRIAÇÃO]]</f>
        <v/>
      </c>
      <c r="AB3091" s="33"/>
      <c r="AC3091" s="16"/>
      <c r="AE3091" s="35" t="str">
        <f t="shared" si="49"/>
        <v>EF1 E002 Mat</v>
      </c>
    </row>
    <row r="3092" spans="1:31" x14ac:dyDescent="0.25">
      <c r="A3092" s="31"/>
      <c r="B3092" s="16"/>
      <c r="C3092" s="16"/>
      <c r="D3092" s="33"/>
      <c r="E3092" s="33"/>
      <c r="F3092" s="33"/>
      <c r="G3092" s="33"/>
      <c r="H3092" s="33"/>
      <c r="I3092" s="31"/>
      <c r="J3092" s="31"/>
      <c r="K3092" s="33"/>
      <c r="L3092" s="33"/>
      <c r="M3092" s="31"/>
      <c r="N3092" s="31"/>
      <c r="O3092" s="16"/>
      <c r="P3092" s="16"/>
      <c r="Q3092" s="16"/>
      <c r="R3092" s="33"/>
      <c r="S3092" s="34"/>
      <c r="T3092" s="34"/>
      <c r="U3092" s="34"/>
      <c r="V3092" s="34"/>
      <c r="W3092" s="34"/>
      <c r="X3092" s="33"/>
      <c r="Y3092" s="35" t="str">
        <f>IF(Tabela2[[#This Row],[SIGLA]]="","",VLOOKUP(Tabela2[[#This Row],[SIGLA]],Tabela1[[#All],[Sigla Arte]:[Crédito]],2,0))</f>
        <v/>
      </c>
      <c r="Z3092" s="31"/>
      <c r="AA3092" s="31" t="str">
        <f>Tabela2[[#This Row],[ILUSTRADOR CRIAÇÃO]]</f>
        <v/>
      </c>
      <c r="AB3092" s="33"/>
      <c r="AC3092" s="16"/>
      <c r="AE3092" s="35" t="str">
        <f t="shared" si="49"/>
        <v>EF1 E002 Mat</v>
      </c>
    </row>
    <row r="3093" spans="1:31" x14ac:dyDescent="0.25">
      <c r="A3093" s="31"/>
      <c r="B3093" s="16"/>
      <c r="C3093" s="16"/>
      <c r="D3093" s="33"/>
      <c r="E3093" s="33"/>
      <c r="F3093" s="33"/>
      <c r="G3093" s="33"/>
      <c r="H3093" s="33"/>
      <c r="I3093" s="31"/>
      <c r="J3093" s="31"/>
      <c r="K3093" s="33"/>
      <c r="L3093" s="33"/>
      <c r="M3093" s="31"/>
      <c r="N3093" s="31"/>
      <c r="O3093" s="16"/>
      <c r="P3093" s="16"/>
      <c r="Q3093" s="16"/>
      <c r="R3093" s="33"/>
      <c r="S3093" s="34"/>
      <c r="T3093" s="34"/>
      <c r="U3093" s="34"/>
      <c r="V3093" s="34"/>
      <c r="W3093" s="34"/>
      <c r="X3093" s="33"/>
      <c r="Y3093" s="35" t="str">
        <f>IF(Tabela2[[#This Row],[SIGLA]]="","",VLOOKUP(Tabela2[[#This Row],[SIGLA]],Tabela1[[#All],[Sigla Arte]:[Crédito]],2,0))</f>
        <v/>
      </c>
      <c r="Z3093" s="31"/>
      <c r="AA3093" s="31" t="str">
        <f>Tabela2[[#This Row],[ILUSTRADOR CRIAÇÃO]]</f>
        <v/>
      </c>
      <c r="AB3093" s="33"/>
      <c r="AC3093" s="16"/>
      <c r="AE3093" s="35" t="str">
        <f t="shared" si="49"/>
        <v>EF1 E002 Mat</v>
      </c>
    </row>
    <row r="3094" spans="1:31" x14ac:dyDescent="0.25">
      <c r="A3094" s="31"/>
      <c r="B3094" s="16"/>
      <c r="C3094" s="16"/>
      <c r="D3094" s="33"/>
      <c r="E3094" s="33"/>
      <c r="F3094" s="33"/>
      <c r="G3094" s="33"/>
      <c r="H3094" s="33"/>
      <c r="I3094" s="31"/>
      <c r="J3094" s="31"/>
      <c r="K3094" s="33"/>
      <c r="L3094" s="33"/>
      <c r="M3094" s="31"/>
      <c r="N3094" s="31"/>
      <c r="O3094" s="16"/>
      <c r="P3094" s="16"/>
      <c r="Q3094" s="16"/>
      <c r="R3094" s="33"/>
      <c r="S3094" s="34"/>
      <c r="T3094" s="34"/>
      <c r="U3094" s="34"/>
      <c r="V3094" s="34"/>
      <c r="W3094" s="34"/>
      <c r="X3094" s="33"/>
      <c r="Y3094" s="35" t="str">
        <f>IF(Tabela2[[#This Row],[SIGLA]]="","",VLOOKUP(Tabela2[[#This Row],[SIGLA]],Tabela1[[#All],[Sigla Arte]:[Crédito]],2,0))</f>
        <v/>
      </c>
      <c r="Z3094" s="31"/>
      <c r="AA3094" s="31" t="str">
        <f>Tabela2[[#This Row],[ILUSTRADOR CRIAÇÃO]]</f>
        <v/>
      </c>
      <c r="AB3094" s="33"/>
      <c r="AC3094" s="16"/>
      <c r="AE3094" s="35" t="str">
        <f t="shared" si="49"/>
        <v>EF1 E002 Mat</v>
      </c>
    </row>
    <row r="3095" spans="1:31" x14ac:dyDescent="0.25">
      <c r="A3095" s="31"/>
      <c r="B3095" s="16"/>
      <c r="C3095" s="16"/>
      <c r="D3095" s="33"/>
      <c r="E3095" s="33"/>
      <c r="F3095" s="33"/>
      <c r="G3095" s="33"/>
      <c r="H3095" s="33"/>
      <c r="I3095" s="31"/>
      <c r="J3095" s="31"/>
      <c r="K3095" s="33"/>
      <c r="L3095" s="33"/>
      <c r="M3095" s="31"/>
      <c r="N3095" s="31"/>
      <c r="O3095" s="16"/>
      <c r="P3095" s="16"/>
      <c r="Q3095" s="16"/>
      <c r="R3095" s="33"/>
      <c r="S3095" s="34"/>
      <c r="T3095" s="34"/>
      <c r="U3095" s="34"/>
      <c r="V3095" s="34"/>
      <c r="W3095" s="34"/>
      <c r="X3095" s="33"/>
      <c r="Y3095" s="35" t="str">
        <f>IF(Tabela2[[#This Row],[SIGLA]]="","",VLOOKUP(Tabela2[[#This Row],[SIGLA]],Tabela1[[#All],[Sigla Arte]:[Crédito]],2,0))</f>
        <v/>
      </c>
      <c r="Z3095" s="31"/>
      <c r="AA3095" s="31" t="str">
        <f>Tabela2[[#This Row],[ILUSTRADOR CRIAÇÃO]]</f>
        <v/>
      </c>
      <c r="AB3095" s="33"/>
      <c r="AC3095" s="16"/>
      <c r="AE3095" s="35" t="str">
        <f t="shared" si="49"/>
        <v>EF1 E002 Mat</v>
      </c>
    </row>
    <row r="3096" spans="1:31" x14ac:dyDescent="0.25">
      <c r="A3096" s="31"/>
      <c r="B3096" s="16"/>
      <c r="C3096" s="16"/>
      <c r="D3096" s="33"/>
      <c r="E3096" s="33"/>
      <c r="F3096" s="33"/>
      <c r="G3096" s="33"/>
      <c r="H3096" s="33"/>
      <c r="I3096" s="31"/>
      <c r="J3096" s="31"/>
      <c r="K3096" s="33"/>
      <c r="L3096" s="33"/>
      <c r="M3096" s="31"/>
      <c r="N3096" s="31"/>
      <c r="O3096" s="16"/>
      <c r="P3096" s="16"/>
      <c r="Q3096" s="16"/>
      <c r="R3096" s="33"/>
      <c r="S3096" s="34"/>
      <c r="T3096" s="34"/>
      <c r="U3096" s="34"/>
      <c r="V3096" s="34"/>
      <c r="W3096" s="34"/>
      <c r="X3096" s="33"/>
      <c r="Y3096" s="35" t="str">
        <f>IF(Tabela2[[#This Row],[SIGLA]]="","",VLOOKUP(Tabela2[[#This Row],[SIGLA]],Tabela1[[#All],[Sigla Arte]:[Crédito]],2,0))</f>
        <v/>
      </c>
      <c r="Z3096" s="31"/>
      <c r="AA3096" s="31" t="str">
        <f>Tabela2[[#This Row],[ILUSTRADOR CRIAÇÃO]]</f>
        <v/>
      </c>
      <c r="AB3096" s="33"/>
      <c r="AC3096" s="16"/>
      <c r="AE3096" s="35" t="str">
        <f t="shared" si="49"/>
        <v>EF1 E002 Mat</v>
      </c>
    </row>
    <row r="3097" spans="1:31" x14ac:dyDescent="0.25">
      <c r="A3097" s="31"/>
      <c r="B3097" s="16"/>
      <c r="C3097" s="16"/>
      <c r="D3097" s="33"/>
      <c r="E3097" s="33"/>
      <c r="F3097" s="33"/>
      <c r="G3097" s="33"/>
      <c r="H3097" s="33"/>
      <c r="I3097" s="31"/>
      <c r="J3097" s="31"/>
      <c r="K3097" s="33"/>
      <c r="L3097" s="33"/>
      <c r="M3097" s="31"/>
      <c r="N3097" s="31"/>
      <c r="O3097" s="16"/>
      <c r="P3097" s="16"/>
      <c r="Q3097" s="16"/>
      <c r="R3097" s="33"/>
      <c r="S3097" s="34"/>
      <c r="T3097" s="34"/>
      <c r="U3097" s="34"/>
      <c r="V3097" s="34"/>
      <c r="W3097" s="34"/>
      <c r="X3097" s="33"/>
      <c r="Y3097" s="35" t="str">
        <f>IF(Tabela2[[#This Row],[SIGLA]]="","",VLOOKUP(Tabela2[[#This Row],[SIGLA]],Tabela1[[#All],[Sigla Arte]:[Crédito]],2,0))</f>
        <v/>
      </c>
      <c r="Z3097" s="31"/>
      <c r="AA3097" s="31" t="str">
        <f>Tabela2[[#This Row],[ILUSTRADOR CRIAÇÃO]]</f>
        <v/>
      </c>
      <c r="AB3097" s="33"/>
      <c r="AC3097" s="16"/>
      <c r="AE3097" s="35" t="str">
        <f t="shared" si="49"/>
        <v>EF1 E002 Mat</v>
      </c>
    </row>
    <row r="3098" spans="1:31" x14ac:dyDescent="0.25">
      <c r="A3098" s="31"/>
      <c r="B3098" s="16"/>
      <c r="C3098" s="16"/>
      <c r="D3098" s="33"/>
      <c r="E3098" s="33"/>
      <c r="F3098" s="33"/>
      <c r="G3098" s="33"/>
      <c r="H3098" s="33"/>
      <c r="I3098" s="31"/>
      <c r="J3098" s="31"/>
      <c r="K3098" s="33"/>
      <c r="L3098" s="33"/>
      <c r="M3098" s="31"/>
      <c r="N3098" s="31"/>
      <c r="O3098" s="16"/>
      <c r="P3098" s="16"/>
      <c r="Q3098" s="16"/>
      <c r="R3098" s="33"/>
      <c r="S3098" s="34"/>
      <c r="T3098" s="34"/>
      <c r="U3098" s="34"/>
      <c r="V3098" s="34"/>
      <c r="W3098" s="34"/>
      <c r="X3098" s="33"/>
      <c r="Y3098" s="35" t="str">
        <f>IF(Tabela2[[#This Row],[SIGLA]]="","",VLOOKUP(Tabela2[[#This Row],[SIGLA]],Tabela1[[#All],[Sigla Arte]:[Crédito]],2,0))</f>
        <v/>
      </c>
      <c r="Z3098" s="31"/>
      <c r="AA3098" s="31" t="str">
        <f>Tabela2[[#This Row],[ILUSTRADOR CRIAÇÃO]]</f>
        <v/>
      </c>
      <c r="AB3098" s="33"/>
      <c r="AC3098" s="16"/>
      <c r="AE3098" s="35" t="str">
        <f t="shared" si="49"/>
        <v>EF1 E002 Mat</v>
      </c>
    </row>
    <row r="3099" spans="1:31" x14ac:dyDescent="0.25">
      <c r="A3099" s="31"/>
      <c r="B3099" s="16"/>
      <c r="C3099" s="16"/>
      <c r="D3099" s="33"/>
      <c r="E3099" s="33"/>
      <c r="F3099" s="33"/>
      <c r="G3099" s="33"/>
      <c r="H3099" s="33"/>
      <c r="I3099" s="31"/>
      <c r="J3099" s="31"/>
      <c r="K3099" s="33"/>
      <c r="L3099" s="33"/>
      <c r="M3099" s="31"/>
      <c r="N3099" s="31"/>
      <c r="O3099" s="16"/>
      <c r="P3099" s="16"/>
      <c r="Q3099" s="16"/>
      <c r="R3099" s="33"/>
      <c r="S3099" s="34"/>
      <c r="T3099" s="34"/>
      <c r="U3099" s="34"/>
      <c r="V3099" s="34"/>
      <c r="W3099" s="34"/>
      <c r="X3099" s="33"/>
      <c r="Y3099" s="35" t="str">
        <f>IF(Tabela2[[#This Row],[SIGLA]]="","",VLOOKUP(Tabela2[[#This Row],[SIGLA]],Tabela1[[#All],[Sigla Arte]:[Crédito]],2,0))</f>
        <v/>
      </c>
      <c r="Z3099" s="31"/>
      <c r="AA3099" s="31" t="str">
        <f>Tabela2[[#This Row],[ILUSTRADOR CRIAÇÃO]]</f>
        <v/>
      </c>
      <c r="AB3099" s="33"/>
      <c r="AC3099" s="16"/>
      <c r="AE3099" s="35" t="str">
        <f t="shared" si="49"/>
        <v>EF1 E002 Mat</v>
      </c>
    </row>
    <row r="3100" spans="1:31" x14ac:dyDescent="0.25">
      <c r="A3100" s="31"/>
      <c r="B3100" s="16"/>
      <c r="C3100" s="16"/>
      <c r="D3100" s="33"/>
      <c r="E3100" s="33"/>
      <c r="F3100" s="33"/>
      <c r="G3100" s="33"/>
      <c r="H3100" s="33"/>
      <c r="I3100" s="31"/>
      <c r="J3100" s="31"/>
      <c r="K3100" s="33"/>
      <c r="L3100" s="33"/>
      <c r="M3100" s="31"/>
      <c r="N3100" s="31"/>
      <c r="O3100" s="16"/>
      <c r="P3100" s="16"/>
      <c r="Q3100" s="16"/>
      <c r="R3100" s="33"/>
      <c r="S3100" s="34"/>
      <c r="T3100" s="34"/>
      <c r="U3100" s="34"/>
      <c r="V3100" s="34"/>
      <c r="W3100" s="34"/>
      <c r="X3100" s="33"/>
      <c r="Y3100" s="35" t="str">
        <f>IF(Tabela2[[#This Row],[SIGLA]]="","",VLOOKUP(Tabela2[[#This Row],[SIGLA]],Tabela1[[#All],[Sigla Arte]:[Crédito]],2,0))</f>
        <v/>
      </c>
      <c r="Z3100" s="31"/>
      <c r="AA3100" s="31" t="str">
        <f>Tabela2[[#This Row],[ILUSTRADOR CRIAÇÃO]]</f>
        <v/>
      </c>
      <c r="AB3100" s="33"/>
      <c r="AC3100" s="16"/>
      <c r="AE3100" s="35" t="str">
        <f t="shared" si="49"/>
        <v>EF1 E002 Mat</v>
      </c>
    </row>
    <row r="3101" spans="1:31" x14ac:dyDescent="0.25">
      <c r="A3101" s="31"/>
      <c r="B3101" s="16"/>
      <c r="C3101" s="16"/>
      <c r="D3101" s="33"/>
      <c r="E3101" s="33"/>
      <c r="F3101" s="33"/>
      <c r="G3101" s="33"/>
      <c r="H3101" s="33"/>
      <c r="I3101" s="31"/>
      <c r="J3101" s="31"/>
      <c r="K3101" s="33"/>
      <c r="L3101" s="33"/>
      <c r="M3101" s="31"/>
      <c r="N3101" s="31"/>
      <c r="O3101" s="16"/>
      <c r="P3101" s="16"/>
      <c r="Q3101" s="16"/>
      <c r="R3101" s="33"/>
      <c r="S3101" s="34"/>
      <c r="T3101" s="34"/>
      <c r="U3101" s="34"/>
      <c r="V3101" s="34"/>
      <c r="W3101" s="34"/>
      <c r="X3101" s="33"/>
      <c r="Y3101" s="35" t="str">
        <f>IF(Tabela2[[#This Row],[SIGLA]]="","",VLOOKUP(Tabela2[[#This Row],[SIGLA]],Tabela1[[#All],[Sigla Arte]:[Crédito]],2,0))</f>
        <v/>
      </c>
      <c r="Z3101" s="31"/>
      <c r="AA3101" s="31" t="str">
        <f>Tabela2[[#This Row],[ILUSTRADOR CRIAÇÃO]]</f>
        <v/>
      </c>
      <c r="AB3101" s="33"/>
      <c r="AC3101" s="16"/>
      <c r="AE3101" s="35" t="str">
        <f t="shared" si="49"/>
        <v>EF1 E002 Mat</v>
      </c>
    </row>
    <row r="3102" spans="1:31" x14ac:dyDescent="0.25">
      <c r="A3102" s="31"/>
      <c r="B3102" s="16"/>
      <c r="C3102" s="16"/>
      <c r="D3102" s="33"/>
      <c r="E3102" s="33"/>
      <c r="F3102" s="33"/>
      <c r="G3102" s="33"/>
      <c r="H3102" s="33"/>
      <c r="I3102" s="31"/>
      <c r="J3102" s="31"/>
      <c r="K3102" s="33"/>
      <c r="L3102" s="33"/>
      <c r="M3102" s="31"/>
      <c r="N3102" s="31"/>
      <c r="O3102" s="16"/>
      <c r="P3102" s="16"/>
      <c r="Q3102" s="16"/>
      <c r="R3102" s="33"/>
      <c r="S3102" s="34"/>
      <c r="T3102" s="34"/>
      <c r="U3102" s="34"/>
      <c r="V3102" s="34"/>
      <c r="W3102" s="34"/>
      <c r="X3102" s="33"/>
      <c r="Y3102" s="35" t="str">
        <f>IF(Tabela2[[#This Row],[SIGLA]]="","",VLOOKUP(Tabela2[[#This Row],[SIGLA]],Tabela1[[#All],[Sigla Arte]:[Crédito]],2,0))</f>
        <v/>
      </c>
      <c r="Z3102" s="31"/>
      <c r="AA3102" s="31" t="str">
        <f>Tabela2[[#This Row],[ILUSTRADOR CRIAÇÃO]]</f>
        <v/>
      </c>
      <c r="AB3102" s="33"/>
      <c r="AC3102" s="16"/>
      <c r="AE3102" s="35" t="str">
        <f t="shared" si="49"/>
        <v>EF1 E002 Mat</v>
      </c>
    </row>
    <row r="3103" spans="1:31" x14ac:dyDescent="0.25">
      <c r="A3103" s="31"/>
      <c r="B3103" s="16"/>
      <c r="C3103" s="16"/>
      <c r="D3103" s="33"/>
      <c r="E3103" s="33"/>
      <c r="F3103" s="33"/>
      <c r="G3103" s="33"/>
      <c r="H3103" s="33"/>
      <c r="I3103" s="31"/>
      <c r="J3103" s="31"/>
      <c r="K3103" s="33"/>
      <c r="L3103" s="33"/>
      <c r="M3103" s="31"/>
      <c r="N3103" s="31"/>
      <c r="O3103" s="16"/>
      <c r="P3103" s="16"/>
      <c r="Q3103" s="16"/>
      <c r="R3103" s="33"/>
      <c r="S3103" s="34"/>
      <c r="T3103" s="34"/>
      <c r="U3103" s="34"/>
      <c r="V3103" s="34"/>
      <c r="W3103" s="34"/>
      <c r="X3103" s="33"/>
      <c r="Y3103" s="35" t="str">
        <f>IF(Tabela2[[#This Row],[SIGLA]]="","",VLOOKUP(Tabela2[[#This Row],[SIGLA]],Tabela1[[#All],[Sigla Arte]:[Crédito]],2,0))</f>
        <v/>
      </c>
      <c r="Z3103" s="31"/>
      <c r="AA3103" s="31" t="str">
        <f>Tabela2[[#This Row],[ILUSTRADOR CRIAÇÃO]]</f>
        <v/>
      </c>
      <c r="AB3103" s="33"/>
      <c r="AC3103" s="16"/>
      <c r="AE3103" s="35" t="str">
        <f t="shared" si="49"/>
        <v>EF1 E002 Mat</v>
      </c>
    </row>
    <row r="3104" spans="1:31" x14ac:dyDescent="0.25">
      <c r="A3104" s="31"/>
      <c r="B3104" s="16"/>
      <c r="C3104" s="16"/>
      <c r="D3104" s="33"/>
      <c r="E3104" s="33"/>
      <c r="F3104" s="33"/>
      <c r="G3104" s="33"/>
      <c r="H3104" s="33"/>
      <c r="I3104" s="31"/>
      <c r="J3104" s="31"/>
      <c r="K3104" s="33"/>
      <c r="L3104" s="33"/>
      <c r="M3104" s="31"/>
      <c r="N3104" s="31"/>
      <c r="O3104" s="16"/>
      <c r="P3104" s="16"/>
      <c r="Q3104" s="16"/>
      <c r="R3104" s="33"/>
      <c r="S3104" s="34"/>
      <c r="T3104" s="34"/>
      <c r="U3104" s="34"/>
      <c r="V3104" s="34"/>
      <c r="W3104" s="34"/>
      <c r="X3104" s="33"/>
      <c r="Y3104" s="35" t="str">
        <f>IF(Tabela2[[#This Row],[SIGLA]]="","",VLOOKUP(Tabela2[[#This Row],[SIGLA]],Tabela1[[#All],[Sigla Arte]:[Crédito]],2,0))</f>
        <v/>
      </c>
      <c r="Z3104" s="31"/>
      <c r="AA3104" s="31" t="str">
        <f>Tabela2[[#This Row],[ILUSTRADOR CRIAÇÃO]]</f>
        <v/>
      </c>
      <c r="AB3104" s="33"/>
      <c r="AC3104" s="16"/>
      <c r="AE3104" s="35" t="str">
        <f t="shared" si="49"/>
        <v>EF1 E002 Mat</v>
      </c>
    </row>
    <row r="3105" spans="1:31" x14ac:dyDescent="0.25">
      <c r="A3105" s="31"/>
      <c r="B3105" s="16"/>
      <c r="C3105" s="16"/>
      <c r="D3105" s="33"/>
      <c r="E3105" s="33"/>
      <c r="F3105" s="33"/>
      <c r="G3105" s="33"/>
      <c r="H3105" s="33"/>
      <c r="I3105" s="31"/>
      <c r="J3105" s="31"/>
      <c r="K3105" s="33"/>
      <c r="L3105" s="33"/>
      <c r="M3105" s="31"/>
      <c r="N3105" s="31"/>
      <c r="O3105" s="16"/>
      <c r="P3105" s="16"/>
      <c r="Q3105" s="16"/>
      <c r="R3105" s="33"/>
      <c r="S3105" s="34"/>
      <c r="T3105" s="34"/>
      <c r="U3105" s="34"/>
      <c r="V3105" s="34"/>
      <c r="W3105" s="34"/>
      <c r="X3105" s="33"/>
      <c r="Y3105" s="35" t="str">
        <f>IF(Tabela2[[#This Row],[SIGLA]]="","",VLOOKUP(Tabela2[[#This Row],[SIGLA]],Tabela1[[#All],[Sigla Arte]:[Crédito]],2,0))</f>
        <v/>
      </c>
      <c r="Z3105" s="31"/>
      <c r="AA3105" s="31" t="str">
        <f>Tabela2[[#This Row],[ILUSTRADOR CRIAÇÃO]]</f>
        <v/>
      </c>
      <c r="AB3105" s="33"/>
      <c r="AC3105" s="16"/>
      <c r="AE3105" s="35" t="str">
        <f t="shared" si="49"/>
        <v>EF1 E002 Mat</v>
      </c>
    </row>
    <row r="3106" spans="1:31" x14ac:dyDescent="0.25">
      <c r="A3106" s="31"/>
      <c r="B3106" s="16"/>
      <c r="C3106" s="16"/>
      <c r="D3106" s="33"/>
      <c r="E3106" s="33"/>
      <c r="F3106" s="33"/>
      <c r="G3106" s="33"/>
      <c r="H3106" s="33"/>
      <c r="I3106" s="31"/>
      <c r="J3106" s="31"/>
      <c r="K3106" s="33"/>
      <c r="L3106" s="33"/>
      <c r="M3106" s="31"/>
      <c r="N3106" s="31"/>
      <c r="O3106" s="16"/>
      <c r="P3106" s="16"/>
      <c r="Q3106" s="16"/>
      <c r="R3106" s="33"/>
      <c r="S3106" s="34"/>
      <c r="T3106" s="34"/>
      <c r="U3106" s="34"/>
      <c r="V3106" s="34"/>
      <c r="W3106" s="34"/>
      <c r="X3106" s="33"/>
      <c r="Y3106" s="35" t="str">
        <f>IF(Tabela2[[#This Row],[SIGLA]]="","",VLOOKUP(Tabela2[[#This Row],[SIGLA]],Tabela1[[#All],[Sigla Arte]:[Crédito]],2,0))</f>
        <v/>
      </c>
      <c r="Z3106" s="31"/>
      <c r="AA3106" s="31" t="str">
        <f>Tabela2[[#This Row],[ILUSTRADOR CRIAÇÃO]]</f>
        <v/>
      </c>
      <c r="AB3106" s="33"/>
      <c r="AC3106" s="16"/>
      <c r="AE3106" s="35" t="str">
        <f t="shared" si="49"/>
        <v>EF1 E002 Mat</v>
      </c>
    </row>
    <row r="3107" spans="1:31" x14ac:dyDescent="0.25">
      <c r="A3107" s="31"/>
      <c r="B3107" s="16"/>
      <c r="C3107" s="16"/>
      <c r="D3107" s="33"/>
      <c r="E3107" s="33"/>
      <c r="F3107" s="33"/>
      <c r="G3107" s="33"/>
      <c r="H3107" s="33"/>
      <c r="I3107" s="31"/>
      <c r="J3107" s="31"/>
      <c r="K3107" s="33"/>
      <c r="L3107" s="33"/>
      <c r="M3107" s="31"/>
      <c r="N3107" s="31"/>
      <c r="O3107" s="16"/>
      <c r="P3107" s="16"/>
      <c r="Q3107" s="16"/>
      <c r="R3107" s="33"/>
      <c r="S3107" s="34"/>
      <c r="T3107" s="34"/>
      <c r="U3107" s="34"/>
      <c r="V3107" s="34"/>
      <c r="W3107" s="34"/>
      <c r="X3107" s="33"/>
      <c r="Y3107" s="35" t="str">
        <f>IF(Tabela2[[#This Row],[SIGLA]]="","",VLOOKUP(Tabela2[[#This Row],[SIGLA]],Tabela1[[#All],[Sigla Arte]:[Crédito]],2,0))</f>
        <v/>
      </c>
      <c r="Z3107" s="31"/>
      <c r="AA3107" s="31" t="str">
        <f>Tabela2[[#This Row],[ILUSTRADOR CRIAÇÃO]]</f>
        <v/>
      </c>
      <c r="AB3107" s="33"/>
      <c r="AC3107" s="16"/>
      <c r="AE3107" s="35" t="str">
        <f t="shared" si="49"/>
        <v>EF1 E002 Mat</v>
      </c>
    </row>
    <row r="3108" spans="1:31" x14ac:dyDescent="0.25">
      <c r="A3108" s="31"/>
      <c r="B3108" s="16"/>
      <c r="C3108" s="16"/>
      <c r="D3108" s="33"/>
      <c r="E3108" s="33"/>
      <c r="F3108" s="33"/>
      <c r="G3108" s="33"/>
      <c r="H3108" s="33"/>
      <c r="I3108" s="31"/>
      <c r="J3108" s="31"/>
      <c r="K3108" s="33"/>
      <c r="L3108" s="33"/>
      <c r="M3108" s="31"/>
      <c r="N3108" s="31"/>
      <c r="O3108" s="16"/>
      <c r="P3108" s="16"/>
      <c r="Q3108" s="16"/>
      <c r="R3108" s="33"/>
      <c r="S3108" s="34"/>
      <c r="T3108" s="34"/>
      <c r="U3108" s="34"/>
      <c r="V3108" s="34"/>
      <c r="W3108" s="34"/>
      <c r="X3108" s="33"/>
      <c r="Y3108" s="35" t="str">
        <f>IF(Tabela2[[#This Row],[SIGLA]]="","",VLOOKUP(Tabela2[[#This Row],[SIGLA]],Tabela1[[#All],[Sigla Arte]:[Crédito]],2,0))</f>
        <v/>
      </c>
      <c r="Z3108" s="31"/>
      <c r="AA3108" s="31" t="str">
        <f>Tabela2[[#This Row],[ILUSTRADOR CRIAÇÃO]]</f>
        <v/>
      </c>
      <c r="AB3108" s="33"/>
      <c r="AC3108" s="16"/>
      <c r="AE3108" s="35" t="str">
        <f t="shared" si="49"/>
        <v>EF1 E002 Mat</v>
      </c>
    </row>
    <row r="3109" spans="1:31" x14ac:dyDescent="0.25">
      <c r="A3109" s="31"/>
      <c r="B3109" s="16"/>
      <c r="C3109" s="16"/>
      <c r="D3109" s="33"/>
      <c r="E3109" s="33"/>
      <c r="F3109" s="33"/>
      <c r="G3109" s="33"/>
      <c r="H3109" s="33"/>
      <c r="I3109" s="31"/>
      <c r="J3109" s="31"/>
      <c r="K3109" s="33"/>
      <c r="L3109" s="33"/>
      <c r="M3109" s="31"/>
      <c r="N3109" s="31"/>
      <c r="O3109" s="16"/>
      <c r="P3109" s="16"/>
      <c r="Q3109" s="16"/>
      <c r="R3109" s="33"/>
      <c r="S3109" s="34"/>
      <c r="T3109" s="34"/>
      <c r="U3109" s="34"/>
      <c r="V3109" s="34"/>
      <c r="W3109" s="34"/>
      <c r="X3109" s="33"/>
      <c r="Y3109" s="35" t="str">
        <f>IF(Tabela2[[#This Row],[SIGLA]]="","",VLOOKUP(Tabela2[[#This Row],[SIGLA]],Tabela1[[#All],[Sigla Arte]:[Crédito]],2,0))</f>
        <v/>
      </c>
      <c r="Z3109" s="31"/>
      <c r="AA3109" s="31" t="str">
        <f>Tabela2[[#This Row],[ILUSTRADOR CRIAÇÃO]]</f>
        <v/>
      </c>
      <c r="AB3109" s="33"/>
      <c r="AC3109" s="16"/>
      <c r="AE3109" s="35" t="str">
        <f t="shared" si="49"/>
        <v>EF1 E002 Mat</v>
      </c>
    </row>
    <row r="3110" spans="1:31" x14ac:dyDescent="0.25">
      <c r="A3110" s="31"/>
      <c r="B3110" s="16"/>
      <c r="C3110" s="16"/>
      <c r="D3110" s="33"/>
      <c r="E3110" s="33"/>
      <c r="F3110" s="33"/>
      <c r="G3110" s="33"/>
      <c r="H3110" s="33"/>
      <c r="I3110" s="31"/>
      <c r="J3110" s="31"/>
      <c r="K3110" s="33"/>
      <c r="L3110" s="33"/>
      <c r="M3110" s="31"/>
      <c r="N3110" s="31"/>
      <c r="O3110" s="16"/>
      <c r="P3110" s="16"/>
      <c r="Q3110" s="16"/>
      <c r="R3110" s="33"/>
      <c r="S3110" s="34"/>
      <c r="T3110" s="34"/>
      <c r="U3110" s="34"/>
      <c r="V3110" s="34"/>
      <c r="W3110" s="34"/>
      <c r="X3110" s="33"/>
      <c r="Y3110" s="35" t="str">
        <f>IF(Tabela2[[#This Row],[SIGLA]]="","",VLOOKUP(Tabela2[[#This Row],[SIGLA]],Tabela1[[#All],[Sigla Arte]:[Crédito]],2,0))</f>
        <v/>
      </c>
      <c r="Z3110" s="31"/>
      <c r="AA3110" s="31" t="str">
        <f>Tabela2[[#This Row],[ILUSTRADOR CRIAÇÃO]]</f>
        <v/>
      </c>
      <c r="AB3110" s="33"/>
      <c r="AC3110" s="16"/>
      <c r="AE3110" s="35" t="str">
        <f t="shared" si="49"/>
        <v>EF1 E002 Mat</v>
      </c>
    </row>
    <row r="3111" spans="1:31" x14ac:dyDescent="0.25">
      <c r="A3111" s="31"/>
      <c r="B3111" s="16"/>
      <c r="C3111" s="16"/>
      <c r="D3111" s="33"/>
      <c r="E3111" s="33"/>
      <c r="F3111" s="33"/>
      <c r="G3111" s="33"/>
      <c r="H3111" s="33"/>
      <c r="I3111" s="31"/>
      <c r="J3111" s="31"/>
      <c r="K3111" s="33"/>
      <c r="L3111" s="33"/>
      <c r="M3111" s="31"/>
      <c r="N3111" s="31"/>
      <c r="O3111" s="16"/>
      <c r="P3111" s="16"/>
      <c r="Q3111" s="16"/>
      <c r="R3111" s="33"/>
      <c r="S3111" s="34"/>
      <c r="T3111" s="34"/>
      <c r="U3111" s="34"/>
      <c r="V3111" s="34"/>
      <c r="W3111" s="34"/>
      <c r="X3111" s="33"/>
      <c r="Y3111" s="35" t="str">
        <f>IF(Tabela2[[#This Row],[SIGLA]]="","",VLOOKUP(Tabela2[[#This Row],[SIGLA]],Tabela1[[#All],[Sigla Arte]:[Crédito]],2,0))</f>
        <v/>
      </c>
      <c r="Z3111" s="31"/>
      <c r="AA3111" s="31" t="str">
        <f>Tabela2[[#This Row],[ILUSTRADOR CRIAÇÃO]]</f>
        <v/>
      </c>
      <c r="AB3111" s="33"/>
      <c r="AC3111" s="16"/>
      <c r="AE3111" s="35" t="str">
        <f t="shared" si="49"/>
        <v>EF1 E002 Mat</v>
      </c>
    </row>
    <row r="3112" spans="1:31" x14ac:dyDescent="0.25">
      <c r="A3112" s="31"/>
      <c r="B3112" s="16"/>
      <c r="C3112" s="16"/>
      <c r="D3112" s="33"/>
      <c r="E3112" s="33"/>
      <c r="F3112" s="33"/>
      <c r="G3112" s="33"/>
      <c r="H3112" s="33"/>
      <c r="I3112" s="31"/>
      <c r="J3112" s="31"/>
      <c r="K3112" s="33"/>
      <c r="L3112" s="33"/>
      <c r="M3112" s="31"/>
      <c r="N3112" s="31"/>
      <c r="O3112" s="16"/>
      <c r="P3112" s="16"/>
      <c r="Q3112" s="16"/>
      <c r="R3112" s="33"/>
      <c r="S3112" s="34"/>
      <c r="T3112" s="34"/>
      <c r="U3112" s="34"/>
      <c r="V3112" s="34"/>
      <c r="W3112" s="34"/>
      <c r="X3112" s="33"/>
      <c r="Y3112" s="35" t="str">
        <f>IF(Tabela2[[#This Row],[SIGLA]]="","",VLOOKUP(Tabela2[[#This Row],[SIGLA]],Tabela1[[#All],[Sigla Arte]:[Crédito]],2,0))</f>
        <v/>
      </c>
      <c r="Z3112" s="31"/>
      <c r="AA3112" s="31" t="str">
        <f>Tabela2[[#This Row],[ILUSTRADOR CRIAÇÃO]]</f>
        <v/>
      </c>
      <c r="AB3112" s="33"/>
      <c r="AC3112" s="16"/>
      <c r="AE3112" s="35" t="str">
        <f t="shared" si="49"/>
        <v>EF1 E002 Mat</v>
      </c>
    </row>
    <row r="3113" spans="1:31" x14ac:dyDescent="0.25">
      <c r="A3113" s="31"/>
      <c r="B3113" s="16"/>
      <c r="C3113" s="16"/>
      <c r="D3113" s="33"/>
      <c r="E3113" s="33"/>
      <c r="F3113" s="33"/>
      <c r="G3113" s="33"/>
      <c r="H3113" s="33"/>
      <c r="I3113" s="31"/>
      <c r="J3113" s="31"/>
      <c r="K3113" s="33"/>
      <c r="L3113" s="33"/>
      <c r="M3113" s="31"/>
      <c r="N3113" s="31"/>
      <c r="O3113" s="16"/>
      <c r="P3113" s="16"/>
      <c r="Q3113" s="16"/>
      <c r="R3113" s="33"/>
      <c r="S3113" s="34"/>
      <c r="T3113" s="34"/>
      <c r="U3113" s="34"/>
      <c r="V3113" s="34"/>
      <c r="W3113" s="34"/>
      <c r="X3113" s="33"/>
      <c r="Y3113" s="35" t="str">
        <f>IF(Tabela2[[#This Row],[SIGLA]]="","",VLOOKUP(Tabela2[[#This Row],[SIGLA]],Tabela1[[#All],[Sigla Arte]:[Crédito]],2,0))</f>
        <v/>
      </c>
      <c r="Z3113" s="31"/>
      <c r="AA3113" s="31" t="str">
        <f>Tabela2[[#This Row],[ILUSTRADOR CRIAÇÃO]]</f>
        <v/>
      </c>
      <c r="AB3113" s="33"/>
      <c r="AC3113" s="16"/>
      <c r="AE3113" s="35" t="str">
        <f t="shared" si="49"/>
        <v>EF1 E002 Mat</v>
      </c>
    </row>
    <row r="3114" spans="1:31" x14ac:dyDescent="0.25">
      <c r="A3114" s="31"/>
      <c r="B3114" s="16"/>
      <c r="C3114" s="16"/>
      <c r="D3114" s="33"/>
      <c r="E3114" s="33"/>
      <c r="F3114" s="33"/>
      <c r="G3114" s="33"/>
      <c r="H3114" s="33"/>
      <c r="I3114" s="31"/>
      <c r="J3114" s="31"/>
      <c r="K3114" s="33"/>
      <c r="L3114" s="33"/>
      <c r="M3114" s="31"/>
      <c r="N3114" s="31"/>
      <c r="O3114" s="16"/>
      <c r="P3114" s="16"/>
      <c r="Q3114" s="16"/>
      <c r="R3114" s="33"/>
      <c r="S3114" s="34"/>
      <c r="T3114" s="34"/>
      <c r="U3114" s="34"/>
      <c r="V3114" s="34"/>
      <c r="W3114" s="34"/>
      <c r="X3114" s="33"/>
      <c r="Y3114" s="35" t="str">
        <f>IF(Tabela2[[#This Row],[SIGLA]]="","",VLOOKUP(Tabela2[[#This Row],[SIGLA]],Tabela1[[#All],[Sigla Arte]:[Crédito]],2,0))</f>
        <v/>
      </c>
      <c r="Z3114" s="31"/>
      <c r="AA3114" s="31" t="str">
        <f>Tabela2[[#This Row],[ILUSTRADOR CRIAÇÃO]]</f>
        <v/>
      </c>
      <c r="AB3114" s="33"/>
      <c r="AC3114" s="16"/>
      <c r="AE3114" s="35" t="str">
        <f t="shared" si="49"/>
        <v>EF1 E002 Mat</v>
      </c>
    </row>
    <row r="3115" spans="1:31" x14ac:dyDescent="0.25">
      <c r="A3115" s="31"/>
      <c r="B3115" s="16"/>
      <c r="C3115" s="16"/>
      <c r="D3115" s="33"/>
      <c r="E3115" s="33"/>
      <c r="F3115" s="33"/>
      <c r="G3115" s="33"/>
      <c r="H3115" s="33"/>
      <c r="I3115" s="31"/>
      <c r="J3115" s="31"/>
      <c r="K3115" s="33"/>
      <c r="L3115" s="33"/>
      <c r="M3115" s="31"/>
      <c r="N3115" s="31"/>
      <c r="O3115" s="16"/>
      <c r="P3115" s="16"/>
      <c r="Q3115" s="16"/>
      <c r="R3115" s="33"/>
      <c r="S3115" s="34"/>
      <c r="T3115" s="34"/>
      <c r="U3115" s="34"/>
      <c r="V3115" s="34"/>
      <c r="W3115" s="34"/>
      <c r="X3115" s="33"/>
      <c r="Y3115" s="35" t="str">
        <f>IF(Tabela2[[#This Row],[SIGLA]]="","",VLOOKUP(Tabela2[[#This Row],[SIGLA]],Tabela1[[#All],[Sigla Arte]:[Crédito]],2,0))</f>
        <v/>
      </c>
      <c r="Z3115" s="31"/>
      <c r="AA3115" s="31" t="str">
        <f>Tabela2[[#This Row],[ILUSTRADOR CRIAÇÃO]]</f>
        <v/>
      </c>
      <c r="AB3115" s="33"/>
      <c r="AC3115" s="16"/>
      <c r="AE3115" s="35" t="str">
        <f t="shared" si="49"/>
        <v>EF1 E002 Mat</v>
      </c>
    </row>
    <row r="3116" spans="1:31" x14ac:dyDescent="0.25">
      <c r="A3116" s="31"/>
      <c r="B3116" s="16"/>
      <c r="C3116" s="16"/>
      <c r="D3116" s="33"/>
      <c r="E3116" s="33"/>
      <c r="F3116" s="33"/>
      <c r="G3116" s="33"/>
      <c r="H3116" s="33"/>
      <c r="I3116" s="31"/>
      <c r="J3116" s="31"/>
      <c r="K3116" s="33"/>
      <c r="L3116" s="33"/>
      <c r="M3116" s="31"/>
      <c r="N3116" s="31"/>
      <c r="O3116" s="16"/>
      <c r="P3116" s="16"/>
      <c r="Q3116" s="16"/>
      <c r="R3116" s="33"/>
      <c r="S3116" s="34"/>
      <c r="T3116" s="34"/>
      <c r="U3116" s="34"/>
      <c r="V3116" s="34"/>
      <c r="W3116" s="34"/>
      <c r="X3116" s="33"/>
      <c r="Y3116" s="35" t="str">
        <f>IF(Tabela2[[#This Row],[SIGLA]]="","",VLOOKUP(Tabela2[[#This Row],[SIGLA]],Tabela1[[#All],[Sigla Arte]:[Crédito]],2,0))</f>
        <v/>
      </c>
      <c r="Z3116" s="31"/>
      <c r="AA3116" s="31" t="str">
        <f>Tabela2[[#This Row],[ILUSTRADOR CRIAÇÃO]]</f>
        <v/>
      </c>
      <c r="AB3116" s="33"/>
      <c r="AC3116" s="16"/>
      <c r="AE3116" s="35" t="str">
        <f t="shared" si="49"/>
        <v>EF1 E002 Mat</v>
      </c>
    </row>
    <row r="3117" spans="1:31" x14ac:dyDescent="0.25">
      <c r="A3117" s="31"/>
      <c r="B3117" s="16"/>
      <c r="C3117" s="16"/>
      <c r="D3117" s="33"/>
      <c r="E3117" s="33"/>
      <c r="F3117" s="33"/>
      <c r="G3117" s="33"/>
      <c r="H3117" s="33"/>
      <c r="I3117" s="31"/>
      <c r="J3117" s="31"/>
      <c r="K3117" s="33"/>
      <c r="L3117" s="33"/>
      <c r="M3117" s="31"/>
      <c r="N3117" s="31"/>
      <c r="O3117" s="16"/>
      <c r="P3117" s="16"/>
      <c r="Q3117" s="16"/>
      <c r="R3117" s="33"/>
      <c r="S3117" s="34"/>
      <c r="T3117" s="34"/>
      <c r="U3117" s="34"/>
      <c r="V3117" s="34"/>
      <c r="W3117" s="34"/>
      <c r="X3117" s="33"/>
      <c r="Y3117" s="35" t="str">
        <f>IF(Tabela2[[#This Row],[SIGLA]]="","",VLOOKUP(Tabela2[[#This Row],[SIGLA]],Tabela1[[#All],[Sigla Arte]:[Crédito]],2,0))</f>
        <v/>
      </c>
      <c r="Z3117" s="31"/>
      <c r="AA3117" s="31" t="str">
        <f>Tabela2[[#This Row],[ILUSTRADOR CRIAÇÃO]]</f>
        <v/>
      </c>
      <c r="AB3117" s="33"/>
      <c r="AC3117" s="16"/>
      <c r="AE3117" s="35" t="str">
        <f t="shared" si="49"/>
        <v>EF1 E002 Mat</v>
      </c>
    </row>
    <row r="3118" spans="1:31" x14ac:dyDescent="0.25">
      <c r="A3118" s="31"/>
      <c r="B3118" s="16"/>
      <c r="C3118" s="16"/>
      <c r="D3118" s="33"/>
      <c r="E3118" s="33"/>
      <c r="F3118" s="33"/>
      <c r="G3118" s="33"/>
      <c r="H3118" s="33"/>
      <c r="I3118" s="31"/>
      <c r="J3118" s="31"/>
      <c r="K3118" s="33"/>
      <c r="L3118" s="33"/>
      <c r="M3118" s="31"/>
      <c r="N3118" s="31"/>
      <c r="O3118" s="16"/>
      <c r="P3118" s="16"/>
      <c r="Q3118" s="16"/>
      <c r="R3118" s="33"/>
      <c r="S3118" s="34"/>
      <c r="T3118" s="34"/>
      <c r="U3118" s="34"/>
      <c r="V3118" s="34"/>
      <c r="W3118" s="34"/>
      <c r="X3118" s="33"/>
      <c r="Y3118" s="35" t="str">
        <f>IF(Tabela2[[#This Row],[SIGLA]]="","",VLOOKUP(Tabela2[[#This Row],[SIGLA]],Tabela1[[#All],[Sigla Arte]:[Crédito]],2,0))</f>
        <v/>
      </c>
      <c r="Z3118" s="31"/>
      <c r="AA3118" s="31" t="str">
        <f>Tabela2[[#This Row],[ILUSTRADOR CRIAÇÃO]]</f>
        <v/>
      </c>
      <c r="AB3118" s="33"/>
      <c r="AC3118" s="16"/>
      <c r="AE3118" s="35" t="str">
        <f t="shared" si="49"/>
        <v>EF1 E002 Mat</v>
      </c>
    </row>
    <row r="3119" spans="1:31" x14ac:dyDescent="0.25">
      <c r="A3119" s="31"/>
      <c r="B3119" s="16"/>
      <c r="C3119" s="16"/>
      <c r="D3119" s="33"/>
      <c r="E3119" s="33"/>
      <c r="F3119" s="33"/>
      <c r="G3119" s="33"/>
      <c r="H3119" s="33"/>
      <c r="I3119" s="31"/>
      <c r="J3119" s="31"/>
      <c r="K3119" s="33"/>
      <c r="L3119" s="33"/>
      <c r="M3119" s="31"/>
      <c r="N3119" s="31"/>
      <c r="O3119" s="16"/>
      <c r="P3119" s="16"/>
      <c r="Q3119" s="16"/>
      <c r="R3119" s="33"/>
      <c r="S3119" s="34"/>
      <c r="T3119" s="34"/>
      <c r="U3119" s="34"/>
      <c r="V3119" s="34"/>
      <c r="W3119" s="34"/>
      <c r="X3119" s="33"/>
      <c r="Y3119" s="35" t="str">
        <f>IF(Tabela2[[#This Row],[SIGLA]]="","",VLOOKUP(Tabela2[[#This Row],[SIGLA]],Tabela1[[#All],[Sigla Arte]:[Crédito]],2,0))</f>
        <v/>
      </c>
      <c r="Z3119" s="31"/>
      <c r="AA3119" s="31" t="str">
        <f>Tabela2[[#This Row],[ILUSTRADOR CRIAÇÃO]]</f>
        <v/>
      </c>
      <c r="AB3119" s="33"/>
      <c r="AC3119" s="16"/>
      <c r="AE3119" s="35" t="str">
        <f t="shared" si="49"/>
        <v>EF1 E002 Mat</v>
      </c>
    </row>
    <row r="3120" spans="1:31" x14ac:dyDescent="0.25">
      <c r="A3120" s="31"/>
      <c r="B3120" s="16"/>
      <c r="C3120" s="16"/>
      <c r="D3120" s="33"/>
      <c r="E3120" s="33"/>
      <c r="F3120" s="33"/>
      <c r="G3120" s="33"/>
      <c r="H3120" s="33"/>
      <c r="I3120" s="31"/>
      <c r="J3120" s="31"/>
      <c r="K3120" s="33"/>
      <c r="L3120" s="33"/>
      <c r="M3120" s="31"/>
      <c r="N3120" s="31"/>
      <c r="O3120" s="16"/>
      <c r="P3120" s="16"/>
      <c r="Q3120" s="16"/>
      <c r="R3120" s="33"/>
      <c r="S3120" s="34"/>
      <c r="T3120" s="34"/>
      <c r="U3120" s="34"/>
      <c r="V3120" s="34"/>
      <c r="W3120" s="34"/>
      <c r="X3120" s="33"/>
      <c r="Y3120" s="35" t="str">
        <f>IF(Tabela2[[#This Row],[SIGLA]]="","",VLOOKUP(Tabela2[[#This Row],[SIGLA]],Tabela1[[#All],[Sigla Arte]:[Crédito]],2,0))</f>
        <v/>
      </c>
      <c r="Z3120" s="31"/>
      <c r="AA3120" s="31" t="str">
        <f>Tabela2[[#This Row],[ILUSTRADOR CRIAÇÃO]]</f>
        <v/>
      </c>
      <c r="AB3120" s="33"/>
      <c r="AC3120" s="16"/>
      <c r="AE3120" s="35" t="str">
        <f t="shared" si="49"/>
        <v>EF1 E002 Mat</v>
      </c>
    </row>
    <row r="3121" spans="1:31" x14ac:dyDescent="0.25">
      <c r="A3121" s="31"/>
      <c r="B3121" s="16"/>
      <c r="C3121" s="16"/>
      <c r="D3121" s="33"/>
      <c r="E3121" s="33"/>
      <c r="F3121" s="33"/>
      <c r="G3121" s="33"/>
      <c r="H3121" s="33"/>
      <c r="I3121" s="31"/>
      <c r="J3121" s="31"/>
      <c r="K3121" s="33"/>
      <c r="L3121" s="33"/>
      <c r="M3121" s="31"/>
      <c r="N3121" s="31"/>
      <c r="O3121" s="16"/>
      <c r="P3121" s="16"/>
      <c r="Q3121" s="16"/>
      <c r="R3121" s="33"/>
      <c r="S3121" s="34"/>
      <c r="T3121" s="34"/>
      <c r="U3121" s="34"/>
      <c r="V3121" s="34"/>
      <c r="W3121" s="34"/>
      <c r="X3121" s="33"/>
      <c r="Y3121" s="35" t="str">
        <f>IF(Tabela2[[#This Row],[SIGLA]]="","",VLOOKUP(Tabela2[[#This Row],[SIGLA]],Tabela1[[#All],[Sigla Arte]:[Crédito]],2,0))</f>
        <v/>
      </c>
      <c r="Z3121" s="31"/>
      <c r="AA3121" s="31" t="str">
        <f>Tabela2[[#This Row],[ILUSTRADOR CRIAÇÃO]]</f>
        <v/>
      </c>
      <c r="AB3121" s="33"/>
      <c r="AC3121" s="16"/>
      <c r="AE3121" s="35" t="str">
        <f t="shared" si="49"/>
        <v>EF1 E002 Mat</v>
      </c>
    </row>
    <row r="3122" spans="1:31" x14ac:dyDescent="0.25">
      <c r="A3122" s="31"/>
      <c r="B3122" s="16"/>
      <c r="C3122" s="16"/>
      <c r="D3122" s="33"/>
      <c r="E3122" s="33"/>
      <c r="F3122" s="33"/>
      <c r="G3122" s="33"/>
      <c r="H3122" s="33"/>
      <c r="I3122" s="31"/>
      <c r="J3122" s="31"/>
      <c r="K3122" s="33"/>
      <c r="L3122" s="33"/>
      <c r="M3122" s="31"/>
      <c r="N3122" s="31"/>
      <c r="O3122" s="16"/>
      <c r="P3122" s="16"/>
      <c r="Q3122" s="16"/>
      <c r="R3122" s="33"/>
      <c r="S3122" s="34"/>
      <c r="T3122" s="34"/>
      <c r="U3122" s="34"/>
      <c r="V3122" s="34"/>
      <c r="W3122" s="34"/>
      <c r="X3122" s="33"/>
      <c r="Y3122" s="35" t="str">
        <f>IF(Tabela2[[#This Row],[SIGLA]]="","",VLOOKUP(Tabela2[[#This Row],[SIGLA]],Tabela1[[#All],[Sigla Arte]:[Crédito]],2,0))</f>
        <v/>
      </c>
      <c r="Z3122" s="31"/>
      <c r="AA3122" s="31" t="str">
        <f>Tabela2[[#This Row],[ILUSTRADOR CRIAÇÃO]]</f>
        <v/>
      </c>
      <c r="AB3122" s="33"/>
      <c r="AC3122" s="16"/>
      <c r="AE3122" s="35" t="str">
        <f t="shared" ref="AE3122:AE3185" si="50">"EF1 E002 Mat"</f>
        <v>EF1 E002 Mat</v>
      </c>
    </row>
    <row r="3123" spans="1:31" x14ac:dyDescent="0.25">
      <c r="A3123" s="31"/>
      <c r="B3123" s="16"/>
      <c r="C3123" s="16"/>
      <c r="D3123" s="33"/>
      <c r="E3123" s="33"/>
      <c r="F3123" s="33"/>
      <c r="G3123" s="33"/>
      <c r="H3123" s="33"/>
      <c r="I3123" s="31"/>
      <c r="J3123" s="31"/>
      <c r="K3123" s="33"/>
      <c r="L3123" s="33"/>
      <c r="M3123" s="31"/>
      <c r="N3123" s="31"/>
      <c r="O3123" s="16"/>
      <c r="P3123" s="16"/>
      <c r="Q3123" s="16"/>
      <c r="R3123" s="33"/>
      <c r="S3123" s="34"/>
      <c r="T3123" s="34"/>
      <c r="U3123" s="34"/>
      <c r="V3123" s="34"/>
      <c r="W3123" s="34"/>
      <c r="X3123" s="33"/>
      <c r="Y3123" s="35" t="str">
        <f>IF(Tabela2[[#This Row],[SIGLA]]="","",VLOOKUP(Tabela2[[#This Row],[SIGLA]],Tabela1[[#All],[Sigla Arte]:[Crédito]],2,0))</f>
        <v/>
      </c>
      <c r="Z3123" s="31"/>
      <c r="AA3123" s="31" t="str">
        <f>Tabela2[[#This Row],[ILUSTRADOR CRIAÇÃO]]</f>
        <v/>
      </c>
      <c r="AB3123" s="33"/>
      <c r="AC3123" s="16"/>
      <c r="AE3123" s="35" t="str">
        <f t="shared" si="50"/>
        <v>EF1 E002 Mat</v>
      </c>
    </row>
    <row r="3124" spans="1:31" x14ac:dyDescent="0.25">
      <c r="A3124" s="31"/>
      <c r="B3124" s="16"/>
      <c r="C3124" s="16"/>
      <c r="D3124" s="33"/>
      <c r="E3124" s="33"/>
      <c r="F3124" s="33"/>
      <c r="G3124" s="33"/>
      <c r="H3124" s="33"/>
      <c r="I3124" s="31"/>
      <c r="J3124" s="31"/>
      <c r="K3124" s="33"/>
      <c r="L3124" s="33"/>
      <c r="M3124" s="31"/>
      <c r="N3124" s="31"/>
      <c r="O3124" s="16"/>
      <c r="P3124" s="16"/>
      <c r="Q3124" s="16"/>
      <c r="R3124" s="33"/>
      <c r="S3124" s="34"/>
      <c r="T3124" s="34"/>
      <c r="U3124" s="34"/>
      <c r="V3124" s="34"/>
      <c r="W3124" s="34"/>
      <c r="X3124" s="33"/>
      <c r="Y3124" s="35" t="str">
        <f>IF(Tabela2[[#This Row],[SIGLA]]="","",VLOOKUP(Tabela2[[#This Row],[SIGLA]],Tabela1[[#All],[Sigla Arte]:[Crédito]],2,0))</f>
        <v/>
      </c>
      <c r="Z3124" s="31"/>
      <c r="AA3124" s="31" t="str">
        <f>Tabela2[[#This Row],[ILUSTRADOR CRIAÇÃO]]</f>
        <v/>
      </c>
      <c r="AB3124" s="33"/>
      <c r="AC3124" s="16"/>
      <c r="AE3124" s="35" t="str">
        <f t="shared" si="50"/>
        <v>EF1 E002 Mat</v>
      </c>
    </row>
    <row r="3125" spans="1:31" x14ac:dyDescent="0.25">
      <c r="A3125" s="31"/>
      <c r="B3125" s="16"/>
      <c r="C3125" s="16"/>
      <c r="D3125" s="33"/>
      <c r="E3125" s="33"/>
      <c r="F3125" s="33"/>
      <c r="G3125" s="33"/>
      <c r="H3125" s="33"/>
      <c r="I3125" s="31"/>
      <c r="J3125" s="31"/>
      <c r="K3125" s="33"/>
      <c r="L3125" s="33"/>
      <c r="M3125" s="31"/>
      <c r="N3125" s="31"/>
      <c r="O3125" s="16"/>
      <c r="P3125" s="16"/>
      <c r="Q3125" s="16"/>
      <c r="R3125" s="33"/>
      <c r="S3125" s="34"/>
      <c r="T3125" s="34"/>
      <c r="U3125" s="34"/>
      <c r="V3125" s="34"/>
      <c r="W3125" s="34"/>
      <c r="X3125" s="33"/>
      <c r="Y3125" s="35" t="str">
        <f>IF(Tabela2[[#This Row],[SIGLA]]="","",VLOOKUP(Tabela2[[#This Row],[SIGLA]],Tabela1[[#All],[Sigla Arte]:[Crédito]],2,0))</f>
        <v/>
      </c>
      <c r="Z3125" s="31"/>
      <c r="AA3125" s="31" t="str">
        <f>Tabela2[[#This Row],[ILUSTRADOR CRIAÇÃO]]</f>
        <v/>
      </c>
      <c r="AB3125" s="33"/>
      <c r="AC3125" s="16"/>
      <c r="AE3125" s="35" t="str">
        <f t="shared" si="50"/>
        <v>EF1 E002 Mat</v>
      </c>
    </row>
    <row r="3126" spans="1:31" x14ac:dyDescent="0.25">
      <c r="A3126" s="31"/>
      <c r="B3126" s="16"/>
      <c r="C3126" s="16"/>
      <c r="D3126" s="33"/>
      <c r="E3126" s="33"/>
      <c r="F3126" s="33"/>
      <c r="G3126" s="33"/>
      <c r="H3126" s="33"/>
      <c r="I3126" s="31"/>
      <c r="J3126" s="31"/>
      <c r="K3126" s="33"/>
      <c r="L3126" s="33"/>
      <c r="M3126" s="31"/>
      <c r="N3126" s="31"/>
      <c r="O3126" s="16"/>
      <c r="P3126" s="16"/>
      <c r="Q3126" s="16"/>
      <c r="R3126" s="33"/>
      <c r="S3126" s="34"/>
      <c r="T3126" s="34"/>
      <c r="U3126" s="34"/>
      <c r="V3126" s="34"/>
      <c r="W3126" s="34"/>
      <c r="X3126" s="33"/>
      <c r="Y3126" s="35" t="str">
        <f>IF(Tabela2[[#This Row],[SIGLA]]="","",VLOOKUP(Tabela2[[#This Row],[SIGLA]],Tabela1[[#All],[Sigla Arte]:[Crédito]],2,0))</f>
        <v/>
      </c>
      <c r="Z3126" s="31"/>
      <c r="AA3126" s="31" t="str">
        <f>Tabela2[[#This Row],[ILUSTRADOR CRIAÇÃO]]</f>
        <v/>
      </c>
      <c r="AB3126" s="33"/>
      <c r="AC3126" s="16"/>
      <c r="AE3126" s="35" t="str">
        <f t="shared" si="50"/>
        <v>EF1 E002 Mat</v>
      </c>
    </row>
    <row r="3127" spans="1:31" x14ac:dyDescent="0.25">
      <c r="A3127" s="31"/>
      <c r="B3127" s="16"/>
      <c r="C3127" s="16"/>
      <c r="D3127" s="33"/>
      <c r="E3127" s="33"/>
      <c r="F3127" s="33"/>
      <c r="G3127" s="33"/>
      <c r="H3127" s="33"/>
      <c r="I3127" s="31"/>
      <c r="J3127" s="31"/>
      <c r="K3127" s="33"/>
      <c r="L3127" s="33"/>
      <c r="M3127" s="31"/>
      <c r="N3127" s="31"/>
      <c r="O3127" s="16"/>
      <c r="P3127" s="16"/>
      <c r="Q3127" s="16"/>
      <c r="R3127" s="33"/>
      <c r="S3127" s="34"/>
      <c r="T3127" s="34"/>
      <c r="U3127" s="34"/>
      <c r="V3127" s="34"/>
      <c r="W3127" s="34"/>
      <c r="X3127" s="33"/>
      <c r="Y3127" s="35" t="str">
        <f>IF(Tabela2[[#This Row],[SIGLA]]="","",VLOOKUP(Tabela2[[#This Row],[SIGLA]],Tabela1[[#All],[Sigla Arte]:[Crédito]],2,0))</f>
        <v/>
      </c>
      <c r="Z3127" s="31"/>
      <c r="AA3127" s="31" t="str">
        <f>Tabela2[[#This Row],[ILUSTRADOR CRIAÇÃO]]</f>
        <v/>
      </c>
      <c r="AB3127" s="33"/>
      <c r="AC3127" s="16"/>
      <c r="AE3127" s="35" t="str">
        <f t="shared" si="50"/>
        <v>EF1 E002 Mat</v>
      </c>
    </row>
    <row r="3128" spans="1:31" x14ac:dyDescent="0.25">
      <c r="A3128" s="31"/>
      <c r="B3128" s="16"/>
      <c r="C3128" s="16"/>
      <c r="D3128" s="33"/>
      <c r="E3128" s="33"/>
      <c r="F3128" s="33"/>
      <c r="G3128" s="33"/>
      <c r="H3128" s="33"/>
      <c r="I3128" s="31"/>
      <c r="J3128" s="31"/>
      <c r="K3128" s="33"/>
      <c r="L3128" s="33"/>
      <c r="M3128" s="31"/>
      <c r="N3128" s="31"/>
      <c r="O3128" s="16"/>
      <c r="P3128" s="16"/>
      <c r="Q3128" s="16"/>
      <c r="R3128" s="33"/>
      <c r="S3128" s="34"/>
      <c r="T3128" s="34"/>
      <c r="U3128" s="34"/>
      <c r="V3128" s="34"/>
      <c r="W3128" s="34"/>
      <c r="X3128" s="33"/>
      <c r="Y3128" s="35" t="str">
        <f>IF(Tabela2[[#This Row],[SIGLA]]="","",VLOOKUP(Tabela2[[#This Row],[SIGLA]],Tabela1[[#All],[Sigla Arte]:[Crédito]],2,0))</f>
        <v/>
      </c>
      <c r="Z3128" s="31"/>
      <c r="AA3128" s="31" t="str">
        <f>Tabela2[[#This Row],[ILUSTRADOR CRIAÇÃO]]</f>
        <v/>
      </c>
      <c r="AB3128" s="33"/>
      <c r="AC3128" s="16"/>
      <c r="AE3128" s="35" t="str">
        <f t="shared" si="50"/>
        <v>EF1 E002 Mat</v>
      </c>
    </row>
    <row r="3129" spans="1:31" x14ac:dyDescent="0.25">
      <c r="A3129" s="31"/>
      <c r="B3129" s="16"/>
      <c r="C3129" s="16"/>
      <c r="D3129" s="33"/>
      <c r="E3129" s="33"/>
      <c r="F3129" s="33"/>
      <c r="G3129" s="33"/>
      <c r="H3129" s="33"/>
      <c r="I3129" s="31"/>
      <c r="J3129" s="31"/>
      <c r="K3129" s="33"/>
      <c r="L3129" s="33"/>
      <c r="M3129" s="31"/>
      <c r="N3129" s="31"/>
      <c r="O3129" s="16"/>
      <c r="P3129" s="16"/>
      <c r="Q3129" s="16"/>
      <c r="R3129" s="33"/>
      <c r="S3129" s="34"/>
      <c r="T3129" s="34"/>
      <c r="U3129" s="34"/>
      <c r="V3129" s="34"/>
      <c r="W3129" s="34"/>
      <c r="X3129" s="33"/>
      <c r="Y3129" s="35" t="str">
        <f>IF(Tabela2[[#This Row],[SIGLA]]="","",VLOOKUP(Tabela2[[#This Row],[SIGLA]],Tabela1[[#All],[Sigla Arte]:[Crédito]],2,0))</f>
        <v/>
      </c>
      <c r="Z3129" s="31"/>
      <c r="AA3129" s="31" t="str">
        <f>Tabela2[[#This Row],[ILUSTRADOR CRIAÇÃO]]</f>
        <v/>
      </c>
      <c r="AB3129" s="33"/>
      <c r="AC3129" s="16"/>
      <c r="AE3129" s="35" t="str">
        <f t="shared" si="50"/>
        <v>EF1 E002 Mat</v>
      </c>
    </row>
    <row r="3130" spans="1:31" x14ac:dyDescent="0.25">
      <c r="A3130" s="31"/>
      <c r="B3130" s="16"/>
      <c r="C3130" s="16"/>
      <c r="D3130" s="33"/>
      <c r="E3130" s="33"/>
      <c r="F3130" s="33"/>
      <c r="G3130" s="33"/>
      <c r="H3130" s="33"/>
      <c r="I3130" s="31"/>
      <c r="J3130" s="31"/>
      <c r="K3130" s="33"/>
      <c r="L3130" s="33"/>
      <c r="M3130" s="31"/>
      <c r="N3130" s="31"/>
      <c r="O3130" s="16"/>
      <c r="P3130" s="16"/>
      <c r="Q3130" s="16"/>
      <c r="R3130" s="33"/>
      <c r="S3130" s="34"/>
      <c r="T3130" s="34"/>
      <c r="U3130" s="34"/>
      <c r="V3130" s="34"/>
      <c r="W3130" s="34"/>
      <c r="X3130" s="33"/>
      <c r="Y3130" s="35" t="str">
        <f>IF(Tabela2[[#This Row],[SIGLA]]="","",VLOOKUP(Tabela2[[#This Row],[SIGLA]],Tabela1[[#All],[Sigla Arte]:[Crédito]],2,0))</f>
        <v/>
      </c>
      <c r="Z3130" s="31"/>
      <c r="AA3130" s="31" t="str">
        <f>Tabela2[[#This Row],[ILUSTRADOR CRIAÇÃO]]</f>
        <v/>
      </c>
      <c r="AB3130" s="33"/>
      <c r="AC3130" s="16"/>
      <c r="AE3130" s="35" t="str">
        <f t="shared" si="50"/>
        <v>EF1 E002 Mat</v>
      </c>
    </row>
    <row r="3131" spans="1:31" x14ac:dyDescent="0.25">
      <c r="A3131" s="31"/>
      <c r="B3131" s="16"/>
      <c r="C3131" s="16"/>
      <c r="D3131" s="33"/>
      <c r="E3131" s="33"/>
      <c r="F3131" s="33"/>
      <c r="G3131" s="33"/>
      <c r="H3131" s="33"/>
      <c r="I3131" s="31"/>
      <c r="J3131" s="31"/>
      <c r="K3131" s="33"/>
      <c r="L3131" s="33"/>
      <c r="M3131" s="31"/>
      <c r="N3131" s="31"/>
      <c r="O3131" s="16"/>
      <c r="P3131" s="16"/>
      <c r="Q3131" s="16"/>
      <c r="R3131" s="33"/>
      <c r="S3131" s="34"/>
      <c r="T3131" s="34"/>
      <c r="U3131" s="34"/>
      <c r="V3131" s="34"/>
      <c r="W3131" s="34"/>
      <c r="X3131" s="33"/>
      <c r="Y3131" s="35" t="str">
        <f>IF(Tabela2[[#This Row],[SIGLA]]="","",VLOOKUP(Tabela2[[#This Row],[SIGLA]],Tabela1[[#All],[Sigla Arte]:[Crédito]],2,0))</f>
        <v/>
      </c>
      <c r="Z3131" s="31"/>
      <c r="AA3131" s="31" t="str">
        <f>Tabela2[[#This Row],[ILUSTRADOR CRIAÇÃO]]</f>
        <v/>
      </c>
      <c r="AB3131" s="33"/>
      <c r="AC3131" s="16"/>
      <c r="AE3131" s="35" t="str">
        <f t="shared" si="50"/>
        <v>EF1 E002 Mat</v>
      </c>
    </row>
    <row r="3132" spans="1:31" x14ac:dyDescent="0.25">
      <c r="A3132" s="31"/>
      <c r="B3132" s="16"/>
      <c r="C3132" s="16"/>
      <c r="D3132" s="33"/>
      <c r="E3132" s="33"/>
      <c r="F3132" s="33"/>
      <c r="G3132" s="33"/>
      <c r="H3132" s="33"/>
      <c r="I3132" s="31"/>
      <c r="J3132" s="31"/>
      <c r="K3132" s="33"/>
      <c r="L3132" s="33"/>
      <c r="M3132" s="31"/>
      <c r="N3132" s="31"/>
      <c r="O3132" s="16"/>
      <c r="P3132" s="16"/>
      <c r="Q3132" s="16"/>
      <c r="R3132" s="33"/>
      <c r="S3132" s="34"/>
      <c r="T3132" s="34"/>
      <c r="U3132" s="34"/>
      <c r="V3132" s="34"/>
      <c r="W3132" s="34"/>
      <c r="X3132" s="33"/>
      <c r="Y3132" s="35" t="str">
        <f>IF(Tabela2[[#This Row],[SIGLA]]="","",VLOOKUP(Tabela2[[#This Row],[SIGLA]],Tabela1[[#All],[Sigla Arte]:[Crédito]],2,0))</f>
        <v/>
      </c>
      <c r="Z3132" s="31"/>
      <c r="AA3132" s="31" t="str">
        <f>Tabela2[[#This Row],[ILUSTRADOR CRIAÇÃO]]</f>
        <v/>
      </c>
      <c r="AB3132" s="33"/>
      <c r="AC3132" s="16"/>
      <c r="AE3132" s="35" t="str">
        <f t="shared" si="50"/>
        <v>EF1 E002 Mat</v>
      </c>
    </row>
    <row r="3133" spans="1:31" x14ac:dyDescent="0.25">
      <c r="A3133" s="31"/>
      <c r="B3133" s="16"/>
      <c r="C3133" s="16"/>
      <c r="D3133" s="33"/>
      <c r="E3133" s="33"/>
      <c r="F3133" s="33"/>
      <c r="G3133" s="33"/>
      <c r="H3133" s="33"/>
      <c r="I3133" s="31"/>
      <c r="J3133" s="31"/>
      <c r="K3133" s="33"/>
      <c r="L3133" s="33"/>
      <c r="M3133" s="31"/>
      <c r="N3133" s="31"/>
      <c r="O3133" s="16"/>
      <c r="P3133" s="16"/>
      <c r="Q3133" s="16"/>
      <c r="R3133" s="33"/>
      <c r="S3133" s="34"/>
      <c r="T3133" s="34"/>
      <c r="U3133" s="34"/>
      <c r="V3133" s="34"/>
      <c r="W3133" s="34"/>
      <c r="X3133" s="33"/>
      <c r="Y3133" s="35" t="str">
        <f>IF(Tabela2[[#This Row],[SIGLA]]="","",VLOOKUP(Tabela2[[#This Row],[SIGLA]],Tabela1[[#All],[Sigla Arte]:[Crédito]],2,0))</f>
        <v/>
      </c>
      <c r="Z3133" s="31"/>
      <c r="AA3133" s="31" t="str">
        <f>Tabela2[[#This Row],[ILUSTRADOR CRIAÇÃO]]</f>
        <v/>
      </c>
      <c r="AB3133" s="33"/>
      <c r="AC3133" s="16"/>
      <c r="AE3133" s="35" t="str">
        <f t="shared" si="50"/>
        <v>EF1 E002 Mat</v>
      </c>
    </row>
    <row r="3134" spans="1:31" x14ac:dyDescent="0.25">
      <c r="A3134" s="31"/>
      <c r="B3134" s="16"/>
      <c r="C3134" s="16"/>
      <c r="D3134" s="33"/>
      <c r="E3134" s="33"/>
      <c r="F3134" s="33"/>
      <c r="G3134" s="33"/>
      <c r="H3134" s="33"/>
      <c r="I3134" s="31"/>
      <c r="J3134" s="31"/>
      <c r="K3134" s="33"/>
      <c r="L3134" s="33"/>
      <c r="M3134" s="31"/>
      <c r="N3134" s="31"/>
      <c r="O3134" s="16"/>
      <c r="P3134" s="16"/>
      <c r="Q3134" s="16"/>
      <c r="R3134" s="33"/>
      <c r="S3134" s="34"/>
      <c r="T3134" s="34"/>
      <c r="U3134" s="34"/>
      <c r="V3134" s="34"/>
      <c r="W3134" s="34"/>
      <c r="X3134" s="33"/>
      <c r="Y3134" s="35" t="str">
        <f>IF(Tabela2[[#This Row],[SIGLA]]="","",VLOOKUP(Tabela2[[#This Row],[SIGLA]],Tabela1[[#All],[Sigla Arte]:[Crédito]],2,0))</f>
        <v/>
      </c>
      <c r="Z3134" s="31"/>
      <c r="AA3134" s="31" t="str">
        <f>Tabela2[[#This Row],[ILUSTRADOR CRIAÇÃO]]</f>
        <v/>
      </c>
      <c r="AB3134" s="33"/>
      <c r="AC3134" s="16"/>
      <c r="AE3134" s="35" t="str">
        <f t="shared" si="50"/>
        <v>EF1 E002 Mat</v>
      </c>
    </row>
    <row r="3135" spans="1:31" x14ac:dyDescent="0.25">
      <c r="A3135" s="31"/>
      <c r="B3135" s="16"/>
      <c r="C3135" s="16"/>
      <c r="D3135" s="33"/>
      <c r="E3135" s="33"/>
      <c r="F3135" s="33"/>
      <c r="G3135" s="33"/>
      <c r="H3135" s="33"/>
      <c r="I3135" s="31"/>
      <c r="J3135" s="31"/>
      <c r="K3135" s="33"/>
      <c r="L3135" s="33"/>
      <c r="M3135" s="31"/>
      <c r="N3135" s="31"/>
      <c r="O3135" s="16"/>
      <c r="P3135" s="16"/>
      <c r="Q3135" s="16"/>
      <c r="R3135" s="33"/>
      <c r="S3135" s="34"/>
      <c r="T3135" s="34"/>
      <c r="U3135" s="34"/>
      <c r="V3135" s="34"/>
      <c r="W3135" s="34"/>
      <c r="X3135" s="33"/>
      <c r="Y3135" s="35" t="str">
        <f>IF(Tabela2[[#This Row],[SIGLA]]="","",VLOOKUP(Tabela2[[#This Row],[SIGLA]],Tabela1[[#All],[Sigla Arte]:[Crédito]],2,0))</f>
        <v/>
      </c>
      <c r="Z3135" s="31"/>
      <c r="AA3135" s="31" t="str">
        <f>Tabela2[[#This Row],[ILUSTRADOR CRIAÇÃO]]</f>
        <v/>
      </c>
      <c r="AB3135" s="33"/>
      <c r="AC3135" s="16"/>
      <c r="AE3135" s="35" t="str">
        <f t="shared" si="50"/>
        <v>EF1 E002 Mat</v>
      </c>
    </row>
    <row r="3136" spans="1:31" x14ac:dyDescent="0.25">
      <c r="A3136" s="31"/>
      <c r="B3136" s="16"/>
      <c r="C3136" s="16"/>
      <c r="D3136" s="33"/>
      <c r="E3136" s="33"/>
      <c r="F3136" s="33"/>
      <c r="G3136" s="33"/>
      <c r="H3136" s="33"/>
      <c r="I3136" s="31"/>
      <c r="J3136" s="31"/>
      <c r="K3136" s="33"/>
      <c r="L3136" s="33"/>
      <c r="M3136" s="31"/>
      <c r="N3136" s="31"/>
      <c r="O3136" s="16"/>
      <c r="P3136" s="16"/>
      <c r="Q3136" s="16"/>
      <c r="R3136" s="33"/>
      <c r="S3136" s="34"/>
      <c r="T3136" s="34"/>
      <c r="U3136" s="34"/>
      <c r="V3136" s="34"/>
      <c r="W3136" s="34"/>
      <c r="X3136" s="33"/>
      <c r="Y3136" s="35" t="str">
        <f>IF(Tabela2[[#This Row],[SIGLA]]="","",VLOOKUP(Tabela2[[#This Row],[SIGLA]],Tabela1[[#All],[Sigla Arte]:[Crédito]],2,0))</f>
        <v/>
      </c>
      <c r="Z3136" s="31"/>
      <c r="AA3136" s="31" t="str">
        <f>Tabela2[[#This Row],[ILUSTRADOR CRIAÇÃO]]</f>
        <v/>
      </c>
      <c r="AB3136" s="33"/>
      <c r="AC3136" s="16"/>
      <c r="AE3136" s="35" t="str">
        <f t="shared" si="50"/>
        <v>EF1 E002 Mat</v>
      </c>
    </row>
    <row r="3137" spans="1:31" x14ac:dyDescent="0.25">
      <c r="A3137" s="31"/>
      <c r="B3137" s="16"/>
      <c r="C3137" s="16"/>
      <c r="D3137" s="33"/>
      <c r="E3137" s="33"/>
      <c r="F3137" s="33"/>
      <c r="G3137" s="33"/>
      <c r="H3137" s="33"/>
      <c r="I3137" s="31"/>
      <c r="J3137" s="31"/>
      <c r="K3137" s="33"/>
      <c r="L3137" s="33"/>
      <c r="M3137" s="31"/>
      <c r="N3137" s="31"/>
      <c r="O3137" s="16"/>
      <c r="P3137" s="16"/>
      <c r="Q3137" s="16"/>
      <c r="R3137" s="33"/>
      <c r="S3137" s="34"/>
      <c r="T3137" s="34"/>
      <c r="U3137" s="34"/>
      <c r="V3137" s="34"/>
      <c r="W3137" s="34"/>
      <c r="X3137" s="33"/>
      <c r="Y3137" s="35" t="str">
        <f>IF(Tabela2[[#This Row],[SIGLA]]="","",VLOOKUP(Tabela2[[#This Row],[SIGLA]],Tabela1[[#All],[Sigla Arte]:[Crédito]],2,0))</f>
        <v/>
      </c>
      <c r="Z3137" s="31"/>
      <c r="AA3137" s="31" t="str">
        <f>Tabela2[[#This Row],[ILUSTRADOR CRIAÇÃO]]</f>
        <v/>
      </c>
      <c r="AB3137" s="33"/>
      <c r="AC3137" s="16"/>
      <c r="AE3137" s="35" t="str">
        <f t="shared" si="50"/>
        <v>EF1 E002 Mat</v>
      </c>
    </row>
    <row r="3138" spans="1:31" x14ac:dyDescent="0.25">
      <c r="A3138" s="31"/>
      <c r="B3138" s="16"/>
      <c r="C3138" s="16"/>
      <c r="D3138" s="33"/>
      <c r="E3138" s="33"/>
      <c r="F3138" s="33"/>
      <c r="G3138" s="33"/>
      <c r="H3138" s="33"/>
      <c r="I3138" s="31"/>
      <c r="J3138" s="31"/>
      <c r="K3138" s="33"/>
      <c r="L3138" s="33"/>
      <c r="M3138" s="31"/>
      <c r="N3138" s="31"/>
      <c r="O3138" s="16"/>
      <c r="P3138" s="16"/>
      <c r="Q3138" s="16"/>
      <c r="R3138" s="33"/>
      <c r="S3138" s="34"/>
      <c r="T3138" s="34"/>
      <c r="U3138" s="34"/>
      <c r="V3138" s="34"/>
      <c r="W3138" s="34"/>
      <c r="X3138" s="33"/>
      <c r="Y3138" s="35" t="str">
        <f>IF(Tabela2[[#This Row],[SIGLA]]="","",VLOOKUP(Tabela2[[#This Row],[SIGLA]],Tabela1[[#All],[Sigla Arte]:[Crédito]],2,0))</f>
        <v/>
      </c>
      <c r="Z3138" s="31"/>
      <c r="AA3138" s="31" t="str">
        <f>Tabela2[[#This Row],[ILUSTRADOR CRIAÇÃO]]</f>
        <v/>
      </c>
      <c r="AB3138" s="33"/>
      <c r="AC3138" s="16"/>
      <c r="AE3138" s="35" t="str">
        <f t="shared" si="50"/>
        <v>EF1 E002 Mat</v>
      </c>
    </row>
    <row r="3139" spans="1:31" x14ac:dyDescent="0.25">
      <c r="A3139" s="31"/>
      <c r="B3139" s="16"/>
      <c r="C3139" s="16"/>
      <c r="D3139" s="33"/>
      <c r="E3139" s="33"/>
      <c r="F3139" s="33"/>
      <c r="G3139" s="33"/>
      <c r="H3139" s="33"/>
      <c r="I3139" s="31"/>
      <c r="J3139" s="31"/>
      <c r="K3139" s="33"/>
      <c r="L3139" s="33"/>
      <c r="M3139" s="31"/>
      <c r="N3139" s="31"/>
      <c r="O3139" s="16"/>
      <c r="P3139" s="16"/>
      <c r="Q3139" s="16"/>
      <c r="R3139" s="33"/>
      <c r="S3139" s="34"/>
      <c r="T3139" s="34"/>
      <c r="U3139" s="34"/>
      <c r="V3139" s="34"/>
      <c r="W3139" s="34"/>
      <c r="X3139" s="33"/>
      <c r="Y3139" s="35" t="str">
        <f>IF(Tabela2[[#This Row],[SIGLA]]="","",VLOOKUP(Tabela2[[#This Row],[SIGLA]],Tabela1[[#All],[Sigla Arte]:[Crédito]],2,0))</f>
        <v/>
      </c>
      <c r="Z3139" s="31"/>
      <c r="AA3139" s="31" t="str">
        <f>Tabela2[[#This Row],[ILUSTRADOR CRIAÇÃO]]</f>
        <v/>
      </c>
      <c r="AB3139" s="33"/>
      <c r="AC3139" s="16"/>
      <c r="AE3139" s="35" t="str">
        <f t="shared" si="50"/>
        <v>EF1 E002 Mat</v>
      </c>
    </row>
    <row r="3140" spans="1:31" x14ac:dyDescent="0.25">
      <c r="A3140" s="31"/>
      <c r="B3140" s="16"/>
      <c r="C3140" s="16"/>
      <c r="D3140" s="33"/>
      <c r="E3140" s="33"/>
      <c r="F3140" s="33"/>
      <c r="G3140" s="33"/>
      <c r="H3140" s="33"/>
      <c r="I3140" s="31"/>
      <c r="J3140" s="31"/>
      <c r="K3140" s="33"/>
      <c r="L3140" s="33"/>
      <c r="M3140" s="31"/>
      <c r="N3140" s="31"/>
      <c r="O3140" s="16"/>
      <c r="P3140" s="16"/>
      <c r="Q3140" s="16"/>
      <c r="R3140" s="33"/>
      <c r="S3140" s="34"/>
      <c r="T3140" s="34"/>
      <c r="U3140" s="34"/>
      <c r="V3140" s="34"/>
      <c r="W3140" s="34"/>
      <c r="X3140" s="33"/>
      <c r="Y3140" s="35" t="str">
        <f>IF(Tabela2[[#This Row],[SIGLA]]="","",VLOOKUP(Tabela2[[#This Row],[SIGLA]],Tabela1[[#All],[Sigla Arte]:[Crédito]],2,0))</f>
        <v/>
      </c>
      <c r="Z3140" s="31"/>
      <c r="AA3140" s="31" t="str">
        <f>Tabela2[[#This Row],[ILUSTRADOR CRIAÇÃO]]</f>
        <v/>
      </c>
      <c r="AB3140" s="33"/>
      <c r="AC3140" s="16"/>
      <c r="AE3140" s="35" t="str">
        <f t="shared" si="50"/>
        <v>EF1 E002 Mat</v>
      </c>
    </row>
    <row r="3141" spans="1:31" x14ac:dyDescent="0.25">
      <c r="A3141" s="31"/>
      <c r="B3141" s="16"/>
      <c r="C3141" s="16"/>
      <c r="D3141" s="33"/>
      <c r="E3141" s="33"/>
      <c r="F3141" s="33"/>
      <c r="G3141" s="33"/>
      <c r="H3141" s="33"/>
      <c r="I3141" s="31"/>
      <c r="J3141" s="31"/>
      <c r="K3141" s="33"/>
      <c r="L3141" s="33"/>
      <c r="M3141" s="31"/>
      <c r="N3141" s="31"/>
      <c r="O3141" s="16"/>
      <c r="P3141" s="16"/>
      <c r="Q3141" s="16"/>
      <c r="R3141" s="33"/>
      <c r="S3141" s="34"/>
      <c r="T3141" s="34"/>
      <c r="U3141" s="34"/>
      <c r="V3141" s="34"/>
      <c r="W3141" s="34"/>
      <c r="X3141" s="33"/>
      <c r="Y3141" s="35" t="str">
        <f>IF(Tabela2[[#This Row],[SIGLA]]="","",VLOOKUP(Tabela2[[#This Row],[SIGLA]],Tabela1[[#All],[Sigla Arte]:[Crédito]],2,0))</f>
        <v/>
      </c>
      <c r="Z3141" s="31"/>
      <c r="AA3141" s="31" t="str">
        <f>Tabela2[[#This Row],[ILUSTRADOR CRIAÇÃO]]</f>
        <v/>
      </c>
      <c r="AB3141" s="33"/>
      <c r="AC3141" s="16"/>
      <c r="AE3141" s="35" t="str">
        <f t="shared" si="50"/>
        <v>EF1 E002 Mat</v>
      </c>
    </row>
    <row r="3142" spans="1:31" x14ac:dyDescent="0.25">
      <c r="A3142" s="31"/>
      <c r="B3142" s="16"/>
      <c r="C3142" s="16"/>
      <c r="D3142" s="33"/>
      <c r="E3142" s="33"/>
      <c r="F3142" s="33"/>
      <c r="G3142" s="33"/>
      <c r="H3142" s="33"/>
      <c r="I3142" s="31"/>
      <c r="J3142" s="31"/>
      <c r="K3142" s="33"/>
      <c r="L3142" s="33"/>
      <c r="M3142" s="31"/>
      <c r="N3142" s="31"/>
      <c r="O3142" s="16"/>
      <c r="P3142" s="16"/>
      <c r="Q3142" s="16"/>
      <c r="R3142" s="33"/>
      <c r="S3142" s="34"/>
      <c r="T3142" s="34"/>
      <c r="U3142" s="34"/>
      <c r="V3142" s="34"/>
      <c r="W3142" s="34"/>
      <c r="X3142" s="33"/>
      <c r="Y3142" s="35" t="str">
        <f>IF(Tabela2[[#This Row],[SIGLA]]="","",VLOOKUP(Tabela2[[#This Row],[SIGLA]],Tabela1[[#All],[Sigla Arte]:[Crédito]],2,0))</f>
        <v/>
      </c>
      <c r="Z3142" s="31"/>
      <c r="AA3142" s="31" t="str">
        <f>Tabela2[[#This Row],[ILUSTRADOR CRIAÇÃO]]</f>
        <v/>
      </c>
      <c r="AB3142" s="33"/>
      <c r="AC3142" s="16"/>
      <c r="AE3142" s="35" t="str">
        <f t="shared" si="50"/>
        <v>EF1 E002 Mat</v>
      </c>
    </row>
    <row r="3143" spans="1:31" x14ac:dyDescent="0.25">
      <c r="A3143" s="31"/>
      <c r="B3143" s="16"/>
      <c r="C3143" s="16"/>
      <c r="D3143" s="33"/>
      <c r="E3143" s="33"/>
      <c r="F3143" s="33"/>
      <c r="G3143" s="33"/>
      <c r="H3143" s="33"/>
      <c r="I3143" s="31"/>
      <c r="J3143" s="31"/>
      <c r="K3143" s="33"/>
      <c r="L3143" s="33"/>
      <c r="M3143" s="31"/>
      <c r="N3143" s="31"/>
      <c r="O3143" s="16"/>
      <c r="P3143" s="16"/>
      <c r="Q3143" s="16"/>
      <c r="R3143" s="33"/>
      <c r="S3143" s="34"/>
      <c r="T3143" s="34"/>
      <c r="U3143" s="34"/>
      <c r="V3143" s="34"/>
      <c r="W3143" s="34"/>
      <c r="X3143" s="33"/>
      <c r="Y3143" s="35" t="str">
        <f>IF(Tabela2[[#This Row],[SIGLA]]="","",VLOOKUP(Tabela2[[#This Row],[SIGLA]],Tabela1[[#All],[Sigla Arte]:[Crédito]],2,0))</f>
        <v/>
      </c>
      <c r="Z3143" s="31"/>
      <c r="AA3143" s="31" t="str">
        <f>Tabela2[[#This Row],[ILUSTRADOR CRIAÇÃO]]</f>
        <v/>
      </c>
      <c r="AB3143" s="33"/>
      <c r="AC3143" s="16"/>
      <c r="AE3143" s="35" t="str">
        <f t="shared" si="50"/>
        <v>EF1 E002 Mat</v>
      </c>
    </row>
    <row r="3144" spans="1:31" x14ac:dyDescent="0.25">
      <c r="A3144" s="31"/>
      <c r="B3144" s="16"/>
      <c r="C3144" s="16"/>
      <c r="D3144" s="33"/>
      <c r="E3144" s="33"/>
      <c r="F3144" s="33"/>
      <c r="G3144" s="33"/>
      <c r="H3144" s="33"/>
      <c r="I3144" s="31"/>
      <c r="J3144" s="31"/>
      <c r="K3144" s="33"/>
      <c r="L3144" s="33"/>
      <c r="M3144" s="31"/>
      <c r="N3144" s="31"/>
      <c r="O3144" s="16"/>
      <c r="P3144" s="16"/>
      <c r="Q3144" s="16"/>
      <c r="R3144" s="33"/>
      <c r="S3144" s="34"/>
      <c r="T3144" s="34"/>
      <c r="U3144" s="34"/>
      <c r="V3144" s="34"/>
      <c r="W3144" s="34"/>
      <c r="X3144" s="33"/>
      <c r="Y3144" s="35" t="str">
        <f>IF(Tabela2[[#This Row],[SIGLA]]="","",VLOOKUP(Tabela2[[#This Row],[SIGLA]],Tabela1[[#All],[Sigla Arte]:[Crédito]],2,0))</f>
        <v/>
      </c>
      <c r="Z3144" s="31"/>
      <c r="AA3144" s="31" t="str">
        <f>Tabela2[[#This Row],[ILUSTRADOR CRIAÇÃO]]</f>
        <v/>
      </c>
      <c r="AB3144" s="33"/>
      <c r="AC3144" s="16"/>
      <c r="AE3144" s="35" t="str">
        <f t="shared" si="50"/>
        <v>EF1 E002 Mat</v>
      </c>
    </row>
    <row r="3145" spans="1:31" x14ac:dyDescent="0.25">
      <c r="A3145" s="31"/>
      <c r="B3145" s="16"/>
      <c r="C3145" s="16"/>
      <c r="D3145" s="33"/>
      <c r="E3145" s="33"/>
      <c r="F3145" s="33"/>
      <c r="G3145" s="33"/>
      <c r="H3145" s="33"/>
      <c r="I3145" s="31"/>
      <c r="J3145" s="31"/>
      <c r="K3145" s="33"/>
      <c r="L3145" s="33"/>
      <c r="M3145" s="31"/>
      <c r="N3145" s="31"/>
      <c r="O3145" s="16"/>
      <c r="P3145" s="16"/>
      <c r="Q3145" s="16"/>
      <c r="R3145" s="33"/>
      <c r="S3145" s="34"/>
      <c r="T3145" s="34"/>
      <c r="U3145" s="34"/>
      <c r="V3145" s="34"/>
      <c r="W3145" s="34"/>
      <c r="X3145" s="33"/>
      <c r="Y3145" s="35" t="str">
        <f>IF(Tabela2[[#This Row],[SIGLA]]="","",VLOOKUP(Tabela2[[#This Row],[SIGLA]],Tabela1[[#All],[Sigla Arte]:[Crédito]],2,0))</f>
        <v/>
      </c>
      <c r="Z3145" s="31"/>
      <c r="AA3145" s="31" t="str">
        <f>Tabela2[[#This Row],[ILUSTRADOR CRIAÇÃO]]</f>
        <v/>
      </c>
      <c r="AB3145" s="33"/>
      <c r="AC3145" s="16"/>
      <c r="AE3145" s="35" t="str">
        <f t="shared" si="50"/>
        <v>EF1 E002 Mat</v>
      </c>
    </row>
    <row r="3146" spans="1:31" x14ac:dyDescent="0.25">
      <c r="A3146" s="31"/>
      <c r="B3146" s="16"/>
      <c r="C3146" s="16"/>
      <c r="D3146" s="33"/>
      <c r="E3146" s="33"/>
      <c r="F3146" s="33"/>
      <c r="G3146" s="33"/>
      <c r="H3146" s="33"/>
      <c r="I3146" s="31"/>
      <c r="J3146" s="31"/>
      <c r="K3146" s="33"/>
      <c r="L3146" s="33"/>
      <c r="M3146" s="31"/>
      <c r="N3146" s="31"/>
      <c r="O3146" s="16"/>
      <c r="P3146" s="16"/>
      <c r="Q3146" s="16"/>
      <c r="R3146" s="33"/>
      <c r="S3146" s="34"/>
      <c r="T3146" s="34"/>
      <c r="U3146" s="34"/>
      <c r="V3146" s="34"/>
      <c r="W3146" s="34"/>
      <c r="X3146" s="33"/>
      <c r="Y3146" s="35" t="str">
        <f>IF(Tabela2[[#This Row],[SIGLA]]="","",VLOOKUP(Tabela2[[#This Row],[SIGLA]],Tabela1[[#All],[Sigla Arte]:[Crédito]],2,0))</f>
        <v/>
      </c>
      <c r="Z3146" s="31"/>
      <c r="AA3146" s="31" t="str">
        <f>Tabela2[[#This Row],[ILUSTRADOR CRIAÇÃO]]</f>
        <v/>
      </c>
      <c r="AB3146" s="33"/>
      <c r="AC3146" s="16"/>
      <c r="AE3146" s="35" t="str">
        <f t="shared" si="50"/>
        <v>EF1 E002 Mat</v>
      </c>
    </row>
    <row r="3147" spans="1:31" x14ac:dyDescent="0.25">
      <c r="A3147" s="31"/>
      <c r="B3147" s="16"/>
      <c r="C3147" s="16"/>
      <c r="D3147" s="33"/>
      <c r="E3147" s="33"/>
      <c r="F3147" s="33"/>
      <c r="G3147" s="33"/>
      <c r="H3147" s="33"/>
      <c r="I3147" s="31"/>
      <c r="J3147" s="31"/>
      <c r="K3147" s="33"/>
      <c r="L3147" s="33"/>
      <c r="M3147" s="31"/>
      <c r="N3147" s="31"/>
      <c r="O3147" s="16"/>
      <c r="P3147" s="16"/>
      <c r="Q3147" s="16"/>
      <c r="R3147" s="33"/>
      <c r="S3147" s="34"/>
      <c r="T3147" s="34"/>
      <c r="U3147" s="34"/>
      <c r="V3147" s="34"/>
      <c r="W3147" s="34"/>
      <c r="X3147" s="33"/>
      <c r="Y3147" s="35" t="str">
        <f>IF(Tabela2[[#This Row],[SIGLA]]="","",VLOOKUP(Tabela2[[#This Row],[SIGLA]],Tabela1[[#All],[Sigla Arte]:[Crédito]],2,0))</f>
        <v/>
      </c>
      <c r="Z3147" s="31"/>
      <c r="AA3147" s="31" t="str">
        <f>Tabela2[[#This Row],[ILUSTRADOR CRIAÇÃO]]</f>
        <v/>
      </c>
      <c r="AB3147" s="33"/>
      <c r="AC3147" s="16"/>
      <c r="AE3147" s="35" t="str">
        <f t="shared" si="50"/>
        <v>EF1 E002 Mat</v>
      </c>
    </row>
    <row r="3148" spans="1:31" x14ac:dyDescent="0.25">
      <c r="A3148" s="31"/>
      <c r="B3148" s="16"/>
      <c r="C3148" s="16"/>
      <c r="D3148" s="33"/>
      <c r="E3148" s="33"/>
      <c r="F3148" s="33"/>
      <c r="G3148" s="33"/>
      <c r="H3148" s="33"/>
      <c r="I3148" s="31"/>
      <c r="J3148" s="31"/>
      <c r="K3148" s="33"/>
      <c r="L3148" s="33"/>
      <c r="M3148" s="31"/>
      <c r="N3148" s="31"/>
      <c r="O3148" s="16"/>
      <c r="P3148" s="16"/>
      <c r="Q3148" s="16"/>
      <c r="R3148" s="33"/>
      <c r="S3148" s="34"/>
      <c r="T3148" s="34"/>
      <c r="U3148" s="34"/>
      <c r="V3148" s="34"/>
      <c r="W3148" s="34"/>
      <c r="X3148" s="33"/>
      <c r="Y3148" s="35" t="str">
        <f>IF(Tabela2[[#This Row],[SIGLA]]="","",VLOOKUP(Tabela2[[#This Row],[SIGLA]],Tabela1[[#All],[Sigla Arte]:[Crédito]],2,0))</f>
        <v/>
      </c>
      <c r="Z3148" s="31"/>
      <c r="AA3148" s="31" t="str">
        <f>Tabela2[[#This Row],[ILUSTRADOR CRIAÇÃO]]</f>
        <v/>
      </c>
      <c r="AB3148" s="33"/>
      <c r="AC3148" s="16"/>
      <c r="AE3148" s="35" t="str">
        <f t="shared" si="50"/>
        <v>EF1 E002 Mat</v>
      </c>
    </row>
    <row r="3149" spans="1:31" x14ac:dyDescent="0.25">
      <c r="A3149" s="31"/>
      <c r="B3149" s="16"/>
      <c r="C3149" s="16"/>
      <c r="D3149" s="33"/>
      <c r="E3149" s="33"/>
      <c r="F3149" s="33"/>
      <c r="G3149" s="33"/>
      <c r="H3149" s="33"/>
      <c r="I3149" s="31"/>
      <c r="J3149" s="31"/>
      <c r="K3149" s="33"/>
      <c r="L3149" s="33"/>
      <c r="M3149" s="31"/>
      <c r="N3149" s="31"/>
      <c r="O3149" s="16"/>
      <c r="P3149" s="16"/>
      <c r="Q3149" s="16"/>
      <c r="R3149" s="33"/>
      <c r="S3149" s="34"/>
      <c r="T3149" s="34"/>
      <c r="U3149" s="34"/>
      <c r="V3149" s="34"/>
      <c r="W3149" s="34"/>
      <c r="X3149" s="33"/>
      <c r="Y3149" s="35" t="str">
        <f>IF(Tabela2[[#This Row],[SIGLA]]="","",VLOOKUP(Tabela2[[#This Row],[SIGLA]],Tabela1[[#All],[Sigla Arte]:[Crédito]],2,0))</f>
        <v/>
      </c>
      <c r="Z3149" s="31"/>
      <c r="AA3149" s="31" t="str">
        <f>Tabela2[[#This Row],[ILUSTRADOR CRIAÇÃO]]</f>
        <v/>
      </c>
      <c r="AB3149" s="33"/>
      <c r="AC3149" s="16"/>
      <c r="AE3149" s="35" t="str">
        <f t="shared" si="50"/>
        <v>EF1 E002 Mat</v>
      </c>
    </row>
    <row r="3150" spans="1:31" x14ac:dyDescent="0.25">
      <c r="A3150" s="31"/>
      <c r="B3150" s="16"/>
      <c r="C3150" s="16"/>
      <c r="D3150" s="33"/>
      <c r="E3150" s="33"/>
      <c r="F3150" s="33"/>
      <c r="G3150" s="33"/>
      <c r="H3150" s="33"/>
      <c r="I3150" s="31"/>
      <c r="J3150" s="31"/>
      <c r="K3150" s="33"/>
      <c r="L3150" s="33"/>
      <c r="M3150" s="31"/>
      <c r="N3150" s="31"/>
      <c r="O3150" s="16"/>
      <c r="P3150" s="16"/>
      <c r="Q3150" s="16"/>
      <c r="R3150" s="33"/>
      <c r="S3150" s="34"/>
      <c r="T3150" s="34"/>
      <c r="U3150" s="34"/>
      <c r="V3150" s="34"/>
      <c r="W3150" s="34"/>
      <c r="X3150" s="33"/>
      <c r="Y3150" s="35" t="str">
        <f>IF(Tabela2[[#This Row],[SIGLA]]="","",VLOOKUP(Tabela2[[#This Row],[SIGLA]],Tabela1[[#All],[Sigla Arte]:[Crédito]],2,0))</f>
        <v/>
      </c>
      <c r="Z3150" s="31"/>
      <c r="AA3150" s="31" t="str">
        <f>Tabela2[[#This Row],[ILUSTRADOR CRIAÇÃO]]</f>
        <v/>
      </c>
      <c r="AB3150" s="33"/>
      <c r="AC3150" s="16"/>
      <c r="AE3150" s="35" t="str">
        <f t="shared" si="50"/>
        <v>EF1 E002 Mat</v>
      </c>
    </row>
    <row r="3151" spans="1:31" x14ac:dyDescent="0.25">
      <c r="A3151" s="31"/>
      <c r="B3151" s="16"/>
      <c r="C3151" s="16"/>
      <c r="D3151" s="33"/>
      <c r="E3151" s="33"/>
      <c r="F3151" s="33"/>
      <c r="G3151" s="33"/>
      <c r="H3151" s="33"/>
      <c r="I3151" s="31"/>
      <c r="J3151" s="31"/>
      <c r="K3151" s="33"/>
      <c r="L3151" s="33"/>
      <c r="M3151" s="31"/>
      <c r="N3151" s="31"/>
      <c r="O3151" s="16"/>
      <c r="P3151" s="16"/>
      <c r="Q3151" s="16"/>
      <c r="R3151" s="33"/>
      <c r="S3151" s="34"/>
      <c r="T3151" s="34"/>
      <c r="U3151" s="34"/>
      <c r="V3151" s="34"/>
      <c r="W3151" s="34"/>
      <c r="X3151" s="33"/>
      <c r="Y3151" s="35" t="str">
        <f>IF(Tabela2[[#This Row],[SIGLA]]="","",VLOOKUP(Tabela2[[#This Row],[SIGLA]],Tabela1[[#All],[Sigla Arte]:[Crédito]],2,0))</f>
        <v/>
      </c>
      <c r="Z3151" s="31"/>
      <c r="AA3151" s="31" t="str">
        <f>Tabela2[[#This Row],[ILUSTRADOR CRIAÇÃO]]</f>
        <v/>
      </c>
      <c r="AB3151" s="33"/>
      <c r="AC3151" s="16"/>
      <c r="AE3151" s="35" t="str">
        <f t="shared" si="50"/>
        <v>EF1 E002 Mat</v>
      </c>
    </row>
    <row r="3152" spans="1:31" x14ac:dyDescent="0.25">
      <c r="A3152" s="31"/>
      <c r="B3152" s="16"/>
      <c r="C3152" s="16"/>
      <c r="D3152" s="33"/>
      <c r="E3152" s="33"/>
      <c r="F3152" s="33"/>
      <c r="G3152" s="33"/>
      <c r="H3152" s="33"/>
      <c r="I3152" s="31"/>
      <c r="J3152" s="31"/>
      <c r="K3152" s="33"/>
      <c r="L3152" s="33"/>
      <c r="M3152" s="31"/>
      <c r="N3152" s="31"/>
      <c r="O3152" s="16"/>
      <c r="P3152" s="16"/>
      <c r="Q3152" s="16"/>
      <c r="R3152" s="33"/>
      <c r="S3152" s="34"/>
      <c r="T3152" s="34"/>
      <c r="U3152" s="34"/>
      <c r="V3152" s="34"/>
      <c r="W3152" s="34"/>
      <c r="X3152" s="33"/>
      <c r="Y3152" s="35" t="str">
        <f>IF(Tabela2[[#This Row],[SIGLA]]="","",VLOOKUP(Tabela2[[#This Row],[SIGLA]],Tabela1[[#All],[Sigla Arte]:[Crédito]],2,0))</f>
        <v/>
      </c>
      <c r="Z3152" s="31"/>
      <c r="AA3152" s="31" t="str">
        <f>Tabela2[[#This Row],[ILUSTRADOR CRIAÇÃO]]</f>
        <v/>
      </c>
      <c r="AB3152" s="33"/>
      <c r="AC3152" s="16"/>
      <c r="AE3152" s="35" t="str">
        <f t="shared" si="50"/>
        <v>EF1 E002 Mat</v>
      </c>
    </row>
    <row r="3153" spans="1:31" x14ac:dyDescent="0.25">
      <c r="A3153" s="31"/>
      <c r="B3153" s="16"/>
      <c r="C3153" s="16"/>
      <c r="D3153" s="33"/>
      <c r="E3153" s="33"/>
      <c r="F3153" s="33"/>
      <c r="G3153" s="33"/>
      <c r="H3153" s="33"/>
      <c r="I3153" s="31"/>
      <c r="J3153" s="31"/>
      <c r="K3153" s="33"/>
      <c r="L3153" s="33"/>
      <c r="M3153" s="31"/>
      <c r="N3153" s="31"/>
      <c r="O3153" s="16"/>
      <c r="P3153" s="16"/>
      <c r="Q3153" s="16"/>
      <c r="R3153" s="33"/>
      <c r="S3153" s="34"/>
      <c r="T3153" s="34"/>
      <c r="U3153" s="34"/>
      <c r="V3153" s="34"/>
      <c r="W3153" s="34"/>
      <c r="X3153" s="33"/>
      <c r="Y3153" s="35" t="str">
        <f>IF(Tabela2[[#This Row],[SIGLA]]="","",VLOOKUP(Tabela2[[#This Row],[SIGLA]],Tabela1[[#All],[Sigla Arte]:[Crédito]],2,0))</f>
        <v/>
      </c>
      <c r="Z3153" s="31"/>
      <c r="AA3153" s="31" t="str">
        <f>Tabela2[[#This Row],[ILUSTRADOR CRIAÇÃO]]</f>
        <v/>
      </c>
      <c r="AB3153" s="33"/>
      <c r="AC3153" s="16"/>
      <c r="AE3153" s="35" t="str">
        <f t="shared" si="50"/>
        <v>EF1 E002 Mat</v>
      </c>
    </row>
    <row r="3154" spans="1:31" x14ac:dyDescent="0.25">
      <c r="A3154" s="31"/>
      <c r="B3154" s="16"/>
      <c r="C3154" s="16"/>
      <c r="D3154" s="33"/>
      <c r="E3154" s="33"/>
      <c r="F3154" s="33"/>
      <c r="G3154" s="33"/>
      <c r="H3154" s="33"/>
      <c r="I3154" s="31"/>
      <c r="J3154" s="31"/>
      <c r="K3154" s="33"/>
      <c r="L3154" s="33"/>
      <c r="M3154" s="31"/>
      <c r="N3154" s="31"/>
      <c r="O3154" s="16"/>
      <c r="P3154" s="16"/>
      <c r="Q3154" s="16"/>
      <c r="R3154" s="33"/>
      <c r="S3154" s="34"/>
      <c r="T3154" s="34"/>
      <c r="U3154" s="34"/>
      <c r="V3154" s="34"/>
      <c r="W3154" s="34"/>
      <c r="X3154" s="33"/>
      <c r="Y3154" s="35" t="str">
        <f>IF(Tabela2[[#This Row],[SIGLA]]="","",VLOOKUP(Tabela2[[#This Row],[SIGLA]],Tabela1[[#All],[Sigla Arte]:[Crédito]],2,0))</f>
        <v/>
      </c>
      <c r="Z3154" s="31"/>
      <c r="AA3154" s="31" t="str">
        <f>Tabela2[[#This Row],[ILUSTRADOR CRIAÇÃO]]</f>
        <v/>
      </c>
      <c r="AB3154" s="33"/>
      <c r="AC3154" s="16"/>
      <c r="AE3154" s="35" t="str">
        <f t="shared" si="50"/>
        <v>EF1 E002 Mat</v>
      </c>
    </row>
    <row r="3155" spans="1:31" x14ac:dyDescent="0.25">
      <c r="A3155" s="31"/>
      <c r="B3155" s="16"/>
      <c r="C3155" s="16"/>
      <c r="D3155" s="33"/>
      <c r="E3155" s="33"/>
      <c r="F3155" s="33"/>
      <c r="G3155" s="33"/>
      <c r="H3155" s="33"/>
      <c r="I3155" s="31"/>
      <c r="J3155" s="31"/>
      <c r="K3155" s="33"/>
      <c r="L3155" s="33"/>
      <c r="M3155" s="31"/>
      <c r="N3155" s="31"/>
      <c r="O3155" s="16"/>
      <c r="P3155" s="16"/>
      <c r="Q3155" s="16"/>
      <c r="R3155" s="33"/>
      <c r="S3155" s="34"/>
      <c r="T3155" s="34"/>
      <c r="U3155" s="34"/>
      <c r="V3155" s="34"/>
      <c r="W3155" s="34"/>
      <c r="X3155" s="33"/>
      <c r="Y3155" s="35" t="str">
        <f>IF(Tabela2[[#This Row],[SIGLA]]="","",VLOOKUP(Tabela2[[#This Row],[SIGLA]],Tabela1[[#All],[Sigla Arte]:[Crédito]],2,0))</f>
        <v/>
      </c>
      <c r="Z3155" s="31"/>
      <c r="AA3155" s="31" t="str">
        <f>Tabela2[[#This Row],[ILUSTRADOR CRIAÇÃO]]</f>
        <v/>
      </c>
      <c r="AB3155" s="33"/>
      <c r="AC3155" s="16"/>
      <c r="AE3155" s="35" t="str">
        <f t="shared" si="50"/>
        <v>EF1 E002 Mat</v>
      </c>
    </row>
    <row r="3156" spans="1:31" x14ac:dyDescent="0.25">
      <c r="A3156" s="31"/>
      <c r="B3156" s="16"/>
      <c r="C3156" s="16"/>
      <c r="D3156" s="33"/>
      <c r="E3156" s="33"/>
      <c r="F3156" s="33"/>
      <c r="G3156" s="33"/>
      <c r="H3156" s="33"/>
      <c r="I3156" s="31"/>
      <c r="J3156" s="31"/>
      <c r="K3156" s="33"/>
      <c r="L3156" s="33"/>
      <c r="M3156" s="31"/>
      <c r="N3156" s="31"/>
      <c r="O3156" s="16"/>
      <c r="P3156" s="16"/>
      <c r="Q3156" s="16"/>
      <c r="R3156" s="33"/>
      <c r="S3156" s="34"/>
      <c r="T3156" s="34"/>
      <c r="U3156" s="34"/>
      <c r="V3156" s="34"/>
      <c r="W3156" s="34"/>
      <c r="X3156" s="33"/>
      <c r="Y3156" s="35" t="str">
        <f>IF(Tabela2[[#This Row],[SIGLA]]="","",VLOOKUP(Tabela2[[#This Row],[SIGLA]],Tabela1[[#All],[Sigla Arte]:[Crédito]],2,0))</f>
        <v/>
      </c>
      <c r="Z3156" s="31"/>
      <c r="AA3156" s="31" t="str">
        <f>Tabela2[[#This Row],[ILUSTRADOR CRIAÇÃO]]</f>
        <v/>
      </c>
      <c r="AB3156" s="33"/>
      <c r="AC3156" s="16"/>
      <c r="AE3156" s="35" t="str">
        <f t="shared" si="50"/>
        <v>EF1 E002 Mat</v>
      </c>
    </row>
    <row r="3157" spans="1:31" x14ac:dyDescent="0.25">
      <c r="A3157" s="31"/>
      <c r="B3157" s="16"/>
      <c r="C3157" s="16"/>
      <c r="D3157" s="33"/>
      <c r="E3157" s="33"/>
      <c r="F3157" s="33"/>
      <c r="G3157" s="33"/>
      <c r="H3157" s="33"/>
      <c r="I3157" s="31"/>
      <c r="J3157" s="31"/>
      <c r="K3157" s="33"/>
      <c r="L3157" s="33"/>
      <c r="M3157" s="31"/>
      <c r="N3157" s="31"/>
      <c r="O3157" s="16"/>
      <c r="P3157" s="16"/>
      <c r="Q3157" s="16"/>
      <c r="R3157" s="33"/>
      <c r="S3157" s="34"/>
      <c r="T3157" s="34"/>
      <c r="U3157" s="34"/>
      <c r="V3157" s="34"/>
      <c r="W3157" s="34"/>
      <c r="X3157" s="33"/>
      <c r="Y3157" s="35" t="str">
        <f>IF(Tabela2[[#This Row],[SIGLA]]="","",VLOOKUP(Tabela2[[#This Row],[SIGLA]],Tabela1[[#All],[Sigla Arte]:[Crédito]],2,0))</f>
        <v/>
      </c>
      <c r="Z3157" s="31"/>
      <c r="AA3157" s="31" t="str">
        <f>Tabela2[[#This Row],[ILUSTRADOR CRIAÇÃO]]</f>
        <v/>
      </c>
      <c r="AB3157" s="33"/>
      <c r="AC3157" s="16"/>
      <c r="AE3157" s="35" t="str">
        <f t="shared" si="50"/>
        <v>EF1 E002 Mat</v>
      </c>
    </row>
    <row r="3158" spans="1:31" x14ac:dyDescent="0.25">
      <c r="A3158" s="31"/>
      <c r="B3158" s="16"/>
      <c r="C3158" s="16"/>
      <c r="D3158" s="33"/>
      <c r="E3158" s="33"/>
      <c r="F3158" s="33"/>
      <c r="G3158" s="33"/>
      <c r="H3158" s="33"/>
      <c r="I3158" s="31"/>
      <c r="J3158" s="31"/>
      <c r="K3158" s="33"/>
      <c r="L3158" s="33"/>
      <c r="M3158" s="31"/>
      <c r="N3158" s="31"/>
      <c r="O3158" s="16"/>
      <c r="P3158" s="16"/>
      <c r="Q3158" s="16"/>
      <c r="R3158" s="33"/>
      <c r="S3158" s="34"/>
      <c r="T3158" s="34"/>
      <c r="U3158" s="34"/>
      <c r="V3158" s="34"/>
      <c r="W3158" s="34"/>
      <c r="X3158" s="33"/>
      <c r="Y3158" s="35" t="str">
        <f>IF(Tabela2[[#This Row],[SIGLA]]="","",VLOOKUP(Tabela2[[#This Row],[SIGLA]],Tabela1[[#All],[Sigla Arte]:[Crédito]],2,0))</f>
        <v/>
      </c>
      <c r="Z3158" s="31"/>
      <c r="AA3158" s="31" t="str">
        <f>Tabela2[[#This Row],[ILUSTRADOR CRIAÇÃO]]</f>
        <v/>
      </c>
      <c r="AB3158" s="33"/>
      <c r="AC3158" s="16"/>
      <c r="AE3158" s="35" t="str">
        <f t="shared" si="50"/>
        <v>EF1 E002 Mat</v>
      </c>
    </row>
    <row r="3159" spans="1:31" x14ac:dyDescent="0.25">
      <c r="A3159" s="31"/>
      <c r="B3159" s="16"/>
      <c r="C3159" s="16"/>
      <c r="D3159" s="33"/>
      <c r="E3159" s="33"/>
      <c r="F3159" s="33"/>
      <c r="G3159" s="33"/>
      <c r="H3159" s="33"/>
      <c r="I3159" s="31"/>
      <c r="J3159" s="31"/>
      <c r="K3159" s="33"/>
      <c r="L3159" s="33"/>
      <c r="M3159" s="31"/>
      <c r="N3159" s="31"/>
      <c r="O3159" s="16"/>
      <c r="P3159" s="16"/>
      <c r="Q3159" s="16"/>
      <c r="R3159" s="33"/>
      <c r="S3159" s="34"/>
      <c r="T3159" s="34"/>
      <c r="U3159" s="34"/>
      <c r="V3159" s="34"/>
      <c r="W3159" s="34"/>
      <c r="X3159" s="33"/>
      <c r="Y3159" s="35" t="str">
        <f>IF(Tabela2[[#This Row],[SIGLA]]="","",VLOOKUP(Tabela2[[#This Row],[SIGLA]],Tabela1[[#All],[Sigla Arte]:[Crédito]],2,0))</f>
        <v/>
      </c>
      <c r="Z3159" s="31"/>
      <c r="AA3159" s="31" t="str">
        <f>Tabela2[[#This Row],[ILUSTRADOR CRIAÇÃO]]</f>
        <v/>
      </c>
      <c r="AB3159" s="33"/>
      <c r="AC3159" s="16"/>
      <c r="AE3159" s="35" t="str">
        <f t="shared" si="50"/>
        <v>EF1 E002 Mat</v>
      </c>
    </row>
    <row r="3160" spans="1:31" x14ac:dyDescent="0.25">
      <c r="A3160" s="31"/>
      <c r="B3160" s="16"/>
      <c r="C3160" s="16"/>
      <c r="D3160" s="33"/>
      <c r="E3160" s="33"/>
      <c r="F3160" s="33"/>
      <c r="G3160" s="33"/>
      <c r="H3160" s="33"/>
      <c r="I3160" s="31"/>
      <c r="J3160" s="31"/>
      <c r="K3160" s="33"/>
      <c r="L3160" s="33"/>
      <c r="M3160" s="31"/>
      <c r="N3160" s="31"/>
      <c r="O3160" s="16"/>
      <c r="P3160" s="16"/>
      <c r="Q3160" s="16"/>
      <c r="R3160" s="33"/>
      <c r="S3160" s="34"/>
      <c r="T3160" s="34"/>
      <c r="U3160" s="34"/>
      <c r="V3160" s="34"/>
      <c r="W3160" s="34"/>
      <c r="X3160" s="33"/>
      <c r="Y3160" s="35" t="str">
        <f>IF(Tabela2[[#This Row],[SIGLA]]="","",VLOOKUP(Tabela2[[#This Row],[SIGLA]],Tabela1[[#All],[Sigla Arte]:[Crédito]],2,0))</f>
        <v/>
      </c>
      <c r="Z3160" s="31"/>
      <c r="AA3160" s="31" t="str">
        <f>Tabela2[[#This Row],[ILUSTRADOR CRIAÇÃO]]</f>
        <v/>
      </c>
      <c r="AB3160" s="33"/>
      <c r="AC3160" s="16"/>
      <c r="AE3160" s="35" t="str">
        <f t="shared" si="50"/>
        <v>EF1 E002 Mat</v>
      </c>
    </row>
    <row r="3161" spans="1:31" x14ac:dyDescent="0.25">
      <c r="A3161" s="31"/>
      <c r="B3161" s="16"/>
      <c r="C3161" s="16"/>
      <c r="D3161" s="33"/>
      <c r="E3161" s="33"/>
      <c r="F3161" s="33"/>
      <c r="G3161" s="33"/>
      <c r="H3161" s="33"/>
      <c r="I3161" s="31"/>
      <c r="J3161" s="31"/>
      <c r="K3161" s="33"/>
      <c r="L3161" s="33"/>
      <c r="M3161" s="31"/>
      <c r="N3161" s="31"/>
      <c r="O3161" s="16"/>
      <c r="P3161" s="16"/>
      <c r="Q3161" s="16"/>
      <c r="R3161" s="33"/>
      <c r="S3161" s="34"/>
      <c r="T3161" s="34"/>
      <c r="U3161" s="34"/>
      <c r="V3161" s="34"/>
      <c r="W3161" s="34"/>
      <c r="X3161" s="33"/>
      <c r="Y3161" s="35" t="str">
        <f>IF(Tabela2[[#This Row],[SIGLA]]="","",VLOOKUP(Tabela2[[#This Row],[SIGLA]],Tabela1[[#All],[Sigla Arte]:[Crédito]],2,0))</f>
        <v/>
      </c>
      <c r="Z3161" s="31"/>
      <c r="AA3161" s="31" t="str">
        <f>Tabela2[[#This Row],[ILUSTRADOR CRIAÇÃO]]</f>
        <v/>
      </c>
      <c r="AB3161" s="33"/>
      <c r="AC3161" s="16"/>
      <c r="AE3161" s="35" t="str">
        <f t="shared" si="50"/>
        <v>EF1 E002 Mat</v>
      </c>
    </row>
    <row r="3162" spans="1:31" x14ac:dyDescent="0.25">
      <c r="A3162" s="31"/>
      <c r="B3162" s="16"/>
      <c r="C3162" s="16"/>
      <c r="D3162" s="33"/>
      <c r="E3162" s="33"/>
      <c r="F3162" s="33"/>
      <c r="G3162" s="33"/>
      <c r="H3162" s="33"/>
      <c r="I3162" s="31"/>
      <c r="J3162" s="31"/>
      <c r="K3162" s="33"/>
      <c r="L3162" s="33"/>
      <c r="M3162" s="31"/>
      <c r="N3162" s="31"/>
      <c r="O3162" s="16"/>
      <c r="P3162" s="16"/>
      <c r="Q3162" s="16"/>
      <c r="R3162" s="33"/>
      <c r="S3162" s="34"/>
      <c r="T3162" s="34"/>
      <c r="U3162" s="34"/>
      <c r="V3162" s="34"/>
      <c r="W3162" s="34"/>
      <c r="X3162" s="33"/>
      <c r="Y3162" s="35" t="str">
        <f>IF(Tabela2[[#This Row],[SIGLA]]="","",VLOOKUP(Tabela2[[#This Row],[SIGLA]],Tabela1[[#All],[Sigla Arte]:[Crédito]],2,0))</f>
        <v/>
      </c>
      <c r="Z3162" s="31"/>
      <c r="AA3162" s="31" t="str">
        <f>Tabela2[[#This Row],[ILUSTRADOR CRIAÇÃO]]</f>
        <v/>
      </c>
      <c r="AB3162" s="33"/>
      <c r="AC3162" s="16"/>
      <c r="AE3162" s="35" t="str">
        <f t="shared" si="50"/>
        <v>EF1 E002 Mat</v>
      </c>
    </row>
    <row r="3163" spans="1:31" x14ac:dyDescent="0.25">
      <c r="A3163" s="31"/>
      <c r="B3163" s="16"/>
      <c r="C3163" s="16"/>
      <c r="D3163" s="33"/>
      <c r="E3163" s="33"/>
      <c r="F3163" s="33"/>
      <c r="G3163" s="33"/>
      <c r="H3163" s="33"/>
      <c r="I3163" s="31"/>
      <c r="J3163" s="31"/>
      <c r="K3163" s="33"/>
      <c r="L3163" s="33"/>
      <c r="M3163" s="31"/>
      <c r="N3163" s="31"/>
      <c r="O3163" s="16"/>
      <c r="P3163" s="16"/>
      <c r="Q3163" s="16"/>
      <c r="R3163" s="33"/>
      <c r="S3163" s="34"/>
      <c r="T3163" s="34"/>
      <c r="U3163" s="34"/>
      <c r="V3163" s="34"/>
      <c r="W3163" s="34"/>
      <c r="X3163" s="33"/>
      <c r="Y3163" s="35" t="str">
        <f>IF(Tabela2[[#This Row],[SIGLA]]="","",VLOOKUP(Tabela2[[#This Row],[SIGLA]],Tabela1[[#All],[Sigla Arte]:[Crédito]],2,0))</f>
        <v/>
      </c>
      <c r="Z3163" s="31"/>
      <c r="AA3163" s="31" t="str">
        <f>Tabela2[[#This Row],[ILUSTRADOR CRIAÇÃO]]</f>
        <v/>
      </c>
      <c r="AB3163" s="33"/>
      <c r="AC3163" s="16"/>
      <c r="AE3163" s="35" t="str">
        <f t="shared" si="50"/>
        <v>EF1 E002 Mat</v>
      </c>
    </row>
    <row r="3164" spans="1:31" x14ac:dyDescent="0.25">
      <c r="A3164" s="31"/>
      <c r="B3164" s="16"/>
      <c r="C3164" s="16"/>
      <c r="D3164" s="33"/>
      <c r="E3164" s="33"/>
      <c r="F3164" s="33"/>
      <c r="G3164" s="33"/>
      <c r="H3164" s="33"/>
      <c r="I3164" s="31"/>
      <c r="J3164" s="31"/>
      <c r="K3164" s="33"/>
      <c r="L3164" s="33"/>
      <c r="M3164" s="31"/>
      <c r="N3164" s="31"/>
      <c r="O3164" s="16"/>
      <c r="P3164" s="16"/>
      <c r="Q3164" s="16"/>
      <c r="R3164" s="33"/>
      <c r="S3164" s="34"/>
      <c r="T3164" s="34"/>
      <c r="U3164" s="34"/>
      <c r="V3164" s="34"/>
      <c r="W3164" s="34"/>
      <c r="X3164" s="33"/>
      <c r="Y3164" s="35" t="str">
        <f>IF(Tabela2[[#This Row],[SIGLA]]="","",VLOOKUP(Tabela2[[#This Row],[SIGLA]],Tabela1[[#All],[Sigla Arte]:[Crédito]],2,0))</f>
        <v/>
      </c>
      <c r="Z3164" s="31"/>
      <c r="AA3164" s="31" t="str">
        <f>Tabela2[[#This Row],[ILUSTRADOR CRIAÇÃO]]</f>
        <v/>
      </c>
      <c r="AB3164" s="33"/>
      <c r="AC3164" s="16"/>
      <c r="AE3164" s="35" t="str">
        <f t="shared" si="50"/>
        <v>EF1 E002 Mat</v>
      </c>
    </row>
    <row r="3165" spans="1:31" x14ac:dyDescent="0.25">
      <c r="A3165" s="31"/>
      <c r="B3165" s="16"/>
      <c r="C3165" s="16"/>
      <c r="D3165" s="33"/>
      <c r="E3165" s="33"/>
      <c r="F3165" s="33"/>
      <c r="G3165" s="33"/>
      <c r="H3165" s="33"/>
      <c r="I3165" s="31"/>
      <c r="J3165" s="31"/>
      <c r="K3165" s="33"/>
      <c r="L3165" s="33"/>
      <c r="M3165" s="31"/>
      <c r="N3165" s="31"/>
      <c r="O3165" s="16"/>
      <c r="P3165" s="16"/>
      <c r="Q3165" s="16"/>
      <c r="R3165" s="33"/>
      <c r="S3165" s="34"/>
      <c r="T3165" s="34"/>
      <c r="U3165" s="34"/>
      <c r="V3165" s="34"/>
      <c r="W3165" s="34"/>
      <c r="X3165" s="33"/>
      <c r="Y3165" s="35" t="str">
        <f>IF(Tabela2[[#This Row],[SIGLA]]="","",VLOOKUP(Tabela2[[#This Row],[SIGLA]],Tabela1[[#All],[Sigla Arte]:[Crédito]],2,0))</f>
        <v/>
      </c>
      <c r="Z3165" s="31"/>
      <c r="AA3165" s="31" t="str">
        <f>Tabela2[[#This Row],[ILUSTRADOR CRIAÇÃO]]</f>
        <v/>
      </c>
      <c r="AB3165" s="33"/>
      <c r="AC3165" s="16"/>
      <c r="AE3165" s="35" t="str">
        <f t="shared" si="50"/>
        <v>EF1 E002 Mat</v>
      </c>
    </row>
    <row r="3166" spans="1:31" x14ac:dyDescent="0.25">
      <c r="A3166" s="31"/>
      <c r="B3166" s="16"/>
      <c r="C3166" s="16"/>
      <c r="D3166" s="33"/>
      <c r="E3166" s="33"/>
      <c r="F3166" s="33"/>
      <c r="G3166" s="33"/>
      <c r="H3166" s="33"/>
      <c r="I3166" s="31"/>
      <c r="J3166" s="31"/>
      <c r="K3166" s="33"/>
      <c r="L3166" s="33"/>
      <c r="M3166" s="31"/>
      <c r="N3166" s="31"/>
      <c r="O3166" s="16"/>
      <c r="P3166" s="16"/>
      <c r="Q3166" s="16"/>
      <c r="R3166" s="33"/>
      <c r="S3166" s="34"/>
      <c r="T3166" s="34"/>
      <c r="U3166" s="34"/>
      <c r="V3166" s="34"/>
      <c r="W3166" s="34"/>
      <c r="X3166" s="33"/>
      <c r="Y3166" s="35" t="str">
        <f>IF(Tabela2[[#This Row],[SIGLA]]="","",VLOOKUP(Tabela2[[#This Row],[SIGLA]],Tabela1[[#All],[Sigla Arte]:[Crédito]],2,0))</f>
        <v/>
      </c>
      <c r="Z3166" s="31"/>
      <c r="AA3166" s="31" t="str">
        <f>Tabela2[[#This Row],[ILUSTRADOR CRIAÇÃO]]</f>
        <v/>
      </c>
      <c r="AB3166" s="33"/>
      <c r="AC3166" s="16"/>
      <c r="AE3166" s="35" t="str">
        <f t="shared" si="50"/>
        <v>EF1 E002 Mat</v>
      </c>
    </row>
    <row r="3167" spans="1:31" x14ac:dyDescent="0.25">
      <c r="A3167" s="31"/>
      <c r="B3167" s="16"/>
      <c r="C3167" s="16"/>
      <c r="D3167" s="33"/>
      <c r="E3167" s="33"/>
      <c r="F3167" s="33"/>
      <c r="G3167" s="33"/>
      <c r="H3167" s="33"/>
      <c r="I3167" s="31"/>
      <c r="J3167" s="31"/>
      <c r="K3167" s="33"/>
      <c r="L3167" s="33"/>
      <c r="M3167" s="31"/>
      <c r="N3167" s="31"/>
      <c r="O3167" s="16"/>
      <c r="P3167" s="16"/>
      <c r="Q3167" s="16"/>
      <c r="R3167" s="33"/>
      <c r="S3167" s="34"/>
      <c r="T3167" s="34"/>
      <c r="U3167" s="34"/>
      <c r="V3167" s="34"/>
      <c r="W3167" s="34"/>
      <c r="X3167" s="33"/>
      <c r="Y3167" s="35" t="str">
        <f>IF(Tabela2[[#This Row],[SIGLA]]="","",VLOOKUP(Tabela2[[#This Row],[SIGLA]],Tabela1[[#All],[Sigla Arte]:[Crédito]],2,0))</f>
        <v/>
      </c>
      <c r="Z3167" s="31"/>
      <c r="AA3167" s="31" t="str">
        <f>Tabela2[[#This Row],[ILUSTRADOR CRIAÇÃO]]</f>
        <v/>
      </c>
      <c r="AB3167" s="33"/>
      <c r="AC3167" s="16"/>
      <c r="AE3167" s="35" t="str">
        <f t="shared" si="50"/>
        <v>EF1 E002 Mat</v>
      </c>
    </row>
    <row r="3168" spans="1:31" x14ac:dyDescent="0.25">
      <c r="A3168" s="31"/>
      <c r="B3168" s="16"/>
      <c r="C3168" s="16"/>
      <c r="D3168" s="33"/>
      <c r="E3168" s="33"/>
      <c r="F3168" s="33"/>
      <c r="G3168" s="33"/>
      <c r="H3168" s="33"/>
      <c r="I3168" s="31"/>
      <c r="J3168" s="31"/>
      <c r="K3168" s="33"/>
      <c r="L3168" s="33"/>
      <c r="M3168" s="31"/>
      <c r="N3168" s="31"/>
      <c r="O3168" s="16"/>
      <c r="P3168" s="16"/>
      <c r="Q3168" s="16"/>
      <c r="R3168" s="33"/>
      <c r="S3168" s="34"/>
      <c r="T3168" s="34"/>
      <c r="U3168" s="34"/>
      <c r="V3168" s="34"/>
      <c r="W3168" s="34"/>
      <c r="X3168" s="33"/>
      <c r="Y3168" s="35" t="str">
        <f>IF(Tabela2[[#This Row],[SIGLA]]="","",VLOOKUP(Tabela2[[#This Row],[SIGLA]],Tabela1[[#All],[Sigla Arte]:[Crédito]],2,0))</f>
        <v/>
      </c>
      <c r="Z3168" s="31"/>
      <c r="AA3168" s="31" t="str">
        <f>Tabela2[[#This Row],[ILUSTRADOR CRIAÇÃO]]</f>
        <v/>
      </c>
      <c r="AB3168" s="33"/>
      <c r="AC3168" s="16"/>
      <c r="AE3168" s="35" t="str">
        <f t="shared" si="50"/>
        <v>EF1 E002 Mat</v>
      </c>
    </row>
    <row r="3169" spans="1:31" x14ac:dyDescent="0.25">
      <c r="A3169" s="31"/>
      <c r="B3169" s="16"/>
      <c r="C3169" s="16"/>
      <c r="D3169" s="33"/>
      <c r="E3169" s="33"/>
      <c r="F3169" s="33"/>
      <c r="G3169" s="33"/>
      <c r="H3169" s="33"/>
      <c r="I3169" s="31"/>
      <c r="J3169" s="31"/>
      <c r="K3169" s="33"/>
      <c r="L3169" s="33"/>
      <c r="M3169" s="31"/>
      <c r="N3169" s="31"/>
      <c r="O3169" s="16"/>
      <c r="P3169" s="16"/>
      <c r="Q3169" s="16"/>
      <c r="R3169" s="33"/>
      <c r="S3169" s="34"/>
      <c r="T3169" s="34"/>
      <c r="U3169" s="34"/>
      <c r="V3169" s="34"/>
      <c r="W3169" s="34"/>
      <c r="X3169" s="33"/>
      <c r="Y3169" s="35" t="str">
        <f>IF(Tabela2[[#This Row],[SIGLA]]="","",VLOOKUP(Tabela2[[#This Row],[SIGLA]],Tabela1[[#All],[Sigla Arte]:[Crédito]],2,0))</f>
        <v/>
      </c>
      <c r="Z3169" s="31"/>
      <c r="AA3169" s="31" t="str">
        <f>Tabela2[[#This Row],[ILUSTRADOR CRIAÇÃO]]</f>
        <v/>
      </c>
      <c r="AB3169" s="33"/>
      <c r="AC3169" s="16"/>
      <c r="AE3169" s="35" t="str">
        <f t="shared" si="50"/>
        <v>EF1 E002 Mat</v>
      </c>
    </row>
    <row r="3170" spans="1:31" x14ac:dyDescent="0.25">
      <c r="A3170" s="31"/>
      <c r="B3170" s="16"/>
      <c r="C3170" s="16"/>
      <c r="D3170" s="33"/>
      <c r="E3170" s="33"/>
      <c r="F3170" s="33"/>
      <c r="G3170" s="33"/>
      <c r="H3170" s="33"/>
      <c r="I3170" s="31"/>
      <c r="J3170" s="31"/>
      <c r="K3170" s="33"/>
      <c r="L3170" s="33"/>
      <c r="M3170" s="31"/>
      <c r="N3170" s="31"/>
      <c r="O3170" s="16"/>
      <c r="P3170" s="16"/>
      <c r="Q3170" s="16"/>
      <c r="R3170" s="33"/>
      <c r="S3170" s="34"/>
      <c r="T3170" s="34"/>
      <c r="U3170" s="34"/>
      <c r="V3170" s="34"/>
      <c r="W3170" s="34"/>
      <c r="X3170" s="33"/>
      <c r="Y3170" s="35" t="str">
        <f>IF(Tabela2[[#This Row],[SIGLA]]="","",VLOOKUP(Tabela2[[#This Row],[SIGLA]],Tabela1[[#All],[Sigla Arte]:[Crédito]],2,0))</f>
        <v/>
      </c>
      <c r="Z3170" s="31"/>
      <c r="AA3170" s="31" t="str">
        <f>Tabela2[[#This Row],[ILUSTRADOR CRIAÇÃO]]</f>
        <v/>
      </c>
      <c r="AB3170" s="33"/>
      <c r="AC3170" s="16"/>
      <c r="AE3170" s="35" t="str">
        <f t="shared" si="50"/>
        <v>EF1 E002 Mat</v>
      </c>
    </row>
    <row r="3171" spans="1:31" x14ac:dyDescent="0.25">
      <c r="A3171" s="31"/>
      <c r="B3171" s="16"/>
      <c r="C3171" s="16"/>
      <c r="D3171" s="33"/>
      <c r="E3171" s="33"/>
      <c r="F3171" s="33"/>
      <c r="G3171" s="33"/>
      <c r="H3171" s="33"/>
      <c r="I3171" s="31"/>
      <c r="J3171" s="31"/>
      <c r="K3171" s="33"/>
      <c r="L3171" s="33"/>
      <c r="M3171" s="31"/>
      <c r="N3171" s="31"/>
      <c r="O3171" s="16"/>
      <c r="P3171" s="16"/>
      <c r="Q3171" s="16"/>
      <c r="R3171" s="33"/>
      <c r="S3171" s="34"/>
      <c r="T3171" s="34"/>
      <c r="U3171" s="34"/>
      <c r="V3171" s="34"/>
      <c r="W3171" s="34"/>
      <c r="X3171" s="33"/>
      <c r="Y3171" s="35" t="str">
        <f>IF(Tabela2[[#This Row],[SIGLA]]="","",VLOOKUP(Tabela2[[#This Row],[SIGLA]],Tabela1[[#All],[Sigla Arte]:[Crédito]],2,0))</f>
        <v/>
      </c>
      <c r="Z3171" s="31"/>
      <c r="AA3171" s="31" t="str">
        <f>Tabela2[[#This Row],[ILUSTRADOR CRIAÇÃO]]</f>
        <v/>
      </c>
      <c r="AB3171" s="33"/>
      <c r="AC3171" s="16"/>
      <c r="AE3171" s="35" t="str">
        <f t="shared" si="50"/>
        <v>EF1 E002 Mat</v>
      </c>
    </row>
    <row r="3172" spans="1:31" x14ac:dyDescent="0.25">
      <c r="A3172" s="31"/>
      <c r="B3172" s="16"/>
      <c r="C3172" s="16"/>
      <c r="D3172" s="33"/>
      <c r="E3172" s="33"/>
      <c r="F3172" s="33"/>
      <c r="G3172" s="33"/>
      <c r="H3172" s="33"/>
      <c r="I3172" s="31"/>
      <c r="J3172" s="31"/>
      <c r="K3172" s="33"/>
      <c r="L3172" s="33"/>
      <c r="M3172" s="31"/>
      <c r="N3172" s="31"/>
      <c r="O3172" s="16"/>
      <c r="P3172" s="16"/>
      <c r="Q3172" s="16"/>
      <c r="R3172" s="33"/>
      <c r="S3172" s="34"/>
      <c r="T3172" s="34"/>
      <c r="U3172" s="34"/>
      <c r="V3172" s="34"/>
      <c r="W3172" s="34"/>
      <c r="X3172" s="33"/>
      <c r="Y3172" s="35" t="str">
        <f>IF(Tabela2[[#This Row],[SIGLA]]="","",VLOOKUP(Tabela2[[#This Row],[SIGLA]],Tabela1[[#All],[Sigla Arte]:[Crédito]],2,0))</f>
        <v/>
      </c>
      <c r="Z3172" s="31"/>
      <c r="AA3172" s="31" t="str">
        <f>Tabela2[[#This Row],[ILUSTRADOR CRIAÇÃO]]</f>
        <v/>
      </c>
      <c r="AB3172" s="33"/>
      <c r="AC3172" s="16"/>
      <c r="AE3172" s="35" t="str">
        <f t="shared" si="50"/>
        <v>EF1 E002 Mat</v>
      </c>
    </row>
    <row r="3173" spans="1:31" x14ac:dyDescent="0.25">
      <c r="A3173" s="31"/>
      <c r="B3173" s="16"/>
      <c r="C3173" s="16"/>
      <c r="D3173" s="33"/>
      <c r="E3173" s="33"/>
      <c r="F3173" s="33"/>
      <c r="G3173" s="33"/>
      <c r="H3173" s="33"/>
      <c r="I3173" s="31"/>
      <c r="J3173" s="31"/>
      <c r="K3173" s="33"/>
      <c r="L3173" s="33"/>
      <c r="M3173" s="31"/>
      <c r="N3173" s="31"/>
      <c r="O3173" s="16"/>
      <c r="P3173" s="16"/>
      <c r="Q3173" s="16"/>
      <c r="R3173" s="33"/>
      <c r="S3173" s="34"/>
      <c r="T3173" s="34"/>
      <c r="U3173" s="34"/>
      <c r="V3173" s="34"/>
      <c r="W3173" s="34"/>
      <c r="X3173" s="33"/>
      <c r="Y3173" s="35" t="str">
        <f>IF(Tabela2[[#This Row],[SIGLA]]="","",VLOOKUP(Tabela2[[#This Row],[SIGLA]],Tabela1[[#All],[Sigla Arte]:[Crédito]],2,0))</f>
        <v/>
      </c>
      <c r="Z3173" s="31"/>
      <c r="AA3173" s="31" t="str">
        <f>Tabela2[[#This Row],[ILUSTRADOR CRIAÇÃO]]</f>
        <v/>
      </c>
      <c r="AB3173" s="33"/>
      <c r="AC3173" s="16"/>
      <c r="AE3173" s="35" t="str">
        <f t="shared" si="50"/>
        <v>EF1 E002 Mat</v>
      </c>
    </row>
    <row r="3174" spans="1:31" x14ac:dyDescent="0.25">
      <c r="A3174" s="31"/>
      <c r="B3174" s="16"/>
      <c r="C3174" s="16"/>
      <c r="D3174" s="33"/>
      <c r="E3174" s="33"/>
      <c r="F3174" s="33"/>
      <c r="G3174" s="33"/>
      <c r="H3174" s="33"/>
      <c r="I3174" s="31"/>
      <c r="J3174" s="31"/>
      <c r="K3174" s="33"/>
      <c r="L3174" s="33"/>
      <c r="M3174" s="31"/>
      <c r="N3174" s="31"/>
      <c r="O3174" s="16"/>
      <c r="P3174" s="16"/>
      <c r="Q3174" s="16"/>
      <c r="R3174" s="33"/>
      <c r="S3174" s="34"/>
      <c r="T3174" s="34"/>
      <c r="U3174" s="34"/>
      <c r="V3174" s="34"/>
      <c r="W3174" s="34"/>
      <c r="X3174" s="33"/>
      <c r="Y3174" s="35" t="str">
        <f>IF(Tabela2[[#This Row],[SIGLA]]="","",VLOOKUP(Tabela2[[#This Row],[SIGLA]],Tabela1[[#All],[Sigla Arte]:[Crédito]],2,0))</f>
        <v/>
      </c>
      <c r="Z3174" s="31"/>
      <c r="AA3174" s="31" t="str">
        <f>Tabela2[[#This Row],[ILUSTRADOR CRIAÇÃO]]</f>
        <v/>
      </c>
      <c r="AB3174" s="33"/>
      <c r="AC3174" s="16"/>
      <c r="AE3174" s="35" t="str">
        <f t="shared" si="50"/>
        <v>EF1 E002 Mat</v>
      </c>
    </row>
    <row r="3175" spans="1:31" x14ac:dyDescent="0.25">
      <c r="A3175" s="31"/>
      <c r="B3175" s="16"/>
      <c r="C3175" s="16"/>
      <c r="D3175" s="33"/>
      <c r="E3175" s="33"/>
      <c r="F3175" s="33"/>
      <c r="G3175" s="33"/>
      <c r="H3175" s="33"/>
      <c r="I3175" s="31"/>
      <c r="J3175" s="31"/>
      <c r="K3175" s="33"/>
      <c r="L3175" s="33"/>
      <c r="M3175" s="31"/>
      <c r="N3175" s="31"/>
      <c r="O3175" s="16"/>
      <c r="P3175" s="16"/>
      <c r="Q3175" s="16"/>
      <c r="R3175" s="33"/>
      <c r="S3175" s="34"/>
      <c r="T3175" s="34"/>
      <c r="U3175" s="34"/>
      <c r="V3175" s="34"/>
      <c r="W3175" s="34"/>
      <c r="X3175" s="33"/>
      <c r="Y3175" s="35" t="str">
        <f>IF(Tabela2[[#This Row],[SIGLA]]="","",VLOOKUP(Tabela2[[#This Row],[SIGLA]],Tabela1[[#All],[Sigla Arte]:[Crédito]],2,0))</f>
        <v/>
      </c>
      <c r="Z3175" s="31"/>
      <c r="AA3175" s="31" t="str">
        <f>Tabela2[[#This Row],[ILUSTRADOR CRIAÇÃO]]</f>
        <v/>
      </c>
      <c r="AB3175" s="33"/>
      <c r="AC3175" s="16"/>
      <c r="AE3175" s="35" t="str">
        <f t="shared" si="50"/>
        <v>EF1 E002 Mat</v>
      </c>
    </row>
    <row r="3176" spans="1:31" x14ac:dyDescent="0.25">
      <c r="A3176" s="31"/>
      <c r="B3176" s="16"/>
      <c r="C3176" s="16"/>
      <c r="D3176" s="33"/>
      <c r="E3176" s="33"/>
      <c r="F3176" s="33"/>
      <c r="G3176" s="33"/>
      <c r="H3176" s="33"/>
      <c r="I3176" s="31"/>
      <c r="J3176" s="31"/>
      <c r="K3176" s="33"/>
      <c r="L3176" s="33"/>
      <c r="M3176" s="31"/>
      <c r="N3176" s="31"/>
      <c r="O3176" s="16"/>
      <c r="P3176" s="16"/>
      <c r="Q3176" s="16"/>
      <c r="R3176" s="33"/>
      <c r="S3176" s="34"/>
      <c r="T3176" s="34"/>
      <c r="U3176" s="34"/>
      <c r="V3176" s="34"/>
      <c r="W3176" s="34"/>
      <c r="X3176" s="33"/>
      <c r="Y3176" s="35" t="str">
        <f>IF(Tabela2[[#This Row],[SIGLA]]="","",VLOOKUP(Tabela2[[#This Row],[SIGLA]],Tabela1[[#All],[Sigla Arte]:[Crédito]],2,0))</f>
        <v/>
      </c>
      <c r="Z3176" s="31"/>
      <c r="AA3176" s="31" t="str">
        <f>Tabela2[[#This Row],[ILUSTRADOR CRIAÇÃO]]</f>
        <v/>
      </c>
      <c r="AB3176" s="33"/>
      <c r="AC3176" s="16"/>
      <c r="AE3176" s="35" t="str">
        <f t="shared" si="50"/>
        <v>EF1 E002 Mat</v>
      </c>
    </row>
    <row r="3177" spans="1:31" x14ac:dyDescent="0.25">
      <c r="A3177" s="31"/>
      <c r="B3177" s="16"/>
      <c r="C3177" s="16"/>
      <c r="D3177" s="33"/>
      <c r="E3177" s="33"/>
      <c r="F3177" s="33"/>
      <c r="G3177" s="33"/>
      <c r="H3177" s="33"/>
      <c r="I3177" s="31"/>
      <c r="J3177" s="31"/>
      <c r="K3177" s="33"/>
      <c r="L3177" s="33"/>
      <c r="M3177" s="31"/>
      <c r="N3177" s="31"/>
      <c r="O3177" s="16"/>
      <c r="P3177" s="16"/>
      <c r="Q3177" s="16"/>
      <c r="R3177" s="33"/>
      <c r="S3177" s="34"/>
      <c r="T3177" s="34"/>
      <c r="U3177" s="34"/>
      <c r="V3177" s="34"/>
      <c r="W3177" s="34"/>
      <c r="X3177" s="33"/>
      <c r="Y3177" s="35" t="str">
        <f>IF(Tabela2[[#This Row],[SIGLA]]="","",VLOOKUP(Tabela2[[#This Row],[SIGLA]],Tabela1[[#All],[Sigla Arte]:[Crédito]],2,0))</f>
        <v/>
      </c>
      <c r="Z3177" s="31"/>
      <c r="AA3177" s="31" t="str">
        <f>Tabela2[[#This Row],[ILUSTRADOR CRIAÇÃO]]</f>
        <v/>
      </c>
      <c r="AB3177" s="33"/>
      <c r="AC3177" s="16"/>
      <c r="AE3177" s="35" t="str">
        <f t="shared" si="50"/>
        <v>EF1 E002 Mat</v>
      </c>
    </row>
    <row r="3178" spans="1:31" x14ac:dyDescent="0.25">
      <c r="A3178" s="31"/>
      <c r="B3178" s="16"/>
      <c r="C3178" s="16"/>
      <c r="D3178" s="33"/>
      <c r="E3178" s="33"/>
      <c r="F3178" s="33"/>
      <c r="G3178" s="33"/>
      <c r="H3178" s="33"/>
      <c r="I3178" s="31"/>
      <c r="J3178" s="31"/>
      <c r="K3178" s="33"/>
      <c r="L3178" s="33"/>
      <c r="M3178" s="31"/>
      <c r="N3178" s="31"/>
      <c r="O3178" s="16"/>
      <c r="P3178" s="16"/>
      <c r="Q3178" s="16"/>
      <c r="R3178" s="33"/>
      <c r="S3178" s="34"/>
      <c r="T3178" s="34"/>
      <c r="U3178" s="34"/>
      <c r="V3178" s="34"/>
      <c r="W3178" s="34"/>
      <c r="X3178" s="33"/>
      <c r="Y3178" s="35" t="str">
        <f>IF(Tabela2[[#This Row],[SIGLA]]="","",VLOOKUP(Tabela2[[#This Row],[SIGLA]],Tabela1[[#All],[Sigla Arte]:[Crédito]],2,0))</f>
        <v/>
      </c>
      <c r="Z3178" s="31"/>
      <c r="AA3178" s="31" t="str">
        <f>Tabela2[[#This Row],[ILUSTRADOR CRIAÇÃO]]</f>
        <v/>
      </c>
      <c r="AB3178" s="33"/>
      <c r="AC3178" s="16"/>
      <c r="AE3178" s="35" t="str">
        <f t="shared" si="50"/>
        <v>EF1 E002 Mat</v>
      </c>
    </row>
    <row r="3179" spans="1:31" x14ac:dyDescent="0.25">
      <c r="A3179" s="31"/>
      <c r="B3179" s="16"/>
      <c r="C3179" s="16"/>
      <c r="D3179" s="33"/>
      <c r="E3179" s="33"/>
      <c r="F3179" s="33"/>
      <c r="G3179" s="33"/>
      <c r="H3179" s="33"/>
      <c r="I3179" s="31"/>
      <c r="J3179" s="31"/>
      <c r="K3179" s="33"/>
      <c r="L3179" s="33"/>
      <c r="M3179" s="31"/>
      <c r="N3179" s="31"/>
      <c r="O3179" s="16"/>
      <c r="P3179" s="16"/>
      <c r="Q3179" s="16"/>
      <c r="R3179" s="33"/>
      <c r="S3179" s="34"/>
      <c r="T3179" s="34"/>
      <c r="U3179" s="34"/>
      <c r="V3179" s="34"/>
      <c r="W3179" s="34"/>
      <c r="X3179" s="33"/>
      <c r="Y3179" s="35" t="str">
        <f>IF(Tabela2[[#This Row],[SIGLA]]="","",VLOOKUP(Tabela2[[#This Row],[SIGLA]],Tabela1[[#All],[Sigla Arte]:[Crédito]],2,0))</f>
        <v/>
      </c>
      <c r="Z3179" s="31"/>
      <c r="AA3179" s="31" t="str">
        <f>Tabela2[[#This Row],[ILUSTRADOR CRIAÇÃO]]</f>
        <v/>
      </c>
      <c r="AB3179" s="33"/>
      <c r="AC3179" s="16"/>
      <c r="AE3179" s="35" t="str">
        <f t="shared" si="50"/>
        <v>EF1 E002 Mat</v>
      </c>
    </row>
    <row r="3180" spans="1:31" x14ac:dyDescent="0.25">
      <c r="A3180" s="31"/>
      <c r="B3180" s="16"/>
      <c r="C3180" s="16"/>
      <c r="D3180" s="33"/>
      <c r="E3180" s="33"/>
      <c r="F3180" s="33"/>
      <c r="G3180" s="33"/>
      <c r="H3180" s="33"/>
      <c r="I3180" s="31"/>
      <c r="J3180" s="31"/>
      <c r="K3180" s="33"/>
      <c r="L3180" s="33"/>
      <c r="M3180" s="31"/>
      <c r="N3180" s="31"/>
      <c r="O3180" s="16"/>
      <c r="P3180" s="16"/>
      <c r="Q3180" s="16"/>
      <c r="R3180" s="33"/>
      <c r="S3180" s="34"/>
      <c r="T3180" s="34"/>
      <c r="U3180" s="34"/>
      <c r="V3180" s="34"/>
      <c r="W3180" s="34"/>
      <c r="X3180" s="33"/>
      <c r="Y3180" s="35" t="str">
        <f>IF(Tabela2[[#This Row],[SIGLA]]="","",VLOOKUP(Tabela2[[#This Row],[SIGLA]],Tabela1[[#All],[Sigla Arte]:[Crédito]],2,0))</f>
        <v/>
      </c>
      <c r="Z3180" s="31"/>
      <c r="AA3180" s="31" t="str">
        <f>Tabela2[[#This Row],[ILUSTRADOR CRIAÇÃO]]</f>
        <v/>
      </c>
      <c r="AB3180" s="33"/>
      <c r="AC3180" s="16"/>
      <c r="AE3180" s="35" t="str">
        <f t="shared" si="50"/>
        <v>EF1 E002 Mat</v>
      </c>
    </row>
    <row r="3181" spans="1:31" x14ac:dyDescent="0.25">
      <c r="A3181" s="31"/>
      <c r="B3181" s="16"/>
      <c r="C3181" s="16"/>
      <c r="D3181" s="33"/>
      <c r="E3181" s="33"/>
      <c r="F3181" s="33"/>
      <c r="G3181" s="33"/>
      <c r="H3181" s="33"/>
      <c r="I3181" s="31"/>
      <c r="J3181" s="31"/>
      <c r="K3181" s="33"/>
      <c r="L3181" s="33"/>
      <c r="M3181" s="31"/>
      <c r="N3181" s="31"/>
      <c r="O3181" s="16"/>
      <c r="P3181" s="16"/>
      <c r="Q3181" s="16"/>
      <c r="R3181" s="33"/>
      <c r="S3181" s="34"/>
      <c r="T3181" s="34"/>
      <c r="U3181" s="34"/>
      <c r="V3181" s="34"/>
      <c r="W3181" s="34"/>
      <c r="X3181" s="33"/>
      <c r="Y3181" s="35" t="str">
        <f>IF(Tabela2[[#This Row],[SIGLA]]="","",VLOOKUP(Tabela2[[#This Row],[SIGLA]],Tabela1[[#All],[Sigla Arte]:[Crédito]],2,0))</f>
        <v/>
      </c>
      <c r="Z3181" s="31"/>
      <c r="AA3181" s="31" t="str">
        <f>Tabela2[[#This Row],[ILUSTRADOR CRIAÇÃO]]</f>
        <v/>
      </c>
      <c r="AB3181" s="33"/>
      <c r="AC3181" s="16"/>
      <c r="AE3181" s="35" t="str">
        <f t="shared" si="50"/>
        <v>EF1 E002 Mat</v>
      </c>
    </row>
    <row r="3182" spans="1:31" x14ac:dyDescent="0.25">
      <c r="A3182" s="31"/>
      <c r="B3182" s="16"/>
      <c r="C3182" s="16"/>
      <c r="D3182" s="33"/>
      <c r="E3182" s="33"/>
      <c r="F3182" s="33"/>
      <c r="G3182" s="33"/>
      <c r="H3182" s="33"/>
      <c r="I3182" s="31"/>
      <c r="J3182" s="31"/>
      <c r="K3182" s="33"/>
      <c r="L3182" s="33"/>
      <c r="M3182" s="31"/>
      <c r="N3182" s="31"/>
      <c r="O3182" s="16"/>
      <c r="P3182" s="16"/>
      <c r="Q3182" s="16"/>
      <c r="R3182" s="33"/>
      <c r="S3182" s="34"/>
      <c r="T3182" s="34"/>
      <c r="U3182" s="34"/>
      <c r="V3182" s="34"/>
      <c r="W3182" s="34"/>
      <c r="X3182" s="33"/>
      <c r="Y3182" s="35" t="str">
        <f>IF(Tabela2[[#This Row],[SIGLA]]="","",VLOOKUP(Tabela2[[#This Row],[SIGLA]],Tabela1[[#All],[Sigla Arte]:[Crédito]],2,0))</f>
        <v/>
      </c>
      <c r="Z3182" s="31"/>
      <c r="AA3182" s="31" t="str">
        <f>Tabela2[[#This Row],[ILUSTRADOR CRIAÇÃO]]</f>
        <v/>
      </c>
      <c r="AB3182" s="33"/>
      <c r="AC3182" s="16"/>
      <c r="AE3182" s="35" t="str">
        <f t="shared" si="50"/>
        <v>EF1 E002 Mat</v>
      </c>
    </row>
    <row r="3183" spans="1:31" x14ac:dyDescent="0.25">
      <c r="A3183" s="31"/>
      <c r="B3183" s="16"/>
      <c r="C3183" s="16"/>
      <c r="D3183" s="33"/>
      <c r="E3183" s="33"/>
      <c r="F3183" s="33"/>
      <c r="G3183" s="33"/>
      <c r="H3183" s="33"/>
      <c r="I3183" s="31"/>
      <c r="J3183" s="31"/>
      <c r="K3183" s="33"/>
      <c r="L3183" s="33"/>
      <c r="M3183" s="31"/>
      <c r="N3183" s="31"/>
      <c r="O3183" s="16"/>
      <c r="P3183" s="16"/>
      <c r="Q3183" s="16"/>
      <c r="R3183" s="33"/>
      <c r="S3183" s="34"/>
      <c r="T3183" s="34"/>
      <c r="U3183" s="34"/>
      <c r="V3183" s="34"/>
      <c r="W3183" s="34"/>
      <c r="X3183" s="33"/>
      <c r="Y3183" s="35" t="str">
        <f>IF(Tabela2[[#This Row],[SIGLA]]="","",VLOOKUP(Tabela2[[#This Row],[SIGLA]],Tabela1[[#All],[Sigla Arte]:[Crédito]],2,0))</f>
        <v/>
      </c>
      <c r="Z3183" s="31"/>
      <c r="AA3183" s="31" t="str">
        <f>Tabela2[[#This Row],[ILUSTRADOR CRIAÇÃO]]</f>
        <v/>
      </c>
      <c r="AB3183" s="33"/>
      <c r="AC3183" s="16"/>
      <c r="AE3183" s="35" t="str">
        <f t="shared" si="50"/>
        <v>EF1 E002 Mat</v>
      </c>
    </row>
    <row r="3184" spans="1:31" x14ac:dyDescent="0.25">
      <c r="A3184" s="31"/>
      <c r="B3184" s="16"/>
      <c r="C3184" s="16"/>
      <c r="D3184" s="33"/>
      <c r="E3184" s="33"/>
      <c r="F3184" s="33"/>
      <c r="G3184" s="33"/>
      <c r="H3184" s="33"/>
      <c r="I3184" s="31"/>
      <c r="J3184" s="31"/>
      <c r="K3184" s="33"/>
      <c r="L3184" s="33"/>
      <c r="M3184" s="31"/>
      <c r="N3184" s="31"/>
      <c r="O3184" s="16"/>
      <c r="P3184" s="16"/>
      <c r="Q3184" s="16"/>
      <c r="R3184" s="33"/>
      <c r="S3184" s="34"/>
      <c r="T3184" s="34"/>
      <c r="U3184" s="34"/>
      <c r="V3184" s="34"/>
      <c r="W3184" s="34"/>
      <c r="X3184" s="33"/>
      <c r="Y3184" s="35" t="str">
        <f>IF(Tabela2[[#This Row],[SIGLA]]="","",VLOOKUP(Tabela2[[#This Row],[SIGLA]],Tabela1[[#All],[Sigla Arte]:[Crédito]],2,0))</f>
        <v/>
      </c>
      <c r="Z3184" s="31"/>
      <c r="AA3184" s="31" t="str">
        <f>Tabela2[[#This Row],[ILUSTRADOR CRIAÇÃO]]</f>
        <v/>
      </c>
      <c r="AB3184" s="33"/>
      <c r="AC3184" s="16"/>
      <c r="AE3184" s="35" t="str">
        <f t="shared" si="50"/>
        <v>EF1 E002 Mat</v>
      </c>
    </row>
    <row r="3185" spans="1:31" x14ac:dyDescent="0.25">
      <c r="A3185" s="31"/>
      <c r="B3185" s="16"/>
      <c r="C3185" s="16"/>
      <c r="D3185" s="33"/>
      <c r="E3185" s="33"/>
      <c r="F3185" s="33"/>
      <c r="G3185" s="33"/>
      <c r="H3185" s="33"/>
      <c r="I3185" s="31"/>
      <c r="J3185" s="31"/>
      <c r="K3185" s="33"/>
      <c r="L3185" s="33"/>
      <c r="M3185" s="31"/>
      <c r="N3185" s="31"/>
      <c r="O3185" s="16"/>
      <c r="P3185" s="16"/>
      <c r="Q3185" s="16"/>
      <c r="R3185" s="33"/>
      <c r="S3185" s="34"/>
      <c r="T3185" s="34"/>
      <c r="U3185" s="34"/>
      <c r="V3185" s="34"/>
      <c r="W3185" s="34"/>
      <c r="X3185" s="33"/>
      <c r="Y3185" s="35" t="str">
        <f>IF(Tabela2[[#This Row],[SIGLA]]="","",VLOOKUP(Tabela2[[#This Row],[SIGLA]],Tabela1[[#All],[Sigla Arte]:[Crédito]],2,0))</f>
        <v/>
      </c>
      <c r="Z3185" s="31"/>
      <c r="AA3185" s="31" t="str">
        <f>Tabela2[[#This Row],[ILUSTRADOR CRIAÇÃO]]</f>
        <v/>
      </c>
      <c r="AB3185" s="33"/>
      <c r="AC3185" s="16"/>
      <c r="AE3185" s="35" t="str">
        <f t="shared" si="50"/>
        <v>EF1 E002 Mat</v>
      </c>
    </row>
    <row r="3186" spans="1:31" x14ac:dyDescent="0.25">
      <c r="A3186" s="31"/>
      <c r="B3186" s="16"/>
      <c r="C3186" s="16"/>
      <c r="D3186" s="33"/>
      <c r="E3186" s="33"/>
      <c r="F3186" s="33"/>
      <c r="G3186" s="33"/>
      <c r="H3186" s="33"/>
      <c r="I3186" s="31"/>
      <c r="J3186" s="31"/>
      <c r="K3186" s="33"/>
      <c r="L3186" s="33"/>
      <c r="M3186" s="31"/>
      <c r="N3186" s="31"/>
      <c r="O3186" s="16"/>
      <c r="P3186" s="16"/>
      <c r="Q3186" s="16"/>
      <c r="R3186" s="33"/>
      <c r="S3186" s="34"/>
      <c r="T3186" s="34"/>
      <c r="U3186" s="34"/>
      <c r="V3186" s="34"/>
      <c r="W3186" s="34"/>
      <c r="X3186" s="33"/>
      <c r="Y3186" s="35" t="str">
        <f>IF(Tabela2[[#This Row],[SIGLA]]="","",VLOOKUP(Tabela2[[#This Row],[SIGLA]],Tabela1[[#All],[Sigla Arte]:[Crédito]],2,0))</f>
        <v/>
      </c>
      <c r="Z3186" s="31"/>
      <c r="AA3186" s="31" t="str">
        <f>Tabela2[[#This Row],[ILUSTRADOR CRIAÇÃO]]</f>
        <v/>
      </c>
      <c r="AB3186" s="33"/>
      <c r="AC3186" s="16"/>
      <c r="AE3186" s="35" t="str">
        <f t="shared" ref="AE3186:AE3249" si="51">"EF1 E002 Mat"</f>
        <v>EF1 E002 Mat</v>
      </c>
    </row>
    <row r="3187" spans="1:31" x14ac:dyDescent="0.25">
      <c r="A3187" s="31"/>
      <c r="B3187" s="16"/>
      <c r="C3187" s="16"/>
      <c r="D3187" s="33"/>
      <c r="E3187" s="33"/>
      <c r="F3187" s="33"/>
      <c r="G3187" s="33"/>
      <c r="H3187" s="33"/>
      <c r="I3187" s="31"/>
      <c r="J3187" s="31"/>
      <c r="K3187" s="33"/>
      <c r="L3187" s="33"/>
      <c r="M3187" s="31"/>
      <c r="N3187" s="31"/>
      <c r="O3187" s="16"/>
      <c r="P3187" s="16"/>
      <c r="Q3187" s="16"/>
      <c r="R3187" s="33"/>
      <c r="S3187" s="34"/>
      <c r="T3187" s="34"/>
      <c r="U3187" s="34"/>
      <c r="V3187" s="34"/>
      <c r="W3187" s="34"/>
      <c r="X3187" s="33"/>
      <c r="Y3187" s="35" t="str">
        <f>IF(Tabela2[[#This Row],[SIGLA]]="","",VLOOKUP(Tabela2[[#This Row],[SIGLA]],Tabela1[[#All],[Sigla Arte]:[Crédito]],2,0))</f>
        <v/>
      </c>
      <c r="Z3187" s="31"/>
      <c r="AA3187" s="31" t="str">
        <f>Tabela2[[#This Row],[ILUSTRADOR CRIAÇÃO]]</f>
        <v/>
      </c>
      <c r="AB3187" s="33"/>
      <c r="AC3187" s="16"/>
      <c r="AE3187" s="35" t="str">
        <f t="shared" si="51"/>
        <v>EF1 E002 Mat</v>
      </c>
    </row>
    <row r="3188" spans="1:31" x14ac:dyDescent="0.25">
      <c r="A3188" s="31"/>
      <c r="B3188" s="16"/>
      <c r="C3188" s="16"/>
      <c r="D3188" s="33"/>
      <c r="E3188" s="33"/>
      <c r="F3188" s="33"/>
      <c r="G3188" s="33"/>
      <c r="H3188" s="33"/>
      <c r="I3188" s="31"/>
      <c r="J3188" s="31"/>
      <c r="K3188" s="33"/>
      <c r="L3188" s="33"/>
      <c r="M3188" s="31"/>
      <c r="N3188" s="31"/>
      <c r="O3188" s="16"/>
      <c r="P3188" s="16"/>
      <c r="Q3188" s="16"/>
      <c r="R3188" s="33"/>
      <c r="S3188" s="34"/>
      <c r="T3188" s="34"/>
      <c r="U3188" s="34"/>
      <c r="V3188" s="34"/>
      <c r="W3188" s="34"/>
      <c r="X3188" s="33"/>
      <c r="Y3188" s="35" t="str">
        <f>IF(Tabela2[[#This Row],[SIGLA]]="","",VLOOKUP(Tabela2[[#This Row],[SIGLA]],Tabela1[[#All],[Sigla Arte]:[Crédito]],2,0))</f>
        <v/>
      </c>
      <c r="Z3188" s="31"/>
      <c r="AA3188" s="31" t="str">
        <f>Tabela2[[#This Row],[ILUSTRADOR CRIAÇÃO]]</f>
        <v/>
      </c>
      <c r="AB3188" s="33"/>
      <c r="AC3188" s="16"/>
      <c r="AE3188" s="35" t="str">
        <f t="shared" si="51"/>
        <v>EF1 E002 Mat</v>
      </c>
    </row>
    <row r="3189" spans="1:31" x14ac:dyDescent="0.25">
      <c r="A3189" s="31"/>
      <c r="B3189" s="16"/>
      <c r="C3189" s="16"/>
      <c r="D3189" s="33"/>
      <c r="E3189" s="33"/>
      <c r="F3189" s="33"/>
      <c r="G3189" s="33"/>
      <c r="H3189" s="33"/>
      <c r="I3189" s="31"/>
      <c r="J3189" s="31"/>
      <c r="K3189" s="33"/>
      <c r="L3189" s="33"/>
      <c r="M3189" s="31"/>
      <c r="N3189" s="31"/>
      <c r="O3189" s="16"/>
      <c r="P3189" s="16"/>
      <c r="Q3189" s="16"/>
      <c r="R3189" s="33"/>
      <c r="S3189" s="34"/>
      <c r="T3189" s="34"/>
      <c r="U3189" s="34"/>
      <c r="V3189" s="34"/>
      <c r="W3189" s="34"/>
      <c r="X3189" s="33"/>
      <c r="Y3189" s="35" t="str">
        <f>IF(Tabela2[[#This Row],[SIGLA]]="","",VLOOKUP(Tabela2[[#This Row],[SIGLA]],Tabela1[[#All],[Sigla Arte]:[Crédito]],2,0))</f>
        <v/>
      </c>
      <c r="Z3189" s="31"/>
      <c r="AA3189" s="31" t="str">
        <f>Tabela2[[#This Row],[ILUSTRADOR CRIAÇÃO]]</f>
        <v/>
      </c>
      <c r="AB3189" s="33"/>
      <c r="AC3189" s="16"/>
      <c r="AE3189" s="35" t="str">
        <f t="shared" si="51"/>
        <v>EF1 E002 Mat</v>
      </c>
    </row>
    <row r="3190" spans="1:31" x14ac:dyDescent="0.25">
      <c r="A3190" s="31"/>
      <c r="B3190" s="16"/>
      <c r="C3190" s="16"/>
      <c r="D3190" s="33"/>
      <c r="E3190" s="33"/>
      <c r="F3190" s="33"/>
      <c r="G3190" s="33"/>
      <c r="H3190" s="33"/>
      <c r="I3190" s="31"/>
      <c r="J3190" s="31"/>
      <c r="K3190" s="33"/>
      <c r="L3190" s="33"/>
      <c r="M3190" s="31"/>
      <c r="N3190" s="31"/>
      <c r="O3190" s="16"/>
      <c r="P3190" s="16"/>
      <c r="Q3190" s="16"/>
      <c r="R3190" s="33"/>
      <c r="S3190" s="34"/>
      <c r="T3190" s="34"/>
      <c r="U3190" s="34"/>
      <c r="V3190" s="34"/>
      <c r="W3190" s="34"/>
      <c r="X3190" s="33"/>
      <c r="Y3190" s="35" t="str">
        <f>IF(Tabela2[[#This Row],[SIGLA]]="","",VLOOKUP(Tabela2[[#This Row],[SIGLA]],Tabela1[[#All],[Sigla Arte]:[Crédito]],2,0))</f>
        <v/>
      </c>
      <c r="Z3190" s="31"/>
      <c r="AA3190" s="31" t="str">
        <f>Tabela2[[#This Row],[ILUSTRADOR CRIAÇÃO]]</f>
        <v/>
      </c>
      <c r="AB3190" s="33"/>
      <c r="AC3190" s="16"/>
      <c r="AE3190" s="35" t="str">
        <f t="shared" si="51"/>
        <v>EF1 E002 Mat</v>
      </c>
    </row>
    <row r="3191" spans="1:31" x14ac:dyDescent="0.25">
      <c r="A3191" s="31"/>
      <c r="B3191" s="16"/>
      <c r="C3191" s="16"/>
      <c r="D3191" s="33"/>
      <c r="E3191" s="33"/>
      <c r="F3191" s="33"/>
      <c r="G3191" s="33"/>
      <c r="H3191" s="33"/>
      <c r="I3191" s="31"/>
      <c r="J3191" s="31"/>
      <c r="K3191" s="33"/>
      <c r="L3191" s="33"/>
      <c r="M3191" s="31"/>
      <c r="N3191" s="31"/>
      <c r="O3191" s="16"/>
      <c r="P3191" s="16"/>
      <c r="Q3191" s="16"/>
      <c r="R3191" s="33"/>
      <c r="S3191" s="34"/>
      <c r="T3191" s="34"/>
      <c r="U3191" s="34"/>
      <c r="V3191" s="34"/>
      <c r="W3191" s="34"/>
      <c r="X3191" s="33"/>
      <c r="Y3191" s="35" t="str">
        <f>IF(Tabela2[[#This Row],[SIGLA]]="","",VLOOKUP(Tabela2[[#This Row],[SIGLA]],Tabela1[[#All],[Sigla Arte]:[Crédito]],2,0))</f>
        <v/>
      </c>
      <c r="Z3191" s="31"/>
      <c r="AA3191" s="31" t="str">
        <f>Tabela2[[#This Row],[ILUSTRADOR CRIAÇÃO]]</f>
        <v/>
      </c>
      <c r="AB3191" s="33"/>
      <c r="AC3191" s="16"/>
      <c r="AE3191" s="35" t="str">
        <f t="shared" si="51"/>
        <v>EF1 E002 Mat</v>
      </c>
    </row>
    <row r="3192" spans="1:31" x14ac:dyDescent="0.25">
      <c r="A3192" s="31"/>
      <c r="B3192" s="16"/>
      <c r="C3192" s="16"/>
      <c r="D3192" s="33"/>
      <c r="E3192" s="33"/>
      <c r="F3192" s="33"/>
      <c r="G3192" s="33"/>
      <c r="H3192" s="33"/>
      <c r="I3192" s="31"/>
      <c r="J3192" s="31"/>
      <c r="K3192" s="33"/>
      <c r="L3192" s="33"/>
      <c r="M3192" s="31"/>
      <c r="N3192" s="31"/>
      <c r="O3192" s="16"/>
      <c r="P3192" s="16"/>
      <c r="Q3192" s="16"/>
      <c r="R3192" s="33"/>
      <c r="S3192" s="34"/>
      <c r="T3192" s="34"/>
      <c r="U3192" s="34"/>
      <c r="V3192" s="34"/>
      <c r="W3192" s="34"/>
      <c r="X3192" s="33"/>
      <c r="Y3192" s="35" t="str">
        <f>IF(Tabela2[[#This Row],[SIGLA]]="","",VLOOKUP(Tabela2[[#This Row],[SIGLA]],Tabela1[[#All],[Sigla Arte]:[Crédito]],2,0))</f>
        <v/>
      </c>
      <c r="Z3192" s="31"/>
      <c r="AA3192" s="31" t="str">
        <f>Tabela2[[#This Row],[ILUSTRADOR CRIAÇÃO]]</f>
        <v/>
      </c>
      <c r="AB3192" s="33"/>
      <c r="AC3192" s="16"/>
      <c r="AE3192" s="35" t="str">
        <f t="shared" si="51"/>
        <v>EF1 E002 Mat</v>
      </c>
    </row>
    <row r="3193" spans="1:31" x14ac:dyDescent="0.25">
      <c r="A3193" s="31"/>
      <c r="B3193" s="16"/>
      <c r="C3193" s="16"/>
      <c r="D3193" s="33"/>
      <c r="E3193" s="33"/>
      <c r="F3193" s="33"/>
      <c r="G3193" s="33"/>
      <c r="H3193" s="33"/>
      <c r="I3193" s="31"/>
      <c r="J3193" s="31"/>
      <c r="K3193" s="33"/>
      <c r="L3193" s="33"/>
      <c r="M3193" s="31"/>
      <c r="N3193" s="31"/>
      <c r="O3193" s="16"/>
      <c r="P3193" s="16"/>
      <c r="Q3193" s="16"/>
      <c r="R3193" s="33"/>
      <c r="S3193" s="34"/>
      <c r="T3193" s="34"/>
      <c r="U3193" s="34"/>
      <c r="V3193" s="34"/>
      <c r="W3193" s="34"/>
      <c r="X3193" s="33"/>
      <c r="Y3193" s="35" t="str">
        <f>IF(Tabela2[[#This Row],[SIGLA]]="","",VLOOKUP(Tabela2[[#This Row],[SIGLA]],Tabela1[[#All],[Sigla Arte]:[Crédito]],2,0))</f>
        <v/>
      </c>
      <c r="Z3193" s="31"/>
      <c r="AA3193" s="31" t="str">
        <f>Tabela2[[#This Row],[ILUSTRADOR CRIAÇÃO]]</f>
        <v/>
      </c>
      <c r="AB3193" s="33"/>
      <c r="AC3193" s="16"/>
      <c r="AE3193" s="35" t="str">
        <f t="shared" si="51"/>
        <v>EF1 E002 Mat</v>
      </c>
    </row>
    <row r="3194" spans="1:31" x14ac:dyDescent="0.25">
      <c r="A3194" s="31"/>
      <c r="B3194" s="16"/>
      <c r="C3194" s="16"/>
      <c r="D3194" s="33"/>
      <c r="E3194" s="33"/>
      <c r="F3194" s="33"/>
      <c r="G3194" s="33"/>
      <c r="H3194" s="33"/>
      <c r="I3194" s="31"/>
      <c r="J3194" s="31"/>
      <c r="K3194" s="33"/>
      <c r="L3194" s="33"/>
      <c r="M3194" s="31"/>
      <c r="N3194" s="31"/>
      <c r="O3194" s="16"/>
      <c r="P3194" s="16"/>
      <c r="Q3194" s="16"/>
      <c r="R3194" s="33"/>
      <c r="S3194" s="34"/>
      <c r="T3194" s="34"/>
      <c r="U3194" s="34"/>
      <c r="V3194" s="34"/>
      <c r="W3194" s="34"/>
      <c r="X3194" s="33"/>
      <c r="Y3194" s="35" t="str">
        <f>IF(Tabela2[[#This Row],[SIGLA]]="","",VLOOKUP(Tabela2[[#This Row],[SIGLA]],Tabela1[[#All],[Sigla Arte]:[Crédito]],2,0))</f>
        <v/>
      </c>
      <c r="Z3194" s="31"/>
      <c r="AA3194" s="31" t="str">
        <f>Tabela2[[#This Row],[ILUSTRADOR CRIAÇÃO]]</f>
        <v/>
      </c>
      <c r="AB3194" s="33"/>
      <c r="AC3194" s="16"/>
      <c r="AE3194" s="35" t="str">
        <f t="shared" si="51"/>
        <v>EF1 E002 Mat</v>
      </c>
    </row>
    <row r="3195" spans="1:31" x14ac:dyDescent="0.25">
      <c r="A3195" s="31"/>
      <c r="B3195" s="16"/>
      <c r="C3195" s="16"/>
      <c r="D3195" s="33"/>
      <c r="E3195" s="33"/>
      <c r="F3195" s="33"/>
      <c r="G3195" s="33"/>
      <c r="H3195" s="33"/>
      <c r="I3195" s="31"/>
      <c r="J3195" s="31"/>
      <c r="K3195" s="33"/>
      <c r="L3195" s="33"/>
      <c r="M3195" s="31"/>
      <c r="N3195" s="31"/>
      <c r="O3195" s="16"/>
      <c r="P3195" s="16"/>
      <c r="Q3195" s="16"/>
      <c r="R3195" s="33"/>
      <c r="S3195" s="34"/>
      <c r="T3195" s="34"/>
      <c r="U3195" s="34"/>
      <c r="V3195" s="34"/>
      <c r="W3195" s="34"/>
      <c r="X3195" s="33"/>
      <c r="Y3195" s="35" t="str">
        <f>IF(Tabela2[[#This Row],[SIGLA]]="","",VLOOKUP(Tabela2[[#This Row],[SIGLA]],Tabela1[[#All],[Sigla Arte]:[Crédito]],2,0))</f>
        <v/>
      </c>
      <c r="Z3195" s="31"/>
      <c r="AA3195" s="31" t="str">
        <f>Tabela2[[#This Row],[ILUSTRADOR CRIAÇÃO]]</f>
        <v/>
      </c>
      <c r="AB3195" s="33"/>
      <c r="AC3195" s="16"/>
      <c r="AE3195" s="35" t="str">
        <f t="shared" si="51"/>
        <v>EF1 E002 Mat</v>
      </c>
    </row>
    <row r="3196" spans="1:31" x14ac:dyDescent="0.25">
      <c r="A3196" s="31"/>
      <c r="B3196" s="16"/>
      <c r="C3196" s="16"/>
      <c r="D3196" s="33"/>
      <c r="E3196" s="33"/>
      <c r="F3196" s="33"/>
      <c r="G3196" s="33"/>
      <c r="H3196" s="33"/>
      <c r="I3196" s="31"/>
      <c r="J3196" s="31"/>
      <c r="K3196" s="33"/>
      <c r="L3196" s="33"/>
      <c r="M3196" s="31"/>
      <c r="N3196" s="31"/>
      <c r="O3196" s="16"/>
      <c r="P3196" s="16"/>
      <c r="Q3196" s="16"/>
      <c r="R3196" s="33"/>
      <c r="S3196" s="34"/>
      <c r="T3196" s="34"/>
      <c r="U3196" s="34"/>
      <c r="V3196" s="34"/>
      <c r="W3196" s="34"/>
      <c r="X3196" s="33"/>
      <c r="Y3196" s="35" t="str">
        <f>IF(Tabela2[[#This Row],[SIGLA]]="","",VLOOKUP(Tabela2[[#This Row],[SIGLA]],Tabela1[[#All],[Sigla Arte]:[Crédito]],2,0))</f>
        <v/>
      </c>
      <c r="Z3196" s="31"/>
      <c r="AA3196" s="31" t="str">
        <f>Tabela2[[#This Row],[ILUSTRADOR CRIAÇÃO]]</f>
        <v/>
      </c>
      <c r="AB3196" s="33"/>
      <c r="AC3196" s="16"/>
      <c r="AE3196" s="35" t="str">
        <f t="shared" si="51"/>
        <v>EF1 E002 Mat</v>
      </c>
    </row>
    <row r="3197" spans="1:31" x14ac:dyDescent="0.25">
      <c r="A3197" s="31"/>
      <c r="B3197" s="16"/>
      <c r="C3197" s="16"/>
      <c r="D3197" s="33"/>
      <c r="E3197" s="33"/>
      <c r="F3197" s="33"/>
      <c r="G3197" s="33"/>
      <c r="H3197" s="33"/>
      <c r="I3197" s="31"/>
      <c r="J3197" s="31"/>
      <c r="K3197" s="33"/>
      <c r="L3197" s="33"/>
      <c r="M3197" s="31"/>
      <c r="N3197" s="31"/>
      <c r="O3197" s="16"/>
      <c r="P3197" s="16"/>
      <c r="Q3197" s="16"/>
      <c r="R3197" s="33"/>
      <c r="S3197" s="34"/>
      <c r="T3197" s="34"/>
      <c r="U3197" s="34"/>
      <c r="V3197" s="34"/>
      <c r="W3197" s="34"/>
      <c r="X3197" s="33"/>
      <c r="Y3197" s="35" t="str">
        <f>IF(Tabela2[[#This Row],[SIGLA]]="","",VLOOKUP(Tabela2[[#This Row],[SIGLA]],Tabela1[[#All],[Sigla Arte]:[Crédito]],2,0))</f>
        <v/>
      </c>
      <c r="Z3197" s="31"/>
      <c r="AA3197" s="31" t="str">
        <f>Tabela2[[#This Row],[ILUSTRADOR CRIAÇÃO]]</f>
        <v/>
      </c>
      <c r="AB3197" s="33"/>
      <c r="AC3197" s="16"/>
      <c r="AE3197" s="35" t="str">
        <f t="shared" si="51"/>
        <v>EF1 E002 Mat</v>
      </c>
    </row>
    <row r="3198" spans="1:31" x14ac:dyDescent="0.25">
      <c r="A3198" s="31"/>
      <c r="B3198" s="16"/>
      <c r="C3198" s="16"/>
      <c r="D3198" s="33"/>
      <c r="E3198" s="33"/>
      <c r="F3198" s="33"/>
      <c r="G3198" s="33"/>
      <c r="H3198" s="33"/>
      <c r="I3198" s="31"/>
      <c r="J3198" s="31"/>
      <c r="K3198" s="33"/>
      <c r="L3198" s="33"/>
      <c r="M3198" s="31"/>
      <c r="N3198" s="31"/>
      <c r="O3198" s="16"/>
      <c r="P3198" s="16"/>
      <c r="Q3198" s="16"/>
      <c r="R3198" s="33"/>
      <c r="S3198" s="34"/>
      <c r="T3198" s="34"/>
      <c r="U3198" s="34"/>
      <c r="V3198" s="34"/>
      <c r="W3198" s="34"/>
      <c r="X3198" s="33"/>
      <c r="Y3198" s="35" t="str">
        <f>IF(Tabela2[[#This Row],[SIGLA]]="","",VLOOKUP(Tabela2[[#This Row],[SIGLA]],Tabela1[[#All],[Sigla Arte]:[Crédito]],2,0))</f>
        <v/>
      </c>
      <c r="Z3198" s="31"/>
      <c r="AA3198" s="31" t="str">
        <f>Tabela2[[#This Row],[ILUSTRADOR CRIAÇÃO]]</f>
        <v/>
      </c>
      <c r="AB3198" s="33"/>
      <c r="AC3198" s="16"/>
      <c r="AE3198" s="35" t="str">
        <f t="shared" si="51"/>
        <v>EF1 E002 Mat</v>
      </c>
    </row>
    <row r="3199" spans="1:31" x14ac:dyDescent="0.25">
      <c r="A3199" s="31"/>
      <c r="B3199" s="16"/>
      <c r="C3199" s="16"/>
      <c r="D3199" s="33"/>
      <c r="E3199" s="33"/>
      <c r="F3199" s="33"/>
      <c r="G3199" s="33"/>
      <c r="H3199" s="33"/>
      <c r="I3199" s="31"/>
      <c r="J3199" s="31"/>
      <c r="K3199" s="33"/>
      <c r="L3199" s="33"/>
      <c r="M3199" s="31"/>
      <c r="N3199" s="31"/>
      <c r="O3199" s="16"/>
      <c r="P3199" s="16"/>
      <c r="Q3199" s="16"/>
      <c r="R3199" s="33"/>
      <c r="S3199" s="34"/>
      <c r="T3199" s="34"/>
      <c r="U3199" s="34"/>
      <c r="V3199" s="34"/>
      <c r="W3199" s="34"/>
      <c r="X3199" s="33"/>
      <c r="Y3199" s="35" t="str">
        <f>IF(Tabela2[[#This Row],[SIGLA]]="","",VLOOKUP(Tabela2[[#This Row],[SIGLA]],Tabela1[[#All],[Sigla Arte]:[Crédito]],2,0))</f>
        <v/>
      </c>
      <c r="Z3199" s="31"/>
      <c r="AA3199" s="31" t="str">
        <f>Tabela2[[#This Row],[ILUSTRADOR CRIAÇÃO]]</f>
        <v/>
      </c>
      <c r="AB3199" s="33"/>
      <c r="AC3199" s="16"/>
      <c r="AE3199" s="35" t="str">
        <f t="shared" si="51"/>
        <v>EF1 E002 Mat</v>
      </c>
    </row>
    <row r="3200" spans="1:31" x14ac:dyDescent="0.25">
      <c r="A3200" s="31"/>
      <c r="B3200" s="16"/>
      <c r="C3200" s="16"/>
      <c r="D3200" s="33"/>
      <c r="E3200" s="33"/>
      <c r="F3200" s="33"/>
      <c r="G3200" s="33"/>
      <c r="H3200" s="33"/>
      <c r="I3200" s="31"/>
      <c r="J3200" s="31"/>
      <c r="K3200" s="33"/>
      <c r="L3200" s="33"/>
      <c r="M3200" s="31"/>
      <c r="N3200" s="31"/>
      <c r="O3200" s="16"/>
      <c r="P3200" s="16"/>
      <c r="Q3200" s="16"/>
      <c r="R3200" s="33"/>
      <c r="S3200" s="34"/>
      <c r="T3200" s="34"/>
      <c r="U3200" s="34"/>
      <c r="V3200" s="34"/>
      <c r="W3200" s="34"/>
      <c r="X3200" s="33"/>
      <c r="Y3200" s="35" t="str">
        <f>IF(Tabela2[[#This Row],[SIGLA]]="","",VLOOKUP(Tabela2[[#This Row],[SIGLA]],Tabela1[[#All],[Sigla Arte]:[Crédito]],2,0))</f>
        <v/>
      </c>
      <c r="Z3200" s="31"/>
      <c r="AA3200" s="31" t="str">
        <f>Tabela2[[#This Row],[ILUSTRADOR CRIAÇÃO]]</f>
        <v/>
      </c>
      <c r="AB3200" s="33"/>
      <c r="AC3200" s="16"/>
      <c r="AE3200" s="35" t="str">
        <f t="shared" si="51"/>
        <v>EF1 E002 Mat</v>
      </c>
    </row>
    <row r="3201" spans="1:31" x14ac:dyDescent="0.25">
      <c r="A3201" s="31"/>
      <c r="B3201" s="16"/>
      <c r="C3201" s="16"/>
      <c r="D3201" s="33"/>
      <c r="E3201" s="33"/>
      <c r="F3201" s="33"/>
      <c r="G3201" s="33"/>
      <c r="H3201" s="33"/>
      <c r="I3201" s="31"/>
      <c r="J3201" s="31"/>
      <c r="K3201" s="33"/>
      <c r="L3201" s="33"/>
      <c r="M3201" s="31"/>
      <c r="N3201" s="31"/>
      <c r="O3201" s="16"/>
      <c r="P3201" s="16"/>
      <c r="Q3201" s="16"/>
      <c r="R3201" s="33"/>
      <c r="S3201" s="34"/>
      <c r="T3201" s="34"/>
      <c r="U3201" s="34"/>
      <c r="V3201" s="34"/>
      <c r="W3201" s="34"/>
      <c r="X3201" s="33"/>
      <c r="Y3201" s="35" t="str">
        <f>IF(Tabela2[[#This Row],[SIGLA]]="","",VLOOKUP(Tabela2[[#This Row],[SIGLA]],Tabela1[[#All],[Sigla Arte]:[Crédito]],2,0))</f>
        <v/>
      </c>
      <c r="Z3201" s="31"/>
      <c r="AA3201" s="31" t="str">
        <f>Tabela2[[#This Row],[ILUSTRADOR CRIAÇÃO]]</f>
        <v/>
      </c>
      <c r="AB3201" s="33"/>
      <c r="AC3201" s="16"/>
      <c r="AE3201" s="35" t="str">
        <f t="shared" si="51"/>
        <v>EF1 E002 Mat</v>
      </c>
    </row>
    <row r="3202" spans="1:31" x14ac:dyDescent="0.25">
      <c r="A3202" s="31"/>
      <c r="B3202" s="16"/>
      <c r="C3202" s="16"/>
      <c r="D3202" s="33"/>
      <c r="E3202" s="33"/>
      <c r="F3202" s="33"/>
      <c r="G3202" s="33"/>
      <c r="H3202" s="33"/>
      <c r="I3202" s="31"/>
      <c r="J3202" s="31"/>
      <c r="K3202" s="33"/>
      <c r="L3202" s="33"/>
      <c r="M3202" s="31"/>
      <c r="N3202" s="31"/>
      <c r="O3202" s="16"/>
      <c r="P3202" s="16"/>
      <c r="Q3202" s="16"/>
      <c r="R3202" s="33"/>
      <c r="S3202" s="34"/>
      <c r="T3202" s="34"/>
      <c r="U3202" s="34"/>
      <c r="V3202" s="34"/>
      <c r="W3202" s="34"/>
      <c r="X3202" s="33"/>
      <c r="Y3202" s="35" t="str">
        <f>IF(Tabela2[[#This Row],[SIGLA]]="","",VLOOKUP(Tabela2[[#This Row],[SIGLA]],Tabela1[[#All],[Sigla Arte]:[Crédito]],2,0))</f>
        <v/>
      </c>
      <c r="Z3202" s="31"/>
      <c r="AA3202" s="31" t="str">
        <f>Tabela2[[#This Row],[ILUSTRADOR CRIAÇÃO]]</f>
        <v/>
      </c>
      <c r="AB3202" s="33"/>
      <c r="AC3202" s="16"/>
      <c r="AE3202" s="35" t="str">
        <f t="shared" si="51"/>
        <v>EF1 E002 Mat</v>
      </c>
    </row>
    <row r="3203" spans="1:31" x14ac:dyDescent="0.25">
      <c r="A3203" s="31"/>
      <c r="B3203" s="16"/>
      <c r="C3203" s="16"/>
      <c r="D3203" s="33"/>
      <c r="E3203" s="33"/>
      <c r="F3203" s="33"/>
      <c r="G3203" s="33"/>
      <c r="H3203" s="33"/>
      <c r="I3203" s="31"/>
      <c r="J3203" s="31"/>
      <c r="K3203" s="33"/>
      <c r="L3203" s="33"/>
      <c r="M3203" s="31"/>
      <c r="N3203" s="31"/>
      <c r="O3203" s="16"/>
      <c r="P3203" s="16"/>
      <c r="Q3203" s="16"/>
      <c r="R3203" s="33"/>
      <c r="S3203" s="34"/>
      <c r="T3203" s="34"/>
      <c r="U3203" s="34"/>
      <c r="V3203" s="34"/>
      <c r="W3203" s="34"/>
      <c r="X3203" s="33"/>
      <c r="Y3203" s="35" t="str">
        <f>IF(Tabela2[[#This Row],[SIGLA]]="","",VLOOKUP(Tabela2[[#This Row],[SIGLA]],Tabela1[[#All],[Sigla Arte]:[Crédito]],2,0))</f>
        <v/>
      </c>
      <c r="Z3203" s="31"/>
      <c r="AA3203" s="31" t="str">
        <f>Tabela2[[#This Row],[ILUSTRADOR CRIAÇÃO]]</f>
        <v/>
      </c>
      <c r="AB3203" s="33"/>
      <c r="AC3203" s="16"/>
      <c r="AE3203" s="35" t="str">
        <f t="shared" si="51"/>
        <v>EF1 E002 Mat</v>
      </c>
    </row>
    <row r="3204" spans="1:31" x14ac:dyDescent="0.25">
      <c r="A3204" s="31"/>
      <c r="B3204" s="16"/>
      <c r="C3204" s="16"/>
      <c r="D3204" s="33"/>
      <c r="E3204" s="33"/>
      <c r="F3204" s="33"/>
      <c r="G3204" s="33"/>
      <c r="H3204" s="33"/>
      <c r="I3204" s="31"/>
      <c r="J3204" s="31"/>
      <c r="K3204" s="33"/>
      <c r="L3204" s="33"/>
      <c r="M3204" s="31"/>
      <c r="N3204" s="31"/>
      <c r="O3204" s="16"/>
      <c r="P3204" s="16"/>
      <c r="Q3204" s="16"/>
      <c r="R3204" s="33"/>
      <c r="S3204" s="34"/>
      <c r="T3204" s="34"/>
      <c r="U3204" s="34"/>
      <c r="V3204" s="34"/>
      <c r="W3204" s="34"/>
      <c r="X3204" s="33"/>
      <c r="Y3204" s="35" t="str">
        <f>IF(Tabela2[[#This Row],[SIGLA]]="","",VLOOKUP(Tabela2[[#This Row],[SIGLA]],Tabela1[[#All],[Sigla Arte]:[Crédito]],2,0))</f>
        <v/>
      </c>
      <c r="Z3204" s="31"/>
      <c r="AA3204" s="31" t="str">
        <f>Tabela2[[#This Row],[ILUSTRADOR CRIAÇÃO]]</f>
        <v/>
      </c>
      <c r="AB3204" s="33"/>
      <c r="AC3204" s="16"/>
      <c r="AE3204" s="35" t="str">
        <f t="shared" si="51"/>
        <v>EF1 E002 Mat</v>
      </c>
    </row>
    <row r="3205" spans="1:31" x14ac:dyDescent="0.25">
      <c r="A3205" s="31"/>
      <c r="B3205" s="16"/>
      <c r="C3205" s="16"/>
      <c r="D3205" s="33"/>
      <c r="E3205" s="33"/>
      <c r="F3205" s="33"/>
      <c r="G3205" s="33"/>
      <c r="H3205" s="33"/>
      <c r="I3205" s="31"/>
      <c r="J3205" s="31"/>
      <c r="K3205" s="33"/>
      <c r="L3205" s="33"/>
      <c r="M3205" s="31"/>
      <c r="N3205" s="31"/>
      <c r="O3205" s="16"/>
      <c r="P3205" s="16"/>
      <c r="Q3205" s="16"/>
      <c r="R3205" s="33"/>
      <c r="S3205" s="34"/>
      <c r="T3205" s="34"/>
      <c r="U3205" s="34"/>
      <c r="V3205" s="34"/>
      <c r="W3205" s="34"/>
      <c r="X3205" s="33"/>
      <c r="Y3205" s="35" t="str">
        <f>IF(Tabela2[[#This Row],[SIGLA]]="","",VLOOKUP(Tabela2[[#This Row],[SIGLA]],Tabela1[[#All],[Sigla Arte]:[Crédito]],2,0))</f>
        <v/>
      </c>
      <c r="Z3205" s="31"/>
      <c r="AA3205" s="31" t="str">
        <f>Tabela2[[#This Row],[ILUSTRADOR CRIAÇÃO]]</f>
        <v/>
      </c>
      <c r="AB3205" s="33"/>
      <c r="AC3205" s="16"/>
      <c r="AE3205" s="35" t="str">
        <f t="shared" si="51"/>
        <v>EF1 E002 Mat</v>
      </c>
    </row>
    <row r="3206" spans="1:31" x14ac:dyDescent="0.25">
      <c r="A3206" s="31"/>
      <c r="B3206" s="16"/>
      <c r="C3206" s="16"/>
      <c r="D3206" s="33"/>
      <c r="E3206" s="33"/>
      <c r="F3206" s="33"/>
      <c r="G3206" s="33"/>
      <c r="H3206" s="33"/>
      <c r="I3206" s="31"/>
      <c r="J3206" s="31"/>
      <c r="K3206" s="33"/>
      <c r="L3206" s="33"/>
      <c r="M3206" s="31"/>
      <c r="N3206" s="31"/>
      <c r="O3206" s="16"/>
      <c r="P3206" s="16"/>
      <c r="Q3206" s="16"/>
      <c r="R3206" s="33"/>
      <c r="S3206" s="34"/>
      <c r="T3206" s="34"/>
      <c r="U3206" s="34"/>
      <c r="V3206" s="34"/>
      <c r="W3206" s="34"/>
      <c r="X3206" s="33"/>
      <c r="Y3206" s="35" t="str">
        <f>IF(Tabela2[[#This Row],[SIGLA]]="","",VLOOKUP(Tabela2[[#This Row],[SIGLA]],Tabela1[[#All],[Sigla Arte]:[Crédito]],2,0))</f>
        <v/>
      </c>
      <c r="Z3206" s="31"/>
      <c r="AA3206" s="31" t="str">
        <f>Tabela2[[#This Row],[ILUSTRADOR CRIAÇÃO]]</f>
        <v/>
      </c>
      <c r="AB3206" s="33"/>
      <c r="AC3206" s="16"/>
      <c r="AE3206" s="35" t="str">
        <f t="shared" si="51"/>
        <v>EF1 E002 Mat</v>
      </c>
    </row>
    <row r="3207" spans="1:31" x14ac:dyDescent="0.25">
      <c r="A3207" s="31"/>
      <c r="B3207" s="16"/>
      <c r="C3207" s="16"/>
      <c r="D3207" s="33"/>
      <c r="E3207" s="33"/>
      <c r="F3207" s="33"/>
      <c r="G3207" s="33"/>
      <c r="H3207" s="33"/>
      <c r="I3207" s="31"/>
      <c r="J3207" s="31"/>
      <c r="K3207" s="33"/>
      <c r="L3207" s="33"/>
      <c r="M3207" s="31"/>
      <c r="N3207" s="31"/>
      <c r="O3207" s="16"/>
      <c r="P3207" s="16"/>
      <c r="Q3207" s="16"/>
      <c r="R3207" s="33"/>
      <c r="S3207" s="34"/>
      <c r="T3207" s="34"/>
      <c r="U3207" s="34"/>
      <c r="V3207" s="34"/>
      <c r="W3207" s="34"/>
      <c r="X3207" s="33"/>
      <c r="Y3207" s="35" t="str">
        <f>IF(Tabela2[[#This Row],[SIGLA]]="","",VLOOKUP(Tabela2[[#This Row],[SIGLA]],Tabela1[[#All],[Sigla Arte]:[Crédito]],2,0))</f>
        <v/>
      </c>
      <c r="Z3207" s="31"/>
      <c r="AA3207" s="31" t="str">
        <f>Tabela2[[#This Row],[ILUSTRADOR CRIAÇÃO]]</f>
        <v/>
      </c>
      <c r="AB3207" s="33"/>
      <c r="AC3207" s="16"/>
      <c r="AE3207" s="35" t="str">
        <f t="shared" si="51"/>
        <v>EF1 E002 Mat</v>
      </c>
    </row>
    <row r="3208" spans="1:31" x14ac:dyDescent="0.25">
      <c r="A3208" s="31"/>
      <c r="B3208" s="16"/>
      <c r="C3208" s="16"/>
      <c r="D3208" s="33"/>
      <c r="E3208" s="33"/>
      <c r="F3208" s="33"/>
      <c r="G3208" s="33"/>
      <c r="H3208" s="33"/>
      <c r="I3208" s="31"/>
      <c r="J3208" s="31"/>
      <c r="K3208" s="33"/>
      <c r="L3208" s="33"/>
      <c r="M3208" s="31"/>
      <c r="N3208" s="31"/>
      <c r="O3208" s="16"/>
      <c r="P3208" s="16"/>
      <c r="Q3208" s="16"/>
      <c r="R3208" s="33"/>
      <c r="S3208" s="34"/>
      <c r="T3208" s="34"/>
      <c r="U3208" s="34"/>
      <c r="V3208" s="34"/>
      <c r="W3208" s="34"/>
      <c r="X3208" s="33"/>
      <c r="Y3208" s="35" t="str">
        <f>IF(Tabela2[[#This Row],[SIGLA]]="","",VLOOKUP(Tabela2[[#This Row],[SIGLA]],Tabela1[[#All],[Sigla Arte]:[Crédito]],2,0))</f>
        <v/>
      </c>
      <c r="Z3208" s="31"/>
      <c r="AA3208" s="31" t="str">
        <f>Tabela2[[#This Row],[ILUSTRADOR CRIAÇÃO]]</f>
        <v/>
      </c>
      <c r="AB3208" s="33"/>
      <c r="AC3208" s="16"/>
      <c r="AE3208" s="35" t="str">
        <f t="shared" si="51"/>
        <v>EF1 E002 Mat</v>
      </c>
    </row>
    <row r="3209" spans="1:31" x14ac:dyDescent="0.25">
      <c r="A3209" s="31"/>
      <c r="B3209" s="16"/>
      <c r="C3209" s="16"/>
      <c r="D3209" s="33"/>
      <c r="E3209" s="33"/>
      <c r="F3209" s="33"/>
      <c r="G3209" s="33"/>
      <c r="H3209" s="33"/>
      <c r="I3209" s="31"/>
      <c r="J3209" s="31"/>
      <c r="K3209" s="33"/>
      <c r="L3209" s="33"/>
      <c r="M3209" s="31"/>
      <c r="N3209" s="31"/>
      <c r="O3209" s="16"/>
      <c r="P3209" s="16"/>
      <c r="Q3209" s="16"/>
      <c r="R3209" s="33"/>
      <c r="S3209" s="34"/>
      <c r="T3209" s="34"/>
      <c r="U3209" s="34"/>
      <c r="V3209" s="34"/>
      <c r="W3209" s="34"/>
      <c r="X3209" s="33"/>
      <c r="Y3209" s="35" t="str">
        <f>IF(Tabela2[[#This Row],[SIGLA]]="","",VLOOKUP(Tabela2[[#This Row],[SIGLA]],Tabela1[[#All],[Sigla Arte]:[Crédito]],2,0))</f>
        <v/>
      </c>
      <c r="Z3209" s="31"/>
      <c r="AA3209" s="31" t="str">
        <f>Tabela2[[#This Row],[ILUSTRADOR CRIAÇÃO]]</f>
        <v/>
      </c>
      <c r="AB3209" s="33"/>
      <c r="AC3209" s="16"/>
      <c r="AE3209" s="35" t="str">
        <f t="shared" si="51"/>
        <v>EF1 E002 Mat</v>
      </c>
    </row>
    <row r="3210" spans="1:31" x14ac:dyDescent="0.25">
      <c r="A3210" s="31"/>
      <c r="B3210" s="16"/>
      <c r="C3210" s="16"/>
      <c r="D3210" s="33"/>
      <c r="E3210" s="33"/>
      <c r="F3210" s="33"/>
      <c r="G3210" s="33"/>
      <c r="H3210" s="33"/>
      <c r="I3210" s="31"/>
      <c r="J3210" s="31"/>
      <c r="K3210" s="33"/>
      <c r="L3210" s="33"/>
      <c r="M3210" s="31"/>
      <c r="N3210" s="31"/>
      <c r="O3210" s="16"/>
      <c r="P3210" s="16"/>
      <c r="Q3210" s="16"/>
      <c r="R3210" s="33"/>
      <c r="S3210" s="34"/>
      <c r="T3210" s="34"/>
      <c r="U3210" s="34"/>
      <c r="V3210" s="34"/>
      <c r="W3210" s="34"/>
      <c r="X3210" s="33"/>
      <c r="Y3210" s="35" t="str">
        <f>IF(Tabela2[[#This Row],[SIGLA]]="","",VLOOKUP(Tabela2[[#This Row],[SIGLA]],Tabela1[[#All],[Sigla Arte]:[Crédito]],2,0))</f>
        <v/>
      </c>
      <c r="Z3210" s="31"/>
      <c r="AA3210" s="31" t="str">
        <f>Tabela2[[#This Row],[ILUSTRADOR CRIAÇÃO]]</f>
        <v/>
      </c>
      <c r="AB3210" s="33"/>
      <c r="AC3210" s="16"/>
      <c r="AE3210" s="35" t="str">
        <f t="shared" si="51"/>
        <v>EF1 E002 Mat</v>
      </c>
    </row>
    <row r="3211" spans="1:31" x14ac:dyDescent="0.25">
      <c r="A3211" s="31"/>
      <c r="B3211" s="16"/>
      <c r="C3211" s="16"/>
      <c r="D3211" s="33"/>
      <c r="E3211" s="33"/>
      <c r="F3211" s="33"/>
      <c r="G3211" s="33"/>
      <c r="H3211" s="33"/>
      <c r="I3211" s="31"/>
      <c r="J3211" s="31"/>
      <c r="K3211" s="33"/>
      <c r="L3211" s="33"/>
      <c r="M3211" s="31"/>
      <c r="N3211" s="31"/>
      <c r="O3211" s="16"/>
      <c r="P3211" s="16"/>
      <c r="Q3211" s="16"/>
      <c r="R3211" s="33"/>
      <c r="S3211" s="34"/>
      <c r="T3211" s="34"/>
      <c r="U3211" s="34"/>
      <c r="V3211" s="34"/>
      <c r="W3211" s="34"/>
      <c r="X3211" s="33"/>
      <c r="Y3211" s="35" t="str">
        <f>IF(Tabela2[[#This Row],[SIGLA]]="","",VLOOKUP(Tabela2[[#This Row],[SIGLA]],Tabela1[[#All],[Sigla Arte]:[Crédito]],2,0))</f>
        <v/>
      </c>
      <c r="Z3211" s="31"/>
      <c r="AA3211" s="31" t="str">
        <f>Tabela2[[#This Row],[ILUSTRADOR CRIAÇÃO]]</f>
        <v/>
      </c>
      <c r="AB3211" s="33"/>
      <c r="AC3211" s="16"/>
      <c r="AE3211" s="35" t="str">
        <f t="shared" si="51"/>
        <v>EF1 E002 Mat</v>
      </c>
    </row>
    <row r="3212" spans="1:31" x14ac:dyDescent="0.25">
      <c r="A3212" s="31"/>
      <c r="B3212" s="16"/>
      <c r="C3212" s="16"/>
      <c r="D3212" s="33"/>
      <c r="E3212" s="33"/>
      <c r="F3212" s="33"/>
      <c r="G3212" s="33"/>
      <c r="H3212" s="33"/>
      <c r="I3212" s="31"/>
      <c r="J3212" s="31"/>
      <c r="K3212" s="33"/>
      <c r="L3212" s="33"/>
      <c r="M3212" s="31"/>
      <c r="N3212" s="31"/>
      <c r="O3212" s="16"/>
      <c r="P3212" s="16"/>
      <c r="Q3212" s="16"/>
      <c r="R3212" s="33"/>
      <c r="S3212" s="34"/>
      <c r="T3212" s="34"/>
      <c r="U3212" s="34"/>
      <c r="V3212" s="34"/>
      <c r="W3212" s="34"/>
      <c r="X3212" s="33"/>
      <c r="Y3212" s="35" t="str">
        <f>IF(Tabela2[[#This Row],[SIGLA]]="","",VLOOKUP(Tabela2[[#This Row],[SIGLA]],Tabela1[[#All],[Sigla Arte]:[Crédito]],2,0))</f>
        <v/>
      </c>
      <c r="Z3212" s="31"/>
      <c r="AA3212" s="31" t="str">
        <f>Tabela2[[#This Row],[ILUSTRADOR CRIAÇÃO]]</f>
        <v/>
      </c>
      <c r="AB3212" s="33"/>
      <c r="AC3212" s="16"/>
      <c r="AE3212" s="35" t="str">
        <f t="shared" si="51"/>
        <v>EF1 E002 Mat</v>
      </c>
    </row>
    <row r="3213" spans="1:31" x14ac:dyDescent="0.25">
      <c r="A3213" s="31"/>
      <c r="B3213" s="16"/>
      <c r="C3213" s="16"/>
      <c r="D3213" s="33"/>
      <c r="E3213" s="33"/>
      <c r="F3213" s="33"/>
      <c r="G3213" s="33"/>
      <c r="H3213" s="33"/>
      <c r="I3213" s="31"/>
      <c r="J3213" s="31"/>
      <c r="K3213" s="33"/>
      <c r="L3213" s="33"/>
      <c r="M3213" s="31"/>
      <c r="N3213" s="31"/>
      <c r="O3213" s="16"/>
      <c r="P3213" s="16"/>
      <c r="Q3213" s="16"/>
      <c r="R3213" s="33"/>
      <c r="S3213" s="34"/>
      <c r="T3213" s="34"/>
      <c r="U3213" s="34"/>
      <c r="V3213" s="34"/>
      <c r="W3213" s="34"/>
      <c r="X3213" s="33"/>
      <c r="Y3213" s="35" t="str">
        <f>IF(Tabela2[[#This Row],[SIGLA]]="","",VLOOKUP(Tabela2[[#This Row],[SIGLA]],Tabela1[[#All],[Sigla Arte]:[Crédito]],2,0))</f>
        <v/>
      </c>
      <c r="Z3213" s="31"/>
      <c r="AA3213" s="31" t="str">
        <f>Tabela2[[#This Row],[ILUSTRADOR CRIAÇÃO]]</f>
        <v/>
      </c>
      <c r="AB3213" s="33"/>
      <c r="AC3213" s="16"/>
      <c r="AE3213" s="35" t="str">
        <f t="shared" si="51"/>
        <v>EF1 E002 Mat</v>
      </c>
    </row>
    <row r="3214" spans="1:31" x14ac:dyDescent="0.25">
      <c r="A3214" s="31"/>
      <c r="B3214" s="16"/>
      <c r="C3214" s="16"/>
      <c r="D3214" s="33"/>
      <c r="E3214" s="33"/>
      <c r="F3214" s="33"/>
      <c r="G3214" s="33"/>
      <c r="H3214" s="33"/>
      <c r="I3214" s="31"/>
      <c r="J3214" s="31"/>
      <c r="K3214" s="33"/>
      <c r="L3214" s="33"/>
      <c r="M3214" s="31"/>
      <c r="N3214" s="31"/>
      <c r="O3214" s="16"/>
      <c r="P3214" s="16"/>
      <c r="Q3214" s="16"/>
      <c r="R3214" s="33"/>
      <c r="S3214" s="34"/>
      <c r="T3214" s="34"/>
      <c r="U3214" s="34"/>
      <c r="V3214" s="34"/>
      <c r="W3214" s="34"/>
      <c r="X3214" s="33"/>
      <c r="Y3214" s="35" t="str">
        <f>IF(Tabela2[[#This Row],[SIGLA]]="","",VLOOKUP(Tabela2[[#This Row],[SIGLA]],Tabela1[[#All],[Sigla Arte]:[Crédito]],2,0))</f>
        <v/>
      </c>
      <c r="Z3214" s="31"/>
      <c r="AA3214" s="31" t="str">
        <f>Tabela2[[#This Row],[ILUSTRADOR CRIAÇÃO]]</f>
        <v/>
      </c>
      <c r="AB3214" s="33"/>
      <c r="AC3214" s="16"/>
      <c r="AE3214" s="35" t="str">
        <f t="shared" si="51"/>
        <v>EF1 E002 Mat</v>
      </c>
    </row>
    <row r="3215" spans="1:31" x14ac:dyDescent="0.25">
      <c r="A3215" s="31"/>
      <c r="B3215" s="16"/>
      <c r="C3215" s="16"/>
      <c r="D3215" s="33"/>
      <c r="E3215" s="33"/>
      <c r="F3215" s="33"/>
      <c r="G3215" s="33"/>
      <c r="H3215" s="33"/>
      <c r="I3215" s="31"/>
      <c r="J3215" s="31"/>
      <c r="K3215" s="33"/>
      <c r="L3215" s="33"/>
      <c r="M3215" s="31"/>
      <c r="N3215" s="31"/>
      <c r="O3215" s="16"/>
      <c r="P3215" s="16"/>
      <c r="Q3215" s="16"/>
      <c r="R3215" s="33"/>
      <c r="S3215" s="34"/>
      <c r="T3215" s="34"/>
      <c r="U3215" s="34"/>
      <c r="V3215" s="34"/>
      <c r="W3215" s="34"/>
      <c r="X3215" s="33"/>
      <c r="Y3215" s="35" t="str">
        <f>IF(Tabela2[[#This Row],[SIGLA]]="","",VLOOKUP(Tabela2[[#This Row],[SIGLA]],Tabela1[[#All],[Sigla Arte]:[Crédito]],2,0))</f>
        <v/>
      </c>
      <c r="Z3215" s="31"/>
      <c r="AA3215" s="31" t="str">
        <f>Tabela2[[#This Row],[ILUSTRADOR CRIAÇÃO]]</f>
        <v/>
      </c>
      <c r="AB3215" s="33"/>
      <c r="AC3215" s="16"/>
      <c r="AE3215" s="35" t="str">
        <f t="shared" si="51"/>
        <v>EF1 E002 Mat</v>
      </c>
    </row>
    <row r="3216" spans="1:31" x14ac:dyDescent="0.25">
      <c r="A3216" s="31"/>
      <c r="B3216" s="16"/>
      <c r="C3216" s="16"/>
      <c r="D3216" s="33"/>
      <c r="E3216" s="33"/>
      <c r="F3216" s="33"/>
      <c r="G3216" s="33"/>
      <c r="H3216" s="33"/>
      <c r="I3216" s="31"/>
      <c r="J3216" s="31"/>
      <c r="K3216" s="33"/>
      <c r="L3216" s="33"/>
      <c r="M3216" s="31"/>
      <c r="N3216" s="31"/>
      <c r="O3216" s="16"/>
      <c r="P3216" s="16"/>
      <c r="Q3216" s="16"/>
      <c r="R3216" s="33"/>
      <c r="S3216" s="34"/>
      <c r="T3216" s="34"/>
      <c r="U3216" s="34"/>
      <c r="V3216" s="34"/>
      <c r="W3216" s="34"/>
      <c r="X3216" s="33"/>
      <c r="Y3216" s="35" t="str">
        <f>IF(Tabela2[[#This Row],[SIGLA]]="","",VLOOKUP(Tabela2[[#This Row],[SIGLA]],Tabela1[[#All],[Sigla Arte]:[Crédito]],2,0))</f>
        <v/>
      </c>
      <c r="Z3216" s="31"/>
      <c r="AA3216" s="31" t="str">
        <f>Tabela2[[#This Row],[ILUSTRADOR CRIAÇÃO]]</f>
        <v/>
      </c>
      <c r="AB3216" s="33"/>
      <c r="AC3216" s="16"/>
      <c r="AE3216" s="35" t="str">
        <f t="shared" si="51"/>
        <v>EF1 E002 Mat</v>
      </c>
    </row>
    <row r="3217" spans="1:31" x14ac:dyDescent="0.25">
      <c r="A3217" s="31"/>
      <c r="B3217" s="16"/>
      <c r="C3217" s="16"/>
      <c r="D3217" s="33"/>
      <c r="E3217" s="33"/>
      <c r="F3217" s="33"/>
      <c r="G3217" s="33"/>
      <c r="H3217" s="33"/>
      <c r="I3217" s="31"/>
      <c r="J3217" s="31"/>
      <c r="K3217" s="33"/>
      <c r="L3217" s="33"/>
      <c r="M3217" s="31"/>
      <c r="N3217" s="31"/>
      <c r="O3217" s="16"/>
      <c r="P3217" s="16"/>
      <c r="Q3217" s="16"/>
      <c r="R3217" s="33"/>
      <c r="S3217" s="34"/>
      <c r="T3217" s="34"/>
      <c r="U3217" s="34"/>
      <c r="V3217" s="34"/>
      <c r="W3217" s="34"/>
      <c r="X3217" s="33"/>
      <c r="Y3217" s="35" t="str">
        <f>IF(Tabela2[[#This Row],[SIGLA]]="","",VLOOKUP(Tabela2[[#This Row],[SIGLA]],Tabela1[[#All],[Sigla Arte]:[Crédito]],2,0))</f>
        <v/>
      </c>
      <c r="Z3217" s="31"/>
      <c r="AA3217" s="31" t="str">
        <f>Tabela2[[#This Row],[ILUSTRADOR CRIAÇÃO]]</f>
        <v/>
      </c>
      <c r="AB3217" s="33"/>
      <c r="AC3217" s="16"/>
      <c r="AE3217" s="35" t="str">
        <f t="shared" si="51"/>
        <v>EF1 E002 Mat</v>
      </c>
    </row>
    <row r="3218" spans="1:31" x14ac:dyDescent="0.25">
      <c r="A3218" s="31"/>
      <c r="B3218" s="16"/>
      <c r="C3218" s="16"/>
      <c r="D3218" s="33"/>
      <c r="E3218" s="33"/>
      <c r="F3218" s="33"/>
      <c r="G3218" s="33"/>
      <c r="H3218" s="33"/>
      <c r="I3218" s="31"/>
      <c r="J3218" s="31"/>
      <c r="K3218" s="33"/>
      <c r="L3218" s="33"/>
      <c r="M3218" s="31"/>
      <c r="N3218" s="31"/>
      <c r="O3218" s="16"/>
      <c r="P3218" s="16"/>
      <c r="Q3218" s="16"/>
      <c r="R3218" s="33"/>
      <c r="S3218" s="34"/>
      <c r="T3218" s="34"/>
      <c r="U3218" s="34"/>
      <c r="V3218" s="34"/>
      <c r="W3218" s="34"/>
      <c r="X3218" s="33"/>
      <c r="Y3218" s="35" t="str">
        <f>IF(Tabela2[[#This Row],[SIGLA]]="","",VLOOKUP(Tabela2[[#This Row],[SIGLA]],Tabela1[[#All],[Sigla Arte]:[Crédito]],2,0))</f>
        <v/>
      </c>
      <c r="Z3218" s="31"/>
      <c r="AA3218" s="31" t="str">
        <f>Tabela2[[#This Row],[ILUSTRADOR CRIAÇÃO]]</f>
        <v/>
      </c>
      <c r="AB3218" s="33"/>
      <c r="AC3218" s="16"/>
      <c r="AE3218" s="35" t="str">
        <f t="shared" si="51"/>
        <v>EF1 E002 Mat</v>
      </c>
    </row>
    <row r="3219" spans="1:31" x14ac:dyDescent="0.25">
      <c r="A3219" s="31"/>
      <c r="B3219" s="16"/>
      <c r="C3219" s="16"/>
      <c r="D3219" s="33"/>
      <c r="E3219" s="33"/>
      <c r="F3219" s="33"/>
      <c r="G3219" s="33"/>
      <c r="H3219" s="33"/>
      <c r="I3219" s="31"/>
      <c r="J3219" s="31"/>
      <c r="K3219" s="33"/>
      <c r="L3219" s="33"/>
      <c r="M3219" s="31"/>
      <c r="N3219" s="31"/>
      <c r="O3219" s="16"/>
      <c r="P3219" s="16"/>
      <c r="Q3219" s="16"/>
      <c r="R3219" s="33"/>
      <c r="S3219" s="34"/>
      <c r="T3219" s="34"/>
      <c r="U3219" s="34"/>
      <c r="V3219" s="34"/>
      <c r="W3219" s="34"/>
      <c r="X3219" s="33"/>
      <c r="Y3219" s="35" t="str">
        <f>IF(Tabela2[[#This Row],[SIGLA]]="","",VLOOKUP(Tabela2[[#This Row],[SIGLA]],Tabela1[[#All],[Sigla Arte]:[Crédito]],2,0))</f>
        <v/>
      </c>
      <c r="Z3219" s="31"/>
      <c r="AA3219" s="31" t="str">
        <f>Tabela2[[#This Row],[ILUSTRADOR CRIAÇÃO]]</f>
        <v/>
      </c>
      <c r="AB3219" s="33"/>
      <c r="AC3219" s="16"/>
      <c r="AE3219" s="35" t="str">
        <f t="shared" si="51"/>
        <v>EF1 E002 Mat</v>
      </c>
    </row>
    <row r="3220" spans="1:31" x14ac:dyDescent="0.25">
      <c r="A3220" s="31"/>
      <c r="B3220" s="16"/>
      <c r="C3220" s="16"/>
      <c r="D3220" s="33"/>
      <c r="E3220" s="33"/>
      <c r="F3220" s="33"/>
      <c r="G3220" s="33"/>
      <c r="H3220" s="33"/>
      <c r="I3220" s="31"/>
      <c r="J3220" s="31"/>
      <c r="K3220" s="33"/>
      <c r="L3220" s="33"/>
      <c r="M3220" s="31"/>
      <c r="N3220" s="31"/>
      <c r="O3220" s="16"/>
      <c r="P3220" s="16"/>
      <c r="Q3220" s="16"/>
      <c r="R3220" s="33"/>
      <c r="S3220" s="34"/>
      <c r="T3220" s="34"/>
      <c r="U3220" s="34"/>
      <c r="V3220" s="34"/>
      <c r="W3220" s="34"/>
      <c r="X3220" s="33"/>
      <c r="Y3220" s="35" t="str">
        <f>IF(Tabela2[[#This Row],[SIGLA]]="","",VLOOKUP(Tabela2[[#This Row],[SIGLA]],Tabela1[[#All],[Sigla Arte]:[Crédito]],2,0))</f>
        <v/>
      </c>
      <c r="Z3220" s="31"/>
      <c r="AA3220" s="31" t="str">
        <f>Tabela2[[#This Row],[ILUSTRADOR CRIAÇÃO]]</f>
        <v/>
      </c>
      <c r="AB3220" s="33"/>
      <c r="AC3220" s="16"/>
      <c r="AE3220" s="35" t="str">
        <f t="shared" si="51"/>
        <v>EF1 E002 Mat</v>
      </c>
    </row>
    <row r="3221" spans="1:31" x14ac:dyDescent="0.25">
      <c r="A3221" s="31"/>
      <c r="B3221" s="16"/>
      <c r="C3221" s="16"/>
      <c r="D3221" s="33"/>
      <c r="E3221" s="33"/>
      <c r="F3221" s="33"/>
      <c r="G3221" s="33"/>
      <c r="H3221" s="33"/>
      <c r="I3221" s="31"/>
      <c r="J3221" s="31"/>
      <c r="K3221" s="33"/>
      <c r="L3221" s="33"/>
      <c r="M3221" s="31"/>
      <c r="N3221" s="31"/>
      <c r="O3221" s="16"/>
      <c r="P3221" s="16"/>
      <c r="Q3221" s="16"/>
      <c r="R3221" s="33"/>
      <c r="S3221" s="34"/>
      <c r="T3221" s="34"/>
      <c r="U3221" s="34"/>
      <c r="V3221" s="34"/>
      <c r="W3221" s="34"/>
      <c r="X3221" s="33"/>
      <c r="Y3221" s="35" t="str">
        <f>IF(Tabela2[[#This Row],[SIGLA]]="","",VLOOKUP(Tabela2[[#This Row],[SIGLA]],Tabela1[[#All],[Sigla Arte]:[Crédito]],2,0))</f>
        <v/>
      </c>
      <c r="Z3221" s="31"/>
      <c r="AA3221" s="31" t="str">
        <f>Tabela2[[#This Row],[ILUSTRADOR CRIAÇÃO]]</f>
        <v/>
      </c>
      <c r="AB3221" s="33"/>
      <c r="AC3221" s="16"/>
      <c r="AE3221" s="35" t="str">
        <f t="shared" si="51"/>
        <v>EF1 E002 Mat</v>
      </c>
    </row>
    <row r="3222" spans="1:31" x14ac:dyDescent="0.25">
      <c r="A3222" s="31"/>
      <c r="B3222" s="16"/>
      <c r="C3222" s="16"/>
      <c r="D3222" s="33"/>
      <c r="E3222" s="33"/>
      <c r="F3222" s="33"/>
      <c r="G3222" s="33"/>
      <c r="H3222" s="33"/>
      <c r="I3222" s="31"/>
      <c r="J3222" s="31"/>
      <c r="K3222" s="33"/>
      <c r="L3222" s="33"/>
      <c r="M3222" s="31"/>
      <c r="N3222" s="31"/>
      <c r="O3222" s="16"/>
      <c r="P3222" s="16"/>
      <c r="Q3222" s="16"/>
      <c r="R3222" s="33"/>
      <c r="S3222" s="34"/>
      <c r="T3222" s="34"/>
      <c r="U3222" s="34"/>
      <c r="V3222" s="34"/>
      <c r="W3222" s="34"/>
      <c r="X3222" s="33"/>
      <c r="Y3222" s="35" t="str">
        <f>IF(Tabela2[[#This Row],[SIGLA]]="","",VLOOKUP(Tabela2[[#This Row],[SIGLA]],Tabela1[[#All],[Sigla Arte]:[Crédito]],2,0))</f>
        <v/>
      </c>
      <c r="Z3222" s="31"/>
      <c r="AA3222" s="31" t="str">
        <f>Tabela2[[#This Row],[ILUSTRADOR CRIAÇÃO]]</f>
        <v/>
      </c>
      <c r="AB3222" s="33"/>
      <c r="AC3222" s="16"/>
      <c r="AE3222" s="35" t="str">
        <f t="shared" si="51"/>
        <v>EF1 E002 Mat</v>
      </c>
    </row>
    <row r="3223" spans="1:31" x14ac:dyDescent="0.25">
      <c r="A3223" s="31"/>
      <c r="B3223" s="16"/>
      <c r="C3223" s="16"/>
      <c r="D3223" s="33"/>
      <c r="E3223" s="33"/>
      <c r="F3223" s="33"/>
      <c r="G3223" s="33"/>
      <c r="H3223" s="33"/>
      <c r="I3223" s="31"/>
      <c r="J3223" s="31"/>
      <c r="K3223" s="33"/>
      <c r="L3223" s="33"/>
      <c r="M3223" s="31"/>
      <c r="N3223" s="31"/>
      <c r="O3223" s="16"/>
      <c r="P3223" s="16"/>
      <c r="Q3223" s="16"/>
      <c r="R3223" s="33"/>
      <c r="S3223" s="34"/>
      <c r="T3223" s="34"/>
      <c r="U3223" s="34"/>
      <c r="V3223" s="34"/>
      <c r="W3223" s="34"/>
      <c r="X3223" s="33"/>
      <c r="Y3223" s="35" t="str">
        <f>IF(Tabela2[[#This Row],[SIGLA]]="","",VLOOKUP(Tabela2[[#This Row],[SIGLA]],Tabela1[[#All],[Sigla Arte]:[Crédito]],2,0))</f>
        <v/>
      </c>
      <c r="Z3223" s="31"/>
      <c r="AA3223" s="31" t="str">
        <f>Tabela2[[#This Row],[ILUSTRADOR CRIAÇÃO]]</f>
        <v/>
      </c>
      <c r="AB3223" s="33"/>
      <c r="AC3223" s="16"/>
      <c r="AE3223" s="35" t="str">
        <f t="shared" si="51"/>
        <v>EF1 E002 Mat</v>
      </c>
    </row>
    <row r="3224" spans="1:31" x14ac:dyDescent="0.25">
      <c r="A3224" s="31"/>
      <c r="B3224" s="16"/>
      <c r="C3224" s="16"/>
      <c r="D3224" s="33"/>
      <c r="E3224" s="33"/>
      <c r="F3224" s="33"/>
      <c r="G3224" s="33"/>
      <c r="H3224" s="33"/>
      <c r="I3224" s="31"/>
      <c r="J3224" s="31"/>
      <c r="K3224" s="33"/>
      <c r="L3224" s="33"/>
      <c r="M3224" s="31"/>
      <c r="N3224" s="31"/>
      <c r="O3224" s="16"/>
      <c r="P3224" s="16"/>
      <c r="Q3224" s="16"/>
      <c r="R3224" s="33"/>
      <c r="S3224" s="34"/>
      <c r="T3224" s="34"/>
      <c r="U3224" s="34"/>
      <c r="V3224" s="34"/>
      <c r="W3224" s="34"/>
      <c r="X3224" s="33"/>
      <c r="Y3224" s="35" t="str">
        <f>IF(Tabela2[[#This Row],[SIGLA]]="","",VLOOKUP(Tabela2[[#This Row],[SIGLA]],Tabela1[[#All],[Sigla Arte]:[Crédito]],2,0))</f>
        <v/>
      </c>
      <c r="Z3224" s="31"/>
      <c r="AA3224" s="31" t="str">
        <f>Tabela2[[#This Row],[ILUSTRADOR CRIAÇÃO]]</f>
        <v/>
      </c>
      <c r="AB3224" s="33"/>
      <c r="AC3224" s="16"/>
      <c r="AE3224" s="35" t="str">
        <f t="shared" si="51"/>
        <v>EF1 E002 Mat</v>
      </c>
    </row>
    <row r="3225" spans="1:31" x14ac:dyDescent="0.25">
      <c r="A3225" s="31"/>
      <c r="B3225" s="16"/>
      <c r="C3225" s="16"/>
      <c r="D3225" s="33"/>
      <c r="E3225" s="33"/>
      <c r="F3225" s="33"/>
      <c r="G3225" s="33"/>
      <c r="H3225" s="33"/>
      <c r="I3225" s="31"/>
      <c r="J3225" s="31"/>
      <c r="K3225" s="33"/>
      <c r="L3225" s="33"/>
      <c r="M3225" s="31"/>
      <c r="N3225" s="31"/>
      <c r="O3225" s="16"/>
      <c r="P3225" s="16"/>
      <c r="Q3225" s="16"/>
      <c r="R3225" s="33"/>
      <c r="S3225" s="34"/>
      <c r="T3225" s="34"/>
      <c r="U3225" s="34"/>
      <c r="V3225" s="34"/>
      <c r="W3225" s="34"/>
      <c r="X3225" s="33"/>
      <c r="Y3225" s="35" t="str">
        <f>IF(Tabela2[[#This Row],[SIGLA]]="","",VLOOKUP(Tabela2[[#This Row],[SIGLA]],Tabela1[[#All],[Sigla Arte]:[Crédito]],2,0))</f>
        <v/>
      </c>
      <c r="Z3225" s="31"/>
      <c r="AA3225" s="31" t="str">
        <f>Tabela2[[#This Row],[ILUSTRADOR CRIAÇÃO]]</f>
        <v/>
      </c>
      <c r="AB3225" s="33"/>
      <c r="AC3225" s="16"/>
      <c r="AE3225" s="35" t="str">
        <f t="shared" si="51"/>
        <v>EF1 E002 Mat</v>
      </c>
    </row>
    <row r="3226" spans="1:31" x14ac:dyDescent="0.25">
      <c r="A3226" s="31"/>
      <c r="B3226" s="16"/>
      <c r="C3226" s="16"/>
      <c r="D3226" s="33"/>
      <c r="E3226" s="33"/>
      <c r="F3226" s="33"/>
      <c r="G3226" s="33"/>
      <c r="H3226" s="33"/>
      <c r="I3226" s="31"/>
      <c r="J3226" s="31"/>
      <c r="K3226" s="33"/>
      <c r="L3226" s="33"/>
      <c r="M3226" s="31"/>
      <c r="N3226" s="31"/>
      <c r="O3226" s="16"/>
      <c r="P3226" s="16"/>
      <c r="Q3226" s="16"/>
      <c r="R3226" s="33"/>
      <c r="S3226" s="34"/>
      <c r="T3226" s="34"/>
      <c r="U3226" s="34"/>
      <c r="V3226" s="34"/>
      <c r="W3226" s="34"/>
      <c r="X3226" s="33"/>
      <c r="Y3226" s="35" t="str">
        <f>IF(Tabela2[[#This Row],[SIGLA]]="","",VLOOKUP(Tabela2[[#This Row],[SIGLA]],Tabela1[[#All],[Sigla Arte]:[Crédito]],2,0))</f>
        <v/>
      </c>
      <c r="Z3226" s="31"/>
      <c r="AA3226" s="31" t="str">
        <f>Tabela2[[#This Row],[ILUSTRADOR CRIAÇÃO]]</f>
        <v/>
      </c>
      <c r="AB3226" s="33"/>
      <c r="AC3226" s="16"/>
      <c r="AE3226" s="35" t="str">
        <f t="shared" si="51"/>
        <v>EF1 E002 Mat</v>
      </c>
    </row>
    <row r="3227" spans="1:31" x14ac:dyDescent="0.25">
      <c r="A3227" s="31"/>
      <c r="B3227" s="16"/>
      <c r="C3227" s="16"/>
      <c r="D3227" s="33"/>
      <c r="E3227" s="33"/>
      <c r="F3227" s="33"/>
      <c r="G3227" s="33"/>
      <c r="H3227" s="33"/>
      <c r="I3227" s="31"/>
      <c r="J3227" s="31"/>
      <c r="K3227" s="33"/>
      <c r="L3227" s="33"/>
      <c r="M3227" s="31"/>
      <c r="N3227" s="31"/>
      <c r="O3227" s="16"/>
      <c r="P3227" s="16"/>
      <c r="Q3227" s="16"/>
      <c r="R3227" s="33"/>
      <c r="S3227" s="34"/>
      <c r="T3227" s="34"/>
      <c r="U3227" s="34"/>
      <c r="V3227" s="34"/>
      <c r="W3227" s="34"/>
      <c r="X3227" s="33"/>
      <c r="Y3227" s="35" t="str">
        <f>IF(Tabela2[[#This Row],[SIGLA]]="","",VLOOKUP(Tabela2[[#This Row],[SIGLA]],Tabela1[[#All],[Sigla Arte]:[Crédito]],2,0))</f>
        <v/>
      </c>
      <c r="Z3227" s="31"/>
      <c r="AA3227" s="31" t="str">
        <f>Tabela2[[#This Row],[ILUSTRADOR CRIAÇÃO]]</f>
        <v/>
      </c>
      <c r="AB3227" s="33"/>
      <c r="AC3227" s="16"/>
      <c r="AE3227" s="35" t="str">
        <f t="shared" si="51"/>
        <v>EF1 E002 Mat</v>
      </c>
    </row>
    <row r="3228" spans="1:31" x14ac:dyDescent="0.25">
      <c r="A3228" s="31"/>
      <c r="B3228" s="16"/>
      <c r="C3228" s="16"/>
      <c r="D3228" s="33"/>
      <c r="E3228" s="33"/>
      <c r="F3228" s="33"/>
      <c r="G3228" s="33"/>
      <c r="H3228" s="33"/>
      <c r="I3228" s="31"/>
      <c r="J3228" s="31"/>
      <c r="K3228" s="33"/>
      <c r="L3228" s="33"/>
      <c r="M3228" s="31"/>
      <c r="N3228" s="31"/>
      <c r="O3228" s="16"/>
      <c r="P3228" s="16"/>
      <c r="Q3228" s="16"/>
      <c r="R3228" s="33"/>
      <c r="S3228" s="34"/>
      <c r="T3228" s="34"/>
      <c r="U3228" s="34"/>
      <c r="V3228" s="34"/>
      <c r="W3228" s="34"/>
      <c r="X3228" s="33"/>
      <c r="Y3228" s="35" t="str">
        <f>IF(Tabela2[[#This Row],[SIGLA]]="","",VLOOKUP(Tabela2[[#This Row],[SIGLA]],Tabela1[[#All],[Sigla Arte]:[Crédito]],2,0))</f>
        <v/>
      </c>
      <c r="Z3228" s="31"/>
      <c r="AA3228" s="31" t="str">
        <f>Tabela2[[#This Row],[ILUSTRADOR CRIAÇÃO]]</f>
        <v/>
      </c>
      <c r="AB3228" s="33"/>
      <c r="AC3228" s="16"/>
      <c r="AE3228" s="35" t="str">
        <f t="shared" si="51"/>
        <v>EF1 E002 Mat</v>
      </c>
    </row>
    <row r="3229" spans="1:31" x14ac:dyDescent="0.25">
      <c r="A3229" s="31"/>
      <c r="B3229" s="16"/>
      <c r="C3229" s="16"/>
      <c r="D3229" s="33"/>
      <c r="E3229" s="33"/>
      <c r="F3229" s="33"/>
      <c r="G3229" s="33"/>
      <c r="H3229" s="33"/>
      <c r="I3229" s="31"/>
      <c r="J3229" s="31"/>
      <c r="K3229" s="33"/>
      <c r="L3229" s="33"/>
      <c r="M3229" s="31"/>
      <c r="N3229" s="31"/>
      <c r="O3229" s="16"/>
      <c r="P3229" s="16"/>
      <c r="Q3229" s="16"/>
      <c r="R3229" s="33"/>
      <c r="S3229" s="34"/>
      <c r="T3229" s="34"/>
      <c r="U3229" s="34"/>
      <c r="V3229" s="34"/>
      <c r="W3229" s="34"/>
      <c r="X3229" s="33"/>
      <c r="Y3229" s="35" t="str">
        <f>IF(Tabela2[[#This Row],[SIGLA]]="","",VLOOKUP(Tabela2[[#This Row],[SIGLA]],Tabela1[[#All],[Sigla Arte]:[Crédito]],2,0))</f>
        <v/>
      </c>
      <c r="Z3229" s="31"/>
      <c r="AA3229" s="31" t="str">
        <f>Tabela2[[#This Row],[ILUSTRADOR CRIAÇÃO]]</f>
        <v/>
      </c>
      <c r="AB3229" s="33"/>
      <c r="AC3229" s="16"/>
      <c r="AE3229" s="35" t="str">
        <f t="shared" si="51"/>
        <v>EF1 E002 Mat</v>
      </c>
    </row>
    <row r="3230" spans="1:31" x14ac:dyDescent="0.25">
      <c r="A3230" s="31"/>
      <c r="B3230" s="16"/>
      <c r="C3230" s="16"/>
      <c r="D3230" s="33"/>
      <c r="E3230" s="33"/>
      <c r="F3230" s="33"/>
      <c r="G3230" s="33"/>
      <c r="H3230" s="33"/>
      <c r="I3230" s="31"/>
      <c r="J3230" s="31"/>
      <c r="K3230" s="33"/>
      <c r="L3230" s="33"/>
      <c r="M3230" s="31"/>
      <c r="N3230" s="31"/>
      <c r="O3230" s="16"/>
      <c r="P3230" s="16"/>
      <c r="Q3230" s="16"/>
      <c r="R3230" s="33"/>
      <c r="S3230" s="34"/>
      <c r="T3230" s="34"/>
      <c r="U3230" s="34"/>
      <c r="V3230" s="34"/>
      <c r="W3230" s="34"/>
      <c r="X3230" s="33"/>
      <c r="Y3230" s="35" t="str">
        <f>IF(Tabela2[[#This Row],[SIGLA]]="","",VLOOKUP(Tabela2[[#This Row],[SIGLA]],Tabela1[[#All],[Sigla Arte]:[Crédito]],2,0))</f>
        <v/>
      </c>
      <c r="Z3230" s="31"/>
      <c r="AA3230" s="31" t="str">
        <f>Tabela2[[#This Row],[ILUSTRADOR CRIAÇÃO]]</f>
        <v/>
      </c>
      <c r="AB3230" s="33"/>
      <c r="AC3230" s="16"/>
      <c r="AE3230" s="35" t="str">
        <f t="shared" si="51"/>
        <v>EF1 E002 Mat</v>
      </c>
    </row>
    <row r="3231" spans="1:31" x14ac:dyDescent="0.25">
      <c r="A3231" s="31"/>
      <c r="B3231" s="16"/>
      <c r="C3231" s="16"/>
      <c r="D3231" s="33"/>
      <c r="E3231" s="33"/>
      <c r="F3231" s="33"/>
      <c r="G3231" s="33"/>
      <c r="H3231" s="33"/>
      <c r="I3231" s="31"/>
      <c r="J3231" s="31"/>
      <c r="K3231" s="33"/>
      <c r="L3231" s="33"/>
      <c r="M3231" s="31"/>
      <c r="N3231" s="31"/>
      <c r="O3231" s="16"/>
      <c r="P3231" s="16"/>
      <c r="Q3231" s="16"/>
      <c r="R3231" s="33"/>
      <c r="S3231" s="34"/>
      <c r="T3231" s="34"/>
      <c r="U3231" s="34"/>
      <c r="V3231" s="34"/>
      <c r="W3231" s="34"/>
      <c r="X3231" s="33"/>
      <c r="Y3231" s="35" t="str">
        <f>IF(Tabela2[[#This Row],[SIGLA]]="","",VLOOKUP(Tabela2[[#This Row],[SIGLA]],Tabela1[[#All],[Sigla Arte]:[Crédito]],2,0))</f>
        <v/>
      </c>
      <c r="Z3231" s="31"/>
      <c r="AA3231" s="31" t="str">
        <f>Tabela2[[#This Row],[ILUSTRADOR CRIAÇÃO]]</f>
        <v/>
      </c>
      <c r="AB3231" s="33"/>
      <c r="AC3231" s="16"/>
      <c r="AE3231" s="35" t="str">
        <f t="shared" si="51"/>
        <v>EF1 E002 Mat</v>
      </c>
    </row>
    <row r="3232" spans="1:31" x14ac:dyDescent="0.25">
      <c r="A3232" s="31"/>
      <c r="B3232" s="16"/>
      <c r="C3232" s="16"/>
      <c r="D3232" s="33"/>
      <c r="E3232" s="33"/>
      <c r="F3232" s="33"/>
      <c r="G3232" s="33"/>
      <c r="H3232" s="33"/>
      <c r="I3232" s="31"/>
      <c r="J3232" s="31"/>
      <c r="K3232" s="33"/>
      <c r="L3232" s="33"/>
      <c r="M3232" s="31"/>
      <c r="N3232" s="31"/>
      <c r="O3232" s="16"/>
      <c r="P3232" s="16"/>
      <c r="Q3232" s="16"/>
      <c r="R3232" s="33"/>
      <c r="S3232" s="34"/>
      <c r="T3232" s="34"/>
      <c r="U3232" s="34"/>
      <c r="V3232" s="34"/>
      <c r="W3232" s="34"/>
      <c r="X3232" s="33"/>
      <c r="Y3232" s="35" t="str">
        <f>IF(Tabela2[[#This Row],[SIGLA]]="","",VLOOKUP(Tabela2[[#This Row],[SIGLA]],Tabela1[[#All],[Sigla Arte]:[Crédito]],2,0))</f>
        <v/>
      </c>
      <c r="Z3232" s="31"/>
      <c r="AA3232" s="31" t="str">
        <f>Tabela2[[#This Row],[ILUSTRADOR CRIAÇÃO]]</f>
        <v/>
      </c>
      <c r="AB3232" s="33"/>
      <c r="AC3232" s="16"/>
      <c r="AE3232" s="35" t="str">
        <f t="shared" si="51"/>
        <v>EF1 E002 Mat</v>
      </c>
    </row>
    <row r="3233" spans="1:31" x14ac:dyDescent="0.25">
      <c r="A3233" s="31"/>
      <c r="B3233" s="16"/>
      <c r="C3233" s="16"/>
      <c r="D3233" s="33"/>
      <c r="E3233" s="33"/>
      <c r="F3233" s="33"/>
      <c r="G3233" s="33"/>
      <c r="H3233" s="33"/>
      <c r="I3233" s="31"/>
      <c r="J3233" s="31"/>
      <c r="K3233" s="33"/>
      <c r="L3233" s="33"/>
      <c r="M3233" s="31"/>
      <c r="N3233" s="31"/>
      <c r="O3233" s="16"/>
      <c r="P3233" s="16"/>
      <c r="Q3233" s="16"/>
      <c r="R3233" s="33"/>
      <c r="S3233" s="34"/>
      <c r="T3233" s="34"/>
      <c r="U3233" s="34"/>
      <c r="V3233" s="34"/>
      <c r="W3233" s="34"/>
      <c r="X3233" s="33"/>
      <c r="Y3233" s="35" t="str">
        <f>IF(Tabela2[[#This Row],[SIGLA]]="","",VLOOKUP(Tabela2[[#This Row],[SIGLA]],Tabela1[[#All],[Sigla Arte]:[Crédito]],2,0))</f>
        <v/>
      </c>
      <c r="Z3233" s="31"/>
      <c r="AA3233" s="31" t="str">
        <f>Tabela2[[#This Row],[ILUSTRADOR CRIAÇÃO]]</f>
        <v/>
      </c>
      <c r="AB3233" s="33"/>
      <c r="AC3233" s="16"/>
      <c r="AE3233" s="35" t="str">
        <f t="shared" si="51"/>
        <v>EF1 E002 Mat</v>
      </c>
    </row>
    <row r="3234" spans="1:31" x14ac:dyDescent="0.25">
      <c r="A3234" s="31"/>
      <c r="B3234" s="16"/>
      <c r="C3234" s="16"/>
      <c r="D3234" s="33"/>
      <c r="E3234" s="33"/>
      <c r="F3234" s="33"/>
      <c r="G3234" s="33"/>
      <c r="H3234" s="33"/>
      <c r="I3234" s="31"/>
      <c r="J3234" s="31"/>
      <c r="K3234" s="33"/>
      <c r="L3234" s="33"/>
      <c r="M3234" s="31"/>
      <c r="N3234" s="31"/>
      <c r="O3234" s="16"/>
      <c r="P3234" s="16"/>
      <c r="Q3234" s="16"/>
      <c r="R3234" s="33"/>
      <c r="S3234" s="34"/>
      <c r="T3234" s="34"/>
      <c r="U3234" s="34"/>
      <c r="V3234" s="34"/>
      <c r="W3234" s="34"/>
      <c r="X3234" s="33"/>
      <c r="Y3234" s="35" t="str">
        <f>IF(Tabela2[[#This Row],[SIGLA]]="","",VLOOKUP(Tabela2[[#This Row],[SIGLA]],Tabela1[[#All],[Sigla Arte]:[Crédito]],2,0))</f>
        <v/>
      </c>
      <c r="Z3234" s="31"/>
      <c r="AA3234" s="31" t="str">
        <f>Tabela2[[#This Row],[ILUSTRADOR CRIAÇÃO]]</f>
        <v/>
      </c>
      <c r="AB3234" s="33"/>
      <c r="AC3234" s="16"/>
      <c r="AE3234" s="35" t="str">
        <f t="shared" si="51"/>
        <v>EF1 E002 Mat</v>
      </c>
    </row>
    <row r="3235" spans="1:31" x14ac:dyDescent="0.25">
      <c r="A3235" s="31"/>
      <c r="B3235" s="16"/>
      <c r="C3235" s="16"/>
      <c r="D3235" s="33"/>
      <c r="E3235" s="33"/>
      <c r="F3235" s="33"/>
      <c r="G3235" s="33"/>
      <c r="H3235" s="33"/>
      <c r="I3235" s="31"/>
      <c r="J3235" s="31"/>
      <c r="K3235" s="33"/>
      <c r="L3235" s="33"/>
      <c r="M3235" s="31"/>
      <c r="N3235" s="31"/>
      <c r="O3235" s="16"/>
      <c r="P3235" s="16"/>
      <c r="Q3235" s="16"/>
      <c r="R3235" s="33"/>
      <c r="S3235" s="34"/>
      <c r="T3235" s="34"/>
      <c r="U3235" s="34"/>
      <c r="V3235" s="34"/>
      <c r="W3235" s="34"/>
      <c r="X3235" s="33"/>
      <c r="Y3235" s="35" t="str">
        <f>IF(Tabela2[[#This Row],[SIGLA]]="","",VLOOKUP(Tabela2[[#This Row],[SIGLA]],Tabela1[[#All],[Sigla Arte]:[Crédito]],2,0))</f>
        <v/>
      </c>
      <c r="Z3235" s="31"/>
      <c r="AA3235" s="31" t="str">
        <f>Tabela2[[#This Row],[ILUSTRADOR CRIAÇÃO]]</f>
        <v/>
      </c>
      <c r="AB3235" s="33"/>
      <c r="AC3235" s="16"/>
      <c r="AE3235" s="35" t="str">
        <f t="shared" si="51"/>
        <v>EF1 E002 Mat</v>
      </c>
    </row>
    <row r="3236" spans="1:31" x14ac:dyDescent="0.25">
      <c r="A3236" s="31"/>
      <c r="B3236" s="16"/>
      <c r="C3236" s="16"/>
      <c r="D3236" s="33"/>
      <c r="E3236" s="33"/>
      <c r="F3236" s="33"/>
      <c r="G3236" s="33"/>
      <c r="H3236" s="33"/>
      <c r="I3236" s="31"/>
      <c r="J3236" s="31"/>
      <c r="K3236" s="33"/>
      <c r="L3236" s="33"/>
      <c r="M3236" s="31"/>
      <c r="N3236" s="31"/>
      <c r="O3236" s="16"/>
      <c r="P3236" s="16"/>
      <c r="Q3236" s="16"/>
      <c r="R3236" s="33"/>
      <c r="S3236" s="34"/>
      <c r="T3236" s="34"/>
      <c r="U3236" s="34"/>
      <c r="V3236" s="34"/>
      <c r="W3236" s="34"/>
      <c r="X3236" s="33"/>
      <c r="Y3236" s="35" t="str">
        <f>IF(Tabela2[[#This Row],[SIGLA]]="","",VLOOKUP(Tabela2[[#This Row],[SIGLA]],Tabela1[[#All],[Sigla Arte]:[Crédito]],2,0))</f>
        <v/>
      </c>
      <c r="Z3236" s="31"/>
      <c r="AA3236" s="31" t="str">
        <f>Tabela2[[#This Row],[ILUSTRADOR CRIAÇÃO]]</f>
        <v/>
      </c>
      <c r="AB3236" s="33"/>
      <c r="AC3236" s="16"/>
      <c r="AE3236" s="35" t="str">
        <f t="shared" si="51"/>
        <v>EF1 E002 Mat</v>
      </c>
    </row>
    <row r="3237" spans="1:31" x14ac:dyDescent="0.25">
      <c r="A3237" s="31"/>
      <c r="B3237" s="16"/>
      <c r="C3237" s="16"/>
      <c r="D3237" s="33"/>
      <c r="E3237" s="33"/>
      <c r="F3237" s="33"/>
      <c r="G3237" s="33"/>
      <c r="H3237" s="33"/>
      <c r="I3237" s="31"/>
      <c r="J3237" s="31"/>
      <c r="K3237" s="33"/>
      <c r="L3237" s="33"/>
      <c r="M3237" s="31"/>
      <c r="N3237" s="31"/>
      <c r="O3237" s="16"/>
      <c r="P3237" s="16"/>
      <c r="Q3237" s="16"/>
      <c r="R3237" s="33"/>
      <c r="S3237" s="34"/>
      <c r="T3237" s="34"/>
      <c r="U3237" s="34"/>
      <c r="V3237" s="34"/>
      <c r="W3237" s="34"/>
      <c r="X3237" s="33"/>
      <c r="Y3237" s="35" t="str">
        <f>IF(Tabela2[[#This Row],[SIGLA]]="","",VLOOKUP(Tabela2[[#This Row],[SIGLA]],Tabela1[[#All],[Sigla Arte]:[Crédito]],2,0))</f>
        <v/>
      </c>
      <c r="Z3237" s="31"/>
      <c r="AA3237" s="31" t="str">
        <f>Tabela2[[#This Row],[ILUSTRADOR CRIAÇÃO]]</f>
        <v/>
      </c>
      <c r="AB3237" s="33"/>
      <c r="AC3237" s="16"/>
      <c r="AE3237" s="35" t="str">
        <f t="shared" si="51"/>
        <v>EF1 E002 Mat</v>
      </c>
    </row>
    <row r="3238" spans="1:31" x14ac:dyDescent="0.25">
      <c r="A3238" s="31"/>
      <c r="B3238" s="16"/>
      <c r="C3238" s="16"/>
      <c r="D3238" s="33"/>
      <c r="E3238" s="33"/>
      <c r="F3238" s="33"/>
      <c r="G3238" s="33"/>
      <c r="H3238" s="33"/>
      <c r="I3238" s="31"/>
      <c r="J3238" s="31"/>
      <c r="K3238" s="33"/>
      <c r="L3238" s="33"/>
      <c r="M3238" s="31"/>
      <c r="N3238" s="31"/>
      <c r="O3238" s="16"/>
      <c r="P3238" s="16"/>
      <c r="Q3238" s="16"/>
      <c r="R3238" s="33"/>
      <c r="S3238" s="34"/>
      <c r="T3238" s="34"/>
      <c r="U3238" s="34"/>
      <c r="V3238" s="34"/>
      <c r="W3238" s="34"/>
      <c r="X3238" s="33"/>
      <c r="Y3238" s="35" t="str">
        <f>IF(Tabela2[[#This Row],[SIGLA]]="","",VLOOKUP(Tabela2[[#This Row],[SIGLA]],Tabela1[[#All],[Sigla Arte]:[Crédito]],2,0))</f>
        <v/>
      </c>
      <c r="Z3238" s="31"/>
      <c r="AA3238" s="31" t="str">
        <f>Tabela2[[#This Row],[ILUSTRADOR CRIAÇÃO]]</f>
        <v/>
      </c>
      <c r="AB3238" s="33"/>
      <c r="AC3238" s="16"/>
      <c r="AE3238" s="35" t="str">
        <f t="shared" si="51"/>
        <v>EF1 E002 Mat</v>
      </c>
    </row>
    <row r="3239" spans="1:31" x14ac:dyDescent="0.25">
      <c r="A3239" s="31"/>
      <c r="B3239" s="16"/>
      <c r="C3239" s="16"/>
      <c r="D3239" s="33"/>
      <c r="E3239" s="33"/>
      <c r="F3239" s="33"/>
      <c r="G3239" s="33"/>
      <c r="H3239" s="33"/>
      <c r="I3239" s="31"/>
      <c r="J3239" s="31"/>
      <c r="K3239" s="33"/>
      <c r="L3239" s="33"/>
      <c r="M3239" s="31"/>
      <c r="N3239" s="31"/>
      <c r="O3239" s="16"/>
      <c r="P3239" s="16"/>
      <c r="Q3239" s="16"/>
      <c r="R3239" s="33"/>
      <c r="S3239" s="34"/>
      <c r="T3239" s="34"/>
      <c r="U3239" s="34"/>
      <c r="V3239" s="34"/>
      <c r="W3239" s="34"/>
      <c r="X3239" s="33"/>
      <c r="Y3239" s="35" t="str">
        <f>IF(Tabela2[[#This Row],[SIGLA]]="","",VLOOKUP(Tabela2[[#This Row],[SIGLA]],Tabela1[[#All],[Sigla Arte]:[Crédito]],2,0))</f>
        <v/>
      </c>
      <c r="Z3239" s="31"/>
      <c r="AA3239" s="31" t="str">
        <f>Tabela2[[#This Row],[ILUSTRADOR CRIAÇÃO]]</f>
        <v/>
      </c>
      <c r="AB3239" s="33"/>
      <c r="AC3239" s="16"/>
      <c r="AE3239" s="35" t="str">
        <f t="shared" si="51"/>
        <v>EF1 E002 Mat</v>
      </c>
    </row>
    <row r="3240" spans="1:31" x14ac:dyDescent="0.25">
      <c r="A3240" s="31"/>
      <c r="B3240" s="16"/>
      <c r="C3240" s="16"/>
      <c r="D3240" s="33"/>
      <c r="E3240" s="33"/>
      <c r="F3240" s="33"/>
      <c r="G3240" s="33"/>
      <c r="H3240" s="33"/>
      <c r="I3240" s="31"/>
      <c r="J3240" s="31"/>
      <c r="K3240" s="33"/>
      <c r="L3240" s="33"/>
      <c r="M3240" s="31"/>
      <c r="N3240" s="31"/>
      <c r="O3240" s="16"/>
      <c r="P3240" s="16"/>
      <c r="Q3240" s="16"/>
      <c r="R3240" s="33"/>
      <c r="S3240" s="34"/>
      <c r="T3240" s="34"/>
      <c r="U3240" s="34"/>
      <c r="V3240" s="34"/>
      <c r="W3240" s="34"/>
      <c r="X3240" s="33"/>
      <c r="Y3240" s="35" t="str">
        <f>IF(Tabela2[[#This Row],[SIGLA]]="","",VLOOKUP(Tabela2[[#This Row],[SIGLA]],Tabela1[[#All],[Sigla Arte]:[Crédito]],2,0))</f>
        <v/>
      </c>
      <c r="Z3240" s="31"/>
      <c r="AA3240" s="31" t="str">
        <f>Tabela2[[#This Row],[ILUSTRADOR CRIAÇÃO]]</f>
        <v/>
      </c>
      <c r="AB3240" s="33"/>
      <c r="AC3240" s="16"/>
      <c r="AE3240" s="35" t="str">
        <f t="shared" si="51"/>
        <v>EF1 E002 Mat</v>
      </c>
    </row>
    <row r="3241" spans="1:31" x14ac:dyDescent="0.25">
      <c r="A3241" s="31"/>
      <c r="B3241" s="16"/>
      <c r="C3241" s="16"/>
      <c r="D3241" s="33"/>
      <c r="E3241" s="33"/>
      <c r="F3241" s="33"/>
      <c r="G3241" s="33"/>
      <c r="H3241" s="33"/>
      <c r="I3241" s="31"/>
      <c r="J3241" s="31"/>
      <c r="K3241" s="33"/>
      <c r="L3241" s="33"/>
      <c r="M3241" s="31"/>
      <c r="N3241" s="31"/>
      <c r="O3241" s="16"/>
      <c r="P3241" s="16"/>
      <c r="Q3241" s="16"/>
      <c r="R3241" s="33"/>
      <c r="S3241" s="34"/>
      <c r="T3241" s="34"/>
      <c r="U3241" s="34"/>
      <c r="V3241" s="34"/>
      <c r="W3241" s="34"/>
      <c r="X3241" s="33"/>
      <c r="Y3241" s="35" t="str">
        <f>IF(Tabela2[[#This Row],[SIGLA]]="","",VLOOKUP(Tabela2[[#This Row],[SIGLA]],Tabela1[[#All],[Sigla Arte]:[Crédito]],2,0))</f>
        <v/>
      </c>
      <c r="Z3241" s="31"/>
      <c r="AA3241" s="31" t="str">
        <f>Tabela2[[#This Row],[ILUSTRADOR CRIAÇÃO]]</f>
        <v/>
      </c>
      <c r="AB3241" s="33"/>
      <c r="AC3241" s="16"/>
      <c r="AE3241" s="35" t="str">
        <f t="shared" si="51"/>
        <v>EF1 E002 Mat</v>
      </c>
    </row>
    <row r="3242" spans="1:31" x14ac:dyDescent="0.25">
      <c r="A3242" s="31"/>
      <c r="B3242" s="16"/>
      <c r="C3242" s="16"/>
      <c r="D3242" s="33"/>
      <c r="E3242" s="33"/>
      <c r="F3242" s="33"/>
      <c r="G3242" s="33"/>
      <c r="H3242" s="33"/>
      <c r="I3242" s="31"/>
      <c r="J3242" s="31"/>
      <c r="K3242" s="33"/>
      <c r="L3242" s="33"/>
      <c r="M3242" s="31"/>
      <c r="N3242" s="31"/>
      <c r="O3242" s="16"/>
      <c r="P3242" s="16"/>
      <c r="Q3242" s="16"/>
      <c r="R3242" s="33"/>
      <c r="S3242" s="34"/>
      <c r="T3242" s="34"/>
      <c r="U3242" s="34"/>
      <c r="V3242" s="34"/>
      <c r="W3242" s="34"/>
      <c r="X3242" s="33"/>
      <c r="Y3242" s="35" t="str">
        <f>IF(Tabela2[[#This Row],[SIGLA]]="","",VLOOKUP(Tabela2[[#This Row],[SIGLA]],Tabela1[[#All],[Sigla Arte]:[Crédito]],2,0))</f>
        <v/>
      </c>
      <c r="Z3242" s="31"/>
      <c r="AA3242" s="31" t="str">
        <f>Tabela2[[#This Row],[ILUSTRADOR CRIAÇÃO]]</f>
        <v/>
      </c>
      <c r="AB3242" s="33"/>
      <c r="AC3242" s="16"/>
      <c r="AE3242" s="35" t="str">
        <f t="shared" si="51"/>
        <v>EF1 E002 Mat</v>
      </c>
    </row>
    <row r="3243" spans="1:31" x14ac:dyDescent="0.25">
      <c r="A3243" s="31"/>
      <c r="B3243" s="16"/>
      <c r="C3243" s="16"/>
      <c r="D3243" s="33"/>
      <c r="E3243" s="33"/>
      <c r="F3243" s="33"/>
      <c r="G3243" s="33"/>
      <c r="H3243" s="33"/>
      <c r="I3243" s="31"/>
      <c r="J3243" s="31"/>
      <c r="K3243" s="33"/>
      <c r="L3243" s="33"/>
      <c r="M3243" s="31"/>
      <c r="N3243" s="31"/>
      <c r="O3243" s="16"/>
      <c r="P3243" s="16"/>
      <c r="Q3243" s="16"/>
      <c r="R3243" s="33"/>
      <c r="S3243" s="34"/>
      <c r="T3243" s="34"/>
      <c r="U3243" s="34"/>
      <c r="V3243" s="34"/>
      <c r="W3243" s="34"/>
      <c r="X3243" s="33"/>
      <c r="Y3243" s="35" t="str">
        <f>IF(Tabela2[[#This Row],[SIGLA]]="","",VLOOKUP(Tabela2[[#This Row],[SIGLA]],Tabela1[[#All],[Sigla Arte]:[Crédito]],2,0))</f>
        <v/>
      </c>
      <c r="Z3243" s="31"/>
      <c r="AA3243" s="31" t="str">
        <f>Tabela2[[#This Row],[ILUSTRADOR CRIAÇÃO]]</f>
        <v/>
      </c>
      <c r="AB3243" s="33"/>
      <c r="AC3243" s="16"/>
      <c r="AE3243" s="35" t="str">
        <f t="shared" si="51"/>
        <v>EF1 E002 Mat</v>
      </c>
    </row>
    <row r="3244" spans="1:31" x14ac:dyDescent="0.25">
      <c r="A3244" s="31"/>
      <c r="B3244" s="16"/>
      <c r="C3244" s="16"/>
      <c r="D3244" s="33"/>
      <c r="E3244" s="33"/>
      <c r="F3244" s="33"/>
      <c r="G3244" s="33"/>
      <c r="H3244" s="33"/>
      <c r="I3244" s="31"/>
      <c r="J3244" s="31"/>
      <c r="K3244" s="33"/>
      <c r="L3244" s="33"/>
      <c r="M3244" s="31"/>
      <c r="N3244" s="31"/>
      <c r="O3244" s="16"/>
      <c r="P3244" s="16"/>
      <c r="Q3244" s="16"/>
      <c r="R3244" s="33"/>
      <c r="S3244" s="34"/>
      <c r="T3244" s="34"/>
      <c r="U3244" s="34"/>
      <c r="V3244" s="34"/>
      <c r="W3244" s="34"/>
      <c r="X3244" s="33"/>
      <c r="Y3244" s="35" t="str">
        <f>IF(Tabela2[[#This Row],[SIGLA]]="","",VLOOKUP(Tabela2[[#This Row],[SIGLA]],Tabela1[[#All],[Sigla Arte]:[Crédito]],2,0))</f>
        <v/>
      </c>
      <c r="Z3244" s="31"/>
      <c r="AA3244" s="31" t="str">
        <f>Tabela2[[#This Row],[ILUSTRADOR CRIAÇÃO]]</f>
        <v/>
      </c>
      <c r="AB3244" s="33"/>
      <c r="AC3244" s="16"/>
      <c r="AE3244" s="35" t="str">
        <f t="shared" si="51"/>
        <v>EF1 E002 Mat</v>
      </c>
    </row>
    <row r="3245" spans="1:31" x14ac:dyDescent="0.25">
      <c r="A3245" s="31"/>
      <c r="B3245" s="16"/>
      <c r="C3245" s="16"/>
      <c r="D3245" s="33"/>
      <c r="E3245" s="33"/>
      <c r="F3245" s="33"/>
      <c r="G3245" s="33"/>
      <c r="H3245" s="33"/>
      <c r="I3245" s="31"/>
      <c r="J3245" s="31"/>
      <c r="K3245" s="33"/>
      <c r="L3245" s="33"/>
      <c r="M3245" s="31"/>
      <c r="N3245" s="31"/>
      <c r="O3245" s="16"/>
      <c r="P3245" s="16"/>
      <c r="Q3245" s="16"/>
      <c r="R3245" s="33"/>
      <c r="S3245" s="34"/>
      <c r="T3245" s="34"/>
      <c r="U3245" s="34"/>
      <c r="V3245" s="34"/>
      <c r="W3245" s="34"/>
      <c r="X3245" s="33"/>
      <c r="Y3245" s="35" t="str">
        <f>IF(Tabela2[[#This Row],[SIGLA]]="","",VLOOKUP(Tabela2[[#This Row],[SIGLA]],Tabela1[[#All],[Sigla Arte]:[Crédito]],2,0))</f>
        <v/>
      </c>
      <c r="Z3245" s="31"/>
      <c r="AA3245" s="31" t="str">
        <f>Tabela2[[#This Row],[ILUSTRADOR CRIAÇÃO]]</f>
        <v/>
      </c>
      <c r="AB3245" s="33"/>
      <c r="AC3245" s="16"/>
      <c r="AE3245" s="35" t="str">
        <f t="shared" si="51"/>
        <v>EF1 E002 Mat</v>
      </c>
    </row>
    <row r="3246" spans="1:31" x14ac:dyDescent="0.25">
      <c r="A3246" s="31"/>
      <c r="B3246" s="16"/>
      <c r="C3246" s="16"/>
      <c r="D3246" s="33"/>
      <c r="E3246" s="33"/>
      <c r="F3246" s="33"/>
      <c r="G3246" s="33"/>
      <c r="H3246" s="33"/>
      <c r="I3246" s="31"/>
      <c r="J3246" s="31"/>
      <c r="K3246" s="33"/>
      <c r="L3246" s="33"/>
      <c r="M3246" s="31"/>
      <c r="N3246" s="31"/>
      <c r="O3246" s="16"/>
      <c r="P3246" s="16"/>
      <c r="Q3246" s="16"/>
      <c r="R3246" s="33"/>
      <c r="S3246" s="34"/>
      <c r="T3246" s="34"/>
      <c r="U3246" s="34"/>
      <c r="V3246" s="34"/>
      <c r="W3246" s="34"/>
      <c r="X3246" s="33"/>
      <c r="Y3246" s="35" t="str">
        <f>IF(Tabela2[[#This Row],[SIGLA]]="","",VLOOKUP(Tabela2[[#This Row],[SIGLA]],Tabela1[[#All],[Sigla Arte]:[Crédito]],2,0))</f>
        <v/>
      </c>
      <c r="Z3246" s="31"/>
      <c r="AA3246" s="31" t="str">
        <f>Tabela2[[#This Row],[ILUSTRADOR CRIAÇÃO]]</f>
        <v/>
      </c>
      <c r="AB3246" s="33"/>
      <c r="AC3246" s="16"/>
      <c r="AE3246" s="35" t="str">
        <f t="shared" si="51"/>
        <v>EF1 E002 Mat</v>
      </c>
    </row>
    <row r="3247" spans="1:31" x14ac:dyDescent="0.25">
      <c r="A3247" s="31"/>
      <c r="B3247" s="16"/>
      <c r="C3247" s="16"/>
      <c r="D3247" s="33"/>
      <c r="E3247" s="33"/>
      <c r="F3247" s="33"/>
      <c r="G3247" s="33"/>
      <c r="H3247" s="33"/>
      <c r="I3247" s="31"/>
      <c r="J3247" s="31"/>
      <c r="K3247" s="33"/>
      <c r="L3247" s="33"/>
      <c r="M3247" s="31"/>
      <c r="N3247" s="31"/>
      <c r="O3247" s="16"/>
      <c r="P3247" s="16"/>
      <c r="Q3247" s="16"/>
      <c r="R3247" s="33"/>
      <c r="S3247" s="34"/>
      <c r="T3247" s="34"/>
      <c r="U3247" s="34"/>
      <c r="V3247" s="34"/>
      <c r="W3247" s="34"/>
      <c r="X3247" s="33"/>
      <c r="Y3247" s="35" t="str">
        <f>IF(Tabela2[[#This Row],[SIGLA]]="","",VLOOKUP(Tabela2[[#This Row],[SIGLA]],Tabela1[[#All],[Sigla Arte]:[Crédito]],2,0))</f>
        <v/>
      </c>
      <c r="Z3247" s="31"/>
      <c r="AA3247" s="31" t="str">
        <f>Tabela2[[#This Row],[ILUSTRADOR CRIAÇÃO]]</f>
        <v/>
      </c>
      <c r="AB3247" s="33"/>
      <c r="AC3247" s="16"/>
      <c r="AE3247" s="35" t="str">
        <f t="shared" si="51"/>
        <v>EF1 E002 Mat</v>
      </c>
    </row>
    <row r="3248" spans="1:31" x14ac:dyDescent="0.25">
      <c r="A3248" s="31"/>
      <c r="B3248" s="16"/>
      <c r="C3248" s="16"/>
      <c r="D3248" s="33"/>
      <c r="E3248" s="33"/>
      <c r="F3248" s="33"/>
      <c r="G3248" s="33"/>
      <c r="H3248" s="33"/>
      <c r="I3248" s="31"/>
      <c r="J3248" s="31"/>
      <c r="K3248" s="33"/>
      <c r="L3248" s="33"/>
      <c r="M3248" s="31"/>
      <c r="N3248" s="31"/>
      <c r="O3248" s="16"/>
      <c r="P3248" s="16"/>
      <c r="Q3248" s="16"/>
      <c r="R3248" s="33"/>
      <c r="S3248" s="34"/>
      <c r="T3248" s="34"/>
      <c r="U3248" s="34"/>
      <c r="V3248" s="34"/>
      <c r="W3248" s="34"/>
      <c r="X3248" s="33"/>
      <c r="Y3248" s="35" t="str">
        <f>IF(Tabela2[[#This Row],[SIGLA]]="","",VLOOKUP(Tabela2[[#This Row],[SIGLA]],Tabela1[[#All],[Sigla Arte]:[Crédito]],2,0))</f>
        <v/>
      </c>
      <c r="Z3248" s="31"/>
      <c r="AA3248" s="31" t="str">
        <f>Tabela2[[#This Row],[ILUSTRADOR CRIAÇÃO]]</f>
        <v/>
      </c>
      <c r="AB3248" s="33"/>
      <c r="AC3248" s="16"/>
      <c r="AE3248" s="35" t="str">
        <f t="shared" si="51"/>
        <v>EF1 E002 Mat</v>
      </c>
    </row>
    <row r="3249" spans="1:31" x14ac:dyDescent="0.25">
      <c r="A3249" s="31"/>
      <c r="B3249" s="16"/>
      <c r="C3249" s="16"/>
      <c r="D3249" s="33"/>
      <c r="E3249" s="33"/>
      <c r="F3249" s="33"/>
      <c r="G3249" s="33"/>
      <c r="H3249" s="33"/>
      <c r="I3249" s="31"/>
      <c r="J3249" s="31"/>
      <c r="K3249" s="33"/>
      <c r="L3249" s="33"/>
      <c r="M3249" s="31"/>
      <c r="N3249" s="31"/>
      <c r="O3249" s="16"/>
      <c r="P3249" s="16"/>
      <c r="Q3249" s="16"/>
      <c r="R3249" s="33"/>
      <c r="S3249" s="34"/>
      <c r="T3249" s="34"/>
      <c r="U3249" s="34"/>
      <c r="V3249" s="34"/>
      <c r="W3249" s="34"/>
      <c r="X3249" s="33"/>
      <c r="Y3249" s="35" t="str">
        <f>IF(Tabela2[[#This Row],[SIGLA]]="","",VLOOKUP(Tabela2[[#This Row],[SIGLA]],Tabela1[[#All],[Sigla Arte]:[Crédito]],2,0))</f>
        <v/>
      </c>
      <c r="Z3249" s="31"/>
      <c r="AA3249" s="31" t="str">
        <f>Tabela2[[#This Row],[ILUSTRADOR CRIAÇÃO]]</f>
        <v/>
      </c>
      <c r="AB3249" s="33"/>
      <c r="AC3249" s="16"/>
      <c r="AE3249" s="35" t="str">
        <f t="shared" si="51"/>
        <v>EF1 E002 Mat</v>
      </c>
    </row>
    <row r="3250" spans="1:31" x14ac:dyDescent="0.25">
      <c r="A3250" s="31"/>
      <c r="B3250" s="16"/>
      <c r="C3250" s="16"/>
      <c r="D3250" s="33"/>
      <c r="E3250" s="33"/>
      <c r="F3250" s="33"/>
      <c r="G3250" s="33"/>
      <c r="H3250" s="33"/>
      <c r="I3250" s="31"/>
      <c r="J3250" s="31"/>
      <c r="K3250" s="33"/>
      <c r="L3250" s="33"/>
      <c r="M3250" s="31"/>
      <c r="N3250" s="31"/>
      <c r="O3250" s="16"/>
      <c r="P3250" s="16"/>
      <c r="Q3250" s="16"/>
      <c r="R3250" s="33"/>
      <c r="S3250" s="34"/>
      <c r="T3250" s="34"/>
      <c r="U3250" s="34"/>
      <c r="V3250" s="34"/>
      <c r="W3250" s="34"/>
      <c r="X3250" s="33"/>
      <c r="Y3250" s="35" t="str">
        <f>IF(Tabela2[[#This Row],[SIGLA]]="","",VLOOKUP(Tabela2[[#This Row],[SIGLA]],Tabela1[[#All],[Sigla Arte]:[Crédito]],2,0))</f>
        <v/>
      </c>
      <c r="Z3250" s="31"/>
      <c r="AA3250" s="31" t="str">
        <f>Tabela2[[#This Row],[ILUSTRADOR CRIAÇÃO]]</f>
        <v/>
      </c>
      <c r="AB3250" s="33"/>
      <c r="AC3250" s="16"/>
      <c r="AE3250" s="35" t="str">
        <f t="shared" ref="AE3250:AE3313" si="52">"EF1 E002 Mat"</f>
        <v>EF1 E002 Mat</v>
      </c>
    </row>
    <row r="3251" spans="1:31" x14ac:dyDescent="0.25">
      <c r="A3251" s="31"/>
      <c r="B3251" s="16"/>
      <c r="C3251" s="16"/>
      <c r="D3251" s="33"/>
      <c r="E3251" s="33"/>
      <c r="F3251" s="33"/>
      <c r="G3251" s="33"/>
      <c r="H3251" s="33"/>
      <c r="I3251" s="31"/>
      <c r="J3251" s="31"/>
      <c r="K3251" s="33"/>
      <c r="L3251" s="33"/>
      <c r="M3251" s="31"/>
      <c r="N3251" s="31"/>
      <c r="O3251" s="16"/>
      <c r="P3251" s="16"/>
      <c r="Q3251" s="16"/>
      <c r="R3251" s="33"/>
      <c r="S3251" s="34"/>
      <c r="T3251" s="34"/>
      <c r="U3251" s="34"/>
      <c r="V3251" s="34"/>
      <c r="W3251" s="34"/>
      <c r="X3251" s="33"/>
      <c r="Y3251" s="35" t="str">
        <f>IF(Tabela2[[#This Row],[SIGLA]]="","",VLOOKUP(Tabela2[[#This Row],[SIGLA]],Tabela1[[#All],[Sigla Arte]:[Crédito]],2,0))</f>
        <v/>
      </c>
      <c r="Z3251" s="31"/>
      <c r="AA3251" s="31" t="str">
        <f>Tabela2[[#This Row],[ILUSTRADOR CRIAÇÃO]]</f>
        <v/>
      </c>
      <c r="AB3251" s="33"/>
      <c r="AC3251" s="16"/>
      <c r="AE3251" s="35" t="str">
        <f t="shared" si="52"/>
        <v>EF1 E002 Mat</v>
      </c>
    </row>
    <row r="3252" spans="1:31" x14ac:dyDescent="0.25">
      <c r="A3252" s="31"/>
      <c r="B3252" s="16"/>
      <c r="C3252" s="16"/>
      <c r="D3252" s="33"/>
      <c r="E3252" s="33"/>
      <c r="F3252" s="33"/>
      <c r="G3252" s="33"/>
      <c r="H3252" s="33"/>
      <c r="I3252" s="31"/>
      <c r="J3252" s="31"/>
      <c r="K3252" s="33"/>
      <c r="L3252" s="33"/>
      <c r="M3252" s="31"/>
      <c r="N3252" s="31"/>
      <c r="O3252" s="16"/>
      <c r="P3252" s="16"/>
      <c r="Q3252" s="16"/>
      <c r="R3252" s="33"/>
      <c r="S3252" s="34"/>
      <c r="T3252" s="34"/>
      <c r="U3252" s="34"/>
      <c r="V3252" s="34"/>
      <c r="W3252" s="34"/>
      <c r="X3252" s="33"/>
      <c r="Y3252" s="35" t="str">
        <f>IF(Tabela2[[#This Row],[SIGLA]]="","",VLOOKUP(Tabela2[[#This Row],[SIGLA]],Tabela1[[#All],[Sigla Arte]:[Crédito]],2,0))</f>
        <v/>
      </c>
      <c r="Z3252" s="31"/>
      <c r="AA3252" s="31" t="str">
        <f>Tabela2[[#This Row],[ILUSTRADOR CRIAÇÃO]]</f>
        <v/>
      </c>
      <c r="AB3252" s="33"/>
      <c r="AC3252" s="16"/>
      <c r="AE3252" s="35" t="str">
        <f t="shared" si="52"/>
        <v>EF1 E002 Mat</v>
      </c>
    </row>
    <row r="3253" spans="1:31" x14ac:dyDescent="0.25">
      <c r="A3253" s="31"/>
      <c r="B3253" s="16"/>
      <c r="C3253" s="16"/>
      <c r="D3253" s="33"/>
      <c r="E3253" s="33"/>
      <c r="F3253" s="33"/>
      <c r="G3253" s="33"/>
      <c r="H3253" s="33"/>
      <c r="I3253" s="31"/>
      <c r="J3253" s="31"/>
      <c r="K3253" s="33"/>
      <c r="L3253" s="33"/>
      <c r="M3253" s="31"/>
      <c r="N3253" s="31"/>
      <c r="O3253" s="16"/>
      <c r="P3253" s="16"/>
      <c r="Q3253" s="16"/>
      <c r="R3253" s="33"/>
      <c r="S3253" s="34"/>
      <c r="T3253" s="34"/>
      <c r="U3253" s="34"/>
      <c r="V3253" s="34"/>
      <c r="W3253" s="34"/>
      <c r="X3253" s="33"/>
      <c r="Y3253" s="35" t="str">
        <f>IF(Tabela2[[#This Row],[SIGLA]]="","",VLOOKUP(Tabela2[[#This Row],[SIGLA]],Tabela1[[#All],[Sigla Arte]:[Crédito]],2,0))</f>
        <v/>
      </c>
      <c r="Z3253" s="31"/>
      <c r="AA3253" s="31" t="str">
        <f>Tabela2[[#This Row],[ILUSTRADOR CRIAÇÃO]]</f>
        <v/>
      </c>
      <c r="AB3253" s="33"/>
      <c r="AC3253" s="16"/>
      <c r="AE3253" s="35" t="str">
        <f t="shared" si="52"/>
        <v>EF1 E002 Mat</v>
      </c>
    </row>
    <row r="3254" spans="1:31" x14ac:dyDescent="0.25">
      <c r="A3254" s="31"/>
      <c r="B3254" s="16"/>
      <c r="C3254" s="16"/>
      <c r="D3254" s="33"/>
      <c r="E3254" s="33"/>
      <c r="F3254" s="33"/>
      <c r="G3254" s="33"/>
      <c r="H3254" s="33"/>
      <c r="I3254" s="31"/>
      <c r="J3254" s="31"/>
      <c r="K3254" s="33"/>
      <c r="L3254" s="33"/>
      <c r="M3254" s="31"/>
      <c r="N3254" s="31"/>
      <c r="O3254" s="16"/>
      <c r="P3254" s="16"/>
      <c r="Q3254" s="16"/>
      <c r="R3254" s="33"/>
      <c r="S3254" s="34"/>
      <c r="T3254" s="34"/>
      <c r="U3254" s="34"/>
      <c r="V3254" s="34"/>
      <c r="W3254" s="34"/>
      <c r="X3254" s="33"/>
      <c r="Y3254" s="35" t="str">
        <f>IF(Tabela2[[#This Row],[SIGLA]]="","",VLOOKUP(Tabela2[[#This Row],[SIGLA]],Tabela1[[#All],[Sigla Arte]:[Crédito]],2,0))</f>
        <v/>
      </c>
      <c r="Z3254" s="31"/>
      <c r="AA3254" s="31" t="str">
        <f>Tabela2[[#This Row],[ILUSTRADOR CRIAÇÃO]]</f>
        <v/>
      </c>
      <c r="AB3254" s="33"/>
      <c r="AC3254" s="16"/>
      <c r="AE3254" s="35" t="str">
        <f t="shared" si="52"/>
        <v>EF1 E002 Mat</v>
      </c>
    </row>
    <row r="3255" spans="1:31" x14ac:dyDescent="0.25">
      <c r="A3255" s="31"/>
      <c r="B3255" s="16"/>
      <c r="C3255" s="16"/>
      <c r="D3255" s="33"/>
      <c r="E3255" s="33"/>
      <c r="F3255" s="33"/>
      <c r="G3255" s="33"/>
      <c r="H3255" s="33"/>
      <c r="I3255" s="31"/>
      <c r="J3255" s="31"/>
      <c r="K3255" s="33"/>
      <c r="L3255" s="33"/>
      <c r="M3255" s="31"/>
      <c r="N3255" s="31"/>
      <c r="O3255" s="16"/>
      <c r="P3255" s="16"/>
      <c r="Q3255" s="16"/>
      <c r="R3255" s="33"/>
      <c r="S3255" s="34"/>
      <c r="T3255" s="34"/>
      <c r="U3255" s="34"/>
      <c r="V3255" s="34"/>
      <c r="W3255" s="34"/>
      <c r="X3255" s="33"/>
      <c r="Y3255" s="35" t="str">
        <f>IF(Tabela2[[#This Row],[SIGLA]]="","",VLOOKUP(Tabela2[[#This Row],[SIGLA]],Tabela1[[#All],[Sigla Arte]:[Crédito]],2,0))</f>
        <v/>
      </c>
      <c r="Z3255" s="31"/>
      <c r="AA3255" s="31" t="str">
        <f>Tabela2[[#This Row],[ILUSTRADOR CRIAÇÃO]]</f>
        <v/>
      </c>
      <c r="AB3255" s="33"/>
      <c r="AC3255" s="16"/>
      <c r="AE3255" s="35" t="str">
        <f t="shared" si="52"/>
        <v>EF1 E002 Mat</v>
      </c>
    </row>
    <row r="3256" spans="1:31" x14ac:dyDescent="0.25">
      <c r="A3256" s="31"/>
      <c r="B3256" s="16"/>
      <c r="C3256" s="16"/>
      <c r="D3256" s="33"/>
      <c r="E3256" s="33"/>
      <c r="F3256" s="33"/>
      <c r="G3256" s="33"/>
      <c r="H3256" s="33"/>
      <c r="I3256" s="31"/>
      <c r="J3256" s="31"/>
      <c r="K3256" s="33"/>
      <c r="L3256" s="33"/>
      <c r="M3256" s="31"/>
      <c r="N3256" s="31"/>
      <c r="O3256" s="16"/>
      <c r="P3256" s="16"/>
      <c r="Q3256" s="16"/>
      <c r="R3256" s="33"/>
      <c r="S3256" s="34"/>
      <c r="T3256" s="34"/>
      <c r="U3256" s="34"/>
      <c r="V3256" s="34"/>
      <c r="W3256" s="34"/>
      <c r="X3256" s="33"/>
      <c r="Y3256" s="35" t="str">
        <f>IF(Tabela2[[#This Row],[SIGLA]]="","",VLOOKUP(Tabela2[[#This Row],[SIGLA]],Tabela1[[#All],[Sigla Arte]:[Crédito]],2,0))</f>
        <v/>
      </c>
      <c r="Z3256" s="31"/>
      <c r="AA3256" s="31" t="str">
        <f>Tabela2[[#This Row],[ILUSTRADOR CRIAÇÃO]]</f>
        <v/>
      </c>
      <c r="AB3256" s="33"/>
      <c r="AC3256" s="16"/>
      <c r="AE3256" s="35" t="str">
        <f t="shared" si="52"/>
        <v>EF1 E002 Mat</v>
      </c>
    </row>
    <row r="3257" spans="1:31" x14ac:dyDescent="0.25">
      <c r="A3257" s="31"/>
      <c r="B3257" s="16"/>
      <c r="C3257" s="16"/>
      <c r="D3257" s="33"/>
      <c r="E3257" s="33"/>
      <c r="F3257" s="33"/>
      <c r="G3257" s="33"/>
      <c r="H3257" s="33"/>
      <c r="I3257" s="31"/>
      <c r="J3257" s="31"/>
      <c r="K3257" s="33"/>
      <c r="L3257" s="33"/>
      <c r="M3257" s="31"/>
      <c r="N3257" s="31"/>
      <c r="O3257" s="16"/>
      <c r="P3257" s="16"/>
      <c r="Q3257" s="16"/>
      <c r="R3257" s="33"/>
      <c r="S3257" s="34"/>
      <c r="T3257" s="34"/>
      <c r="U3257" s="34"/>
      <c r="V3257" s="34"/>
      <c r="W3257" s="34"/>
      <c r="X3257" s="33"/>
      <c r="Y3257" s="35" t="str">
        <f>IF(Tabela2[[#This Row],[SIGLA]]="","",VLOOKUP(Tabela2[[#This Row],[SIGLA]],Tabela1[[#All],[Sigla Arte]:[Crédito]],2,0))</f>
        <v/>
      </c>
      <c r="Z3257" s="31"/>
      <c r="AA3257" s="31" t="str">
        <f>Tabela2[[#This Row],[ILUSTRADOR CRIAÇÃO]]</f>
        <v/>
      </c>
      <c r="AB3257" s="33"/>
      <c r="AC3257" s="16"/>
      <c r="AE3257" s="35" t="str">
        <f t="shared" si="52"/>
        <v>EF1 E002 Mat</v>
      </c>
    </row>
    <row r="3258" spans="1:31" x14ac:dyDescent="0.25">
      <c r="A3258" s="31"/>
      <c r="B3258" s="16"/>
      <c r="C3258" s="16"/>
      <c r="D3258" s="33"/>
      <c r="E3258" s="33"/>
      <c r="F3258" s="33"/>
      <c r="G3258" s="33"/>
      <c r="H3258" s="33"/>
      <c r="I3258" s="31"/>
      <c r="J3258" s="31"/>
      <c r="K3258" s="33"/>
      <c r="L3258" s="33"/>
      <c r="M3258" s="31"/>
      <c r="N3258" s="31"/>
      <c r="O3258" s="16"/>
      <c r="P3258" s="16"/>
      <c r="Q3258" s="16"/>
      <c r="R3258" s="33"/>
      <c r="S3258" s="34"/>
      <c r="T3258" s="34"/>
      <c r="U3258" s="34"/>
      <c r="V3258" s="34"/>
      <c r="W3258" s="34"/>
      <c r="X3258" s="33"/>
      <c r="Y3258" s="35" t="str">
        <f>IF(Tabela2[[#This Row],[SIGLA]]="","",VLOOKUP(Tabela2[[#This Row],[SIGLA]],Tabela1[[#All],[Sigla Arte]:[Crédito]],2,0))</f>
        <v/>
      </c>
      <c r="Z3258" s="31"/>
      <c r="AA3258" s="31" t="str">
        <f>Tabela2[[#This Row],[ILUSTRADOR CRIAÇÃO]]</f>
        <v/>
      </c>
      <c r="AB3258" s="33"/>
      <c r="AC3258" s="16"/>
      <c r="AE3258" s="35" t="str">
        <f t="shared" si="52"/>
        <v>EF1 E002 Mat</v>
      </c>
    </row>
    <row r="3259" spans="1:31" x14ac:dyDescent="0.25">
      <c r="A3259" s="31"/>
      <c r="B3259" s="16"/>
      <c r="C3259" s="16"/>
      <c r="D3259" s="33"/>
      <c r="E3259" s="33"/>
      <c r="F3259" s="33"/>
      <c r="G3259" s="33"/>
      <c r="H3259" s="33"/>
      <c r="I3259" s="31"/>
      <c r="J3259" s="31"/>
      <c r="K3259" s="33"/>
      <c r="L3259" s="33"/>
      <c r="M3259" s="31"/>
      <c r="N3259" s="31"/>
      <c r="O3259" s="16"/>
      <c r="P3259" s="16"/>
      <c r="Q3259" s="16"/>
      <c r="R3259" s="33"/>
      <c r="S3259" s="34"/>
      <c r="T3259" s="34"/>
      <c r="U3259" s="34"/>
      <c r="V3259" s="34"/>
      <c r="W3259" s="34"/>
      <c r="X3259" s="33"/>
      <c r="Y3259" s="35" t="str">
        <f>IF(Tabela2[[#This Row],[SIGLA]]="","",VLOOKUP(Tabela2[[#This Row],[SIGLA]],Tabela1[[#All],[Sigla Arte]:[Crédito]],2,0))</f>
        <v/>
      </c>
      <c r="Z3259" s="31"/>
      <c r="AA3259" s="31" t="str">
        <f>Tabela2[[#This Row],[ILUSTRADOR CRIAÇÃO]]</f>
        <v/>
      </c>
      <c r="AB3259" s="33"/>
      <c r="AC3259" s="16"/>
      <c r="AE3259" s="35" t="str">
        <f t="shared" si="52"/>
        <v>EF1 E002 Mat</v>
      </c>
    </row>
    <row r="3260" spans="1:31" x14ac:dyDescent="0.25">
      <c r="A3260" s="31"/>
      <c r="B3260" s="16"/>
      <c r="C3260" s="16"/>
      <c r="D3260" s="33"/>
      <c r="E3260" s="33"/>
      <c r="F3260" s="33"/>
      <c r="G3260" s="33"/>
      <c r="H3260" s="33"/>
      <c r="I3260" s="31"/>
      <c r="J3260" s="31"/>
      <c r="K3260" s="33"/>
      <c r="L3260" s="33"/>
      <c r="M3260" s="31"/>
      <c r="N3260" s="31"/>
      <c r="O3260" s="16"/>
      <c r="P3260" s="16"/>
      <c r="Q3260" s="16"/>
      <c r="R3260" s="33"/>
      <c r="S3260" s="34"/>
      <c r="T3260" s="34"/>
      <c r="U3260" s="34"/>
      <c r="V3260" s="34"/>
      <c r="W3260" s="34"/>
      <c r="X3260" s="33"/>
      <c r="Y3260" s="35" t="str">
        <f>IF(Tabela2[[#This Row],[SIGLA]]="","",VLOOKUP(Tabela2[[#This Row],[SIGLA]],Tabela1[[#All],[Sigla Arte]:[Crédito]],2,0))</f>
        <v/>
      </c>
      <c r="Z3260" s="31"/>
      <c r="AA3260" s="31" t="str">
        <f>Tabela2[[#This Row],[ILUSTRADOR CRIAÇÃO]]</f>
        <v/>
      </c>
      <c r="AB3260" s="33"/>
      <c r="AC3260" s="16"/>
      <c r="AE3260" s="35" t="str">
        <f t="shared" si="52"/>
        <v>EF1 E002 Mat</v>
      </c>
    </row>
    <row r="3261" spans="1:31" x14ac:dyDescent="0.25">
      <c r="A3261" s="31"/>
      <c r="B3261" s="16"/>
      <c r="C3261" s="16"/>
      <c r="D3261" s="33"/>
      <c r="E3261" s="33"/>
      <c r="F3261" s="33"/>
      <c r="G3261" s="33"/>
      <c r="H3261" s="33"/>
      <c r="I3261" s="31"/>
      <c r="J3261" s="31"/>
      <c r="K3261" s="33"/>
      <c r="L3261" s="33"/>
      <c r="M3261" s="31"/>
      <c r="N3261" s="31"/>
      <c r="O3261" s="16"/>
      <c r="P3261" s="16"/>
      <c r="Q3261" s="16"/>
      <c r="R3261" s="33"/>
      <c r="S3261" s="34"/>
      <c r="T3261" s="34"/>
      <c r="U3261" s="34"/>
      <c r="V3261" s="34"/>
      <c r="W3261" s="34"/>
      <c r="X3261" s="33"/>
      <c r="Y3261" s="35" t="str">
        <f>IF(Tabela2[[#This Row],[SIGLA]]="","",VLOOKUP(Tabela2[[#This Row],[SIGLA]],Tabela1[[#All],[Sigla Arte]:[Crédito]],2,0))</f>
        <v/>
      </c>
      <c r="Z3261" s="31"/>
      <c r="AA3261" s="31" t="str">
        <f>Tabela2[[#This Row],[ILUSTRADOR CRIAÇÃO]]</f>
        <v/>
      </c>
      <c r="AB3261" s="33"/>
      <c r="AC3261" s="16"/>
      <c r="AE3261" s="35" t="str">
        <f t="shared" si="52"/>
        <v>EF1 E002 Mat</v>
      </c>
    </row>
    <row r="3262" spans="1:31" x14ac:dyDescent="0.25">
      <c r="A3262" s="31"/>
      <c r="B3262" s="16"/>
      <c r="C3262" s="16"/>
      <c r="D3262" s="33"/>
      <c r="E3262" s="33"/>
      <c r="F3262" s="33"/>
      <c r="G3262" s="33"/>
      <c r="H3262" s="33"/>
      <c r="I3262" s="31"/>
      <c r="J3262" s="31"/>
      <c r="K3262" s="33"/>
      <c r="L3262" s="33"/>
      <c r="M3262" s="31"/>
      <c r="N3262" s="31"/>
      <c r="O3262" s="16"/>
      <c r="P3262" s="16"/>
      <c r="Q3262" s="16"/>
      <c r="R3262" s="33"/>
      <c r="S3262" s="34"/>
      <c r="T3262" s="34"/>
      <c r="U3262" s="34"/>
      <c r="V3262" s="34"/>
      <c r="W3262" s="34"/>
      <c r="X3262" s="33"/>
      <c r="Y3262" s="35" t="str">
        <f>IF(Tabela2[[#This Row],[SIGLA]]="","",VLOOKUP(Tabela2[[#This Row],[SIGLA]],Tabela1[[#All],[Sigla Arte]:[Crédito]],2,0))</f>
        <v/>
      </c>
      <c r="Z3262" s="31"/>
      <c r="AA3262" s="31" t="str">
        <f>Tabela2[[#This Row],[ILUSTRADOR CRIAÇÃO]]</f>
        <v/>
      </c>
      <c r="AB3262" s="33"/>
      <c r="AC3262" s="16"/>
      <c r="AE3262" s="35" t="str">
        <f t="shared" si="52"/>
        <v>EF1 E002 Mat</v>
      </c>
    </row>
    <row r="3263" spans="1:31" x14ac:dyDescent="0.25">
      <c r="A3263" s="31"/>
      <c r="B3263" s="16"/>
      <c r="C3263" s="16"/>
      <c r="D3263" s="33"/>
      <c r="E3263" s="33"/>
      <c r="F3263" s="33"/>
      <c r="G3263" s="33"/>
      <c r="H3263" s="33"/>
      <c r="I3263" s="31"/>
      <c r="J3263" s="31"/>
      <c r="K3263" s="33"/>
      <c r="L3263" s="33"/>
      <c r="M3263" s="31"/>
      <c r="N3263" s="31"/>
      <c r="O3263" s="16"/>
      <c r="P3263" s="16"/>
      <c r="Q3263" s="16"/>
      <c r="R3263" s="33"/>
      <c r="S3263" s="34"/>
      <c r="T3263" s="34"/>
      <c r="U3263" s="34"/>
      <c r="V3263" s="34"/>
      <c r="W3263" s="34"/>
      <c r="X3263" s="33"/>
      <c r="Y3263" s="35" t="str">
        <f>IF(Tabela2[[#This Row],[SIGLA]]="","",VLOOKUP(Tabela2[[#This Row],[SIGLA]],Tabela1[[#All],[Sigla Arte]:[Crédito]],2,0))</f>
        <v/>
      </c>
      <c r="Z3263" s="31"/>
      <c r="AA3263" s="31" t="str">
        <f>Tabela2[[#This Row],[ILUSTRADOR CRIAÇÃO]]</f>
        <v/>
      </c>
      <c r="AB3263" s="33"/>
      <c r="AC3263" s="16"/>
      <c r="AE3263" s="35" t="str">
        <f t="shared" si="52"/>
        <v>EF1 E002 Mat</v>
      </c>
    </row>
    <row r="3264" spans="1:31" x14ac:dyDescent="0.25">
      <c r="A3264" s="31"/>
      <c r="B3264" s="16"/>
      <c r="C3264" s="16"/>
      <c r="D3264" s="33"/>
      <c r="E3264" s="33"/>
      <c r="F3264" s="33"/>
      <c r="G3264" s="33"/>
      <c r="H3264" s="33"/>
      <c r="I3264" s="31"/>
      <c r="J3264" s="31"/>
      <c r="K3264" s="33"/>
      <c r="L3264" s="33"/>
      <c r="M3264" s="31"/>
      <c r="N3264" s="31"/>
      <c r="O3264" s="16"/>
      <c r="P3264" s="16"/>
      <c r="Q3264" s="16"/>
      <c r="R3264" s="33"/>
      <c r="S3264" s="34"/>
      <c r="T3264" s="34"/>
      <c r="U3264" s="34"/>
      <c r="V3264" s="34"/>
      <c r="W3264" s="34"/>
      <c r="X3264" s="33"/>
      <c r="Y3264" s="35" t="str">
        <f>IF(Tabela2[[#This Row],[SIGLA]]="","",VLOOKUP(Tabela2[[#This Row],[SIGLA]],Tabela1[[#All],[Sigla Arte]:[Crédito]],2,0))</f>
        <v/>
      </c>
      <c r="Z3264" s="31"/>
      <c r="AA3264" s="31" t="str">
        <f>Tabela2[[#This Row],[ILUSTRADOR CRIAÇÃO]]</f>
        <v/>
      </c>
      <c r="AB3264" s="33"/>
      <c r="AC3264" s="16"/>
      <c r="AE3264" s="35" t="str">
        <f t="shared" si="52"/>
        <v>EF1 E002 Mat</v>
      </c>
    </row>
    <row r="3265" spans="1:31" x14ac:dyDescent="0.25">
      <c r="A3265" s="31"/>
      <c r="B3265" s="16"/>
      <c r="C3265" s="16"/>
      <c r="D3265" s="33"/>
      <c r="E3265" s="33"/>
      <c r="F3265" s="33"/>
      <c r="G3265" s="33"/>
      <c r="H3265" s="33"/>
      <c r="I3265" s="31"/>
      <c r="J3265" s="31"/>
      <c r="K3265" s="33"/>
      <c r="L3265" s="33"/>
      <c r="M3265" s="31"/>
      <c r="N3265" s="31"/>
      <c r="O3265" s="16"/>
      <c r="P3265" s="16"/>
      <c r="Q3265" s="16"/>
      <c r="R3265" s="33"/>
      <c r="S3265" s="34"/>
      <c r="T3265" s="34"/>
      <c r="U3265" s="34"/>
      <c r="V3265" s="34"/>
      <c r="W3265" s="34"/>
      <c r="X3265" s="33"/>
      <c r="Y3265" s="35" t="str">
        <f>IF(Tabela2[[#This Row],[SIGLA]]="","",VLOOKUP(Tabela2[[#This Row],[SIGLA]],Tabela1[[#All],[Sigla Arte]:[Crédito]],2,0))</f>
        <v/>
      </c>
      <c r="Z3265" s="31"/>
      <c r="AA3265" s="31" t="str">
        <f>Tabela2[[#This Row],[ILUSTRADOR CRIAÇÃO]]</f>
        <v/>
      </c>
      <c r="AB3265" s="33"/>
      <c r="AC3265" s="16"/>
      <c r="AE3265" s="35" t="str">
        <f t="shared" si="52"/>
        <v>EF1 E002 Mat</v>
      </c>
    </row>
    <row r="3266" spans="1:31" x14ac:dyDescent="0.25">
      <c r="A3266" s="31"/>
      <c r="B3266" s="16"/>
      <c r="C3266" s="16"/>
      <c r="D3266" s="33"/>
      <c r="E3266" s="33"/>
      <c r="F3266" s="33"/>
      <c r="G3266" s="33"/>
      <c r="H3266" s="33"/>
      <c r="I3266" s="31"/>
      <c r="J3266" s="31"/>
      <c r="K3266" s="33"/>
      <c r="L3266" s="33"/>
      <c r="M3266" s="31"/>
      <c r="N3266" s="31"/>
      <c r="O3266" s="16"/>
      <c r="P3266" s="16"/>
      <c r="Q3266" s="16"/>
      <c r="R3266" s="33"/>
      <c r="S3266" s="34"/>
      <c r="T3266" s="34"/>
      <c r="U3266" s="34"/>
      <c r="V3266" s="34"/>
      <c r="W3266" s="34"/>
      <c r="X3266" s="33"/>
      <c r="Y3266" s="35" t="str">
        <f>IF(Tabela2[[#This Row],[SIGLA]]="","",VLOOKUP(Tabela2[[#This Row],[SIGLA]],Tabela1[[#All],[Sigla Arte]:[Crédito]],2,0))</f>
        <v/>
      </c>
      <c r="Z3266" s="31"/>
      <c r="AA3266" s="31" t="str">
        <f>Tabela2[[#This Row],[ILUSTRADOR CRIAÇÃO]]</f>
        <v/>
      </c>
      <c r="AB3266" s="33"/>
      <c r="AC3266" s="16"/>
      <c r="AE3266" s="35" t="str">
        <f t="shared" si="52"/>
        <v>EF1 E002 Mat</v>
      </c>
    </row>
    <row r="3267" spans="1:31" x14ac:dyDescent="0.25">
      <c r="A3267" s="31"/>
      <c r="B3267" s="16"/>
      <c r="C3267" s="16"/>
      <c r="D3267" s="33"/>
      <c r="E3267" s="33"/>
      <c r="F3267" s="33"/>
      <c r="G3267" s="33"/>
      <c r="H3267" s="33"/>
      <c r="I3267" s="31"/>
      <c r="J3267" s="31"/>
      <c r="K3267" s="33"/>
      <c r="L3267" s="33"/>
      <c r="M3267" s="31"/>
      <c r="N3267" s="31"/>
      <c r="O3267" s="16"/>
      <c r="P3267" s="16"/>
      <c r="Q3267" s="16"/>
      <c r="R3267" s="33"/>
      <c r="S3267" s="34"/>
      <c r="T3267" s="34"/>
      <c r="U3267" s="34"/>
      <c r="V3267" s="34"/>
      <c r="W3267" s="34"/>
      <c r="X3267" s="33"/>
      <c r="Y3267" s="35" t="str">
        <f>IF(Tabela2[[#This Row],[SIGLA]]="","",VLOOKUP(Tabela2[[#This Row],[SIGLA]],Tabela1[[#All],[Sigla Arte]:[Crédito]],2,0))</f>
        <v/>
      </c>
      <c r="Z3267" s="31"/>
      <c r="AA3267" s="31" t="str">
        <f>Tabela2[[#This Row],[ILUSTRADOR CRIAÇÃO]]</f>
        <v/>
      </c>
      <c r="AB3267" s="33"/>
      <c r="AC3267" s="16"/>
      <c r="AE3267" s="35" t="str">
        <f t="shared" si="52"/>
        <v>EF1 E002 Mat</v>
      </c>
    </row>
    <row r="3268" spans="1:31" x14ac:dyDescent="0.25">
      <c r="A3268" s="31"/>
      <c r="B3268" s="16"/>
      <c r="C3268" s="16"/>
      <c r="D3268" s="33"/>
      <c r="E3268" s="33"/>
      <c r="F3268" s="33"/>
      <c r="G3268" s="33"/>
      <c r="H3268" s="33"/>
      <c r="I3268" s="31"/>
      <c r="J3268" s="31"/>
      <c r="K3268" s="33"/>
      <c r="L3268" s="33"/>
      <c r="M3268" s="31"/>
      <c r="N3268" s="31"/>
      <c r="O3268" s="16"/>
      <c r="P3268" s="16"/>
      <c r="Q3268" s="16"/>
      <c r="R3268" s="33"/>
      <c r="S3268" s="34"/>
      <c r="T3268" s="34"/>
      <c r="U3268" s="34"/>
      <c r="V3268" s="34"/>
      <c r="W3268" s="34"/>
      <c r="X3268" s="33"/>
      <c r="Y3268" s="35" t="str">
        <f>IF(Tabela2[[#This Row],[SIGLA]]="","",VLOOKUP(Tabela2[[#This Row],[SIGLA]],Tabela1[[#All],[Sigla Arte]:[Crédito]],2,0))</f>
        <v/>
      </c>
      <c r="Z3268" s="31"/>
      <c r="AA3268" s="31" t="str">
        <f>Tabela2[[#This Row],[ILUSTRADOR CRIAÇÃO]]</f>
        <v/>
      </c>
      <c r="AB3268" s="33"/>
      <c r="AC3268" s="16"/>
      <c r="AE3268" s="35" t="str">
        <f t="shared" si="52"/>
        <v>EF1 E002 Mat</v>
      </c>
    </row>
    <row r="3269" spans="1:31" x14ac:dyDescent="0.25">
      <c r="A3269" s="31"/>
      <c r="B3269" s="16"/>
      <c r="C3269" s="16"/>
      <c r="D3269" s="33"/>
      <c r="E3269" s="33"/>
      <c r="F3269" s="33"/>
      <c r="G3269" s="33"/>
      <c r="H3269" s="33"/>
      <c r="I3269" s="31"/>
      <c r="J3269" s="31"/>
      <c r="K3269" s="33"/>
      <c r="L3269" s="33"/>
      <c r="M3269" s="31"/>
      <c r="N3269" s="31"/>
      <c r="O3269" s="16"/>
      <c r="P3269" s="16"/>
      <c r="Q3269" s="16"/>
      <c r="R3269" s="33"/>
      <c r="S3269" s="34"/>
      <c r="T3269" s="34"/>
      <c r="U3269" s="34"/>
      <c r="V3269" s="34"/>
      <c r="W3269" s="34"/>
      <c r="X3269" s="33"/>
      <c r="Y3269" s="35" t="str">
        <f>IF(Tabela2[[#This Row],[SIGLA]]="","",VLOOKUP(Tabela2[[#This Row],[SIGLA]],Tabela1[[#All],[Sigla Arte]:[Crédito]],2,0))</f>
        <v/>
      </c>
      <c r="Z3269" s="31"/>
      <c r="AA3269" s="31" t="str">
        <f>Tabela2[[#This Row],[ILUSTRADOR CRIAÇÃO]]</f>
        <v/>
      </c>
      <c r="AB3269" s="33"/>
      <c r="AC3269" s="16"/>
      <c r="AE3269" s="35" t="str">
        <f t="shared" si="52"/>
        <v>EF1 E002 Mat</v>
      </c>
    </row>
    <row r="3270" spans="1:31" x14ac:dyDescent="0.25">
      <c r="A3270" s="31"/>
      <c r="B3270" s="16"/>
      <c r="C3270" s="16"/>
      <c r="D3270" s="33"/>
      <c r="E3270" s="33"/>
      <c r="F3270" s="33"/>
      <c r="G3270" s="33"/>
      <c r="H3270" s="33"/>
      <c r="I3270" s="31"/>
      <c r="J3270" s="31"/>
      <c r="K3270" s="33"/>
      <c r="L3270" s="33"/>
      <c r="M3270" s="31"/>
      <c r="N3270" s="31"/>
      <c r="O3270" s="16"/>
      <c r="P3270" s="16"/>
      <c r="Q3270" s="16"/>
      <c r="R3270" s="33"/>
      <c r="S3270" s="34"/>
      <c r="T3270" s="34"/>
      <c r="U3270" s="34"/>
      <c r="V3270" s="34"/>
      <c r="W3270" s="34"/>
      <c r="X3270" s="33"/>
      <c r="Y3270" s="35" t="str">
        <f>IF(Tabela2[[#This Row],[SIGLA]]="","",VLOOKUP(Tabela2[[#This Row],[SIGLA]],Tabela1[[#All],[Sigla Arte]:[Crédito]],2,0))</f>
        <v/>
      </c>
      <c r="Z3270" s="31"/>
      <c r="AA3270" s="31" t="str">
        <f>Tabela2[[#This Row],[ILUSTRADOR CRIAÇÃO]]</f>
        <v/>
      </c>
      <c r="AB3270" s="33"/>
      <c r="AC3270" s="16"/>
      <c r="AE3270" s="35" t="str">
        <f t="shared" si="52"/>
        <v>EF1 E002 Mat</v>
      </c>
    </row>
    <row r="3271" spans="1:31" x14ac:dyDescent="0.25">
      <c r="A3271" s="31"/>
      <c r="B3271" s="16"/>
      <c r="C3271" s="16"/>
      <c r="D3271" s="33"/>
      <c r="E3271" s="33"/>
      <c r="F3271" s="33"/>
      <c r="G3271" s="33"/>
      <c r="H3271" s="33"/>
      <c r="I3271" s="31"/>
      <c r="J3271" s="31"/>
      <c r="K3271" s="33"/>
      <c r="L3271" s="33"/>
      <c r="M3271" s="31"/>
      <c r="N3271" s="31"/>
      <c r="O3271" s="16"/>
      <c r="P3271" s="16"/>
      <c r="Q3271" s="16"/>
      <c r="R3271" s="33"/>
      <c r="S3271" s="34"/>
      <c r="T3271" s="34"/>
      <c r="U3271" s="34"/>
      <c r="V3271" s="34"/>
      <c r="W3271" s="34"/>
      <c r="X3271" s="33"/>
      <c r="Y3271" s="35" t="str">
        <f>IF(Tabela2[[#This Row],[SIGLA]]="","",VLOOKUP(Tabela2[[#This Row],[SIGLA]],Tabela1[[#All],[Sigla Arte]:[Crédito]],2,0))</f>
        <v/>
      </c>
      <c r="Z3271" s="31"/>
      <c r="AA3271" s="31" t="str">
        <f>Tabela2[[#This Row],[ILUSTRADOR CRIAÇÃO]]</f>
        <v/>
      </c>
      <c r="AB3271" s="33"/>
      <c r="AC3271" s="16"/>
      <c r="AE3271" s="35" t="str">
        <f t="shared" si="52"/>
        <v>EF1 E002 Mat</v>
      </c>
    </row>
    <row r="3272" spans="1:31" x14ac:dyDescent="0.25">
      <c r="A3272" s="31"/>
      <c r="B3272" s="16"/>
      <c r="C3272" s="16"/>
      <c r="D3272" s="33"/>
      <c r="E3272" s="33"/>
      <c r="F3272" s="33"/>
      <c r="G3272" s="33"/>
      <c r="H3272" s="33"/>
      <c r="I3272" s="31"/>
      <c r="J3272" s="31"/>
      <c r="K3272" s="33"/>
      <c r="L3272" s="33"/>
      <c r="M3272" s="31"/>
      <c r="N3272" s="31"/>
      <c r="O3272" s="16"/>
      <c r="P3272" s="16"/>
      <c r="Q3272" s="16"/>
      <c r="R3272" s="33"/>
      <c r="S3272" s="34"/>
      <c r="T3272" s="34"/>
      <c r="U3272" s="34"/>
      <c r="V3272" s="34"/>
      <c r="W3272" s="34"/>
      <c r="X3272" s="33"/>
      <c r="Y3272" s="35" t="str">
        <f>IF(Tabela2[[#This Row],[SIGLA]]="","",VLOOKUP(Tabela2[[#This Row],[SIGLA]],Tabela1[[#All],[Sigla Arte]:[Crédito]],2,0))</f>
        <v/>
      </c>
      <c r="Z3272" s="31"/>
      <c r="AA3272" s="31" t="str">
        <f>Tabela2[[#This Row],[ILUSTRADOR CRIAÇÃO]]</f>
        <v/>
      </c>
      <c r="AB3272" s="33"/>
      <c r="AC3272" s="16"/>
      <c r="AE3272" s="35" t="str">
        <f t="shared" si="52"/>
        <v>EF1 E002 Mat</v>
      </c>
    </row>
    <row r="3273" spans="1:31" x14ac:dyDescent="0.25">
      <c r="A3273" s="31"/>
      <c r="B3273" s="16"/>
      <c r="C3273" s="16"/>
      <c r="D3273" s="33"/>
      <c r="E3273" s="33"/>
      <c r="F3273" s="33"/>
      <c r="G3273" s="33"/>
      <c r="H3273" s="33"/>
      <c r="I3273" s="31"/>
      <c r="J3273" s="31"/>
      <c r="K3273" s="33"/>
      <c r="L3273" s="33"/>
      <c r="M3273" s="31"/>
      <c r="N3273" s="31"/>
      <c r="O3273" s="16"/>
      <c r="P3273" s="16"/>
      <c r="Q3273" s="16"/>
      <c r="R3273" s="33"/>
      <c r="S3273" s="34"/>
      <c r="T3273" s="34"/>
      <c r="U3273" s="34"/>
      <c r="V3273" s="34"/>
      <c r="W3273" s="34"/>
      <c r="X3273" s="33"/>
      <c r="Y3273" s="35" t="str">
        <f>IF(Tabela2[[#This Row],[SIGLA]]="","",VLOOKUP(Tabela2[[#This Row],[SIGLA]],Tabela1[[#All],[Sigla Arte]:[Crédito]],2,0))</f>
        <v/>
      </c>
      <c r="Z3273" s="31"/>
      <c r="AA3273" s="31" t="str">
        <f>Tabela2[[#This Row],[ILUSTRADOR CRIAÇÃO]]</f>
        <v/>
      </c>
      <c r="AB3273" s="33"/>
      <c r="AC3273" s="16"/>
      <c r="AE3273" s="35" t="str">
        <f t="shared" si="52"/>
        <v>EF1 E002 Mat</v>
      </c>
    </row>
    <row r="3274" spans="1:31" x14ac:dyDescent="0.25">
      <c r="A3274" s="31"/>
      <c r="B3274" s="16"/>
      <c r="C3274" s="16"/>
      <c r="D3274" s="33"/>
      <c r="E3274" s="33"/>
      <c r="F3274" s="33"/>
      <c r="G3274" s="33"/>
      <c r="H3274" s="33"/>
      <c r="I3274" s="31"/>
      <c r="J3274" s="31"/>
      <c r="K3274" s="33"/>
      <c r="L3274" s="33"/>
      <c r="M3274" s="31"/>
      <c r="N3274" s="31"/>
      <c r="O3274" s="16"/>
      <c r="P3274" s="16"/>
      <c r="Q3274" s="16"/>
      <c r="R3274" s="33"/>
      <c r="S3274" s="34"/>
      <c r="T3274" s="34"/>
      <c r="U3274" s="34"/>
      <c r="V3274" s="34"/>
      <c r="W3274" s="34"/>
      <c r="X3274" s="33"/>
      <c r="Y3274" s="35" t="str">
        <f>IF(Tabela2[[#This Row],[SIGLA]]="","",VLOOKUP(Tabela2[[#This Row],[SIGLA]],Tabela1[[#All],[Sigla Arte]:[Crédito]],2,0))</f>
        <v/>
      </c>
      <c r="Z3274" s="31"/>
      <c r="AA3274" s="31" t="str">
        <f>Tabela2[[#This Row],[ILUSTRADOR CRIAÇÃO]]</f>
        <v/>
      </c>
      <c r="AB3274" s="33"/>
      <c r="AC3274" s="16"/>
      <c r="AE3274" s="35" t="str">
        <f t="shared" si="52"/>
        <v>EF1 E002 Mat</v>
      </c>
    </row>
    <row r="3275" spans="1:31" x14ac:dyDescent="0.25">
      <c r="A3275" s="31"/>
      <c r="B3275" s="16"/>
      <c r="C3275" s="16"/>
      <c r="D3275" s="33"/>
      <c r="E3275" s="33"/>
      <c r="F3275" s="33"/>
      <c r="G3275" s="33"/>
      <c r="H3275" s="33"/>
      <c r="I3275" s="31"/>
      <c r="J3275" s="31"/>
      <c r="K3275" s="33"/>
      <c r="L3275" s="33"/>
      <c r="M3275" s="31"/>
      <c r="N3275" s="31"/>
      <c r="O3275" s="16"/>
      <c r="P3275" s="16"/>
      <c r="Q3275" s="16"/>
      <c r="R3275" s="33"/>
      <c r="S3275" s="34"/>
      <c r="T3275" s="34"/>
      <c r="U3275" s="34"/>
      <c r="V3275" s="34"/>
      <c r="W3275" s="34"/>
      <c r="X3275" s="33"/>
      <c r="Y3275" s="35" t="str">
        <f>IF(Tabela2[[#This Row],[SIGLA]]="","",VLOOKUP(Tabela2[[#This Row],[SIGLA]],Tabela1[[#All],[Sigla Arte]:[Crédito]],2,0))</f>
        <v/>
      </c>
      <c r="Z3275" s="31"/>
      <c r="AA3275" s="31" t="str">
        <f>Tabela2[[#This Row],[ILUSTRADOR CRIAÇÃO]]</f>
        <v/>
      </c>
      <c r="AB3275" s="33"/>
      <c r="AC3275" s="16"/>
      <c r="AE3275" s="35" t="str">
        <f t="shared" si="52"/>
        <v>EF1 E002 Mat</v>
      </c>
    </row>
    <row r="3276" spans="1:31" x14ac:dyDescent="0.25">
      <c r="A3276" s="31"/>
      <c r="B3276" s="16"/>
      <c r="C3276" s="16"/>
      <c r="D3276" s="33"/>
      <c r="E3276" s="33"/>
      <c r="F3276" s="33"/>
      <c r="G3276" s="33"/>
      <c r="H3276" s="33"/>
      <c r="I3276" s="31"/>
      <c r="J3276" s="31"/>
      <c r="K3276" s="33"/>
      <c r="L3276" s="33"/>
      <c r="M3276" s="31"/>
      <c r="N3276" s="31"/>
      <c r="O3276" s="16"/>
      <c r="P3276" s="16"/>
      <c r="Q3276" s="16"/>
      <c r="R3276" s="33"/>
      <c r="S3276" s="34"/>
      <c r="T3276" s="34"/>
      <c r="U3276" s="34"/>
      <c r="V3276" s="34"/>
      <c r="W3276" s="34"/>
      <c r="X3276" s="33"/>
      <c r="Y3276" s="35" t="str">
        <f>IF(Tabela2[[#This Row],[SIGLA]]="","",VLOOKUP(Tabela2[[#This Row],[SIGLA]],Tabela1[[#All],[Sigla Arte]:[Crédito]],2,0))</f>
        <v/>
      </c>
      <c r="Z3276" s="31"/>
      <c r="AA3276" s="31" t="str">
        <f>Tabela2[[#This Row],[ILUSTRADOR CRIAÇÃO]]</f>
        <v/>
      </c>
      <c r="AB3276" s="33"/>
      <c r="AC3276" s="16"/>
      <c r="AE3276" s="35" t="str">
        <f t="shared" si="52"/>
        <v>EF1 E002 Mat</v>
      </c>
    </row>
    <row r="3277" spans="1:31" x14ac:dyDescent="0.25">
      <c r="A3277" s="31"/>
      <c r="B3277" s="16"/>
      <c r="C3277" s="16"/>
      <c r="D3277" s="33"/>
      <c r="E3277" s="33"/>
      <c r="F3277" s="33"/>
      <c r="G3277" s="33"/>
      <c r="H3277" s="33"/>
      <c r="I3277" s="31"/>
      <c r="J3277" s="31"/>
      <c r="K3277" s="33"/>
      <c r="L3277" s="33"/>
      <c r="M3277" s="31"/>
      <c r="N3277" s="31"/>
      <c r="O3277" s="16"/>
      <c r="P3277" s="16"/>
      <c r="Q3277" s="16"/>
      <c r="R3277" s="33"/>
      <c r="S3277" s="34"/>
      <c r="T3277" s="34"/>
      <c r="U3277" s="34"/>
      <c r="V3277" s="34"/>
      <c r="W3277" s="34"/>
      <c r="X3277" s="33"/>
      <c r="Y3277" s="35" t="str">
        <f>IF(Tabela2[[#This Row],[SIGLA]]="","",VLOOKUP(Tabela2[[#This Row],[SIGLA]],Tabela1[[#All],[Sigla Arte]:[Crédito]],2,0))</f>
        <v/>
      </c>
      <c r="Z3277" s="31"/>
      <c r="AA3277" s="31" t="str">
        <f>Tabela2[[#This Row],[ILUSTRADOR CRIAÇÃO]]</f>
        <v/>
      </c>
      <c r="AB3277" s="33"/>
      <c r="AC3277" s="16"/>
      <c r="AE3277" s="35" t="str">
        <f t="shared" si="52"/>
        <v>EF1 E002 Mat</v>
      </c>
    </row>
    <row r="3278" spans="1:31" x14ac:dyDescent="0.25">
      <c r="A3278" s="31"/>
      <c r="B3278" s="16"/>
      <c r="C3278" s="16"/>
      <c r="D3278" s="33"/>
      <c r="E3278" s="33"/>
      <c r="F3278" s="33"/>
      <c r="G3278" s="33"/>
      <c r="H3278" s="33"/>
      <c r="I3278" s="31"/>
      <c r="J3278" s="31"/>
      <c r="K3278" s="33"/>
      <c r="L3278" s="33"/>
      <c r="M3278" s="31"/>
      <c r="N3278" s="31"/>
      <c r="O3278" s="16"/>
      <c r="P3278" s="16"/>
      <c r="Q3278" s="16"/>
      <c r="R3278" s="33"/>
      <c r="S3278" s="34"/>
      <c r="T3278" s="34"/>
      <c r="U3278" s="34"/>
      <c r="V3278" s="34"/>
      <c r="W3278" s="34"/>
      <c r="X3278" s="33"/>
      <c r="Y3278" s="35" t="str">
        <f>IF(Tabela2[[#This Row],[SIGLA]]="","",VLOOKUP(Tabela2[[#This Row],[SIGLA]],Tabela1[[#All],[Sigla Arte]:[Crédito]],2,0))</f>
        <v/>
      </c>
      <c r="Z3278" s="31"/>
      <c r="AA3278" s="31" t="str">
        <f>Tabela2[[#This Row],[ILUSTRADOR CRIAÇÃO]]</f>
        <v/>
      </c>
      <c r="AB3278" s="33"/>
      <c r="AC3278" s="16"/>
      <c r="AE3278" s="35" t="str">
        <f t="shared" si="52"/>
        <v>EF1 E002 Mat</v>
      </c>
    </row>
    <row r="3279" spans="1:31" x14ac:dyDescent="0.25">
      <c r="A3279" s="31"/>
      <c r="B3279" s="16"/>
      <c r="C3279" s="16"/>
      <c r="D3279" s="33"/>
      <c r="E3279" s="33"/>
      <c r="F3279" s="33"/>
      <c r="G3279" s="33"/>
      <c r="H3279" s="33"/>
      <c r="I3279" s="31"/>
      <c r="J3279" s="31"/>
      <c r="K3279" s="33"/>
      <c r="L3279" s="33"/>
      <c r="M3279" s="31"/>
      <c r="N3279" s="31"/>
      <c r="O3279" s="16"/>
      <c r="P3279" s="16"/>
      <c r="Q3279" s="16"/>
      <c r="R3279" s="33"/>
      <c r="S3279" s="34"/>
      <c r="T3279" s="34"/>
      <c r="U3279" s="34"/>
      <c r="V3279" s="34"/>
      <c r="W3279" s="34"/>
      <c r="X3279" s="33"/>
      <c r="Y3279" s="35" t="str">
        <f>IF(Tabela2[[#This Row],[SIGLA]]="","",VLOOKUP(Tabela2[[#This Row],[SIGLA]],Tabela1[[#All],[Sigla Arte]:[Crédito]],2,0))</f>
        <v/>
      </c>
      <c r="Z3279" s="31"/>
      <c r="AA3279" s="31" t="str">
        <f>Tabela2[[#This Row],[ILUSTRADOR CRIAÇÃO]]</f>
        <v/>
      </c>
      <c r="AB3279" s="33"/>
      <c r="AC3279" s="16"/>
      <c r="AE3279" s="35" t="str">
        <f t="shared" si="52"/>
        <v>EF1 E002 Mat</v>
      </c>
    </row>
    <row r="3280" spans="1:31" x14ac:dyDescent="0.25">
      <c r="A3280" s="31"/>
      <c r="B3280" s="16"/>
      <c r="C3280" s="16"/>
      <c r="D3280" s="33"/>
      <c r="E3280" s="33"/>
      <c r="F3280" s="33"/>
      <c r="G3280" s="33"/>
      <c r="H3280" s="33"/>
      <c r="I3280" s="31"/>
      <c r="J3280" s="31"/>
      <c r="K3280" s="33"/>
      <c r="L3280" s="33"/>
      <c r="M3280" s="31"/>
      <c r="N3280" s="31"/>
      <c r="O3280" s="16"/>
      <c r="P3280" s="16"/>
      <c r="Q3280" s="16"/>
      <c r="R3280" s="33"/>
      <c r="S3280" s="34"/>
      <c r="T3280" s="34"/>
      <c r="U3280" s="34"/>
      <c r="V3280" s="34"/>
      <c r="W3280" s="34"/>
      <c r="X3280" s="33"/>
      <c r="Y3280" s="35" t="str">
        <f>IF(Tabela2[[#This Row],[SIGLA]]="","",VLOOKUP(Tabela2[[#This Row],[SIGLA]],Tabela1[[#All],[Sigla Arte]:[Crédito]],2,0))</f>
        <v/>
      </c>
      <c r="Z3280" s="31"/>
      <c r="AA3280" s="31" t="str">
        <f>Tabela2[[#This Row],[ILUSTRADOR CRIAÇÃO]]</f>
        <v/>
      </c>
      <c r="AB3280" s="33"/>
      <c r="AC3280" s="16"/>
      <c r="AE3280" s="35" t="str">
        <f t="shared" si="52"/>
        <v>EF1 E002 Mat</v>
      </c>
    </row>
    <row r="3281" spans="1:31" x14ac:dyDescent="0.25">
      <c r="A3281" s="31"/>
      <c r="B3281" s="16"/>
      <c r="C3281" s="16"/>
      <c r="D3281" s="33"/>
      <c r="E3281" s="33"/>
      <c r="F3281" s="33"/>
      <c r="G3281" s="33"/>
      <c r="H3281" s="33"/>
      <c r="I3281" s="31"/>
      <c r="J3281" s="31"/>
      <c r="K3281" s="33"/>
      <c r="L3281" s="33"/>
      <c r="M3281" s="31"/>
      <c r="N3281" s="31"/>
      <c r="O3281" s="16"/>
      <c r="P3281" s="16"/>
      <c r="Q3281" s="16"/>
      <c r="R3281" s="33"/>
      <c r="S3281" s="34"/>
      <c r="T3281" s="34"/>
      <c r="U3281" s="34"/>
      <c r="V3281" s="34"/>
      <c r="W3281" s="34"/>
      <c r="X3281" s="33"/>
      <c r="Y3281" s="35" t="str">
        <f>IF(Tabela2[[#This Row],[SIGLA]]="","",VLOOKUP(Tabela2[[#This Row],[SIGLA]],Tabela1[[#All],[Sigla Arte]:[Crédito]],2,0))</f>
        <v/>
      </c>
      <c r="Z3281" s="31"/>
      <c r="AA3281" s="31" t="str">
        <f>Tabela2[[#This Row],[ILUSTRADOR CRIAÇÃO]]</f>
        <v/>
      </c>
      <c r="AB3281" s="33"/>
      <c r="AC3281" s="16"/>
      <c r="AE3281" s="35" t="str">
        <f t="shared" si="52"/>
        <v>EF1 E002 Mat</v>
      </c>
    </row>
    <row r="3282" spans="1:31" x14ac:dyDescent="0.25">
      <c r="A3282" s="31"/>
      <c r="B3282" s="16"/>
      <c r="C3282" s="16"/>
      <c r="D3282" s="33"/>
      <c r="E3282" s="33"/>
      <c r="F3282" s="33"/>
      <c r="G3282" s="33"/>
      <c r="H3282" s="33"/>
      <c r="I3282" s="31"/>
      <c r="J3282" s="31"/>
      <c r="K3282" s="33"/>
      <c r="L3282" s="33"/>
      <c r="M3282" s="31"/>
      <c r="N3282" s="31"/>
      <c r="O3282" s="16"/>
      <c r="P3282" s="16"/>
      <c r="Q3282" s="16"/>
      <c r="R3282" s="33"/>
      <c r="S3282" s="34"/>
      <c r="T3282" s="34"/>
      <c r="U3282" s="34"/>
      <c r="V3282" s="34"/>
      <c r="W3282" s="34"/>
      <c r="X3282" s="33"/>
      <c r="Y3282" s="35" t="str">
        <f>IF(Tabela2[[#This Row],[SIGLA]]="","",VLOOKUP(Tabela2[[#This Row],[SIGLA]],Tabela1[[#All],[Sigla Arte]:[Crédito]],2,0))</f>
        <v/>
      </c>
      <c r="Z3282" s="31"/>
      <c r="AA3282" s="31" t="str">
        <f>Tabela2[[#This Row],[ILUSTRADOR CRIAÇÃO]]</f>
        <v/>
      </c>
      <c r="AB3282" s="33"/>
      <c r="AC3282" s="16"/>
      <c r="AE3282" s="35" t="str">
        <f t="shared" si="52"/>
        <v>EF1 E002 Mat</v>
      </c>
    </row>
    <row r="3283" spans="1:31" x14ac:dyDescent="0.25">
      <c r="A3283" s="31"/>
      <c r="B3283" s="16"/>
      <c r="C3283" s="16"/>
      <c r="D3283" s="33"/>
      <c r="E3283" s="33"/>
      <c r="F3283" s="33"/>
      <c r="G3283" s="33"/>
      <c r="H3283" s="33"/>
      <c r="I3283" s="31"/>
      <c r="J3283" s="31"/>
      <c r="K3283" s="33"/>
      <c r="L3283" s="33"/>
      <c r="M3283" s="31"/>
      <c r="N3283" s="31"/>
      <c r="O3283" s="16"/>
      <c r="P3283" s="16"/>
      <c r="Q3283" s="16"/>
      <c r="R3283" s="33"/>
      <c r="S3283" s="34"/>
      <c r="T3283" s="34"/>
      <c r="U3283" s="34"/>
      <c r="V3283" s="34"/>
      <c r="W3283" s="34"/>
      <c r="X3283" s="33"/>
      <c r="Y3283" s="35" t="str">
        <f>IF(Tabela2[[#This Row],[SIGLA]]="","",VLOOKUP(Tabela2[[#This Row],[SIGLA]],Tabela1[[#All],[Sigla Arte]:[Crédito]],2,0))</f>
        <v/>
      </c>
      <c r="Z3283" s="31"/>
      <c r="AA3283" s="31" t="str">
        <f>Tabela2[[#This Row],[ILUSTRADOR CRIAÇÃO]]</f>
        <v/>
      </c>
      <c r="AB3283" s="33"/>
      <c r="AC3283" s="16"/>
      <c r="AE3283" s="35" t="str">
        <f t="shared" si="52"/>
        <v>EF1 E002 Mat</v>
      </c>
    </row>
    <row r="3284" spans="1:31" x14ac:dyDescent="0.25">
      <c r="A3284" s="31"/>
      <c r="B3284" s="16"/>
      <c r="C3284" s="16"/>
      <c r="D3284" s="33"/>
      <c r="E3284" s="33"/>
      <c r="F3284" s="33"/>
      <c r="G3284" s="33"/>
      <c r="H3284" s="33"/>
      <c r="I3284" s="31"/>
      <c r="J3284" s="31"/>
      <c r="K3284" s="33"/>
      <c r="L3284" s="33"/>
      <c r="M3284" s="31"/>
      <c r="N3284" s="31"/>
      <c r="O3284" s="16"/>
      <c r="P3284" s="16"/>
      <c r="Q3284" s="16"/>
      <c r="R3284" s="33"/>
      <c r="S3284" s="34"/>
      <c r="T3284" s="34"/>
      <c r="U3284" s="34"/>
      <c r="V3284" s="34"/>
      <c r="W3284" s="34"/>
      <c r="X3284" s="33"/>
      <c r="Y3284" s="35" t="str">
        <f>IF(Tabela2[[#This Row],[SIGLA]]="","",VLOOKUP(Tabela2[[#This Row],[SIGLA]],Tabela1[[#All],[Sigla Arte]:[Crédito]],2,0))</f>
        <v/>
      </c>
      <c r="Z3284" s="31"/>
      <c r="AA3284" s="31" t="str">
        <f>Tabela2[[#This Row],[ILUSTRADOR CRIAÇÃO]]</f>
        <v/>
      </c>
      <c r="AB3284" s="33"/>
      <c r="AC3284" s="16"/>
      <c r="AE3284" s="35" t="str">
        <f t="shared" si="52"/>
        <v>EF1 E002 Mat</v>
      </c>
    </row>
    <row r="3285" spans="1:31" x14ac:dyDescent="0.25">
      <c r="A3285" s="31"/>
      <c r="B3285" s="16"/>
      <c r="C3285" s="16"/>
      <c r="D3285" s="33"/>
      <c r="E3285" s="33"/>
      <c r="F3285" s="33"/>
      <c r="G3285" s="33"/>
      <c r="H3285" s="33"/>
      <c r="I3285" s="31"/>
      <c r="J3285" s="31"/>
      <c r="K3285" s="33"/>
      <c r="L3285" s="33"/>
      <c r="M3285" s="31"/>
      <c r="N3285" s="31"/>
      <c r="O3285" s="16"/>
      <c r="P3285" s="16"/>
      <c r="Q3285" s="16"/>
      <c r="R3285" s="33"/>
      <c r="S3285" s="34"/>
      <c r="T3285" s="34"/>
      <c r="U3285" s="34"/>
      <c r="V3285" s="34"/>
      <c r="W3285" s="34"/>
      <c r="X3285" s="33"/>
      <c r="Y3285" s="35" t="str">
        <f>IF(Tabela2[[#This Row],[SIGLA]]="","",VLOOKUP(Tabela2[[#This Row],[SIGLA]],Tabela1[[#All],[Sigla Arte]:[Crédito]],2,0))</f>
        <v/>
      </c>
      <c r="Z3285" s="31"/>
      <c r="AA3285" s="31" t="str">
        <f>Tabela2[[#This Row],[ILUSTRADOR CRIAÇÃO]]</f>
        <v/>
      </c>
      <c r="AB3285" s="33"/>
      <c r="AC3285" s="16"/>
      <c r="AE3285" s="35" t="str">
        <f t="shared" si="52"/>
        <v>EF1 E002 Mat</v>
      </c>
    </row>
    <row r="3286" spans="1:31" x14ac:dyDescent="0.25">
      <c r="A3286" s="31"/>
      <c r="B3286" s="16"/>
      <c r="C3286" s="16"/>
      <c r="D3286" s="33"/>
      <c r="E3286" s="33"/>
      <c r="F3286" s="33"/>
      <c r="G3286" s="33"/>
      <c r="H3286" s="33"/>
      <c r="I3286" s="31"/>
      <c r="J3286" s="31"/>
      <c r="K3286" s="33"/>
      <c r="L3286" s="33"/>
      <c r="M3286" s="31"/>
      <c r="N3286" s="31"/>
      <c r="O3286" s="16"/>
      <c r="P3286" s="16"/>
      <c r="Q3286" s="16"/>
      <c r="R3286" s="33"/>
      <c r="S3286" s="34"/>
      <c r="T3286" s="34"/>
      <c r="U3286" s="34"/>
      <c r="V3286" s="34"/>
      <c r="W3286" s="34"/>
      <c r="X3286" s="33"/>
      <c r="Y3286" s="35" t="str">
        <f>IF(Tabela2[[#This Row],[SIGLA]]="","",VLOOKUP(Tabela2[[#This Row],[SIGLA]],Tabela1[[#All],[Sigla Arte]:[Crédito]],2,0))</f>
        <v/>
      </c>
      <c r="Z3286" s="31"/>
      <c r="AA3286" s="31" t="str">
        <f>Tabela2[[#This Row],[ILUSTRADOR CRIAÇÃO]]</f>
        <v/>
      </c>
      <c r="AB3286" s="33"/>
      <c r="AC3286" s="16"/>
      <c r="AE3286" s="35" t="str">
        <f t="shared" si="52"/>
        <v>EF1 E002 Mat</v>
      </c>
    </row>
    <row r="3287" spans="1:31" x14ac:dyDescent="0.25">
      <c r="A3287" s="31"/>
      <c r="B3287" s="16"/>
      <c r="C3287" s="16"/>
      <c r="D3287" s="33"/>
      <c r="E3287" s="33"/>
      <c r="F3287" s="33"/>
      <c r="G3287" s="33"/>
      <c r="H3287" s="33"/>
      <c r="I3287" s="31"/>
      <c r="J3287" s="31"/>
      <c r="K3287" s="33"/>
      <c r="L3287" s="33"/>
      <c r="M3287" s="31"/>
      <c r="N3287" s="31"/>
      <c r="O3287" s="16"/>
      <c r="P3287" s="16"/>
      <c r="Q3287" s="16"/>
      <c r="R3287" s="33"/>
      <c r="S3287" s="34"/>
      <c r="T3287" s="34"/>
      <c r="U3287" s="34"/>
      <c r="V3287" s="34"/>
      <c r="W3287" s="34"/>
      <c r="X3287" s="33"/>
      <c r="Y3287" s="35" t="str">
        <f>IF(Tabela2[[#This Row],[SIGLA]]="","",VLOOKUP(Tabela2[[#This Row],[SIGLA]],Tabela1[[#All],[Sigla Arte]:[Crédito]],2,0))</f>
        <v/>
      </c>
      <c r="Z3287" s="31"/>
      <c r="AA3287" s="31" t="str">
        <f>Tabela2[[#This Row],[ILUSTRADOR CRIAÇÃO]]</f>
        <v/>
      </c>
      <c r="AB3287" s="33"/>
      <c r="AC3287" s="16"/>
      <c r="AE3287" s="35" t="str">
        <f t="shared" si="52"/>
        <v>EF1 E002 Mat</v>
      </c>
    </row>
    <row r="3288" spans="1:31" x14ac:dyDescent="0.25">
      <c r="A3288" s="31"/>
      <c r="B3288" s="16"/>
      <c r="C3288" s="16"/>
      <c r="D3288" s="33"/>
      <c r="E3288" s="33"/>
      <c r="F3288" s="33"/>
      <c r="G3288" s="33"/>
      <c r="H3288" s="33"/>
      <c r="I3288" s="31"/>
      <c r="J3288" s="31"/>
      <c r="K3288" s="33"/>
      <c r="L3288" s="33"/>
      <c r="M3288" s="31"/>
      <c r="N3288" s="31"/>
      <c r="O3288" s="16"/>
      <c r="P3288" s="16"/>
      <c r="Q3288" s="16"/>
      <c r="R3288" s="33"/>
      <c r="S3288" s="34"/>
      <c r="T3288" s="34"/>
      <c r="U3288" s="34"/>
      <c r="V3288" s="34"/>
      <c r="W3288" s="34"/>
      <c r="X3288" s="33"/>
      <c r="Y3288" s="35" t="str">
        <f>IF(Tabela2[[#This Row],[SIGLA]]="","",VLOOKUP(Tabela2[[#This Row],[SIGLA]],Tabela1[[#All],[Sigla Arte]:[Crédito]],2,0))</f>
        <v/>
      </c>
      <c r="Z3288" s="31"/>
      <c r="AA3288" s="31" t="str">
        <f>Tabela2[[#This Row],[ILUSTRADOR CRIAÇÃO]]</f>
        <v/>
      </c>
      <c r="AB3288" s="33"/>
      <c r="AC3288" s="16"/>
      <c r="AE3288" s="35" t="str">
        <f t="shared" si="52"/>
        <v>EF1 E002 Mat</v>
      </c>
    </row>
    <row r="3289" spans="1:31" x14ac:dyDescent="0.25">
      <c r="A3289" s="31"/>
      <c r="B3289" s="16"/>
      <c r="C3289" s="16"/>
      <c r="D3289" s="33"/>
      <c r="E3289" s="33"/>
      <c r="F3289" s="33"/>
      <c r="G3289" s="33"/>
      <c r="H3289" s="33"/>
      <c r="I3289" s="31"/>
      <c r="J3289" s="31"/>
      <c r="K3289" s="33"/>
      <c r="L3289" s="33"/>
      <c r="M3289" s="31"/>
      <c r="N3289" s="31"/>
      <c r="O3289" s="16"/>
      <c r="P3289" s="16"/>
      <c r="Q3289" s="16"/>
      <c r="R3289" s="33"/>
      <c r="S3289" s="34"/>
      <c r="T3289" s="34"/>
      <c r="U3289" s="34"/>
      <c r="V3289" s="34"/>
      <c r="W3289" s="34"/>
      <c r="X3289" s="33"/>
      <c r="Y3289" s="35" t="str">
        <f>IF(Tabela2[[#This Row],[SIGLA]]="","",VLOOKUP(Tabela2[[#This Row],[SIGLA]],Tabela1[[#All],[Sigla Arte]:[Crédito]],2,0))</f>
        <v/>
      </c>
      <c r="Z3289" s="31"/>
      <c r="AA3289" s="31" t="str">
        <f>Tabela2[[#This Row],[ILUSTRADOR CRIAÇÃO]]</f>
        <v/>
      </c>
      <c r="AB3289" s="33"/>
      <c r="AC3289" s="16"/>
      <c r="AE3289" s="35" t="str">
        <f t="shared" si="52"/>
        <v>EF1 E002 Mat</v>
      </c>
    </row>
    <row r="3290" spans="1:31" x14ac:dyDescent="0.25">
      <c r="A3290" s="31"/>
      <c r="B3290" s="16"/>
      <c r="C3290" s="16"/>
      <c r="D3290" s="33"/>
      <c r="E3290" s="33"/>
      <c r="F3290" s="33"/>
      <c r="G3290" s="33"/>
      <c r="H3290" s="33"/>
      <c r="I3290" s="31"/>
      <c r="J3290" s="31"/>
      <c r="K3290" s="33"/>
      <c r="L3290" s="33"/>
      <c r="M3290" s="31"/>
      <c r="N3290" s="31"/>
      <c r="O3290" s="16"/>
      <c r="P3290" s="16"/>
      <c r="Q3290" s="16"/>
      <c r="R3290" s="33"/>
      <c r="S3290" s="34"/>
      <c r="T3290" s="34"/>
      <c r="U3290" s="34"/>
      <c r="V3290" s="34"/>
      <c r="W3290" s="34"/>
      <c r="X3290" s="33"/>
      <c r="Y3290" s="35" t="str">
        <f>IF(Tabela2[[#This Row],[SIGLA]]="","",VLOOKUP(Tabela2[[#This Row],[SIGLA]],Tabela1[[#All],[Sigla Arte]:[Crédito]],2,0))</f>
        <v/>
      </c>
      <c r="Z3290" s="31"/>
      <c r="AA3290" s="31" t="str">
        <f>Tabela2[[#This Row],[ILUSTRADOR CRIAÇÃO]]</f>
        <v/>
      </c>
      <c r="AB3290" s="33"/>
      <c r="AC3290" s="16"/>
      <c r="AE3290" s="35" t="str">
        <f t="shared" si="52"/>
        <v>EF1 E002 Mat</v>
      </c>
    </row>
    <row r="3291" spans="1:31" x14ac:dyDescent="0.25">
      <c r="A3291" s="31"/>
      <c r="B3291" s="16"/>
      <c r="C3291" s="16"/>
      <c r="D3291" s="33"/>
      <c r="E3291" s="33"/>
      <c r="F3291" s="33"/>
      <c r="G3291" s="33"/>
      <c r="H3291" s="33"/>
      <c r="I3291" s="31"/>
      <c r="J3291" s="31"/>
      <c r="K3291" s="33"/>
      <c r="L3291" s="33"/>
      <c r="M3291" s="31"/>
      <c r="N3291" s="31"/>
      <c r="O3291" s="16"/>
      <c r="P3291" s="16"/>
      <c r="Q3291" s="16"/>
      <c r="R3291" s="33"/>
      <c r="S3291" s="34"/>
      <c r="T3291" s="34"/>
      <c r="U3291" s="34"/>
      <c r="V3291" s="34"/>
      <c r="W3291" s="34"/>
      <c r="X3291" s="33"/>
      <c r="Y3291" s="35" t="str">
        <f>IF(Tabela2[[#This Row],[SIGLA]]="","",VLOOKUP(Tabela2[[#This Row],[SIGLA]],Tabela1[[#All],[Sigla Arte]:[Crédito]],2,0))</f>
        <v/>
      </c>
      <c r="Z3291" s="31"/>
      <c r="AA3291" s="31" t="str">
        <f>Tabela2[[#This Row],[ILUSTRADOR CRIAÇÃO]]</f>
        <v/>
      </c>
      <c r="AB3291" s="33"/>
      <c r="AC3291" s="16"/>
      <c r="AE3291" s="35" t="str">
        <f t="shared" si="52"/>
        <v>EF1 E002 Mat</v>
      </c>
    </row>
    <row r="3292" spans="1:31" x14ac:dyDescent="0.25">
      <c r="A3292" s="31"/>
      <c r="B3292" s="16"/>
      <c r="C3292" s="16"/>
      <c r="D3292" s="33"/>
      <c r="E3292" s="33"/>
      <c r="F3292" s="33"/>
      <c r="G3292" s="33"/>
      <c r="H3292" s="33"/>
      <c r="I3292" s="31"/>
      <c r="J3292" s="31"/>
      <c r="K3292" s="33"/>
      <c r="L3292" s="33"/>
      <c r="M3292" s="31"/>
      <c r="N3292" s="31"/>
      <c r="O3292" s="16"/>
      <c r="P3292" s="16"/>
      <c r="Q3292" s="16"/>
      <c r="R3292" s="33"/>
      <c r="S3292" s="34"/>
      <c r="T3292" s="34"/>
      <c r="U3292" s="34"/>
      <c r="V3292" s="34"/>
      <c r="W3292" s="34"/>
      <c r="X3292" s="33"/>
      <c r="Y3292" s="35" t="str">
        <f>IF(Tabela2[[#This Row],[SIGLA]]="","",VLOOKUP(Tabela2[[#This Row],[SIGLA]],Tabela1[[#All],[Sigla Arte]:[Crédito]],2,0))</f>
        <v/>
      </c>
      <c r="Z3292" s="31"/>
      <c r="AA3292" s="31" t="str">
        <f>Tabela2[[#This Row],[ILUSTRADOR CRIAÇÃO]]</f>
        <v/>
      </c>
      <c r="AB3292" s="33"/>
      <c r="AC3292" s="16"/>
      <c r="AE3292" s="35" t="str">
        <f t="shared" si="52"/>
        <v>EF1 E002 Mat</v>
      </c>
    </row>
    <row r="3293" spans="1:31" x14ac:dyDescent="0.25">
      <c r="A3293" s="31"/>
      <c r="B3293" s="16"/>
      <c r="C3293" s="16"/>
      <c r="D3293" s="33"/>
      <c r="E3293" s="33"/>
      <c r="F3293" s="33"/>
      <c r="G3293" s="33"/>
      <c r="H3293" s="33"/>
      <c r="I3293" s="31"/>
      <c r="J3293" s="31"/>
      <c r="K3293" s="33"/>
      <c r="L3293" s="33"/>
      <c r="M3293" s="31"/>
      <c r="N3293" s="31"/>
      <c r="O3293" s="16"/>
      <c r="P3293" s="16"/>
      <c r="Q3293" s="16"/>
      <c r="R3293" s="33"/>
      <c r="S3293" s="34"/>
      <c r="T3293" s="34"/>
      <c r="U3293" s="34"/>
      <c r="V3293" s="34"/>
      <c r="W3293" s="34"/>
      <c r="X3293" s="33"/>
      <c r="Y3293" s="35" t="str">
        <f>IF(Tabela2[[#This Row],[SIGLA]]="","",VLOOKUP(Tabela2[[#This Row],[SIGLA]],Tabela1[[#All],[Sigla Arte]:[Crédito]],2,0))</f>
        <v/>
      </c>
      <c r="Z3293" s="31"/>
      <c r="AA3293" s="31" t="str">
        <f>Tabela2[[#This Row],[ILUSTRADOR CRIAÇÃO]]</f>
        <v/>
      </c>
      <c r="AB3293" s="33"/>
      <c r="AC3293" s="16"/>
      <c r="AE3293" s="35" t="str">
        <f t="shared" si="52"/>
        <v>EF1 E002 Mat</v>
      </c>
    </row>
    <row r="3294" spans="1:31" x14ac:dyDescent="0.25">
      <c r="A3294" s="31"/>
      <c r="B3294" s="16"/>
      <c r="C3294" s="16"/>
      <c r="D3294" s="33"/>
      <c r="E3294" s="33"/>
      <c r="F3294" s="33"/>
      <c r="G3294" s="33"/>
      <c r="H3294" s="33"/>
      <c r="I3294" s="31"/>
      <c r="J3294" s="31"/>
      <c r="K3294" s="33"/>
      <c r="L3294" s="33"/>
      <c r="M3294" s="31"/>
      <c r="N3294" s="31"/>
      <c r="O3294" s="16"/>
      <c r="P3294" s="16"/>
      <c r="Q3294" s="16"/>
      <c r="R3294" s="33"/>
      <c r="S3294" s="34"/>
      <c r="T3294" s="34"/>
      <c r="U3294" s="34"/>
      <c r="V3294" s="34"/>
      <c r="W3294" s="34"/>
      <c r="X3294" s="33"/>
      <c r="Y3294" s="35" t="str">
        <f>IF(Tabela2[[#This Row],[SIGLA]]="","",VLOOKUP(Tabela2[[#This Row],[SIGLA]],Tabela1[[#All],[Sigla Arte]:[Crédito]],2,0))</f>
        <v/>
      </c>
      <c r="Z3294" s="31"/>
      <c r="AA3294" s="31" t="str">
        <f>Tabela2[[#This Row],[ILUSTRADOR CRIAÇÃO]]</f>
        <v/>
      </c>
      <c r="AB3294" s="33"/>
      <c r="AC3294" s="16"/>
      <c r="AE3294" s="35" t="str">
        <f t="shared" si="52"/>
        <v>EF1 E002 Mat</v>
      </c>
    </row>
    <row r="3295" spans="1:31" x14ac:dyDescent="0.25">
      <c r="A3295" s="31"/>
      <c r="B3295" s="16"/>
      <c r="C3295" s="16"/>
      <c r="D3295" s="33"/>
      <c r="E3295" s="33"/>
      <c r="F3295" s="33"/>
      <c r="G3295" s="33"/>
      <c r="H3295" s="33"/>
      <c r="I3295" s="31"/>
      <c r="J3295" s="31"/>
      <c r="K3295" s="33"/>
      <c r="L3295" s="33"/>
      <c r="M3295" s="31"/>
      <c r="N3295" s="31"/>
      <c r="O3295" s="16"/>
      <c r="P3295" s="16"/>
      <c r="Q3295" s="16"/>
      <c r="R3295" s="33"/>
      <c r="S3295" s="34"/>
      <c r="T3295" s="34"/>
      <c r="U3295" s="34"/>
      <c r="V3295" s="34"/>
      <c r="W3295" s="34"/>
      <c r="X3295" s="33"/>
      <c r="Y3295" s="35" t="str">
        <f>IF(Tabela2[[#This Row],[SIGLA]]="","",VLOOKUP(Tabela2[[#This Row],[SIGLA]],Tabela1[[#All],[Sigla Arte]:[Crédito]],2,0))</f>
        <v/>
      </c>
      <c r="Z3295" s="31"/>
      <c r="AA3295" s="31" t="str">
        <f>Tabela2[[#This Row],[ILUSTRADOR CRIAÇÃO]]</f>
        <v/>
      </c>
      <c r="AB3295" s="33"/>
      <c r="AC3295" s="16"/>
      <c r="AE3295" s="35" t="str">
        <f t="shared" si="52"/>
        <v>EF1 E002 Mat</v>
      </c>
    </row>
    <row r="3296" spans="1:31" x14ac:dyDescent="0.25">
      <c r="A3296" s="31"/>
      <c r="B3296" s="16"/>
      <c r="C3296" s="16"/>
      <c r="D3296" s="33"/>
      <c r="E3296" s="33"/>
      <c r="F3296" s="33"/>
      <c r="G3296" s="33"/>
      <c r="H3296" s="33"/>
      <c r="I3296" s="31"/>
      <c r="J3296" s="31"/>
      <c r="K3296" s="33"/>
      <c r="L3296" s="33"/>
      <c r="M3296" s="31"/>
      <c r="N3296" s="31"/>
      <c r="O3296" s="16"/>
      <c r="P3296" s="16"/>
      <c r="Q3296" s="16"/>
      <c r="R3296" s="33"/>
      <c r="S3296" s="34"/>
      <c r="T3296" s="34"/>
      <c r="U3296" s="34"/>
      <c r="V3296" s="34"/>
      <c r="W3296" s="34"/>
      <c r="X3296" s="33"/>
      <c r="Y3296" s="35" t="str">
        <f>IF(Tabela2[[#This Row],[SIGLA]]="","",VLOOKUP(Tabela2[[#This Row],[SIGLA]],Tabela1[[#All],[Sigla Arte]:[Crédito]],2,0))</f>
        <v/>
      </c>
      <c r="Z3296" s="31"/>
      <c r="AA3296" s="31" t="str">
        <f>Tabela2[[#This Row],[ILUSTRADOR CRIAÇÃO]]</f>
        <v/>
      </c>
      <c r="AB3296" s="33"/>
      <c r="AC3296" s="16"/>
      <c r="AE3296" s="35" t="str">
        <f t="shared" si="52"/>
        <v>EF1 E002 Mat</v>
      </c>
    </row>
    <row r="3297" spans="1:31" x14ac:dyDescent="0.25">
      <c r="A3297" s="31"/>
      <c r="B3297" s="16"/>
      <c r="C3297" s="16"/>
      <c r="D3297" s="33"/>
      <c r="E3297" s="33"/>
      <c r="F3297" s="33"/>
      <c r="G3297" s="33"/>
      <c r="H3297" s="33"/>
      <c r="I3297" s="31"/>
      <c r="J3297" s="31"/>
      <c r="K3297" s="33"/>
      <c r="L3297" s="33"/>
      <c r="M3297" s="31"/>
      <c r="N3297" s="31"/>
      <c r="O3297" s="16"/>
      <c r="P3297" s="16"/>
      <c r="Q3297" s="16"/>
      <c r="R3297" s="33"/>
      <c r="S3297" s="34"/>
      <c r="T3297" s="34"/>
      <c r="U3297" s="34"/>
      <c r="V3297" s="34"/>
      <c r="W3297" s="34"/>
      <c r="X3297" s="33"/>
      <c r="Y3297" s="35" t="str">
        <f>IF(Tabela2[[#This Row],[SIGLA]]="","",VLOOKUP(Tabela2[[#This Row],[SIGLA]],Tabela1[[#All],[Sigla Arte]:[Crédito]],2,0))</f>
        <v/>
      </c>
      <c r="Z3297" s="31"/>
      <c r="AA3297" s="31" t="str">
        <f>Tabela2[[#This Row],[ILUSTRADOR CRIAÇÃO]]</f>
        <v/>
      </c>
      <c r="AB3297" s="33"/>
      <c r="AC3297" s="16"/>
      <c r="AE3297" s="35" t="str">
        <f t="shared" si="52"/>
        <v>EF1 E002 Mat</v>
      </c>
    </row>
    <row r="3298" spans="1:31" x14ac:dyDescent="0.25">
      <c r="A3298" s="31"/>
      <c r="B3298" s="16"/>
      <c r="C3298" s="16"/>
      <c r="D3298" s="33"/>
      <c r="E3298" s="33"/>
      <c r="F3298" s="33"/>
      <c r="G3298" s="33"/>
      <c r="H3298" s="33"/>
      <c r="I3298" s="31"/>
      <c r="J3298" s="31"/>
      <c r="K3298" s="33"/>
      <c r="L3298" s="33"/>
      <c r="M3298" s="31"/>
      <c r="N3298" s="31"/>
      <c r="O3298" s="16"/>
      <c r="P3298" s="16"/>
      <c r="Q3298" s="16"/>
      <c r="R3298" s="33"/>
      <c r="S3298" s="34"/>
      <c r="T3298" s="34"/>
      <c r="U3298" s="34"/>
      <c r="V3298" s="34"/>
      <c r="W3298" s="34"/>
      <c r="X3298" s="33"/>
      <c r="Y3298" s="35" t="str">
        <f>IF(Tabela2[[#This Row],[SIGLA]]="","",VLOOKUP(Tabela2[[#This Row],[SIGLA]],Tabela1[[#All],[Sigla Arte]:[Crédito]],2,0))</f>
        <v/>
      </c>
      <c r="Z3298" s="31"/>
      <c r="AA3298" s="31" t="str">
        <f>Tabela2[[#This Row],[ILUSTRADOR CRIAÇÃO]]</f>
        <v/>
      </c>
      <c r="AB3298" s="33"/>
      <c r="AC3298" s="16"/>
      <c r="AE3298" s="35" t="str">
        <f t="shared" si="52"/>
        <v>EF1 E002 Mat</v>
      </c>
    </row>
    <row r="3299" spans="1:31" x14ac:dyDescent="0.25">
      <c r="A3299" s="31"/>
      <c r="B3299" s="16"/>
      <c r="C3299" s="16"/>
      <c r="D3299" s="33"/>
      <c r="E3299" s="33"/>
      <c r="F3299" s="33"/>
      <c r="G3299" s="33"/>
      <c r="H3299" s="33"/>
      <c r="I3299" s="31"/>
      <c r="J3299" s="31"/>
      <c r="K3299" s="33"/>
      <c r="L3299" s="33"/>
      <c r="M3299" s="31"/>
      <c r="N3299" s="31"/>
      <c r="O3299" s="16"/>
      <c r="P3299" s="16"/>
      <c r="Q3299" s="16"/>
      <c r="R3299" s="33"/>
      <c r="S3299" s="34"/>
      <c r="T3299" s="34"/>
      <c r="U3299" s="34"/>
      <c r="V3299" s="34"/>
      <c r="W3299" s="34"/>
      <c r="X3299" s="33"/>
      <c r="Y3299" s="35" t="str">
        <f>IF(Tabela2[[#This Row],[SIGLA]]="","",VLOOKUP(Tabela2[[#This Row],[SIGLA]],Tabela1[[#All],[Sigla Arte]:[Crédito]],2,0))</f>
        <v/>
      </c>
      <c r="Z3299" s="31"/>
      <c r="AA3299" s="31" t="str">
        <f>Tabela2[[#This Row],[ILUSTRADOR CRIAÇÃO]]</f>
        <v/>
      </c>
      <c r="AB3299" s="33"/>
      <c r="AC3299" s="16"/>
      <c r="AE3299" s="35" t="str">
        <f t="shared" si="52"/>
        <v>EF1 E002 Mat</v>
      </c>
    </row>
    <row r="3300" spans="1:31" x14ac:dyDescent="0.25">
      <c r="A3300" s="31"/>
      <c r="B3300" s="16"/>
      <c r="C3300" s="16"/>
      <c r="D3300" s="33"/>
      <c r="E3300" s="33"/>
      <c r="F3300" s="33"/>
      <c r="G3300" s="33"/>
      <c r="H3300" s="33"/>
      <c r="I3300" s="31"/>
      <c r="J3300" s="31"/>
      <c r="K3300" s="33"/>
      <c r="L3300" s="33"/>
      <c r="M3300" s="31"/>
      <c r="N3300" s="31"/>
      <c r="O3300" s="16"/>
      <c r="P3300" s="16"/>
      <c r="Q3300" s="16"/>
      <c r="R3300" s="33"/>
      <c r="S3300" s="34"/>
      <c r="T3300" s="34"/>
      <c r="U3300" s="34"/>
      <c r="V3300" s="34"/>
      <c r="W3300" s="34"/>
      <c r="X3300" s="33"/>
      <c r="Y3300" s="35" t="str">
        <f>IF(Tabela2[[#This Row],[SIGLA]]="","",VLOOKUP(Tabela2[[#This Row],[SIGLA]],Tabela1[[#All],[Sigla Arte]:[Crédito]],2,0))</f>
        <v/>
      </c>
      <c r="Z3300" s="31"/>
      <c r="AA3300" s="31" t="str">
        <f>Tabela2[[#This Row],[ILUSTRADOR CRIAÇÃO]]</f>
        <v/>
      </c>
      <c r="AB3300" s="33"/>
      <c r="AC3300" s="16"/>
      <c r="AE3300" s="35" t="str">
        <f t="shared" si="52"/>
        <v>EF1 E002 Mat</v>
      </c>
    </row>
    <row r="3301" spans="1:31" x14ac:dyDescent="0.25">
      <c r="A3301" s="31"/>
      <c r="B3301" s="16"/>
      <c r="C3301" s="16"/>
      <c r="D3301" s="33"/>
      <c r="E3301" s="33"/>
      <c r="F3301" s="33"/>
      <c r="G3301" s="33"/>
      <c r="H3301" s="33"/>
      <c r="I3301" s="31"/>
      <c r="J3301" s="31"/>
      <c r="K3301" s="33"/>
      <c r="L3301" s="33"/>
      <c r="M3301" s="31"/>
      <c r="N3301" s="31"/>
      <c r="O3301" s="16"/>
      <c r="P3301" s="16"/>
      <c r="Q3301" s="16"/>
      <c r="R3301" s="33"/>
      <c r="S3301" s="34"/>
      <c r="T3301" s="34"/>
      <c r="U3301" s="34"/>
      <c r="V3301" s="34"/>
      <c r="W3301" s="34"/>
      <c r="X3301" s="33"/>
      <c r="Y3301" s="35" t="str">
        <f>IF(Tabela2[[#This Row],[SIGLA]]="","",VLOOKUP(Tabela2[[#This Row],[SIGLA]],Tabela1[[#All],[Sigla Arte]:[Crédito]],2,0))</f>
        <v/>
      </c>
      <c r="Z3301" s="31"/>
      <c r="AA3301" s="31" t="str">
        <f>Tabela2[[#This Row],[ILUSTRADOR CRIAÇÃO]]</f>
        <v/>
      </c>
      <c r="AB3301" s="33"/>
      <c r="AC3301" s="16"/>
      <c r="AE3301" s="35" t="str">
        <f t="shared" si="52"/>
        <v>EF1 E002 Mat</v>
      </c>
    </row>
    <row r="3302" spans="1:31" x14ac:dyDescent="0.25">
      <c r="A3302" s="31"/>
      <c r="B3302" s="16"/>
      <c r="C3302" s="16"/>
      <c r="D3302" s="33"/>
      <c r="E3302" s="33"/>
      <c r="F3302" s="33"/>
      <c r="G3302" s="33"/>
      <c r="H3302" s="33"/>
      <c r="I3302" s="31"/>
      <c r="J3302" s="31"/>
      <c r="K3302" s="33"/>
      <c r="L3302" s="33"/>
      <c r="M3302" s="31"/>
      <c r="N3302" s="31"/>
      <c r="O3302" s="16"/>
      <c r="P3302" s="16"/>
      <c r="Q3302" s="16"/>
      <c r="R3302" s="33"/>
      <c r="S3302" s="34"/>
      <c r="T3302" s="34"/>
      <c r="U3302" s="34"/>
      <c r="V3302" s="34"/>
      <c r="W3302" s="34"/>
      <c r="X3302" s="33"/>
      <c r="Y3302" s="35" t="str">
        <f>IF(Tabela2[[#This Row],[SIGLA]]="","",VLOOKUP(Tabela2[[#This Row],[SIGLA]],Tabela1[[#All],[Sigla Arte]:[Crédito]],2,0))</f>
        <v/>
      </c>
      <c r="Z3302" s="31"/>
      <c r="AA3302" s="31" t="str">
        <f>Tabela2[[#This Row],[ILUSTRADOR CRIAÇÃO]]</f>
        <v/>
      </c>
      <c r="AB3302" s="33"/>
      <c r="AC3302" s="16"/>
      <c r="AE3302" s="35" t="str">
        <f t="shared" si="52"/>
        <v>EF1 E002 Mat</v>
      </c>
    </row>
    <row r="3303" spans="1:31" x14ac:dyDescent="0.25">
      <c r="A3303" s="31"/>
      <c r="B3303" s="16"/>
      <c r="C3303" s="16"/>
      <c r="D3303" s="33"/>
      <c r="E3303" s="33"/>
      <c r="F3303" s="33"/>
      <c r="G3303" s="33"/>
      <c r="H3303" s="33"/>
      <c r="I3303" s="31"/>
      <c r="J3303" s="31"/>
      <c r="K3303" s="33"/>
      <c r="L3303" s="33"/>
      <c r="M3303" s="31"/>
      <c r="N3303" s="31"/>
      <c r="O3303" s="16"/>
      <c r="P3303" s="16"/>
      <c r="Q3303" s="16"/>
      <c r="R3303" s="33"/>
      <c r="S3303" s="34"/>
      <c r="T3303" s="34"/>
      <c r="U3303" s="34"/>
      <c r="V3303" s="34"/>
      <c r="W3303" s="34"/>
      <c r="X3303" s="33"/>
      <c r="Y3303" s="35" t="str">
        <f>IF(Tabela2[[#This Row],[SIGLA]]="","",VLOOKUP(Tabela2[[#This Row],[SIGLA]],Tabela1[[#All],[Sigla Arte]:[Crédito]],2,0))</f>
        <v/>
      </c>
      <c r="Z3303" s="31"/>
      <c r="AA3303" s="31" t="str">
        <f>Tabela2[[#This Row],[ILUSTRADOR CRIAÇÃO]]</f>
        <v/>
      </c>
      <c r="AB3303" s="33"/>
      <c r="AC3303" s="16"/>
      <c r="AE3303" s="35" t="str">
        <f t="shared" si="52"/>
        <v>EF1 E002 Mat</v>
      </c>
    </row>
    <row r="3304" spans="1:31" x14ac:dyDescent="0.25">
      <c r="A3304" s="31"/>
      <c r="B3304" s="16"/>
      <c r="C3304" s="16"/>
      <c r="D3304" s="33"/>
      <c r="E3304" s="33"/>
      <c r="F3304" s="33"/>
      <c r="G3304" s="33"/>
      <c r="H3304" s="33"/>
      <c r="I3304" s="31"/>
      <c r="J3304" s="31"/>
      <c r="K3304" s="33"/>
      <c r="L3304" s="33"/>
      <c r="M3304" s="31"/>
      <c r="N3304" s="31"/>
      <c r="O3304" s="16"/>
      <c r="P3304" s="16"/>
      <c r="Q3304" s="16"/>
      <c r="R3304" s="33"/>
      <c r="S3304" s="34"/>
      <c r="T3304" s="34"/>
      <c r="U3304" s="34"/>
      <c r="V3304" s="34"/>
      <c r="W3304" s="34"/>
      <c r="X3304" s="33"/>
      <c r="Y3304" s="35" t="str">
        <f>IF(Tabela2[[#This Row],[SIGLA]]="","",VLOOKUP(Tabela2[[#This Row],[SIGLA]],Tabela1[[#All],[Sigla Arte]:[Crédito]],2,0))</f>
        <v/>
      </c>
      <c r="Z3304" s="31"/>
      <c r="AA3304" s="31" t="str">
        <f>Tabela2[[#This Row],[ILUSTRADOR CRIAÇÃO]]</f>
        <v/>
      </c>
      <c r="AB3304" s="33"/>
      <c r="AC3304" s="16"/>
      <c r="AE3304" s="35" t="str">
        <f t="shared" si="52"/>
        <v>EF1 E002 Mat</v>
      </c>
    </row>
    <row r="3305" spans="1:31" x14ac:dyDescent="0.25">
      <c r="A3305" s="31"/>
      <c r="B3305" s="16"/>
      <c r="C3305" s="16"/>
      <c r="D3305" s="33"/>
      <c r="E3305" s="33"/>
      <c r="F3305" s="33"/>
      <c r="G3305" s="33"/>
      <c r="H3305" s="33"/>
      <c r="I3305" s="31"/>
      <c r="J3305" s="31"/>
      <c r="K3305" s="33"/>
      <c r="L3305" s="33"/>
      <c r="M3305" s="31"/>
      <c r="N3305" s="31"/>
      <c r="O3305" s="16"/>
      <c r="P3305" s="16"/>
      <c r="Q3305" s="16"/>
      <c r="R3305" s="33"/>
      <c r="S3305" s="34"/>
      <c r="T3305" s="34"/>
      <c r="U3305" s="34"/>
      <c r="V3305" s="34"/>
      <c r="W3305" s="34"/>
      <c r="X3305" s="33"/>
      <c r="Y3305" s="35" t="str">
        <f>IF(Tabela2[[#This Row],[SIGLA]]="","",VLOOKUP(Tabela2[[#This Row],[SIGLA]],Tabela1[[#All],[Sigla Arte]:[Crédito]],2,0))</f>
        <v/>
      </c>
      <c r="Z3305" s="31"/>
      <c r="AA3305" s="31" t="str">
        <f>Tabela2[[#This Row],[ILUSTRADOR CRIAÇÃO]]</f>
        <v/>
      </c>
      <c r="AB3305" s="33"/>
      <c r="AC3305" s="16"/>
      <c r="AE3305" s="35" t="str">
        <f t="shared" si="52"/>
        <v>EF1 E002 Mat</v>
      </c>
    </row>
    <row r="3306" spans="1:31" x14ac:dyDescent="0.25">
      <c r="A3306" s="31"/>
      <c r="B3306" s="16"/>
      <c r="C3306" s="16"/>
      <c r="D3306" s="33"/>
      <c r="E3306" s="33"/>
      <c r="F3306" s="33"/>
      <c r="G3306" s="33"/>
      <c r="H3306" s="33"/>
      <c r="I3306" s="31"/>
      <c r="J3306" s="31"/>
      <c r="K3306" s="33"/>
      <c r="L3306" s="33"/>
      <c r="M3306" s="31"/>
      <c r="N3306" s="31"/>
      <c r="O3306" s="16"/>
      <c r="P3306" s="16"/>
      <c r="Q3306" s="16"/>
      <c r="R3306" s="33"/>
      <c r="S3306" s="34"/>
      <c r="T3306" s="34"/>
      <c r="U3306" s="34"/>
      <c r="V3306" s="34"/>
      <c r="W3306" s="34"/>
      <c r="X3306" s="33"/>
      <c r="Y3306" s="35" t="str">
        <f>IF(Tabela2[[#This Row],[SIGLA]]="","",VLOOKUP(Tabela2[[#This Row],[SIGLA]],Tabela1[[#All],[Sigla Arte]:[Crédito]],2,0))</f>
        <v/>
      </c>
      <c r="Z3306" s="31"/>
      <c r="AA3306" s="31" t="str">
        <f>Tabela2[[#This Row],[ILUSTRADOR CRIAÇÃO]]</f>
        <v/>
      </c>
      <c r="AB3306" s="33"/>
      <c r="AC3306" s="16"/>
      <c r="AE3306" s="35" t="str">
        <f t="shared" si="52"/>
        <v>EF1 E002 Mat</v>
      </c>
    </row>
    <row r="3307" spans="1:31" x14ac:dyDescent="0.25">
      <c r="A3307" s="31"/>
      <c r="B3307" s="16"/>
      <c r="C3307" s="16"/>
      <c r="D3307" s="33"/>
      <c r="E3307" s="33"/>
      <c r="F3307" s="33"/>
      <c r="G3307" s="33"/>
      <c r="H3307" s="33"/>
      <c r="I3307" s="31"/>
      <c r="J3307" s="31"/>
      <c r="K3307" s="33"/>
      <c r="L3307" s="33"/>
      <c r="M3307" s="31"/>
      <c r="N3307" s="31"/>
      <c r="O3307" s="16"/>
      <c r="P3307" s="16"/>
      <c r="Q3307" s="16"/>
      <c r="R3307" s="33"/>
      <c r="S3307" s="34"/>
      <c r="T3307" s="34"/>
      <c r="U3307" s="34"/>
      <c r="V3307" s="34"/>
      <c r="W3307" s="34"/>
      <c r="X3307" s="33"/>
      <c r="Y3307" s="35" t="str">
        <f>IF(Tabela2[[#This Row],[SIGLA]]="","",VLOOKUP(Tabela2[[#This Row],[SIGLA]],Tabela1[[#All],[Sigla Arte]:[Crédito]],2,0))</f>
        <v/>
      </c>
      <c r="Z3307" s="31"/>
      <c r="AA3307" s="31" t="str">
        <f>Tabela2[[#This Row],[ILUSTRADOR CRIAÇÃO]]</f>
        <v/>
      </c>
      <c r="AB3307" s="33"/>
      <c r="AC3307" s="16"/>
      <c r="AE3307" s="35" t="str">
        <f t="shared" si="52"/>
        <v>EF1 E002 Mat</v>
      </c>
    </row>
    <row r="3308" spans="1:31" x14ac:dyDescent="0.25">
      <c r="A3308" s="31"/>
      <c r="B3308" s="16"/>
      <c r="C3308" s="16"/>
      <c r="D3308" s="33"/>
      <c r="E3308" s="33"/>
      <c r="F3308" s="33"/>
      <c r="G3308" s="33"/>
      <c r="H3308" s="33"/>
      <c r="I3308" s="31"/>
      <c r="J3308" s="31"/>
      <c r="K3308" s="33"/>
      <c r="L3308" s="33"/>
      <c r="M3308" s="31"/>
      <c r="N3308" s="31"/>
      <c r="O3308" s="16"/>
      <c r="P3308" s="16"/>
      <c r="Q3308" s="16"/>
      <c r="R3308" s="33"/>
      <c r="S3308" s="34"/>
      <c r="T3308" s="34"/>
      <c r="U3308" s="34"/>
      <c r="V3308" s="34"/>
      <c r="W3308" s="34"/>
      <c r="X3308" s="33"/>
      <c r="Y3308" s="35" t="str">
        <f>IF(Tabela2[[#This Row],[SIGLA]]="","",VLOOKUP(Tabela2[[#This Row],[SIGLA]],Tabela1[[#All],[Sigla Arte]:[Crédito]],2,0))</f>
        <v/>
      </c>
      <c r="Z3308" s="31"/>
      <c r="AA3308" s="31" t="str">
        <f>Tabela2[[#This Row],[ILUSTRADOR CRIAÇÃO]]</f>
        <v/>
      </c>
      <c r="AB3308" s="33"/>
      <c r="AC3308" s="16"/>
      <c r="AE3308" s="35" t="str">
        <f t="shared" si="52"/>
        <v>EF1 E002 Mat</v>
      </c>
    </row>
    <row r="3309" spans="1:31" x14ac:dyDescent="0.25">
      <c r="A3309" s="31"/>
      <c r="B3309" s="16"/>
      <c r="C3309" s="16"/>
      <c r="D3309" s="33"/>
      <c r="E3309" s="33"/>
      <c r="F3309" s="33"/>
      <c r="G3309" s="33"/>
      <c r="H3309" s="33"/>
      <c r="I3309" s="31"/>
      <c r="J3309" s="31"/>
      <c r="K3309" s="33"/>
      <c r="L3309" s="33"/>
      <c r="M3309" s="31"/>
      <c r="N3309" s="31"/>
      <c r="O3309" s="16"/>
      <c r="P3309" s="16"/>
      <c r="Q3309" s="16"/>
      <c r="R3309" s="33"/>
      <c r="S3309" s="34"/>
      <c r="T3309" s="34"/>
      <c r="U3309" s="34"/>
      <c r="V3309" s="34"/>
      <c r="W3309" s="34"/>
      <c r="X3309" s="33"/>
      <c r="Y3309" s="35" t="str">
        <f>IF(Tabela2[[#This Row],[SIGLA]]="","",VLOOKUP(Tabela2[[#This Row],[SIGLA]],Tabela1[[#All],[Sigla Arte]:[Crédito]],2,0))</f>
        <v/>
      </c>
      <c r="Z3309" s="31"/>
      <c r="AA3309" s="31" t="str">
        <f>Tabela2[[#This Row],[ILUSTRADOR CRIAÇÃO]]</f>
        <v/>
      </c>
      <c r="AB3309" s="33"/>
      <c r="AC3309" s="16"/>
      <c r="AE3309" s="35" t="str">
        <f t="shared" si="52"/>
        <v>EF1 E002 Mat</v>
      </c>
    </row>
    <row r="3310" spans="1:31" x14ac:dyDescent="0.25">
      <c r="A3310" s="31"/>
      <c r="B3310" s="16"/>
      <c r="C3310" s="16"/>
      <c r="D3310" s="33"/>
      <c r="E3310" s="33"/>
      <c r="F3310" s="33"/>
      <c r="G3310" s="33"/>
      <c r="H3310" s="33"/>
      <c r="I3310" s="31"/>
      <c r="J3310" s="31"/>
      <c r="K3310" s="33"/>
      <c r="L3310" s="33"/>
      <c r="M3310" s="31"/>
      <c r="N3310" s="31"/>
      <c r="O3310" s="16"/>
      <c r="P3310" s="16"/>
      <c r="Q3310" s="16"/>
      <c r="R3310" s="33"/>
      <c r="S3310" s="34"/>
      <c r="T3310" s="34"/>
      <c r="U3310" s="34"/>
      <c r="V3310" s="34"/>
      <c r="W3310" s="34"/>
      <c r="X3310" s="33"/>
      <c r="Y3310" s="35" t="str">
        <f>IF(Tabela2[[#This Row],[SIGLA]]="","",VLOOKUP(Tabela2[[#This Row],[SIGLA]],Tabela1[[#All],[Sigla Arte]:[Crédito]],2,0))</f>
        <v/>
      </c>
      <c r="Z3310" s="31"/>
      <c r="AA3310" s="31" t="str">
        <f>Tabela2[[#This Row],[ILUSTRADOR CRIAÇÃO]]</f>
        <v/>
      </c>
      <c r="AB3310" s="33"/>
      <c r="AC3310" s="16"/>
      <c r="AE3310" s="35" t="str">
        <f t="shared" si="52"/>
        <v>EF1 E002 Mat</v>
      </c>
    </row>
    <row r="3311" spans="1:31" x14ac:dyDescent="0.25">
      <c r="A3311" s="31"/>
      <c r="B3311" s="16"/>
      <c r="C3311" s="16"/>
      <c r="D3311" s="33"/>
      <c r="E3311" s="33"/>
      <c r="F3311" s="33"/>
      <c r="G3311" s="33"/>
      <c r="H3311" s="33"/>
      <c r="I3311" s="31"/>
      <c r="J3311" s="31"/>
      <c r="K3311" s="33"/>
      <c r="L3311" s="33"/>
      <c r="M3311" s="31"/>
      <c r="N3311" s="31"/>
      <c r="O3311" s="16"/>
      <c r="P3311" s="16"/>
      <c r="Q3311" s="16"/>
      <c r="R3311" s="33"/>
      <c r="S3311" s="34"/>
      <c r="T3311" s="34"/>
      <c r="U3311" s="34"/>
      <c r="V3311" s="34"/>
      <c r="W3311" s="34"/>
      <c r="X3311" s="33"/>
      <c r="Y3311" s="35" t="str">
        <f>IF(Tabela2[[#This Row],[SIGLA]]="","",VLOOKUP(Tabela2[[#This Row],[SIGLA]],Tabela1[[#All],[Sigla Arte]:[Crédito]],2,0))</f>
        <v/>
      </c>
      <c r="Z3311" s="31"/>
      <c r="AA3311" s="31" t="str">
        <f>Tabela2[[#This Row],[ILUSTRADOR CRIAÇÃO]]</f>
        <v/>
      </c>
      <c r="AB3311" s="33"/>
      <c r="AC3311" s="16"/>
      <c r="AE3311" s="35" t="str">
        <f t="shared" si="52"/>
        <v>EF1 E002 Mat</v>
      </c>
    </row>
    <row r="3312" spans="1:31" x14ac:dyDescent="0.25">
      <c r="A3312" s="31"/>
      <c r="B3312" s="16"/>
      <c r="C3312" s="16"/>
      <c r="D3312" s="33"/>
      <c r="E3312" s="33"/>
      <c r="F3312" s="33"/>
      <c r="G3312" s="33"/>
      <c r="H3312" s="33"/>
      <c r="I3312" s="31"/>
      <c r="J3312" s="31"/>
      <c r="K3312" s="33"/>
      <c r="L3312" s="33"/>
      <c r="M3312" s="31"/>
      <c r="N3312" s="31"/>
      <c r="O3312" s="16"/>
      <c r="P3312" s="16"/>
      <c r="Q3312" s="16"/>
      <c r="R3312" s="33"/>
      <c r="S3312" s="34"/>
      <c r="T3312" s="34"/>
      <c r="U3312" s="34"/>
      <c r="V3312" s="34"/>
      <c r="W3312" s="34"/>
      <c r="X3312" s="33"/>
      <c r="Y3312" s="35" t="str">
        <f>IF(Tabela2[[#This Row],[SIGLA]]="","",VLOOKUP(Tabela2[[#This Row],[SIGLA]],Tabela1[[#All],[Sigla Arte]:[Crédito]],2,0))</f>
        <v/>
      </c>
      <c r="Z3312" s="31"/>
      <c r="AA3312" s="31" t="str">
        <f>Tabela2[[#This Row],[ILUSTRADOR CRIAÇÃO]]</f>
        <v/>
      </c>
      <c r="AB3312" s="33"/>
      <c r="AC3312" s="16"/>
      <c r="AE3312" s="35" t="str">
        <f t="shared" si="52"/>
        <v>EF1 E002 Mat</v>
      </c>
    </row>
    <row r="3313" spans="1:31" x14ac:dyDescent="0.25">
      <c r="A3313" s="31"/>
      <c r="B3313" s="16"/>
      <c r="C3313" s="16"/>
      <c r="D3313" s="33"/>
      <c r="E3313" s="33"/>
      <c r="F3313" s="33"/>
      <c r="G3313" s="33"/>
      <c r="H3313" s="33"/>
      <c r="I3313" s="31"/>
      <c r="J3313" s="31"/>
      <c r="K3313" s="33"/>
      <c r="L3313" s="33"/>
      <c r="M3313" s="31"/>
      <c r="N3313" s="31"/>
      <c r="O3313" s="16"/>
      <c r="P3313" s="16"/>
      <c r="Q3313" s="16"/>
      <c r="R3313" s="33"/>
      <c r="S3313" s="34"/>
      <c r="T3313" s="34"/>
      <c r="U3313" s="34"/>
      <c r="V3313" s="34"/>
      <c r="W3313" s="34"/>
      <c r="X3313" s="33"/>
      <c r="Y3313" s="35" t="str">
        <f>IF(Tabela2[[#This Row],[SIGLA]]="","",VLOOKUP(Tabela2[[#This Row],[SIGLA]],Tabela1[[#All],[Sigla Arte]:[Crédito]],2,0))</f>
        <v/>
      </c>
      <c r="Z3313" s="31"/>
      <c r="AA3313" s="31" t="str">
        <f>Tabela2[[#This Row],[ILUSTRADOR CRIAÇÃO]]</f>
        <v/>
      </c>
      <c r="AB3313" s="33"/>
      <c r="AC3313" s="16"/>
      <c r="AE3313" s="35" t="str">
        <f t="shared" si="52"/>
        <v>EF1 E002 Mat</v>
      </c>
    </row>
    <row r="3314" spans="1:31" x14ac:dyDescent="0.25">
      <c r="A3314" s="31"/>
      <c r="B3314" s="16"/>
      <c r="C3314" s="16"/>
      <c r="D3314" s="33"/>
      <c r="E3314" s="33"/>
      <c r="F3314" s="33"/>
      <c r="G3314" s="33"/>
      <c r="H3314" s="33"/>
      <c r="I3314" s="31"/>
      <c r="J3314" s="31"/>
      <c r="K3314" s="33"/>
      <c r="L3314" s="33"/>
      <c r="M3314" s="31"/>
      <c r="N3314" s="31"/>
      <c r="O3314" s="16"/>
      <c r="P3314" s="16"/>
      <c r="Q3314" s="16"/>
      <c r="R3314" s="33"/>
      <c r="S3314" s="34"/>
      <c r="T3314" s="34"/>
      <c r="U3314" s="34"/>
      <c r="V3314" s="34"/>
      <c r="W3314" s="34"/>
      <c r="X3314" s="33"/>
      <c r="Y3314" s="35" t="str">
        <f>IF(Tabela2[[#This Row],[SIGLA]]="","",VLOOKUP(Tabela2[[#This Row],[SIGLA]],Tabela1[[#All],[Sigla Arte]:[Crédito]],2,0))</f>
        <v/>
      </c>
      <c r="Z3314" s="31"/>
      <c r="AA3314" s="31" t="str">
        <f>Tabela2[[#This Row],[ILUSTRADOR CRIAÇÃO]]</f>
        <v/>
      </c>
      <c r="AB3314" s="33"/>
      <c r="AC3314" s="16"/>
      <c r="AE3314" s="35" t="str">
        <f t="shared" ref="AE3314:AE3377" si="53">"EF1 E002 Mat"</f>
        <v>EF1 E002 Mat</v>
      </c>
    </row>
    <row r="3315" spans="1:31" x14ac:dyDescent="0.25">
      <c r="A3315" s="31"/>
      <c r="B3315" s="16"/>
      <c r="C3315" s="16"/>
      <c r="D3315" s="33"/>
      <c r="E3315" s="33"/>
      <c r="F3315" s="33"/>
      <c r="G3315" s="33"/>
      <c r="H3315" s="33"/>
      <c r="I3315" s="31"/>
      <c r="J3315" s="31"/>
      <c r="K3315" s="33"/>
      <c r="L3315" s="33"/>
      <c r="M3315" s="31"/>
      <c r="N3315" s="31"/>
      <c r="O3315" s="16"/>
      <c r="P3315" s="16"/>
      <c r="Q3315" s="16"/>
      <c r="R3315" s="33"/>
      <c r="S3315" s="34"/>
      <c r="T3315" s="34"/>
      <c r="U3315" s="34"/>
      <c r="V3315" s="34"/>
      <c r="W3315" s="34"/>
      <c r="X3315" s="33"/>
      <c r="Y3315" s="35" t="str">
        <f>IF(Tabela2[[#This Row],[SIGLA]]="","",VLOOKUP(Tabela2[[#This Row],[SIGLA]],Tabela1[[#All],[Sigla Arte]:[Crédito]],2,0))</f>
        <v/>
      </c>
      <c r="Z3315" s="31"/>
      <c r="AA3315" s="31" t="str">
        <f>Tabela2[[#This Row],[ILUSTRADOR CRIAÇÃO]]</f>
        <v/>
      </c>
      <c r="AB3315" s="33"/>
      <c r="AC3315" s="16"/>
      <c r="AE3315" s="35" t="str">
        <f t="shared" si="53"/>
        <v>EF1 E002 Mat</v>
      </c>
    </row>
    <row r="3316" spans="1:31" x14ac:dyDescent="0.25">
      <c r="A3316" s="31"/>
      <c r="B3316" s="16"/>
      <c r="C3316" s="16"/>
      <c r="D3316" s="33"/>
      <c r="E3316" s="33"/>
      <c r="F3316" s="33"/>
      <c r="G3316" s="33"/>
      <c r="H3316" s="33"/>
      <c r="I3316" s="31"/>
      <c r="J3316" s="31"/>
      <c r="K3316" s="33"/>
      <c r="L3316" s="33"/>
      <c r="M3316" s="31"/>
      <c r="N3316" s="31"/>
      <c r="O3316" s="16"/>
      <c r="P3316" s="16"/>
      <c r="Q3316" s="16"/>
      <c r="R3316" s="33"/>
      <c r="S3316" s="34"/>
      <c r="T3316" s="34"/>
      <c r="U3316" s="34"/>
      <c r="V3316" s="34"/>
      <c r="W3316" s="34"/>
      <c r="X3316" s="33"/>
      <c r="Y3316" s="35" t="str">
        <f>IF(Tabela2[[#This Row],[SIGLA]]="","",VLOOKUP(Tabela2[[#This Row],[SIGLA]],Tabela1[[#All],[Sigla Arte]:[Crédito]],2,0))</f>
        <v/>
      </c>
      <c r="Z3316" s="31"/>
      <c r="AA3316" s="31" t="str">
        <f>Tabela2[[#This Row],[ILUSTRADOR CRIAÇÃO]]</f>
        <v/>
      </c>
      <c r="AB3316" s="33"/>
      <c r="AC3316" s="16"/>
      <c r="AE3316" s="35" t="str">
        <f t="shared" si="53"/>
        <v>EF1 E002 Mat</v>
      </c>
    </row>
    <row r="3317" spans="1:31" x14ac:dyDescent="0.25">
      <c r="A3317" s="31"/>
      <c r="B3317" s="16"/>
      <c r="C3317" s="16"/>
      <c r="D3317" s="33"/>
      <c r="E3317" s="33"/>
      <c r="F3317" s="33"/>
      <c r="G3317" s="33"/>
      <c r="H3317" s="33"/>
      <c r="I3317" s="31"/>
      <c r="J3317" s="31"/>
      <c r="K3317" s="33"/>
      <c r="L3317" s="33"/>
      <c r="M3317" s="31"/>
      <c r="N3317" s="31"/>
      <c r="O3317" s="16"/>
      <c r="P3317" s="16"/>
      <c r="Q3317" s="16"/>
      <c r="R3317" s="33"/>
      <c r="S3317" s="34"/>
      <c r="T3317" s="34"/>
      <c r="U3317" s="34"/>
      <c r="V3317" s="34"/>
      <c r="W3317" s="34"/>
      <c r="X3317" s="33"/>
      <c r="Y3317" s="35" t="str">
        <f>IF(Tabela2[[#This Row],[SIGLA]]="","",VLOOKUP(Tabela2[[#This Row],[SIGLA]],Tabela1[[#All],[Sigla Arte]:[Crédito]],2,0))</f>
        <v/>
      </c>
      <c r="Z3317" s="31"/>
      <c r="AA3317" s="31" t="str">
        <f>Tabela2[[#This Row],[ILUSTRADOR CRIAÇÃO]]</f>
        <v/>
      </c>
      <c r="AB3317" s="33"/>
      <c r="AC3317" s="16"/>
      <c r="AE3317" s="35" t="str">
        <f t="shared" si="53"/>
        <v>EF1 E002 Mat</v>
      </c>
    </row>
    <row r="3318" spans="1:31" x14ac:dyDescent="0.25">
      <c r="A3318" s="31"/>
      <c r="B3318" s="16"/>
      <c r="C3318" s="16"/>
      <c r="D3318" s="33"/>
      <c r="E3318" s="33"/>
      <c r="F3318" s="33"/>
      <c r="G3318" s="33"/>
      <c r="H3318" s="33"/>
      <c r="I3318" s="31"/>
      <c r="J3318" s="31"/>
      <c r="K3318" s="33"/>
      <c r="L3318" s="33"/>
      <c r="M3318" s="31"/>
      <c r="N3318" s="31"/>
      <c r="O3318" s="16"/>
      <c r="P3318" s="16"/>
      <c r="Q3318" s="16"/>
      <c r="R3318" s="33"/>
      <c r="S3318" s="34"/>
      <c r="T3318" s="34"/>
      <c r="U3318" s="34"/>
      <c r="V3318" s="34"/>
      <c r="W3318" s="34"/>
      <c r="X3318" s="33"/>
      <c r="Y3318" s="35" t="str">
        <f>IF(Tabela2[[#This Row],[SIGLA]]="","",VLOOKUP(Tabela2[[#This Row],[SIGLA]],Tabela1[[#All],[Sigla Arte]:[Crédito]],2,0))</f>
        <v/>
      </c>
      <c r="Z3318" s="31"/>
      <c r="AA3318" s="31" t="str">
        <f>Tabela2[[#This Row],[ILUSTRADOR CRIAÇÃO]]</f>
        <v/>
      </c>
      <c r="AB3318" s="33"/>
      <c r="AC3318" s="16"/>
      <c r="AE3318" s="35" t="str">
        <f t="shared" si="53"/>
        <v>EF1 E002 Mat</v>
      </c>
    </row>
    <row r="3319" spans="1:31" x14ac:dyDescent="0.25">
      <c r="A3319" s="31"/>
      <c r="B3319" s="16"/>
      <c r="C3319" s="16"/>
      <c r="D3319" s="33"/>
      <c r="E3319" s="33"/>
      <c r="F3319" s="33"/>
      <c r="G3319" s="33"/>
      <c r="H3319" s="33"/>
      <c r="I3319" s="31"/>
      <c r="J3319" s="31"/>
      <c r="K3319" s="33"/>
      <c r="L3319" s="33"/>
      <c r="M3319" s="31"/>
      <c r="N3319" s="31"/>
      <c r="O3319" s="16"/>
      <c r="P3319" s="16"/>
      <c r="Q3319" s="16"/>
      <c r="R3319" s="33"/>
      <c r="S3319" s="34"/>
      <c r="T3319" s="34"/>
      <c r="U3319" s="34"/>
      <c r="V3319" s="34"/>
      <c r="W3319" s="34"/>
      <c r="X3319" s="33"/>
      <c r="Y3319" s="35" t="str">
        <f>IF(Tabela2[[#This Row],[SIGLA]]="","",VLOOKUP(Tabela2[[#This Row],[SIGLA]],Tabela1[[#All],[Sigla Arte]:[Crédito]],2,0))</f>
        <v/>
      </c>
      <c r="Z3319" s="31"/>
      <c r="AA3319" s="31" t="str">
        <f>Tabela2[[#This Row],[ILUSTRADOR CRIAÇÃO]]</f>
        <v/>
      </c>
      <c r="AB3319" s="33"/>
      <c r="AC3319" s="16"/>
      <c r="AE3319" s="35" t="str">
        <f t="shared" si="53"/>
        <v>EF1 E002 Mat</v>
      </c>
    </row>
    <row r="3320" spans="1:31" x14ac:dyDescent="0.25">
      <c r="A3320" s="31"/>
      <c r="B3320" s="16"/>
      <c r="C3320" s="16"/>
      <c r="D3320" s="33"/>
      <c r="E3320" s="33"/>
      <c r="F3320" s="33"/>
      <c r="G3320" s="33"/>
      <c r="H3320" s="33"/>
      <c r="I3320" s="31"/>
      <c r="J3320" s="31"/>
      <c r="K3320" s="33"/>
      <c r="L3320" s="33"/>
      <c r="M3320" s="31"/>
      <c r="N3320" s="31"/>
      <c r="O3320" s="16"/>
      <c r="P3320" s="16"/>
      <c r="Q3320" s="16"/>
      <c r="R3320" s="33"/>
      <c r="S3320" s="34"/>
      <c r="T3320" s="34"/>
      <c r="U3320" s="34"/>
      <c r="V3320" s="34"/>
      <c r="W3320" s="34"/>
      <c r="X3320" s="33"/>
      <c r="Y3320" s="35" t="str">
        <f>IF(Tabela2[[#This Row],[SIGLA]]="","",VLOOKUP(Tabela2[[#This Row],[SIGLA]],Tabela1[[#All],[Sigla Arte]:[Crédito]],2,0))</f>
        <v/>
      </c>
      <c r="Z3320" s="31"/>
      <c r="AA3320" s="31" t="str">
        <f>Tabela2[[#This Row],[ILUSTRADOR CRIAÇÃO]]</f>
        <v/>
      </c>
      <c r="AB3320" s="33"/>
      <c r="AC3320" s="16"/>
      <c r="AE3320" s="35" t="str">
        <f t="shared" si="53"/>
        <v>EF1 E002 Mat</v>
      </c>
    </row>
    <row r="3321" spans="1:31" x14ac:dyDescent="0.25">
      <c r="A3321" s="31"/>
      <c r="B3321" s="16"/>
      <c r="C3321" s="16"/>
      <c r="D3321" s="33"/>
      <c r="E3321" s="33"/>
      <c r="F3321" s="33"/>
      <c r="G3321" s="33"/>
      <c r="H3321" s="33"/>
      <c r="I3321" s="31"/>
      <c r="J3321" s="31"/>
      <c r="K3321" s="33"/>
      <c r="L3321" s="33"/>
      <c r="M3321" s="31"/>
      <c r="N3321" s="31"/>
      <c r="O3321" s="16"/>
      <c r="P3321" s="16"/>
      <c r="Q3321" s="16"/>
      <c r="R3321" s="33"/>
      <c r="S3321" s="34"/>
      <c r="T3321" s="34"/>
      <c r="U3321" s="34"/>
      <c r="V3321" s="34"/>
      <c r="W3321" s="34"/>
      <c r="X3321" s="33"/>
      <c r="Y3321" s="35" t="str">
        <f>IF(Tabela2[[#This Row],[SIGLA]]="","",VLOOKUP(Tabela2[[#This Row],[SIGLA]],Tabela1[[#All],[Sigla Arte]:[Crédito]],2,0))</f>
        <v/>
      </c>
      <c r="Z3321" s="31"/>
      <c r="AA3321" s="31" t="str">
        <f>Tabela2[[#This Row],[ILUSTRADOR CRIAÇÃO]]</f>
        <v/>
      </c>
      <c r="AB3321" s="33"/>
      <c r="AC3321" s="16"/>
      <c r="AE3321" s="35" t="str">
        <f t="shared" si="53"/>
        <v>EF1 E002 Mat</v>
      </c>
    </row>
    <row r="3322" spans="1:31" x14ac:dyDescent="0.25">
      <c r="A3322" s="31"/>
      <c r="B3322" s="16"/>
      <c r="C3322" s="16"/>
      <c r="D3322" s="33"/>
      <c r="E3322" s="33"/>
      <c r="F3322" s="33"/>
      <c r="G3322" s="33"/>
      <c r="H3322" s="33"/>
      <c r="I3322" s="31"/>
      <c r="J3322" s="31"/>
      <c r="K3322" s="33"/>
      <c r="L3322" s="33"/>
      <c r="M3322" s="31"/>
      <c r="N3322" s="31"/>
      <c r="O3322" s="16"/>
      <c r="P3322" s="16"/>
      <c r="Q3322" s="16"/>
      <c r="R3322" s="33"/>
      <c r="S3322" s="34"/>
      <c r="T3322" s="34"/>
      <c r="U3322" s="34"/>
      <c r="V3322" s="34"/>
      <c r="W3322" s="34"/>
      <c r="X3322" s="33"/>
      <c r="Y3322" s="35" t="str">
        <f>IF(Tabela2[[#This Row],[SIGLA]]="","",VLOOKUP(Tabela2[[#This Row],[SIGLA]],Tabela1[[#All],[Sigla Arte]:[Crédito]],2,0))</f>
        <v/>
      </c>
      <c r="Z3322" s="31"/>
      <c r="AA3322" s="31" t="str">
        <f>Tabela2[[#This Row],[ILUSTRADOR CRIAÇÃO]]</f>
        <v/>
      </c>
      <c r="AB3322" s="33"/>
      <c r="AC3322" s="16"/>
      <c r="AE3322" s="35" t="str">
        <f t="shared" si="53"/>
        <v>EF1 E002 Mat</v>
      </c>
    </row>
    <row r="3323" spans="1:31" x14ac:dyDescent="0.25">
      <c r="A3323" s="31"/>
      <c r="B3323" s="16"/>
      <c r="C3323" s="16"/>
      <c r="D3323" s="33"/>
      <c r="E3323" s="33"/>
      <c r="F3323" s="33"/>
      <c r="G3323" s="33"/>
      <c r="H3323" s="33"/>
      <c r="I3323" s="31"/>
      <c r="J3323" s="31"/>
      <c r="K3323" s="33"/>
      <c r="L3323" s="33"/>
      <c r="M3323" s="31"/>
      <c r="N3323" s="31"/>
      <c r="O3323" s="16"/>
      <c r="P3323" s="16"/>
      <c r="Q3323" s="16"/>
      <c r="R3323" s="33"/>
      <c r="S3323" s="34"/>
      <c r="T3323" s="34"/>
      <c r="U3323" s="34"/>
      <c r="V3323" s="34"/>
      <c r="W3323" s="34"/>
      <c r="X3323" s="33"/>
      <c r="Y3323" s="35" t="str">
        <f>IF(Tabela2[[#This Row],[SIGLA]]="","",VLOOKUP(Tabela2[[#This Row],[SIGLA]],Tabela1[[#All],[Sigla Arte]:[Crédito]],2,0))</f>
        <v/>
      </c>
      <c r="Z3323" s="31"/>
      <c r="AA3323" s="31" t="str">
        <f>Tabela2[[#This Row],[ILUSTRADOR CRIAÇÃO]]</f>
        <v/>
      </c>
      <c r="AB3323" s="33"/>
      <c r="AC3323" s="16"/>
      <c r="AE3323" s="35" t="str">
        <f t="shared" si="53"/>
        <v>EF1 E002 Mat</v>
      </c>
    </row>
    <row r="3324" spans="1:31" x14ac:dyDescent="0.25">
      <c r="A3324" s="31"/>
      <c r="B3324" s="16"/>
      <c r="C3324" s="16"/>
      <c r="D3324" s="33"/>
      <c r="E3324" s="33"/>
      <c r="F3324" s="33"/>
      <c r="G3324" s="33"/>
      <c r="H3324" s="33"/>
      <c r="I3324" s="31"/>
      <c r="J3324" s="31"/>
      <c r="K3324" s="33"/>
      <c r="L3324" s="33"/>
      <c r="M3324" s="31"/>
      <c r="N3324" s="31"/>
      <c r="O3324" s="16"/>
      <c r="P3324" s="16"/>
      <c r="Q3324" s="16"/>
      <c r="R3324" s="33"/>
      <c r="S3324" s="34"/>
      <c r="T3324" s="34"/>
      <c r="U3324" s="34"/>
      <c r="V3324" s="34"/>
      <c r="W3324" s="34"/>
      <c r="X3324" s="33"/>
      <c r="Y3324" s="35" t="str">
        <f>IF(Tabela2[[#This Row],[SIGLA]]="","",VLOOKUP(Tabela2[[#This Row],[SIGLA]],Tabela1[[#All],[Sigla Arte]:[Crédito]],2,0))</f>
        <v/>
      </c>
      <c r="Z3324" s="31"/>
      <c r="AA3324" s="31" t="str">
        <f>Tabela2[[#This Row],[ILUSTRADOR CRIAÇÃO]]</f>
        <v/>
      </c>
      <c r="AB3324" s="33"/>
      <c r="AC3324" s="16"/>
      <c r="AE3324" s="35" t="str">
        <f t="shared" si="53"/>
        <v>EF1 E002 Mat</v>
      </c>
    </row>
    <row r="3325" spans="1:31" x14ac:dyDescent="0.25">
      <c r="A3325" s="31"/>
      <c r="B3325" s="16"/>
      <c r="C3325" s="16"/>
      <c r="D3325" s="33"/>
      <c r="E3325" s="33"/>
      <c r="F3325" s="33"/>
      <c r="G3325" s="33"/>
      <c r="H3325" s="33"/>
      <c r="I3325" s="31"/>
      <c r="J3325" s="31"/>
      <c r="K3325" s="33"/>
      <c r="L3325" s="33"/>
      <c r="M3325" s="31"/>
      <c r="N3325" s="31"/>
      <c r="O3325" s="16"/>
      <c r="P3325" s="16"/>
      <c r="Q3325" s="16"/>
      <c r="R3325" s="33"/>
      <c r="S3325" s="34"/>
      <c r="T3325" s="34"/>
      <c r="U3325" s="34"/>
      <c r="V3325" s="34"/>
      <c r="W3325" s="34"/>
      <c r="X3325" s="33"/>
      <c r="Y3325" s="35" t="str">
        <f>IF(Tabela2[[#This Row],[SIGLA]]="","",VLOOKUP(Tabela2[[#This Row],[SIGLA]],Tabela1[[#All],[Sigla Arte]:[Crédito]],2,0))</f>
        <v/>
      </c>
      <c r="Z3325" s="31"/>
      <c r="AA3325" s="31" t="str">
        <f>Tabela2[[#This Row],[ILUSTRADOR CRIAÇÃO]]</f>
        <v/>
      </c>
      <c r="AB3325" s="33"/>
      <c r="AC3325" s="16"/>
      <c r="AE3325" s="35" t="str">
        <f t="shared" si="53"/>
        <v>EF1 E002 Mat</v>
      </c>
    </row>
    <row r="3326" spans="1:31" x14ac:dyDescent="0.25">
      <c r="A3326" s="31"/>
      <c r="B3326" s="16"/>
      <c r="C3326" s="16"/>
      <c r="D3326" s="33"/>
      <c r="E3326" s="33"/>
      <c r="F3326" s="33"/>
      <c r="G3326" s="33"/>
      <c r="H3326" s="33"/>
      <c r="I3326" s="31"/>
      <c r="J3326" s="31"/>
      <c r="K3326" s="33"/>
      <c r="L3326" s="33"/>
      <c r="M3326" s="31"/>
      <c r="N3326" s="31"/>
      <c r="O3326" s="16"/>
      <c r="P3326" s="16"/>
      <c r="Q3326" s="16"/>
      <c r="R3326" s="33"/>
      <c r="S3326" s="34"/>
      <c r="T3326" s="34"/>
      <c r="U3326" s="34"/>
      <c r="V3326" s="34"/>
      <c r="W3326" s="34"/>
      <c r="X3326" s="33"/>
      <c r="Y3326" s="35" t="str">
        <f>IF(Tabela2[[#This Row],[SIGLA]]="","",VLOOKUP(Tabela2[[#This Row],[SIGLA]],Tabela1[[#All],[Sigla Arte]:[Crédito]],2,0))</f>
        <v/>
      </c>
      <c r="Z3326" s="31"/>
      <c r="AA3326" s="31" t="str">
        <f>Tabela2[[#This Row],[ILUSTRADOR CRIAÇÃO]]</f>
        <v/>
      </c>
      <c r="AB3326" s="33"/>
      <c r="AC3326" s="16"/>
      <c r="AE3326" s="35" t="str">
        <f t="shared" si="53"/>
        <v>EF1 E002 Mat</v>
      </c>
    </row>
    <row r="3327" spans="1:31" x14ac:dyDescent="0.25">
      <c r="A3327" s="31"/>
      <c r="B3327" s="16"/>
      <c r="C3327" s="16"/>
      <c r="D3327" s="33"/>
      <c r="E3327" s="33"/>
      <c r="F3327" s="33"/>
      <c r="G3327" s="33"/>
      <c r="H3327" s="33"/>
      <c r="I3327" s="31"/>
      <c r="J3327" s="31"/>
      <c r="K3327" s="33"/>
      <c r="L3327" s="33"/>
      <c r="M3327" s="31"/>
      <c r="N3327" s="31"/>
      <c r="O3327" s="16"/>
      <c r="P3327" s="16"/>
      <c r="Q3327" s="16"/>
      <c r="R3327" s="33"/>
      <c r="S3327" s="34"/>
      <c r="T3327" s="34"/>
      <c r="U3327" s="34"/>
      <c r="V3327" s="34"/>
      <c r="W3327" s="34"/>
      <c r="X3327" s="33"/>
      <c r="Y3327" s="35" t="str">
        <f>IF(Tabela2[[#This Row],[SIGLA]]="","",VLOOKUP(Tabela2[[#This Row],[SIGLA]],Tabela1[[#All],[Sigla Arte]:[Crédito]],2,0))</f>
        <v/>
      </c>
      <c r="Z3327" s="31"/>
      <c r="AA3327" s="31" t="str">
        <f>Tabela2[[#This Row],[ILUSTRADOR CRIAÇÃO]]</f>
        <v/>
      </c>
      <c r="AB3327" s="33"/>
      <c r="AC3327" s="16"/>
      <c r="AE3327" s="35" t="str">
        <f t="shared" si="53"/>
        <v>EF1 E002 Mat</v>
      </c>
    </row>
    <row r="3328" spans="1:31" x14ac:dyDescent="0.25">
      <c r="A3328" s="31"/>
      <c r="B3328" s="16"/>
      <c r="C3328" s="16"/>
      <c r="D3328" s="33"/>
      <c r="E3328" s="33"/>
      <c r="F3328" s="33"/>
      <c r="G3328" s="33"/>
      <c r="H3328" s="33"/>
      <c r="I3328" s="31"/>
      <c r="J3328" s="31"/>
      <c r="K3328" s="33"/>
      <c r="L3328" s="33"/>
      <c r="M3328" s="31"/>
      <c r="N3328" s="31"/>
      <c r="O3328" s="16"/>
      <c r="P3328" s="16"/>
      <c r="Q3328" s="16"/>
      <c r="R3328" s="33"/>
      <c r="S3328" s="34"/>
      <c r="T3328" s="34"/>
      <c r="U3328" s="34"/>
      <c r="V3328" s="34"/>
      <c r="W3328" s="34"/>
      <c r="X3328" s="33"/>
      <c r="Y3328" s="35" t="str">
        <f>IF(Tabela2[[#This Row],[SIGLA]]="","",VLOOKUP(Tabela2[[#This Row],[SIGLA]],Tabela1[[#All],[Sigla Arte]:[Crédito]],2,0))</f>
        <v/>
      </c>
      <c r="Z3328" s="31"/>
      <c r="AA3328" s="31" t="str">
        <f>Tabela2[[#This Row],[ILUSTRADOR CRIAÇÃO]]</f>
        <v/>
      </c>
      <c r="AB3328" s="33"/>
      <c r="AC3328" s="16"/>
      <c r="AE3328" s="35" t="str">
        <f t="shared" si="53"/>
        <v>EF1 E002 Mat</v>
      </c>
    </row>
    <row r="3329" spans="1:31" x14ac:dyDescent="0.25">
      <c r="A3329" s="31"/>
      <c r="B3329" s="16"/>
      <c r="C3329" s="16"/>
      <c r="D3329" s="33"/>
      <c r="E3329" s="33"/>
      <c r="F3329" s="33"/>
      <c r="G3329" s="33"/>
      <c r="H3329" s="33"/>
      <c r="I3329" s="31"/>
      <c r="J3329" s="31"/>
      <c r="K3329" s="33"/>
      <c r="L3329" s="33"/>
      <c r="M3329" s="31"/>
      <c r="N3329" s="31"/>
      <c r="O3329" s="16"/>
      <c r="P3329" s="16"/>
      <c r="Q3329" s="16"/>
      <c r="R3329" s="33"/>
      <c r="S3329" s="34"/>
      <c r="T3329" s="34"/>
      <c r="U3329" s="34"/>
      <c r="V3329" s="34"/>
      <c r="W3329" s="34"/>
      <c r="X3329" s="33"/>
      <c r="Y3329" s="35" t="str">
        <f>IF(Tabela2[[#This Row],[SIGLA]]="","",VLOOKUP(Tabela2[[#This Row],[SIGLA]],Tabela1[[#All],[Sigla Arte]:[Crédito]],2,0))</f>
        <v/>
      </c>
      <c r="Z3329" s="31"/>
      <c r="AA3329" s="31" t="str">
        <f>Tabela2[[#This Row],[ILUSTRADOR CRIAÇÃO]]</f>
        <v/>
      </c>
      <c r="AB3329" s="33"/>
      <c r="AC3329" s="16"/>
      <c r="AE3329" s="35" t="str">
        <f t="shared" si="53"/>
        <v>EF1 E002 Mat</v>
      </c>
    </row>
    <row r="3330" spans="1:31" x14ac:dyDescent="0.25">
      <c r="A3330" s="31"/>
      <c r="B3330" s="16"/>
      <c r="C3330" s="16"/>
      <c r="D3330" s="33"/>
      <c r="E3330" s="33"/>
      <c r="F3330" s="33"/>
      <c r="G3330" s="33"/>
      <c r="H3330" s="33"/>
      <c r="I3330" s="31"/>
      <c r="J3330" s="31"/>
      <c r="K3330" s="33"/>
      <c r="L3330" s="33"/>
      <c r="M3330" s="31"/>
      <c r="N3330" s="31"/>
      <c r="O3330" s="16"/>
      <c r="P3330" s="16"/>
      <c r="Q3330" s="16"/>
      <c r="R3330" s="33"/>
      <c r="S3330" s="34"/>
      <c r="T3330" s="34"/>
      <c r="U3330" s="34"/>
      <c r="V3330" s="34"/>
      <c r="W3330" s="34"/>
      <c r="X3330" s="33"/>
      <c r="Y3330" s="35" t="str">
        <f>IF(Tabela2[[#This Row],[SIGLA]]="","",VLOOKUP(Tabela2[[#This Row],[SIGLA]],Tabela1[[#All],[Sigla Arte]:[Crédito]],2,0))</f>
        <v/>
      </c>
      <c r="Z3330" s="31"/>
      <c r="AA3330" s="31" t="str">
        <f>Tabela2[[#This Row],[ILUSTRADOR CRIAÇÃO]]</f>
        <v/>
      </c>
      <c r="AB3330" s="33"/>
      <c r="AC3330" s="16"/>
      <c r="AE3330" s="35" t="str">
        <f t="shared" si="53"/>
        <v>EF1 E002 Mat</v>
      </c>
    </row>
    <row r="3331" spans="1:31" x14ac:dyDescent="0.25">
      <c r="A3331" s="31"/>
      <c r="B3331" s="16"/>
      <c r="C3331" s="16"/>
      <c r="D3331" s="33"/>
      <c r="E3331" s="33"/>
      <c r="F3331" s="33"/>
      <c r="G3331" s="33"/>
      <c r="H3331" s="33"/>
      <c r="I3331" s="31"/>
      <c r="J3331" s="31"/>
      <c r="K3331" s="33"/>
      <c r="L3331" s="33"/>
      <c r="M3331" s="31"/>
      <c r="N3331" s="31"/>
      <c r="O3331" s="16"/>
      <c r="P3331" s="16"/>
      <c r="Q3331" s="16"/>
      <c r="R3331" s="33"/>
      <c r="S3331" s="34"/>
      <c r="T3331" s="34"/>
      <c r="U3331" s="34"/>
      <c r="V3331" s="34"/>
      <c r="W3331" s="34"/>
      <c r="X3331" s="33"/>
      <c r="Y3331" s="35" t="str">
        <f>IF(Tabela2[[#This Row],[SIGLA]]="","",VLOOKUP(Tabela2[[#This Row],[SIGLA]],Tabela1[[#All],[Sigla Arte]:[Crédito]],2,0))</f>
        <v/>
      </c>
      <c r="Z3331" s="31"/>
      <c r="AA3331" s="31" t="str">
        <f>Tabela2[[#This Row],[ILUSTRADOR CRIAÇÃO]]</f>
        <v/>
      </c>
      <c r="AB3331" s="33"/>
      <c r="AC3331" s="16"/>
      <c r="AE3331" s="35" t="str">
        <f t="shared" si="53"/>
        <v>EF1 E002 Mat</v>
      </c>
    </row>
    <row r="3332" spans="1:31" x14ac:dyDescent="0.25">
      <c r="A3332" s="31"/>
      <c r="B3332" s="16"/>
      <c r="C3332" s="16"/>
      <c r="D3332" s="33"/>
      <c r="E3332" s="33"/>
      <c r="F3332" s="33"/>
      <c r="G3332" s="33"/>
      <c r="H3332" s="33"/>
      <c r="I3332" s="31"/>
      <c r="J3332" s="31"/>
      <c r="K3332" s="33"/>
      <c r="L3332" s="33"/>
      <c r="M3332" s="31"/>
      <c r="N3332" s="31"/>
      <c r="O3332" s="16"/>
      <c r="P3332" s="16"/>
      <c r="Q3332" s="16"/>
      <c r="R3332" s="33"/>
      <c r="S3332" s="34"/>
      <c r="T3332" s="34"/>
      <c r="U3332" s="34"/>
      <c r="V3332" s="34"/>
      <c r="W3332" s="34"/>
      <c r="X3332" s="33"/>
      <c r="Y3332" s="35" t="str">
        <f>IF(Tabela2[[#This Row],[SIGLA]]="","",VLOOKUP(Tabela2[[#This Row],[SIGLA]],Tabela1[[#All],[Sigla Arte]:[Crédito]],2,0))</f>
        <v/>
      </c>
      <c r="Z3332" s="31"/>
      <c r="AA3332" s="31" t="str">
        <f>Tabela2[[#This Row],[ILUSTRADOR CRIAÇÃO]]</f>
        <v/>
      </c>
      <c r="AB3332" s="33"/>
      <c r="AC3332" s="16"/>
      <c r="AE3332" s="35" t="str">
        <f t="shared" si="53"/>
        <v>EF1 E002 Mat</v>
      </c>
    </row>
    <row r="3333" spans="1:31" x14ac:dyDescent="0.25">
      <c r="A3333" s="31"/>
      <c r="B3333" s="16"/>
      <c r="C3333" s="16"/>
      <c r="D3333" s="33"/>
      <c r="E3333" s="33"/>
      <c r="F3333" s="33"/>
      <c r="G3333" s="33"/>
      <c r="H3333" s="33"/>
      <c r="I3333" s="31"/>
      <c r="J3333" s="31"/>
      <c r="K3333" s="33"/>
      <c r="L3333" s="33"/>
      <c r="M3333" s="31"/>
      <c r="N3333" s="31"/>
      <c r="O3333" s="16"/>
      <c r="P3333" s="16"/>
      <c r="Q3333" s="16"/>
      <c r="R3333" s="33"/>
      <c r="S3333" s="34"/>
      <c r="T3333" s="34"/>
      <c r="U3333" s="34"/>
      <c r="V3333" s="34"/>
      <c r="W3333" s="34"/>
      <c r="X3333" s="33"/>
      <c r="Y3333" s="35" t="str">
        <f>IF(Tabela2[[#This Row],[SIGLA]]="","",VLOOKUP(Tabela2[[#This Row],[SIGLA]],Tabela1[[#All],[Sigla Arte]:[Crédito]],2,0))</f>
        <v/>
      </c>
      <c r="Z3333" s="31"/>
      <c r="AA3333" s="31" t="str">
        <f>Tabela2[[#This Row],[ILUSTRADOR CRIAÇÃO]]</f>
        <v/>
      </c>
      <c r="AB3333" s="33"/>
      <c r="AC3333" s="16"/>
      <c r="AE3333" s="35" t="str">
        <f t="shared" si="53"/>
        <v>EF1 E002 Mat</v>
      </c>
    </row>
    <row r="3334" spans="1:31" x14ac:dyDescent="0.25">
      <c r="A3334" s="31"/>
      <c r="B3334" s="16"/>
      <c r="C3334" s="16"/>
      <c r="D3334" s="33"/>
      <c r="E3334" s="33"/>
      <c r="F3334" s="33"/>
      <c r="G3334" s="33"/>
      <c r="H3334" s="33"/>
      <c r="I3334" s="31"/>
      <c r="J3334" s="31"/>
      <c r="K3334" s="33"/>
      <c r="L3334" s="33"/>
      <c r="M3334" s="31"/>
      <c r="N3334" s="31"/>
      <c r="O3334" s="16"/>
      <c r="P3334" s="16"/>
      <c r="Q3334" s="16"/>
      <c r="R3334" s="33"/>
      <c r="S3334" s="34"/>
      <c r="T3334" s="34"/>
      <c r="U3334" s="34"/>
      <c r="V3334" s="34"/>
      <c r="W3334" s="34"/>
      <c r="X3334" s="33"/>
      <c r="Y3334" s="35" t="str">
        <f>IF(Tabela2[[#This Row],[SIGLA]]="","",VLOOKUP(Tabela2[[#This Row],[SIGLA]],Tabela1[[#All],[Sigla Arte]:[Crédito]],2,0))</f>
        <v/>
      </c>
      <c r="Z3334" s="31"/>
      <c r="AA3334" s="31" t="str">
        <f>Tabela2[[#This Row],[ILUSTRADOR CRIAÇÃO]]</f>
        <v/>
      </c>
      <c r="AB3334" s="33"/>
      <c r="AC3334" s="16"/>
      <c r="AE3334" s="35" t="str">
        <f t="shared" si="53"/>
        <v>EF1 E002 Mat</v>
      </c>
    </row>
    <row r="3335" spans="1:31" x14ac:dyDescent="0.25">
      <c r="A3335" s="31"/>
      <c r="B3335" s="16"/>
      <c r="C3335" s="16"/>
      <c r="D3335" s="33"/>
      <c r="E3335" s="33"/>
      <c r="F3335" s="33"/>
      <c r="G3335" s="33"/>
      <c r="H3335" s="33"/>
      <c r="I3335" s="31"/>
      <c r="J3335" s="31"/>
      <c r="K3335" s="33"/>
      <c r="L3335" s="33"/>
      <c r="M3335" s="31"/>
      <c r="N3335" s="31"/>
      <c r="O3335" s="16"/>
      <c r="P3335" s="16"/>
      <c r="Q3335" s="16"/>
      <c r="R3335" s="33"/>
      <c r="S3335" s="34"/>
      <c r="T3335" s="34"/>
      <c r="U3335" s="34"/>
      <c r="V3335" s="34"/>
      <c r="W3335" s="34"/>
      <c r="X3335" s="33"/>
      <c r="Y3335" s="35" t="str">
        <f>IF(Tabela2[[#This Row],[SIGLA]]="","",VLOOKUP(Tabela2[[#This Row],[SIGLA]],Tabela1[[#All],[Sigla Arte]:[Crédito]],2,0))</f>
        <v/>
      </c>
      <c r="Z3335" s="31"/>
      <c r="AA3335" s="31" t="str">
        <f>Tabela2[[#This Row],[ILUSTRADOR CRIAÇÃO]]</f>
        <v/>
      </c>
      <c r="AB3335" s="33"/>
      <c r="AC3335" s="16"/>
      <c r="AE3335" s="35" t="str">
        <f t="shared" si="53"/>
        <v>EF1 E002 Mat</v>
      </c>
    </row>
    <row r="3336" spans="1:31" x14ac:dyDescent="0.25">
      <c r="A3336" s="31"/>
      <c r="B3336" s="16"/>
      <c r="C3336" s="16"/>
      <c r="D3336" s="33"/>
      <c r="E3336" s="33"/>
      <c r="F3336" s="33"/>
      <c r="G3336" s="33"/>
      <c r="H3336" s="33"/>
      <c r="I3336" s="31"/>
      <c r="J3336" s="31"/>
      <c r="K3336" s="33"/>
      <c r="L3336" s="33"/>
      <c r="M3336" s="31"/>
      <c r="N3336" s="31"/>
      <c r="O3336" s="16"/>
      <c r="P3336" s="16"/>
      <c r="Q3336" s="16"/>
      <c r="R3336" s="33"/>
      <c r="S3336" s="34"/>
      <c r="T3336" s="34"/>
      <c r="U3336" s="34"/>
      <c r="V3336" s="34"/>
      <c r="W3336" s="34"/>
      <c r="X3336" s="33"/>
      <c r="Y3336" s="35" t="str">
        <f>IF(Tabela2[[#This Row],[SIGLA]]="","",VLOOKUP(Tabela2[[#This Row],[SIGLA]],Tabela1[[#All],[Sigla Arte]:[Crédito]],2,0))</f>
        <v/>
      </c>
      <c r="Z3336" s="31"/>
      <c r="AA3336" s="31" t="str">
        <f>Tabela2[[#This Row],[ILUSTRADOR CRIAÇÃO]]</f>
        <v/>
      </c>
      <c r="AB3336" s="33"/>
      <c r="AC3336" s="16"/>
      <c r="AE3336" s="35" t="str">
        <f t="shared" si="53"/>
        <v>EF1 E002 Mat</v>
      </c>
    </row>
    <row r="3337" spans="1:31" x14ac:dyDescent="0.25">
      <c r="A3337" s="31"/>
      <c r="B3337" s="16"/>
      <c r="C3337" s="16"/>
      <c r="D3337" s="33"/>
      <c r="E3337" s="33"/>
      <c r="F3337" s="33"/>
      <c r="G3337" s="33"/>
      <c r="H3337" s="33"/>
      <c r="I3337" s="31"/>
      <c r="J3337" s="31"/>
      <c r="K3337" s="33"/>
      <c r="L3337" s="33"/>
      <c r="M3337" s="31"/>
      <c r="N3337" s="31"/>
      <c r="O3337" s="16"/>
      <c r="P3337" s="16"/>
      <c r="Q3337" s="16"/>
      <c r="R3337" s="33"/>
      <c r="S3337" s="34"/>
      <c r="T3337" s="34"/>
      <c r="U3337" s="34"/>
      <c r="V3337" s="34"/>
      <c r="W3337" s="34"/>
      <c r="X3337" s="33"/>
      <c r="Y3337" s="35" t="str">
        <f>IF(Tabela2[[#This Row],[SIGLA]]="","",VLOOKUP(Tabela2[[#This Row],[SIGLA]],Tabela1[[#All],[Sigla Arte]:[Crédito]],2,0))</f>
        <v/>
      </c>
      <c r="Z3337" s="31"/>
      <c r="AA3337" s="31" t="str">
        <f>Tabela2[[#This Row],[ILUSTRADOR CRIAÇÃO]]</f>
        <v/>
      </c>
      <c r="AB3337" s="33"/>
      <c r="AC3337" s="16"/>
      <c r="AE3337" s="35" t="str">
        <f t="shared" si="53"/>
        <v>EF1 E002 Mat</v>
      </c>
    </row>
    <row r="3338" spans="1:31" x14ac:dyDescent="0.25">
      <c r="A3338" s="31"/>
      <c r="B3338" s="16"/>
      <c r="C3338" s="16"/>
      <c r="D3338" s="33"/>
      <c r="E3338" s="33"/>
      <c r="F3338" s="33"/>
      <c r="G3338" s="33"/>
      <c r="H3338" s="33"/>
      <c r="I3338" s="31"/>
      <c r="J3338" s="31"/>
      <c r="K3338" s="33"/>
      <c r="L3338" s="33"/>
      <c r="M3338" s="31"/>
      <c r="N3338" s="31"/>
      <c r="O3338" s="16"/>
      <c r="P3338" s="16"/>
      <c r="Q3338" s="16"/>
      <c r="R3338" s="33"/>
      <c r="S3338" s="34"/>
      <c r="T3338" s="34"/>
      <c r="U3338" s="34"/>
      <c r="V3338" s="34"/>
      <c r="W3338" s="34"/>
      <c r="X3338" s="33"/>
      <c r="Y3338" s="35" t="str">
        <f>IF(Tabela2[[#This Row],[SIGLA]]="","",VLOOKUP(Tabela2[[#This Row],[SIGLA]],Tabela1[[#All],[Sigla Arte]:[Crédito]],2,0))</f>
        <v/>
      </c>
      <c r="Z3338" s="31"/>
      <c r="AA3338" s="31" t="str">
        <f>Tabela2[[#This Row],[ILUSTRADOR CRIAÇÃO]]</f>
        <v/>
      </c>
      <c r="AB3338" s="33"/>
      <c r="AC3338" s="16"/>
      <c r="AE3338" s="35" t="str">
        <f t="shared" si="53"/>
        <v>EF1 E002 Mat</v>
      </c>
    </row>
    <row r="3339" spans="1:31" x14ac:dyDescent="0.25">
      <c r="A3339" s="31"/>
      <c r="B3339" s="16"/>
      <c r="C3339" s="16"/>
      <c r="D3339" s="33"/>
      <c r="E3339" s="33"/>
      <c r="F3339" s="33"/>
      <c r="G3339" s="33"/>
      <c r="H3339" s="33"/>
      <c r="I3339" s="31"/>
      <c r="J3339" s="31"/>
      <c r="K3339" s="33"/>
      <c r="L3339" s="33"/>
      <c r="M3339" s="31"/>
      <c r="N3339" s="31"/>
      <c r="O3339" s="16"/>
      <c r="P3339" s="16"/>
      <c r="Q3339" s="16"/>
      <c r="R3339" s="33"/>
      <c r="S3339" s="34"/>
      <c r="T3339" s="34"/>
      <c r="U3339" s="34"/>
      <c r="V3339" s="34"/>
      <c r="W3339" s="34"/>
      <c r="X3339" s="33"/>
      <c r="Y3339" s="35" t="str">
        <f>IF(Tabela2[[#This Row],[SIGLA]]="","",VLOOKUP(Tabela2[[#This Row],[SIGLA]],Tabela1[[#All],[Sigla Arte]:[Crédito]],2,0))</f>
        <v/>
      </c>
      <c r="Z3339" s="31"/>
      <c r="AA3339" s="31" t="str">
        <f>Tabela2[[#This Row],[ILUSTRADOR CRIAÇÃO]]</f>
        <v/>
      </c>
      <c r="AB3339" s="33"/>
      <c r="AC3339" s="16"/>
      <c r="AE3339" s="35" t="str">
        <f t="shared" si="53"/>
        <v>EF1 E002 Mat</v>
      </c>
    </row>
    <row r="3340" spans="1:31" x14ac:dyDescent="0.25">
      <c r="A3340" s="31"/>
      <c r="B3340" s="16"/>
      <c r="C3340" s="16"/>
      <c r="D3340" s="33"/>
      <c r="E3340" s="33"/>
      <c r="F3340" s="33"/>
      <c r="G3340" s="33"/>
      <c r="H3340" s="33"/>
      <c r="I3340" s="31"/>
      <c r="J3340" s="31"/>
      <c r="K3340" s="33"/>
      <c r="L3340" s="33"/>
      <c r="M3340" s="31"/>
      <c r="N3340" s="31"/>
      <c r="O3340" s="16"/>
      <c r="P3340" s="16"/>
      <c r="Q3340" s="16"/>
      <c r="R3340" s="33"/>
      <c r="S3340" s="34"/>
      <c r="T3340" s="34"/>
      <c r="U3340" s="34"/>
      <c r="V3340" s="34"/>
      <c r="W3340" s="34"/>
      <c r="X3340" s="33"/>
      <c r="Y3340" s="35" t="str">
        <f>IF(Tabela2[[#This Row],[SIGLA]]="","",VLOOKUP(Tabela2[[#This Row],[SIGLA]],Tabela1[[#All],[Sigla Arte]:[Crédito]],2,0))</f>
        <v/>
      </c>
      <c r="Z3340" s="31"/>
      <c r="AA3340" s="31" t="str">
        <f>Tabela2[[#This Row],[ILUSTRADOR CRIAÇÃO]]</f>
        <v/>
      </c>
      <c r="AB3340" s="33"/>
      <c r="AC3340" s="16"/>
      <c r="AE3340" s="35" t="str">
        <f t="shared" si="53"/>
        <v>EF1 E002 Mat</v>
      </c>
    </row>
    <row r="3341" spans="1:31" x14ac:dyDescent="0.25">
      <c r="A3341" s="31"/>
      <c r="B3341" s="16"/>
      <c r="C3341" s="16"/>
      <c r="D3341" s="33"/>
      <c r="E3341" s="33"/>
      <c r="F3341" s="33"/>
      <c r="G3341" s="33"/>
      <c r="H3341" s="33"/>
      <c r="I3341" s="31"/>
      <c r="J3341" s="31"/>
      <c r="K3341" s="33"/>
      <c r="L3341" s="33"/>
      <c r="M3341" s="31"/>
      <c r="N3341" s="31"/>
      <c r="O3341" s="16"/>
      <c r="P3341" s="16"/>
      <c r="Q3341" s="16"/>
      <c r="R3341" s="33"/>
      <c r="S3341" s="34"/>
      <c r="T3341" s="34"/>
      <c r="U3341" s="34"/>
      <c r="V3341" s="34"/>
      <c r="W3341" s="34"/>
      <c r="X3341" s="33"/>
      <c r="Y3341" s="35" t="str">
        <f>IF(Tabela2[[#This Row],[SIGLA]]="","",VLOOKUP(Tabela2[[#This Row],[SIGLA]],Tabela1[[#All],[Sigla Arte]:[Crédito]],2,0))</f>
        <v/>
      </c>
      <c r="Z3341" s="31"/>
      <c r="AA3341" s="31" t="str">
        <f>Tabela2[[#This Row],[ILUSTRADOR CRIAÇÃO]]</f>
        <v/>
      </c>
      <c r="AB3341" s="33"/>
      <c r="AC3341" s="16"/>
      <c r="AE3341" s="35" t="str">
        <f t="shared" si="53"/>
        <v>EF1 E002 Mat</v>
      </c>
    </row>
    <row r="3342" spans="1:31" x14ac:dyDescent="0.25">
      <c r="A3342" s="31"/>
      <c r="B3342" s="16"/>
      <c r="C3342" s="16"/>
      <c r="D3342" s="33"/>
      <c r="E3342" s="33"/>
      <c r="F3342" s="33"/>
      <c r="G3342" s="33"/>
      <c r="H3342" s="33"/>
      <c r="I3342" s="31"/>
      <c r="J3342" s="31"/>
      <c r="K3342" s="33"/>
      <c r="L3342" s="33"/>
      <c r="M3342" s="31"/>
      <c r="N3342" s="31"/>
      <c r="O3342" s="16"/>
      <c r="P3342" s="16"/>
      <c r="Q3342" s="16"/>
      <c r="R3342" s="33"/>
      <c r="S3342" s="34"/>
      <c r="T3342" s="34"/>
      <c r="U3342" s="34"/>
      <c r="V3342" s="34"/>
      <c r="W3342" s="34"/>
      <c r="X3342" s="33"/>
      <c r="Y3342" s="35" t="str">
        <f>IF(Tabela2[[#This Row],[SIGLA]]="","",VLOOKUP(Tabela2[[#This Row],[SIGLA]],Tabela1[[#All],[Sigla Arte]:[Crédito]],2,0))</f>
        <v/>
      </c>
      <c r="Z3342" s="31"/>
      <c r="AA3342" s="31" t="str">
        <f>Tabela2[[#This Row],[ILUSTRADOR CRIAÇÃO]]</f>
        <v/>
      </c>
      <c r="AB3342" s="33"/>
      <c r="AC3342" s="16"/>
      <c r="AE3342" s="35" t="str">
        <f t="shared" si="53"/>
        <v>EF1 E002 Mat</v>
      </c>
    </row>
    <row r="3343" spans="1:31" x14ac:dyDescent="0.25">
      <c r="A3343" s="31"/>
      <c r="B3343" s="16"/>
      <c r="C3343" s="16"/>
      <c r="D3343" s="33"/>
      <c r="E3343" s="33"/>
      <c r="F3343" s="33"/>
      <c r="G3343" s="33"/>
      <c r="H3343" s="33"/>
      <c r="I3343" s="31"/>
      <c r="J3343" s="31"/>
      <c r="K3343" s="33"/>
      <c r="L3343" s="33"/>
      <c r="M3343" s="31"/>
      <c r="N3343" s="31"/>
      <c r="O3343" s="16"/>
      <c r="P3343" s="16"/>
      <c r="Q3343" s="16"/>
      <c r="R3343" s="33"/>
      <c r="S3343" s="34"/>
      <c r="T3343" s="34"/>
      <c r="U3343" s="34"/>
      <c r="V3343" s="34"/>
      <c r="W3343" s="34"/>
      <c r="X3343" s="33"/>
      <c r="Y3343" s="35" t="str">
        <f>IF(Tabela2[[#This Row],[SIGLA]]="","",VLOOKUP(Tabela2[[#This Row],[SIGLA]],Tabela1[[#All],[Sigla Arte]:[Crédito]],2,0))</f>
        <v/>
      </c>
      <c r="Z3343" s="31"/>
      <c r="AA3343" s="31" t="str">
        <f>Tabela2[[#This Row],[ILUSTRADOR CRIAÇÃO]]</f>
        <v/>
      </c>
      <c r="AB3343" s="33"/>
      <c r="AC3343" s="16"/>
      <c r="AE3343" s="35" t="str">
        <f t="shared" si="53"/>
        <v>EF1 E002 Mat</v>
      </c>
    </row>
    <row r="3344" spans="1:31" x14ac:dyDescent="0.25">
      <c r="A3344" s="31"/>
      <c r="B3344" s="16"/>
      <c r="C3344" s="16"/>
      <c r="D3344" s="33"/>
      <c r="E3344" s="33"/>
      <c r="F3344" s="33"/>
      <c r="G3344" s="33"/>
      <c r="H3344" s="33"/>
      <c r="I3344" s="31"/>
      <c r="J3344" s="31"/>
      <c r="K3344" s="33"/>
      <c r="L3344" s="33"/>
      <c r="M3344" s="31"/>
      <c r="N3344" s="31"/>
      <c r="O3344" s="16"/>
      <c r="P3344" s="16"/>
      <c r="Q3344" s="16"/>
      <c r="R3344" s="33"/>
      <c r="S3344" s="34"/>
      <c r="T3344" s="34"/>
      <c r="U3344" s="34"/>
      <c r="V3344" s="34"/>
      <c r="W3344" s="34"/>
      <c r="X3344" s="33"/>
      <c r="Y3344" s="35" t="str">
        <f>IF(Tabela2[[#This Row],[SIGLA]]="","",VLOOKUP(Tabela2[[#This Row],[SIGLA]],Tabela1[[#All],[Sigla Arte]:[Crédito]],2,0))</f>
        <v/>
      </c>
      <c r="Z3344" s="31"/>
      <c r="AA3344" s="31" t="str">
        <f>Tabela2[[#This Row],[ILUSTRADOR CRIAÇÃO]]</f>
        <v/>
      </c>
      <c r="AB3344" s="33"/>
      <c r="AC3344" s="16"/>
      <c r="AE3344" s="35" t="str">
        <f t="shared" si="53"/>
        <v>EF1 E002 Mat</v>
      </c>
    </row>
    <row r="3345" spans="1:31" x14ac:dyDescent="0.25">
      <c r="A3345" s="31"/>
      <c r="B3345" s="16"/>
      <c r="C3345" s="16"/>
      <c r="D3345" s="33"/>
      <c r="E3345" s="33"/>
      <c r="F3345" s="33"/>
      <c r="G3345" s="33"/>
      <c r="H3345" s="33"/>
      <c r="I3345" s="31"/>
      <c r="J3345" s="31"/>
      <c r="K3345" s="33"/>
      <c r="L3345" s="33"/>
      <c r="M3345" s="31"/>
      <c r="N3345" s="31"/>
      <c r="O3345" s="16"/>
      <c r="P3345" s="16"/>
      <c r="Q3345" s="16"/>
      <c r="R3345" s="33"/>
      <c r="S3345" s="34"/>
      <c r="T3345" s="34"/>
      <c r="U3345" s="34"/>
      <c r="V3345" s="34"/>
      <c r="W3345" s="34"/>
      <c r="X3345" s="33"/>
      <c r="Y3345" s="35" t="str">
        <f>IF(Tabela2[[#This Row],[SIGLA]]="","",VLOOKUP(Tabela2[[#This Row],[SIGLA]],Tabela1[[#All],[Sigla Arte]:[Crédito]],2,0))</f>
        <v/>
      </c>
      <c r="Z3345" s="31"/>
      <c r="AA3345" s="31" t="str">
        <f>Tabela2[[#This Row],[ILUSTRADOR CRIAÇÃO]]</f>
        <v/>
      </c>
      <c r="AB3345" s="33"/>
      <c r="AC3345" s="16"/>
      <c r="AE3345" s="35" t="str">
        <f t="shared" si="53"/>
        <v>EF1 E002 Mat</v>
      </c>
    </row>
    <row r="3346" spans="1:31" x14ac:dyDescent="0.25">
      <c r="A3346" s="31"/>
      <c r="B3346" s="16"/>
      <c r="C3346" s="16"/>
      <c r="D3346" s="33"/>
      <c r="E3346" s="33"/>
      <c r="F3346" s="33"/>
      <c r="G3346" s="33"/>
      <c r="H3346" s="33"/>
      <c r="I3346" s="31"/>
      <c r="J3346" s="31"/>
      <c r="K3346" s="33"/>
      <c r="L3346" s="33"/>
      <c r="M3346" s="31"/>
      <c r="N3346" s="31"/>
      <c r="O3346" s="16"/>
      <c r="P3346" s="16"/>
      <c r="Q3346" s="16"/>
      <c r="R3346" s="33"/>
      <c r="S3346" s="34"/>
      <c r="T3346" s="34"/>
      <c r="U3346" s="34"/>
      <c r="V3346" s="34"/>
      <c r="W3346" s="34"/>
      <c r="X3346" s="33"/>
      <c r="Y3346" s="35" t="str">
        <f>IF(Tabela2[[#This Row],[SIGLA]]="","",VLOOKUP(Tabela2[[#This Row],[SIGLA]],Tabela1[[#All],[Sigla Arte]:[Crédito]],2,0))</f>
        <v/>
      </c>
      <c r="Z3346" s="31"/>
      <c r="AA3346" s="31" t="str">
        <f>Tabela2[[#This Row],[ILUSTRADOR CRIAÇÃO]]</f>
        <v/>
      </c>
      <c r="AB3346" s="33"/>
      <c r="AC3346" s="16"/>
      <c r="AE3346" s="35" t="str">
        <f t="shared" si="53"/>
        <v>EF1 E002 Mat</v>
      </c>
    </row>
    <row r="3347" spans="1:31" x14ac:dyDescent="0.25">
      <c r="A3347" s="31"/>
      <c r="B3347" s="16"/>
      <c r="C3347" s="16"/>
      <c r="D3347" s="33"/>
      <c r="E3347" s="33"/>
      <c r="F3347" s="33"/>
      <c r="G3347" s="33"/>
      <c r="H3347" s="33"/>
      <c r="I3347" s="31"/>
      <c r="J3347" s="31"/>
      <c r="K3347" s="33"/>
      <c r="L3347" s="33"/>
      <c r="M3347" s="31"/>
      <c r="N3347" s="31"/>
      <c r="O3347" s="16"/>
      <c r="P3347" s="16"/>
      <c r="Q3347" s="16"/>
      <c r="R3347" s="33"/>
      <c r="S3347" s="34"/>
      <c r="T3347" s="34"/>
      <c r="U3347" s="34"/>
      <c r="V3347" s="34"/>
      <c r="W3347" s="34"/>
      <c r="X3347" s="33"/>
      <c r="Y3347" s="35" t="str">
        <f>IF(Tabela2[[#This Row],[SIGLA]]="","",VLOOKUP(Tabela2[[#This Row],[SIGLA]],Tabela1[[#All],[Sigla Arte]:[Crédito]],2,0))</f>
        <v/>
      </c>
      <c r="Z3347" s="31"/>
      <c r="AA3347" s="31" t="str">
        <f>Tabela2[[#This Row],[ILUSTRADOR CRIAÇÃO]]</f>
        <v/>
      </c>
      <c r="AB3347" s="33"/>
      <c r="AC3347" s="16"/>
      <c r="AE3347" s="35" t="str">
        <f t="shared" si="53"/>
        <v>EF1 E002 Mat</v>
      </c>
    </row>
    <row r="3348" spans="1:31" x14ac:dyDescent="0.25">
      <c r="A3348" s="31"/>
      <c r="B3348" s="16"/>
      <c r="C3348" s="16"/>
      <c r="D3348" s="33"/>
      <c r="E3348" s="33"/>
      <c r="F3348" s="33"/>
      <c r="G3348" s="33"/>
      <c r="H3348" s="33"/>
      <c r="I3348" s="31"/>
      <c r="J3348" s="31"/>
      <c r="K3348" s="33"/>
      <c r="L3348" s="33"/>
      <c r="M3348" s="31"/>
      <c r="N3348" s="31"/>
      <c r="O3348" s="16"/>
      <c r="P3348" s="16"/>
      <c r="Q3348" s="16"/>
      <c r="R3348" s="33"/>
      <c r="S3348" s="34"/>
      <c r="T3348" s="34"/>
      <c r="U3348" s="34"/>
      <c r="V3348" s="34"/>
      <c r="W3348" s="34"/>
      <c r="X3348" s="33"/>
      <c r="Y3348" s="35" t="str">
        <f>IF(Tabela2[[#This Row],[SIGLA]]="","",VLOOKUP(Tabela2[[#This Row],[SIGLA]],Tabela1[[#All],[Sigla Arte]:[Crédito]],2,0))</f>
        <v/>
      </c>
      <c r="Z3348" s="31"/>
      <c r="AA3348" s="31" t="str">
        <f>Tabela2[[#This Row],[ILUSTRADOR CRIAÇÃO]]</f>
        <v/>
      </c>
      <c r="AB3348" s="33"/>
      <c r="AC3348" s="16"/>
      <c r="AE3348" s="35" t="str">
        <f t="shared" si="53"/>
        <v>EF1 E002 Mat</v>
      </c>
    </row>
    <row r="3349" spans="1:31" x14ac:dyDescent="0.25">
      <c r="A3349" s="31"/>
      <c r="B3349" s="16"/>
      <c r="C3349" s="16"/>
      <c r="D3349" s="33"/>
      <c r="E3349" s="33"/>
      <c r="F3349" s="33"/>
      <c r="G3349" s="33"/>
      <c r="H3349" s="33"/>
      <c r="I3349" s="31"/>
      <c r="J3349" s="31"/>
      <c r="K3349" s="33"/>
      <c r="L3349" s="33"/>
      <c r="M3349" s="31"/>
      <c r="N3349" s="31"/>
      <c r="O3349" s="16"/>
      <c r="P3349" s="16"/>
      <c r="Q3349" s="16"/>
      <c r="R3349" s="33"/>
      <c r="S3349" s="34"/>
      <c r="T3349" s="34"/>
      <c r="U3349" s="34"/>
      <c r="V3349" s="34"/>
      <c r="W3349" s="34"/>
      <c r="X3349" s="33"/>
      <c r="Y3349" s="35" t="str">
        <f>IF(Tabela2[[#This Row],[SIGLA]]="","",VLOOKUP(Tabela2[[#This Row],[SIGLA]],Tabela1[[#All],[Sigla Arte]:[Crédito]],2,0))</f>
        <v/>
      </c>
      <c r="Z3349" s="31"/>
      <c r="AA3349" s="31" t="str">
        <f>Tabela2[[#This Row],[ILUSTRADOR CRIAÇÃO]]</f>
        <v/>
      </c>
      <c r="AB3349" s="33"/>
      <c r="AC3349" s="16"/>
      <c r="AE3349" s="35" t="str">
        <f t="shared" si="53"/>
        <v>EF1 E002 Mat</v>
      </c>
    </row>
    <row r="3350" spans="1:31" x14ac:dyDescent="0.25">
      <c r="A3350" s="31"/>
      <c r="B3350" s="16"/>
      <c r="C3350" s="16"/>
      <c r="D3350" s="33"/>
      <c r="E3350" s="33"/>
      <c r="F3350" s="33"/>
      <c r="G3350" s="33"/>
      <c r="H3350" s="33"/>
      <c r="I3350" s="31"/>
      <c r="J3350" s="31"/>
      <c r="K3350" s="33"/>
      <c r="L3350" s="33"/>
      <c r="M3350" s="31"/>
      <c r="N3350" s="31"/>
      <c r="O3350" s="16"/>
      <c r="P3350" s="16"/>
      <c r="Q3350" s="16"/>
      <c r="R3350" s="33"/>
      <c r="S3350" s="34"/>
      <c r="T3350" s="34"/>
      <c r="U3350" s="34"/>
      <c r="V3350" s="34"/>
      <c r="W3350" s="34"/>
      <c r="X3350" s="33"/>
      <c r="Y3350" s="35" t="str">
        <f>IF(Tabela2[[#This Row],[SIGLA]]="","",VLOOKUP(Tabela2[[#This Row],[SIGLA]],Tabela1[[#All],[Sigla Arte]:[Crédito]],2,0))</f>
        <v/>
      </c>
      <c r="Z3350" s="31"/>
      <c r="AA3350" s="31" t="str">
        <f>Tabela2[[#This Row],[ILUSTRADOR CRIAÇÃO]]</f>
        <v/>
      </c>
      <c r="AB3350" s="33"/>
      <c r="AC3350" s="16"/>
      <c r="AE3350" s="35" t="str">
        <f t="shared" si="53"/>
        <v>EF1 E002 Mat</v>
      </c>
    </row>
    <row r="3351" spans="1:31" x14ac:dyDescent="0.25">
      <c r="A3351" s="31"/>
      <c r="B3351" s="16"/>
      <c r="C3351" s="16"/>
      <c r="D3351" s="33"/>
      <c r="E3351" s="33"/>
      <c r="F3351" s="33"/>
      <c r="G3351" s="33"/>
      <c r="H3351" s="33"/>
      <c r="I3351" s="31"/>
      <c r="J3351" s="31"/>
      <c r="K3351" s="33"/>
      <c r="L3351" s="33"/>
      <c r="M3351" s="31"/>
      <c r="N3351" s="31"/>
      <c r="O3351" s="16"/>
      <c r="P3351" s="16"/>
      <c r="Q3351" s="16"/>
      <c r="R3351" s="33"/>
      <c r="S3351" s="34"/>
      <c r="T3351" s="34"/>
      <c r="U3351" s="34"/>
      <c r="V3351" s="34"/>
      <c r="W3351" s="34"/>
      <c r="X3351" s="33"/>
      <c r="Y3351" s="35" t="str">
        <f>IF(Tabela2[[#This Row],[SIGLA]]="","",VLOOKUP(Tabela2[[#This Row],[SIGLA]],Tabela1[[#All],[Sigla Arte]:[Crédito]],2,0))</f>
        <v/>
      </c>
      <c r="Z3351" s="31"/>
      <c r="AA3351" s="31" t="str">
        <f>Tabela2[[#This Row],[ILUSTRADOR CRIAÇÃO]]</f>
        <v/>
      </c>
      <c r="AB3351" s="33"/>
      <c r="AC3351" s="16"/>
      <c r="AE3351" s="35" t="str">
        <f t="shared" si="53"/>
        <v>EF1 E002 Mat</v>
      </c>
    </row>
    <row r="3352" spans="1:31" x14ac:dyDescent="0.25">
      <c r="A3352" s="31"/>
      <c r="B3352" s="16"/>
      <c r="C3352" s="16"/>
      <c r="D3352" s="33"/>
      <c r="E3352" s="33"/>
      <c r="F3352" s="33"/>
      <c r="G3352" s="33"/>
      <c r="H3352" s="33"/>
      <c r="I3352" s="31"/>
      <c r="J3352" s="31"/>
      <c r="K3352" s="33"/>
      <c r="L3352" s="33"/>
      <c r="M3352" s="31"/>
      <c r="N3352" s="31"/>
      <c r="O3352" s="16"/>
      <c r="P3352" s="16"/>
      <c r="Q3352" s="16"/>
      <c r="R3352" s="33"/>
      <c r="S3352" s="34"/>
      <c r="T3352" s="34"/>
      <c r="U3352" s="34"/>
      <c r="V3352" s="34"/>
      <c r="W3352" s="34"/>
      <c r="X3352" s="33"/>
      <c r="Y3352" s="35" t="str">
        <f>IF(Tabela2[[#This Row],[SIGLA]]="","",VLOOKUP(Tabela2[[#This Row],[SIGLA]],Tabela1[[#All],[Sigla Arte]:[Crédito]],2,0))</f>
        <v/>
      </c>
      <c r="Z3352" s="31"/>
      <c r="AA3352" s="31" t="str">
        <f>Tabela2[[#This Row],[ILUSTRADOR CRIAÇÃO]]</f>
        <v/>
      </c>
      <c r="AB3352" s="33"/>
      <c r="AC3352" s="16"/>
      <c r="AE3352" s="35" t="str">
        <f t="shared" si="53"/>
        <v>EF1 E002 Mat</v>
      </c>
    </row>
    <row r="3353" spans="1:31" x14ac:dyDescent="0.25">
      <c r="A3353" s="31"/>
      <c r="B3353" s="16"/>
      <c r="C3353" s="16"/>
      <c r="D3353" s="33"/>
      <c r="E3353" s="33"/>
      <c r="F3353" s="33"/>
      <c r="G3353" s="33"/>
      <c r="H3353" s="33"/>
      <c r="I3353" s="31"/>
      <c r="J3353" s="31"/>
      <c r="K3353" s="33"/>
      <c r="L3353" s="33"/>
      <c r="M3353" s="31"/>
      <c r="N3353" s="31"/>
      <c r="O3353" s="16"/>
      <c r="P3353" s="16"/>
      <c r="Q3353" s="16"/>
      <c r="R3353" s="33"/>
      <c r="S3353" s="34"/>
      <c r="T3353" s="34"/>
      <c r="U3353" s="34"/>
      <c r="V3353" s="34"/>
      <c r="W3353" s="34"/>
      <c r="X3353" s="33"/>
      <c r="Y3353" s="35" t="str">
        <f>IF(Tabela2[[#This Row],[SIGLA]]="","",VLOOKUP(Tabela2[[#This Row],[SIGLA]],Tabela1[[#All],[Sigla Arte]:[Crédito]],2,0))</f>
        <v/>
      </c>
      <c r="Z3353" s="31"/>
      <c r="AA3353" s="31" t="str">
        <f>Tabela2[[#This Row],[ILUSTRADOR CRIAÇÃO]]</f>
        <v/>
      </c>
      <c r="AB3353" s="33"/>
      <c r="AC3353" s="16"/>
      <c r="AE3353" s="35" t="str">
        <f t="shared" si="53"/>
        <v>EF1 E002 Mat</v>
      </c>
    </row>
    <row r="3354" spans="1:31" x14ac:dyDescent="0.25">
      <c r="A3354" s="31"/>
      <c r="B3354" s="16"/>
      <c r="C3354" s="16"/>
      <c r="D3354" s="33"/>
      <c r="E3354" s="33"/>
      <c r="F3354" s="33"/>
      <c r="G3354" s="33"/>
      <c r="H3354" s="33"/>
      <c r="I3354" s="31"/>
      <c r="J3354" s="31"/>
      <c r="K3354" s="33"/>
      <c r="L3354" s="33"/>
      <c r="M3354" s="31"/>
      <c r="N3354" s="31"/>
      <c r="O3354" s="16"/>
      <c r="P3354" s="16"/>
      <c r="Q3354" s="16"/>
      <c r="R3354" s="33"/>
      <c r="S3354" s="34"/>
      <c r="T3354" s="34"/>
      <c r="U3354" s="34"/>
      <c r="V3354" s="34"/>
      <c r="W3354" s="34"/>
      <c r="X3354" s="33"/>
      <c r="Y3354" s="35" t="str">
        <f>IF(Tabela2[[#This Row],[SIGLA]]="","",VLOOKUP(Tabela2[[#This Row],[SIGLA]],Tabela1[[#All],[Sigla Arte]:[Crédito]],2,0))</f>
        <v/>
      </c>
      <c r="Z3354" s="31"/>
      <c r="AA3354" s="31" t="str">
        <f>Tabela2[[#This Row],[ILUSTRADOR CRIAÇÃO]]</f>
        <v/>
      </c>
      <c r="AB3354" s="33"/>
      <c r="AC3354" s="16"/>
      <c r="AE3354" s="35" t="str">
        <f t="shared" si="53"/>
        <v>EF1 E002 Mat</v>
      </c>
    </row>
    <row r="3355" spans="1:31" x14ac:dyDescent="0.25">
      <c r="A3355" s="31"/>
      <c r="B3355" s="16"/>
      <c r="C3355" s="16"/>
      <c r="D3355" s="33"/>
      <c r="E3355" s="33"/>
      <c r="F3355" s="33"/>
      <c r="G3355" s="33"/>
      <c r="H3355" s="33"/>
      <c r="I3355" s="31"/>
      <c r="J3355" s="31"/>
      <c r="K3355" s="33"/>
      <c r="L3355" s="33"/>
      <c r="M3355" s="31"/>
      <c r="N3355" s="31"/>
      <c r="O3355" s="16"/>
      <c r="P3355" s="16"/>
      <c r="Q3355" s="16"/>
      <c r="R3355" s="33"/>
      <c r="S3355" s="34"/>
      <c r="T3355" s="34"/>
      <c r="U3355" s="34"/>
      <c r="V3355" s="34"/>
      <c r="W3355" s="34"/>
      <c r="X3355" s="33"/>
      <c r="Y3355" s="35" t="str">
        <f>IF(Tabela2[[#This Row],[SIGLA]]="","",VLOOKUP(Tabela2[[#This Row],[SIGLA]],Tabela1[[#All],[Sigla Arte]:[Crédito]],2,0))</f>
        <v/>
      </c>
      <c r="Z3355" s="31"/>
      <c r="AA3355" s="31" t="str">
        <f>Tabela2[[#This Row],[ILUSTRADOR CRIAÇÃO]]</f>
        <v/>
      </c>
      <c r="AB3355" s="33"/>
      <c r="AC3355" s="16"/>
      <c r="AE3355" s="35" t="str">
        <f t="shared" si="53"/>
        <v>EF1 E002 Mat</v>
      </c>
    </row>
    <row r="3356" spans="1:31" x14ac:dyDescent="0.25">
      <c r="A3356" s="31"/>
      <c r="B3356" s="16"/>
      <c r="C3356" s="16"/>
      <c r="D3356" s="33"/>
      <c r="E3356" s="33"/>
      <c r="F3356" s="33"/>
      <c r="G3356" s="33"/>
      <c r="H3356" s="33"/>
      <c r="I3356" s="31"/>
      <c r="J3356" s="31"/>
      <c r="K3356" s="33"/>
      <c r="L3356" s="33"/>
      <c r="M3356" s="31"/>
      <c r="N3356" s="31"/>
      <c r="O3356" s="16"/>
      <c r="P3356" s="16"/>
      <c r="Q3356" s="16"/>
      <c r="R3356" s="33"/>
      <c r="S3356" s="34"/>
      <c r="T3356" s="34"/>
      <c r="U3356" s="34"/>
      <c r="V3356" s="34"/>
      <c r="W3356" s="34"/>
      <c r="X3356" s="33"/>
      <c r="Y3356" s="35" t="str">
        <f>IF(Tabela2[[#This Row],[SIGLA]]="","",VLOOKUP(Tabela2[[#This Row],[SIGLA]],Tabela1[[#All],[Sigla Arte]:[Crédito]],2,0))</f>
        <v/>
      </c>
      <c r="Z3356" s="31"/>
      <c r="AA3356" s="31" t="str">
        <f>Tabela2[[#This Row],[ILUSTRADOR CRIAÇÃO]]</f>
        <v/>
      </c>
      <c r="AB3356" s="33"/>
      <c r="AC3356" s="16"/>
      <c r="AE3356" s="35" t="str">
        <f t="shared" si="53"/>
        <v>EF1 E002 Mat</v>
      </c>
    </row>
    <row r="3357" spans="1:31" x14ac:dyDescent="0.25">
      <c r="A3357" s="31"/>
      <c r="B3357" s="16"/>
      <c r="C3357" s="16"/>
      <c r="D3357" s="33"/>
      <c r="E3357" s="33"/>
      <c r="F3357" s="33"/>
      <c r="G3357" s="33"/>
      <c r="H3357" s="33"/>
      <c r="I3357" s="31"/>
      <c r="J3357" s="31"/>
      <c r="K3357" s="33"/>
      <c r="L3357" s="33"/>
      <c r="M3357" s="31"/>
      <c r="N3357" s="31"/>
      <c r="O3357" s="16"/>
      <c r="P3357" s="16"/>
      <c r="Q3357" s="16"/>
      <c r="R3357" s="33"/>
      <c r="S3357" s="34"/>
      <c r="T3357" s="34"/>
      <c r="U3357" s="34"/>
      <c r="V3357" s="34"/>
      <c r="W3357" s="34"/>
      <c r="X3357" s="33"/>
      <c r="Y3357" s="35" t="str">
        <f>IF(Tabela2[[#This Row],[SIGLA]]="","",VLOOKUP(Tabela2[[#This Row],[SIGLA]],Tabela1[[#All],[Sigla Arte]:[Crédito]],2,0))</f>
        <v/>
      </c>
      <c r="Z3357" s="31"/>
      <c r="AA3357" s="31" t="str">
        <f>Tabela2[[#This Row],[ILUSTRADOR CRIAÇÃO]]</f>
        <v/>
      </c>
      <c r="AB3357" s="33"/>
      <c r="AC3357" s="16"/>
      <c r="AE3357" s="35" t="str">
        <f t="shared" si="53"/>
        <v>EF1 E002 Mat</v>
      </c>
    </row>
    <row r="3358" spans="1:31" x14ac:dyDescent="0.25">
      <c r="A3358" s="31"/>
      <c r="B3358" s="16"/>
      <c r="C3358" s="16"/>
      <c r="D3358" s="33"/>
      <c r="E3358" s="33"/>
      <c r="F3358" s="33"/>
      <c r="G3358" s="33"/>
      <c r="H3358" s="33"/>
      <c r="I3358" s="31"/>
      <c r="J3358" s="31"/>
      <c r="K3358" s="33"/>
      <c r="L3358" s="33"/>
      <c r="M3358" s="31"/>
      <c r="N3358" s="31"/>
      <c r="O3358" s="16"/>
      <c r="P3358" s="16"/>
      <c r="Q3358" s="16"/>
      <c r="R3358" s="33"/>
      <c r="S3358" s="34"/>
      <c r="T3358" s="34"/>
      <c r="U3358" s="34"/>
      <c r="V3358" s="34"/>
      <c r="W3358" s="34"/>
      <c r="X3358" s="33"/>
      <c r="Y3358" s="35" t="str">
        <f>IF(Tabela2[[#This Row],[SIGLA]]="","",VLOOKUP(Tabela2[[#This Row],[SIGLA]],Tabela1[[#All],[Sigla Arte]:[Crédito]],2,0))</f>
        <v/>
      </c>
      <c r="Z3358" s="31"/>
      <c r="AA3358" s="31" t="str">
        <f>Tabela2[[#This Row],[ILUSTRADOR CRIAÇÃO]]</f>
        <v/>
      </c>
      <c r="AB3358" s="33"/>
      <c r="AC3358" s="16"/>
      <c r="AE3358" s="35" t="str">
        <f t="shared" si="53"/>
        <v>EF1 E002 Mat</v>
      </c>
    </row>
    <row r="3359" spans="1:31" x14ac:dyDescent="0.25">
      <c r="A3359" s="31"/>
      <c r="B3359" s="16"/>
      <c r="C3359" s="16"/>
      <c r="D3359" s="33"/>
      <c r="E3359" s="33"/>
      <c r="F3359" s="33"/>
      <c r="G3359" s="33"/>
      <c r="H3359" s="33"/>
      <c r="I3359" s="31"/>
      <c r="J3359" s="31"/>
      <c r="K3359" s="33"/>
      <c r="L3359" s="33"/>
      <c r="M3359" s="31"/>
      <c r="N3359" s="31"/>
      <c r="O3359" s="16"/>
      <c r="P3359" s="16"/>
      <c r="Q3359" s="16"/>
      <c r="R3359" s="33"/>
      <c r="S3359" s="34"/>
      <c r="T3359" s="34"/>
      <c r="U3359" s="34"/>
      <c r="V3359" s="34"/>
      <c r="W3359" s="34"/>
      <c r="X3359" s="33"/>
      <c r="Y3359" s="35" t="str">
        <f>IF(Tabela2[[#This Row],[SIGLA]]="","",VLOOKUP(Tabela2[[#This Row],[SIGLA]],Tabela1[[#All],[Sigla Arte]:[Crédito]],2,0))</f>
        <v/>
      </c>
      <c r="Z3359" s="31"/>
      <c r="AA3359" s="31" t="str">
        <f>Tabela2[[#This Row],[ILUSTRADOR CRIAÇÃO]]</f>
        <v/>
      </c>
      <c r="AB3359" s="33"/>
      <c r="AC3359" s="16"/>
      <c r="AE3359" s="35" t="str">
        <f t="shared" si="53"/>
        <v>EF1 E002 Mat</v>
      </c>
    </row>
    <row r="3360" spans="1:31" x14ac:dyDescent="0.25">
      <c r="A3360" s="31"/>
      <c r="B3360" s="16"/>
      <c r="C3360" s="16"/>
      <c r="D3360" s="33"/>
      <c r="E3360" s="33"/>
      <c r="F3360" s="33"/>
      <c r="G3360" s="33"/>
      <c r="H3360" s="33"/>
      <c r="I3360" s="31"/>
      <c r="J3360" s="31"/>
      <c r="K3360" s="33"/>
      <c r="L3360" s="33"/>
      <c r="M3360" s="31"/>
      <c r="N3360" s="31"/>
      <c r="O3360" s="16"/>
      <c r="P3360" s="16"/>
      <c r="Q3360" s="16"/>
      <c r="R3360" s="33"/>
      <c r="S3360" s="34"/>
      <c r="T3360" s="34"/>
      <c r="U3360" s="34"/>
      <c r="V3360" s="34"/>
      <c r="W3360" s="34"/>
      <c r="X3360" s="33"/>
      <c r="Y3360" s="35" t="str">
        <f>IF(Tabela2[[#This Row],[SIGLA]]="","",VLOOKUP(Tabela2[[#This Row],[SIGLA]],Tabela1[[#All],[Sigla Arte]:[Crédito]],2,0))</f>
        <v/>
      </c>
      <c r="Z3360" s="31"/>
      <c r="AA3360" s="31" t="str">
        <f>Tabela2[[#This Row],[ILUSTRADOR CRIAÇÃO]]</f>
        <v/>
      </c>
      <c r="AB3360" s="33"/>
      <c r="AC3360" s="16"/>
      <c r="AE3360" s="35" t="str">
        <f t="shared" si="53"/>
        <v>EF1 E002 Mat</v>
      </c>
    </row>
    <row r="3361" spans="1:31" x14ac:dyDescent="0.25">
      <c r="A3361" s="31"/>
      <c r="B3361" s="16"/>
      <c r="C3361" s="16"/>
      <c r="D3361" s="33"/>
      <c r="E3361" s="33"/>
      <c r="F3361" s="33"/>
      <c r="G3361" s="33"/>
      <c r="H3361" s="33"/>
      <c r="I3361" s="31"/>
      <c r="J3361" s="31"/>
      <c r="K3361" s="33"/>
      <c r="L3361" s="33"/>
      <c r="M3361" s="31"/>
      <c r="N3361" s="31"/>
      <c r="O3361" s="16"/>
      <c r="P3361" s="16"/>
      <c r="Q3361" s="16"/>
      <c r="R3361" s="33"/>
      <c r="S3361" s="34"/>
      <c r="T3361" s="34"/>
      <c r="U3361" s="34"/>
      <c r="V3361" s="34"/>
      <c r="W3361" s="34"/>
      <c r="X3361" s="33"/>
      <c r="Y3361" s="35" t="str">
        <f>IF(Tabela2[[#This Row],[SIGLA]]="","",VLOOKUP(Tabela2[[#This Row],[SIGLA]],Tabela1[[#All],[Sigla Arte]:[Crédito]],2,0))</f>
        <v/>
      </c>
      <c r="Z3361" s="31"/>
      <c r="AA3361" s="31" t="str">
        <f>Tabela2[[#This Row],[ILUSTRADOR CRIAÇÃO]]</f>
        <v/>
      </c>
      <c r="AB3361" s="33"/>
      <c r="AC3361" s="16"/>
      <c r="AE3361" s="35" t="str">
        <f t="shared" si="53"/>
        <v>EF1 E002 Mat</v>
      </c>
    </row>
    <row r="3362" spans="1:31" x14ac:dyDescent="0.25">
      <c r="A3362" s="31"/>
      <c r="B3362" s="16"/>
      <c r="C3362" s="16"/>
      <c r="D3362" s="33"/>
      <c r="E3362" s="33"/>
      <c r="F3362" s="33"/>
      <c r="G3362" s="33"/>
      <c r="H3362" s="33"/>
      <c r="I3362" s="31"/>
      <c r="J3362" s="31"/>
      <c r="K3362" s="33"/>
      <c r="L3362" s="33"/>
      <c r="M3362" s="31"/>
      <c r="N3362" s="31"/>
      <c r="O3362" s="16"/>
      <c r="P3362" s="16"/>
      <c r="Q3362" s="16"/>
      <c r="R3362" s="33"/>
      <c r="S3362" s="34"/>
      <c r="T3362" s="34"/>
      <c r="U3362" s="34"/>
      <c r="V3362" s="34"/>
      <c r="W3362" s="34"/>
      <c r="X3362" s="33"/>
      <c r="Y3362" s="35" t="str">
        <f>IF(Tabela2[[#This Row],[SIGLA]]="","",VLOOKUP(Tabela2[[#This Row],[SIGLA]],Tabela1[[#All],[Sigla Arte]:[Crédito]],2,0))</f>
        <v/>
      </c>
      <c r="Z3362" s="31"/>
      <c r="AA3362" s="31" t="str">
        <f>Tabela2[[#This Row],[ILUSTRADOR CRIAÇÃO]]</f>
        <v/>
      </c>
      <c r="AB3362" s="33"/>
      <c r="AC3362" s="16"/>
      <c r="AE3362" s="35" t="str">
        <f t="shared" si="53"/>
        <v>EF1 E002 Mat</v>
      </c>
    </row>
    <row r="3363" spans="1:31" x14ac:dyDescent="0.25">
      <c r="A3363" s="31"/>
      <c r="B3363" s="16"/>
      <c r="C3363" s="16"/>
      <c r="D3363" s="33"/>
      <c r="E3363" s="33"/>
      <c r="F3363" s="33"/>
      <c r="G3363" s="33"/>
      <c r="H3363" s="33"/>
      <c r="I3363" s="31"/>
      <c r="J3363" s="31"/>
      <c r="K3363" s="33"/>
      <c r="L3363" s="33"/>
      <c r="M3363" s="31"/>
      <c r="N3363" s="31"/>
      <c r="O3363" s="16"/>
      <c r="P3363" s="16"/>
      <c r="Q3363" s="16"/>
      <c r="R3363" s="33"/>
      <c r="S3363" s="34"/>
      <c r="T3363" s="34"/>
      <c r="U3363" s="34"/>
      <c r="V3363" s="34"/>
      <c r="W3363" s="34"/>
      <c r="X3363" s="33"/>
      <c r="Y3363" s="35" t="str">
        <f>IF(Tabela2[[#This Row],[SIGLA]]="","",VLOOKUP(Tabela2[[#This Row],[SIGLA]],Tabela1[[#All],[Sigla Arte]:[Crédito]],2,0))</f>
        <v/>
      </c>
      <c r="Z3363" s="31"/>
      <c r="AA3363" s="31" t="str">
        <f>Tabela2[[#This Row],[ILUSTRADOR CRIAÇÃO]]</f>
        <v/>
      </c>
      <c r="AB3363" s="33"/>
      <c r="AC3363" s="16"/>
      <c r="AE3363" s="35" t="str">
        <f t="shared" si="53"/>
        <v>EF1 E002 Mat</v>
      </c>
    </row>
    <row r="3364" spans="1:31" x14ac:dyDescent="0.25">
      <c r="A3364" s="31"/>
      <c r="B3364" s="16"/>
      <c r="C3364" s="16"/>
      <c r="D3364" s="33"/>
      <c r="E3364" s="33"/>
      <c r="F3364" s="33"/>
      <c r="G3364" s="33"/>
      <c r="H3364" s="33"/>
      <c r="I3364" s="31"/>
      <c r="J3364" s="31"/>
      <c r="K3364" s="33"/>
      <c r="L3364" s="33"/>
      <c r="M3364" s="31"/>
      <c r="N3364" s="31"/>
      <c r="O3364" s="16"/>
      <c r="P3364" s="16"/>
      <c r="Q3364" s="16"/>
      <c r="R3364" s="33"/>
      <c r="S3364" s="34"/>
      <c r="T3364" s="34"/>
      <c r="U3364" s="34"/>
      <c r="V3364" s="34"/>
      <c r="W3364" s="34"/>
      <c r="X3364" s="33"/>
      <c r="Y3364" s="35" t="str">
        <f>IF(Tabela2[[#This Row],[SIGLA]]="","",VLOOKUP(Tabela2[[#This Row],[SIGLA]],Tabela1[[#All],[Sigla Arte]:[Crédito]],2,0))</f>
        <v/>
      </c>
      <c r="Z3364" s="31"/>
      <c r="AA3364" s="31" t="str">
        <f>Tabela2[[#This Row],[ILUSTRADOR CRIAÇÃO]]</f>
        <v/>
      </c>
      <c r="AB3364" s="33"/>
      <c r="AC3364" s="16"/>
      <c r="AE3364" s="35" t="str">
        <f t="shared" si="53"/>
        <v>EF1 E002 Mat</v>
      </c>
    </row>
    <row r="3365" spans="1:31" x14ac:dyDescent="0.25">
      <c r="A3365" s="31"/>
      <c r="B3365" s="16"/>
      <c r="C3365" s="16"/>
      <c r="D3365" s="33"/>
      <c r="E3365" s="33"/>
      <c r="F3365" s="33"/>
      <c r="G3365" s="33"/>
      <c r="H3365" s="33"/>
      <c r="I3365" s="31"/>
      <c r="J3365" s="31"/>
      <c r="K3365" s="33"/>
      <c r="L3365" s="33"/>
      <c r="M3365" s="31"/>
      <c r="N3365" s="31"/>
      <c r="O3365" s="16"/>
      <c r="P3365" s="16"/>
      <c r="Q3365" s="16"/>
      <c r="R3365" s="33"/>
      <c r="S3365" s="34"/>
      <c r="T3365" s="34"/>
      <c r="U3365" s="34"/>
      <c r="V3365" s="34"/>
      <c r="W3365" s="34"/>
      <c r="X3365" s="33"/>
      <c r="Y3365" s="35" t="str">
        <f>IF(Tabela2[[#This Row],[SIGLA]]="","",VLOOKUP(Tabela2[[#This Row],[SIGLA]],Tabela1[[#All],[Sigla Arte]:[Crédito]],2,0))</f>
        <v/>
      </c>
      <c r="Z3365" s="31"/>
      <c r="AA3365" s="31" t="str">
        <f>Tabela2[[#This Row],[ILUSTRADOR CRIAÇÃO]]</f>
        <v/>
      </c>
      <c r="AB3365" s="33"/>
      <c r="AC3365" s="16"/>
      <c r="AE3365" s="35" t="str">
        <f t="shared" si="53"/>
        <v>EF1 E002 Mat</v>
      </c>
    </row>
    <row r="3366" spans="1:31" x14ac:dyDescent="0.25">
      <c r="A3366" s="31"/>
      <c r="B3366" s="16"/>
      <c r="C3366" s="16"/>
      <c r="D3366" s="33"/>
      <c r="E3366" s="33"/>
      <c r="F3366" s="33"/>
      <c r="G3366" s="33"/>
      <c r="H3366" s="33"/>
      <c r="I3366" s="31"/>
      <c r="J3366" s="31"/>
      <c r="K3366" s="33"/>
      <c r="L3366" s="33"/>
      <c r="M3366" s="31"/>
      <c r="N3366" s="31"/>
      <c r="O3366" s="16"/>
      <c r="P3366" s="16"/>
      <c r="Q3366" s="16"/>
      <c r="R3366" s="33"/>
      <c r="S3366" s="34"/>
      <c r="T3366" s="34"/>
      <c r="U3366" s="34"/>
      <c r="V3366" s="34"/>
      <c r="W3366" s="34"/>
      <c r="X3366" s="33"/>
      <c r="Y3366" s="35" t="str">
        <f>IF(Tabela2[[#This Row],[SIGLA]]="","",VLOOKUP(Tabela2[[#This Row],[SIGLA]],Tabela1[[#All],[Sigla Arte]:[Crédito]],2,0))</f>
        <v/>
      </c>
      <c r="Z3366" s="31"/>
      <c r="AA3366" s="31" t="str">
        <f>Tabela2[[#This Row],[ILUSTRADOR CRIAÇÃO]]</f>
        <v/>
      </c>
      <c r="AB3366" s="33"/>
      <c r="AC3366" s="16"/>
      <c r="AE3366" s="35" t="str">
        <f t="shared" si="53"/>
        <v>EF1 E002 Mat</v>
      </c>
    </row>
    <row r="3367" spans="1:31" x14ac:dyDescent="0.25">
      <c r="A3367" s="31"/>
      <c r="B3367" s="16"/>
      <c r="C3367" s="16"/>
      <c r="D3367" s="33"/>
      <c r="E3367" s="33"/>
      <c r="F3367" s="33"/>
      <c r="G3367" s="33"/>
      <c r="H3367" s="33"/>
      <c r="I3367" s="31"/>
      <c r="J3367" s="31"/>
      <c r="K3367" s="33"/>
      <c r="L3367" s="33"/>
      <c r="M3367" s="31"/>
      <c r="N3367" s="31"/>
      <c r="O3367" s="16"/>
      <c r="P3367" s="16"/>
      <c r="Q3367" s="16"/>
      <c r="R3367" s="33"/>
      <c r="S3367" s="34"/>
      <c r="T3367" s="34"/>
      <c r="U3367" s="34"/>
      <c r="V3367" s="34"/>
      <c r="W3367" s="34"/>
      <c r="X3367" s="33"/>
      <c r="Y3367" s="35" t="str">
        <f>IF(Tabela2[[#This Row],[SIGLA]]="","",VLOOKUP(Tabela2[[#This Row],[SIGLA]],Tabela1[[#All],[Sigla Arte]:[Crédito]],2,0))</f>
        <v/>
      </c>
      <c r="Z3367" s="31"/>
      <c r="AA3367" s="31" t="str">
        <f>Tabela2[[#This Row],[ILUSTRADOR CRIAÇÃO]]</f>
        <v/>
      </c>
      <c r="AB3367" s="33"/>
      <c r="AC3367" s="16"/>
      <c r="AE3367" s="35" t="str">
        <f t="shared" si="53"/>
        <v>EF1 E002 Mat</v>
      </c>
    </row>
    <row r="3368" spans="1:31" x14ac:dyDescent="0.25">
      <c r="A3368" s="31"/>
      <c r="B3368" s="16"/>
      <c r="C3368" s="16"/>
      <c r="D3368" s="33"/>
      <c r="E3368" s="33"/>
      <c r="F3368" s="33"/>
      <c r="G3368" s="33"/>
      <c r="H3368" s="33"/>
      <c r="I3368" s="31"/>
      <c r="J3368" s="31"/>
      <c r="K3368" s="33"/>
      <c r="L3368" s="33"/>
      <c r="M3368" s="31"/>
      <c r="N3368" s="31"/>
      <c r="O3368" s="16"/>
      <c r="P3368" s="16"/>
      <c r="Q3368" s="16"/>
      <c r="R3368" s="33"/>
      <c r="S3368" s="34"/>
      <c r="T3368" s="34"/>
      <c r="U3368" s="34"/>
      <c r="V3368" s="34"/>
      <c r="W3368" s="34"/>
      <c r="X3368" s="33"/>
      <c r="Y3368" s="35" t="str">
        <f>IF(Tabela2[[#This Row],[SIGLA]]="","",VLOOKUP(Tabela2[[#This Row],[SIGLA]],Tabela1[[#All],[Sigla Arte]:[Crédito]],2,0))</f>
        <v/>
      </c>
      <c r="Z3368" s="31"/>
      <c r="AA3368" s="31" t="str">
        <f>Tabela2[[#This Row],[ILUSTRADOR CRIAÇÃO]]</f>
        <v/>
      </c>
      <c r="AB3368" s="33"/>
      <c r="AC3368" s="16"/>
      <c r="AE3368" s="35" t="str">
        <f t="shared" si="53"/>
        <v>EF1 E002 Mat</v>
      </c>
    </row>
    <row r="3369" spans="1:31" x14ac:dyDescent="0.25">
      <c r="A3369" s="31"/>
      <c r="B3369" s="16"/>
      <c r="C3369" s="16"/>
      <c r="D3369" s="33"/>
      <c r="E3369" s="33"/>
      <c r="F3369" s="33"/>
      <c r="G3369" s="33"/>
      <c r="H3369" s="33"/>
      <c r="I3369" s="31"/>
      <c r="J3369" s="31"/>
      <c r="K3369" s="33"/>
      <c r="L3369" s="33"/>
      <c r="M3369" s="31"/>
      <c r="N3369" s="31"/>
      <c r="O3369" s="16"/>
      <c r="P3369" s="16"/>
      <c r="Q3369" s="16"/>
      <c r="R3369" s="33"/>
      <c r="S3369" s="34"/>
      <c r="T3369" s="34"/>
      <c r="U3369" s="34"/>
      <c r="V3369" s="34"/>
      <c r="W3369" s="34"/>
      <c r="X3369" s="33"/>
      <c r="Y3369" s="35" t="str">
        <f>IF(Tabela2[[#This Row],[SIGLA]]="","",VLOOKUP(Tabela2[[#This Row],[SIGLA]],Tabela1[[#All],[Sigla Arte]:[Crédito]],2,0))</f>
        <v/>
      </c>
      <c r="Z3369" s="31"/>
      <c r="AA3369" s="31" t="str">
        <f>Tabela2[[#This Row],[ILUSTRADOR CRIAÇÃO]]</f>
        <v/>
      </c>
      <c r="AB3369" s="33"/>
      <c r="AC3369" s="16"/>
      <c r="AE3369" s="35" t="str">
        <f t="shared" si="53"/>
        <v>EF1 E002 Mat</v>
      </c>
    </row>
    <row r="3370" spans="1:31" x14ac:dyDescent="0.25">
      <c r="A3370" s="31"/>
      <c r="B3370" s="16"/>
      <c r="C3370" s="16"/>
      <c r="D3370" s="33"/>
      <c r="E3370" s="33"/>
      <c r="F3370" s="33"/>
      <c r="G3370" s="33"/>
      <c r="H3370" s="33"/>
      <c r="I3370" s="31"/>
      <c r="J3370" s="31"/>
      <c r="K3370" s="33"/>
      <c r="L3370" s="33"/>
      <c r="M3370" s="31"/>
      <c r="N3370" s="31"/>
      <c r="O3370" s="16"/>
      <c r="P3370" s="16"/>
      <c r="Q3370" s="16"/>
      <c r="R3370" s="33"/>
      <c r="S3370" s="34"/>
      <c r="T3370" s="34"/>
      <c r="U3370" s="34"/>
      <c r="V3370" s="34"/>
      <c r="W3370" s="34"/>
      <c r="X3370" s="33"/>
      <c r="Y3370" s="35" t="str">
        <f>IF(Tabela2[[#This Row],[SIGLA]]="","",VLOOKUP(Tabela2[[#This Row],[SIGLA]],Tabela1[[#All],[Sigla Arte]:[Crédito]],2,0))</f>
        <v/>
      </c>
      <c r="Z3370" s="31"/>
      <c r="AA3370" s="31" t="str">
        <f>Tabela2[[#This Row],[ILUSTRADOR CRIAÇÃO]]</f>
        <v/>
      </c>
      <c r="AB3370" s="33"/>
      <c r="AC3370" s="16"/>
      <c r="AE3370" s="35" t="str">
        <f t="shared" si="53"/>
        <v>EF1 E002 Mat</v>
      </c>
    </row>
    <row r="3371" spans="1:31" x14ac:dyDescent="0.25">
      <c r="A3371" s="31"/>
      <c r="B3371" s="16"/>
      <c r="C3371" s="16"/>
      <c r="D3371" s="33"/>
      <c r="E3371" s="33"/>
      <c r="F3371" s="33"/>
      <c r="G3371" s="33"/>
      <c r="H3371" s="33"/>
      <c r="I3371" s="31"/>
      <c r="J3371" s="31"/>
      <c r="K3371" s="33"/>
      <c r="L3371" s="33"/>
      <c r="M3371" s="31"/>
      <c r="N3371" s="31"/>
      <c r="O3371" s="16"/>
      <c r="P3371" s="16"/>
      <c r="Q3371" s="16"/>
      <c r="R3371" s="33"/>
      <c r="S3371" s="34"/>
      <c r="T3371" s="34"/>
      <c r="U3371" s="34"/>
      <c r="V3371" s="34"/>
      <c r="W3371" s="34"/>
      <c r="X3371" s="33"/>
      <c r="Y3371" s="35" t="str">
        <f>IF(Tabela2[[#This Row],[SIGLA]]="","",VLOOKUP(Tabela2[[#This Row],[SIGLA]],Tabela1[[#All],[Sigla Arte]:[Crédito]],2,0))</f>
        <v/>
      </c>
      <c r="Z3371" s="31"/>
      <c r="AA3371" s="31" t="str">
        <f>Tabela2[[#This Row],[ILUSTRADOR CRIAÇÃO]]</f>
        <v/>
      </c>
      <c r="AB3371" s="33"/>
      <c r="AC3371" s="16"/>
      <c r="AE3371" s="35" t="str">
        <f t="shared" si="53"/>
        <v>EF1 E002 Mat</v>
      </c>
    </row>
    <row r="3372" spans="1:31" x14ac:dyDescent="0.25">
      <c r="A3372" s="31"/>
      <c r="B3372" s="16"/>
      <c r="C3372" s="16"/>
      <c r="D3372" s="33"/>
      <c r="E3372" s="33"/>
      <c r="F3372" s="33"/>
      <c r="G3372" s="33"/>
      <c r="H3372" s="33"/>
      <c r="I3372" s="31"/>
      <c r="J3372" s="31"/>
      <c r="K3372" s="33"/>
      <c r="L3372" s="33"/>
      <c r="M3372" s="31"/>
      <c r="N3372" s="31"/>
      <c r="O3372" s="16"/>
      <c r="P3372" s="16"/>
      <c r="Q3372" s="16"/>
      <c r="R3372" s="33"/>
      <c r="S3372" s="34"/>
      <c r="T3372" s="34"/>
      <c r="U3372" s="34"/>
      <c r="V3372" s="34"/>
      <c r="W3372" s="34"/>
      <c r="X3372" s="33"/>
      <c r="Y3372" s="35" t="str">
        <f>IF(Tabela2[[#This Row],[SIGLA]]="","",VLOOKUP(Tabela2[[#This Row],[SIGLA]],Tabela1[[#All],[Sigla Arte]:[Crédito]],2,0))</f>
        <v/>
      </c>
      <c r="Z3372" s="31"/>
      <c r="AA3372" s="31" t="str">
        <f>Tabela2[[#This Row],[ILUSTRADOR CRIAÇÃO]]</f>
        <v/>
      </c>
      <c r="AB3372" s="33"/>
      <c r="AC3372" s="16"/>
      <c r="AE3372" s="35" t="str">
        <f t="shared" si="53"/>
        <v>EF1 E002 Mat</v>
      </c>
    </row>
    <row r="3373" spans="1:31" x14ac:dyDescent="0.25">
      <c r="A3373" s="31"/>
      <c r="B3373" s="16"/>
      <c r="C3373" s="16"/>
      <c r="D3373" s="33"/>
      <c r="E3373" s="33"/>
      <c r="F3373" s="33"/>
      <c r="G3373" s="33"/>
      <c r="H3373" s="33"/>
      <c r="I3373" s="31"/>
      <c r="J3373" s="31"/>
      <c r="K3373" s="33"/>
      <c r="L3373" s="33"/>
      <c r="M3373" s="31"/>
      <c r="N3373" s="31"/>
      <c r="O3373" s="16"/>
      <c r="P3373" s="16"/>
      <c r="Q3373" s="16"/>
      <c r="R3373" s="33"/>
      <c r="S3373" s="34"/>
      <c r="T3373" s="34"/>
      <c r="U3373" s="34"/>
      <c r="V3373" s="34"/>
      <c r="W3373" s="34"/>
      <c r="X3373" s="33"/>
      <c r="Y3373" s="35" t="str">
        <f>IF(Tabela2[[#This Row],[SIGLA]]="","",VLOOKUP(Tabela2[[#This Row],[SIGLA]],Tabela1[[#All],[Sigla Arte]:[Crédito]],2,0))</f>
        <v/>
      </c>
      <c r="Z3373" s="31"/>
      <c r="AA3373" s="31" t="str">
        <f>Tabela2[[#This Row],[ILUSTRADOR CRIAÇÃO]]</f>
        <v/>
      </c>
      <c r="AB3373" s="33"/>
      <c r="AC3373" s="16"/>
      <c r="AE3373" s="35" t="str">
        <f t="shared" si="53"/>
        <v>EF1 E002 Mat</v>
      </c>
    </row>
    <row r="3374" spans="1:31" x14ac:dyDescent="0.25">
      <c r="A3374" s="31"/>
      <c r="B3374" s="16"/>
      <c r="C3374" s="16"/>
      <c r="D3374" s="33"/>
      <c r="E3374" s="33"/>
      <c r="F3374" s="33"/>
      <c r="G3374" s="33"/>
      <c r="H3374" s="33"/>
      <c r="I3374" s="31"/>
      <c r="J3374" s="31"/>
      <c r="K3374" s="33"/>
      <c r="L3374" s="33"/>
      <c r="M3374" s="31"/>
      <c r="N3374" s="31"/>
      <c r="O3374" s="16"/>
      <c r="P3374" s="16"/>
      <c r="Q3374" s="16"/>
      <c r="R3374" s="33"/>
      <c r="S3374" s="34"/>
      <c r="T3374" s="34"/>
      <c r="U3374" s="34"/>
      <c r="V3374" s="34"/>
      <c r="W3374" s="34"/>
      <c r="X3374" s="33"/>
      <c r="Y3374" s="35" t="str">
        <f>IF(Tabela2[[#This Row],[SIGLA]]="","",VLOOKUP(Tabela2[[#This Row],[SIGLA]],Tabela1[[#All],[Sigla Arte]:[Crédito]],2,0))</f>
        <v/>
      </c>
      <c r="Z3374" s="31"/>
      <c r="AA3374" s="31" t="str">
        <f>Tabela2[[#This Row],[ILUSTRADOR CRIAÇÃO]]</f>
        <v/>
      </c>
      <c r="AB3374" s="33"/>
      <c r="AC3374" s="16"/>
      <c r="AE3374" s="35" t="str">
        <f t="shared" si="53"/>
        <v>EF1 E002 Mat</v>
      </c>
    </row>
    <row r="3375" spans="1:31" x14ac:dyDescent="0.25">
      <c r="A3375" s="31"/>
      <c r="B3375" s="16"/>
      <c r="C3375" s="16"/>
      <c r="D3375" s="33"/>
      <c r="E3375" s="33"/>
      <c r="F3375" s="33"/>
      <c r="G3375" s="33"/>
      <c r="H3375" s="33"/>
      <c r="I3375" s="31"/>
      <c r="J3375" s="31"/>
      <c r="K3375" s="33"/>
      <c r="L3375" s="33"/>
      <c r="M3375" s="31"/>
      <c r="N3375" s="31"/>
      <c r="O3375" s="16"/>
      <c r="P3375" s="16"/>
      <c r="Q3375" s="16"/>
      <c r="R3375" s="33"/>
      <c r="S3375" s="34"/>
      <c r="T3375" s="34"/>
      <c r="U3375" s="34"/>
      <c r="V3375" s="34"/>
      <c r="W3375" s="34"/>
      <c r="X3375" s="33"/>
      <c r="Y3375" s="35" t="str">
        <f>IF(Tabela2[[#This Row],[SIGLA]]="","",VLOOKUP(Tabela2[[#This Row],[SIGLA]],Tabela1[[#All],[Sigla Arte]:[Crédito]],2,0))</f>
        <v/>
      </c>
      <c r="Z3375" s="31"/>
      <c r="AA3375" s="31" t="str">
        <f>Tabela2[[#This Row],[ILUSTRADOR CRIAÇÃO]]</f>
        <v/>
      </c>
      <c r="AB3375" s="33"/>
      <c r="AC3375" s="16"/>
      <c r="AE3375" s="35" t="str">
        <f t="shared" si="53"/>
        <v>EF1 E002 Mat</v>
      </c>
    </row>
    <row r="3376" spans="1:31" x14ac:dyDescent="0.25">
      <c r="A3376" s="31"/>
      <c r="B3376" s="16"/>
      <c r="C3376" s="16"/>
      <c r="D3376" s="33"/>
      <c r="E3376" s="33"/>
      <c r="F3376" s="33"/>
      <c r="G3376" s="33"/>
      <c r="H3376" s="33"/>
      <c r="I3376" s="31"/>
      <c r="J3376" s="31"/>
      <c r="K3376" s="33"/>
      <c r="L3376" s="33"/>
      <c r="M3376" s="31"/>
      <c r="N3376" s="31"/>
      <c r="O3376" s="16"/>
      <c r="P3376" s="16"/>
      <c r="Q3376" s="16"/>
      <c r="R3376" s="33"/>
      <c r="S3376" s="34"/>
      <c r="T3376" s="34"/>
      <c r="U3376" s="34"/>
      <c r="V3376" s="34"/>
      <c r="W3376" s="34"/>
      <c r="X3376" s="33"/>
      <c r="Y3376" s="35" t="str">
        <f>IF(Tabela2[[#This Row],[SIGLA]]="","",VLOOKUP(Tabela2[[#This Row],[SIGLA]],Tabela1[[#All],[Sigla Arte]:[Crédito]],2,0))</f>
        <v/>
      </c>
      <c r="Z3376" s="31"/>
      <c r="AA3376" s="31" t="str">
        <f>Tabela2[[#This Row],[ILUSTRADOR CRIAÇÃO]]</f>
        <v/>
      </c>
      <c r="AB3376" s="33"/>
      <c r="AC3376" s="16"/>
      <c r="AE3376" s="35" t="str">
        <f t="shared" si="53"/>
        <v>EF1 E002 Mat</v>
      </c>
    </row>
    <row r="3377" spans="1:31" x14ac:dyDescent="0.25">
      <c r="A3377" s="31"/>
      <c r="B3377" s="16"/>
      <c r="C3377" s="16"/>
      <c r="D3377" s="33"/>
      <c r="E3377" s="33"/>
      <c r="F3377" s="33"/>
      <c r="G3377" s="33"/>
      <c r="H3377" s="33"/>
      <c r="I3377" s="31"/>
      <c r="J3377" s="31"/>
      <c r="K3377" s="33"/>
      <c r="L3377" s="33"/>
      <c r="M3377" s="31"/>
      <c r="N3377" s="31"/>
      <c r="O3377" s="16"/>
      <c r="P3377" s="16"/>
      <c r="Q3377" s="16"/>
      <c r="R3377" s="33"/>
      <c r="S3377" s="34"/>
      <c r="T3377" s="34"/>
      <c r="U3377" s="34"/>
      <c r="V3377" s="34"/>
      <c r="W3377" s="34"/>
      <c r="X3377" s="33"/>
      <c r="Y3377" s="35" t="str">
        <f>IF(Tabela2[[#This Row],[SIGLA]]="","",VLOOKUP(Tabela2[[#This Row],[SIGLA]],Tabela1[[#All],[Sigla Arte]:[Crédito]],2,0))</f>
        <v/>
      </c>
      <c r="Z3377" s="31"/>
      <c r="AA3377" s="31" t="str">
        <f>Tabela2[[#This Row],[ILUSTRADOR CRIAÇÃO]]</f>
        <v/>
      </c>
      <c r="AB3377" s="33"/>
      <c r="AC3377" s="16"/>
      <c r="AE3377" s="35" t="str">
        <f t="shared" si="53"/>
        <v>EF1 E002 Mat</v>
      </c>
    </row>
    <row r="3378" spans="1:31" x14ac:dyDescent="0.25">
      <c r="A3378" s="31"/>
      <c r="B3378" s="16"/>
      <c r="C3378" s="16"/>
      <c r="D3378" s="33"/>
      <c r="E3378" s="33"/>
      <c r="F3378" s="33"/>
      <c r="G3378" s="33"/>
      <c r="H3378" s="33"/>
      <c r="I3378" s="31"/>
      <c r="J3378" s="31"/>
      <c r="K3378" s="33"/>
      <c r="L3378" s="33"/>
      <c r="M3378" s="31"/>
      <c r="N3378" s="31"/>
      <c r="O3378" s="16"/>
      <c r="P3378" s="16"/>
      <c r="Q3378" s="16"/>
      <c r="R3378" s="33"/>
      <c r="S3378" s="34"/>
      <c r="T3378" s="34"/>
      <c r="U3378" s="34"/>
      <c r="V3378" s="34"/>
      <c r="W3378" s="34"/>
      <c r="X3378" s="33"/>
      <c r="Y3378" s="35" t="str">
        <f>IF(Tabela2[[#This Row],[SIGLA]]="","",VLOOKUP(Tabela2[[#This Row],[SIGLA]],Tabela1[[#All],[Sigla Arte]:[Crédito]],2,0))</f>
        <v/>
      </c>
      <c r="Z3378" s="31"/>
      <c r="AA3378" s="31" t="str">
        <f>Tabela2[[#This Row],[ILUSTRADOR CRIAÇÃO]]</f>
        <v/>
      </c>
      <c r="AB3378" s="33"/>
      <c r="AC3378" s="16"/>
      <c r="AE3378" s="35" t="str">
        <f t="shared" ref="AE3378:AE3441" si="54">"EF1 E002 Mat"</f>
        <v>EF1 E002 Mat</v>
      </c>
    </row>
    <row r="3379" spans="1:31" x14ac:dyDescent="0.25">
      <c r="A3379" s="31"/>
      <c r="B3379" s="16"/>
      <c r="C3379" s="16"/>
      <c r="D3379" s="33"/>
      <c r="E3379" s="33"/>
      <c r="F3379" s="33"/>
      <c r="G3379" s="33"/>
      <c r="H3379" s="33"/>
      <c r="I3379" s="31"/>
      <c r="J3379" s="31"/>
      <c r="K3379" s="33"/>
      <c r="L3379" s="33"/>
      <c r="M3379" s="31"/>
      <c r="N3379" s="31"/>
      <c r="O3379" s="16"/>
      <c r="P3379" s="16"/>
      <c r="Q3379" s="16"/>
      <c r="R3379" s="33"/>
      <c r="S3379" s="34"/>
      <c r="T3379" s="34"/>
      <c r="U3379" s="34"/>
      <c r="V3379" s="34"/>
      <c r="W3379" s="34"/>
      <c r="X3379" s="33"/>
      <c r="Y3379" s="35" t="str">
        <f>IF(Tabela2[[#This Row],[SIGLA]]="","",VLOOKUP(Tabela2[[#This Row],[SIGLA]],Tabela1[[#All],[Sigla Arte]:[Crédito]],2,0))</f>
        <v/>
      </c>
      <c r="Z3379" s="31"/>
      <c r="AA3379" s="31" t="str">
        <f>Tabela2[[#This Row],[ILUSTRADOR CRIAÇÃO]]</f>
        <v/>
      </c>
      <c r="AB3379" s="33"/>
      <c r="AC3379" s="16"/>
      <c r="AE3379" s="35" t="str">
        <f t="shared" si="54"/>
        <v>EF1 E002 Mat</v>
      </c>
    </row>
    <row r="3380" spans="1:31" x14ac:dyDescent="0.25">
      <c r="A3380" s="31"/>
      <c r="B3380" s="16"/>
      <c r="C3380" s="16"/>
      <c r="D3380" s="33"/>
      <c r="E3380" s="33"/>
      <c r="F3380" s="33"/>
      <c r="G3380" s="33"/>
      <c r="H3380" s="33"/>
      <c r="I3380" s="31"/>
      <c r="J3380" s="31"/>
      <c r="K3380" s="33"/>
      <c r="L3380" s="33"/>
      <c r="M3380" s="31"/>
      <c r="N3380" s="31"/>
      <c r="O3380" s="16"/>
      <c r="P3380" s="16"/>
      <c r="Q3380" s="16"/>
      <c r="R3380" s="33"/>
      <c r="S3380" s="34"/>
      <c r="T3380" s="34"/>
      <c r="U3380" s="34"/>
      <c r="V3380" s="34"/>
      <c r="W3380" s="34"/>
      <c r="X3380" s="33"/>
      <c r="Y3380" s="35" t="str">
        <f>IF(Tabela2[[#This Row],[SIGLA]]="","",VLOOKUP(Tabela2[[#This Row],[SIGLA]],Tabela1[[#All],[Sigla Arte]:[Crédito]],2,0))</f>
        <v/>
      </c>
      <c r="Z3380" s="31"/>
      <c r="AA3380" s="31" t="str">
        <f>Tabela2[[#This Row],[ILUSTRADOR CRIAÇÃO]]</f>
        <v/>
      </c>
      <c r="AB3380" s="33"/>
      <c r="AC3380" s="16"/>
      <c r="AE3380" s="35" t="str">
        <f t="shared" si="54"/>
        <v>EF1 E002 Mat</v>
      </c>
    </row>
    <row r="3381" spans="1:31" x14ac:dyDescent="0.25">
      <c r="A3381" s="31"/>
      <c r="B3381" s="16"/>
      <c r="C3381" s="16"/>
      <c r="D3381" s="33"/>
      <c r="E3381" s="33"/>
      <c r="F3381" s="33"/>
      <c r="G3381" s="33"/>
      <c r="H3381" s="33"/>
      <c r="I3381" s="31"/>
      <c r="J3381" s="31"/>
      <c r="K3381" s="33"/>
      <c r="L3381" s="33"/>
      <c r="M3381" s="31"/>
      <c r="N3381" s="31"/>
      <c r="O3381" s="16"/>
      <c r="P3381" s="16"/>
      <c r="Q3381" s="16"/>
      <c r="R3381" s="33"/>
      <c r="S3381" s="34"/>
      <c r="T3381" s="34"/>
      <c r="U3381" s="34"/>
      <c r="V3381" s="34"/>
      <c r="W3381" s="34"/>
      <c r="X3381" s="33"/>
      <c r="Y3381" s="35" t="str">
        <f>IF(Tabela2[[#This Row],[SIGLA]]="","",VLOOKUP(Tabela2[[#This Row],[SIGLA]],Tabela1[[#All],[Sigla Arte]:[Crédito]],2,0))</f>
        <v/>
      </c>
      <c r="Z3381" s="31"/>
      <c r="AA3381" s="31" t="str">
        <f>Tabela2[[#This Row],[ILUSTRADOR CRIAÇÃO]]</f>
        <v/>
      </c>
      <c r="AB3381" s="33"/>
      <c r="AC3381" s="16"/>
      <c r="AE3381" s="35" t="str">
        <f t="shared" si="54"/>
        <v>EF1 E002 Mat</v>
      </c>
    </row>
    <row r="3382" spans="1:31" x14ac:dyDescent="0.25">
      <c r="A3382" s="31"/>
      <c r="B3382" s="16"/>
      <c r="C3382" s="16"/>
      <c r="D3382" s="33"/>
      <c r="E3382" s="33"/>
      <c r="F3382" s="33"/>
      <c r="G3382" s="33"/>
      <c r="H3382" s="33"/>
      <c r="I3382" s="31"/>
      <c r="J3382" s="31"/>
      <c r="K3382" s="33"/>
      <c r="L3382" s="33"/>
      <c r="M3382" s="31"/>
      <c r="N3382" s="31"/>
      <c r="O3382" s="16"/>
      <c r="P3382" s="16"/>
      <c r="Q3382" s="16"/>
      <c r="R3382" s="33"/>
      <c r="S3382" s="34"/>
      <c r="T3382" s="34"/>
      <c r="U3382" s="34"/>
      <c r="V3382" s="34"/>
      <c r="W3382" s="34"/>
      <c r="X3382" s="33"/>
      <c r="Y3382" s="35" t="str">
        <f>IF(Tabela2[[#This Row],[SIGLA]]="","",VLOOKUP(Tabela2[[#This Row],[SIGLA]],Tabela1[[#All],[Sigla Arte]:[Crédito]],2,0))</f>
        <v/>
      </c>
      <c r="Z3382" s="31"/>
      <c r="AA3382" s="31" t="str">
        <f>Tabela2[[#This Row],[ILUSTRADOR CRIAÇÃO]]</f>
        <v/>
      </c>
      <c r="AB3382" s="33"/>
      <c r="AC3382" s="16"/>
      <c r="AE3382" s="35" t="str">
        <f t="shared" si="54"/>
        <v>EF1 E002 Mat</v>
      </c>
    </row>
    <row r="3383" spans="1:31" x14ac:dyDescent="0.25">
      <c r="A3383" s="31"/>
      <c r="B3383" s="16"/>
      <c r="C3383" s="16"/>
      <c r="D3383" s="33"/>
      <c r="E3383" s="33"/>
      <c r="F3383" s="33"/>
      <c r="G3383" s="33"/>
      <c r="H3383" s="33"/>
      <c r="I3383" s="31"/>
      <c r="J3383" s="31"/>
      <c r="K3383" s="33"/>
      <c r="L3383" s="33"/>
      <c r="M3383" s="31"/>
      <c r="N3383" s="31"/>
      <c r="O3383" s="16"/>
      <c r="P3383" s="16"/>
      <c r="Q3383" s="16"/>
      <c r="R3383" s="33"/>
      <c r="S3383" s="34"/>
      <c r="T3383" s="34"/>
      <c r="U3383" s="34"/>
      <c r="V3383" s="34"/>
      <c r="W3383" s="34"/>
      <c r="X3383" s="33"/>
      <c r="Y3383" s="35" t="str">
        <f>IF(Tabela2[[#This Row],[SIGLA]]="","",VLOOKUP(Tabela2[[#This Row],[SIGLA]],Tabela1[[#All],[Sigla Arte]:[Crédito]],2,0))</f>
        <v/>
      </c>
      <c r="Z3383" s="31"/>
      <c r="AA3383" s="31" t="str">
        <f>Tabela2[[#This Row],[ILUSTRADOR CRIAÇÃO]]</f>
        <v/>
      </c>
      <c r="AB3383" s="33"/>
      <c r="AC3383" s="16"/>
      <c r="AE3383" s="35" t="str">
        <f t="shared" si="54"/>
        <v>EF1 E002 Mat</v>
      </c>
    </row>
    <row r="3384" spans="1:31" x14ac:dyDescent="0.25">
      <c r="A3384" s="31"/>
      <c r="B3384" s="16"/>
      <c r="C3384" s="16"/>
      <c r="D3384" s="33"/>
      <c r="E3384" s="33"/>
      <c r="F3384" s="33"/>
      <c r="G3384" s="33"/>
      <c r="H3384" s="33"/>
      <c r="I3384" s="31"/>
      <c r="J3384" s="31"/>
      <c r="K3384" s="33"/>
      <c r="L3384" s="33"/>
      <c r="M3384" s="31"/>
      <c r="N3384" s="31"/>
      <c r="O3384" s="16"/>
      <c r="P3384" s="16"/>
      <c r="Q3384" s="16"/>
      <c r="R3384" s="33"/>
      <c r="S3384" s="34"/>
      <c r="T3384" s="34"/>
      <c r="U3384" s="34"/>
      <c r="V3384" s="34"/>
      <c r="W3384" s="34"/>
      <c r="X3384" s="33"/>
      <c r="Y3384" s="35" t="str">
        <f>IF(Tabela2[[#This Row],[SIGLA]]="","",VLOOKUP(Tabela2[[#This Row],[SIGLA]],Tabela1[[#All],[Sigla Arte]:[Crédito]],2,0))</f>
        <v/>
      </c>
      <c r="Z3384" s="31"/>
      <c r="AA3384" s="31" t="str">
        <f>Tabela2[[#This Row],[ILUSTRADOR CRIAÇÃO]]</f>
        <v/>
      </c>
      <c r="AB3384" s="33"/>
      <c r="AC3384" s="16"/>
      <c r="AE3384" s="35" t="str">
        <f t="shared" si="54"/>
        <v>EF1 E002 Mat</v>
      </c>
    </row>
    <row r="3385" spans="1:31" x14ac:dyDescent="0.25">
      <c r="A3385" s="31"/>
      <c r="B3385" s="16"/>
      <c r="C3385" s="16"/>
      <c r="D3385" s="33"/>
      <c r="E3385" s="33"/>
      <c r="F3385" s="33"/>
      <c r="G3385" s="33"/>
      <c r="H3385" s="33"/>
      <c r="I3385" s="31"/>
      <c r="J3385" s="31"/>
      <c r="K3385" s="33"/>
      <c r="L3385" s="33"/>
      <c r="M3385" s="31"/>
      <c r="N3385" s="31"/>
      <c r="O3385" s="16"/>
      <c r="P3385" s="16"/>
      <c r="Q3385" s="16"/>
      <c r="R3385" s="33"/>
      <c r="S3385" s="34"/>
      <c r="T3385" s="34"/>
      <c r="U3385" s="34"/>
      <c r="V3385" s="34"/>
      <c r="W3385" s="34"/>
      <c r="X3385" s="33"/>
      <c r="Y3385" s="35" t="str">
        <f>IF(Tabela2[[#This Row],[SIGLA]]="","",VLOOKUP(Tabela2[[#This Row],[SIGLA]],Tabela1[[#All],[Sigla Arte]:[Crédito]],2,0))</f>
        <v/>
      </c>
      <c r="Z3385" s="31"/>
      <c r="AA3385" s="31" t="str">
        <f>Tabela2[[#This Row],[ILUSTRADOR CRIAÇÃO]]</f>
        <v/>
      </c>
      <c r="AB3385" s="33"/>
      <c r="AC3385" s="16"/>
      <c r="AE3385" s="35" t="str">
        <f t="shared" si="54"/>
        <v>EF1 E002 Mat</v>
      </c>
    </row>
    <row r="3386" spans="1:31" x14ac:dyDescent="0.25">
      <c r="A3386" s="31"/>
      <c r="B3386" s="16"/>
      <c r="C3386" s="16"/>
      <c r="D3386" s="33"/>
      <c r="E3386" s="33"/>
      <c r="F3386" s="33"/>
      <c r="G3386" s="33"/>
      <c r="H3386" s="33"/>
      <c r="I3386" s="31"/>
      <c r="J3386" s="31"/>
      <c r="K3386" s="33"/>
      <c r="L3386" s="33"/>
      <c r="M3386" s="31"/>
      <c r="N3386" s="31"/>
      <c r="O3386" s="16"/>
      <c r="P3386" s="16"/>
      <c r="Q3386" s="16"/>
      <c r="R3386" s="33"/>
      <c r="S3386" s="34"/>
      <c r="T3386" s="34"/>
      <c r="U3386" s="34"/>
      <c r="V3386" s="34"/>
      <c r="W3386" s="34"/>
      <c r="X3386" s="33"/>
      <c r="Y3386" s="35" t="str">
        <f>IF(Tabela2[[#This Row],[SIGLA]]="","",VLOOKUP(Tabela2[[#This Row],[SIGLA]],Tabela1[[#All],[Sigla Arte]:[Crédito]],2,0))</f>
        <v/>
      </c>
      <c r="Z3386" s="31"/>
      <c r="AA3386" s="31" t="str">
        <f>Tabela2[[#This Row],[ILUSTRADOR CRIAÇÃO]]</f>
        <v/>
      </c>
      <c r="AB3386" s="33"/>
      <c r="AC3386" s="16"/>
      <c r="AE3386" s="35" t="str">
        <f t="shared" si="54"/>
        <v>EF1 E002 Mat</v>
      </c>
    </row>
    <row r="3387" spans="1:31" x14ac:dyDescent="0.25">
      <c r="A3387" s="31"/>
      <c r="B3387" s="16"/>
      <c r="C3387" s="16"/>
      <c r="D3387" s="33"/>
      <c r="E3387" s="33"/>
      <c r="F3387" s="33"/>
      <c r="G3387" s="33"/>
      <c r="H3387" s="33"/>
      <c r="I3387" s="31"/>
      <c r="J3387" s="31"/>
      <c r="K3387" s="33"/>
      <c r="L3387" s="33"/>
      <c r="M3387" s="31"/>
      <c r="N3387" s="31"/>
      <c r="O3387" s="16"/>
      <c r="P3387" s="16"/>
      <c r="Q3387" s="16"/>
      <c r="R3387" s="33"/>
      <c r="S3387" s="34"/>
      <c r="T3387" s="34"/>
      <c r="U3387" s="34"/>
      <c r="V3387" s="34"/>
      <c r="W3387" s="34"/>
      <c r="X3387" s="33"/>
      <c r="Y3387" s="35" t="str">
        <f>IF(Tabela2[[#This Row],[SIGLA]]="","",VLOOKUP(Tabela2[[#This Row],[SIGLA]],Tabela1[[#All],[Sigla Arte]:[Crédito]],2,0))</f>
        <v/>
      </c>
      <c r="Z3387" s="31"/>
      <c r="AA3387" s="31" t="str">
        <f>Tabela2[[#This Row],[ILUSTRADOR CRIAÇÃO]]</f>
        <v/>
      </c>
      <c r="AB3387" s="33"/>
      <c r="AC3387" s="16"/>
      <c r="AE3387" s="35" t="str">
        <f t="shared" si="54"/>
        <v>EF1 E002 Mat</v>
      </c>
    </row>
    <row r="3388" spans="1:31" x14ac:dyDescent="0.25">
      <c r="A3388" s="31"/>
      <c r="B3388" s="16"/>
      <c r="C3388" s="16"/>
      <c r="D3388" s="33"/>
      <c r="E3388" s="33"/>
      <c r="F3388" s="33"/>
      <c r="G3388" s="33"/>
      <c r="H3388" s="33"/>
      <c r="I3388" s="31"/>
      <c r="J3388" s="31"/>
      <c r="K3388" s="33"/>
      <c r="L3388" s="33"/>
      <c r="M3388" s="31"/>
      <c r="N3388" s="31"/>
      <c r="O3388" s="16"/>
      <c r="P3388" s="16"/>
      <c r="Q3388" s="16"/>
      <c r="R3388" s="33"/>
      <c r="S3388" s="34"/>
      <c r="T3388" s="34"/>
      <c r="U3388" s="34"/>
      <c r="V3388" s="34"/>
      <c r="W3388" s="34"/>
      <c r="X3388" s="33"/>
      <c r="Y3388" s="35" t="str">
        <f>IF(Tabela2[[#This Row],[SIGLA]]="","",VLOOKUP(Tabela2[[#This Row],[SIGLA]],Tabela1[[#All],[Sigla Arte]:[Crédito]],2,0))</f>
        <v/>
      </c>
      <c r="Z3388" s="31"/>
      <c r="AA3388" s="31" t="str">
        <f>Tabela2[[#This Row],[ILUSTRADOR CRIAÇÃO]]</f>
        <v/>
      </c>
      <c r="AB3388" s="33"/>
      <c r="AC3388" s="16"/>
      <c r="AE3388" s="35" t="str">
        <f t="shared" si="54"/>
        <v>EF1 E002 Mat</v>
      </c>
    </row>
    <row r="3389" spans="1:31" x14ac:dyDescent="0.25">
      <c r="A3389" s="31"/>
      <c r="B3389" s="16"/>
      <c r="C3389" s="16"/>
      <c r="D3389" s="33"/>
      <c r="E3389" s="33"/>
      <c r="F3389" s="33"/>
      <c r="G3389" s="33"/>
      <c r="H3389" s="33"/>
      <c r="I3389" s="31"/>
      <c r="J3389" s="31"/>
      <c r="K3389" s="33"/>
      <c r="L3389" s="33"/>
      <c r="M3389" s="31"/>
      <c r="N3389" s="31"/>
      <c r="O3389" s="16"/>
      <c r="P3389" s="16"/>
      <c r="Q3389" s="16"/>
      <c r="R3389" s="33"/>
      <c r="S3389" s="34"/>
      <c r="T3389" s="34"/>
      <c r="U3389" s="34"/>
      <c r="V3389" s="34"/>
      <c r="W3389" s="34"/>
      <c r="X3389" s="33"/>
      <c r="Y3389" s="35" t="str">
        <f>IF(Tabela2[[#This Row],[SIGLA]]="","",VLOOKUP(Tabela2[[#This Row],[SIGLA]],Tabela1[[#All],[Sigla Arte]:[Crédito]],2,0))</f>
        <v/>
      </c>
      <c r="Z3389" s="31"/>
      <c r="AA3389" s="31" t="str">
        <f>Tabela2[[#This Row],[ILUSTRADOR CRIAÇÃO]]</f>
        <v/>
      </c>
      <c r="AB3389" s="33"/>
      <c r="AC3389" s="16"/>
      <c r="AE3389" s="35" t="str">
        <f t="shared" si="54"/>
        <v>EF1 E002 Mat</v>
      </c>
    </row>
    <row r="3390" spans="1:31" x14ac:dyDescent="0.25">
      <c r="A3390" s="31"/>
      <c r="B3390" s="16"/>
      <c r="C3390" s="16"/>
      <c r="D3390" s="33"/>
      <c r="E3390" s="33"/>
      <c r="F3390" s="33"/>
      <c r="G3390" s="33"/>
      <c r="H3390" s="33"/>
      <c r="I3390" s="31"/>
      <c r="J3390" s="31"/>
      <c r="K3390" s="33"/>
      <c r="L3390" s="33"/>
      <c r="M3390" s="31"/>
      <c r="N3390" s="31"/>
      <c r="O3390" s="16"/>
      <c r="P3390" s="16"/>
      <c r="Q3390" s="16"/>
      <c r="R3390" s="33"/>
      <c r="S3390" s="34"/>
      <c r="T3390" s="34"/>
      <c r="U3390" s="34"/>
      <c r="V3390" s="34"/>
      <c r="W3390" s="34"/>
      <c r="X3390" s="33"/>
      <c r="Y3390" s="35" t="str">
        <f>IF(Tabela2[[#This Row],[SIGLA]]="","",VLOOKUP(Tabela2[[#This Row],[SIGLA]],Tabela1[[#All],[Sigla Arte]:[Crédito]],2,0))</f>
        <v/>
      </c>
      <c r="Z3390" s="31"/>
      <c r="AA3390" s="31" t="str">
        <f>Tabela2[[#This Row],[ILUSTRADOR CRIAÇÃO]]</f>
        <v/>
      </c>
      <c r="AB3390" s="33"/>
      <c r="AC3390" s="16"/>
      <c r="AE3390" s="35" t="str">
        <f t="shared" si="54"/>
        <v>EF1 E002 Mat</v>
      </c>
    </row>
    <row r="3391" spans="1:31" x14ac:dyDescent="0.25">
      <c r="A3391" s="31"/>
      <c r="B3391" s="16"/>
      <c r="C3391" s="16"/>
      <c r="D3391" s="33"/>
      <c r="E3391" s="33"/>
      <c r="F3391" s="33"/>
      <c r="G3391" s="33"/>
      <c r="H3391" s="33"/>
      <c r="I3391" s="31"/>
      <c r="J3391" s="31"/>
      <c r="K3391" s="33"/>
      <c r="L3391" s="33"/>
      <c r="M3391" s="31"/>
      <c r="N3391" s="31"/>
      <c r="O3391" s="16"/>
      <c r="P3391" s="16"/>
      <c r="Q3391" s="16"/>
      <c r="R3391" s="33"/>
      <c r="S3391" s="34"/>
      <c r="T3391" s="34"/>
      <c r="U3391" s="34"/>
      <c r="V3391" s="34"/>
      <c r="W3391" s="34"/>
      <c r="X3391" s="33"/>
      <c r="Y3391" s="35" t="str">
        <f>IF(Tabela2[[#This Row],[SIGLA]]="","",VLOOKUP(Tabela2[[#This Row],[SIGLA]],Tabela1[[#All],[Sigla Arte]:[Crédito]],2,0))</f>
        <v/>
      </c>
      <c r="Z3391" s="31"/>
      <c r="AA3391" s="31" t="str">
        <f>Tabela2[[#This Row],[ILUSTRADOR CRIAÇÃO]]</f>
        <v/>
      </c>
      <c r="AB3391" s="33"/>
      <c r="AC3391" s="16"/>
      <c r="AE3391" s="35" t="str">
        <f t="shared" si="54"/>
        <v>EF1 E002 Mat</v>
      </c>
    </row>
    <row r="3392" spans="1:31" x14ac:dyDescent="0.25">
      <c r="A3392" s="31"/>
      <c r="B3392" s="16"/>
      <c r="C3392" s="16"/>
      <c r="D3392" s="33"/>
      <c r="E3392" s="33"/>
      <c r="F3392" s="33"/>
      <c r="G3392" s="33"/>
      <c r="H3392" s="33"/>
      <c r="I3392" s="31"/>
      <c r="J3392" s="31"/>
      <c r="K3392" s="33"/>
      <c r="L3392" s="33"/>
      <c r="M3392" s="31"/>
      <c r="N3392" s="31"/>
      <c r="O3392" s="16"/>
      <c r="P3392" s="16"/>
      <c r="Q3392" s="16"/>
      <c r="R3392" s="33"/>
      <c r="S3392" s="34"/>
      <c r="T3392" s="34"/>
      <c r="U3392" s="34"/>
      <c r="V3392" s="34"/>
      <c r="W3392" s="34"/>
      <c r="X3392" s="33"/>
      <c r="Y3392" s="35" t="str">
        <f>IF(Tabela2[[#This Row],[SIGLA]]="","",VLOOKUP(Tabela2[[#This Row],[SIGLA]],Tabela1[[#All],[Sigla Arte]:[Crédito]],2,0))</f>
        <v/>
      </c>
      <c r="Z3392" s="31"/>
      <c r="AA3392" s="31" t="str">
        <f>Tabela2[[#This Row],[ILUSTRADOR CRIAÇÃO]]</f>
        <v/>
      </c>
      <c r="AB3392" s="33"/>
      <c r="AC3392" s="16"/>
      <c r="AE3392" s="35" t="str">
        <f t="shared" si="54"/>
        <v>EF1 E002 Mat</v>
      </c>
    </row>
    <row r="3393" spans="1:31" x14ac:dyDescent="0.25">
      <c r="A3393" s="31"/>
      <c r="B3393" s="16"/>
      <c r="C3393" s="16"/>
      <c r="D3393" s="33"/>
      <c r="E3393" s="33"/>
      <c r="F3393" s="33"/>
      <c r="G3393" s="33"/>
      <c r="H3393" s="33"/>
      <c r="I3393" s="31"/>
      <c r="J3393" s="31"/>
      <c r="K3393" s="33"/>
      <c r="L3393" s="33"/>
      <c r="M3393" s="31"/>
      <c r="N3393" s="31"/>
      <c r="O3393" s="16"/>
      <c r="P3393" s="16"/>
      <c r="Q3393" s="16"/>
      <c r="R3393" s="33"/>
      <c r="S3393" s="34"/>
      <c r="T3393" s="34"/>
      <c r="U3393" s="34"/>
      <c r="V3393" s="34"/>
      <c r="W3393" s="34"/>
      <c r="X3393" s="33"/>
      <c r="Y3393" s="35" t="str">
        <f>IF(Tabela2[[#This Row],[SIGLA]]="","",VLOOKUP(Tabela2[[#This Row],[SIGLA]],Tabela1[[#All],[Sigla Arte]:[Crédito]],2,0))</f>
        <v/>
      </c>
      <c r="Z3393" s="31"/>
      <c r="AA3393" s="31" t="str">
        <f>Tabela2[[#This Row],[ILUSTRADOR CRIAÇÃO]]</f>
        <v/>
      </c>
      <c r="AB3393" s="33"/>
      <c r="AC3393" s="16"/>
      <c r="AE3393" s="35" t="str">
        <f t="shared" si="54"/>
        <v>EF1 E002 Mat</v>
      </c>
    </row>
    <row r="3394" spans="1:31" x14ac:dyDescent="0.25">
      <c r="A3394" s="31"/>
      <c r="B3394" s="16"/>
      <c r="C3394" s="16"/>
      <c r="D3394" s="33"/>
      <c r="E3394" s="33"/>
      <c r="F3394" s="33"/>
      <c r="G3394" s="33"/>
      <c r="H3394" s="33"/>
      <c r="I3394" s="31"/>
      <c r="J3394" s="31"/>
      <c r="K3394" s="33"/>
      <c r="L3394" s="33"/>
      <c r="M3394" s="31"/>
      <c r="N3394" s="31"/>
      <c r="O3394" s="16"/>
      <c r="P3394" s="16"/>
      <c r="Q3394" s="16"/>
      <c r="R3394" s="33"/>
      <c r="S3394" s="34"/>
      <c r="T3394" s="34"/>
      <c r="U3394" s="34"/>
      <c r="V3394" s="34"/>
      <c r="W3394" s="34"/>
      <c r="X3394" s="33"/>
      <c r="Y3394" s="35" t="str">
        <f>IF(Tabela2[[#This Row],[SIGLA]]="","",VLOOKUP(Tabela2[[#This Row],[SIGLA]],Tabela1[[#All],[Sigla Arte]:[Crédito]],2,0))</f>
        <v/>
      </c>
      <c r="Z3394" s="31"/>
      <c r="AA3394" s="31" t="str">
        <f>Tabela2[[#This Row],[ILUSTRADOR CRIAÇÃO]]</f>
        <v/>
      </c>
      <c r="AB3394" s="33"/>
      <c r="AC3394" s="16"/>
      <c r="AE3394" s="35" t="str">
        <f t="shared" si="54"/>
        <v>EF1 E002 Mat</v>
      </c>
    </row>
    <row r="3395" spans="1:31" x14ac:dyDescent="0.25">
      <c r="A3395" s="31"/>
      <c r="B3395" s="16"/>
      <c r="C3395" s="16"/>
      <c r="D3395" s="33"/>
      <c r="E3395" s="33"/>
      <c r="F3395" s="33"/>
      <c r="G3395" s="33"/>
      <c r="H3395" s="33"/>
      <c r="I3395" s="31"/>
      <c r="J3395" s="31"/>
      <c r="K3395" s="33"/>
      <c r="L3395" s="33"/>
      <c r="M3395" s="31"/>
      <c r="N3395" s="31"/>
      <c r="O3395" s="16"/>
      <c r="P3395" s="16"/>
      <c r="Q3395" s="16"/>
      <c r="R3395" s="33"/>
      <c r="S3395" s="34"/>
      <c r="T3395" s="34"/>
      <c r="U3395" s="34"/>
      <c r="V3395" s="34"/>
      <c r="W3395" s="34"/>
      <c r="X3395" s="33"/>
      <c r="Y3395" s="35" t="str">
        <f>IF(Tabela2[[#This Row],[SIGLA]]="","",VLOOKUP(Tabela2[[#This Row],[SIGLA]],Tabela1[[#All],[Sigla Arte]:[Crédito]],2,0))</f>
        <v/>
      </c>
      <c r="Z3395" s="31"/>
      <c r="AA3395" s="31" t="str">
        <f>Tabela2[[#This Row],[ILUSTRADOR CRIAÇÃO]]</f>
        <v/>
      </c>
      <c r="AB3395" s="33"/>
      <c r="AC3395" s="16"/>
      <c r="AE3395" s="35" t="str">
        <f t="shared" si="54"/>
        <v>EF1 E002 Mat</v>
      </c>
    </row>
    <row r="3396" spans="1:31" x14ac:dyDescent="0.25">
      <c r="A3396" s="31"/>
      <c r="B3396" s="16"/>
      <c r="C3396" s="16"/>
      <c r="D3396" s="33"/>
      <c r="E3396" s="33"/>
      <c r="F3396" s="33"/>
      <c r="G3396" s="33"/>
      <c r="H3396" s="33"/>
      <c r="I3396" s="31"/>
      <c r="J3396" s="31"/>
      <c r="K3396" s="33"/>
      <c r="L3396" s="33"/>
      <c r="M3396" s="31"/>
      <c r="N3396" s="31"/>
      <c r="O3396" s="16"/>
      <c r="P3396" s="16"/>
      <c r="Q3396" s="16"/>
      <c r="R3396" s="33"/>
      <c r="S3396" s="34"/>
      <c r="T3396" s="34"/>
      <c r="U3396" s="34"/>
      <c r="V3396" s="34"/>
      <c r="W3396" s="34"/>
      <c r="X3396" s="33"/>
      <c r="Y3396" s="35" t="str">
        <f>IF(Tabela2[[#This Row],[SIGLA]]="","",VLOOKUP(Tabela2[[#This Row],[SIGLA]],Tabela1[[#All],[Sigla Arte]:[Crédito]],2,0))</f>
        <v/>
      </c>
      <c r="Z3396" s="31"/>
      <c r="AA3396" s="31" t="str">
        <f>Tabela2[[#This Row],[ILUSTRADOR CRIAÇÃO]]</f>
        <v/>
      </c>
      <c r="AB3396" s="33"/>
      <c r="AC3396" s="16"/>
      <c r="AE3396" s="35" t="str">
        <f t="shared" si="54"/>
        <v>EF1 E002 Mat</v>
      </c>
    </row>
    <row r="3397" spans="1:31" x14ac:dyDescent="0.25">
      <c r="A3397" s="31"/>
      <c r="B3397" s="16"/>
      <c r="C3397" s="16"/>
      <c r="D3397" s="33"/>
      <c r="E3397" s="33"/>
      <c r="F3397" s="33"/>
      <c r="G3397" s="33"/>
      <c r="H3397" s="33"/>
      <c r="I3397" s="31"/>
      <c r="J3397" s="31"/>
      <c r="K3397" s="33"/>
      <c r="L3397" s="33"/>
      <c r="M3397" s="31"/>
      <c r="N3397" s="31"/>
      <c r="O3397" s="16"/>
      <c r="P3397" s="16"/>
      <c r="Q3397" s="16"/>
      <c r="R3397" s="33"/>
      <c r="S3397" s="34"/>
      <c r="T3397" s="34"/>
      <c r="U3397" s="34"/>
      <c r="V3397" s="34"/>
      <c r="W3397" s="34"/>
      <c r="X3397" s="33"/>
      <c r="Y3397" s="35" t="str">
        <f>IF(Tabela2[[#This Row],[SIGLA]]="","",VLOOKUP(Tabela2[[#This Row],[SIGLA]],Tabela1[[#All],[Sigla Arte]:[Crédito]],2,0))</f>
        <v/>
      </c>
      <c r="Z3397" s="31"/>
      <c r="AA3397" s="31" t="str">
        <f>Tabela2[[#This Row],[ILUSTRADOR CRIAÇÃO]]</f>
        <v/>
      </c>
      <c r="AB3397" s="33"/>
      <c r="AC3397" s="16"/>
      <c r="AE3397" s="35" t="str">
        <f t="shared" si="54"/>
        <v>EF1 E002 Mat</v>
      </c>
    </row>
    <row r="3398" spans="1:31" x14ac:dyDescent="0.25">
      <c r="A3398" s="31"/>
      <c r="B3398" s="16"/>
      <c r="C3398" s="16"/>
      <c r="D3398" s="33"/>
      <c r="E3398" s="33"/>
      <c r="F3398" s="33"/>
      <c r="G3398" s="33"/>
      <c r="H3398" s="33"/>
      <c r="I3398" s="31"/>
      <c r="J3398" s="31"/>
      <c r="K3398" s="33"/>
      <c r="L3398" s="33"/>
      <c r="M3398" s="31"/>
      <c r="N3398" s="31"/>
      <c r="O3398" s="16"/>
      <c r="P3398" s="16"/>
      <c r="Q3398" s="16"/>
      <c r="R3398" s="33"/>
      <c r="S3398" s="34"/>
      <c r="T3398" s="34"/>
      <c r="U3398" s="34"/>
      <c r="V3398" s="34"/>
      <c r="W3398" s="34"/>
      <c r="X3398" s="33"/>
      <c r="Y3398" s="35" t="str">
        <f>IF(Tabela2[[#This Row],[SIGLA]]="","",VLOOKUP(Tabela2[[#This Row],[SIGLA]],Tabela1[[#All],[Sigla Arte]:[Crédito]],2,0))</f>
        <v/>
      </c>
      <c r="Z3398" s="31"/>
      <c r="AA3398" s="31" t="str">
        <f>Tabela2[[#This Row],[ILUSTRADOR CRIAÇÃO]]</f>
        <v/>
      </c>
      <c r="AB3398" s="33"/>
      <c r="AC3398" s="16"/>
      <c r="AE3398" s="35" t="str">
        <f t="shared" si="54"/>
        <v>EF1 E002 Mat</v>
      </c>
    </row>
    <row r="3399" spans="1:31" x14ac:dyDescent="0.25">
      <c r="A3399" s="31"/>
      <c r="B3399" s="16"/>
      <c r="C3399" s="16"/>
      <c r="D3399" s="33"/>
      <c r="E3399" s="33"/>
      <c r="F3399" s="33"/>
      <c r="G3399" s="33"/>
      <c r="H3399" s="33"/>
      <c r="I3399" s="31"/>
      <c r="J3399" s="31"/>
      <c r="K3399" s="33"/>
      <c r="L3399" s="33"/>
      <c r="M3399" s="31"/>
      <c r="N3399" s="31"/>
      <c r="O3399" s="16"/>
      <c r="P3399" s="16"/>
      <c r="Q3399" s="16"/>
      <c r="R3399" s="33"/>
      <c r="S3399" s="34"/>
      <c r="T3399" s="34"/>
      <c r="U3399" s="34"/>
      <c r="V3399" s="34"/>
      <c r="W3399" s="34"/>
      <c r="X3399" s="33"/>
      <c r="Y3399" s="35" t="str">
        <f>IF(Tabela2[[#This Row],[SIGLA]]="","",VLOOKUP(Tabela2[[#This Row],[SIGLA]],Tabela1[[#All],[Sigla Arte]:[Crédito]],2,0))</f>
        <v/>
      </c>
      <c r="Z3399" s="31"/>
      <c r="AA3399" s="31" t="str">
        <f>Tabela2[[#This Row],[ILUSTRADOR CRIAÇÃO]]</f>
        <v/>
      </c>
      <c r="AB3399" s="33"/>
      <c r="AC3399" s="16"/>
      <c r="AE3399" s="35" t="str">
        <f t="shared" si="54"/>
        <v>EF1 E002 Mat</v>
      </c>
    </row>
    <row r="3400" spans="1:31" x14ac:dyDescent="0.25">
      <c r="A3400" s="31"/>
      <c r="B3400" s="16"/>
      <c r="C3400" s="16"/>
      <c r="D3400" s="33"/>
      <c r="E3400" s="33"/>
      <c r="F3400" s="33"/>
      <c r="G3400" s="33"/>
      <c r="H3400" s="33"/>
      <c r="I3400" s="31"/>
      <c r="J3400" s="31"/>
      <c r="K3400" s="33"/>
      <c r="L3400" s="33"/>
      <c r="M3400" s="31"/>
      <c r="N3400" s="31"/>
      <c r="O3400" s="16"/>
      <c r="P3400" s="16"/>
      <c r="Q3400" s="16"/>
      <c r="R3400" s="33"/>
      <c r="S3400" s="34"/>
      <c r="T3400" s="34"/>
      <c r="U3400" s="34"/>
      <c r="V3400" s="34"/>
      <c r="W3400" s="34"/>
      <c r="X3400" s="33"/>
      <c r="Y3400" s="35" t="str">
        <f>IF(Tabela2[[#This Row],[SIGLA]]="","",VLOOKUP(Tabela2[[#This Row],[SIGLA]],Tabela1[[#All],[Sigla Arte]:[Crédito]],2,0))</f>
        <v/>
      </c>
      <c r="Z3400" s="31"/>
      <c r="AA3400" s="31" t="str">
        <f>Tabela2[[#This Row],[ILUSTRADOR CRIAÇÃO]]</f>
        <v/>
      </c>
      <c r="AB3400" s="33"/>
      <c r="AC3400" s="16"/>
      <c r="AE3400" s="35" t="str">
        <f t="shared" si="54"/>
        <v>EF1 E002 Mat</v>
      </c>
    </row>
    <row r="3401" spans="1:31" x14ac:dyDescent="0.25">
      <c r="A3401" s="31"/>
      <c r="B3401" s="16"/>
      <c r="C3401" s="16"/>
      <c r="D3401" s="33"/>
      <c r="E3401" s="33"/>
      <c r="F3401" s="33"/>
      <c r="G3401" s="33"/>
      <c r="H3401" s="33"/>
      <c r="I3401" s="31"/>
      <c r="J3401" s="31"/>
      <c r="K3401" s="33"/>
      <c r="L3401" s="33"/>
      <c r="M3401" s="31"/>
      <c r="N3401" s="31"/>
      <c r="O3401" s="16"/>
      <c r="P3401" s="16"/>
      <c r="Q3401" s="16"/>
      <c r="R3401" s="33"/>
      <c r="S3401" s="34"/>
      <c r="T3401" s="34"/>
      <c r="U3401" s="34"/>
      <c r="V3401" s="34"/>
      <c r="W3401" s="34"/>
      <c r="X3401" s="33"/>
      <c r="Y3401" s="35" t="str">
        <f>IF(Tabela2[[#This Row],[SIGLA]]="","",VLOOKUP(Tabela2[[#This Row],[SIGLA]],Tabela1[[#All],[Sigla Arte]:[Crédito]],2,0))</f>
        <v/>
      </c>
      <c r="Z3401" s="31"/>
      <c r="AA3401" s="31" t="str">
        <f>Tabela2[[#This Row],[ILUSTRADOR CRIAÇÃO]]</f>
        <v/>
      </c>
      <c r="AB3401" s="33"/>
      <c r="AC3401" s="16"/>
      <c r="AE3401" s="35" t="str">
        <f t="shared" si="54"/>
        <v>EF1 E002 Mat</v>
      </c>
    </row>
    <row r="3402" spans="1:31" x14ac:dyDescent="0.25">
      <c r="A3402" s="31"/>
      <c r="B3402" s="16"/>
      <c r="C3402" s="16"/>
      <c r="D3402" s="33"/>
      <c r="E3402" s="33"/>
      <c r="F3402" s="33"/>
      <c r="G3402" s="33"/>
      <c r="H3402" s="33"/>
      <c r="I3402" s="31"/>
      <c r="J3402" s="31"/>
      <c r="K3402" s="33"/>
      <c r="L3402" s="33"/>
      <c r="M3402" s="31"/>
      <c r="N3402" s="31"/>
      <c r="O3402" s="16"/>
      <c r="P3402" s="16"/>
      <c r="Q3402" s="16"/>
      <c r="R3402" s="33"/>
      <c r="S3402" s="34"/>
      <c r="T3402" s="34"/>
      <c r="U3402" s="34"/>
      <c r="V3402" s="34"/>
      <c r="W3402" s="34"/>
      <c r="X3402" s="33"/>
      <c r="Y3402" s="35" t="str">
        <f>IF(Tabela2[[#This Row],[SIGLA]]="","",VLOOKUP(Tabela2[[#This Row],[SIGLA]],Tabela1[[#All],[Sigla Arte]:[Crédito]],2,0))</f>
        <v/>
      </c>
      <c r="Z3402" s="31"/>
      <c r="AA3402" s="31" t="str">
        <f>Tabela2[[#This Row],[ILUSTRADOR CRIAÇÃO]]</f>
        <v/>
      </c>
      <c r="AB3402" s="33"/>
      <c r="AC3402" s="16"/>
      <c r="AE3402" s="35" t="str">
        <f t="shared" si="54"/>
        <v>EF1 E002 Mat</v>
      </c>
    </row>
    <row r="3403" spans="1:31" x14ac:dyDescent="0.25">
      <c r="A3403" s="31"/>
      <c r="B3403" s="16"/>
      <c r="C3403" s="16"/>
      <c r="D3403" s="33"/>
      <c r="E3403" s="33"/>
      <c r="F3403" s="33"/>
      <c r="G3403" s="33"/>
      <c r="H3403" s="33"/>
      <c r="I3403" s="31"/>
      <c r="J3403" s="31"/>
      <c r="K3403" s="33"/>
      <c r="L3403" s="33"/>
      <c r="M3403" s="31"/>
      <c r="N3403" s="31"/>
      <c r="O3403" s="16"/>
      <c r="P3403" s="16"/>
      <c r="Q3403" s="16"/>
      <c r="R3403" s="33"/>
      <c r="S3403" s="34"/>
      <c r="T3403" s="34"/>
      <c r="U3403" s="34"/>
      <c r="V3403" s="34"/>
      <c r="W3403" s="34"/>
      <c r="X3403" s="33"/>
      <c r="Y3403" s="35" t="str">
        <f>IF(Tabela2[[#This Row],[SIGLA]]="","",VLOOKUP(Tabela2[[#This Row],[SIGLA]],Tabela1[[#All],[Sigla Arte]:[Crédito]],2,0))</f>
        <v/>
      </c>
      <c r="Z3403" s="31"/>
      <c r="AA3403" s="31" t="str">
        <f>Tabela2[[#This Row],[ILUSTRADOR CRIAÇÃO]]</f>
        <v/>
      </c>
      <c r="AB3403" s="33"/>
      <c r="AC3403" s="16"/>
      <c r="AE3403" s="35" t="str">
        <f t="shared" si="54"/>
        <v>EF1 E002 Mat</v>
      </c>
    </row>
    <row r="3404" spans="1:31" x14ac:dyDescent="0.25">
      <c r="A3404" s="31"/>
      <c r="B3404" s="16"/>
      <c r="C3404" s="16"/>
      <c r="D3404" s="33"/>
      <c r="E3404" s="33"/>
      <c r="F3404" s="33"/>
      <c r="G3404" s="33"/>
      <c r="H3404" s="33"/>
      <c r="I3404" s="31"/>
      <c r="J3404" s="31"/>
      <c r="K3404" s="33"/>
      <c r="L3404" s="33"/>
      <c r="M3404" s="31"/>
      <c r="N3404" s="31"/>
      <c r="O3404" s="16"/>
      <c r="P3404" s="16"/>
      <c r="Q3404" s="16"/>
      <c r="R3404" s="33"/>
      <c r="S3404" s="34"/>
      <c r="T3404" s="34"/>
      <c r="U3404" s="34"/>
      <c r="V3404" s="34"/>
      <c r="W3404" s="34"/>
      <c r="X3404" s="33"/>
      <c r="Y3404" s="35" t="str">
        <f>IF(Tabela2[[#This Row],[SIGLA]]="","",VLOOKUP(Tabela2[[#This Row],[SIGLA]],Tabela1[[#All],[Sigla Arte]:[Crédito]],2,0))</f>
        <v/>
      </c>
      <c r="Z3404" s="31"/>
      <c r="AA3404" s="31" t="str">
        <f>Tabela2[[#This Row],[ILUSTRADOR CRIAÇÃO]]</f>
        <v/>
      </c>
      <c r="AB3404" s="33"/>
      <c r="AC3404" s="16"/>
      <c r="AE3404" s="35" t="str">
        <f t="shared" si="54"/>
        <v>EF1 E002 Mat</v>
      </c>
    </row>
    <row r="3405" spans="1:31" x14ac:dyDescent="0.25">
      <c r="A3405" s="31"/>
      <c r="B3405" s="16"/>
      <c r="C3405" s="16"/>
      <c r="D3405" s="33"/>
      <c r="E3405" s="33"/>
      <c r="F3405" s="33"/>
      <c r="G3405" s="33"/>
      <c r="H3405" s="33"/>
      <c r="I3405" s="31"/>
      <c r="J3405" s="31"/>
      <c r="K3405" s="33"/>
      <c r="L3405" s="33"/>
      <c r="M3405" s="31"/>
      <c r="N3405" s="31"/>
      <c r="O3405" s="16"/>
      <c r="P3405" s="16"/>
      <c r="Q3405" s="16"/>
      <c r="R3405" s="33"/>
      <c r="S3405" s="34"/>
      <c r="T3405" s="34"/>
      <c r="U3405" s="34"/>
      <c r="V3405" s="34"/>
      <c r="W3405" s="34"/>
      <c r="X3405" s="33"/>
      <c r="Y3405" s="35" t="str">
        <f>IF(Tabela2[[#This Row],[SIGLA]]="","",VLOOKUP(Tabela2[[#This Row],[SIGLA]],Tabela1[[#All],[Sigla Arte]:[Crédito]],2,0))</f>
        <v/>
      </c>
      <c r="Z3405" s="31"/>
      <c r="AA3405" s="31" t="str">
        <f>Tabela2[[#This Row],[ILUSTRADOR CRIAÇÃO]]</f>
        <v/>
      </c>
      <c r="AB3405" s="33"/>
      <c r="AC3405" s="16"/>
      <c r="AE3405" s="35" t="str">
        <f t="shared" si="54"/>
        <v>EF1 E002 Mat</v>
      </c>
    </row>
    <row r="3406" spans="1:31" x14ac:dyDescent="0.25">
      <c r="A3406" s="31"/>
      <c r="B3406" s="16"/>
      <c r="C3406" s="16"/>
      <c r="D3406" s="33"/>
      <c r="E3406" s="33"/>
      <c r="F3406" s="33"/>
      <c r="G3406" s="33"/>
      <c r="H3406" s="33"/>
      <c r="I3406" s="31"/>
      <c r="J3406" s="31"/>
      <c r="K3406" s="33"/>
      <c r="L3406" s="33"/>
      <c r="M3406" s="31"/>
      <c r="N3406" s="31"/>
      <c r="O3406" s="16"/>
      <c r="P3406" s="16"/>
      <c r="Q3406" s="16"/>
      <c r="R3406" s="33"/>
      <c r="S3406" s="34"/>
      <c r="T3406" s="34"/>
      <c r="U3406" s="34"/>
      <c r="V3406" s="34"/>
      <c r="W3406" s="34"/>
      <c r="X3406" s="33"/>
      <c r="Y3406" s="35" t="str">
        <f>IF(Tabela2[[#This Row],[SIGLA]]="","",VLOOKUP(Tabela2[[#This Row],[SIGLA]],Tabela1[[#All],[Sigla Arte]:[Crédito]],2,0))</f>
        <v/>
      </c>
      <c r="Z3406" s="31"/>
      <c r="AA3406" s="31" t="str">
        <f>Tabela2[[#This Row],[ILUSTRADOR CRIAÇÃO]]</f>
        <v/>
      </c>
      <c r="AB3406" s="33"/>
      <c r="AC3406" s="16"/>
      <c r="AE3406" s="35" t="str">
        <f t="shared" si="54"/>
        <v>EF1 E002 Mat</v>
      </c>
    </row>
    <row r="3407" spans="1:31" x14ac:dyDescent="0.25">
      <c r="A3407" s="31"/>
      <c r="B3407" s="16"/>
      <c r="C3407" s="16"/>
      <c r="D3407" s="33"/>
      <c r="E3407" s="33"/>
      <c r="F3407" s="33"/>
      <c r="G3407" s="33"/>
      <c r="H3407" s="33"/>
      <c r="I3407" s="31"/>
      <c r="J3407" s="31"/>
      <c r="K3407" s="33"/>
      <c r="L3407" s="33"/>
      <c r="M3407" s="31"/>
      <c r="N3407" s="31"/>
      <c r="O3407" s="16"/>
      <c r="P3407" s="16"/>
      <c r="Q3407" s="16"/>
      <c r="R3407" s="33"/>
      <c r="S3407" s="34"/>
      <c r="T3407" s="34"/>
      <c r="U3407" s="34"/>
      <c r="V3407" s="34"/>
      <c r="W3407" s="34"/>
      <c r="X3407" s="33"/>
      <c r="Y3407" s="35" t="str">
        <f>IF(Tabela2[[#This Row],[SIGLA]]="","",VLOOKUP(Tabela2[[#This Row],[SIGLA]],Tabela1[[#All],[Sigla Arte]:[Crédito]],2,0))</f>
        <v/>
      </c>
      <c r="Z3407" s="31"/>
      <c r="AA3407" s="31" t="str">
        <f>Tabela2[[#This Row],[ILUSTRADOR CRIAÇÃO]]</f>
        <v/>
      </c>
      <c r="AB3407" s="33"/>
      <c r="AC3407" s="16"/>
      <c r="AE3407" s="35" t="str">
        <f t="shared" si="54"/>
        <v>EF1 E002 Mat</v>
      </c>
    </row>
    <row r="3408" spans="1:31" x14ac:dyDescent="0.25">
      <c r="A3408" s="31"/>
      <c r="B3408" s="16"/>
      <c r="C3408" s="16"/>
      <c r="D3408" s="33"/>
      <c r="E3408" s="33"/>
      <c r="F3408" s="33"/>
      <c r="G3408" s="33"/>
      <c r="H3408" s="33"/>
      <c r="I3408" s="31"/>
      <c r="J3408" s="31"/>
      <c r="K3408" s="33"/>
      <c r="L3408" s="33"/>
      <c r="M3408" s="31"/>
      <c r="N3408" s="31"/>
      <c r="O3408" s="16"/>
      <c r="P3408" s="16"/>
      <c r="Q3408" s="16"/>
      <c r="R3408" s="33"/>
      <c r="S3408" s="34"/>
      <c r="T3408" s="34"/>
      <c r="U3408" s="34"/>
      <c r="V3408" s="34"/>
      <c r="W3408" s="34"/>
      <c r="X3408" s="33"/>
      <c r="Y3408" s="35" t="str">
        <f>IF(Tabela2[[#This Row],[SIGLA]]="","",VLOOKUP(Tabela2[[#This Row],[SIGLA]],Tabela1[[#All],[Sigla Arte]:[Crédito]],2,0))</f>
        <v/>
      </c>
      <c r="Z3408" s="31"/>
      <c r="AA3408" s="31" t="str">
        <f>Tabela2[[#This Row],[ILUSTRADOR CRIAÇÃO]]</f>
        <v/>
      </c>
      <c r="AB3408" s="33"/>
      <c r="AC3408" s="16"/>
      <c r="AE3408" s="35" t="str">
        <f t="shared" si="54"/>
        <v>EF1 E002 Mat</v>
      </c>
    </row>
    <row r="3409" spans="1:31" x14ac:dyDescent="0.25">
      <c r="A3409" s="31"/>
      <c r="B3409" s="16"/>
      <c r="C3409" s="16"/>
      <c r="D3409" s="33"/>
      <c r="E3409" s="33"/>
      <c r="F3409" s="33"/>
      <c r="G3409" s="33"/>
      <c r="H3409" s="33"/>
      <c r="I3409" s="31"/>
      <c r="J3409" s="31"/>
      <c r="K3409" s="33"/>
      <c r="L3409" s="33"/>
      <c r="M3409" s="31"/>
      <c r="N3409" s="31"/>
      <c r="O3409" s="16"/>
      <c r="P3409" s="16"/>
      <c r="Q3409" s="16"/>
      <c r="R3409" s="33"/>
      <c r="S3409" s="34"/>
      <c r="T3409" s="34"/>
      <c r="U3409" s="34"/>
      <c r="V3409" s="34"/>
      <c r="W3409" s="34"/>
      <c r="X3409" s="33"/>
      <c r="Y3409" s="35" t="str">
        <f>IF(Tabela2[[#This Row],[SIGLA]]="","",VLOOKUP(Tabela2[[#This Row],[SIGLA]],Tabela1[[#All],[Sigla Arte]:[Crédito]],2,0))</f>
        <v/>
      </c>
      <c r="Z3409" s="31"/>
      <c r="AA3409" s="31" t="str">
        <f>Tabela2[[#This Row],[ILUSTRADOR CRIAÇÃO]]</f>
        <v/>
      </c>
      <c r="AB3409" s="33"/>
      <c r="AC3409" s="16"/>
      <c r="AE3409" s="35" t="str">
        <f t="shared" si="54"/>
        <v>EF1 E002 Mat</v>
      </c>
    </row>
    <row r="3410" spans="1:31" x14ac:dyDescent="0.25">
      <c r="A3410" s="31"/>
      <c r="B3410" s="16"/>
      <c r="C3410" s="16"/>
      <c r="D3410" s="33"/>
      <c r="E3410" s="33"/>
      <c r="F3410" s="33"/>
      <c r="G3410" s="33"/>
      <c r="H3410" s="33"/>
      <c r="I3410" s="31"/>
      <c r="J3410" s="31"/>
      <c r="K3410" s="33"/>
      <c r="L3410" s="33"/>
      <c r="M3410" s="31"/>
      <c r="N3410" s="31"/>
      <c r="O3410" s="16"/>
      <c r="P3410" s="16"/>
      <c r="Q3410" s="16"/>
      <c r="R3410" s="33"/>
      <c r="S3410" s="34"/>
      <c r="T3410" s="34"/>
      <c r="U3410" s="34"/>
      <c r="V3410" s="34"/>
      <c r="W3410" s="34"/>
      <c r="X3410" s="33"/>
      <c r="Y3410" s="35" t="str">
        <f>IF(Tabela2[[#This Row],[SIGLA]]="","",VLOOKUP(Tabela2[[#This Row],[SIGLA]],Tabela1[[#All],[Sigla Arte]:[Crédito]],2,0))</f>
        <v/>
      </c>
      <c r="Z3410" s="31"/>
      <c r="AA3410" s="31" t="str">
        <f>Tabela2[[#This Row],[ILUSTRADOR CRIAÇÃO]]</f>
        <v/>
      </c>
      <c r="AB3410" s="33"/>
      <c r="AC3410" s="16"/>
      <c r="AE3410" s="35" t="str">
        <f t="shared" si="54"/>
        <v>EF1 E002 Mat</v>
      </c>
    </row>
    <row r="3411" spans="1:31" x14ac:dyDescent="0.25">
      <c r="A3411" s="31"/>
      <c r="B3411" s="16"/>
      <c r="C3411" s="16"/>
      <c r="D3411" s="33"/>
      <c r="E3411" s="33"/>
      <c r="F3411" s="33"/>
      <c r="G3411" s="33"/>
      <c r="H3411" s="33"/>
      <c r="I3411" s="31"/>
      <c r="J3411" s="31"/>
      <c r="K3411" s="33"/>
      <c r="L3411" s="33"/>
      <c r="M3411" s="31"/>
      <c r="N3411" s="31"/>
      <c r="O3411" s="16"/>
      <c r="P3411" s="16"/>
      <c r="Q3411" s="16"/>
      <c r="R3411" s="33"/>
      <c r="S3411" s="34"/>
      <c r="T3411" s="34"/>
      <c r="U3411" s="34"/>
      <c r="V3411" s="34"/>
      <c r="W3411" s="34"/>
      <c r="X3411" s="33"/>
      <c r="Y3411" s="35" t="str">
        <f>IF(Tabela2[[#This Row],[SIGLA]]="","",VLOOKUP(Tabela2[[#This Row],[SIGLA]],Tabela1[[#All],[Sigla Arte]:[Crédito]],2,0))</f>
        <v/>
      </c>
      <c r="Z3411" s="31"/>
      <c r="AA3411" s="31" t="str">
        <f>Tabela2[[#This Row],[ILUSTRADOR CRIAÇÃO]]</f>
        <v/>
      </c>
      <c r="AB3411" s="33"/>
      <c r="AC3411" s="16"/>
      <c r="AE3411" s="35" t="str">
        <f t="shared" si="54"/>
        <v>EF1 E002 Mat</v>
      </c>
    </row>
    <row r="3412" spans="1:31" x14ac:dyDescent="0.25">
      <c r="A3412" s="31"/>
      <c r="B3412" s="16"/>
      <c r="C3412" s="16"/>
      <c r="D3412" s="33"/>
      <c r="E3412" s="33"/>
      <c r="F3412" s="33"/>
      <c r="G3412" s="33"/>
      <c r="H3412" s="33"/>
      <c r="I3412" s="31"/>
      <c r="J3412" s="31"/>
      <c r="K3412" s="33"/>
      <c r="L3412" s="33"/>
      <c r="M3412" s="31"/>
      <c r="N3412" s="31"/>
      <c r="O3412" s="16"/>
      <c r="P3412" s="16"/>
      <c r="Q3412" s="16"/>
      <c r="R3412" s="33"/>
      <c r="S3412" s="34"/>
      <c r="T3412" s="34"/>
      <c r="U3412" s="34"/>
      <c r="V3412" s="34"/>
      <c r="W3412" s="34"/>
      <c r="X3412" s="33"/>
      <c r="Y3412" s="35" t="str">
        <f>IF(Tabela2[[#This Row],[SIGLA]]="","",VLOOKUP(Tabela2[[#This Row],[SIGLA]],Tabela1[[#All],[Sigla Arte]:[Crédito]],2,0))</f>
        <v/>
      </c>
      <c r="Z3412" s="31"/>
      <c r="AA3412" s="31" t="str">
        <f>Tabela2[[#This Row],[ILUSTRADOR CRIAÇÃO]]</f>
        <v/>
      </c>
      <c r="AB3412" s="33"/>
      <c r="AC3412" s="16"/>
      <c r="AE3412" s="35" t="str">
        <f t="shared" si="54"/>
        <v>EF1 E002 Mat</v>
      </c>
    </row>
    <row r="3413" spans="1:31" x14ac:dyDescent="0.25">
      <c r="A3413" s="31"/>
      <c r="B3413" s="16"/>
      <c r="C3413" s="16"/>
      <c r="D3413" s="33"/>
      <c r="E3413" s="33"/>
      <c r="F3413" s="33"/>
      <c r="G3413" s="33"/>
      <c r="H3413" s="33"/>
      <c r="I3413" s="31"/>
      <c r="J3413" s="31"/>
      <c r="K3413" s="33"/>
      <c r="L3413" s="33"/>
      <c r="M3413" s="31"/>
      <c r="N3413" s="31"/>
      <c r="O3413" s="16"/>
      <c r="P3413" s="16"/>
      <c r="Q3413" s="16"/>
      <c r="R3413" s="33"/>
      <c r="S3413" s="34"/>
      <c r="T3413" s="34"/>
      <c r="U3413" s="34"/>
      <c r="V3413" s="34"/>
      <c r="W3413" s="34"/>
      <c r="X3413" s="33"/>
      <c r="Y3413" s="35" t="str">
        <f>IF(Tabela2[[#This Row],[SIGLA]]="","",VLOOKUP(Tabela2[[#This Row],[SIGLA]],Tabela1[[#All],[Sigla Arte]:[Crédito]],2,0))</f>
        <v/>
      </c>
      <c r="Z3413" s="31"/>
      <c r="AA3413" s="31" t="str">
        <f>Tabela2[[#This Row],[ILUSTRADOR CRIAÇÃO]]</f>
        <v/>
      </c>
      <c r="AB3413" s="33"/>
      <c r="AC3413" s="16"/>
      <c r="AE3413" s="35" t="str">
        <f t="shared" si="54"/>
        <v>EF1 E002 Mat</v>
      </c>
    </row>
    <row r="3414" spans="1:31" x14ac:dyDescent="0.25">
      <c r="A3414" s="31"/>
      <c r="B3414" s="16"/>
      <c r="C3414" s="16"/>
      <c r="D3414" s="33"/>
      <c r="E3414" s="33"/>
      <c r="F3414" s="33"/>
      <c r="G3414" s="33"/>
      <c r="H3414" s="33"/>
      <c r="I3414" s="31"/>
      <c r="J3414" s="31"/>
      <c r="K3414" s="33"/>
      <c r="L3414" s="33"/>
      <c r="M3414" s="31"/>
      <c r="N3414" s="31"/>
      <c r="O3414" s="16"/>
      <c r="P3414" s="16"/>
      <c r="Q3414" s="16"/>
      <c r="R3414" s="33"/>
      <c r="S3414" s="34"/>
      <c r="T3414" s="34"/>
      <c r="U3414" s="34"/>
      <c r="V3414" s="34"/>
      <c r="W3414" s="34"/>
      <c r="X3414" s="33"/>
      <c r="Y3414" s="35" t="str">
        <f>IF(Tabela2[[#This Row],[SIGLA]]="","",VLOOKUP(Tabela2[[#This Row],[SIGLA]],Tabela1[[#All],[Sigla Arte]:[Crédito]],2,0))</f>
        <v/>
      </c>
      <c r="Z3414" s="31"/>
      <c r="AA3414" s="31" t="str">
        <f>Tabela2[[#This Row],[ILUSTRADOR CRIAÇÃO]]</f>
        <v/>
      </c>
      <c r="AB3414" s="33"/>
      <c r="AC3414" s="16"/>
      <c r="AE3414" s="35" t="str">
        <f t="shared" si="54"/>
        <v>EF1 E002 Mat</v>
      </c>
    </row>
    <row r="3415" spans="1:31" x14ac:dyDescent="0.25">
      <c r="A3415" s="31"/>
      <c r="B3415" s="16"/>
      <c r="C3415" s="16"/>
      <c r="D3415" s="33"/>
      <c r="E3415" s="33"/>
      <c r="F3415" s="33"/>
      <c r="G3415" s="33"/>
      <c r="H3415" s="33"/>
      <c r="I3415" s="31"/>
      <c r="J3415" s="31"/>
      <c r="K3415" s="33"/>
      <c r="L3415" s="33"/>
      <c r="M3415" s="31"/>
      <c r="N3415" s="31"/>
      <c r="O3415" s="16"/>
      <c r="P3415" s="16"/>
      <c r="Q3415" s="16"/>
      <c r="R3415" s="33"/>
      <c r="S3415" s="34"/>
      <c r="T3415" s="34"/>
      <c r="U3415" s="34"/>
      <c r="V3415" s="34"/>
      <c r="W3415" s="34"/>
      <c r="X3415" s="33"/>
      <c r="Y3415" s="35" t="str">
        <f>IF(Tabela2[[#This Row],[SIGLA]]="","",VLOOKUP(Tabela2[[#This Row],[SIGLA]],Tabela1[[#All],[Sigla Arte]:[Crédito]],2,0))</f>
        <v/>
      </c>
      <c r="Z3415" s="31"/>
      <c r="AA3415" s="31" t="str">
        <f>Tabela2[[#This Row],[ILUSTRADOR CRIAÇÃO]]</f>
        <v/>
      </c>
      <c r="AB3415" s="33"/>
      <c r="AC3415" s="16"/>
      <c r="AE3415" s="35" t="str">
        <f t="shared" si="54"/>
        <v>EF1 E002 Mat</v>
      </c>
    </row>
    <row r="3416" spans="1:31" x14ac:dyDescent="0.25">
      <c r="A3416" s="31"/>
      <c r="B3416" s="16"/>
      <c r="C3416" s="16"/>
      <c r="D3416" s="33"/>
      <c r="E3416" s="33"/>
      <c r="F3416" s="33"/>
      <c r="G3416" s="33"/>
      <c r="H3416" s="33"/>
      <c r="I3416" s="31"/>
      <c r="J3416" s="31"/>
      <c r="K3416" s="33"/>
      <c r="L3416" s="33"/>
      <c r="M3416" s="31"/>
      <c r="N3416" s="31"/>
      <c r="O3416" s="16"/>
      <c r="P3416" s="16"/>
      <c r="Q3416" s="16"/>
      <c r="R3416" s="33"/>
      <c r="S3416" s="34"/>
      <c r="T3416" s="34"/>
      <c r="U3416" s="34"/>
      <c r="V3416" s="34"/>
      <c r="W3416" s="34"/>
      <c r="X3416" s="33"/>
      <c r="Y3416" s="35" t="str">
        <f>IF(Tabela2[[#This Row],[SIGLA]]="","",VLOOKUP(Tabela2[[#This Row],[SIGLA]],Tabela1[[#All],[Sigla Arte]:[Crédito]],2,0))</f>
        <v/>
      </c>
      <c r="Z3416" s="31"/>
      <c r="AA3416" s="31" t="str">
        <f>Tabela2[[#This Row],[ILUSTRADOR CRIAÇÃO]]</f>
        <v/>
      </c>
      <c r="AB3416" s="33"/>
      <c r="AC3416" s="16"/>
      <c r="AE3416" s="35" t="str">
        <f t="shared" si="54"/>
        <v>EF1 E002 Mat</v>
      </c>
    </row>
    <row r="3417" spans="1:31" x14ac:dyDescent="0.25">
      <c r="A3417" s="31"/>
      <c r="B3417" s="16"/>
      <c r="C3417" s="16"/>
      <c r="D3417" s="33"/>
      <c r="E3417" s="33"/>
      <c r="F3417" s="33"/>
      <c r="G3417" s="33"/>
      <c r="H3417" s="33"/>
      <c r="I3417" s="31"/>
      <c r="J3417" s="31"/>
      <c r="K3417" s="33"/>
      <c r="L3417" s="33"/>
      <c r="M3417" s="31"/>
      <c r="N3417" s="31"/>
      <c r="O3417" s="16"/>
      <c r="P3417" s="16"/>
      <c r="Q3417" s="16"/>
      <c r="R3417" s="33"/>
      <c r="S3417" s="34"/>
      <c r="T3417" s="34"/>
      <c r="U3417" s="34"/>
      <c r="V3417" s="34"/>
      <c r="W3417" s="34"/>
      <c r="X3417" s="33"/>
      <c r="Y3417" s="35" t="str">
        <f>IF(Tabela2[[#This Row],[SIGLA]]="","",VLOOKUP(Tabela2[[#This Row],[SIGLA]],Tabela1[[#All],[Sigla Arte]:[Crédito]],2,0))</f>
        <v/>
      </c>
      <c r="Z3417" s="31"/>
      <c r="AA3417" s="31" t="str">
        <f>Tabela2[[#This Row],[ILUSTRADOR CRIAÇÃO]]</f>
        <v/>
      </c>
      <c r="AB3417" s="33"/>
      <c r="AC3417" s="16"/>
      <c r="AE3417" s="35" t="str">
        <f t="shared" si="54"/>
        <v>EF1 E002 Mat</v>
      </c>
    </row>
    <row r="3418" spans="1:31" x14ac:dyDescent="0.25">
      <c r="A3418" s="31"/>
      <c r="B3418" s="16"/>
      <c r="C3418" s="16"/>
      <c r="D3418" s="33"/>
      <c r="E3418" s="33"/>
      <c r="F3418" s="33"/>
      <c r="G3418" s="33"/>
      <c r="H3418" s="33"/>
      <c r="I3418" s="31"/>
      <c r="J3418" s="31"/>
      <c r="K3418" s="33"/>
      <c r="L3418" s="33"/>
      <c r="M3418" s="31"/>
      <c r="N3418" s="31"/>
      <c r="O3418" s="16"/>
      <c r="P3418" s="16"/>
      <c r="Q3418" s="16"/>
      <c r="R3418" s="33"/>
      <c r="S3418" s="34"/>
      <c r="T3418" s="34"/>
      <c r="U3418" s="34"/>
      <c r="V3418" s="34"/>
      <c r="W3418" s="34"/>
      <c r="X3418" s="33"/>
      <c r="Y3418" s="35" t="str">
        <f>IF(Tabela2[[#This Row],[SIGLA]]="","",VLOOKUP(Tabela2[[#This Row],[SIGLA]],Tabela1[[#All],[Sigla Arte]:[Crédito]],2,0))</f>
        <v/>
      </c>
      <c r="Z3418" s="31"/>
      <c r="AA3418" s="31" t="str">
        <f>Tabela2[[#This Row],[ILUSTRADOR CRIAÇÃO]]</f>
        <v/>
      </c>
      <c r="AB3418" s="33"/>
      <c r="AC3418" s="16"/>
      <c r="AE3418" s="35" t="str">
        <f t="shared" si="54"/>
        <v>EF1 E002 Mat</v>
      </c>
    </row>
    <row r="3419" spans="1:31" x14ac:dyDescent="0.25">
      <c r="A3419" s="31"/>
      <c r="B3419" s="16"/>
      <c r="C3419" s="16"/>
      <c r="D3419" s="33"/>
      <c r="E3419" s="33"/>
      <c r="F3419" s="33"/>
      <c r="G3419" s="33"/>
      <c r="H3419" s="33"/>
      <c r="I3419" s="31"/>
      <c r="J3419" s="31"/>
      <c r="K3419" s="33"/>
      <c r="L3419" s="33"/>
      <c r="M3419" s="31"/>
      <c r="N3419" s="31"/>
      <c r="O3419" s="16"/>
      <c r="P3419" s="16"/>
      <c r="Q3419" s="16"/>
      <c r="R3419" s="33"/>
      <c r="S3419" s="34"/>
      <c r="T3419" s="34"/>
      <c r="U3419" s="34"/>
      <c r="V3419" s="34"/>
      <c r="W3419" s="34"/>
      <c r="X3419" s="33"/>
      <c r="Y3419" s="35" t="str">
        <f>IF(Tabela2[[#This Row],[SIGLA]]="","",VLOOKUP(Tabela2[[#This Row],[SIGLA]],Tabela1[[#All],[Sigla Arte]:[Crédito]],2,0))</f>
        <v/>
      </c>
      <c r="Z3419" s="31"/>
      <c r="AA3419" s="31" t="str">
        <f>Tabela2[[#This Row],[ILUSTRADOR CRIAÇÃO]]</f>
        <v/>
      </c>
      <c r="AB3419" s="33"/>
      <c r="AC3419" s="16"/>
      <c r="AE3419" s="35" t="str">
        <f t="shared" si="54"/>
        <v>EF1 E002 Mat</v>
      </c>
    </row>
    <row r="3420" spans="1:31" x14ac:dyDescent="0.25">
      <c r="A3420" s="31"/>
      <c r="B3420" s="16"/>
      <c r="C3420" s="16"/>
      <c r="D3420" s="33"/>
      <c r="E3420" s="33"/>
      <c r="F3420" s="33"/>
      <c r="G3420" s="33"/>
      <c r="H3420" s="33"/>
      <c r="I3420" s="31"/>
      <c r="J3420" s="31"/>
      <c r="K3420" s="33"/>
      <c r="L3420" s="33"/>
      <c r="M3420" s="31"/>
      <c r="N3420" s="31"/>
      <c r="O3420" s="16"/>
      <c r="P3420" s="16"/>
      <c r="Q3420" s="16"/>
      <c r="R3420" s="33"/>
      <c r="S3420" s="34"/>
      <c r="T3420" s="34"/>
      <c r="U3420" s="34"/>
      <c r="V3420" s="34"/>
      <c r="W3420" s="34"/>
      <c r="X3420" s="33"/>
      <c r="Y3420" s="35" t="str">
        <f>IF(Tabela2[[#This Row],[SIGLA]]="","",VLOOKUP(Tabela2[[#This Row],[SIGLA]],Tabela1[[#All],[Sigla Arte]:[Crédito]],2,0))</f>
        <v/>
      </c>
      <c r="Z3420" s="31"/>
      <c r="AA3420" s="31" t="str">
        <f>Tabela2[[#This Row],[ILUSTRADOR CRIAÇÃO]]</f>
        <v/>
      </c>
      <c r="AB3420" s="33"/>
      <c r="AC3420" s="16"/>
      <c r="AE3420" s="35" t="str">
        <f t="shared" si="54"/>
        <v>EF1 E002 Mat</v>
      </c>
    </row>
    <row r="3421" spans="1:31" x14ac:dyDescent="0.25">
      <c r="A3421" s="31"/>
      <c r="B3421" s="16"/>
      <c r="C3421" s="16"/>
      <c r="D3421" s="33"/>
      <c r="E3421" s="33"/>
      <c r="F3421" s="33"/>
      <c r="G3421" s="33"/>
      <c r="H3421" s="33"/>
      <c r="I3421" s="31"/>
      <c r="J3421" s="31"/>
      <c r="K3421" s="33"/>
      <c r="L3421" s="33"/>
      <c r="M3421" s="31"/>
      <c r="N3421" s="31"/>
      <c r="O3421" s="16"/>
      <c r="P3421" s="16"/>
      <c r="Q3421" s="16"/>
      <c r="R3421" s="33"/>
      <c r="S3421" s="34"/>
      <c r="T3421" s="34"/>
      <c r="U3421" s="34"/>
      <c r="V3421" s="34"/>
      <c r="W3421" s="34"/>
      <c r="X3421" s="33"/>
      <c r="Y3421" s="35" t="str">
        <f>IF(Tabela2[[#This Row],[SIGLA]]="","",VLOOKUP(Tabela2[[#This Row],[SIGLA]],Tabela1[[#All],[Sigla Arte]:[Crédito]],2,0))</f>
        <v/>
      </c>
      <c r="Z3421" s="31"/>
      <c r="AA3421" s="31" t="str">
        <f>Tabela2[[#This Row],[ILUSTRADOR CRIAÇÃO]]</f>
        <v/>
      </c>
      <c r="AB3421" s="33"/>
      <c r="AC3421" s="16"/>
      <c r="AE3421" s="35" t="str">
        <f t="shared" si="54"/>
        <v>EF1 E002 Mat</v>
      </c>
    </row>
    <row r="3422" spans="1:31" x14ac:dyDescent="0.25">
      <c r="A3422" s="31"/>
      <c r="B3422" s="16"/>
      <c r="C3422" s="16"/>
      <c r="D3422" s="33"/>
      <c r="E3422" s="33"/>
      <c r="F3422" s="33"/>
      <c r="G3422" s="33"/>
      <c r="H3422" s="33"/>
      <c r="I3422" s="31"/>
      <c r="J3422" s="31"/>
      <c r="K3422" s="33"/>
      <c r="L3422" s="33"/>
      <c r="M3422" s="31"/>
      <c r="N3422" s="31"/>
      <c r="O3422" s="16"/>
      <c r="P3422" s="16"/>
      <c r="Q3422" s="16"/>
      <c r="R3422" s="33"/>
      <c r="S3422" s="34"/>
      <c r="T3422" s="34"/>
      <c r="U3422" s="34"/>
      <c r="V3422" s="34"/>
      <c r="W3422" s="34"/>
      <c r="X3422" s="33"/>
      <c r="Y3422" s="35" t="str">
        <f>IF(Tabela2[[#This Row],[SIGLA]]="","",VLOOKUP(Tabela2[[#This Row],[SIGLA]],Tabela1[[#All],[Sigla Arte]:[Crédito]],2,0))</f>
        <v/>
      </c>
      <c r="Z3422" s="31"/>
      <c r="AA3422" s="31" t="str">
        <f>Tabela2[[#This Row],[ILUSTRADOR CRIAÇÃO]]</f>
        <v/>
      </c>
      <c r="AB3422" s="33"/>
      <c r="AC3422" s="16"/>
      <c r="AE3422" s="35" t="str">
        <f t="shared" si="54"/>
        <v>EF1 E002 Mat</v>
      </c>
    </row>
    <row r="3423" spans="1:31" x14ac:dyDescent="0.25">
      <c r="A3423" s="31"/>
      <c r="B3423" s="16"/>
      <c r="C3423" s="16"/>
      <c r="D3423" s="33"/>
      <c r="E3423" s="33"/>
      <c r="F3423" s="33"/>
      <c r="G3423" s="33"/>
      <c r="H3423" s="33"/>
      <c r="I3423" s="31"/>
      <c r="J3423" s="31"/>
      <c r="K3423" s="33"/>
      <c r="L3423" s="33"/>
      <c r="M3423" s="31"/>
      <c r="N3423" s="31"/>
      <c r="O3423" s="16"/>
      <c r="P3423" s="16"/>
      <c r="Q3423" s="16"/>
      <c r="R3423" s="33"/>
      <c r="S3423" s="34"/>
      <c r="T3423" s="34"/>
      <c r="U3423" s="34"/>
      <c r="V3423" s="34"/>
      <c r="W3423" s="34"/>
      <c r="X3423" s="33"/>
      <c r="Y3423" s="35" t="str">
        <f>IF(Tabela2[[#This Row],[SIGLA]]="","",VLOOKUP(Tabela2[[#This Row],[SIGLA]],Tabela1[[#All],[Sigla Arte]:[Crédito]],2,0))</f>
        <v/>
      </c>
      <c r="Z3423" s="31"/>
      <c r="AA3423" s="31" t="str">
        <f>Tabela2[[#This Row],[ILUSTRADOR CRIAÇÃO]]</f>
        <v/>
      </c>
      <c r="AB3423" s="33"/>
      <c r="AC3423" s="16"/>
      <c r="AE3423" s="35" t="str">
        <f t="shared" si="54"/>
        <v>EF1 E002 Mat</v>
      </c>
    </row>
    <row r="3424" spans="1:31" x14ac:dyDescent="0.25">
      <c r="A3424" s="31"/>
      <c r="B3424" s="16"/>
      <c r="C3424" s="16"/>
      <c r="D3424" s="33"/>
      <c r="E3424" s="33"/>
      <c r="F3424" s="33"/>
      <c r="G3424" s="33"/>
      <c r="H3424" s="33"/>
      <c r="I3424" s="31"/>
      <c r="J3424" s="31"/>
      <c r="K3424" s="33"/>
      <c r="L3424" s="33"/>
      <c r="M3424" s="31"/>
      <c r="N3424" s="31"/>
      <c r="O3424" s="16"/>
      <c r="P3424" s="16"/>
      <c r="Q3424" s="16"/>
      <c r="R3424" s="33"/>
      <c r="S3424" s="34"/>
      <c r="T3424" s="34"/>
      <c r="U3424" s="34"/>
      <c r="V3424" s="34"/>
      <c r="W3424" s="34"/>
      <c r="X3424" s="33"/>
      <c r="Y3424" s="35" t="str">
        <f>IF(Tabela2[[#This Row],[SIGLA]]="","",VLOOKUP(Tabela2[[#This Row],[SIGLA]],Tabela1[[#All],[Sigla Arte]:[Crédito]],2,0))</f>
        <v/>
      </c>
      <c r="Z3424" s="31"/>
      <c r="AA3424" s="31" t="str">
        <f>Tabela2[[#This Row],[ILUSTRADOR CRIAÇÃO]]</f>
        <v/>
      </c>
      <c r="AB3424" s="33"/>
      <c r="AC3424" s="16"/>
      <c r="AE3424" s="35" t="str">
        <f t="shared" si="54"/>
        <v>EF1 E002 Mat</v>
      </c>
    </row>
    <row r="3425" spans="1:31" x14ac:dyDescent="0.25">
      <c r="A3425" s="31"/>
      <c r="B3425" s="16"/>
      <c r="C3425" s="16"/>
      <c r="D3425" s="33"/>
      <c r="E3425" s="33"/>
      <c r="F3425" s="33"/>
      <c r="G3425" s="33"/>
      <c r="H3425" s="33"/>
      <c r="I3425" s="31"/>
      <c r="J3425" s="31"/>
      <c r="K3425" s="33"/>
      <c r="L3425" s="33"/>
      <c r="M3425" s="31"/>
      <c r="N3425" s="31"/>
      <c r="O3425" s="16"/>
      <c r="P3425" s="16"/>
      <c r="Q3425" s="16"/>
      <c r="R3425" s="33"/>
      <c r="S3425" s="34"/>
      <c r="T3425" s="34"/>
      <c r="U3425" s="34"/>
      <c r="V3425" s="34"/>
      <c r="W3425" s="34"/>
      <c r="X3425" s="33"/>
      <c r="Y3425" s="35" t="str">
        <f>IF(Tabela2[[#This Row],[SIGLA]]="","",VLOOKUP(Tabela2[[#This Row],[SIGLA]],Tabela1[[#All],[Sigla Arte]:[Crédito]],2,0))</f>
        <v/>
      </c>
      <c r="Z3425" s="31"/>
      <c r="AA3425" s="31" t="str">
        <f>Tabela2[[#This Row],[ILUSTRADOR CRIAÇÃO]]</f>
        <v/>
      </c>
      <c r="AB3425" s="33"/>
      <c r="AC3425" s="16"/>
      <c r="AE3425" s="35" t="str">
        <f t="shared" si="54"/>
        <v>EF1 E002 Mat</v>
      </c>
    </row>
    <row r="3426" spans="1:31" x14ac:dyDescent="0.25">
      <c r="A3426" s="31"/>
      <c r="B3426" s="16"/>
      <c r="C3426" s="16"/>
      <c r="D3426" s="33"/>
      <c r="E3426" s="33"/>
      <c r="F3426" s="33"/>
      <c r="G3426" s="33"/>
      <c r="H3426" s="33"/>
      <c r="I3426" s="31"/>
      <c r="J3426" s="31"/>
      <c r="K3426" s="33"/>
      <c r="L3426" s="33"/>
      <c r="M3426" s="31"/>
      <c r="N3426" s="31"/>
      <c r="O3426" s="16"/>
      <c r="P3426" s="16"/>
      <c r="Q3426" s="16"/>
      <c r="R3426" s="33"/>
      <c r="S3426" s="34"/>
      <c r="T3426" s="34"/>
      <c r="U3426" s="34"/>
      <c r="V3426" s="34"/>
      <c r="W3426" s="34"/>
      <c r="X3426" s="33"/>
      <c r="Y3426" s="35" t="str">
        <f>IF(Tabela2[[#This Row],[SIGLA]]="","",VLOOKUP(Tabela2[[#This Row],[SIGLA]],Tabela1[[#All],[Sigla Arte]:[Crédito]],2,0))</f>
        <v/>
      </c>
      <c r="Z3426" s="31"/>
      <c r="AA3426" s="31" t="str">
        <f>Tabela2[[#This Row],[ILUSTRADOR CRIAÇÃO]]</f>
        <v/>
      </c>
      <c r="AB3426" s="33"/>
      <c r="AC3426" s="16"/>
      <c r="AE3426" s="35" t="str">
        <f t="shared" si="54"/>
        <v>EF1 E002 Mat</v>
      </c>
    </row>
    <row r="3427" spans="1:31" x14ac:dyDescent="0.25">
      <c r="A3427" s="31"/>
      <c r="B3427" s="16"/>
      <c r="C3427" s="16"/>
      <c r="D3427" s="33"/>
      <c r="E3427" s="33"/>
      <c r="F3427" s="33"/>
      <c r="G3427" s="33"/>
      <c r="H3427" s="33"/>
      <c r="I3427" s="31"/>
      <c r="J3427" s="31"/>
      <c r="K3427" s="33"/>
      <c r="L3427" s="33"/>
      <c r="M3427" s="31"/>
      <c r="N3427" s="31"/>
      <c r="O3427" s="16"/>
      <c r="P3427" s="16"/>
      <c r="Q3427" s="16"/>
      <c r="R3427" s="33"/>
      <c r="S3427" s="34"/>
      <c r="T3427" s="34"/>
      <c r="U3427" s="34"/>
      <c r="V3427" s="34"/>
      <c r="W3427" s="34"/>
      <c r="X3427" s="33"/>
      <c r="Y3427" s="35" t="str">
        <f>IF(Tabela2[[#This Row],[SIGLA]]="","",VLOOKUP(Tabela2[[#This Row],[SIGLA]],Tabela1[[#All],[Sigla Arte]:[Crédito]],2,0))</f>
        <v/>
      </c>
      <c r="Z3427" s="31"/>
      <c r="AA3427" s="31" t="str">
        <f>Tabela2[[#This Row],[ILUSTRADOR CRIAÇÃO]]</f>
        <v/>
      </c>
      <c r="AB3427" s="33"/>
      <c r="AC3427" s="16"/>
      <c r="AE3427" s="35" t="str">
        <f t="shared" si="54"/>
        <v>EF1 E002 Mat</v>
      </c>
    </row>
    <row r="3428" spans="1:31" x14ac:dyDescent="0.25">
      <c r="A3428" s="31"/>
      <c r="B3428" s="16"/>
      <c r="C3428" s="16"/>
      <c r="D3428" s="33"/>
      <c r="E3428" s="33"/>
      <c r="F3428" s="33"/>
      <c r="G3428" s="33"/>
      <c r="H3428" s="33"/>
      <c r="I3428" s="31"/>
      <c r="J3428" s="31"/>
      <c r="K3428" s="33"/>
      <c r="L3428" s="33"/>
      <c r="M3428" s="31"/>
      <c r="N3428" s="31"/>
      <c r="O3428" s="16"/>
      <c r="P3428" s="16"/>
      <c r="Q3428" s="16"/>
      <c r="R3428" s="33"/>
      <c r="S3428" s="34"/>
      <c r="T3428" s="34"/>
      <c r="U3428" s="34"/>
      <c r="V3428" s="34"/>
      <c r="W3428" s="34"/>
      <c r="X3428" s="33"/>
      <c r="Y3428" s="35" t="str">
        <f>IF(Tabela2[[#This Row],[SIGLA]]="","",VLOOKUP(Tabela2[[#This Row],[SIGLA]],Tabela1[[#All],[Sigla Arte]:[Crédito]],2,0))</f>
        <v/>
      </c>
      <c r="Z3428" s="31"/>
      <c r="AA3428" s="31" t="str">
        <f>Tabela2[[#This Row],[ILUSTRADOR CRIAÇÃO]]</f>
        <v/>
      </c>
      <c r="AB3428" s="33"/>
      <c r="AC3428" s="16"/>
      <c r="AE3428" s="35" t="str">
        <f t="shared" si="54"/>
        <v>EF1 E002 Mat</v>
      </c>
    </row>
    <row r="3429" spans="1:31" x14ac:dyDescent="0.25">
      <c r="A3429" s="31"/>
      <c r="B3429" s="16"/>
      <c r="C3429" s="16"/>
      <c r="D3429" s="33"/>
      <c r="E3429" s="33"/>
      <c r="F3429" s="33"/>
      <c r="G3429" s="33"/>
      <c r="H3429" s="33"/>
      <c r="I3429" s="31"/>
      <c r="J3429" s="31"/>
      <c r="K3429" s="33"/>
      <c r="L3429" s="33"/>
      <c r="M3429" s="31"/>
      <c r="N3429" s="31"/>
      <c r="O3429" s="16"/>
      <c r="P3429" s="16"/>
      <c r="Q3429" s="16"/>
      <c r="R3429" s="33"/>
      <c r="S3429" s="34"/>
      <c r="T3429" s="34"/>
      <c r="U3429" s="34"/>
      <c r="V3429" s="34"/>
      <c r="W3429" s="34"/>
      <c r="X3429" s="33"/>
      <c r="Y3429" s="35" t="str">
        <f>IF(Tabela2[[#This Row],[SIGLA]]="","",VLOOKUP(Tabela2[[#This Row],[SIGLA]],Tabela1[[#All],[Sigla Arte]:[Crédito]],2,0))</f>
        <v/>
      </c>
      <c r="Z3429" s="31"/>
      <c r="AA3429" s="31" t="str">
        <f>Tabela2[[#This Row],[ILUSTRADOR CRIAÇÃO]]</f>
        <v/>
      </c>
      <c r="AB3429" s="33"/>
      <c r="AC3429" s="16"/>
      <c r="AE3429" s="35" t="str">
        <f t="shared" si="54"/>
        <v>EF1 E002 Mat</v>
      </c>
    </row>
    <row r="3430" spans="1:31" x14ac:dyDescent="0.25">
      <c r="A3430" s="31"/>
      <c r="B3430" s="16"/>
      <c r="C3430" s="16"/>
      <c r="D3430" s="33"/>
      <c r="E3430" s="33"/>
      <c r="F3430" s="33"/>
      <c r="G3430" s="33"/>
      <c r="H3430" s="33"/>
      <c r="I3430" s="31"/>
      <c r="J3430" s="31"/>
      <c r="K3430" s="33"/>
      <c r="L3430" s="33"/>
      <c r="M3430" s="31"/>
      <c r="N3430" s="31"/>
      <c r="O3430" s="16"/>
      <c r="P3430" s="16"/>
      <c r="Q3430" s="16"/>
      <c r="R3430" s="33"/>
      <c r="S3430" s="34"/>
      <c r="T3430" s="34"/>
      <c r="U3430" s="34"/>
      <c r="V3430" s="34"/>
      <c r="W3430" s="34"/>
      <c r="X3430" s="33"/>
      <c r="Y3430" s="35" t="str">
        <f>IF(Tabela2[[#This Row],[SIGLA]]="","",VLOOKUP(Tabela2[[#This Row],[SIGLA]],Tabela1[[#All],[Sigla Arte]:[Crédito]],2,0))</f>
        <v/>
      </c>
      <c r="Z3430" s="31"/>
      <c r="AA3430" s="31" t="str">
        <f>Tabela2[[#This Row],[ILUSTRADOR CRIAÇÃO]]</f>
        <v/>
      </c>
      <c r="AB3430" s="33"/>
      <c r="AC3430" s="16"/>
      <c r="AE3430" s="35" t="str">
        <f t="shared" si="54"/>
        <v>EF1 E002 Mat</v>
      </c>
    </row>
    <row r="3431" spans="1:31" x14ac:dyDescent="0.25">
      <c r="A3431" s="31"/>
      <c r="B3431" s="16"/>
      <c r="C3431" s="16"/>
      <c r="D3431" s="33"/>
      <c r="E3431" s="33"/>
      <c r="F3431" s="33"/>
      <c r="G3431" s="33"/>
      <c r="H3431" s="33"/>
      <c r="I3431" s="31"/>
      <c r="J3431" s="31"/>
      <c r="K3431" s="33"/>
      <c r="L3431" s="33"/>
      <c r="M3431" s="31"/>
      <c r="N3431" s="31"/>
      <c r="O3431" s="16"/>
      <c r="P3431" s="16"/>
      <c r="Q3431" s="16"/>
      <c r="R3431" s="33"/>
      <c r="S3431" s="34"/>
      <c r="T3431" s="34"/>
      <c r="U3431" s="34"/>
      <c r="V3431" s="34"/>
      <c r="W3431" s="34"/>
      <c r="X3431" s="33"/>
      <c r="Y3431" s="35" t="str">
        <f>IF(Tabela2[[#This Row],[SIGLA]]="","",VLOOKUP(Tabela2[[#This Row],[SIGLA]],Tabela1[[#All],[Sigla Arte]:[Crédito]],2,0))</f>
        <v/>
      </c>
      <c r="Z3431" s="31"/>
      <c r="AA3431" s="31" t="str">
        <f>Tabela2[[#This Row],[ILUSTRADOR CRIAÇÃO]]</f>
        <v/>
      </c>
      <c r="AB3431" s="33"/>
      <c r="AC3431" s="16"/>
      <c r="AE3431" s="35" t="str">
        <f t="shared" si="54"/>
        <v>EF1 E002 Mat</v>
      </c>
    </row>
    <row r="3432" spans="1:31" x14ac:dyDescent="0.25">
      <c r="A3432" s="31"/>
      <c r="B3432" s="16"/>
      <c r="C3432" s="16"/>
      <c r="D3432" s="33"/>
      <c r="E3432" s="33"/>
      <c r="F3432" s="33"/>
      <c r="G3432" s="33"/>
      <c r="H3432" s="33"/>
      <c r="I3432" s="31"/>
      <c r="J3432" s="31"/>
      <c r="K3432" s="33"/>
      <c r="L3432" s="33"/>
      <c r="M3432" s="31"/>
      <c r="N3432" s="31"/>
      <c r="O3432" s="16"/>
      <c r="P3432" s="16"/>
      <c r="Q3432" s="16"/>
      <c r="R3432" s="33"/>
      <c r="S3432" s="34"/>
      <c r="T3432" s="34"/>
      <c r="U3432" s="34"/>
      <c r="V3432" s="34"/>
      <c r="W3432" s="34"/>
      <c r="X3432" s="33"/>
      <c r="Y3432" s="35" t="str">
        <f>IF(Tabela2[[#This Row],[SIGLA]]="","",VLOOKUP(Tabela2[[#This Row],[SIGLA]],Tabela1[[#All],[Sigla Arte]:[Crédito]],2,0))</f>
        <v/>
      </c>
      <c r="Z3432" s="31"/>
      <c r="AA3432" s="31" t="str">
        <f>Tabela2[[#This Row],[ILUSTRADOR CRIAÇÃO]]</f>
        <v/>
      </c>
      <c r="AB3432" s="33"/>
      <c r="AC3432" s="16"/>
      <c r="AE3432" s="35" t="str">
        <f t="shared" si="54"/>
        <v>EF1 E002 Mat</v>
      </c>
    </row>
    <row r="3433" spans="1:31" x14ac:dyDescent="0.25">
      <c r="A3433" s="31"/>
      <c r="B3433" s="16"/>
      <c r="C3433" s="16"/>
      <c r="D3433" s="33"/>
      <c r="E3433" s="33"/>
      <c r="F3433" s="33"/>
      <c r="G3433" s="33"/>
      <c r="H3433" s="33"/>
      <c r="I3433" s="31"/>
      <c r="J3433" s="31"/>
      <c r="K3433" s="33"/>
      <c r="L3433" s="33"/>
      <c r="M3433" s="31"/>
      <c r="N3433" s="31"/>
      <c r="O3433" s="16"/>
      <c r="P3433" s="16"/>
      <c r="Q3433" s="16"/>
      <c r="R3433" s="33"/>
      <c r="S3433" s="34"/>
      <c r="T3433" s="34"/>
      <c r="U3433" s="34"/>
      <c r="V3433" s="34"/>
      <c r="W3433" s="34"/>
      <c r="X3433" s="33"/>
      <c r="Y3433" s="35" t="str">
        <f>IF(Tabela2[[#This Row],[SIGLA]]="","",VLOOKUP(Tabela2[[#This Row],[SIGLA]],Tabela1[[#All],[Sigla Arte]:[Crédito]],2,0))</f>
        <v/>
      </c>
      <c r="Z3433" s="31"/>
      <c r="AA3433" s="31" t="str">
        <f>Tabela2[[#This Row],[ILUSTRADOR CRIAÇÃO]]</f>
        <v/>
      </c>
      <c r="AB3433" s="33"/>
      <c r="AC3433" s="16"/>
      <c r="AE3433" s="35" t="str">
        <f t="shared" si="54"/>
        <v>EF1 E002 Mat</v>
      </c>
    </row>
    <row r="3434" spans="1:31" x14ac:dyDescent="0.25">
      <c r="A3434" s="31"/>
      <c r="B3434" s="16"/>
      <c r="C3434" s="16"/>
      <c r="D3434" s="33"/>
      <c r="E3434" s="33"/>
      <c r="F3434" s="33"/>
      <c r="G3434" s="33"/>
      <c r="H3434" s="33"/>
      <c r="I3434" s="31"/>
      <c r="J3434" s="31"/>
      <c r="K3434" s="33"/>
      <c r="L3434" s="33"/>
      <c r="M3434" s="31"/>
      <c r="N3434" s="31"/>
      <c r="O3434" s="16"/>
      <c r="P3434" s="16"/>
      <c r="Q3434" s="16"/>
      <c r="R3434" s="33"/>
      <c r="S3434" s="34"/>
      <c r="T3434" s="34"/>
      <c r="U3434" s="34"/>
      <c r="V3434" s="34"/>
      <c r="W3434" s="34"/>
      <c r="X3434" s="33"/>
      <c r="Y3434" s="35" t="str">
        <f>IF(Tabela2[[#This Row],[SIGLA]]="","",VLOOKUP(Tabela2[[#This Row],[SIGLA]],Tabela1[[#All],[Sigla Arte]:[Crédito]],2,0))</f>
        <v/>
      </c>
      <c r="Z3434" s="31"/>
      <c r="AA3434" s="31" t="str">
        <f>Tabela2[[#This Row],[ILUSTRADOR CRIAÇÃO]]</f>
        <v/>
      </c>
      <c r="AB3434" s="33"/>
      <c r="AC3434" s="16"/>
      <c r="AE3434" s="35" t="str">
        <f t="shared" si="54"/>
        <v>EF1 E002 Mat</v>
      </c>
    </row>
    <row r="3435" spans="1:31" x14ac:dyDescent="0.25">
      <c r="A3435" s="31"/>
      <c r="B3435" s="16"/>
      <c r="C3435" s="16"/>
      <c r="D3435" s="33"/>
      <c r="E3435" s="33"/>
      <c r="F3435" s="33"/>
      <c r="G3435" s="33"/>
      <c r="H3435" s="33"/>
      <c r="I3435" s="31"/>
      <c r="J3435" s="31"/>
      <c r="K3435" s="33"/>
      <c r="L3435" s="33"/>
      <c r="M3435" s="31"/>
      <c r="N3435" s="31"/>
      <c r="O3435" s="16"/>
      <c r="P3435" s="16"/>
      <c r="Q3435" s="16"/>
      <c r="R3435" s="33"/>
      <c r="S3435" s="34"/>
      <c r="T3435" s="34"/>
      <c r="U3435" s="34"/>
      <c r="V3435" s="34"/>
      <c r="W3435" s="34"/>
      <c r="X3435" s="33"/>
      <c r="Y3435" s="35" t="str">
        <f>IF(Tabela2[[#This Row],[SIGLA]]="","",VLOOKUP(Tabela2[[#This Row],[SIGLA]],Tabela1[[#All],[Sigla Arte]:[Crédito]],2,0))</f>
        <v/>
      </c>
      <c r="Z3435" s="31"/>
      <c r="AA3435" s="31" t="str">
        <f>Tabela2[[#This Row],[ILUSTRADOR CRIAÇÃO]]</f>
        <v/>
      </c>
      <c r="AB3435" s="33"/>
      <c r="AC3435" s="16"/>
      <c r="AE3435" s="35" t="str">
        <f t="shared" si="54"/>
        <v>EF1 E002 Mat</v>
      </c>
    </row>
    <row r="3436" spans="1:31" x14ac:dyDescent="0.25">
      <c r="A3436" s="31"/>
      <c r="B3436" s="16"/>
      <c r="C3436" s="16"/>
      <c r="D3436" s="33"/>
      <c r="E3436" s="33"/>
      <c r="F3436" s="33"/>
      <c r="G3436" s="33"/>
      <c r="H3436" s="33"/>
      <c r="I3436" s="31"/>
      <c r="J3436" s="31"/>
      <c r="K3436" s="33"/>
      <c r="L3436" s="33"/>
      <c r="M3436" s="31"/>
      <c r="N3436" s="31"/>
      <c r="O3436" s="16"/>
      <c r="P3436" s="16"/>
      <c r="Q3436" s="16"/>
      <c r="R3436" s="33"/>
      <c r="S3436" s="34"/>
      <c r="T3436" s="34"/>
      <c r="U3436" s="34"/>
      <c r="V3436" s="34"/>
      <c r="W3436" s="34"/>
      <c r="X3436" s="33"/>
      <c r="Y3436" s="35" t="str">
        <f>IF(Tabela2[[#This Row],[SIGLA]]="","",VLOOKUP(Tabela2[[#This Row],[SIGLA]],Tabela1[[#All],[Sigla Arte]:[Crédito]],2,0))</f>
        <v/>
      </c>
      <c r="Z3436" s="31"/>
      <c r="AA3436" s="31" t="str">
        <f>Tabela2[[#This Row],[ILUSTRADOR CRIAÇÃO]]</f>
        <v/>
      </c>
      <c r="AB3436" s="33"/>
      <c r="AC3436" s="16"/>
      <c r="AE3436" s="35" t="str">
        <f t="shared" si="54"/>
        <v>EF1 E002 Mat</v>
      </c>
    </row>
    <row r="3437" spans="1:31" x14ac:dyDescent="0.25">
      <c r="A3437" s="31"/>
      <c r="B3437" s="16"/>
      <c r="C3437" s="16"/>
      <c r="D3437" s="33"/>
      <c r="E3437" s="33"/>
      <c r="F3437" s="33"/>
      <c r="G3437" s="33"/>
      <c r="H3437" s="33"/>
      <c r="I3437" s="31"/>
      <c r="J3437" s="31"/>
      <c r="K3437" s="33"/>
      <c r="L3437" s="33"/>
      <c r="M3437" s="31"/>
      <c r="N3437" s="31"/>
      <c r="O3437" s="16"/>
      <c r="P3437" s="16"/>
      <c r="Q3437" s="16"/>
      <c r="R3437" s="33"/>
      <c r="S3437" s="34"/>
      <c r="T3437" s="34"/>
      <c r="U3437" s="34"/>
      <c r="V3437" s="34"/>
      <c r="W3437" s="34"/>
      <c r="X3437" s="33"/>
      <c r="Y3437" s="35" t="str">
        <f>IF(Tabela2[[#This Row],[SIGLA]]="","",VLOOKUP(Tabela2[[#This Row],[SIGLA]],Tabela1[[#All],[Sigla Arte]:[Crédito]],2,0))</f>
        <v/>
      </c>
      <c r="Z3437" s="31"/>
      <c r="AA3437" s="31" t="str">
        <f>Tabela2[[#This Row],[ILUSTRADOR CRIAÇÃO]]</f>
        <v/>
      </c>
      <c r="AB3437" s="33"/>
      <c r="AC3437" s="16"/>
      <c r="AE3437" s="35" t="str">
        <f t="shared" si="54"/>
        <v>EF1 E002 Mat</v>
      </c>
    </row>
    <row r="3438" spans="1:31" x14ac:dyDescent="0.25">
      <c r="A3438" s="31"/>
      <c r="B3438" s="16"/>
      <c r="C3438" s="16"/>
      <c r="D3438" s="33"/>
      <c r="E3438" s="33"/>
      <c r="F3438" s="33"/>
      <c r="G3438" s="33"/>
      <c r="H3438" s="33"/>
      <c r="I3438" s="31"/>
      <c r="J3438" s="31"/>
      <c r="K3438" s="33"/>
      <c r="L3438" s="33"/>
      <c r="M3438" s="31"/>
      <c r="N3438" s="31"/>
      <c r="O3438" s="16"/>
      <c r="P3438" s="16"/>
      <c r="Q3438" s="16"/>
      <c r="R3438" s="33"/>
      <c r="S3438" s="34"/>
      <c r="T3438" s="34"/>
      <c r="U3438" s="34"/>
      <c r="V3438" s="34"/>
      <c r="W3438" s="34"/>
      <c r="X3438" s="33"/>
      <c r="Y3438" s="35" t="str">
        <f>IF(Tabela2[[#This Row],[SIGLA]]="","",VLOOKUP(Tabela2[[#This Row],[SIGLA]],Tabela1[[#All],[Sigla Arte]:[Crédito]],2,0))</f>
        <v/>
      </c>
      <c r="Z3438" s="31"/>
      <c r="AA3438" s="31" t="str">
        <f>Tabela2[[#This Row],[ILUSTRADOR CRIAÇÃO]]</f>
        <v/>
      </c>
      <c r="AB3438" s="33"/>
      <c r="AC3438" s="16"/>
      <c r="AE3438" s="35" t="str">
        <f t="shared" si="54"/>
        <v>EF1 E002 Mat</v>
      </c>
    </row>
    <row r="3439" spans="1:31" x14ac:dyDescent="0.25">
      <c r="A3439" s="31"/>
      <c r="B3439" s="16"/>
      <c r="C3439" s="16"/>
      <c r="D3439" s="33"/>
      <c r="E3439" s="33"/>
      <c r="F3439" s="33"/>
      <c r="G3439" s="33"/>
      <c r="H3439" s="33"/>
      <c r="I3439" s="31"/>
      <c r="J3439" s="31"/>
      <c r="K3439" s="33"/>
      <c r="L3439" s="33"/>
      <c r="M3439" s="31"/>
      <c r="N3439" s="31"/>
      <c r="O3439" s="16"/>
      <c r="P3439" s="16"/>
      <c r="Q3439" s="16"/>
      <c r="R3439" s="33"/>
      <c r="S3439" s="34"/>
      <c r="T3439" s="34"/>
      <c r="U3439" s="34"/>
      <c r="V3439" s="34"/>
      <c r="W3439" s="34"/>
      <c r="X3439" s="33"/>
      <c r="Y3439" s="35" t="str">
        <f>IF(Tabela2[[#This Row],[SIGLA]]="","",VLOOKUP(Tabela2[[#This Row],[SIGLA]],Tabela1[[#All],[Sigla Arte]:[Crédito]],2,0))</f>
        <v/>
      </c>
      <c r="Z3439" s="31"/>
      <c r="AA3439" s="31" t="str">
        <f>Tabela2[[#This Row],[ILUSTRADOR CRIAÇÃO]]</f>
        <v/>
      </c>
      <c r="AB3439" s="33"/>
      <c r="AC3439" s="16"/>
      <c r="AE3439" s="35" t="str">
        <f t="shared" si="54"/>
        <v>EF1 E002 Mat</v>
      </c>
    </row>
    <row r="3440" spans="1:31" x14ac:dyDescent="0.25">
      <c r="A3440" s="31"/>
      <c r="B3440" s="16"/>
      <c r="C3440" s="16"/>
      <c r="D3440" s="33"/>
      <c r="E3440" s="33"/>
      <c r="F3440" s="33"/>
      <c r="G3440" s="33"/>
      <c r="H3440" s="33"/>
      <c r="I3440" s="31"/>
      <c r="J3440" s="31"/>
      <c r="K3440" s="33"/>
      <c r="L3440" s="33"/>
      <c r="M3440" s="31"/>
      <c r="N3440" s="31"/>
      <c r="O3440" s="16"/>
      <c r="P3440" s="16"/>
      <c r="Q3440" s="16"/>
      <c r="R3440" s="33"/>
      <c r="S3440" s="34"/>
      <c r="T3440" s="34"/>
      <c r="U3440" s="34"/>
      <c r="V3440" s="34"/>
      <c r="W3440" s="34"/>
      <c r="X3440" s="33"/>
      <c r="Y3440" s="35" t="str">
        <f>IF(Tabela2[[#This Row],[SIGLA]]="","",VLOOKUP(Tabela2[[#This Row],[SIGLA]],Tabela1[[#All],[Sigla Arte]:[Crédito]],2,0))</f>
        <v/>
      </c>
      <c r="Z3440" s="31"/>
      <c r="AA3440" s="31" t="str">
        <f>Tabela2[[#This Row],[ILUSTRADOR CRIAÇÃO]]</f>
        <v/>
      </c>
      <c r="AB3440" s="33"/>
      <c r="AC3440" s="16"/>
      <c r="AE3440" s="35" t="str">
        <f t="shared" si="54"/>
        <v>EF1 E002 Mat</v>
      </c>
    </row>
    <row r="3441" spans="1:31" x14ac:dyDescent="0.25">
      <c r="A3441" s="31"/>
      <c r="B3441" s="16"/>
      <c r="C3441" s="16"/>
      <c r="D3441" s="33"/>
      <c r="E3441" s="33"/>
      <c r="F3441" s="33"/>
      <c r="G3441" s="33"/>
      <c r="H3441" s="33"/>
      <c r="I3441" s="31"/>
      <c r="J3441" s="31"/>
      <c r="K3441" s="33"/>
      <c r="L3441" s="33"/>
      <c r="M3441" s="31"/>
      <c r="N3441" s="31"/>
      <c r="O3441" s="16"/>
      <c r="P3441" s="16"/>
      <c r="Q3441" s="16"/>
      <c r="R3441" s="33"/>
      <c r="S3441" s="34"/>
      <c r="T3441" s="34"/>
      <c r="U3441" s="34"/>
      <c r="V3441" s="34"/>
      <c r="W3441" s="34"/>
      <c r="X3441" s="33"/>
      <c r="Y3441" s="35" t="str">
        <f>IF(Tabela2[[#This Row],[SIGLA]]="","",VLOOKUP(Tabela2[[#This Row],[SIGLA]],Tabela1[[#All],[Sigla Arte]:[Crédito]],2,0))</f>
        <v/>
      </c>
      <c r="Z3441" s="31"/>
      <c r="AA3441" s="31" t="str">
        <f>Tabela2[[#This Row],[ILUSTRADOR CRIAÇÃO]]</f>
        <v/>
      </c>
      <c r="AB3441" s="33"/>
      <c r="AC3441" s="16"/>
      <c r="AE3441" s="35" t="str">
        <f t="shared" si="54"/>
        <v>EF1 E002 Mat</v>
      </c>
    </row>
    <row r="3442" spans="1:31" x14ac:dyDescent="0.25">
      <c r="A3442" s="31"/>
      <c r="B3442" s="16"/>
      <c r="C3442" s="16"/>
      <c r="D3442" s="33"/>
      <c r="E3442" s="33"/>
      <c r="F3442" s="33"/>
      <c r="G3442" s="33"/>
      <c r="H3442" s="33"/>
      <c r="I3442" s="31"/>
      <c r="J3442" s="31"/>
      <c r="K3442" s="33"/>
      <c r="L3442" s="33"/>
      <c r="M3442" s="31"/>
      <c r="N3442" s="31"/>
      <c r="O3442" s="16"/>
      <c r="P3442" s="16"/>
      <c r="Q3442" s="16"/>
      <c r="R3442" s="33"/>
      <c r="S3442" s="34"/>
      <c r="T3442" s="34"/>
      <c r="U3442" s="34"/>
      <c r="V3442" s="34"/>
      <c r="W3442" s="34"/>
      <c r="X3442" s="33"/>
      <c r="Y3442" s="35" t="str">
        <f>IF(Tabela2[[#This Row],[SIGLA]]="","",VLOOKUP(Tabela2[[#This Row],[SIGLA]],Tabela1[[#All],[Sigla Arte]:[Crédito]],2,0))</f>
        <v/>
      </c>
      <c r="Z3442" s="31"/>
      <c r="AA3442" s="31" t="str">
        <f>Tabela2[[#This Row],[ILUSTRADOR CRIAÇÃO]]</f>
        <v/>
      </c>
      <c r="AB3442" s="33"/>
      <c r="AC3442" s="16"/>
      <c r="AE3442" s="35" t="str">
        <f t="shared" ref="AE3442:AE3505" si="55">"EF1 E002 Mat"</f>
        <v>EF1 E002 Mat</v>
      </c>
    </row>
    <row r="3443" spans="1:31" x14ac:dyDescent="0.25">
      <c r="A3443" s="31"/>
      <c r="B3443" s="16"/>
      <c r="C3443" s="16"/>
      <c r="D3443" s="33"/>
      <c r="E3443" s="33"/>
      <c r="F3443" s="33"/>
      <c r="G3443" s="33"/>
      <c r="H3443" s="33"/>
      <c r="I3443" s="31"/>
      <c r="J3443" s="31"/>
      <c r="K3443" s="33"/>
      <c r="L3443" s="33"/>
      <c r="M3443" s="31"/>
      <c r="N3443" s="31"/>
      <c r="O3443" s="16"/>
      <c r="P3443" s="16"/>
      <c r="Q3443" s="16"/>
      <c r="R3443" s="33"/>
      <c r="S3443" s="34"/>
      <c r="T3443" s="34"/>
      <c r="U3443" s="34"/>
      <c r="V3443" s="34"/>
      <c r="W3443" s="34"/>
      <c r="X3443" s="33"/>
      <c r="Y3443" s="35" t="str">
        <f>IF(Tabela2[[#This Row],[SIGLA]]="","",VLOOKUP(Tabela2[[#This Row],[SIGLA]],Tabela1[[#All],[Sigla Arte]:[Crédito]],2,0))</f>
        <v/>
      </c>
      <c r="Z3443" s="31"/>
      <c r="AA3443" s="31" t="str">
        <f>Tabela2[[#This Row],[ILUSTRADOR CRIAÇÃO]]</f>
        <v/>
      </c>
      <c r="AB3443" s="33"/>
      <c r="AC3443" s="16"/>
      <c r="AE3443" s="35" t="str">
        <f t="shared" si="55"/>
        <v>EF1 E002 Mat</v>
      </c>
    </row>
    <row r="3444" spans="1:31" x14ac:dyDescent="0.25">
      <c r="A3444" s="31"/>
      <c r="B3444" s="16"/>
      <c r="C3444" s="16"/>
      <c r="D3444" s="33"/>
      <c r="E3444" s="33"/>
      <c r="F3444" s="33"/>
      <c r="G3444" s="33"/>
      <c r="H3444" s="33"/>
      <c r="I3444" s="31"/>
      <c r="J3444" s="31"/>
      <c r="K3444" s="33"/>
      <c r="L3444" s="33"/>
      <c r="M3444" s="31"/>
      <c r="N3444" s="31"/>
      <c r="O3444" s="16"/>
      <c r="P3444" s="16"/>
      <c r="Q3444" s="16"/>
      <c r="R3444" s="33"/>
      <c r="S3444" s="34"/>
      <c r="T3444" s="34"/>
      <c r="U3444" s="34"/>
      <c r="V3444" s="34"/>
      <c r="W3444" s="34"/>
      <c r="X3444" s="33"/>
      <c r="Y3444" s="35" t="str">
        <f>IF(Tabela2[[#This Row],[SIGLA]]="","",VLOOKUP(Tabela2[[#This Row],[SIGLA]],Tabela1[[#All],[Sigla Arte]:[Crédito]],2,0))</f>
        <v/>
      </c>
      <c r="Z3444" s="31"/>
      <c r="AA3444" s="31" t="str">
        <f>Tabela2[[#This Row],[ILUSTRADOR CRIAÇÃO]]</f>
        <v/>
      </c>
      <c r="AB3444" s="33"/>
      <c r="AC3444" s="16"/>
      <c r="AE3444" s="35" t="str">
        <f t="shared" si="55"/>
        <v>EF1 E002 Mat</v>
      </c>
    </row>
    <row r="3445" spans="1:31" x14ac:dyDescent="0.25">
      <c r="A3445" s="31"/>
      <c r="B3445" s="16"/>
      <c r="C3445" s="16"/>
      <c r="D3445" s="33"/>
      <c r="E3445" s="33"/>
      <c r="F3445" s="33"/>
      <c r="G3445" s="33"/>
      <c r="H3445" s="33"/>
      <c r="I3445" s="31"/>
      <c r="J3445" s="31"/>
      <c r="K3445" s="33"/>
      <c r="L3445" s="33"/>
      <c r="M3445" s="31"/>
      <c r="N3445" s="31"/>
      <c r="O3445" s="16"/>
      <c r="P3445" s="16"/>
      <c r="Q3445" s="16"/>
      <c r="R3445" s="33"/>
      <c r="S3445" s="34"/>
      <c r="T3445" s="34"/>
      <c r="U3445" s="34"/>
      <c r="V3445" s="34"/>
      <c r="W3445" s="34"/>
      <c r="X3445" s="33"/>
      <c r="Y3445" s="35" t="str">
        <f>IF(Tabela2[[#This Row],[SIGLA]]="","",VLOOKUP(Tabela2[[#This Row],[SIGLA]],Tabela1[[#All],[Sigla Arte]:[Crédito]],2,0))</f>
        <v/>
      </c>
      <c r="Z3445" s="31"/>
      <c r="AA3445" s="31" t="str">
        <f>Tabela2[[#This Row],[ILUSTRADOR CRIAÇÃO]]</f>
        <v/>
      </c>
      <c r="AB3445" s="33"/>
      <c r="AC3445" s="16"/>
      <c r="AE3445" s="35" t="str">
        <f t="shared" si="55"/>
        <v>EF1 E002 Mat</v>
      </c>
    </row>
    <row r="3446" spans="1:31" x14ac:dyDescent="0.25">
      <c r="A3446" s="31"/>
      <c r="B3446" s="16"/>
      <c r="C3446" s="16"/>
      <c r="D3446" s="33"/>
      <c r="E3446" s="33"/>
      <c r="F3446" s="33"/>
      <c r="G3446" s="33"/>
      <c r="H3446" s="33"/>
      <c r="I3446" s="31"/>
      <c r="J3446" s="31"/>
      <c r="K3446" s="33"/>
      <c r="L3446" s="33"/>
      <c r="M3446" s="31"/>
      <c r="N3446" s="31"/>
      <c r="O3446" s="16"/>
      <c r="P3446" s="16"/>
      <c r="Q3446" s="16"/>
      <c r="R3446" s="33"/>
      <c r="S3446" s="34"/>
      <c r="T3446" s="34"/>
      <c r="U3446" s="34"/>
      <c r="V3446" s="34"/>
      <c r="W3446" s="34"/>
      <c r="X3446" s="33"/>
      <c r="Y3446" s="35" t="str">
        <f>IF(Tabela2[[#This Row],[SIGLA]]="","",VLOOKUP(Tabela2[[#This Row],[SIGLA]],Tabela1[[#All],[Sigla Arte]:[Crédito]],2,0))</f>
        <v/>
      </c>
      <c r="Z3446" s="31"/>
      <c r="AA3446" s="31" t="str">
        <f>Tabela2[[#This Row],[ILUSTRADOR CRIAÇÃO]]</f>
        <v/>
      </c>
      <c r="AB3446" s="33"/>
      <c r="AC3446" s="16"/>
      <c r="AE3446" s="35" t="str">
        <f t="shared" si="55"/>
        <v>EF1 E002 Mat</v>
      </c>
    </row>
    <row r="3447" spans="1:31" x14ac:dyDescent="0.25">
      <c r="A3447" s="31"/>
      <c r="B3447" s="16"/>
      <c r="C3447" s="16"/>
      <c r="D3447" s="33"/>
      <c r="E3447" s="33"/>
      <c r="F3447" s="33"/>
      <c r="G3447" s="33"/>
      <c r="H3447" s="33"/>
      <c r="I3447" s="31"/>
      <c r="J3447" s="31"/>
      <c r="K3447" s="33"/>
      <c r="L3447" s="33"/>
      <c r="M3447" s="31"/>
      <c r="N3447" s="31"/>
      <c r="O3447" s="16"/>
      <c r="P3447" s="16"/>
      <c r="Q3447" s="16"/>
      <c r="R3447" s="33"/>
      <c r="S3447" s="34"/>
      <c r="T3447" s="34"/>
      <c r="U3447" s="34"/>
      <c r="V3447" s="34"/>
      <c r="W3447" s="34"/>
      <c r="X3447" s="33"/>
      <c r="Y3447" s="35" t="str">
        <f>IF(Tabela2[[#This Row],[SIGLA]]="","",VLOOKUP(Tabela2[[#This Row],[SIGLA]],Tabela1[[#All],[Sigla Arte]:[Crédito]],2,0))</f>
        <v/>
      </c>
      <c r="Z3447" s="31"/>
      <c r="AA3447" s="31" t="str">
        <f>Tabela2[[#This Row],[ILUSTRADOR CRIAÇÃO]]</f>
        <v/>
      </c>
      <c r="AB3447" s="33"/>
      <c r="AC3447" s="16"/>
      <c r="AE3447" s="35" t="str">
        <f t="shared" si="55"/>
        <v>EF1 E002 Mat</v>
      </c>
    </row>
    <row r="3448" spans="1:31" x14ac:dyDescent="0.25">
      <c r="A3448" s="31"/>
      <c r="B3448" s="16"/>
      <c r="C3448" s="16"/>
      <c r="D3448" s="33"/>
      <c r="E3448" s="33"/>
      <c r="F3448" s="33"/>
      <c r="G3448" s="33"/>
      <c r="H3448" s="33"/>
      <c r="I3448" s="31"/>
      <c r="J3448" s="31"/>
      <c r="K3448" s="33"/>
      <c r="L3448" s="33"/>
      <c r="M3448" s="31"/>
      <c r="N3448" s="31"/>
      <c r="O3448" s="16"/>
      <c r="P3448" s="16"/>
      <c r="Q3448" s="16"/>
      <c r="R3448" s="33"/>
      <c r="S3448" s="34"/>
      <c r="T3448" s="34"/>
      <c r="U3448" s="34"/>
      <c r="V3448" s="34"/>
      <c r="W3448" s="34"/>
      <c r="X3448" s="33"/>
      <c r="Y3448" s="35" t="str">
        <f>IF(Tabela2[[#This Row],[SIGLA]]="","",VLOOKUP(Tabela2[[#This Row],[SIGLA]],Tabela1[[#All],[Sigla Arte]:[Crédito]],2,0))</f>
        <v/>
      </c>
      <c r="Z3448" s="31"/>
      <c r="AA3448" s="31" t="str">
        <f>Tabela2[[#This Row],[ILUSTRADOR CRIAÇÃO]]</f>
        <v/>
      </c>
      <c r="AB3448" s="33"/>
      <c r="AC3448" s="16"/>
      <c r="AE3448" s="35" t="str">
        <f t="shared" si="55"/>
        <v>EF1 E002 Mat</v>
      </c>
    </row>
    <row r="3449" spans="1:31" x14ac:dyDescent="0.25">
      <c r="A3449" s="31"/>
      <c r="B3449" s="16"/>
      <c r="C3449" s="16"/>
      <c r="D3449" s="33"/>
      <c r="E3449" s="33"/>
      <c r="F3449" s="33"/>
      <c r="G3449" s="33"/>
      <c r="H3449" s="33"/>
      <c r="I3449" s="31"/>
      <c r="J3449" s="31"/>
      <c r="K3449" s="33"/>
      <c r="L3449" s="33"/>
      <c r="M3449" s="31"/>
      <c r="N3449" s="31"/>
      <c r="O3449" s="16"/>
      <c r="P3449" s="16"/>
      <c r="Q3449" s="16"/>
      <c r="R3449" s="33"/>
      <c r="S3449" s="34"/>
      <c r="T3449" s="34"/>
      <c r="U3449" s="34"/>
      <c r="V3449" s="34"/>
      <c r="W3449" s="34"/>
      <c r="X3449" s="33"/>
      <c r="Y3449" s="35" t="str">
        <f>IF(Tabela2[[#This Row],[SIGLA]]="","",VLOOKUP(Tabela2[[#This Row],[SIGLA]],Tabela1[[#All],[Sigla Arte]:[Crédito]],2,0))</f>
        <v/>
      </c>
      <c r="Z3449" s="31"/>
      <c r="AA3449" s="31" t="str">
        <f>Tabela2[[#This Row],[ILUSTRADOR CRIAÇÃO]]</f>
        <v/>
      </c>
      <c r="AB3449" s="33"/>
      <c r="AC3449" s="16"/>
      <c r="AE3449" s="35" t="str">
        <f t="shared" si="55"/>
        <v>EF1 E002 Mat</v>
      </c>
    </row>
    <row r="3450" spans="1:31" x14ac:dyDescent="0.25">
      <c r="A3450" s="31"/>
      <c r="B3450" s="16"/>
      <c r="C3450" s="16"/>
      <c r="D3450" s="33"/>
      <c r="E3450" s="33"/>
      <c r="F3450" s="33"/>
      <c r="G3450" s="33"/>
      <c r="H3450" s="33"/>
      <c r="I3450" s="31"/>
      <c r="J3450" s="31"/>
      <c r="K3450" s="33"/>
      <c r="L3450" s="33"/>
      <c r="M3450" s="31"/>
      <c r="N3450" s="31"/>
      <c r="O3450" s="16"/>
      <c r="P3450" s="16"/>
      <c r="Q3450" s="16"/>
      <c r="R3450" s="33"/>
      <c r="S3450" s="34"/>
      <c r="T3450" s="34"/>
      <c r="U3450" s="34"/>
      <c r="V3450" s="34"/>
      <c r="W3450" s="34"/>
      <c r="X3450" s="33"/>
      <c r="Y3450" s="35" t="str">
        <f>IF(Tabela2[[#This Row],[SIGLA]]="","",VLOOKUP(Tabela2[[#This Row],[SIGLA]],Tabela1[[#All],[Sigla Arte]:[Crédito]],2,0))</f>
        <v/>
      </c>
      <c r="Z3450" s="31"/>
      <c r="AA3450" s="31" t="str">
        <f>Tabela2[[#This Row],[ILUSTRADOR CRIAÇÃO]]</f>
        <v/>
      </c>
      <c r="AB3450" s="33"/>
      <c r="AC3450" s="16"/>
      <c r="AE3450" s="35" t="str">
        <f t="shared" si="55"/>
        <v>EF1 E002 Mat</v>
      </c>
    </row>
    <row r="3451" spans="1:31" x14ac:dyDescent="0.25">
      <c r="A3451" s="31"/>
      <c r="B3451" s="16"/>
      <c r="C3451" s="16"/>
      <c r="D3451" s="33"/>
      <c r="E3451" s="33"/>
      <c r="F3451" s="33"/>
      <c r="G3451" s="33"/>
      <c r="H3451" s="33"/>
      <c r="I3451" s="31"/>
      <c r="J3451" s="31"/>
      <c r="K3451" s="33"/>
      <c r="L3451" s="33"/>
      <c r="M3451" s="31"/>
      <c r="N3451" s="31"/>
      <c r="O3451" s="16"/>
      <c r="P3451" s="16"/>
      <c r="Q3451" s="16"/>
      <c r="R3451" s="33"/>
      <c r="S3451" s="34"/>
      <c r="T3451" s="34"/>
      <c r="U3451" s="34"/>
      <c r="V3451" s="34"/>
      <c r="W3451" s="34"/>
      <c r="X3451" s="33"/>
      <c r="Y3451" s="35" t="str">
        <f>IF(Tabela2[[#This Row],[SIGLA]]="","",VLOOKUP(Tabela2[[#This Row],[SIGLA]],Tabela1[[#All],[Sigla Arte]:[Crédito]],2,0))</f>
        <v/>
      </c>
      <c r="Z3451" s="31"/>
      <c r="AA3451" s="31" t="str">
        <f>Tabela2[[#This Row],[ILUSTRADOR CRIAÇÃO]]</f>
        <v/>
      </c>
      <c r="AB3451" s="33"/>
      <c r="AC3451" s="16"/>
      <c r="AE3451" s="35" t="str">
        <f t="shared" si="55"/>
        <v>EF1 E002 Mat</v>
      </c>
    </row>
    <row r="3452" spans="1:31" x14ac:dyDescent="0.25">
      <c r="A3452" s="31"/>
      <c r="B3452" s="16"/>
      <c r="C3452" s="16"/>
      <c r="D3452" s="33"/>
      <c r="E3452" s="33"/>
      <c r="F3452" s="33"/>
      <c r="G3452" s="33"/>
      <c r="H3452" s="33"/>
      <c r="I3452" s="31"/>
      <c r="J3452" s="31"/>
      <c r="K3452" s="33"/>
      <c r="L3452" s="33"/>
      <c r="M3452" s="31"/>
      <c r="N3452" s="31"/>
      <c r="O3452" s="16"/>
      <c r="P3452" s="16"/>
      <c r="Q3452" s="16"/>
      <c r="R3452" s="33"/>
      <c r="S3452" s="34"/>
      <c r="T3452" s="34"/>
      <c r="U3452" s="34"/>
      <c r="V3452" s="34"/>
      <c r="W3452" s="34"/>
      <c r="X3452" s="33"/>
      <c r="Y3452" s="35" t="str">
        <f>IF(Tabela2[[#This Row],[SIGLA]]="","",VLOOKUP(Tabela2[[#This Row],[SIGLA]],Tabela1[[#All],[Sigla Arte]:[Crédito]],2,0))</f>
        <v/>
      </c>
      <c r="Z3452" s="31"/>
      <c r="AA3452" s="31" t="str">
        <f>Tabela2[[#This Row],[ILUSTRADOR CRIAÇÃO]]</f>
        <v/>
      </c>
      <c r="AB3452" s="33"/>
      <c r="AC3452" s="16"/>
      <c r="AE3452" s="35" t="str">
        <f t="shared" si="55"/>
        <v>EF1 E002 Mat</v>
      </c>
    </row>
    <row r="3453" spans="1:31" x14ac:dyDescent="0.25">
      <c r="A3453" s="31"/>
      <c r="B3453" s="16"/>
      <c r="C3453" s="16"/>
      <c r="D3453" s="33"/>
      <c r="E3453" s="33"/>
      <c r="F3453" s="33"/>
      <c r="G3453" s="33"/>
      <c r="H3453" s="33"/>
      <c r="I3453" s="31"/>
      <c r="J3453" s="31"/>
      <c r="K3453" s="33"/>
      <c r="L3453" s="33"/>
      <c r="M3453" s="31"/>
      <c r="N3453" s="31"/>
      <c r="O3453" s="16"/>
      <c r="P3453" s="16"/>
      <c r="Q3453" s="16"/>
      <c r="R3453" s="33"/>
      <c r="S3453" s="34"/>
      <c r="T3453" s="34"/>
      <c r="U3453" s="34"/>
      <c r="V3453" s="34"/>
      <c r="W3453" s="34"/>
      <c r="X3453" s="33"/>
      <c r="Y3453" s="35" t="str">
        <f>IF(Tabela2[[#This Row],[SIGLA]]="","",VLOOKUP(Tabela2[[#This Row],[SIGLA]],Tabela1[[#All],[Sigla Arte]:[Crédito]],2,0))</f>
        <v/>
      </c>
      <c r="Z3453" s="31"/>
      <c r="AA3453" s="31" t="str">
        <f>Tabela2[[#This Row],[ILUSTRADOR CRIAÇÃO]]</f>
        <v/>
      </c>
      <c r="AB3453" s="33"/>
      <c r="AC3453" s="16"/>
      <c r="AE3453" s="35" t="str">
        <f t="shared" si="55"/>
        <v>EF1 E002 Mat</v>
      </c>
    </row>
    <row r="3454" spans="1:31" x14ac:dyDescent="0.25">
      <c r="A3454" s="31"/>
      <c r="B3454" s="16"/>
      <c r="C3454" s="16"/>
      <c r="D3454" s="33"/>
      <c r="E3454" s="33"/>
      <c r="F3454" s="33"/>
      <c r="G3454" s="33"/>
      <c r="H3454" s="33"/>
      <c r="I3454" s="31"/>
      <c r="J3454" s="31"/>
      <c r="K3454" s="33"/>
      <c r="L3454" s="33"/>
      <c r="M3454" s="31"/>
      <c r="N3454" s="31"/>
      <c r="O3454" s="16"/>
      <c r="P3454" s="16"/>
      <c r="Q3454" s="16"/>
      <c r="R3454" s="33"/>
      <c r="S3454" s="34"/>
      <c r="T3454" s="34"/>
      <c r="U3454" s="34"/>
      <c r="V3454" s="34"/>
      <c r="W3454" s="34"/>
      <c r="X3454" s="33"/>
      <c r="Y3454" s="35" t="str">
        <f>IF(Tabela2[[#This Row],[SIGLA]]="","",VLOOKUP(Tabela2[[#This Row],[SIGLA]],Tabela1[[#All],[Sigla Arte]:[Crédito]],2,0))</f>
        <v/>
      </c>
      <c r="Z3454" s="31"/>
      <c r="AA3454" s="31" t="str">
        <f>Tabela2[[#This Row],[ILUSTRADOR CRIAÇÃO]]</f>
        <v/>
      </c>
      <c r="AB3454" s="33"/>
      <c r="AC3454" s="16"/>
      <c r="AE3454" s="35" t="str">
        <f t="shared" si="55"/>
        <v>EF1 E002 Mat</v>
      </c>
    </row>
    <row r="3455" spans="1:31" x14ac:dyDescent="0.25">
      <c r="A3455" s="31"/>
      <c r="B3455" s="16"/>
      <c r="C3455" s="16"/>
      <c r="D3455" s="33"/>
      <c r="E3455" s="33"/>
      <c r="F3455" s="33"/>
      <c r="G3455" s="33"/>
      <c r="H3455" s="33"/>
      <c r="I3455" s="31"/>
      <c r="J3455" s="31"/>
      <c r="K3455" s="33"/>
      <c r="L3455" s="33"/>
      <c r="M3455" s="31"/>
      <c r="N3455" s="31"/>
      <c r="O3455" s="16"/>
      <c r="P3455" s="16"/>
      <c r="Q3455" s="16"/>
      <c r="R3455" s="33"/>
      <c r="S3455" s="34"/>
      <c r="T3455" s="34"/>
      <c r="U3455" s="34"/>
      <c r="V3455" s="34"/>
      <c r="W3455" s="34"/>
      <c r="X3455" s="33"/>
      <c r="Y3455" s="35" t="str">
        <f>IF(Tabela2[[#This Row],[SIGLA]]="","",VLOOKUP(Tabela2[[#This Row],[SIGLA]],Tabela1[[#All],[Sigla Arte]:[Crédito]],2,0))</f>
        <v/>
      </c>
      <c r="Z3455" s="31"/>
      <c r="AA3455" s="31" t="str">
        <f>Tabela2[[#This Row],[ILUSTRADOR CRIAÇÃO]]</f>
        <v/>
      </c>
      <c r="AB3455" s="33"/>
      <c r="AC3455" s="16"/>
      <c r="AE3455" s="35" t="str">
        <f t="shared" si="55"/>
        <v>EF1 E002 Mat</v>
      </c>
    </row>
    <row r="3456" spans="1:31" x14ac:dyDescent="0.25">
      <c r="A3456" s="31"/>
      <c r="B3456" s="16"/>
      <c r="C3456" s="16"/>
      <c r="D3456" s="33"/>
      <c r="E3456" s="33"/>
      <c r="F3456" s="33"/>
      <c r="G3456" s="33"/>
      <c r="H3456" s="33"/>
      <c r="I3456" s="31"/>
      <c r="J3456" s="31"/>
      <c r="K3456" s="33"/>
      <c r="L3456" s="33"/>
      <c r="M3456" s="31"/>
      <c r="N3456" s="31"/>
      <c r="O3456" s="16"/>
      <c r="P3456" s="16"/>
      <c r="Q3456" s="16"/>
      <c r="R3456" s="33"/>
      <c r="S3456" s="34"/>
      <c r="T3456" s="34"/>
      <c r="U3456" s="34"/>
      <c r="V3456" s="34"/>
      <c r="W3456" s="34"/>
      <c r="X3456" s="33"/>
      <c r="Y3456" s="35" t="str">
        <f>IF(Tabela2[[#This Row],[SIGLA]]="","",VLOOKUP(Tabela2[[#This Row],[SIGLA]],Tabela1[[#All],[Sigla Arte]:[Crédito]],2,0))</f>
        <v/>
      </c>
      <c r="Z3456" s="31"/>
      <c r="AA3456" s="31" t="str">
        <f>Tabela2[[#This Row],[ILUSTRADOR CRIAÇÃO]]</f>
        <v/>
      </c>
      <c r="AB3456" s="33"/>
      <c r="AC3456" s="16"/>
      <c r="AE3456" s="35" t="str">
        <f t="shared" si="55"/>
        <v>EF1 E002 Mat</v>
      </c>
    </row>
    <row r="3457" spans="1:31" x14ac:dyDescent="0.25">
      <c r="A3457" s="31"/>
      <c r="B3457" s="16"/>
      <c r="C3457" s="16"/>
      <c r="D3457" s="33"/>
      <c r="E3457" s="33"/>
      <c r="F3457" s="33"/>
      <c r="G3457" s="33"/>
      <c r="H3457" s="33"/>
      <c r="I3457" s="31"/>
      <c r="J3457" s="31"/>
      <c r="K3457" s="33"/>
      <c r="L3457" s="33"/>
      <c r="M3457" s="31"/>
      <c r="N3457" s="31"/>
      <c r="O3457" s="16"/>
      <c r="P3457" s="16"/>
      <c r="Q3457" s="16"/>
      <c r="R3457" s="33"/>
      <c r="S3457" s="34"/>
      <c r="T3457" s="34"/>
      <c r="U3457" s="34"/>
      <c r="V3457" s="34"/>
      <c r="W3457" s="34"/>
      <c r="X3457" s="33"/>
      <c r="Y3457" s="35" t="str">
        <f>IF(Tabela2[[#This Row],[SIGLA]]="","",VLOOKUP(Tabela2[[#This Row],[SIGLA]],Tabela1[[#All],[Sigla Arte]:[Crédito]],2,0))</f>
        <v/>
      </c>
      <c r="Z3457" s="31"/>
      <c r="AA3457" s="31" t="str">
        <f>Tabela2[[#This Row],[ILUSTRADOR CRIAÇÃO]]</f>
        <v/>
      </c>
      <c r="AB3457" s="33"/>
      <c r="AC3457" s="16"/>
      <c r="AE3457" s="35" t="str">
        <f t="shared" si="55"/>
        <v>EF1 E002 Mat</v>
      </c>
    </row>
    <row r="3458" spans="1:31" x14ac:dyDescent="0.25">
      <c r="A3458" s="31"/>
      <c r="B3458" s="16"/>
      <c r="C3458" s="16"/>
      <c r="D3458" s="33"/>
      <c r="E3458" s="33"/>
      <c r="F3458" s="33"/>
      <c r="G3458" s="33"/>
      <c r="H3458" s="33"/>
      <c r="I3458" s="31"/>
      <c r="J3458" s="31"/>
      <c r="K3458" s="33"/>
      <c r="L3458" s="33"/>
      <c r="M3458" s="31"/>
      <c r="N3458" s="31"/>
      <c r="O3458" s="16"/>
      <c r="P3458" s="16"/>
      <c r="Q3458" s="16"/>
      <c r="R3458" s="33"/>
      <c r="S3458" s="34"/>
      <c r="T3458" s="34"/>
      <c r="U3458" s="34"/>
      <c r="V3458" s="34"/>
      <c r="W3458" s="34"/>
      <c r="X3458" s="33"/>
      <c r="Y3458" s="35" t="str">
        <f>IF(Tabela2[[#This Row],[SIGLA]]="","",VLOOKUP(Tabela2[[#This Row],[SIGLA]],Tabela1[[#All],[Sigla Arte]:[Crédito]],2,0))</f>
        <v/>
      </c>
      <c r="Z3458" s="31"/>
      <c r="AA3458" s="31" t="str">
        <f>Tabela2[[#This Row],[ILUSTRADOR CRIAÇÃO]]</f>
        <v/>
      </c>
      <c r="AB3458" s="33"/>
      <c r="AC3458" s="16"/>
      <c r="AE3458" s="35" t="str">
        <f t="shared" si="55"/>
        <v>EF1 E002 Mat</v>
      </c>
    </row>
    <row r="3459" spans="1:31" x14ac:dyDescent="0.25">
      <c r="A3459" s="31"/>
      <c r="B3459" s="16"/>
      <c r="C3459" s="16"/>
      <c r="D3459" s="33"/>
      <c r="E3459" s="33"/>
      <c r="F3459" s="33"/>
      <c r="G3459" s="33"/>
      <c r="H3459" s="33"/>
      <c r="I3459" s="31"/>
      <c r="J3459" s="31"/>
      <c r="K3459" s="33"/>
      <c r="L3459" s="33"/>
      <c r="M3459" s="31"/>
      <c r="N3459" s="31"/>
      <c r="O3459" s="16"/>
      <c r="P3459" s="16"/>
      <c r="Q3459" s="16"/>
      <c r="R3459" s="33"/>
      <c r="S3459" s="34"/>
      <c r="T3459" s="34"/>
      <c r="U3459" s="34"/>
      <c r="V3459" s="34"/>
      <c r="W3459" s="34"/>
      <c r="X3459" s="33"/>
      <c r="Y3459" s="35" t="str">
        <f>IF(Tabela2[[#This Row],[SIGLA]]="","",VLOOKUP(Tabela2[[#This Row],[SIGLA]],Tabela1[[#All],[Sigla Arte]:[Crédito]],2,0))</f>
        <v/>
      </c>
      <c r="Z3459" s="31"/>
      <c r="AA3459" s="31" t="str">
        <f>Tabela2[[#This Row],[ILUSTRADOR CRIAÇÃO]]</f>
        <v/>
      </c>
      <c r="AB3459" s="33"/>
      <c r="AC3459" s="16"/>
      <c r="AE3459" s="35" t="str">
        <f t="shared" si="55"/>
        <v>EF1 E002 Mat</v>
      </c>
    </row>
    <row r="3460" spans="1:31" x14ac:dyDescent="0.25">
      <c r="A3460" s="31"/>
      <c r="B3460" s="16"/>
      <c r="C3460" s="16"/>
      <c r="D3460" s="33"/>
      <c r="E3460" s="33"/>
      <c r="F3460" s="33"/>
      <c r="G3460" s="33"/>
      <c r="H3460" s="33"/>
      <c r="I3460" s="31"/>
      <c r="J3460" s="31"/>
      <c r="K3460" s="33"/>
      <c r="L3460" s="33"/>
      <c r="M3460" s="31"/>
      <c r="N3460" s="31"/>
      <c r="O3460" s="16"/>
      <c r="P3460" s="16"/>
      <c r="Q3460" s="16"/>
      <c r="R3460" s="33"/>
      <c r="S3460" s="34"/>
      <c r="T3460" s="34"/>
      <c r="U3460" s="34"/>
      <c r="V3460" s="34"/>
      <c r="W3460" s="34"/>
      <c r="X3460" s="33"/>
      <c r="Y3460" s="35" t="str">
        <f>IF(Tabela2[[#This Row],[SIGLA]]="","",VLOOKUP(Tabela2[[#This Row],[SIGLA]],Tabela1[[#All],[Sigla Arte]:[Crédito]],2,0))</f>
        <v/>
      </c>
      <c r="Z3460" s="31"/>
      <c r="AA3460" s="31" t="str">
        <f>Tabela2[[#This Row],[ILUSTRADOR CRIAÇÃO]]</f>
        <v/>
      </c>
      <c r="AB3460" s="33"/>
      <c r="AC3460" s="16"/>
      <c r="AE3460" s="35" t="str">
        <f t="shared" si="55"/>
        <v>EF1 E002 Mat</v>
      </c>
    </row>
    <row r="3461" spans="1:31" x14ac:dyDescent="0.25">
      <c r="A3461" s="31"/>
      <c r="B3461" s="16"/>
      <c r="C3461" s="16"/>
      <c r="D3461" s="33"/>
      <c r="E3461" s="33"/>
      <c r="F3461" s="33"/>
      <c r="G3461" s="33"/>
      <c r="H3461" s="33"/>
      <c r="I3461" s="31"/>
      <c r="J3461" s="31"/>
      <c r="K3461" s="33"/>
      <c r="L3461" s="33"/>
      <c r="M3461" s="31"/>
      <c r="N3461" s="31"/>
      <c r="O3461" s="16"/>
      <c r="P3461" s="16"/>
      <c r="Q3461" s="16"/>
      <c r="R3461" s="33"/>
      <c r="S3461" s="34"/>
      <c r="T3461" s="34"/>
      <c r="U3461" s="34"/>
      <c r="V3461" s="34"/>
      <c r="W3461" s="34"/>
      <c r="X3461" s="33"/>
      <c r="Y3461" s="35" t="str">
        <f>IF(Tabela2[[#This Row],[SIGLA]]="","",VLOOKUP(Tabela2[[#This Row],[SIGLA]],Tabela1[[#All],[Sigla Arte]:[Crédito]],2,0))</f>
        <v/>
      </c>
      <c r="Z3461" s="31"/>
      <c r="AA3461" s="31" t="str">
        <f>Tabela2[[#This Row],[ILUSTRADOR CRIAÇÃO]]</f>
        <v/>
      </c>
      <c r="AB3461" s="33"/>
      <c r="AC3461" s="16"/>
      <c r="AE3461" s="35" t="str">
        <f t="shared" si="55"/>
        <v>EF1 E002 Mat</v>
      </c>
    </row>
    <row r="3462" spans="1:31" x14ac:dyDescent="0.25">
      <c r="A3462" s="31"/>
      <c r="B3462" s="16"/>
      <c r="C3462" s="16"/>
      <c r="D3462" s="33"/>
      <c r="E3462" s="33"/>
      <c r="F3462" s="33"/>
      <c r="G3462" s="33"/>
      <c r="H3462" s="33"/>
      <c r="I3462" s="31"/>
      <c r="J3462" s="31"/>
      <c r="K3462" s="33"/>
      <c r="L3462" s="33"/>
      <c r="M3462" s="31"/>
      <c r="N3462" s="31"/>
      <c r="O3462" s="16"/>
      <c r="P3462" s="16"/>
      <c r="Q3462" s="16"/>
      <c r="R3462" s="33"/>
      <c r="S3462" s="34"/>
      <c r="T3462" s="34"/>
      <c r="U3462" s="34"/>
      <c r="V3462" s="34"/>
      <c r="W3462" s="34"/>
      <c r="X3462" s="33"/>
      <c r="Y3462" s="35" t="str">
        <f>IF(Tabela2[[#This Row],[SIGLA]]="","",VLOOKUP(Tabela2[[#This Row],[SIGLA]],Tabela1[[#All],[Sigla Arte]:[Crédito]],2,0))</f>
        <v/>
      </c>
      <c r="Z3462" s="31"/>
      <c r="AA3462" s="31" t="str">
        <f>Tabela2[[#This Row],[ILUSTRADOR CRIAÇÃO]]</f>
        <v/>
      </c>
      <c r="AB3462" s="33"/>
      <c r="AC3462" s="16"/>
      <c r="AE3462" s="35" t="str">
        <f t="shared" si="55"/>
        <v>EF1 E002 Mat</v>
      </c>
    </row>
    <row r="3463" spans="1:31" x14ac:dyDescent="0.25">
      <c r="A3463" s="31"/>
      <c r="B3463" s="16"/>
      <c r="C3463" s="16"/>
      <c r="D3463" s="33"/>
      <c r="E3463" s="33"/>
      <c r="F3463" s="33"/>
      <c r="G3463" s="33"/>
      <c r="H3463" s="33"/>
      <c r="I3463" s="31"/>
      <c r="J3463" s="31"/>
      <c r="K3463" s="33"/>
      <c r="L3463" s="33"/>
      <c r="M3463" s="31"/>
      <c r="N3463" s="31"/>
      <c r="O3463" s="16"/>
      <c r="P3463" s="16"/>
      <c r="Q3463" s="16"/>
      <c r="R3463" s="33"/>
      <c r="S3463" s="34"/>
      <c r="T3463" s="34"/>
      <c r="U3463" s="34"/>
      <c r="V3463" s="34"/>
      <c r="W3463" s="34"/>
      <c r="X3463" s="33"/>
      <c r="Y3463" s="35" t="str">
        <f>IF(Tabela2[[#This Row],[SIGLA]]="","",VLOOKUP(Tabela2[[#This Row],[SIGLA]],Tabela1[[#All],[Sigla Arte]:[Crédito]],2,0))</f>
        <v/>
      </c>
      <c r="Z3463" s="31"/>
      <c r="AA3463" s="31" t="str">
        <f>Tabela2[[#This Row],[ILUSTRADOR CRIAÇÃO]]</f>
        <v/>
      </c>
      <c r="AB3463" s="33"/>
      <c r="AC3463" s="16"/>
      <c r="AE3463" s="35" t="str">
        <f t="shared" si="55"/>
        <v>EF1 E002 Mat</v>
      </c>
    </row>
    <row r="3464" spans="1:31" x14ac:dyDescent="0.25">
      <c r="A3464" s="31"/>
      <c r="B3464" s="16"/>
      <c r="C3464" s="16"/>
      <c r="D3464" s="33"/>
      <c r="E3464" s="33"/>
      <c r="F3464" s="33"/>
      <c r="G3464" s="33"/>
      <c r="H3464" s="33"/>
      <c r="I3464" s="31"/>
      <c r="J3464" s="31"/>
      <c r="K3464" s="33"/>
      <c r="L3464" s="33"/>
      <c r="M3464" s="31"/>
      <c r="N3464" s="31"/>
      <c r="O3464" s="16"/>
      <c r="P3464" s="16"/>
      <c r="Q3464" s="16"/>
      <c r="R3464" s="33"/>
      <c r="S3464" s="34"/>
      <c r="T3464" s="34"/>
      <c r="U3464" s="34"/>
      <c r="V3464" s="34"/>
      <c r="W3464" s="34"/>
      <c r="X3464" s="33"/>
      <c r="Y3464" s="35" t="str">
        <f>IF(Tabela2[[#This Row],[SIGLA]]="","",VLOOKUP(Tabela2[[#This Row],[SIGLA]],Tabela1[[#All],[Sigla Arte]:[Crédito]],2,0))</f>
        <v/>
      </c>
      <c r="Z3464" s="31"/>
      <c r="AA3464" s="31" t="str">
        <f>Tabela2[[#This Row],[ILUSTRADOR CRIAÇÃO]]</f>
        <v/>
      </c>
      <c r="AB3464" s="33"/>
      <c r="AC3464" s="16"/>
      <c r="AE3464" s="35" t="str">
        <f t="shared" si="55"/>
        <v>EF1 E002 Mat</v>
      </c>
    </row>
    <row r="3465" spans="1:31" x14ac:dyDescent="0.25">
      <c r="A3465" s="31"/>
      <c r="B3465" s="16"/>
      <c r="C3465" s="16"/>
      <c r="D3465" s="33"/>
      <c r="E3465" s="33"/>
      <c r="F3465" s="33"/>
      <c r="G3465" s="33"/>
      <c r="H3465" s="33"/>
      <c r="I3465" s="31"/>
      <c r="J3465" s="31"/>
      <c r="K3465" s="33"/>
      <c r="L3465" s="33"/>
      <c r="M3465" s="31"/>
      <c r="N3465" s="31"/>
      <c r="O3465" s="16"/>
      <c r="P3465" s="16"/>
      <c r="Q3465" s="16"/>
      <c r="R3465" s="33"/>
      <c r="S3465" s="34"/>
      <c r="T3465" s="34"/>
      <c r="U3465" s="34"/>
      <c r="V3465" s="34"/>
      <c r="W3465" s="34"/>
      <c r="X3465" s="33"/>
      <c r="Y3465" s="35" t="str">
        <f>IF(Tabela2[[#This Row],[SIGLA]]="","",VLOOKUP(Tabela2[[#This Row],[SIGLA]],Tabela1[[#All],[Sigla Arte]:[Crédito]],2,0))</f>
        <v/>
      </c>
      <c r="Z3465" s="31"/>
      <c r="AA3465" s="31" t="str">
        <f>Tabela2[[#This Row],[ILUSTRADOR CRIAÇÃO]]</f>
        <v/>
      </c>
      <c r="AB3465" s="33"/>
      <c r="AC3465" s="16"/>
      <c r="AE3465" s="35" t="str">
        <f t="shared" si="55"/>
        <v>EF1 E002 Mat</v>
      </c>
    </row>
    <row r="3466" spans="1:31" x14ac:dyDescent="0.25">
      <c r="A3466" s="31"/>
      <c r="B3466" s="16"/>
      <c r="C3466" s="16"/>
      <c r="D3466" s="33"/>
      <c r="E3466" s="33"/>
      <c r="F3466" s="33"/>
      <c r="G3466" s="33"/>
      <c r="H3466" s="33"/>
      <c r="I3466" s="31"/>
      <c r="J3466" s="31"/>
      <c r="K3466" s="33"/>
      <c r="L3466" s="33"/>
      <c r="M3466" s="31"/>
      <c r="N3466" s="31"/>
      <c r="O3466" s="16"/>
      <c r="P3466" s="16"/>
      <c r="Q3466" s="16"/>
      <c r="R3466" s="33"/>
      <c r="S3466" s="34"/>
      <c r="T3466" s="34"/>
      <c r="U3466" s="34"/>
      <c r="V3466" s="34"/>
      <c r="W3466" s="34"/>
      <c r="X3466" s="33"/>
      <c r="Y3466" s="35" t="str">
        <f>IF(Tabela2[[#This Row],[SIGLA]]="","",VLOOKUP(Tabela2[[#This Row],[SIGLA]],Tabela1[[#All],[Sigla Arte]:[Crédito]],2,0))</f>
        <v/>
      </c>
      <c r="Z3466" s="31"/>
      <c r="AA3466" s="31" t="str">
        <f>Tabela2[[#This Row],[ILUSTRADOR CRIAÇÃO]]</f>
        <v/>
      </c>
      <c r="AB3466" s="33"/>
      <c r="AC3466" s="16"/>
      <c r="AE3466" s="35" t="str">
        <f t="shared" si="55"/>
        <v>EF1 E002 Mat</v>
      </c>
    </row>
    <row r="3467" spans="1:31" x14ac:dyDescent="0.25">
      <c r="A3467" s="31"/>
      <c r="B3467" s="16"/>
      <c r="C3467" s="16"/>
      <c r="D3467" s="33"/>
      <c r="E3467" s="33"/>
      <c r="F3467" s="33"/>
      <c r="G3467" s="33"/>
      <c r="H3467" s="33"/>
      <c r="I3467" s="31"/>
      <c r="J3467" s="31"/>
      <c r="K3467" s="33"/>
      <c r="L3467" s="33"/>
      <c r="M3467" s="31"/>
      <c r="N3467" s="31"/>
      <c r="O3467" s="16"/>
      <c r="P3467" s="16"/>
      <c r="Q3467" s="16"/>
      <c r="R3467" s="33"/>
      <c r="S3467" s="34"/>
      <c r="T3467" s="34"/>
      <c r="U3467" s="34"/>
      <c r="V3467" s="34"/>
      <c r="W3467" s="34"/>
      <c r="X3467" s="33"/>
      <c r="Y3467" s="35" t="str">
        <f>IF(Tabela2[[#This Row],[SIGLA]]="","",VLOOKUP(Tabela2[[#This Row],[SIGLA]],Tabela1[[#All],[Sigla Arte]:[Crédito]],2,0))</f>
        <v/>
      </c>
      <c r="Z3467" s="31"/>
      <c r="AA3467" s="31" t="str">
        <f>Tabela2[[#This Row],[ILUSTRADOR CRIAÇÃO]]</f>
        <v/>
      </c>
      <c r="AB3467" s="33"/>
      <c r="AC3467" s="16"/>
      <c r="AE3467" s="35" t="str">
        <f t="shared" si="55"/>
        <v>EF1 E002 Mat</v>
      </c>
    </row>
    <row r="3468" spans="1:31" x14ac:dyDescent="0.25">
      <c r="A3468" s="31"/>
      <c r="B3468" s="16"/>
      <c r="C3468" s="16"/>
      <c r="D3468" s="33"/>
      <c r="E3468" s="33"/>
      <c r="F3468" s="33"/>
      <c r="G3468" s="33"/>
      <c r="H3468" s="33"/>
      <c r="I3468" s="31"/>
      <c r="J3468" s="31"/>
      <c r="K3468" s="33"/>
      <c r="L3468" s="33"/>
      <c r="M3468" s="31"/>
      <c r="N3468" s="31"/>
      <c r="O3468" s="16"/>
      <c r="P3468" s="16"/>
      <c r="Q3468" s="16"/>
      <c r="R3468" s="33"/>
      <c r="S3468" s="34"/>
      <c r="T3468" s="34"/>
      <c r="U3468" s="34"/>
      <c r="V3468" s="34"/>
      <c r="W3468" s="34"/>
      <c r="X3468" s="33"/>
      <c r="Y3468" s="35" t="str">
        <f>IF(Tabela2[[#This Row],[SIGLA]]="","",VLOOKUP(Tabela2[[#This Row],[SIGLA]],Tabela1[[#All],[Sigla Arte]:[Crédito]],2,0))</f>
        <v/>
      </c>
      <c r="Z3468" s="31"/>
      <c r="AA3468" s="31" t="str">
        <f>Tabela2[[#This Row],[ILUSTRADOR CRIAÇÃO]]</f>
        <v/>
      </c>
      <c r="AB3468" s="33"/>
      <c r="AC3468" s="16"/>
      <c r="AE3468" s="35" t="str">
        <f t="shared" si="55"/>
        <v>EF1 E002 Mat</v>
      </c>
    </row>
    <row r="3469" spans="1:31" x14ac:dyDescent="0.25">
      <c r="A3469" s="31"/>
      <c r="B3469" s="16"/>
      <c r="C3469" s="16"/>
      <c r="D3469" s="33"/>
      <c r="E3469" s="33"/>
      <c r="F3469" s="33"/>
      <c r="G3469" s="33"/>
      <c r="H3469" s="33"/>
      <c r="I3469" s="31"/>
      <c r="J3469" s="31"/>
      <c r="K3469" s="33"/>
      <c r="L3469" s="33"/>
      <c r="M3469" s="31"/>
      <c r="N3469" s="31"/>
      <c r="O3469" s="16"/>
      <c r="P3469" s="16"/>
      <c r="Q3469" s="16"/>
      <c r="R3469" s="33"/>
      <c r="S3469" s="34"/>
      <c r="T3469" s="34"/>
      <c r="U3469" s="34"/>
      <c r="V3469" s="34"/>
      <c r="W3469" s="34"/>
      <c r="X3469" s="33"/>
      <c r="Y3469" s="35" t="str">
        <f>IF(Tabela2[[#This Row],[SIGLA]]="","",VLOOKUP(Tabela2[[#This Row],[SIGLA]],Tabela1[[#All],[Sigla Arte]:[Crédito]],2,0))</f>
        <v/>
      </c>
      <c r="Z3469" s="31"/>
      <c r="AA3469" s="31" t="str">
        <f>Tabela2[[#This Row],[ILUSTRADOR CRIAÇÃO]]</f>
        <v/>
      </c>
      <c r="AB3469" s="33"/>
      <c r="AC3469" s="16"/>
      <c r="AE3469" s="35" t="str">
        <f t="shared" si="55"/>
        <v>EF1 E002 Mat</v>
      </c>
    </row>
    <row r="3470" spans="1:31" x14ac:dyDescent="0.25">
      <c r="A3470" s="31"/>
      <c r="B3470" s="16"/>
      <c r="C3470" s="16"/>
      <c r="D3470" s="33"/>
      <c r="E3470" s="33"/>
      <c r="F3470" s="33"/>
      <c r="G3470" s="33"/>
      <c r="H3470" s="33"/>
      <c r="I3470" s="31"/>
      <c r="J3470" s="31"/>
      <c r="K3470" s="33"/>
      <c r="L3470" s="33"/>
      <c r="M3470" s="31"/>
      <c r="N3470" s="31"/>
      <c r="O3470" s="16"/>
      <c r="P3470" s="16"/>
      <c r="Q3470" s="16"/>
      <c r="R3470" s="33"/>
      <c r="S3470" s="34"/>
      <c r="T3470" s="34"/>
      <c r="U3470" s="34"/>
      <c r="V3470" s="34"/>
      <c r="W3470" s="34"/>
      <c r="X3470" s="33"/>
      <c r="Y3470" s="35" t="str">
        <f>IF(Tabela2[[#This Row],[SIGLA]]="","",VLOOKUP(Tabela2[[#This Row],[SIGLA]],Tabela1[[#All],[Sigla Arte]:[Crédito]],2,0))</f>
        <v/>
      </c>
      <c r="Z3470" s="31"/>
      <c r="AA3470" s="31" t="str">
        <f>Tabela2[[#This Row],[ILUSTRADOR CRIAÇÃO]]</f>
        <v/>
      </c>
      <c r="AB3470" s="33"/>
      <c r="AC3470" s="16"/>
      <c r="AE3470" s="35" t="str">
        <f t="shared" si="55"/>
        <v>EF1 E002 Mat</v>
      </c>
    </row>
    <row r="3471" spans="1:31" x14ac:dyDescent="0.25">
      <c r="A3471" s="31"/>
      <c r="B3471" s="16"/>
      <c r="C3471" s="16"/>
      <c r="D3471" s="33"/>
      <c r="E3471" s="33"/>
      <c r="F3471" s="33"/>
      <c r="G3471" s="33"/>
      <c r="H3471" s="33"/>
      <c r="I3471" s="31"/>
      <c r="J3471" s="31"/>
      <c r="K3471" s="33"/>
      <c r="L3471" s="33"/>
      <c r="M3471" s="31"/>
      <c r="N3471" s="31"/>
      <c r="O3471" s="16"/>
      <c r="P3471" s="16"/>
      <c r="Q3471" s="16"/>
      <c r="R3471" s="33"/>
      <c r="S3471" s="34"/>
      <c r="T3471" s="34"/>
      <c r="U3471" s="34"/>
      <c r="V3471" s="34"/>
      <c r="W3471" s="34"/>
      <c r="X3471" s="33"/>
      <c r="Y3471" s="35" t="str">
        <f>IF(Tabela2[[#This Row],[SIGLA]]="","",VLOOKUP(Tabela2[[#This Row],[SIGLA]],Tabela1[[#All],[Sigla Arte]:[Crédito]],2,0))</f>
        <v/>
      </c>
      <c r="Z3471" s="31"/>
      <c r="AA3471" s="31" t="str">
        <f>Tabela2[[#This Row],[ILUSTRADOR CRIAÇÃO]]</f>
        <v/>
      </c>
      <c r="AB3471" s="33"/>
      <c r="AC3471" s="16"/>
      <c r="AE3471" s="35" t="str">
        <f t="shared" si="55"/>
        <v>EF1 E002 Mat</v>
      </c>
    </row>
    <row r="3472" spans="1:31" x14ac:dyDescent="0.25">
      <c r="A3472" s="31"/>
      <c r="B3472" s="16"/>
      <c r="C3472" s="16"/>
      <c r="D3472" s="33"/>
      <c r="E3472" s="33"/>
      <c r="F3472" s="33"/>
      <c r="G3472" s="33"/>
      <c r="H3472" s="33"/>
      <c r="I3472" s="31"/>
      <c r="J3472" s="31"/>
      <c r="K3472" s="33"/>
      <c r="L3472" s="33"/>
      <c r="M3472" s="31"/>
      <c r="N3472" s="31"/>
      <c r="O3472" s="16"/>
      <c r="P3472" s="16"/>
      <c r="Q3472" s="16"/>
      <c r="R3472" s="33"/>
      <c r="S3472" s="34"/>
      <c r="T3472" s="34"/>
      <c r="U3472" s="34"/>
      <c r="V3472" s="34"/>
      <c r="W3472" s="34"/>
      <c r="X3472" s="33"/>
      <c r="Y3472" s="35" t="str">
        <f>IF(Tabela2[[#This Row],[SIGLA]]="","",VLOOKUP(Tabela2[[#This Row],[SIGLA]],Tabela1[[#All],[Sigla Arte]:[Crédito]],2,0))</f>
        <v/>
      </c>
      <c r="Z3472" s="31"/>
      <c r="AA3472" s="31" t="str">
        <f>Tabela2[[#This Row],[ILUSTRADOR CRIAÇÃO]]</f>
        <v/>
      </c>
      <c r="AB3472" s="33"/>
      <c r="AC3472" s="16"/>
      <c r="AE3472" s="35" t="str">
        <f t="shared" si="55"/>
        <v>EF1 E002 Mat</v>
      </c>
    </row>
    <row r="3473" spans="1:31" x14ac:dyDescent="0.25">
      <c r="A3473" s="31"/>
      <c r="B3473" s="16"/>
      <c r="C3473" s="16"/>
      <c r="D3473" s="33"/>
      <c r="E3473" s="33"/>
      <c r="F3473" s="33"/>
      <c r="G3473" s="33"/>
      <c r="H3473" s="33"/>
      <c r="I3473" s="31"/>
      <c r="J3473" s="31"/>
      <c r="K3473" s="33"/>
      <c r="L3473" s="33"/>
      <c r="M3473" s="31"/>
      <c r="N3473" s="31"/>
      <c r="O3473" s="16"/>
      <c r="P3473" s="16"/>
      <c r="Q3473" s="16"/>
      <c r="R3473" s="33"/>
      <c r="S3473" s="34"/>
      <c r="T3473" s="34"/>
      <c r="U3473" s="34"/>
      <c r="V3473" s="34"/>
      <c r="W3473" s="34"/>
      <c r="X3473" s="33"/>
      <c r="Y3473" s="35" t="str">
        <f>IF(Tabela2[[#This Row],[SIGLA]]="","",VLOOKUP(Tabela2[[#This Row],[SIGLA]],Tabela1[[#All],[Sigla Arte]:[Crédito]],2,0))</f>
        <v/>
      </c>
      <c r="Z3473" s="31"/>
      <c r="AA3473" s="31" t="str">
        <f>Tabela2[[#This Row],[ILUSTRADOR CRIAÇÃO]]</f>
        <v/>
      </c>
      <c r="AB3473" s="33"/>
      <c r="AC3473" s="16"/>
      <c r="AE3473" s="35" t="str">
        <f t="shared" si="55"/>
        <v>EF1 E002 Mat</v>
      </c>
    </row>
    <row r="3474" spans="1:31" x14ac:dyDescent="0.25">
      <c r="A3474" s="31"/>
      <c r="B3474" s="16"/>
      <c r="C3474" s="16"/>
      <c r="D3474" s="33"/>
      <c r="E3474" s="33"/>
      <c r="F3474" s="33"/>
      <c r="G3474" s="33"/>
      <c r="H3474" s="33"/>
      <c r="I3474" s="31"/>
      <c r="J3474" s="31"/>
      <c r="K3474" s="33"/>
      <c r="L3474" s="33"/>
      <c r="M3474" s="31"/>
      <c r="N3474" s="31"/>
      <c r="O3474" s="16"/>
      <c r="P3474" s="16"/>
      <c r="Q3474" s="16"/>
      <c r="R3474" s="33"/>
      <c r="S3474" s="34"/>
      <c r="T3474" s="34"/>
      <c r="U3474" s="34"/>
      <c r="V3474" s="34"/>
      <c r="W3474" s="34"/>
      <c r="X3474" s="33"/>
      <c r="Y3474" s="35" t="str">
        <f>IF(Tabela2[[#This Row],[SIGLA]]="","",VLOOKUP(Tabela2[[#This Row],[SIGLA]],Tabela1[[#All],[Sigla Arte]:[Crédito]],2,0))</f>
        <v/>
      </c>
      <c r="Z3474" s="31"/>
      <c r="AA3474" s="31" t="str">
        <f>Tabela2[[#This Row],[ILUSTRADOR CRIAÇÃO]]</f>
        <v/>
      </c>
      <c r="AB3474" s="33"/>
      <c r="AC3474" s="16"/>
      <c r="AE3474" s="35" t="str">
        <f t="shared" si="55"/>
        <v>EF1 E002 Mat</v>
      </c>
    </row>
    <row r="3475" spans="1:31" x14ac:dyDescent="0.25">
      <c r="A3475" s="31"/>
      <c r="B3475" s="16"/>
      <c r="C3475" s="16"/>
      <c r="D3475" s="33"/>
      <c r="E3475" s="33"/>
      <c r="F3475" s="33"/>
      <c r="G3475" s="33"/>
      <c r="H3475" s="33"/>
      <c r="I3475" s="31"/>
      <c r="J3475" s="31"/>
      <c r="K3475" s="33"/>
      <c r="L3475" s="33"/>
      <c r="M3475" s="31"/>
      <c r="N3475" s="31"/>
      <c r="O3475" s="16"/>
      <c r="P3475" s="16"/>
      <c r="Q3475" s="16"/>
      <c r="R3475" s="33"/>
      <c r="S3475" s="34"/>
      <c r="T3475" s="34"/>
      <c r="U3475" s="34"/>
      <c r="V3475" s="34"/>
      <c r="W3475" s="34"/>
      <c r="X3475" s="33"/>
      <c r="Y3475" s="35" t="str">
        <f>IF(Tabela2[[#This Row],[SIGLA]]="","",VLOOKUP(Tabela2[[#This Row],[SIGLA]],Tabela1[[#All],[Sigla Arte]:[Crédito]],2,0))</f>
        <v/>
      </c>
      <c r="Z3475" s="31"/>
      <c r="AA3475" s="31" t="str">
        <f>Tabela2[[#This Row],[ILUSTRADOR CRIAÇÃO]]</f>
        <v/>
      </c>
      <c r="AB3475" s="33"/>
      <c r="AC3475" s="16"/>
      <c r="AE3475" s="35" t="str">
        <f t="shared" si="55"/>
        <v>EF1 E002 Mat</v>
      </c>
    </row>
    <row r="3476" spans="1:31" x14ac:dyDescent="0.25">
      <c r="A3476" s="31"/>
      <c r="B3476" s="16"/>
      <c r="C3476" s="16"/>
      <c r="D3476" s="33"/>
      <c r="E3476" s="33"/>
      <c r="F3476" s="33"/>
      <c r="G3476" s="33"/>
      <c r="H3476" s="33"/>
      <c r="I3476" s="31"/>
      <c r="J3476" s="31"/>
      <c r="K3476" s="33"/>
      <c r="L3476" s="33"/>
      <c r="M3476" s="31"/>
      <c r="N3476" s="31"/>
      <c r="O3476" s="16"/>
      <c r="P3476" s="16"/>
      <c r="Q3476" s="16"/>
      <c r="R3476" s="33"/>
      <c r="S3476" s="34"/>
      <c r="T3476" s="34"/>
      <c r="U3476" s="34"/>
      <c r="V3476" s="34"/>
      <c r="W3476" s="34"/>
      <c r="X3476" s="33"/>
      <c r="Y3476" s="35" t="str">
        <f>IF(Tabela2[[#This Row],[SIGLA]]="","",VLOOKUP(Tabela2[[#This Row],[SIGLA]],Tabela1[[#All],[Sigla Arte]:[Crédito]],2,0))</f>
        <v/>
      </c>
      <c r="Z3476" s="31"/>
      <c r="AA3476" s="31" t="str">
        <f>Tabela2[[#This Row],[ILUSTRADOR CRIAÇÃO]]</f>
        <v/>
      </c>
      <c r="AB3476" s="33"/>
      <c r="AC3476" s="16"/>
      <c r="AE3476" s="35" t="str">
        <f t="shared" si="55"/>
        <v>EF1 E002 Mat</v>
      </c>
    </row>
    <row r="3477" spans="1:31" x14ac:dyDescent="0.25">
      <c r="A3477" s="31"/>
      <c r="B3477" s="16"/>
      <c r="C3477" s="16"/>
      <c r="D3477" s="33"/>
      <c r="E3477" s="33"/>
      <c r="F3477" s="33"/>
      <c r="G3477" s="33"/>
      <c r="H3477" s="33"/>
      <c r="I3477" s="31"/>
      <c r="J3477" s="31"/>
      <c r="K3477" s="33"/>
      <c r="L3477" s="33"/>
      <c r="M3477" s="31"/>
      <c r="N3477" s="31"/>
      <c r="O3477" s="16"/>
      <c r="P3477" s="16"/>
      <c r="Q3477" s="16"/>
      <c r="R3477" s="33"/>
      <c r="S3477" s="34"/>
      <c r="T3477" s="34"/>
      <c r="U3477" s="34"/>
      <c r="V3477" s="34"/>
      <c r="W3477" s="34"/>
      <c r="X3477" s="33"/>
      <c r="Y3477" s="35" t="str">
        <f>IF(Tabela2[[#This Row],[SIGLA]]="","",VLOOKUP(Tabela2[[#This Row],[SIGLA]],Tabela1[[#All],[Sigla Arte]:[Crédito]],2,0))</f>
        <v/>
      </c>
      <c r="Z3477" s="31"/>
      <c r="AA3477" s="31" t="str">
        <f>Tabela2[[#This Row],[ILUSTRADOR CRIAÇÃO]]</f>
        <v/>
      </c>
      <c r="AB3477" s="33"/>
      <c r="AC3477" s="16"/>
      <c r="AE3477" s="35" t="str">
        <f t="shared" si="55"/>
        <v>EF1 E002 Mat</v>
      </c>
    </row>
    <row r="3478" spans="1:31" x14ac:dyDescent="0.25">
      <c r="A3478" s="31"/>
      <c r="B3478" s="16"/>
      <c r="C3478" s="16"/>
      <c r="D3478" s="33"/>
      <c r="E3478" s="33"/>
      <c r="F3478" s="33"/>
      <c r="G3478" s="33"/>
      <c r="H3478" s="33"/>
      <c r="I3478" s="31"/>
      <c r="J3478" s="31"/>
      <c r="K3478" s="33"/>
      <c r="L3478" s="33"/>
      <c r="M3478" s="31"/>
      <c r="N3478" s="31"/>
      <c r="O3478" s="16"/>
      <c r="P3478" s="16"/>
      <c r="Q3478" s="16"/>
      <c r="R3478" s="33"/>
      <c r="S3478" s="34"/>
      <c r="T3478" s="34"/>
      <c r="U3478" s="34"/>
      <c r="V3478" s="34"/>
      <c r="W3478" s="34"/>
      <c r="X3478" s="33"/>
      <c r="Y3478" s="35" t="str">
        <f>IF(Tabela2[[#This Row],[SIGLA]]="","",VLOOKUP(Tabela2[[#This Row],[SIGLA]],Tabela1[[#All],[Sigla Arte]:[Crédito]],2,0))</f>
        <v/>
      </c>
      <c r="Z3478" s="31"/>
      <c r="AA3478" s="31" t="str">
        <f>Tabela2[[#This Row],[ILUSTRADOR CRIAÇÃO]]</f>
        <v/>
      </c>
      <c r="AB3478" s="33"/>
      <c r="AC3478" s="16"/>
      <c r="AE3478" s="35" t="str">
        <f t="shared" si="55"/>
        <v>EF1 E002 Mat</v>
      </c>
    </row>
    <row r="3479" spans="1:31" x14ac:dyDescent="0.25">
      <c r="A3479" s="31"/>
      <c r="B3479" s="16"/>
      <c r="C3479" s="16"/>
      <c r="D3479" s="33"/>
      <c r="E3479" s="33"/>
      <c r="F3479" s="33"/>
      <c r="G3479" s="33"/>
      <c r="H3479" s="33"/>
      <c r="I3479" s="31"/>
      <c r="J3479" s="31"/>
      <c r="K3479" s="33"/>
      <c r="L3479" s="33"/>
      <c r="M3479" s="31"/>
      <c r="N3479" s="31"/>
      <c r="O3479" s="16"/>
      <c r="P3479" s="16"/>
      <c r="Q3479" s="16"/>
      <c r="R3479" s="33"/>
      <c r="S3479" s="34"/>
      <c r="T3479" s="34"/>
      <c r="U3479" s="34"/>
      <c r="V3479" s="34"/>
      <c r="W3479" s="34"/>
      <c r="X3479" s="33"/>
      <c r="Y3479" s="35" t="str">
        <f>IF(Tabela2[[#This Row],[SIGLA]]="","",VLOOKUP(Tabela2[[#This Row],[SIGLA]],Tabela1[[#All],[Sigla Arte]:[Crédito]],2,0))</f>
        <v/>
      </c>
      <c r="Z3479" s="31"/>
      <c r="AA3479" s="31" t="str">
        <f>Tabela2[[#This Row],[ILUSTRADOR CRIAÇÃO]]</f>
        <v/>
      </c>
      <c r="AB3479" s="33"/>
      <c r="AC3479" s="16"/>
      <c r="AE3479" s="35" t="str">
        <f t="shared" si="55"/>
        <v>EF1 E002 Mat</v>
      </c>
    </row>
    <row r="3480" spans="1:31" x14ac:dyDescent="0.25">
      <c r="A3480" s="31"/>
      <c r="B3480" s="16"/>
      <c r="C3480" s="16"/>
      <c r="D3480" s="33"/>
      <c r="E3480" s="33"/>
      <c r="F3480" s="33"/>
      <c r="G3480" s="33"/>
      <c r="H3480" s="33"/>
      <c r="I3480" s="31"/>
      <c r="J3480" s="31"/>
      <c r="K3480" s="33"/>
      <c r="L3480" s="33"/>
      <c r="M3480" s="31"/>
      <c r="N3480" s="31"/>
      <c r="O3480" s="16"/>
      <c r="P3480" s="16"/>
      <c r="Q3480" s="16"/>
      <c r="R3480" s="33"/>
      <c r="S3480" s="34"/>
      <c r="T3480" s="34"/>
      <c r="U3480" s="34"/>
      <c r="V3480" s="34"/>
      <c r="W3480" s="34"/>
      <c r="X3480" s="33"/>
      <c r="Y3480" s="35" t="str">
        <f>IF(Tabela2[[#This Row],[SIGLA]]="","",VLOOKUP(Tabela2[[#This Row],[SIGLA]],Tabela1[[#All],[Sigla Arte]:[Crédito]],2,0))</f>
        <v/>
      </c>
      <c r="Z3480" s="31"/>
      <c r="AA3480" s="31" t="str">
        <f>Tabela2[[#This Row],[ILUSTRADOR CRIAÇÃO]]</f>
        <v/>
      </c>
      <c r="AB3480" s="33"/>
      <c r="AC3480" s="16"/>
      <c r="AE3480" s="35" t="str">
        <f t="shared" si="55"/>
        <v>EF1 E002 Mat</v>
      </c>
    </row>
    <row r="3481" spans="1:31" x14ac:dyDescent="0.25">
      <c r="A3481" s="31"/>
      <c r="B3481" s="16"/>
      <c r="C3481" s="16"/>
      <c r="D3481" s="33"/>
      <c r="E3481" s="33"/>
      <c r="F3481" s="33"/>
      <c r="G3481" s="33"/>
      <c r="H3481" s="33"/>
      <c r="I3481" s="31"/>
      <c r="J3481" s="31"/>
      <c r="K3481" s="33"/>
      <c r="L3481" s="33"/>
      <c r="M3481" s="31"/>
      <c r="N3481" s="31"/>
      <c r="O3481" s="16"/>
      <c r="P3481" s="16"/>
      <c r="Q3481" s="16"/>
      <c r="R3481" s="33"/>
      <c r="S3481" s="34"/>
      <c r="T3481" s="34"/>
      <c r="U3481" s="34"/>
      <c r="V3481" s="34"/>
      <c r="W3481" s="34"/>
      <c r="X3481" s="33"/>
      <c r="Y3481" s="35" t="str">
        <f>IF(Tabela2[[#This Row],[SIGLA]]="","",VLOOKUP(Tabela2[[#This Row],[SIGLA]],Tabela1[[#All],[Sigla Arte]:[Crédito]],2,0))</f>
        <v/>
      </c>
      <c r="Z3481" s="31"/>
      <c r="AA3481" s="31" t="str">
        <f>Tabela2[[#This Row],[ILUSTRADOR CRIAÇÃO]]</f>
        <v/>
      </c>
      <c r="AB3481" s="33"/>
      <c r="AC3481" s="16"/>
      <c r="AE3481" s="35" t="str">
        <f t="shared" si="55"/>
        <v>EF1 E002 Mat</v>
      </c>
    </row>
    <row r="3482" spans="1:31" x14ac:dyDescent="0.25">
      <c r="A3482" s="31"/>
      <c r="B3482" s="16"/>
      <c r="C3482" s="16"/>
      <c r="D3482" s="33"/>
      <c r="E3482" s="33"/>
      <c r="F3482" s="33"/>
      <c r="G3482" s="33"/>
      <c r="H3482" s="33"/>
      <c r="I3482" s="31"/>
      <c r="J3482" s="31"/>
      <c r="K3482" s="33"/>
      <c r="L3482" s="33"/>
      <c r="M3482" s="31"/>
      <c r="N3482" s="31"/>
      <c r="O3482" s="16"/>
      <c r="P3482" s="16"/>
      <c r="Q3482" s="16"/>
      <c r="R3482" s="33"/>
      <c r="S3482" s="34"/>
      <c r="T3482" s="34"/>
      <c r="U3482" s="34"/>
      <c r="V3482" s="34"/>
      <c r="W3482" s="34"/>
      <c r="X3482" s="33"/>
      <c r="Y3482" s="35" t="str">
        <f>IF(Tabela2[[#This Row],[SIGLA]]="","",VLOOKUP(Tabela2[[#This Row],[SIGLA]],Tabela1[[#All],[Sigla Arte]:[Crédito]],2,0))</f>
        <v/>
      </c>
      <c r="Z3482" s="31"/>
      <c r="AA3482" s="31" t="str">
        <f>Tabela2[[#This Row],[ILUSTRADOR CRIAÇÃO]]</f>
        <v/>
      </c>
      <c r="AB3482" s="33"/>
      <c r="AC3482" s="16"/>
      <c r="AE3482" s="35" t="str">
        <f t="shared" si="55"/>
        <v>EF1 E002 Mat</v>
      </c>
    </row>
    <row r="3483" spans="1:31" x14ac:dyDescent="0.25">
      <c r="A3483" s="31"/>
      <c r="B3483" s="16"/>
      <c r="C3483" s="16"/>
      <c r="D3483" s="33"/>
      <c r="E3483" s="33"/>
      <c r="F3483" s="33"/>
      <c r="G3483" s="33"/>
      <c r="H3483" s="33"/>
      <c r="I3483" s="31"/>
      <c r="J3483" s="31"/>
      <c r="K3483" s="33"/>
      <c r="L3483" s="33"/>
      <c r="M3483" s="31"/>
      <c r="N3483" s="31"/>
      <c r="O3483" s="16"/>
      <c r="P3483" s="16"/>
      <c r="Q3483" s="16"/>
      <c r="R3483" s="33"/>
      <c r="S3483" s="34"/>
      <c r="T3483" s="34"/>
      <c r="U3483" s="34"/>
      <c r="V3483" s="34"/>
      <c r="W3483" s="34"/>
      <c r="X3483" s="33"/>
      <c r="Y3483" s="35" t="str">
        <f>IF(Tabela2[[#This Row],[SIGLA]]="","",VLOOKUP(Tabela2[[#This Row],[SIGLA]],Tabela1[[#All],[Sigla Arte]:[Crédito]],2,0))</f>
        <v/>
      </c>
      <c r="Z3483" s="31"/>
      <c r="AA3483" s="31" t="str">
        <f>Tabela2[[#This Row],[ILUSTRADOR CRIAÇÃO]]</f>
        <v/>
      </c>
      <c r="AB3483" s="33"/>
      <c r="AC3483" s="16"/>
      <c r="AE3483" s="35" t="str">
        <f t="shared" si="55"/>
        <v>EF1 E002 Mat</v>
      </c>
    </row>
    <row r="3484" spans="1:31" x14ac:dyDescent="0.25">
      <c r="A3484" s="31"/>
      <c r="B3484" s="16"/>
      <c r="C3484" s="16"/>
      <c r="D3484" s="33"/>
      <c r="E3484" s="33"/>
      <c r="F3484" s="33"/>
      <c r="G3484" s="33"/>
      <c r="H3484" s="33"/>
      <c r="I3484" s="31"/>
      <c r="J3484" s="31"/>
      <c r="K3484" s="33"/>
      <c r="L3484" s="33"/>
      <c r="M3484" s="31"/>
      <c r="N3484" s="31"/>
      <c r="O3484" s="16"/>
      <c r="P3484" s="16"/>
      <c r="Q3484" s="16"/>
      <c r="R3484" s="33"/>
      <c r="S3484" s="34"/>
      <c r="T3484" s="34"/>
      <c r="U3484" s="34"/>
      <c r="V3484" s="34"/>
      <c r="W3484" s="34"/>
      <c r="X3484" s="33"/>
      <c r="Y3484" s="35" t="str">
        <f>IF(Tabela2[[#This Row],[SIGLA]]="","",VLOOKUP(Tabela2[[#This Row],[SIGLA]],Tabela1[[#All],[Sigla Arte]:[Crédito]],2,0))</f>
        <v/>
      </c>
      <c r="Z3484" s="31"/>
      <c r="AA3484" s="31" t="str">
        <f>Tabela2[[#This Row],[ILUSTRADOR CRIAÇÃO]]</f>
        <v/>
      </c>
      <c r="AB3484" s="33"/>
      <c r="AC3484" s="16"/>
      <c r="AE3484" s="35" t="str">
        <f t="shared" si="55"/>
        <v>EF1 E002 Mat</v>
      </c>
    </row>
    <row r="3485" spans="1:31" x14ac:dyDescent="0.25">
      <c r="A3485" s="31"/>
      <c r="B3485" s="16"/>
      <c r="C3485" s="16"/>
      <c r="D3485" s="33"/>
      <c r="E3485" s="33"/>
      <c r="F3485" s="33"/>
      <c r="G3485" s="33"/>
      <c r="H3485" s="33"/>
      <c r="I3485" s="31"/>
      <c r="J3485" s="31"/>
      <c r="K3485" s="33"/>
      <c r="L3485" s="33"/>
      <c r="M3485" s="31"/>
      <c r="N3485" s="31"/>
      <c r="O3485" s="16"/>
      <c r="P3485" s="16"/>
      <c r="Q3485" s="16"/>
      <c r="R3485" s="33"/>
      <c r="S3485" s="34"/>
      <c r="T3485" s="34"/>
      <c r="U3485" s="34"/>
      <c r="V3485" s="34"/>
      <c r="W3485" s="34"/>
      <c r="X3485" s="33"/>
      <c r="Y3485" s="35" t="str">
        <f>IF(Tabela2[[#This Row],[SIGLA]]="","",VLOOKUP(Tabela2[[#This Row],[SIGLA]],Tabela1[[#All],[Sigla Arte]:[Crédito]],2,0))</f>
        <v/>
      </c>
      <c r="Z3485" s="31"/>
      <c r="AA3485" s="31" t="str">
        <f>Tabela2[[#This Row],[ILUSTRADOR CRIAÇÃO]]</f>
        <v/>
      </c>
      <c r="AB3485" s="33"/>
      <c r="AC3485" s="16"/>
      <c r="AE3485" s="35" t="str">
        <f t="shared" si="55"/>
        <v>EF1 E002 Mat</v>
      </c>
    </row>
    <row r="3486" spans="1:31" x14ac:dyDescent="0.25">
      <c r="A3486" s="31"/>
      <c r="B3486" s="16"/>
      <c r="C3486" s="16"/>
      <c r="D3486" s="33"/>
      <c r="E3486" s="33"/>
      <c r="F3486" s="33"/>
      <c r="G3486" s="33"/>
      <c r="H3486" s="33"/>
      <c r="I3486" s="31"/>
      <c r="J3486" s="31"/>
      <c r="K3486" s="33"/>
      <c r="L3486" s="33"/>
      <c r="M3486" s="31"/>
      <c r="N3486" s="31"/>
      <c r="O3486" s="16"/>
      <c r="P3486" s="16"/>
      <c r="Q3486" s="16"/>
      <c r="R3486" s="33"/>
      <c r="S3486" s="34"/>
      <c r="T3486" s="34"/>
      <c r="U3486" s="34"/>
      <c r="V3486" s="34"/>
      <c r="W3486" s="34"/>
      <c r="X3486" s="33"/>
      <c r="Y3486" s="35" t="str">
        <f>IF(Tabela2[[#This Row],[SIGLA]]="","",VLOOKUP(Tabela2[[#This Row],[SIGLA]],Tabela1[[#All],[Sigla Arte]:[Crédito]],2,0))</f>
        <v/>
      </c>
      <c r="Z3486" s="31"/>
      <c r="AA3486" s="31" t="str">
        <f>Tabela2[[#This Row],[ILUSTRADOR CRIAÇÃO]]</f>
        <v/>
      </c>
      <c r="AB3486" s="33"/>
      <c r="AC3486" s="16"/>
      <c r="AE3486" s="35" t="str">
        <f t="shared" si="55"/>
        <v>EF1 E002 Mat</v>
      </c>
    </row>
    <row r="3487" spans="1:31" x14ac:dyDescent="0.25">
      <c r="A3487" s="31"/>
      <c r="B3487" s="16"/>
      <c r="C3487" s="16"/>
      <c r="D3487" s="33"/>
      <c r="E3487" s="33"/>
      <c r="F3487" s="33"/>
      <c r="G3487" s="33"/>
      <c r="H3487" s="33"/>
      <c r="I3487" s="31"/>
      <c r="J3487" s="31"/>
      <c r="K3487" s="33"/>
      <c r="L3487" s="33"/>
      <c r="M3487" s="31"/>
      <c r="N3487" s="31"/>
      <c r="O3487" s="16"/>
      <c r="P3487" s="16"/>
      <c r="Q3487" s="16"/>
      <c r="R3487" s="33"/>
      <c r="S3487" s="34"/>
      <c r="T3487" s="34"/>
      <c r="U3487" s="34"/>
      <c r="V3487" s="34"/>
      <c r="W3487" s="34"/>
      <c r="X3487" s="33"/>
      <c r="Y3487" s="35" t="str">
        <f>IF(Tabela2[[#This Row],[SIGLA]]="","",VLOOKUP(Tabela2[[#This Row],[SIGLA]],Tabela1[[#All],[Sigla Arte]:[Crédito]],2,0))</f>
        <v/>
      </c>
      <c r="Z3487" s="31"/>
      <c r="AA3487" s="31" t="str">
        <f>Tabela2[[#This Row],[ILUSTRADOR CRIAÇÃO]]</f>
        <v/>
      </c>
      <c r="AB3487" s="33"/>
      <c r="AC3487" s="16"/>
      <c r="AE3487" s="35" t="str">
        <f t="shared" si="55"/>
        <v>EF1 E002 Mat</v>
      </c>
    </row>
    <row r="3488" spans="1:31" x14ac:dyDescent="0.25">
      <c r="A3488" s="31"/>
      <c r="B3488" s="16"/>
      <c r="C3488" s="16"/>
      <c r="D3488" s="33"/>
      <c r="E3488" s="33"/>
      <c r="F3488" s="33"/>
      <c r="G3488" s="33"/>
      <c r="H3488" s="33"/>
      <c r="I3488" s="31"/>
      <c r="J3488" s="31"/>
      <c r="K3488" s="33"/>
      <c r="L3488" s="33"/>
      <c r="M3488" s="31"/>
      <c r="N3488" s="31"/>
      <c r="O3488" s="16"/>
      <c r="P3488" s="16"/>
      <c r="Q3488" s="16"/>
      <c r="R3488" s="33"/>
      <c r="S3488" s="34"/>
      <c r="T3488" s="34"/>
      <c r="U3488" s="34"/>
      <c r="V3488" s="34"/>
      <c r="W3488" s="34"/>
      <c r="X3488" s="33"/>
      <c r="Y3488" s="35" t="str">
        <f>IF(Tabela2[[#This Row],[SIGLA]]="","",VLOOKUP(Tabela2[[#This Row],[SIGLA]],Tabela1[[#All],[Sigla Arte]:[Crédito]],2,0))</f>
        <v/>
      </c>
      <c r="Z3488" s="31"/>
      <c r="AA3488" s="31" t="str">
        <f>Tabela2[[#This Row],[ILUSTRADOR CRIAÇÃO]]</f>
        <v/>
      </c>
      <c r="AB3488" s="33"/>
      <c r="AC3488" s="16"/>
      <c r="AE3488" s="35" t="str">
        <f t="shared" si="55"/>
        <v>EF1 E002 Mat</v>
      </c>
    </row>
    <row r="3489" spans="1:31" x14ac:dyDescent="0.25">
      <c r="A3489" s="31"/>
      <c r="B3489" s="16"/>
      <c r="C3489" s="16"/>
      <c r="D3489" s="33"/>
      <c r="E3489" s="33"/>
      <c r="F3489" s="33"/>
      <c r="G3489" s="33"/>
      <c r="H3489" s="33"/>
      <c r="I3489" s="31"/>
      <c r="J3489" s="31"/>
      <c r="K3489" s="33"/>
      <c r="L3489" s="33"/>
      <c r="M3489" s="31"/>
      <c r="N3489" s="31"/>
      <c r="O3489" s="16"/>
      <c r="P3489" s="16"/>
      <c r="Q3489" s="16"/>
      <c r="R3489" s="33"/>
      <c r="S3489" s="34"/>
      <c r="T3489" s="34"/>
      <c r="U3489" s="34"/>
      <c r="V3489" s="34"/>
      <c r="W3489" s="34"/>
      <c r="X3489" s="33"/>
      <c r="Y3489" s="35" t="str">
        <f>IF(Tabela2[[#This Row],[SIGLA]]="","",VLOOKUP(Tabela2[[#This Row],[SIGLA]],Tabela1[[#All],[Sigla Arte]:[Crédito]],2,0))</f>
        <v/>
      </c>
      <c r="Z3489" s="31"/>
      <c r="AA3489" s="31" t="str">
        <f>Tabela2[[#This Row],[ILUSTRADOR CRIAÇÃO]]</f>
        <v/>
      </c>
      <c r="AB3489" s="33"/>
      <c r="AC3489" s="16"/>
      <c r="AE3489" s="35" t="str">
        <f t="shared" si="55"/>
        <v>EF1 E002 Mat</v>
      </c>
    </row>
    <row r="3490" spans="1:31" x14ac:dyDescent="0.25">
      <c r="A3490" s="31"/>
      <c r="B3490" s="16"/>
      <c r="C3490" s="16"/>
      <c r="D3490" s="33"/>
      <c r="E3490" s="33"/>
      <c r="F3490" s="33"/>
      <c r="G3490" s="33"/>
      <c r="H3490" s="33"/>
      <c r="I3490" s="31"/>
      <c r="J3490" s="31"/>
      <c r="K3490" s="33"/>
      <c r="L3490" s="33"/>
      <c r="M3490" s="31"/>
      <c r="N3490" s="31"/>
      <c r="O3490" s="16"/>
      <c r="P3490" s="16"/>
      <c r="Q3490" s="16"/>
      <c r="R3490" s="33"/>
      <c r="S3490" s="34"/>
      <c r="T3490" s="34"/>
      <c r="U3490" s="34"/>
      <c r="V3490" s="34"/>
      <c r="W3490" s="34"/>
      <c r="X3490" s="33"/>
      <c r="Y3490" s="35" t="str">
        <f>IF(Tabela2[[#This Row],[SIGLA]]="","",VLOOKUP(Tabela2[[#This Row],[SIGLA]],Tabela1[[#All],[Sigla Arte]:[Crédito]],2,0))</f>
        <v/>
      </c>
      <c r="Z3490" s="31"/>
      <c r="AA3490" s="31" t="str">
        <f>Tabela2[[#This Row],[ILUSTRADOR CRIAÇÃO]]</f>
        <v/>
      </c>
      <c r="AB3490" s="33"/>
      <c r="AC3490" s="16"/>
      <c r="AE3490" s="35" t="str">
        <f t="shared" si="55"/>
        <v>EF1 E002 Mat</v>
      </c>
    </row>
    <row r="3491" spans="1:31" x14ac:dyDescent="0.25">
      <c r="A3491" s="31"/>
      <c r="B3491" s="16"/>
      <c r="C3491" s="16"/>
      <c r="D3491" s="33"/>
      <c r="E3491" s="33"/>
      <c r="F3491" s="33"/>
      <c r="G3491" s="33"/>
      <c r="H3491" s="33"/>
      <c r="I3491" s="31"/>
      <c r="J3491" s="31"/>
      <c r="K3491" s="33"/>
      <c r="L3491" s="33"/>
      <c r="M3491" s="31"/>
      <c r="N3491" s="31"/>
      <c r="O3491" s="16"/>
      <c r="P3491" s="16"/>
      <c r="Q3491" s="16"/>
      <c r="R3491" s="33"/>
      <c r="S3491" s="34"/>
      <c r="T3491" s="34"/>
      <c r="U3491" s="34"/>
      <c r="V3491" s="34"/>
      <c r="W3491" s="34"/>
      <c r="X3491" s="33"/>
      <c r="Y3491" s="35" t="str">
        <f>IF(Tabela2[[#This Row],[SIGLA]]="","",VLOOKUP(Tabela2[[#This Row],[SIGLA]],Tabela1[[#All],[Sigla Arte]:[Crédito]],2,0))</f>
        <v/>
      </c>
      <c r="Z3491" s="31"/>
      <c r="AA3491" s="31" t="str">
        <f>Tabela2[[#This Row],[ILUSTRADOR CRIAÇÃO]]</f>
        <v/>
      </c>
      <c r="AB3491" s="33"/>
      <c r="AC3491" s="16"/>
      <c r="AE3491" s="35" t="str">
        <f t="shared" si="55"/>
        <v>EF1 E002 Mat</v>
      </c>
    </row>
    <row r="3492" spans="1:31" x14ac:dyDescent="0.25">
      <c r="A3492" s="31"/>
      <c r="B3492" s="16"/>
      <c r="C3492" s="16"/>
      <c r="D3492" s="33"/>
      <c r="E3492" s="33"/>
      <c r="F3492" s="33"/>
      <c r="G3492" s="33"/>
      <c r="H3492" s="33"/>
      <c r="I3492" s="31"/>
      <c r="J3492" s="31"/>
      <c r="K3492" s="33"/>
      <c r="L3492" s="33"/>
      <c r="M3492" s="31"/>
      <c r="N3492" s="31"/>
      <c r="O3492" s="16"/>
      <c r="P3492" s="16"/>
      <c r="Q3492" s="16"/>
      <c r="R3492" s="33"/>
      <c r="S3492" s="34"/>
      <c r="T3492" s="34"/>
      <c r="U3492" s="34"/>
      <c r="V3492" s="34"/>
      <c r="W3492" s="34"/>
      <c r="X3492" s="33"/>
      <c r="Y3492" s="35" t="str">
        <f>IF(Tabela2[[#This Row],[SIGLA]]="","",VLOOKUP(Tabela2[[#This Row],[SIGLA]],Tabela1[[#All],[Sigla Arte]:[Crédito]],2,0))</f>
        <v/>
      </c>
      <c r="Z3492" s="31"/>
      <c r="AA3492" s="31" t="str">
        <f>Tabela2[[#This Row],[ILUSTRADOR CRIAÇÃO]]</f>
        <v/>
      </c>
      <c r="AB3492" s="33"/>
      <c r="AC3492" s="16"/>
      <c r="AE3492" s="35" t="str">
        <f t="shared" si="55"/>
        <v>EF1 E002 Mat</v>
      </c>
    </row>
    <row r="3493" spans="1:31" x14ac:dyDescent="0.25">
      <c r="A3493" s="31"/>
      <c r="B3493" s="16"/>
      <c r="C3493" s="16"/>
      <c r="D3493" s="33"/>
      <c r="E3493" s="33"/>
      <c r="F3493" s="33"/>
      <c r="G3493" s="33"/>
      <c r="H3493" s="33"/>
      <c r="I3493" s="31"/>
      <c r="J3493" s="31"/>
      <c r="K3493" s="33"/>
      <c r="L3493" s="33"/>
      <c r="M3493" s="31"/>
      <c r="N3493" s="31"/>
      <c r="O3493" s="16"/>
      <c r="P3493" s="16"/>
      <c r="Q3493" s="16"/>
      <c r="R3493" s="33"/>
      <c r="S3493" s="34"/>
      <c r="T3493" s="34"/>
      <c r="U3493" s="34"/>
      <c r="V3493" s="34"/>
      <c r="W3493" s="34"/>
      <c r="X3493" s="33"/>
      <c r="Y3493" s="35" t="str">
        <f>IF(Tabela2[[#This Row],[SIGLA]]="","",VLOOKUP(Tabela2[[#This Row],[SIGLA]],Tabela1[[#All],[Sigla Arte]:[Crédito]],2,0))</f>
        <v/>
      </c>
      <c r="Z3493" s="31"/>
      <c r="AA3493" s="31" t="str">
        <f>Tabela2[[#This Row],[ILUSTRADOR CRIAÇÃO]]</f>
        <v/>
      </c>
      <c r="AB3493" s="33"/>
      <c r="AC3493" s="16"/>
      <c r="AE3493" s="35" t="str">
        <f t="shared" si="55"/>
        <v>EF1 E002 Mat</v>
      </c>
    </row>
    <row r="3494" spans="1:31" x14ac:dyDescent="0.25">
      <c r="A3494" s="31"/>
      <c r="B3494" s="16"/>
      <c r="C3494" s="16"/>
      <c r="D3494" s="33"/>
      <c r="E3494" s="33"/>
      <c r="F3494" s="33"/>
      <c r="G3494" s="33"/>
      <c r="H3494" s="33"/>
      <c r="I3494" s="31"/>
      <c r="J3494" s="31"/>
      <c r="K3494" s="33"/>
      <c r="L3494" s="33"/>
      <c r="M3494" s="31"/>
      <c r="N3494" s="31"/>
      <c r="O3494" s="16"/>
      <c r="P3494" s="16"/>
      <c r="Q3494" s="16"/>
      <c r="R3494" s="33"/>
      <c r="S3494" s="34"/>
      <c r="T3494" s="34"/>
      <c r="U3494" s="34"/>
      <c r="V3494" s="34"/>
      <c r="W3494" s="34"/>
      <c r="X3494" s="33"/>
      <c r="Y3494" s="35" t="str">
        <f>IF(Tabela2[[#This Row],[SIGLA]]="","",VLOOKUP(Tabela2[[#This Row],[SIGLA]],Tabela1[[#All],[Sigla Arte]:[Crédito]],2,0))</f>
        <v/>
      </c>
      <c r="Z3494" s="31"/>
      <c r="AA3494" s="31" t="str">
        <f>Tabela2[[#This Row],[ILUSTRADOR CRIAÇÃO]]</f>
        <v/>
      </c>
      <c r="AB3494" s="33"/>
      <c r="AC3494" s="16"/>
      <c r="AE3494" s="35" t="str">
        <f t="shared" si="55"/>
        <v>EF1 E002 Mat</v>
      </c>
    </row>
    <row r="3495" spans="1:31" x14ac:dyDescent="0.25">
      <c r="A3495" s="31"/>
      <c r="B3495" s="16"/>
      <c r="C3495" s="16"/>
      <c r="D3495" s="33"/>
      <c r="E3495" s="33"/>
      <c r="F3495" s="33"/>
      <c r="G3495" s="33"/>
      <c r="H3495" s="33"/>
      <c r="I3495" s="31"/>
      <c r="J3495" s="31"/>
      <c r="K3495" s="33"/>
      <c r="L3495" s="33"/>
      <c r="M3495" s="31"/>
      <c r="N3495" s="31"/>
      <c r="O3495" s="16"/>
      <c r="P3495" s="16"/>
      <c r="Q3495" s="16"/>
      <c r="R3495" s="33"/>
      <c r="S3495" s="34"/>
      <c r="T3495" s="34"/>
      <c r="U3495" s="34"/>
      <c r="V3495" s="34"/>
      <c r="W3495" s="34"/>
      <c r="X3495" s="33"/>
      <c r="Y3495" s="35" t="str">
        <f>IF(Tabela2[[#This Row],[SIGLA]]="","",VLOOKUP(Tabela2[[#This Row],[SIGLA]],Tabela1[[#All],[Sigla Arte]:[Crédito]],2,0))</f>
        <v/>
      </c>
      <c r="Z3495" s="31"/>
      <c r="AA3495" s="31" t="str">
        <f>Tabela2[[#This Row],[ILUSTRADOR CRIAÇÃO]]</f>
        <v/>
      </c>
      <c r="AB3495" s="33"/>
      <c r="AC3495" s="16"/>
      <c r="AE3495" s="35" t="str">
        <f t="shared" si="55"/>
        <v>EF1 E002 Mat</v>
      </c>
    </row>
    <row r="3496" spans="1:31" x14ac:dyDescent="0.25">
      <c r="A3496" s="31"/>
      <c r="B3496" s="16"/>
      <c r="C3496" s="16"/>
      <c r="D3496" s="33"/>
      <c r="E3496" s="33"/>
      <c r="F3496" s="33"/>
      <c r="G3496" s="33"/>
      <c r="H3496" s="33"/>
      <c r="I3496" s="31"/>
      <c r="J3496" s="31"/>
      <c r="K3496" s="33"/>
      <c r="L3496" s="33"/>
      <c r="M3496" s="31"/>
      <c r="N3496" s="31"/>
      <c r="O3496" s="16"/>
      <c r="P3496" s="16"/>
      <c r="Q3496" s="16"/>
      <c r="R3496" s="33"/>
      <c r="S3496" s="34"/>
      <c r="T3496" s="34"/>
      <c r="U3496" s="34"/>
      <c r="V3496" s="34"/>
      <c r="W3496" s="34"/>
      <c r="X3496" s="33"/>
      <c r="Y3496" s="35" t="str">
        <f>IF(Tabela2[[#This Row],[SIGLA]]="","",VLOOKUP(Tabela2[[#This Row],[SIGLA]],Tabela1[[#All],[Sigla Arte]:[Crédito]],2,0))</f>
        <v/>
      </c>
      <c r="Z3496" s="31"/>
      <c r="AA3496" s="31" t="str">
        <f>Tabela2[[#This Row],[ILUSTRADOR CRIAÇÃO]]</f>
        <v/>
      </c>
      <c r="AB3496" s="33"/>
      <c r="AC3496" s="16"/>
      <c r="AE3496" s="35" t="str">
        <f t="shared" si="55"/>
        <v>EF1 E002 Mat</v>
      </c>
    </row>
    <row r="3497" spans="1:31" x14ac:dyDescent="0.25">
      <c r="A3497" s="31"/>
      <c r="B3497" s="16"/>
      <c r="C3497" s="16"/>
      <c r="D3497" s="33"/>
      <c r="E3497" s="33"/>
      <c r="F3497" s="33"/>
      <c r="G3497" s="33"/>
      <c r="H3497" s="33"/>
      <c r="I3497" s="31"/>
      <c r="J3497" s="31"/>
      <c r="K3497" s="33"/>
      <c r="L3497" s="33"/>
      <c r="M3497" s="31"/>
      <c r="N3497" s="31"/>
      <c r="O3497" s="16"/>
      <c r="P3497" s="16"/>
      <c r="Q3497" s="16"/>
      <c r="R3497" s="33"/>
      <c r="S3497" s="34"/>
      <c r="T3497" s="34"/>
      <c r="U3497" s="34"/>
      <c r="V3497" s="34"/>
      <c r="W3497" s="34"/>
      <c r="X3497" s="33"/>
      <c r="Y3497" s="35" t="str">
        <f>IF(Tabela2[[#This Row],[SIGLA]]="","",VLOOKUP(Tabela2[[#This Row],[SIGLA]],Tabela1[[#All],[Sigla Arte]:[Crédito]],2,0))</f>
        <v/>
      </c>
      <c r="Z3497" s="31"/>
      <c r="AA3497" s="31" t="str">
        <f>Tabela2[[#This Row],[ILUSTRADOR CRIAÇÃO]]</f>
        <v/>
      </c>
      <c r="AB3497" s="33"/>
      <c r="AC3497" s="16"/>
      <c r="AE3497" s="35" t="str">
        <f t="shared" si="55"/>
        <v>EF1 E002 Mat</v>
      </c>
    </row>
    <row r="3498" spans="1:31" x14ac:dyDescent="0.25">
      <c r="A3498" s="31"/>
      <c r="B3498" s="16"/>
      <c r="C3498" s="16"/>
      <c r="D3498" s="33"/>
      <c r="E3498" s="33"/>
      <c r="F3498" s="33"/>
      <c r="G3498" s="33"/>
      <c r="H3498" s="33"/>
      <c r="I3498" s="31"/>
      <c r="J3498" s="31"/>
      <c r="K3498" s="33"/>
      <c r="L3498" s="33"/>
      <c r="M3498" s="31"/>
      <c r="N3498" s="31"/>
      <c r="O3498" s="16"/>
      <c r="P3498" s="16"/>
      <c r="Q3498" s="16"/>
      <c r="R3498" s="33"/>
      <c r="S3498" s="34"/>
      <c r="T3498" s="34"/>
      <c r="U3498" s="34"/>
      <c r="V3498" s="34"/>
      <c r="W3498" s="34"/>
      <c r="X3498" s="33"/>
      <c r="Y3498" s="35" t="str">
        <f>IF(Tabela2[[#This Row],[SIGLA]]="","",VLOOKUP(Tabela2[[#This Row],[SIGLA]],Tabela1[[#All],[Sigla Arte]:[Crédito]],2,0))</f>
        <v/>
      </c>
      <c r="Z3498" s="31"/>
      <c r="AA3498" s="31" t="str">
        <f>Tabela2[[#This Row],[ILUSTRADOR CRIAÇÃO]]</f>
        <v/>
      </c>
      <c r="AB3498" s="33"/>
      <c r="AC3498" s="16"/>
      <c r="AE3498" s="35" t="str">
        <f t="shared" si="55"/>
        <v>EF1 E002 Mat</v>
      </c>
    </row>
    <row r="3499" spans="1:31" x14ac:dyDescent="0.25">
      <c r="A3499" s="31"/>
      <c r="B3499" s="16"/>
      <c r="C3499" s="16"/>
      <c r="D3499" s="33"/>
      <c r="E3499" s="33"/>
      <c r="F3499" s="33"/>
      <c r="G3499" s="33"/>
      <c r="H3499" s="33"/>
      <c r="I3499" s="31"/>
      <c r="J3499" s="31"/>
      <c r="K3499" s="33"/>
      <c r="L3499" s="33"/>
      <c r="M3499" s="31"/>
      <c r="N3499" s="31"/>
      <c r="O3499" s="16"/>
      <c r="P3499" s="16"/>
      <c r="Q3499" s="16"/>
      <c r="R3499" s="33"/>
      <c r="S3499" s="34"/>
      <c r="T3499" s="34"/>
      <c r="U3499" s="34"/>
      <c r="V3499" s="34"/>
      <c r="W3499" s="34"/>
      <c r="X3499" s="33"/>
      <c r="Y3499" s="35" t="str">
        <f>IF(Tabela2[[#This Row],[SIGLA]]="","",VLOOKUP(Tabela2[[#This Row],[SIGLA]],Tabela1[[#All],[Sigla Arte]:[Crédito]],2,0))</f>
        <v/>
      </c>
      <c r="Z3499" s="31"/>
      <c r="AA3499" s="31" t="str">
        <f>Tabela2[[#This Row],[ILUSTRADOR CRIAÇÃO]]</f>
        <v/>
      </c>
      <c r="AB3499" s="33"/>
      <c r="AC3499" s="16"/>
      <c r="AE3499" s="35" t="str">
        <f t="shared" si="55"/>
        <v>EF1 E002 Mat</v>
      </c>
    </row>
    <row r="3500" spans="1:31" x14ac:dyDescent="0.25">
      <c r="A3500" s="31"/>
      <c r="B3500" s="16"/>
      <c r="C3500" s="16"/>
      <c r="D3500" s="33"/>
      <c r="E3500" s="33"/>
      <c r="F3500" s="33"/>
      <c r="G3500" s="33"/>
      <c r="H3500" s="33"/>
      <c r="I3500" s="31"/>
      <c r="J3500" s="31"/>
      <c r="K3500" s="33"/>
      <c r="L3500" s="33"/>
      <c r="M3500" s="31"/>
      <c r="N3500" s="31"/>
      <c r="O3500" s="16"/>
      <c r="P3500" s="16"/>
      <c r="Q3500" s="16"/>
      <c r="R3500" s="33"/>
      <c r="S3500" s="34"/>
      <c r="T3500" s="34"/>
      <c r="U3500" s="34"/>
      <c r="V3500" s="34"/>
      <c r="W3500" s="34"/>
      <c r="X3500" s="33"/>
      <c r="Y3500" s="35" t="str">
        <f>IF(Tabela2[[#This Row],[SIGLA]]="","",VLOOKUP(Tabela2[[#This Row],[SIGLA]],Tabela1[[#All],[Sigla Arte]:[Crédito]],2,0))</f>
        <v/>
      </c>
      <c r="Z3500" s="31"/>
      <c r="AA3500" s="31" t="str">
        <f>Tabela2[[#This Row],[ILUSTRADOR CRIAÇÃO]]</f>
        <v/>
      </c>
      <c r="AB3500" s="33"/>
      <c r="AC3500" s="16"/>
      <c r="AE3500" s="35" t="str">
        <f t="shared" si="55"/>
        <v>EF1 E002 Mat</v>
      </c>
    </row>
    <row r="3501" spans="1:31" x14ac:dyDescent="0.25">
      <c r="A3501" s="31"/>
      <c r="B3501" s="16"/>
      <c r="C3501" s="16"/>
      <c r="D3501" s="33"/>
      <c r="E3501" s="33"/>
      <c r="F3501" s="33"/>
      <c r="G3501" s="33"/>
      <c r="H3501" s="33"/>
      <c r="I3501" s="31"/>
      <c r="J3501" s="31"/>
      <c r="K3501" s="33"/>
      <c r="L3501" s="33"/>
      <c r="M3501" s="31"/>
      <c r="N3501" s="31"/>
      <c r="O3501" s="16"/>
      <c r="P3501" s="16"/>
      <c r="Q3501" s="16"/>
      <c r="R3501" s="33"/>
      <c r="S3501" s="34"/>
      <c r="T3501" s="34"/>
      <c r="U3501" s="34"/>
      <c r="V3501" s="34"/>
      <c r="W3501" s="34"/>
      <c r="X3501" s="33"/>
      <c r="Y3501" s="35" t="str">
        <f>IF(Tabela2[[#This Row],[SIGLA]]="","",VLOOKUP(Tabela2[[#This Row],[SIGLA]],Tabela1[[#All],[Sigla Arte]:[Crédito]],2,0))</f>
        <v/>
      </c>
      <c r="Z3501" s="31"/>
      <c r="AA3501" s="31" t="str">
        <f>Tabela2[[#This Row],[ILUSTRADOR CRIAÇÃO]]</f>
        <v/>
      </c>
      <c r="AB3501" s="33"/>
      <c r="AC3501" s="16"/>
      <c r="AE3501" s="35" t="str">
        <f t="shared" si="55"/>
        <v>EF1 E002 Mat</v>
      </c>
    </row>
    <row r="3502" spans="1:31" x14ac:dyDescent="0.25">
      <c r="A3502" s="31"/>
      <c r="B3502" s="16"/>
      <c r="C3502" s="16"/>
      <c r="D3502" s="33"/>
      <c r="E3502" s="33"/>
      <c r="F3502" s="33"/>
      <c r="G3502" s="33"/>
      <c r="H3502" s="33"/>
      <c r="I3502" s="31"/>
      <c r="J3502" s="31"/>
      <c r="K3502" s="33"/>
      <c r="L3502" s="33"/>
      <c r="M3502" s="31"/>
      <c r="N3502" s="31"/>
      <c r="O3502" s="16"/>
      <c r="P3502" s="16"/>
      <c r="Q3502" s="16"/>
      <c r="R3502" s="33"/>
      <c r="S3502" s="34"/>
      <c r="T3502" s="34"/>
      <c r="U3502" s="34"/>
      <c r="V3502" s="34"/>
      <c r="W3502" s="34"/>
      <c r="X3502" s="33"/>
      <c r="Y3502" s="35" t="str">
        <f>IF(Tabela2[[#This Row],[SIGLA]]="","",VLOOKUP(Tabela2[[#This Row],[SIGLA]],Tabela1[[#All],[Sigla Arte]:[Crédito]],2,0))</f>
        <v/>
      </c>
      <c r="Z3502" s="31"/>
      <c r="AA3502" s="31" t="str">
        <f>Tabela2[[#This Row],[ILUSTRADOR CRIAÇÃO]]</f>
        <v/>
      </c>
      <c r="AB3502" s="33"/>
      <c r="AC3502" s="16"/>
      <c r="AE3502" s="35" t="str">
        <f t="shared" si="55"/>
        <v>EF1 E002 Mat</v>
      </c>
    </row>
    <row r="3503" spans="1:31" x14ac:dyDescent="0.25">
      <c r="A3503" s="31"/>
      <c r="B3503" s="16"/>
      <c r="C3503" s="16"/>
      <c r="D3503" s="33"/>
      <c r="E3503" s="33"/>
      <c r="F3503" s="33"/>
      <c r="G3503" s="33"/>
      <c r="H3503" s="33"/>
      <c r="I3503" s="31"/>
      <c r="J3503" s="31"/>
      <c r="K3503" s="33"/>
      <c r="L3503" s="33"/>
      <c r="M3503" s="31"/>
      <c r="N3503" s="31"/>
      <c r="O3503" s="16"/>
      <c r="P3503" s="16"/>
      <c r="Q3503" s="16"/>
      <c r="R3503" s="33"/>
      <c r="S3503" s="34"/>
      <c r="T3503" s="34"/>
      <c r="U3503" s="34"/>
      <c r="V3503" s="34"/>
      <c r="W3503" s="34"/>
      <c r="X3503" s="33"/>
      <c r="Y3503" s="35" t="str">
        <f>IF(Tabela2[[#This Row],[SIGLA]]="","",VLOOKUP(Tabela2[[#This Row],[SIGLA]],Tabela1[[#All],[Sigla Arte]:[Crédito]],2,0))</f>
        <v/>
      </c>
      <c r="Z3503" s="31"/>
      <c r="AA3503" s="31" t="str">
        <f>Tabela2[[#This Row],[ILUSTRADOR CRIAÇÃO]]</f>
        <v/>
      </c>
      <c r="AB3503" s="33"/>
      <c r="AC3503" s="16"/>
      <c r="AE3503" s="35" t="str">
        <f t="shared" si="55"/>
        <v>EF1 E002 Mat</v>
      </c>
    </row>
    <row r="3504" spans="1:31" x14ac:dyDescent="0.25">
      <c r="A3504" s="31"/>
      <c r="B3504" s="16"/>
      <c r="C3504" s="16"/>
      <c r="D3504" s="33"/>
      <c r="E3504" s="33"/>
      <c r="F3504" s="33"/>
      <c r="G3504" s="33"/>
      <c r="H3504" s="33"/>
      <c r="I3504" s="31"/>
      <c r="J3504" s="31"/>
      <c r="K3504" s="33"/>
      <c r="L3504" s="33"/>
      <c r="M3504" s="31"/>
      <c r="N3504" s="31"/>
      <c r="O3504" s="16"/>
      <c r="P3504" s="16"/>
      <c r="Q3504" s="16"/>
      <c r="R3504" s="33"/>
      <c r="S3504" s="34"/>
      <c r="T3504" s="34"/>
      <c r="U3504" s="34"/>
      <c r="V3504" s="34"/>
      <c r="W3504" s="34"/>
      <c r="X3504" s="33"/>
      <c r="Y3504" s="35" t="str">
        <f>IF(Tabela2[[#This Row],[SIGLA]]="","",VLOOKUP(Tabela2[[#This Row],[SIGLA]],Tabela1[[#All],[Sigla Arte]:[Crédito]],2,0))</f>
        <v/>
      </c>
      <c r="Z3504" s="31"/>
      <c r="AA3504" s="31" t="str">
        <f>Tabela2[[#This Row],[ILUSTRADOR CRIAÇÃO]]</f>
        <v/>
      </c>
      <c r="AB3504" s="33"/>
      <c r="AC3504" s="16"/>
      <c r="AE3504" s="35" t="str">
        <f t="shared" si="55"/>
        <v>EF1 E002 Mat</v>
      </c>
    </row>
    <row r="3505" spans="1:31" x14ac:dyDescent="0.25">
      <c r="A3505" s="31"/>
      <c r="B3505" s="16"/>
      <c r="C3505" s="16"/>
      <c r="D3505" s="33"/>
      <c r="E3505" s="33"/>
      <c r="F3505" s="33"/>
      <c r="G3505" s="33"/>
      <c r="H3505" s="33"/>
      <c r="I3505" s="31"/>
      <c r="J3505" s="31"/>
      <c r="K3505" s="33"/>
      <c r="L3505" s="33"/>
      <c r="M3505" s="31"/>
      <c r="N3505" s="31"/>
      <c r="O3505" s="16"/>
      <c r="P3505" s="16"/>
      <c r="Q3505" s="16"/>
      <c r="R3505" s="33"/>
      <c r="S3505" s="34"/>
      <c r="T3505" s="34"/>
      <c r="U3505" s="34"/>
      <c r="V3505" s="34"/>
      <c r="W3505" s="34"/>
      <c r="X3505" s="33"/>
      <c r="Y3505" s="35" t="str">
        <f>IF(Tabela2[[#This Row],[SIGLA]]="","",VLOOKUP(Tabela2[[#This Row],[SIGLA]],Tabela1[[#All],[Sigla Arte]:[Crédito]],2,0))</f>
        <v/>
      </c>
      <c r="Z3505" s="31"/>
      <c r="AA3505" s="31" t="str">
        <f>Tabela2[[#This Row],[ILUSTRADOR CRIAÇÃO]]</f>
        <v/>
      </c>
      <c r="AB3505" s="33"/>
      <c r="AC3505" s="16"/>
      <c r="AE3505" s="35" t="str">
        <f t="shared" si="55"/>
        <v>EF1 E002 Mat</v>
      </c>
    </row>
    <row r="3506" spans="1:31" x14ac:dyDescent="0.25">
      <c r="A3506" s="31"/>
      <c r="B3506" s="16"/>
      <c r="C3506" s="16"/>
      <c r="D3506" s="33"/>
      <c r="E3506" s="33"/>
      <c r="F3506" s="33"/>
      <c r="G3506" s="33"/>
      <c r="H3506" s="33"/>
      <c r="I3506" s="31"/>
      <c r="J3506" s="31"/>
      <c r="K3506" s="33"/>
      <c r="L3506" s="33"/>
      <c r="M3506" s="31"/>
      <c r="N3506" s="31"/>
      <c r="O3506" s="16"/>
      <c r="P3506" s="16"/>
      <c r="Q3506" s="16"/>
      <c r="R3506" s="33"/>
      <c r="S3506" s="34"/>
      <c r="T3506" s="34"/>
      <c r="U3506" s="34"/>
      <c r="V3506" s="34"/>
      <c r="W3506" s="34"/>
      <c r="X3506" s="33"/>
      <c r="Y3506" s="35" t="str">
        <f>IF(Tabela2[[#This Row],[SIGLA]]="","",VLOOKUP(Tabela2[[#This Row],[SIGLA]],Tabela1[[#All],[Sigla Arte]:[Crédito]],2,0))</f>
        <v/>
      </c>
      <c r="Z3506" s="31"/>
      <c r="AA3506" s="31" t="str">
        <f>Tabela2[[#This Row],[ILUSTRADOR CRIAÇÃO]]</f>
        <v/>
      </c>
      <c r="AB3506" s="33"/>
      <c r="AC3506" s="16"/>
      <c r="AE3506" s="35" t="str">
        <f t="shared" ref="AE3506:AE3569" si="56">"EF1 E002 Mat"</f>
        <v>EF1 E002 Mat</v>
      </c>
    </row>
    <row r="3507" spans="1:31" x14ac:dyDescent="0.25">
      <c r="A3507" s="31"/>
      <c r="B3507" s="16"/>
      <c r="C3507" s="16"/>
      <c r="D3507" s="33"/>
      <c r="E3507" s="33"/>
      <c r="F3507" s="33"/>
      <c r="G3507" s="33"/>
      <c r="H3507" s="33"/>
      <c r="I3507" s="31"/>
      <c r="J3507" s="31"/>
      <c r="K3507" s="33"/>
      <c r="L3507" s="33"/>
      <c r="M3507" s="31"/>
      <c r="N3507" s="31"/>
      <c r="O3507" s="16"/>
      <c r="P3507" s="16"/>
      <c r="Q3507" s="16"/>
      <c r="R3507" s="33"/>
      <c r="S3507" s="34"/>
      <c r="T3507" s="34"/>
      <c r="U3507" s="34"/>
      <c r="V3507" s="34"/>
      <c r="W3507" s="34"/>
      <c r="X3507" s="33"/>
      <c r="Y3507" s="35" t="str">
        <f>IF(Tabela2[[#This Row],[SIGLA]]="","",VLOOKUP(Tabela2[[#This Row],[SIGLA]],Tabela1[[#All],[Sigla Arte]:[Crédito]],2,0))</f>
        <v/>
      </c>
      <c r="Z3507" s="31"/>
      <c r="AA3507" s="31" t="str">
        <f>Tabela2[[#This Row],[ILUSTRADOR CRIAÇÃO]]</f>
        <v/>
      </c>
      <c r="AB3507" s="33"/>
      <c r="AC3507" s="16"/>
      <c r="AE3507" s="35" t="str">
        <f t="shared" si="56"/>
        <v>EF1 E002 Mat</v>
      </c>
    </row>
    <row r="3508" spans="1:31" x14ac:dyDescent="0.25">
      <c r="A3508" s="31"/>
      <c r="B3508" s="16"/>
      <c r="C3508" s="16"/>
      <c r="D3508" s="33"/>
      <c r="E3508" s="33"/>
      <c r="F3508" s="33"/>
      <c r="G3508" s="33"/>
      <c r="H3508" s="33"/>
      <c r="I3508" s="31"/>
      <c r="J3508" s="31"/>
      <c r="K3508" s="33"/>
      <c r="L3508" s="33"/>
      <c r="M3508" s="31"/>
      <c r="N3508" s="31"/>
      <c r="O3508" s="16"/>
      <c r="P3508" s="16"/>
      <c r="Q3508" s="16"/>
      <c r="R3508" s="33"/>
      <c r="S3508" s="34"/>
      <c r="T3508" s="34"/>
      <c r="U3508" s="34"/>
      <c r="V3508" s="34"/>
      <c r="W3508" s="34"/>
      <c r="X3508" s="33"/>
      <c r="Y3508" s="35" t="str">
        <f>IF(Tabela2[[#This Row],[SIGLA]]="","",VLOOKUP(Tabela2[[#This Row],[SIGLA]],Tabela1[[#All],[Sigla Arte]:[Crédito]],2,0))</f>
        <v/>
      </c>
      <c r="Z3508" s="31"/>
      <c r="AA3508" s="31" t="str">
        <f>Tabela2[[#This Row],[ILUSTRADOR CRIAÇÃO]]</f>
        <v/>
      </c>
      <c r="AB3508" s="33"/>
      <c r="AC3508" s="16"/>
      <c r="AE3508" s="35" t="str">
        <f t="shared" si="56"/>
        <v>EF1 E002 Mat</v>
      </c>
    </row>
    <row r="3509" spans="1:31" x14ac:dyDescent="0.25">
      <c r="A3509" s="31"/>
      <c r="B3509" s="16"/>
      <c r="C3509" s="16"/>
      <c r="D3509" s="33"/>
      <c r="E3509" s="33"/>
      <c r="F3509" s="33"/>
      <c r="G3509" s="33"/>
      <c r="H3509" s="33"/>
      <c r="I3509" s="31"/>
      <c r="J3509" s="31"/>
      <c r="K3509" s="33"/>
      <c r="L3509" s="33"/>
      <c r="M3509" s="31"/>
      <c r="N3509" s="31"/>
      <c r="O3509" s="16"/>
      <c r="P3509" s="16"/>
      <c r="Q3509" s="16"/>
      <c r="R3509" s="33"/>
      <c r="S3509" s="34"/>
      <c r="T3509" s="34"/>
      <c r="U3509" s="34"/>
      <c r="V3509" s="34"/>
      <c r="W3509" s="34"/>
      <c r="X3509" s="33"/>
      <c r="Y3509" s="35" t="str">
        <f>IF(Tabela2[[#This Row],[SIGLA]]="","",VLOOKUP(Tabela2[[#This Row],[SIGLA]],Tabela1[[#All],[Sigla Arte]:[Crédito]],2,0))</f>
        <v/>
      </c>
      <c r="Z3509" s="31"/>
      <c r="AA3509" s="31" t="str">
        <f>Tabela2[[#This Row],[ILUSTRADOR CRIAÇÃO]]</f>
        <v/>
      </c>
      <c r="AB3509" s="33"/>
      <c r="AC3509" s="16"/>
      <c r="AE3509" s="35" t="str">
        <f t="shared" si="56"/>
        <v>EF1 E002 Mat</v>
      </c>
    </row>
    <row r="3510" spans="1:31" x14ac:dyDescent="0.25">
      <c r="A3510" s="31"/>
      <c r="B3510" s="16"/>
      <c r="C3510" s="16"/>
      <c r="D3510" s="33"/>
      <c r="E3510" s="33"/>
      <c r="F3510" s="33"/>
      <c r="G3510" s="33"/>
      <c r="H3510" s="33"/>
      <c r="I3510" s="31"/>
      <c r="J3510" s="31"/>
      <c r="K3510" s="33"/>
      <c r="L3510" s="33"/>
      <c r="M3510" s="31"/>
      <c r="N3510" s="31"/>
      <c r="O3510" s="16"/>
      <c r="P3510" s="16"/>
      <c r="Q3510" s="16"/>
      <c r="R3510" s="33"/>
      <c r="S3510" s="34"/>
      <c r="T3510" s="34"/>
      <c r="U3510" s="34"/>
      <c r="V3510" s="34"/>
      <c r="W3510" s="34"/>
      <c r="X3510" s="33"/>
      <c r="Y3510" s="35" t="str">
        <f>IF(Tabela2[[#This Row],[SIGLA]]="","",VLOOKUP(Tabela2[[#This Row],[SIGLA]],Tabela1[[#All],[Sigla Arte]:[Crédito]],2,0))</f>
        <v/>
      </c>
      <c r="Z3510" s="31"/>
      <c r="AA3510" s="31" t="str">
        <f>Tabela2[[#This Row],[ILUSTRADOR CRIAÇÃO]]</f>
        <v/>
      </c>
      <c r="AB3510" s="33"/>
      <c r="AC3510" s="16"/>
      <c r="AE3510" s="35" t="str">
        <f t="shared" si="56"/>
        <v>EF1 E002 Mat</v>
      </c>
    </row>
    <row r="3511" spans="1:31" x14ac:dyDescent="0.25">
      <c r="A3511" s="31"/>
      <c r="B3511" s="16"/>
      <c r="C3511" s="16"/>
      <c r="D3511" s="33"/>
      <c r="E3511" s="33"/>
      <c r="F3511" s="33"/>
      <c r="G3511" s="33"/>
      <c r="H3511" s="33"/>
      <c r="I3511" s="31"/>
      <c r="J3511" s="31"/>
      <c r="K3511" s="33"/>
      <c r="L3511" s="33"/>
      <c r="M3511" s="31"/>
      <c r="N3511" s="31"/>
      <c r="O3511" s="16"/>
      <c r="P3511" s="16"/>
      <c r="Q3511" s="16"/>
      <c r="R3511" s="33"/>
      <c r="S3511" s="34"/>
      <c r="T3511" s="34"/>
      <c r="U3511" s="34"/>
      <c r="V3511" s="34"/>
      <c r="W3511" s="34"/>
      <c r="X3511" s="33"/>
      <c r="Y3511" s="35" t="str">
        <f>IF(Tabela2[[#This Row],[SIGLA]]="","",VLOOKUP(Tabela2[[#This Row],[SIGLA]],Tabela1[[#All],[Sigla Arte]:[Crédito]],2,0))</f>
        <v/>
      </c>
      <c r="Z3511" s="31"/>
      <c r="AA3511" s="31" t="str">
        <f>Tabela2[[#This Row],[ILUSTRADOR CRIAÇÃO]]</f>
        <v/>
      </c>
      <c r="AB3511" s="33"/>
      <c r="AC3511" s="16"/>
      <c r="AE3511" s="35" t="str">
        <f t="shared" si="56"/>
        <v>EF1 E002 Mat</v>
      </c>
    </row>
    <row r="3512" spans="1:31" x14ac:dyDescent="0.25">
      <c r="A3512" s="31"/>
      <c r="B3512" s="16"/>
      <c r="C3512" s="16"/>
      <c r="D3512" s="33"/>
      <c r="E3512" s="33"/>
      <c r="F3512" s="33"/>
      <c r="G3512" s="33"/>
      <c r="H3512" s="33"/>
      <c r="I3512" s="31"/>
      <c r="J3512" s="31"/>
      <c r="K3512" s="33"/>
      <c r="L3512" s="33"/>
      <c r="M3512" s="31"/>
      <c r="N3512" s="31"/>
      <c r="O3512" s="16"/>
      <c r="P3512" s="16"/>
      <c r="Q3512" s="16"/>
      <c r="R3512" s="33"/>
      <c r="S3512" s="34"/>
      <c r="T3512" s="34"/>
      <c r="U3512" s="34"/>
      <c r="V3512" s="34"/>
      <c r="W3512" s="34"/>
      <c r="X3512" s="33"/>
      <c r="Y3512" s="35" t="str">
        <f>IF(Tabela2[[#This Row],[SIGLA]]="","",VLOOKUP(Tabela2[[#This Row],[SIGLA]],Tabela1[[#All],[Sigla Arte]:[Crédito]],2,0))</f>
        <v/>
      </c>
      <c r="Z3512" s="31"/>
      <c r="AA3512" s="31" t="str">
        <f>Tabela2[[#This Row],[ILUSTRADOR CRIAÇÃO]]</f>
        <v/>
      </c>
      <c r="AB3512" s="33"/>
      <c r="AC3512" s="16"/>
      <c r="AE3512" s="35" t="str">
        <f t="shared" si="56"/>
        <v>EF1 E002 Mat</v>
      </c>
    </row>
    <row r="3513" spans="1:31" x14ac:dyDescent="0.25">
      <c r="A3513" s="31"/>
      <c r="B3513" s="16"/>
      <c r="C3513" s="16"/>
      <c r="D3513" s="33"/>
      <c r="E3513" s="33"/>
      <c r="F3513" s="33"/>
      <c r="G3513" s="33"/>
      <c r="H3513" s="33"/>
      <c r="I3513" s="31"/>
      <c r="J3513" s="31"/>
      <c r="K3513" s="33"/>
      <c r="L3513" s="33"/>
      <c r="M3513" s="31"/>
      <c r="N3513" s="31"/>
      <c r="O3513" s="16"/>
      <c r="P3513" s="16"/>
      <c r="Q3513" s="16"/>
      <c r="R3513" s="33"/>
      <c r="S3513" s="34"/>
      <c r="T3513" s="34"/>
      <c r="U3513" s="34"/>
      <c r="V3513" s="34"/>
      <c r="W3513" s="34"/>
      <c r="X3513" s="33"/>
      <c r="Y3513" s="35" t="str">
        <f>IF(Tabela2[[#This Row],[SIGLA]]="","",VLOOKUP(Tabela2[[#This Row],[SIGLA]],Tabela1[[#All],[Sigla Arte]:[Crédito]],2,0))</f>
        <v/>
      </c>
      <c r="Z3513" s="31"/>
      <c r="AA3513" s="31" t="str">
        <f>Tabela2[[#This Row],[ILUSTRADOR CRIAÇÃO]]</f>
        <v/>
      </c>
      <c r="AB3513" s="33"/>
      <c r="AC3513" s="16"/>
      <c r="AE3513" s="35" t="str">
        <f t="shared" si="56"/>
        <v>EF1 E002 Mat</v>
      </c>
    </row>
    <row r="3514" spans="1:31" x14ac:dyDescent="0.25">
      <c r="A3514" s="31"/>
      <c r="B3514" s="16"/>
      <c r="C3514" s="16"/>
      <c r="D3514" s="33"/>
      <c r="E3514" s="33"/>
      <c r="F3514" s="33"/>
      <c r="G3514" s="33"/>
      <c r="H3514" s="33"/>
      <c r="I3514" s="31"/>
      <c r="J3514" s="31"/>
      <c r="K3514" s="33"/>
      <c r="L3514" s="33"/>
      <c r="M3514" s="31"/>
      <c r="N3514" s="31"/>
      <c r="O3514" s="16"/>
      <c r="P3514" s="16"/>
      <c r="Q3514" s="16"/>
      <c r="R3514" s="33"/>
      <c r="S3514" s="34"/>
      <c r="T3514" s="34"/>
      <c r="U3514" s="34"/>
      <c r="V3514" s="34"/>
      <c r="W3514" s="34"/>
      <c r="X3514" s="33"/>
      <c r="Y3514" s="35" t="str">
        <f>IF(Tabela2[[#This Row],[SIGLA]]="","",VLOOKUP(Tabela2[[#This Row],[SIGLA]],Tabela1[[#All],[Sigla Arte]:[Crédito]],2,0))</f>
        <v/>
      </c>
      <c r="Z3514" s="31"/>
      <c r="AA3514" s="31" t="str">
        <f>Tabela2[[#This Row],[ILUSTRADOR CRIAÇÃO]]</f>
        <v/>
      </c>
      <c r="AB3514" s="33"/>
      <c r="AC3514" s="16"/>
      <c r="AE3514" s="35" t="str">
        <f t="shared" si="56"/>
        <v>EF1 E002 Mat</v>
      </c>
    </row>
    <row r="3515" spans="1:31" x14ac:dyDescent="0.25">
      <c r="A3515" s="31"/>
      <c r="B3515" s="16"/>
      <c r="C3515" s="16"/>
      <c r="D3515" s="33"/>
      <c r="E3515" s="33"/>
      <c r="F3515" s="33"/>
      <c r="G3515" s="33"/>
      <c r="H3515" s="33"/>
      <c r="I3515" s="31"/>
      <c r="J3515" s="31"/>
      <c r="K3515" s="33"/>
      <c r="L3515" s="33"/>
      <c r="M3515" s="31"/>
      <c r="N3515" s="31"/>
      <c r="O3515" s="16"/>
      <c r="P3515" s="16"/>
      <c r="Q3515" s="16"/>
      <c r="R3515" s="33"/>
      <c r="S3515" s="34"/>
      <c r="T3515" s="34"/>
      <c r="U3515" s="34"/>
      <c r="V3515" s="34"/>
      <c r="W3515" s="34"/>
      <c r="X3515" s="33"/>
      <c r="Y3515" s="35" t="str">
        <f>IF(Tabela2[[#This Row],[SIGLA]]="","",VLOOKUP(Tabela2[[#This Row],[SIGLA]],Tabela1[[#All],[Sigla Arte]:[Crédito]],2,0))</f>
        <v/>
      </c>
      <c r="Z3515" s="31"/>
      <c r="AA3515" s="31" t="str">
        <f>Tabela2[[#This Row],[ILUSTRADOR CRIAÇÃO]]</f>
        <v/>
      </c>
      <c r="AB3515" s="33"/>
      <c r="AC3515" s="16"/>
      <c r="AE3515" s="35" t="str">
        <f t="shared" si="56"/>
        <v>EF1 E002 Mat</v>
      </c>
    </row>
    <row r="3516" spans="1:31" x14ac:dyDescent="0.25">
      <c r="A3516" s="31"/>
      <c r="B3516" s="16"/>
      <c r="C3516" s="16"/>
      <c r="D3516" s="33"/>
      <c r="E3516" s="33"/>
      <c r="F3516" s="33"/>
      <c r="G3516" s="33"/>
      <c r="H3516" s="33"/>
      <c r="I3516" s="31"/>
      <c r="J3516" s="31"/>
      <c r="K3516" s="33"/>
      <c r="L3516" s="33"/>
      <c r="M3516" s="31"/>
      <c r="N3516" s="31"/>
      <c r="O3516" s="16"/>
      <c r="P3516" s="16"/>
      <c r="Q3516" s="16"/>
      <c r="R3516" s="33"/>
      <c r="S3516" s="34"/>
      <c r="T3516" s="34"/>
      <c r="U3516" s="34"/>
      <c r="V3516" s="34"/>
      <c r="W3516" s="34"/>
      <c r="X3516" s="33"/>
      <c r="Y3516" s="35" t="str">
        <f>IF(Tabela2[[#This Row],[SIGLA]]="","",VLOOKUP(Tabela2[[#This Row],[SIGLA]],Tabela1[[#All],[Sigla Arte]:[Crédito]],2,0))</f>
        <v/>
      </c>
      <c r="Z3516" s="31"/>
      <c r="AA3516" s="31" t="str">
        <f>Tabela2[[#This Row],[ILUSTRADOR CRIAÇÃO]]</f>
        <v/>
      </c>
      <c r="AB3516" s="33"/>
      <c r="AC3516" s="16"/>
      <c r="AE3516" s="35" t="str">
        <f t="shared" si="56"/>
        <v>EF1 E002 Mat</v>
      </c>
    </row>
    <row r="3517" spans="1:31" x14ac:dyDescent="0.25">
      <c r="A3517" s="31"/>
      <c r="B3517" s="16"/>
      <c r="C3517" s="16"/>
      <c r="D3517" s="33"/>
      <c r="E3517" s="33"/>
      <c r="F3517" s="33"/>
      <c r="G3517" s="33"/>
      <c r="H3517" s="33"/>
      <c r="I3517" s="31"/>
      <c r="J3517" s="31"/>
      <c r="K3517" s="33"/>
      <c r="L3517" s="33"/>
      <c r="M3517" s="31"/>
      <c r="N3517" s="31"/>
      <c r="O3517" s="16"/>
      <c r="P3517" s="16"/>
      <c r="Q3517" s="16"/>
      <c r="R3517" s="33"/>
      <c r="S3517" s="34"/>
      <c r="T3517" s="34"/>
      <c r="U3517" s="34"/>
      <c r="V3517" s="34"/>
      <c r="W3517" s="34"/>
      <c r="X3517" s="33"/>
      <c r="Y3517" s="35" t="str">
        <f>IF(Tabela2[[#This Row],[SIGLA]]="","",VLOOKUP(Tabela2[[#This Row],[SIGLA]],Tabela1[[#All],[Sigla Arte]:[Crédito]],2,0))</f>
        <v/>
      </c>
      <c r="Z3517" s="31"/>
      <c r="AA3517" s="31" t="str">
        <f>Tabela2[[#This Row],[ILUSTRADOR CRIAÇÃO]]</f>
        <v/>
      </c>
      <c r="AB3517" s="33"/>
      <c r="AC3517" s="16"/>
      <c r="AE3517" s="35" t="str">
        <f t="shared" si="56"/>
        <v>EF1 E002 Mat</v>
      </c>
    </row>
    <row r="3518" spans="1:31" x14ac:dyDescent="0.25">
      <c r="A3518" s="31"/>
      <c r="B3518" s="16"/>
      <c r="C3518" s="16"/>
      <c r="D3518" s="33"/>
      <c r="E3518" s="33"/>
      <c r="F3518" s="33"/>
      <c r="G3518" s="33"/>
      <c r="H3518" s="33"/>
      <c r="I3518" s="31"/>
      <c r="J3518" s="31"/>
      <c r="K3518" s="33"/>
      <c r="L3518" s="33"/>
      <c r="M3518" s="31"/>
      <c r="N3518" s="31"/>
      <c r="O3518" s="16"/>
      <c r="P3518" s="16"/>
      <c r="Q3518" s="16"/>
      <c r="R3518" s="33"/>
      <c r="S3518" s="34"/>
      <c r="T3518" s="34"/>
      <c r="U3518" s="34"/>
      <c r="V3518" s="34"/>
      <c r="W3518" s="34"/>
      <c r="X3518" s="33"/>
      <c r="Y3518" s="35" t="str">
        <f>IF(Tabela2[[#This Row],[SIGLA]]="","",VLOOKUP(Tabela2[[#This Row],[SIGLA]],Tabela1[[#All],[Sigla Arte]:[Crédito]],2,0))</f>
        <v/>
      </c>
      <c r="Z3518" s="31"/>
      <c r="AA3518" s="31" t="str">
        <f>Tabela2[[#This Row],[ILUSTRADOR CRIAÇÃO]]</f>
        <v/>
      </c>
      <c r="AB3518" s="33"/>
      <c r="AC3518" s="16"/>
      <c r="AE3518" s="35" t="str">
        <f t="shared" si="56"/>
        <v>EF1 E002 Mat</v>
      </c>
    </row>
    <row r="3519" spans="1:31" x14ac:dyDescent="0.25">
      <c r="A3519" s="31"/>
      <c r="B3519" s="16"/>
      <c r="C3519" s="16"/>
      <c r="D3519" s="33"/>
      <c r="E3519" s="33"/>
      <c r="F3519" s="33"/>
      <c r="G3519" s="33"/>
      <c r="H3519" s="33"/>
      <c r="I3519" s="31"/>
      <c r="J3519" s="31"/>
      <c r="K3519" s="33"/>
      <c r="L3519" s="33"/>
      <c r="M3519" s="31"/>
      <c r="N3519" s="31"/>
      <c r="O3519" s="16"/>
      <c r="P3519" s="16"/>
      <c r="Q3519" s="16"/>
      <c r="R3519" s="33"/>
      <c r="S3519" s="34"/>
      <c r="T3519" s="34"/>
      <c r="U3519" s="34"/>
      <c r="V3519" s="34"/>
      <c r="W3519" s="34"/>
      <c r="X3519" s="33"/>
      <c r="Y3519" s="35" t="str">
        <f>IF(Tabela2[[#This Row],[SIGLA]]="","",VLOOKUP(Tabela2[[#This Row],[SIGLA]],Tabela1[[#All],[Sigla Arte]:[Crédito]],2,0))</f>
        <v/>
      </c>
      <c r="Z3519" s="31"/>
      <c r="AA3519" s="31" t="str">
        <f>Tabela2[[#This Row],[ILUSTRADOR CRIAÇÃO]]</f>
        <v/>
      </c>
      <c r="AB3519" s="33"/>
      <c r="AC3519" s="16"/>
      <c r="AE3519" s="35" t="str">
        <f t="shared" si="56"/>
        <v>EF1 E002 Mat</v>
      </c>
    </row>
    <row r="3520" spans="1:31" x14ac:dyDescent="0.25">
      <c r="A3520" s="31"/>
      <c r="B3520" s="16"/>
      <c r="C3520" s="16"/>
      <c r="D3520" s="33"/>
      <c r="E3520" s="33"/>
      <c r="F3520" s="33"/>
      <c r="G3520" s="33"/>
      <c r="H3520" s="33"/>
      <c r="I3520" s="31"/>
      <c r="J3520" s="31"/>
      <c r="K3520" s="33"/>
      <c r="L3520" s="33"/>
      <c r="M3520" s="31"/>
      <c r="N3520" s="31"/>
      <c r="O3520" s="16"/>
      <c r="P3520" s="16"/>
      <c r="Q3520" s="16"/>
      <c r="R3520" s="33"/>
      <c r="S3520" s="34"/>
      <c r="T3520" s="34"/>
      <c r="U3520" s="34"/>
      <c r="V3520" s="34"/>
      <c r="W3520" s="34"/>
      <c r="X3520" s="33"/>
      <c r="Y3520" s="35" t="str">
        <f>IF(Tabela2[[#This Row],[SIGLA]]="","",VLOOKUP(Tabela2[[#This Row],[SIGLA]],Tabela1[[#All],[Sigla Arte]:[Crédito]],2,0))</f>
        <v/>
      </c>
      <c r="Z3520" s="31"/>
      <c r="AA3520" s="31" t="str">
        <f>Tabela2[[#This Row],[ILUSTRADOR CRIAÇÃO]]</f>
        <v/>
      </c>
      <c r="AB3520" s="33"/>
      <c r="AC3520" s="16"/>
      <c r="AE3520" s="35" t="str">
        <f t="shared" si="56"/>
        <v>EF1 E002 Mat</v>
      </c>
    </row>
    <row r="3521" spans="1:31" x14ac:dyDescent="0.25">
      <c r="A3521" s="31"/>
      <c r="B3521" s="16"/>
      <c r="C3521" s="16"/>
      <c r="D3521" s="33"/>
      <c r="E3521" s="33"/>
      <c r="F3521" s="33"/>
      <c r="G3521" s="33"/>
      <c r="H3521" s="33"/>
      <c r="I3521" s="31"/>
      <c r="J3521" s="31"/>
      <c r="K3521" s="33"/>
      <c r="L3521" s="33"/>
      <c r="M3521" s="31"/>
      <c r="N3521" s="31"/>
      <c r="O3521" s="16"/>
      <c r="P3521" s="16"/>
      <c r="Q3521" s="16"/>
      <c r="R3521" s="33"/>
      <c r="S3521" s="34"/>
      <c r="T3521" s="34"/>
      <c r="U3521" s="34"/>
      <c r="V3521" s="34"/>
      <c r="W3521" s="34"/>
      <c r="X3521" s="33"/>
      <c r="Y3521" s="35" t="str">
        <f>IF(Tabela2[[#This Row],[SIGLA]]="","",VLOOKUP(Tabela2[[#This Row],[SIGLA]],Tabela1[[#All],[Sigla Arte]:[Crédito]],2,0))</f>
        <v/>
      </c>
      <c r="Z3521" s="31"/>
      <c r="AA3521" s="31" t="str">
        <f>Tabela2[[#This Row],[ILUSTRADOR CRIAÇÃO]]</f>
        <v/>
      </c>
      <c r="AB3521" s="33"/>
      <c r="AC3521" s="16"/>
      <c r="AE3521" s="35" t="str">
        <f t="shared" si="56"/>
        <v>EF1 E002 Mat</v>
      </c>
    </row>
    <row r="3522" spans="1:31" x14ac:dyDescent="0.25">
      <c r="A3522" s="31"/>
      <c r="B3522" s="16"/>
      <c r="C3522" s="16"/>
      <c r="D3522" s="33"/>
      <c r="E3522" s="33"/>
      <c r="F3522" s="33"/>
      <c r="G3522" s="33"/>
      <c r="H3522" s="33"/>
      <c r="I3522" s="31"/>
      <c r="J3522" s="31"/>
      <c r="K3522" s="33"/>
      <c r="L3522" s="33"/>
      <c r="M3522" s="31"/>
      <c r="N3522" s="31"/>
      <c r="O3522" s="16"/>
      <c r="P3522" s="16"/>
      <c r="Q3522" s="16"/>
      <c r="R3522" s="33"/>
      <c r="S3522" s="34"/>
      <c r="T3522" s="34"/>
      <c r="U3522" s="34"/>
      <c r="V3522" s="34"/>
      <c r="W3522" s="34"/>
      <c r="X3522" s="33"/>
      <c r="Y3522" s="35" t="str">
        <f>IF(Tabela2[[#This Row],[SIGLA]]="","",VLOOKUP(Tabela2[[#This Row],[SIGLA]],Tabela1[[#All],[Sigla Arte]:[Crédito]],2,0))</f>
        <v/>
      </c>
      <c r="Z3522" s="31"/>
      <c r="AA3522" s="31" t="str">
        <f>Tabela2[[#This Row],[ILUSTRADOR CRIAÇÃO]]</f>
        <v/>
      </c>
      <c r="AB3522" s="33"/>
      <c r="AC3522" s="16"/>
      <c r="AE3522" s="35" t="str">
        <f t="shared" si="56"/>
        <v>EF1 E002 Mat</v>
      </c>
    </row>
    <row r="3523" spans="1:31" x14ac:dyDescent="0.25">
      <c r="A3523" s="31"/>
      <c r="B3523" s="16"/>
      <c r="C3523" s="16"/>
      <c r="D3523" s="33"/>
      <c r="E3523" s="33"/>
      <c r="F3523" s="33"/>
      <c r="G3523" s="33"/>
      <c r="H3523" s="33"/>
      <c r="I3523" s="31"/>
      <c r="J3523" s="31"/>
      <c r="K3523" s="33"/>
      <c r="L3523" s="33"/>
      <c r="M3523" s="31"/>
      <c r="N3523" s="31"/>
      <c r="O3523" s="16"/>
      <c r="P3523" s="16"/>
      <c r="Q3523" s="16"/>
      <c r="R3523" s="33"/>
      <c r="S3523" s="34"/>
      <c r="T3523" s="34"/>
      <c r="U3523" s="34"/>
      <c r="V3523" s="34"/>
      <c r="W3523" s="34"/>
      <c r="X3523" s="33"/>
      <c r="Y3523" s="35" t="str">
        <f>IF(Tabela2[[#This Row],[SIGLA]]="","",VLOOKUP(Tabela2[[#This Row],[SIGLA]],Tabela1[[#All],[Sigla Arte]:[Crédito]],2,0))</f>
        <v/>
      </c>
      <c r="Z3523" s="31"/>
      <c r="AA3523" s="31" t="str">
        <f>Tabela2[[#This Row],[ILUSTRADOR CRIAÇÃO]]</f>
        <v/>
      </c>
      <c r="AB3523" s="33"/>
      <c r="AC3523" s="16"/>
      <c r="AE3523" s="35" t="str">
        <f t="shared" si="56"/>
        <v>EF1 E002 Mat</v>
      </c>
    </row>
    <row r="3524" spans="1:31" x14ac:dyDescent="0.25">
      <c r="A3524" s="31"/>
      <c r="B3524" s="16"/>
      <c r="C3524" s="16"/>
      <c r="D3524" s="33"/>
      <c r="E3524" s="33"/>
      <c r="F3524" s="33"/>
      <c r="G3524" s="33"/>
      <c r="H3524" s="33"/>
      <c r="I3524" s="31"/>
      <c r="J3524" s="31"/>
      <c r="K3524" s="33"/>
      <c r="L3524" s="33"/>
      <c r="M3524" s="31"/>
      <c r="N3524" s="31"/>
      <c r="O3524" s="16"/>
      <c r="P3524" s="16"/>
      <c r="Q3524" s="16"/>
      <c r="R3524" s="33"/>
      <c r="S3524" s="34"/>
      <c r="T3524" s="34"/>
      <c r="U3524" s="34"/>
      <c r="V3524" s="34"/>
      <c r="W3524" s="34"/>
      <c r="X3524" s="33"/>
      <c r="Y3524" s="35" t="str">
        <f>IF(Tabela2[[#This Row],[SIGLA]]="","",VLOOKUP(Tabela2[[#This Row],[SIGLA]],Tabela1[[#All],[Sigla Arte]:[Crédito]],2,0))</f>
        <v/>
      </c>
      <c r="Z3524" s="31"/>
      <c r="AA3524" s="31" t="str">
        <f>Tabela2[[#This Row],[ILUSTRADOR CRIAÇÃO]]</f>
        <v/>
      </c>
      <c r="AB3524" s="33"/>
      <c r="AC3524" s="16"/>
      <c r="AE3524" s="35" t="str">
        <f t="shared" si="56"/>
        <v>EF1 E002 Mat</v>
      </c>
    </row>
    <row r="3525" spans="1:31" x14ac:dyDescent="0.25">
      <c r="A3525" s="31"/>
      <c r="B3525" s="16"/>
      <c r="C3525" s="16"/>
      <c r="D3525" s="33"/>
      <c r="E3525" s="33"/>
      <c r="F3525" s="33"/>
      <c r="G3525" s="33"/>
      <c r="H3525" s="33"/>
      <c r="I3525" s="31"/>
      <c r="J3525" s="31"/>
      <c r="K3525" s="33"/>
      <c r="L3525" s="33"/>
      <c r="M3525" s="31"/>
      <c r="N3525" s="31"/>
      <c r="O3525" s="16"/>
      <c r="P3525" s="16"/>
      <c r="Q3525" s="16"/>
      <c r="R3525" s="33"/>
      <c r="S3525" s="34"/>
      <c r="T3525" s="34"/>
      <c r="U3525" s="34"/>
      <c r="V3525" s="34"/>
      <c r="W3525" s="34"/>
      <c r="X3525" s="33"/>
      <c r="Y3525" s="35" t="str">
        <f>IF(Tabela2[[#This Row],[SIGLA]]="","",VLOOKUP(Tabela2[[#This Row],[SIGLA]],Tabela1[[#All],[Sigla Arte]:[Crédito]],2,0))</f>
        <v/>
      </c>
      <c r="Z3525" s="31"/>
      <c r="AA3525" s="31" t="str">
        <f>Tabela2[[#This Row],[ILUSTRADOR CRIAÇÃO]]</f>
        <v/>
      </c>
      <c r="AB3525" s="33"/>
      <c r="AC3525" s="16"/>
      <c r="AE3525" s="35" t="str">
        <f t="shared" si="56"/>
        <v>EF1 E002 Mat</v>
      </c>
    </row>
    <row r="3526" spans="1:31" x14ac:dyDescent="0.25">
      <c r="A3526" s="31"/>
      <c r="B3526" s="16"/>
      <c r="C3526" s="16"/>
      <c r="D3526" s="33"/>
      <c r="E3526" s="33"/>
      <c r="F3526" s="33"/>
      <c r="G3526" s="33"/>
      <c r="H3526" s="33"/>
      <c r="I3526" s="31"/>
      <c r="J3526" s="31"/>
      <c r="K3526" s="33"/>
      <c r="L3526" s="33"/>
      <c r="M3526" s="31"/>
      <c r="N3526" s="31"/>
      <c r="O3526" s="16"/>
      <c r="P3526" s="16"/>
      <c r="Q3526" s="16"/>
      <c r="R3526" s="33"/>
      <c r="S3526" s="34"/>
      <c r="T3526" s="34"/>
      <c r="U3526" s="34"/>
      <c r="V3526" s="34"/>
      <c r="W3526" s="34"/>
      <c r="X3526" s="33"/>
      <c r="Y3526" s="35" t="str">
        <f>IF(Tabela2[[#This Row],[SIGLA]]="","",VLOOKUP(Tabela2[[#This Row],[SIGLA]],Tabela1[[#All],[Sigla Arte]:[Crédito]],2,0))</f>
        <v/>
      </c>
      <c r="Z3526" s="31"/>
      <c r="AA3526" s="31" t="str">
        <f>Tabela2[[#This Row],[ILUSTRADOR CRIAÇÃO]]</f>
        <v/>
      </c>
      <c r="AB3526" s="33"/>
      <c r="AC3526" s="16"/>
      <c r="AE3526" s="35" t="str">
        <f t="shared" si="56"/>
        <v>EF1 E002 Mat</v>
      </c>
    </row>
    <row r="3527" spans="1:31" x14ac:dyDescent="0.25">
      <c r="A3527" s="31"/>
      <c r="B3527" s="16"/>
      <c r="C3527" s="16"/>
      <c r="D3527" s="33"/>
      <c r="E3527" s="33"/>
      <c r="F3527" s="33"/>
      <c r="G3527" s="33"/>
      <c r="H3527" s="33"/>
      <c r="I3527" s="31"/>
      <c r="J3527" s="31"/>
      <c r="K3527" s="33"/>
      <c r="L3527" s="33"/>
      <c r="M3527" s="31"/>
      <c r="N3527" s="31"/>
      <c r="O3527" s="16"/>
      <c r="P3527" s="16"/>
      <c r="Q3527" s="16"/>
      <c r="R3527" s="33"/>
      <c r="S3527" s="34"/>
      <c r="T3527" s="34"/>
      <c r="U3527" s="34"/>
      <c r="V3527" s="34"/>
      <c r="W3527" s="34"/>
      <c r="X3527" s="33"/>
      <c r="Y3527" s="35" t="str">
        <f>IF(Tabela2[[#This Row],[SIGLA]]="","",VLOOKUP(Tabela2[[#This Row],[SIGLA]],Tabela1[[#All],[Sigla Arte]:[Crédito]],2,0))</f>
        <v/>
      </c>
      <c r="Z3527" s="31"/>
      <c r="AA3527" s="31" t="str">
        <f>Tabela2[[#This Row],[ILUSTRADOR CRIAÇÃO]]</f>
        <v/>
      </c>
      <c r="AB3527" s="33"/>
      <c r="AC3527" s="16"/>
      <c r="AE3527" s="35" t="str">
        <f t="shared" si="56"/>
        <v>EF1 E002 Mat</v>
      </c>
    </row>
    <row r="3528" spans="1:31" x14ac:dyDescent="0.25">
      <c r="A3528" s="31"/>
      <c r="B3528" s="16"/>
      <c r="C3528" s="16"/>
      <c r="D3528" s="33"/>
      <c r="E3528" s="33"/>
      <c r="F3528" s="33"/>
      <c r="G3528" s="33"/>
      <c r="H3528" s="33"/>
      <c r="I3528" s="31"/>
      <c r="J3528" s="31"/>
      <c r="K3528" s="33"/>
      <c r="L3528" s="33"/>
      <c r="M3528" s="31"/>
      <c r="N3528" s="31"/>
      <c r="O3528" s="16"/>
      <c r="P3528" s="16"/>
      <c r="Q3528" s="16"/>
      <c r="R3528" s="33"/>
      <c r="S3528" s="34"/>
      <c r="T3528" s="34"/>
      <c r="U3528" s="34"/>
      <c r="V3528" s="34"/>
      <c r="W3528" s="34"/>
      <c r="X3528" s="33"/>
      <c r="Y3528" s="35" t="str">
        <f>IF(Tabela2[[#This Row],[SIGLA]]="","",VLOOKUP(Tabela2[[#This Row],[SIGLA]],Tabela1[[#All],[Sigla Arte]:[Crédito]],2,0))</f>
        <v/>
      </c>
      <c r="Z3528" s="31"/>
      <c r="AA3528" s="31" t="str">
        <f>Tabela2[[#This Row],[ILUSTRADOR CRIAÇÃO]]</f>
        <v/>
      </c>
      <c r="AB3528" s="33"/>
      <c r="AC3528" s="16"/>
      <c r="AE3528" s="35" t="str">
        <f t="shared" si="56"/>
        <v>EF1 E002 Mat</v>
      </c>
    </row>
    <row r="3529" spans="1:31" x14ac:dyDescent="0.25">
      <c r="A3529" s="31"/>
      <c r="B3529" s="16"/>
      <c r="C3529" s="16"/>
      <c r="D3529" s="33"/>
      <c r="E3529" s="33"/>
      <c r="F3529" s="33"/>
      <c r="G3529" s="33"/>
      <c r="H3529" s="33"/>
      <c r="I3529" s="31"/>
      <c r="J3529" s="31"/>
      <c r="K3529" s="33"/>
      <c r="L3529" s="33"/>
      <c r="M3529" s="31"/>
      <c r="N3529" s="31"/>
      <c r="O3529" s="16"/>
      <c r="P3529" s="16"/>
      <c r="Q3529" s="16"/>
      <c r="R3529" s="33"/>
      <c r="S3529" s="34"/>
      <c r="T3529" s="34"/>
      <c r="U3529" s="34"/>
      <c r="V3529" s="34"/>
      <c r="W3529" s="34"/>
      <c r="X3529" s="33"/>
      <c r="Y3529" s="35" t="str">
        <f>IF(Tabela2[[#This Row],[SIGLA]]="","",VLOOKUP(Tabela2[[#This Row],[SIGLA]],Tabela1[[#All],[Sigla Arte]:[Crédito]],2,0))</f>
        <v/>
      </c>
      <c r="Z3529" s="31"/>
      <c r="AA3529" s="31" t="str">
        <f>Tabela2[[#This Row],[ILUSTRADOR CRIAÇÃO]]</f>
        <v/>
      </c>
      <c r="AB3529" s="33"/>
      <c r="AC3529" s="16"/>
      <c r="AE3529" s="35" t="str">
        <f t="shared" si="56"/>
        <v>EF1 E002 Mat</v>
      </c>
    </row>
    <row r="3530" spans="1:31" x14ac:dyDescent="0.25">
      <c r="A3530" s="31"/>
      <c r="B3530" s="16"/>
      <c r="C3530" s="16"/>
      <c r="D3530" s="33"/>
      <c r="E3530" s="33"/>
      <c r="F3530" s="33"/>
      <c r="G3530" s="33"/>
      <c r="H3530" s="33"/>
      <c r="I3530" s="31"/>
      <c r="J3530" s="31"/>
      <c r="K3530" s="33"/>
      <c r="L3530" s="33"/>
      <c r="M3530" s="31"/>
      <c r="N3530" s="31"/>
      <c r="O3530" s="16"/>
      <c r="P3530" s="16"/>
      <c r="Q3530" s="16"/>
      <c r="R3530" s="33"/>
      <c r="S3530" s="34"/>
      <c r="T3530" s="34"/>
      <c r="U3530" s="34"/>
      <c r="V3530" s="34"/>
      <c r="W3530" s="34"/>
      <c r="X3530" s="33"/>
      <c r="Y3530" s="35" t="str">
        <f>IF(Tabela2[[#This Row],[SIGLA]]="","",VLOOKUP(Tabela2[[#This Row],[SIGLA]],Tabela1[[#All],[Sigla Arte]:[Crédito]],2,0))</f>
        <v/>
      </c>
      <c r="Z3530" s="31"/>
      <c r="AA3530" s="31" t="str">
        <f>Tabela2[[#This Row],[ILUSTRADOR CRIAÇÃO]]</f>
        <v/>
      </c>
      <c r="AB3530" s="33"/>
      <c r="AC3530" s="16"/>
      <c r="AE3530" s="35" t="str">
        <f t="shared" si="56"/>
        <v>EF1 E002 Mat</v>
      </c>
    </row>
    <row r="3531" spans="1:31" x14ac:dyDescent="0.25">
      <c r="A3531" s="31"/>
      <c r="B3531" s="16"/>
      <c r="C3531" s="16"/>
      <c r="D3531" s="33"/>
      <c r="E3531" s="33"/>
      <c r="F3531" s="33"/>
      <c r="G3531" s="33"/>
      <c r="H3531" s="33"/>
      <c r="I3531" s="31"/>
      <c r="J3531" s="31"/>
      <c r="K3531" s="33"/>
      <c r="L3531" s="33"/>
      <c r="M3531" s="31"/>
      <c r="N3531" s="31"/>
      <c r="O3531" s="16"/>
      <c r="P3531" s="16"/>
      <c r="Q3531" s="16"/>
      <c r="R3531" s="33"/>
      <c r="S3531" s="34"/>
      <c r="T3531" s="34"/>
      <c r="U3531" s="34"/>
      <c r="V3531" s="34"/>
      <c r="W3531" s="34"/>
      <c r="X3531" s="33"/>
      <c r="Y3531" s="35" t="str">
        <f>IF(Tabela2[[#This Row],[SIGLA]]="","",VLOOKUP(Tabela2[[#This Row],[SIGLA]],Tabela1[[#All],[Sigla Arte]:[Crédito]],2,0))</f>
        <v/>
      </c>
      <c r="Z3531" s="31"/>
      <c r="AA3531" s="31" t="str">
        <f>Tabela2[[#This Row],[ILUSTRADOR CRIAÇÃO]]</f>
        <v/>
      </c>
      <c r="AB3531" s="33"/>
      <c r="AC3531" s="16"/>
      <c r="AE3531" s="35" t="str">
        <f t="shared" si="56"/>
        <v>EF1 E002 Mat</v>
      </c>
    </row>
    <row r="3532" spans="1:31" x14ac:dyDescent="0.25">
      <c r="A3532" s="31"/>
      <c r="B3532" s="16"/>
      <c r="C3532" s="16"/>
      <c r="D3532" s="33"/>
      <c r="E3532" s="33"/>
      <c r="F3532" s="33"/>
      <c r="G3532" s="33"/>
      <c r="H3532" s="33"/>
      <c r="I3532" s="31"/>
      <c r="J3532" s="31"/>
      <c r="K3532" s="33"/>
      <c r="L3532" s="33"/>
      <c r="M3532" s="31"/>
      <c r="N3532" s="31"/>
      <c r="O3532" s="16"/>
      <c r="P3532" s="16"/>
      <c r="Q3532" s="16"/>
      <c r="R3532" s="33"/>
      <c r="S3532" s="34"/>
      <c r="T3532" s="34"/>
      <c r="U3532" s="34"/>
      <c r="V3532" s="34"/>
      <c r="W3532" s="34"/>
      <c r="X3532" s="33"/>
      <c r="Y3532" s="35" t="str">
        <f>IF(Tabela2[[#This Row],[SIGLA]]="","",VLOOKUP(Tabela2[[#This Row],[SIGLA]],Tabela1[[#All],[Sigla Arte]:[Crédito]],2,0))</f>
        <v/>
      </c>
      <c r="Z3532" s="31"/>
      <c r="AA3532" s="31" t="str">
        <f>Tabela2[[#This Row],[ILUSTRADOR CRIAÇÃO]]</f>
        <v/>
      </c>
      <c r="AB3532" s="33"/>
      <c r="AC3532" s="16"/>
      <c r="AE3532" s="35" t="str">
        <f t="shared" si="56"/>
        <v>EF1 E002 Mat</v>
      </c>
    </row>
    <row r="3533" spans="1:31" x14ac:dyDescent="0.25">
      <c r="A3533" s="31"/>
      <c r="B3533" s="16"/>
      <c r="C3533" s="16"/>
      <c r="D3533" s="33"/>
      <c r="E3533" s="33"/>
      <c r="F3533" s="33"/>
      <c r="G3533" s="33"/>
      <c r="H3533" s="33"/>
      <c r="I3533" s="31"/>
      <c r="J3533" s="31"/>
      <c r="K3533" s="33"/>
      <c r="L3533" s="33"/>
      <c r="M3533" s="31"/>
      <c r="N3533" s="31"/>
      <c r="O3533" s="16"/>
      <c r="P3533" s="16"/>
      <c r="Q3533" s="16"/>
      <c r="R3533" s="33"/>
      <c r="S3533" s="34"/>
      <c r="T3533" s="34"/>
      <c r="U3533" s="34"/>
      <c r="V3533" s="34"/>
      <c r="W3533" s="34"/>
      <c r="X3533" s="33"/>
      <c r="Y3533" s="35" t="str">
        <f>IF(Tabela2[[#This Row],[SIGLA]]="","",VLOOKUP(Tabela2[[#This Row],[SIGLA]],Tabela1[[#All],[Sigla Arte]:[Crédito]],2,0))</f>
        <v/>
      </c>
      <c r="Z3533" s="31"/>
      <c r="AA3533" s="31" t="str">
        <f>Tabela2[[#This Row],[ILUSTRADOR CRIAÇÃO]]</f>
        <v/>
      </c>
      <c r="AB3533" s="33"/>
      <c r="AC3533" s="16"/>
      <c r="AE3533" s="35" t="str">
        <f t="shared" si="56"/>
        <v>EF1 E002 Mat</v>
      </c>
    </row>
    <row r="3534" spans="1:31" x14ac:dyDescent="0.25">
      <c r="A3534" s="31"/>
      <c r="B3534" s="16"/>
      <c r="C3534" s="16"/>
      <c r="D3534" s="33"/>
      <c r="E3534" s="33"/>
      <c r="F3534" s="33"/>
      <c r="G3534" s="33"/>
      <c r="H3534" s="33"/>
      <c r="I3534" s="31"/>
      <c r="J3534" s="31"/>
      <c r="K3534" s="33"/>
      <c r="L3534" s="33"/>
      <c r="M3534" s="31"/>
      <c r="N3534" s="31"/>
      <c r="O3534" s="16"/>
      <c r="P3534" s="16"/>
      <c r="Q3534" s="16"/>
      <c r="R3534" s="33"/>
      <c r="S3534" s="34"/>
      <c r="T3534" s="34"/>
      <c r="U3534" s="34"/>
      <c r="V3534" s="34"/>
      <c r="W3534" s="34"/>
      <c r="X3534" s="33"/>
      <c r="Y3534" s="35" t="str">
        <f>IF(Tabela2[[#This Row],[SIGLA]]="","",VLOOKUP(Tabela2[[#This Row],[SIGLA]],Tabela1[[#All],[Sigla Arte]:[Crédito]],2,0))</f>
        <v/>
      </c>
      <c r="Z3534" s="31"/>
      <c r="AA3534" s="31" t="str">
        <f>Tabela2[[#This Row],[ILUSTRADOR CRIAÇÃO]]</f>
        <v/>
      </c>
      <c r="AB3534" s="33"/>
      <c r="AC3534" s="16"/>
      <c r="AE3534" s="35" t="str">
        <f t="shared" si="56"/>
        <v>EF1 E002 Mat</v>
      </c>
    </row>
    <row r="3535" spans="1:31" x14ac:dyDescent="0.25">
      <c r="A3535" s="31"/>
      <c r="B3535" s="16"/>
      <c r="C3535" s="16"/>
      <c r="D3535" s="33"/>
      <c r="E3535" s="33"/>
      <c r="F3535" s="33"/>
      <c r="G3535" s="33"/>
      <c r="H3535" s="33"/>
      <c r="I3535" s="31"/>
      <c r="J3535" s="31"/>
      <c r="K3535" s="33"/>
      <c r="L3535" s="33"/>
      <c r="M3535" s="31"/>
      <c r="N3535" s="31"/>
      <c r="O3535" s="16"/>
      <c r="P3535" s="16"/>
      <c r="Q3535" s="16"/>
      <c r="R3535" s="33"/>
      <c r="S3535" s="34"/>
      <c r="T3535" s="34"/>
      <c r="U3535" s="34"/>
      <c r="V3535" s="34"/>
      <c r="W3535" s="34"/>
      <c r="X3535" s="33"/>
      <c r="Y3535" s="35" t="str">
        <f>IF(Tabela2[[#This Row],[SIGLA]]="","",VLOOKUP(Tabela2[[#This Row],[SIGLA]],Tabela1[[#All],[Sigla Arte]:[Crédito]],2,0))</f>
        <v/>
      </c>
      <c r="Z3535" s="31"/>
      <c r="AA3535" s="31" t="str">
        <f>Tabela2[[#This Row],[ILUSTRADOR CRIAÇÃO]]</f>
        <v/>
      </c>
      <c r="AB3535" s="33"/>
      <c r="AC3535" s="16"/>
      <c r="AE3535" s="35" t="str">
        <f t="shared" si="56"/>
        <v>EF1 E002 Mat</v>
      </c>
    </row>
    <row r="3536" spans="1:31" x14ac:dyDescent="0.25">
      <c r="A3536" s="31"/>
      <c r="B3536" s="16"/>
      <c r="C3536" s="16"/>
      <c r="D3536" s="33"/>
      <c r="E3536" s="33"/>
      <c r="F3536" s="33"/>
      <c r="G3536" s="33"/>
      <c r="H3536" s="33"/>
      <c r="I3536" s="31"/>
      <c r="J3536" s="31"/>
      <c r="K3536" s="33"/>
      <c r="L3536" s="33"/>
      <c r="M3536" s="31"/>
      <c r="N3536" s="31"/>
      <c r="O3536" s="16"/>
      <c r="P3536" s="16"/>
      <c r="Q3536" s="16"/>
      <c r="R3536" s="33"/>
      <c r="S3536" s="34"/>
      <c r="T3536" s="34"/>
      <c r="U3536" s="34"/>
      <c r="V3536" s="34"/>
      <c r="W3536" s="34"/>
      <c r="X3536" s="33"/>
      <c r="Y3536" s="35" t="str">
        <f>IF(Tabela2[[#This Row],[SIGLA]]="","",VLOOKUP(Tabela2[[#This Row],[SIGLA]],Tabela1[[#All],[Sigla Arte]:[Crédito]],2,0))</f>
        <v/>
      </c>
      <c r="Z3536" s="31"/>
      <c r="AA3536" s="31" t="str">
        <f>Tabela2[[#This Row],[ILUSTRADOR CRIAÇÃO]]</f>
        <v/>
      </c>
      <c r="AB3536" s="33"/>
      <c r="AC3536" s="16"/>
      <c r="AE3536" s="35" t="str">
        <f t="shared" si="56"/>
        <v>EF1 E002 Mat</v>
      </c>
    </row>
    <row r="3537" spans="1:31" x14ac:dyDescent="0.25">
      <c r="A3537" s="31"/>
      <c r="B3537" s="16"/>
      <c r="C3537" s="16"/>
      <c r="D3537" s="33"/>
      <c r="E3537" s="33"/>
      <c r="F3537" s="33"/>
      <c r="G3537" s="33"/>
      <c r="H3537" s="33"/>
      <c r="I3537" s="31"/>
      <c r="J3537" s="31"/>
      <c r="K3537" s="33"/>
      <c r="L3537" s="33"/>
      <c r="M3537" s="31"/>
      <c r="N3537" s="31"/>
      <c r="O3537" s="16"/>
      <c r="P3537" s="16"/>
      <c r="Q3537" s="16"/>
      <c r="R3537" s="33"/>
      <c r="S3537" s="34"/>
      <c r="T3537" s="34"/>
      <c r="U3537" s="34"/>
      <c r="V3537" s="34"/>
      <c r="W3537" s="34"/>
      <c r="X3537" s="33"/>
      <c r="Y3537" s="35" t="str">
        <f>IF(Tabela2[[#This Row],[SIGLA]]="","",VLOOKUP(Tabela2[[#This Row],[SIGLA]],Tabela1[[#All],[Sigla Arte]:[Crédito]],2,0))</f>
        <v/>
      </c>
      <c r="Z3537" s="31"/>
      <c r="AA3537" s="31" t="str">
        <f>Tabela2[[#This Row],[ILUSTRADOR CRIAÇÃO]]</f>
        <v/>
      </c>
      <c r="AB3537" s="33"/>
      <c r="AC3537" s="16"/>
      <c r="AE3537" s="35" t="str">
        <f t="shared" si="56"/>
        <v>EF1 E002 Mat</v>
      </c>
    </row>
    <row r="3538" spans="1:31" x14ac:dyDescent="0.25">
      <c r="A3538" s="31"/>
      <c r="B3538" s="16"/>
      <c r="C3538" s="16"/>
      <c r="D3538" s="33"/>
      <c r="E3538" s="33"/>
      <c r="F3538" s="33"/>
      <c r="G3538" s="33"/>
      <c r="H3538" s="33"/>
      <c r="I3538" s="31"/>
      <c r="J3538" s="31"/>
      <c r="K3538" s="33"/>
      <c r="L3538" s="33"/>
      <c r="M3538" s="31"/>
      <c r="N3538" s="31"/>
      <c r="O3538" s="16"/>
      <c r="P3538" s="16"/>
      <c r="Q3538" s="16"/>
      <c r="R3538" s="33"/>
      <c r="S3538" s="34"/>
      <c r="T3538" s="34"/>
      <c r="U3538" s="34"/>
      <c r="V3538" s="34"/>
      <c r="W3538" s="34"/>
      <c r="X3538" s="33"/>
      <c r="Y3538" s="35" t="str">
        <f>IF(Tabela2[[#This Row],[SIGLA]]="","",VLOOKUP(Tabela2[[#This Row],[SIGLA]],Tabela1[[#All],[Sigla Arte]:[Crédito]],2,0))</f>
        <v/>
      </c>
      <c r="Z3538" s="31"/>
      <c r="AA3538" s="31" t="str">
        <f>Tabela2[[#This Row],[ILUSTRADOR CRIAÇÃO]]</f>
        <v/>
      </c>
      <c r="AB3538" s="33"/>
      <c r="AC3538" s="16"/>
      <c r="AE3538" s="35" t="str">
        <f t="shared" si="56"/>
        <v>EF1 E002 Mat</v>
      </c>
    </row>
    <row r="3539" spans="1:31" x14ac:dyDescent="0.25">
      <c r="A3539" s="31"/>
      <c r="B3539" s="16"/>
      <c r="C3539" s="16"/>
      <c r="D3539" s="33"/>
      <c r="E3539" s="33"/>
      <c r="F3539" s="33"/>
      <c r="G3539" s="33"/>
      <c r="H3539" s="33"/>
      <c r="I3539" s="31"/>
      <c r="J3539" s="31"/>
      <c r="K3539" s="33"/>
      <c r="L3539" s="33"/>
      <c r="M3539" s="31"/>
      <c r="N3539" s="31"/>
      <c r="O3539" s="16"/>
      <c r="P3539" s="16"/>
      <c r="Q3539" s="16"/>
      <c r="R3539" s="33"/>
      <c r="S3539" s="34"/>
      <c r="T3539" s="34"/>
      <c r="U3539" s="34"/>
      <c r="V3539" s="34"/>
      <c r="W3539" s="34"/>
      <c r="X3539" s="33"/>
      <c r="Y3539" s="35" t="str">
        <f>IF(Tabela2[[#This Row],[SIGLA]]="","",VLOOKUP(Tabela2[[#This Row],[SIGLA]],Tabela1[[#All],[Sigla Arte]:[Crédito]],2,0))</f>
        <v/>
      </c>
      <c r="Z3539" s="31"/>
      <c r="AA3539" s="31" t="str">
        <f>Tabela2[[#This Row],[ILUSTRADOR CRIAÇÃO]]</f>
        <v/>
      </c>
      <c r="AB3539" s="33"/>
      <c r="AC3539" s="16"/>
      <c r="AE3539" s="35" t="str">
        <f t="shared" si="56"/>
        <v>EF1 E002 Mat</v>
      </c>
    </row>
    <row r="3540" spans="1:31" x14ac:dyDescent="0.25">
      <c r="A3540" s="31"/>
      <c r="B3540" s="16"/>
      <c r="C3540" s="16"/>
      <c r="D3540" s="33"/>
      <c r="E3540" s="33"/>
      <c r="F3540" s="33"/>
      <c r="G3540" s="33"/>
      <c r="H3540" s="33"/>
      <c r="I3540" s="31"/>
      <c r="J3540" s="31"/>
      <c r="K3540" s="33"/>
      <c r="L3540" s="33"/>
      <c r="M3540" s="31"/>
      <c r="N3540" s="31"/>
      <c r="O3540" s="16"/>
      <c r="P3540" s="16"/>
      <c r="Q3540" s="16"/>
      <c r="R3540" s="33"/>
      <c r="S3540" s="34"/>
      <c r="T3540" s="34"/>
      <c r="U3540" s="34"/>
      <c r="V3540" s="34"/>
      <c r="W3540" s="34"/>
      <c r="X3540" s="33"/>
      <c r="Y3540" s="35" t="str">
        <f>IF(Tabela2[[#This Row],[SIGLA]]="","",VLOOKUP(Tabela2[[#This Row],[SIGLA]],Tabela1[[#All],[Sigla Arte]:[Crédito]],2,0))</f>
        <v/>
      </c>
      <c r="Z3540" s="31"/>
      <c r="AA3540" s="31" t="str">
        <f>Tabela2[[#This Row],[ILUSTRADOR CRIAÇÃO]]</f>
        <v/>
      </c>
      <c r="AB3540" s="33"/>
      <c r="AC3540" s="16"/>
      <c r="AE3540" s="35" t="str">
        <f t="shared" si="56"/>
        <v>EF1 E002 Mat</v>
      </c>
    </row>
    <row r="3541" spans="1:31" x14ac:dyDescent="0.25">
      <c r="A3541" s="31"/>
      <c r="B3541" s="16"/>
      <c r="C3541" s="16"/>
      <c r="D3541" s="33"/>
      <c r="E3541" s="33"/>
      <c r="F3541" s="33"/>
      <c r="G3541" s="33"/>
      <c r="H3541" s="33"/>
      <c r="I3541" s="31"/>
      <c r="J3541" s="31"/>
      <c r="K3541" s="33"/>
      <c r="L3541" s="33"/>
      <c r="M3541" s="31"/>
      <c r="N3541" s="31"/>
      <c r="O3541" s="16"/>
      <c r="P3541" s="16"/>
      <c r="Q3541" s="16"/>
      <c r="R3541" s="33"/>
      <c r="S3541" s="34"/>
      <c r="T3541" s="34"/>
      <c r="U3541" s="34"/>
      <c r="V3541" s="34"/>
      <c r="W3541" s="34"/>
      <c r="X3541" s="33"/>
      <c r="Y3541" s="35" t="str">
        <f>IF(Tabela2[[#This Row],[SIGLA]]="","",VLOOKUP(Tabela2[[#This Row],[SIGLA]],Tabela1[[#All],[Sigla Arte]:[Crédito]],2,0))</f>
        <v/>
      </c>
      <c r="Z3541" s="31"/>
      <c r="AA3541" s="31" t="str">
        <f>Tabela2[[#This Row],[ILUSTRADOR CRIAÇÃO]]</f>
        <v/>
      </c>
      <c r="AB3541" s="33"/>
      <c r="AC3541" s="16"/>
      <c r="AE3541" s="35" t="str">
        <f t="shared" si="56"/>
        <v>EF1 E002 Mat</v>
      </c>
    </row>
    <row r="3542" spans="1:31" x14ac:dyDescent="0.25">
      <c r="A3542" s="31"/>
      <c r="B3542" s="16"/>
      <c r="C3542" s="16"/>
      <c r="D3542" s="33"/>
      <c r="E3542" s="33"/>
      <c r="F3542" s="33"/>
      <c r="G3542" s="33"/>
      <c r="H3542" s="33"/>
      <c r="I3542" s="31"/>
      <c r="J3542" s="31"/>
      <c r="K3542" s="33"/>
      <c r="L3542" s="33"/>
      <c r="M3542" s="31"/>
      <c r="N3542" s="31"/>
      <c r="O3542" s="16"/>
      <c r="P3542" s="16"/>
      <c r="Q3542" s="16"/>
      <c r="R3542" s="33"/>
      <c r="S3542" s="34"/>
      <c r="T3542" s="34"/>
      <c r="U3542" s="34"/>
      <c r="V3542" s="34"/>
      <c r="W3542" s="34"/>
      <c r="X3542" s="33"/>
      <c r="Y3542" s="35" t="str">
        <f>IF(Tabela2[[#This Row],[SIGLA]]="","",VLOOKUP(Tabela2[[#This Row],[SIGLA]],Tabela1[[#All],[Sigla Arte]:[Crédito]],2,0))</f>
        <v/>
      </c>
      <c r="Z3542" s="31"/>
      <c r="AA3542" s="31" t="str">
        <f>Tabela2[[#This Row],[ILUSTRADOR CRIAÇÃO]]</f>
        <v/>
      </c>
      <c r="AB3542" s="33"/>
      <c r="AC3542" s="16"/>
      <c r="AE3542" s="35" t="str">
        <f t="shared" si="56"/>
        <v>EF1 E002 Mat</v>
      </c>
    </row>
    <row r="3543" spans="1:31" x14ac:dyDescent="0.25">
      <c r="A3543" s="31"/>
      <c r="B3543" s="16"/>
      <c r="C3543" s="16"/>
      <c r="D3543" s="33"/>
      <c r="E3543" s="33"/>
      <c r="F3543" s="33"/>
      <c r="G3543" s="33"/>
      <c r="H3543" s="33"/>
      <c r="I3543" s="31"/>
      <c r="J3543" s="31"/>
      <c r="K3543" s="33"/>
      <c r="L3543" s="33"/>
      <c r="M3543" s="31"/>
      <c r="N3543" s="31"/>
      <c r="O3543" s="16"/>
      <c r="P3543" s="16"/>
      <c r="Q3543" s="16"/>
      <c r="R3543" s="33"/>
      <c r="S3543" s="34"/>
      <c r="T3543" s="34"/>
      <c r="U3543" s="34"/>
      <c r="V3543" s="34"/>
      <c r="W3543" s="34"/>
      <c r="X3543" s="33"/>
      <c r="Y3543" s="35" t="str">
        <f>IF(Tabela2[[#This Row],[SIGLA]]="","",VLOOKUP(Tabela2[[#This Row],[SIGLA]],Tabela1[[#All],[Sigla Arte]:[Crédito]],2,0))</f>
        <v/>
      </c>
      <c r="Z3543" s="31"/>
      <c r="AA3543" s="31" t="str">
        <f>Tabela2[[#This Row],[ILUSTRADOR CRIAÇÃO]]</f>
        <v/>
      </c>
      <c r="AB3543" s="33"/>
      <c r="AC3543" s="16"/>
      <c r="AE3543" s="35" t="str">
        <f t="shared" si="56"/>
        <v>EF1 E002 Mat</v>
      </c>
    </row>
    <row r="3544" spans="1:31" x14ac:dyDescent="0.25">
      <c r="A3544" s="31"/>
      <c r="B3544" s="16"/>
      <c r="C3544" s="16"/>
      <c r="D3544" s="33"/>
      <c r="E3544" s="33"/>
      <c r="F3544" s="33"/>
      <c r="G3544" s="33"/>
      <c r="H3544" s="33"/>
      <c r="I3544" s="31"/>
      <c r="J3544" s="31"/>
      <c r="K3544" s="33"/>
      <c r="L3544" s="33"/>
      <c r="M3544" s="31"/>
      <c r="N3544" s="31"/>
      <c r="O3544" s="16"/>
      <c r="P3544" s="16"/>
      <c r="Q3544" s="16"/>
      <c r="R3544" s="33"/>
      <c r="S3544" s="34"/>
      <c r="T3544" s="34"/>
      <c r="U3544" s="34"/>
      <c r="V3544" s="34"/>
      <c r="W3544" s="34"/>
      <c r="X3544" s="33"/>
      <c r="Y3544" s="35" t="str">
        <f>IF(Tabela2[[#This Row],[SIGLA]]="","",VLOOKUP(Tabela2[[#This Row],[SIGLA]],Tabela1[[#All],[Sigla Arte]:[Crédito]],2,0))</f>
        <v/>
      </c>
      <c r="Z3544" s="31"/>
      <c r="AA3544" s="31" t="str">
        <f>Tabela2[[#This Row],[ILUSTRADOR CRIAÇÃO]]</f>
        <v/>
      </c>
      <c r="AB3544" s="33"/>
      <c r="AC3544" s="16"/>
      <c r="AE3544" s="35" t="str">
        <f t="shared" si="56"/>
        <v>EF1 E002 Mat</v>
      </c>
    </row>
    <row r="3545" spans="1:31" x14ac:dyDescent="0.25">
      <c r="A3545" s="31"/>
      <c r="B3545" s="16"/>
      <c r="C3545" s="16"/>
      <c r="D3545" s="33"/>
      <c r="E3545" s="33"/>
      <c r="F3545" s="33"/>
      <c r="G3545" s="33"/>
      <c r="H3545" s="33"/>
      <c r="I3545" s="31"/>
      <c r="J3545" s="31"/>
      <c r="K3545" s="33"/>
      <c r="L3545" s="33"/>
      <c r="M3545" s="31"/>
      <c r="N3545" s="31"/>
      <c r="O3545" s="16"/>
      <c r="P3545" s="16"/>
      <c r="Q3545" s="16"/>
      <c r="R3545" s="33"/>
      <c r="S3545" s="34"/>
      <c r="T3545" s="34"/>
      <c r="U3545" s="34"/>
      <c r="V3545" s="34"/>
      <c r="W3545" s="34"/>
      <c r="X3545" s="33"/>
      <c r="Y3545" s="35" t="str">
        <f>IF(Tabela2[[#This Row],[SIGLA]]="","",VLOOKUP(Tabela2[[#This Row],[SIGLA]],Tabela1[[#All],[Sigla Arte]:[Crédito]],2,0))</f>
        <v/>
      </c>
      <c r="Z3545" s="31"/>
      <c r="AA3545" s="31" t="str">
        <f>Tabela2[[#This Row],[ILUSTRADOR CRIAÇÃO]]</f>
        <v/>
      </c>
      <c r="AB3545" s="33"/>
      <c r="AC3545" s="16"/>
      <c r="AE3545" s="35" t="str">
        <f t="shared" si="56"/>
        <v>EF1 E002 Mat</v>
      </c>
    </row>
    <row r="3546" spans="1:31" x14ac:dyDescent="0.25">
      <c r="A3546" s="31"/>
      <c r="B3546" s="16"/>
      <c r="C3546" s="16"/>
      <c r="D3546" s="33"/>
      <c r="E3546" s="33"/>
      <c r="F3546" s="33"/>
      <c r="G3546" s="33"/>
      <c r="H3546" s="33"/>
      <c r="I3546" s="31"/>
      <c r="J3546" s="31"/>
      <c r="K3546" s="33"/>
      <c r="L3546" s="33"/>
      <c r="M3546" s="31"/>
      <c r="N3546" s="31"/>
      <c r="O3546" s="16"/>
      <c r="P3546" s="16"/>
      <c r="Q3546" s="16"/>
      <c r="R3546" s="33"/>
      <c r="S3546" s="34"/>
      <c r="T3546" s="34"/>
      <c r="U3546" s="34"/>
      <c r="V3546" s="34"/>
      <c r="W3546" s="34"/>
      <c r="X3546" s="33"/>
      <c r="Y3546" s="35" t="str">
        <f>IF(Tabela2[[#This Row],[SIGLA]]="","",VLOOKUP(Tabela2[[#This Row],[SIGLA]],Tabela1[[#All],[Sigla Arte]:[Crédito]],2,0))</f>
        <v/>
      </c>
      <c r="Z3546" s="31"/>
      <c r="AA3546" s="31" t="str">
        <f>Tabela2[[#This Row],[ILUSTRADOR CRIAÇÃO]]</f>
        <v/>
      </c>
      <c r="AB3546" s="33"/>
      <c r="AC3546" s="16"/>
      <c r="AE3546" s="35" t="str">
        <f t="shared" si="56"/>
        <v>EF1 E002 Mat</v>
      </c>
    </row>
    <row r="3547" spans="1:31" x14ac:dyDescent="0.25">
      <c r="A3547" s="31"/>
      <c r="B3547" s="16"/>
      <c r="C3547" s="16"/>
      <c r="D3547" s="33"/>
      <c r="E3547" s="33"/>
      <c r="F3547" s="33"/>
      <c r="G3547" s="33"/>
      <c r="H3547" s="33"/>
      <c r="I3547" s="31"/>
      <c r="J3547" s="31"/>
      <c r="K3547" s="33"/>
      <c r="L3547" s="33"/>
      <c r="M3547" s="31"/>
      <c r="N3547" s="31"/>
      <c r="O3547" s="16"/>
      <c r="P3547" s="16"/>
      <c r="Q3547" s="16"/>
      <c r="R3547" s="33"/>
      <c r="S3547" s="34"/>
      <c r="T3547" s="34"/>
      <c r="U3547" s="34"/>
      <c r="V3547" s="34"/>
      <c r="W3547" s="34"/>
      <c r="X3547" s="33"/>
      <c r="Y3547" s="35" t="str">
        <f>IF(Tabela2[[#This Row],[SIGLA]]="","",VLOOKUP(Tabela2[[#This Row],[SIGLA]],Tabela1[[#All],[Sigla Arte]:[Crédito]],2,0))</f>
        <v/>
      </c>
      <c r="Z3547" s="31"/>
      <c r="AA3547" s="31" t="str">
        <f>Tabela2[[#This Row],[ILUSTRADOR CRIAÇÃO]]</f>
        <v/>
      </c>
      <c r="AB3547" s="33"/>
      <c r="AC3547" s="16"/>
      <c r="AE3547" s="35" t="str">
        <f t="shared" si="56"/>
        <v>EF1 E002 Mat</v>
      </c>
    </row>
    <row r="3548" spans="1:31" x14ac:dyDescent="0.25">
      <c r="A3548" s="31"/>
      <c r="B3548" s="16"/>
      <c r="C3548" s="16"/>
      <c r="D3548" s="33"/>
      <c r="E3548" s="33"/>
      <c r="F3548" s="33"/>
      <c r="G3548" s="33"/>
      <c r="H3548" s="33"/>
      <c r="I3548" s="31"/>
      <c r="J3548" s="31"/>
      <c r="K3548" s="33"/>
      <c r="L3548" s="33"/>
      <c r="M3548" s="31"/>
      <c r="N3548" s="31"/>
      <c r="O3548" s="16"/>
      <c r="P3548" s="16"/>
      <c r="Q3548" s="16"/>
      <c r="R3548" s="33"/>
      <c r="S3548" s="34"/>
      <c r="T3548" s="34"/>
      <c r="U3548" s="34"/>
      <c r="V3548" s="34"/>
      <c r="W3548" s="34"/>
      <c r="X3548" s="33"/>
      <c r="Y3548" s="35" t="str">
        <f>IF(Tabela2[[#This Row],[SIGLA]]="","",VLOOKUP(Tabela2[[#This Row],[SIGLA]],Tabela1[[#All],[Sigla Arte]:[Crédito]],2,0))</f>
        <v/>
      </c>
      <c r="Z3548" s="31"/>
      <c r="AA3548" s="31" t="str">
        <f>Tabela2[[#This Row],[ILUSTRADOR CRIAÇÃO]]</f>
        <v/>
      </c>
      <c r="AB3548" s="33"/>
      <c r="AC3548" s="16"/>
      <c r="AE3548" s="35" t="str">
        <f t="shared" si="56"/>
        <v>EF1 E002 Mat</v>
      </c>
    </row>
    <row r="3549" spans="1:31" x14ac:dyDescent="0.25">
      <c r="A3549" s="31"/>
      <c r="B3549" s="16"/>
      <c r="C3549" s="16"/>
      <c r="D3549" s="33"/>
      <c r="E3549" s="33"/>
      <c r="F3549" s="33"/>
      <c r="G3549" s="33"/>
      <c r="H3549" s="33"/>
      <c r="I3549" s="31"/>
      <c r="J3549" s="31"/>
      <c r="K3549" s="33"/>
      <c r="L3549" s="33"/>
      <c r="M3549" s="31"/>
      <c r="N3549" s="31"/>
      <c r="O3549" s="16"/>
      <c r="P3549" s="16"/>
      <c r="Q3549" s="16"/>
      <c r="R3549" s="33"/>
      <c r="S3549" s="34"/>
      <c r="T3549" s="34"/>
      <c r="U3549" s="34"/>
      <c r="V3549" s="34"/>
      <c r="W3549" s="34"/>
      <c r="X3549" s="33"/>
      <c r="Y3549" s="35" t="str">
        <f>IF(Tabela2[[#This Row],[SIGLA]]="","",VLOOKUP(Tabela2[[#This Row],[SIGLA]],Tabela1[[#All],[Sigla Arte]:[Crédito]],2,0))</f>
        <v/>
      </c>
      <c r="Z3549" s="31"/>
      <c r="AA3549" s="31" t="str">
        <f>Tabela2[[#This Row],[ILUSTRADOR CRIAÇÃO]]</f>
        <v/>
      </c>
      <c r="AB3549" s="33"/>
      <c r="AC3549" s="16"/>
      <c r="AE3549" s="35" t="str">
        <f t="shared" si="56"/>
        <v>EF1 E002 Mat</v>
      </c>
    </row>
    <row r="3550" spans="1:31" x14ac:dyDescent="0.25">
      <c r="A3550" s="31"/>
      <c r="B3550" s="16"/>
      <c r="C3550" s="16"/>
      <c r="D3550" s="33"/>
      <c r="E3550" s="33"/>
      <c r="F3550" s="33"/>
      <c r="G3550" s="33"/>
      <c r="H3550" s="33"/>
      <c r="I3550" s="31"/>
      <c r="J3550" s="31"/>
      <c r="K3550" s="33"/>
      <c r="L3550" s="33"/>
      <c r="M3550" s="31"/>
      <c r="N3550" s="31"/>
      <c r="O3550" s="16"/>
      <c r="P3550" s="16"/>
      <c r="Q3550" s="16"/>
      <c r="R3550" s="33"/>
      <c r="S3550" s="34"/>
      <c r="T3550" s="34"/>
      <c r="U3550" s="34"/>
      <c r="V3550" s="34"/>
      <c r="W3550" s="34"/>
      <c r="X3550" s="33"/>
      <c r="Y3550" s="35" t="str">
        <f>IF(Tabela2[[#This Row],[SIGLA]]="","",VLOOKUP(Tabela2[[#This Row],[SIGLA]],Tabela1[[#All],[Sigla Arte]:[Crédito]],2,0))</f>
        <v/>
      </c>
      <c r="Z3550" s="31"/>
      <c r="AA3550" s="31" t="str">
        <f>Tabela2[[#This Row],[ILUSTRADOR CRIAÇÃO]]</f>
        <v/>
      </c>
      <c r="AB3550" s="33"/>
      <c r="AC3550" s="16"/>
      <c r="AE3550" s="35" t="str">
        <f t="shared" si="56"/>
        <v>EF1 E002 Mat</v>
      </c>
    </row>
    <row r="3551" spans="1:31" x14ac:dyDescent="0.25">
      <c r="A3551" s="31"/>
      <c r="B3551" s="16"/>
      <c r="C3551" s="16"/>
      <c r="D3551" s="33"/>
      <c r="E3551" s="33"/>
      <c r="F3551" s="33"/>
      <c r="G3551" s="33"/>
      <c r="H3551" s="33"/>
      <c r="I3551" s="31"/>
      <c r="J3551" s="31"/>
      <c r="K3551" s="33"/>
      <c r="L3551" s="33"/>
      <c r="M3551" s="31"/>
      <c r="N3551" s="31"/>
      <c r="O3551" s="16"/>
      <c r="P3551" s="16"/>
      <c r="Q3551" s="16"/>
      <c r="R3551" s="33"/>
      <c r="S3551" s="34"/>
      <c r="T3551" s="34"/>
      <c r="U3551" s="34"/>
      <c r="V3551" s="34"/>
      <c r="W3551" s="34"/>
      <c r="X3551" s="33"/>
      <c r="Y3551" s="35" t="str">
        <f>IF(Tabela2[[#This Row],[SIGLA]]="","",VLOOKUP(Tabela2[[#This Row],[SIGLA]],Tabela1[[#All],[Sigla Arte]:[Crédito]],2,0))</f>
        <v/>
      </c>
      <c r="Z3551" s="31"/>
      <c r="AA3551" s="31" t="str">
        <f>Tabela2[[#This Row],[ILUSTRADOR CRIAÇÃO]]</f>
        <v/>
      </c>
      <c r="AB3551" s="33"/>
      <c r="AC3551" s="16"/>
      <c r="AE3551" s="35" t="str">
        <f t="shared" si="56"/>
        <v>EF1 E002 Mat</v>
      </c>
    </row>
    <row r="3552" spans="1:31" x14ac:dyDescent="0.25">
      <c r="A3552" s="31"/>
      <c r="B3552" s="16"/>
      <c r="C3552" s="16"/>
      <c r="D3552" s="33"/>
      <c r="E3552" s="33"/>
      <c r="F3552" s="33"/>
      <c r="G3552" s="33"/>
      <c r="H3552" s="33"/>
      <c r="I3552" s="31"/>
      <c r="J3552" s="31"/>
      <c r="K3552" s="33"/>
      <c r="L3552" s="33"/>
      <c r="M3552" s="31"/>
      <c r="N3552" s="31"/>
      <c r="O3552" s="16"/>
      <c r="P3552" s="16"/>
      <c r="Q3552" s="16"/>
      <c r="R3552" s="33"/>
      <c r="S3552" s="34"/>
      <c r="T3552" s="34"/>
      <c r="U3552" s="34"/>
      <c r="V3552" s="34"/>
      <c r="W3552" s="34"/>
      <c r="X3552" s="33"/>
      <c r="Y3552" s="35" t="str">
        <f>IF(Tabela2[[#This Row],[SIGLA]]="","",VLOOKUP(Tabela2[[#This Row],[SIGLA]],Tabela1[[#All],[Sigla Arte]:[Crédito]],2,0))</f>
        <v/>
      </c>
      <c r="Z3552" s="31"/>
      <c r="AA3552" s="31" t="str">
        <f>Tabela2[[#This Row],[ILUSTRADOR CRIAÇÃO]]</f>
        <v/>
      </c>
      <c r="AB3552" s="33"/>
      <c r="AC3552" s="16"/>
      <c r="AE3552" s="35" t="str">
        <f t="shared" si="56"/>
        <v>EF1 E002 Mat</v>
      </c>
    </row>
    <row r="3553" spans="1:31" x14ac:dyDescent="0.25">
      <c r="A3553" s="31"/>
      <c r="B3553" s="16"/>
      <c r="C3553" s="16"/>
      <c r="D3553" s="33"/>
      <c r="E3553" s="33"/>
      <c r="F3553" s="33"/>
      <c r="G3553" s="33"/>
      <c r="H3553" s="33"/>
      <c r="I3553" s="31"/>
      <c r="J3553" s="31"/>
      <c r="K3553" s="33"/>
      <c r="L3553" s="33"/>
      <c r="M3553" s="31"/>
      <c r="N3553" s="31"/>
      <c r="O3553" s="16"/>
      <c r="P3553" s="16"/>
      <c r="Q3553" s="16"/>
      <c r="R3553" s="33"/>
      <c r="S3553" s="34"/>
      <c r="T3553" s="34"/>
      <c r="U3553" s="34"/>
      <c r="V3553" s="34"/>
      <c r="W3553" s="34"/>
      <c r="X3553" s="33"/>
      <c r="Y3553" s="35" t="str">
        <f>IF(Tabela2[[#This Row],[SIGLA]]="","",VLOOKUP(Tabela2[[#This Row],[SIGLA]],Tabela1[[#All],[Sigla Arte]:[Crédito]],2,0))</f>
        <v/>
      </c>
      <c r="Z3553" s="31"/>
      <c r="AA3553" s="31" t="str">
        <f>Tabela2[[#This Row],[ILUSTRADOR CRIAÇÃO]]</f>
        <v/>
      </c>
      <c r="AB3553" s="33"/>
      <c r="AC3553" s="16"/>
      <c r="AE3553" s="35" t="str">
        <f t="shared" si="56"/>
        <v>EF1 E002 Mat</v>
      </c>
    </row>
    <row r="3554" spans="1:31" x14ac:dyDescent="0.25">
      <c r="A3554" s="31"/>
      <c r="B3554" s="16"/>
      <c r="C3554" s="16"/>
      <c r="D3554" s="33"/>
      <c r="E3554" s="33"/>
      <c r="F3554" s="33"/>
      <c r="G3554" s="33"/>
      <c r="H3554" s="33"/>
      <c r="I3554" s="31"/>
      <c r="J3554" s="31"/>
      <c r="K3554" s="33"/>
      <c r="L3554" s="33"/>
      <c r="M3554" s="31"/>
      <c r="N3554" s="31"/>
      <c r="O3554" s="16"/>
      <c r="P3554" s="16"/>
      <c r="Q3554" s="16"/>
      <c r="R3554" s="33"/>
      <c r="S3554" s="34"/>
      <c r="T3554" s="34"/>
      <c r="U3554" s="34"/>
      <c r="V3554" s="34"/>
      <c r="W3554" s="34"/>
      <c r="X3554" s="33"/>
      <c r="Y3554" s="35" t="str">
        <f>IF(Tabela2[[#This Row],[SIGLA]]="","",VLOOKUP(Tabela2[[#This Row],[SIGLA]],Tabela1[[#All],[Sigla Arte]:[Crédito]],2,0))</f>
        <v/>
      </c>
      <c r="Z3554" s="31"/>
      <c r="AA3554" s="31" t="str">
        <f>Tabela2[[#This Row],[ILUSTRADOR CRIAÇÃO]]</f>
        <v/>
      </c>
      <c r="AB3554" s="33"/>
      <c r="AC3554" s="16"/>
      <c r="AE3554" s="35" t="str">
        <f t="shared" si="56"/>
        <v>EF1 E002 Mat</v>
      </c>
    </row>
    <row r="3555" spans="1:31" x14ac:dyDescent="0.25">
      <c r="A3555" s="31"/>
      <c r="B3555" s="16"/>
      <c r="C3555" s="16"/>
      <c r="D3555" s="33"/>
      <c r="E3555" s="33"/>
      <c r="F3555" s="33"/>
      <c r="G3555" s="33"/>
      <c r="H3555" s="33"/>
      <c r="I3555" s="31"/>
      <c r="J3555" s="31"/>
      <c r="K3555" s="33"/>
      <c r="L3555" s="33"/>
      <c r="M3555" s="31"/>
      <c r="N3555" s="31"/>
      <c r="O3555" s="16"/>
      <c r="P3555" s="16"/>
      <c r="Q3555" s="16"/>
      <c r="R3555" s="33"/>
      <c r="S3555" s="34"/>
      <c r="T3555" s="34"/>
      <c r="U3555" s="34"/>
      <c r="V3555" s="34"/>
      <c r="W3555" s="34"/>
      <c r="X3555" s="33"/>
      <c r="Y3555" s="35" t="str">
        <f>IF(Tabela2[[#This Row],[SIGLA]]="","",VLOOKUP(Tabela2[[#This Row],[SIGLA]],Tabela1[[#All],[Sigla Arte]:[Crédito]],2,0))</f>
        <v/>
      </c>
      <c r="Z3555" s="31"/>
      <c r="AA3555" s="31" t="str">
        <f>Tabela2[[#This Row],[ILUSTRADOR CRIAÇÃO]]</f>
        <v/>
      </c>
      <c r="AB3555" s="33"/>
      <c r="AC3555" s="16"/>
      <c r="AE3555" s="35" t="str">
        <f t="shared" si="56"/>
        <v>EF1 E002 Mat</v>
      </c>
    </row>
    <row r="3556" spans="1:31" x14ac:dyDescent="0.25">
      <c r="A3556" s="31"/>
      <c r="B3556" s="16"/>
      <c r="C3556" s="16"/>
      <c r="D3556" s="33"/>
      <c r="E3556" s="33"/>
      <c r="F3556" s="33"/>
      <c r="G3556" s="33"/>
      <c r="H3556" s="33"/>
      <c r="I3556" s="31"/>
      <c r="J3556" s="31"/>
      <c r="K3556" s="33"/>
      <c r="L3556" s="33"/>
      <c r="M3556" s="31"/>
      <c r="N3556" s="31"/>
      <c r="O3556" s="16"/>
      <c r="P3556" s="16"/>
      <c r="Q3556" s="16"/>
      <c r="R3556" s="33"/>
      <c r="S3556" s="34"/>
      <c r="T3556" s="34"/>
      <c r="U3556" s="34"/>
      <c r="V3556" s="34"/>
      <c r="W3556" s="34"/>
      <c r="X3556" s="33"/>
      <c r="Y3556" s="35" t="str">
        <f>IF(Tabela2[[#This Row],[SIGLA]]="","",VLOOKUP(Tabela2[[#This Row],[SIGLA]],Tabela1[[#All],[Sigla Arte]:[Crédito]],2,0))</f>
        <v/>
      </c>
      <c r="Z3556" s="31"/>
      <c r="AA3556" s="31" t="str">
        <f>Tabela2[[#This Row],[ILUSTRADOR CRIAÇÃO]]</f>
        <v/>
      </c>
      <c r="AB3556" s="33"/>
      <c r="AC3556" s="16"/>
      <c r="AE3556" s="35" t="str">
        <f t="shared" si="56"/>
        <v>EF1 E002 Mat</v>
      </c>
    </row>
    <row r="3557" spans="1:31" x14ac:dyDescent="0.25">
      <c r="A3557" s="31"/>
      <c r="B3557" s="16"/>
      <c r="C3557" s="16"/>
      <c r="D3557" s="33"/>
      <c r="E3557" s="33"/>
      <c r="F3557" s="33"/>
      <c r="G3557" s="33"/>
      <c r="H3557" s="33"/>
      <c r="I3557" s="31"/>
      <c r="J3557" s="31"/>
      <c r="K3557" s="33"/>
      <c r="L3557" s="33"/>
      <c r="M3557" s="31"/>
      <c r="N3557" s="31"/>
      <c r="O3557" s="16"/>
      <c r="P3557" s="16"/>
      <c r="Q3557" s="16"/>
      <c r="R3557" s="33"/>
      <c r="S3557" s="34"/>
      <c r="T3557" s="34"/>
      <c r="U3557" s="34"/>
      <c r="V3557" s="34"/>
      <c r="W3557" s="34"/>
      <c r="X3557" s="33"/>
      <c r="Y3557" s="35" t="str">
        <f>IF(Tabela2[[#This Row],[SIGLA]]="","",VLOOKUP(Tabela2[[#This Row],[SIGLA]],Tabela1[[#All],[Sigla Arte]:[Crédito]],2,0))</f>
        <v/>
      </c>
      <c r="Z3557" s="31"/>
      <c r="AA3557" s="31" t="str">
        <f>Tabela2[[#This Row],[ILUSTRADOR CRIAÇÃO]]</f>
        <v/>
      </c>
      <c r="AB3557" s="33"/>
      <c r="AC3557" s="16"/>
      <c r="AE3557" s="35" t="str">
        <f t="shared" si="56"/>
        <v>EF1 E002 Mat</v>
      </c>
    </row>
    <row r="3558" spans="1:31" x14ac:dyDescent="0.25">
      <c r="A3558" s="31"/>
      <c r="B3558" s="16"/>
      <c r="C3558" s="16"/>
      <c r="D3558" s="33"/>
      <c r="E3558" s="33"/>
      <c r="F3558" s="33"/>
      <c r="G3558" s="33"/>
      <c r="H3558" s="33"/>
      <c r="I3558" s="31"/>
      <c r="J3558" s="31"/>
      <c r="K3558" s="33"/>
      <c r="L3558" s="33"/>
      <c r="M3558" s="31"/>
      <c r="N3558" s="31"/>
      <c r="O3558" s="16"/>
      <c r="P3558" s="16"/>
      <c r="Q3558" s="16"/>
      <c r="R3558" s="33"/>
      <c r="S3558" s="34"/>
      <c r="T3558" s="34"/>
      <c r="U3558" s="34"/>
      <c r="V3558" s="34"/>
      <c r="W3558" s="34"/>
      <c r="X3558" s="33"/>
      <c r="Y3558" s="35" t="str">
        <f>IF(Tabela2[[#This Row],[SIGLA]]="","",VLOOKUP(Tabela2[[#This Row],[SIGLA]],Tabela1[[#All],[Sigla Arte]:[Crédito]],2,0))</f>
        <v/>
      </c>
      <c r="Z3558" s="31"/>
      <c r="AA3558" s="31" t="str">
        <f>Tabela2[[#This Row],[ILUSTRADOR CRIAÇÃO]]</f>
        <v/>
      </c>
      <c r="AB3558" s="33"/>
      <c r="AC3558" s="16"/>
      <c r="AE3558" s="35" t="str">
        <f t="shared" si="56"/>
        <v>EF1 E002 Mat</v>
      </c>
    </row>
    <row r="3559" spans="1:31" x14ac:dyDescent="0.25">
      <c r="A3559" s="31"/>
      <c r="B3559" s="16"/>
      <c r="C3559" s="16"/>
      <c r="D3559" s="33"/>
      <c r="E3559" s="33"/>
      <c r="F3559" s="33"/>
      <c r="G3559" s="33"/>
      <c r="H3559" s="33"/>
      <c r="I3559" s="31"/>
      <c r="J3559" s="31"/>
      <c r="K3559" s="33"/>
      <c r="L3559" s="33"/>
      <c r="M3559" s="31"/>
      <c r="N3559" s="31"/>
      <c r="O3559" s="16"/>
      <c r="P3559" s="16"/>
      <c r="Q3559" s="16"/>
      <c r="R3559" s="33"/>
      <c r="S3559" s="34"/>
      <c r="T3559" s="34"/>
      <c r="U3559" s="34"/>
      <c r="V3559" s="34"/>
      <c r="W3559" s="34"/>
      <c r="X3559" s="33"/>
      <c r="Y3559" s="35" t="str">
        <f>IF(Tabela2[[#This Row],[SIGLA]]="","",VLOOKUP(Tabela2[[#This Row],[SIGLA]],Tabela1[[#All],[Sigla Arte]:[Crédito]],2,0))</f>
        <v/>
      </c>
      <c r="Z3559" s="31"/>
      <c r="AA3559" s="31" t="str">
        <f>Tabela2[[#This Row],[ILUSTRADOR CRIAÇÃO]]</f>
        <v/>
      </c>
      <c r="AB3559" s="33"/>
      <c r="AC3559" s="16"/>
      <c r="AE3559" s="35" t="str">
        <f t="shared" si="56"/>
        <v>EF1 E002 Mat</v>
      </c>
    </row>
    <row r="3560" spans="1:31" x14ac:dyDescent="0.25">
      <c r="A3560" s="31"/>
      <c r="B3560" s="16"/>
      <c r="C3560" s="16"/>
      <c r="D3560" s="33"/>
      <c r="E3560" s="33"/>
      <c r="F3560" s="33"/>
      <c r="G3560" s="33"/>
      <c r="H3560" s="33"/>
      <c r="I3560" s="31"/>
      <c r="J3560" s="31"/>
      <c r="K3560" s="33"/>
      <c r="L3560" s="33"/>
      <c r="M3560" s="31"/>
      <c r="N3560" s="31"/>
      <c r="O3560" s="16"/>
      <c r="P3560" s="16"/>
      <c r="Q3560" s="16"/>
      <c r="R3560" s="33"/>
      <c r="S3560" s="34"/>
      <c r="T3560" s="34"/>
      <c r="U3560" s="34"/>
      <c r="V3560" s="34"/>
      <c r="W3560" s="34"/>
      <c r="X3560" s="33"/>
      <c r="Y3560" s="35" t="str">
        <f>IF(Tabela2[[#This Row],[SIGLA]]="","",VLOOKUP(Tabela2[[#This Row],[SIGLA]],Tabela1[[#All],[Sigla Arte]:[Crédito]],2,0))</f>
        <v/>
      </c>
      <c r="Z3560" s="31"/>
      <c r="AA3560" s="31" t="str">
        <f>Tabela2[[#This Row],[ILUSTRADOR CRIAÇÃO]]</f>
        <v/>
      </c>
      <c r="AB3560" s="33"/>
      <c r="AC3560" s="16"/>
      <c r="AE3560" s="35" t="str">
        <f t="shared" si="56"/>
        <v>EF1 E002 Mat</v>
      </c>
    </row>
    <row r="3561" spans="1:31" x14ac:dyDescent="0.25">
      <c r="A3561" s="31"/>
      <c r="B3561" s="16"/>
      <c r="C3561" s="16"/>
      <c r="D3561" s="33"/>
      <c r="E3561" s="33"/>
      <c r="F3561" s="33"/>
      <c r="G3561" s="33"/>
      <c r="H3561" s="33"/>
      <c r="I3561" s="31"/>
      <c r="J3561" s="31"/>
      <c r="K3561" s="33"/>
      <c r="L3561" s="33"/>
      <c r="M3561" s="31"/>
      <c r="N3561" s="31"/>
      <c r="O3561" s="16"/>
      <c r="P3561" s="16"/>
      <c r="Q3561" s="16"/>
      <c r="R3561" s="33"/>
      <c r="S3561" s="34"/>
      <c r="T3561" s="34"/>
      <c r="U3561" s="34"/>
      <c r="V3561" s="34"/>
      <c r="W3561" s="34"/>
      <c r="X3561" s="33"/>
      <c r="Y3561" s="35" t="str">
        <f>IF(Tabela2[[#This Row],[SIGLA]]="","",VLOOKUP(Tabela2[[#This Row],[SIGLA]],Tabela1[[#All],[Sigla Arte]:[Crédito]],2,0))</f>
        <v/>
      </c>
      <c r="Z3561" s="31"/>
      <c r="AA3561" s="31" t="str">
        <f>Tabela2[[#This Row],[ILUSTRADOR CRIAÇÃO]]</f>
        <v/>
      </c>
      <c r="AB3561" s="33"/>
      <c r="AC3561" s="16"/>
      <c r="AE3561" s="35" t="str">
        <f t="shared" si="56"/>
        <v>EF1 E002 Mat</v>
      </c>
    </row>
    <row r="3562" spans="1:31" x14ac:dyDescent="0.25">
      <c r="A3562" s="31"/>
      <c r="B3562" s="16"/>
      <c r="C3562" s="16"/>
      <c r="D3562" s="33"/>
      <c r="E3562" s="33"/>
      <c r="F3562" s="33"/>
      <c r="G3562" s="33"/>
      <c r="H3562" s="33"/>
      <c r="I3562" s="31"/>
      <c r="J3562" s="31"/>
      <c r="K3562" s="33"/>
      <c r="L3562" s="33"/>
      <c r="M3562" s="31"/>
      <c r="N3562" s="31"/>
      <c r="O3562" s="16"/>
      <c r="P3562" s="16"/>
      <c r="Q3562" s="16"/>
      <c r="R3562" s="33"/>
      <c r="S3562" s="34"/>
      <c r="T3562" s="34"/>
      <c r="U3562" s="34"/>
      <c r="V3562" s="34"/>
      <c r="W3562" s="34"/>
      <c r="X3562" s="33"/>
      <c r="Y3562" s="35" t="str">
        <f>IF(Tabela2[[#This Row],[SIGLA]]="","",VLOOKUP(Tabela2[[#This Row],[SIGLA]],Tabela1[[#All],[Sigla Arte]:[Crédito]],2,0))</f>
        <v/>
      </c>
      <c r="Z3562" s="31"/>
      <c r="AA3562" s="31" t="str">
        <f>Tabela2[[#This Row],[ILUSTRADOR CRIAÇÃO]]</f>
        <v/>
      </c>
      <c r="AB3562" s="33"/>
      <c r="AC3562" s="16"/>
      <c r="AE3562" s="35" t="str">
        <f t="shared" si="56"/>
        <v>EF1 E002 Mat</v>
      </c>
    </row>
    <row r="3563" spans="1:31" x14ac:dyDescent="0.25">
      <c r="A3563" s="31"/>
      <c r="B3563" s="16"/>
      <c r="C3563" s="16"/>
      <c r="D3563" s="33"/>
      <c r="E3563" s="33"/>
      <c r="F3563" s="33"/>
      <c r="G3563" s="33"/>
      <c r="H3563" s="33"/>
      <c r="I3563" s="31"/>
      <c r="J3563" s="31"/>
      <c r="K3563" s="33"/>
      <c r="L3563" s="33"/>
      <c r="M3563" s="31"/>
      <c r="N3563" s="31"/>
      <c r="O3563" s="16"/>
      <c r="P3563" s="16"/>
      <c r="Q3563" s="16"/>
      <c r="R3563" s="33"/>
      <c r="S3563" s="34"/>
      <c r="T3563" s="34"/>
      <c r="U3563" s="34"/>
      <c r="V3563" s="34"/>
      <c r="W3563" s="34"/>
      <c r="X3563" s="33"/>
      <c r="Y3563" s="35" t="str">
        <f>IF(Tabela2[[#This Row],[SIGLA]]="","",VLOOKUP(Tabela2[[#This Row],[SIGLA]],Tabela1[[#All],[Sigla Arte]:[Crédito]],2,0))</f>
        <v/>
      </c>
      <c r="Z3563" s="31"/>
      <c r="AA3563" s="31" t="str">
        <f>Tabela2[[#This Row],[ILUSTRADOR CRIAÇÃO]]</f>
        <v/>
      </c>
      <c r="AB3563" s="33"/>
      <c r="AC3563" s="16"/>
      <c r="AE3563" s="35" t="str">
        <f t="shared" si="56"/>
        <v>EF1 E002 Mat</v>
      </c>
    </row>
    <row r="3564" spans="1:31" x14ac:dyDescent="0.25">
      <c r="A3564" s="31"/>
      <c r="B3564" s="16"/>
      <c r="C3564" s="16"/>
      <c r="D3564" s="33"/>
      <c r="E3564" s="33"/>
      <c r="F3564" s="33"/>
      <c r="G3564" s="33"/>
      <c r="H3564" s="33"/>
      <c r="I3564" s="31"/>
      <c r="J3564" s="31"/>
      <c r="K3564" s="33"/>
      <c r="L3564" s="33"/>
      <c r="M3564" s="31"/>
      <c r="N3564" s="31"/>
      <c r="O3564" s="16"/>
      <c r="P3564" s="16"/>
      <c r="Q3564" s="16"/>
      <c r="R3564" s="33"/>
      <c r="S3564" s="34"/>
      <c r="T3564" s="34"/>
      <c r="U3564" s="34"/>
      <c r="V3564" s="34"/>
      <c r="W3564" s="34"/>
      <c r="X3564" s="33"/>
      <c r="Y3564" s="35" t="str">
        <f>IF(Tabela2[[#This Row],[SIGLA]]="","",VLOOKUP(Tabela2[[#This Row],[SIGLA]],Tabela1[[#All],[Sigla Arte]:[Crédito]],2,0))</f>
        <v/>
      </c>
      <c r="Z3564" s="31"/>
      <c r="AA3564" s="31" t="str">
        <f>Tabela2[[#This Row],[ILUSTRADOR CRIAÇÃO]]</f>
        <v/>
      </c>
      <c r="AB3564" s="33"/>
      <c r="AC3564" s="16"/>
      <c r="AE3564" s="35" t="str">
        <f t="shared" si="56"/>
        <v>EF1 E002 Mat</v>
      </c>
    </row>
    <row r="3565" spans="1:31" x14ac:dyDescent="0.25">
      <c r="A3565" s="31"/>
      <c r="B3565" s="16"/>
      <c r="C3565" s="16"/>
      <c r="D3565" s="33"/>
      <c r="E3565" s="33"/>
      <c r="F3565" s="33"/>
      <c r="G3565" s="33"/>
      <c r="H3565" s="33"/>
      <c r="I3565" s="31"/>
      <c r="J3565" s="31"/>
      <c r="K3565" s="33"/>
      <c r="L3565" s="33"/>
      <c r="M3565" s="31"/>
      <c r="N3565" s="31"/>
      <c r="O3565" s="16"/>
      <c r="P3565" s="16"/>
      <c r="Q3565" s="16"/>
      <c r="R3565" s="33"/>
      <c r="S3565" s="34"/>
      <c r="T3565" s="34"/>
      <c r="U3565" s="34"/>
      <c r="V3565" s="34"/>
      <c r="W3565" s="34"/>
      <c r="X3565" s="33"/>
      <c r="Y3565" s="35" t="str">
        <f>IF(Tabela2[[#This Row],[SIGLA]]="","",VLOOKUP(Tabela2[[#This Row],[SIGLA]],Tabela1[[#All],[Sigla Arte]:[Crédito]],2,0))</f>
        <v/>
      </c>
      <c r="Z3565" s="31"/>
      <c r="AA3565" s="31" t="str">
        <f>Tabela2[[#This Row],[ILUSTRADOR CRIAÇÃO]]</f>
        <v/>
      </c>
      <c r="AB3565" s="33"/>
      <c r="AC3565" s="16"/>
      <c r="AE3565" s="35" t="str">
        <f t="shared" si="56"/>
        <v>EF1 E002 Mat</v>
      </c>
    </row>
    <row r="3566" spans="1:31" x14ac:dyDescent="0.25">
      <c r="A3566" s="31"/>
      <c r="B3566" s="16"/>
      <c r="C3566" s="16"/>
      <c r="D3566" s="33"/>
      <c r="E3566" s="33"/>
      <c r="F3566" s="33"/>
      <c r="G3566" s="33"/>
      <c r="H3566" s="33"/>
      <c r="I3566" s="31"/>
      <c r="J3566" s="31"/>
      <c r="K3566" s="33"/>
      <c r="L3566" s="33"/>
      <c r="M3566" s="31"/>
      <c r="N3566" s="31"/>
      <c r="O3566" s="16"/>
      <c r="P3566" s="16"/>
      <c r="Q3566" s="16"/>
      <c r="R3566" s="33"/>
      <c r="S3566" s="34"/>
      <c r="T3566" s="34"/>
      <c r="U3566" s="34"/>
      <c r="V3566" s="34"/>
      <c r="W3566" s="34"/>
      <c r="X3566" s="33"/>
      <c r="Y3566" s="35" t="str">
        <f>IF(Tabela2[[#This Row],[SIGLA]]="","",VLOOKUP(Tabela2[[#This Row],[SIGLA]],Tabela1[[#All],[Sigla Arte]:[Crédito]],2,0))</f>
        <v/>
      </c>
      <c r="Z3566" s="31"/>
      <c r="AA3566" s="31" t="str">
        <f>Tabela2[[#This Row],[ILUSTRADOR CRIAÇÃO]]</f>
        <v/>
      </c>
      <c r="AB3566" s="33"/>
      <c r="AC3566" s="16"/>
      <c r="AE3566" s="35" t="str">
        <f t="shared" si="56"/>
        <v>EF1 E002 Mat</v>
      </c>
    </row>
    <row r="3567" spans="1:31" x14ac:dyDescent="0.25">
      <c r="A3567" s="31"/>
      <c r="B3567" s="16"/>
      <c r="C3567" s="16"/>
      <c r="D3567" s="33"/>
      <c r="E3567" s="33"/>
      <c r="F3567" s="33"/>
      <c r="G3567" s="33"/>
      <c r="H3567" s="33"/>
      <c r="I3567" s="31"/>
      <c r="J3567" s="31"/>
      <c r="K3567" s="33"/>
      <c r="L3567" s="33"/>
      <c r="M3567" s="31"/>
      <c r="N3567" s="31"/>
      <c r="O3567" s="16"/>
      <c r="P3567" s="16"/>
      <c r="Q3567" s="16"/>
      <c r="R3567" s="33"/>
      <c r="S3567" s="34"/>
      <c r="T3567" s="34"/>
      <c r="U3567" s="34"/>
      <c r="V3567" s="34"/>
      <c r="W3567" s="34"/>
      <c r="X3567" s="33"/>
      <c r="Y3567" s="35" t="str">
        <f>IF(Tabela2[[#This Row],[SIGLA]]="","",VLOOKUP(Tabela2[[#This Row],[SIGLA]],Tabela1[[#All],[Sigla Arte]:[Crédito]],2,0))</f>
        <v/>
      </c>
      <c r="Z3567" s="31"/>
      <c r="AA3567" s="31" t="str">
        <f>Tabela2[[#This Row],[ILUSTRADOR CRIAÇÃO]]</f>
        <v/>
      </c>
      <c r="AB3567" s="33"/>
      <c r="AC3567" s="16"/>
      <c r="AE3567" s="35" t="str">
        <f t="shared" si="56"/>
        <v>EF1 E002 Mat</v>
      </c>
    </row>
    <row r="3568" spans="1:31" x14ac:dyDescent="0.25">
      <c r="A3568" s="31"/>
      <c r="B3568" s="16"/>
      <c r="C3568" s="16"/>
      <c r="D3568" s="33"/>
      <c r="E3568" s="33"/>
      <c r="F3568" s="33"/>
      <c r="G3568" s="33"/>
      <c r="H3568" s="33"/>
      <c r="I3568" s="31"/>
      <c r="J3568" s="31"/>
      <c r="K3568" s="33"/>
      <c r="L3568" s="33"/>
      <c r="M3568" s="31"/>
      <c r="N3568" s="31"/>
      <c r="O3568" s="16"/>
      <c r="P3568" s="16"/>
      <c r="Q3568" s="16"/>
      <c r="R3568" s="33"/>
      <c r="S3568" s="34"/>
      <c r="T3568" s="34"/>
      <c r="U3568" s="34"/>
      <c r="V3568" s="34"/>
      <c r="W3568" s="34"/>
      <c r="X3568" s="33"/>
      <c r="Y3568" s="35" t="str">
        <f>IF(Tabela2[[#This Row],[SIGLA]]="","",VLOOKUP(Tabela2[[#This Row],[SIGLA]],Tabela1[[#All],[Sigla Arte]:[Crédito]],2,0))</f>
        <v/>
      </c>
      <c r="Z3568" s="31"/>
      <c r="AA3568" s="31" t="str">
        <f>Tabela2[[#This Row],[ILUSTRADOR CRIAÇÃO]]</f>
        <v/>
      </c>
      <c r="AB3568" s="33"/>
      <c r="AC3568" s="16"/>
      <c r="AE3568" s="35" t="str">
        <f t="shared" si="56"/>
        <v>EF1 E002 Mat</v>
      </c>
    </row>
    <row r="3569" spans="1:31" x14ac:dyDescent="0.25">
      <c r="A3569" s="31"/>
      <c r="B3569" s="16"/>
      <c r="C3569" s="16"/>
      <c r="D3569" s="33"/>
      <c r="E3569" s="33"/>
      <c r="F3569" s="33"/>
      <c r="G3569" s="33"/>
      <c r="H3569" s="33"/>
      <c r="I3569" s="31"/>
      <c r="J3569" s="31"/>
      <c r="K3569" s="33"/>
      <c r="L3569" s="33"/>
      <c r="M3569" s="31"/>
      <c r="N3569" s="31"/>
      <c r="O3569" s="16"/>
      <c r="P3569" s="16"/>
      <c r="Q3569" s="16"/>
      <c r="R3569" s="33"/>
      <c r="S3569" s="34"/>
      <c r="T3569" s="34"/>
      <c r="U3569" s="34"/>
      <c r="V3569" s="34"/>
      <c r="W3569" s="34"/>
      <c r="X3569" s="33"/>
      <c r="Y3569" s="35" t="str">
        <f>IF(Tabela2[[#This Row],[SIGLA]]="","",VLOOKUP(Tabela2[[#This Row],[SIGLA]],Tabela1[[#All],[Sigla Arte]:[Crédito]],2,0))</f>
        <v/>
      </c>
      <c r="Z3569" s="31"/>
      <c r="AA3569" s="31" t="str">
        <f>Tabela2[[#This Row],[ILUSTRADOR CRIAÇÃO]]</f>
        <v/>
      </c>
      <c r="AB3569" s="33"/>
      <c r="AC3569" s="16"/>
      <c r="AE3569" s="35" t="str">
        <f t="shared" si="56"/>
        <v>EF1 E002 Mat</v>
      </c>
    </row>
    <row r="3570" spans="1:31" x14ac:dyDescent="0.25">
      <c r="A3570" s="31"/>
      <c r="B3570" s="16"/>
      <c r="C3570" s="16"/>
      <c r="D3570" s="33"/>
      <c r="E3570" s="33"/>
      <c r="F3570" s="33"/>
      <c r="G3570" s="33"/>
      <c r="H3570" s="33"/>
      <c r="I3570" s="31"/>
      <c r="J3570" s="31"/>
      <c r="K3570" s="33"/>
      <c r="L3570" s="33"/>
      <c r="M3570" s="31"/>
      <c r="N3570" s="31"/>
      <c r="O3570" s="16"/>
      <c r="P3570" s="16"/>
      <c r="Q3570" s="16"/>
      <c r="R3570" s="33"/>
      <c r="S3570" s="34"/>
      <c r="T3570" s="34"/>
      <c r="U3570" s="34"/>
      <c r="V3570" s="34"/>
      <c r="W3570" s="34"/>
      <c r="X3570" s="33"/>
      <c r="Y3570" s="35" t="str">
        <f>IF(Tabela2[[#This Row],[SIGLA]]="","",VLOOKUP(Tabela2[[#This Row],[SIGLA]],Tabela1[[#All],[Sigla Arte]:[Crédito]],2,0))</f>
        <v/>
      </c>
      <c r="Z3570" s="31"/>
      <c r="AA3570" s="31" t="str">
        <f>Tabela2[[#This Row],[ILUSTRADOR CRIAÇÃO]]</f>
        <v/>
      </c>
      <c r="AB3570" s="33"/>
      <c r="AC3570" s="16"/>
      <c r="AE3570" s="35" t="str">
        <f t="shared" ref="AE3570:AE3633" si="57">"EF1 E002 Mat"</f>
        <v>EF1 E002 Mat</v>
      </c>
    </row>
    <row r="3571" spans="1:31" x14ac:dyDescent="0.25">
      <c r="A3571" s="31"/>
      <c r="B3571" s="16"/>
      <c r="C3571" s="16"/>
      <c r="D3571" s="33"/>
      <c r="E3571" s="33"/>
      <c r="F3571" s="33"/>
      <c r="G3571" s="33"/>
      <c r="H3571" s="33"/>
      <c r="I3571" s="31"/>
      <c r="J3571" s="31"/>
      <c r="K3571" s="33"/>
      <c r="L3571" s="33"/>
      <c r="M3571" s="31"/>
      <c r="N3571" s="31"/>
      <c r="O3571" s="16"/>
      <c r="P3571" s="16"/>
      <c r="Q3571" s="16"/>
      <c r="R3571" s="33"/>
      <c r="S3571" s="34"/>
      <c r="T3571" s="34"/>
      <c r="U3571" s="34"/>
      <c r="V3571" s="34"/>
      <c r="W3571" s="34"/>
      <c r="X3571" s="33"/>
      <c r="Y3571" s="35" t="str">
        <f>IF(Tabela2[[#This Row],[SIGLA]]="","",VLOOKUP(Tabela2[[#This Row],[SIGLA]],Tabela1[[#All],[Sigla Arte]:[Crédito]],2,0))</f>
        <v/>
      </c>
      <c r="Z3571" s="31"/>
      <c r="AA3571" s="31" t="str">
        <f>Tabela2[[#This Row],[ILUSTRADOR CRIAÇÃO]]</f>
        <v/>
      </c>
      <c r="AB3571" s="33"/>
      <c r="AC3571" s="16"/>
      <c r="AE3571" s="35" t="str">
        <f t="shared" si="57"/>
        <v>EF1 E002 Mat</v>
      </c>
    </row>
    <row r="3572" spans="1:31" x14ac:dyDescent="0.25">
      <c r="A3572" s="31"/>
      <c r="B3572" s="16"/>
      <c r="C3572" s="16"/>
      <c r="D3572" s="33"/>
      <c r="E3572" s="33"/>
      <c r="F3572" s="33"/>
      <c r="G3572" s="33"/>
      <c r="H3572" s="33"/>
      <c r="I3572" s="31"/>
      <c r="J3572" s="31"/>
      <c r="K3572" s="33"/>
      <c r="L3572" s="33"/>
      <c r="M3572" s="31"/>
      <c r="N3572" s="31"/>
      <c r="O3572" s="16"/>
      <c r="P3572" s="16"/>
      <c r="Q3572" s="16"/>
      <c r="R3572" s="33"/>
      <c r="S3572" s="34"/>
      <c r="T3572" s="34"/>
      <c r="U3572" s="34"/>
      <c r="V3572" s="34"/>
      <c r="W3572" s="34"/>
      <c r="X3572" s="33"/>
      <c r="Y3572" s="35" t="str">
        <f>IF(Tabela2[[#This Row],[SIGLA]]="","",VLOOKUP(Tabela2[[#This Row],[SIGLA]],Tabela1[[#All],[Sigla Arte]:[Crédito]],2,0))</f>
        <v/>
      </c>
      <c r="Z3572" s="31"/>
      <c r="AA3572" s="31" t="str">
        <f>Tabela2[[#This Row],[ILUSTRADOR CRIAÇÃO]]</f>
        <v/>
      </c>
      <c r="AB3572" s="33"/>
      <c r="AC3572" s="16"/>
      <c r="AE3572" s="35" t="str">
        <f t="shared" si="57"/>
        <v>EF1 E002 Mat</v>
      </c>
    </row>
    <row r="3573" spans="1:31" x14ac:dyDescent="0.25">
      <c r="A3573" s="31"/>
      <c r="B3573" s="16"/>
      <c r="C3573" s="16"/>
      <c r="D3573" s="33"/>
      <c r="E3573" s="33"/>
      <c r="F3573" s="33"/>
      <c r="G3573" s="33"/>
      <c r="H3573" s="33"/>
      <c r="I3573" s="31"/>
      <c r="J3573" s="31"/>
      <c r="K3573" s="33"/>
      <c r="L3573" s="33"/>
      <c r="M3573" s="31"/>
      <c r="N3573" s="31"/>
      <c r="O3573" s="16"/>
      <c r="P3573" s="16"/>
      <c r="Q3573" s="16"/>
      <c r="R3573" s="33"/>
      <c r="S3573" s="34"/>
      <c r="T3573" s="34"/>
      <c r="U3573" s="34"/>
      <c r="V3573" s="34"/>
      <c r="W3573" s="34"/>
      <c r="X3573" s="33"/>
      <c r="Y3573" s="35" t="str">
        <f>IF(Tabela2[[#This Row],[SIGLA]]="","",VLOOKUP(Tabela2[[#This Row],[SIGLA]],Tabela1[[#All],[Sigla Arte]:[Crédito]],2,0))</f>
        <v/>
      </c>
      <c r="Z3573" s="31"/>
      <c r="AA3573" s="31" t="str">
        <f>Tabela2[[#This Row],[ILUSTRADOR CRIAÇÃO]]</f>
        <v/>
      </c>
      <c r="AB3573" s="33"/>
      <c r="AC3573" s="16"/>
      <c r="AE3573" s="35" t="str">
        <f t="shared" si="57"/>
        <v>EF1 E002 Mat</v>
      </c>
    </row>
    <row r="3574" spans="1:31" x14ac:dyDescent="0.25">
      <c r="A3574" s="31"/>
      <c r="B3574" s="16"/>
      <c r="C3574" s="16"/>
      <c r="D3574" s="33"/>
      <c r="E3574" s="33"/>
      <c r="F3574" s="33"/>
      <c r="G3574" s="33"/>
      <c r="H3574" s="33"/>
      <c r="I3574" s="31"/>
      <c r="J3574" s="31"/>
      <c r="K3574" s="33"/>
      <c r="L3574" s="33"/>
      <c r="M3574" s="31"/>
      <c r="N3574" s="31"/>
      <c r="O3574" s="16"/>
      <c r="P3574" s="16"/>
      <c r="Q3574" s="16"/>
      <c r="R3574" s="33"/>
      <c r="S3574" s="34"/>
      <c r="T3574" s="34"/>
      <c r="U3574" s="34"/>
      <c r="V3574" s="34"/>
      <c r="W3574" s="34"/>
      <c r="X3574" s="33"/>
      <c r="Y3574" s="35" t="str">
        <f>IF(Tabela2[[#This Row],[SIGLA]]="","",VLOOKUP(Tabela2[[#This Row],[SIGLA]],Tabela1[[#All],[Sigla Arte]:[Crédito]],2,0))</f>
        <v/>
      </c>
      <c r="Z3574" s="31"/>
      <c r="AA3574" s="31" t="str">
        <f>Tabela2[[#This Row],[ILUSTRADOR CRIAÇÃO]]</f>
        <v/>
      </c>
      <c r="AB3574" s="33"/>
      <c r="AC3574" s="16"/>
      <c r="AE3574" s="35" t="str">
        <f t="shared" si="57"/>
        <v>EF1 E002 Mat</v>
      </c>
    </row>
    <row r="3575" spans="1:31" x14ac:dyDescent="0.25">
      <c r="A3575" s="31"/>
      <c r="B3575" s="16"/>
      <c r="C3575" s="16"/>
      <c r="D3575" s="33"/>
      <c r="E3575" s="33"/>
      <c r="F3575" s="33"/>
      <c r="G3575" s="33"/>
      <c r="H3575" s="33"/>
      <c r="I3575" s="31"/>
      <c r="J3575" s="31"/>
      <c r="K3575" s="33"/>
      <c r="L3575" s="33"/>
      <c r="M3575" s="31"/>
      <c r="N3575" s="31"/>
      <c r="O3575" s="16"/>
      <c r="P3575" s="16"/>
      <c r="Q3575" s="16"/>
      <c r="R3575" s="33"/>
      <c r="S3575" s="34"/>
      <c r="T3575" s="34"/>
      <c r="U3575" s="34"/>
      <c r="V3575" s="34"/>
      <c r="W3575" s="34"/>
      <c r="X3575" s="33"/>
      <c r="Y3575" s="35" t="str">
        <f>IF(Tabela2[[#This Row],[SIGLA]]="","",VLOOKUP(Tabela2[[#This Row],[SIGLA]],Tabela1[[#All],[Sigla Arte]:[Crédito]],2,0))</f>
        <v/>
      </c>
      <c r="Z3575" s="31"/>
      <c r="AA3575" s="31" t="str">
        <f>Tabela2[[#This Row],[ILUSTRADOR CRIAÇÃO]]</f>
        <v/>
      </c>
      <c r="AB3575" s="33"/>
      <c r="AC3575" s="16"/>
      <c r="AE3575" s="35" t="str">
        <f t="shared" si="57"/>
        <v>EF1 E002 Mat</v>
      </c>
    </row>
    <row r="3576" spans="1:31" x14ac:dyDescent="0.25">
      <c r="A3576" s="31"/>
      <c r="B3576" s="16"/>
      <c r="C3576" s="16"/>
      <c r="D3576" s="33"/>
      <c r="E3576" s="33"/>
      <c r="F3576" s="33"/>
      <c r="G3576" s="33"/>
      <c r="H3576" s="33"/>
      <c r="I3576" s="31"/>
      <c r="J3576" s="31"/>
      <c r="K3576" s="33"/>
      <c r="L3576" s="33"/>
      <c r="M3576" s="31"/>
      <c r="N3576" s="31"/>
      <c r="O3576" s="16"/>
      <c r="P3576" s="16"/>
      <c r="Q3576" s="16"/>
      <c r="R3576" s="33"/>
      <c r="S3576" s="34"/>
      <c r="T3576" s="34"/>
      <c r="U3576" s="34"/>
      <c r="V3576" s="34"/>
      <c r="W3576" s="34"/>
      <c r="X3576" s="33"/>
      <c r="Y3576" s="35" t="str">
        <f>IF(Tabela2[[#This Row],[SIGLA]]="","",VLOOKUP(Tabela2[[#This Row],[SIGLA]],Tabela1[[#All],[Sigla Arte]:[Crédito]],2,0))</f>
        <v/>
      </c>
      <c r="Z3576" s="31"/>
      <c r="AA3576" s="31" t="str">
        <f>Tabela2[[#This Row],[ILUSTRADOR CRIAÇÃO]]</f>
        <v/>
      </c>
      <c r="AB3576" s="33"/>
      <c r="AC3576" s="16"/>
      <c r="AE3576" s="35" t="str">
        <f t="shared" si="57"/>
        <v>EF1 E002 Mat</v>
      </c>
    </row>
    <row r="3577" spans="1:31" x14ac:dyDescent="0.25">
      <c r="A3577" s="31"/>
      <c r="B3577" s="16"/>
      <c r="C3577" s="16"/>
      <c r="D3577" s="33"/>
      <c r="E3577" s="33"/>
      <c r="F3577" s="33"/>
      <c r="G3577" s="33"/>
      <c r="H3577" s="33"/>
      <c r="I3577" s="31"/>
      <c r="J3577" s="31"/>
      <c r="K3577" s="33"/>
      <c r="L3577" s="33"/>
      <c r="M3577" s="31"/>
      <c r="N3577" s="31"/>
      <c r="O3577" s="16"/>
      <c r="P3577" s="16"/>
      <c r="Q3577" s="16"/>
      <c r="R3577" s="33"/>
      <c r="S3577" s="34"/>
      <c r="T3577" s="34"/>
      <c r="U3577" s="34"/>
      <c r="V3577" s="34"/>
      <c r="W3577" s="34"/>
      <c r="X3577" s="33"/>
      <c r="Y3577" s="35" t="str">
        <f>IF(Tabela2[[#This Row],[SIGLA]]="","",VLOOKUP(Tabela2[[#This Row],[SIGLA]],Tabela1[[#All],[Sigla Arte]:[Crédito]],2,0))</f>
        <v/>
      </c>
      <c r="Z3577" s="31"/>
      <c r="AA3577" s="31" t="str">
        <f>Tabela2[[#This Row],[ILUSTRADOR CRIAÇÃO]]</f>
        <v/>
      </c>
      <c r="AB3577" s="33"/>
      <c r="AC3577" s="16"/>
      <c r="AE3577" s="35" t="str">
        <f t="shared" si="57"/>
        <v>EF1 E002 Mat</v>
      </c>
    </row>
    <row r="3578" spans="1:31" x14ac:dyDescent="0.25">
      <c r="A3578" s="31"/>
      <c r="B3578" s="16"/>
      <c r="C3578" s="16"/>
      <c r="D3578" s="33"/>
      <c r="E3578" s="33"/>
      <c r="F3578" s="33"/>
      <c r="G3578" s="33"/>
      <c r="H3578" s="33"/>
      <c r="I3578" s="31"/>
      <c r="J3578" s="31"/>
      <c r="K3578" s="33"/>
      <c r="L3578" s="33"/>
      <c r="M3578" s="31"/>
      <c r="N3578" s="31"/>
      <c r="O3578" s="16"/>
      <c r="P3578" s="16"/>
      <c r="Q3578" s="16"/>
      <c r="R3578" s="33"/>
      <c r="S3578" s="34"/>
      <c r="T3578" s="34"/>
      <c r="U3578" s="34"/>
      <c r="V3578" s="34"/>
      <c r="W3578" s="34"/>
      <c r="X3578" s="33"/>
      <c r="Y3578" s="35" t="str">
        <f>IF(Tabela2[[#This Row],[SIGLA]]="","",VLOOKUP(Tabela2[[#This Row],[SIGLA]],Tabela1[[#All],[Sigla Arte]:[Crédito]],2,0))</f>
        <v/>
      </c>
      <c r="Z3578" s="31"/>
      <c r="AA3578" s="31" t="str">
        <f>Tabela2[[#This Row],[ILUSTRADOR CRIAÇÃO]]</f>
        <v/>
      </c>
      <c r="AB3578" s="33"/>
      <c r="AC3578" s="16"/>
      <c r="AE3578" s="35" t="str">
        <f t="shared" si="57"/>
        <v>EF1 E002 Mat</v>
      </c>
    </row>
    <row r="3579" spans="1:31" x14ac:dyDescent="0.25">
      <c r="A3579" s="31"/>
      <c r="B3579" s="16"/>
      <c r="C3579" s="16"/>
      <c r="D3579" s="33"/>
      <c r="E3579" s="33"/>
      <c r="F3579" s="33"/>
      <c r="G3579" s="33"/>
      <c r="H3579" s="33"/>
      <c r="I3579" s="31"/>
      <c r="J3579" s="31"/>
      <c r="K3579" s="33"/>
      <c r="L3579" s="33"/>
      <c r="M3579" s="31"/>
      <c r="N3579" s="31"/>
      <c r="O3579" s="16"/>
      <c r="P3579" s="16"/>
      <c r="Q3579" s="16"/>
      <c r="R3579" s="33"/>
      <c r="S3579" s="34"/>
      <c r="T3579" s="34"/>
      <c r="U3579" s="34"/>
      <c r="V3579" s="34"/>
      <c r="W3579" s="34"/>
      <c r="X3579" s="33"/>
      <c r="Y3579" s="35" t="str">
        <f>IF(Tabela2[[#This Row],[SIGLA]]="","",VLOOKUP(Tabela2[[#This Row],[SIGLA]],Tabela1[[#All],[Sigla Arte]:[Crédito]],2,0))</f>
        <v/>
      </c>
      <c r="Z3579" s="31"/>
      <c r="AA3579" s="31" t="str">
        <f>Tabela2[[#This Row],[ILUSTRADOR CRIAÇÃO]]</f>
        <v/>
      </c>
      <c r="AB3579" s="33"/>
      <c r="AC3579" s="16"/>
      <c r="AE3579" s="35" t="str">
        <f t="shared" si="57"/>
        <v>EF1 E002 Mat</v>
      </c>
    </row>
    <row r="3580" spans="1:31" x14ac:dyDescent="0.25">
      <c r="A3580" s="31"/>
      <c r="B3580" s="16"/>
      <c r="C3580" s="16"/>
      <c r="D3580" s="33"/>
      <c r="E3580" s="33"/>
      <c r="F3580" s="33"/>
      <c r="G3580" s="33"/>
      <c r="H3580" s="33"/>
      <c r="I3580" s="31"/>
      <c r="J3580" s="31"/>
      <c r="K3580" s="33"/>
      <c r="L3580" s="33"/>
      <c r="M3580" s="31"/>
      <c r="N3580" s="31"/>
      <c r="O3580" s="16"/>
      <c r="P3580" s="16"/>
      <c r="Q3580" s="16"/>
      <c r="R3580" s="33"/>
      <c r="S3580" s="34"/>
      <c r="T3580" s="34"/>
      <c r="U3580" s="34"/>
      <c r="V3580" s="34"/>
      <c r="W3580" s="34"/>
      <c r="X3580" s="33"/>
      <c r="Y3580" s="35" t="str">
        <f>IF(Tabela2[[#This Row],[SIGLA]]="","",VLOOKUP(Tabela2[[#This Row],[SIGLA]],Tabela1[[#All],[Sigla Arte]:[Crédito]],2,0))</f>
        <v/>
      </c>
      <c r="Z3580" s="31"/>
      <c r="AA3580" s="31" t="str">
        <f>Tabela2[[#This Row],[ILUSTRADOR CRIAÇÃO]]</f>
        <v/>
      </c>
      <c r="AB3580" s="33"/>
      <c r="AC3580" s="16"/>
      <c r="AE3580" s="35" t="str">
        <f t="shared" si="57"/>
        <v>EF1 E002 Mat</v>
      </c>
    </row>
    <row r="3581" spans="1:31" x14ac:dyDescent="0.25">
      <c r="A3581" s="31"/>
      <c r="B3581" s="16"/>
      <c r="C3581" s="16"/>
      <c r="D3581" s="33"/>
      <c r="E3581" s="33"/>
      <c r="F3581" s="33"/>
      <c r="G3581" s="33"/>
      <c r="H3581" s="33"/>
      <c r="I3581" s="31"/>
      <c r="J3581" s="31"/>
      <c r="K3581" s="33"/>
      <c r="L3581" s="33"/>
      <c r="M3581" s="31"/>
      <c r="N3581" s="31"/>
      <c r="O3581" s="16"/>
      <c r="P3581" s="16"/>
      <c r="Q3581" s="16"/>
      <c r="R3581" s="33"/>
      <c r="S3581" s="34"/>
      <c r="T3581" s="34"/>
      <c r="U3581" s="34"/>
      <c r="V3581" s="34"/>
      <c r="W3581" s="34"/>
      <c r="X3581" s="33"/>
      <c r="Y3581" s="35" t="str">
        <f>IF(Tabela2[[#This Row],[SIGLA]]="","",VLOOKUP(Tabela2[[#This Row],[SIGLA]],Tabela1[[#All],[Sigla Arte]:[Crédito]],2,0))</f>
        <v/>
      </c>
      <c r="Z3581" s="31"/>
      <c r="AA3581" s="31" t="str">
        <f>Tabela2[[#This Row],[ILUSTRADOR CRIAÇÃO]]</f>
        <v/>
      </c>
      <c r="AB3581" s="33"/>
      <c r="AC3581" s="16"/>
      <c r="AE3581" s="35" t="str">
        <f t="shared" si="57"/>
        <v>EF1 E002 Mat</v>
      </c>
    </row>
    <row r="3582" spans="1:31" x14ac:dyDescent="0.25">
      <c r="A3582" s="31"/>
      <c r="B3582" s="16"/>
      <c r="C3582" s="16"/>
      <c r="D3582" s="33"/>
      <c r="E3582" s="33"/>
      <c r="F3582" s="33"/>
      <c r="G3582" s="33"/>
      <c r="H3582" s="33"/>
      <c r="I3582" s="31"/>
      <c r="J3582" s="31"/>
      <c r="K3582" s="33"/>
      <c r="L3582" s="33"/>
      <c r="M3582" s="31"/>
      <c r="N3582" s="31"/>
      <c r="O3582" s="16"/>
      <c r="P3582" s="16"/>
      <c r="Q3582" s="16"/>
      <c r="R3582" s="33"/>
      <c r="S3582" s="34"/>
      <c r="T3582" s="34"/>
      <c r="U3582" s="34"/>
      <c r="V3582" s="34"/>
      <c r="W3582" s="34"/>
      <c r="X3582" s="33"/>
      <c r="Y3582" s="35" t="str">
        <f>IF(Tabela2[[#This Row],[SIGLA]]="","",VLOOKUP(Tabela2[[#This Row],[SIGLA]],Tabela1[[#All],[Sigla Arte]:[Crédito]],2,0))</f>
        <v/>
      </c>
      <c r="Z3582" s="31"/>
      <c r="AA3582" s="31" t="str">
        <f>Tabela2[[#This Row],[ILUSTRADOR CRIAÇÃO]]</f>
        <v/>
      </c>
      <c r="AB3582" s="33"/>
      <c r="AC3582" s="16"/>
      <c r="AE3582" s="35" t="str">
        <f t="shared" si="57"/>
        <v>EF1 E002 Mat</v>
      </c>
    </row>
    <row r="3583" spans="1:31" x14ac:dyDescent="0.25">
      <c r="A3583" s="31"/>
      <c r="B3583" s="16"/>
      <c r="C3583" s="16"/>
      <c r="D3583" s="33"/>
      <c r="E3583" s="33"/>
      <c r="F3583" s="33"/>
      <c r="G3583" s="33"/>
      <c r="H3583" s="33"/>
      <c r="I3583" s="31"/>
      <c r="J3583" s="31"/>
      <c r="K3583" s="33"/>
      <c r="L3583" s="33"/>
      <c r="M3583" s="31"/>
      <c r="N3583" s="31"/>
      <c r="O3583" s="16"/>
      <c r="P3583" s="16"/>
      <c r="Q3583" s="16"/>
      <c r="R3583" s="33"/>
      <c r="S3583" s="34"/>
      <c r="T3583" s="34"/>
      <c r="U3583" s="34"/>
      <c r="V3583" s="34"/>
      <c r="W3583" s="34"/>
      <c r="X3583" s="33"/>
      <c r="Y3583" s="35" t="str">
        <f>IF(Tabela2[[#This Row],[SIGLA]]="","",VLOOKUP(Tabela2[[#This Row],[SIGLA]],Tabela1[[#All],[Sigla Arte]:[Crédito]],2,0))</f>
        <v/>
      </c>
      <c r="Z3583" s="31"/>
      <c r="AA3583" s="31" t="str">
        <f>Tabela2[[#This Row],[ILUSTRADOR CRIAÇÃO]]</f>
        <v/>
      </c>
      <c r="AB3583" s="33"/>
      <c r="AC3583" s="16"/>
      <c r="AE3583" s="35" t="str">
        <f t="shared" si="57"/>
        <v>EF1 E002 Mat</v>
      </c>
    </row>
    <row r="3584" spans="1:31" x14ac:dyDescent="0.25">
      <c r="A3584" s="31"/>
      <c r="B3584" s="16"/>
      <c r="C3584" s="16"/>
      <c r="D3584" s="33"/>
      <c r="E3584" s="33"/>
      <c r="F3584" s="33"/>
      <c r="G3584" s="33"/>
      <c r="H3584" s="33"/>
      <c r="I3584" s="31"/>
      <c r="J3584" s="31"/>
      <c r="K3584" s="33"/>
      <c r="L3584" s="33"/>
      <c r="M3584" s="31"/>
      <c r="N3584" s="31"/>
      <c r="O3584" s="16"/>
      <c r="P3584" s="16"/>
      <c r="Q3584" s="16"/>
      <c r="R3584" s="33"/>
      <c r="S3584" s="34"/>
      <c r="T3584" s="34"/>
      <c r="U3584" s="34"/>
      <c r="V3584" s="34"/>
      <c r="W3584" s="34"/>
      <c r="X3584" s="33"/>
      <c r="Y3584" s="35" t="str">
        <f>IF(Tabela2[[#This Row],[SIGLA]]="","",VLOOKUP(Tabela2[[#This Row],[SIGLA]],Tabela1[[#All],[Sigla Arte]:[Crédito]],2,0))</f>
        <v/>
      </c>
      <c r="Z3584" s="31"/>
      <c r="AA3584" s="31" t="str">
        <f>Tabela2[[#This Row],[ILUSTRADOR CRIAÇÃO]]</f>
        <v/>
      </c>
      <c r="AB3584" s="33"/>
      <c r="AC3584" s="16"/>
      <c r="AE3584" s="35" t="str">
        <f t="shared" si="57"/>
        <v>EF1 E002 Mat</v>
      </c>
    </row>
    <row r="3585" spans="1:31" x14ac:dyDescent="0.25">
      <c r="A3585" s="31"/>
      <c r="B3585" s="16"/>
      <c r="C3585" s="16"/>
      <c r="D3585" s="33"/>
      <c r="E3585" s="33"/>
      <c r="F3585" s="33"/>
      <c r="G3585" s="33"/>
      <c r="H3585" s="33"/>
      <c r="I3585" s="31"/>
      <c r="J3585" s="31"/>
      <c r="K3585" s="33"/>
      <c r="L3585" s="33"/>
      <c r="M3585" s="31"/>
      <c r="N3585" s="31"/>
      <c r="O3585" s="16"/>
      <c r="P3585" s="16"/>
      <c r="Q3585" s="16"/>
      <c r="R3585" s="33"/>
      <c r="S3585" s="34"/>
      <c r="T3585" s="34"/>
      <c r="U3585" s="34"/>
      <c r="V3585" s="34"/>
      <c r="W3585" s="34"/>
      <c r="X3585" s="33"/>
      <c r="Y3585" s="35" t="str">
        <f>IF(Tabela2[[#This Row],[SIGLA]]="","",VLOOKUP(Tabela2[[#This Row],[SIGLA]],Tabela1[[#All],[Sigla Arte]:[Crédito]],2,0))</f>
        <v/>
      </c>
      <c r="Z3585" s="31"/>
      <c r="AA3585" s="31" t="str">
        <f>Tabela2[[#This Row],[ILUSTRADOR CRIAÇÃO]]</f>
        <v/>
      </c>
      <c r="AB3585" s="33"/>
      <c r="AC3585" s="16"/>
      <c r="AE3585" s="35" t="str">
        <f t="shared" si="57"/>
        <v>EF1 E002 Mat</v>
      </c>
    </row>
    <row r="3586" spans="1:31" x14ac:dyDescent="0.25">
      <c r="A3586" s="31"/>
      <c r="B3586" s="16"/>
      <c r="C3586" s="16"/>
      <c r="D3586" s="33"/>
      <c r="E3586" s="33"/>
      <c r="F3586" s="33"/>
      <c r="G3586" s="33"/>
      <c r="H3586" s="33"/>
      <c r="I3586" s="31"/>
      <c r="J3586" s="31"/>
      <c r="K3586" s="33"/>
      <c r="L3586" s="33"/>
      <c r="M3586" s="31"/>
      <c r="N3586" s="31"/>
      <c r="O3586" s="16"/>
      <c r="P3586" s="16"/>
      <c r="Q3586" s="16"/>
      <c r="R3586" s="33"/>
      <c r="S3586" s="34"/>
      <c r="T3586" s="34"/>
      <c r="U3586" s="34"/>
      <c r="V3586" s="34"/>
      <c r="W3586" s="34"/>
      <c r="X3586" s="33"/>
      <c r="Y3586" s="35" t="str">
        <f>IF(Tabela2[[#This Row],[SIGLA]]="","",VLOOKUP(Tabela2[[#This Row],[SIGLA]],Tabela1[[#All],[Sigla Arte]:[Crédito]],2,0))</f>
        <v/>
      </c>
      <c r="Z3586" s="31"/>
      <c r="AA3586" s="31" t="str">
        <f>Tabela2[[#This Row],[ILUSTRADOR CRIAÇÃO]]</f>
        <v/>
      </c>
      <c r="AB3586" s="33"/>
      <c r="AC3586" s="16"/>
      <c r="AE3586" s="35" t="str">
        <f t="shared" si="57"/>
        <v>EF1 E002 Mat</v>
      </c>
    </row>
    <row r="3587" spans="1:31" x14ac:dyDescent="0.25">
      <c r="A3587" s="31"/>
      <c r="B3587" s="16"/>
      <c r="C3587" s="16"/>
      <c r="D3587" s="33"/>
      <c r="E3587" s="33"/>
      <c r="F3587" s="33"/>
      <c r="G3587" s="33"/>
      <c r="H3587" s="33"/>
      <c r="I3587" s="31"/>
      <c r="J3587" s="31"/>
      <c r="K3587" s="33"/>
      <c r="L3587" s="33"/>
      <c r="M3587" s="31"/>
      <c r="N3587" s="31"/>
      <c r="O3587" s="16"/>
      <c r="P3587" s="16"/>
      <c r="Q3587" s="16"/>
      <c r="R3587" s="33"/>
      <c r="S3587" s="34"/>
      <c r="T3587" s="34"/>
      <c r="U3587" s="34"/>
      <c r="V3587" s="34"/>
      <c r="W3587" s="34"/>
      <c r="X3587" s="33"/>
      <c r="Y3587" s="35" t="str">
        <f>IF(Tabela2[[#This Row],[SIGLA]]="","",VLOOKUP(Tabela2[[#This Row],[SIGLA]],Tabela1[[#All],[Sigla Arte]:[Crédito]],2,0))</f>
        <v/>
      </c>
      <c r="Z3587" s="31"/>
      <c r="AA3587" s="31" t="str">
        <f>Tabela2[[#This Row],[ILUSTRADOR CRIAÇÃO]]</f>
        <v/>
      </c>
      <c r="AB3587" s="33"/>
      <c r="AC3587" s="16"/>
      <c r="AE3587" s="35" t="str">
        <f t="shared" si="57"/>
        <v>EF1 E002 Mat</v>
      </c>
    </row>
    <row r="3588" spans="1:31" x14ac:dyDescent="0.25">
      <c r="A3588" s="31"/>
      <c r="B3588" s="16"/>
      <c r="C3588" s="16"/>
      <c r="D3588" s="33"/>
      <c r="E3588" s="33"/>
      <c r="F3588" s="33"/>
      <c r="G3588" s="33"/>
      <c r="H3588" s="33"/>
      <c r="I3588" s="31"/>
      <c r="J3588" s="31"/>
      <c r="K3588" s="33"/>
      <c r="L3588" s="33"/>
      <c r="M3588" s="31"/>
      <c r="N3588" s="31"/>
      <c r="O3588" s="16"/>
      <c r="P3588" s="16"/>
      <c r="Q3588" s="16"/>
      <c r="R3588" s="33"/>
      <c r="S3588" s="34"/>
      <c r="T3588" s="34"/>
      <c r="U3588" s="34"/>
      <c r="V3588" s="34"/>
      <c r="W3588" s="34"/>
      <c r="X3588" s="33"/>
      <c r="Y3588" s="35" t="str">
        <f>IF(Tabela2[[#This Row],[SIGLA]]="","",VLOOKUP(Tabela2[[#This Row],[SIGLA]],Tabela1[[#All],[Sigla Arte]:[Crédito]],2,0))</f>
        <v/>
      </c>
      <c r="Z3588" s="31"/>
      <c r="AA3588" s="31" t="str">
        <f>Tabela2[[#This Row],[ILUSTRADOR CRIAÇÃO]]</f>
        <v/>
      </c>
      <c r="AB3588" s="33"/>
      <c r="AC3588" s="16"/>
      <c r="AE3588" s="35" t="str">
        <f t="shared" si="57"/>
        <v>EF1 E002 Mat</v>
      </c>
    </row>
    <row r="3589" spans="1:31" x14ac:dyDescent="0.25">
      <c r="A3589" s="31"/>
      <c r="B3589" s="16"/>
      <c r="C3589" s="16"/>
      <c r="D3589" s="33"/>
      <c r="E3589" s="33"/>
      <c r="F3589" s="33"/>
      <c r="G3589" s="33"/>
      <c r="H3589" s="33"/>
      <c r="I3589" s="31"/>
      <c r="J3589" s="31"/>
      <c r="K3589" s="33"/>
      <c r="L3589" s="33"/>
      <c r="M3589" s="31"/>
      <c r="N3589" s="31"/>
      <c r="O3589" s="16"/>
      <c r="P3589" s="16"/>
      <c r="Q3589" s="16"/>
      <c r="R3589" s="33"/>
      <c r="S3589" s="34"/>
      <c r="T3589" s="34"/>
      <c r="U3589" s="34"/>
      <c r="V3589" s="34"/>
      <c r="W3589" s="34"/>
      <c r="X3589" s="33"/>
      <c r="Y3589" s="35" t="str">
        <f>IF(Tabela2[[#This Row],[SIGLA]]="","",VLOOKUP(Tabela2[[#This Row],[SIGLA]],Tabela1[[#All],[Sigla Arte]:[Crédito]],2,0))</f>
        <v/>
      </c>
      <c r="Z3589" s="31"/>
      <c r="AA3589" s="31" t="str">
        <f>Tabela2[[#This Row],[ILUSTRADOR CRIAÇÃO]]</f>
        <v/>
      </c>
      <c r="AB3589" s="33"/>
      <c r="AC3589" s="16"/>
      <c r="AE3589" s="35" t="str">
        <f t="shared" si="57"/>
        <v>EF1 E002 Mat</v>
      </c>
    </row>
    <row r="3590" spans="1:31" x14ac:dyDescent="0.25">
      <c r="A3590" s="31"/>
      <c r="B3590" s="16"/>
      <c r="C3590" s="16"/>
      <c r="D3590" s="33"/>
      <c r="E3590" s="33"/>
      <c r="F3590" s="33"/>
      <c r="G3590" s="33"/>
      <c r="H3590" s="33"/>
      <c r="I3590" s="31"/>
      <c r="J3590" s="31"/>
      <c r="K3590" s="33"/>
      <c r="L3590" s="33"/>
      <c r="M3590" s="31"/>
      <c r="N3590" s="31"/>
      <c r="O3590" s="16"/>
      <c r="P3590" s="16"/>
      <c r="Q3590" s="16"/>
      <c r="R3590" s="33"/>
      <c r="S3590" s="34"/>
      <c r="T3590" s="34"/>
      <c r="U3590" s="34"/>
      <c r="V3590" s="34"/>
      <c r="W3590" s="34"/>
      <c r="X3590" s="33"/>
      <c r="Y3590" s="35" t="str">
        <f>IF(Tabela2[[#This Row],[SIGLA]]="","",VLOOKUP(Tabela2[[#This Row],[SIGLA]],Tabela1[[#All],[Sigla Arte]:[Crédito]],2,0))</f>
        <v/>
      </c>
      <c r="Z3590" s="31"/>
      <c r="AA3590" s="31" t="str">
        <f>Tabela2[[#This Row],[ILUSTRADOR CRIAÇÃO]]</f>
        <v/>
      </c>
      <c r="AB3590" s="33"/>
      <c r="AC3590" s="16"/>
      <c r="AE3590" s="35" t="str">
        <f t="shared" si="57"/>
        <v>EF1 E002 Mat</v>
      </c>
    </row>
    <row r="3591" spans="1:31" x14ac:dyDescent="0.25">
      <c r="A3591" s="31"/>
      <c r="B3591" s="16"/>
      <c r="C3591" s="16"/>
      <c r="D3591" s="33"/>
      <c r="E3591" s="33"/>
      <c r="F3591" s="33"/>
      <c r="G3591" s="33"/>
      <c r="H3591" s="33"/>
      <c r="I3591" s="31"/>
      <c r="J3591" s="31"/>
      <c r="K3591" s="33"/>
      <c r="L3591" s="33"/>
      <c r="M3591" s="31"/>
      <c r="N3591" s="31"/>
      <c r="O3591" s="16"/>
      <c r="P3591" s="16"/>
      <c r="Q3591" s="16"/>
      <c r="R3591" s="33"/>
      <c r="S3591" s="34"/>
      <c r="T3591" s="34"/>
      <c r="U3591" s="34"/>
      <c r="V3591" s="34"/>
      <c r="W3591" s="34"/>
      <c r="X3591" s="33"/>
      <c r="Y3591" s="35" t="str">
        <f>IF(Tabela2[[#This Row],[SIGLA]]="","",VLOOKUP(Tabela2[[#This Row],[SIGLA]],Tabela1[[#All],[Sigla Arte]:[Crédito]],2,0))</f>
        <v/>
      </c>
      <c r="Z3591" s="31"/>
      <c r="AA3591" s="31" t="str">
        <f>Tabela2[[#This Row],[ILUSTRADOR CRIAÇÃO]]</f>
        <v/>
      </c>
      <c r="AB3591" s="33"/>
      <c r="AC3591" s="16"/>
      <c r="AE3591" s="35" t="str">
        <f t="shared" si="57"/>
        <v>EF1 E002 Mat</v>
      </c>
    </row>
    <row r="3592" spans="1:31" x14ac:dyDescent="0.25">
      <c r="A3592" s="31"/>
      <c r="B3592" s="16"/>
      <c r="C3592" s="16"/>
      <c r="D3592" s="33"/>
      <c r="E3592" s="33"/>
      <c r="F3592" s="33"/>
      <c r="G3592" s="33"/>
      <c r="H3592" s="33"/>
      <c r="I3592" s="31"/>
      <c r="J3592" s="31"/>
      <c r="K3592" s="33"/>
      <c r="L3592" s="33"/>
      <c r="M3592" s="31"/>
      <c r="N3592" s="31"/>
      <c r="O3592" s="16"/>
      <c r="P3592" s="16"/>
      <c r="Q3592" s="16"/>
      <c r="R3592" s="33"/>
      <c r="S3592" s="34"/>
      <c r="T3592" s="34"/>
      <c r="U3592" s="34"/>
      <c r="V3592" s="34"/>
      <c r="W3592" s="34"/>
      <c r="X3592" s="33"/>
      <c r="Y3592" s="35" t="str">
        <f>IF(Tabela2[[#This Row],[SIGLA]]="","",VLOOKUP(Tabela2[[#This Row],[SIGLA]],Tabela1[[#All],[Sigla Arte]:[Crédito]],2,0))</f>
        <v/>
      </c>
      <c r="Z3592" s="31"/>
      <c r="AA3592" s="31" t="str">
        <f>Tabela2[[#This Row],[ILUSTRADOR CRIAÇÃO]]</f>
        <v/>
      </c>
      <c r="AB3592" s="33"/>
      <c r="AC3592" s="16"/>
      <c r="AE3592" s="35" t="str">
        <f t="shared" si="57"/>
        <v>EF1 E002 Mat</v>
      </c>
    </row>
    <row r="3593" spans="1:31" x14ac:dyDescent="0.25">
      <c r="A3593" s="31"/>
      <c r="B3593" s="16"/>
      <c r="C3593" s="16"/>
      <c r="D3593" s="33"/>
      <c r="E3593" s="33"/>
      <c r="F3593" s="33"/>
      <c r="G3593" s="33"/>
      <c r="H3593" s="33"/>
      <c r="I3593" s="31"/>
      <c r="J3593" s="31"/>
      <c r="K3593" s="33"/>
      <c r="L3593" s="33"/>
      <c r="M3593" s="31"/>
      <c r="N3593" s="31"/>
      <c r="O3593" s="16"/>
      <c r="P3593" s="16"/>
      <c r="Q3593" s="16"/>
      <c r="R3593" s="33"/>
      <c r="S3593" s="34"/>
      <c r="T3593" s="34"/>
      <c r="U3593" s="34"/>
      <c r="V3593" s="34"/>
      <c r="W3593" s="34"/>
      <c r="X3593" s="33"/>
      <c r="Y3593" s="35" t="str">
        <f>IF(Tabela2[[#This Row],[SIGLA]]="","",VLOOKUP(Tabela2[[#This Row],[SIGLA]],Tabela1[[#All],[Sigla Arte]:[Crédito]],2,0))</f>
        <v/>
      </c>
      <c r="Z3593" s="31"/>
      <c r="AA3593" s="31" t="str">
        <f>Tabela2[[#This Row],[ILUSTRADOR CRIAÇÃO]]</f>
        <v/>
      </c>
      <c r="AB3593" s="33"/>
      <c r="AC3593" s="16"/>
      <c r="AE3593" s="35" t="str">
        <f t="shared" si="57"/>
        <v>EF1 E002 Mat</v>
      </c>
    </row>
    <row r="3594" spans="1:31" x14ac:dyDescent="0.25">
      <c r="A3594" s="31"/>
      <c r="B3594" s="16"/>
      <c r="C3594" s="16"/>
      <c r="D3594" s="33"/>
      <c r="E3594" s="33"/>
      <c r="F3594" s="33"/>
      <c r="G3594" s="33"/>
      <c r="H3594" s="33"/>
      <c r="I3594" s="31"/>
      <c r="J3594" s="31"/>
      <c r="K3594" s="33"/>
      <c r="L3594" s="33"/>
      <c r="M3594" s="31"/>
      <c r="N3594" s="31"/>
      <c r="O3594" s="16"/>
      <c r="P3594" s="16"/>
      <c r="Q3594" s="16"/>
      <c r="R3594" s="33"/>
      <c r="S3594" s="34"/>
      <c r="T3594" s="34"/>
      <c r="U3594" s="34"/>
      <c r="V3594" s="34"/>
      <c r="W3594" s="34"/>
      <c r="X3594" s="33"/>
      <c r="Y3594" s="35" t="str">
        <f>IF(Tabela2[[#This Row],[SIGLA]]="","",VLOOKUP(Tabela2[[#This Row],[SIGLA]],Tabela1[[#All],[Sigla Arte]:[Crédito]],2,0))</f>
        <v/>
      </c>
      <c r="Z3594" s="31"/>
      <c r="AA3594" s="31" t="str">
        <f>Tabela2[[#This Row],[ILUSTRADOR CRIAÇÃO]]</f>
        <v/>
      </c>
      <c r="AB3594" s="33"/>
      <c r="AC3594" s="16"/>
      <c r="AE3594" s="35" t="str">
        <f t="shared" si="57"/>
        <v>EF1 E002 Mat</v>
      </c>
    </row>
    <row r="3595" spans="1:31" x14ac:dyDescent="0.25">
      <c r="A3595" s="31"/>
      <c r="B3595" s="16"/>
      <c r="C3595" s="16"/>
      <c r="D3595" s="33"/>
      <c r="E3595" s="33"/>
      <c r="F3595" s="33"/>
      <c r="G3595" s="33"/>
      <c r="H3595" s="33"/>
      <c r="I3595" s="31"/>
      <c r="J3595" s="31"/>
      <c r="K3595" s="33"/>
      <c r="L3595" s="33"/>
      <c r="M3595" s="31"/>
      <c r="N3595" s="31"/>
      <c r="O3595" s="16"/>
      <c r="P3595" s="16"/>
      <c r="Q3595" s="16"/>
      <c r="R3595" s="33"/>
      <c r="S3595" s="34"/>
      <c r="T3595" s="34"/>
      <c r="U3595" s="34"/>
      <c r="V3595" s="34"/>
      <c r="W3595" s="34"/>
      <c r="X3595" s="33"/>
      <c r="Y3595" s="35" t="str">
        <f>IF(Tabela2[[#This Row],[SIGLA]]="","",VLOOKUP(Tabela2[[#This Row],[SIGLA]],Tabela1[[#All],[Sigla Arte]:[Crédito]],2,0))</f>
        <v/>
      </c>
      <c r="Z3595" s="31"/>
      <c r="AA3595" s="31" t="str">
        <f>Tabela2[[#This Row],[ILUSTRADOR CRIAÇÃO]]</f>
        <v/>
      </c>
      <c r="AB3595" s="33"/>
      <c r="AC3595" s="16"/>
      <c r="AE3595" s="35" t="str">
        <f t="shared" si="57"/>
        <v>EF1 E002 Mat</v>
      </c>
    </row>
    <row r="3596" spans="1:31" x14ac:dyDescent="0.25">
      <c r="A3596" s="31"/>
      <c r="B3596" s="16"/>
      <c r="C3596" s="16"/>
      <c r="D3596" s="33"/>
      <c r="E3596" s="33"/>
      <c r="F3596" s="33"/>
      <c r="G3596" s="33"/>
      <c r="H3596" s="33"/>
      <c r="I3596" s="31"/>
      <c r="J3596" s="31"/>
      <c r="K3596" s="33"/>
      <c r="L3596" s="33"/>
      <c r="M3596" s="31"/>
      <c r="N3596" s="31"/>
      <c r="O3596" s="16"/>
      <c r="P3596" s="16"/>
      <c r="Q3596" s="16"/>
      <c r="R3596" s="33"/>
      <c r="S3596" s="34"/>
      <c r="T3596" s="34"/>
      <c r="U3596" s="34"/>
      <c r="V3596" s="34"/>
      <c r="W3596" s="34"/>
      <c r="X3596" s="33"/>
      <c r="Y3596" s="35" t="str">
        <f>IF(Tabela2[[#This Row],[SIGLA]]="","",VLOOKUP(Tabela2[[#This Row],[SIGLA]],Tabela1[[#All],[Sigla Arte]:[Crédito]],2,0))</f>
        <v/>
      </c>
      <c r="Z3596" s="31"/>
      <c r="AA3596" s="31" t="str">
        <f>Tabela2[[#This Row],[ILUSTRADOR CRIAÇÃO]]</f>
        <v/>
      </c>
      <c r="AB3596" s="33"/>
      <c r="AC3596" s="16"/>
      <c r="AE3596" s="35" t="str">
        <f t="shared" si="57"/>
        <v>EF1 E002 Mat</v>
      </c>
    </row>
    <row r="3597" spans="1:31" x14ac:dyDescent="0.25">
      <c r="A3597" s="31"/>
      <c r="B3597" s="16"/>
      <c r="C3597" s="16"/>
      <c r="D3597" s="33"/>
      <c r="E3597" s="33"/>
      <c r="F3597" s="33"/>
      <c r="G3597" s="33"/>
      <c r="H3597" s="33"/>
      <c r="I3597" s="31"/>
      <c r="J3597" s="31"/>
      <c r="K3597" s="33"/>
      <c r="L3597" s="33"/>
      <c r="M3597" s="31"/>
      <c r="N3597" s="31"/>
      <c r="O3597" s="16"/>
      <c r="P3597" s="16"/>
      <c r="Q3597" s="16"/>
      <c r="R3597" s="33"/>
      <c r="S3597" s="34"/>
      <c r="T3597" s="34"/>
      <c r="U3597" s="34"/>
      <c r="V3597" s="34"/>
      <c r="W3597" s="34"/>
      <c r="X3597" s="33"/>
      <c r="Y3597" s="35" t="str">
        <f>IF(Tabela2[[#This Row],[SIGLA]]="","",VLOOKUP(Tabela2[[#This Row],[SIGLA]],Tabela1[[#All],[Sigla Arte]:[Crédito]],2,0))</f>
        <v/>
      </c>
      <c r="Z3597" s="31"/>
      <c r="AA3597" s="31" t="str">
        <f>Tabela2[[#This Row],[ILUSTRADOR CRIAÇÃO]]</f>
        <v/>
      </c>
      <c r="AB3597" s="33"/>
      <c r="AC3597" s="16"/>
      <c r="AE3597" s="35" t="str">
        <f t="shared" si="57"/>
        <v>EF1 E002 Mat</v>
      </c>
    </row>
    <row r="3598" spans="1:31" x14ac:dyDescent="0.25">
      <c r="A3598" s="31"/>
      <c r="B3598" s="16"/>
      <c r="C3598" s="16"/>
      <c r="D3598" s="33"/>
      <c r="E3598" s="33"/>
      <c r="F3598" s="33"/>
      <c r="G3598" s="33"/>
      <c r="H3598" s="33"/>
      <c r="I3598" s="31"/>
      <c r="J3598" s="31"/>
      <c r="K3598" s="33"/>
      <c r="L3598" s="33"/>
      <c r="M3598" s="31"/>
      <c r="N3598" s="31"/>
      <c r="O3598" s="16"/>
      <c r="P3598" s="16"/>
      <c r="Q3598" s="16"/>
      <c r="R3598" s="33"/>
      <c r="S3598" s="34"/>
      <c r="T3598" s="34"/>
      <c r="U3598" s="34"/>
      <c r="V3598" s="34"/>
      <c r="W3598" s="34"/>
      <c r="X3598" s="33"/>
      <c r="Y3598" s="35" t="str">
        <f>IF(Tabela2[[#This Row],[SIGLA]]="","",VLOOKUP(Tabela2[[#This Row],[SIGLA]],Tabela1[[#All],[Sigla Arte]:[Crédito]],2,0))</f>
        <v/>
      </c>
      <c r="Z3598" s="31"/>
      <c r="AA3598" s="31" t="str">
        <f>Tabela2[[#This Row],[ILUSTRADOR CRIAÇÃO]]</f>
        <v/>
      </c>
      <c r="AB3598" s="33"/>
      <c r="AC3598" s="16"/>
      <c r="AE3598" s="35" t="str">
        <f t="shared" si="57"/>
        <v>EF1 E002 Mat</v>
      </c>
    </row>
    <row r="3599" spans="1:31" x14ac:dyDescent="0.25">
      <c r="A3599" s="31"/>
      <c r="B3599" s="16"/>
      <c r="C3599" s="16"/>
      <c r="D3599" s="33"/>
      <c r="E3599" s="33"/>
      <c r="F3599" s="33"/>
      <c r="G3599" s="33"/>
      <c r="H3599" s="33"/>
      <c r="I3599" s="31"/>
      <c r="J3599" s="31"/>
      <c r="K3599" s="33"/>
      <c r="L3599" s="33"/>
      <c r="M3599" s="31"/>
      <c r="N3599" s="31"/>
      <c r="O3599" s="16"/>
      <c r="P3599" s="16"/>
      <c r="Q3599" s="16"/>
      <c r="R3599" s="33"/>
      <c r="S3599" s="34"/>
      <c r="T3599" s="34"/>
      <c r="U3599" s="34"/>
      <c r="V3599" s="34"/>
      <c r="W3599" s="34"/>
      <c r="X3599" s="33"/>
      <c r="Y3599" s="35" t="str">
        <f>IF(Tabela2[[#This Row],[SIGLA]]="","",VLOOKUP(Tabela2[[#This Row],[SIGLA]],Tabela1[[#All],[Sigla Arte]:[Crédito]],2,0))</f>
        <v/>
      </c>
      <c r="Z3599" s="31"/>
      <c r="AA3599" s="31" t="str">
        <f>Tabela2[[#This Row],[ILUSTRADOR CRIAÇÃO]]</f>
        <v/>
      </c>
      <c r="AB3599" s="33"/>
      <c r="AC3599" s="16"/>
      <c r="AE3599" s="35" t="str">
        <f t="shared" si="57"/>
        <v>EF1 E002 Mat</v>
      </c>
    </row>
    <row r="3600" spans="1:31" x14ac:dyDescent="0.25">
      <c r="A3600" s="31"/>
      <c r="B3600" s="16"/>
      <c r="C3600" s="16"/>
      <c r="D3600" s="33"/>
      <c r="E3600" s="33"/>
      <c r="F3600" s="33"/>
      <c r="G3600" s="33"/>
      <c r="H3600" s="33"/>
      <c r="I3600" s="31"/>
      <c r="J3600" s="31"/>
      <c r="K3600" s="33"/>
      <c r="L3600" s="33"/>
      <c r="M3600" s="31"/>
      <c r="N3600" s="31"/>
      <c r="O3600" s="16"/>
      <c r="P3600" s="16"/>
      <c r="Q3600" s="16"/>
      <c r="R3600" s="33"/>
      <c r="S3600" s="34"/>
      <c r="T3600" s="34"/>
      <c r="U3600" s="34"/>
      <c r="V3600" s="34"/>
      <c r="W3600" s="34"/>
      <c r="X3600" s="33"/>
      <c r="Y3600" s="35" t="str">
        <f>IF(Tabela2[[#This Row],[SIGLA]]="","",VLOOKUP(Tabela2[[#This Row],[SIGLA]],Tabela1[[#All],[Sigla Arte]:[Crédito]],2,0))</f>
        <v/>
      </c>
      <c r="Z3600" s="31"/>
      <c r="AA3600" s="31" t="str">
        <f>Tabela2[[#This Row],[ILUSTRADOR CRIAÇÃO]]</f>
        <v/>
      </c>
      <c r="AB3600" s="33"/>
      <c r="AC3600" s="16"/>
      <c r="AE3600" s="35" t="str">
        <f t="shared" si="57"/>
        <v>EF1 E002 Mat</v>
      </c>
    </row>
    <row r="3601" spans="1:31" x14ac:dyDescent="0.25">
      <c r="A3601" s="31"/>
      <c r="B3601" s="16"/>
      <c r="C3601" s="16"/>
      <c r="D3601" s="33"/>
      <c r="E3601" s="33"/>
      <c r="F3601" s="33"/>
      <c r="G3601" s="33"/>
      <c r="H3601" s="33"/>
      <c r="I3601" s="31"/>
      <c r="J3601" s="31"/>
      <c r="K3601" s="33"/>
      <c r="L3601" s="33"/>
      <c r="M3601" s="31"/>
      <c r="N3601" s="31"/>
      <c r="O3601" s="16"/>
      <c r="P3601" s="16"/>
      <c r="Q3601" s="16"/>
      <c r="R3601" s="33"/>
      <c r="S3601" s="34"/>
      <c r="T3601" s="34"/>
      <c r="U3601" s="34"/>
      <c r="V3601" s="34"/>
      <c r="W3601" s="34"/>
      <c r="X3601" s="33"/>
      <c r="Y3601" s="35" t="str">
        <f>IF(Tabela2[[#This Row],[SIGLA]]="","",VLOOKUP(Tabela2[[#This Row],[SIGLA]],Tabela1[[#All],[Sigla Arte]:[Crédito]],2,0))</f>
        <v/>
      </c>
      <c r="Z3601" s="31"/>
      <c r="AA3601" s="31" t="str">
        <f>Tabela2[[#This Row],[ILUSTRADOR CRIAÇÃO]]</f>
        <v/>
      </c>
      <c r="AB3601" s="33"/>
      <c r="AC3601" s="16"/>
      <c r="AE3601" s="35" t="str">
        <f t="shared" si="57"/>
        <v>EF1 E002 Mat</v>
      </c>
    </row>
    <row r="3602" spans="1:31" x14ac:dyDescent="0.25">
      <c r="A3602" s="31"/>
      <c r="B3602" s="16"/>
      <c r="C3602" s="16"/>
      <c r="D3602" s="33"/>
      <c r="E3602" s="33"/>
      <c r="F3602" s="33"/>
      <c r="G3602" s="33"/>
      <c r="H3602" s="33"/>
      <c r="I3602" s="31"/>
      <c r="J3602" s="31"/>
      <c r="K3602" s="33"/>
      <c r="L3602" s="33"/>
      <c r="M3602" s="31"/>
      <c r="N3602" s="31"/>
      <c r="O3602" s="16"/>
      <c r="P3602" s="16"/>
      <c r="Q3602" s="16"/>
      <c r="R3602" s="33"/>
      <c r="S3602" s="34"/>
      <c r="T3602" s="34"/>
      <c r="U3602" s="34"/>
      <c r="V3602" s="34"/>
      <c r="W3602" s="34"/>
      <c r="X3602" s="33"/>
      <c r="Y3602" s="35" t="str">
        <f>IF(Tabela2[[#This Row],[SIGLA]]="","",VLOOKUP(Tabela2[[#This Row],[SIGLA]],Tabela1[[#All],[Sigla Arte]:[Crédito]],2,0))</f>
        <v/>
      </c>
      <c r="Z3602" s="31"/>
      <c r="AA3602" s="31" t="str">
        <f>Tabela2[[#This Row],[ILUSTRADOR CRIAÇÃO]]</f>
        <v/>
      </c>
      <c r="AB3602" s="33"/>
      <c r="AC3602" s="16"/>
      <c r="AE3602" s="35" t="str">
        <f t="shared" si="57"/>
        <v>EF1 E002 Mat</v>
      </c>
    </row>
    <row r="3603" spans="1:31" x14ac:dyDescent="0.25">
      <c r="A3603" s="31"/>
      <c r="B3603" s="16"/>
      <c r="C3603" s="16"/>
      <c r="D3603" s="33"/>
      <c r="E3603" s="33"/>
      <c r="F3603" s="33"/>
      <c r="G3603" s="33"/>
      <c r="H3603" s="33"/>
      <c r="I3603" s="31"/>
      <c r="J3603" s="31"/>
      <c r="K3603" s="33"/>
      <c r="L3603" s="33"/>
      <c r="M3603" s="31"/>
      <c r="N3603" s="31"/>
      <c r="O3603" s="16"/>
      <c r="P3603" s="16"/>
      <c r="Q3603" s="16"/>
      <c r="R3603" s="33"/>
      <c r="S3603" s="34"/>
      <c r="T3603" s="34"/>
      <c r="U3603" s="34"/>
      <c r="V3603" s="34"/>
      <c r="W3603" s="34"/>
      <c r="X3603" s="33"/>
      <c r="Y3603" s="35" t="str">
        <f>IF(Tabela2[[#This Row],[SIGLA]]="","",VLOOKUP(Tabela2[[#This Row],[SIGLA]],Tabela1[[#All],[Sigla Arte]:[Crédito]],2,0))</f>
        <v/>
      </c>
      <c r="Z3603" s="31"/>
      <c r="AA3603" s="31" t="str">
        <f>Tabela2[[#This Row],[ILUSTRADOR CRIAÇÃO]]</f>
        <v/>
      </c>
      <c r="AB3603" s="33"/>
      <c r="AC3603" s="16"/>
      <c r="AE3603" s="35" t="str">
        <f t="shared" si="57"/>
        <v>EF1 E002 Mat</v>
      </c>
    </row>
    <row r="3604" spans="1:31" x14ac:dyDescent="0.25">
      <c r="A3604" s="31"/>
      <c r="B3604" s="16"/>
      <c r="C3604" s="16"/>
      <c r="D3604" s="33"/>
      <c r="E3604" s="33"/>
      <c r="F3604" s="33"/>
      <c r="G3604" s="33"/>
      <c r="H3604" s="33"/>
      <c r="I3604" s="31"/>
      <c r="J3604" s="31"/>
      <c r="K3604" s="33"/>
      <c r="L3604" s="33"/>
      <c r="M3604" s="31"/>
      <c r="N3604" s="31"/>
      <c r="O3604" s="16"/>
      <c r="P3604" s="16"/>
      <c r="Q3604" s="16"/>
      <c r="R3604" s="33"/>
      <c r="S3604" s="34"/>
      <c r="T3604" s="34"/>
      <c r="U3604" s="34"/>
      <c r="V3604" s="34"/>
      <c r="W3604" s="34"/>
      <c r="X3604" s="33"/>
      <c r="Y3604" s="35" t="str">
        <f>IF(Tabela2[[#This Row],[SIGLA]]="","",VLOOKUP(Tabela2[[#This Row],[SIGLA]],Tabela1[[#All],[Sigla Arte]:[Crédito]],2,0))</f>
        <v/>
      </c>
      <c r="Z3604" s="31"/>
      <c r="AA3604" s="31" t="str">
        <f>Tabela2[[#This Row],[ILUSTRADOR CRIAÇÃO]]</f>
        <v/>
      </c>
      <c r="AB3604" s="33"/>
      <c r="AC3604" s="16"/>
      <c r="AE3604" s="35" t="str">
        <f t="shared" si="57"/>
        <v>EF1 E002 Mat</v>
      </c>
    </row>
    <row r="3605" spans="1:31" x14ac:dyDescent="0.25">
      <c r="A3605" s="31"/>
      <c r="B3605" s="16"/>
      <c r="C3605" s="16"/>
      <c r="D3605" s="33"/>
      <c r="E3605" s="33"/>
      <c r="F3605" s="33"/>
      <c r="G3605" s="33"/>
      <c r="H3605" s="33"/>
      <c r="I3605" s="31"/>
      <c r="J3605" s="31"/>
      <c r="K3605" s="33"/>
      <c r="L3605" s="33"/>
      <c r="M3605" s="31"/>
      <c r="N3605" s="31"/>
      <c r="O3605" s="16"/>
      <c r="P3605" s="16"/>
      <c r="Q3605" s="16"/>
      <c r="R3605" s="33"/>
      <c r="S3605" s="34"/>
      <c r="T3605" s="34"/>
      <c r="U3605" s="34"/>
      <c r="V3605" s="34"/>
      <c r="W3605" s="34"/>
      <c r="X3605" s="33"/>
      <c r="Y3605" s="35" t="str">
        <f>IF(Tabela2[[#This Row],[SIGLA]]="","",VLOOKUP(Tabela2[[#This Row],[SIGLA]],Tabela1[[#All],[Sigla Arte]:[Crédito]],2,0))</f>
        <v/>
      </c>
      <c r="Z3605" s="31"/>
      <c r="AA3605" s="31" t="str">
        <f>Tabela2[[#This Row],[ILUSTRADOR CRIAÇÃO]]</f>
        <v/>
      </c>
      <c r="AB3605" s="33"/>
      <c r="AC3605" s="16"/>
      <c r="AE3605" s="35" t="str">
        <f t="shared" si="57"/>
        <v>EF1 E002 Mat</v>
      </c>
    </row>
    <row r="3606" spans="1:31" x14ac:dyDescent="0.25">
      <c r="A3606" s="31"/>
      <c r="B3606" s="16"/>
      <c r="C3606" s="16"/>
      <c r="D3606" s="33"/>
      <c r="E3606" s="33"/>
      <c r="F3606" s="33"/>
      <c r="G3606" s="33"/>
      <c r="H3606" s="33"/>
      <c r="I3606" s="31"/>
      <c r="J3606" s="31"/>
      <c r="K3606" s="33"/>
      <c r="L3606" s="33"/>
      <c r="M3606" s="31"/>
      <c r="N3606" s="31"/>
      <c r="O3606" s="16"/>
      <c r="P3606" s="16"/>
      <c r="Q3606" s="16"/>
      <c r="R3606" s="33"/>
      <c r="S3606" s="34"/>
      <c r="T3606" s="34"/>
      <c r="U3606" s="34"/>
      <c r="V3606" s="34"/>
      <c r="W3606" s="34"/>
      <c r="X3606" s="33"/>
      <c r="Y3606" s="35" t="str">
        <f>IF(Tabela2[[#This Row],[SIGLA]]="","",VLOOKUP(Tabela2[[#This Row],[SIGLA]],Tabela1[[#All],[Sigla Arte]:[Crédito]],2,0))</f>
        <v/>
      </c>
      <c r="Z3606" s="31"/>
      <c r="AA3606" s="31" t="str">
        <f>Tabela2[[#This Row],[ILUSTRADOR CRIAÇÃO]]</f>
        <v/>
      </c>
      <c r="AB3606" s="33"/>
      <c r="AC3606" s="16"/>
      <c r="AE3606" s="35" t="str">
        <f t="shared" si="57"/>
        <v>EF1 E002 Mat</v>
      </c>
    </row>
    <row r="3607" spans="1:31" x14ac:dyDescent="0.25">
      <c r="A3607" s="31"/>
      <c r="B3607" s="16"/>
      <c r="C3607" s="16"/>
      <c r="D3607" s="33"/>
      <c r="E3607" s="33"/>
      <c r="F3607" s="33"/>
      <c r="G3607" s="33"/>
      <c r="H3607" s="33"/>
      <c r="I3607" s="31"/>
      <c r="J3607" s="31"/>
      <c r="K3607" s="33"/>
      <c r="L3607" s="33"/>
      <c r="M3607" s="31"/>
      <c r="N3607" s="31"/>
      <c r="O3607" s="16"/>
      <c r="P3607" s="16"/>
      <c r="Q3607" s="16"/>
      <c r="R3607" s="33"/>
      <c r="S3607" s="34"/>
      <c r="T3607" s="34"/>
      <c r="U3607" s="34"/>
      <c r="V3607" s="34"/>
      <c r="W3607" s="34"/>
      <c r="X3607" s="33"/>
      <c r="Y3607" s="35" t="str">
        <f>IF(Tabela2[[#This Row],[SIGLA]]="","",VLOOKUP(Tabela2[[#This Row],[SIGLA]],Tabela1[[#All],[Sigla Arte]:[Crédito]],2,0))</f>
        <v/>
      </c>
      <c r="Z3607" s="31"/>
      <c r="AA3607" s="31" t="str">
        <f>Tabela2[[#This Row],[ILUSTRADOR CRIAÇÃO]]</f>
        <v/>
      </c>
      <c r="AB3607" s="33"/>
      <c r="AC3607" s="16"/>
      <c r="AE3607" s="35" t="str">
        <f t="shared" si="57"/>
        <v>EF1 E002 Mat</v>
      </c>
    </row>
    <row r="3608" spans="1:31" x14ac:dyDescent="0.25">
      <c r="A3608" s="31"/>
      <c r="B3608" s="16"/>
      <c r="C3608" s="16"/>
      <c r="D3608" s="33"/>
      <c r="E3608" s="33"/>
      <c r="F3608" s="33"/>
      <c r="G3608" s="33"/>
      <c r="H3608" s="33"/>
      <c r="I3608" s="31"/>
      <c r="J3608" s="31"/>
      <c r="K3608" s="33"/>
      <c r="L3608" s="33"/>
      <c r="M3608" s="31"/>
      <c r="N3608" s="31"/>
      <c r="O3608" s="16"/>
      <c r="P3608" s="16"/>
      <c r="Q3608" s="16"/>
      <c r="R3608" s="33"/>
      <c r="S3608" s="34"/>
      <c r="T3608" s="34"/>
      <c r="U3608" s="34"/>
      <c r="V3608" s="34"/>
      <c r="W3608" s="34"/>
      <c r="X3608" s="33"/>
      <c r="Y3608" s="35" t="str">
        <f>IF(Tabela2[[#This Row],[SIGLA]]="","",VLOOKUP(Tabela2[[#This Row],[SIGLA]],Tabela1[[#All],[Sigla Arte]:[Crédito]],2,0))</f>
        <v/>
      </c>
      <c r="Z3608" s="31"/>
      <c r="AA3608" s="31" t="str">
        <f>Tabela2[[#This Row],[ILUSTRADOR CRIAÇÃO]]</f>
        <v/>
      </c>
      <c r="AB3608" s="33"/>
      <c r="AC3608" s="16"/>
      <c r="AE3608" s="35" t="str">
        <f t="shared" si="57"/>
        <v>EF1 E002 Mat</v>
      </c>
    </row>
    <row r="3609" spans="1:31" x14ac:dyDescent="0.25">
      <c r="A3609" s="31"/>
      <c r="B3609" s="16"/>
      <c r="C3609" s="16"/>
      <c r="D3609" s="33"/>
      <c r="E3609" s="33"/>
      <c r="F3609" s="33"/>
      <c r="G3609" s="33"/>
      <c r="H3609" s="33"/>
      <c r="I3609" s="31"/>
      <c r="J3609" s="31"/>
      <c r="K3609" s="33"/>
      <c r="L3609" s="33"/>
      <c r="M3609" s="31"/>
      <c r="N3609" s="31"/>
      <c r="O3609" s="16"/>
      <c r="P3609" s="16"/>
      <c r="Q3609" s="16"/>
      <c r="R3609" s="33"/>
      <c r="S3609" s="34"/>
      <c r="T3609" s="34"/>
      <c r="U3609" s="34"/>
      <c r="V3609" s="34"/>
      <c r="W3609" s="34"/>
      <c r="X3609" s="33"/>
      <c r="Y3609" s="35" t="str">
        <f>IF(Tabela2[[#This Row],[SIGLA]]="","",VLOOKUP(Tabela2[[#This Row],[SIGLA]],Tabela1[[#All],[Sigla Arte]:[Crédito]],2,0))</f>
        <v/>
      </c>
      <c r="Z3609" s="31"/>
      <c r="AA3609" s="31" t="str">
        <f>Tabela2[[#This Row],[ILUSTRADOR CRIAÇÃO]]</f>
        <v/>
      </c>
      <c r="AB3609" s="33"/>
      <c r="AC3609" s="16"/>
      <c r="AE3609" s="35" t="str">
        <f t="shared" si="57"/>
        <v>EF1 E002 Mat</v>
      </c>
    </row>
    <row r="3610" spans="1:31" x14ac:dyDescent="0.25">
      <c r="A3610" s="31"/>
      <c r="B3610" s="16"/>
      <c r="C3610" s="16"/>
      <c r="D3610" s="33"/>
      <c r="E3610" s="33"/>
      <c r="F3610" s="33"/>
      <c r="G3610" s="33"/>
      <c r="H3610" s="33"/>
      <c r="I3610" s="31"/>
      <c r="J3610" s="31"/>
      <c r="K3610" s="33"/>
      <c r="L3610" s="33"/>
      <c r="M3610" s="31"/>
      <c r="N3610" s="31"/>
      <c r="O3610" s="16"/>
      <c r="P3610" s="16"/>
      <c r="Q3610" s="16"/>
      <c r="R3610" s="33"/>
      <c r="S3610" s="34"/>
      <c r="T3610" s="34"/>
      <c r="U3610" s="34"/>
      <c r="V3610" s="34"/>
      <c r="W3610" s="34"/>
      <c r="X3610" s="33"/>
      <c r="Y3610" s="35" t="str">
        <f>IF(Tabela2[[#This Row],[SIGLA]]="","",VLOOKUP(Tabela2[[#This Row],[SIGLA]],Tabela1[[#All],[Sigla Arte]:[Crédito]],2,0))</f>
        <v/>
      </c>
      <c r="Z3610" s="31"/>
      <c r="AA3610" s="31" t="str">
        <f>Tabela2[[#This Row],[ILUSTRADOR CRIAÇÃO]]</f>
        <v/>
      </c>
      <c r="AB3610" s="33"/>
      <c r="AC3610" s="16"/>
      <c r="AE3610" s="35" t="str">
        <f t="shared" si="57"/>
        <v>EF1 E002 Mat</v>
      </c>
    </row>
    <row r="3611" spans="1:31" x14ac:dyDescent="0.25">
      <c r="A3611" s="31"/>
      <c r="B3611" s="16"/>
      <c r="C3611" s="16"/>
      <c r="D3611" s="33"/>
      <c r="E3611" s="33"/>
      <c r="F3611" s="33"/>
      <c r="G3611" s="33"/>
      <c r="H3611" s="33"/>
      <c r="I3611" s="31"/>
      <c r="J3611" s="31"/>
      <c r="K3611" s="33"/>
      <c r="L3611" s="33"/>
      <c r="M3611" s="31"/>
      <c r="N3611" s="31"/>
      <c r="O3611" s="16"/>
      <c r="P3611" s="16"/>
      <c r="Q3611" s="16"/>
      <c r="R3611" s="33"/>
      <c r="S3611" s="34"/>
      <c r="T3611" s="34"/>
      <c r="U3611" s="34"/>
      <c r="V3611" s="34"/>
      <c r="W3611" s="34"/>
      <c r="X3611" s="33"/>
      <c r="Y3611" s="35" t="str">
        <f>IF(Tabela2[[#This Row],[SIGLA]]="","",VLOOKUP(Tabela2[[#This Row],[SIGLA]],Tabela1[[#All],[Sigla Arte]:[Crédito]],2,0))</f>
        <v/>
      </c>
      <c r="Z3611" s="31"/>
      <c r="AA3611" s="31" t="str">
        <f>Tabela2[[#This Row],[ILUSTRADOR CRIAÇÃO]]</f>
        <v/>
      </c>
      <c r="AB3611" s="33"/>
      <c r="AC3611" s="16"/>
      <c r="AE3611" s="35" t="str">
        <f t="shared" si="57"/>
        <v>EF1 E002 Mat</v>
      </c>
    </row>
    <row r="3612" spans="1:31" x14ac:dyDescent="0.25">
      <c r="A3612" s="31"/>
      <c r="B3612" s="16"/>
      <c r="C3612" s="16"/>
      <c r="D3612" s="33"/>
      <c r="E3612" s="33"/>
      <c r="F3612" s="33"/>
      <c r="G3612" s="33"/>
      <c r="H3612" s="33"/>
      <c r="I3612" s="31"/>
      <c r="J3612" s="31"/>
      <c r="K3612" s="33"/>
      <c r="L3612" s="33"/>
      <c r="M3612" s="31"/>
      <c r="N3612" s="31"/>
      <c r="O3612" s="16"/>
      <c r="P3612" s="16"/>
      <c r="Q3612" s="16"/>
      <c r="R3612" s="33"/>
      <c r="S3612" s="34"/>
      <c r="T3612" s="34"/>
      <c r="U3612" s="34"/>
      <c r="V3612" s="34"/>
      <c r="W3612" s="34"/>
      <c r="X3612" s="33"/>
      <c r="Y3612" s="35" t="str">
        <f>IF(Tabela2[[#This Row],[SIGLA]]="","",VLOOKUP(Tabela2[[#This Row],[SIGLA]],Tabela1[[#All],[Sigla Arte]:[Crédito]],2,0))</f>
        <v/>
      </c>
      <c r="Z3612" s="31"/>
      <c r="AA3612" s="31" t="str">
        <f>Tabela2[[#This Row],[ILUSTRADOR CRIAÇÃO]]</f>
        <v/>
      </c>
      <c r="AB3612" s="33"/>
      <c r="AC3612" s="16"/>
      <c r="AE3612" s="35" t="str">
        <f t="shared" si="57"/>
        <v>EF1 E002 Mat</v>
      </c>
    </row>
    <row r="3613" spans="1:31" x14ac:dyDescent="0.25">
      <c r="A3613" s="31"/>
      <c r="B3613" s="16"/>
      <c r="C3613" s="16"/>
      <c r="D3613" s="33"/>
      <c r="E3613" s="33"/>
      <c r="F3613" s="33"/>
      <c r="G3613" s="33"/>
      <c r="H3613" s="33"/>
      <c r="I3613" s="31"/>
      <c r="J3613" s="31"/>
      <c r="K3613" s="33"/>
      <c r="L3613" s="33"/>
      <c r="M3613" s="31"/>
      <c r="N3613" s="31"/>
      <c r="O3613" s="16"/>
      <c r="P3613" s="16"/>
      <c r="Q3613" s="16"/>
      <c r="R3613" s="33"/>
      <c r="S3613" s="34"/>
      <c r="T3613" s="34"/>
      <c r="U3613" s="34"/>
      <c r="V3613" s="34"/>
      <c r="W3613" s="34"/>
      <c r="X3613" s="33"/>
      <c r="Y3613" s="35" t="str">
        <f>IF(Tabela2[[#This Row],[SIGLA]]="","",VLOOKUP(Tabela2[[#This Row],[SIGLA]],Tabela1[[#All],[Sigla Arte]:[Crédito]],2,0))</f>
        <v/>
      </c>
      <c r="Z3613" s="31"/>
      <c r="AA3613" s="31" t="str">
        <f>Tabela2[[#This Row],[ILUSTRADOR CRIAÇÃO]]</f>
        <v/>
      </c>
      <c r="AB3613" s="33"/>
      <c r="AC3613" s="16"/>
      <c r="AE3613" s="35" t="str">
        <f t="shared" si="57"/>
        <v>EF1 E002 Mat</v>
      </c>
    </row>
    <row r="3614" spans="1:31" x14ac:dyDescent="0.25">
      <c r="A3614" s="31"/>
      <c r="B3614" s="16"/>
      <c r="C3614" s="16"/>
      <c r="D3614" s="33"/>
      <c r="E3614" s="33"/>
      <c r="F3614" s="33"/>
      <c r="G3614" s="33"/>
      <c r="H3614" s="33"/>
      <c r="I3614" s="31"/>
      <c r="J3614" s="31"/>
      <c r="K3614" s="33"/>
      <c r="L3614" s="33"/>
      <c r="M3614" s="31"/>
      <c r="N3614" s="31"/>
      <c r="O3614" s="16"/>
      <c r="P3614" s="16"/>
      <c r="Q3614" s="16"/>
      <c r="R3614" s="33"/>
      <c r="S3614" s="34"/>
      <c r="T3614" s="34"/>
      <c r="U3614" s="34"/>
      <c r="V3614" s="34"/>
      <c r="W3614" s="34"/>
      <c r="X3614" s="33"/>
      <c r="Y3614" s="35" t="str">
        <f>IF(Tabela2[[#This Row],[SIGLA]]="","",VLOOKUP(Tabela2[[#This Row],[SIGLA]],Tabela1[[#All],[Sigla Arte]:[Crédito]],2,0))</f>
        <v/>
      </c>
      <c r="Z3614" s="31"/>
      <c r="AA3614" s="31" t="str">
        <f>Tabela2[[#This Row],[ILUSTRADOR CRIAÇÃO]]</f>
        <v/>
      </c>
      <c r="AB3614" s="33"/>
      <c r="AC3614" s="16"/>
      <c r="AE3614" s="35" t="str">
        <f t="shared" si="57"/>
        <v>EF1 E002 Mat</v>
      </c>
    </row>
    <row r="3615" spans="1:31" x14ac:dyDescent="0.25">
      <c r="A3615" s="31"/>
      <c r="B3615" s="16"/>
      <c r="C3615" s="16"/>
      <c r="D3615" s="33"/>
      <c r="E3615" s="33"/>
      <c r="F3615" s="33"/>
      <c r="G3615" s="33"/>
      <c r="H3615" s="33"/>
      <c r="I3615" s="31"/>
      <c r="J3615" s="31"/>
      <c r="K3615" s="33"/>
      <c r="L3615" s="33"/>
      <c r="M3615" s="31"/>
      <c r="N3615" s="31"/>
      <c r="O3615" s="16"/>
      <c r="P3615" s="16"/>
      <c r="Q3615" s="16"/>
      <c r="R3615" s="33"/>
      <c r="S3615" s="34"/>
      <c r="T3615" s="34"/>
      <c r="U3615" s="34"/>
      <c r="V3615" s="34"/>
      <c r="W3615" s="34"/>
      <c r="X3615" s="33"/>
      <c r="Y3615" s="35" t="str">
        <f>IF(Tabela2[[#This Row],[SIGLA]]="","",VLOOKUP(Tabela2[[#This Row],[SIGLA]],Tabela1[[#All],[Sigla Arte]:[Crédito]],2,0))</f>
        <v/>
      </c>
      <c r="Z3615" s="31"/>
      <c r="AA3615" s="31" t="str">
        <f>Tabela2[[#This Row],[ILUSTRADOR CRIAÇÃO]]</f>
        <v/>
      </c>
      <c r="AB3615" s="33"/>
      <c r="AC3615" s="16"/>
      <c r="AE3615" s="35" t="str">
        <f t="shared" si="57"/>
        <v>EF1 E002 Mat</v>
      </c>
    </row>
    <row r="3616" spans="1:31" x14ac:dyDescent="0.25">
      <c r="A3616" s="31"/>
      <c r="B3616" s="16"/>
      <c r="C3616" s="16"/>
      <c r="D3616" s="33"/>
      <c r="E3616" s="33"/>
      <c r="F3616" s="33"/>
      <c r="G3616" s="33"/>
      <c r="H3616" s="33"/>
      <c r="I3616" s="31"/>
      <c r="J3616" s="31"/>
      <c r="K3616" s="33"/>
      <c r="L3616" s="33"/>
      <c r="M3616" s="31"/>
      <c r="N3616" s="31"/>
      <c r="O3616" s="16"/>
      <c r="P3616" s="16"/>
      <c r="Q3616" s="16"/>
      <c r="R3616" s="33"/>
      <c r="S3616" s="34"/>
      <c r="T3616" s="34"/>
      <c r="U3616" s="34"/>
      <c r="V3616" s="34"/>
      <c r="W3616" s="34"/>
      <c r="X3616" s="33"/>
      <c r="Y3616" s="35" t="str">
        <f>IF(Tabela2[[#This Row],[SIGLA]]="","",VLOOKUP(Tabela2[[#This Row],[SIGLA]],Tabela1[[#All],[Sigla Arte]:[Crédito]],2,0))</f>
        <v/>
      </c>
      <c r="Z3616" s="31"/>
      <c r="AA3616" s="31" t="str">
        <f>Tabela2[[#This Row],[ILUSTRADOR CRIAÇÃO]]</f>
        <v/>
      </c>
      <c r="AB3616" s="33"/>
      <c r="AC3616" s="16"/>
      <c r="AE3616" s="35" t="str">
        <f t="shared" si="57"/>
        <v>EF1 E002 Mat</v>
      </c>
    </row>
    <row r="3617" spans="1:31" x14ac:dyDescent="0.25">
      <c r="A3617" s="31"/>
      <c r="B3617" s="16"/>
      <c r="C3617" s="16"/>
      <c r="D3617" s="33"/>
      <c r="E3617" s="33"/>
      <c r="F3617" s="33"/>
      <c r="G3617" s="33"/>
      <c r="H3617" s="33"/>
      <c r="I3617" s="31"/>
      <c r="J3617" s="31"/>
      <c r="K3617" s="33"/>
      <c r="L3617" s="33"/>
      <c r="M3617" s="31"/>
      <c r="N3617" s="31"/>
      <c r="O3617" s="16"/>
      <c r="P3617" s="16"/>
      <c r="Q3617" s="16"/>
      <c r="R3617" s="33"/>
      <c r="S3617" s="34"/>
      <c r="T3617" s="34"/>
      <c r="U3617" s="34"/>
      <c r="V3617" s="34"/>
      <c r="W3617" s="34"/>
      <c r="X3617" s="33"/>
      <c r="Y3617" s="35" t="str">
        <f>IF(Tabela2[[#This Row],[SIGLA]]="","",VLOOKUP(Tabela2[[#This Row],[SIGLA]],Tabela1[[#All],[Sigla Arte]:[Crédito]],2,0))</f>
        <v/>
      </c>
      <c r="Z3617" s="31"/>
      <c r="AA3617" s="31" t="str">
        <f>Tabela2[[#This Row],[ILUSTRADOR CRIAÇÃO]]</f>
        <v/>
      </c>
      <c r="AB3617" s="33"/>
      <c r="AC3617" s="16"/>
      <c r="AE3617" s="35" t="str">
        <f t="shared" si="57"/>
        <v>EF1 E002 Mat</v>
      </c>
    </row>
    <row r="3618" spans="1:31" x14ac:dyDescent="0.25">
      <c r="A3618" s="31"/>
      <c r="B3618" s="16"/>
      <c r="C3618" s="16"/>
      <c r="D3618" s="33"/>
      <c r="E3618" s="33"/>
      <c r="F3618" s="33"/>
      <c r="G3618" s="33"/>
      <c r="H3618" s="33"/>
      <c r="I3618" s="31"/>
      <c r="J3618" s="31"/>
      <c r="K3618" s="33"/>
      <c r="L3618" s="33"/>
      <c r="M3618" s="31"/>
      <c r="N3618" s="31"/>
      <c r="O3618" s="16"/>
      <c r="P3618" s="16"/>
      <c r="Q3618" s="16"/>
      <c r="R3618" s="33"/>
      <c r="S3618" s="34"/>
      <c r="T3618" s="34"/>
      <c r="U3618" s="34"/>
      <c r="V3618" s="34"/>
      <c r="W3618" s="34"/>
      <c r="X3618" s="33"/>
      <c r="Y3618" s="35" t="str">
        <f>IF(Tabela2[[#This Row],[SIGLA]]="","",VLOOKUP(Tabela2[[#This Row],[SIGLA]],Tabela1[[#All],[Sigla Arte]:[Crédito]],2,0))</f>
        <v/>
      </c>
      <c r="Z3618" s="31"/>
      <c r="AA3618" s="31" t="str">
        <f>Tabela2[[#This Row],[ILUSTRADOR CRIAÇÃO]]</f>
        <v/>
      </c>
      <c r="AB3618" s="33"/>
      <c r="AC3618" s="16"/>
      <c r="AE3618" s="35" t="str">
        <f t="shared" si="57"/>
        <v>EF1 E002 Mat</v>
      </c>
    </row>
    <row r="3619" spans="1:31" x14ac:dyDescent="0.25">
      <c r="A3619" s="31"/>
      <c r="B3619" s="16"/>
      <c r="C3619" s="16"/>
      <c r="D3619" s="33"/>
      <c r="E3619" s="33"/>
      <c r="F3619" s="33"/>
      <c r="G3619" s="33"/>
      <c r="H3619" s="33"/>
      <c r="I3619" s="31"/>
      <c r="J3619" s="31"/>
      <c r="K3619" s="33"/>
      <c r="L3619" s="33"/>
      <c r="M3619" s="31"/>
      <c r="N3619" s="31"/>
      <c r="O3619" s="16"/>
      <c r="P3619" s="16"/>
      <c r="Q3619" s="16"/>
      <c r="R3619" s="33"/>
      <c r="S3619" s="34"/>
      <c r="T3619" s="34"/>
      <c r="U3619" s="34"/>
      <c r="V3619" s="34"/>
      <c r="W3619" s="34"/>
      <c r="X3619" s="33"/>
      <c r="Y3619" s="35" t="str">
        <f>IF(Tabela2[[#This Row],[SIGLA]]="","",VLOOKUP(Tabela2[[#This Row],[SIGLA]],Tabela1[[#All],[Sigla Arte]:[Crédito]],2,0))</f>
        <v/>
      </c>
      <c r="Z3619" s="31"/>
      <c r="AA3619" s="31" t="str">
        <f>Tabela2[[#This Row],[ILUSTRADOR CRIAÇÃO]]</f>
        <v/>
      </c>
      <c r="AB3619" s="33"/>
      <c r="AC3619" s="16"/>
      <c r="AE3619" s="35" t="str">
        <f t="shared" si="57"/>
        <v>EF1 E002 Mat</v>
      </c>
    </row>
    <row r="3620" spans="1:31" x14ac:dyDescent="0.25">
      <c r="A3620" s="31"/>
      <c r="B3620" s="16"/>
      <c r="C3620" s="16"/>
      <c r="D3620" s="33"/>
      <c r="E3620" s="33"/>
      <c r="F3620" s="33"/>
      <c r="G3620" s="33"/>
      <c r="H3620" s="33"/>
      <c r="I3620" s="31"/>
      <c r="J3620" s="31"/>
      <c r="K3620" s="33"/>
      <c r="L3620" s="33"/>
      <c r="M3620" s="31"/>
      <c r="N3620" s="31"/>
      <c r="O3620" s="16"/>
      <c r="P3620" s="16"/>
      <c r="Q3620" s="16"/>
      <c r="R3620" s="33"/>
      <c r="S3620" s="34"/>
      <c r="T3620" s="34"/>
      <c r="U3620" s="34"/>
      <c r="V3620" s="34"/>
      <c r="W3620" s="34"/>
      <c r="X3620" s="33"/>
      <c r="Y3620" s="35" t="str">
        <f>IF(Tabela2[[#This Row],[SIGLA]]="","",VLOOKUP(Tabela2[[#This Row],[SIGLA]],Tabela1[[#All],[Sigla Arte]:[Crédito]],2,0))</f>
        <v/>
      </c>
      <c r="Z3620" s="31"/>
      <c r="AA3620" s="31" t="str">
        <f>Tabela2[[#This Row],[ILUSTRADOR CRIAÇÃO]]</f>
        <v/>
      </c>
      <c r="AB3620" s="33"/>
      <c r="AC3620" s="16"/>
      <c r="AE3620" s="35" t="str">
        <f t="shared" si="57"/>
        <v>EF1 E002 Mat</v>
      </c>
    </row>
    <row r="3621" spans="1:31" x14ac:dyDescent="0.25">
      <c r="A3621" s="31"/>
      <c r="B3621" s="16"/>
      <c r="C3621" s="16"/>
      <c r="D3621" s="33"/>
      <c r="E3621" s="33"/>
      <c r="F3621" s="33"/>
      <c r="G3621" s="33"/>
      <c r="H3621" s="33"/>
      <c r="I3621" s="31"/>
      <c r="J3621" s="31"/>
      <c r="K3621" s="33"/>
      <c r="L3621" s="33"/>
      <c r="M3621" s="31"/>
      <c r="N3621" s="31"/>
      <c r="O3621" s="16"/>
      <c r="P3621" s="16"/>
      <c r="Q3621" s="16"/>
      <c r="R3621" s="33"/>
      <c r="S3621" s="34"/>
      <c r="T3621" s="34"/>
      <c r="U3621" s="34"/>
      <c r="V3621" s="34"/>
      <c r="W3621" s="34"/>
      <c r="X3621" s="33"/>
      <c r="Y3621" s="35" t="str">
        <f>IF(Tabela2[[#This Row],[SIGLA]]="","",VLOOKUP(Tabela2[[#This Row],[SIGLA]],Tabela1[[#All],[Sigla Arte]:[Crédito]],2,0))</f>
        <v/>
      </c>
      <c r="Z3621" s="31"/>
      <c r="AA3621" s="31" t="str">
        <f>Tabela2[[#This Row],[ILUSTRADOR CRIAÇÃO]]</f>
        <v/>
      </c>
      <c r="AB3621" s="33"/>
      <c r="AC3621" s="16"/>
      <c r="AE3621" s="35" t="str">
        <f t="shared" si="57"/>
        <v>EF1 E002 Mat</v>
      </c>
    </row>
    <row r="3622" spans="1:31" x14ac:dyDescent="0.25">
      <c r="A3622" s="31"/>
      <c r="B3622" s="16"/>
      <c r="C3622" s="16"/>
      <c r="D3622" s="33"/>
      <c r="E3622" s="33"/>
      <c r="F3622" s="33"/>
      <c r="G3622" s="33"/>
      <c r="H3622" s="33"/>
      <c r="I3622" s="31"/>
      <c r="J3622" s="31"/>
      <c r="K3622" s="33"/>
      <c r="L3622" s="33"/>
      <c r="M3622" s="31"/>
      <c r="N3622" s="31"/>
      <c r="O3622" s="16"/>
      <c r="P3622" s="16"/>
      <c r="Q3622" s="16"/>
      <c r="R3622" s="33"/>
      <c r="S3622" s="34"/>
      <c r="T3622" s="34"/>
      <c r="U3622" s="34"/>
      <c r="V3622" s="34"/>
      <c r="W3622" s="34"/>
      <c r="X3622" s="33"/>
      <c r="Y3622" s="35" t="str">
        <f>IF(Tabela2[[#This Row],[SIGLA]]="","",VLOOKUP(Tabela2[[#This Row],[SIGLA]],Tabela1[[#All],[Sigla Arte]:[Crédito]],2,0))</f>
        <v/>
      </c>
      <c r="Z3622" s="31"/>
      <c r="AA3622" s="31" t="str">
        <f>Tabela2[[#This Row],[ILUSTRADOR CRIAÇÃO]]</f>
        <v/>
      </c>
      <c r="AB3622" s="33"/>
      <c r="AC3622" s="16"/>
      <c r="AE3622" s="35" t="str">
        <f t="shared" si="57"/>
        <v>EF1 E002 Mat</v>
      </c>
    </row>
    <row r="3623" spans="1:31" x14ac:dyDescent="0.25">
      <c r="A3623" s="31"/>
      <c r="B3623" s="16"/>
      <c r="C3623" s="16"/>
      <c r="D3623" s="33"/>
      <c r="E3623" s="33"/>
      <c r="F3623" s="33"/>
      <c r="G3623" s="33"/>
      <c r="H3623" s="33"/>
      <c r="I3623" s="31"/>
      <c r="J3623" s="31"/>
      <c r="K3623" s="33"/>
      <c r="L3623" s="33"/>
      <c r="M3623" s="31"/>
      <c r="N3623" s="31"/>
      <c r="O3623" s="16"/>
      <c r="P3623" s="16"/>
      <c r="Q3623" s="16"/>
      <c r="R3623" s="33"/>
      <c r="S3623" s="34"/>
      <c r="T3623" s="34"/>
      <c r="U3623" s="34"/>
      <c r="V3623" s="34"/>
      <c r="W3623" s="34"/>
      <c r="X3623" s="33"/>
      <c r="Y3623" s="35" t="str">
        <f>IF(Tabela2[[#This Row],[SIGLA]]="","",VLOOKUP(Tabela2[[#This Row],[SIGLA]],Tabela1[[#All],[Sigla Arte]:[Crédito]],2,0))</f>
        <v/>
      </c>
      <c r="Z3623" s="31"/>
      <c r="AA3623" s="31" t="str">
        <f>Tabela2[[#This Row],[ILUSTRADOR CRIAÇÃO]]</f>
        <v/>
      </c>
      <c r="AB3623" s="33"/>
      <c r="AC3623" s="16"/>
      <c r="AE3623" s="35" t="str">
        <f t="shared" si="57"/>
        <v>EF1 E002 Mat</v>
      </c>
    </row>
    <row r="3624" spans="1:31" x14ac:dyDescent="0.25">
      <c r="A3624" s="31"/>
      <c r="B3624" s="16"/>
      <c r="C3624" s="16"/>
      <c r="D3624" s="33"/>
      <c r="E3624" s="33"/>
      <c r="F3624" s="33"/>
      <c r="G3624" s="33"/>
      <c r="H3624" s="33"/>
      <c r="I3624" s="31"/>
      <c r="J3624" s="31"/>
      <c r="K3624" s="33"/>
      <c r="L3624" s="33"/>
      <c r="M3624" s="31"/>
      <c r="N3624" s="31"/>
      <c r="O3624" s="16"/>
      <c r="P3624" s="16"/>
      <c r="Q3624" s="16"/>
      <c r="R3624" s="33"/>
      <c r="S3624" s="34"/>
      <c r="T3624" s="34"/>
      <c r="U3624" s="34"/>
      <c r="V3624" s="34"/>
      <c r="W3624" s="34"/>
      <c r="X3624" s="33"/>
      <c r="Y3624" s="35" t="str">
        <f>IF(Tabela2[[#This Row],[SIGLA]]="","",VLOOKUP(Tabela2[[#This Row],[SIGLA]],Tabela1[[#All],[Sigla Arte]:[Crédito]],2,0))</f>
        <v/>
      </c>
      <c r="Z3624" s="31"/>
      <c r="AA3624" s="31" t="str">
        <f>Tabela2[[#This Row],[ILUSTRADOR CRIAÇÃO]]</f>
        <v/>
      </c>
      <c r="AB3624" s="33"/>
      <c r="AC3624" s="16"/>
      <c r="AE3624" s="35" t="str">
        <f t="shared" si="57"/>
        <v>EF1 E002 Mat</v>
      </c>
    </row>
    <row r="3625" spans="1:31" x14ac:dyDescent="0.25">
      <c r="A3625" s="31"/>
      <c r="B3625" s="16"/>
      <c r="C3625" s="16"/>
      <c r="D3625" s="33"/>
      <c r="E3625" s="33"/>
      <c r="F3625" s="33"/>
      <c r="G3625" s="33"/>
      <c r="H3625" s="33"/>
      <c r="I3625" s="31"/>
      <c r="J3625" s="31"/>
      <c r="K3625" s="33"/>
      <c r="L3625" s="33"/>
      <c r="M3625" s="31"/>
      <c r="N3625" s="31"/>
      <c r="O3625" s="16"/>
      <c r="P3625" s="16"/>
      <c r="Q3625" s="16"/>
      <c r="R3625" s="33"/>
      <c r="S3625" s="34"/>
      <c r="T3625" s="34"/>
      <c r="U3625" s="34"/>
      <c r="V3625" s="34"/>
      <c r="W3625" s="34"/>
      <c r="X3625" s="33"/>
      <c r="Y3625" s="35" t="str">
        <f>IF(Tabela2[[#This Row],[SIGLA]]="","",VLOOKUP(Tabela2[[#This Row],[SIGLA]],Tabela1[[#All],[Sigla Arte]:[Crédito]],2,0))</f>
        <v/>
      </c>
      <c r="Z3625" s="31"/>
      <c r="AA3625" s="31" t="str">
        <f>Tabela2[[#This Row],[ILUSTRADOR CRIAÇÃO]]</f>
        <v/>
      </c>
      <c r="AB3625" s="33"/>
      <c r="AC3625" s="16"/>
      <c r="AE3625" s="35" t="str">
        <f t="shared" si="57"/>
        <v>EF1 E002 Mat</v>
      </c>
    </row>
    <row r="3626" spans="1:31" x14ac:dyDescent="0.25">
      <c r="A3626" s="31"/>
      <c r="B3626" s="16"/>
      <c r="C3626" s="16"/>
      <c r="D3626" s="33"/>
      <c r="E3626" s="33"/>
      <c r="F3626" s="33"/>
      <c r="G3626" s="33"/>
      <c r="H3626" s="33"/>
      <c r="I3626" s="31"/>
      <c r="J3626" s="31"/>
      <c r="K3626" s="33"/>
      <c r="L3626" s="33"/>
      <c r="M3626" s="31"/>
      <c r="N3626" s="31"/>
      <c r="O3626" s="16"/>
      <c r="P3626" s="16"/>
      <c r="Q3626" s="16"/>
      <c r="R3626" s="33"/>
      <c r="S3626" s="34"/>
      <c r="T3626" s="34"/>
      <c r="U3626" s="34"/>
      <c r="V3626" s="34"/>
      <c r="W3626" s="34"/>
      <c r="X3626" s="33"/>
      <c r="Y3626" s="35" t="str">
        <f>IF(Tabela2[[#This Row],[SIGLA]]="","",VLOOKUP(Tabela2[[#This Row],[SIGLA]],Tabela1[[#All],[Sigla Arte]:[Crédito]],2,0))</f>
        <v/>
      </c>
      <c r="Z3626" s="31"/>
      <c r="AA3626" s="31" t="str">
        <f>Tabela2[[#This Row],[ILUSTRADOR CRIAÇÃO]]</f>
        <v/>
      </c>
      <c r="AB3626" s="33"/>
      <c r="AC3626" s="16"/>
      <c r="AE3626" s="35" t="str">
        <f t="shared" si="57"/>
        <v>EF1 E002 Mat</v>
      </c>
    </row>
    <row r="3627" spans="1:31" x14ac:dyDescent="0.25">
      <c r="A3627" s="31"/>
      <c r="B3627" s="16"/>
      <c r="C3627" s="16"/>
      <c r="D3627" s="33"/>
      <c r="E3627" s="33"/>
      <c r="F3627" s="33"/>
      <c r="G3627" s="33"/>
      <c r="H3627" s="33"/>
      <c r="I3627" s="31"/>
      <c r="J3627" s="31"/>
      <c r="K3627" s="33"/>
      <c r="L3627" s="33"/>
      <c r="M3627" s="31"/>
      <c r="N3627" s="31"/>
      <c r="O3627" s="16"/>
      <c r="P3627" s="16"/>
      <c r="Q3627" s="16"/>
      <c r="R3627" s="33"/>
      <c r="S3627" s="34"/>
      <c r="T3627" s="34"/>
      <c r="U3627" s="34"/>
      <c r="V3627" s="34"/>
      <c r="W3627" s="34"/>
      <c r="X3627" s="33"/>
      <c r="Y3627" s="35" t="str">
        <f>IF(Tabela2[[#This Row],[SIGLA]]="","",VLOOKUP(Tabela2[[#This Row],[SIGLA]],Tabela1[[#All],[Sigla Arte]:[Crédito]],2,0))</f>
        <v/>
      </c>
      <c r="Z3627" s="31"/>
      <c r="AA3627" s="31" t="str">
        <f>Tabela2[[#This Row],[ILUSTRADOR CRIAÇÃO]]</f>
        <v/>
      </c>
      <c r="AB3627" s="33"/>
      <c r="AC3627" s="16"/>
      <c r="AE3627" s="35" t="str">
        <f t="shared" si="57"/>
        <v>EF1 E002 Mat</v>
      </c>
    </row>
    <row r="3628" spans="1:31" x14ac:dyDescent="0.25">
      <c r="A3628" s="31"/>
      <c r="B3628" s="16"/>
      <c r="C3628" s="16"/>
      <c r="D3628" s="33"/>
      <c r="E3628" s="33"/>
      <c r="F3628" s="33"/>
      <c r="G3628" s="33"/>
      <c r="H3628" s="33"/>
      <c r="I3628" s="31"/>
      <c r="J3628" s="31"/>
      <c r="K3628" s="33"/>
      <c r="L3628" s="33"/>
      <c r="M3628" s="31"/>
      <c r="N3628" s="31"/>
      <c r="O3628" s="16"/>
      <c r="P3628" s="16"/>
      <c r="Q3628" s="16"/>
      <c r="R3628" s="33"/>
      <c r="S3628" s="34"/>
      <c r="T3628" s="34"/>
      <c r="U3628" s="34"/>
      <c r="V3628" s="34"/>
      <c r="W3628" s="34"/>
      <c r="X3628" s="33"/>
      <c r="Y3628" s="35" t="str">
        <f>IF(Tabela2[[#This Row],[SIGLA]]="","",VLOOKUP(Tabela2[[#This Row],[SIGLA]],Tabela1[[#All],[Sigla Arte]:[Crédito]],2,0))</f>
        <v/>
      </c>
      <c r="Z3628" s="31"/>
      <c r="AA3628" s="31" t="str">
        <f>Tabela2[[#This Row],[ILUSTRADOR CRIAÇÃO]]</f>
        <v/>
      </c>
      <c r="AB3628" s="33"/>
      <c r="AC3628" s="16"/>
      <c r="AE3628" s="35" t="str">
        <f t="shared" si="57"/>
        <v>EF1 E002 Mat</v>
      </c>
    </row>
    <row r="3629" spans="1:31" x14ac:dyDescent="0.25">
      <c r="A3629" s="31"/>
      <c r="B3629" s="16"/>
      <c r="C3629" s="16"/>
      <c r="D3629" s="33"/>
      <c r="E3629" s="33"/>
      <c r="F3629" s="33"/>
      <c r="G3629" s="33"/>
      <c r="H3629" s="33"/>
      <c r="I3629" s="31"/>
      <c r="J3629" s="31"/>
      <c r="K3629" s="33"/>
      <c r="L3629" s="33"/>
      <c r="M3629" s="31"/>
      <c r="N3629" s="31"/>
      <c r="O3629" s="16"/>
      <c r="P3629" s="16"/>
      <c r="Q3629" s="16"/>
      <c r="R3629" s="33"/>
      <c r="S3629" s="34"/>
      <c r="T3629" s="34"/>
      <c r="U3629" s="34"/>
      <c r="V3629" s="34"/>
      <c r="W3629" s="34"/>
      <c r="X3629" s="33"/>
      <c r="Y3629" s="35" t="str">
        <f>IF(Tabela2[[#This Row],[SIGLA]]="","",VLOOKUP(Tabela2[[#This Row],[SIGLA]],Tabela1[[#All],[Sigla Arte]:[Crédito]],2,0))</f>
        <v/>
      </c>
      <c r="Z3629" s="31"/>
      <c r="AA3629" s="31" t="str">
        <f>Tabela2[[#This Row],[ILUSTRADOR CRIAÇÃO]]</f>
        <v/>
      </c>
      <c r="AB3629" s="33"/>
      <c r="AC3629" s="16"/>
      <c r="AE3629" s="35" t="str">
        <f t="shared" si="57"/>
        <v>EF1 E002 Mat</v>
      </c>
    </row>
    <row r="3630" spans="1:31" x14ac:dyDescent="0.25">
      <c r="A3630" s="31"/>
      <c r="B3630" s="16"/>
      <c r="C3630" s="16"/>
      <c r="D3630" s="33"/>
      <c r="E3630" s="33"/>
      <c r="F3630" s="33"/>
      <c r="G3630" s="33"/>
      <c r="H3630" s="33"/>
      <c r="I3630" s="31"/>
      <c r="J3630" s="31"/>
      <c r="K3630" s="33"/>
      <c r="L3630" s="33"/>
      <c r="M3630" s="31"/>
      <c r="N3630" s="31"/>
      <c r="O3630" s="16"/>
      <c r="P3630" s="16"/>
      <c r="Q3630" s="16"/>
      <c r="R3630" s="33"/>
      <c r="S3630" s="34"/>
      <c r="T3630" s="34"/>
      <c r="U3630" s="34"/>
      <c r="V3630" s="34"/>
      <c r="W3630" s="34"/>
      <c r="X3630" s="33"/>
      <c r="Y3630" s="35" t="str">
        <f>IF(Tabela2[[#This Row],[SIGLA]]="","",VLOOKUP(Tabela2[[#This Row],[SIGLA]],Tabela1[[#All],[Sigla Arte]:[Crédito]],2,0))</f>
        <v/>
      </c>
      <c r="Z3630" s="31"/>
      <c r="AA3630" s="31" t="str">
        <f>Tabela2[[#This Row],[ILUSTRADOR CRIAÇÃO]]</f>
        <v/>
      </c>
      <c r="AB3630" s="33"/>
      <c r="AC3630" s="16"/>
      <c r="AE3630" s="35" t="str">
        <f t="shared" si="57"/>
        <v>EF1 E002 Mat</v>
      </c>
    </row>
    <row r="3631" spans="1:31" x14ac:dyDescent="0.25">
      <c r="A3631" s="31"/>
      <c r="B3631" s="16"/>
      <c r="C3631" s="16"/>
      <c r="D3631" s="33"/>
      <c r="E3631" s="33"/>
      <c r="F3631" s="33"/>
      <c r="G3631" s="33"/>
      <c r="H3631" s="33"/>
      <c r="I3631" s="31"/>
      <c r="J3631" s="31"/>
      <c r="K3631" s="33"/>
      <c r="L3631" s="33"/>
      <c r="M3631" s="31"/>
      <c r="N3631" s="31"/>
      <c r="O3631" s="16"/>
      <c r="P3631" s="16"/>
      <c r="Q3631" s="16"/>
      <c r="R3631" s="33"/>
      <c r="S3631" s="34"/>
      <c r="T3631" s="34"/>
      <c r="U3631" s="34"/>
      <c r="V3631" s="34"/>
      <c r="W3631" s="34"/>
      <c r="X3631" s="33"/>
      <c r="Y3631" s="35" t="str">
        <f>IF(Tabela2[[#This Row],[SIGLA]]="","",VLOOKUP(Tabela2[[#This Row],[SIGLA]],Tabela1[[#All],[Sigla Arte]:[Crédito]],2,0))</f>
        <v/>
      </c>
      <c r="Z3631" s="31"/>
      <c r="AA3631" s="31" t="str">
        <f>Tabela2[[#This Row],[ILUSTRADOR CRIAÇÃO]]</f>
        <v/>
      </c>
      <c r="AB3631" s="33"/>
      <c r="AC3631" s="16"/>
      <c r="AE3631" s="35" t="str">
        <f t="shared" si="57"/>
        <v>EF1 E002 Mat</v>
      </c>
    </row>
    <row r="3632" spans="1:31" x14ac:dyDescent="0.25">
      <c r="A3632" s="31"/>
      <c r="B3632" s="16"/>
      <c r="C3632" s="16"/>
      <c r="D3632" s="33"/>
      <c r="E3632" s="33"/>
      <c r="F3632" s="33"/>
      <c r="G3632" s="33"/>
      <c r="H3632" s="33"/>
      <c r="I3632" s="31"/>
      <c r="J3632" s="31"/>
      <c r="K3632" s="33"/>
      <c r="L3632" s="33"/>
      <c r="M3632" s="31"/>
      <c r="N3632" s="31"/>
      <c r="O3632" s="16"/>
      <c r="P3632" s="16"/>
      <c r="Q3632" s="16"/>
      <c r="R3632" s="33"/>
      <c r="S3632" s="34"/>
      <c r="T3632" s="34"/>
      <c r="U3632" s="34"/>
      <c r="V3632" s="34"/>
      <c r="W3632" s="34"/>
      <c r="X3632" s="33"/>
      <c r="Y3632" s="35" t="str">
        <f>IF(Tabela2[[#This Row],[SIGLA]]="","",VLOOKUP(Tabela2[[#This Row],[SIGLA]],Tabela1[[#All],[Sigla Arte]:[Crédito]],2,0))</f>
        <v/>
      </c>
      <c r="Z3632" s="31"/>
      <c r="AA3632" s="31" t="str">
        <f>Tabela2[[#This Row],[ILUSTRADOR CRIAÇÃO]]</f>
        <v/>
      </c>
      <c r="AB3632" s="33"/>
      <c r="AC3632" s="16"/>
      <c r="AE3632" s="35" t="str">
        <f t="shared" si="57"/>
        <v>EF1 E002 Mat</v>
      </c>
    </row>
    <row r="3633" spans="1:31" x14ac:dyDescent="0.25">
      <c r="A3633" s="31"/>
      <c r="B3633" s="16"/>
      <c r="C3633" s="16"/>
      <c r="D3633" s="33"/>
      <c r="E3633" s="33"/>
      <c r="F3633" s="33"/>
      <c r="G3633" s="33"/>
      <c r="H3633" s="33"/>
      <c r="I3633" s="31"/>
      <c r="J3633" s="31"/>
      <c r="K3633" s="33"/>
      <c r="L3633" s="33"/>
      <c r="M3633" s="31"/>
      <c r="N3633" s="31"/>
      <c r="O3633" s="16"/>
      <c r="P3633" s="16"/>
      <c r="Q3633" s="16"/>
      <c r="R3633" s="33"/>
      <c r="S3633" s="34"/>
      <c r="T3633" s="34"/>
      <c r="U3633" s="34"/>
      <c r="V3633" s="34"/>
      <c r="W3633" s="34"/>
      <c r="X3633" s="33"/>
      <c r="Y3633" s="35" t="str">
        <f>IF(Tabela2[[#This Row],[SIGLA]]="","",VLOOKUP(Tabela2[[#This Row],[SIGLA]],Tabela1[[#All],[Sigla Arte]:[Crédito]],2,0))</f>
        <v/>
      </c>
      <c r="Z3633" s="31"/>
      <c r="AA3633" s="31" t="str">
        <f>Tabela2[[#This Row],[ILUSTRADOR CRIAÇÃO]]</f>
        <v/>
      </c>
      <c r="AB3633" s="33"/>
      <c r="AC3633" s="16"/>
      <c r="AE3633" s="35" t="str">
        <f t="shared" si="57"/>
        <v>EF1 E002 Mat</v>
      </c>
    </row>
    <row r="3634" spans="1:31" x14ac:dyDescent="0.25">
      <c r="A3634" s="31"/>
      <c r="B3634" s="16"/>
      <c r="C3634" s="16"/>
      <c r="D3634" s="33"/>
      <c r="E3634" s="33"/>
      <c r="F3634" s="33"/>
      <c r="G3634" s="33"/>
      <c r="H3634" s="33"/>
      <c r="I3634" s="31"/>
      <c r="J3634" s="31"/>
      <c r="K3634" s="33"/>
      <c r="L3634" s="33"/>
      <c r="M3634" s="31"/>
      <c r="N3634" s="31"/>
      <c r="O3634" s="16"/>
      <c r="P3634" s="16"/>
      <c r="Q3634" s="16"/>
      <c r="R3634" s="33"/>
      <c r="S3634" s="34"/>
      <c r="T3634" s="34"/>
      <c r="U3634" s="34"/>
      <c r="V3634" s="34"/>
      <c r="W3634" s="34"/>
      <c r="X3634" s="33"/>
      <c r="Y3634" s="35" t="str">
        <f>IF(Tabela2[[#This Row],[SIGLA]]="","",VLOOKUP(Tabela2[[#This Row],[SIGLA]],Tabela1[[#All],[Sigla Arte]:[Crédito]],2,0))</f>
        <v/>
      </c>
      <c r="Z3634" s="31"/>
      <c r="AA3634" s="31" t="str">
        <f>Tabela2[[#This Row],[ILUSTRADOR CRIAÇÃO]]</f>
        <v/>
      </c>
      <c r="AB3634" s="33"/>
      <c r="AC3634" s="16"/>
      <c r="AE3634" s="35" t="str">
        <f t="shared" ref="AE3634:AE3697" si="58">"EF1 E002 Mat"</f>
        <v>EF1 E002 Mat</v>
      </c>
    </row>
    <row r="3635" spans="1:31" x14ac:dyDescent="0.25">
      <c r="A3635" s="31"/>
      <c r="B3635" s="16"/>
      <c r="C3635" s="16"/>
      <c r="D3635" s="33"/>
      <c r="E3635" s="33"/>
      <c r="F3635" s="33"/>
      <c r="G3635" s="33"/>
      <c r="H3635" s="33"/>
      <c r="I3635" s="31"/>
      <c r="J3635" s="31"/>
      <c r="K3635" s="33"/>
      <c r="L3635" s="33"/>
      <c r="M3635" s="31"/>
      <c r="N3635" s="31"/>
      <c r="O3635" s="16"/>
      <c r="P3635" s="16"/>
      <c r="Q3635" s="16"/>
      <c r="R3635" s="33"/>
      <c r="S3635" s="34"/>
      <c r="T3635" s="34"/>
      <c r="U3635" s="34"/>
      <c r="V3635" s="34"/>
      <c r="W3635" s="34"/>
      <c r="X3635" s="33"/>
      <c r="Y3635" s="35" t="str">
        <f>IF(Tabela2[[#This Row],[SIGLA]]="","",VLOOKUP(Tabela2[[#This Row],[SIGLA]],Tabela1[[#All],[Sigla Arte]:[Crédito]],2,0))</f>
        <v/>
      </c>
      <c r="Z3635" s="31"/>
      <c r="AA3635" s="31" t="str">
        <f>Tabela2[[#This Row],[ILUSTRADOR CRIAÇÃO]]</f>
        <v/>
      </c>
      <c r="AB3635" s="33"/>
      <c r="AC3635" s="16"/>
      <c r="AE3635" s="35" t="str">
        <f t="shared" si="58"/>
        <v>EF1 E002 Mat</v>
      </c>
    </row>
    <row r="3636" spans="1:31" x14ac:dyDescent="0.25">
      <c r="A3636" s="31"/>
      <c r="B3636" s="16"/>
      <c r="C3636" s="16"/>
      <c r="D3636" s="33"/>
      <c r="E3636" s="33"/>
      <c r="F3636" s="33"/>
      <c r="G3636" s="33"/>
      <c r="H3636" s="33"/>
      <c r="I3636" s="31"/>
      <c r="J3636" s="31"/>
      <c r="K3636" s="33"/>
      <c r="L3636" s="33"/>
      <c r="M3636" s="31"/>
      <c r="N3636" s="31"/>
      <c r="O3636" s="16"/>
      <c r="P3636" s="16"/>
      <c r="Q3636" s="16"/>
      <c r="R3636" s="33"/>
      <c r="S3636" s="34"/>
      <c r="T3636" s="34"/>
      <c r="U3636" s="34"/>
      <c r="V3636" s="34"/>
      <c r="W3636" s="34"/>
      <c r="X3636" s="33"/>
      <c r="Y3636" s="35" t="str">
        <f>IF(Tabela2[[#This Row],[SIGLA]]="","",VLOOKUP(Tabela2[[#This Row],[SIGLA]],Tabela1[[#All],[Sigla Arte]:[Crédito]],2,0))</f>
        <v/>
      </c>
      <c r="Z3636" s="31"/>
      <c r="AA3636" s="31" t="str">
        <f>Tabela2[[#This Row],[ILUSTRADOR CRIAÇÃO]]</f>
        <v/>
      </c>
      <c r="AB3636" s="33"/>
      <c r="AC3636" s="16"/>
      <c r="AE3636" s="35" t="str">
        <f t="shared" si="58"/>
        <v>EF1 E002 Mat</v>
      </c>
    </row>
    <row r="3637" spans="1:31" x14ac:dyDescent="0.25">
      <c r="A3637" s="31"/>
      <c r="B3637" s="16"/>
      <c r="C3637" s="16"/>
      <c r="D3637" s="33"/>
      <c r="E3637" s="33"/>
      <c r="F3637" s="33"/>
      <c r="G3637" s="33"/>
      <c r="H3637" s="33"/>
      <c r="I3637" s="31"/>
      <c r="J3637" s="31"/>
      <c r="K3637" s="33"/>
      <c r="L3637" s="33"/>
      <c r="M3637" s="31"/>
      <c r="N3637" s="31"/>
      <c r="O3637" s="16"/>
      <c r="P3637" s="16"/>
      <c r="Q3637" s="16"/>
      <c r="R3637" s="33"/>
      <c r="S3637" s="34"/>
      <c r="T3637" s="34"/>
      <c r="U3637" s="34"/>
      <c r="V3637" s="34"/>
      <c r="W3637" s="34"/>
      <c r="X3637" s="33"/>
      <c r="Y3637" s="35" t="str">
        <f>IF(Tabela2[[#This Row],[SIGLA]]="","",VLOOKUP(Tabela2[[#This Row],[SIGLA]],Tabela1[[#All],[Sigla Arte]:[Crédito]],2,0))</f>
        <v/>
      </c>
      <c r="Z3637" s="31"/>
      <c r="AA3637" s="31" t="str">
        <f>Tabela2[[#This Row],[ILUSTRADOR CRIAÇÃO]]</f>
        <v/>
      </c>
      <c r="AB3637" s="33"/>
      <c r="AC3637" s="16"/>
      <c r="AE3637" s="35" t="str">
        <f t="shared" si="58"/>
        <v>EF1 E002 Mat</v>
      </c>
    </row>
    <row r="3638" spans="1:31" x14ac:dyDescent="0.25">
      <c r="A3638" s="31"/>
      <c r="B3638" s="16"/>
      <c r="C3638" s="16"/>
      <c r="D3638" s="33"/>
      <c r="E3638" s="33"/>
      <c r="F3638" s="33"/>
      <c r="G3638" s="33"/>
      <c r="H3638" s="33"/>
      <c r="I3638" s="31"/>
      <c r="J3638" s="31"/>
      <c r="K3638" s="33"/>
      <c r="L3638" s="33"/>
      <c r="M3638" s="31"/>
      <c r="N3638" s="31"/>
      <c r="O3638" s="16"/>
      <c r="P3638" s="16"/>
      <c r="Q3638" s="16"/>
      <c r="R3638" s="33"/>
      <c r="S3638" s="34"/>
      <c r="T3638" s="34"/>
      <c r="U3638" s="34"/>
      <c r="V3638" s="34"/>
      <c r="W3638" s="34"/>
      <c r="X3638" s="33"/>
      <c r="Y3638" s="35" t="str">
        <f>IF(Tabela2[[#This Row],[SIGLA]]="","",VLOOKUP(Tabela2[[#This Row],[SIGLA]],Tabela1[[#All],[Sigla Arte]:[Crédito]],2,0))</f>
        <v/>
      </c>
      <c r="Z3638" s="31"/>
      <c r="AA3638" s="31" t="str">
        <f>Tabela2[[#This Row],[ILUSTRADOR CRIAÇÃO]]</f>
        <v/>
      </c>
      <c r="AB3638" s="33"/>
      <c r="AC3638" s="16"/>
      <c r="AE3638" s="35" t="str">
        <f t="shared" si="58"/>
        <v>EF1 E002 Mat</v>
      </c>
    </row>
    <row r="3639" spans="1:31" x14ac:dyDescent="0.25">
      <c r="A3639" s="31"/>
      <c r="B3639" s="16"/>
      <c r="C3639" s="16"/>
      <c r="D3639" s="33"/>
      <c r="E3639" s="33"/>
      <c r="F3639" s="33"/>
      <c r="G3639" s="33"/>
      <c r="H3639" s="33"/>
      <c r="I3639" s="31"/>
      <c r="J3639" s="31"/>
      <c r="K3639" s="33"/>
      <c r="L3639" s="33"/>
      <c r="M3639" s="31"/>
      <c r="N3639" s="31"/>
      <c r="O3639" s="16"/>
      <c r="P3639" s="16"/>
      <c r="Q3639" s="16"/>
      <c r="R3639" s="33"/>
      <c r="S3639" s="34"/>
      <c r="T3639" s="34"/>
      <c r="U3639" s="34"/>
      <c r="V3639" s="34"/>
      <c r="W3639" s="34"/>
      <c r="X3639" s="33"/>
      <c r="Y3639" s="35" t="str">
        <f>IF(Tabela2[[#This Row],[SIGLA]]="","",VLOOKUP(Tabela2[[#This Row],[SIGLA]],Tabela1[[#All],[Sigla Arte]:[Crédito]],2,0))</f>
        <v/>
      </c>
      <c r="Z3639" s="31"/>
      <c r="AA3639" s="31" t="str">
        <f>Tabela2[[#This Row],[ILUSTRADOR CRIAÇÃO]]</f>
        <v/>
      </c>
      <c r="AB3639" s="33"/>
      <c r="AC3639" s="16"/>
      <c r="AE3639" s="35" t="str">
        <f t="shared" si="58"/>
        <v>EF1 E002 Mat</v>
      </c>
    </row>
    <row r="3640" spans="1:31" x14ac:dyDescent="0.25">
      <c r="A3640" s="31"/>
      <c r="B3640" s="16"/>
      <c r="C3640" s="16"/>
      <c r="D3640" s="33"/>
      <c r="E3640" s="33"/>
      <c r="F3640" s="33"/>
      <c r="G3640" s="33"/>
      <c r="H3640" s="33"/>
      <c r="I3640" s="31"/>
      <c r="J3640" s="31"/>
      <c r="K3640" s="33"/>
      <c r="L3640" s="33"/>
      <c r="M3640" s="31"/>
      <c r="N3640" s="31"/>
      <c r="O3640" s="16"/>
      <c r="P3640" s="16"/>
      <c r="Q3640" s="16"/>
      <c r="R3640" s="33"/>
      <c r="S3640" s="34"/>
      <c r="T3640" s="34"/>
      <c r="U3640" s="34"/>
      <c r="V3640" s="34"/>
      <c r="W3640" s="34"/>
      <c r="X3640" s="33"/>
      <c r="Y3640" s="35" t="str">
        <f>IF(Tabela2[[#This Row],[SIGLA]]="","",VLOOKUP(Tabela2[[#This Row],[SIGLA]],Tabela1[[#All],[Sigla Arte]:[Crédito]],2,0))</f>
        <v/>
      </c>
      <c r="Z3640" s="31"/>
      <c r="AA3640" s="31" t="str">
        <f>Tabela2[[#This Row],[ILUSTRADOR CRIAÇÃO]]</f>
        <v/>
      </c>
      <c r="AB3640" s="33"/>
      <c r="AC3640" s="16"/>
      <c r="AE3640" s="35" t="str">
        <f t="shared" si="58"/>
        <v>EF1 E002 Mat</v>
      </c>
    </row>
    <row r="3641" spans="1:31" x14ac:dyDescent="0.25">
      <c r="A3641" s="31"/>
      <c r="B3641" s="16"/>
      <c r="C3641" s="16"/>
      <c r="D3641" s="33"/>
      <c r="E3641" s="33"/>
      <c r="F3641" s="33"/>
      <c r="G3641" s="33"/>
      <c r="H3641" s="33"/>
      <c r="I3641" s="31"/>
      <c r="J3641" s="31"/>
      <c r="K3641" s="33"/>
      <c r="L3641" s="33"/>
      <c r="M3641" s="31"/>
      <c r="N3641" s="31"/>
      <c r="O3641" s="16"/>
      <c r="P3641" s="16"/>
      <c r="Q3641" s="16"/>
      <c r="R3641" s="33"/>
      <c r="S3641" s="34"/>
      <c r="T3641" s="34"/>
      <c r="U3641" s="34"/>
      <c r="V3641" s="34"/>
      <c r="W3641" s="34"/>
      <c r="X3641" s="33"/>
      <c r="Y3641" s="35" t="str">
        <f>IF(Tabela2[[#This Row],[SIGLA]]="","",VLOOKUP(Tabela2[[#This Row],[SIGLA]],Tabela1[[#All],[Sigla Arte]:[Crédito]],2,0))</f>
        <v/>
      </c>
      <c r="Z3641" s="31"/>
      <c r="AA3641" s="31" t="str">
        <f>Tabela2[[#This Row],[ILUSTRADOR CRIAÇÃO]]</f>
        <v/>
      </c>
      <c r="AB3641" s="33"/>
      <c r="AC3641" s="16"/>
      <c r="AE3641" s="35" t="str">
        <f t="shared" si="58"/>
        <v>EF1 E002 Mat</v>
      </c>
    </row>
    <row r="3642" spans="1:31" x14ac:dyDescent="0.25">
      <c r="A3642" s="31"/>
      <c r="B3642" s="16"/>
      <c r="C3642" s="16"/>
      <c r="D3642" s="33"/>
      <c r="E3642" s="33"/>
      <c r="F3642" s="33"/>
      <c r="G3642" s="33"/>
      <c r="H3642" s="33"/>
      <c r="I3642" s="31"/>
      <c r="J3642" s="31"/>
      <c r="K3642" s="33"/>
      <c r="L3642" s="33"/>
      <c r="M3642" s="31"/>
      <c r="N3642" s="31"/>
      <c r="O3642" s="16"/>
      <c r="P3642" s="16"/>
      <c r="Q3642" s="16"/>
      <c r="R3642" s="33"/>
      <c r="S3642" s="34"/>
      <c r="T3642" s="34"/>
      <c r="U3642" s="34"/>
      <c r="V3642" s="34"/>
      <c r="W3642" s="34"/>
      <c r="X3642" s="33"/>
      <c r="Y3642" s="35" t="str">
        <f>IF(Tabela2[[#This Row],[SIGLA]]="","",VLOOKUP(Tabela2[[#This Row],[SIGLA]],Tabela1[[#All],[Sigla Arte]:[Crédito]],2,0))</f>
        <v/>
      </c>
      <c r="Z3642" s="31"/>
      <c r="AA3642" s="31" t="str">
        <f>Tabela2[[#This Row],[ILUSTRADOR CRIAÇÃO]]</f>
        <v/>
      </c>
      <c r="AB3642" s="33"/>
      <c r="AC3642" s="16"/>
      <c r="AE3642" s="35" t="str">
        <f t="shared" si="58"/>
        <v>EF1 E002 Mat</v>
      </c>
    </row>
    <row r="3643" spans="1:31" x14ac:dyDescent="0.25">
      <c r="A3643" s="31"/>
      <c r="B3643" s="16"/>
      <c r="C3643" s="16"/>
      <c r="D3643" s="33"/>
      <c r="E3643" s="33"/>
      <c r="F3643" s="33"/>
      <c r="G3643" s="33"/>
      <c r="H3643" s="33"/>
      <c r="I3643" s="31"/>
      <c r="J3643" s="31"/>
      <c r="K3643" s="33"/>
      <c r="L3643" s="33"/>
      <c r="M3643" s="31"/>
      <c r="N3643" s="31"/>
      <c r="O3643" s="16"/>
      <c r="P3643" s="16"/>
      <c r="Q3643" s="16"/>
      <c r="R3643" s="33"/>
      <c r="S3643" s="34"/>
      <c r="T3643" s="34"/>
      <c r="U3643" s="34"/>
      <c r="V3643" s="34"/>
      <c r="W3643" s="34"/>
      <c r="X3643" s="33"/>
      <c r="Y3643" s="35" t="str">
        <f>IF(Tabela2[[#This Row],[SIGLA]]="","",VLOOKUP(Tabela2[[#This Row],[SIGLA]],Tabela1[[#All],[Sigla Arte]:[Crédito]],2,0))</f>
        <v/>
      </c>
      <c r="Z3643" s="31"/>
      <c r="AA3643" s="31" t="str">
        <f>Tabela2[[#This Row],[ILUSTRADOR CRIAÇÃO]]</f>
        <v/>
      </c>
      <c r="AB3643" s="33"/>
      <c r="AC3643" s="16"/>
      <c r="AE3643" s="35" t="str">
        <f t="shared" si="58"/>
        <v>EF1 E002 Mat</v>
      </c>
    </row>
    <row r="3644" spans="1:31" x14ac:dyDescent="0.25">
      <c r="A3644" s="31"/>
      <c r="B3644" s="16"/>
      <c r="C3644" s="16"/>
      <c r="D3644" s="33"/>
      <c r="E3644" s="33"/>
      <c r="F3644" s="33"/>
      <c r="G3644" s="33"/>
      <c r="H3644" s="33"/>
      <c r="I3644" s="31"/>
      <c r="J3644" s="31"/>
      <c r="K3644" s="33"/>
      <c r="L3644" s="33"/>
      <c r="M3644" s="31"/>
      <c r="N3644" s="31"/>
      <c r="O3644" s="16"/>
      <c r="P3644" s="16"/>
      <c r="Q3644" s="16"/>
      <c r="R3644" s="33"/>
      <c r="S3644" s="34"/>
      <c r="T3644" s="34"/>
      <c r="U3644" s="34"/>
      <c r="V3644" s="34"/>
      <c r="W3644" s="34"/>
      <c r="X3644" s="33"/>
      <c r="Y3644" s="35" t="str">
        <f>IF(Tabela2[[#This Row],[SIGLA]]="","",VLOOKUP(Tabela2[[#This Row],[SIGLA]],Tabela1[[#All],[Sigla Arte]:[Crédito]],2,0))</f>
        <v/>
      </c>
      <c r="Z3644" s="31"/>
      <c r="AA3644" s="31" t="str">
        <f>Tabela2[[#This Row],[ILUSTRADOR CRIAÇÃO]]</f>
        <v/>
      </c>
      <c r="AB3644" s="33"/>
      <c r="AC3644" s="16"/>
      <c r="AE3644" s="35" t="str">
        <f t="shared" si="58"/>
        <v>EF1 E002 Mat</v>
      </c>
    </row>
    <row r="3645" spans="1:31" x14ac:dyDescent="0.25">
      <c r="A3645" s="31"/>
      <c r="B3645" s="16"/>
      <c r="C3645" s="16"/>
      <c r="D3645" s="33"/>
      <c r="E3645" s="33"/>
      <c r="F3645" s="33"/>
      <c r="G3645" s="33"/>
      <c r="H3645" s="33"/>
      <c r="I3645" s="31"/>
      <c r="J3645" s="31"/>
      <c r="K3645" s="33"/>
      <c r="L3645" s="33"/>
      <c r="M3645" s="31"/>
      <c r="N3645" s="31"/>
      <c r="O3645" s="16"/>
      <c r="P3645" s="16"/>
      <c r="Q3645" s="16"/>
      <c r="R3645" s="33"/>
      <c r="S3645" s="34"/>
      <c r="T3645" s="34"/>
      <c r="U3645" s="34"/>
      <c r="V3645" s="34"/>
      <c r="W3645" s="34"/>
      <c r="X3645" s="33"/>
      <c r="Y3645" s="35" t="str">
        <f>IF(Tabela2[[#This Row],[SIGLA]]="","",VLOOKUP(Tabela2[[#This Row],[SIGLA]],Tabela1[[#All],[Sigla Arte]:[Crédito]],2,0))</f>
        <v/>
      </c>
      <c r="Z3645" s="31"/>
      <c r="AA3645" s="31" t="str">
        <f>Tabela2[[#This Row],[ILUSTRADOR CRIAÇÃO]]</f>
        <v/>
      </c>
      <c r="AB3645" s="33"/>
      <c r="AC3645" s="16"/>
      <c r="AE3645" s="35" t="str">
        <f t="shared" si="58"/>
        <v>EF1 E002 Mat</v>
      </c>
    </row>
    <row r="3646" spans="1:31" x14ac:dyDescent="0.25">
      <c r="A3646" s="31"/>
      <c r="B3646" s="16"/>
      <c r="C3646" s="16"/>
      <c r="D3646" s="33"/>
      <c r="E3646" s="33"/>
      <c r="F3646" s="33"/>
      <c r="G3646" s="33"/>
      <c r="H3646" s="33"/>
      <c r="I3646" s="31"/>
      <c r="J3646" s="31"/>
      <c r="K3646" s="33"/>
      <c r="L3646" s="33"/>
      <c r="M3646" s="31"/>
      <c r="N3646" s="31"/>
      <c r="O3646" s="16"/>
      <c r="P3646" s="16"/>
      <c r="Q3646" s="16"/>
      <c r="R3646" s="33"/>
      <c r="S3646" s="34"/>
      <c r="T3646" s="34"/>
      <c r="U3646" s="34"/>
      <c r="V3646" s="34"/>
      <c r="W3646" s="34"/>
      <c r="X3646" s="33"/>
      <c r="Y3646" s="35" t="str">
        <f>IF(Tabela2[[#This Row],[SIGLA]]="","",VLOOKUP(Tabela2[[#This Row],[SIGLA]],Tabela1[[#All],[Sigla Arte]:[Crédito]],2,0))</f>
        <v/>
      </c>
      <c r="Z3646" s="31"/>
      <c r="AA3646" s="31" t="str">
        <f>Tabela2[[#This Row],[ILUSTRADOR CRIAÇÃO]]</f>
        <v/>
      </c>
      <c r="AB3646" s="33"/>
      <c r="AC3646" s="16"/>
      <c r="AE3646" s="35" t="str">
        <f t="shared" si="58"/>
        <v>EF1 E002 Mat</v>
      </c>
    </row>
    <row r="3647" spans="1:31" x14ac:dyDescent="0.25">
      <c r="A3647" s="31"/>
      <c r="B3647" s="16"/>
      <c r="C3647" s="16"/>
      <c r="D3647" s="33"/>
      <c r="E3647" s="33"/>
      <c r="F3647" s="33"/>
      <c r="G3647" s="33"/>
      <c r="H3647" s="33"/>
      <c r="I3647" s="31"/>
      <c r="J3647" s="31"/>
      <c r="K3647" s="33"/>
      <c r="L3647" s="33"/>
      <c r="M3647" s="31"/>
      <c r="N3647" s="31"/>
      <c r="O3647" s="16"/>
      <c r="P3647" s="16"/>
      <c r="Q3647" s="16"/>
      <c r="R3647" s="33"/>
      <c r="S3647" s="34"/>
      <c r="T3647" s="34"/>
      <c r="U3647" s="34"/>
      <c r="V3647" s="34"/>
      <c r="W3647" s="34"/>
      <c r="X3647" s="33"/>
      <c r="Y3647" s="35" t="str">
        <f>IF(Tabela2[[#This Row],[SIGLA]]="","",VLOOKUP(Tabela2[[#This Row],[SIGLA]],Tabela1[[#All],[Sigla Arte]:[Crédito]],2,0))</f>
        <v/>
      </c>
      <c r="Z3647" s="31"/>
      <c r="AA3647" s="31" t="str">
        <f>Tabela2[[#This Row],[ILUSTRADOR CRIAÇÃO]]</f>
        <v/>
      </c>
      <c r="AB3647" s="33"/>
      <c r="AC3647" s="16"/>
      <c r="AE3647" s="35" t="str">
        <f t="shared" si="58"/>
        <v>EF1 E002 Mat</v>
      </c>
    </row>
    <row r="3648" spans="1:31" x14ac:dyDescent="0.25">
      <c r="A3648" s="31"/>
      <c r="B3648" s="16"/>
      <c r="C3648" s="16"/>
      <c r="D3648" s="33"/>
      <c r="E3648" s="33"/>
      <c r="F3648" s="33"/>
      <c r="G3648" s="33"/>
      <c r="H3648" s="33"/>
      <c r="I3648" s="31"/>
      <c r="J3648" s="31"/>
      <c r="K3648" s="33"/>
      <c r="L3648" s="33"/>
      <c r="M3648" s="31"/>
      <c r="N3648" s="31"/>
      <c r="O3648" s="16"/>
      <c r="P3648" s="16"/>
      <c r="Q3648" s="16"/>
      <c r="R3648" s="33"/>
      <c r="S3648" s="34"/>
      <c r="T3648" s="34"/>
      <c r="U3648" s="34"/>
      <c r="V3648" s="34"/>
      <c r="W3648" s="34"/>
      <c r="X3648" s="33"/>
      <c r="Y3648" s="35" t="str">
        <f>IF(Tabela2[[#This Row],[SIGLA]]="","",VLOOKUP(Tabela2[[#This Row],[SIGLA]],Tabela1[[#All],[Sigla Arte]:[Crédito]],2,0))</f>
        <v/>
      </c>
      <c r="Z3648" s="31"/>
      <c r="AA3648" s="31" t="str">
        <f>Tabela2[[#This Row],[ILUSTRADOR CRIAÇÃO]]</f>
        <v/>
      </c>
      <c r="AB3648" s="33"/>
      <c r="AC3648" s="16"/>
      <c r="AE3648" s="35" t="str">
        <f t="shared" si="58"/>
        <v>EF1 E002 Mat</v>
      </c>
    </row>
    <row r="3649" spans="1:31" x14ac:dyDescent="0.25">
      <c r="A3649" s="31"/>
      <c r="B3649" s="16"/>
      <c r="C3649" s="16"/>
      <c r="D3649" s="33"/>
      <c r="E3649" s="33"/>
      <c r="F3649" s="33"/>
      <c r="G3649" s="33"/>
      <c r="H3649" s="33"/>
      <c r="I3649" s="31"/>
      <c r="J3649" s="31"/>
      <c r="K3649" s="33"/>
      <c r="L3649" s="33"/>
      <c r="M3649" s="31"/>
      <c r="N3649" s="31"/>
      <c r="O3649" s="16"/>
      <c r="P3649" s="16"/>
      <c r="Q3649" s="16"/>
      <c r="R3649" s="33"/>
      <c r="S3649" s="34"/>
      <c r="T3649" s="34"/>
      <c r="U3649" s="34"/>
      <c r="V3649" s="34"/>
      <c r="W3649" s="34"/>
      <c r="X3649" s="33"/>
      <c r="Y3649" s="35" t="str">
        <f>IF(Tabela2[[#This Row],[SIGLA]]="","",VLOOKUP(Tabela2[[#This Row],[SIGLA]],Tabela1[[#All],[Sigla Arte]:[Crédito]],2,0))</f>
        <v/>
      </c>
      <c r="Z3649" s="31"/>
      <c r="AA3649" s="31" t="str">
        <f>Tabela2[[#This Row],[ILUSTRADOR CRIAÇÃO]]</f>
        <v/>
      </c>
      <c r="AB3649" s="33"/>
      <c r="AC3649" s="16"/>
      <c r="AE3649" s="35" t="str">
        <f t="shared" si="58"/>
        <v>EF1 E002 Mat</v>
      </c>
    </row>
    <row r="3650" spans="1:31" x14ac:dyDescent="0.25">
      <c r="A3650" s="31"/>
      <c r="B3650" s="16"/>
      <c r="C3650" s="16"/>
      <c r="D3650" s="33"/>
      <c r="E3650" s="33"/>
      <c r="F3650" s="33"/>
      <c r="G3650" s="33"/>
      <c r="H3650" s="33"/>
      <c r="I3650" s="31"/>
      <c r="J3650" s="31"/>
      <c r="K3650" s="33"/>
      <c r="L3650" s="33"/>
      <c r="M3650" s="31"/>
      <c r="N3650" s="31"/>
      <c r="O3650" s="16"/>
      <c r="P3650" s="16"/>
      <c r="Q3650" s="16"/>
      <c r="R3650" s="33"/>
      <c r="S3650" s="34"/>
      <c r="T3650" s="34"/>
      <c r="U3650" s="34"/>
      <c r="V3650" s="34"/>
      <c r="W3650" s="34"/>
      <c r="X3650" s="33"/>
      <c r="Y3650" s="35" t="str">
        <f>IF(Tabela2[[#This Row],[SIGLA]]="","",VLOOKUP(Tabela2[[#This Row],[SIGLA]],Tabela1[[#All],[Sigla Arte]:[Crédito]],2,0))</f>
        <v/>
      </c>
      <c r="Z3650" s="31"/>
      <c r="AA3650" s="31" t="str">
        <f>Tabela2[[#This Row],[ILUSTRADOR CRIAÇÃO]]</f>
        <v/>
      </c>
      <c r="AB3650" s="33"/>
      <c r="AC3650" s="16"/>
      <c r="AE3650" s="35" t="str">
        <f t="shared" si="58"/>
        <v>EF1 E002 Mat</v>
      </c>
    </row>
    <row r="3651" spans="1:31" x14ac:dyDescent="0.25">
      <c r="A3651" s="31"/>
      <c r="B3651" s="16"/>
      <c r="C3651" s="16"/>
      <c r="D3651" s="33"/>
      <c r="E3651" s="33"/>
      <c r="F3651" s="33"/>
      <c r="G3651" s="33"/>
      <c r="H3651" s="33"/>
      <c r="I3651" s="31"/>
      <c r="J3651" s="31"/>
      <c r="K3651" s="33"/>
      <c r="L3651" s="33"/>
      <c r="M3651" s="31"/>
      <c r="N3651" s="31"/>
      <c r="O3651" s="16"/>
      <c r="P3651" s="16"/>
      <c r="Q3651" s="16"/>
      <c r="R3651" s="33"/>
      <c r="S3651" s="34"/>
      <c r="T3651" s="34"/>
      <c r="U3651" s="34"/>
      <c r="V3651" s="34"/>
      <c r="W3651" s="34"/>
      <c r="X3651" s="33"/>
      <c r="Y3651" s="35" t="str">
        <f>IF(Tabela2[[#This Row],[SIGLA]]="","",VLOOKUP(Tabela2[[#This Row],[SIGLA]],Tabela1[[#All],[Sigla Arte]:[Crédito]],2,0))</f>
        <v/>
      </c>
      <c r="Z3651" s="31"/>
      <c r="AA3651" s="31" t="str">
        <f>Tabela2[[#This Row],[ILUSTRADOR CRIAÇÃO]]</f>
        <v/>
      </c>
      <c r="AB3651" s="33"/>
      <c r="AC3651" s="16"/>
      <c r="AE3651" s="35" t="str">
        <f t="shared" si="58"/>
        <v>EF1 E002 Mat</v>
      </c>
    </row>
    <row r="3652" spans="1:31" x14ac:dyDescent="0.25">
      <c r="A3652" s="31"/>
      <c r="B3652" s="16"/>
      <c r="C3652" s="16"/>
      <c r="D3652" s="33"/>
      <c r="E3652" s="33"/>
      <c r="F3652" s="33"/>
      <c r="G3652" s="33"/>
      <c r="H3652" s="33"/>
      <c r="I3652" s="31"/>
      <c r="J3652" s="31"/>
      <c r="K3652" s="33"/>
      <c r="L3652" s="33"/>
      <c r="M3652" s="31"/>
      <c r="N3652" s="31"/>
      <c r="O3652" s="16"/>
      <c r="P3652" s="16"/>
      <c r="Q3652" s="16"/>
      <c r="R3652" s="33"/>
      <c r="S3652" s="34"/>
      <c r="T3652" s="34"/>
      <c r="U3652" s="34"/>
      <c r="V3652" s="34"/>
      <c r="W3652" s="34"/>
      <c r="X3652" s="33"/>
      <c r="Y3652" s="35" t="str">
        <f>IF(Tabela2[[#This Row],[SIGLA]]="","",VLOOKUP(Tabela2[[#This Row],[SIGLA]],Tabela1[[#All],[Sigla Arte]:[Crédito]],2,0))</f>
        <v/>
      </c>
      <c r="Z3652" s="31"/>
      <c r="AA3652" s="31" t="str">
        <f>Tabela2[[#This Row],[ILUSTRADOR CRIAÇÃO]]</f>
        <v/>
      </c>
      <c r="AB3652" s="33"/>
      <c r="AC3652" s="16"/>
      <c r="AE3652" s="35" t="str">
        <f t="shared" si="58"/>
        <v>EF1 E002 Mat</v>
      </c>
    </row>
    <row r="3653" spans="1:31" x14ac:dyDescent="0.25">
      <c r="A3653" s="31"/>
      <c r="B3653" s="16"/>
      <c r="C3653" s="16"/>
      <c r="D3653" s="33"/>
      <c r="E3653" s="33"/>
      <c r="F3653" s="33"/>
      <c r="G3653" s="33"/>
      <c r="H3653" s="33"/>
      <c r="I3653" s="31"/>
      <c r="J3653" s="31"/>
      <c r="K3653" s="33"/>
      <c r="L3653" s="33"/>
      <c r="M3653" s="31"/>
      <c r="N3653" s="31"/>
      <c r="O3653" s="16"/>
      <c r="P3653" s="16"/>
      <c r="Q3653" s="16"/>
      <c r="R3653" s="33"/>
      <c r="S3653" s="34"/>
      <c r="T3653" s="34"/>
      <c r="U3653" s="34"/>
      <c r="V3653" s="34"/>
      <c r="W3653" s="34"/>
      <c r="X3653" s="33"/>
      <c r="Y3653" s="35" t="str">
        <f>IF(Tabela2[[#This Row],[SIGLA]]="","",VLOOKUP(Tabela2[[#This Row],[SIGLA]],Tabela1[[#All],[Sigla Arte]:[Crédito]],2,0))</f>
        <v/>
      </c>
      <c r="Z3653" s="31"/>
      <c r="AA3653" s="31" t="str">
        <f>Tabela2[[#This Row],[ILUSTRADOR CRIAÇÃO]]</f>
        <v/>
      </c>
      <c r="AB3653" s="33"/>
      <c r="AC3653" s="16"/>
      <c r="AE3653" s="35" t="str">
        <f t="shared" si="58"/>
        <v>EF1 E002 Mat</v>
      </c>
    </row>
    <row r="3654" spans="1:31" x14ac:dyDescent="0.25">
      <c r="A3654" s="31"/>
      <c r="B3654" s="16"/>
      <c r="C3654" s="16"/>
      <c r="D3654" s="33"/>
      <c r="E3654" s="33"/>
      <c r="F3654" s="33"/>
      <c r="G3654" s="33"/>
      <c r="H3654" s="33"/>
      <c r="I3654" s="31"/>
      <c r="J3654" s="31"/>
      <c r="K3654" s="33"/>
      <c r="L3654" s="33"/>
      <c r="M3654" s="31"/>
      <c r="N3654" s="31"/>
      <c r="O3654" s="16"/>
      <c r="P3654" s="16"/>
      <c r="Q3654" s="16"/>
      <c r="R3654" s="33"/>
      <c r="S3654" s="34"/>
      <c r="T3654" s="34"/>
      <c r="U3654" s="34"/>
      <c r="V3654" s="34"/>
      <c r="W3654" s="34"/>
      <c r="X3654" s="33"/>
      <c r="Y3654" s="35" t="str">
        <f>IF(Tabela2[[#This Row],[SIGLA]]="","",VLOOKUP(Tabela2[[#This Row],[SIGLA]],Tabela1[[#All],[Sigla Arte]:[Crédito]],2,0))</f>
        <v/>
      </c>
      <c r="Z3654" s="31"/>
      <c r="AA3654" s="31" t="str">
        <f>Tabela2[[#This Row],[ILUSTRADOR CRIAÇÃO]]</f>
        <v/>
      </c>
      <c r="AB3654" s="33"/>
      <c r="AC3654" s="16"/>
      <c r="AE3654" s="35" t="str">
        <f t="shared" si="58"/>
        <v>EF1 E002 Mat</v>
      </c>
    </row>
    <row r="3655" spans="1:31" x14ac:dyDescent="0.25">
      <c r="A3655" s="31"/>
      <c r="B3655" s="16"/>
      <c r="C3655" s="16"/>
      <c r="D3655" s="33"/>
      <c r="E3655" s="33"/>
      <c r="F3655" s="33"/>
      <c r="G3655" s="33"/>
      <c r="H3655" s="33"/>
      <c r="I3655" s="31"/>
      <c r="J3655" s="31"/>
      <c r="K3655" s="33"/>
      <c r="L3655" s="33"/>
      <c r="M3655" s="31"/>
      <c r="N3655" s="31"/>
      <c r="O3655" s="16"/>
      <c r="P3655" s="16"/>
      <c r="Q3655" s="16"/>
      <c r="R3655" s="33"/>
      <c r="S3655" s="34"/>
      <c r="T3655" s="34"/>
      <c r="U3655" s="34"/>
      <c r="V3655" s="34"/>
      <c r="W3655" s="34"/>
      <c r="X3655" s="33"/>
      <c r="Y3655" s="35" t="str">
        <f>IF(Tabela2[[#This Row],[SIGLA]]="","",VLOOKUP(Tabela2[[#This Row],[SIGLA]],Tabela1[[#All],[Sigla Arte]:[Crédito]],2,0))</f>
        <v/>
      </c>
      <c r="Z3655" s="31"/>
      <c r="AA3655" s="31" t="str">
        <f>Tabela2[[#This Row],[ILUSTRADOR CRIAÇÃO]]</f>
        <v/>
      </c>
      <c r="AB3655" s="33"/>
      <c r="AC3655" s="16"/>
      <c r="AE3655" s="35" t="str">
        <f t="shared" si="58"/>
        <v>EF1 E002 Mat</v>
      </c>
    </row>
    <row r="3656" spans="1:31" x14ac:dyDescent="0.25">
      <c r="A3656" s="31"/>
      <c r="B3656" s="16"/>
      <c r="C3656" s="16"/>
      <c r="D3656" s="33"/>
      <c r="E3656" s="33"/>
      <c r="F3656" s="33"/>
      <c r="G3656" s="33"/>
      <c r="H3656" s="33"/>
      <c r="I3656" s="31"/>
      <c r="J3656" s="31"/>
      <c r="K3656" s="33"/>
      <c r="L3656" s="33"/>
      <c r="M3656" s="31"/>
      <c r="N3656" s="31"/>
      <c r="O3656" s="16"/>
      <c r="P3656" s="16"/>
      <c r="Q3656" s="16"/>
      <c r="R3656" s="33"/>
      <c r="S3656" s="34"/>
      <c r="T3656" s="34"/>
      <c r="U3656" s="34"/>
      <c r="V3656" s="34"/>
      <c r="W3656" s="34"/>
      <c r="X3656" s="33"/>
      <c r="Y3656" s="35" t="str">
        <f>IF(Tabela2[[#This Row],[SIGLA]]="","",VLOOKUP(Tabela2[[#This Row],[SIGLA]],Tabela1[[#All],[Sigla Arte]:[Crédito]],2,0))</f>
        <v/>
      </c>
      <c r="Z3656" s="31"/>
      <c r="AA3656" s="31" t="str">
        <f>Tabela2[[#This Row],[ILUSTRADOR CRIAÇÃO]]</f>
        <v/>
      </c>
      <c r="AB3656" s="33"/>
      <c r="AC3656" s="16"/>
      <c r="AE3656" s="35" t="str">
        <f t="shared" si="58"/>
        <v>EF1 E002 Mat</v>
      </c>
    </row>
    <row r="3657" spans="1:31" x14ac:dyDescent="0.25">
      <c r="A3657" s="31"/>
      <c r="B3657" s="16"/>
      <c r="C3657" s="16"/>
      <c r="D3657" s="33"/>
      <c r="E3657" s="33"/>
      <c r="F3657" s="33"/>
      <c r="G3657" s="33"/>
      <c r="H3657" s="33"/>
      <c r="I3657" s="31"/>
      <c r="J3657" s="31"/>
      <c r="K3657" s="33"/>
      <c r="L3657" s="33"/>
      <c r="M3657" s="31"/>
      <c r="N3657" s="31"/>
      <c r="O3657" s="16"/>
      <c r="P3657" s="16"/>
      <c r="Q3657" s="16"/>
      <c r="R3657" s="33"/>
      <c r="S3657" s="34"/>
      <c r="T3657" s="34"/>
      <c r="U3657" s="34"/>
      <c r="V3657" s="34"/>
      <c r="W3657" s="34"/>
      <c r="X3657" s="33"/>
      <c r="Y3657" s="35" t="str">
        <f>IF(Tabela2[[#This Row],[SIGLA]]="","",VLOOKUP(Tabela2[[#This Row],[SIGLA]],Tabela1[[#All],[Sigla Arte]:[Crédito]],2,0))</f>
        <v/>
      </c>
      <c r="Z3657" s="31"/>
      <c r="AA3657" s="31" t="str">
        <f>Tabela2[[#This Row],[ILUSTRADOR CRIAÇÃO]]</f>
        <v/>
      </c>
      <c r="AB3657" s="33"/>
      <c r="AC3657" s="16"/>
      <c r="AE3657" s="35" t="str">
        <f t="shared" si="58"/>
        <v>EF1 E002 Mat</v>
      </c>
    </row>
    <row r="3658" spans="1:31" x14ac:dyDescent="0.25">
      <c r="A3658" s="31"/>
      <c r="B3658" s="16"/>
      <c r="C3658" s="16"/>
      <c r="D3658" s="33"/>
      <c r="E3658" s="33"/>
      <c r="F3658" s="33"/>
      <c r="G3658" s="33"/>
      <c r="H3658" s="33"/>
      <c r="I3658" s="31"/>
      <c r="J3658" s="31"/>
      <c r="K3658" s="33"/>
      <c r="L3658" s="33"/>
      <c r="M3658" s="31"/>
      <c r="N3658" s="31"/>
      <c r="O3658" s="16"/>
      <c r="P3658" s="16"/>
      <c r="Q3658" s="16"/>
      <c r="R3658" s="33"/>
      <c r="S3658" s="34"/>
      <c r="T3658" s="34"/>
      <c r="U3658" s="34"/>
      <c r="V3658" s="34"/>
      <c r="W3658" s="34"/>
      <c r="X3658" s="33"/>
      <c r="Y3658" s="35" t="str">
        <f>IF(Tabela2[[#This Row],[SIGLA]]="","",VLOOKUP(Tabela2[[#This Row],[SIGLA]],Tabela1[[#All],[Sigla Arte]:[Crédito]],2,0))</f>
        <v/>
      </c>
      <c r="Z3658" s="31"/>
      <c r="AA3658" s="31" t="str">
        <f>Tabela2[[#This Row],[ILUSTRADOR CRIAÇÃO]]</f>
        <v/>
      </c>
      <c r="AB3658" s="33"/>
      <c r="AC3658" s="16"/>
      <c r="AE3658" s="35" t="str">
        <f t="shared" si="58"/>
        <v>EF1 E002 Mat</v>
      </c>
    </row>
    <row r="3659" spans="1:31" x14ac:dyDescent="0.25">
      <c r="A3659" s="31"/>
      <c r="B3659" s="16"/>
      <c r="C3659" s="16"/>
      <c r="D3659" s="33"/>
      <c r="E3659" s="33"/>
      <c r="F3659" s="33"/>
      <c r="G3659" s="33"/>
      <c r="H3659" s="33"/>
      <c r="I3659" s="31"/>
      <c r="J3659" s="31"/>
      <c r="K3659" s="33"/>
      <c r="L3659" s="33"/>
      <c r="M3659" s="31"/>
      <c r="N3659" s="31"/>
      <c r="O3659" s="16"/>
      <c r="P3659" s="16"/>
      <c r="Q3659" s="16"/>
      <c r="R3659" s="33"/>
      <c r="S3659" s="34"/>
      <c r="T3659" s="34"/>
      <c r="U3659" s="34"/>
      <c r="V3659" s="34"/>
      <c r="W3659" s="34"/>
      <c r="X3659" s="33"/>
      <c r="Y3659" s="35" t="str">
        <f>IF(Tabela2[[#This Row],[SIGLA]]="","",VLOOKUP(Tabela2[[#This Row],[SIGLA]],Tabela1[[#All],[Sigla Arte]:[Crédito]],2,0))</f>
        <v/>
      </c>
      <c r="Z3659" s="31"/>
      <c r="AA3659" s="31" t="str">
        <f>Tabela2[[#This Row],[ILUSTRADOR CRIAÇÃO]]</f>
        <v/>
      </c>
      <c r="AB3659" s="33"/>
      <c r="AC3659" s="16"/>
      <c r="AE3659" s="35" t="str">
        <f t="shared" si="58"/>
        <v>EF1 E002 Mat</v>
      </c>
    </row>
    <row r="3660" spans="1:31" x14ac:dyDescent="0.25">
      <c r="A3660" s="31"/>
      <c r="B3660" s="16"/>
      <c r="C3660" s="16"/>
      <c r="D3660" s="33"/>
      <c r="E3660" s="33"/>
      <c r="F3660" s="33"/>
      <c r="G3660" s="33"/>
      <c r="H3660" s="33"/>
      <c r="I3660" s="31"/>
      <c r="J3660" s="31"/>
      <c r="K3660" s="33"/>
      <c r="L3660" s="33"/>
      <c r="M3660" s="31"/>
      <c r="N3660" s="31"/>
      <c r="O3660" s="16"/>
      <c r="P3660" s="16"/>
      <c r="Q3660" s="16"/>
      <c r="R3660" s="33"/>
      <c r="S3660" s="34"/>
      <c r="T3660" s="34"/>
      <c r="U3660" s="34"/>
      <c r="V3660" s="34"/>
      <c r="W3660" s="34"/>
      <c r="X3660" s="33"/>
      <c r="Y3660" s="35" t="str">
        <f>IF(Tabela2[[#This Row],[SIGLA]]="","",VLOOKUP(Tabela2[[#This Row],[SIGLA]],Tabela1[[#All],[Sigla Arte]:[Crédito]],2,0))</f>
        <v/>
      </c>
      <c r="Z3660" s="31"/>
      <c r="AA3660" s="31" t="str">
        <f>Tabela2[[#This Row],[ILUSTRADOR CRIAÇÃO]]</f>
        <v/>
      </c>
      <c r="AB3660" s="33"/>
      <c r="AC3660" s="16"/>
      <c r="AE3660" s="35" t="str">
        <f t="shared" si="58"/>
        <v>EF1 E002 Mat</v>
      </c>
    </row>
    <row r="3661" spans="1:31" x14ac:dyDescent="0.25">
      <c r="A3661" s="31"/>
      <c r="B3661" s="16"/>
      <c r="C3661" s="16"/>
      <c r="D3661" s="33"/>
      <c r="E3661" s="33"/>
      <c r="F3661" s="33"/>
      <c r="G3661" s="33"/>
      <c r="H3661" s="33"/>
      <c r="I3661" s="31"/>
      <c r="J3661" s="31"/>
      <c r="K3661" s="33"/>
      <c r="L3661" s="33"/>
      <c r="M3661" s="31"/>
      <c r="N3661" s="31"/>
      <c r="O3661" s="16"/>
      <c r="P3661" s="16"/>
      <c r="Q3661" s="16"/>
      <c r="R3661" s="33"/>
      <c r="S3661" s="34"/>
      <c r="T3661" s="34"/>
      <c r="U3661" s="34"/>
      <c r="V3661" s="34"/>
      <c r="W3661" s="34"/>
      <c r="X3661" s="33"/>
      <c r="Y3661" s="35" t="str">
        <f>IF(Tabela2[[#This Row],[SIGLA]]="","",VLOOKUP(Tabela2[[#This Row],[SIGLA]],Tabela1[[#All],[Sigla Arte]:[Crédito]],2,0))</f>
        <v/>
      </c>
      <c r="Z3661" s="31"/>
      <c r="AA3661" s="31" t="str">
        <f>Tabela2[[#This Row],[ILUSTRADOR CRIAÇÃO]]</f>
        <v/>
      </c>
      <c r="AB3661" s="33"/>
      <c r="AC3661" s="16"/>
      <c r="AE3661" s="35" t="str">
        <f t="shared" si="58"/>
        <v>EF1 E002 Mat</v>
      </c>
    </row>
    <row r="3662" spans="1:31" x14ac:dyDescent="0.25">
      <c r="A3662" s="31"/>
      <c r="B3662" s="16"/>
      <c r="C3662" s="16"/>
      <c r="D3662" s="33"/>
      <c r="E3662" s="33"/>
      <c r="F3662" s="33"/>
      <c r="G3662" s="33"/>
      <c r="H3662" s="33"/>
      <c r="I3662" s="31"/>
      <c r="J3662" s="31"/>
      <c r="K3662" s="33"/>
      <c r="L3662" s="33"/>
      <c r="M3662" s="31"/>
      <c r="N3662" s="31"/>
      <c r="O3662" s="16"/>
      <c r="P3662" s="16"/>
      <c r="Q3662" s="16"/>
      <c r="R3662" s="33"/>
      <c r="S3662" s="34"/>
      <c r="T3662" s="34"/>
      <c r="U3662" s="34"/>
      <c r="V3662" s="34"/>
      <c r="W3662" s="34"/>
      <c r="X3662" s="33"/>
      <c r="Y3662" s="35" t="str">
        <f>IF(Tabela2[[#This Row],[SIGLA]]="","",VLOOKUP(Tabela2[[#This Row],[SIGLA]],Tabela1[[#All],[Sigla Arte]:[Crédito]],2,0))</f>
        <v/>
      </c>
      <c r="Z3662" s="31"/>
      <c r="AA3662" s="31" t="str">
        <f>Tabela2[[#This Row],[ILUSTRADOR CRIAÇÃO]]</f>
        <v/>
      </c>
      <c r="AB3662" s="33"/>
      <c r="AC3662" s="16"/>
      <c r="AE3662" s="35" t="str">
        <f t="shared" si="58"/>
        <v>EF1 E002 Mat</v>
      </c>
    </row>
    <row r="3663" spans="1:31" x14ac:dyDescent="0.25">
      <c r="A3663" s="31"/>
      <c r="B3663" s="16"/>
      <c r="C3663" s="16"/>
      <c r="D3663" s="33"/>
      <c r="E3663" s="33"/>
      <c r="F3663" s="33"/>
      <c r="G3663" s="33"/>
      <c r="H3663" s="33"/>
      <c r="I3663" s="31"/>
      <c r="J3663" s="31"/>
      <c r="K3663" s="33"/>
      <c r="L3663" s="33"/>
      <c r="M3663" s="31"/>
      <c r="N3663" s="31"/>
      <c r="O3663" s="16"/>
      <c r="P3663" s="16"/>
      <c r="Q3663" s="16"/>
      <c r="R3663" s="33"/>
      <c r="S3663" s="34"/>
      <c r="T3663" s="34"/>
      <c r="U3663" s="34"/>
      <c r="V3663" s="34"/>
      <c r="W3663" s="34"/>
      <c r="X3663" s="33"/>
      <c r="Y3663" s="35" t="str">
        <f>IF(Tabela2[[#This Row],[SIGLA]]="","",VLOOKUP(Tabela2[[#This Row],[SIGLA]],Tabela1[[#All],[Sigla Arte]:[Crédito]],2,0))</f>
        <v/>
      </c>
      <c r="Z3663" s="31"/>
      <c r="AA3663" s="31" t="str">
        <f>Tabela2[[#This Row],[ILUSTRADOR CRIAÇÃO]]</f>
        <v/>
      </c>
      <c r="AB3663" s="33"/>
      <c r="AC3663" s="16"/>
      <c r="AE3663" s="35" t="str">
        <f t="shared" si="58"/>
        <v>EF1 E002 Mat</v>
      </c>
    </row>
    <row r="3664" spans="1:31" x14ac:dyDescent="0.25">
      <c r="A3664" s="31"/>
      <c r="B3664" s="16"/>
      <c r="C3664" s="16"/>
      <c r="D3664" s="33"/>
      <c r="E3664" s="33"/>
      <c r="F3664" s="33"/>
      <c r="G3664" s="33"/>
      <c r="H3664" s="33"/>
      <c r="I3664" s="31"/>
      <c r="J3664" s="31"/>
      <c r="K3664" s="33"/>
      <c r="L3664" s="33"/>
      <c r="M3664" s="31"/>
      <c r="N3664" s="31"/>
      <c r="O3664" s="16"/>
      <c r="P3664" s="16"/>
      <c r="Q3664" s="16"/>
      <c r="R3664" s="33"/>
      <c r="S3664" s="34"/>
      <c r="T3664" s="34"/>
      <c r="U3664" s="34"/>
      <c r="V3664" s="34"/>
      <c r="W3664" s="34"/>
      <c r="X3664" s="33"/>
      <c r="Y3664" s="35" t="str">
        <f>IF(Tabela2[[#This Row],[SIGLA]]="","",VLOOKUP(Tabela2[[#This Row],[SIGLA]],Tabela1[[#All],[Sigla Arte]:[Crédito]],2,0))</f>
        <v/>
      </c>
      <c r="Z3664" s="31"/>
      <c r="AA3664" s="31" t="str">
        <f>Tabela2[[#This Row],[ILUSTRADOR CRIAÇÃO]]</f>
        <v/>
      </c>
      <c r="AB3664" s="33"/>
      <c r="AC3664" s="16"/>
      <c r="AE3664" s="35" t="str">
        <f t="shared" si="58"/>
        <v>EF1 E002 Mat</v>
      </c>
    </row>
    <row r="3665" spans="1:31" x14ac:dyDescent="0.25">
      <c r="A3665" s="31"/>
      <c r="B3665" s="16"/>
      <c r="C3665" s="16"/>
      <c r="D3665" s="33"/>
      <c r="E3665" s="33"/>
      <c r="F3665" s="33"/>
      <c r="G3665" s="33"/>
      <c r="H3665" s="33"/>
      <c r="I3665" s="31"/>
      <c r="J3665" s="31"/>
      <c r="K3665" s="33"/>
      <c r="L3665" s="33"/>
      <c r="M3665" s="31"/>
      <c r="N3665" s="31"/>
      <c r="O3665" s="16"/>
      <c r="P3665" s="16"/>
      <c r="Q3665" s="16"/>
      <c r="R3665" s="33"/>
      <c r="S3665" s="34"/>
      <c r="T3665" s="34"/>
      <c r="U3665" s="34"/>
      <c r="V3665" s="34"/>
      <c r="W3665" s="34"/>
      <c r="X3665" s="33"/>
      <c r="Y3665" s="35" t="str">
        <f>IF(Tabela2[[#This Row],[SIGLA]]="","",VLOOKUP(Tabela2[[#This Row],[SIGLA]],Tabela1[[#All],[Sigla Arte]:[Crédito]],2,0))</f>
        <v/>
      </c>
      <c r="Z3665" s="31"/>
      <c r="AA3665" s="31" t="str">
        <f>Tabela2[[#This Row],[ILUSTRADOR CRIAÇÃO]]</f>
        <v/>
      </c>
      <c r="AB3665" s="33"/>
      <c r="AC3665" s="16"/>
      <c r="AE3665" s="35" t="str">
        <f t="shared" si="58"/>
        <v>EF1 E002 Mat</v>
      </c>
    </row>
    <row r="3666" spans="1:31" x14ac:dyDescent="0.25">
      <c r="A3666" s="31"/>
      <c r="B3666" s="16"/>
      <c r="C3666" s="16"/>
      <c r="D3666" s="33"/>
      <c r="E3666" s="33"/>
      <c r="F3666" s="33"/>
      <c r="G3666" s="33"/>
      <c r="H3666" s="33"/>
      <c r="I3666" s="31"/>
      <c r="J3666" s="31"/>
      <c r="K3666" s="33"/>
      <c r="L3666" s="33"/>
      <c r="M3666" s="31"/>
      <c r="N3666" s="31"/>
      <c r="O3666" s="16"/>
      <c r="P3666" s="16"/>
      <c r="Q3666" s="16"/>
      <c r="R3666" s="33"/>
      <c r="S3666" s="34"/>
      <c r="T3666" s="34"/>
      <c r="U3666" s="34"/>
      <c r="V3666" s="34"/>
      <c r="W3666" s="34"/>
      <c r="X3666" s="33"/>
      <c r="Y3666" s="35" t="str">
        <f>IF(Tabela2[[#This Row],[SIGLA]]="","",VLOOKUP(Tabela2[[#This Row],[SIGLA]],Tabela1[[#All],[Sigla Arte]:[Crédito]],2,0))</f>
        <v/>
      </c>
      <c r="Z3666" s="31"/>
      <c r="AA3666" s="31" t="str">
        <f>Tabela2[[#This Row],[ILUSTRADOR CRIAÇÃO]]</f>
        <v/>
      </c>
      <c r="AB3666" s="33"/>
      <c r="AC3666" s="16"/>
      <c r="AE3666" s="35" t="str">
        <f t="shared" si="58"/>
        <v>EF1 E002 Mat</v>
      </c>
    </row>
    <row r="3667" spans="1:31" x14ac:dyDescent="0.25">
      <c r="A3667" s="31"/>
      <c r="B3667" s="16"/>
      <c r="C3667" s="16"/>
      <c r="D3667" s="33"/>
      <c r="E3667" s="33"/>
      <c r="F3667" s="33"/>
      <c r="G3667" s="33"/>
      <c r="H3667" s="33"/>
      <c r="I3667" s="31"/>
      <c r="J3667" s="31"/>
      <c r="K3667" s="33"/>
      <c r="L3667" s="33"/>
      <c r="M3667" s="31"/>
      <c r="N3667" s="31"/>
      <c r="O3667" s="16"/>
      <c r="P3667" s="16"/>
      <c r="Q3667" s="16"/>
      <c r="R3667" s="33"/>
      <c r="S3667" s="34"/>
      <c r="T3667" s="34"/>
      <c r="U3667" s="34"/>
      <c r="V3667" s="34"/>
      <c r="W3667" s="34"/>
      <c r="X3667" s="33"/>
      <c r="Y3667" s="35" t="str">
        <f>IF(Tabela2[[#This Row],[SIGLA]]="","",VLOOKUP(Tabela2[[#This Row],[SIGLA]],Tabela1[[#All],[Sigla Arte]:[Crédito]],2,0))</f>
        <v/>
      </c>
      <c r="Z3667" s="31"/>
      <c r="AA3667" s="31" t="str">
        <f>Tabela2[[#This Row],[ILUSTRADOR CRIAÇÃO]]</f>
        <v/>
      </c>
      <c r="AB3667" s="33"/>
      <c r="AC3667" s="16"/>
      <c r="AE3667" s="35" t="str">
        <f t="shared" si="58"/>
        <v>EF1 E002 Mat</v>
      </c>
    </row>
    <row r="3668" spans="1:31" x14ac:dyDescent="0.25">
      <c r="A3668" s="31"/>
      <c r="B3668" s="16"/>
      <c r="C3668" s="16"/>
      <c r="D3668" s="33"/>
      <c r="E3668" s="33"/>
      <c r="F3668" s="33"/>
      <c r="G3668" s="33"/>
      <c r="H3668" s="33"/>
      <c r="I3668" s="31"/>
      <c r="J3668" s="31"/>
      <c r="K3668" s="33"/>
      <c r="L3668" s="33"/>
      <c r="M3668" s="31"/>
      <c r="N3668" s="31"/>
      <c r="O3668" s="16"/>
      <c r="P3668" s="16"/>
      <c r="Q3668" s="16"/>
      <c r="R3668" s="33"/>
      <c r="S3668" s="34"/>
      <c r="T3668" s="34"/>
      <c r="U3668" s="34"/>
      <c r="V3668" s="34"/>
      <c r="W3668" s="34"/>
      <c r="X3668" s="33"/>
      <c r="Y3668" s="35" t="str">
        <f>IF(Tabela2[[#This Row],[SIGLA]]="","",VLOOKUP(Tabela2[[#This Row],[SIGLA]],Tabela1[[#All],[Sigla Arte]:[Crédito]],2,0))</f>
        <v/>
      </c>
      <c r="Z3668" s="31"/>
      <c r="AA3668" s="31" t="str">
        <f>Tabela2[[#This Row],[ILUSTRADOR CRIAÇÃO]]</f>
        <v/>
      </c>
      <c r="AB3668" s="33"/>
      <c r="AC3668" s="16"/>
      <c r="AE3668" s="35" t="str">
        <f t="shared" si="58"/>
        <v>EF1 E002 Mat</v>
      </c>
    </row>
    <row r="3669" spans="1:31" x14ac:dyDescent="0.25">
      <c r="A3669" s="31"/>
      <c r="B3669" s="16"/>
      <c r="C3669" s="16"/>
      <c r="D3669" s="33"/>
      <c r="E3669" s="33"/>
      <c r="F3669" s="33"/>
      <c r="G3669" s="33"/>
      <c r="H3669" s="33"/>
      <c r="I3669" s="31"/>
      <c r="J3669" s="31"/>
      <c r="K3669" s="33"/>
      <c r="L3669" s="33"/>
      <c r="M3669" s="31"/>
      <c r="N3669" s="31"/>
      <c r="O3669" s="16"/>
      <c r="P3669" s="16"/>
      <c r="Q3669" s="16"/>
      <c r="R3669" s="33"/>
      <c r="S3669" s="34"/>
      <c r="T3669" s="34"/>
      <c r="U3669" s="34"/>
      <c r="V3669" s="34"/>
      <c r="W3669" s="34"/>
      <c r="X3669" s="33"/>
      <c r="Y3669" s="35" t="str">
        <f>IF(Tabela2[[#This Row],[SIGLA]]="","",VLOOKUP(Tabela2[[#This Row],[SIGLA]],Tabela1[[#All],[Sigla Arte]:[Crédito]],2,0))</f>
        <v/>
      </c>
      <c r="Z3669" s="31"/>
      <c r="AA3669" s="31" t="str">
        <f>Tabela2[[#This Row],[ILUSTRADOR CRIAÇÃO]]</f>
        <v/>
      </c>
      <c r="AB3669" s="33"/>
      <c r="AC3669" s="16"/>
      <c r="AE3669" s="35" t="str">
        <f t="shared" si="58"/>
        <v>EF1 E002 Mat</v>
      </c>
    </row>
    <row r="3670" spans="1:31" x14ac:dyDescent="0.25">
      <c r="A3670" s="31"/>
      <c r="B3670" s="16"/>
      <c r="C3670" s="16"/>
      <c r="D3670" s="33"/>
      <c r="E3670" s="33"/>
      <c r="F3670" s="33"/>
      <c r="G3670" s="33"/>
      <c r="H3670" s="33"/>
      <c r="I3670" s="31"/>
      <c r="J3670" s="31"/>
      <c r="K3670" s="33"/>
      <c r="L3670" s="33"/>
      <c r="M3670" s="31"/>
      <c r="N3670" s="31"/>
      <c r="O3670" s="16"/>
      <c r="P3670" s="16"/>
      <c r="Q3670" s="16"/>
      <c r="R3670" s="33"/>
      <c r="S3670" s="34"/>
      <c r="T3670" s="34"/>
      <c r="U3670" s="34"/>
      <c r="V3670" s="34"/>
      <c r="W3670" s="34"/>
      <c r="X3670" s="33"/>
      <c r="Y3670" s="35" t="str">
        <f>IF(Tabela2[[#This Row],[SIGLA]]="","",VLOOKUP(Tabela2[[#This Row],[SIGLA]],Tabela1[[#All],[Sigla Arte]:[Crédito]],2,0))</f>
        <v/>
      </c>
      <c r="Z3670" s="31"/>
      <c r="AA3670" s="31" t="str">
        <f>Tabela2[[#This Row],[ILUSTRADOR CRIAÇÃO]]</f>
        <v/>
      </c>
      <c r="AB3670" s="33"/>
      <c r="AC3670" s="16"/>
      <c r="AE3670" s="35" t="str">
        <f t="shared" si="58"/>
        <v>EF1 E002 Mat</v>
      </c>
    </row>
    <row r="3671" spans="1:31" x14ac:dyDescent="0.25">
      <c r="A3671" s="31"/>
      <c r="B3671" s="16"/>
      <c r="C3671" s="16"/>
      <c r="D3671" s="33"/>
      <c r="E3671" s="33"/>
      <c r="F3671" s="33"/>
      <c r="G3671" s="33"/>
      <c r="H3671" s="33"/>
      <c r="I3671" s="31"/>
      <c r="J3671" s="31"/>
      <c r="K3671" s="33"/>
      <c r="L3671" s="33"/>
      <c r="M3671" s="31"/>
      <c r="N3671" s="31"/>
      <c r="O3671" s="16"/>
      <c r="P3671" s="16"/>
      <c r="Q3671" s="16"/>
      <c r="R3671" s="33"/>
      <c r="S3671" s="34"/>
      <c r="T3671" s="34"/>
      <c r="U3671" s="34"/>
      <c r="V3671" s="34"/>
      <c r="W3671" s="34"/>
      <c r="X3671" s="33"/>
      <c r="Y3671" s="35" t="str">
        <f>IF(Tabela2[[#This Row],[SIGLA]]="","",VLOOKUP(Tabela2[[#This Row],[SIGLA]],Tabela1[[#All],[Sigla Arte]:[Crédito]],2,0))</f>
        <v/>
      </c>
      <c r="Z3671" s="31"/>
      <c r="AA3671" s="31" t="str">
        <f>Tabela2[[#This Row],[ILUSTRADOR CRIAÇÃO]]</f>
        <v/>
      </c>
      <c r="AB3671" s="33"/>
      <c r="AC3671" s="16"/>
      <c r="AE3671" s="35" t="str">
        <f t="shared" si="58"/>
        <v>EF1 E002 Mat</v>
      </c>
    </row>
    <row r="3672" spans="1:31" x14ac:dyDescent="0.25">
      <c r="A3672" s="31"/>
      <c r="B3672" s="16"/>
      <c r="C3672" s="16"/>
      <c r="D3672" s="33"/>
      <c r="E3672" s="33"/>
      <c r="F3672" s="33"/>
      <c r="G3672" s="33"/>
      <c r="H3672" s="33"/>
      <c r="I3672" s="31"/>
      <c r="J3672" s="31"/>
      <c r="K3672" s="33"/>
      <c r="L3672" s="33"/>
      <c r="M3672" s="31"/>
      <c r="N3672" s="31"/>
      <c r="O3672" s="16"/>
      <c r="P3672" s="16"/>
      <c r="Q3672" s="16"/>
      <c r="R3672" s="33"/>
      <c r="S3672" s="34"/>
      <c r="T3672" s="34"/>
      <c r="U3672" s="34"/>
      <c r="V3672" s="34"/>
      <c r="W3672" s="34"/>
      <c r="X3672" s="33"/>
      <c r="Y3672" s="35" t="str">
        <f>IF(Tabela2[[#This Row],[SIGLA]]="","",VLOOKUP(Tabela2[[#This Row],[SIGLA]],Tabela1[[#All],[Sigla Arte]:[Crédito]],2,0))</f>
        <v/>
      </c>
      <c r="Z3672" s="31"/>
      <c r="AA3672" s="31" t="str">
        <f>Tabela2[[#This Row],[ILUSTRADOR CRIAÇÃO]]</f>
        <v/>
      </c>
      <c r="AB3672" s="33"/>
      <c r="AC3672" s="16"/>
      <c r="AE3672" s="35" t="str">
        <f t="shared" si="58"/>
        <v>EF1 E002 Mat</v>
      </c>
    </row>
    <row r="3673" spans="1:31" x14ac:dyDescent="0.25">
      <c r="A3673" s="31"/>
      <c r="B3673" s="16"/>
      <c r="C3673" s="16"/>
      <c r="D3673" s="33"/>
      <c r="E3673" s="33"/>
      <c r="F3673" s="33"/>
      <c r="G3673" s="33"/>
      <c r="H3673" s="33"/>
      <c r="I3673" s="31"/>
      <c r="J3673" s="31"/>
      <c r="K3673" s="33"/>
      <c r="L3673" s="33"/>
      <c r="M3673" s="31"/>
      <c r="N3673" s="31"/>
      <c r="O3673" s="16"/>
      <c r="P3673" s="16"/>
      <c r="Q3673" s="16"/>
      <c r="R3673" s="33"/>
      <c r="S3673" s="34"/>
      <c r="T3673" s="34"/>
      <c r="U3673" s="34"/>
      <c r="V3673" s="34"/>
      <c r="W3673" s="34"/>
      <c r="X3673" s="33"/>
      <c r="Y3673" s="35" t="str">
        <f>IF(Tabela2[[#This Row],[SIGLA]]="","",VLOOKUP(Tabela2[[#This Row],[SIGLA]],Tabela1[[#All],[Sigla Arte]:[Crédito]],2,0))</f>
        <v/>
      </c>
      <c r="Z3673" s="31"/>
      <c r="AA3673" s="31" t="str">
        <f>Tabela2[[#This Row],[ILUSTRADOR CRIAÇÃO]]</f>
        <v/>
      </c>
      <c r="AB3673" s="33"/>
      <c r="AC3673" s="16"/>
      <c r="AE3673" s="35" t="str">
        <f t="shared" si="58"/>
        <v>EF1 E002 Mat</v>
      </c>
    </row>
    <row r="3674" spans="1:31" x14ac:dyDescent="0.25">
      <c r="A3674" s="31"/>
      <c r="B3674" s="16"/>
      <c r="C3674" s="16"/>
      <c r="D3674" s="33"/>
      <c r="E3674" s="33"/>
      <c r="F3674" s="33"/>
      <c r="G3674" s="33"/>
      <c r="H3674" s="33"/>
      <c r="I3674" s="31"/>
      <c r="J3674" s="31"/>
      <c r="K3674" s="33"/>
      <c r="L3674" s="33"/>
      <c r="M3674" s="31"/>
      <c r="N3674" s="31"/>
      <c r="O3674" s="16"/>
      <c r="P3674" s="16"/>
      <c r="Q3674" s="16"/>
      <c r="R3674" s="33"/>
      <c r="S3674" s="34"/>
      <c r="T3674" s="34"/>
      <c r="U3674" s="34"/>
      <c r="V3674" s="34"/>
      <c r="W3674" s="34"/>
      <c r="X3674" s="33"/>
      <c r="Y3674" s="35" t="str">
        <f>IF(Tabela2[[#This Row],[SIGLA]]="","",VLOOKUP(Tabela2[[#This Row],[SIGLA]],Tabela1[[#All],[Sigla Arte]:[Crédito]],2,0))</f>
        <v/>
      </c>
      <c r="Z3674" s="31"/>
      <c r="AA3674" s="31" t="str">
        <f>Tabela2[[#This Row],[ILUSTRADOR CRIAÇÃO]]</f>
        <v/>
      </c>
      <c r="AB3674" s="33"/>
      <c r="AC3674" s="16"/>
      <c r="AE3674" s="35" t="str">
        <f t="shared" si="58"/>
        <v>EF1 E002 Mat</v>
      </c>
    </row>
    <row r="3675" spans="1:31" x14ac:dyDescent="0.25">
      <c r="A3675" s="31"/>
      <c r="B3675" s="16"/>
      <c r="C3675" s="16"/>
      <c r="D3675" s="33"/>
      <c r="E3675" s="33"/>
      <c r="F3675" s="33"/>
      <c r="G3675" s="33"/>
      <c r="H3675" s="33"/>
      <c r="I3675" s="31"/>
      <c r="J3675" s="31"/>
      <c r="K3675" s="33"/>
      <c r="L3675" s="33"/>
      <c r="M3675" s="31"/>
      <c r="N3675" s="31"/>
      <c r="O3675" s="16"/>
      <c r="P3675" s="16"/>
      <c r="Q3675" s="16"/>
      <c r="R3675" s="33"/>
      <c r="S3675" s="34"/>
      <c r="T3675" s="34"/>
      <c r="U3675" s="34"/>
      <c r="V3675" s="34"/>
      <c r="W3675" s="34"/>
      <c r="X3675" s="33"/>
      <c r="Y3675" s="35" t="str">
        <f>IF(Tabela2[[#This Row],[SIGLA]]="","",VLOOKUP(Tabela2[[#This Row],[SIGLA]],Tabela1[[#All],[Sigla Arte]:[Crédito]],2,0))</f>
        <v/>
      </c>
      <c r="Z3675" s="31"/>
      <c r="AA3675" s="31" t="str">
        <f>Tabela2[[#This Row],[ILUSTRADOR CRIAÇÃO]]</f>
        <v/>
      </c>
      <c r="AB3675" s="33"/>
      <c r="AC3675" s="16"/>
      <c r="AE3675" s="35" t="str">
        <f t="shared" si="58"/>
        <v>EF1 E002 Mat</v>
      </c>
    </row>
    <row r="3676" spans="1:31" x14ac:dyDescent="0.25">
      <c r="A3676" s="31"/>
      <c r="B3676" s="16"/>
      <c r="C3676" s="16"/>
      <c r="D3676" s="33"/>
      <c r="E3676" s="33"/>
      <c r="F3676" s="33"/>
      <c r="G3676" s="33"/>
      <c r="H3676" s="33"/>
      <c r="I3676" s="31"/>
      <c r="J3676" s="31"/>
      <c r="K3676" s="33"/>
      <c r="L3676" s="33"/>
      <c r="M3676" s="31"/>
      <c r="N3676" s="31"/>
      <c r="O3676" s="16"/>
      <c r="P3676" s="16"/>
      <c r="Q3676" s="16"/>
      <c r="R3676" s="33"/>
      <c r="S3676" s="34"/>
      <c r="T3676" s="34"/>
      <c r="U3676" s="34"/>
      <c r="V3676" s="34"/>
      <c r="W3676" s="34"/>
      <c r="X3676" s="33"/>
      <c r="Y3676" s="35" t="str">
        <f>IF(Tabela2[[#This Row],[SIGLA]]="","",VLOOKUP(Tabela2[[#This Row],[SIGLA]],Tabela1[[#All],[Sigla Arte]:[Crédito]],2,0))</f>
        <v/>
      </c>
      <c r="Z3676" s="31"/>
      <c r="AA3676" s="31" t="str">
        <f>Tabela2[[#This Row],[ILUSTRADOR CRIAÇÃO]]</f>
        <v/>
      </c>
      <c r="AB3676" s="33"/>
      <c r="AC3676" s="16"/>
      <c r="AE3676" s="35" t="str">
        <f t="shared" si="58"/>
        <v>EF1 E002 Mat</v>
      </c>
    </row>
    <row r="3677" spans="1:31" x14ac:dyDescent="0.25">
      <c r="A3677" s="31"/>
      <c r="B3677" s="16"/>
      <c r="C3677" s="16"/>
      <c r="D3677" s="33"/>
      <c r="E3677" s="33"/>
      <c r="F3677" s="33"/>
      <c r="G3677" s="33"/>
      <c r="H3677" s="33"/>
      <c r="I3677" s="31"/>
      <c r="J3677" s="31"/>
      <c r="K3677" s="33"/>
      <c r="L3677" s="33"/>
      <c r="M3677" s="31"/>
      <c r="N3677" s="31"/>
      <c r="O3677" s="16"/>
      <c r="P3677" s="16"/>
      <c r="Q3677" s="16"/>
      <c r="R3677" s="33"/>
      <c r="S3677" s="34"/>
      <c r="T3677" s="34"/>
      <c r="U3677" s="34"/>
      <c r="V3677" s="34"/>
      <c r="W3677" s="34"/>
      <c r="X3677" s="33"/>
      <c r="Y3677" s="35" t="str">
        <f>IF(Tabela2[[#This Row],[SIGLA]]="","",VLOOKUP(Tabela2[[#This Row],[SIGLA]],Tabela1[[#All],[Sigla Arte]:[Crédito]],2,0))</f>
        <v/>
      </c>
      <c r="Z3677" s="31"/>
      <c r="AA3677" s="31" t="str">
        <f>Tabela2[[#This Row],[ILUSTRADOR CRIAÇÃO]]</f>
        <v/>
      </c>
      <c r="AB3677" s="33"/>
      <c r="AC3677" s="16"/>
      <c r="AE3677" s="35" t="str">
        <f t="shared" si="58"/>
        <v>EF1 E002 Mat</v>
      </c>
    </row>
    <row r="3678" spans="1:31" x14ac:dyDescent="0.25">
      <c r="A3678" s="31"/>
      <c r="B3678" s="16"/>
      <c r="C3678" s="16"/>
      <c r="D3678" s="33"/>
      <c r="E3678" s="33"/>
      <c r="F3678" s="33"/>
      <c r="G3678" s="33"/>
      <c r="H3678" s="33"/>
      <c r="I3678" s="31"/>
      <c r="J3678" s="31"/>
      <c r="K3678" s="33"/>
      <c r="L3678" s="33"/>
      <c r="M3678" s="31"/>
      <c r="N3678" s="31"/>
      <c r="O3678" s="16"/>
      <c r="P3678" s="16"/>
      <c r="Q3678" s="16"/>
      <c r="R3678" s="33"/>
      <c r="S3678" s="34"/>
      <c r="T3678" s="34"/>
      <c r="U3678" s="34"/>
      <c r="V3678" s="34"/>
      <c r="W3678" s="34"/>
      <c r="X3678" s="33"/>
      <c r="Y3678" s="35" t="str">
        <f>IF(Tabela2[[#This Row],[SIGLA]]="","",VLOOKUP(Tabela2[[#This Row],[SIGLA]],Tabela1[[#All],[Sigla Arte]:[Crédito]],2,0))</f>
        <v/>
      </c>
      <c r="Z3678" s="31"/>
      <c r="AA3678" s="31" t="str">
        <f>Tabela2[[#This Row],[ILUSTRADOR CRIAÇÃO]]</f>
        <v/>
      </c>
      <c r="AB3678" s="33"/>
      <c r="AC3678" s="16"/>
      <c r="AE3678" s="35" t="str">
        <f t="shared" si="58"/>
        <v>EF1 E002 Mat</v>
      </c>
    </row>
    <row r="3679" spans="1:31" x14ac:dyDescent="0.25">
      <c r="A3679" s="31"/>
      <c r="B3679" s="16"/>
      <c r="C3679" s="16"/>
      <c r="D3679" s="33"/>
      <c r="E3679" s="33"/>
      <c r="F3679" s="33"/>
      <c r="G3679" s="33"/>
      <c r="H3679" s="33"/>
      <c r="I3679" s="31"/>
      <c r="J3679" s="31"/>
      <c r="K3679" s="33"/>
      <c r="L3679" s="33"/>
      <c r="M3679" s="31"/>
      <c r="N3679" s="31"/>
      <c r="O3679" s="16"/>
      <c r="P3679" s="16"/>
      <c r="Q3679" s="16"/>
      <c r="R3679" s="33"/>
      <c r="S3679" s="34"/>
      <c r="T3679" s="34"/>
      <c r="U3679" s="34"/>
      <c r="V3679" s="34"/>
      <c r="W3679" s="34"/>
      <c r="X3679" s="33"/>
      <c r="Y3679" s="35" t="str">
        <f>IF(Tabela2[[#This Row],[SIGLA]]="","",VLOOKUP(Tabela2[[#This Row],[SIGLA]],Tabela1[[#All],[Sigla Arte]:[Crédito]],2,0))</f>
        <v/>
      </c>
      <c r="Z3679" s="31"/>
      <c r="AA3679" s="31" t="str">
        <f>Tabela2[[#This Row],[ILUSTRADOR CRIAÇÃO]]</f>
        <v/>
      </c>
      <c r="AB3679" s="33"/>
      <c r="AC3679" s="16"/>
      <c r="AE3679" s="35" t="str">
        <f t="shared" si="58"/>
        <v>EF1 E002 Mat</v>
      </c>
    </row>
    <row r="3680" spans="1:31" x14ac:dyDescent="0.25">
      <c r="A3680" s="31"/>
      <c r="B3680" s="16"/>
      <c r="C3680" s="16"/>
      <c r="D3680" s="33"/>
      <c r="E3680" s="33"/>
      <c r="F3680" s="33"/>
      <c r="G3680" s="33"/>
      <c r="H3680" s="33"/>
      <c r="I3680" s="31"/>
      <c r="J3680" s="31"/>
      <c r="K3680" s="33"/>
      <c r="L3680" s="33"/>
      <c r="M3680" s="31"/>
      <c r="N3680" s="31"/>
      <c r="O3680" s="16"/>
      <c r="P3680" s="16"/>
      <c r="Q3680" s="16"/>
      <c r="R3680" s="33"/>
      <c r="S3680" s="34"/>
      <c r="T3680" s="34"/>
      <c r="U3680" s="34"/>
      <c r="V3680" s="34"/>
      <c r="W3680" s="34"/>
      <c r="X3680" s="33"/>
      <c r="Y3680" s="35" t="str">
        <f>IF(Tabela2[[#This Row],[SIGLA]]="","",VLOOKUP(Tabela2[[#This Row],[SIGLA]],Tabela1[[#All],[Sigla Arte]:[Crédito]],2,0))</f>
        <v/>
      </c>
      <c r="Z3680" s="31"/>
      <c r="AA3680" s="31" t="str">
        <f>Tabela2[[#This Row],[ILUSTRADOR CRIAÇÃO]]</f>
        <v/>
      </c>
      <c r="AB3680" s="33"/>
      <c r="AC3680" s="16"/>
      <c r="AE3680" s="35" t="str">
        <f t="shared" si="58"/>
        <v>EF1 E002 Mat</v>
      </c>
    </row>
    <row r="3681" spans="1:31" x14ac:dyDescent="0.25">
      <c r="A3681" s="31"/>
      <c r="B3681" s="16"/>
      <c r="C3681" s="16"/>
      <c r="D3681" s="33"/>
      <c r="E3681" s="33"/>
      <c r="F3681" s="33"/>
      <c r="G3681" s="33"/>
      <c r="H3681" s="33"/>
      <c r="I3681" s="31"/>
      <c r="J3681" s="31"/>
      <c r="K3681" s="33"/>
      <c r="L3681" s="33"/>
      <c r="M3681" s="31"/>
      <c r="N3681" s="31"/>
      <c r="O3681" s="16"/>
      <c r="P3681" s="16"/>
      <c r="Q3681" s="16"/>
      <c r="R3681" s="33"/>
      <c r="S3681" s="34"/>
      <c r="T3681" s="34"/>
      <c r="U3681" s="34"/>
      <c r="V3681" s="34"/>
      <c r="W3681" s="34"/>
      <c r="X3681" s="33"/>
      <c r="Y3681" s="35" t="str">
        <f>IF(Tabela2[[#This Row],[SIGLA]]="","",VLOOKUP(Tabela2[[#This Row],[SIGLA]],Tabela1[[#All],[Sigla Arte]:[Crédito]],2,0))</f>
        <v/>
      </c>
      <c r="Z3681" s="31"/>
      <c r="AA3681" s="31" t="str">
        <f>Tabela2[[#This Row],[ILUSTRADOR CRIAÇÃO]]</f>
        <v/>
      </c>
      <c r="AB3681" s="33"/>
      <c r="AC3681" s="16"/>
      <c r="AE3681" s="35" t="str">
        <f t="shared" si="58"/>
        <v>EF1 E002 Mat</v>
      </c>
    </row>
    <row r="3682" spans="1:31" x14ac:dyDescent="0.25">
      <c r="A3682" s="31"/>
      <c r="B3682" s="16"/>
      <c r="C3682" s="16"/>
      <c r="D3682" s="33"/>
      <c r="E3682" s="33"/>
      <c r="F3682" s="33"/>
      <c r="G3682" s="33"/>
      <c r="H3682" s="33"/>
      <c r="I3682" s="31"/>
      <c r="J3682" s="31"/>
      <c r="K3682" s="33"/>
      <c r="L3682" s="33"/>
      <c r="M3682" s="31"/>
      <c r="N3682" s="31"/>
      <c r="O3682" s="16"/>
      <c r="P3682" s="16"/>
      <c r="Q3682" s="16"/>
      <c r="R3682" s="33"/>
      <c r="S3682" s="34"/>
      <c r="T3682" s="34"/>
      <c r="U3682" s="34"/>
      <c r="V3682" s="34"/>
      <c r="W3682" s="34"/>
      <c r="X3682" s="33"/>
      <c r="Y3682" s="35" t="str">
        <f>IF(Tabela2[[#This Row],[SIGLA]]="","",VLOOKUP(Tabela2[[#This Row],[SIGLA]],Tabela1[[#All],[Sigla Arte]:[Crédito]],2,0))</f>
        <v/>
      </c>
      <c r="Z3682" s="31"/>
      <c r="AA3682" s="31" t="str">
        <f>Tabela2[[#This Row],[ILUSTRADOR CRIAÇÃO]]</f>
        <v/>
      </c>
      <c r="AB3682" s="33"/>
      <c r="AC3682" s="16"/>
      <c r="AE3682" s="35" t="str">
        <f t="shared" si="58"/>
        <v>EF1 E002 Mat</v>
      </c>
    </row>
    <row r="3683" spans="1:31" x14ac:dyDescent="0.25">
      <c r="A3683" s="31"/>
      <c r="B3683" s="16"/>
      <c r="C3683" s="16"/>
      <c r="D3683" s="33"/>
      <c r="E3683" s="33"/>
      <c r="F3683" s="33"/>
      <c r="G3683" s="33"/>
      <c r="H3683" s="33"/>
      <c r="I3683" s="31"/>
      <c r="J3683" s="31"/>
      <c r="K3683" s="33"/>
      <c r="L3683" s="33"/>
      <c r="M3683" s="31"/>
      <c r="N3683" s="31"/>
      <c r="O3683" s="16"/>
      <c r="P3683" s="16"/>
      <c r="Q3683" s="16"/>
      <c r="R3683" s="33"/>
      <c r="S3683" s="34"/>
      <c r="T3683" s="34"/>
      <c r="U3683" s="34"/>
      <c r="V3683" s="34"/>
      <c r="W3683" s="34"/>
      <c r="X3683" s="33"/>
      <c r="Y3683" s="35" t="str">
        <f>IF(Tabela2[[#This Row],[SIGLA]]="","",VLOOKUP(Tabela2[[#This Row],[SIGLA]],Tabela1[[#All],[Sigla Arte]:[Crédito]],2,0))</f>
        <v/>
      </c>
      <c r="Z3683" s="31"/>
      <c r="AA3683" s="31" t="str">
        <f>Tabela2[[#This Row],[ILUSTRADOR CRIAÇÃO]]</f>
        <v/>
      </c>
      <c r="AB3683" s="33"/>
      <c r="AC3683" s="16"/>
      <c r="AE3683" s="35" t="str">
        <f t="shared" si="58"/>
        <v>EF1 E002 Mat</v>
      </c>
    </row>
    <row r="3684" spans="1:31" x14ac:dyDescent="0.25">
      <c r="A3684" s="31"/>
      <c r="B3684" s="16"/>
      <c r="C3684" s="16"/>
      <c r="D3684" s="33"/>
      <c r="E3684" s="33"/>
      <c r="F3684" s="33"/>
      <c r="G3684" s="33"/>
      <c r="H3684" s="33"/>
      <c r="I3684" s="31"/>
      <c r="J3684" s="31"/>
      <c r="K3684" s="33"/>
      <c r="L3684" s="33"/>
      <c r="M3684" s="31"/>
      <c r="N3684" s="31"/>
      <c r="O3684" s="16"/>
      <c r="P3684" s="16"/>
      <c r="Q3684" s="16"/>
      <c r="R3684" s="33"/>
      <c r="S3684" s="34"/>
      <c r="T3684" s="34"/>
      <c r="U3684" s="34"/>
      <c r="V3684" s="34"/>
      <c r="W3684" s="34"/>
      <c r="X3684" s="33"/>
      <c r="Y3684" s="35" t="str">
        <f>IF(Tabela2[[#This Row],[SIGLA]]="","",VLOOKUP(Tabela2[[#This Row],[SIGLA]],Tabela1[[#All],[Sigla Arte]:[Crédito]],2,0))</f>
        <v/>
      </c>
      <c r="Z3684" s="31"/>
      <c r="AA3684" s="31" t="str">
        <f>Tabela2[[#This Row],[ILUSTRADOR CRIAÇÃO]]</f>
        <v/>
      </c>
      <c r="AB3684" s="33"/>
      <c r="AC3684" s="16"/>
      <c r="AE3684" s="35" t="str">
        <f t="shared" si="58"/>
        <v>EF1 E002 Mat</v>
      </c>
    </row>
    <row r="3685" spans="1:31" x14ac:dyDescent="0.25">
      <c r="A3685" s="31"/>
      <c r="B3685" s="16"/>
      <c r="C3685" s="16"/>
      <c r="D3685" s="33"/>
      <c r="E3685" s="33"/>
      <c r="F3685" s="33"/>
      <c r="G3685" s="33"/>
      <c r="H3685" s="33"/>
      <c r="I3685" s="31"/>
      <c r="J3685" s="31"/>
      <c r="K3685" s="33"/>
      <c r="L3685" s="33"/>
      <c r="M3685" s="31"/>
      <c r="N3685" s="31"/>
      <c r="O3685" s="16"/>
      <c r="P3685" s="16"/>
      <c r="Q3685" s="16"/>
      <c r="R3685" s="33"/>
      <c r="S3685" s="34"/>
      <c r="T3685" s="34"/>
      <c r="U3685" s="34"/>
      <c r="V3685" s="34"/>
      <c r="W3685" s="34"/>
      <c r="X3685" s="33"/>
      <c r="Y3685" s="35" t="str">
        <f>IF(Tabela2[[#This Row],[SIGLA]]="","",VLOOKUP(Tabela2[[#This Row],[SIGLA]],Tabela1[[#All],[Sigla Arte]:[Crédito]],2,0))</f>
        <v/>
      </c>
      <c r="Z3685" s="31"/>
      <c r="AA3685" s="31" t="str">
        <f>Tabela2[[#This Row],[ILUSTRADOR CRIAÇÃO]]</f>
        <v/>
      </c>
      <c r="AB3685" s="33"/>
      <c r="AC3685" s="16"/>
      <c r="AE3685" s="35" t="str">
        <f t="shared" si="58"/>
        <v>EF1 E002 Mat</v>
      </c>
    </row>
    <row r="3686" spans="1:31" x14ac:dyDescent="0.25">
      <c r="A3686" s="31"/>
      <c r="B3686" s="16"/>
      <c r="C3686" s="16"/>
      <c r="D3686" s="33"/>
      <c r="E3686" s="33"/>
      <c r="F3686" s="33"/>
      <c r="G3686" s="33"/>
      <c r="H3686" s="33"/>
      <c r="I3686" s="31"/>
      <c r="J3686" s="31"/>
      <c r="K3686" s="33"/>
      <c r="L3686" s="33"/>
      <c r="M3686" s="31"/>
      <c r="N3686" s="31"/>
      <c r="O3686" s="16"/>
      <c r="P3686" s="16"/>
      <c r="Q3686" s="16"/>
      <c r="R3686" s="33"/>
      <c r="S3686" s="34"/>
      <c r="T3686" s="34"/>
      <c r="U3686" s="34"/>
      <c r="V3686" s="34"/>
      <c r="W3686" s="34"/>
      <c r="X3686" s="33"/>
      <c r="Y3686" s="35" t="str">
        <f>IF(Tabela2[[#This Row],[SIGLA]]="","",VLOOKUP(Tabela2[[#This Row],[SIGLA]],Tabela1[[#All],[Sigla Arte]:[Crédito]],2,0))</f>
        <v/>
      </c>
      <c r="Z3686" s="31"/>
      <c r="AA3686" s="31" t="str">
        <f>Tabela2[[#This Row],[ILUSTRADOR CRIAÇÃO]]</f>
        <v/>
      </c>
      <c r="AB3686" s="33"/>
      <c r="AC3686" s="16"/>
      <c r="AE3686" s="35" t="str">
        <f t="shared" si="58"/>
        <v>EF1 E002 Mat</v>
      </c>
    </row>
    <row r="3687" spans="1:31" x14ac:dyDescent="0.25">
      <c r="A3687" s="31"/>
      <c r="B3687" s="16"/>
      <c r="C3687" s="16"/>
      <c r="D3687" s="33"/>
      <c r="E3687" s="33"/>
      <c r="F3687" s="33"/>
      <c r="G3687" s="33"/>
      <c r="H3687" s="33"/>
      <c r="I3687" s="31"/>
      <c r="J3687" s="31"/>
      <c r="K3687" s="33"/>
      <c r="L3687" s="33"/>
      <c r="M3687" s="31"/>
      <c r="N3687" s="31"/>
      <c r="O3687" s="16"/>
      <c r="P3687" s="16"/>
      <c r="Q3687" s="16"/>
      <c r="R3687" s="33"/>
      <c r="S3687" s="34"/>
      <c r="T3687" s="34"/>
      <c r="U3687" s="34"/>
      <c r="V3687" s="34"/>
      <c r="W3687" s="34"/>
      <c r="X3687" s="33"/>
      <c r="Y3687" s="35" t="str">
        <f>IF(Tabela2[[#This Row],[SIGLA]]="","",VLOOKUP(Tabela2[[#This Row],[SIGLA]],Tabela1[[#All],[Sigla Arte]:[Crédito]],2,0))</f>
        <v/>
      </c>
      <c r="Z3687" s="31"/>
      <c r="AA3687" s="31" t="str">
        <f>Tabela2[[#This Row],[ILUSTRADOR CRIAÇÃO]]</f>
        <v/>
      </c>
      <c r="AB3687" s="33"/>
      <c r="AC3687" s="16"/>
      <c r="AE3687" s="35" t="str">
        <f t="shared" si="58"/>
        <v>EF1 E002 Mat</v>
      </c>
    </row>
    <row r="3688" spans="1:31" x14ac:dyDescent="0.25">
      <c r="A3688" s="31"/>
      <c r="B3688" s="16"/>
      <c r="C3688" s="16"/>
      <c r="D3688" s="33"/>
      <c r="E3688" s="33"/>
      <c r="F3688" s="33"/>
      <c r="G3688" s="33"/>
      <c r="H3688" s="33"/>
      <c r="I3688" s="31"/>
      <c r="J3688" s="31"/>
      <c r="K3688" s="33"/>
      <c r="L3688" s="33"/>
      <c r="M3688" s="31"/>
      <c r="N3688" s="31"/>
      <c r="O3688" s="16"/>
      <c r="P3688" s="16"/>
      <c r="Q3688" s="16"/>
      <c r="R3688" s="33"/>
      <c r="S3688" s="34"/>
      <c r="T3688" s="34"/>
      <c r="U3688" s="34"/>
      <c r="V3688" s="34"/>
      <c r="W3688" s="34"/>
      <c r="X3688" s="33"/>
      <c r="Y3688" s="35" t="str">
        <f>IF(Tabela2[[#This Row],[SIGLA]]="","",VLOOKUP(Tabela2[[#This Row],[SIGLA]],Tabela1[[#All],[Sigla Arte]:[Crédito]],2,0))</f>
        <v/>
      </c>
      <c r="Z3688" s="31"/>
      <c r="AA3688" s="31" t="str">
        <f>Tabela2[[#This Row],[ILUSTRADOR CRIAÇÃO]]</f>
        <v/>
      </c>
      <c r="AB3688" s="33"/>
      <c r="AC3688" s="16"/>
      <c r="AE3688" s="35" t="str">
        <f t="shared" si="58"/>
        <v>EF1 E002 Mat</v>
      </c>
    </row>
    <row r="3689" spans="1:31" x14ac:dyDescent="0.25">
      <c r="A3689" s="31"/>
      <c r="B3689" s="16"/>
      <c r="C3689" s="16"/>
      <c r="D3689" s="33"/>
      <c r="E3689" s="33"/>
      <c r="F3689" s="33"/>
      <c r="G3689" s="33"/>
      <c r="H3689" s="33"/>
      <c r="I3689" s="31"/>
      <c r="J3689" s="31"/>
      <c r="K3689" s="33"/>
      <c r="L3689" s="33"/>
      <c r="M3689" s="31"/>
      <c r="N3689" s="31"/>
      <c r="O3689" s="16"/>
      <c r="P3689" s="16"/>
      <c r="Q3689" s="16"/>
      <c r="R3689" s="33"/>
      <c r="S3689" s="34"/>
      <c r="T3689" s="34"/>
      <c r="U3689" s="34"/>
      <c r="V3689" s="34"/>
      <c r="W3689" s="34"/>
      <c r="X3689" s="33"/>
      <c r="Y3689" s="35" t="str">
        <f>IF(Tabela2[[#This Row],[SIGLA]]="","",VLOOKUP(Tabela2[[#This Row],[SIGLA]],Tabela1[[#All],[Sigla Arte]:[Crédito]],2,0))</f>
        <v/>
      </c>
      <c r="Z3689" s="31"/>
      <c r="AA3689" s="31" t="str">
        <f>Tabela2[[#This Row],[ILUSTRADOR CRIAÇÃO]]</f>
        <v/>
      </c>
      <c r="AB3689" s="33"/>
      <c r="AC3689" s="16"/>
      <c r="AE3689" s="35" t="str">
        <f t="shared" si="58"/>
        <v>EF1 E002 Mat</v>
      </c>
    </row>
    <row r="3690" spans="1:31" x14ac:dyDescent="0.25">
      <c r="A3690" s="31"/>
      <c r="B3690" s="16"/>
      <c r="C3690" s="16"/>
      <c r="D3690" s="33"/>
      <c r="E3690" s="33"/>
      <c r="F3690" s="33"/>
      <c r="G3690" s="33"/>
      <c r="H3690" s="33"/>
      <c r="I3690" s="31"/>
      <c r="J3690" s="31"/>
      <c r="K3690" s="33"/>
      <c r="L3690" s="33"/>
      <c r="M3690" s="31"/>
      <c r="N3690" s="31"/>
      <c r="O3690" s="16"/>
      <c r="P3690" s="16"/>
      <c r="Q3690" s="16"/>
      <c r="R3690" s="33"/>
      <c r="S3690" s="34"/>
      <c r="T3690" s="34"/>
      <c r="U3690" s="34"/>
      <c r="V3690" s="34"/>
      <c r="W3690" s="34"/>
      <c r="X3690" s="33"/>
      <c r="Y3690" s="35" t="str">
        <f>IF(Tabela2[[#This Row],[SIGLA]]="","",VLOOKUP(Tabela2[[#This Row],[SIGLA]],Tabela1[[#All],[Sigla Arte]:[Crédito]],2,0))</f>
        <v/>
      </c>
      <c r="Z3690" s="31"/>
      <c r="AA3690" s="31" t="str">
        <f>Tabela2[[#This Row],[ILUSTRADOR CRIAÇÃO]]</f>
        <v/>
      </c>
      <c r="AB3690" s="33"/>
      <c r="AC3690" s="16"/>
      <c r="AE3690" s="35" t="str">
        <f t="shared" si="58"/>
        <v>EF1 E002 Mat</v>
      </c>
    </row>
    <row r="3691" spans="1:31" x14ac:dyDescent="0.25">
      <c r="A3691" s="31"/>
      <c r="B3691" s="16"/>
      <c r="C3691" s="16"/>
      <c r="D3691" s="33"/>
      <c r="E3691" s="33"/>
      <c r="F3691" s="33"/>
      <c r="G3691" s="33"/>
      <c r="H3691" s="33"/>
      <c r="I3691" s="31"/>
      <c r="J3691" s="31"/>
      <c r="K3691" s="33"/>
      <c r="L3691" s="33"/>
      <c r="M3691" s="31"/>
      <c r="N3691" s="31"/>
      <c r="O3691" s="16"/>
      <c r="P3691" s="16"/>
      <c r="Q3691" s="16"/>
      <c r="R3691" s="33"/>
      <c r="S3691" s="34"/>
      <c r="T3691" s="34"/>
      <c r="U3691" s="34"/>
      <c r="V3691" s="34"/>
      <c r="W3691" s="34"/>
      <c r="X3691" s="33"/>
      <c r="Y3691" s="35" t="str">
        <f>IF(Tabela2[[#This Row],[SIGLA]]="","",VLOOKUP(Tabela2[[#This Row],[SIGLA]],Tabela1[[#All],[Sigla Arte]:[Crédito]],2,0))</f>
        <v/>
      </c>
      <c r="Z3691" s="31"/>
      <c r="AA3691" s="31" t="str">
        <f>Tabela2[[#This Row],[ILUSTRADOR CRIAÇÃO]]</f>
        <v/>
      </c>
      <c r="AB3691" s="33"/>
      <c r="AC3691" s="16"/>
      <c r="AE3691" s="35" t="str">
        <f t="shared" si="58"/>
        <v>EF1 E002 Mat</v>
      </c>
    </row>
    <row r="3692" spans="1:31" x14ac:dyDescent="0.25">
      <c r="A3692" s="31"/>
      <c r="B3692" s="16"/>
      <c r="C3692" s="16"/>
      <c r="D3692" s="33"/>
      <c r="E3692" s="33"/>
      <c r="F3692" s="33"/>
      <c r="G3692" s="33"/>
      <c r="H3692" s="33"/>
      <c r="I3692" s="31"/>
      <c r="J3692" s="31"/>
      <c r="K3692" s="33"/>
      <c r="L3692" s="33"/>
      <c r="M3692" s="31"/>
      <c r="N3692" s="31"/>
      <c r="O3692" s="16"/>
      <c r="P3692" s="16"/>
      <c r="Q3692" s="16"/>
      <c r="R3692" s="33"/>
      <c r="S3692" s="34"/>
      <c r="T3692" s="34"/>
      <c r="U3692" s="34"/>
      <c r="V3692" s="34"/>
      <c r="W3692" s="34"/>
      <c r="X3692" s="33"/>
      <c r="Y3692" s="35" t="str">
        <f>IF(Tabela2[[#This Row],[SIGLA]]="","",VLOOKUP(Tabela2[[#This Row],[SIGLA]],Tabela1[[#All],[Sigla Arte]:[Crédito]],2,0))</f>
        <v/>
      </c>
      <c r="Z3692" s="31"/>
      <c r="AA3692" s="31" t="str">
        <f>Tabela2[[#This Row],[ILUSTRADOR CRIAÇÃO]]</f>
        <v/>
      </c>
      <c r="AB3692" s="33"/>
      <c r="AC3692" s="16"/>
      <c r="AE3692" s="35" t="str">
        <f t="shared" si="58"/>
        <v>EF1 E002 Mat</v>
      </c>
    </row>
    <row r="3693" spans="1:31" x14ac:dyDescent="0.25">
      <c r="A3693" s="31"/>
      <c r="B3693" s="16"/>
      <c r="C3693" s="16"/>
      <c r="D3693" s="33"/>
      <c r="E3693" s="33"/>
      <c r="F3693" s="33"/>
      <c r="G3693" s="33"/>
      <c r="H3693" s="33"/>
      <c r="I3693" s="31"/>
      <c r="J3693" s="31"/>
      <c r="K3693" s="33"/>
      <c r="L3693" s="33"/>
      <c r="M3693" s="31"/>
      <c r="N3693" s="31"/>
      <c r="O3693" s="16"/>
      <c r="P3693" s="16"/>
      <c r="Q3693" s="16"/>
      <c r="R3693" s="33"/>
      <c r="S3693" s="34"/>
      <c r="T3693" s="34"/>
      <c r="U3693" s="34"/>
      <c r="V3693" s="34"/>
      <c r="W3693" s="34"/>
      <c r="X3693" s="33"/>
      <c r="Y3693" s="35" t="str">
        <f>IF(Tabela2[[#This Row],[SIGLA]]="","",VLOOKUP(Tabela2[[#This Row],[SIGLA]],Tabela1[[#All],[Sigla Arte]:[Crédito]],2,0))</f>
        <v/>
      </c>
      <c r="Z3693" s="31"/>
      <c r="AA3693" s="31" t="str">
        <f>Tabela2[[#This Row],[ILUSTRADOR CRIAÇÃO]]</f>
        <v/>
      </c>
      <c r="AB3693" s="33"/>
      <c r="AC3693" s="16"/>
      <c r="AE3693" s="35" t="str">
        <f t="shared" si="58"/>
        <v>EF1 E002 Mat</v>
      </c>
    </row>
    <row r="3694" spans="1:31" x14ac:dyDescent="0.25">
      <c r="A3694" s="31"/>
      <c r="B3694" s="16"/>
      <c r="C3694" s="16"/>
      <c r="D3694" s="33"/>
      <c r="E3694" s="33"/>
      <c r="F3694" s="33"/>
      <c r="G3694" s="33"/>
      <c r="H3694" s="33"/>
      <c r="I3694" s="31"/>
      <c r="J3694" s="31"/>
      <c r="K3694" s="33"/>
      <c r="L3694" s="33"/>
      <c r="M3694" s="31"/>
      <c r="N3694" s="31"/>
      <c r="O3694" s="16"/>
      <c r="P3694" s="16"/>
      <c r="Q3694" s="16"/>
      <c r="R3694" s="33"/>
      <c r="S3694" s="34"/>
      <c r="T3694" s="34"/>
      <c r="U3694" s="34"/>
      <c r="V3694" s="34"/>
      <c r="W3694" s="34"/>
      <c r="X3694" s="33"/>
      <c r="Y3694" s="35" t="str">
        <f>IF(Tabela2[[#This Row],[SIGLA]]="","",VLOOKUP(Tabela2[[#This Row],[SIGLA]],Tabela1[[#All],[Sigla Arte]:[Crédito]],2,0))</f>
        <v/>
      </c>
      <c r="Z3694" s="31"/>
      <c r="AA3694" s="31" t="str">
        <f>Tabela2[[#This Row],[ILUSTRADOR CRIAÇÃO]]</f>
        <v/>
      </c>
      <c r="AB3694" s="33"/>
      <c r="AC3694" s="16"/>
      <c r="AE3694" s="35" t="str">
        <f t="shared" si="58"/>
        <v>EF1 E002 Mat</v>
      </c>
    </row>
    <row r="3695" spans="1:31" x14ac:dyDescent="0.25">
      <c r="A3695" s="31"/>
      <c r="B3695" s="16"/>
      <c r="C3695" s="16"/>
      <c r="D3695" s="33"/>
      <c r="E3695" s="33"/>
      <c r="F3695" s="33"/>
      <c r="G3695" s="33"/>
      <c r="H3695" s="33"/>
      <c r="I3695" s="31"/>
      <c r="J3695" s="31"/>
      <c r="K3695" s="33"/>
      <c r="L3695" s="33"/>
      <c r="M3695" s="31"/>
      <c r="N3695" s="31"/>
      <c r="O3695" s="16"/>
      <c r="P3695" s="16"/>
      <c r="Q3695" s="16"/>
      <c r="R3695" s="33"/>
      <c r="S3695" s="34"/>
      <c r="T3695" s="34"/>
      <c r="U3695" s="34"/>
      <c r="V3695" s="34"/>
      <c r="W3695" s="34"/>
      <c r="X3695" s="33"/>
      <c r="Y3695" s="35" t="str">
        <f>IF(Tabela2[[#This Row],[SIGLA]]="","",VLOOKUP(Tabela2[[#This Row],[SIGLA]],Tabela1[[#All],[Sigla Arte]:[Crédito]],2,0))</f>
        <v/>
      </c>
      <c r="Z3695" s="31"/>
      <c r="AA3695" s="31" t="str">
        <f>Tabela2[[#This Row],[ILUSTRADOR CRIAÇÃO]]</f>
        <v/>
      </c>
      <c r="AB3695" s="33"/>
      <c r="AC3695" s="16"/>
      <c r="AE3695" s="35" t="str">
        <f t="shared" si="58"/>
        <v>EF1 E002 Mat</v>
      </c>
    </row>
    <row r="3696" spans="1:31" x14ac:dyDescent="0.25">
      <c r="A3696" s="31"/>
      <c r="B3696" s="16"/>
      <c r="C3696" s="16"/>
      <c r="D3696" s="33"/>
      <c r="E3696" s="33"/>
      <c r="F3696" s="33"/>
      <c r="G3696" s="33"/>
      <c r="H3696" s="33"/>
      <c r="I3696" s="31"/>
      <c r="J3696" s="31"/>
      <c r="K3696" s="33"/>
      <c r="L3696" s="33"/>
      <c r="M3696" s="31"/>
      <c r="N3696" s="31"/>
      <c r="O3696" s="16"/>
      <c r="P3696" s="16"/>
      <c r="Q3696" s="16"/>
      <c r="R3696" s="33"/>
      <c r="S3696" s="34"/>
      <c r="T3696" s="34"/>
      <c r="U3696" s="34"/>
      <c r="V3696" s="34"/>
      <c r="W3696" s="34"/>
      <c r="X3696" s="33"/>
      <c r="Y3696" s="35" t="str">
        <f>IF(Tabela2[[#This Row],[SIGLA]]="","",VLOOKUP(Tabela2[[#This Row],[SIGLA]],Tabela1[[#All],[Sigla Arte]:[Crédito]],2,0))</f>
        <v/>
      </c>
      <c r="Z3696" s="31"/>
      <c r="AA3696" s="31" t="str">
        <f>Tabela2[[#This Row],[ILUSTRADOR CRIAÇÃO]]</f>
        <v/>
      </c>
      <c r="AB3696" s="33"/>
      <c r="AC3696" s="16"/>
      <c r="AE3696" s="35" t="str">
        <f t="shared" si="58"/>
        <v>EF1 E002 Mat</v>
      </c>
    </row>
    <row r="3697" spans="1:31" x14ac:dyDescent="0.25">
      <c r="A3697" s="31"/>
      <c r="B3697" s="16"/>
      <c r="C3697" s="16"/>
      <c r="D3697" s="33"/>
      <c r="E3697" s="33"/>
      <c r="F3697" s="33"/>
      <c r="G3697" s="33"/>
      <c r="H3697" s="33"/>
      <c r="I3697" s="31"/>
      <c r="J3697" s="31"/>
      <c r="K3697" s="33"/>
      <c r="L3697" s="33"/>
      <c r="M3697" s="31"/>
      <c r="N3697" s="31"/>
      <c r="O3697" s="16"/>
      <c r="P3697" s="16"/>
      <c r="Q3697" s="16"/>
      <c r="R3697" s="33"/>
      <c r="S3697" s="34"/>
      <c r="T3697" s="34"/>
      <c r="U3697" s="34"/>
      <c r="V3697" s="34"/>
      <c r="W3697" s="34"/>
      <c r="X3697" s="33"/>
      <c r="Y3697" s="35" t="str">
        <f>IF(Tabela2[[#This Row],[SIGLA]]="","",VLOOKUP(Tabela2[[#This Row],[SIGLA]],Tabela1[[#All],[Sigla Arte]:[Crédito]],2,0))</f>
        <v/>
      </c>
      <c r="Z3697" s="31"/>
      <c r="AA3697" s="31" t="str">
        <f>Tabela2[[#This Row],[ILUSTRADOR CRIAÇÃO]]</f>
        <v/>
      </c>
      <c r="AB3697" s="33"/>
      <c r="AC3697" s="16"/>
      <c r="AE3697" s="35" t="str">
        <f t="shared" si="58"/>
        <v>EF1 E002 Mat</v>
      </c>
    </row>
    <row r="3698" spans="1:31" x14ac:dyDescent="0.25">
      <c r="A3698" s="31"/>
      <c r="B3698" s="16"/>
      <c r="C3698" s="16"/>
      <c r="D3698" s="33"/>
      <c r="E3698" s="33"/>
      <c r="F3698" s="33"/>
      <c r="G3698" s="33"/>
      <c r="H3698" s="33"/>
      <c r="I3698" s="31"/>
      <c r="J3698" s="31"/>
      <c r="K3698" s="33"/>
      <c r="L3698" s="33"/>
      <c r="M3698" s="31"/>
      <c r="N3698" s="31"/>
      <c r="O3698" s="16"/>
      <c r="P3698" s="16"/>
      <c r="Q3698" s="16"/>
      <c r="R3698" s="33"/>
      <c r="S3698" s="34"/>
      <c r="T3698" s="34"/>
      <c r="U3698" s="34"/>
      <c r="V3698" s="34"/>
      <c r="W3698" s="34"/>
      <c r="X3698" s="33"/>
      <c r="Y3698" s="35" t="str">
        <f>IF(Tabela2[[#This Row],[SIGLA]]="","",VLOOKUP(Tabela2[[#This Row],[SIGLA]],Tabela1[[#All],[Sigla Arte]:[Crédito]],2,0))</f>
        <v/>
      </c>
      <c r="Z3698" s="31"/>
      <c r="AA3698" s="31" t="str">
        <f>Tabela2[[#This Row],[ILUSTRADOR CRIAÇÃO]]</f>
        <v/>
      </c>
      <c r="AB3698" s="33"/>
      <c r="AC3698" s="16"/>
      <c r="AE3698" s="35" t="str">
        <f t="shared" ref="AE3698:AE3761" si="59">"EF1 E002 Mat"</f>
        <v>EF1 E002 Mat</v>
      </c>
    </row>
    <row r="3699" spans="1:31" x14ac:dyDescent="0.25">
      <c r="A3699" s="31"/>
      <c r="B3699" s="16"/>
      <c r="C3699" s="16"/>
      <c r="D3699" s="33"/>
      <c r="E3699" s="33"/>
      <c r="F3699" s="33"/>
      <c r="G3699" s="33"/>
      <c r="H3699" s="33"/>
      <c r="I3699" s="31"/>
      <c r="J3699" s="31"/>
      <c r="K3699" s="33"/>
      <c r="L3699" s="33"/>
      <c r="M3699" s="31"/>
      <c r="N3699" s="31"/>
      <c r="O3699" s="16"/>
      <c r="P3699" s="16"/>
      <c r="Q3699" s="16"/>
      <c r="R3699" s="33"/>
      <c r="S3699" s="34"/>
      <c r="T3699" s="34"/>
      <c r="U3699" s="34"/>
      <c r="V3699" s="34"/>
      <c r="W3699" s="34"/>
      <c r="X3699" s="33"/>
      <c r="Y3699" s="35" t="str">
        <f>IF(Tabela2[[#This Row],[SIGLA]]="","",VLOOKUP(Tabela2[[#This Row],[SIGLA]],Tabela1[[#All],[Sigla Arte]:[Crédito]],2,0))</f>
        <v/>
      </c>
      <c r="Z3699" s="31"/>
      <c r="AA3699" s="31" t="str">
        <f>Tabela2[[#This Row],[ILUSTRADOR CRIAÇÃO]]</f>
        <v/>
      </c>
      <c r="AB3699" s="33"/>
      <c r="AC3699" s="16"/>
      <c r="AE3699" s="35" t="str">
        <f t="shared" si="59"/>
        <v>EF1 E002 Mat</v>
      </c>
    </row>
    <row r="3700" spans="1:31" x14ac:dyDescent="0.25">
      <c r="A3700" s="31"/>
      <c r="B3700" s="16"/>
      <c r="C3700" s="16"/>
      <c r="D3700" s="33"/>
      <c r="E3700" s="33"/>
      <c r="F3700" s="33"/>
      <c r="G3700" s="33"/>
      <c r="H3700" s="33"/>
      <c r="I3700" s="31"/>
      <c r="J3700" s="31"/>
      <c r="K3700" s="33"/>
      <c r="L3700" s="33"/>
      <c r="M3700" s="31"/>
      <c r="N3700" s="31"/>
      <c r="O3700" s="16"/>
      <c r="P3700" s="16"/>
      <c r="Q3700" s="16"/>
      <c r="R3700" s="33"/>
      <c r="S3700" s="34"/>
      <c r="T3700" s="34"/>
      <c r="U3700" s="34"/>
      <c r="V3700" s="34"/>
      <c r="W3700" s="34"/>
      <c r="X3700" s="33"/>
      <c r="Y3700" s="35" t="str">
        <f>IF(Tabela2[[#This Row],[SIGLA]]="","",VLOOKUP(Tabela2[[#This Row],[SIGLA]],Tabela1[[#All],[Sigla Arte]:[Crédito]],2,0))</f>
        <v/>
      </c>
      <c r="Z3700" s="31"/>
      <c r="AA3700" s="31" t="str">
        <f>Tabela2[[#This Row],[ILUSTRADOR CRIAÇÃO]]</f>
        <v/>
      </c>
      <c r="AB3700" s="33"/>
      <c r="AC3700" s="16"/>
      <c r="AE3700" s="35" t="str">
        <f t="shared" si="59"/>
        <v>EF1 E002 Mat</v>
      </c>
    </row>
    <row r="3701" spans="1:31" x14ac:dyDescent="0.25">
      <c r="A3701" s="31"/>
      <c r="B3701" s="16"/>
      <c r="C3701" s="16"/>
      <c r="D3701" s="33"/>
      <c r="E3701" s="33"/>
      <c r="F3701" s="33"/>
      <c r="G3701" s="33"/>
      <c r="H3701" s="33"/>
      <c r="I3701" s="31"/>
      <c r="J3701" s="31"/>
      <c r="K3701" s="33"/>
      <c r="L3701" s="33"/>
      <c r="M3701" s="31"/>
      <c r="N3701" s="31"/>
      <c r="O3701" s="16"/>
      <c r="P3701" s="16"/>
      <c r="Q3701" s="16"/>
      <c r="R3701" s="33"/>
      <c r="S3701" s="34"/>
      <c r="T3701" s="34"/>
      <c r="U3701" s="34"/>
      <c r="V3701" s="34"/>
      <c r="W3701" s="34"/>
      <c r="X3701" s="33"/>
      <c r="Y3701" s="35" t="str">
        <f>IF(Tabela2[[#This Row],[SIGLA]]="","",VLOOKUP(Tabela2[[#This Row],[SIGLA]],Tabela1[[#All],[Sigla Arte]:[Crédito]],2,0))</f>
        <v/>
      </c>
      <c r="Z3701" s="31"/>
      <c r="AA3701" s="31" t="str">
        <f>Tabela2[[#This Row],[ILUSTRADOR CRIAÇÃO]]</f>
        <v/>
      </c>
      <c r="AB3701" s="33"/>
      <c r="AC3701" s="16"/>
      <c r="AE3701" s="35" t="str">
        <f t="shared" si="59"/>
        <v>EF1 E002 Mat</v>
      </c>
    </row>
    <row r="3702" spans="1:31" x14ac:dyDescent="0.25">
      <c r="A3702" s="31"/>
      <c r="B3702" s="16"/>
      <c r="C3702" s="16"/>
      <c r="D3702" s="33"/>
      <c r="E3702" s="33"/>
      <c r="F3702" s="33"/>
      <c r="G3702" s="33"/>
      <c r="H3702" s="33"/>
      <c r="I3702" s="31"/>
      <c r="J3702" s="31"/>
      <c r="K3702" s="33"/>
      <c r="L3702" s="33"/>
      <c r="M3702" s="31"/>
      <c r="N3702" s="31"/>
      <c r="O3702" s="16"/>
      <c r="P3702" s="16"/>
      <c r="Q3702" s="16"/>
      <c r="R3702" s="33"/>
      <c r="S3702" s="34"/>
      <c r="T3702" s="34"/>
      <c r="U3702" s="34"/>
      <c r="V3702" s="34"/>
      <c r="W3702" s="34"/>
      <c r="X3702" s="33"/>
      <c r="Y3702" s="35" t="str">
        <f>IF(Tabela2[[#This Row],[SIGLA]]="","",VLOOKUP(Tabela2[[#This Row],[SIGLA]],Tabela1[[#All],[Sigla Arte]:[Crédito]],2,0))</f>
        <v/>
      </c>
      <c r="Z3702" s="31"/>
      <c r="AA3702" s="31" t="str">
        <f>Tabela2[[#This Row],[ILUSTRADOR CRIAÇÃO]]</f>
        <v/>
      </c>
      <c r="AB3702" s="33"/>
      <c r="AC3702" s="16"/>
      <c r="AE3702" s="35" t="str">
        <f t="shared" si="59"/>
        <v>EF1 E002 Mat</v>
      </c>
    </row>
    <row r="3703" spans="1:31" x14ac:dyDescent="0.25">
      <c r="A3703" s="31"/>
      <c r="B3703" s="16"/>
      <c r="C3703" s="16"/>
      <c r="D3703" s="33"/>
      <c r="E3703" s="33"/>
      <c r="F3703" s="33"/>
      <c r="G3703" s="33"/>
      <c r="H3703" s="33"/>
      <c r="I3703" s="31"/>
      <c r="J3703" s="31"/>
      <c r="K3703" s="33"/>
      <c r="L3703" s="33"/>
      <c r="M3703" s="31"/>
      <c r="N3703" s="31"/>
      <c r="O3703" s="16"/>
      <c r="P3703" s="16"/>
      <c r="Q3703" s="16"/>
      <c r="R3703" s="33"/>
      <c r="S3703" s="34"/>
      <c r="T3703" s="34"/>
      <c r="U3703" s="34"/>
      <c r="V3703" s="34"/>
      <c r="W3703" s="34"/>
      <c r="X3703" s="33"/>
      <c r="Y3703" s="35" t="str">
        <f>IF(Tabela2[[#This Row],[SIGLA]]="","",VLOOKUP(Tabela2[[#This Row],[SIGLA]],Tabela1[[#All],[Sigla Arte]:[Crédito]],2,0))</f>
        <v/>
      </c>
      <c r="Z3703" s="31"/>
      <c r="AA3703" s="31" t="str">
        <f>Tabela2[[#This Row],[ILUSTRADOR CRIAÇÃO]]</f>
        <v/>
      </c>
      <c r="AB3703" s="33"/>
      <c r="AC3703" s="16"/>
      <c r="AE3703" s="35" t="str">
        <f t="shared" si="59"/>
        <v>EF1 E002 Mat</v>
      </c>
    </row>
    <row r="3704" spans="1:31" x14ac:dyDescent="0.25">
      <c r="A3704" s="31"/>
      <c r="B3704" s="16"/>
      <c r="C3704" s="16"/>
      <c r="D3704" s="33"/>
      <c r="E3704" s="33"/>
      <c r="F3704" s="33"/>
      <c r="G3704" s="33"/>
      <c r="H3704" s="33"/>
      <c r="I3704" s="31"/>
      <c r="J3704" s="31"/>
      <c r="K3704" s="33"/>
      <c r="L3704" s="33"/>
      <c r="M3704" s="31"/>
      <c r="N3704" s="31"/>
      <c r="O3704" s="16"/>
      <c r="P3704" s="16"/>
      <c r="Q3704" s="16"/>
      <c r="R3704" s="33"/>
      <c r="S3704" s="34"/>
      <c r="T3704" s="34"/>
      <c r="U3704" s="34"/>
      <c r="V3704" s="34"/>
      <c r="W3704" s="34"/>
      <c r="X3704" s="33"/>
      <c r="Y3704" s="35" t="str">
        <f>IF(Tabela2[[#This Row],[SIGLA]]="","",VLOOKUP(Tabela2[[#This Row],[SIGLA]],Tabela1[[#All],[Sigla Arte]:[Crédito]],2,0))</f>
        <v/>
      </c>
      <c r="Z3704" s="31"/>
      <c r="AA3704" s="31" t="str">
        <f>Tabela2[[#This Row],[ILUSTRADOR CRIAÇÃO]]</f>
        <v/>
      </c>
      <c r="AB3704" s="33"/>
      <c r="AC3704" s="16"/>
      <c r="AE3704" s="35" t="str">
        <f t="shared" si="59"/>
        <v>EF1 E002 Mat</v>
      </c>
    </row>
    <row r="3705" spans="1:31" x14ac:dyDescent="0.25">
      <c r="A3705" s="31"/>
      <c r="B3705" s="16"/>
      <c r="C3705" s="16"/>
      <c r="D3705" s="33"/>
      <c r="E3705" s="33"/>
      <c r="F3705" s="33"/>
      <c r="G3705" s="33"/>
      <c r="H3705" s="33"/>
      <c r="I3705" s="31"/>
      <c r="J3705" s="31"/>
      <c r="K3705" s="33"/>
      <c r="L3705" s="33"/>
      <c r="M3705" s="31"/>
      <c r="N3705" s="31"/>
      <c r="O3705" s="16"/>
      <c r="P3705" s="16"/>
      <c r="Q3705" s="16"/>
      <c r="R3705" s="33"/>
      <c r="S3705" s="34"/>
      <c r="T3705" s="34"/>
      <c r="U3705" s="34"/>
      <c r="V3705" s="34"/>
      <c r="W3705" s="34"/>
      <c r="X3705" s="33"/>
      <c r="Y3705" s="35" t="str">
        <f>IF(Tabela2[[#This Row],[SIGLA]]="","",VLOOKUP(Tabela2[[#This Row],[SIGLA]],Tabela1[[#All],[Sigla Arte]:[Crédito]],2,0))</f>
        <v/>
      </c>
      <c r="Z3705" s="31"/>
      <c r="AA3705" s="31" t="str">
        <f>Tabela2[[#This Row],[ILUSTRADOR CRIAÇÃO]]</f>
        <v/>
      </c>
      <c r="AB3705" s="33"/>
      <c r="AC3705" s="16"/>
      <c r="AE3705" s="35" t="str">
        <f t="shared" si="59"/>
        <v>EF1 E002 Mat</v>
      </c>
    </row>
    <row r="3706" spans="1:31" x14ac:dyDescent="0.25">
      <c r="A3706" s="31"/>
      <c r="B3706" s="16"/>
      <c r="C3706" s="16"/>
      <c r="D3706" s="33"/>
      <c r="E3706" s="33"/>
      <c r="F3706" s="33"/>
      <c r="G3706" s="33"/>
      <c r="H3706" s="33"/>
      <c r="I3706" s="31"/>
      <c r="J3706" s="31"/>
      <c r="K3706" s="33"/>
      <c r="L3706" s="33"/>
      <c r="M3706" s="31"/>
      <c r="N3706" s="31"/>
      <c r="O3706" s="16"/>
      <c r="P3706" s="16"/>
      <c r="Q3706" s="16"/>
      <c r="R3706" s="33"/>
      <c r="S3706" s="34"/>
      <c r="T3706" s="34"/>
      <c r="U3706" s="34"/>
      <c r="V3706" s="34"/>
      <c r="W3706" s="34"/>
      <c r="X3706" s="33"/>
      <c r="Y3706" s="35" t="str">
        <f>IF(Tabela2[[#This Row],[SIGLA]]="","",VLOOKUP(Tabela2[[#This Row],[SIGLA]],Tabela1[[#All],[Sigla Arte]:[Crédito]],2,0))</f>
        <v/>
      </c>
      <c r="Z3706" s="31"/>
      <c r="AA3706" s="31" t="str">
        <f>Tabela2[[#This Row],[ILUSTRADOR CRIAÇÃO]]</f>
        <v/>
      </c>
      <c r="AB3706" s="33"/>
      <c r="AC3706" s="16"/>
      <c r="AE3706" s="35" t="str">
        <f t="shared" si="59"/>
        <v>EF1 E002 Mat</v>
      </c>
    </row>
    <row r="3707" spans="1:31" x14ac:dyDescent="0.25">
      <c r="A3707" s="31"/>
      <c r="B3707" s="16"/>
      <c r="C3707" s="16"/>
      <c r="D3707" s="33"/>
      <c r="E3707" s="33"/>
      <c r="F3707" s="33"/>
      <c r="G3707" s="33"/>
      <c r="H3707" s="33"/>
      <c r="I3707" s="31"/>
      <c r="J3707" s="31"/>
      <c r="K3707" s="33"/>
      <c r="L3707" s="33"/>
      <c r="M3707" s="31"/>
      <c r="N3707" s="31"/>
      <c r="O3707" s="16"/>
      <c r="P3707" s="16"/>
      <c r="Q3707" s="16"/>
      <c r="R3707" s="33"/>
      <c r="S3707" s="34"/>
      <c r="T3707" s="34"/>
      <c r="U3707" s="34"/>
      <c r="V3707" s="34"/>
      <c r="W3707" s="34"/>
      <c r="X3707" s="33"/>
      <c r="Y3707" s="35" t="str">
        <f>IF(Tabela2[[#This Row],[SIGLA]]="","",VLOOKUP(Tabela2[[#This Row],[SIGLA]],Tabela1[[#All],[Sigla Arte]:[Crédito]],2,0))</f>
        <v/>
      </c>
      <c r="Z3707" s="31"/>
      <c r="AA3707" s="31" t="str">
        <f>Tabela2[[#This Row],[ILUSTRADOR CRIAÇÃO]]</f>
        <v/>
      </c>
      <c r="AB3707" s="33"/>
      <c r="AC3707" s="16"/>
      <c r="AE3707" s="35" t="str">
        <f t="shared" si="59"/>
        <v>EF1 E002 Mat</v>
      </c>
    </row>
    <row r="3708" spans="1:31" x14ac:dyDescent="0.25">
      <c r="A3708" s="31"/>
      <c r="B3708" s="16"/>
      <c r="C3708" s="16"/>
      <c r="D3708" s="33"/>
      <c r="E3708" s="33"/>
      <c r="F3708" s="33"/>
      <c r="G3708" s="33"/>
      <c r="H3708" s="33"/>
      <c r="I3708" s="31"/>
      <c r="J3708" s="31"/>
      <c r="K3708" s="33"/>
      <c r="L3708" s="33"/>
      <c r="M3708" s="31"/>
      <c r="N3708" s="31"/>
      <c r="O3708" s="16"/>
      <c r="P3708" s="16"/>
      <c r="Q3708" s="16"/>
      <c r="R3708" s="33"/>
      <c r="S3708" s="34"/>
      <c r="T3708" s="34"/>
      <c r="U3708" s="34"/>
      <c r="V3708" s="34"/>
      <c r="W3708" s="34"/>
      <c r="X3708" s="33"/>
      <c r="Y3708" s="35" t="str">
        <f>IF(Tabela2[[#This Row],[SIGLA]]="","",VLOOKUP(Tabela2[[#This Row],[SIGLA]],Tabela1[[#All],[Sigla Arte]:[Crédito]],2,0))</f>
        <v/>
      </c>
      <c r="Z3708" s="31"/>
      <c r="AA3708" s="31" t="str">
        <f>Tabela2[[#This Row],[ILUSTRADOR CRIAÇÃO]]</f>
        <v/>
      </c>
      <c r="AB3708" s="33"/>
      <c r="AC3708" s="16"/>
      <c r="AE3708" s="35" t="str">
        <f t="shared" si="59"/>
        <v>EF1 E002 Mat</v>
      </c>
    </row>
    <row r="3709" spans="1:31" x14ac:dyDescent="0.25">
      <c r="A3709" s="31"/>
      <c r="B3709" s="16"/>
      <c r="C3709" s="16"/>
      <c r="D3709" s="33"/>
      <c r="E3709" s="33"/>
      <c r="F3709" s="33"/>
      <c r="G3709" s="33"/>
      <c r="H3709" s="33"/>
      <c r="I3709" s="31"/>
      <c r="J3709" s="31"/>
      <c r="K3709" s="33"/>
      <c r="L3709" s="33"/>
      <c r="M3709" s="31"/>
      <c r="N3709" s="31"/>
      <c r="O3709" s="16"/>
      <c r="P3709" s="16"/>
      <c r="Q3709" s="16"/>
      <c r="R3709" s="33"/>
      <c r="S3709" s="34"/>
      <c r="T3709" s="34"/>
      <c r="U3709" s="34"/>
      <c r="V3709" s="34"/>
      <c r="W3709" s="34"/>
      <c r="X3709" s="33"/>
      <c r="Y3709" s="35" t="str">
        <f>IF(Tabela2[[#This Row],[SIGLA]]="","",VLOOKUP(Tabela2[[#This Row],[SIGLA]],Tabela1[[#All],[Sigla Arte]:[Crédito]],2,0))</f>
        <v/>
      </c>
      <c r="Z3709" s="31"/>
      <c r="AA3709" s="31" t="str">
        <f>Tabela2[[#This Row],[ILUSTRADOR CRIAÇÃO]]</f>
        <v/>
      </c>
      <c r="AB3709" s="33"/>
      <c r="AC3709" s="16"/>
      <c r="AE3709" s="35" t="str">
        <f t="shared" si="59"/>
        <v>EF1 E002 Mat</v>
      </c>
    </row>
    <row r="3710" spans="1:31" x14ac:dyDescent="0.25">
      <c r="A3710" s="31"/>
      <c r="B3710" s="16"/>
      <c r="C3710" s="16"/>
      <c r="D3710" s="33"/>
      <c r="E3710" s="33"/>
      <c r="F3710" s="33"/>
      <c r="G3710" s="33"/>
      <c r="H3710" s="33"/>
      <c r="I3710" s="31"/>
      <c r="J3710" s="31"/>
      <c r="K3710" s="33"/>
      <c r="L3710" s="33"/>
      <c r="M3710" s="31"/>
      <c r="N3710" s="31"/>
      <c r="O3710" s="16"/>
      <c r="P3710" s="16"/>
      <c r="Q3710" s="16"/>
      <c r="R3710" s="33"/>
      <c r="S3710" s="34"/>
      <c r="T3710" s="34"/>
      <c r="U3710" s="34"/>
      <c r="V3710" s="34"/>
      <c r="W3710" s="34"/>
      <c r="X3710" s="33"/>
      <c r="Y3710" s="35" t="str">
        <f>IF(Tabela2[[#This Row],[SIGLA]]="","",VLOOKUP(Tabela2[[#This Row],[SIGLA]],Tabela1[[#All],[Sigla Arte]:[Crédito]],2,0))</f>
        <v/>
      </c>
      <c r="Z3710" s="31"/>
      <c r="AA3710" s="31" t="str">
        <f>Tabela2[[#This Row],[ILUSTRADOR CRIAÇÃO]]</f>
        <v/>
      </c>
      <c r="AB3710" s="33"/>
      <c r="AC3710" s="16"/>
      <c r="AE3710" s="35" t="str">
        <f t="shared" si="59"/>
        <v>EF1 E002 Mat</v>
      </c>
    </row>
    <row r="3711" spans="1:31" x14ac:dyDescent="0.25">
      <c r="A3711" s="31"/>
      <c r="B3711" s="16"/>
      <c r="C3711" s="16"/>
      <c r="D3711" s="33"/>
      <c r="E3711" s="33"/>
      <c r="F3711" s="33"/>
      <c r="G3711" s="33"/>
      <c r="H3711" s="33"/>
      <c r="I3711" s="31"/>
      <c r="J3711" s="31"/>
      <c r="K3711" s="33"/>
      <c r="L3711" s="33"/>
      <c r="M3711" s="31"/>
      <c r="N3711" s="31"/>
      <c r="O3711" s="16"/>
      <c r="P3711" s="16"/>
      <c r="Q3711" s="16"/>
      <c r="R3711" s="33"/>
      <c r="S3711" s="34"/>
      <c r="T3711" s="34"/>
      <c r="U3711" s="34"/>
      <c r="V3711" s="34"/>
      <c r="W3711" s="34"/>
      <c r="X3711" s="33"/>
      <c r="Y3711" s="35" t="str">
        <f>IF(Tabela2[[#This Row],[SIGLA]]="","",VLOOKUP(Tabela2[[#This Row],[SIGLA]],Tabela1[[#All],[Sigla Arte]:[Crédito]],2,0))</f>
        <v/>
      </c>
      <c r="Z3711" s="31"/>
      <c r="AA3711" s="31" t="str">
        <f>Tabela2[[#This Row],[ILUSTRADOR CRIAÇÃO]]</f>
        <v/>
      </c>
      <c r="AB3711" s="33"/>
      <c r="AC3711" s="16"/>
      <c r="AE3711" s="35" t="str">
        <f t="shared" si="59"/>
        <v>EF1 E002 Mat</v>
      </c>
    </row>
    <row r="3712" spans="1:31" x14ac:dyDescent="0.25">
      <c r="A3712" s="31"/>
      <c r="B3712" s="16"/>
      <c r="C3712" s="16"/>
      <c r="D3712" s="33"/>
      <c r="E3712" s="33"/>
      <c r="F3712" s="33"/>
      <c r="G3712" s="33"/>
      <c r="H3712" s="33"/>
      <c r="I3712" s="31"/>
      <c r="J3712" s="31"/>
      <c r="K3712" s="33"/>
      <c r="L3712" s="33"/>
      <c r="M3712" s="31"/>
      <c r="N3712" s="31"/>
      <c r="O3712" s="16"/>
      <c r="P3712" s="16"/>
      <c r="Q3712" s="16"/>
      <c r="R3712" s="33"/>
      <c r="S3712" s="34"/>
      <c r="T3712" s="34"/>
      <c r="U3712" s="34"/>
      <c r="V3712" s="34"/>
      <c r="W3712" s="34"/>
      <c r="X3712" s="33"/>
      <c r="Y3712" s="35" t="str">
        <f>IF(Tabela2[[#This Row],[SIGLA]]="","",VLOOKUP(Tabela2[[#This Row],[SIGLA]],Tabela1[[#All],[Sigla Arte]:[Crédito]],2,0))</f>
        <v/>
      </c>
      <c r="Z3712" s="31"/>
      <c r="AA3712" s="31" t="str">
        <f>Tabela2[[#This Row],[ILUSTRADOR CRIAÇÃO]]</f>
        <v/>
      </c>
      <c r="AB3712" s="33"/>
      <c r="AC3712" s="16"/>
      <c r="AE3712" s="35" t="str">
        <f t="shared" si="59"/>
        <v>EF1 E002 Mat</v>
      </c>
    </row>
    <row r="3713" spans="1:31" x14ac:dyDescent="0.25">
      <c r="A3713" s="31"/>
      <c r="B3713" s="16"/>
      <c r="C3713" s="16"/>
      <c r="D3713" s="33"/>
      <c r="E3713" s="33"/>
      <c r="F3713" s="33"/>
      <c r="G3713" s="33"/>
      <c r="H3713" s="33"/>
      <c r="I3713" s="31"/>
      <c r="J3713" s="31"/>
      <c r="K3713" s="33"/>
      <c r="L3713" s="33"/>
      <c r="M3713" s="31"/>
      <c r="N3713" s="31"/>
      <c r="O3713" s="16"/>
      <c r="P3713" s="16"/>
      <c r="Q3713" s="16"/>
      <c r="R3713" s="33"/>
      <c r="S3713" s="34"/>
      <c r="T3713" s="34"/>
      <c r="U3713" s="34"/>
      <c r="V3713" s="34"/>
      <c r="W3713" s="34"/>
      <c r="X3713" s="33"/>
      <c r="Y3713" s="35" t="str">
        <f>IF(Tabela2[[#This Row],[SIGLA]]="","",VLOOKUP(Tabela2[[#This Row],[SIGLA]],Tabela1[[#All],[Sigla Arte]:[Crédito]],2,0))</f>
        <v/>
      </c>
      <c r="Z3713" s="31"/>
      <c r="AA3713" s="31" t="str">
        <f>Tabela2[[#This Row],[ILUSTRADOR CRIAÇÃO]]</f>
        <v/>
      </c>
      <c r="AB3713" s="33"/>
      <c r="AC3713" s="16"/>
      <c r="AE3713" s="35" t="str">
        <f t="shared" si="59"/>
        <v>EF1 E002 Mat</v>
      </c>
    </row>
    <row r="3714" spans="1:31" x14ac:dyDescent="0.25">
      <c r="A3714" s="31"/>
      <c r="B3714" s="16"/>
      <c r="C3714" s="16"/>
      <c r="D3714" s="33"/>
      <c r="E3714" s="33"/>
      <c r="F3714" s="33"/>
      <c r="G3714" s="33"/>
      <c r="H3714" s="33"/>
      <c r="I3714" s="31"/>
      <c r="J3714" s="31"/>
      <c r="K3714" s="33"/>
      <c r="L3714" s="33"/>
      <c r="M3714" s="31"/>
      <c r="N3714" s="31"/>
      <c r="O3714" s="16"/>
      <c r="P3714" s="16"/>
      <c r="Q3714" s="16"/>
      <c r="R3714" s="33"/>
      <c r="S3714" s="34"/>
      <c r="T3714" s="34"/>
      <c r="U3714" s="34"/>
      <c r="V3714" s="34"/>
      <c r="W3714" s="34"/>
      <c r="X3714" s="33"/>
      <c r="Y3714" s="35" t="str">
        <f>IF(Tabela2[[#This Row],[SIGLA]]="","",VLOOKUP(Tabela2[[#This Row],[SIGLA]],Tabela1[[#All],[Sigla Arte]:[Crédito]],2,0))</f>
        <v/>
      </c>
      <c r="Z3714" s="31"/>
      <c r="AA3714" s="31" t="str">
        <f>Tabela2[[#This Row],[ILUSTRADOR CRIAÇÃO]]</f>
        <v/>
      </c>
      <c r="AB3714" s="33"/>
      <c r="AC3714" s="16"/>
      <c r="AE3714" s="35" t="str">
        <f t="shared" si="59"/>
        <v>EF1 E002 Mat</v>
      </c>
    </row>
    <row r="3715" spans="1:31" x14ac:dyDescent="0.25">
      <c r="A3715" s="31"/>
      <c r="B3715" s="16"/>
      <c r="C3715" s="16"/>
      <c r="D3715" s="33"/>
      <c r="E3715" s="33"/>
      <c r="F3715" s="33"/>
      <c r="G3715" s="33"/>
      <c r="H3715" s="33"/>
      <c r="I3715" s="31"/>
      <c r="J3715" s="31"/>
      <c r="K3715" s="33"/>
      <c r="L3715" s="33"/>
      <c r="M3715" s="31"/>
      <c r="N3715" s="31"/>
      <c r="O3715" s="16"/>
      <c r="P3715" s="16"/>
      <c r="Q3715" s="16"/>
      <c r="R3715" s="33"/>
      <c r="S3715" s="34"/>
      <c r="T3715" s="34"/>
      <c r="U3715" s="34"/>
      <c r="V3715" s="34"/>
      <c r="W3715" s="34"/>
      <c r="X3715" s="33"/>
      <c r="Y3715" s="35" t="str">
        <f>IF(Tabela2[[#This Row],[SIGLA]]="","",VLOOKUP(Tabela2[[#This Row],[SIGLA]],Tabela1[[#All],[Sigla Arte]:[Crédito]],2,0))</f>
        <v/>
      </c>
      <c r="Z3715" s="31"/>
      <c r="AA3715" s="31" t="str">
        <f>Tabela2[[#This Row],[ILUSTRADOR CRIAÇÃO]]</f>
        <v/>
      </c>
      <c r="AB3715" s="33"/>
      <c r="AC3715" s="16"/>
      <c r="AE3715" s="35" t="str">
        <f t="shared" si="59"/>
        <v>EF1 E002 Mat</v>
      </c>
    </row>
    <row r="3716" spans="1:31" x14ac:dyDescent="0.25">
      <c r="A3716" s="31"/>
      <c r="B3716" s="16"/>
      <c r="C3716" s="16"/>
      <c r="D3716" s="33"/>
      <c r="E3716" s="33"/>
      <c r="F3716" s="33"/>
      <c r="G3716" s="33"/>
      <c r="H3716" s="33"/>
      <c r="I3716" s="31"/>
      <c r="J3716" s="31"/>
      <c r="K3716" s="33"/>
      <c r="L3716" s="33"/>
      <c r="M3716" s="31"/>
      <c r="N3716" s="31"/>
      <c r="O3716" s="16"/>
      <c r="P3716" s="16"/>
      <c r="Q3716" s="16"/>
      <c r="R3716" s="33"/>
      <c r="S3716" s="34"/>
      <c r="T3716" s="34"/>
      <c r="U3716" s="34"/>
      <c r="V3716" s="34"/>
      <c r="W3716" s="34"/>
      <c r="X3716" s="33"/>
      <c r="Y3716" s="35" t="str">
        <f>IF(Tabela2[[#This Row],[SIGLA]]="","",VLOOKUP(Tabela2[[#This Row],[SIGLA]],Tabela1[[#All],[Sigla Arte]:[Crédito]],2,0))</f>
        <v/>
      </c>
      <c r="Z3716" s="31"/>
      <c r="AA3716" s="31" t="str">
        <f>Tabela2[[#This Row],[ILUSTRADOR CRIAÇÃO]]</f>
        <v/>
      </c>
      <c r="AB3716" s="33"/>
      <c r="AC3716" s="16"/>
      <c r="AE3716" s="35" t="str">
        <f t="shared" si="59"/>
        <v>EF1 E002 Mat</v>
      </c>
    </row>
    <row r="3717" spans="1:31" x14ac:dyDescent="0.25">
      <c r="A3717" s="31"/>
      <c r="B3717" s="16"/>
      <c r="C3717" s="16"/>
      <c r="D3717" s="33"/>
      <c r="E3717" s="33"/>
      <c r="F3717" s="33"/>
      <c r="G3717" s="33"/>
      <c r="H3717" s="33"/>
      <c r="I3717" s="31"/>
      <c r="J3717" s="31"/>
      <c r="K3717" s="33"/>
      <c r="L3717" s="33"/>
      <c r="M3717" s="31"/>
      <c r="N3717" s="31"/>
      <c r="O3717" s="16"/>
      <c r="P3717" s="16"/>
      <c r="Q3717" s="16"/>
      <c r="R3717" s="33"/>
      <c r="S3717" s="34"/>
      <c r="T3717" s="34"/>
      <c r="U3717" s="34"/>
      <c r="V3717" s="34"/>
      <c r="W3717" s="34"/>
      <c r="X3717" s="33"/>
      <c r="Y3717" s="35" t="str">
        <f>IF(Tabela2[[#This Row],[SIGLA]]="","",VLOOKUP(Tabela2[[#This Row],[SIGLA]],Tabela1[[#All],[Sigla Arte]:[Crédito]],2,0))</f>
        <v/>
      </c>
      <c r="Z3717" s="31"/>
      <c r="AA3717" s="31" t="str">
        <f>Tabela2[[#This Row],[ILUSTRADOR CRIAÇÃO]]</f>
        <v/>
      </c>
      <c r="AB3717" s="33"/>
      <c r="AC3717" s="16"/>
      <c r="AE3717" s="35" t="str">
        <f t="shared" si="59"/>
        <v>EF1 E002 Mat</v>
      </c>
    </row>
    <row r="3718" spans="1:31" x14ac:dyDescent="0.25">
      <c r="A3718" s="31"/>
      <c r="B3718" s="16"/>
      <c r="C3718" s="16"/>
      <c r="D3718" s="33"/>
      <c r="E3718" s="33"/>
      <c r="F3718" s="33"/>
      <c r="G3718" s="33"/>
      <c r="H3718" s="33"/>
      <c r="I3718" s="31"/>
      <c r="J3718" s="31"/>
      <c r="K3718" s="33"/>
      <c r="L3718" s="33"/>
      <c r="M3718" s="31"/>
      <c r="N3718" s="31"/>
      <c r="O3718" s="16"/>
      <c r="P3718" s="16"/>
      <c r="Q3718" s="16"/>
      <c r="R3718" s="33"/>
      <c r="S3718" s="34"/>
      <c r="T3718" s="34"/>
      <c r="U3718" s="34"/>
      <c r="V3718" s="34"/>
      <c r="W3718" s="34"/>
      <c r="X3718" s="33"/>
      <c r="Y3718" s="35" t="str">
        <f>IF(Tabela2[[#This Row],[SIGLA]]="","",VLOOKUP(Tabela2[[#This Row],[SIGLA]],Tabela1[[#All],[Sigla Arte]:[Crédito]],2,0))</f>
        <v/>
      </c>
      <c r="Z3718" s="31"/>
      <c r="AA3718" s="31" t="str">
        <f>Tabela2[[#This Row],[ILUSTRADOR CRIAÇÃO]]</f>
        <v/>
      </c>
      <c r="AB3718" s="33"/>
      <c r="AC3718" s="16"/>
      <c r="AE3718" s="35" t="str">
        <f t="shared" si="59"/>
        <v>EF1 E002 Mat</v>
      </c>
    </row>
    <row r="3719" spans="1:31" x14ac:dyDescent="0.25">
      <c r="A3719" s="31"/>
      <c r="B3719" s="16"/>
      <c r="C3719" s="16"/>
      <c r="D3719" s="33"/>
      <c r="E3719" s="33"/>
      <c r="F3719" s="33"/>
      <c r="G3719" s="33"/>
      <c r="H3719" s="33"/>
      <c r="I3719" s="31"/>
      <c r="J3719" s="31"/>
      <c r="K3719" s="33"/>
      <c r="L3719" s="33"/>
      <c r="M3719" s="31"/>
      <c r="N3719" s="31"/>
      <c r="O3719" s="16"/>
      <c r="P3719" s="16"/>
      <c r="Q3719" s="16"/>
      <c r="R3719" s="33"/>
      <c r="S3719" s="34"/>
      <c r="T3719" s="34"/>
      <c r="U3719" s="34"/>
      <c r="V3719" s="34"/>
      <c r="W3719" s="34"/>
      <c r="X3719" s="33"/>
      <c r="Y3719" s="35" t="str">
        <f>IF(Tabela2[[#This Row],[SIGLA]]="","",VLOOKUP(Tabela2[[#This Row],[SIGLA]],Tabela1[[#All],[Sigla Arte]:[Crédito]],2,0))</f>
        <v/>
      </c>
      <c r="Z3719" s="31"/>
      <c r="AA3719" s="31" t="str">
        <f>Tabela2[[#This Row],[ILUSTRADOR CRIAÇÃO]]</f>
        <v/>
      </c>
      <c r="AB3719" s="33"/>
      <c r="AC3719" s="16"/>
      <c r="AE3719" s="35" t="str">
        <f t="shared" si="59"/>
        <v>EF1 E002 Mat</v>
      </c>
    </row>
    <row r="3720" spans="1:31" x14ac:dyDescent="0.25">
      <c r="A3720" s="31"/>
      <c r="B3720" s="16"/>
      <c r="C3720" s="16"/>
      <c r="D3720" s="33"/>
      <c r="E3720" s="33"/>
      <c r="F3720" s="33"/>
      <c r="G3720" s="33"/>
      <c r="H3720" s="33"/>
      <c r="I3720" s="31"/>
      <c r="J3720" s="31"/>
      <c r="K3720" s="33"/>
      <c r="L3720" s="33"/>
      <c r="M3720" s="31"/>
      <c r="N3720" s="31"/>
      <c r="O3720" s="16"/>
      <c r="P3720" s="16"/>
      <c r="Q3720" s="16"/>
      <c r="R3720" s="33"/>
      <c r="S3720" s="34"/>
      <c r="T3720" s="34"/>
      <c r="U3720" s="34"/>
      <c r="V3720" s="34"/>
      <c r="W3720" s="34"/>
      <c r="X3720" s="33"/>
      <c r="Y3720" s="35" t="str">
        <f>IF(Tabela2[[#This Row],[SIGLA]]="","",VLOOKUP(Tabela2[[#This Row],[SIGLA]],Tabela1[[#All],[Sigla Arte]:[Crédito]],2,0))</f>
        <v/>
      </c>
      <c r="Z3720" s="31"/>
      <c r="AA3720" s="31" t="str">
        <f>Tabela2[[#This Row],[ILUSTRADOR CRIAÇÃO]]</f>
        <v/>
      </c>
      <c r="AB3720" s="33"/>
      <c r="AC3720" s="16"/>
      <c r="AE3720" s="35" t="str">
        <f t="shared" si="59"/>
        <v>EF1 E002 Mat</v>
      </c>
    </row>
    <row r="3721" spans="1:31" x14ac:dyDescent="0.25">
      <c r="A3721" s="31"/>
      <c r="B3721" s="16"/>
      <c r="C3721" s="16"/>
      <c r="D3721" s="33"/>
      <c r="E3721" s="33"/>
      <c r="F3721" s="33"/>
      <c r="G3721" s="33"/>
      <c r="H3721" s="33"/>
      <c r="I3721" s="31"/>
      <c r="J3721" s="31"/>
      <c r="K3721" s="33"/>
      <c r="L3721" s="33"/>
      <c r="M3721" s="31"/>
      <c r="N3721" s="31"/>
      <c r="O3721" s="16"/>
      <c r="P3721" s="16"/>
      <c r="Q3721" s="16"/>
      <c r="R3721" s="33"/>
      <c r="S3721" s="34"/>
      <c r="T3721" s="34"/>
      <c r="U3721" s="34"/>
      <c r="V3721" s="34"/>
      <c r="W3721" s="34"/>
      <c r="X3721" s="33"/>
      <c r="Y3721" s="35" t="str">
        <f>IF(Tabela2[[#This Row],[SIGLA]]="","",VLOOKUP(Tabela2[[#This Row],[SIGLA]],Tabela1[[#All],[Sigla Arte]:[Crédito]],2,0))</f>
        <v/>
      </c>
      <c r="Z3721" s="31"/>
      <c r="AA3721" s="31" t="str">
        <f>Tabela2[[#This Row],[ILUSTRADOR CRIAÇÃO]]</f>
        <v/>
      </c>
      <c r="AB3721" s="33"/>
      <c r="AC3721" s="16"/>
      <c r="AE3721" s="35" t="str">
        <f t="shared" si="59"/>
        <v>EF1 E002 Mat</v>
      </c>
    </row>
    <row r="3722" spans="1:31" x14ac:dyDescent="0.25">
      <c r="A3722" s="31"/>
      <c r="B3722" s="16"/>
      <c r="C3722" s="16"/>
      <c r="D3722" s="33"/>
      <c r="E3722" s="33"/>
      <c r="F3722" s="33"/>
      <c r="G3722" s="33"/>
      <c r="H3722" s="33"/>
      <c r="I3722" s="31"/>
      <c r="J3722" s="31"/>
      <c r="K3722" s="33"/>
      <c r="L3722" s="33"/>
      <c r="M3722" s="31"/>
      <c r="N3722" s="31"/>
      <c r="O3722" s="16"/>
      <c r="P3722" s="16"/>
      <c r="Q3722" s="16"/>
      <c r="R3722" s="33"/>
      <c r="S3722" s="34"/>
      <c r="T3722" s="34"/>
      <c r="U3722" s="34"/>
      <c r="V3722" s="34"/>
      <c r="W3722" s="34"/>
      <c r="X3722" s="33"/>
      <c r="Y3722" s="35" t="str">
        <f>IF(Tabela2[[#This Row],[SIGLA]]="","",VLOOKUP(Tabela2[[#This Row],[SIGLA]],Tabela1[[#All],[Sigla Arte]:[Crédito]],2,0))</f>
        <v/>
      </c>
      <c r="Z3722" s="31"/>
      <c r="AA3722" s="31" t="str">
        <f>Tabela2[[#This Row],[ILUSTRADOR CRIAÇÃO]]</f>
        <v/>
      </c>
      <c r="AB3722" s="33"/>
      <c r="AC3722" s="16"/>
      <c r="AE3722" s="35" t="str">
        <f t="shared" si="59"/>
        <v>EF1 E002 Mat</v>
      </c>
    </row>
    <row r="3723" spans="1:31" x14ac:dyDescent="0.25">
      <c r="A3723" s="31"/>
      <c r="B3723" s="16"/>
      <c r="C3723" s="16"/>
      <c r="D3723" s="33"/>
      <c r="E3723" s="33"/>
      <c r="F3723" s="33"/>
      <c r="G3723" s="33"/>
      <c r="H3723" s="33"/>
      <c r="I3723" s="31"/>
      <c r="J3723" s="31"/>
      <c r="K3723" s="33"/>
      <c r="L3723" s="33"/>
      <c r="M3723" s="31"/>
      <c r="N3723" s="31"/>
      <c r="O3723" s="16"/>
      <c r="P3723" s="16"/>
      <c r="Q3723" s="16"/>
      <c r="R3723" s="33"/>
      <c r="S3723" s="34"/>
      <c r="T3723" s="34"/>
      <c r="U3723" s="34"/>
      <c r="V3723" s="34"/>
      <c r="W3723" s="34"/>
      <c r="X3723" s="33"/>
      <c r="Y3723" s="35" t="str">
        <f>IF(Tabela2[[#This Row],[SIGLA]]="","",VLOOKUP(Tabela2[[#This Row],[SIGLA]],Tabela1[[#All],[Sigla Arte]:[Crédito]],2,0))</f>
        <v/>
      </c>
      <c r="Z3723" s="31"/>
      <c r="AA3723" s="31" t="str">
        <f>Tabela2[[#This Row],[ILUSTRADOR CRIAÇÃO]]</f>
        <v/>
      </c>
      <c r="AB3723" s="33"/>
      <c r="AC3723" s="16"/>
      <c r="AE3723" s="35" t="str">
        <f t="shared" si="59"/>
        <v>EF1 E002 Mat</v>
      </c>
    </row>
    <row r="3724" spans="1:31" x14ac:dyDescent="0.25">
      <c r="A3724" s="31"/>
      <c r="B3724" s="16"/>
      <c r="C3724" s="16"/>
      <c r="D3724" s="33"/>
      <c r="E3724" s="33"/>
      <c r="F3724" s="33"/>
      <c r="G3724" s="33"/>
      <c r="H3724" s="33"/>
      <c r="I3724" s="31"/>
      <c r="J3724" s="31"/>
      <c r="K3724" s="33"/>
      <c r="L3724" s="33"/>
      <c r="M3724" s="31"/>
      <c r="N3724" s="31"/>
      <c r="O3724" s="16"/>
      <c r="P3724" s="16"/>
      <c r="Q3724" s="16"/>
      <c r="R3724" s="33"/>
      <c r="S3724" s="34"/>
      <c r="T3724" s="34"/>
      <c r="U3724" s="34"/>
      <c r="V3724" s="34"/>
      <c r="W3724" s="34"/>
      <c r="X3724" s="33"/>
      <c r="Y3724" s="35" t="str">
        <f>IF(Tabela2[[#This Row],[SIGLA]]="","",VLOOKUP(Tabela2[[#This Row],[SIGLA]],Tabela1[[#All],[Sigla Arte]:[Crédito]],2,0))</f>
        <v/>
      </c>
      <c r="Z3724" s="31"/>
      <c r="AA3724" s="31" t="str">
        <f>Tabela2[[#This Row],[ILUSTRADOR CRIAÇÃO]]</f>
        <v/>
      </c>
      <c r="AB3724" s="33"/>
      <c r="AC3724" s="16"/>
      <c r="AE3724" s="35" t="str">
        <f t="shared" si="59"/>
        <v>EF1 E002 Mat</v>
      </c>
    </row>
    <row r="3725" spans="1:31" x14ac:dyDescent="0.25">
      <c r="A3725" s="31"/>
      <c r="B3725" s="16"/>
      <c r="C3725" s="16"/>
      <c r="D3725" s="33"/>
      <c r="E3725" s="33"/>
      <c r="F3725" s="33"/>
      <c r="G3725" s="33"/>
      <c r="H3725" s="33"/>
      <c r="I3725" s="31"/>
      <c r="J3725" s="31"/>
      <c r="K3725" s="33"/>
      <c r="L3725" s="33"/>
      <c r="M3725" s="31"/>
      <c r="N3725" s="31"/>
      <c r="O3725" s="16"/>
      <c r="P3725" s="16"/>
      <c r="Q3725" s="16"/>
      <c r="R3725" s="33"/>
      <c r="S3725" s="34"/>
      <c r="T3725" s="34"/>
      <c r="U3725" s="34"/>
      <c r="V3725" s="34"/>
      <c r="W3725" s="34"/>
      <c r="X3725" s="33"/>
      <c r="Y3725" s="35" t="str">
        <f>IF(Tabela2[[#This Row],[SIGLA]]="","",VLOOKUP(Tabela2[[#This Row],[SIGLA]],Tabela1[[#All],[Sigla Arte]:[Crédito]],2,0))</f>
        <v/>
      </c>
      <c r="Z3725" s="31"/>
      <c r="AA3725" s="31" t="str">
        <f>Tabela2[[#This Row],[ILUSTRADOR CRIAÇÃO]]</f>
        <v/>
      </c>
      <c r="AB3725" s="33"/>
      <c r="AC3725" s="16"/>
      <c r="AE3725" s="35" t="str">
        <f t="shared" si="59"/>
        <v>EF1 E002 Mat</v>
      </c>
    </row>
    <row r="3726" spans="1:31" x14ac:dyDescent="0.25">
      <c r="A3726" s="31"/>
      <c r="B3726" s="16"/>
      <c r="C3726" s="16"/>
      <c r="D3726" s="33"/>
      <c r="E3726" s="33"/>
      <c r="F3726" s="33"/>
      <c r="G3726" s="33"/>
      <c r="H3726" s="33"/>
      <c r="I3726" s="31"/>
      <c r="J3726" s="31"/>
      <c r="K3726" s="33"/>
      <c r="L3726" s="33"/>
      <c r="M3726" s="31"/>
      <c r="N3726" s="31"/>
      <c r="O3726" s="16"/>
      <c r="P3726" s="16"/>
      <c r="Q3726" s="16"/>
      <c r="R3726" s="33"/>
      <c r="S3726" s="34"/>
      <c r="T3726" s="34"/>
      <c r="U3726" s="34"/>
      <c r="V3726" s="34"/>
      <c r="W3726" s="34"/>
      <c r="X3726" s="33"/>
      <c r="Y3726" s="35" t="str">
        <f>IF(Tabela2[[#This Row],[SIGLA]]="","",VLOOKUP(Tabela2[[#This Row],[SIGLA]],Tabela1[[#All],[Sigla Arte]:[Crédito]],2,0))</f>
        <v/>
      </c>
      <c r="Z3726" s="31"/>
      <c r="AA3726" s="31" t="str">
        <f>Tabela2[[#This Row],[ILUSTRADOR CRIAÇÃO]]</f>
        <v/>
      </c>
      <c r="AB3726" s="33"/>
      <c r="AC3726" s="16"/>
      <c r="AE3726" s="35" t="str">
        <f t="shared" si="59"/>
        <v>EF1 E002 Mat</v>
      </c>
    </row>
    <row r="3727" spans="1:31" x14ac:dyDescent="0.25">
      <c r="A3727" s="31"/>
      <c r="B3727" s="16"/>
      <c r="C3727" s="16"/>
      <c r="D3727" s="33"/>
      <c r="E3727" s="33"/>
      <c r="F3727" s="33"/>
      <c r="G3727" s="33"/>
      <c r="H3727" s="33"/>
      <c r="I3727" s="31"/>
      <c r="J3727" s="31"/>
      <c r="K3727" s="33"/>
      <c r="L3727" s="33"/>
      <c r="M3727" s="31"/>
      <c r="N3727" s="31"/>
      <c r="O3727" s="16"/>
      <c r="P3727" s="16"/>
      <c r="Q3727" s="16"/>
      <c r="R3727" s="33"/>
      <c r="S3727" s="34"/>
      <c r="T3727" s="34"/>
      <c r="U3727" s="34"/>
      <c r="V3727" s="34"/>
      <c r="W3727" s="34"/>
      <c r="X3727" s="33"/>
      <c r="Y3727" s="35" t="str">
        <f>IF(Tabela2[[#This Row],[SIGLA]]="","",VLOOKUP(Tabela2[[#This Row],[SIGLA]],Tabela1[[#All],[Sigla Arte]:[Crédito]],2,0))</f>
        <v/>
      </c>
      <c r="Z3727" s="31"/>
      <c r="AA3727" s="31" t="str">
        <f>Tabela2[[#This Row],[ILUSTRADOR CRIAÇÃO]]</f>
        <v/>
      </c>
      <c r="AB3727" s="33"/>
      <c r="AC3727" s="16"/>
      <c r="AE3727" s="35" t="str">
        <f t="shared" si="59"/>
        <v>EF1 E002 Mat</v>
      </c>
    </row>
    <row r="3728" spans="1:31" x14ac:dyDescent="0.25">
      <c r="A3728" s="31"/>
      <c r="B3728" s="16"/>
      <c r="C3728" s="16"/>
      <c r="D3728" s="33"/>
      <c r="E3728" s="33"/>
      <c r="F3728" s="33"/>
      <c r="G3728" s="33"/>
      <c r="H3728" s="33"/>
      <c r="I3728" s="31"/>
      <c r="J3728" s="31"/>
      <c r="K3728" s="33"/>
      <c r="L3728" s="33"/>
      <c r="M3728" s="31"/>
      <c r="N3728" s="31"/>
      <c r="O3728" s="16"/>
      <c r="P3728" s="16"/>
      <c r="Q3728" s="16"/>
      <c r="R3728" s="33"/>
      <c r="S3728" s="34"/>
      <c r="T3728" s="34"/>
      <c r="U3728" s="34"/>
      <c r="V3728" s="34"/>
      <c r="W3728" s="34"/>
      <c r="X3728" s="33"/>
      <c r="Y3728" s="35" t="str">
        <f>IF(Tabela2[[#This Row],[SIGLA]]="","",VLOOKUP(Tabela2[[#This Row],[SIGLA]],Tabela1[[#All],[Sigla Arte]:[Crédito]],2,0))</f>
        <v/>
      </c>
      <c r="Z3728" s="31"/>
      <c r="AA3728" s="31" t="str">
        <f>Tabela2[[#This Row],[ILUSTRADOR CRIAÇÃO]]</f>
        <v/>
      </c>
      <c r="AB3728" s="33"/>
      <c r="AC3728" s="16"/>
      <c r="AE3728" s="35" t="str">
        <f t="shared" si="59"/>
        <v>EF1 E002 Mat</v>
      </c>
    </row>
    <row r="3729" spans="1:31" x14ac:dyDescent="0.25">
      <c r="A3729" s="31"/>
      <c r="B3729" s="16"/>
      <c r="C3729" s="16"/>
      <c r="D3729" s="33"/>
      <c r="E3729" s="33"/>
      <c r="F3729" s="33"/>
      <c r="G3729" s="33"/>
      <c r="H3729" s="33"/>
      <c r="I3729" s="31"/>
      <c r="J3729" s="31"/>
      <c r="K3729" s="33"/>
      <c r="L3729" s="33"/>
      <c r="M3729" s="31"/>
      <c r="N3729" s="31"/>
      <c r="O3729" s="16"/>
      <c r="P3729" s="16"/>
      <c r="Q3729" s="16"/>
      <c r="R3729" s="33"/>
      <c r="S3729" s="34"/>
      <c r="T3729" s="34"/>
      <c r="U3729" s="34"/>
      <c r="V3729" s="34"/>
      <c r="W3729" s="34"/>
      <c r="X3729" s="33"/>
      <c r="Y3729" s="35" t="str">
        <f>IF(Tabela2[[#This Row],[SIGLA]]="","",VLOOKUP(Tabela2[[#This Row],[SIGLA]],Tabela1[[#All],[Sigla Arte]:[Crédito]],2,0))</f>
        <v/>
      </c>
      <c r="Z3729" s="31"/>
      <c r="AA3729" s="31" t="str">
        <f>Tabela2[[#This Row],[ILUSTRADOR CRIAÇÃO]]</f>
        <v/>
      </c>
      <c r="AB3729" s="33"/>
      <c r="AC3729" s="16"/>
      <c r="AE3729" s="35" t="str">
        <f t="shared" si="59"/>
        <v>EF1 E002 Mat</v>
      </c>
    </row>
    <row r="3730" spans="1:31" x14ac:dyDescent="0.25">
      <c r="A3730" s="31"/>
      <c r="B3730" s="16"/>
      <c r="C3730" s="16"/>
      <c r="D3730" s="33"/>
      <c r="E3730" s="33"/>
      <c r="F3730" s="33"/>
      <c r="G3730" s="33"/>
      <c r="H3730" s="33"/>
      <c r="I3730" s="31"/>
      <c r="J3730" s="31"/>
      <c r="K3730" s="33"/>
      <c r="L3730" s="33"/>
      <c r="M3730" s="31"/>
      <c r="N3730" s="31"/>
      <c r="O3730" s="16"/>
      <c r="P3730" s="16"/>
      <c r="Q3730" s="16"/>
      <c r="R3730" s="33"/>
      <c r="S3730" s="34"/>
      <c r="T3730" s="34"/>
      <c r="U3730" s="34"/>
      <c r="V3730" s="34"/>
      <c r="W3730" s="34"/>
      <c r="X3730" s="33"/>
      <c r="Y3730" s="35" t="str">
        <f>IF(Tabela2[[#This Row],[SIGLA]]="","",VLOOKUP(Tabela2[[#This Row],[SIGLA]],Tabela1[[#All],[Sigla Arte]:[Crédito]],2,0))</f>
        <v/>
      </c>
      <c r="Z3730" s="31"/>
      <c r="AA3730" s="31" t="str">
        <f>Tabela2[[#This Row],[ILUSTRADOR CRIAÇÃO]]</f>
        <v/>
      </c>
      <c r="AB3730" s="33"/>
      <c r="AC3730" s="16"/>
      <c r="AE3730" s="35" t="str">
        <f t="shared" si="59"/>
        <v>EF1 E002 Mat</v>
      </c>
    </row>
    <row r="3731" spans="1:31" x14ac:dyDescent="0.25">
      <c r="A3731" s="31"/>
      <c r="B3731" s="16"/>
      <c r="C3731" s="16"/>
      <c r="D3731" s="33"/>
      <c r="E3731" s="33"/>
      <c r="F3731" s="33"/>
      <c r="G3731" s="33"/>
      <c r="H3731" s="33"/>
      <c r="I3731" s="31"/>
      <c r="J3731" s="31"/>
      <c r="K3731" s="33"/>
      <c r="L3731" s="33"/>
      <c r="M3731" s="31"/>
      <c r="N3731" s="31"/>
      <c r="O3731" s="16"/>
      <c r="P3731" s="16"/>
      <c r="Q3731" s="16"/>
      <c r="R3731" s="33"/>
      <c r="S3731" s="34"/>
      <c r="T3731" s="34"/>
      <c r="U3731" s="34"/>
      <c r="V3731" s="34"/>
      <c r="W3731" s="34"/>
      <c r="X3731" s="33"/>
      <c r="Y3731" s="35" t="str">
        <f>IF(Tabela2[[#This Row],[SIGLA]]="","",VLOOKUP(Tabela2[[#This Row],[SIGLA]],Tabela1[[#All],[Sigla Arte]:[Crédito]],2,0))</f>
        <v/>
      </c>
      <c r="Z3731" s="31"/>
      <c r="AA3731" s="31" t="str">
        <f>Tabela2[[#This Row],[ILUSTRADOR CRIAÇÃO]]</f>
        <v/>
      </c>
      <c r="AB3731" s="33"/>
      <c r="AC3731" s="16"/>
      <c r="AE3731" s="35" t="str">
        <f t="shared" si="59"/>
        <v>EF1 E002 Mat</v>
      </c>
    </row>
    <row r="3732" spans="1:31" x14ac:dyDescent="0.25">
      <c r="A3732" s="31"/>
      <c r="B3732" s="16"/>
      <c r="C3732" s="16"/>
      <c r="D3732" s="33"/>
      <c r="E3732" s="33"/>
      <c r="F3732" s="33"/>
      <c r="G3732" s="33"/>
      <c r="H3732" s="33"/>
      <c r="I3732" s="31"/>
      <c r="J3732" s="31"/>
      <c r="K3732" s="33"/>
      <c r="L3732" s="33"/>
      <c r="M3732" s="31"/>
      <c r="N3732" s="31"/>
      <c r="O3732" s="16"/>
      <c r="P3732" s="16"/>
      <c r="Q3732" s="16"/>
      <c r="R3732" s="33"/>
      <c r="S3732" s="34"/>
      <c r="T3732" s="34"/>
      <c r="U3732" s="34"/>
      <c r="V3732" s="34"/>
      <c r="W3732" s="34"/>
      <c r="X3732" s="33"/>
      <c r="Y3732" s="35" t="str">
        <f>IF(Tabela2[[#This Row],[SIGLA]]="","",VLOOKUP(Tabela2[[#This Row],[SIGLA]],Tabela1[[#All],[Sigla Arte]:[Crédito]],2,0))</f>
        <v/>
      </c>
      <c r="Z3732" s="31"/>
      <c r="AA3732" s="31" t="str">
        <f>Tabela2[[#This Row],[ILUSTRADOR CRIAÇÃO]]</f>
        <v/>
      </c>
      <c r="AB3732" s="33"/>
      <c r="AC3732" s="16"/>
      <c r="AE3732" s="35" t="str">
        <f t="shared" si="59"/>
        <v>EF1 E002 Mat</v>
      </c>
    </row>
    <row r="3733" spans="1:31" x14ac:dyDescent="0.25">
      <c r="A3733" s="31"/>
      <c r="B3733" s="16"/>
      <c r="C3733" s="16"/>
      <c r="D3733" s="33"/>
      <c r="E3733" s="33"/>
      <c r="F3733" s="33"/>
      <c r="G3733" s="33"/>
      <c r="H3733" s="33"/>
      <c r="I3733" s="31"/>
      <c r="J3733" s="31"/>
      <c r="K3733" s="33"/>
      <c r="L3733" s="33"/>
      <c r="M3733" s="31"/>
      <c r="N3733" s="31"/>
      <c r="O3733" s="16"/>
      <c r="P3733" s="16"/>
      <c r="Q3733" s="16"/>
      <c r="R3733" s="33"/>
      <c r="S3733" s="34"/>
      <c r="T3733" s="34"/>
      <c r="U3733" s="34"/>
      <c r="V3733" s="34"/>
      <c r="W3733" s="34"/>
      <c r="X3733" s="33"/>
      <c r="Y3733" s="35" t="str">
        <f>IF(Tabela2[[#This Row],[SIGLA]]="","",VLOOKUP(Tabela2[[#This Row],[SIGLA]],Tabela1[[#All],[Sigla Arte]:[Crédito]],2,0))</f>
        <v/>
      </c>
      <c r="Z3733" s="31"/>
      <c r="AA3733" s="31" t="str">
        <f>Tabela2[[#This Row],[ILUSTRADOR CRIAÇÃO]]</f>
        <v/>
      </c>
      <c r="AB3733" s="33"/>
      <c r="AC3733" s="16"/>
      <c r="AE3733" s="35" t="str">
        <f t="shared" si="59"/>
        <v>EF1 E002 Mat</v>
      </c>
    </row>
    <row r="3734" spans="1:31" x14ac:dyDescent="0.25">
      <c r="A3734" s="31"/>
      <c r="B3734" s="16"/>
      <c r="C3734" s="16"/>
      <c r="D3734" s="33"/>
      <c r="E3734" s="33"/>
      <c r="F3734" s="33"/>
      <c r="G3734" s="33"/>
      <c r="H3734" s="33"/>
      <c r="I3734" s="31"/>
      <c r="J3734" s="31"/>
      <c r="K3734" s="33"/>
      <c r="L3734" s="33"/>
      <c r="M3734" s="31"/>
      <c r="N3734" s="31"/>
      <c r="O3734" s="16"/>
      <c r="P3734" s="16"/>
      <c r="Q3734" s="16"/>
      <c r="R3734" s="33"/>
      <c r="S3734" s="34"/>
      <c r="T3734" s="34"/>
      <c r="U3734" s="34"/>
      <c r="V3734" s="34"/>
      <c r="W3734" s="34"/>
      <c r="X3734" s="33"/>
      <c r="Y3734" s="35" t="str">
        <f>IF(Tabela2[[#This Row],[SIGLA]]="","",VLOOKUP(Tabela2[[#This Row],[SIGLA]],Tabela1[[#All],[Sigla Arte]:[Crédito]],2,0))</f>
        <v/>
      </c>
      <c r="Z3734" s="31"/>
      <c r="AA3734" s="31" t="str">
        <f>Tabela2[[#This Row],[ILUSTRADOR CRIAÇÃO]]</f>
        <v/>
      </c>
      <c r="AB3734" s="33"/>
      <c r="AC3734" s="16"/>
      <c r="AE3734" s="35" t="str">
        <f t="shared" si="59"/>
        <v>EF1 E002 Mat</v>
      </c>
    </row>
    <row r="3735" spans="1:31" x14ac:dyDescent="0.25">
      <c r="A3735" s="31"/>
      <c r="B3735" s="16"/>
      <c r="C3735" s="16"/>
      <c r="D3735" s="33"/>
      <c r="E3735" s="33"/>
      <c r="F3735" s="33"/>
      <c r="G3735" s="33"/>
      <c r="H3735" s="33"/>
      <c r="I3735" s="31"/>
      <c r="J3735" s="31"/>
      <c r="K3735" s="33"/>
      <c r="L3735" s="33"/>
      <c r="M3735" s="31"/>
      <c r="N3735" s="31"/>
      <c r="O3735" s="16"/>
      <c r="P3735" s="16"/>
      <c r="Q3735" s="16"/>
      <c r="R3735" s="33"/>
      <c r="S3735" s="34"/>
      <c r="T3735" s="34"/>
      <c r="U3735" s="34"/>
      <c r="V3735" s="34"/>
      <c r="W3735" s="34"/>
      <c r="X3735" s="33"/>
      <c r="Y3735" s="35" t="str">
        <f>IF(Tabela2[[#This Row],[SIGLA]]="","",VLOOKUP(Tabela2[[#This Row],[SIGLA]],Tabela1[[#All],[Sigla Arte]:[Crédito]],2,0))</f>
        <v/>
      </c>
      <c r="Z3735" s="31"/>
      <c r="AA3735" s="31" t="str">
        <f>Tabela2[[#This Row],[ILUSTRADOR CRIAÇÃO]]</f>
        <v/>
      </c>
      <c r="AB3735" s="33"/>
      <c r="AC3735" s="16"/>
      <c r="AE3735" s="35" t="str">
        <f t="shared" si="59"/>
        <v>EF1 E002 Mat</v>
      </c>
    </row>
    <row r="3736" spans="1:31" x14ac:dyDescent="0.25">
      <c r="A3736" s="31"/>
      <c r="B3736" s="16"/>
      <c r="C3736" s="16"/>
      <c r="D3736" s="33"/>
      <c r="E3736" s="33"/>
      <c r="F3736" s="33"/>
      <c r="G3736" s="33"/>
      <c r="H3736" s="33"/>
      <c r="I3736" s="31"/>
      <c r="J3736" s="31"/>
      <c r="K3736" s="33"/>
      <c r="L3736" s="33"/>
      <c r="M3736" s="31"/>
      <c r="N3736" s="31"/>
      <c r="O3736" s="16"/>
      <c r="P3736" s="16"/>
      <c r="Q3736" s="16"/>
      <c r="R3736" s="33"/>
      <c r="S3736" s="34"/>
      <c r="T3736" s="34"/>
      <c r="U3736" s="34"/>
      <c r="V3736" s="34"/>
      <c r="W3736" s="34"/>
      <c r="X3736" s="33"/>
      <c r="Y3736" s="35" t="str">
        <f>IF(Tabela2[[#This Row],[SIGLA]]="","",VLOOKUP(Tabela2[[#This Row],[SIGLA]],Tabela1[[#All],[Sigla Arte]:[Crédito]],2,0))</f>
        <v/>
      </c>
      <c r="Z3736" s="31"/>
      <c r="AA3736" s="31" t="str">
        <f>Tabela2[[#This Row],[ILUSTRADOR CRIAÇÃO]]</f>
        <v/>
      </c>
      <c r="AB3736" s="33"/>
      <c r="AC3736" s="16"/>
      <c r="AE3736" s="35" t="str">
        <f t="shared" si="59"/>
        <v>EF1 E002 Mat</v>
      </c>
    </row>
    <row r="3737" spans="1:31" x14ac:dyDescent="0.25">
      <c r="A3737" s="31"/>
      <c r="B3737" s="16"/>
      <c r="C3737" s="16"/>
      <c r="D3737" s="33"/>
      <c r="E3737" s="33"/>
      <c r="F3737" s="33"/>
      <c r="G3737" s="33"/>
      <c r="H3737" s="33"/>
      <c r="I3737" s="31"/>
      <c r="J3737" s="31"/>
      <c r="K3737" s="33"/>
      <c r="L3737" s="33"/>
      <c r="M3737" s="31"/>
      <c r="N3737" s="31"/>
      <c r="O3737" s="16"/>
      <c r="P3737" s="16"/>
      <c r="Q3737" s="16"/>
      <c r="R3737" s="33"/>
      <c r="S3737" s="34"/>
      <c r="T3737" s="34"/>
      <c r="U3737" s="34"/>
      <c r="V3737" s="34"/>
      <c r="W3737" s="34"/>
      <c r="X3737" s="33"/>
      <c r="Y3737" s="35" t="str">
        <f>IF(Tabela2[[#This Row],[SIGLA]]="","",VLOOKUP(Tabela2[[#This Row],[SIGLA]],Tabela1[[#All],[Sigla Arte]:[Crédito]],2,0))</f>
        <v/>
      </c>
      <c r="Z3737" s="31"/>
      <c r="AA3737" s="31" t="str">
        <f>Tabela2[[#This Row],[ILUSTRADOR CRIAÇÃO]]</f>
        <v/>
      </c>
      <c r="AB3737" s="33"/>
      <c r="AC3737" s="16"/>
      <c r="AE3737" s="35" t="str">
        <f t="shared" si="59"/>
        <v>EF1 E002 Mat</v>
      </c>
    </row>
    <row r="3738" spans="1:31" x14ac:dyDescent="0.25">
      <c r="A3738" s="31"/>
      <c r="B3738" s="16"/>
      <c r="C3738" s="16"/>
      <c r="D3738" s="33"/>
      <c r="E3738" s="33"/>
      <c r="F3738" s="33"/>
      <c r="G3738" s="33"/>
      <c r="H3738" s="33"/>
      <c r="I3738" s="31"/>
      <c r="J3738" s="31"/>
      <c r="K3738" s="33"/>
      <c r="L3738" s="33"/>
      <c r="M3738" s="31"/>
      <c r="N3738" s="31"/>
      <c r="O3738" s="16"/>
      <c r="P3738" s="16"/>
      <c r="Q3738" s="16"/>
      <c r="R3738" s="33"/>
      <c r="S3738" s="34"/>
      <c r="T3738" s="34"/>
      <c r="U3738" s="34"/>
      <c r="V3738" s="34"/>
      <c r="W3738" s="34"/>
      <c r="X3738" s="33"/>
      <c r="Y3738" s="35" t="str">
        <f>IF(Tabela2[[#This Row],[SIGLA]]="","",VLOOKUP(Tabela2[[#This Row],[SIGLA]],Tabela1[[#All],[Sigla Arte]:[Crédito]],2,0))</f>
        <v/>
      </c>
      <c r="Z3738" s="31"/>
      <c r="AA3738" s="31" t="str">
        <f>Tabela2[[#This Row],[ILUSTRADOR CRIAÇÃO]]</f>
        <v/>
      </c>
      <c r="AB3738" s="33"/>
      <c r="AC3738" s="16"/>
      <c r="AE3738" s="35" t="str">
        <f t="shared" si="59"/>
        <v>EF1 E002 Mat</v>
      </c>
    </row>
    <row r="3739" spans="1:31" x14ac:dyDescent="0.25">
      <c r="A3739" s="31"/>
      <c r="B3739" s="16"/>
      <c r="C3739" s="16"/>
      <c r="D3739" s="33"/>
      <c r="E3739" s="33"/>
      <c r="F3739" s="33"/>
      <c r="G3739" s="33"/>
      <c r="H3739" s="33"/>
      <c r="I3739" s="31"/>
      <c r="J3739" s="31"/>
      <c r="K3739" s="33"/>
      <c r="L3739" s="33"/>
      <c r="M3739" s="31"/>
      <c r="N3739" s="31"/>
      <c r="O3739" s="16"/>
      <c r="P3739" s="16"/>
      <c r="Q3739" s="16"/>
      <c r="R3739" s="33"/>
      <c r="S3739" s="34"/>
      <c r="T3739" s="34"/>
      <c r="U3739" s="34"/>
      <c r="V3739" s="34"/>
      <c r="W3739" s="34"/>
      <c r="X3739" s="33"/>
      <c r="Y3739" s="35" t="str">
        <f>IF(Tabela2[[#This Row],[SIGLA]]="","",VLOOKUP(Tabela2[[#This Row],[SIGLA]],Tabela1[[#All],[Sigla Arte]:[Crédito]],2,0))</f>
        <v/>
      </c>
      <c r="Z3739" s="31"/>
      <c r="AA3739" s="31" t="str">
        <f>Tabela2[[#This Row],[ILUSTRADOR CRIAÇÃO]]</f>
        <v/>
      </c>
      <c r="AB3739" s="33"/>
      <c r="AC3739" s="16"/>
      <c r="AE3739" s="35" t="str">
        <f t="shared" si="59"/>
        <v>EF1 E002 Mat</v>
      </c>
    </row>
    <row r="3740" spans="1:31" x14ac:dyDescent="0.25">
      <c r="A3740" s="31"/>
      <c r="B3740" s="16"/>
      <c r="C3740" s="16"/>
      <c r="D3740" s="33"/>
      <c r="E3740" s="33"/>
      <c r="F3740" s="33"/>
      <c r="G3740" s="33"/>
      <c r="H3740" s="33"/>
      <c r="I3740" s="31"/>
      <c r="J3740" s="31"/>
      <c r="K3740" s="33"/>
      <c r="L3740" s="33"/>
      <c r="M3740" s="31"/>
      <c r="N3740" s="31"/>
      <c r="O3740" s="16"/>
      <c r="P3740" s="16"/>
      <c r="Q3740" s="16"/>
      <c r="R3740" s="33"/>
      <c r="S3740" s="34"/>
      <c r="T3740" s="34"/>
      <c r="U3740" s="34"/>
      <c r="V3740" s="34"/>
      <c r="W3740" s="34"/>
      <c r="X3740" s="33"/>
      <c r="Y3740" s="35" t="str">
        <f>IF(Tabela2[[#This Row],[SIGLA]]="","",VLOOKUP(Tabela2[[#This Row],[SIGLA]],Tabela1[[#All],[Sigla Arte]:[Crédito]],2,0))</f>
        <v/>
      </c>
      <c r="Z3740" s="31"/>
      <c r="AA3740" s="31" t="str">
        <f>Tabela2[[#This Row],[ILUSTRADOR CRIAÇÃO]]</f>
        <v/>
      </c>
      <c r="AB3740" s="33"/>
      <c r="AC3740" s="16"/>
      <c r="AE3740" s="35" t="str">
        <f t="shared" si="59"/>
        <v>EF1 E002 Mat</v>
      </c>
    </row>
    <row r="3741" spans="1:31" x14ac:dyDescent="0.25">
      <c r="A3741" s="31"/>
      <c r="B3741" s="16"/>
      <c r="C3741" s="16"/>
      <c r="D3741" s="33"/>
      <c r="E3741" s="33"/>
      <c r="F3741" s="33"/>
      <c r="G3741" s="33"/>
      <c r="H3741" s="33"/>
      <c r="I3741" s="31"/>
      <c r="J3741" s="31"/>
      <c r="K3741" s="33"/>
      <c r="L3741" s="33"/>
      <c r="M3741" s="31"/>
      <c r="N3741" s="31"/>
      <c r="O3741" s="16"/>
      <c r="P3741" s="16"/>
      <c r="Q3741" s="16"/>
      <c r="R3741" s="33"/>
      <c r="S3741" s="34"/>
      <c r="T3741" s="34"/>
      <c r="U3741" s="34"/>
      <c r="V3741" s="34"/>
      <c r="W3741" s="34"/>
      <c r="X3741" s="33"/>
      <c r="Y3741" s="35" t="str">
        <f>IF(Tabela2[[#This Row],[SIGLA]]="","",VLOOKUP(Tabela2[[#This Row],[SIGLA]],Tabela1[[#All],[Sigla Arte]:[Crédito]],2,0))</f>
        <v/>
      </c>
      <c r="Z3741" s="31"/>
      <c r="AA3741" s="31" t="str">
        <f>Tabela2[[#This Row],[ILUSTRADOR CRIAÇÃO]]</f>
        <v/>
      </c>
      <c r="AB3741" s="33"/>
      <c r="AC3741" s="16"/>
      <c r="AE3741" s="35" t="str">
        <f t="shared" si="59"/>
        <v>EF1 E002 Mat</v>
      </c>
    </row>
    <row r="3742" spans="1:31" x14ac:dyDescent="0.25">
      <c r="A3742" s="31"/>
      <c r="B3742" s="16"/>
      <c r="C3742" s="16"/>
      <c r="D3742" s="33"/>
      <c r="E3742" s="33"/>
      <c r="F3742" s="33"/>
      <c r="G3742" s="33"/>
      <c r="H3742" s="33"/>
      <c r="I3742" s="31"/>
      <c r="J3742" s="31"/>
      <c r="K3742" s="33"/>
      <c r="L3742" s="33"/>
      <c r="M3742" s="31"/>
      <c r="N3742" s="31"/>
      <c r="O3742" s="16"/>
      <c r="P3742" s="16"/>
      <c r="Q3742" s="16"/>
      <c r="R3742" s="33"/>
      <c r="S3742" s="34"/>
      <c r="T3742" s="34"/>
      <c r="U3742" s="34"/>
      <c r="V3742" s="34"/>
      <c r="W3742" s="34"/>
      <c r="X3742" s="33"/>
      <c r="Y3742" s="35" t="str">
        <f>IF(Tabela2[[#This Row],[SIGLA]]="","",VLOOKUP(Tabela2[[#This Row],[SIGLA]],Tabela1[[#All],[Sigla Arte]:[Crédito]],2,0))</f>
        <v/>
      </c>
      <c r="Z3742" s="31"/>
      <c r="AA3742" s="31" t="str">
        <f>Tabela2[[#This Row],[ILUSTRADOR CRIAÇÃO]]</f>
        <v/>
      </c>
      <c r="AB3742" s="33"/>
      <c r="AC3742" s="16"/>
      <c r="AE3742" s="35" t="str">
        <f t="shared" si="59"/>
        <v>EF1 E002 Mat</v>
      </c>
    </row>
    <row r="3743" spans="1:31" x14ac:dyDescent="0.25">
      <c r="A3743" s="31"/>
      <c r="B3743" s="16"/>
      <c r="C3743" s="16"/>
      <c r="D3743" s="33"/>
      <c r="E3743" s="33"/>
      <c r="F3743" s="33"/>
      <c r="G3743" s="33"/>
      <c r="H3743" s="33"/>
      <c r="I3743" s="31"/>
      <c r="J3743" s="31"/>
      <c r="K3743" s="33"/>
      <c r="L3743" s="33"/>
      <c r="M3743" s="31"/>
      <c r="N3743" s="31"/>
      <c r="O3743" s="16"/>
      <c r="P3743" s="16"/>
      <c r="Q3743" s="16"/>
      <c r="R3743" s="33"/>
      <c r="S3743" s="34"/>
      <c r="T3743" s="34"/>
      <c r="U3743" s="34"/>
      <c r="V3743" s="34"/>
      <c r="W3743" s="34"/>
      <c r="X3743" s="33"/>
      <c r="Y3743" s="35" t="str">
        <f>IF(Tabela2[[#This Row],[SIGLA]]="","",VLOOKUP(Tabela2[[#This Row],[SIGLA]],Tabela1[[#All],[Sigla Arte]:[Crédito]],2,0))</f>
        <v/>
      </c>
      <c r="Z3743" s="31"/>
      <c r="AA3743" s="31" t="str">
        <f>Tabela2[[#This Row],[ILUSTRADOR CRIAÇÃO]]</f>
        <v/>
      </c>
      <c r="AB3743" s="33"/>
      <c r="AC3743" s="16"/>
      <c r="AE3743" s="35" t="str">
        <f t="shared" si="59"/>
        <v>EF1 E002 Mat</v>
      </c>
    </row>
    <row r="3744" spans="1:31" x14ac:dyDescent="0.25">
      <c r="A3744" s="31"/>
      <c r="B3744" s="16"/>
      <c r="C3744" s="16"/>
      <c r="D3744" s="33"/>
      <c r="E3744" s="33"/>
      <c r="F3744" s="33"/>
      <c r="G3744" s="33"/>
      <c r="H3744" s="33"/>
      <c r="I3744" s="31"/>
      <c r="J3744" s="31"/>
      <c r="K3744" s="33"/>
      <c r="L3744" s="33"/>
      <c r="M3744" s="31"/>
      <c r="N3744" s="31"/>
      <c r="O3744" s="16"/>
      <c r="P3744" s="16"/>
      <c r="Q3744" s="16"/>
      <c r="R3744" s="33"/>
      <c r="S3744" s="34"/>
      <c r="T3744" s="34"/>
      <c r="U3744" s="34"/>
      <c r="V3744" s="34"/>
      <c r="W3744" s="34"/>
      <c r="X3744" s="33"/>
      <c r="Y3744" s="35" t="str">
        <f>IF(Tabela2[[#This Row],[SIGLA]]="","",VLOOKUP(Tabela2[[#This Row],[SIGLA]],Tabela1[[#All],[Sigla Arte]:[Crédito]],2,0))</f>
        <v/>
      </c>
      <c r="Z3744" s="31"/>
      <c r="AA3744" s="31" t="str">
        <f>Tabela2[[#This Row],[ILUSTRADOR CRIAÇÃO]]</f>
        <v/>
      </c>
      <c r="AB3744" s="33"/>
      <c r="AC3744" s="16"/>
      <c r="AE3744" s="35" t="str">
        <f t="shared" si="59"/>
        <v>EF1 E002 Mat</v>
      </c>
    </row>
    <row r="3745" spans="1:31" x14ac:dyDescent="0.25">
      <c r="A3745" s="31"/>
      <c r="B3745" s="16"/>
      <c r="C3745" s="16"/>
      <c r="D3745" s="33"/>
      <c r="E3745" s="33"/>
      <c r="F3745" s="33"/>
      <c r="G3745" s="33"/>
      <c r="H3745" s="33"/>
      <c r="I3745" s="31"/>
      <c r="J3745" s="31"/>
      <c r="K3745" s="33"/>
      <c r="L3745" s="33"/>
      <c r="M3745" s="31"/>
      <c r="N3745" s="31"/>
      <c r="O3745" s="16"/>
      <c r="P3745" s="16"/>
      <c r="Q3745" s="16"/>
      <c r="R3745" s="33"/>
      <c r="S3745" s="34"/>
      <c r="T3745" s="34"/>
      <c r="U3745" s="34"/>
      <c r="V3745" s="34"/>
      <c r="W3745" s="34"/>
      <c r="X3745" s="33"/>
      <c r="Y3745" s="35" t="str">
        <f>IF(Tabela2[[#This Row],[SIGLA]]="","",VLOOKUP(Tabela2[[#This Row],[SIGLA]],Tabela1[[#All],[Sigla Arte]:[Crédito]],2,0))</f>
        <v/>
      </c>
      <c r="Z3745" s="31"/>
      <c r="AA3745" s="31" t="str">
        <f>Tabela2[[#This Row],[ILUSTRADOR CRIAÇÃO]]</f>
        <v/>
      </c>
      <c r="AB3745" s="33"/>
      <c r="AC3745" s="16"/>
      <c r="AE3745" s="35" t="str">
        <f t="shared" si="59"/>
        <v>EF1 E002 Mat</v>
      </c>
    </row>
    <row r="3746" spans="1:31" x14ac:dyDescent="0.25">
      <c r="A3746" s="31"/>
      <c r="B3746" s="16"/>
      <c r="C3746" s="16"/>
      <c r="D3746" s="33"/>
      <c r="E3746" s="33"/>
      <c r="F3746" s="33"/>
      <c r="G3746" s="33"/>
      <c r="H3746" s="33"/>
      <c r="I3746" s="31"/>
      <c r="J3746" s="31"/>
      <c r="K3746" s="33"/>
      <c r="L3746" s="33"/>
      <c r="M3746" s="31"/>
      <c r="N3746" s="31"/>
      <c r="O3746" s="16"/>
      <c r="P3746" s="16"/>
      <c r="Q3746" s="16"/>
      <c r="R3746" s="33"/>
      <c r="S3746" s="34"/>
      <c r="T3746" s="34"/>
      <c r="U3746" s="34"/>
      <c r="V3746" s="34"/>
      <c r="W3746" s="34"/>
      <c r="X3746" s="33"/>
      <c r="Y3746" s="35" t="str">
        <f>IF(Tabela2[[#This Row],[SIGLA]]="","",VLOOKUP(Tabela2[[#This Row],[SIGLA]],Tabela1[[#All],[Sigla Arte]:[Crédito]],2,0))</f>
        <v/>
      </c>
      <c r="Z3746" s="31"/>
      <c r="AA3746" s="31" t="str">
        <f>Tabela2[[#This Row],[ILUSTRADOR CRIAÇÃO]]</f>
        <v/>
      </c>
      <c r="AB3746" s="33"/>
      <c r="AC3746" s="16"/>
      <c r="AE3746" s="35" t="str">
        <f t="shared" si="59"/>
        <v>EF1 E002 Mat</v>
      </c>
    </row>
    <row r="3747" spans="1:31" x14ac:dyDescent="0.25">
      <c r="A3747" s="31"/>
      <c r="B3747" s="16"/>
      <c r="C3747" s="16"/>
      <c r="D3747" s="33"/>
      <c r="E3747" s="33"/>
      <c r="F3747" s="33"/>
      <c r="G3747" s="33"/>
      <c r="H3747" s="33"/>
      <c r="I3747" s="31"/>
      <c r="J3747" s="31"/>
      <c r="K3747" s="33"/>
      <c r="L3747" s="33"/>
      <c r="M3747" s="31"/>
      <c r="N3747" s="31"/>
      <c r="O3747" s="16"/>
      <c r="P3747" s="16"/>
      <c r="Q3747" s="16"/>
      <c r="R3747" s="33"/>
      <c r="S3747" s="34"/>
      <c r="T3747" s="34"/>
      <c r="U3747" s="34"/>
      <c r="V3747" s="34"/>
      <c r="W3747" s="34"/>
      <c r="X3747" s="33"/>
      <c r="Y3747" s="35" t="str">
        <f>IF(Tabela2[[#This Row],[SIGLA]]="","",VLOOKUP(Tabela2[[#This Row],[SIGLA]],Tabela1[[#All],[Sigla Arte]:[Crédito]],2,0))</f>
        <v/>
      </c>
      <c r="Z3747" s="31"/>
      <c r="AA3747" s="31" t="str">
        <f>Tabela2[[#This Row],[ILUSTRADOR CRIAÇÃO]]</f>
        <v/>
      </c>
      <c r="AB3747" s="33"/>
      <c r="AC3747" s="16"/>
      <c r="AE3747" s="35" t="str">
        <f t="shared" si="59"/>
        <v>EF1 E002 Mat</v>
      </c>
    </row>
    <row r="3748" spans="1:31" x14ac:dyDescent="0.25">
      <c r="A3748" s="31"/>
      <c r="B3748" s="16"/>
      <c r="C3748" s="16"/>
      <c r="D3748" s="33"/>
      <c r="E3748" s="33"/>
      <c r="F3748" s="33"/>
      <c r="G3748" s="33"/>
      <c r="H3748" s="33"/>
      <c r="I3748" s="31"/>
      <c r="J3748" s="31"/>
      <c r="K3748" s="33"/>
      <c r="L3748" s="33"/>
      <c r="M3748" s="31"/>
      <c r="N3748" s="31"/>
      <c r="O3748" s="16"/>
      <c r="P3748" s="16"/>
      <c r="Q3748" s="16"/>
      <c r="R3748" s="33"/>
      <c r="S3748" s="34"/>
      <c r="T3748" s="34"/>
      <c r="U3748" s="34"/>
      <c r="V3748" s="34"/>
      <c r="W3748" s="34"/>
      <c r="X3748" s="33"/>
      <c r="Y3748" s="35" t="str">
        <f>IF(Tabela2[[#This Row],[SIGLA]]="","",VLOOKUP(Tabela2[[#This Row],[SIGLA]],Tabela1[[#All],[Sigla Arte]:[Crédito]],2,0))</f>
        <v/>
      </c>
      <c r="Z3748" s="31"/>
      <c r="AA3748" s="31" t="str">
        <f>Tabela2[[#This Row],[ILUSTRADOR CRIAÇÃO]]</f>
        <v/>
      </c>
      <c r="AB3748" s="33"/>
      <c r="AC3748" s="16"/>
      <c r="AE3748" s="35" t="str">
        <f t="shared" si="59"/>
        <v>EF1 E002 Mat</v>
      </c>
    </row>
    <row r="3749" spans="1:31" x14ac:dyDescent="0.25">
      <c r="A3749" s="31"/>
      <c r="B3749" s="16"/>
      <c r="C3749" s="16"/>
      <c r="D3749" s="33"/>
      <c r="E3749" s="33"/>
      <c r="F3749" s="33"/>
      <c r="G3749" s="33"/>
      <c r="H3749" s="33"/>
      <c r="I3749" s="31"/>
      <c r="J3749" s="31"/>
      <c r="K3749" s="33"/>
      <c r="L3749" s="33"/>
      <c r="M3749" s="31"/>
      <c r="N3749" s="31"/>
      <c r="O3749" s="16"/>
      <c r="P3749" s="16"/>
      <c r="Q3749" s="16"/>
      <c r="R3749" s="33"/>
      <c r="S3749" s="34"/>
      <c r="T3749" s="34"/>
      <c r="U3749" s="34"/>
      <c r="V3749" s="34"/>
      <c r="W3749" s="34"/>
      <c r="X3749" s="33"/>
      <c r="Y3749" s="35" t="str">
        <f>IF(Tabela2[[#This Row],[SIGLA]]="","",VLOOKUP(Tabela2[[#This Row],[SIGLA]],Tabela1[[#All],[Sigla Arte]:[Crédito]],2,0))</f>
        <v/>
      </c>
      <c r="Z3749" s="31"/>
      <c r="AA3749" s="31" t="str">
        <f>Tabela2[[#This Row],[ILUSTRADOR CRIAÇÃO]]</f>
        <v/>
      </c>
      <c r="AB3749" s="33"/>
      <c r="AC3749" s="16"/>
      <c r="AE3749" s="35" t="str">
        <f t="shared" si="59"/>
        <v>EF1 E002 Mat</v>
      </c>
    </row>
    <row r="3750" spans="1:31" x14ac:dyDescent="0.25">
      <c r="A3750" s="31"/>
      <c r="B3750" s="16"/>
      <c r="C3750" s="16"/>
      <c r="D3750" s="33"/>
      <c r="E3750" s="33"/>
      <c r="F3750" s="33"/>
      <c r="G3750" s="33"/>
      <c r="H3750" s="33"/>
      <c r="I3750" s="31"/>
      <c r="J3750" s="31"/>
      <c r="K3750" s="33"/>
      <c r="L3750" s="33"/>
      <c r="M3750" s="31"/>
      <c r="N3750" s="31"/>
      <c r="O3750" s="16"/>
      <c r="P3750" s="16"/>
      <c r="Q3750" s="16"/>
      <c r="R3750" s="33"/>
      <c r="S3750" s="34"/>
      <c r="T3750" s="34"/>
      <c r="U3750" s="34"/>
      <c r="V3750" s="34"/>
      <c r="W3750" s="34"/>
      <c r="X3750" s="33"/>
      <c r="Y3750" s="35" t="str">
        <f>IF(Tabela2[[#This Row],[SIGLA]]="","",VLOOKUP(Tabela2[[#This Row],[SIGLA]],Tabela1[[#All],[Sigla Arte]:[Crédito]],2,0))</f>
        <v/>
      </c>
      <c r="Z3750" s="31"/>
      <c r="AA3750" s="31" t="str">
        <f>Tabela2[[#This Row],[ILUSTRADOR CRIAÇÃO]]</f>
        <v/>
      </c>
      <c r="AB3750" s="33"/>
      <c r="AC3750" s="16"/>
      <c r="AE3750" s="35" t="str">
        <f t="shared" si="59"/>
        <v>EF1 E002 Mat</v>
      </c>
    </row>
    <row r="3751" spans="1:31" x14ac:dyDescent="0.25">
      <c r="A3751" s="31"/>
      <c r="B3751" s="16"/>
      <c r="C3751" s="16"/>
      <c r="D3751" s="33"/>
      <c r="E3751" s="33"/>
      <c r="F3751" s="33"/>
      <c r="G3751" s="33"/>
      <c r="H3751" s="33"/>
      <c r="I3751" s="31"/>
      <c r="J3751" s="31"/>
      <c r="K3751" s="33"/>
      <c r="L3751" s="33"/>
      <c r="M3751" s="31"/>
      <c r="N3751" s="31"/>
      <c r="O3751" s="16"/>
      <c r="P3751" s="16"/>
      <c r="Q3751" s="16"/>
      <c r="R3751" s="33"/>
      <c r="S3751" s="34"/>
      <c r="T3751" s="34"/>
      <c r="U3751" s="34"/>
      <c r="V3751" s="34"/>
      <c r="W3751" s="34"/>
      <c r="X3751" s="33"/>
      <c r="Y3751" s="35" t="str">
        <f>IF(Tabela2[[#This Row],[SIGLA]]="","",VLOOKUP(Tabela2[[#This Row],[SIGLA]],Tabela1[[#All],[Sigla Arte]:[Crédito]],2,0))</f>
        <v/>
      </c>
      <c r="Z3751" s="31"/>
      <c r="AA3751" s="31" t="str">
        <f>Tabela2[[#This Row],[ILUSTRADOR CRIAÇÃO]]</f>
        <v/>
      </c>
      <c r="AB3751" s="33"/>
      <c r="AC3751" s="16"/>
      <c r="AE3751" s="35" t="str">
        <f t="shared" si="59"/>
        <v>EF1 E002 Mat</v>
      </c>
    </row>
    <row r="3752" spans="1:31" x14ac:dyDescent="0.25">
      <c r="A3752" s="31"/>
      <c r="B3752" s="16"/>
      <c r="C3752" s="16"/>
      <c r="D3752" s="33"/>
      <c r="E3752" s="33"/>
      <c r="F3752" s="33"/>
      <c r="G3752" s="33"/>
      <c r="H3752" s="33"/>
      <c r="I3752" s="31"/>
      <c r="J3752" s="31"/>
      <c r="K3752" s="33"/>
      <c r="L3752" s="33"/>
      <c r="M3752" s="31"/>
      <c r="N3752" s="31"/>
      <c r="O3752" s="16"/>
      <c r="P3752" s="16"/>
      <c r="Q3752" s="16"/>
      <c r="R3752" s="33"/>
      <c r="S3752" s="34"/>
      <c r="T3752" s="34"/>
      <c r="U3752" s="34"/>
      <c r="V3752" s="34"/>
      <c r="W3752" s="34"/>
      <c r="X3752" s="33"/>
      <c r="Y3752" s="35" t="str">
        <f>IF(Tabela2[[#This Row],[SIGLA]]="","",VLOOKUP(Tabela2[[#This Row],[SIGLA]],Tabela1[[#All],[Sigla Arte]:[Crédito]],2,0))</f>
        <v/>
      </c>
      <c r="Z3752" s="31"/>
      <c r="AA3752" s="31" t="str">
        <f>Tabela2[[#This Row],[ILUSTRADOR CRIAÇÃO]]</f>
        <v/>
      </c>
      <c r="AB3752" s="33"/>
      <c r="AC3752" s="16"/>
      <c r="AE3752" s="35" t="str">
        <f t="shared" si="59"/>
        <v>EF1 E002 Mat</v>
      </c>
    </row>
    <row r="3753" spans="1:31" x14ac:dyDescent="0.25">
      <c r="A3753" s="31"/>
      <c r="B3753" s="16"/>
      <c r="C3753" s="16"/>
      <c r="D3753" s="33"/>
      <c r="E3753" s="33"/>
      <c r="F3753" s="33"/>
      <c r="G3753" s="33"/>
      <c r="H3753" s="33"/>
      <c r="I3753" s="31"/>
      <c r="J3753" s="31"/>
      <c r="K3753" s="33"/>
      <c r="L3753" s="33"/>
      <c r="M3753" s="31"/>
      <c r="N3753" s="31"/>
      <c r="O3753" s="16"/>
      <c r="P3753" s="16"/>
      <c r="Q3753" s="16"/>
      <c r="R3753" s="33"/>
      <c r="S3753" s="34"/>
      <c r="T3753" s="34"/>
      <c r="U3753" s="34"/>
      <c r="V3753" s="34"/>
      <c r="W3753" s="34"/>
      <c r="X3753" s="33"/>
      <c r="Y3753" s="35" t="str">
        <f>IF(Tabela2[[#This Row],[SIGLA]]="","",VLOOKUP(Tabela2[[#This Row],[SIGLA]],Tabela1[[#All],[Sigla Arte]:[Crédito]],2,0))</f>
        <v/>
      </c>
      <c r="Z3753" s="31"/>
      <c r="AA3753" s="31" t="str">
        <f>Tabela2[[#This Row],[ILUSTRADOR CRIAÇÃO]]</f>
        <v/>
      </c>
      <c r="AB3753" s="33"/>
      <c r="AC3753" s="16"/>
      <c r="AE3753" s="35" t="str">
        <f t="shared" si="59"/>
        <v>EF1 E002 Mat</v>
      </c>
    </row>
    <row r="3754" spans="1:31" x14ac:dyDescent="0.25">
      <c r="A3754" s="31"/>
      <c r="B3754" s="16"/>
      <c r="C3754" s="16"/>
      <c r="D3754" s="33"/>
      <c r="E3754" s="33"/>
      <c r="F3754" s="33"/>
      <c r="G3754" s="33"/>
      <c r="H3754" s="33"/>
      <c r="I3754" s="31"/>
      <c r="J3754" s="31"/>
      <c r="K3754" s="33"/>
      <c r="L3754" s="33"/>
      <c r="M3754" s="31"/>
      <c r="N3754" s="31"/>
      <c r="O3754" s="16"/>
      <c r="P3754" s="16"/>
      <c r="Q3754" s="16"/>
      <c r="R3754" s="33"/>
      <c r="S3754" s="34"/>
      <c r="T3754" s="34"/>
      <c r="U3754" s="34"/>
      <c r="V3754" s="34"/>
      <c r="W3754" s="34"/>
      <c r="X3754" s="33"/>
      <c r="Y3754" s="35" t="str">
        <f>IF(Tabela2[[#This Row],[SIGLA]]="","",VLOOKUP(Tabela2[[#This Row],[SIGLA]],Tabela1[[#All],[Sigla Arte]:[Crédito]],2,0))</f>
        <v/>
      </c>
      <c r="Z3754" s="31"/>
      <c r="AA3754" s="31" t="str">
        <f>Tabela2[[#This Row],[ILUSTRADOR CRIAÇÃO]]</f>
        <v/>
      </c>
      <c r="AB3754" s="33"/>
      <c r="AC3754" s="16"/>
      <c r="AE3754" s="35" t="str">
        <f t="shared" si="59"/>
        <v>EF1 E002 Mat</v>
      </c>
    </row>
    <row r="3755" spans="1:31" x14ac:dyDescent="0.25">
      <c r="A3755" s="31"/>
      <c r="B3755" s="16"/>
      <c r="C3755" s="16"/>
      <c r="D3755" s="33"/>
      <c r="E3755" s="33"/>
      <c r="F3755" s="33"/>
      <c r="G3755" s="33"/>
      <c r="H3755" s="33"/>
      <c r="I3755" s="31"/>
      <c r="J3755" s="31"/>
      <c r="K3755" s="33"/>
      <c r="L3755" s="33"/>
      <c r="M3755" s="31"/>
      <c r="N3755" s="31"/>
      <c r="O3755" s="16"/>
      <c r="P3755" s="16"/>
      <c r="Q3755" s="16"/>
      <c r="R3755" s="33"/>
      <c r="S3755" s="34"/>
      <c r="T3755" s="34"/>
      <c r="U3755" s="34"/>
      <c r="V3755" s="34"/>
      <c r="W3755" s="34"/>
      <c r="X3755" s="33"/>
      <c r="Y3755" s="35" t="str">
        <f>IF(Tabela2[[#This Row],[SIGLA]]="","",VLOOKUP(Tabela2[[#This Row],[SIGLA]],Tabela1[[#All],[Sigla Arte]:[Crédito]],2,0))</f>
        <v/>
      </c>
      <c r="Z3755" s="31"/>
      <c r="AA3755" s="31" t="str">
        <f>Tabela2[[#This Row],[ILUSTRADOR CRIAÇÃO]]</f>
        <v/>
      </c>
      <c r="AB3755" s="33"/>
      <c r="AC3755" s="16"/>
      <c r="AE3755" s="35" t="str">
        <f t="shared" si="59"/>
        <v>EF1 E002 Mat</v>
      </c>
    </row>
    <row r="3756" spans="1:31" x14ac:dyDescent="0.25">
      <c r="A3756" s="31"/>
      <c r="B3756" s="16"/>
      <c r="C3756" s="16"/>
      <c r="D3756" s="33"/>
      <c r="E3756" s="33"/>
      <c r="F3756" s="33"/>
      <c r="G3756" s="33"/>
      <c r="H3756" s="33"/>
      <c r="I3756" s="31"/>
      <c r="J3756" s="31"/>
      <c r="K3756" s="33"/>
      <c r="L3756" s="33"/>
      <c r="M3756" s="31"/>
      <c r="N3756" s="31"/>
      <c r="O3756" s="16"/>
      <c r="P3756" s="16"/>
      <c r="Q3756" s="16"/>
      <c r="R3756" s="33"/>
      <c r="S3756" s="34"/>
      <c r="T3756" s="34"/>
      <c r="U3756" s="34"/>
      <c r="V3756" s="34"/>
      <c r="W3756" s="34"/>
      <c r="X3756" s="33"/>
      <c r="Y3756" s="35" t="str">
        <f>IF(Tabela2[[#This Row],[SIGLA]]="","",VLOOKUP(Tabela2[[#This Row],[SIGLA]],Tabela1[[#All],[Sigla Arte]:[Crédito]],2,0))</f>
        <v/>
      </c>
      <c r="Z3756" s="31"/>
      <c r="AA3756" s="31" t="str">
        <f>Tabela2[[#This Row],[ILUSTRADOR CRIAÇÃO]]</f>
        <v/>
      </c>
      <c r="AB3756" s="33"/>
      <c r="AC3756" s="16"/>
      <c r="AE3756" s="35" t="str">
        <f t="shared" si="59"/>
        <v>EF1 E002 Mat</v>
      </c>
    </row>
    <row r="3757" spans="1:31" x14ac:dyDescent="0.25">
      <c r="A3757" s="31"/>
      <c r="B3757" s="16"/>
      <c r="C3757" s="16"/>
      <c r="D3757" s="33"/>
      <c r="E3757" s="33"/>
      <c r="F3757" s="33"/>
      <c r="G3757" s="33"/>
      <c r="H3757" s="33"/>
      <c r="I3757" s="31"/>
      <c r="J3757" s="31"/>
      <c r="K3757" s="33"/>
      <c r="L3757" s="33"/>
      <c r="M3757" s="31"/>
      <c r="N3757" s="31"/>
      <c r="O3757" s="16"/>
      <c r="P3757" s="16"/>
      <c r="Q3757" s="16"/>
      <c r="R3757" s="33"/>
      <c r="S3757" s="34"/>
      <c r="T3757" s="34"/>
      <c r="U3757" s="34"/>
      <c r="V3757" s="34"/>
      <c r="W3757" s="34"/>
      <c r="X3757" s="33"/>
      <c r="Y3757" s="35" t="str">
        <f>IF(Tabela2[[#This Row],[SIGLA]]="","",VLOOKUP(Tabela2[[#This Row],[SIGLA]],Tabela1[[#All],[Sigla Arte]:[Crédito]],2,0))</f>
        <v/>
      </c>
      <c r="Z3757" s="31"/>
      <c r="AA3757" s="31" t="str">
        <f>Tabela2[[#This Row],[ILUSTRADOR CRIAÇÃO]]</f>
        <v/>
      </c>
      <c r="AB3757" s="33"/>
      <c r="AC3757" s="16"/>
      <c r="AE3757" s="35" t="str">
        <f t="shared" si="59"/>
        <v>EF1 E002 Mat</v>
      </c>
    </row>
    <row r="3758" spans="1:31" x14ac:dyDescent="0.25">
      <c r="A3758" s="31"/>
      <c r="B3758" s="16"/>
      <c r="C3758" s="16"/>
      <c r="D3758" s="33"/>
      <c r="E3758" s="33"/>
      <c r="F3758" s="33"/>
      <c r="G3758" s="33"/>
      <c r="H3758" s="33"/>
      <c r="I3758" s="31"/>
      <c r="J3758" s="31"/>
      <c r="K3758" s="33"/>
      <c r="L3758" s="33"/>
      <c r="M3758" s="31"/>
      <c r="N3758" s="31"/>
      <c r="O3758" s="16"/>
      <c r="P3758" s="16"/>
      <c r="Q3758" s="16"/>
      <c r="R3758" s="33"/>
      <c r="S3758" s="34"/>
      <c r="T3758" s="34"/>
      <c r="U3758" s="34"/>
      <c r="V3758" s="34"/>
      <c r="W3758" s="34"/>
      <c r="X3758" s="33"/>
      <c r="Y3758" s="35" t="str">
        <f>IF(Tabela2[[#This Row],[SIGLA]]="","",VLOOKUP(Tabela2[[#This Row],[SIGLA]],Tabela1[[#All],[Sigla Arte]:[Crédito]],2,0))</f>
        <v/>
      </c>
      <c r="Z3758" s="31"/>
      <c r="AA3758" s="31" t="str">
        <f>Tabela2[[#This Row],[ILUSTRADOR CRIAÇÃO]]</f>
        <v/>
      </c>
      <c r="AB3758" s="33"/>
      <c r="AC3758" s="16"/>
      <c r="AE3758" s="35" t="str">
        <f t="shared" si="59"/>
        <v>EF1 E002 Mat</v>
      </c>
    </row>
    <row r="3759" spans="1:31" x14ac:dyDescent="0.25">
      <c r="A3759" s="31"/>
      <c r="B3759" s="16"/>
      <c r="C3759" s="16"/>
      <c r="D3759" s="33"/>
      <c r="E3759" s="33"/>
      <c r="F3759" s="33"/>
      <c r="G3759" s="33"/>
      <c r="H3759" s="33"/>
      <c r="I3759" s="31"/>
      <c r="J3759" s="31"/>
      <c r="K3759" s="33"/>
      <c r="L3759" s="33"/>
      <c r="M3759" s="31"/>
      <c r="N3759" s="31"/>
      <c r="O3759" s="16"/>
      <c r="P3759" s="16"/>
      <c r="Q3759" s="16"/>
      <c r="R3759" s="33"/>
      <c r="S3759" s="34"/>
      <c r="T3759" s="34"/>
      <c r="U3759" s="34"/>
      <c r="V3759" s="34"/>
      <c r="W3759" s="34"/>
      <c r="X3759" s="33"/>
      <c r="Y3759" s="35" t="str">
        <f>IF(Tabela2[[#This Row],[SIGLA]]="","",VLOOKUP(Tabela2[[#This Row],[SIGLA]],Tabela1[[#All],[Sigla Arte]:[Crédito]],2,0))</f>
        <v/>
      </c>
      <c r="Z3759" s="31"/>
      <c r="AA3759" s="31" t="str">
        <f>Tabela2[[#This Row],[ILUSTRADOR CRIAÇÃO]]</f>
        <v/>
      </c>
      <c r="AB3759" s="33"/>
      <c r="AC3759" s="16"/>
      <c r="AE3759" s="35" t="str">
        <f t="shared" si="59"/>
        <v>EF1 E002 Mat</v>
      </c>
    </row>
    <row r="3760" spans="1:31" x14ac:dyDescent="0.25">
      <c r="A3760" s="31"/>
      <c r="B3760" s="16"/>
      <c r="C3760" s="16"/>
      <c r="D3760" s="33"/>
      <c r="E3760" s="33"/>
      <c r="F3760" s="33"/>
      <c r="G3760" s="33"/>
      <c r="H3760" s="33"/>
      <c r="I3760" s="31"/>
      <c r="J3760" s="31"/>
      <c r="K3760" s="33"/>
      <c r="L3760" s="33"/>
      <c r="M3760" s="31"/>
      <c r="N3760" s="31"/>
      <c r="O3760" s="16"/>
      <c r="P3760" s="16"/>
      <c r="Q3760" s="16"/>
      <c r="R3760" s="33"/>
      <c r="S3760" s="34"/>
      <c r="T3760" s="34"/>
      <c r="U3760" s="34"/>
      <c r="V3760" s="34"/>
      <c r="W3760" s="34"/>
      <c r="X3760" s="33"/>
      <c r="Y3760" s="35" t="str">
        <f>IF(Tabela2[[#This Row],[SIGLA]]="","",VLOOKUP(Tabela2[[#This Row],[SIGLA]],Tabela1[[#All],[Sigla Arte]:[Crédito]],2,0))</f>
        <v/>
      </c>
      <c r="Z3760" s="31"/>
      <c r="AA3760" s="31" t="str">
        <f>Tabela2[[#This Row],[ILUSTRADOR CRIAÇÃO]]</f>
        <v/>
      </c>
      <c r="AB3760" s="33"/>
      <c r="AC3760" s="16"/>
      <c r="AE3760" s="35" t="str">
        <f t="shared" si="59"/>
        <v>EF1 E002 Mat</v>
      </c>
    </row>
    <row r="3761" spans="1:31" x14ac:dyDescent="0.25">
      <c r="A3761" s="31"/>
      <c r="B3761" s="16"/>
      <c r="C3761" s="16"/>
      <c r="D3761" s="33"/>
      <c r="E3761" s="33"/>
      <c r="F3761" s="33"/>
      <c r="G3761" s="33"/>
      <c r="H3761" s="33"/>
      <c r="I3761" s="31"/>
      <c r="J3761" s="31"/>
      <c r="K3761" s="33"/>
      <c r="L3761" s="33"/>
      <c r="M3761" s="31"/>
      <c r="N3761" s="31"/>
      <c r="O3761" s="16"/>
      <c r="P3761" s="16"/>
      <c r="Q3761" s="16"/>
      <c r="R3761" s="33"/>
      <c r="S3761" s="34"/>
      <c r="T3761" s="34"/>
      <c r="U3761" s="34"/>
      <c r="V3761" s="34"/>
      <c r="W3761" s="34"/>
      <c r="X3761" s="33"/>
      <c r="Y3761" s="35" t="str">
        <f>IF(Tabela2[[#This Row],[SIGLA]]="","",VLOOKUP(Tabela2[[#This Row],[SIGLA]],Tabela1[[#All],[Sigla Arte]:[Crédito]],2,0))</f>
        <v/>
      </c>
      <c r="Z3761" s="31"/>
      <c r="AA3761" s="31" t="str">
        <f>Tabela2[[#This Row],[ILUSTRADOR CRIAÇÃO]]</f>
        <v/>
      </c>
      <c r="AB3761" s="33"/>
      <c r="AC3761" s="16"/>
      <c r="AE3761" s="35" t="str">
        <f t="shared" si="59"/>
        <v>EF1 E002 Mat</v>
      </c>
    </row>
    <row r="3762" spans="1:31" x14ac:dyDescent="0.25">
      <c r="A3762" s="31"/>
      <c r="B3762" s="16"/>
      <c r="C3762" s="16"/>
      <c r="D3762" s="33"/>
      <c r="E3762" s="33"/>
      <c r="F3762" s="33"/>
      <c r="G3762" s="33"/>
      <c r="H3762" s="33"/>
      <c r="I3762" s="31"/>
      <c r="J3762" s="31"/>
      <c r="K3762" s="33"/>
      <c r="L3762" s="33"/>
      <c r="M3762" s="31"/>
      <c r="N3762" s="31"/>
      <c r="O3762" s="16"/>
      <c r="P3762" s="16"/>
      <c r="Q3762" s="16"/>
      <c r="R3762" s="33"/>
      <c r="S3762" s="34"/>
      <c r="T3762" s="34"/>
      <c r="U3762" s="34"/>
      <c r="V3762" s="34"/>
      <c r="W3762" s="34"/>
      <c r="X3762" s="33"/>
      <c r="Y3762" s="35" t="str">
        <f>IF(Tabela2[[#This Row],[SIGLA]]="","",VLOOKUP(Tabela2[[#This Row],[SIGLA]],Tabela1[[#All],[Sigla Arte]:[Crédito]],2,0))</f>
        <v/>
      </c>
      <c r="Z3762" s="31"/>
      <c r="AA3762" s="31" t="str">
        <f>Tabela2[[#This Row],[ILUSTRADOR CRIAÇÃO]]</f>
        <v/>
      </c>
      <c r="AB3762" s="33"/>
      <c r="AC3762" s="16"/>
      <c r="AE3762" s="35" t="str">
        <f t="shared" ref="AE3762:AE3825" si="60">"EF1 E002 Mat"</f>
        <v>EF1 E002 Mat</v>
      </c>
    </row>
    <row r="3763" spans="1:31" x14ac:dyDescent="0.25">
      <c r="A3763" s="31"/>
      <c r="B3763" s="16"/>
      <c r="C3763" s="16"/>
      <c r="D3763" s="33"/>
      <c r="E3763" s="33"/>
      <c r="F3763" s="33"/>
      <c r="G3763" s="33"/>
      <c r="H3763" s="33"/>
      <c r="I3763" s="31"/>
      <c r="J3763" s="31"/>
      <c r="K3763" s="33"/>
      <c r="L3763" s="33"/>
      <c r="M3763" s="31"/>
      <c r="N3763" s="31"/>
      <c r="O3763" s="16"/>
      <c r="P3763" s="16"/>
      <c r="Q3763" s="16"/>
      <c r="R3763" s="33"/>
      <c r="S3763" s="34"/>
      <c r="T3763" s="34"/>
      <c r="U3763" s="34"/>
      <c r="V3763" s="34"/>
      <c r="W3763" s="34"/>
      <c r="X3763" s="33"/>
      <c r="Y3763" s="35" t="str">
        <f>IF(Tabela2[[#This Row],[SIGLA]]="","",VLOOKUP(Tabela2[[#This Row],[SIGLA]],Tabela1[[#All],[Sigla Arte]:[Crédito]],2,0))</f>
        <v/>
      </c>
      <c r="Z3763" s="31"/>
      <c r="AA3763" s="31" t="str">
        <f>Tabela2[[#This Row],[ILUSTRADOR CRIAÇÃO]]</f>
        <v/>
      </c>
      <c r="AB3763" s="33"/>
      <c r="AC3763" s="16"/>
      <c r="AE3763" s="35" t="str">
        <f t="shared" si="60"/>
        <v>EF1 E002 Mat</v>
      </c>
    </row>
    <row r="3764" spans="1:31" x14ac:dyDescent="0.25">
      <c r="A3764" s="31"/>
      <c r="B3764" s="16"/>
      <c r="C3764" s="16"/>
      <c r="D3764" s="33"/>
      <c r="E3764" s="33"/>
      <c r="F3764" s="33"/>
      <c r="G3764" s="33"/>
      <c r="H3764" s="33"/>
      <c r="I3764" s="31"/>
      <c r="J3764" s="31"/>
      <c r="K3764" s="33"/>
      <c r="L3764" s="33"/>
      <c r="M3764" s="31"/>
      <c r="N3764" s="31"/>
      <c r="O3764" s="16"/>
      <c r="P3764" s="16"/>
      <c r="Q3764" s="16"/>
      <c r="R3764" s="33"/>
      <c r="S3764" s="34"/>
      <c r="T3764" s="34"/>
      <c r="U3764" s="34"/>
      <c r="V3764" s="34"/>
      <c r="W3764" s="34"/>
      <c r="X3764" s="33"/>
      <c r="Y3764" s="35" t="str">
        <f>IF(Tabela2[[#This Row],[SIGLA]]="","",VLOOKUP(Tabela2[[#This Row],[SIGLA]],Tabela1[[#All],[Sigla Arte]:[Crédito]],2,0))</f>
        <v/>
      </c>
      <c r="Z3764" s="31"/>
      <c r="AA3764" s="31" t="str">
        <f>Tabela2[[#This Row],[ILUSTRADOR CRIAÇÃO]]</f>
        <v/>
      </c>
      <c r="AB3764" s="33"/>
      <c r="AC3764" s="16"/>
      <c r="AE3764" s="35" t="str">
        <f t="shared" si="60"/>
        <v>EF1 E002 Mat</v>
      </c>
    </row>
    <row r="3765" spans="1:31" x14ac:dyDescent="0.25">
      <c r="A3765" s="31"/>
      <c r="B3765" s="16"/>
      <c r="C3765" s="16"/>
      <c r="D3765" s="33"/>
      <c r="E3765" s="33"/>
      <c r="F3765" s="33"/>
      <c r="G3765" s="33"/>
      <c r="H3765" s="33"/>
      <c r="I3765" s="31"/>
      <c r="J3765" s="31"/>
      <c r="K3765" s="33"/>
      <c r="L3765" s="33"/>
      <c r="M3765" s="31"/>
      <c r="N3765" s="31"/>
      <c r="O3765" s="16"/>
      <c r="P3765" s="16"/>
      <c r="Q3765" s="16"/>
      <c r="R3765" s="33"/>
      <c r="S3765" s="34"/>
      <c r="T3765" s="34"/>
      <c r="U3765" s="34"/>
      <c r="V3765" s="34"/>
      <c r="W3765" s="34"/>
      <c r="X3765" s="33"/>
      <c r="Y3765" s="35" t="str">
        <f>IF(Tabela2[[#This Row],[SIGLA]]="","",VLOOKUP(Tabela2[[#This Row],[SIGLA]],Tabela1[[#All],[Sigla Arte]:[Crédito]],2,0))</f>
        <v/>
      </c>
      <c r="Z3765" s="31"/>
      <c r="AA3765" s="31" t="str">
        <f>Tabela2[[#This Row],[ILUSTRADOR CRIAÇÃO]]</f>
        <v/>
      </c>
      <c r="AB3765" s="33"/>
      <c r="AC3765" s="16"/>
      <c r="AE3765" s="35" t="str">
        <f t="shared" si="60"/>
        <v>EF1 E002 Mat</v>
      </c>
    </row>
    <row r="3766" spans="1:31" x14ac:dyDescent="0.25">
      <c r="A3766" s="31"/>
      <c r="B3766" s="16"/>
      <c r="C3766" s="16"/>
      <c r="D3766" s="33"/>
      <c r="E3766" s="33"/>
      <c r="F3766" s="33"/>
      <c r="G3766" s="33"/>
      <c r="H3766" s="33"/>
      <c r="I3766" s="31"/>
      <c r="J3766" s="31"/>
      <c r="K3766" s="33"/>
      <c r="L3766" s="33"/>
      <c r="M3766" s="31"/>
      <c r="N3766" s="31"/>
      <c r="O3766" s="16"/>
      <c r="P3766" s="16"/>
      <c r="Q3766" s="16"/>
      <c r="R3766" s="33"/>
      <c r="S3766" s="34"/>
      <c r="T3766" s="34"/>
      <c r="U3766" s="34"/>
      <c r="V3766" s="34"/>
      <c r="W3766" s="34"/>
      <c r="X3766" s="33"/>
      <c r="Y3766" s="35" t="str">
        <f>IF(Tabela2[[#This Row],[SIGLA]]="","",VLOOKUP(Tabela2[[#This Row],[SIGLA]],Tabela1[[#All],[Sigla Arte]:[Crédito]],2,0))</f>
        <v/>
      </c>
      <c r="Z3766" s="31"/>
      <c r="AA3766" s="31" t="str">
        <f>Tabela2[[#This Row],[ILUSTRADOR CRIAÇÃO]]</f>
        <v/>
      </c>
      <c r="AB3766" s="33"/>
      <c r="AC3766" s="16"/>
      <c r="AE3766" s="35" t="str">
        <f t="shared" si="60"/>
        <v>EF1 E002 Mat</v>
      </c>
    </row>
    <row r="3767" spans="1:31" x14ac:dyDescent="0.25">
      <c r="A3767" s="31"/>
      <c r="B3767" s="16"/>
      <c r="C3767" s="16"/>
      <c r="D3767" s="33"/>
      <c r="E3767" s="33"/>
      <c r="F3767" s="33"/>
      <c r="G3767" s="33"/>
      <c r="H3767" s="33"/>
      <c r="I3767" s="31"/>
      <c r="J3767" s="31"/>
      <c r="K3767" s="33"/>
      <c r="L3767" s="33"/>
      <c r="M3767" s="31"/>
      <c r="N3767" s="31"/>
      <c r="O3767" s="16"/>
      <c r="P3767" s="16"/>
      <c r="Q3767" s="16"/>
      <c r="R3767" s="33"/>
      <c r="S3767" s="34"/>
      <c r="T3767" s="34"/>
      <c r="U3767" s="34"/>
      <c r="V3767" s="34"/>
      <c r="W3767" s="34"/>
      <c r="X3767" s="33"/>
      <c r="Y3767" s="35" t="str">
        <f>IF(Tabela2[[#This Row],[SIGLA]]="","",VLOOKUP(Tabela2[[#This Row],[SIGLA]],Tabela1[[#All],[Sigla Arte]:[Crédito]],2,0))</f>
        <v/>
      </c>
      <c r="Z3767" s="31"/>
      <c r="AA3767" s="31" t="str">
        <f>Tabela2[[#This Row],[ILUSTRADOR CRIAÇÃO]]</f>
        <v/>
      </c>
      <c r="AB3767" s="33"/>
      <c r="AC3767" s="16"/>
      <c r="AE3767" s="35" t="str">
        <f t="shared" si="60"/>
        <v>EF1 E002 Mat</v>
      </c>
    </row>
    <row r="3768" spans="1:31" x14ac:dyDescent="0.25">
      <c r="A3768" s="31"/>
      <c r="B3768" s="16"/>
      <c r="C3768" s="16"/>
      <c r="D3768" s="33"/>
      <c r="E3768" s="33"/>
      <c r="F3768" s="33"/>
      <c r="G3768" s="33"/>
      <c r="H3768" s="33"/>
      <c r="I3768" s="31"/>
      <c r="J3768" s="31"/>
      <c r="K3768" s="33"/>
      <c r="L3768" s="33"/>
      <c r="M3768" s="31"/>
      <c r="N3768" s="31"/>
      <c r="O3768" s="16"/>
      <c r="P3768" s="16"/>
      <c r="Q3768" s="16"/>
      <c r="R3768" s="33"/>
      <c r="S3768" s="34"/>
      <c r="T3768" s="34"/>
      <c r="U3768" s="34"/>
      <c r="V3768" s="34"/>
      <c r="W3768" s="34"/>
      <c r="X3768" s="33"/>
      <c r="Y3768" s="35" t="str">
        <f>IF(Tabela2[[#This Row],[SIGLA]]="","",VLOOKUP(Tabela2[[#This Row],[SIGLA]],Tabela1[[#All],[Sigla Arte]:[Crédito]],2,0))</f>
        <v/>
      </c>
      <c r="Z3768" s="31"/>
      <c r="AA3768" s="31" t="str">
        <f>Tabela2[[#This Row],[ILUSTRADOR CRIAÇÃO]]</f>
        <v/>
      </c>
      <c r="AB3768" s="33"/>
      <c r="AC3768" s="16"/>
      <c r="AE3768" s="35" t="str">
        <f t="shared" si="60"/>
        <v>EF1 E002 Mat</v>
      </c>
    </row>
    <row r="3769" spans="1:31" x14ac:dyDescent="0.25">
      <c r="A3769" s="31"/>
      <c r="B3769" s="16"/>
      <c r="C3769" s="16"/>
      <c r="D3769" s="33"/>
      <c r="E3769" s="33"/>
      <c r="F3769" s="33"/>
      <c r="G3769" s="33"/>
      <c r="H3769" s="33"/>
      <c r="I3769" s="31"/>
      <c r="J3769" s="31"/>
      <c r="K3769" s="33"/>
      <c r="L3769" s="33"/>
      <c r="M3769" s="31"/>
      <c r="N3769" s="31"/>
      <c r="O3769" s="16"/>
      <c r="P3769" s="16"/>
      <c r="Q3769" s="16"/>
      <c r="R3769" s="33"/>
      <c r="S3769" s="34"/>
      <c r="T3769" s="34"/>
      <c r="U3769" s="34"/>
      <c r="V3769" s="34"/>
      <c r="W3769" s="34"/>
      <c r="X3769" s="33"/>
      <c r="Y3769" s="35" t="str">
        <f>IF(Tabela2[[#This Row],[SIGLA]]="","",VLOOKUP(Tabela2[[#This Row],[SIGLA]],Tabela1[[#All],[Sigla Arte]:[Crédito]],2,0))</f>
        <v/>
      </c>
      <c r="Z3769" s="31"/>
      <c r="AA3769" s="31" t="str">
        <f>Tabela2[[#This Row],[ILUSTRADOR CRIAÇÃO]]</f>
        <v/>
      </c>
      <c r="AB3769" s="33"/>
      <c r="AC3769" s="16"/>
      <c r="AE3769" s="35" t="str">
        <f t="shared" si="60"/>
        <v>EF1 E002 Mat</v>
      </c>
    </row>
    <row r="3770" spans="1:31" x14ac:dyDescent="0.25">
      <c r="A3770" s="31"/>
      <c r="B3770" s="16"/>
      <c r="C3770" s="16"/>
      <c r="D3770" s="33"/>
      <c r="E3770" s="33"/>
      <c r="F3770" s="33"/>
      <c r="G3770" s="33"/>
      <c r="H3770" s="33"/>
      <c r="I3770" s="31"/>
      <c r="J3770" s="31"/>
      <c r="K3770" s="33"/>
      <c r="L3770" s="33"/>
      <c r="M3770" s="31"/>
      <c r="N3770" s="31"/>
      <c r="O3770" s="16"/>
      <c r="P3770" s="16"/>
      <c r="Q3770" s="16"/>
      <c r="R3770" s="33"/>
      <c r="S3770" s="34"/>
      <c r="T3770" s="34"/>
      <c r="U3770" s="34"/>
      <c r="V3770" s="34"/>
      <c r="W3770" s="34"/>
      <c r="X3770" s="33"/>
      <c r="Y3770" s="35" t="str">
        <f>IF(Tabela2[[#This Row],[SIGLA]]="","",VLOOKUP(Tabela2[[#This Row],[SIGLA]],Tabela1[[#All],[Sigla Arte]:[Crédito]],2,0))</f>
        <v/>
      </c>
      <c r="Z3770" s="31"/>
      <c r="AA3770" s="31" t="str">
        <f>Tabela2[[#This Row],[ILUSTRADOR CRIAÇÃO]]</f>
        <v/>
      </c>
      <c r="AB3770" s="33"/>
      <c r="AC3770" s="16"/>
      <c r="AE3770" s="35" t="str">
        <f t="shared" si="60"/>
        <v>EF1 E002 Mat</v>
      </c>
    </row>
    <row r="3771" spans="1:31" x14ac:dyDescent="0.25">
      <c r="A3771" s="31"/>
      <c r="B3771" s="16"/>
      <c r="C3771" s="16"/>
      <c r="D3771" s="33"/>
      <c r="E3771" s="33"/>
      <c r="F3771" s="33"/>
      <c r="G3771" s="33"/>
      <c r="H3771" s="33"/>
      <c r="I3771" s="31"/>
      <c r="J3771" s="31"/>
      <c r="K3771" s="33"/>
      <c r="L3771" s="33"/>
      <c r="M3771" s="31"/>
      <c r="N3771" s="31"/>
      <c r="O3771" s="16"/>
      <c r="P3771" s="16"/>
      <c r="Q3771" s="16"/>
      <c r="R3771" s="33"/>
      <c r="S3771" s="34"/>
      <c r="T3771" s="34"/>
      <c r="U3771" s="34"/>
      <c r="V3771" s="34"/>
      <c r="W3771" s="34"/>
      <c r="X3771" s="33"/>
      <c r="Y3771" s="35" t="str">
        <f>IF(Tabela2[[#This Row],[SIGLA]]="","",VLOOKUP(Tabela2[[#This Row],[SIGLA]],Tabela1[[#All],[Sigla Arte]:[Crédito]],2,0))</f>
        <v/>
      </c>
      <c r="Z3771" s="31"/>
      <c r="AA3771" s="31" t="str">
        <f>Tabela2[[#This Row],[ILUSTRADOR CRIAÇÃO]]</f>
        <v/>
      </c>
      <c r="AB3771" s="33"/>
      <c r="AC3771" s="16"/>
      <c r="AE3771" s="35" t="str">
        <f t="shared" si="60"/>
        <v>EF1 E002 Mat</v>
      </c>
    </row>
    <row r="3772" spans="1:31" x14ac:dyDescent="0.25">
      <c r="A3772" s="31"/>
      <c r="B3772" s="16"/>
      <c r="C3772" s="16"/>
      <c r="D3772" s="33"/>
      <c r="E3772" s="33"/>
      <c r="F3772" s="33"/>
      <c r="G3772" s="33"/>
      <c r="H3772" s="33"/>
      <c r="I3772" s="31"/>
      <c r="J3772" s="31"/>
      <c r="K3772" s="33"/>
      <c r="L3772" s="33"/>
      <c r="M3772" s="31"/>
      <c r="N3772" s="31"/>
      <c r="O3772" s="16"/>
      <c r="P3772" s="16"/>
      <c r="Q3772" s="16"/>
      <c r="R3772" s="33"/>
      <c r="S3772" s="34"/>
      <c r="T3772" s="34"/>
      <c r="U3772" s="34"/>
      <c r="V3772" s="34"/>
      <c r="W3772" s="34"/>
      <c r="X3772" s="33"/>
      <c r="Y3772" s="35" t="str">
        <f>IF(Tabela2[[#This Row],[SIGLA]]="","",VLOOKUP(Tabela2[[#This Row],[SIGLA]],Tabela1[[#All],[Sigla Arte]:[Crédito]],2,0))</f>
        <v/>
      </c>
      <c r="Z3772" s="31"/>
      <c r="AA3772" s="31" t="str">
        <f>Tabela2[[#This Row],[ILUSTRADOR CRIAÇÃO]]</f>
        <v/>
      </c>
      <c r="AB3772" s="33"/>
      <c r="AC3772" s="16"/>
      <c r="AE3772" s="35" t="str">
        <f t="shared" si="60"/>
        <v>EF1 E002 Mat</v>
      </c>
    </row>
    <row r="3773" spans="1:31" x14ac:dyDescent="0.25">
      <c r="A3773" s="31"/>
      <c r="B3773" s="16"/>
      <c r="C3773" s="16"/>
      <c r="D3773" s="33"/>
      <c r="E3773" s="33"/>
      <c r="F3773" s="33"/>
      <c r="G3773" s="33"/>
      <c r="H3773" s="33"/>
      <c r="I3773" s="31"/>
      <c r="J3773" s="31"/>
      <c r="K3773" s="33"/>
      <c r="L3773" s="33"/>
      <c r="M3773" s="31"/>
      <c r="N3773" s="31"/>
      <c r="O3773" s="16"/>
      <c r="P3773" s="16"/>
      <c r="Q3773" s="16"/>
      <c r="R3773" s="33"/>
      <c r="S3773" s="34"/>
      <c r="T3773" s="34"/>
      <c r="U3773" s="34"/>
      <c r="V3773" s="34"/>
      <c r="W3773" s="34"/>
      <c r="X3773" s="33"/>
      <c r="Y3773" s="35" t="str">
        <f>IF(Tabela2[[#This Row],[SIGLA]]="","",VLOOKUP(Tabela2[[#This Row],[SIGLA]],Tabela1[[#All],[Sigla Arte]:[Crédito]],2,0))</f>
        <v/>
      </c>
      <c r="Z3773" s="31"/>
      <c r="AA3773" s="31" t="str">
        <f>Tabela2[[#This Row],[ILUSTRADOR CRIAÇÃO]]</f>
        <v/>
      </c>
      <c r="AB3773" s="33"/>
      <c r="AC3773" s="16"/>
      <c r="AE3773" s="35" t="str">
        <f t="shared" si="60"/>
        <v>EF1 E002 Mat</v>
      </c>
    </row>
    <row r="3774" spans="1:31" x14ac:dyDescent="0.25">
      <c r="A3774" s="31"/>
      <c r="B3774" s="16"/>
      <c r="C3774" s="16"/>
      <c r="D3774" s="33"/>
      <c r="E3774" s="33"/>
      <c r="F3774" s="33"/>
      <c r="G3774" s="33"/>
      <c r="H3774" s="33"/>
      <c r="I3774" s="31"/>
      <c r="J3774" s="31"/>
      <c r="K3774" s="33"/>
      <c r="L3774" s="33"/>
      <c r="M3774" s="31"/>
      <c r="N3774" s="31"/>
      <c r="O3774" s="16"/>
      <c r="P3774" s="16"/>
      <c r="Q3774" s="16"/>
      <c r="R3774" s="33"/>
      <c r="S3774" s="34"/>
      <c r="T3774" s="34"/>
      <c r="U3774" s="34"/>
      <c r="V3774" s="34"/>
      <c r="W3774" s="34"/>
      <c r="X3774" s="33"/>
      <c r="Y3774" s="35" t="str">
        <f>IF(Tabela2[[#This Row],[SIGLA]]="","",VLOOKUP(Tabela2[[#This Row],[SIGLA]],Tabela1[[#All],[Sigla Arte]:[Crédito]],2,0))</f>
        <v/>
      </c>
      <c r="Z3774" s="31"/>
      <c r="AA3774" s="31" t="str">
        <f>Tabela2[[#This Row],[ILUSTRADOR CRIAÇÃO]]</f>
        <v/>
      </c>
      <c r="AB3774" s="33"/>
      <c r="AC3774" s="16"/>
      <c r="AE3774" s="35" t="str">
        <f t="shared" si="60"/>
        <v>EF1 E002 Mat</v>
      </c>
    </row>
    <row r="3775" spans="1:31" x14ac:dyDescent="0.25">
      <c r="A3775" s="31"/>
      <c r="B3775" s="16"/>
      <c r="C3775" s="16"/>
      <c r="D3775" s="33"/>
      <c r="E3775" s="33"/>
      <c r="F3775" s="33"/>
      <c r="G3775" s="33"/>
      <c r="H3775" s="33"/>
      <c r="I3775" s="31"/>
      <c r="J3775" s="31"/>
      <c r="K3775" s="33"/>
      <c r="L3775" s="33"/>
      <c r="M3775" s="31"/>
      <c r="N3775" s="31"/>
      <c r="O3775" s="16"/>
      <c r="P3775" s="16"/>
      <c r="Q3775" s="16"/>
      <c r="R3775" s="33"/>
      <c r="S3775" s="34"/>
      <c r="T3775" s="34"/>
      <c r="U3775" s="34"/>
      <c r="V3775" s="34"/>
      <c r="W3775" s="34"/>
      <c r="X3775" s="33"/>
      <c r="Y3775" s="35" t="str">
        <f>IF(Tabela2[[#This Row],[SIGLA]]="","",VLOOKUP(Tabela2[[#This Row],[SIGLA]],Tabela1[[#All],[Sigla Arte]:[Crédito]],2,0))</f>
        <v/>
      </c>
      <c r="Z3775" s="31"/>
      <c r="AA3775" s="31" t="str">
        <f>Tabela2[[#This Row],[ILUSTRADOR CRIAÇÃO]]</f>
        <v/>
      </c>
      <c r="AB3775" s="33"/>
      <c r="AC3775" s="16"/>
      <c r="AE3775" s="35" t="str">
        <f t="shared" si="60"/>
        <v>EF1 E002 Mat</v>
      </c>
    </row>
    <row r="3776" spans="1:31" x14ac:dyDescent="0.25">
      <c r="A3776" s="31"/>
      <c r="B3776" s="16"/>
      <c r="C3776" s="16"/>
      <c r="D3776" s="33"/>
      <c r="E3776" s="33"/>
      <c r="F3776" s="33"/>
      <c r="G3776" s="33"/>
      <c r="H3776" s="33"/>
      <c r="I3776" s="31"/>
      <c r="J3776" s="31"/>
      <c r="K3776" s="33"/>
      <c r="L3776" s="33"/>
      <c r="M3776" s="31"/>
      <c r="N3776" s="31"/>
      <c r="O3776" s="16"/>
      <c r="P3776" s="16"/>
      <c r="Q3776" s="16"/>
      <c r="R3776" s="33"/>
      <c r="S3776" s="34"/>
      <c r="T3776" s="34"/>
      <c r="U3776" s="34"/>
      <c r="V3776" s="34"/>
      <c r="W3776" s="34"/>
      <c r="X3776" s="33"/>
      <c r="Y3776" s="35" t="str">
        <f>IF(Tabela2[[#This Row],[SIGLA]]="","",VLOOKUP(Tabela2[[#This Row],[SIGLA]],Tabela1[[#All],[Sigla Arte]:[Crédito]],2,0))</f>
        <v/>
      </c>
      <c r="Z3776" s="31"/>
      <c r="AA3776" s="31" t="str">
        <f>Tabela2[[#This Row],[ILUSTRADOR CRIAÇÃO]]</f>
        <v/>
      </c>
      <c r="AB3776" s="33"/>
      <c r="AC3776" s="16"/>
      <c r="AE3776" s="35" t="str">
        <f t="shared" si="60"/>
        <v>EF1 E002 Mat</v>
      </c>
    </row>
    <row r="3777" spans="1:31" x14ac:dyDescent="0.25">
      <c r="A3777" s="31"/>
      <c r="B3777" s="16"/>
      <c r="C3777" s="16"/>
      <c r="D3777" s="33"/>
      <c r="E3777" s="33"/>
      <c r="F3777" s="33"/>
      <c r="G3777" s="33"/>
      <c r="H3777" s="33"/>
      <c r="I3777" s="31"/>
      <c r="J3777" s="31"/>
      <c r="K3777" s="33"/>
      <c r="L3777" s="33"/>
      <c r="M3777" s="31"/>
      <c r="N3777" s="31"/>
      <c r="O3777" s="16"/>
      <c r="P3777" s="16"/>
      <c r="Q3777" s="16"/>
      <c r="R3777" s="33"/>
      <c r="S3777" s="34"/>
      <c r="T3777" s="34"/>
      <c r="U3777" s="34"/>
      <c r="V3777" s="34"/>
      <c r="W3777" s="34"/>
      <c r="X3777" s="33"/>
      <c r="Y3777" s="35" t="str">
        <f>IF(Tabela2[[#This Row],[SIGLA]]="","",VLOOKUP(Tabela2[[#This Row],[SIGLA]],Tabela1[[#All],[Sigla Arte]:[Crédito]],2,0))</f>
        <v/>
      </c>
      <c r="Z3777" s="31"/>
      <c r="AA3777" s="31" t="str">
        <f>Tabela2[[#This Row],[ILUSTRADOR CRIAÇÃO]]</f>
        <v/>
      </c>
      <c r="AB3777" s="33"/>
      <c r="AC3777" s="16"/>
      <c r="AE3777" s="35" t="str">
        <f t="shared" si="60"/>
        <v>EF1 E002 Mat</v>
      </c>
    </row>
    <row r="3778" spans="1:31" x14ac:dyDescent="0.25">
      <c r="A3778" s="31"/>
      <c r="B3778" s="16"/>
      <c r="C3778" s="16"/>
      <c r="D3778" s="33"/>
      <c r="E3778" s="33"/>
      <c r="F3778" s="33"/>
      <c r="G3778" s="33"/>
      <c r="H3778" s="33"/>
      <c r="I3778" s="31"/>
      <c r="J3778" s="31"/>
      <c r="K3778" s="33"/>
      <c r="L3778" s="33"/>
      <c r="M3778" s="31"/>
      <c r="N3778" s="31"/>
      <c r="O3778" s="16"/>
      <c r="P3778" s="16"/>
      <c r="Q3778" s="16"/>
      <c r="R3778" s="33"/>
      <c r="S3778" s="34"/>
      <c r="T3778" s="34"/>
      <c r="U3778" s="34"/>
      <c r="V3778" s="34"/>
      <c r="W3778" s="34"/>
      <c r="X3778" s="33"/>
      <c r="Y3778" s="35" t="str">
        <f>IF(Tabela2[[#This Row],[SIGLA]]="","",VLOOKUP(Tabela2[[#This Row],[SIGLA]],Tabela1[[#All],[Sigla Arte]:[Crédito]],2,0))</f>
        <v/>
      </c>
      <c r="Z3778" s="31"/>
      <c r="AA3778" s="31" t="str">
        <f>Tabela2[[#This Row],[ILUSTRADOR CRIAÇÃO]]</f>
        <v/>
      </c>
      <c r="AB3778" s="33"/>
      <c r="AC3778" s="16"/>
      <c r="AE3778" s="35" t="str">
        <f t="shared" si="60"/>
        <v>EF1 E002 Mat</v>
      </c>
    </row>
    <row r="3779" spans="1:31" x14ac:dyDescent="0.25">
      <c r="A3779" s="31"/>
      <c r="B3779" s="16"/>
      <c r="C3779" s="16"/>
      <c r="D3779" s="33"/>
      <c r="E3779" s="33"/>
      <c r="F3779" s="33"/>
      <c r="G3779" s="33"/>
      <c r="H3779" s="33"/>
      <c r="I3779" s="31"/>
      <c r="J3779" s="31"/>
      <c r="K3779" s="33"/>
      <c r="L3779" s="33"/>
      <c r="M3779" s="31"/>
      <c r="N3779" s="31"/>
      <c r="O3779" s="16"/>
      <c r="P3779" s="16"/>
      <c r="Q3779" s="16"/>
      <c r="R3779" s="33"/>
      <c r="S3779" s="34"/>
      <c r="T3779" s="34"/>
      <c r="U3779" s="34"/>
      <c r="V3779" s="34"/>
      <c r="W3779" s="34"/>
      <c r="X3779" s="33"/>
      <c r="Y3779" s="35" t="str">
        <f>IF(Tabela2[[#This Row],[SIGLA]]="","",VLOOKUP(Tabela2[[#This Row],[SIGLA]],Tabela1[[#All],[Sigla Arte]:[Crédito]],2,0))</f>
        <v/>
      </c>
      <c r="Z3779" s="31"/>
      <c r="AA3779" s="31" t="str">
        <f>Tabela2[[#This Row],[ILUSTRADOR CRIAÇÃO]]</f>
        <v/>
      </c>
      <c r="AB3779" s="33"/>
      <c r="AC3779" s="16"/>
      <c r="AE3779" s="35" t="str">
        <f t="shared" si="60"/>
        <v>EF1 E002 Mat</v>
      </c>
    </row>
    <row r="3780" spans="1:31" x14ac:dyDescent="0.25">
      <c r="A3780" s="31"/>
      <c r="B3780" s="16"/>
      <c r="C3780" s="16"/>
      <c r="D3780" s="33"/>
      <c r="E3780" s="33"/>
      <c r="F3780" s="33"/>
      <c r="G3780" s="33"/>
      <c r="H3780" s="33"/>
      <c r="I3780" s="31"/>
      <c r="J3780" s="31"/>
      <c r="K3780" s="33"/>
      <c r="L3780" s="33"/>
      <c r="M3780" s="31"/>
      <c r="N3780" s="31"/>
      <c r="O3780" s="16"/>
      <c r="P3780" s="16"/>
      <c r="Q3780" s="16"/>
      <c r="R3780" s="33"/>
      <c r="S3780" s="34"/>
      <c r="T3780" s="34"/>
      <c r="U3780" s="34"/>
      <c r="V3780" s="34"/>
      <c r="W3780" s="34"/>
      <c r="X3780" s="33"/>
      <c r="Y3780" s="35" t="str">
        <f>IF(Tabela2[[#This Row],[SIGLA]]="","",VLOOKUP(Tabela2[[#This Row],[SIGLA]],Tabela1[[#All],[Sigla Arte]:[Crédito]],2,0))</f>
        <v/>
      </c>
      <c r="Z3780" s="31"/>
      <c r="AA3780" s="31" t="str">
        <f>Tabela2[[#This Row],[ILUSTRADOR CRIAÇÃO]]</f>
        <v/>
      </c>
      <c r="AB3780" s="33"/>
      <c r="AC3780" s="16"/>
      <c r="AE3780" s="35" t="str">
        <f t="shared" si="60"/>
        <v>EF1 E002 Mat</v>
      </c>
    </row>
    <row r="3781" spans="1:31" x14ac:dyDescent="0.25">
      <c r="A3781" s="31"/>
      <c r="B3781" s="16"/>
      <c r="C3781" s="16"/>
      <c r="D3781" s="33"/>
      <c r="E3781" s="33"/>
      <c r="F3781" s="33"/>
      <c r="G3781" s="33"/>
      <c r="H3781" s="33"/>
      <c r="I3781" s="31"/>
      <c r="J3781" s="31"/>
      <c r="K3781" s="33"/>
      <c r="L3781" s="33"/>
      <c r="M3781" s="31"/>
      <c r="N3781" s="31"/>
      <c r="O3781" s="16"/>
      <c r="P3781" s="16"/>
      <c r="Q3781" s="16"/>
      <c r="R3781" s="33"/>
      <c r="S3781" s="34"/>
      <c r="T3781" s="34"/>
      <c r="U3781" s="34"/>
      <c r="V3781" s="34"/>
      <c r="W3781" s="34"/>
      <c r="X3781" s="33"/>
      <c r="Y3781" s="35" t="str">
        <f>IF(Tabela2[[#This Row],[SIGLA]]="","",VLOOKUP(Tabela2[[#This Row],[SIGLA]],Tabela1[[#All],[Sigla Arte]:[Crédito]],2,0))</f>
        <v/>
      </c>
      <c r="Z3781" s="31"/>
      <c r="AA3781" s="31" t="str">
        <f>Tabela2[[#This Row],[ILUSTRADOR CRIAÇÃO]]</f>
        <v/>
      </c>
      <c r="AB3781" s="33"/>
      <c r="AC3781" s="16"/>
      <c r="AE3781" s="35" t="str">
        <f t="shared" si="60"/>
        <v>EF1 E002 Mat</v>
      </c>
    </row>
    <row r="3782" spans="1:31" x14ac:dyDescent="0.25">
      <c r="A3782" s="31"/>
      <c r="B3782" s="16"/>
      <c r="C3782" s="16"/>
      <c r="D3782" s="33"/>
      <c r="E3782" s="33"/>
      <c r="F3782" s="33"/>
      <c r="G3782" s="33"/>
      <c r="H3782" s="33"/>
      <c r="I3782" s="31"/>
      <c r="J3782" s="31"/>
      <c r="K3782" s="33"/>
      <c r="L3782" s="33"/>
      <c r="M3782" s="31"/>
      <c r="N3782" s="31"/>
      <c r="O3782" s="16"/>
      <c r="P3782" s="16"/>
      <c r="Q3782" s="16"/>
      <c r="R3782" s="33"/>
      <c r="S3782" s="34"/>
      <c r="T3782" s="34"/>
      <c r="U3782" s="34"/>
      <c r="V3782" s="34"/>
      <c r="W3782" s="34"/>
      <c r="X3782" s="33"/>
      <c r="Y3782" s="35" t="str">
        <f>IF(Tabela2[[#This Row],[SIGLA]]="","",VLOOKUP(Tabela2[[#This Row],[SIGLA]],Tabela1[[#All],[Sigla Arte]:[Crédito]],2,0))</f>
        <v/>
      </c>
      <c r="Z3782" s="31"/>
      <c r="AA3782" s="31" t="str">
        <f>Tabela2[[#This Row],[ILUSTRADOR CRIAÇÃO]]</f>
        <v/>
      </c>
      <c r="AB3782" s="33"/>
      <c r="AC3782" s="16"/>
      <c r="AE3782" s="35" t="str">
        <f t="shared" si="60"/>
        <v>EF1 E002 Mat</v>
      </c>
    </row>
    <row r="3783" spans="1:31" x14ac:dyDescent="0.25">
      <c r="A3783" s="31"/>
      <c r="B3783" s="16"/>
      <c r="C3783" s="16"/>
      <c r="D3783" s="33"/>
      <c r="E3783" s="33"/>
      <c r="F3783" s="33"/>
      <c r="G3783" s="33"/>
      <c r="H3783" s="33"/>
      <c r="I3783" s="31"/>
      <c r="J3783" s="31"/>
      <c r="K3783" s="33"/>
      <c r="L3783" s="33"/>
      <c r="M3783" s="31"/>
      <c r="N3783" s="31"/>
      <c r="O3783" s="16"/>
      <c r="P3783" s="16"/>
      <c r="Q3783" s="16"/>
      <c r="R3783" s="33"/>
      <c r="S3783" s="34"/>
      <c r="T3783" s="34"/>
      <c r="U3783" s="34"/>
      <c r="V3783" s="34"/>
      <c r="W3783" s="34"/>
      <c r="X3783" s="33"/>
      <c r="Y3783" s="35" t="str">
        <f>IF(Tabela2[[#This Row],[SIGLA]]="","",VLOOKUP(Tabela2[[#This Row],[SIGLA]],Tabela1[[#All],[Sigla Arte]:[Crédito]],2,0))</f>
        <v/>
      </c>
      <c r="Z3783" s="31"/>
      <c r="AA3783" s="31" t="str">
        <f>Tabela2[[#This Row],[ILUSTRADOR CRIAÇÃO]]</f>
        <v/>
      </c>
      <c r="AB3783" s="33"/>
      <c r="AC3783" s="16"/>
      <c r="AE3783" s="35" t="str">
        <f t="shared" si="60"/>
        <v>EF1 E002 Mat</v>
      </c>
    </row>
    <row r="3784" spans="1:31" x14ac:dyDescent="0.25">
      <c r="A3784" s="31"/>
      <c r="B3784" s="16"/>
      <c r="C3784" s="16"/>
      <c r="D3784" s="33"/>
      <c r="E3784" s="33"/>
      <c r="F3784" s="33"/>
      <c r="G3784" s="33"/>
      <c r="H3784" s="33"/>
      <c r="I3784" s="31"/>
      <c r="J3784" s="31"/>
      <c r="K3784" s="33"/>
      <c r="L3784" s="33"/>
      <c r="M3784" s="31"/>
      <c r="N3784" s="31"/>
      <c r="O3784" s="16"/>
      <c r="P3784" s="16"/>
      <c r="Q3784" s="16"/>
      <c r="R3784" s="33"/>
      <c r="S3784" s="34"/>
      <c r="T3784" s="34"/>
      <c r="U3784" s="34"/>
      <c r="V3784" s="34"/>
      <c r="W3784" s="34"/>
      <c r="X3784" s="33"/>
      <c r="Y3784" s="35" t="str">
        <f>IF(Tabela2[[#This Row],[SIGLA]]="","",VLOOKUP(Tabela2[[#This Row],[SIGLA]],Tabela1[[#All],[Sigla Arte]:[Crédito]],2,0))</f>
        <v/>
      </c>
      <c r="Z3784" s="31"/>
      <c r="AA3784" s="31" t="str">
        <f>Tabela2[[#This Row],[ILUSTRADOR CRIAÇÃO]]</f>
        <v/>
      </c>
      <c r="AB3784" s="33"/>
      <c r="AC3784" s="16"/>
      <c r="AE3784" s="35" t="str">
        <f t="shared" si="60"/>
        <v>EF1 E002 Mat</v>
      </c>
    </row>
    <row r="3785" spans="1:31" x14ac:dyDescent="0.25">
      <c r="A3785" s="31"/>
      <c r="B3785" s="16"/>
      <c r="C3785" s="16"/>
      <c r="D3785" s="33"/>
      <c r="E3785" s="33"/>
      <c r="F3785" s="33"/>
      <c r="G3785" s="33"/>
      <c r="H3785" s="33"/>
      <c r="I3785" s="31"/>
      <c r="J3785" s="31"/>
      <c r="K3785" s="33"/>
      <c r="L3785" s="33"/>
      <c r="M3785" s="31"/>
      <c r="N3785" s="31"/>
      <c r="O3785" s="16"/>
      <c r="P3785" s="16"/>
      <c r="Q3785" s="16"/>
      <c r="R3785" s="33"/>
      <c r="S3785" s="34"/>
      <c r="T3785" s="34"/>
      <c r="U3785" s="34"/>
      <c r="V3785" s="34"/>
      <c r="W3785" s="34"/>
      <c r="X3785" s="33"/>
      <c r="Y3785" s="35" t="str">
        <f>IF(Tabela2[[#This Row],[SIGLA]]="","",VLOOKUP(Tabela2[[#This Row],[SIGLA]],Tabela1[[#All],[Sigla Arte]:[Crédito]],2,0))</f>
        <v/>
      </c>
      <c r="Z3785" s="31"/>
      <c r="AA3785" s="31" t="str">
        <f>Tabela2[[#This Row],[ILUSTRADOR CRIAÇÃO]]</f>
        <v/>
      </c>
      <c r="AB3785" s="33"/>
      <c r="AC3785" s="16"/>
      <c r="AE3785" s="35" t="str">
        <f t="shared" si="60"/>
        <v>EF1 E002 Mat</v>
      </c>
    </row>
    <row r="3786" spans="1:31" x14ac:dyDescent="0.25">
      <c r="A3786" s="31"/>
      <c r="B3786" s="16"/>
      <c r="C3786" s="16"/>
      <c r="D3786" s="33"/>
      <c r="E3786" s="33"/>
      <c r="F3786" s="33"/>
      <c r="G3786" s="33"/>
      <c r="H3786" s="33"/>
      <c r="I3786" s="31"/>
      <c r="J3786" s="31"/>
      <c r="K3786" s="33"/>
      <c r="L3786" s="33"/>
      <c r="M3786" s="31"/>
      <c r="N3786" s="31"/>
      <c r="O3786" s="16"/>
      <c r="P3786" s="16"/>
      <c r="Q3786" s="16"/>
      <c r="R3786" s="33"/>
      <c r="S3786" s="34"/>
      <c r="T3786" s="34"/>
      <c r="U3786" s="34"/>
      <c r="V3786" s="34"/>
      <c r="W3786" s="34"/>
      <c r="X3786" s="33"/>
      <c r="Y3786" s="35" t="str">
        <f>IF(Tabela2[[#This Row],[SIGLA]]="","",VLOOKUP(Tabela2[[#This Row],[SIGLA]],Tabela1[[#All],[Sigla Arte]:[Crédito]],2,0))</f>
        <v/>
      </c>
      <c r="Z3786" s="31"/>
      <c r="AA3786" s="31" t="str">
        <f>Tabela2[[#This Row],[ILUSTRADOR CRIAÇÃO]]</f>
        <v/>
      </c>
      <c r="AB3786" s="33"/>
      <c r="AC3786" s="16"/>
      <c r="AE3786" s="35" t="str">
        <f t="shared" si="60"/>
        <v>EF1 E002 Mat</v>
      </c>
    </row>
    <row r="3787" spans="1:31" x14ac:dyDescent="0.25">
      <c r="A3787" s="31"/>
      <c r="B3787" s="16"/>
      <c r="C3787" s="16"/>
      <c r="D3787" s="33"/>
      <c r="E3787" s="33"/>
      <c r="F3787" s="33"/>
      <c r="G3787" s="33"/>
      <c r="H3787" s="33"/>
      <c r="I3787" s="31"/>
      <c r="J3787" s="31"/>
      <c r="K3787" s="33"/>
      <c r="L3787" s="33"/>
      <c r="M3787" s="31"/>
      <c r="N3787" s="31"/>
      <c r="O3787" s="16"/>
      <c r="P3787" s="16"/>
      <c r="Q3787" s="16"/>
      <c r="R3787" s="33"/>
      <c r="S3787" s="34"/>
      <c r="T3787" s="34"/>
      <c r="U3787" s="34"/>
      <c r="V3787" s="34"/>
      <c r="W3787" s="34"/>
      <c r="X3787" s="33"/>
      <c r="Y3787" s="35" t="str">
        <f>IF(Tabela2[[#This Row],[SIGLA]]="","",VLOOKUP(Tabela2[[#This Row],[SIGLA]],Tabela1[[#All],[Sigla Arte]:[Crédito]],2,0))</f>
        <v/>
      </c>
      <c r="Z3787" s="31"/>
      <c r="AA3787" s="31" t="str">
        <f>Tabela2[[#This Row],[ILUSTRADOR CRIAÇÃO]]</f>
        <v/>
      </c>
      <c r="AB3787" s="33"/>
      <c r="AC3787" s="16"/>
      <c r="AE3787" s="35" t="str">
        <f t="shared" si="60"/>
        <v>EF1 E002 Mat</v>
      </c>
    </row>
    <row r="3788" spans="1:31" x14ac:dyDescent="0.25">
      <c r="A3788" s="31"/>
      <c r="B3788" s="16"/>
      <c r="C3788" s="16"/>
      <c r="D3788" s="33"/>
      <c r="E3788" s="33"/>
      <c r="F3788" s="33"/>
      <c r="G3788" s="33"/>
      <c r="H3788" s="33"/>
      <c r="I3788" s="31"/>
      <c r="J3788" s="31"/>
      <c r="K3788" s="33"/>
      <c r="L3788" s="33"/>
      <c r="M3788" s="31"/>
      <c r="N3788" s="31"/>
      <c r="O3788" s="16"/>
      <c r="P3788" s="16"/>
      <c r="Q3788" s="16"/>
      <c r="R3788" s="33"/>
      <c r="S3788" s="34"/>
      <c r="T3788" s="34"/>
      <c r="U3788" s="34"/>
      <c r="V3788" s="34"/>
      <c r="W3788" s="34"/>
      <c r="X3788" s="33"/>
      <c r="Y3788" s="35" t="str">
        <f>IF(Tabela2[[#This Row],[SIGLA]]="","",VLOOKUP(Tabela2[[#This Row],[SIGLA]],Tabela1[[#All],[Sigla Arte]:[Crédito]],2,0))</f>
        <v/>
      </c>
      <c r="Z3788" s="31"/>
      <c r="AA3788" s="31" t="str">
        <f>Tabela2[[#This Row],[ILUSTRADOR CRIAÇÃO]]</f>
        <v/>
      </c>
      <c r="AB3788" s="33"/>
      <c r="AC3788" s="16"/>
      <c r="AE3788" s="35" t="str">
        <f t="shared" si="60"/>
        <v>EF1 E002 Mat</v>
      </c>
    </row>
    <row r="3789" spans="1:31" x14ac:dyDescent="0.25">
      <c r="A3789" s="31"/>
      <c r="B3789" s="16"/>
      <c r="C3789" s="16"/>
      <c r="D3789" s="33"/>
      <c r="E3789" s="33"/>
      <c r="F3789" s="33"/>
      <c r="G3789" s="33"/>
      <c r="H3789" s="33"/>
      <c r="I3789" s="31"/>
      <c r="J3789" s="31"/>
      <c r="K3789" s="33"/>
      <c r="L3789" s="33"/>
      <c r="M3789" s="31"/>
      <c r="N3789" s="31"/>
      <c r="O3789" s="16"/>
      <c r="P3789" s="16"/>
      <c r="Q3789" s="16"/>
      <c r="R3789" s="33"/>
      <c r="S3789" s="34"/>
      <c r="T3789" s="34"/>
      <c r="U3789" s="34"/>
      <c r="V3789" s="34"/>
      <c r="W3789" s="34"/>
      <c r="X3789" s="33"/>
      <c r="Y3789" s="35" t="str">
        <f>IF(Tabela2[[#This Row],[SIGLA]]="","",VLOOKUP(Tabela2[[#This Row],[SIGLA]],Tabela1[[#All],[Sigla Arte]:[Crédito]],2,0))</f>
        <v/>
      </c>
      <c r="Z3789" s="31"/>
      <c r="AA3789" s="31" t="str">
        <f>Tabela2[[#This Row],[ILUSTRADOR CRIAÇÃO]]</f>
        <v/>
      </c>
      <c r="AB3789" s="33"/>
      <c r="AC3789" s="16"/>
      <c r="AE3789" s="35" t="str">
        <f t="shared" si="60"/>
        <v>EF1 E002 Mat</v>
      </c>
    </row>
    <row r="3790" spans="1:31" x14ac:dyDescent="0.25">
      <c r="A3790" s="31"/>
      <c r="B3790" s="16"/>
      <c r="C3790" s="16"/>
      <c r="D3790" s="33"/>
      <c r="E3790" s="33"/>
      <c r="F3790" s="33"/>
      <c r="G3790" s="33"/>
      <c r="H3790" s="33"/>
      <c r="I3790" s="31"/>
      <c r="J3790" s="31"/>
      <c r="K3790" s="33"/>
      <c r="L3790" s="33"/>
      <c r="M3790" s="31"/>
      <c r="N3790" s="31"/>
      <c r="O3790" s="16"/>
      <c r="P3790" s="16"/>
      <c r="Q3790" s="16"/>
      <c r="R3790" s="33"/>
      <c r="S3790" s="34"/>
      <c r="T3790" s="34"/>
      <c r="U3790" s="34"/>
      <c r="V3790" s="34"/>
      <c r="W3790" s="34"/>
      <c r="X3790" s="33"/>
      <c r="Y3790" s="35" t="str">
        <f>IF(Tabela2[[#This Row],[SIGLA]]="","",VLOOKUP(Tabela2[[#This Row],[SIGLA]],Tabela1[[#All],[Sigla Arte]:[Crédito]],2,0))</f>
        <v/>
      </c>
      <c r="Z3790" s="31"/>
      <c r="AA3790" s="31" t="str">
        <f>Tabela2[[#This Row],[ILUSTRADOR CRIAÇÃO]]</f>
        <v/>
      </c>
      <c r="AB3790" s="33"/>
      <c r="AC3790" s="16"/>
      <c r="AE3790" s="35" t="str">
        <f t="shared" si="60"/>
        <v>EF1 E002 Mat</v>
      </c>
    </row>
    <row r="3791" spans="1:31" x14ac:dyDescent="0.25">
      <c r="A3791" s="31"/>
      <c r="B3791" s="16"/>
      <c r="C3791" s="16"/>
      <c r="D3791" s="33"/>
      <c r="E3791" s="33"/>
      <c r="F3791" s="33"/>
      <c r="G3791" s="33"/>
      <c r="H3791" s="33"/>
      <c r="I3791" s="31"/>
      <c r="J3791" s="31"/>
      <c r="K3791" s="33"/>
      <c r="L3791" s="33"/>
      <c r="M3791" s="31"/>
      <c r="N3791" s="31"/>
      <c r="O3791" s="16"/>
      <c r="P3791" s="16"/>
      <c r="Q3791" s="16"/>
      <c r="R3791" s="33"/>
      <c r="S3791" s="34"/>
      <c r="T3791" s="34"/>
      <c r="U3791" s="34"/>
      <c r="V3791" s="34"/>
      <c r="W3791" s="34"/>
      <c r="X3791" s="33"/>
      <c r="Y3791" s="35" t="str">
        <f>IF(Tabela2[[#This Row],[SIGLA]]="","",VLOOKUP(Tabela2[[#This Row],[SIGLA]],Tabela1[[#All],[Sigla Arte]:[Crédito]],2,0))</f>
        <v/>
      </c>
      <c r="Z3791" s="31"/>
      <c r="AA3791" s="31" t="str">
        <f>Tabela2[[#This Row],[ILUSTRADOR CRIAÇÃO]]</f>
        <v/>
      </c>
      <c r="AB3791" s="33"/>
      <c r="AC3791" s="16"/>
      <c r="AE3791" s="35" t="str">
        <f t="shared" si="60"/>
        <v>EF1 E002 Mat</v>
      </c>
    </row>
    <row r="3792" spans="1:31" x14ac:dyDescent="0.25">
      <c r="A3792" s="31"/>
      <c r="B3792" s="16"/>
      <c r="C3792" s="16"/>
      <c r="D3792" s="33"/>
      <c r="E3792" s="33"/>
      <c r="F3792" s="33"/>
      <c r="G3792" s="33"/>
      <c r="H3792" s="33"/>
      <c r="I3792" s="31"/>
      <c r="J3792" s="31"/>
      <c r="K3792" s="33"/>
      <c r="L3792" s="33"/>
      <c r="M3792" s="31"/>
      <c r="N3792" s="31"/>
      <c r="O3792" s="16"/>
      <c r="P3792" s="16"/>
      <c r="Q3792" s="16"/>
      <c r="R3792" s="33"/>
      <c r="S3792" s="34"/>
      <c r="T3792" s="34"/>
      <c r="U3792" s="34"/>
      <c r="V3792" s="34"/>
      <c r="W3792" s="34"/>
      <c r="X3792" s="33"/>
      <c r="Y3792" s="35" t="str">
        <f>IF(Tabela2[[#This Row],[SIGLA]]="","",VLOOKUP(Tabela2[[#This Row],[SIGLA]],Tabela1[[#All],[Sigla Arte]:[Crédito]],2,0))</f>
        <v/>
      </c>
      <c r="Z3792" s="31"/>
      <c r="AA3792" s="31" t="str">
        <f>Tabela2[[#This Row],[ILUSTRADOR CRIAÇÃO]]</f>
        <v/>
      </c>
      <c r="AB3792" s="33"/>
      <c r="AC3792" s="16"/>
      <c r="AE3792" s="35" t="str">
        <f t="shared" si="60"/>
        <v>EF1 E002 Mat</v>
      </c>
    </row>
    <row r="3793" spans="1:31" x14ac:dyDescent="0.25">
      <c r="A3793" s="31"/>
      <c r="B3793" s="16"/>
      <c r="C3793" s="16"/>
      <c r="D3793" s="33"/>
      <c r="E3793" s="33"/>
      <c r="F3793" s="33"/>
      <c r="G3793" s="33"/>
      <c r="H3793" s="33"/>
      <c r="I3793" s="31"/>
      <c r="J3793" s="31"/>
      <c r="K3793" s="33"/>
      <c r="L3793" s="33"/>
      <c r="M3793" s="31"/>
      <c r="N3793" s="31"/>
      <c r="O3793" s="16"/>
      <c r="P3793" s="16"/>
      <c r="Q3793" s="16"/>
      <c r="R3793" s="33"/>
      <c r="S3793" s="34"/>
      <c r="T3793" s="34"/>
      <c r="U3793" s="34"/>
      <c r="V3793" s="34"/>
      <c r="W3793" s="34"/>
      <c r="X3793" s="33"/>
      <c r="Y3793" s="35" t="str">
        <f>IF(Tabela2[[#This Row],[SIGLA]]="","",VLOOKUP(Tabela2[[#This Row],[SIGLA]],Tabela1[[#All],[Sigla Arte]:[Crédito]],2,0))</f>
        <v/>
      </c>
      <c r="Z3793" s="31"/>
      <c r="AA3793" s="31" t="str">
        <f>Tabela2[[#This Row],[ILUSTRADOR CRIAÇÃO]]</f>
        <v/>
      </c>
      <c r="AB3793" s="33"/>
      <c r="AC3793" s="16"/>
      <c r="AE3793" s="35" t="str">
        <f t="shared" si="60"/>
        <v>EF1 E002 Mat</v>
      </c>
    </row>
    <row r="3794" spans="1:31" x14ac:dyDescent="0.25">
      <c r="A3794" s="31"/>
      <c r="B3794" s="16"/>
      <c r="C3794" s="16"/>
      <c r="D3794" s="33"/>
      <c r="E3794" s="33"/>
      <c r="F3794" s="33"/>
      <c r="G3794" s="33"/>
      <c r="H3794" s="33"/>
      <c r="I3794" s="31"/>
      <c r="J3794" s="31"/>
      <c r="K3794" s="33"/>
      <c r="L3794" s="33"/>
      <c r="M3794" s="31"/>
      <c r="N3794" s="31"/>
      <c r="O3794" s="16"/>
      <c r="P3794" s="16"/>
      <c r="Q3794" s="16"/>
      <c r="R3794" s="33"/>
      <c r="S3794" s="34"/>
      <c r="T3794" s="34"/>
      <c r="U3794" s="34"/>
      <c r="V3794" s="34"/>
      <c r="W3794" s="34"/>
      <c r="X3794" s="33"/>
      <c r="Y3794" s="35" t="str">
        <f>IF(Tabela2[[#This Row],[SIGLA]]="","",VLOOKUP(Tabela2[[#This Row],[SIGLA]],Tabela1[[#All],[Sigla Arte]:[Crédito]],2,0))</f>
        <v/>
      </c>
      <c r="Z3794" s="31"/>
      <c r="AA3794" s="31" t="str">
        <f>Tabela2[[#This Row],[ILUSTRADOR CRIAÇÃO]]</f>
        <v/>
      </c>
      <c r="AB3794" s="33"/>
      <c r="AC3794" s="16"/>
      <c r="AE3794" s="35" t="str">
        <f t="shared" si="60"/>
        <v>EF1 E002 Mat</v>
      </c>
    </row>
    <row r="3795" spans="1:31" x14ac:dyDescent="0.25">
      <c r="A3795" s="31"/>
      <c r="B3795" s="16"/>
      <c r="C3795" s="16"/>
      <c r="D3795" s="33"/>
      <c r="E3795" s="33"/>
      <c r="F3795" s="33"/>
      <c r="G3795" s="33"/>
      <c r="H3795" s="33"/>
      <c r="I3795" s="31"/>
      <c r="J3795" s="31"/>
      <c r="K3795" s="33"/>
      <c r="L3795" s="33"/>
      <c r="M3795" s="31"/>
      <c r="N3795" s="31"/>
      <c r="O3795" s="16"/>
      <c r="P3795" s="16"/>
      <c r="Q3795" s="16"/>
      <c r="R3795" s="33"/>
      <c r="S3795" s="34"/>
      <c r="T3795" s="34"/>
      <c r="U3795" s="34"/>
      <c r="V3795" s="34"/>
      <c r="W3795" s="34"/>
      <c r="X3795" s="33"/>
      <c r="Y3795" s="35" t="str">
        <f>IF(Tabela2[[#This Row],[SIGLA]]="","",VLOOKUP(Tabela2[[#This Row],[SIGLA]],Tabela1[[#All],[Sigla Arte]:[Crédito]],2,0))</f>
        <v/>
      </c>
      <c r="Z3795" s="31"/>
      <c r="AA3795" s="31" t="str">
        <f>Tabela2[[#This Row],[ILUSTRADOR CRIAÇÃO]]</f>
        <v/>
      </c>
      <c r="AB3795" s="33"/>
      <c r="AC3795" s="16"/>
      <c r="AE3795" s="35" t="str">
        <f t="shared" si="60"/>
        <v>EF1 E002 Mat</v>
      </c>
    </row>
    <row r="3796" spans="1:31" x14ac:dyDescent="0.25">
      <c r="A3796" s="31"/>
      <c r="B3796" s="16"/>
      <c r="C3796" s="16"/>
      <c r="D3796" s="33"/>
      <c r="E3796" s="33"/>
      <c r="F3796" s="33"/>
      <c r="G3796" s="33"/>
      <c r="H3796" s="33"/>
      <c r="I3796" s="31"/>
      <c r="J3796" s="31"/>
      <c r="K3796" s="33"/>
      <c r="L3796" s="33"/>
      <c r="M3796" s="31"/>
      <c r="N3796" s="31"/>
      <c r="O3796" s="16"/>
      <c r="P3796" s="16"/>
      <c r="Q3796" s="16"/>
      <c r="R3796" s="33"/>
      <c r="S3796" s="34"/>
      <c r="T3796" s="34"/>
      <c r="U3796" s="34"/>
      <c r="V3796" s="34"/>
      <c r="W3796" s="34"/>
      <c r="X3796" s="33"/>
      <c r="Y3796" s="35" t="str">
        <f>IF(Tabela2[[#This Row],[SIGLA]]="","",VLOOKUP(Tabela2[[#This Row],[SIGLA]],Tabela1[[#All],[Sigla Arte]:[Crédito]],2,0))</f>
        <v/>
      </c>
      <c r="Z3796" s="31"/>
      <c r="AA3796" s="31" t="str">
        <f>Tabela2[[#This Row],[ILUSTRADOR CRIAÇÃO]]</f>
        <v/>
      </c>
      <c r="AB3796" s="33"/>
      <c r="AC3796" s="16"/>
      <c r="AE3796" s="35" t="str">
        <f t="shared" si="60"/>
        <v>EF1 E002 Mat</v>
      </c>
    </row>
    <row r="3797" spans="1:31" x14ac:dyDescent="0.25">
      <c r="A3797" s="31"/>
      <c r="B3797" s="16"/>
      <c r="C3797" s="16"/>
      <c r="D3797" s="33"/>
      <c r="E3797" s="33"/>
      <c r="F3797" s="33"/>
      <c r="G3797" s="33"/>
      <c r="H3797" s="33"/>
      <c r="I3797" s="31"/>
      <c r="J3797" s="31"/>
      <c r="K3797" s="33"/>
      <c r="L3797" s="33"/>
      <c r="M3797" s="31"/>
      <c r="N3797" s="31"/>
      <c r="O3797" s="16"/>
      <c r="P3797" s="16"/>
      <c r="Q3797" s="16"/>
      <c r="R3797" s="33"/>
      <c r="S3797" s="34"/>
      <c r="T3797" s="34"/>
      <c r="U3797" s="34"/>
      <c r="V3797" s="34"/>
      <c r="W3797" s="34"/>
      <c r="X3797" s="33"/>
      <c r="Y3797" s="35" t="str">
        <f>IF(Tabela2[[#This Row],[SIGLA]]="","",VLOOKUP(Tabela2[[#This Row],[SIGLA]],Tabela1[[#All],[Sigla Arte]:[Crédito]],2,0))</f>
        <v/>
      </c>
      <c r="Z3797" s="31"/>
      <c r="AA3797" s="31" t="str">
        <f>Tabela2[[#This Row],[ILUSTRADOR CRIAÇÃO]]</f>
        <v/>
      </c>
      <c r="AB3797" s="33"/>
      <c r="AC3797" s="16"/>
      <c r="AE3797" s="35" t="str">
        <f t="shared" si="60"/>
        <v>EF1 E002 Mat</v>
      </c>
    </row>
    <row r="3798" spans="1:31" x14ac:dyDescent="0.25">
      <c r="A3798" s="31"/>
      <c r="B3798" s="16"/>
      <c r="C3798" s="16"/>
      <c r="D3798" s="33"/>
      <c r="E3798" s="33"/>
      <c r="F3798" s="33"/>
      <c r="G3798" s="33"/>
      <c r="H3798" s="33"/>
      <c r="I3798" s="31"/>
      <c r="J3798" s="31"/>
      <c r="K3798" s="33"/>
      <c r="L3798" s="33"/>
      <c r="M3798" s="31"/>
      <c r="N3798" s="31"/>
      <c r="O3798" s="16"/>
      <c r="P3798" s="16"/>
      <c r="Q3798" s="16"/>
      <c r="R3798" s="33"/>
      <c r="S3798" s="34"/>
      <c r="T3798" s="34"/>
      <c r="U3798" s="34"/>
      <c r="V3798" s="34"/>
      <c r="W3798" s="34"/>
      <c r="X3798" s="33"/>
      <c r="Y3798" s="35" t="str">
        <f>IF(Tabela2[[#This Row],[SIGLA]]="","",VLOOKUP(Tabela2[[#This Row],[SIGLA]],Tabela1[[#All],[Sigla Arte]:[Crédito]],2,0))</f>
        <v/>
      </c>
      <c r="Z3798" s="31"/>
      <c r="AA3798" s="31" t="str">
        <f>Tabela2[[#This Row],[ILUSTRADOR CRIAÇÃO]]</f>
        <v/>
      </c>
      <c r="AB3798" s="33"/>
      <c r="AC3798" s="16"/>
      <c r="AE3798" s="35" t="str">
        <f t="shared" si="60"/>
        <v>EF1 E002 Mat</v>
      </c>
    </row>
    <row r="3799" spans="1:31" x14ac:dyDescent="0.25">
      <c r="A3799" s="31"/>
      <c r="B3799" s="16"/>
      <c r="C3799" s="16"/>
      <c r="D3799" s="33"/>
      <c r="E3799" s="33"/>
      <c r="F3799" s="33"/>
      <c r="G3799" s="33"/>
      <c r="H3799" s="33"/>
      <c r="I3799" s="31"/>
      <c r="J3799" s="31"/>
      <c r="K3799" s="33"/>
      <c r="L3799" s="33"/>
      <c r="M3799" s="31"/>
      <c r="N3799" s="31"/>
      <c r="O3799" s="16"/>
      <c r="P3799" s="16"/>
      <c r="Q3799" s="16"/>
      <c r="R3799" s="33"/>
      <c r="S3799" s="34"/>
      <c r="T3799" s="34"/>
      <c r="U3799" s="34"/>
      <c r="V3799" s="34"/>
      <c r="W3799" s="34"/>
      <c r="X3799" s="33"/>
      <c r="Y3799" s="35" t="str">
        <f>IF(Tabela2[[#This Row],[SIGLA]]="","",VLOOKUP(Tabela2[[#This Row],[SIGLA]],Tabela1[[#All],[Sigla Arte]:[Crédito]],2,0))</f>
        <v/>
      </c>
      <c r="Z3799" s="31"/>
      <c r="AA3799" s="31" t="str">
        <f>Tabela2[[#This Row],[ILUSTRADOR CRIAÇÃO]]</f>
        <v/>
      </c>
      <c r="AB3799" s="33"/>
      <c r="AC3799" s="16"/>
      <c r="AE3799" s="35" t="str">
        <f t="shared" si="60"/>
        <v>EF1 E002 Mat</v>
      </c>
    </row>
    <row r="3800" spans="1:31" x14ac:dyDescent="0.25">
      <c r="A3800" s="31"/>
      <c r="B3800" s="16"/>
      <c r="C3800" s="16"/>
      <c r="D3800" s="33"/>
      <c r="E3800" s="33"/>
      <c r="F3800" s="33"/>
      <c r="G3800" s="33"/>
      <c r="H3800" s="33"/>
      <c r="I3800" s="31"/>
      <c r="J3800" s="31"/>
      <c r="K3800" s="33"/>
      <c r="L3800" s="33"/>
      <c r="M3800" s="31"/>
      <c r="N3800" s="31"/>
      <c r="O3800" s="16"/>
      <c r="P3800" s="16"/>
      <c r="Q3800" s="16"/>
      <c r="R3800" s="33"/>
      <c r="S3800" s="34"/>
      <c r="T3800" s="34"/>
      <c r="U3800" s="34"/>
      <c r="V3800" s="34"/>
      <c r="W3800" s="34"/>
      <c r="X3800" s="33"/>
      <c r="Y3800" s="35" t="str">
        <f>IF(Tabela2[[#This Row],[SIGLA]]="","",VLOOKUP(Tabela2[[#This Row],[SIGLA]],Tabela1[[#All],[Sigla Arte]:[Crédito]],2,0))</f>
        <v/>
      </c>
      <c r="Z3800" s="31"/>
      <c r="AA3800" s="31" t="str">
        <f>Tabela2[[#This Row],[ILUSTRADOR CRIAÇÃO]]</f>
        <v/>
      </c>
      <c r="AB3800" s="33"/>
      <c r="AC3800" s="16"/>
      <c r="AE3800" s="35" t="str">
        <f t="shared" si="60"/>
        <v>EF1 E002 Mat</v>
      </c>
    </row>
    <row r="3801" spans="1:31" x14ac:dyDescent="0.25">
      <c r="A3801" s="31"/>
      <c r="B3801" s="16"/>
      <c r="C3801" s="16"/>
      <c r="D3801" s="33"/>
      <c r="E3801" s="33"/>
      <c r="F3801" s="33"/>
      <c r="G3801" s="33"/>
      <c r="H3801" s="33"/>
      <c r="I3801" s="31"/>
      <c r="J3801" s="31"/>
      <c r="K3801" s="33"/>
      <c r="L3801" s="33"/>
      <c r="M3801" s="31"/>
      <c r="N3801" s="31"/>
      <c r="O3801" s="16"/>
      <c r="P3801" s="16"/>
      <c r="Q3801" s="16"/>
      <c r="R3801" s="33"/>
      <c r="S3801" s="34"/>
      <c r="T3801" s="34"/>
      <c r="U3801" s="34"/>
      <c r="V3801" s="34"/>
      <c r="W3801" s="34"/>
      <c r="X3801" s="33"/>
      <c r="Y3801" s="35" t="str">
        <f>IF(Tabela2[[#This Row],[SIGLA]]="","",VLOOKUP(Tabela2[[#This Row],[SIGLA]],Tabela1[[#All],[Sigla Arte]:[Crédito]],2,0))</f>
        <v/>
      </c>
      <c r="Z3801" s="31"/>
      <c r="AA3801" s="31" t="str">
        <f>Tabela2[[#This Row],[ILUSTRADOR CRIAÇÃO]]</f>
        <v/>
      </c>
      <c r="AB3801" s="33"/>
      <c r="AC3801" s="16"/>
      <c r="AE3801" s="35" t="str">
        <f t="shared" si="60"/>
        <v>EF1 E002 Mat</v>
      </c>
    </row>
    <row r="3802" spans="1:31" x14ac:dyDescent="0.25">
      <c r="A3802" s="31"/>
      <c r="B3802" s="16"/>
      <c r="C3802" s="16"/>
      <c r="D3802" s="33"/>
      <c r="E3802" s="33"/>
      <c r="F3802" s="33"/>
      <c r="G3802" s="33"/>
      <c r="H3802" s="33"/>
      <c r="I3802" s="31"/>
      <c r="J3802" s="31"/>
      <c r="K3802" s="33"/>
      <c r="L3802" s="33"/>
      <c r="M3802" s="31"/>
      <c r="N3802" s="31"/>
      <c r="O3802" s="16"/>
      <c r="P3802" s="16"/>
      <c r="Q3802" s="16"/>
      <c r="R3802" s="33"/>
      <c r="S3802" s="34"/>
      <c r="T3802" s="34"/>
      <c r="U3802" s="34"/>
      <c r="V3802" s="34"/>
      <c r="W3802" s="34"/>
      <c r="X3802" s="33"/>
      <c r="Y3802" s="35" t="str">
        <f>IF(Tabela2[[#This Row],[SIGLA]]="","",VLOOKUP(Tabela2[[#This Row],[SIGLA]],Tabela1[[#All],[Sigla Arte]:[Crédito]],2,0))</f>
        <v/>
      </c>
      <c r="Z3802" s="31"/>
      <c r="AA3802" s="31" t="str">
        <f>Tabela2[[#This Row],[ILUSTRADOR CRIAÇÃO]]</f>
        <v/>
      </c>
      <c r="AB3802" s="33"/>
      <c r="AC3802" s="16"/>
      <c r="AE3802" s="35" t="str">
        <f t="shared" si="60"/>
        <v>EF1 E002 Mat</v>
      </c>
    </row>
    <row r="3803" spans="1:31" x14ac:dyDescent="0.25">
      <c r="A3803" s="31"/>
      <c r="B3803" s="16"/>
      <c r="C3803" s="16"/>
      <c r="D3803" s="33"/>
      <c r="E3803" s="33"/>
      <c r="F3803" s="33"/>
      <c r="G3803" s="33"/>
      <c r="H3803" s="33"/>
      <c r="I3803" s="31"/>
      <c r="J3803" s="31"/>
      <c r="K3803" s="33"/>
      <c r="L3803" s="33"/>
      <c r="M3803" s="31"/>
      <c r="N3803" s="31"/>
      <c r="O3803" s="16"/>
      <c r="P3803" s="16"/>
      <c r="Q3803" s="16"/>
      <c r="R3803" s="33"/>
      <c r="S3803" s="34"/>
      <c r="T3803" s="34"/>
      <c r="U3803" s="34"/>
      <c r="V3803" s="34"/>
      <c r="W3803" s="34"/>
      <c r="X3803" s="33"/>
      <c r="Y3803" s="35" t="str">
        <f>IF(Tabela2[[#This Row],[SIGLA]]="","",VLOOKUP(Tabela2[[#This Row],[SIGLA]],Tabela1[[#All],[Sigla Arte]:[Crédito]],2,0))</f>
        <v/>
      </c>
      <c r="Z3803" s="31"/>
      <c r="AA3803" s="31" t="str">
        <f>Tabela2[[#This Row],[ILUSTRADOR CRIAÇÃO]]</f>
        <v/>
      </c>
      <c r="AB3803" s="33"/>
      <c r="AC3803" s="16"/>
      <c r="AE3803" s="35" t="str">
        <f t="shared" si="60"/>
        <v>EF1 E002 Mat</v>
      </c>
    </row>
    <row r="3804" spans="1:31" x14ac:dyDescent="0.25">
      <c r="A3804" s="31"/>
      <c r="B3804" s="16"/>
      <c r="C3804" s="16"/>
      <c r="D3804" s="33"/>
      <c r="E3804" s="33"/>
      <c r="F3804" s="33"/>
      <c r="G3804" s="33"/>
      <c r="H3804" s="33"/>
      <c r="I3804" s="31"/>
      <c r="J3804" s="31"/>
      <c r="K3804" s="33"/>
      <c r="L3804" s="33"/>
      <c r="M3804" s="31"/>
      <c r="N3804" s="31"/>
      <c r="O3804" s="16"/>
      <c r="P3804" s="16"/>
      <c r="Q3804" s="16"/>
      <c r="R3804" s="33"/>
      <c r="S3804" s="34"/>
      <c r="T3804" s="34"/>
      <c r="U3804" s="34"/>
      <c r="V3804" s="34"/>
      <c r="W3804" s="34"/>
      <c r="X3804" s="33"/>
      <c r="Y3804" s="35" t="str">
        <f>IF(Tabela2[[#This Row],[SIGLA]]="","",VLOOKUP(Tabela2[[#This Row],[SIGLA]],Tabela1[[#All],[Sigla Arte]:[Crédito]],2,0))</f>
        <v/>
      </c>
      <c r="Z3804" s="31"/>
      <c r="AA3804" s="31" t="str">
        <f>Tabela2[[#This Row],[ILUSTRADOR CRIAÇÃO]]</f>
        <v/>
      </c>
      <c r="AB3804" s="33"/>
      <c r="AC3804" s="16"/>
      <c r="AE3804" s="35" t="str">
        <f t="shared" si="60"/>
        <v>EF1 E002 Mat</v>
      </c>
    </row>
    <row r="3805" spans="1:31" x14ac:dyDescent="0.25">
      <c r="A3805" s="31"/>
      <c r="B3805" s="16"/>
      <c r="C3805" s="16"/>
      <c r="D3805" s="33"/>
      <c r="E3805" s="33"/>
      <c r="F3805" s="33"/>
      <c r="G3805" s="33"/>
      <c r="H3805" s="33"/>
      <c r="I3805" s="31"/>
      <c r="J3805" s="31"/>
      <c r="K3805" s="33"/>
      <c r="L3805" s="33"/>
      <c r="M3805" s="31"/>
      <c r="N3805" s="31"/>
      <c r="O3805" s="16"/>
      <c r="P3805" s="16"/>
      <c r="Q3805" s="16"/>
      <c r="R3805" s="33"/>
      <c r="S3805" s="34"/>
      <c r="T3805" s="34"/>
      <c r="U3805" s="34"/>
      <c r="V3805" s="34"/>
      <c r="W3805" s="34"/>
      <c r="X3805" s="33"/>
      <c r="Y3805" s="35" t="str">
        <f>IF(Tabela2[[#This Row],[SIGLA]]="","",VLOOKUP(Tabela2[[#This Row],[SIGLA]],Tabela1[[#All],[Sigla Arte]:[Crédito]],2,0))</f>
        <v/>
      </c>
      <c r="Z3805" s="31"/>
      <c r="AA3805" s="31" t="str">
        <f>Tabela2[[#This Row],[ILUSTRADOR CRIAÇÃO]]</f>
        <v/>
      </c>
      <c r="AB3805" s="33"/>
      <c r="AC3805" s="16"/>
      <c r="AE3805" s="35" t="str">
        <f t="shared" si="60"/>
        <v>EF1 E002 Mat</v>
      </c>
    </row>
    <row r="3806" spans="1:31" x14ac:dyDescent="0.25">
      <c r="A3806" s="31"/>
      <c r="B3806" s="16"/>
      <c r="C3806" s="16"/>
      <c r="D3806" s="33"/>
      <c r="E3806" s="33"/>
      <c r="F3806" s="33"/>
      <c r="G3806" s="33"/>
      <c r="H3806" s="33"/>
      <c r="I3806" s="31"/>
      <c r="J3806" s="31"/>
      <c r="K3806" s="33"/>
      <c r="L3806" s="33"/>
      <c r="M3806" s="31"/>
      <c r="N3806" s="31"/>
      <c r="O3806" s="16"/>
      <c r="P3806" s="16"/>
      <c r="Q3806" s="16"/>
      <c r="R3806" s="33"/>
      <c r="S3806" s="34"/>
      <c r="T3806" s="34"/>
      <c r="U3806" s="34"/>
      <c r="V3806" s="34"/>
      <c r="W3806" s="34"/>
      <c r="X3806" s="33"/>
      <c r="Y3806" s="35" t="str">
        <f>IF(Tabela2[[#This Row],[SIGLA]]="","",VLOOKUP(Tabela2[[#This Row],[SIGLA]],Tabela1[[#All],[Sigla Arte]:[Crédito]],2,0))</f>
        <v/>
      </c>
      <c r="Z3806" s="31"/>
      <c r="AA3806" s="31" t="str">
        <f>Tabela2[[#This Row],[ILUSTRADOR CRIAÇÃO]]</f>
        <v/>
      </c>
      <c r="AB3806" s="33"/>
      <c r="AC3806" s="16"/>
      <c r="AE3806" s="35" t="str">
        <f t="shared" si="60"/>
        <v>EF1 E002 Mat</v>
      </c>
    </row>
    <row r="3807" spans="1:31" x14ac:dyDescent="0.25">
      <c r="A3807" s="31"/>
      <c r="B3807" s="16"/>
      <c r="C3807" s="16"/>
      <c r="D3807" s="33"/>
      <c r="E3807" s="33"/>
      <c r="F3807" s="33"/>
      <c r="G3807" s="33"/>
      <c r="H3807" s="33"/>
      <c r="I3807" s="31"/>
      <c r="J3807" s="31"/>
      <c r="K3807" s="33"/>
      <c r="L3807" s="33"/>
      <c r="M3807" s="31"/>
      <c r="N3807" s="31"/>
      <c r="O3807" s="16"/>
      <c r="P3807" s="16"/>
      <c r="Q3807" s="16"/>
      <c r="R3807" s="33"/>
      <c r="S3807" s="34"/>
      <c r="T3807" s="34"/>
      <c r="U3807" s="34"/>
      <c r="V3807" s="34"/>
      <c r="W3807" s="34"/>
      <c r="X3807" s="33"/>
      <c r="Y3807" s="35" t="str">
        <f>IF(Tabela2[[#This Row],[SIGLA]]="","",VLOOKUP(Tabela2[[#This Row],[SIGLA]],Tabela1[[#All],[Sigla Arte]:[Crédito]],2,0))</f>
        <v/>
      </c>
      <c r="Z3807" s="31"/>
      <c r="AA3807" s="31" t="str">
        <f>Tabela2[[#This Row],[ILUSTRADOR CRIAÇÃO]]</f>
        <v/>
      </c>
      <c r="AB3807" s="33"/>
      <c r="AC3807" s="16"/>
      <c r="AE3807" s="35" t="str">
        <f t="shared" si="60"/>
        <v>EF1 E002 Mat</v>
      </c>
    </row>
    <row r="3808" spans="1:31" x14ac:dyDescent="0.25">
      <c r="A3808" s="31"/>
      <c r="B3808" s="16"/>
      <c r="C3808" s="16"/>
      <c r="D3808" s="33"/>
      <c r="E3808" s="33"/>
      <c r="F3808" s="33"/>
      <c r="G3808" s="33"/>
      <c r="H3808" s="33"/>
      <c r="I3808" s="31"/>
      <c r="J3808" s="31"/>
      <c r="K3808" s="33"/>
      <c r="L3808" s="33"/>
      <c r="M3808" s="31"/>
      <c r="N3808" s="31"/>
      <c r="O3808" s="16"/>
      <c r="P3808" s="16"/>
      <c r="Q3808" s="16"/>
      <c r="R3808" s="33"/>
      <c r="S3808" s="34"/>
      <c r="T3808" s="34"/>
      <c r="U3808" s="34"/>
      <c r="V3808" s="34"/>
      <c r="W3808" s="34"/>
      <c r="X3808" s="33"/>
      <c r="Y3808" s="35" t="str">
        <f>IF(Tabela2[[#This Row],[SIGLA]]="","",VLOOKUP(Tabela2[[#This Row],[SIGLA]],Tabela1[[#All],[Sigla Arte]:[Crédito]],2,0))</f>
        <v/>
      </c>
      <c r="Z3808" s="31"/>
      <c r="AA3808" s="31" t="str">
        <f>Tabela2[[#This Row],[ILUSTRADOR CRIAÇÃO]]</f>
        <v/>
      </c>
      <c r="AB3808" s="33"/>
      <c r="AC3808" s="16"/>
      <c r="AE3808" s="35" t="str">
        <f t="shared" si="60"/>
        <v>EF1 E002 Mat</v>
      </c>
    </row>
    <row r="3809" spans="1:31" x14ac:dyDescent="0.25">
      <c r="A3809" s="31"/>
      <c r="B3809" s="16"/>
      <c r="C3809" s="16"/>
      <c r="D3809" s="33"/>
      <c r="E3809" s="33"/>
      <c r="F3809" s="33"/>
      <c r="G3809" s="33"/>
      <c r="H3809" s="33"/>
      <c r="I3809" s="31"/>
      <c r="J3809" s="31"/>
      <c r="K3809" s="33"/>
      <c r="L3809" s="33"/>
      <c r="M3809" s="31"/>
      <c r="N3809" s="31"/>
      <c r="O3809" s="16"/>
      <c r="P3809" s="16"/>
      <c r="Q3809" s="16"/>
      <c r="R3809" s="33"/>
      <c r="S3809" s="34"/>
      <c r="T3809" s="34"/>
      <c r="U3809" s="34"/>
      <c r="V3809" s="34"/>
      <c r="W3809" s="34"/>
      <c r="X3809" s="33"/>
      <c r="Y3809" s="35" t="str">
        <f>IF(Tabela2[[#This Row],[SIGLA]]="","",VLOOKUP(Tabela2[[#This Row],[SIGLA]],Tabela1[[#All],[Sigla Arte]:[Crédito]],2,0))</f>
        <v/>
      </c>
      <c r="Z3809" s="31"/>
      <c r="AA3809" s="31" t="str">
        <f>Tabela2[[#This Row],[ILUSTRADOR CRIAÇÃO]]</f>
        <v/>
      </c>
      <c r="AB3809" s="33"/>
      <c r="AC3809" s="16"/>
      <c r="AE3809" s="35" t="str">
        <f t="shared" si="60"/>
        <v>EF1 E002 Mat</v>
      </c>
    </row>
    <row r="3810" spans="1:31" x14ac:dyDescent="0.25">
      <c r="A3810" s="31"/>
      <c r="B3810" s="16"/>
      <c r="C3810" s="16"/>
      <c r="D3810" s="33"/>
      <c r="E3810" s="33"/>
      <c r="F3810" s="33"/>
      <c r="G3810" s="33"/>
      <c r="H3810" s="33"/>
      <c r="I3810" s="31"/>
      <c r="J3810" s="31"/>
      <c r="K3810" s="33"/>
      <c r="L3810" s="33"/>
      <c r="M3810" s="31"/>
      <c r="N3810" s="31"/>
      <c r="O3810" s="16"/>
      <c r="P3810" s="16"/>
      <c r="Q3810" s="16"/>
      <c r="R3810" s="33"/>
      <c r="S3810" s="34"/>
      <c r="T3810" s="34"/>
      <c r="U3810" s="34"/>
      <c r="V3810" s="34"/>
      <c r="W3810" s="34"/>
      <c r="X3810" s="33"/>
      <c r="Y3810" s="35" t="str">
        <f>IF(Tabela2[[#This Row],[SIGLA]]="","",VLOOKUP(Tabela2[[#This Row],[SIGLA]],Tabela1[[#All],[Sigla Arte]:[Crédito]],2,0))</f>
        <v/>
      </c>
      <c r="Z3810" s="31"/>
      <c r="AA3810" s="31" t="str">
        <f>Tabela2[[#This Row],[ILUSTRADOR CRIAÇÃO]]</f>
        <v/>
      </c>
      <c r="AB3810" s="33"/>
      <c r="AC3810" s="16"/>
      <c r="AE3810" s="35" t="str">
        <f t="shared" si="60"/>
        <v>EF1 E002 Mat</v>
      </c>
    </row>
    <row r="3811" spans="1:31" x14ac:dyDescent="0.25">
      <c r="A3811" s="31"/>
      <c r="B3811" s="16"/>
      <c r="C3811" s="16"/>
      <c r="D3811" s="33"/>
      <c r="E3811" s="33"/>
      <c r="F3811" s="33"/>
      <c r="G3811" s="33"/>
      <c r="H3811" s="33"/>
      <c r="I3811" s="31"/>
      <c r="J3811" s="31"/>
      <c r="K3811" s="33"/>
      <c r="L3811" s="33"/>
      <c r="M3811" s="31"/>
      <c r="N3811" s="31"/>
      <c r="O3811" s="16"/>
      <c r="P3811" s="16"/>
      <c r="Q3811" s="16"/>
      <c r="R3811" s="33"/>
      <c r="S3811" s="34"/>
      <c r="T3811" s="34"/>
      <c r="U3811" s="34"/>
      <c r="V3811" s="34"/>
      <c r="W3811" s="34"/>
      <c r="X3811" s="33"/>
      <c r="Y3811" s="35" t="str">
        <f>IF(Tabela2[[#This Row],[SIGLA]]="","",VLOOKUP(Tabela2[[#This Row],[SIGLA]],Tabela1[[#All],[Sigla Arte]:[Crédito]],2,0))</f>
        <v/>
      </c>
      <c r="Z3811" s="31"/>
      <c r="AA3811" s="31" t="str">
        <f>Tabela2[[#This Row],[ILUSTRADOR CRIAÇÃO]]</f>
        <v/>
      </c>
      <c r="AB3811" s="33"/>
      <c r="AC3811" s="16"/>
      <c r="AE3811" s="35" t="str">
        <f t="shared" si="60"/>
        <v>EF1 E002 Mat</v>
      </c>
    </row>
    <row r="3812" spans="1:31" x14ac:dyDescent="0.25">
      <c r="A3812" s="31"/>
      <c r="B3812" s="16"/>
      <c r="C3812" s="16"/>
      <c r="D3812" s="33"/>
      <c r="E3812" s="33"/>
      <c r="F3812" s="33"/>
      <c r="G3812" s="33"/>
      <c r="H3812" s="33"/>
      <c r="I3812" s="31"/>
      <c r="J3812" s="31"/>
      <c r="K3812" s="33"/>
      <c r="L3812" s="33"/>
      <c r="M3812" s="31"/>
      <c r="N3812" s="31"/>
      <c r="O3812" s="16"/>
      <c r="P3812" s="16"/>
      <c r="Q3812" s="16"/>
      <c r="R3812" s="33"/>
      <c r="S3812" s="34"/>
      <c r="T3812" s="34"/>
      <c r="U3812" s="34"/>
      <c r="V3812" s="34"/>
      <c r="W3812" s="34"/>
      <c r="X3812" s="33"/>
      <c r="Y3812" s="35" t="str">
        <f>IF(Tabela2[[#This Row],[SIGLA]]="","",VLOOKUP(Tabela2[[#This Row],[SIGLA]],Tabela1[[#All],[Sigla Arte]:[Crédito]],2,0))</f>
        <v/>
      </c>
      <c r="Z3812" s="31"/>
      <c r="AA3812" s="31" t="str">
        <f>Tabela2[[#This Row],[ILUSTRADOR CRIAÇÃO]]</f>
        <v/>
      </c>
      <c r="AB3812" s="33"/>
      <c r="AC3812" s="16"/>
      <c r="AE3812" s="35" t="str">
        <f t="shared" si="60"/>
        <v>EF1 E002 Mat</v>
      </c>
    </row>
    <row r="3813" spans="1:31" x14ac:dyDescent="0.25">
      <c r="A3813" s="31"/>
      <c r="B3813" s="16"/>
      <c r="C3813" s="16"/>
      <c r="D3813" s="33"/>
      <c r="E3813" s="33"/>
      <c r="F3813" s="33"/>
      <c r="G3813" s="33"/>
      <c r="H3813" s="33"/>
      <c r="I3813" s="31"/>
      <c r="J3813" s="31"/>
      <c r="K3813" s="33"/>
      <c r="L3813" s="33"/>
      <c r="M3813" s="31"/>
      <c r="N3813" s="31"/>
      <c r="O3813" s="16"/>
      <c r="P3813" s="16"/>
      <c r="Q3813" s="16"/>
      <c r="R3813" s="33"/>
      <c r="S3813" s="34"/>
      <c r="T3813" s="34"/>
      <c r="U3813" s="34"/>
      <c r="V3813" s="34"/>
      <c r="W3813" s="34"/>
      <c r="X3813" s="33"/>
      <c r="Y3813" s="35" t="str">
        <f>IF(Tabela2[[#This Row],[SIGLA]]="","",VLOOKUP(Tabela2[[#This Row],[SIGLA]],Tabela1[[#All],[Sigla Arte]:[Crédito]],2,0))</f>
        <v/>
      </c>
      <c r="Z3813" s="31"/>
      <c r="AA3813" s="31" t="str">
        <f>Tabela2[[#This Row],[ILUSTRADOR CRIAÇÃO]]</f>
        <v/>
      </c>
      <c r="AB3813" s="33"/>
      <c r="AC3813" s="16"/>
      <c r="AE3813" s="35" t="str">
        <f t="shared" si="60"/>
        <v>EF1 E002 Mat</v>
      </c>
    </row>
    <row r="3814" spans="1:31" x14ac:dyDescent="0.25">
      <c r="A3814" s="31"/>
      <c r="B3814" s="16"/>
      <c r="C3814" s="16"/>
      <c r="D3814" s="33"/>
      <c r="E3814" s="33"/>
      <c r="F3814" s="33"/>
      <c r="G3814" s="33"/>
      <c r="H3814" s="33"/>
      <c r="I3814" s="31"/>
      <c r="J3814" s="31"/>
      <c r="K3814" s="33"/>
      <c r="L3814" s="33"/>
      <c r="M3814" s="31"/>
      <c r="N3814" s="31"/>
      <c r="O3814" s="16"/>
      <c r="P3814" s="16"/>
      <c r="Q3814" s="16"/>
      <c r="R3814" s="33"/>
      <c r="S3814" s="34"/>
      <c r="T3814" s="34"/>
      <c r="U3814" s="34"/>
      <c r="V3814" s="34"/>
      <c r="W3814" s="34"/>
      <c r="X3814" s="33"/>
      <c r="Y3814" s="35" t="str">
        <f>IF(Tabela2[[#This Row],[SIGLA]]="","",VLOOKUP(Tabela2[[#This Row],[SIGLA]],Tabela1[[#All],[Sigla Arte]:[Crédito]],2,0))</f>
        <v/>
      </c>
      <c r="Z3814" s="31"/>
      <c r="AA3814" s="31" t="str">
        <f>Tabela2[[#This Row],[ILUSTRADOR CRIAÇÃO]]</f>
        <v/>
      </c>
      <c r="AB3814" s="33"/>
      <c r="AC3814" s="16"/>
      <c r="AE3814" s="35" t="str">
        <f t="shared" si="60"/>
        <v>EF1 E002 Mat</v>
      </c>
    </row>
    <row r="3815" spans="1:31" x14ac:dyDescent="0.25">
      <c r="A3815" s="31"/>
      <c r="B3815" s="16"/>
      <c r="C3815" s="16"/>
      <c r="D3815" s="33"/>
      <c r="E3815" s="33"/>
      <c r="F3815" s="33"/>
      <c r="G3815" s="33"/>
      <c r="H3815" s="33"/>
      <c r="I3815" s="31"/>
      <c r="J3815" s="31"/>
      <c r="K3815" s="33"/>
      <c r="L3815" s="33"/>
      <c r="M3815" s="31"/>
      <c r="N3815" s="31"/>
      <c r="O3815" s="16"/>
      <c r="P3815" s="16"/>
      <c r="Q3815" s="16"/>
      <c r="R3815" s="33"/>
      <c r="S3815" s="34"/>
      <c r="T3815" s="34"/>
      <c r="U3815" s="34"/>
      <c r="V3815" s="34"/>
      <c r="W3815" s="34"/>
      <c r="X3815" s="33"/>
      <c r="Y3815" s="35" t="str">
        <f>IF(Tabela2[[#This Row],[SIGLA]]="","",VLOOKUP(Tabela2[[#This Row],[SIGLA]],Tabela1[[#All],[Sigla Arte]:[Crédito]],2,0))</f>
        <v/>
      </c>
      <c r="Z3815" s="31"/>
      <c r="AA3815" s="31" t="str">
        <f>Tabela2[[#This Row],[ILUSTRADOR CRIAÇÃO]]</f>
        <v/>
      </c>
      <c r="AB3815" s="33"/>
      <c r="AC3815" s="16"/>
      <c r="AE3815" s="35" t="str">
        <f t="shared" si="60"/>
        <v>EF1 E002 Mat</v>
      </c>
    </row>
    <row r="3816" spans="1:31" x14ac:dyDescent="0.25">
      <c r="A3816" s="31"/>
      <c r="B3816" s="16"/>
      <c r="C3816" s="16"/>
      <c r="D3816" s="33"/>
      <c r="E3816" s="33"/>
      <c r="F3816" s="33"/>
      <c r="G3816" s="33"/>
      <c r="H3816" s="33"/>
      <c r="I3816" s="31"/>
      <c r="J3816" s="31"/>
      <c r="K3816" s="33"/>
      <c r="L3816" s="33"/>
      <c r="M3816" s="31"/>
      <c r="N3816" s="31"/>
      <c r="O3816" s="16"/>
      <c r="P3816" s="16"/>
      <c r="Q3816" s="16"/>
      <c r="R3816" s="33"/>
      <c r="S3816" s="34"/>
      <c r="T3816" s="34"/>
      <c r="U3816" s="34"/>
      <c r="V3816" s="34"/>
      <c r="W3816" s="34"/>
      <c r="X3816" s="33"/>
      <c r="Y3816" s="35" t="str">
        <f>IF(Tabela2[[#This Row],[SIGLA]]="","",VLOOKUP(Tabela2[[#This Row],[SIGLA]],Tabela1[[#All],[Sigla Arte]:[Crédito]],2,0))</f>
        <v/>
      </c>
      <c r="Z3816" s="31"/>
      <c r="AA3816" s="31" t="str">
        <f>Tabela2[[#This Row],[ILUSTRADOR CRIAÇÃO]]</f>
        <v/>
      </c>
      <c r="AB3816" s="33"/>
      <c r="AC3816" s="16"/>
      <c r="AE3816" s="35" t="str">
        <f t="shared" si="60"/>
        <v>EF1 E002 Mat</v>
      </c>
    </row>
    <row r="3817" spans="1:31" x14ac:dyDescent="0.25">
      <c r="A3817" s="31"/>
      <c r="B3817" s="16"/>
      <c r="C3817" s="16"/>
      <c r="D3817" s="33"/>
      <c r="E3817" s="33"/>
      <c r="F3817" s="33"/>
      <c r="G3817" s="33"/>
      <c r="H3817" s="33"/>
      <c r="I3817" s="31"/>
      <c r="J3817" s="31"/>
      <c r="K3817" s="33"/>
      <c r="L3817" s="33"/>
      <c r="M3817" s="31"/>
      <c r="N3817" s="31"/>
      <c r="O3817" s="16"/>
      <c r="P3817" s="16"/>
      <c r="Q3817" s="16"/>
      <c r="R3817" s="33"/>
      <c r="S3817" s="34"/>
      <c r="T3817" s="34"/>
      <c r="U3817" s="34"/>
      <c r="V3817" s="34"/>
      <c r="W3817" s="34"/>
      <c r="X3817" s="33"/>
      <c r="Y3817" s="35" t="str">
        <f>IF(Tabela2[[#This Row],[SIGLA]]="","",VLOOKUP(Tabela2[[#This Row],[SIGLA]],Tabela1[[#All],[Sigla Arte]:[Crédito]],2,0))</f>
        <v/>
      </c>
      <c r="Z3817" s="31"/>
      <c r="AA3817" s="31" t="str">
        <f>Tabela2[[#This Row],[ILUSTRADOR CRIAÇÃO]]</f>
        <v/>
      </c>
      <c r="AB3817" s="33"/>
      <c r="AC3817" s="16"/>
      <c r="AE3817" s="35" t="str">
        <f t="shared" si="60"/>
        <v>EF1 E002 Mat</v>
      </c>
    </row>
    <row r="3818" spans="1:31" x14ac:dyDescent="0.25">
      <c r="A3818" s="31"/>
      <c r="B3818" s="16"/>
      <c r="C3818" s="16"/>
      <c r="D3818" s="33"/>
      <c r="E3818" s="33"/>
      <c r="F3818" s="33"/>
      <c r="G3818" s="33"/>
      <c r="H3818" s="33"/>
      <c r="I3818" s="31"/>
      <c r="J3818" s="31"/>
      <c r="K3818" s="33"/>
      <c r="L3818" s="33"/>
      <c r="M3818" s="31"/>
      <c r="N3818" s="31"/>
      <c r="O3818" s="16"/>
      <c r="P3818" s="16"/>
      <c r="Q3818" s="16"/>
      <c r="R3818" s="33"/>
      <c r="S3818" s="34"/>
      <c r="T3818" s="34"/>
      <c r="U3818" s="34"/>
      <c r="V3818" s="34"/>
      <c r="W3818" s="34"/>
      <c r="X3818" s="33"/>
      <c r="Y3818" s="35" t="str">
        <f>IF(Tabela2[[#This Row],[SIGLA]]="","",VLOOKUP(Tabela2[[#This Row],[SIGLA]],Tabela1[[#All],[Sigla Arte]:[Crédito]],2,0))</f>
        <v/>
      </c>
      <c r="Z3818" s="31"/>
      <c r="AA3818" s="31" t="str">
        <f>Tabela2[[#This Row],[ILUSTRADOR CRIAÇÃO]]</f>
        <v/>
      </c>
      <c r="AB3818" s="33"/>
      <c r="AC3818" s="16"/>
      <c r="AE3818" s="35" t="str">
        <f t="shared" si="60"/>
        <v>EF1 E002 Mat</v>
      </c>
    </row>
    <row r="3819" spans="1:31" x14ac:dyDescent="0.25">
      <c r="A3819" s="31"/>
      <c r="B3819" s="16"/>
      <c r="C3819" s="16"/>
      <c r="D3819" s="33"/>
      <c r="E3819" s="33"/>
      <c r="F3819" s="33"/>
      <c r="G3819" s="33"/>
      <c r="H3819" s="33"/>
      <c r="I3819" s="31"/>
      <c r="J3819" s="31"/>
      <c r="K3819" s="33"/>
      <c r="L3819" s="33"/>
      <c r="M3819" s="31"/>
      <c r="N3819" s="31"/>
      <c r="O3819" s="16"/>
      <c r="P3819" s="16"/>
      <c r="Q3819" s="16"/>
      <c r="R3819" s="33"/>
      <c r="S3819" s="34"/>
      <c r="T3819" s="34"/>
      <c r="U3819" s="34"/>
      <c r="V3819" s="34"/>
      <c r="W3819" s="34"/>
      <c r="X3819" s="33"/>
      <c r="Y3819" s="35" t="str">
        <f>IF(Tabela2[[#This Row],[SIGLA]]="","",VLOOKUP(Tabela2[[#This Row],[SIGLA]],Tabela1[[#All],[Sigla Arte]:[Crédito]],2,0))</f>
        <v/>
      </c>
      <c r="Z3819" s="31"/>
      <c r="AA3819" s="31" t="str">
        <f>Tabela2[[#This Row],[ILUSTRADOR CRIAÇÃO]]</f>
        <v/>
      </c>
      <c r="AB3819" s="33"/>
      <c r="AC3819" s="16"/>
      <c r="AE3819" s="35" t="str">
        <f t="shared" si="60"/>
        <v>EF1 E002 Mat</v>
      </c>
    </row>
    <row r="3820" spans="1:31" x14ac:dyDescent="0.25">
      <c r="A3820" s="31"/>
      <c r="B3820" s="16"/>
      <c r="C3820" s="16"/>
      <c r="D3820" s="33"/>
      <c r="E3820" s="33"/>
      <c r="F3820" s="33"/>
      <c r="G3820" s="33"/>
      <c r="H3820" s="33"/>
      <c r="I3820" s="31"/>
      <c r="J3820" s="31"/>
      <c r="K3820" s="33"/>
      <c r="L3820" s="33"/>
      <c r="M3820" s="31"/>
      <c r="N3820" s="31"/>
      <c r="O3820" s="16"/>
      <c r="P3820" s="16"/>
      <c r="Q3820" s="16"/>
      <c r="R3820" s="33"/>
      <c r="S3820" s="34"/>
      <c r="T3820" s="34"/>
      <c r="U3820" s="34"/>
      <c r="V3820" s="34"/>
      <c r="W3820" s="34"/>
      <c r="X3820" s="33"/>
      <c r="Y3820" s="35" t="str">
        <f>IF(Tabela2[[#This Row],[SIGLA]]="","",VLOOKUP(Tabela2[[#This Row],[SIGLA]],Tabela1[[#All],[Sigla Arte]:[Crédito]],2,0))</f>
        <v/>
      </c>
      <c r="Z3820" s="31"/>
      <c r="AA3820" s="31" t="str">
        <f>Tabela2[[#This Row],[ILUSTRADOR CRIAÇÃO]]</f>
        <v/>
      </c>
      <c r="AB3820" s="33"/>
      <c r="AC3820" s="16"/>
      <c r="AE3820" s="35" t="str">
        <f t="shared" si="60"/>
        <v>EF1 E002 Mat</v>
      </c>
    </row>
    <row r="3821" spans="1:31" x14ac:dyDescent="0.25">
      <c r="A3821" s="31"/>
      <c r="B3821" s="16"/>
      <c r="C3821" s="16"/>
      <c r="D3821" s="33"/>
      <c r="E3821" s="33"/>
      <c r="F3821" s="33"/>
      <c r="G3821" s="33"/>
      <c r="H3821" s="33"/>
      <c r="I3821" s="31"/>
      <c r="J3821" s="31"/>
      <c r="K3821" s="33"/>
      <c r="L3821" s="33"/>
      <c r="M3821" s="31"/>
      <c r="N3821" s="31"/>
      <c r="O3821" s="16"/>
      <c r="P3821" s="16"/>
      <c r="Q3821" s="16"/>
      <c r="R3821" s="33"/>
      <c r="S3821" s="34"/>
      <c r="T3821" s="34"/>
      <c r="U3821" s="34"/>
      <c r="V3821" s="34"/>
      <c r="W3821" s="34"/>
      <c r="X3821" s="33"/>
      <c r="Y3821" s="35" t="str">
        <f>IF(Tabela2[[#This Row],[SIGLA]]="","",VLOOKUP(Tabela2[[#This Row],[SIGLA]],Tabela1[[#All],[Sigla Arte]:[Crédito]],2,0))</f>
        <v/>
      </c>
      <c r="Z3821" s="31"/>
      <c r="AA3821" s="31" t="str">
        <f>Tabela2[[#This Row],[ILUSTRADOR CRIAÇÃO]]</f>
        <v/>
      </c>
      <c r="AB3821" s="33"/>
      <c r="AC3821" s="16"/>
      <c r="AE3821" s="35" t="str">
        <f t="shared" si="60"/>
        <v>EF1 E002 Mat</v>
      </c>
    </row>
    <row r="3822" spans="1:31" x14ac:dyDescent="0.25">
      <c r="A3822" s="31"/>
      <c r="B3822" s="16"/>
      <c r="C3822" s="16"/>
      <c r="D3822" s="33"/>
      <c r="E3822" s="33"/>
      <c r="F3822" s="33"/>
      <c r="G3822" s="33"/>
      <c r="H3822" s="33"/>
      <c r="I3822" s="31"/>
      <c r="J3822" s="31"/>
      <c r="K3822" s="33"/>
      <c r="L3822" s="33"/>
      <c r="M3822" s="31"/>
      <c r="N3822" s="31"/>
      <c r="O3822" s="16"/>
      <c r="P3822" s="16"/>
      <c r="Q3822" s="16"/>
      <c r="R3822" s="33"/>
      <c r="S3822" s="34"/>
      <c r="T3822" s="34"/>
      <c r="U3822" s="34"/>
      <c r="V3822" s="34"/>
      <c r="W3822" s="34"/>
      <c r="X3822" s="33"/>
      <c r="Y3822" s="35" t="str">
        <f>IF(Tabela2[[#This Row],[SIGLA]]="","",VLOOKUP(Tabela2[[#This Row],[SIGLA]],Tabela1[[#All],[Sigla Arte]:[Crédito]],2,0))</f>
        <v/>
      </c>
      <c r="Z3822" s="31"/>
      <c r="AA3822" s="31" t="str">
        <f>Tabela2[[#This Row],[ILUSTRADOR CRIAÇÃO]]</f>
        <v/>
      </c>
      <c r="AB3822" s="33"/>
      <c r="AC3822" s="16"/>
      <c r="AE3822" s="35" t="str">
        <f t="shared" si="60"/>
        <v>EF1 E002 Mat</v>
      </c>
    </row>
    <row r="3823" spans="1:31" x14ac:dyDescent="0.25">
      <c r="A3823" s="31"/>
      <c r="B3823" s="16"/>
      <c r="C3823" s="16"/>
      <c r="D3823" s="33"/>
      <c r="E3823" s="33"/>
      <c r="F3823" s="33"/>
      <c r="G3823" s="33"/>
      <c r="H3823" s="33"/>
      <c r="I3823" s="31"/>
      <c r="J3823" s="31"/>
      <c r="K3823" s="33"/>
      <c r="L3823" s="33"/>
      <c r="M3823" s="31"/>
      <c r="N3823" s="31"/>
      <c r="O3823" s="16"/>
      <c r="P3823" s="16"/>
      <c r="Q3823" s="16"/>
      <c r="R3823" s="33"/>
      <c r="S3823" s="34"/>
      <c r="T3823" s="34"/>
      <c r="U3823" s="34"/>
      <c r="V3823" s="34"/>
      <c r="W3823" s="34"/>
      <c r="X3823" s="33"/>
      <c r="Y3823" s="35" t="str">
        <f>IF(Tabela2[[#This Row],[SIGLA]]="","",VLOOKUP(Tabela2[[#This Row],[SIGLA]],Tabela1[[#All],[Sigla Arte]:[Crédito]],2,0))</f>
        <v/>
      </c>
      <c r="Z3823" s="31"/>
      <c r="AA3823" s="31" t="str">
        <f>Tabela2[[#This Row],[ILUSTRADOR CRIAÇÃO]]</f>
        <v/>
      </c>
      <c r="AB3823" s="33"/>
      <c r="AC3823" s="16"/>
      <c r="AE3823" s="35" t="str">
        <f t="shared" si="60"/>
        <v>EF1 E002 Mat</v>
      </c>
    </row>
    <row r="3824" spans="1:31" x14ac:dyDescent="0.25">
      <c r="A3824" s="31"/>
      <c r="B3824" s="16"/>
      <c r="C3824" s="16"/>
      <c r="D3824" s="33"/>
      <c r="E3824" s="33"/>
      <c r="F3824" s="33"/>
      <c r="G3824" s="33"/>
      <c r="H3824" s="33"/>
      <c r="I3824" s="31"/>
      <c r="J3824" s="31"/>
      <c r="K3824" s="33"/>
      <c r="L3824" s="33"/>
      <c r="M3824" s="31"/>
      <c r="N3824" s="31"/>
      <c r="O3824" s="16"/>
      <c r="P3824" s="16"/>
      <c r="Q3824" s="16"/>
      <c r="R3824" s="33"/>
      <c r="S3824" s="34"/>
      <c r="T3824" s="34"/>
      <c r="U3824" s="34"/>
      <c r="V3824" s="34"/>
      <c r="W3824" s="34"/>
      <c r="X3824" s="33"/>
      <c r="Y3824" s="35" t="str">
        <f>IF(Tabela2[[#This Row],[SIGLA]]="","",VLOOKUP(Tabela2[[#This Row],[SIGLA]],Tabela1[[#All],[Sigla Arte]:[Crédito]],2,0))</f>
        <v/>
      </c>
      <c r="Z3824" s="31"/>
      <c r="AA3824" s="31" t="str">
        <f>Tabela2[[#This Row],[ILUSTRADOR CRIAÇÃO]]</f>
        <v/>
      </c>
      <c r="AB3824" s="33"/>
      <c r="AC3824" s="16"/>
      <c r="AE3824" s="35" t="str">
        <f t="shared" si="60"/>
        <v>EF1 E002 Mat</v>
      </c>
    </row>
    <row r="3825" spans="1:31" x14ac:dyDescent="0.25">
      <c r="A3825" s="31"/>
      <c r="B3825" s="16"/>
      <c r="C3825" s="16"/>
      <c r="D3825" s="33"/>
      <c r="E3825" s="33"/>
      <c r="F3825" s="33"/>
      <c r="G3825" s="33"/>
      <c r="H3825" s="33"/>
      <c r="I3825" s="31"/>
      <c r="J3825" s="31"/>
      <c r="K3825" s="33"/>
      <c r="L3825" s="33"/>
      <c r="M3825" s="31"/>
      <c r="N3825" s="31"/>
      <c r="O3825" s="16"/>
      <c r="P3825" s="16"/>
      <c r="Q3825" s="16"/>
      <c r="R3825" s="33"/>
      <c r="S3825" s="34"/>
      <c r="T3825" s="34"/>
      <c r="U3825" s="34"/>
      <c r="V3825" s="34"/>
      <c r="W3825" s="34"/>
      <c r="X3825" s="33"/>
      <c r="Y3825" s="35" t="str">
        <f>IF(Tabela2[[#This Row],[SIGLA]]="","",VLOOKUP(Tabela2[[#This Row],[SIGLA]],Tabela1[[#All],[Sigla Arte]:[Crédito]],2,0))</f>
        <v/>
      </c>
      <c r="Z3825" s="31"/>
      <c r="AA3825" s="31" t="str">
        <f>Tabela2[[#This Row],[ILUSTRADOR CRIAÇÃO]]</f>
        <v/>
      </c>
      <c r="AB3825" s="33"/>
      <c r="AC3825" s="16"/>
      <c r="AE3825" s="35" t="str">
        <f t="shared" si="60"/>
        <v>EF1 E002 Mat</v>
      </c>
    </row>
    <row r="3826" spans="1:31" x14ac:dyDescent="0.25">
      <c r="A3826" s="31"/>
      <c r="B3826" s="16"/>
      <c r="C3826" s="16"/>
      <c r="D3826" s="33"/>
      <c r="E3826" s="33"/>
      <c r="F3826" s="33"/>
      <c r="G3826" s="33"/>
      <c r="H3826" s="33"/>
      <c r="I3826" s="31"/>
      <c r="J3826" s="31"/>
      <c r="K3826" s="33"/>
      <c r="L3826" s="33"/>
      <c r="M3826" s="31"/>
      <c r="N3826" s="31"/>
      <c r="O3826" s="16"/>
      <c r="P3826" s="16"/>
      <c r="Q3826" s="16"/>
      <c r="R3826" s="33"/>
      <c r="S3826" s="34"/>
      <c r="T3826" s="34"/>
      <c r="U3826" s="34"/>
      <c r="V3826" s="34"/>
      <c r="W3826" s="34"/>
      <c r="X3826" s="33"/>
      <c r="Y3826" s="35" t="str">
        <f>IF(Tabela2[[#This Row],[SIGLA]]="","",VLOOKUP(Tabela2[[#This Row],[SIGLA]],Tabela1[[#All],[Sigla Arte]:[Crédito]],2,0))</f>
        <v/>
      </c>
      <c r="Z3826" s="31"/>
      <c r="AA3826" s="31" t="str">
        <f>Tabela2[[#This Row],[ILUSTRADOR CRIAÇÃO]]</f>
        <v/>
      </c>
      <c r="AB3826" s="33"/>
      <c r="AC3826" s="16"/>
      <c r="AE3826" s="35" t="str">
        <f t="shared" ref="AE3826:AE3889" si="61">"EF1 E002 Mat"</f>
        <v>EF1 E002 Mat</v>
      </c>
    </row>
    <row r="3827" spans="1:31" x14ac:dyDescent="0.25">
      <c r="A3827" s="31"/>
      <c r="B3827" s="16"/>
      <c r="C3827" s="16"/>
      <c r="D3827" s="33"/>
      <c r="E3827" s="33"/>
      <c r="F3827" s="33"/>
      <c r="G3827" s="33"/>
      <c r="H3827" s="33"/>
      <c r="I3827" s="31"/>
      <c r="J3827" s="31"/>
      <c r="K3827" s="33"/>
      <c r="L3827" s="33"/>
      <c r="M3827" s="31"/>
      <c r="N3827" s="31"/>
      <c r="O3827" s="16"/>
      <c r="P3827" s="16"/>
      <c r="Q3827" s="16"/>
      <c r="R3827" s="33"/>
      <c r="S3827" s="34"/>
      <c r="T3827" s="34"/>
      <c r="U3827" s="34"/>
      <c r="V3827" s="34"/>
      <c r="W3827" s="34"/>
      <c r="X3827" s="33"/>
      <c r="Y3827" s="35" t="str">
        <f>IF(Tabela2[[#This Row],[SIGLA]]="","",VLOOKUP(Tabela2[[#This Row],[SIGLA]],Tabela1[[#All],[Sigla Arte]:[Crédito]],2,0))</f>
        <v/>
      </c>
      <c r="Z3827" s="31"/>
      <c r="AA3827" s="31" t="str">
        <f>Tabela2[[#This Row],[ILUSTRADOR CRIAÇÃO]]</f>
        <v/>
      </c>
      <c r="AB3827" s="33"/>
      <c r="AC3827" s="16"/>
      <c r="AE3827" s="35" t="str">
        <f t="shared" si="61"/>
        <v>EF1 E002 Mat</v>
      </c>
    </row>
    <row r="3828" spans="1:31" x14ac:dyDescent="0.25">
      <c r="A3828" s="31"/>
      <c r="B3828" s="16"/>
      <c r="C3828" s="16"/>
      <c r="D3828" s="33"/>
      <c r="E3828" s="33"/>
      <c r="F3828" s="33"/>
      <c r="G3828" s="33"/>
      <c r="H3828" s="33"/>
      <c r="I3828" s="31"/>
      <c r="J3828" s="31"/>
      <c r="K3828" s="33"/>
      <c r="L3828" s="33"/>
      <c r="M3828" s="31"/>
      <c r="N3828" s="31"/>
      <c r="O3828" s="16"/>
      <c r="P3828" s="16"/>
      <c r="Q3828" s="16"/>
      <c r="R3828" s="33"/>
      <c r="S3828" s="34"/>
      <c r="T3828" s="34"/>
      <c r="U3828" s="34"/>
      <c r="V3828" s="34"/>
      <c r="W3828" s="34"/>
      <c r="X3828" s="33"/>
      <c r="Y3828" s="35" t="str">
        <f>IF(Tabela2[[#This Row],[SIGLA]]="","",VLOOKUP(Tabela2[[#This Row],[SIGLA]],Tabela1[[#All],[Sigla Arte]:[Crédito]],2,0))</f>
        <v/>
      </c>
      <c r="Z3828" s="31"/>
      <c r="AA3828" s="31" t="str">
        <f>Tabela2[[#This Row],[ILUSTRADOR CRIAÇÃO]]</f>
        <v/>
      </c>
      <c r="AB3828" s="33"/>
      <c r="AC3828" s="16"/>
      <c r="AE3828" s="35" t="str">
        <f t="shared" si="61"/>
        <v>EF1 E002 Mat</v>
      </c>
    </row>
    <row r="3829" spans="1:31" x14ac:dyDescent="0.25">
      <c r="A3829" s="31"/>
      <c r="B3829" s="16"/>
      <c r="C3829" s="16"/>
      <c r="D3829" s="33"/>
      <c r="E3829" s="33"/>
      <c r="F3829" s="33"/>
      <c r="G3829" s="33"/>
      <c r="H3829" s="33"/>
      <c r="I3829" s="31"/>
      <c r="J3829" s="31"/>
      <c r="K3829" s="33"/>
      <c r="L3829" s="33"/>
      <c r="M3829" s="31"/>
      <c r="N3829" s="31"/>
      <c r="O3829" s="16"/>
      <c r="P3829" s="16"/>
      <c r="Q3829" s="16"/>
      <c r="R3829" s="33"/>
      <c r="S3829" s="34"/>
      <c r="T3829" s="34"/>
      <c r="U3829" s="34"/>
      <c r="V3829" s="34"/>
      <c r="W3829" s="34"/>
      <c r="X3829" s="33"/>
      <c r="Y3829" s="35" t="str">
        <f>IF(Tabela2[[#This Row],[SIGLA]]="","",VLOOKUP(Tabela2[[#This Row],[SIGLA]],Tabela1[[#All],[Sigla Arte]:[Crédito]],2,0))</f>
        <v/>
      </c>
      <c r="Z3829" s="31"/>
      <c r="AA3829" s="31" t="str">
        <f>Tabela2[[#This Row],[ILUSTRADOR CRIAÇÃO]]</f>
        <v/>
      </c>
      <c r="AB3829" s="33"/>
      <c r="AC3829" s="16"/>
      <c r="AE3829" s="35" t="str">
        <f t="shared" si="61"/>
        <v>EF1 E002 Mat</v>
      </c>
    </row>
    <row r="3830" spans="1:31" x14ac:dyDescent="0.25">
      <c r="A3830" s="31"/>
      <c r="B3830" s="16"/>
      <c r="C3830" s="16"/>
      <c r="D3830" s="33"/>
      <c r="E3830" s="33"/>
      <c r="F3830" s="33"/>
      <c r="G3830" s="33"/>
      <c r="H3830" s="33"/>
      <c r="I3830" s="31"/>
      <c r="J3830" s="31"/>
      <c r="K3830" s="33"/>
      <c r="L3830" s="33"/>
      <c r="M3830" s="31"/>
      <c r="N3830" s="31"/>
      <c r="O3830" s="16"/>
      <c r="P3830" s="16"/>
      <c r="Q3830" s="16"/>
      <c r="R3830" s="33"/>
      <c r="S3830" s="34"/>
      <c r="T3830" s="34"/>
      <c r="U3830" s="34"/>
      <c r="V3830" s="34"/>
      <c r="W3830" s="34"/>
      <c r="X3830" s="33"/>
      <c r="Y3830" s="35" t="str">
        <f>IF(Tabela2[[#This Row],[SIGLA]]="","",VLOOKUP(Tabela2[[#This Row],[SIGLA]],Tabela1[[#All],[Sigla Arte]:[Crédito]],2,0))</f>
        <v/>
      </c>
      <c r="Z3830" s="31"/>
      <c r="AA3830" s="31" t="str">
        <f>Tabela2[[#This Row],[ILUSTRADOR CRIAÇÃO]]</f>
        <v/>
      </c>
      <c r="AB3830" s="33"/>
      <c r="AC3830" s="16"/>
      <c r="AE3830" s="35" t="str">
        <f t="shared" si="61"/>
        <v>EF1 E002 Mat</v>
      </c>
    </row>
    <row r="3831" spans="1:31" x14ac:dyDescent="0.25">
      <c r="A3831" s="31"/>
      <c r="B3831" s="16"/>
      <c r="C3831" s="16"/>
      <c r="D3831" s="33"/>
      <c r="E3831" s="33"/>
      <c r="F3831" s="33"/>
      <c r="G3831" s="33"/>
      <c r="H3831" s="33"/>
      <c r="I3831" s="31"/>
      <c r="J3831" s="31"/>
      <c r="K3831" s="33"/>
      <c r="L3831" s="33"/>
      <c r="M3831" s="31"/>
      <c r="N3831" s="31"/>
      <c r="O3831" s="16"/>
      <c r="P3831" s="16"/>
      <c r="Q3831" s="16"/>
      <c r="R3831" s="33"/>
      <c r="S3831" s="34"/>
      <c r="T3831" s="34"/>
      <c r="U3831" s="34"/>
      <c r="V3831" s="34"/>
      <c r="W3831" s="34"/>
      <c r="X3831" s="33"/>
      <c r="Y3831" s="35" t="str">
        <f>IF(Tabela2[[#This Row],[SIGLA]]="","",VLOOKUP(Tabela2[[#This Row],[SIGLA]],Tabela1[[#All],[Sigla Arte]:[Crédito]],2,0))</f>
        <v/>
      </c>
      <c r="Z3831" s="31"/>
      <c r="AA3831" s="31" t="str">
        <f>Tabela2[[#This Row],[ILUSTRADOR CRIAÇÃO]]</f>
        <v/>
      </c>
      <c r="AB3831" s="33"/>
      <c r="AC3831" s="16"/>
      <c r="AE3831" s="35" t="str">
        <f t="shared" si="61"/>
        <v>EF1 E002 Mat</v>
      </c>
    </row>
    <row r="3832" spans="1:31" x14ac:dyDescent="0.25">
      <c r="A3832" s="31"/>
      <c r="B3832" s="16"/>
      <c r="C3832" s="16"/>
      <c r="D3832" s="33"/>
      <c r="E3832" s="33"/>
      <c r="F3832" s="33"/>
      <c r="G3832" s="33"/>
      <c r="H3832" s="33"/>
      <c r="I3832" s="31"/>
      <c r="J3832" s="31"/>
      <c r="K3832" s="33"/>
      <c r="L3832" s="33"/>
      <c r="M3832" s="31"/>
      <c r="N3832" s="31"/>
      <c r="O3832" s="16"/>
      <c r="P3832" s="16"/>
      <c r="Q3832" s="16"/>
      <c r="R3832" s="33"/>
      <c r="S3832" s="34"/>
      <c r="T3832" s="34"/>
      <c r="U3832" s="34"/>
      <c r="V3832" s="34"/>
      <c r="W3832" s="34"/>
      <c r="X3832" s="33"/>
      <c r="Y3832" s="35" t="str">
        <f>IF(Tabela2[[#This Row],[SIGLA]]="","",VLOOKUP(Tabela2[[#This Row],[SIGLA]],Tabela1[[#All],[Sigla Arte]:[Crédito]],2,0))</f>
        <v/>
      </c>
      <c r="Z3832" s="31"/>
      <c r="AA3832" s="31" t="str">
        <f>Tabela2[[#This Row],[ILUSTRADOR CRIAÇÃO]]</f>
        <v/>
      </c>
      <c r="AB3832" s="33"/>
      <c r="AC3832" s="16"/>
      <c r="AE3832" s="35" t="str">
        <f t="shared" si="61"/>
        <v>EF1 E002 Mat</v>
      </c>
    </row>
    <row r="3833" spans="1:31" x14ac:dyDescent="0.25">
      <c r="A3833" s="31"/>
      <c r="B3833" s="16"/>
      <c r="C3833" s="16"/>
      <c r="D3833" s="33"/>
      <c r="E3833" s="33"/>
      <c r="F3833" s="33"/>
      <c r="G3833" s="33"/>
      <c r="H3833" s="33"/>
      <c r="I3833" s="31"/>
      <c r="J3833" s="31"/>
      <c r="K3833" s="33"/>
      <c r="L3833" s="33"/>
      <c r="M3833" s="31"/>
      <c r="N3833" s="31"/>
      <c r="O3833" s="16"/>
      <c r="P3833" s="16"/>
      <c r="Q3833" s="16"/>
      <c r="R3833" s="33"/>
      <c r="S3833" s="34"/>
      <c r="T3833" s="34"/>
      <c r="U3833" s="34"/>
      <c r="V3833" s="34"/>
      <c r="W3833" s="34"/>
      <c r="X3833" s="33"/>
      <c r="Y3833" s="35" t="str">
        <f>IF(Tabela2[[#This Row],[SIGLA]]="","",VLOOKUP(Tabela2[[#This Row],[SIGLA]],Tabela1[[#All],[Sigla Arte]:[Crédito]],2,0))</f>
        <v/>
      </c>
      <c r="Z3833" s="31"/>
      <c r="AA3833" s="31" t="str">
        <f>Tabela2[[#This Row],[ILUSTRADOR CRIAÇÃO]]</f>
        <v/>
      </c>
      <c r="AB3833" s="33"/>
      <c r="AC3833" s="16"/>
      <c r="AE3833" s="35" t="str">
        <f t="shared" si="61"/>
        <v>EF1 E002 Mat</v>
      </c>
    </row>
    <row r="3834" spans="1:31" x14ac:dyDescent="0.25">
      <c r="A3834" s="31"/>
      <c r="B3834" s="16"/>
      <c r="C3834" s="16"/>
      <c r="D3834" s="33"/>
      <c r="E3834" s="33"/>
      <c r="F3834" s="33"/>
      <c r="G3834" s="33"/>
      <c r="H3834" s="33"/>
      <c r="I3834" s="31"/>
      <c r="J3834" s="31"/>
      <c r="K3834" s="33"/>
      <c r="L3834" s="33"/>
      <c r="M3834" s="31"/>
      <c r="N3834" s="31"/>
      <c r="O3834" s="16"/>
      <c r="P3834" s="16"/>
      <c r="Q3834" s="16"/>
      <c r="R3834" s="33"/>
      <c r="S3834" s="34"/>
      <c r="T3834" s="34"/>
      <c r="U3834" s="34"/>
      <c r="V3834" s="34"/>
      <c r="W3834" s="34"/>
      <c r="X3834" s="33"/>
      <c r="Y3834" s="35" t="str">
        <f>IF(Tabela2[[#This Row],[SIGLA]]="","",VLOOKUP(Tabela2[[#This Row],[SIGLA]],Tabela1[[#All],[Sigla Arte]:[Crédito]],2,0))</f>
        <v/>
      </c>
      <c r="Z3834" s="31"/>
      <c r="AA3834" s="31" t="str">
        <f>Tabela2[[#This Row],[ILUSTRADOR CRIAÇÃO]]</f>
        <v/>
      </c>
      <c r="AB3834" s="33"/>
      <c r="AC3834" s="16"/>
      <c r="AE3834" s="35" t="str">
        <f t="shared" si="61"/>
        <v>EF1 E002 Mat</v>
      </c>
    </row>
    <row r="3835" spans="1:31" x14ac:dyDescent="0.25">
      <c r="A3835" s="31"/>
      <c r="B3835" s="16"/>
      <c r="C3835" s="16"/>
      <c r="D3835" s="33"/>
      <c r="E3835" s="33"/>
      <c r="F3835" s="33"/>
      <c r="G3835" s="33"/>
      <c r="H3835" s="33"/>
      <c r="I3835" s="31"/>
      <c r="J3835" s="31"/>
      <c r="K3835" s="33"/>
      <c r="L3835" s="33"/>
      <c r="M3835" s="31"/>
      <c r="N3835" s="31"/>
      <c r="O3835" s="16"/>
      <c r="P3835" s="16"/>
      <c r="Q3835" s="16"/>
      <c r="R3835" s="33"/>
      <c r="S3835" s="34"/>
      <c r="T3835" s="34"/>
      <c r="U3835" s="34"/>
      <c r="V3835" s="34"/>
      <c r="W3835" s="34"/>
      <c r="X3835" s="33"/>
      <c r="Y3835" s="35" t="str">
        <f>IF(Tabela2[[#This Row],[SIGLA]]="","",VLOOKUP(Tabela2[[#This Row],[SIGLA]],Tabela1[[#All],[Sigla Arte]:[Crédito]],2,0))</f>
        <v/>
      </c>
      <c r="Z3835" s="31"/>
      <c r="AA3835" s="31" t="str">
        <f>Tabela2[[#This Row],[ILUSTRADOR CRIAÇÃO]]</f>
        <v/>
      </c>
      <c r="AB3835" s="33"/>
      <c r="AC3835" s="16"/>
      <c r="AE3835" s="35" t="str">
        <f t="shared" si="61"/>
        <v>EF1 E002 Mat</v>
      </c>
    </row>
    <row r="3836" spans="1:31" x14ac:dyDescent="0.25">
      <c r="A3836" s="31"/>
      <c r="B3836" s="16"/>
      <c r="C3836" s="16"/>
      <c r="D3836" s="33"/>
      <c r="E3836" s="33"/>
      <c r="F3836" s="33"/>
      <c r="G3836" s="33"/>
      <c r="H3836" s="33"/>
      <c r="I3836" s="31"/>
      <c r="J3836" s="31"/>
      <c r="K3836" s="33"/>
      <c r="L3836" s="33"/>
      <c r="M3836" s="31"/>
      <c r="N3836" s="31"/>
      <c r="O3836" s="16"/>
      <c r="P3836" s="16"/>
      <c r="Q3836" s="16"/>
      <c r="R3836" s="33"/>
      <c r="S3836" s="34"/>
      <c r="T3836" s="34"/>
      <c r="U3836" s="34"/>
      <c r="V3836" s="34"/>
      <c r="W3836" s="34"/>
      <c r="X3836" s="33"/>
      <c r="Y3836" s="35" t="str">
        <f>IF(Tabela2[[#This Row],[SIGLA]]="","",VLOOKUP(Tabela2[[#This Row],[SIGLA]],Tabela1[[#All],[Sigla Arte]:[Crédito]],2,0))</f>
        <v/>
      </c>
      <c r="Z3836" s="31"/>
      <c r="AA3836" s="31" t="str">
        <f>Tabela2[[#This Row],[ILUSTRADOR CRIAÇÃO]]</f>
        <v/>
      </c>
      <c r="AB3836" s="33"/>
      <c r="AC3836" s="16"/>
      <c r="AE3836" s="35" t="str">
        <f t="shared" si="61"/>
        <v>EF1 E002 Mat</v>
      </c>
    </row>
    <row r="3837" spans="1:31" x14ac:dyDescent="0.25">
      <c r="A3837" s="31"/>
      <c r="B3837" s="16"/>
      <c r="C3837" s="16"/>
      <c r="D3837" s="33"/>
      <c r="E3837" s="33"/>
      <c r="F3837" s="33"/>
      <c r="G3837" s="33"/>
      <c r="H3837" s="33"/>
      <c r="I3837" s="31"/>
      <c r="J3837" s="31"/>
      <c r="K3837" s="33"/>
      <c r="L3837" s="33"/>
      <c r="M3837" s="31"/>
      <c r="N3837" s="31"/>
      <c r="O3837" s="16"/>
      <c r="P3837" s="16"/>
      <c r="Q3837" s="16"/>
      <c r="R3837" s="33"/>
      <c r="S3837" s="34"/>
      <c r="T3837" s="34"/>
      <c r="U3837" s="34"/>
      <c r="V3837" s="34"/>
      <c r="W3837" s="34"/>
      <c r="X3837" s="33"/>
      <c r="Y3837" s="35" t="str">
        <f>IF(Tabela2[[#This Row],[SIGLA]]="","",VLOOKUP(Tabela2[[#This Row],[SIGLA]],Tabela1[[#All],[Sigla Arte]:[Crédito]],2,0))</f>
        <v/>
      </c>
      <c r="Z3837" s="31"/>
      <c r="AA3837" s="31" t="str">
        <f>Tabela2[[#This Row],[ILUSTRADOR CRIAÇÃO]]</f>
        <v/>
      </c>
      <c r="AB3837" s="33"/>
      <c r="AC3837" s="16"/>
      <c r="AE3837" s="35" t="str">
        <f t="shared" si="61"/>
        <v>EF1 E002 Mat</v>
      </c>
    </row>
    <row r="3838" spans="1:31" x14ac:dyDescent="0.25">
      <c r="A3838" s="31"/>
      <c r="B3838" s="16"/>
      <c r="C3838" s="16"/>
      <c r="D3838" s="33"/>
      <c r="E3838" s="33"/>
      <c r="F3838" s="33"/>
      <c r="G3838" s="33"/>
      <c r="H3838" s="33"/>
      <c r="I3838" s="31"/>
      <c r="J3838" s="31"/>
      <c r="K3838" s="33"/>
      <c r="L3838" s="33"/>
      <c r="M3838" s="31"/>
      <c r="N3838" s="31"/>
      <c r="O3838" s="16"/>
      <c r="P3838" s="16"/>
      <c r="Q3838" s="16"/>
      <c r="R3838" s="33"/>
      <c r="S3838" s="34"/>
      <c r="T3838" s="34"/>
      <c r="U3838" s="34"/>
      <c r="V3838" s="34"/>
      <c r="W3838" s="34"/>
      <c r="X3838" s="33"/>
      <c r="Y3838" s="35" t="str">
        <f>IF(Tabela2[[#This Row],[SIGLA]]="","",VLOOKUP(Tabela2[[#This Row],[SIGLA]],Tabela1[[#All],[Sigla Arte]:[Crédito]],2,0))</f>
        <v/>
      </c>
      <c r="Z3838" s="31"/>
      <c r="AA3838" s="31" t="str">
        <f>Tabela2[[#This Row],[ILUSTRADOR CRIAÇÃO]]</f>
        <v/>
      </c>
      <c r="AB3838" s="33"/>
      <c r="AC3838" s="16"/>
      <c r="AE3838" s="35" t="str">
        <f t="shared" si="61"/>
        <v>EF1 E002 Mat</v>
      </c>
    </row>
    <row r="3839" spans="1:31" x14ac:dyDescent="0.25">
      <c r="A3839" s="31"/>
      <c r="B3839" s="16"/>
      <c r="C3839" s="16"/>
      <c r="D3839" s="33"/>
      <c r="E3839" s="33"/>
      <c r="F3839" s="33"/>
      <c r="G3839" s="33"/>
      <c r="H3839" s="33"/>
      <c r="I3839" s="31"/>
      <c r="J3839" s="31"/>
      <c r="K3839" s="33"/>
      <c r="L3839" s="33"/>
      <c r="M3839" s="31"/>
      <c r="N3839" s="31"/>
      <c r="O3839" s="16"/>
      <c r="P3839" s="16"/>
      <c r="Q3839" s="16"/>
      <c r="R3839" s="33"/>
      <c r="S3839" s="34"/>
      <c r="T3839" s="34"/>
      <c r="U3839" s="34"/>
      <c r="V3839" s="34"/>
      <c r="W3839" s="34"/>
      <c r="X3839" s="33"/>
      <c r="Y3839" s="35" t="str">
        <f>IF(Tabela2[[#This Row],[SIGLA]]="","",VLOOKUP(Tabela2[[#This Row],[SIGLA]],Tabela1[[#All],[Sigla Arte]:[Crédito]],2,0))</f>
        <v/>
      </c>
      <c r="Z3839" s="31"/>
      <c r="AA3839" s="31" t="str">
        <f>Tabela2[[#This Row],[ILUSTRADOR CRIAÇÃO]]</f>
        <v/>
      </c>
      <c r="AB3839" s="33"/>
      <c r="AC3839" s="16"/>
      <c r="AE3839" s="35" t="str">
        <f t="shared" si="61"/>
        <v>EF1 E002 Mat</v>
      </c>
    </row>
    <row r="3840" spans="1:31" x14ac:dyDescent="0.25">
      <c r="A3840" s="31"/>
      <c r="B3840" s="16"/>
      <c r="C3840" s="16"/>
      <c r="D3840" s="33"/>
      <c r="E3840" s="33"/>
      <c r="F3840" s="33"/>
      <c r="G3840" s="33"/>
      <c r="H3840" s="33"/>
      <c r="I3840" s="31"/>
      <c r="J3840" s="31"/>
      <c r="K3840" s="33"/>
      <c r="L3840" s="33"/>
      <c r="M3840" s="31"/>
      <c r="N3840" s="31"/>
      <c r="O3840" s="16"/>
      <c r="P3840" s="16"/>
      <c r="Q3840" s="16"/>
      <c r="R3840" s="33"/>
      <c r="S3840" s="34"/>
      <c r="T3840" s="34"/>
      <c r="U3840" s="34"/>
      <c r="V3840" s="34"/>
      <c r="W3840" s="34"/>
      <c r="X3840" s="33"/>
      <c r="Y3840" s="35" t="str">
        <f>IF(Tabela2[[#This Row],[SIGLA]]="","",VLOOKUP(Tabela2[[#This Row],[SIGLA]],Tabela1[[#All],[Sigla Arte]:[Crédito]],2,0))</f>
        <v/>
      </c>
      <c r="Z3840" s="31"/>
      <c r="AA3840" s="31" t="str">
        <f>Tabela2[[#This Row],[ILUSTRADOR CRIAÇÃO]]</f>
        <v/>
      </c>
      <c r="AB3840" s="33"/>
      <c r="AC3840" s="16"/>
      <c r="AE3840" s="35" t="str">
        <f t="shared" si="61"/>
        <v>EF1 E002 Mat</v>
      </c>
    </row>
    <row r="3841" spans="1:31" x14ac:dyDescent="0.25">
      <c r="A3841" s="31"/>
      <c r="B3841" s="16"/>
      <c r="C3841" s="16"/>
      <c r="D3841" s="33"/>
      <c r="E3841" s="33"/>
      <c r="F3841" s="33"/>
      <c r="G3841" s="33"/>
      <c r="H3841" s="33"/>
      <c r="I3841" s="31"/>
      <c r="J3841" s="31"/>
      <c r="K3841" s="33"/>
      <c r="L3841" s="33"/>
      <c r="M3841" s="31"/>
      <c r="N3841" s="31"/>
      <c r="O3841" s="16"/>
      <c r="P3841" s="16"/>
      <c r="Q3841" s="16"/>
      <c r="R3841" s="33"/>
      <c r="S3841" s="34"/>
      <c r="T3841" s="34"/>
      <c r="U3841" s="34"/>
      <c r="V3841" s="34"/>
      <c r="W3841" s="34"/>
      <c r="X3841" s="33"/>
      <c r="Y3841" s="35" t="str">
        <f>IF(Tabela2[[#This Row],[SIGLA]]="","",VLOOKUP(Tabela2[[#This Row],[SIGLA]],Tabela1[[#All],[Sigla Arte]:[Crédito]],2,0))</f>
        <v/>
      </c>
      <c r="Z3841" s="31"/>
      <c r="AA3841" s="31" t="str">
        <f>Tabela2[[#This Row],[ILUSTRADOR CRIAÇÃO]]</f>
        <v/>
      </c>
      <c r="AB3841" s="33"/>
      <c r="AC3841" s="16"/>
      <c r="AE3841" s="35" t="str">
        <f t="shared" si="61"/>
        <v>EF1 E002 Mat</v>
      </c>
    </row>
    <row r="3842" spans="1:31" x14ac:dyDescent="0.25">
      <c r="A3842" s="31"/>
      <c r="B3842" s="16"/>
      <c r="C3842" s="16"/>
      <c r="D3842" s="33"/>
      <c r="E3842" s="33"/>
      <c r="F3842" s="33"/>
      <c r="G3842" s="33"/>
      <c r="H3842" s="33"/>
      <c r="I3842" s="31"/>
      <c r="J3842" s="31"/>
      <c r="K3842" s="33"/>
      <c r="L3842" s="33"/>
      <c r="M3842" s="31"/>
      <c r="N3842" s="31"/>
      <c r="O3842" s="16"/>
      <c r="P3842" s="16"/>
      <c r="Q3842" s="16"/>
      <c r="R3842" s="33"/>
      <c r="S3842" s="34"/>
      <c r="T3842" s="34"/>
      <c r="U3842" s="34"/>
      <c r="V3842" s="34"/>
      <c r="W3842" s="34"/>
      <c r="X3842" s="33"/>
      <c r="Y3842" s="35" t="str">
        <f>IF(Tabela2[[#This Row],[SIGLA]]="","",VLOOKUP(Tabela2[[#This Row],[SIGLA]],Tabela1[[#All],[Sigla Arte]:[Crédito]],2,0))</f>
        <v/>
      </c>
      <c r="Z3842" s="31"/>
      <c r="AA3842" s="31" t="str">
        <f>Tabela2[[#This Row],[ILUSTRADOR CRIAÇÃO]]</f>
        <v/>
      </c>
      <c r="AB3842" s="33"/>
      <c r="AC3842" s="16"/>
      <c r="AE3842" s="35" t="str">
        <f t="shared" si="61"/>
        <v>EF1 E002 Mat</v>
      </c>
    </row>
    <row r="3843" spans="1:31" x14ac:dyDescent="0.25">
      <c r="A3843" s="31"/>
      <c r="B3843" s="16"/>
      <c r="C3843" s="16"/>
      <c r="D3843" s="33"/>
      <c r="E3843" s="33"/>
      <c r="F3843" s="33"/>
      <c r="G3843" s="33"/>
      <c r="H3843" s="33"/>
      <c r="I3843" s="31"/>
      <c r="J3843" s="31"/>
      <c r="K3843" s="33"/>
      <c r="L3843" s="33"/>
      <c r="M3843" s="31"/>
      <c r="N3843" s="31"/>
      <c r="O3843" s="16"/>
      <c r="P3843" s="16"/>
      <c r="Q3843" s="16"/>
      <c r="R3843" s="33"/>
      <c r="S3843" s="34"/>
      <c r="T3843" s="34"/>
      <c r="U3843" s="34"/>
      <c r="V3843" s="34"/>
      <c r="W3843" s="34"/>
      <c r="X3843" s="33"/>
      <c r="Y3843" s="35" t="str">
        <f>IF(Tabela2[[#This Row],[SIGLA]]="","",VLOOKUP(Tabela2[[#This Row],[SIGLA]],Tabela1[[#All],[Sigla Arte]:[Crédito]],2,0))</f>
        <v/>
      </c>
      <c r="Z3843" s="31"/>
      <c r="AA3843" s="31" t="str">
        <f>Tabela2[[#This Row],[ILUSTRADOR CRIAÇÃO]]</f>
        <v/>
      </c>
      <c r="AB3843" s="33"/>
      <c r="AC3843" s="16"/>
      <c r="AE3843" s="35" t="str">
        <f t="shared" si="61"/>
        <v>EF1 E002 Mat</v>
      </c>
    </row>
    <row r="3844" spans="1:31" x14ac:dyDescent="0.25">
      <c r="A3844" s="31"/>
      <c r="B3844" s="16"/>
      <c r="C3844" s="16"/>
      <c r="D3844" s="33"/>
      <c r="E3844" s="33"/>
      <c r="F3844" s="33"/>
      <c r="G3844" s="33"/>
      <c r="H3844" s="33"/>
      <c r="I3844" s="31"/>
      <c r="J3844" s="31"/>
      <c r="K3844" s="33"/>
      <c r="L3844" s="33"/>
      <c r="M3844" s="31"/>
      <c r="N3844" s="31"/>
      <c r="O3844" s="16"/>
      <c r="P3844" s="16"/>
      <c r="Q3844" s="16"/>
      <c r="R3844" s="33"/>
      <c r="S3844" s="34"/>
      <c r="T3844" s="34"/>
      <c r="U3844" s="34"/>
      <c r="V3844" s="34"/>
      <c r="W3844" s="34"/>
      <c r="X3844" s="33"/>
      <c r="Y3844" s="35" t="str">
        <f>IF(Tabela2[[#This Row],[SIGLA]]="","",VLOOKUP(Tabela2[[#This Row],[SIGLA]],Tabela1[[#All],[Sigla Arte]:[Crédito]],2,0))</f>
        <v/>
      </c>
      <c r="Z3844" s="31"/>
      <c r="AA3844" s="31" t="str">
        <f>Tabela2[[#This Row],[ILUSTRADOR CRIAÇÃO]]</f>
        <v/>
      </c>
      <c r="AB3844" s="33"/>
      <c r="AC3844" s="16"/>
      <c r="AE3844" s="35" t="str">
        <f t="shared" si="61"/>
        <v>EF1 E002 Mat</v>
      </c>
    </row>
    <row r="3845" spans="1:31" x14ac:dyDescent="0.25">
      <c r="A3845" s="31"/>
      <c r="B3845" s="16"/>
      <c r="C3845" s="16"/>
      <c r="D3845" s="33"/>
      <c r="E3845" s="33"/>
      <c r="F3845" s="33"/>
      <c r="G3845" s="33"/>
      <c r="H3845" s="33"/>
      <c r="I3845" s="31"/>
      <c r="J3845" s="31"/>
      <c r="K3845" s="33"/>
      <c r="L3845" s="33"/>
      <c r="M3845" s="31"/>
      <c r="N3845" s="31"/>
      <c r="O3845" s="16"/>
      <c r="P3845" s="16"/>
      <c r="Q3845" s="16"/>
      <c r="R3845" s="33"/>
      <c r="S3845" s="34"/>
      <c r="T3845" s="34"/>
      <c r="U3845" s="34"/>
      <c r="V3845" s="34"/>
      <c r="W3845" s="34"/>
      <c r="X3845" s="33"/>
      <c r="Y3845" s="35" t="str">
        <f>IF(Tabela2[[#This Row],[SIGLA]]="","",VLOOKUP(Tabela2[[#This Row],[SIGLA]],Tabela1[[#All],[Sigla Arte]:[Crédito]],2,0))</f>
        <v/>
      </c>
      <c r="Z3845" s="31"/>
      <c r="AA3845" s="31" t="str">
        <f>Tabela2[[#This Row],[ILUSTRADOR CRIAÇÃO]]</f>
        <v/>
      </c>
      <c r="AB3845" s="33"/>
      <c r="AC3845" s="16"/>
      <c r="AE3845" s="35" t="str">
        <f t="shared" si="61"/>
        <v>EF1 E002 Mat</v>
      </c>
    </row>
    <row r="3846" spans="1:31" x14ac:dyDescent="0.25">
      <c r="A3846" s="31"/>
      <c r="B3846" s="16"/>
      <c r="C3846" s="16"/>
      <c r="D3846" s="33"/>
      <c r="E3846" s="33"/>
      <c r="F3846" s="33"/>
      <c r="G3846" s="33"/>
      <c r="H3846" s="33"/>
      <c r="I3846" s="31"/>
      <c r="J3846" s="31"/>
      <c r="K3846" s="33"/>
      <c r="L3846" s="33"/>
      <c r="M3846" s="31"/>
      <c r="N3846" s="31"/>
      <c r="O3846" s="16"/>
      <c r="P3846" s="16"/>
      <c r="Q3846" s="16"/>
      <c r="R3846" s="33"/>
      <c r="S3846" s="34"/>
      <c r="T3846" s="34"/>
      <c r="U3846" s="34"/>
      <c r="V3846" s="34"/>
      <c r="W3846" s="34"/>
      <c r="X3846" s="33"/>
      <c r="Y3846" s="35" t="str">
        <f>IF(Tabela2[[#This Row],[SIGLA]]="","",VLOOKUP(Tabela2[[#This Row],[SIGLA]],Tabela1[[#All],[Sigla Arte]:[Crédito]],2,0))</f>
        <v/>
      </c>
      <c r="Z3846" s="31"/>
      <c r="AA3846" s="31" t="str">
        <f>Tabela2[[#This Row],[ILUSTRADOR CRIAÇÃO]]</f>
        <v/>
      </c>
      <c r="AB3846" s="33"/>
      <c r="AC3846" s="16"/>
      <c r="AE3846" s="35" t="str">
        <f t="shared" si="61"/>
        <v>EF1 E002 Mat</v>
      </c>
    </row>
    <row r="3847" spans="1:31" x14ac:dyDescent="0.25">
      <c r="A3847" s="31"/>
      <c r="B3847" s="16"/>
      <c r="C3847" s="16"/>
      <c r="D3847" s="33"/>
      <c r="E3847" s="33"/>
      <c r="F3847" s="33"/>
      <c r="G3847" s="33"/>
      <c r="H3847" s="33"/>
      <c r="I3847" s="31"/>
      <c r="J3847" s="31"/>
      <c r="K3847" s="33"/>
      <c r="L3847" s="33"/>
      <c r="M3847" s="31"/>
      <c r="N3847" s="31"/>
      <c r="O3847" s="16"/>
      <c r="P3847" s="16"/>
      <c r="Q3847" s="16"/>
      <c r="R3847" s="33"/>
      <c r="S3847" s="34"/>
      <c r="T3847" s="34"/>
      <c r="U3847" s="34"/>
      <c r="V3847" s="34"/>
      <c r="W3847" s="34"/>
      <c r="X3847" s="33"/>
      <c r="Y3847" s="35" t="str">
        <f>IF(Tabela2[[#This Row],[SIGLA]]="","",VLOOKUP(Tabela2[[#This Row],[SIGLA]],Tabela1[[#All],[Sigla Arte]:[Crédito]],2,0))</f>
        <v/>
      </c>
      <c r="Z3847" s="31"/>
      <c r="AA3847" s="31" t="str">
        <f>Tabela2[[#This Row],[ILUSTRADOR CRIAÇÃO]]</f>
        <v/>
      </c>
      <c r="AB3847" s="33"/>
      <c r="AC3847" s="16"/>
      <c r="AE3847" s="35" t="str">
        <f t="shared" si="61"/>
        <v>EF1 E002 Mat</v>
      </c>
    </row>
    <row r="3848" spans="1:31" x14ac:dyDescent="0.25">
      <c r="A3848" s="31"/>
      <c r="B3848" s="16"/>
      <c r="C3848" s="16"/>
      <c r="D3848" s="33"/>
      <c r="E3848" s="33"/>
      <c r="F3848" s="33"/>
      <c r="G3848" s="33"/>
      <c r="H3848" s="33"/>
      <c r="I3848" s="31"/>
      <c r="J3848" s="31"/>
      <c r="K3848" s="33"/>
      <c r="L3848" s="33"/>
      <c r="M3848" s="31"/>
      <c r="N3848" s="31"/>
      <c r="O3848" s="16"/>
      <c r="P3848" s="16"/>
      <c r="Q3848" s="16"/>
      <c r="R3848" s="33"/>
      <c r="S3848" s="34"/>
      <c r="T3848" s="34"/>
      <c r="U3848" s="34"/>
      <c r="V3848" s="34"/>
      <c r="W3848" s="34"/>
      <c r="X3848" s="33"/>
      <c r="Y3848" s="35" t="str">
        <f>IF(Tabela2[[#This Row],[SIGLA]]="","",VLOOKUP(Tabela2[[#This Row],[SIGLA]],Tabela1[[#All],[Sigla Arte]:[Crédito]],2,0))</f>
        <v/>
      </c>
      <c r="Z3848" s="31"/>
      <c r="AA3848" s="31" t="str">
        <f>Tabela2[[#This Row],[ILUSTRADOR CRIAÇÃO]]</f>
        <v/>
      </c>
      <c r="AB3848" s="33"/>
      <c r="AC3848" s="16"/>
      <c r="AE3848" s="35" t="str">
        <f t="shared" si="61"/>
        <v>EF1 E002 Mat</v>
      </c>
    </row>
    <row r="3849" spans="1:31" x14ac:dyDescent="0.25">
      <c r="A3849" s="31"/>
      <c r="B3849" s="16"/>
      <c r="C3849" s="16"/>
      <c r="D3849" s="33"/>
      <c r="E3849" s="33"/>
      <c r="F3849" s="33"/>
      <c r="G3849" s="33"/>
      <c r="H3849" s="33"/>
      <c r="I3849" s="31"/>
      <c r="J3849" s="31"/>
      <c r="K3849" s="33"/>
      <c r="L3849" s="33"/>
      <c r="M3849" s="31"/>
      <c r="N3849" s="31"/>
      <c r="O3849" s="16"/>
      <c r="P3849" s="16"/>
      <c r="Q3849" s="16"/>
      <c r="R3849" s="33"/>
      <c r="S3849" s="34"/>
      <c r="T3849" s="34"/>
      <c r="U3849" s="34"/>
      <c r="V3849" s="34"/>
      <c r="W3849" s="34"/>
      <c r="X3849" s="33"/>
      <c r="Y3849" s="35" t="str">
        <f>IF(Tabela2[[#This Row],[SIGLA]]="","",VLOOKUP(Tabela2[[#This Row],[SIGLA]],Tabela1[[#All],[Sigla Arte]:[Crédito]],2,0))</f>
        <v/>
      </c>
      <c r="Z3849" s="31"/>
      <c r="AA3849" s="31" t="str">
        <f>Tabela2[[#This Row],[ILUSTRADOR CRIAÇÃO]]</f>
        <v/>
      </c>
      <c r="AB3849" s="33"/>
      <c r="AC3849" s="16"/>
      <c r="AE3849" s="35" t="str">
        <f t="shared" si="61"/>
        <v>EF1 E002 Mat</v>
      </c>
    </row>
    <row r="3850" spans="1:31" x14ac:dyDescent="0.25">
      <c r="A3850" s="31"/>
      <c r="B3850" s="16"/>
      <c r="C3850" s="16"/>
      <c r="D3850" s="33"/>
      <c r="E3850" s="33"/>
      <c r="F3850" s="33"/>
      <c r="G3850" s="33"/>
      <c r="H3850" s="33"/>
      <c r="I3850" s="31"/>
      <c r="J3850" s="31"/>
      <c r="K3850" s="33"/>
      <c r="L3850" s="33"/>
      <c r="M3850" s="31"/>
      <c r="N3850" s="31"/>
      <c r="O3850" s="16"/>
      <c r="P3850" s="16"/>
      <c r="Q3850" s="16"/>
      <c r="R3850" s="33"/>
      <c r="S3850" s="34"/>
      <c r="T3850" s="34"/>
      <c r="U3850" s="34"/>
      <c r="V3850" s="34"/>
      <c r="W3850" s="34"/>
      <c r="X3850" s="33"/>
      <c r="Y3850" s="35" t="str">
        <f>IF(Tabela2[[#This Row],[SIGLA]]="","",VLOOKUP(Tabela2[[#This Row],[SIGLA]],Tabela1[[#All],[Sigla Arte]:[Crédito]],2,0))</f>
        <v/>
      </c>
      <c r="Z3850" s="31"/>
      <c r="AA3850" s="31" t="str">
        <f>Tabela2[[#This Row],[ILUSTRADOR CRIAÇÃO]]</f>
        <v/>
      </c>
      <c r="AB3850" s="33"/>
      <c r="AC3850" s="16"/>
      <c r="AE3850" s="35" t="str">
        <f t="shared" si="61"/>
        <v>EF1 E002 Mat</v>
      </c>
    </row>
    <row r="3851" spans="1:31" x14ac:dyDescent="0.25">
      <c r="A3851" s="31"/>
      <c r="B3851" s="16"/>
      <c r="C3851" s="16"/>
      <c r="D3851" s="33"/>
      <c r="E3851" s="33"/>
      <c r="F3851" s="33"/>
      <c r="G3851" s="33"/>
      <c r="H3851" s="33"/>
      <c r="I3851" s="31"/>
      <c r="J3851" s="31"/>
      <c r="K3851" s="33"/>
      <c r="L3851" s="33"/>
      <c r="M3851" s="31"/>
      <c r="N3851" s="31"/>
      <c r="O3851" s="16"/>
      <c r="P3851" s="16"/>
      <c r="Q3851" s="16"/>
      <c r="R3851" s="33"/>
      <c r="S3851" s="34"/>
      <c r="T3851" s="34"/>
      <c r="U3851" s="34"/>
      <c r="V3851" s="34"/>
      <c r="W3851" s="34"/>
      <c r="X3851" s="33"/>
      <c r="Y3851" s="35" t="str">
        <f>IF(Tabela2[[#This Row],[SIGLA]]="","",VLOOKUP(Tabela2[[#This Row],[SIGLA]],Tabela1[[#All],[Sigla Arte]:[Crédito]],2,0))</f>
        <v/>
      </c>
      <c r="Z3851" s="31"/>
      <c r="AA3851" s="31" t="str">
        <f>Tabela2[[#This Row],[ILUSTRADOR CRIAÇÃO]]</f>
        <v/>
      </c>
      <c r="AB3851" s="33"/>
      <c r="AC3851" s="16"/>
      <c r="AE3851" s="35" t="str">
        <f t="shared" si="61"/>
        <v>EF1 E002 Mat</v>
      </c>
    </row>
    <row r="3852" spans="1:31" x14ac:dyDescent="0.25">
      <c r="A3852" s="31"/>
      <c r="B3852" s="16"/>
      <c r="C3852" s="16"/>
      <c r="D3852" s="33"/>
      <c r="E3852" s="33"/>
      <c r="F3852" s="33"/>
      <c r="G3852" s="33"/>
      <c r="H3852" s="33"/>
      <c r="I3852" s="31"/>
      <c r="J3852" s="31"/>
      <c r="K3852" s="33"/>
      <c r="L3852" s="33"/>
      <c r="M3852" s="31"/>
      <c r="N3852" s="31"/>
      <c r="O3852" s="16"/>
      <c r="P3852" s="16"/>
      <c r="Q3852" s="16"/>
      <c r="R3852" s="33"/>
      <c r="S3852" s="34"/>
      <c r="T3852" s="34"/>
      <c r="U3852" s="34"/>
      <c r="V3852" s="34"/>
      <c r="W3852" s="34"/>
      <c r="X3852" s="33"/>
      <c r="Y3852" s="35" t="str">
        <f>IF(Tabela2[[#This Row],[SIGLA]]="","",VLOOKUP(Tabela2[[#This Row],[SIGLA]],Tabela1[[#All],[Sigla Arte]:[Crédito]],2,0))</f>
        <v/>
      </c>
      <c r="Z3852" s="31"/>
      <c r="AA3852" s="31" t="str">
        <f>Tabela2[[#This Row],[ILUSTRADOR CRIAÇÃO]]</f>
        <v/>
      </c>
      <c r="AB3852" s="33"/>
      <c r="AC3852" s="16"/>
      <c r="AE3852" s="35" t="str">
        <f t="shared" si="61"/>
        <v>EF1 E002 Mat</v>
      </c>
    </row>
    <row r="3853" spans="1:31" x14ac:dyDescent="0.25">
      <c r="A3853" s="31"/>
      <c r="B3853" s="16"/>
      <c r="C3853" s="16"/>
      <c r="D3853" s="33"/>
      <c r="E3853" s="33"/>
      <c r="F3853" s="33"/>
      <c r="G3853" s="33"/>
      <c r="H3853" s="33"/>
      <c r="I3853" s="31"/>
      <c r="J3853" s="31"/>
      <c r="K3853" s="33"/>
      <c r="L3853" s="33"/>
      <c r="M3853" s="31"/>
      <c r="N3853" s="31"/>
      <c r="O3853" s="16"/>
      <c r="P3853" s="16"/>
      <c r="Q3853" s="16"/>
      <c r="R3853" s="33"/>
      <c r="S3853" s="34"/>
      <c r="T3853" s="34"/>
      <c r="U3853" s="34"/>
      <c r="V3853" s="34"/>
      <c r="W3853" s="34"/>
      <c r="X3853" s="33"/>
      <c r="Y3853" s="35" t="str">
        <f>IF(Tabela2[[#This Row],[SIGLA]]="","",VLOOKUP(Tabela2[[#This Row],[SIGLA]],Tabela1[[#All],[Sigla Arte]:[Crédito]],2,0))</f>
        <v/>
      </c>
      <c r="Z3853" s="31"/>
      <c r="AA3853" s="31" t="str">
        <f>Tabela2[[#This Row],[ILUSTRADOR CRIAÇÃO]]</f>
        <v/>
      </c>
      <c r="AB3853" s="33"/>
      <c r="AC3853" s="16"/>
      <c r="AE3853" s="35" t="str">
        <f t="shared" si="61"/>
        <v>EF1 E002 Mat</v>
      </c>
    </row>
    <row r="3854" spans="1:31" x14ac:dyDescent="0.25">
      <c r="A3854" s="31"/>
      <c r="B3854" s="16"/>
      <c r="C3854" s="16"/>
      <c r="D3854" s="33"/>
      <c r="E3854" s="33"/>
      <c r="F3854" s="33"/>
      <c r="G3854" s="33"/>
      <c r="H3854" s="33"/>
      <c r="I3854" s="31"/>
      <c r="J3854" s="31"/>
      <c r="K3854" s="33"/>
      <c r="L3854" s="33"/>
      <c r="M3854" s="31"/>
      <c r="N3854" s="31"/>
      <c r="O3854" s="16"/>
      <c r="P3854" s="16"/>
      <c r="Q3854" s="16"/>
      <c r="R3854" s="33"/>
      <c r="S3854" s="34"/>
      <c r="T3854" s="34"/>
      <c r="U3854" s="34"/>
      <c r="V3854" s="34"/>
      <c r="W3854" s="34"/>
      <c r="X3854" s="33"/>
      <c r="Y3854" s="35" t="str">
        <f>IF(Tabela2[[#This Row],[SIGLA]]="","",VLOOKUP(Tabela2[[#This Row],[SIGLA]],Tabela1[[#All],[Sigla Arte]:[Crédito]],2,0))</f>
        <v/>
      </c>
      <c r="Z3854" s="31"/>
      <c r="AA3854" s="31" t="str">
        <f>Tabela2[[#This Row],[ILUSTRADOR CRIAÇÃO]]</f>
        <v/>
      </c>
      <c r="AB3854" s="33"/>
      <c r="AC3854" s="16"/>
      <c r="AE3854" s="35" t="str">
        <f t="shared" si="61"/>
        <v>EF1 E002 Mat</v>
      </c>
    </row>
    <row r="3855" spans="1:31" x14ac:dyDescent="0.25">
      <c r="A3855" s="31"/>
      <c r="B3855" s="16"/>
      <c r="C3855" s="16"/>
      <c r="D3855" s="33"/>
      <c r="E3855" s="33"/>
      <c r="F3855" s="33"/>
      <c r="G3855" s="33"/>
      <c r="H3855" s="33"/>
      <c r="I3855" s="31"/>
      <c r="J3855" s="31"/>
      <c r="K3855" s="33"/>
      <c r="L3855" s="33"/>
      <c r="M3855" s="31"/>
      <c r="N3855" s="31"/>
      <c r="O3855" s="16"/>
      <c r="P3855" s="16"/>
      <c r="Q3855" s="16"/>
      <c r="R3855" s="33"/>
      <c r="S3855" s="34"/>
      <c r="T3855" s="34"/>
      <c r="U3855" s="34"/>
      <c r="V3855" s="34"/>
      <c r="W3855" s="34"/>
      <c r="X3855" s="33"/>
      <c r="Y3855" s="35" t="str">
        <f>IF(Tabela2[[#This Row],[SIGLA]]="","",VLOOKUP(Tabela2[[#This Row],[SIGLA]],Tabela1[[#All],[Sigla Arte]:[Crédito]],2,0))</f>
        <v/>
      </c>
      <c r="Z3855" s="31"/>
      <c r="AA3855" s="31" t="str">
        <f>Tabela2[[#This Row],[ILUSTRADOR CRIAÇÃO]]</f>
        <v/>
      </c>
      <c r="AB3855" s="33"/>
      <c r="AC3855" s="16"/>
      <c r="AE3855" s="35" t="str">
        <f t="shared" si="61"/>
        <v>EF1 E002 Mat</v>
      </c>
    </row>
    <row r="3856" spans="1:31" x14ac:dyDescent="0.25">
      <c r="A3856" s="31"/>
      <c r="B3856" s="16"/>
      <c r="C3856" s="16"/>
      <c r="D3856" s="33"/>
      <c r="E3856" s="33"/>
      <c r="F3856" s="33"/>
      <c r="G3856" s="33"/>
      <c r="H3856" s="33"/>
      <c r="I3856" s="31"/>
      <c r="J3856" s="31"/>
      <c r="K3856" s="33"/>
      <c r="L3856" s="33"/>
      <c r="M3856" s="31"/>
      <c r="N3856" s="31"/>
      <c r="O3856" s="16"/>
      <c r="P3856" s="16"/>
      <c r="Q3856" s="16"/>
      <c r="R3856" s="33"/>
      <c r="S3856" s="34"/>
      <c r="T3856" s="34"/>
      <c r="U3856" s="34"/>
      <c r="V3856" s="34"/>
      <c r="W3856" s="34"/>
      <c r="X3856" s="33"/>
      <c r="Y3856" s="35" t="str">
        <f>IF(Tabela2[[#This Row],[SIGLA]]="","",VLOOKUP(Tabela2[[#This Row],[SIGLA]],Tabela1[[#All],[Sigla Arte]:[Crédito]],2,0))</f>
        <v/>
      </c>
      <c r="Z3856" s="31"/>
      <c r="AA3856" s="31" t="str">
        <f>Tabela2[[#This Row],[ILUSTRADOR CRIAÇÃO]]</f>
        <v/>
      </c>
      <c r="AB3856" s="33"/>
      <c r="AC3856" s="16"/>
      <c r="AE3856" s="35" t="str">
        <f t="shared" si="61"/>
        <v>EF1 E002 Mat</v>
      </c>
    </row>
    <row r="3857" spans="1:31" x14ac:dyDescent="0.25">
      <c r="A3857" s="31"/>
      <c r="B3857" s="16"/>
      <c r="C3857" s="16"/>
      <c r="D3857" s="33"/>
      <c r="E3857" s="33"/>
      <c r="F3857" s="33"/>
      <c r="G3857" s="33"/>
      <c r="H3857" s="33"/>
      <c r="I3857" s="31"/>
      <c r="J3857" s="31"/>
      <c r="K3857" s="33"/>
      <c r="L3857" s="33"/>
      <c r="M3857" s="31"/>
      <c r="N3857" s="31"/>
      <c r="O3857" s="16"/>
      <c r="P3857" s="16"/>
      <c r="Q3857" s="16"/>
      <c r="R3857" s="33"/>
      <c r="S3857" s="34"/>
      <c r="T3857" s="34"/>
      <c r="U3857" s="34"/>
      <c r="V3857" s="34"/>
      <c r="W3857" s="34"/>
      <c r="X3857" s="33"/>
      <c r="Y3857" s="35" t="str">
        <f>IF(Tabela2[[#This Row],[SIGLA]]="","",VLOOKUP(Tabela2[[#This Row],[SIGLA]],Tabela1[[#All],[Sigla Arte]:[Crédito]],2,0))</f>
        <v/>
      </c>
      <c r="Z3857" s="31"/>
      <c r="AA3857" s="31" t="str">
        <f>Tabela2[[#This Row],[ILUSTRADOR CRIAÇÃO]]</f>
        <v/>
      </c>
      <c r="AB3857" s="33"/>
      <c r="AC3857" s="16"/>
      <c r="AE3857" s="35" t="str">
        <f t="shared" si="61"/>
        <v>EF1 E002 Mat</v>
      </c>
    </row>
    <row r="3858" spans="1:31" x14ac:dyDescent="0.25">
      <c r="A3858" s="31"/>
      <c r="B3858" s="16"/>
      <c r="C3858" s="16"/>
      <c r="D3858" s="33"/>
      <c r="E3858" s="33"/>
      <c r="F3858" s="33"/>
      <c r="G3858" s="33"/>
      <c r="H3858" s="33"/>
      <c r="I3858" s="31"/>
      <c r="J3858" s="31"/>
      <c r="K3858" s="33"/>
      <c r="L3858" s="33"/>
      <c r="M3858" s="31"/>
      <c r="N3858" s="31"/>
      <c r="O3858" s="16"/>
      <c r="P3858" s="16"/>
      <c r="Q3858" s="16"/>
      <c r="R3858" s="33"/>
      <c r="S3858" s="34"/>
      <c r="T3858" s="34"/>
      <c r="U3858" s="34"/>
      <c r="V3858" s="34"/>
      <c r="W3858" s="34"/>
      <c r="X3858" s="33"/>
      <c r="Y3858" s="35" t="str">
        <f>IF(Tabela2[[#This Row],[SIGLA]]="","",VLOOKUP(Tabela2[[#This Row],[SIGLA]],Tabela1[[#All],[Sigla Arte]:[Crédito]],2,0))</f>
        <v/>
      </c>
      <c r="Z3858" s="31"/>
      <c r="AA3858" s="31" t="str">
        <f>Tabela2[[#This Row],[ILUSTRADOR CRIAÇÃO]]</f>
        <v/>
      </c>
      <c r="AB3858" s="33"/>
      <c r="AC3858" s="16"/>
      <c r="AE3858" s="35" t="str">
        <f t="shared" si="61"/>
        <v>EF1 E002 Mat</v>
      </c>
    </row>
    <row r="3859" spans="1:31" x14ac:dyDescent="0.25">
      <c r="A3859" s="31"/>
      <c r="B3859" s="16"/>
      <c r="C3859" s="16"/>
      <c r="D3859" s="33"/>
      <c r="E3859" s="33"/>
      <c r="F3859" s="33"/>
      <c r="G3859" s="33"/>
      <c r="H3859" s="33"/>
      <c r="I3859" s="31"/>
      <c r="J3859" s="31"/>
      <c r="K3859" s="33"/>
      <c r="L3859" s="33"/>
      <c r="M3859" s="31"/>
      <c r="N3859" s="31"/>
      <c r="O3859" s="16"/>
      <c r="P3859" s="16"/>
      <c r="Q3859" s="16"/>
      <c r="R3859" s="33"/>
      <c r="S3859" s="34"/>
      <c r="T3859" s="34"/>
      <c r="U3859" s="34"/>
      <c r="V3859" s="34"/>
      <c r="W3859" s="34"/>
      <c r="X3859" s="33"/>
      <c r="Y3859" s="35" t="str">
        <f>IF(Tabela2[[#This Row],[SIGLA]]="","",VLOOKUP(Tabela2[[#This Row],[SIGLA]],Tabela1[[#All],[Sigla Arte]:[Crédito]],2,0))</f>
        <v/>
      </c>
      <c r="Z3859" s="31"/>
      <c r="AA3859" s="31" t="str">
        <f>Tabela2[[#This Row],[ILUSTRADOR CRIAÇÃO]]</f>
        <v/>
      </c>
      <c r="AB3859" s="33"/>
      <c r="AC3859" s="16"/>
      <c r="AE3859" s="35" t="str">
        <f t="shared" si="61"/>
        <v>EF1 E002 Mat</v>
      </c>
    </row>
    <row r="3860" spans="1:31" x14ac:dyDescent="0.25">
      <c r="A3860" s="31"/>
      <c r="B3860" s="16"/>
      <c r="C3860" s="16"/>
      <c r="D3860" s="33"/>
      <c r="E3860" s="33"/>
      <c r="F3860" s="33"/>
      <c r="G3860" s="33"/>
      <c r="H3860" s="33"/>
      <c r="I3860" s="31"/>
      <c r="J3860" s="31"/>
      <c r="K3860" s="33"/>
      <c r="L3860" s="33"/>
      <c r="M3860" s="31"/>
      <c r="N3860" s="31"/>
      <c r="O3860" s="16"/>
      <c r="P3860" s="16"/>
      <c r="Q3860" s="16"/>
      <c r="R3860" s="33"/>
      <c r="S3860" s="34"/>
      <c r="T3860" s="34"/>
      <c r="U3860" s="34"/>
      <c r="V3860" s="34"/>
      <c r="W3860" s="34"/>
      <c r="X3860" s="33"/>
      <c r="Y3860" s="35" t="str">
        <f>IF(Tabela2[[#This Row],[SIGLA]]="","",VLOOKUP(Tabela2[[#This Row],[SIGLA]],Tabela1[[#All],[Sigla Arte]:[Crédito]],2,0))</f>
        <v/>
      </c>
      <c r="Z3860" s="31"/>
      <c r="AA3860" s="31" t="str">
        <f>Tabela2[[#This Row],[ILUSTRADOR CRIAÇÃO]]</f>
        <v/>
      </c>
      <c r="AB3860" s="33"/>
      <c r="AC3860" s="16"/>
      <c r="AE3860" s="35" t="str">
        <f t="shared" si="61"/>
        <v>EF1 E002 Mat</v>
      </c>
    </row>
    <row r="3861" spans="1:31" x14ac:dyDescent="0.25">
      <c r="A3861" s="31"/>
      <c r="B3861" s="16"/>
      <c r="C3861" s="16"/>
      <c r="D3861" s="33"/>
      <c r="E3861" s="33"/>
      <c r="F3861" s="33"/>
      <c r="G3861" s="33"/>
      <c r="H3861" s="33"/>
      <c r="I3861" s="31"/>
      <c r="J3861" s="31"/>
      <c r="K3861" s="33"/>
      <c r="L3861" s="33"/>
      <c r="M3861" s="31"/>
      <c r="N3861" s="31"/>
      <c r="O3861" s="16"/>
      <c r="P3861" s="16"/>
      <c r="Q3861" s="16"/>
      <c r="R3861" s="33"/>
      <c r="S3861" s="34"/>
      <c r="T3861" s="34"/>
      <c r="U3861" s="34"/>
      <c r="V3861" s="34"/>
      <c r="W3861" s="34"/>
      <c r="X3861" s="33"/>
      <c r="Y3861" s="35" t="str">
        <f>IF(Tabela2[[#This Row],[SIGLA]]="","",VLOOKUP(Tabela2[[#This Row],[SIGLA]],Tabela1[[#All],[Sigla Arte]:[Crédito]],2,0))</f>
        <v/>
      </c>
      <c r="Z3861" s="31"/>
      <c r="AA3861" s="31" t="str">
        <f>Tabela2[[#This Row],[ILUSTRADOR CRIAÇÃO]]</f>
        <v/>
      </c>
      <c r="AB3861" s="33"/>
      <c r="AC3861" s="16"/>
      <c r="AE3861" s="35" t="str">
        <f t="shared" si="61"/>
        <v>EF1 E002 Mat</v>
      </c>
    </row>
    <row r="3862" spans="1:31" x14ac:dyDescent="0.25">
      <c r="A3862" s="31"/>
      <c r="B3862" s="16"/>
      <c r="C3862" s="16"/>
      <c r="D3862" s="33"/>
      <c r="E3862" s="33"/>
      <c r="F3862" s="33"/>
      <c r="G3862" s="33"/>
      <c r="H3862" s="33"/>
      <c r="I3862" s="31"/>
      <c r="J3862" s="31"/>
      <c r="K3862" s="33"/>
      <c r="L3862" s="33"/>
      <c r="M3862" s="31"/>
      <c r="N3862" s="31"/>
      <c r="O3862" s="16"/>
      <c r="P3862" s="16"/>
      <c r="Q3862" s="16"/>
      <c r="R3862" s="33"/>
      <c r="S3862" s="34"/>
      <c r="T3862" s="34"/>
      <c r="U3862" s="34"/>
      <c r="V3862" s="34"/>
      <c r="W3862" s="34"/>
      <c r="X3862" s="33"/>
      <c r="Y3862" s="35" t="str">
        <f>IF(Tabela2[[#This Row],[SIGLA]]="","",VLOOKUP(Tabela2[[#This Row],[SIGLA]],Tabela1[[#All],[Sigla Arte]:[Crédito]],2,0))</f>
        <v/>
      </c>
      <c r="Z3862" s="31"/>
      <c r="AA3862" s="31" t="str">
        <f>Tabela2[[#This Row],[ILUSTRADOR CRIAÇÃO]]</f>
        <v/>
      </c>
      <c r="AB3862" s="33"/>
      <c r="AC3862" s="16"/>
      <c r="AE3862" s="35" t="str">
        <f t="shared" si="61"/>
        <v>EF1 E002 Mat</v>
      </c>
    </row>
    <row r="3863" spans="1:31" x14ac:dyDescent="0.25">
      <c r="A3863" s="31"/>
      <c r="B3863" s="16"/>
      <c r="C3863" s="16"/>
      <c r="D3863" s="33"/>
      <c r="E3863" s="33"/>
      <c r="F3863" s="33"/>
      <c r="G3863" s="33"/>
      <c r="H3863" s="33"/>
      <c r="I3863" s="31"/>
      <c r="J3863" s="31"/>
      <c r="K3863" s="33"/>
      <c r="L3863" s="33"/>
      <c r="M3863" s="31"/>
      <c r="N3863" s="31"/>
      <c r="O3863" s="16"/>
      <c r="P3863" s="16"/>
      <c r="Q3863" s="16"/>
      <c r="R3863" s="33"/>
      <c r="S3863" s="34"/>
      <c r="T3863" s="34"/>
      <c r="U3863" s="34"/>
      <c r="V3863" s="34"/>
      <c r="W3863" s="34"/>
      <c r="X3863" s="33"/>
      <c r="Y3863" s="35" t="str">
        <f>IF(Tabela2[[#This Row],[SIGLA]]="","",VLOOKUP(Tabela2[[#This Row],[SIGLA]],Tabela1[[#All],[Sigla Arte]:[Crédito]],2,0))</f>
        <v/>
      </c>
      <c r="Z3863" s="31"/>
      <c r="AA3863" s="31" t="str">
        <f>Tabela2[[#This Row],[ILUSTRADOR CRIAÇÃO]]</f>
        <v/>
      </c>
      <c r="AB3863" s="33"/>
      <c r="AC3863" s="16"/>
      <c r="AE3863" s="35" t="str">
        <f t="shared" si="61"/>
        <v>EF1 E002 Mat</v>
      </c>
    </row>
    <row r="3864" spans="1:31" x14ac:dyDescent="0.25">
      <c r="A3864" s="31"/>
      <c r="B3864" s="16"/>
      <c r="C3864" s="16"/>
      <c r="D3864" s="33"/>
      <c r="E3864" s="33"/>
      <c r="F3864" s="33"/>
      <c r="G3864" s="33"/>
      <c r="H3864" s="33"/>
      <c r="I3864" s="31"/>
      <c r="J3864" s="31"/>
      <c r="K3864" s="33"/>
      <c r="L3864" s="33"/>
      <c r="M3864" s="31"/>
      <c r="N3864" s="31"/>
      <c r="O3864" s="16"/>
      <c r="P3864" s="16"/>
      <c r="Q3864" s="16"/>
      <c r="R3864" s="33"/>
      <c r="S3864" s="34"/>
      <c r="T3864" s="34"/>
      <c r="U3864" s="34"/>
      <c r="V3864" s="34"/>
      <c r="W3864" s="34"/>
      <c r="X3864" s="33"/>
      <c r="Y3864" s="35" t="str">
        <f>IF(Tabela2[[#This Row],[SIGLA]]="","",VLOOKUP(Tabela2[[#This Row],[SIGLA]],Tabela1[[#All],[Sigla Arte]:[Crédito]],2,0))</f>
        <v/>
      </c>
      <c r="Z3864" s="31"/>
      <c r="AA3864" s="31" t="str">
        <f>Tabela2[[#This Row],[ILUSTRADOR CRIAÇÃO]]</f>
        <v/>
      </c>
      <c r="AB3864" s="33"/>
      <c r="AC3864" s="16"/>
      <c r="AE3864" s="35" t="str">
        <f t="shared" si="61"/>
        <v>EF1 E002 Mat</v>
      </c>
    </row>
    <row r="3865" spans="1:31" x14ac:dyDescent="0.25">
      <c r="A3865" s="31"/>
      <c r="B3865" s="16"/>
      <c r="C3865" s="16"/>
      <c r="D3865" s="33"/>
      <c r="E3865" s="33"/>
      <c r="F3865" s="33"/>
      <c r="G3865" s="33"/>
      <c r="H3865" s="33"/>
      <c r="I3865" s="31"/>
      <c r="J3865" s="31"/>
      <c r="K3865" s="33"/>
      <c r="L3865" s="33"/>
      <c r="M3865" s="31"/>
      <c r="N3865" s="31"/>
      <c r="O3865" s="16"/>
      <c r="P3865" s="16"/>
      <c r="Q3865" s="16"/>
      <c r="R3865" s="33"/>
      <c r="S3865" s="34"/>
      <c r="T3865" s="34"/>
      <c r="U3865" s="34"/>
      <c r="V3865" s="34"/>
      <c r="W3865" s="34"/>
      <c r="X3865" s="33"/>
      <c r="Y3865" s="35" t="str">
        <f>IF(Tabela2[[#This Row],[SIGLA]]="","",VLOOKUP(Tabela2[[#This Row],[SIGLA]],Tabela1[[#All],[Sigla Arte]:[Crédito]],2,0))</f>
        <v/>
      </c>
      <c r="Z3865" s="31"/>
      <c r="AA3865" s="31" t="str">
        <f>Tabela2[[#This Row],[ILUSTRADOR CRIAÇÃO]]</f>
        <v/>
      </c>
      <c r="AB3865" s="33"/>
      <c r="AC3865" s="16"/>
      <c r="AE3865" s="35" t="str">
        <f t="shared" si="61"/>
        <v>EF1 E002 Mat</v>
      </c>
    </row>
    <row r="3866" spans="1:31" x14ac:dyDescent="0.25">
      <c r="A3866" s="31"/>
      <c r="B3866" s="16"/>
      <c r="C3866" s="16"/>
      <c r="D3866" s="33"/>
      <c r="E3866" s="33"/>
      <c r="F3866" s="33"/>
      <c r="G3866" s="33"/>
      <c r="H3866" s="33"/>
      <c r="I3866" s="31"/>
      <c r="J3866" s="31"/>
      <c r="K3866" s="33"/>
      <c r="L3866" s="33"/>
      <c r="M3866" s="31"/>
      <c r="N3866" s="31"/>
      <c r="O3866" s="16"/>
      <c r="P3866" s="16"/>
      <c r="Q3866" s="16"/>
      <c r="R3866" s="33"/>
      <c r="S3866" s="34"/>
      <c r="T3866" s="34"/>
      <c r="U3866" s="34"/>
      <c r="V3866" s="34"/>
      <c r="W3866" s="34"/>
      <c r="X3866" s="33"/>
      <c r="Y3866" s="35" t="str">
        <f>IF(Tabela2[[#This Row],[SIGLA]]="","",VLOOKUP(Tabela2[[#This Row],[SIGLA]],Tabela1[[#All],[Sigla Arte]:[Crédito]],2,0))</f>
        <v/>
      </c>
      <c r="Z3866" s="31"/>
      <c r="AA3866" s="31" t="str">
        <f>Tabela2[[#This Row],[ILUSTRADOR CRIAÇÃO]]</f>
        <v/>
      </c>
      <c r="AB3866" s="33"/>
      <c r="AC3866" s="16"/>
      <c r="AE3866" s="35" t="str">
        <f t="shared" si="61"/>
        <v>EF1 E002 Mat</v>
      </c>
    </row>
    <row r="3867" spans="1:31" x14ac:dyDescent="0.25">
      <c r="A3867" s="31"/>
      <c r="B3867" s="16"/>
      <c r="C3867" s="16"/>
      <c r="D3867" s="33"/>
      <c r="E3867" s="33"/>
      <c r="F3867" s="33"/>
      <c r="G3867" s="33"/>
      <c r="H3867" s="33"/>
      <c r="I3867" s="31"/>
      <c r="J3867" s="31"/>
      <c r="K3867" s="33"/>
      <c r="L3867" s="33"/>
      <c r="M3867" s="31"/>
      <c r="N3867" s="31"/>
      <c r="O3867" s="16"/>
      <c r="P3867" s="16"/>
      <c r="Q3867" s="16"/>
      <c r="R3867" s="33"/>
      <c r="S3867" s="34"/>
      <c r="T3867" s="34"/>
      <c r="U3867" s="34"/>
      <c r="V3867" s="34"/>
      <c r="W3867" s="34"/>
      <c r="X3867" s="33"/>
      <c r="Y3867" s="35" t="str">
        <f>IF(Tabela2[[#This Row],[SIGLA]]="","",VLOOKUP(Tabela2[[#This Row],[SIGLA]],Tabela1[[#All],[Sigla Arte]:[Crédito]],2,0))</f>
        <v/>
      </c>
      <c r="Z3867" s="31"/>
      <c r="AA3867" s="31" t="str">
        <f>Tabela2[[#This Row],[ILUSTRADOR CRIAÇÃO]]</f>
        <v/>
      </c>
      <c r="AB3867" s="33"/>
      <c r="AC3867" s="16"/>
      <c r="AE3867" s="35" t="str">
        <f t="shared" si="61"/>
        <v>EF1 E002 Mat</v>
      </c>
    </row>
    <row r="3868" spans="1:31" x14ac:dyDescent="0.25">
      <c r="A3868" s="31"/>
      <c r="B3868" s="16"/>
      <c r="C3868" s="16"/>
      <c r="D3868" s="33"/>
      <c r="E3868" s="33"/>
      <c r="F3868" s="33"/>
      <c r="G3868" s="33"/>
      <c r="H3868" s="33"/>
      <c r="I3868" s="31"/>
      <c r="J3868" s="31"/>
      <c r="K3868" s="33"/>
      <c r="L3868" s="33"/>
      <c r="M3868" s="31"/>
      <c r="N3868" s="31"/>
      <c r="O3868" s="16"/>
      <c r="P3868" s="16"/>
      <c r="Q3868" s="16"/>
      <c r="R3868" s="33"/>
      <c r="S3868" s="34"/>
      <c r="T3868" s="34"/>
      <c r="U3868" s="34"/>
      <c r="V3868" s="34"/>
      <c r="W3868" s="34"/>
      <c r="X3868" s="33"/>
      <c r="Y3868" s="35" t="str">
        <f>IF(Tabela2[[#This Row],[SIGLA]]="","",VLOOKUP(Tabela2[[#This Row],[SIGLA]],Tabela1[[#All],[Sigla Arte]:[Crédito]],2,0))</f>
        <v/>
      </c>
      <c r="Z3868" s="31"/>
      <c r="AA3868" s="31" t="str">
        <f>Tabela2[[#This Row],[ILUSTRADOR CRIAÇÃO]]</f>
        <v/>
      </c>
      <c r="AB3868" s="33"/>
      <c r="AC3868" s="16"/>
      <c r="AE3868" s="35" t="str">
        <f t="shared" si="61"/>
        <v>EF1 E002 Mat</v>
      </c>
    </row>
    <row r="3869" spans="1:31" x14ac:dyDescent="0.25">
      <c r="A3869" s="31"/>
      <c r="B3869" s="16"/>
      <c r="C3869" s="16"/>
      <c r="D3869" s="33"/>
      <c r="E3869" s="33"/>
      <c r="F3869" s="33"/>
      <c r="G3869" s="33"/>
      <c r="H3869" s="33"/>
      <c r="I3869" s="31"/>
      <c r="J3869" s="31"/>
      <c r="K3869" s="33"/>
      <c r="L3869" s="33"/>
      <c r="M3869" s="31"/>
      <c r="N3869" s="31"/>
      <c r="O3869" s="16"/>
      <c r="P3869" s="16"/>
      <c r="Q3869" s="16"/>
      <c r="R3869" s="33"/>
      <c r="S3869" s="34"/>
      <c r="T3869" s="34"/>
      <c r="U3869" s="34"/>
      <c r="V3869" s="34"/>
      <c r="W3869" s="34"/>
      <c r="X3869" s="33"/>
      <c r="Y3869" s="35" t="str">
        <f>IF(Tabela2[[#This Row],[SIGLA]]="","",VLOOKUP(Tabela2[[#This Row],[SIGLA]],Tabela1[[#All],[Sigla Arte]:[Crédito]],2,0))</f>
        <v/>
      </c>
      <c r="Z3869" s="31"/>
      <c r="AA3869" s="31" t="str">
        <f>Tabela2[[#This Row],[ILUSTRADOR CRIAÇÃO]]</f>
        <v/>
      </c>
      <c r="AB3869" s="33"/>
      <c r="AC3869" s="16"/>
      <c r="AE3869" s="35" t="str">
        <f t="shared" si="61"/>
        <v>EF1 E002 Mat</v>
      </c>
    </row>
    <row r="3870" spans="1:31" x14ac:dyDescent="0.25">
      <c r="A3870" s="31"/>
      <c r="B3870" s="16"/>
      <c r="C3870" s="16"/>
      <c r="D3870" s="33"/>
      <c r="E3870" s="33"/>
      <c r="F3870" s="33"/>
      <c r="G3870" s="33"/>
      <c r="H3870" s="33"/>
      <c r="I3870" s="31"/>
      <c r="J3870" s="31"/>
      <c r="K3870" s="33"/>
      <c r="L3870" s="33"/>
      <c r="M3870" s="31"/>
      <c r="N3870" s="31"/>
      <c r="O3870" s="16"/>
      <c r="P3870" s="16"/>
      <c r="Q3870" s="16"/>
      <c r="R3870" s="33"/>
      <c r="S3870" s="34"/>
      <c r="T3870" s="34"/>
      <c r="U3870" s="34"/>
      <c r="V3870" s="34"/>
      <c r="W3870" s="34"/>
      <c r="X3870" s="33"/>
      <c r="Y3870" s="35" t="str">
        <f>IF(Tabela2[[#This Row],[SIGLA]]="","",VLOOKUP(Tabela2[[#This Row],[SIGLA]],Tabela1[[#All],[Sigla Arte]:[Crédito]],2,0))</f>
        <v/>
      </c>
      <c r="Z3870" s="31"/>
      <c r="AA3870" s="31" t="str">
        <f>Tabela2[[#This Row],[ILUSTRADOR CRIAÇÃO]]</f>
        <v/>
      </c>
      <c r="AB3870" s="33"/>
      <c r="AC3870" s="16"/>
      <c r="AE3870" s="35" t="str">
        <f t="shared" si="61"/>
        <v>EF1 E002 Mat</v>
      </c>
    </row>
    <row r="3871" spans="1:31" x14ac:dyDescent="0.25">
      <c r="A3871" s="31"/>
      <c r="B3871" s="16"/>
      <c r="C3871" s="16"/>
      <c r="D3871" s="33"/>
      <c r="E3871" s="33"/>
      <c r="F3871" s="33"/>
      <c r="G3871" s="33"/>
      <c r="H3871" s="33"/>
      <c r="I3871" s="31"/>
      <c r="J3871" s="31"/>
      <c r="K3871" s="33"/>
      <c r="L3871" s="33"/>
      <c r="M3871" s="31"/>
      <c r="N3871" s="31"/>
      <c r="O3871" s="16"/>
      <c r="P3871" s="16"/>
      <c r="Q3871" s="16"/>
      <c r="R3871" s="33"/>
      <c r="S3871" s="34"/>
      <c r="T3871" s="34"/>
      <c r="U3871" s="34"/>
      <c r="V3871" s="34"/>
      <c r="W3871" s="34"/>
      <c r="X3871" s="33"/>
      <c r="Y3871" s="35" t="str">
        <f>IF(Tabela2[[#This Row],[SIGLA]]="","",VLOOKUP(Tabela2[[#This Row],[SIGLA]],Tabela1[[#All],[Sigla Arte]:[Crédito]],2,0))</f>
        <v/>
      </c>
      <c r="Z3871" s="31"/>
      <c r="AA3871" s="31" t="str">
        <f>Tabela2[[#This Row],[ILUSTRADOR CRIAÇÃO]]</f>
        <v/>
      </c>
      <c r="AB3871" s="33"/>
      <c r="AC3871" s="16"/>
      <c r="AE3871" s="35" t="str">
        <f t="shared" si="61"/>
        <v>EF1 E002 Mat</v>
      </c>
    </row>
    <row r="3872" spans="1:31" x14ac:dyDescent="0.25">
      <c r="A3872" s="31"/>
      <c r="B3872" s="16"/>
      <c r="C3872" s="16"/>
      <c r="D3872" s="33"/>
      <c r="E3872" s="33"/>
      <c r="F3872" s="33"/>
      <c r="G3872" s="33"/>
      <c r="H3872" s="33"/>
      <c r="I3872" s="31"/>
      <c r="J3872" s="31"/>
      <c r="K3872" s="33"/>
      <c r="L3872" s="33"/>
      <c r="M3872" s="31"/>
      <c r="N3872" s="31"/>
      <c r="O3872" s="16"/>
      <c r="P3872" s="16"/>
      <c r="Q3872" s="16"/>
      <c r="R3872" s="33"/>
      <c r="S3872" s="34"/>
      <c r="T3872" s="34"/>
      <c r="U3872" s="34"/>
      <c r="V3872" s="34"/>
      <c r="W3872" s="34"/>
      <c r="X3872" s="33"/>
      <c r="Y3872" s="35" t="str">
        <f>IF(Tabela2[[#This Row],[SIGLA]]="","",VLOOKUP(Tabela2[[#This Row],[SIGLA]],Tabela1[[#All],[Sigla Arte]:[Crédito]],2,0))</f>
        <v/>
      </c>
      <c r="Z3872" s="31"/>
      <c r="AA3872" s="31" t="str">
        <f>Tabela2[[#This Row],[ILUSTRADOR CRIAÇÃO]]</f>
        <v/>
      </c>
      <c r="AB3872" s="33"/>
      <c r="AC3872" s="16"/>
      <c r="AE3872" s="35" t="str">
        <f t="shared" si="61"/>
        <v>EF1 E002 Mat</v>
      </c>
    </row>
    <row r="3873" spans="1:31" x14ac:dyDescent="0.25">
      <c r="A3873" s="31"/>
      <c r="B3873" s="16"/>
      <c r="C3873" s="16"/>
      <c r="D3873" s="33"/>
      <c r="E3873" s="33"/>
      <c r="F3873" s="33"/>
      <c r="G3873" s="33"/>
      <c r="H3873" s="33"/>
      <c r="I3873" s="31"/>
      <c r="J3873" s="31"/>
      <c r="K3873" s="33"/>
      <c r="L3873" s="33"/>
      <c r="M3873" s="31"/>
      <c r="N3873" s="31"/>
      <c r="O3873" s="16"/>
      <c r="P3873" s="16"/>
      <c r="Q3873" s="16"/>
      <c r="R3873" s="33"/>
      <c r="S3873" s="34"/>
      <c r="T3873" s="34"/>
      <c r="U3873" s="34"/>
      <c r="V3873" s="34"/>
      <c r="W3873" s="34"/>
      <c r="X3873" s="33"/>
      <c r="Y3873" s="35" t="str">
        <f>IF(Tabela2[[#This Row],[SIGLA]]="","",VLOOKUP(Tabela2[[#This Row],[SIGLA]],Tabela1[[#All],[Sigla Arte]:[Crédito]],2,0))</f>
        <v/>
      </c>
      <c r="Z3873" s="31"/>
      <c r="AA3873" s="31" t="str">
        <f>Tabela2[[#This Row],[ILUSTRADOR CRIAÇÃO]]</f>
        <v/>
      </c>
      <c r="AB3873" s="33"/>
      <c r="AC3873" s="16"/>
      <c r="AE3873" s="35" t="str">
        <f t="shared" si="61"/>
        <v>EF1 E002 Mat</v>
      </c>
    </row>
    <row r="3874" spans="1:31" x14ac:dyDescent="0.25">
      <c r="A3874" s="31"/>
      <c r="B3874" s="16"/>
      <c r="C3874" s="16"/>
      <c r="D3874" s="33"/>
      <c r="E3874" s="33"/>
      <c r="F3874" s="33"/>
      <c r="G3874" s="33"/>
      <c r="H3874" s="33"/>
      <c r="I3874" s="31"/>
      <c r="J3874" s="31"/>
      <c r="K3874" s="33"/>
      <c r="L3874" s="33"/>
      <c r="M3874" s="31"/>
      <c r="N3874" s="31"/>
      <c r="O3874" s="16"/>
      <c r="P3874" s="16"/>
      <c r="Q3874" s="16"/>
      <c r="R3874" s="33"/>
      <c r="S3874" s="34"/>
      <c r="T3874" s="34"/>
      <c r="U3874" s="34"/>
      <c r="V3874" s="34"/>
      <c r="W3874" s="34"/>
      <c r="X3874" s="33"/>
      <c r="Y3874" s="35" t="str">
        <f>IF(Tabela2[[#This Row],[SIGLA]]="","",VLOOKUP(Tabela2[[#This Row],[SIGLA]],Tabela1[[#All],[Sigla Arte]:[Crédito]],2,0))</f>
        <v/>
      </c>
      <c r="Z3874" s="31"/>
      <c r="AA3874" s="31" t="str">
        <f>Tabela2[[#This Row],[ILUSTRADOR CRIAÇÃO]]</f>
        <v/>
      </c>
      <c r="AB3874" s="33"/>
      <c r="AC3874" s="16"/>
      <c r="AE3874" s="35" t="str">
        <f t="shared" si="61"/>
        <v>EF1 E002 Mat</v>
      </c>
    </row>
    <row r="3875" spans="1:31" x14ac:dyDescent="0.25">
      <c r="A3875" s="31"/>
      <c r="B3875" s="16"/>
      <c r="C3875" s="16"/>
      <c r="D3875" s="33"/>
      <c r="E3875" s="33"/>
      <c r="F3875" s="33"/>
      <c r="G3875" s="33"/>
      <c r="H3875" s="33"/>
      <c r="I3875" s="31"/>
      <c r="J3875" s="31"/>
      <c r="K3875" s="33"/>
      <c r="L3875" s="33"/>
      <c r="M3875" s="31"/>
      <c r="N3875" s="31"/>
      <c r="O3875" s="16"/>
      <c r="P3875" s="16"/>
      <c r="Q3875" s="16"/>
      <c r="R3875" s="33"/>
      <c r="S3875" s="34"/>
      <c r="T3875" s="34"/>
      <c r="U3875" s="34"/>
      <c r="V3875" s="34"/>
      <c r="W3875" s="34"/>
      <c r="X3875" s="33"/>
      <c r="Y3875" s="35" t="str">
        <f>IF(Tabela2[[#This Row],[SIGLA]]="","",VLOOKUP(Tabela2[[#This Row],[SIGLA]],Tabela1[[#All],[Sigla Arte]:[Crédito]],2,0))</f>
        <v/>
      </c>
      <c r="Z3875" s="31"/>
      <c r="AA3875" s="31" t="str">
        <f>Tabela2[[#This Row],[ILUSTRADOR CRIAÇÃO]]</f>
        <v/>
      </c>
      <c r="AB3875" s="33"/>
      <c r="AC3875" s="16"/>
      <c r="AE3875" s="35" t="str">
        <f t="shared" si="61"/>
        <v>EF1 E002 Mat</v>
      </c>
    </row>
    <row r="3876" spans="1:31" x14ac:dyDescent="0.25">
      <c r="A3876" s="31"/>
      <c r="B3876" s="16"/>
      <c r="C3876" s="16"/>
      <c r="D3876" s="33"/>
      <c r="E3876" s="33"/>
      <c r="F3876" s="33"/>
      <c r="G3876" s="33"/>
      <c r="H3876" s="33"/>
      <c r="I3876" s="31"/>
      <c r="J3876" s="31"/>
      <c r="K3876" s="33"/>
      <c r="L3876" s="33"/>
      <c r="M3876" s="31"/>
      <c r="N3876" s="31"/>
      <c r="O3876" s="16"/>
      <c r="P3876" s="16"/>
      <c r="Q3876" s="16"/>
      <c r="R3876" s="33"/>
      <c r="S3876" s="34"/>
      <c r="T3876" s="34"/>
      <c r="U3876" s="34"/>
      <c r="V3876" s="34"/>
      <c r="W3876" s="34"/>
      <c r="X3876" s="33"/>
      <c r="Y3876" s="35" t="str">
        <f>IF(Tabela2[[#This Row],[SIGLA]]="","",VLOOKUP(Tabela2[[#This Row],[SIGLA]],Tabela1[[#All],[Sigla Arte]:[Crédito]],2,0))</f>
        <v/>
      </c>
      <c r="Z3876" s="31"/>
      <c r="AA3876" s="31" t="str">
        <f>Tabela2[[#This Row],[ILUSTRADOR CRIAÇÃO]]</f>
        <v/>
      </c>
      <c r="AB3876" s="33"/>
      <c r="AC3876" s="16"/>
      <c r="AE3876" s="35" t="str">
        <f t="shared" si="61"/>
        <v>EF1 E002 Mat</v>
      </c>
    </row>
    <row r="3877" spans="1:31" x14ac:dyDescent="0.25">
      <c r="A3877" s="31"/>
      <c r="B3877" s="16"/>
      <c r="C3877" s="16"/>
      <c r="D3877" s="33"/>
      <c r="E3877" s="33"/>
      <c r="F3877" s="33"/>
      <c r="G3877" s="33"/>
      <c r="H3877" s="33"/>
      <c r="I3877" s="31"/>
      <c r="J3877" s="31"/>
      <c r="K3877" s="33"/>
      <c r="L3877" s="33"/>
      <c r="M3877" s="31"/>
      <c r="N3877" s="31"/>
      <c r="O3877" s="16"/>
      <c r="P3877" s="16"/>
      <c r="Q3877" s="16"/>
      <c r="R3877" s="33"/>
      <c r="S3877" s="34"/>
      <c r="T3877" s="34"/>
      <c r="U3877" s="34"/>
      <c r="V3877" s="34"/>
      <c r="W3877" s="34"/>
      <c r="X3877" s="33"/>
      <c r="Y3877" s="35" t="str">
        <f>IF(Tabela2[[#This Row],[SIGLA]]="","",VLOOKUP(Tabela2[[#This Row],[SIGLA]],Tabela1[[#All],[Sigla Arte]:[Crédito]],2,0))</f>
        <v/>
      </c>
      <c r="Z3877" s="31"/>
      <c r="AA3877" s="31" t="str">
        <f>Tabela2[[#This Row],[ILUSTRADOR CRIAÇÃO]]</f>
        <v/>
      </c>
      <c r="AB3877" s="33"/>
      <c r="AC3877" s="16"/>
      <c r="AE3877" s="35" t="str">
        <f t="shared" si="61"/>
        <v>EF1 E002 Mat</v>
      </c>
    </row>
    <row r="3878" spans="1:31" x14ac:dyDescent="0.25">
      <c r="A3878" s="31"/>
      <c r="B3878" s="16"/>
      <c r="C3878" s="16"/>
      <c r="D3878" s="33"/>
      <c r="E3878" s="33"/>
      <c r="F3878" s="33"/>
      <c r="G3878" s="33"/>
      <c r="H3878" s="33"/>
      <c r="I3878" s="31"/>
      <c r="J3878" s="31"/>
      <c r="K3878" s="33"/>
      <c r="L3878" s="33"/>
      <c r="M3878" s="31"/>
      <c r="N3878" s="31"/>
      <c r="O3878" s="16"/>
      <c r="P3878" s="16"/>
      <c r="Q3878" s="16"/>
      <c r="R3878" s="33"/>
      <c r="S3878" s="34"/>
      <c r="T3878" s="34"/>
      <c r="U3878" s="34"/>
      <c r="V3878" s="34"/>
      <c r="W3878" s="34"/>
      <c r="X3878" s="33"/>
      <c r="Y3878" s="35" t="str">
        <f>IF(Tabela2[[#This Row],[SIGLA]]="","",VLOOKUP(Tabela2[[#This Row],[SIGLA]],Tabela1[[#All],[Sigla Arte]:[Crédito]],2,0))</f>
        <v/>
      </c>
      <c r="Z3878" s="31"/>
      <c r="AA3878" s="31" t="str">
        <f>Tabela2[[#This Row],[ILUSTRADOR CRIAÇÃO]]</f>
        <v/>
      </c>
      <c r="AB3878" s="33"/>
      <c r="AC3878" s="16"/>
      <c r="AE3878" s="35" t="str">
        <f t="shared" si="61"/>
        <v>EF1 E002 Mat</v>
      </c>
    </row>
    <row r="3879" spans="1:31" x14ac:dyDescent="0.25">
      <c r="A3879" s="31"/>
      <c r="B3879" s="16"/>
      <c r="C3879" s="16"/>
      <c r="D3879" s="33"/>
      <c r="E3879" s="33"/>
      <c r="F3879" s="33"/>
      <c r="G3879" s="33"/>
      <c r="H3879" s="33"/>
      <c r="I3879" s="31"/>
      <c r="J3879" s="31"/>
      <c r="K3879" s="33"/>
      <c r="L3879" s="33"/>
      <c r="M3879" s="31"/>
      <c r="N3879" s="31"/>
      <c r="O3879" s="16"/>
      <c r="P3879" s="16"/>
      <c r="Q3879" s="16"/>
      <c r="R3879" s="33"/>
      <c r="S3879" s="34"/>
      <c r="T3879" s="34"/>
      <c r="U3879" s="34"/>
      <c r="V3879" s="34"/>
      <c r="W3879" s="34"/>
      <c r="X3879" s="33"/>
      <c r="Y3879" s="35" t="str">
        <f>IF(Tabela2[[#This Row],[SIGLA]]="","",VLOOKUP(Tabela2[[#This Row],[SIGLA]],Tabela1[[#All],[Sigla Arte]:[Crédito]],2,0))</f>
        <v/>
      </c>
      <c r="Z3879" s="31"/>
      <c r="AA3879" s="31" t="str">
        <f>Tabela2[[#This Row],[ILUSTRADOR CRIAÇÃO]]</f>
        <v/>
      </c>
      <c r="AB3879" s="33"/>
      <c r="AC3879" s="16"/>
      <c r="AE3879" s="35" t="str">
        <f t="shared" si="61"/>
        <v>EF1 E002 Mat</v>
      </c>
    </row>
    <row r="3880" spans="1:31" x14ac:dyDescent="0.25">
      <c r="A3880" s="31"/>
      <c r="B3880" s="16"/>
      <c r="C3880" s="16"/>
      <c r="D3880" s="33"/>
      <c r="E3880" s="33"/>
      <c r="F3880" s="33"/>
      <c r="G3880" s="33"/>
      <c r="H3880" s="33"/>
      <c r="I3880" s="31"/>
      <c r="J3880" s="31"/>
      <c r="K3880" s="33"/>
      <c r="L3880" s="33"/>
      <c r="M3880" s="31"/>
      <c r="N3880" s="31"/>
      <c r="O3880" s="16"/>
      <c r="P3880" s="16"/>
      <c r="Q3880" s="16"/>
      <c r="R3880" s="33"/>
      <c r="S3880" s="34"/>
      <c r="T3880" s="34"/>
      <c r="U3880" s="34"/>
      <c r="V3880" s="34"/>
      <c r="W3880" s="34"/>
      <c r="X3880" s="33"/>
      <c r="Y3880" s="35" t="str">
        <f>IF(Tabela2[[#This Row],[SIGLA]]="","",VLOOKUP(Tabela2[[#This Row],[SIGLA]],Tabela1[[#All],[Sigla Arte]:[Crédito]],2,0))</f>
        <v/>
      </c>
      <c r="Z3880" s="31"/>
      <c r="AA3880" s="31" t="str">
        <f>Tabela2[[#This Row],[ILUSTRADOR CRIAÇÃO]]</f>
        <v/>
      </c>
      <c r="AB3880" s="33"/>
      <c r="AC3880" s="16"/>
      <c r="AE3880" s="35" t="str">
        <f t="shared" si="61"/>
        <v>EF1 E002 Mat</v>
      </c>
    </row>
    <row r="3881" spans="1:31" x14ac:dyDescent="0.25">
      <c r="A3881" s="31"/>
      <c r="B3881" s="16"/>
      <c r="C3881" s="16"/>
      <c r="D3881" s="33"/>
      <c r="E3881" s="33"/>
      <c r="F3881" s="33"/>
      <c r="G3881" s="33"/>
      <c r="H3881" s="33"/>
      <c r="I3881" s="31"/>
      <c r="J3881" s="31"/>
      <c r="K3881" s="33"/>
      <c r="L3881" s="33"/>
      <c r="M3881" s="31"/>
      <c r="N3881" s="31"/>
      <c r="O3881" s="16"/>
      <c r="P3881" s="16"/>
      <c r="Q3881" s="16"/>
      <c r="R3881" s="33"/>
      <c r="S3881" s="34"/>
      <c r="T3881" s="34"/>
      <c r="U3881" s="34"/>
      <c r="V3881" s="34"/>
      <c r="W3881" s="34"/>
      <c r="X3881" s="33"/>
      <c r="Y3881" s="35" t="str">
        <f>IF(Tabela2[[#This Row],[SIGLA]]="","",VLOOKUP(Tabela2[[#This Row],[SIGLA]],Tabela1[[#All],[Sigla Arte]:[Crédito]],2,0))</f>
        <v/>
      </c>
      <c r="Z3881" s="31"/>
      <c r="AA3881" s="31" t="str">
        <f>Tabela2[[#This Row],[ILUSTRADOR CRIAÇÃO]]</f>
        <v/>
      </c>
      <c r="AB3881" s="33"/>
      <c r="AC3881" s="16"/>
      <c r="AE3881" s="35" t="str">
        <f t="shared" si="61"/>
        <v>EF1 E002 Mat</v>
      </c>
    </row>
    <row r="3882" spans="1:31" x14ac:dyDescent="0.25">
      <c r="A3882" s="31"/>
      <c r="B3882" s="16"/>
      <c r="C3882" s="16"/>
      <c r="D3882" s="33"/>
      <c r="E3882" s="33"/>
      <c r="F3882" s="33"/>
      <c r="G3882" s="33"/>
      <c r="H3882" s="33"/>
      <c r="I3882" s="31"/>
      <c r="J3882" s="31"/>
      <c r="K3882" s="33"/>
      <c r="L3882" s="33"/>
      <c r="M3882" s="31"/>
      <c r="N3882" s="31"/>
      <c r="O3882" s="16"/>
      <c r="P3882" s="16"/>
      <c r="Q3882" s="16"/>
      <c r="R3882" s="33"/>
      <c r="S3882" s="34"/>
      <c r="T3882" s="34"/>
      <c r="U3882" s="34"/>
      <c r="V3882" s="34"/>
      <c r="W3882" s="34"/>
      <c r="X3882" s="33"/>
      <c r="Y3882" s="35" t="str">
        <f>IF(Tabela2[[#This Row],[SIGLA]]="","",VLOOKUP(Tabela2[[#This Row],[SIGLA]],Tabela1[[#All],[Sigla Arte]:[Crédito]],2,0))</f>
        <v/>
      </c>
      <c r="Z3882" s="31"/>
      <c r="AA3882" s="31" t="str">
        <f>Tabela2[[#This Row],[ILUSTRADOR CRIAÇÃO]]</f>
        <v/>
      </c>
      <c r="AB3882" s="33"/>
      <c r="AC3882" s="16"/>
      <c r="AE3882" s="35" t="str">
        <f t="shared" si="61"/>
        <v>EF1 E002 Mat</v>
      </c>
    </row>
    <row r="3883" spans="1:31" x14ac:dyDescent="0.25">
      <c r="A3883" s="31"/>
      <c r="B3883" s="16"/>
      <c r="C3883" s="16"/>
      <c r="D3883" s="33"/>
      <c r="E3883" s="33"/>
      <c r="F3883" s="33"/>
      <c r="G3883" s="33"/>
      <c r="H3883" s="33"/>
      <c r="I3883" s="31"/>
      <c r="J3883" s="31"/>
      <c r="K3883" s="33"/>
      <c r="L3883" s="33"/>
      <c r="M3883" s="31"/>
      <c r="N3883" s="31"/>
      <c r="O3883" s="16"/>
      <c r="P3883" s="16"/>
      <c r="Q3883" s="16"/>
      <c r="R3883" s="33"/>
      <c r="S3883" s="34"/>
      <c r="T3883" s="34"/>
      <c r="U3883" s="34"/>
      <c r="V3883" s="34"/>
      <c r="W3883" s="34"/>
      <c r="X3883" s="33"/>
      <c r="Y3883" s="35" t="str">
        <f>IF(Tabela2[[#This Row],[SIGLA]]="","",VLOOKUP(Tabela2[[#This Row],[SIGLA]],Tabela1[[#All],[Sigla Arte]:[Crédito]],2,0))</f>
        <v/>
      </c>
      <c r="Z3883" s="31"/>
      <c r="AA3883" s="31" t="str">
        <f>Tabela2[[#This Row],[ILUSTRADOR CRIAÇÃO]]</f>
        <v/>
      </c>
      <c r="AB3883" s="33"/>
      <c r="AC3883" s="16"/>
      <c r="AE3883" s="35" t="str">
        <f t="shared" si="61"/>
        <v>EF1 E002 Mat</v>
      </c>
    </row>
    <row r="3884" spans="1:31" x14ac:dyDescent="0.25">
      <c r="A3884" s="31"/>
      <c r="B3884" s="16"/>
      <c r="C3884" s="16"/>
      <c r="D3884" s="33"/>
      <c r="E3884" s="33"/>
      <c r="F3884" s="33"/>
      <c r="G3884" s="33"/>
      <c r="H3884" s="33"/>
      <c r="I3884" s="31"/>
      <c r="J3884" s="31"/>
      <c r="K3884" s="33"/>
      <c r="L3884" s="33"/>
      <c r="M3884" s="31"/>
      <c r="N3884" s="31"/>
      <c r="O3884" s="16"/>
      <c r="P3884" s="16"/>
      <c r="Q3884" s="16"/>
      <c r="R3884" s="33"/>
      <c r="S3884" s="34"/>
      <c r="T3884" s="34"/>
      <c r="U3884" s="34"/>
      <c r="V3884" s="34"/>
      <c r="W3884" s="34"/>
      <c r="X3884" s="33"/>
      <c r="Y3884" s="35" t="str">
        <f>IF(Tabela2[[#This Row],[SIGLA]]="","",VLOOKUP(Tabela2[[#This Row],[SIGLA]],Tabela1[[#All],[Sigla Arte]:[Crédito]],2,0))</f>
        <v/>
      </c>
      <c r="Z3884" s="31"/>
      <c r="AA3884" s="31" t="str">
        <f>Tabela2[[#This Row],[ILUSTRADOR CRIAÇÃO]]</f>
        <v/>
      </c>
      <c r="AB3884" s="33"/>
      <c r="AC3884" s="16"/>
      <c r="AE3884" s="35" t="str">
        <f t="shared" si="61"/>
        <v>EF1 E002 Mat</v>
      </c>
    </row>
    <row r="3885" spans="1:31" x14ac:dyDescent="0.25">
      <c r="A3885" s="31"/>
      <c r="B3885" s="16"/>
      <c r="C3885" s="16"/>
      <c r="D3885" s="33"/>
      <c r="E3885" s="33"/>
      <c r="F3885" s="33"/>
      <c r="G3885" s="33"/>
      <c r="H3885" s="33"/>
      <c r="I3885" s="31"/>
      <c r="J3885" s="31"/>
      <c r="K3885" s="33"/>
      <c r="L3885" s="33"/>
      <c r="M3885" s="31"/>
      <c r="N3885" s="31"/>
      <c r="O3885" s="16"/>
      <c r="P3885" s="16"/>
      <c r="Q3885" s="16"/>
      <c r="R3885" s="33"/>
      <c r="S3885" s="34"/>
      <c r="T3885" s="34"/>
      <c r="U3885" s="34"/>
      <c r="V3885" s="34"/>
      <c r="W3885" s="34"/>
      <c r="X3885" s="33"/>
      <c r="Y3885" s="35" t="str">
        <f>IF(Tabela2[[#This Row],[SIGLA]]="","",VLOOKUP(Tabela2[[#This Row],[SIGLA]],Tabela1[[#All],[Sigla Arte]:[Crédito]],2,0))</f>
        <v/>
      </c>
      <c r="Z3885" s="31"/>
      <c r="AA3885" s="31" t="str">
        <f>Tabela2[[#This Row],[ILUSTRADOR CRIAÇÃO]]</f>
        <v/>
      </c>
      <c r="AB3885" s="33"/>
      <c r="AC3885" s="16"/>
      <c r="AE3885" s="35" t="str">
        <f t="shared" si="61"/>
        <v>EF1 E002 Mat</v>
      </c>
    </row>
    <row r="3886" spans="1:31" x14ac:dyDescent="0.25">
      <c r="A3886" s="31"/>
      <c r="B3886" s="16"/>
      <c r="C3886" s="16"/>
      <c r="D3886" s="33"/>
      <c r="E3886" s="33"/>
      <c r="F3886" s="33"/>
      <c r="G3886" s="33"/>
      <c r="H3886" s="33"/>
      <c r="I3886" s="31"/>
      <c r="J3886" s="31"/>
      <c r="K3886" s="33"/>
      <c r="L3886" s="33"/>
      <c r="M3886" s="31"/>
      <c r="N3886" s="31"/>
      <c r="O3886" s="16"/>
      <c r="P3886" s="16"/>
      <c r="Q3886" s="16"/>
      <c r="R3886" s="33"/>
      <c r="S3886" s="34"/>
      <c r="T3886" s="34"/>
      <c r="U3886" s="34"/>
      <c r="V3886" s="34"/>
      <c r="W3886" s="34"/>
      <c r="X3886" s="33"/>
      <c r="Y3886" s="35" t="str">
        <f>IF(Tabela2[[#This Row],[SIGLA]]="","",VLOOKUP(Tabela2[[#This Row],[SIGLA]],Tabela1[[#All],[Sigla Arte]:[Crédito]],2,0))</f>
        <v/>
      </c>
      <c r="Z3886" s="31"/>
      <c r="AA3886" s="31" t="str">
        <f>Tabela2[[#This Row],[ILUSTRADOR CRIAÇÃO]]</f>
        <v/>
      </c>
      <c r="AB3886" s="33"/>
      <c r="AC3886" s="16"/>
      <c r="AE3886" s="35" t="str">
        <f t="shared" si="61"/>
        <v>EF1 E002 Mat</v>
      </c>
    </row>
    <row r="3887" spans="1:31" x14ac:dyDescent="0.25">
      <c r="A3887" s="31"/>
      <c r="B3887" s="16"/>
      <c r="C3887" s="16"/>
      <c r="D3887" s="33"/>
      <c r="E3887" s="33"/>
      <c r="F3887" s="33"/>
      <c r="G3887" s="33"/>
      <c r="H3887" s="33"/>
      <c r="I3887" s="31"/>
      <c r="J3887" s="31"/>
      <c r="K3887" s="33"/>
      <c r="L3887" s="33"/>
      <c r="M3887" s="31"/>
      <c r="N3887" s="31"/>
      <c r="O3887" s="16"/>
      <c r="P3887" s="16"/>
      <c r="Q3887" s="16"/>
      <c r="R3887" s="33"/>
      <c r="S3887" s="34"/>
      <c r="T3887" s="34"/>
      <c r="U3887" s="34"/>
      <c r="V3887" s="34"/>
      <c r="W3887" s="34"/>
      <c r="X3887" s="33"/>
      <c r="Y3887" s="35" t="str">
        <f>IF(Tabela2[[#This Row],[SIGLA]]="","",VLOOKUP(Tabela2[[#This Row],[SIGLA]],Tabela1[[#All],[Sigla Arte]:[Crédito]],2,0))</f>
        <v/>
      </c>
      <c r="Z3887" s="31"/>
      <c r="AA3887" s="31" t="str">
        <f>Tabela2[[#This Row],[ILUSTRADOR CRIAÇÃO]]</f>
        <v/>
      </c>
      <c r="AB3887" s="33"/>
      <c r="AC3887" s="16"/>
      <c r="AE3887" s="35" t="str">
        <f t="shared" si="61"/>
        <v>EF1 E002 Mat</v>
      </c>
    </row>
    <row r="3888" spans="1:31" x14ac:dyDescent="0.25">
      <c r="A3888" s="31"/>
      <c r="B3888" s="16"/>
      <c r="C3888" s="16"/>
      <c r="D3888" s="33"/>
      <c r="E3888" s="33"/>
      <c r="F3888" s="33"/>
      <c r="G3888" s="33"/>
      <c r="H3888" s="33"/>
      <c r="I3888" s="31"/>
      <c r="J3888" s="31"/>
      <c r="K3888" s="33"/>
      <c r="L3888" s="33"/>
      <c r="M3888" s="31"/>
      <c r="N3888" s="31"/>
      <c r="O3888" s="16"/>
      <c r="P3888" s="16"/>
      <c r="Q3888" s="16"/>
      <c r="R3888" s="33"/>
      <c r="S3888" s="34"/>
      <c r="T3888" s="34"/>
      <c r="U3888" s="34"/>
      <c r="V3888" s="34"/>
      <c r="W3888" s="34"/>
      <c r="X3888" s="33"/>
      <c r="Y3888" s="35" t="str">
        <f>IF(Tabela2[[#This Row],[SIGLA]]="","",VLOOKUP(Tabela2[[#This Row],[SIGLA]],Tabela1[[#All],[Sigla Arte]:[Crédito]],2,0))</f>
        <v/>
      </c>
      <c r="Z3888" s="31"/>
      <c r="AA3888" s="31" t="str">
        <f>Tabela2[[#This Row],[ILUSTRADOR CRIAÇÃO]]</f>
        <v/>
      </c>
      <c r="AB3888" s="33"/>
      <c r="AC3888" s="16"/>
      <c r="AE3888" s="35" t="str">
        <f t="shared" si="61"/>
        <v>EF1 E002 Mat</v>
      </c>
    </row>
    <row r="3889" spans="1:31" x14ac:dyDescent="0.25">
      <c r="A3889" s="31"/>
      <c r="B3889" s="16"/>
      <c r="C3889" s="16"/>
      <c r="D3889" s="33"/>
      <c r="E3889" s="33"/>
      <c r="F3889" s="33"/>
      <c r="G3889" s="33"/>
      <c r="H3889" s="33"/>
      <c r="I3889" s="31"/>
      <c r="J3889" s="31"/>
      <c r="K3889" s="33"/>
      <c r="L3889" s="33"/>
      <c r="M3889" s="31"/>
      <c r="N3889" s="31"/>
      <c r="O3889" s="16"/>
      <c r="P3889" s="16"/>
      <c r="Q3889" s="16"/>
      <c r="R3889" s="33"/>
      <c r="S3889" s="34"/>
      <c r="T3889" s="34"/>
      <c r="U3889" s="34"/>
      <c r="V3889" s="34"/>
      <c r="W3889" s="34"/>
      <c r="X3889" s="33"/>
      <c r="Y3889" s="35" t="str">
        <f>IF(Tabela2[[#This Row],[SIGLA]]="","",VLOOKUP(Tabela2[[#This Row],[SIGLA]],Tabela1[[#All],[Sigla Arte]:[Crédito]],2,0))</f>
        <v/>
      </c>
      <c r="Z3889" s="31"/>
      <c r="AA3889" s="31" t="str">
        <f>Tabela2[[#This Row],[ILUSTRADOR CRIAÇÃO]]</f>
        <v/>
      </c>
      <c r="AB3889" s="33"/>
      <c r="AC3889" s="16"/>
      <c r="AE3889" s="35" t="str">
        <f t="shared" si="61"/>
        <v>EF1 E002 Mat</v>
      </c>
    </row>
    <row r="3890" spans="1:31" x14ac:dyDescent="0.25">
      <c r="A3890" s="31"/>
      <c r="B3890" s="16"/>
      <c r="C3890" s="16"/>
      <c r="D3890" s="33"/>
      <c r="E3890" s="33"/>
      <c r="F3890" s="33"/>
      <c r="G3890" s="33"/>
      <c r="H3890" s="33"/>
      <c r="I3890" s="31"/>
      <c r="J3890" s="31"/>
      <c r="K3890" s="33"/>
      <c r="L3890" s="33"/>
      <c r="M3890" s="31"/>
      <c r="N3890" s="31"/>
      <c r="O3890" s="16"/>
      <c r="P3890" s="16"/>
      <c r="Q3890" s="16"/>
      <c r="R3890" s="33"/>
      <c r="S3890" s="34"/>
      <c r="T3890" s="34"/>
      <c r="U3890" s="34"/>
      <c r="V3890" s="34"/>
      <c r="W3890" s="34"/>
      <c r="X3890" s="33"/>
      <c r="Y3890" s="35" t="str">
        <f>IF(Tabela2[[#This Row],[SIGLA]]="","",VLOOKUP(Tabela2[[#This Row],[SIGLA]],Tabela1[[#All],[Sigla Arte]:[Crédito]],2,0))</f>
        <v/>
      </c>
      <c r="Z3890" s="31"/>
      <c r="AA3890" s="31" t="str">
        <f>Tabela2[[#This Row],[ILUSTRADOR CRIAÇÃO]]</f>
        <v/>
      </c>
      <c r="AB3890" s="33"/>
      <c r="AC3890" s="16"/>
      <c r="AE3890" s="35" t="str">
        <f t="shared" ref="AE3890:AE3953" si="62">"EF1 E002 Mat"</f>
        <v>EF1 E002 Mat</v>
      </c>
    </row>
    <row r="3891" spans="1:31" x14ac:dyDescent="0.25">
      <c r="A3891" s="31"/>
      <c r="B3891" s="16"/>
      <c r="C3891" s="16"/>
      <c r="D3891" s="33"/>
      <c r="E3891" s="33"/>
      <c r="F3891" s="33"/>
      <c r="G3891" s="33"/>
      <c r="H3891" s="33"/>
      <c r="I3891" s="31"/>
      <c r="J3891" s="31"/>
      <c r="K3891" s="33"/>
      <c r="L3891" s="33"/>
      <c r="M3891" s="31"/>
      <c r="N3891" s="31"/>
      <c r="O3891" s="16"/>
      <c r="P3891" s="16"/>
      <c r="Q3891" s="16"/>
      <c r="R3891" s="33"/>
      <c r="S3891" s="34"/>
      <c r="T3891" s="34"/>
      <c r="U3891" s="34"/>
      <c r="V3891" s="34"/>
      <c r="W3891" s="34"/>
      <c r="X3891" s="33"/>
      <c r="Y3891" s="35" t="str">
        <f>IF(Tabela2[[#This Row],[SIGLA]]="","",VLOOKUP(Tabela2[[#This Row],[SIGLA]],Tabela1[[#All],[Sigla Arte]:[Crédito]],2,0))</f>
        <v/>
      </c>
      <c r="Z3891" s="31"/>
      <c r="AA3891" s="31" t="str">
        <f>Tabela2[[#This Row],[ILUSTRADOR CRIAÇÃO]]</f>
        <v/>
      </c>
      <c r="AB3891" s="33"/>
      <c r="AC3891" s="16"/>
      <c r="AE3891" s="35" t="str">
        <f t="shared" si="62"/>
        <v>EF1 E002 Mat</v>
      </c>
    </row>
    <row r="3892" spans="1:31" x14ac:dyDescent="0.25">
      <c r="A3892" s="31"/>
      <c r="B3892" s="16"/>
      <c r="C3892" s="16"/>
      <c r="D3892" s="33"/>
      <c r="E3892" s="33"/>
      <c r="F3892" s="33"/>
      <c r="G3892" s="33"/>
      <c r="H3892" s="33"/>
      <c r="I3892" s="31"/>
      <c r="J3892" s="31"/>
      <c r="K3892" s="33"/>
      <c r="L3892" s="33"/>
      <c r="M3892" s="31"/>
      <c r="N3892" s="31"/>
      <c r="O3892" s="16"/>
      <c r="P3892" s="16"/>
      <c r="Q3892" s="16"/>
      <c r="R3892" s="33"/>
      <c r="S3892" s="34"/>
      <c r="T3892" s="34"/>
      <c r="U3892" s="34"/>
      <c r="V3892" s="34"/>
      <c r="W3892" s="34"/>
      <c r="X3892" s="33"/>
      <c r="Y3892" s="35" t="str">
        <f>IF(Tabela2[[#This Row],[SIGLA]]="","",VLOOKUP(Tabela2[[#This Row],[SIGLA]],Tabela1[[#All],[Sigla Arte]:[Crédito]],2,0))</f>
        <v/>
      </c>
      <c r="Z3892" s="31"/>
      <c r="AA3892" s="31" t="str">
        <f>Tabela2[[#This Row],[ILUSTRADOR CRIAÇÃO]]</f>
        <v/>
      </c>
      <c r="AB3892" s="33"/>
      <c r="AC3892" s="16"/>
      <c r="AE3892" s="35" t="str">
        <f t="shared" si="62"/>
        <v>EF1 E002 Mat</v>
      </c>
    </row>
    <row r="3893" spans="1:31" x14ac:dyDescent="0.25">
      <c r="A3893" s="31"/>
      <c r="B3893" s="16"/>
      <c r="C3893" s="16"/>
      <c r="D3893" s="33"/>
      <c r="E3893" s="33"/>
      <c r="F3893" s="33"/>
      <c r="G3893" s="33"/>
      <c r="H3893" s="33"/>
      <c r="I3893" s="31"/>
      <c r="J3893" s="31"/>
      <c r="K3893" s="33"/>
      <c r="L3893" s="33"/>
      <c r="M3893" s="31"/>
      <c r="N3893" s="31"/>
      <c r="O3893" s="16"/>
      <c r="P3893" s="16"/>
      <c r="Q3893" s="16"/>
      <c r="R3893" s="33"/>
      <c r="S3893" s="34"/>
      <c r="T3893" s="34"/>
      <c r="U3893" s="34"/>
      <c r="V3893" s="34"/>
      <c r="W3893" s="34"/>
      <c r="X3893" s="33"/>
      <c r="Y3893" s="35" t="str">
        <f>IF(Tabela2[[#This Row],[SIGLA]]="","",VLOOKUP(Tabela2[[#This Row],[SIGLA]],Tabela1[[#All],[Sigla Arte]:[Crédito]],2,0))</f>
        <v/>
      </c>
      <c r="Z3893" s="31"/>
      <c r="AA3893" s="31" t="str">
        <f>Tabela2[[#This Row],[ILUSTRADOR CRIAÇÃO]]</f>
        <v/>
      </c>
      <c r="AB3893" s="33"/>
      <c r="AC3893" s="16"/>
      <c r="AE3893" s="35" t="str">
        <f t="shared" si="62"/>
        <v>EF1 E002 Mat</v>
      </c>
    </row>
    <row r="3894" spans="1:31" x14ac:dyDescent="0.25">
      <c r="A3894" s="31"/>
      <c r="B3894" s="16"/>
      <c r="C3894" s="16"/>
      <c r="D3894" s="33"/>
      <c r="E3894" s="33"/>
      <c r="F3894" s="33"/>
      <c r="G3894" s="33"/>
      <c r="H3894" s="33"/>
      <c r="I3894" s="31"/>
      <c r="J3894" s="31"/>
      <c r="K3894" s="33"/>
      <c r="L3894" s="33"/>
      <c r="M3894" s="31"/>
      <c r="N3894" s="31"/>
      <c r="O3894" s="16"/>
      <c r="P3894" s="16"/>
      <c r="Q3894" s="16"/>
      <c r="R3894" s="33"/>
      <c r="S3894" s="34"/>
      <c r="T3894" s="34"/>
      <c r="U3894" s="34"/>
      <c r="V3894" s="34"/>
      <c r="W3894" s="34"/>
      <c r="X3894" s="33"/>
      <c r="Y3894" s="35" t="str">
        <f>IF(Tabela2[[#This Row],[SIGLA]]="","",VLOOKUP(Tabela2[[#This Row],[SIGLA]],Tabela1[[#All],[Sigla Arte]:[Crédito]],2,0))</f>
        <v/>
      </c>
      <c r="Z3894" s="31"/>
      <c r="AA3894" s="31" t="str">
        <f>Tabela2[[#This Row],[ILUSTRADOR CRIAÇÃO]]</f>
        <v/>
      </c>
      <c r="AB3894" s="33"/>
      <c r="AC3894" s="16"/>
      <c r="AE3894" s="35" t="str">
        <f t="shared" si="62"/>
        <v>EF1 E002 Mat</v>
      </c>
    </row>
    <row r="3895" spans="1:31" x14ac:dyDescent="0.25">
      <c r="A3895" s="31"/>
      <c r="B3895" s="16"/>
      <c r="C3895" s="16"/>
      <c r="D3895" s="33"/>
      <c r="E3895" s="33"/>
      <c r="F3895" s="33"/>
      <c r="G3895" s="33"/>
      <c r="H3895" s="33"/>
      <c r="I3895" s="31"/>
      <c r="J3895" s="31"/>
      <c r="K3895" s="33"/>
      <c r="L3895" s="33"/>
      <c r="M3895" s="31"/>
      <c r="N3895" s="31"/>
      <c r="O3895" s="16"/>
      <c r="P3895" s="16"/>
      <c r="Q3895" s="16"/>
      <c r="R3895" s="33"/>
      <c r="S3895" s="34"/>
      <c r="T3895" s="34"/>
      <c r="U3895" s="34"/>
      <c r="V3895" s="34"/>
      <c r="W3895" s="34"/>
      <c r="X3895" s="33"/>
      <c r="Y3895" s="35" t="str">
        <f>IF(Tabela2[[#This Row],[SIGLA]]="","",VLOOKUP(Tabela2[[#This Row],[SIGLA]],Tabela1[[#All],[Sigla Arte]:[Crédito]],2,0))</f>
        <v/>
      </c>
      <c r="Z3895" s="31"/>
      <c r="AA3895" s="31" t="str">
        <f>Tabela2[[#This Row],[ILUSTRADOR CRIAÇÃO]]</f>
        <v/>
      </c>
      <c r="AB3895" s="33"/>
      <c r="AC3895" s="16"/>
      <c r="AE3895" s="35" t="str">
        <f t="shared" si="62"/>
        <v>EF1 E002 Mat</v>
      </c>
    </row>
    <row r="3896" spans="1:31" x14ac:dyDescent="0.25">
      <c r="A3896" s="31"/>
      <c r="B3896" s="16"/>
      <c r="C3896" s="16"/>
      <c r="D3896" s="33"/>
      <c r="E3896" s="33"/>
      <c r="F3896" s="33"/>
      <c r="G3896" s="33"/>
      <c r="H3896" s="33"/>
      <c r="I3896" s="31"/>
      <c r="J3896" s="31"/>
      <c r="K3896" s="33"/>
      <c r="L3896" s="33"/>
      <c r="M3896" s="31"/>
      <c r="N3896" s="31"/>
      <c r="O3896" s="16"/>
      <c r="P3896" s="16"/>
      <c r="Q3896" s="16"/>
      <c r="R3896" s="33"/>
      <c r="S3896" s="34"/>
      <c r="T3896" s="34"/>
      <c r="U3896" s="34"/>
      <c r="V3896" s="34"/>
      <c r="W3896" s="34"/>
      <c r="X3896" s="33"/>
      <c r="Y3896" s="35" t="str">
        <f>IF(Tabela2[[#This Row],[SIGLA]]="","",VLOOKUP(Tabela2[[#This Row],[SIGLA]],Tabela1[[#All],[Sigla Arte]:[Crédito]],2,0))</f>
        <v/>
      </c>
      <c r="Z3896" s="31"/>
      <c r="AA3896" s="31" t="str">
        <f>Tabela2[[#This Row],[ILUSTRADOR CRIAÇÃO]]</f>
        <v/>
      </c>
      <c r="AB3896" s="33"/>
      <c r="AC3896" s="16"/>
      <c r="AE3896" s="35" t="str">
        <f t="shared" si="62"/>
        <v>EF1 E002 Mat</v>
      </c>
    </row>
    <row r="3897" spans="1:31" x14ac:dyDescent="0.25">
      <c r="A3897" s="31"/>
      <c r="B3897" s="16"/>
      <c r="C3897" s="16"/>
      <c r="D3897" s="33"/>
      <c r="E3897" s="33"/>
      <c r="F3897" s="33"/>
      <c r="G3897" s="33"/>
      <c r="H3897" s="33"/>
      <c r="I3897" s="31"/>
      <c r="J3897" s="31"/>
      <c r="K3897" s="33"/>
      <c r="L3897" s="33"/>
      <c r="M3897" s="31"/>
      <c r="N3897" s="31"/>
      <c r="O3897" s="16"/>
      <c r="P3897" s="16"/>
      <c r="Q3897" s="16"/>
      <c r="R3897" s="33"/>
      <c r="S3897" s="34"/>
      <c r="T3897" s="34"/>
      <c r="U3897" s="34"/>
      <c r="V3897" s="34"/>
      <c r="W3897" s="34"/>
      <c r="X3897" s="33"/>
      <c r="Y3897" s="35" t="str">
        <f>IF(Tabela2[[#This Row],[SIGLA]]="","",VLOOKUP(Tabela2[[#This Row],[SIGLA]],Tabela1[[#All],[Sigla Arte]:[Crédito]],2,0))</f>
        <v/>
      </c>
      <c r="Z3897" s="31"/>
      <c r="AA3897" s="31" t="str">
        <f>Tabela2[[#This Row],[ILUSTRADOR CRIAÇÃO]]</f>
        <v/>
      </c>
      <c r="AB3897" s="33"/>
      <c r="AC3897" s="16"/>
      <c r="AE3897" s="35" t="str">
        <f t="shared" si="62"/>
        <v>EF1 E002 Mat</v>
      </c>
    </row>
    <row r="3898" spans="1:31" x14ac:dyDescent="0.25">
      <c r="A3898" s="31"/>
      <c r="B3898" s="16"/>
      <c r="C3898" s="16"/>
      <c r="D3898" s="33"/>
      <c r="E3898" s="33"/>
      <c r="F3898" s="33"/>
      <c r="G3898" s="33"/>
      <c r="H3898" s="33"/>
      <c r="I3898" s="31"/>
      <c r="J3898" s="31"/>
      <c r="K3898" s="33"/>
      <c r="L3898" s="33"/>
      <c r="M3898" s="31"/>
      <c r="N3898" s="31"/>
      <c r="O3898" s="16"/>
      <c r="P3898" s="16"/>
      <c r="Q3898" s="16"/>
      <c r="R3898" s="33"/>
      <c r="S3898" s="34"/>
      <c r="T3898" s="34"/>
      <c r="U3898" s="34"/>
      <c r="V3898" s="34"/>
      <c r="W3898" s="34"/>
      <c r="X3898" s="33"/>
      <c r="Y3898" s="35" t="str">
        <f>IF(Tabela2[[#This Row],[SIGLA]]="","",VLOOKUP(Tabela2[[#This Row],[SIGLA]],Tabela1[[#All],[Sigla Arte]:[Crédito]],2,0))</f>
        <v/>
      </c>
      <c r="Z3898" s="31"/>
      <c r="AA3898" s="31" t="str">
        <f>Tabela2[[#This Row],[ILUSTRADOR CRIAÇÃO]]</f>
        <v/>
      </c>
      <c r="AB3898" s="33"/>
      <c r="AC3898" s="16"/>
      <c r="AE3898" s="35" t="str">
        <f t="shared" si="62"/>
        <v>EF1 E002 Mat</v>
      </c>
    </row>
    <row r="3899" spans="1:31" x14ac:dyDescent="0.25">
      <c r="A3899" s="31"/>
      <c r="B3899" s="16"/>
      <c r="C3899" s="16"/>
      <c r="D3899" s="33"/>
      <c r="E3899" s="33"/>
      <c r="F3899" s="33"/>
      <c r="G3899" s="33"/>
      <c r="H3899" s="33"/>
      <c r="I3899" s="31"/>
      <c r="J3899" s="31"/>
      <c r="K3899" s="33"/>
      <c r="L3899" s="33"/>
      <c r="M3899" s="31"/>
      <c r="N3899" s="31"/>
      <c r="O3899" s="16"/>
      <c r="P3899" s="16"/>
      <c r="Q3899" s="16"/>
      <c r="R3899" s="33"/>
      <c r="S3899" s="34"/>
      <c r="T3899" s="34"/>
      <c r="U3899" s="34"/>
      <c r="V3899" s="34"/>
      <c r="W3899" s="34"/>
      <c r="X3899" s="33"/>
      <c r="Y3899" s="35" t="str">
        <f>IF(Tabela2[[#This Row],[SIGLA]]="","",VLOOKUP(Tabela2[[#This Row],[SIGLA]],Tabela1[[#All],[Sigla Arte]:[Crédito]],2,0))</f>
        <v/>
      </c>
      <c r="Z3899" s="31"/>
      <c r="AA3899" s="31" t="str">
        <f>Tabela2[[#This Row],[ILUSTRADOR CRIAÇÃO]]</f>
        <v/>
      </c>
      <c r="AB3899" s="33"/>
      <c r="AC3899" s="16"/>
      <c r="AE3899" s="35" t="str">
        <f t="shared" si="62"/>
        <v>EF1 E002 Mat</v>
      </c>
    </row>
    <row r="3900" spans="1:31" x14ac:dyDescent="0.25">
      <c r="A3900" s="31"/>
      <c r="B3900" s="16"/>
      <c r="C3900" s="16"/>
      <c r="D3900" s="33"/>
      <c r="E3900" s="33"/>
      <c r="F3900" s="33"/>
      <c r="G3900" s="33"/>
      <c r="H3900" s="33"/>
      <c r="I3900" s="31"/>
      <c r="J3900" s="31"/>
      <c r="K3900" s="33"/>
      <c r="L3900" s="33"/>
      <c r="M3900" s="31"/>
      <c r="N3900" s="31"/>
      <c r="O3900" s="16"/>
      <c r="P3900" s="16"/>
      <c r="Q3900" s="16"/>
      <c r="R3900" s="33"/>
      <c r="S3900" s="34"/>
      <c r="T3900" s="34"/>
      <c r="U3900" s="34"/>
      <c r="V3900" s="34"/>
      <c r="W3900" s="34"/>
      <c r="X3900" s="33"/>
      <c r="Y3900" s="35" t="str">
        <f>IF(Tabela2[[#This Row],[SIGLA]]="","",VLOOKUP(Tabela2[[#This Row],[SIGLA]],Tabela1[[#All],[Sigla Arte]:[Crédito]],2,0))</f>
        <v/>
      </c>
      <c r="Z3900" s="31"/>
      <c r="AA3900" s="31" t="str">
        <f>Tabela2[[#This Row],[ILUSTRADOR CRIAÇÃO]]</f>
        <v/>
      </c>
      <c r="AB3900" s="33"/>
      <c r="AC3900" s="16"/>
      <c r="AE3900" s="35" t="str">
        <f t="shared" si="62"/>
        <v>EF1 E002 Mat</v>
      </c>
    </row>
    <row r="3901" spans="1:31" x14ac:dyDescent="0.25">
      <c r="A3901" s="31"/>
      <c r="B3901" s="16"/>
      <c r="C3901" s="16"/>
      <c r="D3901" s="33"/>
      <c r="E3901" s="33"/>
      <c r="F3901" s="33"/>
      <c r="G3901" s="33"/>
      <c r="H3901" s="33"/>
      <c r="I3901" s="31"/>
      <c r="J3901" s="31"/>
      <c r="K3901" s="33"/>
      <c r="L3901" s="33"/>
      <c r="M3901" s="31"/>
      <c r="N3901" s="31"/>
      <c r="O3901" s="16"/>
      <c r="P3901" s="16"/>
      <c r="Q3901" s="16"/>
      <c r="R3901" s="33"/>
      <c r="S3901" s="34"/>
      <c r="T3901" s="34"/>
      <c r="U3901" s="34"/>
      <c r="V3901" s="34"/>
      <c r="W3901" s="34"/>
      <c r="X3901" s="33"/>
      <c r="Y3901" s="35" t="str">
        <f>IF(Tabela2[[#This Row],[SIGLA]]="","",VLOOKUP(Tabela2[[#This Row],[SIGLA]],Tabela1[[#All],[Sigla Arte]:[Crédito]],2,0))</f>
        <v/>
      </c>
      <c r="Z3901" s="31"/>
      <c r="AA3901" s="31" t="str">
        <f>Tabela2[[#This Row],[ILUSTRADOR CRIAÇÃO]]</f>
        <v/>
      </c>
      <c r="AB3901" s="33"/>
      <c r="AC3901" s="16"/>
      <c r="AE3901" s="35" t="str">
        <f t="shared" si="62"/>
        <v>EF1 E002 Mat</v>
      </c>
    </row>
    <row r="3902" spans="1:31" x14ac:dyDescent="0.25">
      <c r="A3902" s="31"/>
      <c r="B3902" s="16"/>
      <c r="C3902" s="16"/>
      <c r="D3902" s="33"/>
      <c r="E3902" s="33"/>
      <c r="F3902" s="33"/>
      <c r="G3902" s="33"/>
      <c r="H3902" s="33"/>
      <c r="I3902" s="31"/>
      <c r="J3902" s="31"/>
      <c r="K3902" s="33"/>
      <c r="L3902" s="33"/>
      <c r="M3902" s="31"/>
      <c r="N3902" s="31"/>
      <c r="O3902" s="16"/>
      <c r="P3902" s="16"/>
      <c r="Q3902" s="16"/>
      <c r="R3902" s="33"/>
      <c r="S3902" s="34"/>
      <c r="T3902" s="34"/>
      <c r="U3902" s="34"/>
      <c r="V3902" s="34"/>
      <c r="W3902" s="34"/>
      <c r="X3902" s="33"/>
      <c r="Y3902" s="35" t="str">
        <f>IF(Tabela2[[#This Row],[SIGLA]]="","",VLOOKUP(Tabela2[[#This Row],[SIGLA]],Tabela1[[#All],[Sigla Arte]:[Crédito]],2,0))</f>
        <v/>
      </c>
      <c r="Z3902" s="31"/>
      <c r="AA3902" s="31" t="str">
        <f>Tabela2[[#This Row],[ILUSTRADOR CRIAÇÃO]]</f>
        <v/>
      </c>
      <c r="AB3902" s="33"/>
      <c r="AC3902" s="16"/>
      <c r="AE3902" s="35" t="str">
        <f t="shared" si="62"/>
        <v>EF1 E002 Mat</v>
      </c>
    </row>
    <row r="3903" spans="1:31" x14ac:dyDescent="0.25">
      <c r="A3903" s="31"/>
      <c r="B3903" s="16"/>
      <c r="C3903" s="16"/>
      <c r="D3903" s="33"/>
      <c r="E3903" s="33"/>
      <c r="F3903" s="33"/>
      <c r="G3903" s="33"/>
      <c r="H3903" s="33"/>
      <c r="I3903" s="31"/>
      <c r="J3903" s="31"/>
      <c r="K3903" s="33"/>
      <c r="L3903" s="33"/>
      <c r="M3903" s="31"/>
      <c r="N3903" s="31"/>
      <c r="O3903" s="16"/>
      <c r="P3903" s="16"/>
      <c r="Q3903" s="16"/>
      <c r="R3903" s="33"/>
      <c r="S3903" s="34"/>
      <c r="T3903" s="34"/>
      <c r="U3903" s="34"/>
      <c r="V3903" s="34"/>
      <c r="W3903" s="34"/>
      <c r="X3903" s="33"/>
      <c r="Y3903" s="35" t="str">
        <f>IF(Tabela2[[#This Row],[SIGLA]]="","",VLOOKUP(Tabela2[[#This Row],[SIGLA]],Tabela1[[#All],[Sigla Arte]:[Crédito]],2,0))</f>
        <v/>
      </c>
      <c r="Z3903" s="31"/>
      <c r="AA3903" s="31" t="str">
        <f>Tabela2[[#This Row],[ILUSTRADOR CRIAÇÃO]]</f>
        <v/>
      </c>
      <c r="AB3903" s="33"/>
      <c r="AC3903" s="16"/>
      <c r="AE3903" s="35" t="str">
        <f t="shared" si="62"/>
        <v>EF1 E002 Mat</v>
      </c>
    </row>
    <row r="3904" spans="1:31" x14ac:dyDescent="0.25">
      <c r="A3904" s="31"/>
      <c r="B3904" s="16"/>
      <c r="C3904" s="16"/>
      <c r="D3904" s="33"/>
      <c r="E3904" s="33"/>
      <c r="F3904" s="33"/>
      <c r="G3904" s="33"/>
      <c r="H3904" s="33"/>
      <c r="I3904" s="31"/>
      <c r="J3904" s="31"/>
      <c r="K3904" s="33"/>
      <c r="L3904" s="33"/>
      <c r="M3904" s="31"/>
      <c r="N3904" s="31"/>
      <c r="O3904" s="16"/>
      <c r="P3904" s="16"/>
      <c r="Q3904" s="16"/>
      <c r="R3904" s="33"/>
      <c r="S3904" s="34"/>
      <c r="T3904" s="34"/>
      <c r="U3904" s="34"/>
      <c r="V3904" s="34"/>
      <c r="W3904" s="34"/>
      <c r="X3904" s="33"/>
      <c r="Y3904" s="35" t="str">
        <f>IF(Tabela2[[#This Row],[SIGLA]]="","",VLOOKUP(Tabela2[[#This Row],[SIGLA]],Tabela1[[#All],[Sigla Arte]:[Crédito]],2,0))</f>
        <v/>
      </c>
      <c r="Z3904" s="31"/>
      <c r="AA3904" s="31" t="str">
        <f>Tabela2[[#This Row],[ILUSTRADOR CRIAÇÃO]]</f>
        <v/>
      </c>
      <c r="AB3904" s="33"/>
      <c r="AC3904" s="16"/>
      <c r="AE3904" s="35" t="str">
        <f t="shared" si="62"/>
        <v>EF1 E002 Mat</v>
      </c>
    </row>
    <row r="3905" spans="1:31" x14ac:dyDescent="0.25">
      <c r="A3905" s="31"/>
      <c r="B3905" s="16"/>
      <c r="C3905" s="16"/>
      <c r="D3905" s="33"/>
      <c r="E3905" s="33"/>
      <c r="F3905" s="33"/>
      <c r="G3905" s="33"/>
      <c r="H3905" s="33"/>
      <c r="I3905" s="31"/>
      <c r="J3905" s="31"/>
      <c r="K3905" s="33"/>
      <c r="L3905" s="33"/>
      <c r="M3905" s="31"/>
      <c r="N3905" s="31"/>
      <c r="O3905" s="16"/>
      <c r="P3905" s="16"/>
      <c r="Q3905" s="16"/>
      <c r="R3905" s="33"/>
      <c r="S3905" s="34"/>
      <c r="T3905" s="34"/>
      <c r="U3905" s="34"/>
      <c r="V3905" s="34"/>
      <c r="W3905" s="34"/>
      <c r="X3905" s="33"/>
      <c r="Y3905" s="35" t="str">
        <f>IF(Tabela2[[#This Row],[SIGLA]]="","",VLOOKUP(Tabela2[[#This Row],[SIGLA]],Tabela1[[#All],[Sigla Arte]:[Crédito]],2,0))</f>
        <v/>
      </c>
      <c r="Z3905" s="31"/>
      <c r="AA3905" s="31" t="str">
        <f>Tabela2[[#This Row],[ILUSTRADOR CRIAÇÃO]]</f>
        <v/>
      </c>
      <c r="AB3905" s="33"/>
      <c r="AC3905" s="16"/>
      <c r="AE3905" s="35" t="str">
        <f t="shared" si="62"/>
        <v>EF1 E002 Mat</v>
      </c>
    </row>
    <row r="3906" spans="1:31" x14ac:dyDescent="0.25">
      <c r="A3906" s="31"/>
      <c r="B3906" s="16"/>
      <c r="C3906" s="16"/>
      <c r="D3906" s="33"/>
      <c r="E3906" s="33"/>
      <c r="F3906" s="33"/>
      <c r="G3906" s="33"/>
      <c r="H3906" s="33"/>
      <c r="I3906" s="31"/>
      <c r="J3906" s="31"/>
      <c r="K3906" s="33"/>
      <c r="L3906" s="33"/>
      <c r="M3906" s="31"/>
      <c r="N3906" s="31"/>
      <c r="O3906" s="16"/>
      <c r="P3906" s="16"/>
      <c r="Q3906" s="16"/>
      <c r="R3906" s="33"/>
      <c r="S3906" s="34"/>
      <c r="T3906" s="34"/>
      <c r="U3906" s="34"/>
      <c r="V3906" s="34"/>
      <c r="W3906" s="34"/>
      <c r="X3906" s="33"/>
      <c r="Y3906" s="35" t="str">
        <f>IF(Tabela2[[#This Row],[SIGLA]]="","",VLOOKUP(Tabela2[[#This Row],[SIGLA]],Tabela1[[#All],[Sigla Arte]:[Crédito]],2,0))</f>
        <v/>
      </c>
      <c r="Z3906" s="31"/>
      <c r="AA3906" s="31" t="str">
        <f>Tabela2[[#This Row],[ILUSTRADOR CRIAÇÃO]]</f>
        <v/>
      </c>
      <c r="AB3906" s="33"/>
      <c r="AC3906" s="16"/>
      <c r="AE3906" s="35" t="str">
        <f t="shared" si="62"/>
        <v>EF1 E002 Mat</v>
      </c>
    </row>
    <row r="3907" spans="1:31" x14ac:dyDescent="0.25">
      <c r="A3907" s="31"/>
      <c r="B3907" s="16"/>
      <c r="C3907" s="16"/>
      <c r="D3907" s="33"/>
      <c r="E3907" s="33"/>
      <c r="F3907" s="33"/>
      <c r="G3907" s="33"/>
      <c r="H3907" s="33"/>
      <c r="I3907" s="31"/>
      <c r="J3907" s="31"/>
      <c r="K3907" s="33"/>
      <c r="L3907" s="33"/>
      <c r="M3907" s="31"/>
      <c r="N3907" s="31"/>
      <c r="O3907" s="16"/>
      <c r="P3907" s="16"/>
      <c r="Q3907" s="16"/>
      <c r="R3907" s="33"/>
      <c r="S3907" s="34"/>
      <c r="T3907" s="34"/>
      <c r="U3907" s="34"/>
      <c r="V3907" s="34"/>
      <c r="W3907" s="34"/>
      <c r="X3907" s="33"/>
      <c r="Y3907" s="35" t="str">
        <f>IF(Tabela2[[#This Row],[SIGLA]]="","",VLOOKUP(Tabela2[[#This Row],[SIGLA]],Tabela1[[#All],[Sigla Arte]:[Crédito]],2,0))</f>
        <v/>
      </c>
      <c r="Z3907" s="31"/>
      <c r="AA3907" s="31" t="str">
        <f>Tabela2[[#This Row],[ILUSTRADOR CRIAÇÃO]]</f>
        <v/>
      </c>
      <c r="AB3907" s="33"/>
      <c r="AC3907" s="16"/>
      <c r="AE3907" s="35" t="str">
        <f t="shared" si="62"/>
        <v>EF1 E002 Mat</v>
      </c>
    </row>
    <row r="3908" spans="1:31" x14ac:dyDescent="0.25">
      <c r="A3908" s="31"/>
      <c r="B3908" s="16"/>
      <c r="C3908" s="16"/>
      <c r="D3908" s="33"/>
      <c r="E3908" s="33"/>
      <c r="F3908" s="33"/>
      <c r="G3908" s="33"/>
      <c r="H3908" s="33"/>
      <c r="I3908" s="31"/>
      <c r="J3908" s="31"/>
      <c r="K3908" s="33"/>
      <c r="L3908" s="33"/>
      <c r="M3908" s="31"/>
      <c r="N3908" s="31"/>
      <c r="O3908" s="16"/>
      <c r="P3908" s="16"/>
      <c r="Q3908" s="16"/>
      <c r="R3908" s="33"/>
      <c r="S3908" s="34"/>
      <c r="T3908" s="34"/>
      <c r="U3908" s="34"/>
      <c r="V3908" s="34"/>
      <c r="W3908" s="34"/>
      <c r="X3908" s="33"/>
      <c r="Y3908" s="35" t="str">
        <f>IF(Tabela2[[#This Row],[SIGLA]]="","",VLOOKUP(Tabela2[[#This Row],[SIGLA]],Tabela1[[#All],[Sigla Arte]:[Crédito]],2,0))</f>
        <v/>
      </c>
      <c r="Z3908" s="31"/>
      <c r="AA3908" s="31" t="str">
        <f>Tabela2[[#This Row],[ILUSTRADOR CRIAÇÃO]]</f>
        <v/>
      </c>
      <c r="AB3908" s="33"/>
      <c r="AC3908" s="16"/>
      <c r="AE3908" s="35" t="str">
        <f t="shared" si="62"/>
        <v>EF1 E002 Mat</v>
      </c>
    </row>
    <row r="3909" spans="1:31" x14ac:dyDescent="0.25">
      <c r="A3909" s="31"/>
      <c r="B3909" s="16"/>
      <c r="C3909" s="16"/>
      <c r="D3909" s="33"/>
      <c r="E3909" s="33"/>
      <c r="F3909" s="33"/>
      <c r="G3909" s="33"/>
      <c r="H3909" s="33"/>
      <c r="I3909" s="31"/>
      <c r="J3909" s="31"/>
      <c r="K3909" s="33"/>
      <c r="L3909" s="33"/>
      <c r="M3909" s="31"/>
      <c r="N3909" s="31"/>
      <c r="O3909" s="16"/>
      <c r="P3909" s="16"/>
      <c r="Q3909" s="16"/>
      <c r="R3909" s="33"/>
      <c r="S3909" s="34"/>
      <c r="T3909" s="34"/>
      <c r="U3909" s="34"/>
      <c r="V3909" s="34"/>
      <c r="W3909" s="34"/>
      <c r="X3909" s="33"/>
      <c r="Y3909" s="35" t="str">
        <f>IF(Tabela2[[#This Row],[SIGLA]]="","",VLOOKUP(Tabela2[[#This Row],[SIGLA]],Tabela1[[#All],[Sigla Arte]:[Crédito]],2,0))</f>
        <v/>
      </c>
      <c r="Z3909" s="31"/>
      <c r="AA3909" s="31" t="str">
        <f>Tabela2[[#This Row],[ILUSTRADOR CRIAÇÃO]]</f>
        <v/>
      </c>
      <c r="AB3909" s="33"/>
      <c r="AC3909" s="16"/>
      <c r="AE3909" s="35" t="str">
        <f t="shared" si="62"/>
        <v>EF1 E002 Mat</v>
      </c>
    </row>
    <row r="3910" spans="1:31" x14ac:dyDescent="0.25">
      <c r="A3910" s="31"/>
      <c r="B3910" s="16"/>
      <c r="C3910" s="16"/>
      <c r="D3910" s="33"/>
      <c r="E3910" s="33"/>
      <c r="F3910" s="33"/>
      <c r="G3910" s="33"/>
      <c r="H3910" s="33"/>
      <c r="I3910" s="31"/>
      <c r="J3910" s="31"/>
      <c r="K3910" s="33"/>
      <c r="L3910" s="33"/>
      <c r="M3910" s="31"/>
      <c r="N3910" s="31"/>
      <c r="O3910" s="16"/>
      <c r="P3910" s="16"/>
      <c r="Q3910" s="16"/>
      <c r="R3910" s="33"/>
      <c r="S3910" s="34"/>
      <c r="T3910" s="34"/>
      <c r="U3910" s="34"/>
      <c r="V3910" s="34"/>
      <c r="W3910" s="34"/>
      <c r="X3910" s="33"/>
      <c r="Y3910" s="35" t="str">
        <f>IF(Tabela2[[#This Row],[SIGLA]]="","",VLOOKUP(Tabela2[[#This Row],[SIGLA]],Tabela1[[#All],[Sigla Arte]:[Crédito]],2,0))</f>
        <v/>
      </c>
      <c r="Z3910" s="31"/>
      <c r="AA3910" s="31" t="str">
        <f>Tabela2[[#This Row],[ILUSTRADOR CRIAÇÃO]]</f>
        <v/>
      </c>
      <c r="AB3910" s="33"/>
      <c r="AC3910" s="16"/>
      <c r="AE3910" s="35" t="str">
        <f t="shared" si="62"/>
        <v>EF1 E002 Mat</v>
      </c>
    </row>
    <row r="3911" spans="1:31" x14ac:dyDescent="0.25">
      <c r="A3911" s="31"/>
      <c r="B3911" s="16"/>
      <c r="C3911" s="16"/>
      <c r="D3911" s="33"/>
      <c r="E3911" s="33"/>
      <c r="F3911" s="33"/>
      <c r="G3911" s="33"/>
      <c r="H3911" s="33"/>
      <c r="I3911" s="31"/>
      <c r="J3911" s="31"/>
      <c r="K3911" s="33"/>
      <c r="L3911" s="33"/>
      <c r="M3911" s="31"/>
      <c r="N3911" s="31"/>
      <c r="O3911" s="16"/>
      <c r="P3911" s="16"/>
      <c r="Q3911" s="16"/>
      <c r="R3911" s="33"/>
      <c r="S3911" s="34"/>
      <c r="T3911" s="34"/>
      <c r="U3911" s="34"/>
      <c r="V3911" s="34"/>
      <c r="W3911" s="34"/>
      <c r="X3911" s="33"/>
      <c r="Y3911" s="35" t="str">
        <f>IF(Tabela2[[#This Row],[SIGLA]]="","",VLOOKUP(Tabela2[[#This Row],[SIGLA]],Tabela1[[#All],[Sigla Arte]:[Crédito]],2,0))</f>
        <v/>
      </c>
      <c r="Z3911" s="31"/>
      <c r="AA3911" s="31" t="str">
        <f>Tabela2[[#This Row],[ILUSTRADOR CRIAÇÃO]]</f>
        <v/>
      </c>
      <c r="AB3911" s="33"/>
      <c r="AC3911" s="16"/>
      <c r="AE3911" s="35" t="str">
        <f t="shared" si="62"/>
        <v>EF1 E002 Mat</v>
      </c>
    </row>
    <row r="3912" spans="1:31" x14ac:dyDescent="0.25">
      <c r="A3912" s="31"/>
      <c r="B3912" s="16"/>
      <c r="C3912" s="16"/>
      <c r="D3912" s="33"/>
      <c r="E3912" s="33"/>
      <c r="F3912" s="33"/>
      <c r="G3912" s="33"/>
      <c r="H3912" s="33"/>
      <c r="I3912" s="31"/>
      <c r="J3912" s="31"/>
      <c r="K3912" s="33"/>
      <c r="L3912" s="33"/>
      <c r="M3912" s="31"/>
      <c r="N3912" s="31"/>
      <c r="O3912" s="16"/>
      <c r="P3912" s="16"/>
      <c r="Q3912" s="16"/>
      <c r="R3912" s="33"/>
      <c r="S3912" s="34"/>
      <c r="T3912" s="34"/>
      <c r="U3912" s="34"/>
      <c r="V3912" s="34"/>
      <c r="W3912" s="34"/>
      <c r="X3912" s="33"/>
      <c r="Y3912" s="35" t="str">
        <f>IF(Tabela2[[#This Row],[SIGLA]]="","",VLOOKUP(Tabela2[[#This Row],[SIGLA]],Tabela1[[#All],[Sigla Arte]:[Crédito]],2,0))</f>
        <v/>
      </c>
      <c r="Z3912" s="31"/>
      <c r="AA3912" s="31" t="str">
        <f>Tabela2[[#This Row],[ILUSTRADOR CRIAÇÃO]]</f>
        <v/>
      </c>
      <c r="AB3912" s="33"/>
      <c r="AC3912" s="16"/>
      <c r="AE3912" s="35" t="str">
        <f t="shared" si="62"/>
        <v>EF1 E002 Mat</v>
      </c>
    </row>
    <row r="3913" spans="1:31" x14ac:dyDescent="0.25">
      <c r="A3913" s="31"/>
      <c r="B3913" s="16"/>
      <c r="C3913" s="16"/>
      <c r="D3913" s="33"/>
      <c r="E3913" s="33"/>
      <c r="F3913" s="33"/>
      <c r="G3913" s="33"/>
      <c r="H3913" s="33"/>
      <c r="I3913" s="31"/>
      <c r="J3913" s="31"/>
      <c r="K3913" s="33"/>
      <c r="L3913" s="33"/>
      <c r="M3913" s="31"/>
      <c r="N3913" s="31"/>
      <c r="O3913" s="16"/>
      <c r="P3913" s="16"/>
      <c r="Q3913" s="16"/>
      <c r="R3913" s="33"/>
      <c r="S3913" s="34"/>
      <c r="T3913" s="34"/>
      <c r="U3913" s="34"/>
      <c r="V3913" s="34"/>
      <c r="W3913" s="34"/>
      <c r="X3913" s="33"/>
      <c r="Y3913" s="35" t="str">
        <f>IF(Tabela2[[#This Row],[SIGLA]]="","",VLOOKUP(Tabela2[[#This Row],[SIGLA]],Tabela1[[#All],[Sigla Arte]:[Crédito]],2,0))</f>
        <v/>
      </c>
      <c r="Z3913" s="31"/>
      <c r="AA3913" s="31" t="str">
        <f>Tabela2[[#This Row],[ILUSTRADOR CRIAÇÃO]]</f>
        <v/>
      </c>
      <c r="AB3913" s="33"/>
      <c r="AC3913" s="16"/>
      <c r="AE3913" s="35" t="str">
        <f t="shared" si="62"/>
        <v>EF1 E002 Mat</v>
      </c>
    </row>
    <row r="3914" spans="1:31" x14ac:dyDescent="0.25">
      <c r="A3914" s="31"/>
      <c r="B3914" s="16"/>
      <c r="C3914" s="16"/>
      <c r="D3914" s="33"/>
      <c r="E3914" s="33"/>
      <c r="F3914" s="33"/>
      <c r="G3914" s="33"/>
      <c r="H3914" s="33"/>
      <c r="I3914" s="31"/>
      <c r="J3914" s="31"/>
      <c r="K3914" s="33"/>
      <c r="L3914" s="33"/>
      <c r="M3914" s="31"/>
      <c r="N3914" s="31"/>
      <c r="O3914" s="16"/>
      <c r="P3914" s="16"/>
      <c r="Q3914" s="16"/>
      <c r="R3914" s="33"/>
      <c r="S3914" s="34"/>
      <c r="T3914" s="34"/>
      <c r="U3914" s="34"/>
      <c r="V3914" s="34"/>
      <c r="W3914" s="34"/>
      <c r="X3914" s="33"/>
      <c r="Y3914" s="35" t="str">
        <f>IF(Tabela2[[#This Row],[SIGLA]]="","",VLOOKUP(Tabela2[[#This Row],[SIGLA]],Tabela1[[#All],[Sigla Arte]:[Crédito]],2,0))</f>
        <v/>
      </c>
      <c r="Z3914" s="31"/>
      <c r="AA3914" s="31" t="str">
        <f>Tabela2[[#This Row],[ILUSTRADOR CRIAÇÃO]]</f>
        <v/>
      </c>
      <c r="AB3914" s="33"/>
      <c r="AC3914" s="16"/>
      <c r="AE3914" s="35" t="str">
        <f t="shared" si="62"/>
        <v>EF1 E002 Mat</v>
      </c>
    </row>
    <row r="3915" spans="1:31" x14ac:dyDescent="0.25">
      <c r="A3915" s="31"/>
      <c r="B3915" s="16"/>
      <c r="C3915" s="16"/>
      <c r="D3915" s="33"/>
      <c r="E3915" s="33"/>
      <c r="F3915" s="33"/>
      <c r="G3915" s="33"/>
      <c r="H3915" s="33"/>
      <c r="I3915" s="31"/>
      <c r="J3915" s="31"/>
      <c r="K3915" s="33"/>
      <c r="L3915" s="33"/>
      <c r="M3915" s="31"/>
      <c r="N3915" s="31"/>
      <c r="O3915" s="16"/>
      <c r="P3915" s="16"/>
      <c r="Q3915" s="16"/>
      <c r="R3915" s="33"/>
      <c r="S3915" s="34"/>
      <c r="T3915" s="34"/>
      <c r="U3915" s="34"/>
      <c r="V3915" s="34"/>
      <c r="W3915" s="34"/>
      <c r="X3915" s="33"/>
      <c r="Y3915" s="35" t="str">
        <f>IF(Tabela2[[#This Row],[SIGLA]]="","",VLOOKUP(Tabela2[[#This Row],[SIGLA]],Tabela1[[#All],[Sigla Arte]:[Crédito]],2,0))</f>
        <v/>
      </c>
      <c r="Z3915" s="31"/>
      <c r="AA3915" s="31" t="str">
        <f>Tabela2[[#This Row],[ILUSTRADOR CRIAÇÃO]]</f>
        <v/>
      </c>
      <c r="AB3915" s="33"/>
      <c r="AC3915" s="16"/>
      <c r="AE3915" s="35" t="str">
        <f t="shared" si="62"/>
        <v>EF1 E002 Mat</v>
      </c>
    </row>
    <row r="3916" spans="1:31" x14ac:dyDescent="0.25">
      <c r="A3916" s="31"/>
      <c r="B3916" s="16"/>
      <c r="C3916" s="16"/>
      <c r="D3916" s="33"/>
      <c r="E3916" s="33"/>
      <c r="F3916" s="33"/>
      <c r="G3916" s="33"/>
      <c r="H3916" s="33"/>
      <c r="I3916" s="31"/>
      <c r="J3916" s="31"/>
      <c r="K3916" s="33"/>
      <c r="L3916" s="33"/>
      <c r="M3916" s="31"/>
      <c r="N3916" s="31"/>
      <c r="O3916" s="16"/>
      <c r="P3916" s="16"/>
      <c r="Q3916" s="16"/>
      <c r="R3916" s="33"/>
      <c r="S3916" s="34"/>
      <c r="T3916" s="34"/>
      <c r="U3916" s="34"/>
      <c r="V3916" s="34"/>
      <c r="W3916" s="34"/>
      <c r="X3916" s="33"/>
      <c r="Y3916" s="35" t="str">
        <f>IF(Tabela2[[#This Row],[SIGLA]]="","",VLOOKUP(Tabela2[[#This Row],[SIGLA]],Tabela1[[#All],[Sigla Arte]:[Crédito]],2,0))</f>
        <v/>
      </c>
      <c r="Z3916" s="31"/>
      <c r="AA3916" s="31" t="str">
        <f>Tabela2[[#This Row],[ILUSTRADOR CRIAÇÃO]]</f>
        <v/>
      </c>
      <c r="AB3916" s="33"/>
      <c r="AC3916" s="16"/>
      <c r="AE3916" s="35" t="str">
        <f t="shared" si="62"/>
        <v>EF1 E002 Mat</v>
      </c>
    </row>
    <row r="3917" spans="1:31" x14ac:dyDescent="0.25">
      <c r="A3917" s="31"/>
      <c r="B3917" s="16"/>
      <c r="C3917" s="16"/>
      <c r="D3917" s="33"/>
      <c r="E3917" s="33"/>
      <c r="F3917" s="33"/>
      <c r="G3917" s="33"/>
      <c r="H3917" s="33"/>
      <c r="I3917" s="31"/>
      <c r="J3917" s="31"/>
      <c r="K3917" s="33"/>
      <c r="L3917" s="33"/>
      <c r="M3917" s="31"/>
      <c r="N3917" s="31"/>
      <c r="O3917" s="16"/>
      <c r="P3917" s="16"/>
      <c r="Q3917" s="16"/>
      <c r="R3917" s="33"/>
      <c r="S3917" s="34"/>
      <c r="T3917" s="34"/>
      <c r="U3917" s="34"/>
      <c r="V3917" s="34"/>
      <c r="W3917" s="34"/>
      <c r="X3917" s="33"/>
      <c r="Y3917" s="35" t="str">
        <f>IF(Tabela2[[#This Row],[SIGLA]]="","",VLOOKUP(Tabela2[[#This Row],[SIGLA]],Tabela1[[#All],[Sigla Arte]:[Crédito]],2,0))</f>
        <v/>
      </c>
      <c r="Z3917" s="31"/>
      <c r="AA3917" s="31" t="str">
        <f>Tabela2[[#This Row],[ILUSTRADOR CRIAÇÃO]]</f>
        <v/>
      </c>
      <c r="AB3917" s="33"/>
      <c r="AC3917" s="16"/>
      <c r="AE3917" s="35" t="str">
        <f t="shared" si="62"/>
        <v>EF1 E002 Mat</v>
      </c>
    </row>
    <row r="3918" spans="1:31" x14ac:dyDescent="0.25">
      <c r="A3918" s="31"/>
      <c r="B3918" s="16"/>
      <c r="C3918" s="16"/>
      <c r="D3918" s="33"/>
      <c r="E3918" s="33"/>
      <c r="F3918" s="33"/>
      <c r="G3918" s="33"/>
      <c r="H3918" s="33"/>
      <c r="I3918" s="31"/>
      <c r="J3918" s="31"/>
      <c r="K3918" s="33"/>
      <c r="L3918" s="33"/>
      <c r="M3918" s="31"/>
      <c r="N3918" s="31"/>
      <c r="O3918" s="16"/>
      <c r="P3918" s="16"/>
      <c r="Q3918" s="16"/>
      <c r="R3918" s="33"/>
      <c r="S3918" s="34"/>
      <c r="T3918" s="34"/>
      <c r="U3918" s="34"/>
      <c r="V3918" s="34"/>
      <c r="W3918" s="34"/>
      <c r="X3918" s="33"/>
      <c r="Y3918" s="35" t="str">
        <f>IF(Tabela2[[#This Row],[SIGLA]]="","",VLOOKUP(Tabela2[[#This Row],[SIGLA]],Tabela1[[#All],[Sigla Arte]:[Crédito]],2,0))</f>
        <v/>
      </c>
      <c r="Z3918" s="31"/>
      <c r="AA3918" s="31" t="str">
        <f>Tabela2[[#This Row],[ILUSTRADOR CRIAÇÃO]]</f>
        <v/>
      </c>
      <c r="AB3918" s="33"/>
      <c r="AC3918" s="16"/>
      <c r="AE3918" s="35" t="str">
        <f t="shared" si="62"/>
        <v>EF1 E002 Mat</v>
      </c>
    </row>
    <row r="3919" spans="1:31" x14ac:dyDescent="0.25">
      <c r="A3919" s="31"/>
      <c r="B3919" s="16"/>
      <c r="C3919" s="16"/>
      <c r="D3919" s="33"/>
      <c r="E3919" s="33"/>
      <c r="F3919" s="33"/>
      <c r="G3919" s="33"/>
      <c r="H3919" s="33"/>
      <c r="I3919" s="31"/>
      <c r="J3919" s="31"/>
      <c r="K3919" s="33"/>
      <c r="L3919" s="33"/>
      <c r="M3919" s="31"/>
      <c r="N3919" s="31"/>
      <c r="O3919" s="16"/>
      <c r="P3919" s="16"/>
      <c r="Q3919" s="16"/>
      <c r="R3919" s="33"/>
      <c r="S3919" s="34"/>
      <c r="T3919" s="34"/>
      <c r="U3919" s="34"/>
      <c r="V3919" s="34"/>
      <c r="W3919" s="34"/>
      <c r="X3919" s="33"/>
      <c r="Y3919" s="35" t="str">
        <f>IF(Tabela2[[#This Row],[SIGLA]]="","",VLOOKUP(Tabela2[[#This Row],[SIGLA]],Tabela1[[#All],[Sigla Arte]:[Crédito]],2,0))</f>
        <v/>
      </c>
      <c r="Z3919" s="31"/>
      <c r="AA3919" s="31" t="str">
        <f>Tabela2[[#This Row],[ILUSTRADOR CRIAÇÃO]]</f>
        <v/>
      </c>
      <c r="AB3919" s="33"/>
      <c r="AC3919" s="16"/>
      <c r="AE3919" s="35" t="str">
        <f t="shared" si="62"/>
        <v>EF1 E002 Mat</v>
      </c>
    </row>
    <row r="3920" spans="1:31" x14ac:dyDescent="0.25">
      <c r="A3920" s="31"/>
      <c r="B3920" s="16"/>
      <c r="C3920" s="16"/>
      <c r="D3920" s="33"/>
      <c r="E3920" s="33"/>
      <c r="F3920" s="33"/>
      <c r="G3920" s="33"/>
      <c r="H3920" s="33"/>
      <c r="I3920" s="31"/>
      <c r="J3920" s="31"/>
      <c r="K3920" s="33"/>
      <c r="L3920" s="33"/>
      <c r="M3920" s="31"/>
      <c r="N3920" s="31"/>
      <c r="O3920" s="16"/>
      <c r="P3920" s="16"/>
      <c r="Q3920" s="16"/>
      <c r="R3920" s="33"/>
      <c r="S3920" s="34"/>
      <c r="T3920" s="34"/>
      <c r="U3920" s="34"/>
      <c r="V3920" s="34"/>
      <c r="W3920" s="34"/>
      <c r="X3920" s="33"/>
      <c r="Y3920" s="35" t="str">
        <f>IF(Tabela2[[#This Row],[SIGLA]]="","",VLOOKUP(Tabela2[[#This Row],[SIGLA]],Tabela1[[#All],[Sigla Arte]:[Crédito]],2,0))</f>
        <v/>
      </c>
      <c r="Z3920" s="31"/>
      <c r="AA3920" s="31" t="str">
        <f>Tabela2[[#This Row],[ILUSTRADOR CRIAÇÃO]]</f>
        <v/>
      </c>
      <c r="AB3920" s="33"/>
      <c r="AC3920" s="16"/>
      <c r="AE3920" s="35" t="str">
        <f t="shared" si="62"/>
        <v>EF1 E002 Mat</v>
      </c>
    </row>
    <row r="3921" spans="1:31" x14ac:dyDescent="0.25">
      <c r="A3921" s="31"/>
      <c r="B3921" s="16"/>
      <c r="C3921" s="16"/>
      <c r="D3921" s="33"/>
      <c r="E3921" s="33"/>
      <c r="F3921" s="33"/>
      <c r="G3921" s="33"/>
      <c r="H3921" s="33"/>
      <c r="I3921" s="31"/>
      <c r="J3921" s="31"/>
      <c r="K3921" s="33"/>
      <c r="L3921" s="33"/>
      <c r="M3921" s="31"/>
      <c r="N3921" s="31"/>
      <c r="O3921" s="16"/>
      <c r="P3921" s="16"/>
      <c r="Q3921" s="16"/>
      <c r="R3921" s="33"/>
      <c r="S3921" s="34"/>
      <c r="T3921" s="34"/>
      <c r="U3921" s="34"/>
      <c r="V3921" s="34"/>
      <c r="W3921" s="34"/>
      <c r="X3921" s="33"/>
      <c r="Y3921" s="35" t="str">
        <f>IF(Tabela2[[#This Row],[SIGLA]]="","",VLOOKUP(Tabela2[[#This Row],[SIGLA]],Tabela1[[#All],[Sigla Arte]:[Crédito]],2,0))</f>
        <v/>
      </c>
      <c r="Z3921" s="31"/>
      <c r="AA3921" s="31" t="str">
        <f>Tabela2[[#This Row],[ILUSTRADOR CRIAÇÃO]]</f>
        <v/>
      </c>
      <c r="AB3921" s="33"/>
      <c r="AC3921" s="16"/>
      <c r="AE3921" s="35" t="str">
        <f t="shared" si="62"/>
        <v>EF1 E002 Mat</v>
      </c>
    </row>
    <row r="3922" spans="1:31" x14ac:dyDescent="0.25">
      <c r="A3922" s="31"/>
      <c r="B3922" s="16"/>
      <c r="C3922" s="16"/>
      <c r="D3922" s="33"/>
      <c r="E3922" s="33"/>
      <c r="F3922" s="33"/>
      <c r="G3922" s="33"/>
      <c r="H3922" s="33"/>
      <c r="I3922" s="31"/>
      <c r="J3922" s="31"/>
      <c r="K3922" s="33"/>
      <c r="L3922" s="33"/>
      <c r="M3922" s="31"/>
      <c r="N3922" s="31"/>
      <c r="O3922" s="16"/>
      <c r="P3922" s="16"/>
      <c r="Q3922" s="16"/>
      <c r="R3922" s="33"/>
      <c r="S3922" s="34"/>
      <c r="T3922" s="34"/>
      <c r="U3922" s="34"/>
      <c r="V3922" s="34"/>
      <c r="W3922" s="34"/>
      <c r="X3922" s="33"/>
      <c r="Y3922" s="35" t="str">
        <f>IF(Tabela2[[#This Row],[SIGLA]]="","",VLOOKUP(Tabela2[[#This Row],[SIGLA]],Tabela1[[#All],[Sigla Arte]:[Crédito]],2,0))</f>
        <v/>
      </c>
      <c r="Z3922" s="31"/>
      <c r="AA3922" s="31" t="str">
        <f>Tabela2[[#This Row],[ILUSTRADOR CRIAÇÃO]]</f>
        <v/>
      </c>
      <c r="AB3922" s="33"/>
      <c r="AC3922" s="16"/>
      <c r="AE3922" s="35" t="str">
        <f t="shared" si="62"/>
        <v>EF1 E002 Mat</v>
      </c>
    </row>
    <row r="3923" spans="1:31" x14ac:dyDescent="0.25">
      <c r="A3923" s="31"/>
      <c r="B3923" s="16"/>
      <c r="C3923" s="16"/>
      <c r="D3923" s="33"/>
      <c r="E3923" s="33"/>
      <c r="F3923" s="33"/>
      <c r="G3923" s="33"/>
      <c r="H3923" s="33"/>
      <c r="I3923" s="31"/>
      <c r="J3923" s="31"/>
      <c r="K3923" s="33"/>
      <c r="L3923" s="33"/>
      <c r="M3923" s="31"/>
      <c r="N3923" s="31"/>
      <c r="O3923" s="16"/>
      <c r="P3923" s="16"/>
      <c r="Q3923" s="16"/>
      <c r="R3923" s="33"/>
      <c r="S3923" s="34"/>
      <c r="T3923" s="34"/>
      <c r="U3923" s="34"/>
      <c r="V3923" s="34"/>
      <c r="W3923" s="34"/>
      <c r="X3923" s="33"/>
      <c r="Y3923" s="35" t="str">
        <f>IF(Tabela2[[#This Row],[SIGLA]]="","",VLOOKUP(Tabela2[[#This Row],[SIGLA]],Tabela1[[#All],[Sigla Arte]:[Crédito]],2,0))</f>
        <v/>
      </c>
      <c r="Z3923" s="31"/>
      <c r="AA3923" s="31" t="str">
        <f>Tabela2[[#This Row],[ILUSTRADOR CRIAÇÃO]]</f>
        <v/>
      </c>
      <c r="AB3923" s="33"/>
      <c r="AC3923" s="16"/>
      <c r="AE3923" s="35" t="str">
        <f t="shared" si="62"/>
        <v>EF1 E002 Mat</v>
      </c>
    </row>
    <row r="3924" spans="1:31" x14ac:dyDescent="0.25">
      <c r="A3924" s="31"/>
      <c r="B3924" s="16"/>
      <c r="C3924" s="16"/>
      <c r="D3924" s="33"/>
      <c r="E3924" s="33"/>
      <c r="F3924" s="33"/>
      <c r="G3924" s="33"/>
      <c r="H3924" s="33"/>
      <c r="I3924" s="31"/>
      <c r="J3924" s="31"/>
      <c r="K3924" s="33"/>
      <c r="L3924" s="33"/>
      <c r="M3924" s="31"/>
      <c r="N3924" s="31"/>
      <c r="O3924" s="16"/>
      <c r="P3924" s="16"/>
      <c r="Q3924" s="16"/>
      <c r="R3924" s="33"/>
      <c r="S3924" s="34"/>
      <c r="T3924" s="34"/>
      <c r="U3924" s="34"/>
      <c r="V3924" s="34"/>
      <c r="W3924" s="34"/>
      <c r="X3924" s="33"/>
      <c r="Y3924" s="35" t="str">
        <f>IF(Tabela2[[#This Row],[SIGLA]]="","",VLOOKUP(Tabela2[[#This Row],[SIGLA]],Tabela1[[#All],[Sigla Arte]:[Crédito]],2,0))</f>
        <v/>
      </c>
      <c r="Z3924" s="31"/>
      <c r="AA3924" s="31" t="str">
        <f>Tabela2[[#This Row],[ILUSTRADOR CRIAÇÃO]]</f>
        <v/>
      </c>
      <c r="AB3924" s="33"/>
      <c r="AC3924" s="16"/>
      <c r="AE3924" s="35" t="str">
        <f t="shared" si="62"/>
        <v>EF1 E002 Mat</v>
      </c>
    </row>
    <row r="3925" spans="1:31" x14ac:dyDescent="0.25">
      <c r="A3925" s="31"/>
      <c r="B3925" s="16"/>
      <c r="C3925" s="16"/>
      <c r="D3925" s="33"/>
      <c r="E3925" s="33"/>
      <c r="F3925" s="33"/>
      <c r="G3925" s="33"/>
      <c r="H3925" s="33"/>
      <c r="I3925" s="31"/>
      <c r="J3925" s="31"/>
      <c r="K3925" s="33"/>
      <c r="L3925" s="33"/>
      <c r="M3925" s="31"/>
      <c r="N3925" s="31"/>
      <c r="O3925" s="16"/>
      <c r="P3925" s="16"/>
      <c r="Q3925" s="16"/>
      <c r="R3925" s="33"/>
      <c r="S3925" s="34"/>
      <c r="T3925" s="34"/>
      <c r="U3925" s="34"/>
      <c r="V3925" s="34"/>
      <c r="W3925" s="34"/>
      <c r="X3925" s="33"/>
      <c r="Y3925" s="35" t="str">
        <f>IF(Tabela2[[#This Row],[SIGLA]]="","",VLOOKUP(Tabela2[[#This Row],[SIGLA]],Tabela1[[#All],[Sigla Arte]:[Crédito]],2,0))</f>
        <v/>
      </c>
      <c r="Z3925" s="31"/>
      <c r="AA3925" s="31" t="str">
        <f>Tabela2[[#This Row],[ILUSTRADOR CRIAÇÃO]]</f>
        <v/>
      </c>
      <c r="AB3925" s="33"/>
      <c r="AC3925" s="16"/>
      <c r="AE3925" s="35" t="str">
        <f t="shared" si="62"/>
        <v>EF1 E002 Mat</v>
      </c>
    </row>
    <row r="3926" spans="1:31" x14ac:dyDescent="0.25">
      <c r="A3926" s="31"/>
      <c r="B3926" s="16"/>
      <c r="C3926" s="16"/>
      <c r="D3926" s="33"/>
      <c r="E3926" s="33"/>
      <c r="F3926" s="33"/>
      <c r="G3926" s="33"/>
      <c r="H3926" s="33"/>
      <c r="I3926" s="31"/>
      <c r="J3926" s="31"/>
      <c r="K3926" s="33"/>
      <c r="L3926" s="33"/>
      <c r="M3926" s="31"/>
      <c r="N3926" s="31"/>
      <c r="O3926" s="16"/>
      <c r="P3926" s="16"/>
      <c r="Q3926" s="16"/>
      <c r="R3926" s="33"/>
      <c r="S3926" s="34"/>
      <c r="T3926" s="34"/>
      <c r="U3926" s="34"/>
      <c r="V3926" s="34"/>
      <c r="W3926" s="34"/>
      <c r="X3926" s="33"/>
      <c r="Y3926" s="35" t="str">
        <f>IF(Tabela2[[#This Row],[SIGLA]]="","",VLOOKUP(Tabela2[[#This Row],[SIGLA]],Tabela1[[#All],[Sigla Arte]:[Crédito]],2,0))</f>
        <v/>
      </c>
      <c r="Z3926" s="31"/>
      <c r="AA3926" s="31" t="str">
        <f>Tabela2[[#This Row],[ILUSTRADOR CRIAÇÃO]]</f>
        <v/>
      </c>
      <c r="AB3926" s="33"/>
      <c r="AC3926" s="16"/>
      <c r="AE3926" s="35" t="str">
        <f t="shared" si="62"/>
        <v>EF1 E002 Mat</v>
      </c>
    </row>
    <row r="3927" spans="1:31" x14ac:dyDescent="0.25">
      <c r="A3927" s="31"/>
      <c r="B3927" s="16"/>
      <c r="C3927" s="16"/>
      <c r="D3927" s="33"/>
      <c r="E3927" s="33"/>
      <c r="F3927" s="33"/>
      <c r="G3927" s="33"/>
      <c r="H3927" s="33"/>
      <c r="I3927" s="31"/>
      <c r="J3927" s="31"/>
      <c r="K3927" s="33"/>
      <c r="L3927" s="33"/>
      <c r="M3927" s="31"/>
      <c r="N3927" s="31"/>
      <c r="O3927" s="16"/>
      <c r="P3927" s="16"/>
      <c r="Q3927" s="16"/>
      <c r="R3927" s="33"/>
      <c r="S3927" s="34"/>
      <c r="T3927" s="34"/>
      <c r="U3927" s="34"/>
      <c r="V3927" s="34"/>
      <c r="W3927" s="34"/>
      <c r="X3927" s="33"/>
      <c r="Y3927" s="35" t="str">
        <f>IF(Tabela2[[#This Row],[SIGLA]]="","",VLOOKUP(Tabela2[[#This Row],[SIGLA]],Tabela1[[#All],[Sigla Arte]:[Crédito]],2,0))</f>
        <v/>
      </c>
      <c r="Z3927" s="31"/>
      <c r="AA3927" s="31" t="str">
        <f>Tabela2[[#This Row],[ILUSTRADOR CRIAÇÃO]]</f>
        <v/>
      </c>
      <c r="AB3927" s="33"/>
      <c r="AC3927" s="16"/>
      <c r="AE3927" s="35" t="str">
        <f t="shared" si="62"/>
        <v>EF1 E002 Mat</v>
      </c>
    </row>
    <row r="3928" spans="1:31" x14ac:dyDescent="0.25">
      <c r="A3928" s="31"/>
      <c r="B3928" s="16"/>
      <c r="C3928" s="16"/>
      <c r="D3928" s="33"/>
      <c r="E3928" s="33"/>
      <c r="F3928" s="33"/>
      <c r="G3928" s="33"/>
      <c r="H3928" s="33"/>
      <c r="I3928" s="31"/>
      <c r="J3928" s="31"/>
      <c r="K3928" s="33"/>
      <c r="L3928" s="33"/>
      <c r="M3928" s="31"/>
      <c r="N3928" s="31"/>
      <c r="O3928" s="16"/>
      <c r="P3928" s="16"/>
      <c r="Q3928" s="16"/>
      <c r="R3928" s="33"/>
      <c r="S3928" s="34"/>
      <c r="T3928" s="34"/>
      <c r="U3928" s="34"/>
      <c r="V3928" s="34"/>
      <c r="W3928" s="34"/>
      <c r="X3928" s="33"/>
      <c r="Y3928" s="35" t="str">
        <f>IF(Tabela2[[#This Row],[SIGLA]]="","",VLOOKUP(Tabela2[[#This Row],[SIGLA]],Tabela1[[#All],[Sigla Arte]:[Crédito]],2,0))</f>
        <v/>
      </c>
      <c r="Z3928" s="31"/>
      <c r="AA3928" s="31" t="str">
        <f>Tabela2[[#This Row],[ILUSTRADOR CRIAÇÃO]]</f>
        <v/>
      </c>
      <c r="AB3928" s="33"/>
      <c r="AC3928" s="16"/>
      <c r="AE3928" s="35" t="str">
        <f t="shared" si="62"/>
        <v>EF1 E002 Mat</v>
      </c>
    </row>
    <row r="3929" spans="1:31" x14ac:dyDescent="0.25">
      <c r="A3929" s="31"/>
      <c r="B3929" s="16"/>
      <c r="C3929" s="16"/>
      <c r="D3929" s="33"/>
      <c r="E3929" s="33"/>
      <c r="F3929" s="33"/>
      <c r="G3929" s="33"/>
      <c r="H3929" s="33"/>
      <c r="I3929" s="31"/>
      <c r="J3929" s="31"/>
      <c r="K3929" s="33"/>
      <c r="L3929" s="33"/>
      <c r="M3929" s="31"/>
      <c r="N3929" s="31"/>
      <c r="O3929" s="16"/>
      <c r="P3929" s="16"/>
      <c r="Q3929" s="16"/>
      <c r="R3929" s="33"/>
      <c r="S3929" s="34"/>
      <c r="T3929" s="34"/>
      <c r="U3929" s="34"/>
      <c r="V3929" s="34"/>
      <c r="W3929" s="34"/>
      <c r="X3929" s="33"/>
      <c r="Y3929" s="35" t="str">
        <f>IF(Tabela2[[#This Row],[SIGLA]]="","",VLOOKUP(Tabela2[[#This Row],[SIGLA]],Tabela1[[#All],[Sigla Arte]:[Crédito]],2,0))</f>
        <v/>
      </c>
      <c r="Z3929" s="31"/>
      <c r="AA3929" s="31" t="str">
        <f>Tabela2[[#This Row],[ILUSTRADOR CRIAÇÃO]]</f>
        <v/>
      </c>
      <c r="AB3929" s="33"/>
      <c r="AC3929" s="16"/>
      <c r="AE3929" s="35" t="str">
        <f t="shared" si="62"/>
        <v>EF1 E002 Mat</v>
      </c>
    </row>
    <row r="3930" spans="1:31" x14ac:dyDescent="0.25">
      <c r="A3930" s="31"/>
      <c r="B3930" s="16"/>
      <c r="C3930" s="16"/>
      <c r="D3930" s="33"/>
      <c r="E3930" s="33"/>
      <c r="F3930" s="33"/>
      <c r="G3930" s="33"/>
      <c r="H3930" s="33"/>
      <c r="I3930" s="31"/>
      <c r="J3930" s="31"/>
      <c r="K3930" s="33"/>
      <c r="L3930" s="33"/>
      <c r="M3930" s="31"/>
      <c r="N3930" s="31"/>
      <c r="O3930" s="16"/>
      <c r="P3930" s="16"/>
      <c r="Q3930" s="16"/>
      <c r="R3930" s="33"/>
      <c r="S3930" s="34"/>
      <c r="T3930" s="34"/>
      <c r="U3930" s="34"/>
      <c r="V3930" s="34"/>
      <c r="W3930" s="34"/>
      <c r="X3930" s="33"/>
      <c r="Y3930" s="35" t="str">
        <f>IF(Tabela2[[#This Row],[SIGLA]]="","",VLOOKUP(Tabela2[[#This Row],[SIGLA]],Tabela1[[#All],[Sigla Arte]:[Crédito]],2,0))</f>
        <v/>
      </c>
      <c r="Z3930" s="31"/>
      <c r="AA3930" s="31" t="str">
        <f>Tabela2[[#This Row],[ILUSTRADOR CRIAÇÃO]]</f>
        <v/>
      </c>
      <c r="AB3930" s="33"/>
      <c r="AC3930" s="16"/>
      <c r="AE3930" s="35" t="str">
        <f t="shared" si="62"/>
        <v>EF1 E002 Mat</v>
      </c>
    </row>
    <row r="3931" spans="1:31" x14ac:dyDescent="0.25">
      <c r="A3931" s="31"/>
      <c r="B3931" s="16"/>
      <c r="C3931" s="16"/>
      <c r="D3931" s="33"/>
      <c r="E3931" s="33"/>
      <c r="F3931" s="33"/>
      <c r="G3931" s="33"/>
      <c r="H3931" s="33"/>
      <c r="I3931" s="31"/>
      <c r="J3931" s="31"/>
      <c r="K3931" s="33"/>
      <c r="L3931" s="33"/>
      <c r="M3931" s="31"/>
      <c r="N3931" s="31"/>
      <c r="O3931" s="16"/>
      <c r="P3931" s="16"/>
      <c r="Q3931" s="16"/>
      <c r="R3931" s="33"/>
      <c r="S3931" s="34"/>
      <c r="T3931" s="34"/>
      <c r="U3931" s="34"/>
      <c r="V3931" s="34"/>
      <c r="W3931" s="34"/>
      <c r="X3931" s="33"/>
      <c r="Y3931" s="35" t="str">
        <f>IF(Tabela2[[#This Row],[SIGLA]]="","",VLOOKUP(Tabela2[[#This Row],[SIGLA]],Tabela1[[#All],[Sigla Arte]:[Crédito]],2,0))</f>
        <v/>
      </c>
      <c r="Z3931" s="31"/>
      <c r="AA3931" s="31" t="str">
        <f>Tabela2[[#This Row],[ILUSTRADOR CRIAÇÃO]]</f>
        <v/>
      </c>
      <c r="AB3931" s="33"/>
      <c r="AC3931" s="16"/>
      <c r="AE3931" s="35" t="str">
        <f t="shared" si="62"/>
        <v>EF1 E002 Mat</v>
      </c>
    </row>
    <row r="3932" spans="1:31" x14ac:dyDescent="0.25">
      <c r="A3932" s="31"/>
      <c r="B3932" s="16"/>
      <c r="C3932" s="16"/>
      <c r="D3932" s="33"/>
      <c r="E3932" s="33"/>
      <c r="F3932" s="33"/>
      <c r="G3932" s="33"/>
      <c r="H3932" s="33"/>
      <c r="I3932" s="31"/>
      <c r="J3932" s="31"/>
      <c r="K3932" s="33"/>
      <c r="L3932" s="33"/>
      <c r="M3932" s="31"/>
      <c r="N3932" s="31"/>
      <c r="O3932" s="16"/>
      <c r="P3932" s="16"/>
      <c r="Q3932" s="16"/>
      <c r="R3932" s="33"/>
      <c r="S3932" s="34"/>
      <c r="T3932" s="34"/>
      <c r="U3932" s="34"/>
      <c r="V3932" s="34"/>
      <c r="W3932" s="34"/>
      <c r="X3932" s="33"/>
      <c r="Y3932" s="35" t="str">
        <f>IF(Tabela2[[#This Row],[SIGLA]]="","",VLOOKUP(Tabela2[[#This Row],[SIGLA]],Tabela1[[#All],[Sigla Arte]:[Crédito]],2,0))</f>
        <v/>
      </c>
      <c r="Z3932" s="31"/>
      <c r="AA3932" s="31" t="str">
        <f>Tabela2[[#This Row],[ILUSTRADOR CRIAÇÃO]]</f>
        <v/>
      </c>
      <c r="AB3932" s="33"/>
      <c r="AC3932" s="16"/>
      <c r="AE3932" s="35" t="str">
        <f t="shared" si="62"/>
        <v>EF1 E002 Mat</v>
      </c>
    </row>
    <row r="3933" spans="1:31" x14ac:dyDescent="0.25">
      <c r="A3933" s="31"/>
      <c r="B3933" s="16"/>
      <c r="C3933" s="16"/>
      <c r="D3933" s="33"/>
      <c r="E3933" s="33"/>
      <c r="F3933" s="33"/>
      <c r="G3933" s="33"/>
      <c r="H3933" s="33"/>
      <c r="I3933" s="31"/>
      <c r="J3933" s="31"/>
      <c r="K3933" s="33"/>
      <c r="L3933" s="33"/>
      <c r="M3933" s="31"/>
      <c r="N3933" s="31"/>
      <c r="O3933" s="16"/>
      <c r="P3933" s="16"/>
      <c r="Q3933" s="16"/>
      <c r="R3933" s="33"/>
      <c r="S3933" s="34"/>
      <c r="T3933" s="34"/>
      <c r="U3933" s="34"/>
      <c r="V3933" s="34"/>
      <c r="W3933" s="34"/>
      <c r="X3933" s="33"/>
      <c r="Y3933" s="35" t="str">
        <f>IF(Tabela2[[#This Row],[SIGLA]]="","",VLOOKUP(Tabela2[[#This Row],[SIGLA]],Tabela1[[#All],[Sigla Arte]:[Crédito]],2,0))</f>
        <v/>
      </c>
      <c r="Z3933" s="31"/>
      <c r="AA3933" s="31" t="str">
        <f>Tabela2[[#This Row],[ILUSTRADOR CRIAÇÃO]]</f>
        <v/>
      </c>
      <c r="AB3933" s="33"/>
      <c r="AC3933" s="16"/>
      <c r="AE3933" s="35" t="str">
        <f t="shared" si="62"/>
        <v>EF1 E002 Mat</v>
      </c>
    </row>
    <row r="3934" spans="1:31" x14ac:dyDescent="0.25">
      <c r="A3934" s="31"/>
      <c r="B3934" s="16"/>
      <c r="C3934" s="16"/>
      <c r="D3934" s="33"/>
      <c r="E3934" s="33"/>
      <c r="F3934" s="33"/>
      <c r="G3934" s="33"/>
      <c r="H3934" s="33"/>
      <c r="I3934" s="31"/>
      <c r="J3934" s="31"/>
      <c r="K3934" s="33"/>
      <c r="L3934" s="33"/>
      <c r="M3934" s="31"/>
      <c r="N3934" s="31"/>
      <c r="O3934" s="16"/>
      <c r="P3934" s="16"/>
      <c r="Q3934" s="16"/>
      <c r="R3934" s="33"/>
      <c r="S3934" s="34"/>
      <c r="T3934" s="34"/>
      <c r="U3934" s="34"/>
      <c r="V3934" s="34"/>
      <c r="W3934" s="34"/>
      <c r="X3934" s="33"/>
      <c r="Y3934" s="35" t="str">
        <f>IF(Tabela2[[#This Row],[SIGLA]]="","",VLOOKUP(Tabela2[[#This Row],[SIGLA]],Tabela1[[#All],[Sigla Arte]:[Crédito]],2,0))</f>
        <v/>
      </c>
      <c r="Z3934" s="31"/>
      <c r="AA3934" s="31" t="str">
        <f>Tabela2[[#This Row],[ILUSTRADOR CRIAÇÃO]]</f>
        <v/>
      </c>
      <c r="AB3934" s="33"/>
      <c r="AC3934" s="16"/>
      <c r="AE3934" s="35" t="str">
        <f t="shared" si="62"/>
        <v>EF1 E002 Mat</v>
      </c>
    </row>
    <row r="3935" spans="1:31" x14ac:dyDescent="0.25">
      <c r="A3935" s="31"/>
      <c r="B3935" s="16"/>
      <c r="C3935" s="16"/>
      <c r="D3935" s="33"/>
      <c r="E3935" s="33"/>
      <c r="F3935" s="33"/>
      <c r="G3935" s="33"/>
      <c r="H3935" s="33"/>
      <c r="I3935" s="31"/>
      <c r="J3935" s="31"/>
      <c r="K3935" s="33"/>
      <c r="L3935" s="33"/>
      <c r="M3935" s="31"/>
      <c r="N3935" s="31"/>
      <c r="O3935" s="16"/>
      <c r="P3935" s="16"/>
      <c r="Q3935" s="16"/>
      <c r="R3935" s="33"/>
      <c r="S3935" s="34"/>
      <c r="T3935" s="34"/>
      <c r="U3935" s="34"/>
      <c r="V3935" s="34"/>
      <c r="W3935" s="34"/>
      <c r="X3935" s="33"/>
      <c r="Y3935" s="35" t="str">
        <f>IF(Tabela2[[#This Row],[SIGLA]]="","",VLOOKUP(Tabela2[[#This Row],[SIGLA]],Tabela1[[#All],[Sigla Arte]:[Crédito]],2,0))</f>
        <v/>
      </c>
      <c r="Z3935" s="31"/>
      <c r="AA3935" s="31" t="str">
        <f>Tabela2[[#This Row],[ILUSTRADOR CRIAÇÃO]]</f>
        <v/>
      </c>
      <c r="AB3935" s="33"/>
      <c r="AC3935" s="16"/>
      <c r="AE3935" s="35" t="str">
        <f t="shared" si="62"/>
        <v>EF1 E002 Mat</v>
      </c>
    </row>
    <row r="3936" spans="1:31" x14ac:dyDescent="0.25">
      <c r="A3936" s="31"/>
      <c r="B3936" s="16"/>
      <c r="C3936" s="16"/>
      <c r="D3936" s="33"/>
      <c r="E3936" s="33"/>
      <c r="F3936" s="33"/>
      <c r="G3936" s="33"/>
      <c r="H3936" s="33"/>
      <c r="I3936" s="31"/>
      <c r="J3936" s="31"/>
      <c r="K3936" s="33"/>
      <c r="L3936" s="33"/>
      <c r="M3936" s="31"/>
      <c r="N3936" s="31"/>
      <c r="O3936" s="16"/>
      <c r="P3936" s="16"/>
      <c r="Q3936" s="16"/>
      <c r="R3936" s="33"/>
      <c r="S3936" s="34"/>
      <c r="T3936" s="34"/>
      <c r="U3936" s="34"/>
      <c r="V3936" s="34"/>
      <c r="W3936" s="34"/>
      <c r="X3936" s="33"/>
      <c r="Y3936" s="35" t="str">
        <f>IF(Tabela2[[#This Row],[SIGLA]]="","",VLOOKUP(Tabela2[[#This Row],[SIGLA]],Tabela1[[#All],[Sigla Arte]:[Crédito]],2,0))</f>
        <v/>
      </c>
      <c r="Z3936" s="31"/>
      <c r="AA3936" s="31" t="str">
        <f>Tabela2[[#This Row],[ILUSTRADOR CRIAÇÃO]]</f>
        <v/>
      </c>
      <c r="AB3936" s="33"/>
      <c r="AC3936" s="16"/>
      <c r="AE3936" s="35" t="str">
        <f t="shared" si="62"/>
        <v>EF1 E002 Mat</v>
      </c>
    </row>
    <row r="3937" spans="1:31" x14ac:dyDescent="0.25">
      <c r="A3937" s="31"/>
      <c r="B3937" s="16"/>
      <c r="C3937" s="16"/>
      <c r="D3937" s="33"/>
      <c r="E3937" s="33"/>
      <c r="F3937" s="33"/>
      <c r="G3937" s="33"/>
      <c r="H3937" s="33"/>
      <c r="I3937" s="31"/>
      <c r="J3937" s="31"/>
      <c r="K3937" s="33"/>
      <c r="L3937" s="33"/>
      <c r="M3937" s="31"/>
      <c r="N3937" s="31"/>
      <c r="O3937" s="16"/>
      <c r="P3937" s="16"/>
      <c r="Q3937" s="16"/>
      <c r="R3937" s="33"/>
      <c r="S3937" s="34"/>
      <c r="T3937" s="34"/>
      <c r="U3937" s="34"/>
      <c r="V3937" s="34"/>
      <c r="W3937" s="34"/>
      <c r="X3937" s="33"/>
      <c r="Y3937" s="35" t="str">
        <f>IF(Tabela2[[#This Row],[SIGLA]]="","",VLOOKUP(Tabela2[[#This Row],[SIGLA]],Tabela1[[#All],[Sigla Arte]:[Crédito]],2,0))</f>
        <v/>
      </c>
      <c r="Z3937" s="31"/>
      <c r="AA3937" s="31" t="str">
        <f>Tabela2[[#This Row],[ILUSTRADOR CRIAÇÃO]]</f>
        <v/>
      </c>
      <c r="AB3937" s="33"/>
      <c r="AC3937" s="16"/>
      <c r="AE3937" s="35" t="str">
        <f t="shared" si="62"/>
        <v>EF1 E002 Mat</v>
      </c>
    </row>
    <row r="3938" spans="1:31" x14ac:dyDescent="0.25">
      <c r="A3938" s="31"/>
      <c r="B3938" s="16"/>
      <c r="C3938" s="16"/>
      <c r="D3938" s="33"/>
      <c r="E3938" s="33"/>
      <c r="F3938" s="33"/>
      <c r="G3938" s="33"/>
      <c r="H3938" s="33"/>
      <c r="I3938" s="31"/>
      <c r="J3938" s="31"/>
      <c r="K3938" s="33"/>
      <c r="L3938" s="33"/>
      <c r="M3938" s="31"/>
      <c r="N3938" s="31"/>
      <c r="O3938" s="16"/>
      <c r="P3938" s="16"/>
      <c r="Q3938" s="16"/>
      <c r="R3938" s="33"/>
      <c r="S3938" s="34"/>
      <c r="T3938" s="34"/>
      <c r="U3938" s="34"/>
      <c r="V3938" s="34"/>
      <c r="W3938" s="34"/>
      <c r="X3938" s="33"/>
      <c r="Y3938" s="35" t="str">
        <f>IF(Tabela2[[#This Row],[SIGLA]]="","",VLOOKUP(Tabela2[[#This Row],[SIGLA]],Tabela1[[#All],[Sigla Arte]:[Crédito]],2,0))</f>
        <v/>
      </c>
      <c r="Z3938" s="31"/>
      <c r="AA3938" s="31" t="str">
        <f>Tabela2[[#This Row],[ILUSTRADOR CRIAÇÃO]]</f>
        <v/>
      </c>
      <c r="AB3938" s="33"/>
      <c r="AC3938" s="16"/>
      <c r="AE3938" s="35" t="str">
        <f t="shared" si="62"/>
        <v>EF1 E002 Mat</v>
      </c>
    </row>
    <row r="3939" spans="1:31" x14ac:dyDescent="0.25">
      <c r="A3939" s="31"/>
      <c r="B3939" s="16"/>
      <c r="C3939" s="16"/>
      <c r="D3939" s="33"/>
      <c r="E3939" s="33"/>
      <c r="F3939" s="33"/>
      <c r="G3939" s="33"/>
      <c r="H3939" s="33"/>
      <c r="I3939" s="31"/>
      <c r="J3939" s="31"/>
      <c r="K3939" s="33"/>
      <c r="L3939" s="33"/>
      <c r="M3939" s="31"/>
      <c r="N3939" s="31"/>
      <c r="O3939" s="16"/>
      <c r="P3939" s="16"/>
      <c r="Q3939" s="16"/>
      <c r="R3939" s="33"/>
      <c r="S3939" s="34"/>
      <c r="T3939" s="34"/>
      <c r="U3939" s="34"/>
      <c r="V3939" s="34"/>
      <c r="W3939" s="34"/>
      <c r="X3939" s="33"/>
      <c r="Y3939" s="35" t="str">
        <f>IF(Tabela2[[#This Row],[SIGLA]]="","",VLOOKUP(Tabela2[[#This Row],[SIGLA]],Tabela1[[#All],[Sigla Arte]:[Crédito]],2,0))</f>
        <v/>
      </c>
      <c r="Z3939" s="31"/>
      <c r="AA3939" s="31" t="str">
        <f>Tabela2[[#This Row],[ILUSTRADOR CRIAÇÃO]]</f>
        <v/>
      </c>
      <c r="AB3939" s="33"/>
      <c r="AC3939" s="16"/>
      <c r="AE3939" s="35" t="str">
        <f t="shared" si="62"/>
        <v>EF1 E002 Mat</v>
      </c>
    </row>
    <row r="3940" spans="1:31" x14ac:dyDescent="0.25">
      <c r="A3940" s="31"/>
      <c r="B3940" s="16"/>
      <c r="C3940" s="16"/>
      <c r="D3940" s="33"/>
      <c r="E3940" s="33"/>
      <c r="F3940" s="33"/>
      <c r="G3940" s="33"/>
      <c r="H3940" s="33"/>
      <c r="I3940" s="31"/>
      <c r="J3940" s="31"/>
      <c r="K3940" s="33"/>
      <c r="L3940" s="33"/>
      <c r="M3940" s="31"/>
      <c r="N3940" s="31"/>
      <c r="O3940" s="16"/>
      <c r="P3940" s="16"/>
      <c r="Q3940" s="16"/>
      <c r="R3940" s="33"/>
      <c r="S3940" s="34"/>
      <c r="T3940" s="34"/>
      <c r="U3940" s="34"/>
      <c r="V3940" s="34"/>
      <c r="W3940" s="34"/>
      <c r="X3940" s="33"/>
      <c r="Y3940" s="35" t="str">
        <f>IF(Tabela2[[#This Row],[SIGLA]]="","",VLOOKUP(Tabela2[[#This Row],[SIGLA]],Tabela1[[#All],[Sigla Arte]:[Crédito]],2,0))</f>
        <v/>
      </c>
      <c r="Z3940" s="31"/>
      <c r="AA3940" s="31" t="str">
        <f>Tabela2[[#This Row],[ILUSTRADOR CRIAÇÃO]]</f>
        <v/>
      </c>
      <c r="AB3940" s="33"/>
      <c r="AC3940" s="16"/>
      <c r="AE3940" s="35" t="str">
        <f t="shared" si="62"/>
        <v>EF1 E002 Mat</v>
      </c>
    </row>
    <row r="3941" spans="1:31" x14ac:dyDescent="0.25">
      <c r="A3941" s="31"/>
      <c r="B3941" s="16"/>
      <c r="C3941" s="16"/>
      <c r="D3941" s="33"/>
      <c r="E3941" s="33"/>
      <c r="F3941" s="33"/>
      <c r="G3941" s="33"/>
      <c r="H3941" s="33"/>
      <c r="I3941" s="31"/>
      <c r="J3941" s="31"/>
      <c r="K3941" s="33"/>
      <c r="L3941" s="33"/>
      <c r="M3941" s="31"/>
      <c r="N3941" s="31"/>
      <c r="O3941" s="16"/>
      <c r="P3941" s="16"/>
      <c r="Q3941" s="16"/>
      <c r="R3941" s="33"/>
      <c r="S3941" s="34"/>
      <c r="T3941" s="34"/>
      <c r="U3941" s="34"/>
      <c r="V3941" s="34"/>
      <c r="W3941" s="34"/>
      <c r="X3941" s="33"/>
      <c r="Y3941" s="35" t="str">
        <f>IF(Tabela2[[#This Row],[SIGLA]]="","",VLOOKUP(Tabela2[[#This Row],[SIGLA]],Tabela1[[#All],[Sigla Arte]:[Crédito]],2,0))</f>
        <v/>
      </c>
      <c r="Z3941" s="31"/>
      <c r="AA3941" s="31" t="str">
        <f>Tabela2[[#This Row],[ILUSTRADOR CRIAÇÃO]]</f>
        <v/>
      </c>
      <c r="AB3941" s="33"/>
      <c r="AC3941" s="16"/>
      <c r="AE3941" s="35" t="str">
        <f t="shared" si="62"/>
        <v>EF1 E002 Mat</v>
      </c>
    </row>
    <row r="3942" spans="1:31" x14ac:dyDescent="0.25">
      <c r="A3942" s="31"/>
      <c r="B3942" s="16"/>
      <c r="C3942" s="16"/>
      <c r="D3942" s="33"/>
      <c r="E3942" s="33"/>
      <c r="F3942" s="33"/>
      <c r="G3942" s="33"/>
      <c r="H3942" s="33"/>
      <c r="I3942" s="31"/>
      <c r="J3942" s="31"/>
      <c r="K3942" s="33"/>
      <c r="L3942" s="33"/>
      <c r="M3942" s="31"/>
      <c r="N3942" s="31"/>
      <c r="O3942" s="16"/>
      <c r="P3942" s="16"/>
      <c r="Q3942" s="16"/>
      <c r="R3942" s="33"/>
      <c r="S3942" s="34"/>
      <c r="T3942" s="34"/>
      <c r="U3942" s="34"/>
      <c r="V3942" s="34"/>
      <c r="W3942" s="34"/>
      <c r="X3942" s="33"/>
      <c r="Y3942" s="35" t="str">
        <f>IF(Tabela2[[#This Row],[SIGLA]]="","",VLOOKUP(Tabela2[[#This Row],[SIGLA]],Tabela1[[#All],[Sigla Arte]:[Crédito]],2,0))</f>
        <v/>
      </c>
      <c r="Z3942" s="31"/>
      <c r="AA3942" s="31" t="str">
        <f>Tabela2[[#This Row],[ILUSTRADOR CRIAÇÃO]]</f>
        <v/>
      </c>
      <c r="AB3942" s="33"/>
      <c r="AC3942" s="16"/>
      <c r="AE3942" s="35" t="str">
        <f t="shared" si="62"/>
        <v>EF1 E002 Mat</v>
      </c>
    </row>
    <row r="3943" spans="1:31" x14ac:dyDescent="0.25">
      <c r="A3943" s="31"/>
      <c r="B3943" s="16"/>
      <c r="C3943" s="16"/>
      <c r="D3943" s="33"/>
      <c r="E3943" s="33"/>
      <c r="F3943" s="33"/>
      <c r="G3943" s="33"/>
      <c r="H3943" s="33"/>
      <c r="I3943" s="31"/>
      <c r="J3943" s="31"/>
      <c r="K3943" s="33"/>
      <c r="L3943" s="33"/>
      <c r="M3943" s="31"/>
      <c r="N3943" s="31"/>
      <c r="O3943" s="16"/>
      <c r="P3943" s="16"/>
      <c r="Q3943" s="16"/>
      <c r="R3943" s="33"/>
      <c r="S3943" s="34"/>
      <c r="T3943" s="34"/>
      <c r="U3943" s="34"/>
      <c r="V3943" s="34"/>
      <c r="W3943" s="34"/>
      <c r="X3943" s="33"/>
      <c r="Y3943" s="35" t="str">
        <f>IF(Tabela2[[#This Row],[SIGLA]]="","",VLOOKUP(Tabela2[[#This Row],[SIGLA]],Tabela1[[#All],[Sigla Arte]:[Crédito]],2,0))</f>
        <v/>
      </c>
      <c r="Z3943" s="31"/>
      <c r="AA3943" s="31" t="str">
        <f>Tabela2[[#This Row],[ILUSTRADOR CRIAÇÃO]]</f>
        <v/>
      </c>
      <c r="AB3943" s="33"/>
      <c r="AC3943" s="16"/>
      <c r="AE3943" s="35" t="str">
        <f t="shared" si="62"/>
        <v>EF1 E002 Mat</v>
      </c>
    </row>
    <row r="3944" spans="1:31" x14ac:dyDescent="0.25">
      <c r="A3944" s="31"/>
      <c r="B3944" s="16"/>
      <c r="C3944" s="16"/>
      <c r="D3944" s="33"/>
      <c r="E3944" s="33"/>
      <c r="F3944" s="33"/>
      <c r="G3944" s="33"/>
      <c r="H3944" s="33"/>
      <c r="I3944" s="31"/>
      <c r="J3944" s="31"/>
      <c r="K3944" s="33"/>
      <c r="L3944" s="33"/>
      <c r="M3944" s="31"/>
      <c r="N3944" s="31"/>
      <c r="O3944" s="16"/>
      <c r="P3944" s="16"/>
      <c r="Q3944" s="16"/>
      <c r="R3944" s="33"/>
      <c r="S3944" s="34"/>
      <c r="T3944" s="34"/>
      <c r="U3944" s="34"/>
      <c r="V3944" s="34"/>
      <c r="W3944" s="34"/>
      <c r="X3944" s="33"/>
      <c r="Y3944" s="35" t="str">
        <f>IF(Tabela2[[#This Row],[SIGLA]]="","",VLOOKUP(Tabela2[[#This Row],[SIGLA]],Tabela1[[#All],[Sigla Arte]:[Crédito]],2,0))</f>
        <v/>
      </c>
      <c r="Z3944" s="31"/>
      <c r="AA3944" s="31" t="str">
        <f>Tabela2[[#This Row],[ILUSTRADOR CRIAÇÃO]]</f>
        <v/>
      </c>
      <c r="AB3944" s="33"/>
      <c r="AC3944" s="16"/>
      <c r="AE3944" s="35" t="str">
        <f t="shared" si="62"/>
        <v>EF1 E002 Mat</v>
      </c>
    </row>
    <row r="3945" spans="1:31" x14ac:dyDescent="0.25">
      <c r="A3945" s="31"/>
      <c r="B3945" s="16"/>
      <c r="C3945" s="16"/>
      <c r="D3945" s="33"/>
      <c r="E3945" s="33"/>
      <c r="F3945" s="33"/>
      <c r="G3945" s="33"/>
      <c r="H3945" s="33"/>
      <c r="I3945" s="31"/>
      <c r="J3945" s="31"/>
      <c r="K3945" s="33"/>
      <c r="L3945" s="33"/>
      <c r="M3945" s="31"/>
      <c r="N3945" s="31"/>
      <c r="O3945" s="16"/>
      <c r="P3945" s="16"/>
      <c r="Q3945" s="16"/>
      <c r="R3945" s="33"/>
      <c r="S3945" s="34"/>
      <c r="T3945" s="34"/>
      <c r="U3945" s="34"/>
      <c r="V3945" s="34"/>
      <c r="W3945" s="34"/>
      <c r="X3945" s="33"/>
      <c r="Y3945" s="35" t="str">
        <f>IF(Tabela2[[#This Row],[SIGLA]]="","",VLOOKUP(Tabela2[[#This Row],[SIGLA]],Tabela1[[#All],[Sigla Arte]:[Crédito]],2,0))</f>
        <v/>
      </c>
      <c r="Z3945" s="31"/>
      <c r="AA3945" s="31" t="str">
        <f>Tabela2[[#This Row],[ILUSTRADOR CRIAÇÃO]]</f>
        <v/>
      </c>
      <c r="AB3945" s="33"/>
      <c r="AC3945" s="16"/>
      <c r="AE3945" s="35" t="str">
        <f t="shared" si="62"/>
        <v>EF1 E002 Mat</v>
      </c>
    </row>
    <row r="3946" spans="1:31" x14ac:dyDescent="0.25">
      <c r="A3946" s="31"/>
      <c r="B3946" s="16"/>
      <c r="C3946" s="16"/>
      <c r="D3946" s="33"/>
      <c r="E3946" s="33"/>
      <c r="F3946" s="33"/>
      <c r="G3946" s="33"/>
      <c r="H3946" s="33"/>
      <c r="I3946" s="31"/>
      <c r="J3946" s="31"/>
      <c r="K3946" s="33"/>
      <c r="L3946" s="33"/>
      <c r="M3946" s="31"/>
      <c r="N3946" s="31"/>
      <c r="O3946" s="16"/>
      <c r="P3946" s="16"/>
      <c r="Q3946" s="16"/>
      <c r="R3946" s="33"/>
      <c r="S3946" s="34"/>
      <c r="T3946" s="34"/>
      <c r="U3946" s="34"/>
      <c r="V3946" s="34"/>
      <c r="W3946" s="34"/>
      <c r="X3946" s="33"/>
      <c r="Y3946" s="35" t="str">
        <f>IF(Tabela2[[#This Row],[SIGLA]]="","",VLOOKUP(Tabela2[[#This Row],[SIGLA]],Tabela1[[#All],[Sigla Arte]:[Crédito]],2,0))</f>
        <v/>
      </c>
      <c r="Z3946" s="31"/>
      <c r="AA3946" s="31" t="str">
        <f>Tabela2[[#This Row],[ILUSTRADOR CRIAÇÃO]]</f>
        <v/>
      </c>
      <c r="AB3946" s="33"/>
      <c r="AC3946" s="16"/>
      <c r="AE3946" s="35" t="str">
        <f t="shared" si="62"/>
        <v>EF1 E002 Mat</v>
      </c>
    </row>
    <row r="3947" spans="1:31" x14ac:dyDescent="0.25">
      <c r="A3947" s="31"/>
      <c r="B3947" s="16"/>
      <c r="C3947" s="16"/>
      <c r="D3947" s="33"/>
      <c r="E3947" s="33"/>
      <c r="F3947" s="33"/>
      <c r="G3947" s="33"/>
      <c r="H3947" s="33"/>
      <c r="I3947" s="31"/>
      <c r="J3947" s="31"/>
      <c r="K3947" s="33"/>
      <c r="L3947" s="33"/>
      <c r="M3947" s="31"/>
      <c r="N3947" s="31"/>
      <c r="O3947" s="16"/>
      <c r="P3947" s="16"/>
      <c r="Q3947" s="16"/>
      <c r="R3947" s="33"/>
      <c r="S3947" s="34"/>
      <c r="T3947" s="34"/>
      <c r="U3947" s="34"/>
      <c r="V3947" s="34"/>
      <c r="W3947" s="34"/>
      <c r="X3947" s="33"/>
      <c r="Y3947" s="35" t="str">
        <f>IF(Tabela2[[#This Row],[SIGLA]]="","",VLOOKUP(Tabela2[[#This Row],[SIGLA]],Tabela1[[#All],[Sigla Arte]:[Crédito]],2,0))</f>
        <v/>
      </c>
      <c r="Z3947" s="31"/>
      <c r="AA3947" s="31" t="str">
        <f>Tabela2[[#This Row],[ILUSTRADOR CRIAÇÃO]]</f>
        <v/>
      </c>
      <c r="AB3947" s="33"/>
      <c r="AC3947" s="16"/>
      <c r="AE3947" s="35" t="str">
        <f t="shared" si="62"/>
        <v>EF1 E002 Mat</v>
      </c>
    </row>
    <row r="3948" spans="1:31" x14ac:dyDescent="0.25">
      <c r="A3948" s="31"/>
      <c r="B3948" s="16"/>
      <c r="C3948" s="16"/>
      <c r="D3948" s="33"/>
      <c r="E3948" s="33"/>
      <c r="F3948" s="33"/>
      <c r="G3948" s="33"/>
      <c r="H3948" s="33"/>
      <c r="I3948" s="31"/>
      <c r="J3948" s="31"/>
      <c r="K3948" s="33"/>
      <c r="L3948" s="33"/>
      <c r="M3948" s="31"/>
      <c r="N3948" s="31"/>
      <c r="O3948" s="16"/>
      <c r="P3948" s="16"/>
      <c r="Q3948" s="16"/>
      <c r="R3948" s="33"/>
      <c r="S3948" s="34"/>
      <c r="T3948" s="34"/>
      <c r="U3948" s="34"/>
      <c r="V3948" s="34"/>
      <c r="W3948" s="34"/>
      <c r="X3948" s="33"/>
      <c r="Y3948" s="35" t="str">
        <f>IF(Tabela2[[#This Row],[SIGLA]]="","",VLOOKUP(Tabela2[[#This Row],[SIGLA]],Tabela1[[#All],[Sigla Arte]:[Crédito]],2,0))</f>
        <v/>
      </c>
      <c r="Z3948" s="31"/>
      <c r="AA3948" s="31" t="str">
        <f>Tabela2[[#This Row],[ILUSTRADOR CRIAÇÃO]]</f>
        <v/>
      </c>
      <c r="AB3948" s="33"/>
      <c r="AC3948" s="16"/>
      <c r="AE3948" s="35" t="str">
        <f t="shared" si="62"/>
        <v>EF1 E002 Mat</v>
      </c>
    </row>
    <row r="3949" spans="1:31" x14ac:dyDescent="0.25">
      <c r="A3949" s="31"/>
      <c r="B3949" s="16"/>
      <c r="C3949" s="16"/>
      <c r="D3949" s="33"/>
      <c r="E3949" s="33"/>
      <c r="F3949" s="33"/>
      <c r="G3949" s="33"/>
      <c r="H3949" s="33"/>
      <c r="I3949" s="31"/>
      <c r="J3949" s="31"/>
      <c r="K3949" s="33"/>
      <c r="L3949" s="33"/>
      <c r="M3949" s="31"/>
      <c r="N3949" s="31"/>
      <c r="O3949" s="16"/>
      <c r="P3949" s="16"/>
      <c r="Q3949" s="16"/>
      <c r="R3949" s="33"/>
      <c r="S3949" s="34"/>
      <c r="T3949" s="34"/>
      <c r="U3949" s="34"/>
      <c r="V3949" s="34"/>
      <c r="W3949" s="34"/>
      <c r="X3949" s="33"/>
      <c r="Y3949" s="35" t="str">
        <f>IF(Tabela2[[#This Row],[SIGLA]]="","",VLOOKUP(Tabela2[[#This Row],[SIGLA]],Tabela1[[#All],[Sigla Arte]:[Crédito]],2,0))</f>
        <v/>
      </c>
      <c r="Z3949" s="31"/>
      <c r="AA3949" s="31" t="str">
        <f>Tabela2[[#This Row],[ILUSTRADOR CRIAÇÃO]]</f>
        <v/>
      </c>
      <c r="AB3949" s="33"/>
      <c r="AC3949" s="16"/>
      <c r="AE3949" s="35" t="str">
        <f t="shared" si="62"/>
        <v>EF1 E002 Mat</v>
      </c>
    </row>
    <row r="3950" spans="1:31" x14ac:dyDescent="0.25">
      <c r="A3950" s="31"/>
      <c r="B3950" s="16"/>
      <c r="C3950" s="16"/>
      <c r="D3950" s="33"/>
      <c r="E3950" s="33"/>
      <c r="F3950" s="33"/>
      <c r="G3950" s="33"/>
      <c r="H3950" s="33"/>
      <c r="I3950" s="31"/>
      <c r="J3950" s="31"/>
      <c r="K3950" s="33"/>
      <c r="L3950" s="33"/>
      <c r="M3950" s="31"/>
      <c r="N3950" s="31"/>
      <c r="O3950" s="16"/>
      <c r="P3950" s="16"/>
      <c r="Q3950" s="16"/>
      <c r="R3950" s="33"/>
      <c r="S3950" s="34"/>
      <c r="T3950" s="34"/>
      <c r="U3950" s="34"/>
      <c r="V3950" s="34"/>
      <c r="W3950" s="34"/>
      <c r="X3950" s="33"/>
      <c r="Y3950" s="35" t="str">
        <f>IF(Tabela2[[#This Row],[SIGLA]]="","",VLOOKUP(Tabela2[[#This Row],[SIGLA]],Tabela1[[#All],[Sigla Arte]:[Crédito]],2,0))</f>
        <v/>
      </c>
      <c r="Z3950" s="31"/>
      <c r="AA3950" s="31" t="str">
        <f>Tabela2[[#This Row],[ILUSTRADOR CRIAÇÃO]]</f>
        <v/>
      </c>
      <c r="AB3950" s="33"/>
      <c r="AC3950" s="16"/>
      <c r="AE3950" s="35" t="str">
        <f t="shared" si="62"/>
        <v>EF1 E002 Mat</v>
      </c>
    </row>
    <row r="3951" spans="1:31" x14ac:dyDescent="0.25">
      <c r="A3951" s="31"/>
      <c r="B3951" s="16"/>
      <c r="C3951" s="16"/>
      <c r="D3951" s="33"/>
      <c r="E3951" s="33"/>
      <c r="F3951" s="33"/>
      <c r="G3951" s="33"/>
      <c r="H3951" s="33"/>
      <c r="I3951" s="31"/>
      <c r="J3951" s="31"/>
      <c r="K3951" s="33"/>
      <c r="L3951" s="33"/>
      <c r="M3951" s="31"/>
      <c r="N3951" s="31"/>
      <c r="O3951" s="16"/>
      <c r="P3951" s="16"/>
      <c r="Q3951" s="16"/>
      <c r="R3951" s="33"/>
      <c r="S3951" s="34"/>
      <c r="T3951" s="34"/>
      <c r="U3951" s="34"/>
      <c r="V3951" s="34"/>
      <c r="W3951" s="34"/>
      <c r="X3951" s="33"/>
      <c r="Y3951" s="35" t="str">
        <f>IF(Tabela2[[#This Row],[SIGLA]]="","",VLOOKUP(Tabela2[[#This Row],[SIGLA]],Tabela1[[#All],[Sigla Arte]:[Crédito]],2,0))</f>
        <v/>
      </c>
      <c r="Z3951" s="31"/>
      <c r="AA3951" s="31" t="str">
        <f>Tabela2[[#This Row],[ILUSTRADOR CRIAÇÃO]]</f>
        <v/>
      </c>
      <c r="AB3951" s="33"/>
      <c r="AC3951" s="16"/>
      <c r="AE3951" s="35" t="str">
        <f t="shared" si="62"/>
        <v>EF1 E002 Mat</v>
      </c>
    </row>
    <row r="3952" spans="1:31" x14ac:dyDescent="0.25">
      <c r="A3952" s="31"/>
      <c r="B3952" s="16"/>
      <c r="C3952" s="16"/>
      <c r="D3952" s="33"/>
      <c r="E3952" s="33"/>
      <c r="F3952" s="33"/>
      <c r="G3952" s="33"/>
      <c r="H3952" s="33"/>
      <c r="I3952" s="31"/>
      <c r="J3952" s="31"/>
      <c r="K3952" s="33"/>
      <c r="L3952" s="33"/>
      <c r="M3952" s="31"/>
      <c r="N3952" s="31"/>
      <c r="O3952" s="16"/>
      <c r="P3952" s="16"/>
      <c r="Q3952" s="16"/>
      <c r="R3952" s="33"/>
      <c r="S3952" s="34"/>
      <c r="T3952" s="34"/>
      <c r="U3952" s="34"/>
      <c r="V3952" s="34"/>
      <c r="W3952" s="34"/>
      <c r="X3952" s="33"/>
      <c r="Y3952" s="35" t="str">
        <f>IF(Tabela2[[#This Row],[SIGLA]]="","",VLOOKUP(Tabela2[[#This Row],[SIGLA]],Tabela1[[#All],[Sigla Arte]:[Crédito]],2,0))</f>
        <v/>
      </c>
      <c r="Z3952" s="31"/>
      <c r="AA3952" s="31" t="str">
        <f>Tabela2[[#This Row],[ILUSTRADOR CRIAÇÃO]]</f>
        <v/>
      </c>
      <c r="AB3952" s="33"/>
      <c r="AC3952" s="16"/>
      <c r="AE3952" s="35" t="str">
        <f t="shared" si="62"/>
        <v>EF1 E002 Mat</v>
      </c>
    </row>
    <row r="3953" spans="1:31" x14ac:dyDescent="0.25">
      <c r="A3953" s="31"/>
      <c r="B3953" s="16"/>
      <c r="C3953" s="16"/>
      <c r="D3953" s="33"/>
      <c r="E3953" s="33"/>
      <c r="F3953" s="33"/>
      <c r="G3953" s="33"/>
      <c r="H3953" s="33"/>
      <c r="I3953" s="31"/>
      <c r="J3953" s="31"/>
      <c r="K3953" s="33"/>
      <c r="L3953" s="33"/>
      <c r="M3953" s="31"/>
      <c r="N3953" s="31"/>
      <c r="O3953" s="16"/>
      <c r="P3953" s="16"/>
      <c r="Q3953" s="16"/>
      <c r="R3953" s="33"/>
      <c r="S3953" s="34"/>
      <c r="T3953" s="34"/>
      <c r="U3953" s="34"/>
      <c r="V3953" s="34"/>
      <c r="W3953" s="34"/>
      <c r="X3953" s="33"/>
      <c r="Y3953" s="35" t="str">
        <f>IF(Tabela2[[#This Row],[SIGLA]]="","",VLOOKUP(Tabela2[[#This Row],[SIGLA]],Tabela1[[#All],[Sigla Arte]:[Crédito]],2,0))</f>
        <v/>
      </c>
      <c r="Z3953" s="31"/>
      <c r="AA3953" s="31" t="str">
        <f>Tabela2[[#This Row],[ILUSTRADOR CRIAÇÃO]]</f>
        <v/>
      </c>
      <c r="AB3953" s="33"/>
      <c r="AC3953" s="16"/>
      <c r="AE3953" s="35" t="str">
        <f t="shared" si="62"/>
        <v>EF1 E002 Mat</v>
      </c>
    </row>
    <row r="3954" spans="1:31" x14ac:dyDescent="0.25">
      <c r="A3954" s="31"/>
      <c r="B3954" s="16"/>
      <c r="C3954" s="16"/>
      <c r="D3954" s="33"/>
      <c r="E3954" s="33"/>
      <c r="F3954" s="33"/>
      <c r="G3954" s="33"/>
      <c r="H3954" s="33"/>
      <c r="I3954" s="31"/>
      <c r="J3954" s="31"/>
      <c r="K3954" s="33"/>
      <c r="L3954" s="33"/>
      <c r="M3954" s="31"/>
      <c r="N3954" s="31"/>
      <c r="O3954" s="16"/>
      <c r="P3954" s="16"/>
      <c r="Q3954" s="16"/>
      <c r="R3954" s="33"/>
      <c r="S3954" s="34"/>
      <c r="T3954" s="34"/>
      <c r="U3954" s="34"/>
      <c r="V3954" s="34"/>
      <c r="W3954" s="34"/>
      <c r="X3954" s="33"/>
      <c r="Y3954" s="35" t="str">
        <f>IF(Tabela2[[#This Row],[SIGLA]]="","",VLOOKUP(Tabela2[[#This Row],[SIGLA]],Tabela1[[#All],[Sigla Arte]:[Crédito]],2,0))</f>
        <v/>
      </c>
      <c r="Z3954" s="31"/>
      <c r="AA3954" s="31" t="str">
        <f>Tabela2[[#This Row],[ILUSTRADOR CRIAÇÃO]]</f>
        <v/>
      </c>
      <c r="AB3954" s="33"/>
      <c r="AC3954" s="16"/>
      <c r="AE3954" s="35" t="str">
        <f t="shared" ref="AE3954:AE4017" si="63">"EF1 E002 Mat"</f>
        <v>EF1 E002 Mat</v>
      </c>
    </row>
    <row r="3955" spans="1:31" x14ac:dyDescent="0.25">
      <c r="A3955" s="31"/>
      <c r="B3955" s="16"/>
      <c r="C3955" s="16"/>
      <c r="D3955" s="33"/>
      <c r="E3955" s="33"/>
      <c r="F3955" s="33"/>
      <c r="G3955" s="33"/>
      <c r="H3955" s="33"/>
      <c r="I3955" s="31"/>
      <c r="J3955" s="31"/>
      <c r="K3955" s="33"/>
      <c r="L3955" s="33"/>
      <c r="M3955" s="31"/>
      <c r="N3955" s="31"/>
      <c r="O3955" s="16"/>
      <c r="P3955" s="16"/>
      <c r="Q3955" s="16"/>
      <c r="R3955" s="33"/>
      <c r="S3955" s="34"/>
      <c r="T3955" s="34"/>
      <c r="U3955" s="34"/>
      <c r="V3955" s="34"/>
      <c r="W3955" s="34"/>
      <c r="X3955" s="33"/>
      <c r="Y3955" s="35" t="str">
        <f>IF(Tabela2[[#This Row],[SIGLA]]="","",VLOOKUP(Tabela2[[#This Row],[SIGLA]],Tabela1[[#All],[Sigla Arte]:[Crédito]],2,0))</f>
        <v/>
      </c>
      <c r="Z3955" s="31"/>
      <c r="AA3955" s="31" t="str">
        <f>Tabela2[[#This Row],[ILUSTRADOR CRIAÇÃO]]</f>
        <v/>
      </c>
      <c r="AB3955" s="33"/>
      <c r="AC3955" s="16"/>
      <c r="AE3955" s="35" t="str">
        <f t="shared" si="63"/>
        <v>EF1 E002 Mat</v>
      </c>
    </row>
    <row r="3956" spans="1:31" x14ac:dyDescent="0.25">
      <c r="A3956" s="31"/>
      <c r="B3956" s="16"/>
      <c r="C3956" s="16"/>
      <c r="D3956" s="33"/>
      <c r="E3956" s="33"/>
      <c r="F3956" s="33"/>
      <c r="G3956" s="33"/>
      <c r="H3956" s="33"/>
      <c r="I3956" s="31"/>
      <c r="J3956" s="31"/>
      <c r="K3956" s="33"/>
      <c r="L3956" s="33"/>
      <c r="M3956" s="31"/>
      <c r="N3956" s="31"/>
      <c r="O3956" s="16"/>
      <c r="P3956" s="16"/>
      <c r="Q3956" s="16"/>
      <c r="R3956" s="33"/>
      <c r="S3956" s="34"/>
      <c r="T3956" s="34"/>
      <c r="U3956" s="34"/>
      <c r="V3956" s="34"/>
      <c r="W3956" s="34"/>
      <c r="X3956" s="33"/>
      <c r="Y3956" s="35" t="str">
        <f>IF(Tabela2[[#This Row],[SIGLA]]="","",VLOOKUP(Tabela2[[#This Row],[SIGLA]],Tabela1[[#All],[Sigla Arte]:[Crédito]],2,0))</f>
        <v/>
      </c>
      <c r="Z3956" s="31"/>
      <c r="AA3956" s="31" t="str">
        <f>Tabela2[[#This Row],[ILUSTRADOR CRIAÇÃO]]</f>
        <v/>
      </c>
      <c r="AB3956" s="33"/>
      <c r="AC3956" s="16"/>
      <c r="AE3956" s="35" t="str">
        <f t="shared" si="63"/>
        <v>EF1 E002 Mat</v>
      </c>
    </row>
    <row r="3957" spans="1:31" x14ac:dyDescent="0.25">
      <c r="A3957" s="31"/>
      <c r="B3957" s="16"/>
      <c r="C3957" s="16"/>
      <c r="D3957" s="33"/>
      <c r="E3957" s="33"/>
      <c r="F3957" s="33"/>
      <c r="G3957" s="33"/>
      <c r="H3957" s="33"/>
      <c r="I3957" s="31"/>
      <c r="J3957" s="31"/>
      <c r="K3957" s="33"/>
      <c r="L3957" s="33"/>
      <c r="M3957" s="31"/>
      <c r="N3957" s="31"/>
      <c r="O3957" s="16"/>
      <c r="P3957" s="16"/>
      <c r="Q3957" s="16"/>
      <c r="R3957" s="33"/>
      <c r="S3957" s="34"/>
      <c r="T3957" s="34"/>
      <c r="U3957" s="34"/>
      <c r="V3957" s="34"/>
      <c r="W3957" s="34"/>
      <c r="X3957" s="33"/>
      <c r="Y3957" s="35" t="str">
        <f>IF(Tabela2[[#This Row],[SIGLA]]="","",VLOOKUP(Tabela2[[#This Row],[SIGLA]],Tabela1[[#All],[Sigla Arte]:[Crédito]],2,0))</f>
        <v/>
      </c>
      <c r="Z3957" s="31"/>
      <c r="AA3957" s="31" t="str">
        <f>Tabela2[[#This Row],[ILUSTRADOR CRIAÇÃO]]</f>
        <v/>
      </c>
      <c r="AB3957" s="33"/>
      <c r="AC3957" s="16"/>
      <c r="AE3957" s="35" t="str">
        <f t="shared" si="63"/>
        <v>EF1 E002 Mat</v>
      </c>
    </row>
    <row r="3958" spans="1:31" x14ac:dyDescent="0.25">
      <c r="A3958" s="31"/>
      <c r="B3958" s="16"/>
      <c r="C3958" s="16"/>
      <c r="D3958" s="33"/>
      <c r="E3958" s="33"/>
      <c r="F3958" s="33"/>
      <c r="G3958" s="33"/>
      <c r="H3958" s="33"/>
      <c r="I3958" s="31"/>
      <c r="J3958" s="31"/>
      <c r="K3958" s="33"/>
      <c r="L3958" s="33"/>
      <c r="M3958" s="31"/>
      <c r="N3958" s="31"/>
      <c r="O3958" s="16"/>
      <c r="P3958" s="16"/>
      <c r="Q3958" s="16"/>
      <c r="R3958" s="33"/>
      <c r="S3958" s="34"/>
      <c r="T3958" s="34"/>
      <c r="U3958" s="34"/>
      <c r="V3958" s="34"/>
      <c r="W3958" s="34"/>
      <c r="X3958" s="33"/>
      <c r="Y3958" s="35" t="str">
        <f>IF(Tabela2[[#This Row],[SIGLA]]="","",VLOOKUP(Tabela2[[#This Row],[SIGLA]],Tabela1[[#All],[Sigla Arte]:[Crédito]],2,0))</f>
        <v/>
      </c>
      <c r="Z3958" s="31"/>
      <c r="AA3958" s="31" t="str">
        <f>Tabela2[[#This Row],[ILUSTRADOR CRIAÇÃO]]</f>
        <v/>
      </c>
      <c r="AB3958" s="33"/>
      <c r="AC3958" s="16"/>
      <c r="AE3958" s="35" t="str">
        <f t="shared" si="63"/>
        <v>EF1 E002 Mat</v>
      </c>
    </row>
    <row r="3959" spans="1:31" x14ac:dyDescent="0.25">
      <c r="A3959" s="31"/>
      <c r="B3959" s="16"/>
      <c r="C3959" s="16"/>
      <c r="D3959" s="33"/>
      <c r="E3959" s="33"/>
      <c r="F3959" s="33"/>
      <c r="G3959" s="33"/>
      <c r="H3959" s="33"/>
      <c r="I3959" s="31"/>
      <c r="J3959" s="31"/>
      <c r="K3959" s="33"/>
      <c r="L3959" s="33"/>
      <c r="M3959" s="31"/>
      <c r="N3959" s="31"/>
      <c r="O3959" s="16"/>
      <c r="P3959" s="16"/>
      <c r="Q3959" s="16"/>
      <c r="R3959" s="33"/>
      <c r="S3959" s="34"/>
      <c r="T3959" s="34"/>
      <c r="U3959" s="34"/>
      <c r="V3959" s="34"/>
      <c r="W3959" s="34"/>
      <c r="X3959" s="33"/>
      <c r="Y3959" s="35" t="str">
        <f>IF(Tabela2[[#This Row],[SIGLA]]="","",VLOOKUP(Tabela2[[#This Row],[SIGLA]],Tabela1[[#All],[Sigla Arte]:[Crédito]],2,0))</f>
        <v/>
      </c>
      <c r="Z3959" s="31"/>
      <c r="AA3959" s="31" t="str">
        <f>Tabela2[[#This Row],[ILUSTRADOR CRIAÇÃO]]</f>
        <v/>
      </c>
      <c r="AB3959" s="33"/>
      <c r="AC3959" s="16"/>
      <c r="AE3959" s="35" t="str">
        <f t="shared" si="63"/>
        <v>EF1 E002 Mat</v>
      </c>
    </row>
    <row r="3960" spans="1:31" x14ac:dyDescent="0.25">
      <c r="A3960" s="31"/>
      <c r="B3960" s="16"/>
      <c r="C3960" s="16"/>
      <c r="D3960" s="33"/>
      <c r="E3960" s="33"/>
      <c r="F3960" s="33"/>
      <c r="G3960" s="33"/>
      <c r="H3960" s="33"/>
      <c r="I3960" s="31"/>
      <c r="J3960" s="31"/>
      <c r="K3960" s="33"/>
      <c r="L3960" s="33"/>
      <c r="M3960" s="31"/>
      <c r="N3960" s="31"/>
      <c r="O3960" s="16"/>
      <c r="P3960" s="16"/>
      <c r="Q3960" s="16"/>
      <c r="R3960" s="33"/>
      <c r="S3960" s="34"/>
      <c r="T3960" s="34"/>
      <c r="U3960" s="34"/>
      <c r="V3960" s="34"/>
      <c r="W3960" s="34"/>
      <c r="X3960" s="33"/>
      <c r="Y3960" s="35" t="str">
        <f>IF(Tabela2[[#This Row],[SIGLA]]="","",VLOOKUP(Tabela2[[#This Row],[SIGLA]],Tabela1[[#All],[Sigla Arte]:[Crédito]],2,0))</f>
        <v/>
      </c>
      <c r="Z3960" s="31"/>
      <c r="AA3960" s="31" t="str">
        <f>Tabela2[[#This Row],[ILUSTRADOR CRIAÇÃO]]</f>
        <v/>
      </c>
      <c r="AB3960" s="33"/>
      <c r="AC3960" s="16"/>
      <c r="AE3960" s="35" t="str">
        <f t="shared" si="63"/>
        <v>EF1 E002 Mat</v>
      </c>
    </row>
    <row r="3961" spans="1:31" x14ac:dyDescent="0.25">
      <c r="A3961" s="31"/>
      <c r="B3961" s="16"/>
      <c r="C3961" s="16"/>
      <c r="D3961" s="33"/>
      <c r="E3961" s="33"/>
      <c r="F3961" s="33"/>
      <c r="G3961" s="33"/>
      <c r="H3961" s="33"/>
      <c r="I3961" s="31"/>
      <c r="J3961" s="31"/>
      <c r="K3961" s="33"/>
      <c r="L3961" s="33"/>
      <c r="M3961" s="31"/>
      <c r="N3961" s="31"/>
      <c r="O3961" s="16"/>
      <c r="P3961" s="16"/>
      <c r="Q3961" s="16"/>
      <c r="R3961" s="33"/>
      <c r="S3961" s="34"/>
      <c r="T3961" s="34"/>
      <c r="U3961" s="34"/>
      <c r="V3961" s="34"/>
      <c r="W3961" s="34"/>
      <c r="X3961" s="33"/>
      <c r="Y3961" s="35" t="str">
        <f>IF(Tabela2[[#This Row],[SIGLA]]="","",VLOOKUP(Tabela2[[#This Row],[SIGLA]],Tabela1[[#All],[Sigla Arte]:[Crédito]],2,0))</f>
        <v/>
      </c>
      <c r="Z3961" s="31"/>
      <c r="AA3961" s="31" t="str">
        <f>Tabela2[[#This Row],[ILUSTRADOR CRIAÇÃO]]</f>
        <v/>
      </c>
      <c r="AB3961" s="33"/>
      <c r="AC3961" s="16"/>
      <c r="AE3961" s="35" t="str">
        <f t="shared" si="63"/>
        <v>EF1 E002 Mat</v>
      </c>
    </row>
    <row r="3962" spans="1:31" x14ac:dyDescent="0.25">
      <c r="A3962" s="31"/>
      <c r="B3962" s="16"/>
      <c r="C3962" s="16"/>
      <c r="D3962" s="33"/>
      <c r="E3962" s="33"/>
      <c r="F3962" s="33"/>
      <c r="G3962" s="33"/>
      <c r="H3962" s="33"/>
      <c r="I3962" s="31"/>
      <c r="J3962" s="31"/>
      <c r="K3962" s="33"/>
      <c r="L3962" s="33"/>
      <c r="M3962" s="31"/>
      <c r="N3962" s="31"/>
      <c r="O3962" s="16"/>
      <c r="P3962" s="16"/>
      <c r="Q3962" s="16"/>
      <c r="R3962" s="33"/>
      <c r="S3962" s="34"/>
      <c r="T3962" s="34"/>
      <c r="U3962" s="34"/>
      <c r="V3962" s="34"/>
      <c r="W3962" s="34"/>
      <c r="X3962" s="33"/>
      <c r="Y3962" s="35" t="str">
        <f>IF(Tabela2[[#This Row],[SIGLA]]="","",VLOOKUP(Tabela2[[#This Row],[SIGLA]],Tabela1[[#All],[Sigla Arte]:[Crédito]],2,0))</f>
        <v/>
      </c>
      <c r="Z3962" s="31"/>
      <c r="AA3962" s="31" t="str">
        <f>Tabela2[[#This Row],[ILUSTRADOR CRIAÇÃO]]</f>
        <v/>
      </c>
      <c r="AB3962" s="33"/>
      <c r="AC3962" s="16"/>
      <c r="AE3962" s="35" t="str">
        <f t="shared" si="63"/>
        <v>EF1 E002 Mat</v>
      </c>
    </row>
    <row r="3963" spans="1:31" x14ac:dyDescent="0.25">
      <c r="A3963" s="31"/>
      <c r="B3963" s="16"/>
      <c r="C3963" s="16"/>
      <c r="D3963" s="33"/>
      <c r="E3963" s="33"/>
      <c r="F3963" s="33"/>
      <c r="G3963" s="33"/>
      <c r="H3963" s="33"/>
      <c r="I3963" s="31"/>
      <c r="J3963" s="31"/>
      <c r="K3963" s="33"/>
      <c r="L3963" s="33"/>
      <c r="M3963" s="31"/>
      <c r="N3963" s="31"/>
      <c r="O3963" s="16"/>
      <c r="P3963" s="16"/>
      <c r="Q3963" s="16"/>
      <c r="R3963" s="33"/>
      <c r="S3963" s="34"/>
      <c r="T3963" s="34"/>
      <c r="U3963" s="34"/>
      <c r="V3963" s="34"/>
      <c r="W3963" s="34"/>
      <c r="X3963" s="33"/>
      <c r="Y3963" s="35" t="str">
        <f>IF(Tabela2[[#This Row],[SIGLA]]="","",VLOOKUP(Tabela2[[#This Row],[SIGLA]],Tabela1[[#All],[Sigla Arte]:[Crédito]],2,0))</f>
        <v/>
      </c>
      <c r="Z3963" s="31"/>
      <c r="AA3963" s="31" t="str">
        <f>Tabela2[[#This Row],[ILUSTRADOR CRIAÇÃO]]</f>
        <v/>
      </c>
      <c r="AB3963" s="33"/>
      <c r="AC3963" s="16"/>
      <c r="AE3963" s="35" t="str">
        <f t="shared" si="63"/>
        <v>EF1 E002 Mat</v>
      </c>
    </row>
    <row r="3964" spans="1:31" x14ac:dyDescent="0.25">
      <c r="A3964" s="31"/>
      <c r="B3964" s="16"/>
      <c r="C3964" s="16"/>
      <c r="D3964" s="33"/>
      <c r="E3964" s="33"/>
      <c r="F3964" s="33"/>
      <c r="G3964" s="33"/>
      <c r="H3964" s="33"/>
      <c r="I3964" s="31"/>
      <c r="J3964" s="31"/>
      <c r="K3964" s="33"/>
      <c r="L3964" s="33"/>
      <c r="M3964" s="31"/>
      <c r="N3964" s="31"/>
      <c r="O3964" s="16"/>
      <c r="P3964" s="16"/>
      <c r="Q3964" s="16"/>
      <c r="R3964" s="33"/>
      <c r="S3964" s="34"/>
      <c r="T3964" s="34"/>
      <c r="U3964" s="34"/>
      <c r="V3964" s="34"/>
      <c r="W3964" s="34"/>
      <c r="X3964" s="33"/>
      <c r="Y3964" s="35" t="str">
        <f>IF(Tabela2[[#This Row],[SIGLA]]="","",VLOOKUP(Tabela2[[#This Row],[SIGLA]],Tabela1[[#All],[Sigla Arte]:[Crédito]],2,0))</f>
        <v/>
      </c>
      <c r="Z3964" s="31"/>
      <c r="AA3964" s="31" t="str">
        <f>Tabela2[[#This Row],[ILUSTRADOR CRIAÇÃO]]</f>
        <v/>
      </c>
      <c r="AB3964" s="33"/>
      <c r="AC3964" s="16"/>
      <c r="AE3964" s="35" t="str">
        <f t="shared" si="63"/>
        <v>EF1 E002 Mat</v>
      </c>
    </row>
    <row r="3965" spans="1:31" x14ac:dyDescent="0.25">
      <c r="A3965" s="31"/>
      <c r="B3965" s="16"/>
      <c r="C3965" s="16"/>
      <c r="D3965" s="33"/>
      <c r="E3965" s="33"/>
      <c r="F3965" s="33"/>
      <c r="G3965" s="33"/>
      <c r="H3965" s="33"/>
      <c r="I3965" s="31"/>
      <c r="J3965" s="31"/>
      <c r="K3965" s="33"/>
      <c r="L3965" s="33"/>
      <c r="M3965" s="31"/>
      <c r="N3965" s="31"/>
      <c r="O3965" s="16"/>
      <c r="P3965" s="16"/>
      <c r="Q3965" s="16"/>
      <c r="R3965" s="33"/>
      <c r="S3965" s="34"/>
      <c r="T3965" s="34"/>
      <c r="U3965" s="34"/>
      <c r="V3965" s="34"/>
      <c r="W3965" s="34"/>
      <c r="X3965" s="33"/>
      <c r="Y3965" s="35" t="str">
        <f>IF(Tabela2[[#This Row],[SIGLA]]="","",VLOOKUP(Tabela2[[#This Row],[SIGLA]],Tabela1[[#All],[Sigla Arte]:[Crédito]],2,0))</f>
        <v/>
      </c>
      <c r="Z3965" s="31"/>
      <c r="AA3965" s="31" t="str">
        <f>Tabela2[[#This Row],[ILUSTRADOR CRIAÇÃO]]</f>
        <v/>
      </c>
      <c r="AB3965" s="33"/>
      <c r="AC3965" s="16"/>
      <c r="AE3965" s="35" t="str">
        <f t="shared" si="63"/>
        <v>EF1 E002 Mat</v>
      </c>
    </row>
    <row r="3966" spans="1:31" x14ac:dyDescent="0.25">
      <c r="A3966" s="31"/>
      <c r="B3966" s="16"/>
      <c r="C3966" s="16"/>
      <c r="D3966" s="33"/>
      <c r="E3966" s="33"/>
      <c r="F3966" s="33"/>
      <c r="G3966" s="33"/>
      <c r="H3966" s="33"/>
      <c r="I3966" s="31"/>
      <c r="J3966" s="31"/>
      <c r="K3966" s="33"/>
      <c r="L3966" s="33"/>
      <c r="M3966" s="31"/>
      <c r="N3966" s="31"/>
      <c r="O3966" s="16"/>
      <c r="P3966" s="16"/>
      <c r="Q3966" s="16"/>
      <c r="R3966" s="33"/>
      <c r="S3966" s="34"/>
      <c r="T3966" s="34"/>
      <c r="U3966" s="34"/>
      <c r="V3966" s="34"/>
      <c r="W3966" s="34"/>
      <c r="X3966" s="33"/>
      <c r="Y3966" s="35" t="str">
        <f>IF(Tabela2[[#This Row],[SIGLA]]="","",VLOOKUP(Tabela2[[#This Row],[SIGLA]],Tabela1[[#All],[Sigla Arte]:[Crédito]],2,0))</f>
        <v/>
      </c>
      <c r="Z3966" s="31"/>
      <c r="AA3966" s="31" t="str">
        <f>Tabela2[[#This Row],[ILUSTRADOR CRIAÇÃO]]</f>
        <v/>
      </c>
      <c r="AB3966" s="33"/>
      <c r="AC3966" s="16"/>
      <c r="AE3966" s="35" t="str">
        <f t="shared" si="63"/>
        <v>EF1 E002 Mat</v>
      </c>
    </row>
    <row r="3967" spans="1:31" x14ac:dyDescent="0.25">
      <c r="A3967" s="31"/>
      <c r="B3967" s="16"/>
      <c r="C3967" s="16"/>
      <c r="D3967" s="33"/>
      <c r="E3967" s="33"/>
      <c r="F3967" s="33"/>
      <c r="G3967" s="33"/>
      <c r="H3967" s="33"/>
      <c r="I3967" s="31"/>
      <c r="J3967" s="31"/>
      <c r="K3967" s="33"/>
      <c r="L3967" s="33"/>
      <c r="M3967" s="31"/>
      <c r="N3967" s="31"/>
      <c r="O3967" s="16"/>
      <c r="P3967" s="16"/>
      <c r="Q3967" s="16"/>
      <c r="R3967" s="33"/>
      <c r="S3967" s="34"/>
      <c r="T3967" s="34"/>
      <c r="U3967" s="34"/>
      <c r="V3967" s="34"/>
      <c r="W3967" s="34"/>
      <c r="X3967" s="33"/>
      <c r="Y3967" s="35" t="str">
        <f>IF(Tabela2[[#This Row],[SIGLA]]="","",VLOOKUP(Tabela2[[#This Row],[SIGLA]],Tabela1[[#All],[Sigla Arte]:[Crédito]],2,0))</f>
        <v/>
      </c>
      <c r="Z3967" s="31"/>
      <c r="AA3967" s="31" t="str">
        <f>Tabela2[[#This Row],[ILUSTRADOR CRIAÇÃO]]</f>
        <v/>
      </c>
      <c r="AB3967" s="33"/>
      <c r="AC3967" s="16"/>
      <c r="AE3967" s="35" t="str">
        <f t="shared" si="63"/>
        <v>EF1 E002 Mat</v>
      </c>
    </row>
    <row r="3968" spans="1:31" x14ac:dyDescent="0.25">
      <c r="A3968" s="31"/>
      <c r="B3968" s="16"/>
      <c r="C3968" s="16"/>
      <c r="D3968" s="33"/>
      <c r="E3968" s="33"/>
      <c r="F3968" s="33"/>
      <c r="G3968" s="33"/>
      <c r="H3968" s="33"/>
      <c r="I3968" s="31"/>
      <c r="J3968" s="31"/>
      <c r="K3968" s="33"/>
      <c r="L3968" s="33"/>
      <c r="M3968" s="31"/>
      <c r="N3968" s="31"/>
      <c r="O3968" s="16"/>
      <c r="P3968" s="16"/>
      <c r="Q3968" s="16"/>
      <c r="R3968" s="33"/>
      <c r="S3968" s="34"/>
      <c r="T3968" s="34"/>
      <c r="U3968" s="34"/>
      <c r="V3968" s="34"/>
      <c r="W3968" s="34"/>
      <c r="X3968" s="33"/>
      <c r="Y3968" s="35" t="str">
        <f>IF(Tabela2[[#This Row],[SIGLA]]="","",VLOOKUP(Tabela2[[#This Row],[SIGLA]],Tabela1[[#All],[Sigla Arte]:[Crédito]],2,0))</f>
        <v/>
      </c>
      <c r="Z3968" s="31"/>
      <c r="AA3968" s="31" t="str">
        <f>Tabela2[[#This Row],[ILUSTRADOR CRIAÇÃO]]</f>
        <v/>
      </c>
      <c r="AB3968" s="33"/>
      <c r="AC3968" s="16"/>
      <c r="AE3968" s="35" t="str">
        <f t="shared" si="63"/>
        <v>EF1 E002 Mat</v>
      </c>
    </row>
    <row r="3969" spans="1:31" x14ac:dyDescent="0.25">
      <c r="A3969" s="31"/>
      <c r="B3969" s="16"/>
      <c r="C3969" s="16"/>
      <c r="D3969" s="33"/>
      <c r="E3969" s="33"/>
      <c r="F3969" s="33"/>
      <c r="G3969" s="33"/>
      <c r="H3969" s="33"/>
      <c r="I3969" s="31"/>
      <c r="J3969" s="31"/>
      <c r="K3969" s="33"/>
      <c r="L3969" s="33"/>
      <c r="M3969" s="31"/>
      <c r="N3969" s="31"/>
      <c r="O3969" s="16"/>
      <c r="P3969" s="16"/>
      <c r="Q3969" s="16"/>
      <c r="R3969" s="33"/>
      <c r="S3969" s="34"/>
      <c r="T3969" s="34"/>
      <c r="U3969" s="34"/>
      <c r="V3969" s="34"/>
      <c r="W3969" s="34"/>
      <c r="X3969" s="33"/>
      <c r="Y3969" s="35" t="str">
        <f>IF(Tabela2[[#This Row],[SIGLA]]="","",VLOOKUP(Tabela2[[#This Row],[SIGLA]],Tabela1[[#All],[Sigla Arte]:[Crédito]],2,0))</f>
        <v/>
      </c>
      <c r="Z3969" s="31"/>
      <c r="AA3969" s="31" t="str">
        <f>Tabela2[[#This Row],[ILUSTRADOR CRIAÇÃO]]</f>
        <v/>
      </c>
      <c r="AB3969" s="33"/>
      <c r="AC3969" s="16"/>
      <c r="AE3969" s="35" t="str">
        <f t="shared" si="63"/>
        <v>EF1 E002 Mat</v>
      </c>
    </row>
    <row r="3970" spans="1:31" x14ac:dyDescent="0.25">
      <c r="A3970" s="31"/>
      <c r="B3970" s="16"/>
      <c r="C3970" s="16"/>
      <c r="D3970" s="33"/>
      <c r="E3970" s="33"/>
      <c r="F3970" s="33"/>
      <c r="G3970" s="33"/>
      <c r="H3970" s="33"/>
      <c r="I3970" s="31"/>
      <c r="J3970" s="31"/>
      <c r="K3970" s="33"/>
      <c r="L3970" s="33"/>
      <c r="M3970" s="31"/>
      <c r="N3970" s="31"/>
      <c r="O3970" s="16"/>
      <c r="P3970" s="16"/>
      <c r="Q3970" s="16"/>
      <c r="R3970" s="33"/>
      <c r="S3970" s="34"/>
      <c r="T3970" s="34"/>
      <c r="U3970" s="34"/>
      <c r="V3970" s="34"/>
      <c r="W3970" s="34"/>
      <c r="X3970" s="33"/>
      <c r="Y3970" s="35" t="str">
        <f>IF(Tabela2[[#This Row],[SIGLA]]="","",VLOOKUP(Tabela2[[#This Row],[SIGLA]],Tabela1[[#All],[Sigla Arte]:[Crédito]],2,0))</f>
        <v/>
      </c>
      <c r="Z3970" s="31"/>
      <c r="AA3970" s="31" t="str">
        <f>Tabela2[[#This Row],[ILUSTRADOR CRIAÇÃO]]</f>
        <v/>
      </c>
      <c r="AB3970" s="33"/>
      <c r="AC3970" s="16"/>
      <c r="AE3970" s="35" t="str">
        <f t="shared" si="63"/>
        <v>EF1 E002 Mat</v>
      </c>
    </row>
    <row r="3971" spans="1:31" x14ac:dyDescent="0.25">
      <c r="A3971" s="31"/>
      <c r="B3971" s="16"/>
      <c r="C3971" s="16"/>
      <c r="D3971" s="33"/>
      <c r="E3971" s="33"/>
      <c r="F3971" s="33"/>
      <c r="G3971" s="33"/>
      <c r="H3971" s="33"/>
      <c r="I3971" s="31"/>
      <c r="J3971" s="31"/>
      <c r="K3971" s="33"/>
      <c r="L3971" s="33"/>
      <c r="M3971" s="31"/>
      <c r="N3971" s="31"/>
      <c r="O3971" s="16"/>
      <c r="P3971" s="16"/>
      <c r="Q3971" s="16"/>
      <c r="R3971" s="33"/>
      <c r="S3971" s="34"/>
      <c r="T3971" s="34"/>
      <c r="U3971" s="34"/>
      <c r="V3971" s="34"/>
      <c r="W3971" s="34"/>
      <c r="X3971" s="33"/>
      <c r="Y3971" s="35" t="str">
        <f>IF(Tabela2[[#This Row],[SIGLA]]="","",VLOOKUP(Tabela2[[#This Row],[SIGLA]],Tabela1[[#All],[Sigla Arte]:[Crédito]],2,0))</f>
        <v/>
      </c>
      <c r="Z3971" s="31"/>
      <c r="AA3971" s="31" t="str">
        <f>Tabela2[[#This Row],[ILUSTRADOR CRIAÇÃO]]</f>
        <v/>
      </c>
      <c r="AB3971" s="33"/>
      <c r="AC3971" s="16"/>
      <c r="AE3971" s="35" t="str">
        <f t="shared" si="63"/>
        <v>EF1 E002 Mat</v>
      </c>
    </row>
    <row r="3972" spans="1:31" x14ac:dyDescent="0.25">
      <c r="A3972" s="31"/>
      <c r="B3972" s="16"/>
      <c r="C3972" s="16"/>
      <c r="D3972" s="33"/>
      <c r="E3972" s="33"/>
      <c r="F3972" s="33"/>
      <c r="G3972" s="33"/>
      <c r="H3972" s="33"/>
      <c r="I3972" s="31"/>
      <c r="J3972" s="31"/>
      <c r="K3972" s="33"/>
      <c r="L3972" s="33"/>
      <c r="M3972" s="31"/>
      <c r="N3972" s="31"/>
      <c r="O3972" s="16"/>
      <c r="P3972" s="16"/>
      <c r="Q3972" s="16"/>
      <c r="R3972" s="33"/>
      <c r="S3972" s="34"/>
      <c r="T3972" s="34"/>
      <c r="U3972" s="34"/>
      <c r="V3972" s="34"/>
      <c r="W3972" s="34"/>
      <c r="X3972" s="33"/>
      <c r="Y3972" s="35" t="str">
        <f>IF(Tabela2[[#This Row],[SIGLA]]="","",VLOOKUP(Tabela2[[#This Row],[SIGLA]],Tabela1[[#All],[Sigla Arte]:[Crédito]],2,0))</f>
        <v/>
      </c>
      <c r="Z3972" s="31"/>
      <c r="AA3972" s="31" t="str">
        <f>Tabela2[[#This Row],[ILUSTRADOR CRIAÇÃO]]</f>
        <v/>
      </c>
      <c r="AB3972" s="33"/>
      <c r="AC3972" s="16"/>
      <c r="AE3972" s="35" t="str">
        <f t="shared" si="63"/>
        <v>EF1 E002 Mat</v>
      </c>
    </row>
    <row r="3973" spans="1:31" x14ac:dyDescent="0.25">
      <c r="A3973" s="31"/>
      <c r="B3973" s="16"/>
      <c r="C3973" s="16"/>
      <c r="D3973" s="33"/>
      <c r="E3973" s="33"/>
      <c r="F3973" s="33"/>
      <c r="G3973" s="33"/>
      <c r="H3973" s="33"/>
      <c r="I3973" s="31"/>
      <c r="J3973" s="31"/>
      <c r="K3973" s="33"/>
      <c r="L3973" s="33"/>
      <c r="M3973" s="31"/>
      <c r="N3973" s="31"/>
      <c r="O3973" s="16"/>
      <c r="P3973" s="16"/>
      <c r="Q3973" s="16"/>
      <c r="R3973" s="33"/>
      <c r="S3973" s="34"/>
      <c r="T3973" s="34"/>
      <c r="U3973" s="34"/>
      <c r="V3973" s="34"/>
      <c r="W3973" s="34"/>
      <c r="X3973" s="33"/>
      <c r="Y3973" s="35" t="str">
        <f>IF(Tabela2[[#This Row],[SIGLA]]="","",VLOOKUP(Tabela2[[#This Row],[SIGLA]],Tabela1[[#All],[Sigla Arte]:[Crédito]],2,0))</f>
        <v/>
      </c>
      <c r="Z3973" s="31"/>
      <c r="AA3973" s="31" t="str">
        <f>Tabela2[[#This Row],[ILUSTRADOR CRIAÇÃO]]</f>
        <v/>
      </c>
      <c r="AB3973" s="33"/>
      <c r="AC3973" s="16"/>
      <c r="AE3973" s="35" t="str">
        <f t="shared" si="63"/>
        <v>EF1 E002 Mat</v>
      </c>
    </row>
    <row r="3974" spans="1:31" x14ac:dyDescent="0.25">
      <c r="A3974" s="31"/>
      <c r="B3974" s="16"/>
      <c r="C3974" s="16"/>
      <c r="D3974" s="33"/>
      <c r="E3974" s="33"/>
      <c r="F3974" s="33"/>
      <c r="G3974" s="33"/>
      <c r="H3974" s="33"/>
      <c r="I3974" s="31"/>
      <c r="J3974" s="31"/>
      <c r="K3974" s="33"/>
      <c r="L3974" s="33"/>
      <c r="M3974" s="31"/>
      <c r="N3974" s="31"/>
      <c r="O3974" s="16"/>
      <c r="P3974" s="16"/>
      <c r="Q3974" s="16"/>
      <c r="R3974" s="33"/>
      <c r="S3974" s="34"/>
      <c r="T3974" s="34"/>
      <c r="U3974" s="34"/>
      <c r="V3974" s="34"/>
      <c r="W3974" s="34"/>
      <c r="X3974" s="33"/>
      <c r="Y3974" s="35" t="str">
        <f>IF(Tabela2[[#This Row],[SIGLA]]="","",VLOOKUP(Tabela2[[#This Row],[SIGLA]],Tabela1[[#All],[Sigla Arte]:[Crédito]],2,0))</f>
        <v/>
      </c>
      <c r="Z3974" s="31"/>
      <c r="AA3974" s="31" t="str">
        <f>Tabela2[[#This Row],[ILUSTRADOR CRIAÇÃO]]</f>
        <v/>
      </c>
      <c r="AB3974" s="33"/>
      <c r="AC3974" s="16"/>
      <c r="AE3974" s="35" t="str">
        <f t="shared" si="63"/>
        <v>EF1 E002 Mat</v>
      </c>
    </row>
    <row r="3975" spans="1:31" x14ac:dyDescent="0.25">
      <c r="A3975" s="31"/>
      <c r="B3975" s="16"/>
      <c r="C3975" s="16"/>
      <c r="D3975" s="33"/>
      <c r="E3975" s="33"/>
      <c r="F3975" s="33"/>
      <c r="G3975" s="33"/>
      <c r="H3975" s="33"/>
      <c r="I3975" s="31"/>
      <c r="J3975" s="31"/>
      <c r="K3975" s="33"/>
      <c r="L3975" s="33"/>
      <c r="M3975" s="31"/>
      <c r="N3975" s="31"/>
      <c r="O3975" s="16"/>
      <c r="P3975" s="16"/>
      <c r="Q3975" s="16"/>
      <c r="R3975" s="33"/>
      <c r="S3975" s="34"/>
      <c r="T3975" s="34"/>
      <c r="U3975" s="34"/>
      <c r="V3975" s="34"/>
      <c r="W3975" s="34"/>
      <c r="X3975" s="33"/>
      <c r="Y3975" s="35" t="str">
        <f>IF(Tabela2[[#This Row],[SIGLA]]="","",VLOOKUP(Tabela2[[#This Row],[SIGLA]],Tabela1[[#All],[Sigla Arte]:[Crédito]],2,0))</f>
        <v/>
      </c>
      <c r="Z3975" s="31"/>
      <c r="AA3975" s="31" t="str">
        <f>Tabela2[[#This Row],[ILUSTRADOR CRIAÇÃO]]</f>
        <v/>
      </c>
      <c r="AB3975" s="33"/>
      <c r="AC3975" s="16"/>
      <c r="AE3975" s="35" t="str">
        <f t="shared" si="63"/>
        <v>EF1 E002 Mat</v>
      </c>
    </row>
    <row r="3976" spans="1:31" x14ac:dyDescent="0.25">
      <c r="A3976" s="31"/>
      <c r="B3976" s="16"/>
      <c r="C3976" s="16"/>
      <c r="D3976" s="33"/>
      <c r="E3976" s="33"/>
      <c r="F3976" s="33"/>
      <c r="G3976" s="33"/>
      <c r="H3976" s="33"/>
      <c r="I3976" s="31"/>
      <c r="J3976" s="31"/>
      <c r="K3976" s="33"/>
      <c r="L3976" s="33"/>
      <c r="M3976" s="31"/>
      <c r="N3976" s="31"/>
      <c r="O3976" s="16"/>
      <c r="P3976" s="16"/>
      <c r="Q3976" s="16"/>
      <c r="R3976" s="33"/>
      <c r="S3976" s="34"/>
      <c r="T3976" s="34"/>
      <c r="U3976" s="34"/>
      <c r="V3976" s="34"/>
      <c r="W3976" s="34"/>
      <c r="X3976" s="33"/>
      <c r="Y3976" s="35" t="str">
        <f>IF(Tabela2[[#This Row],[SIGLA]]="","",VLOOKUP(Tabela2[[#This Row],[SIGLA]],Tabela1[[#All],[Sigla Arte]:[Crédito]],2,0))</f>
        <v/>
      </c>
      <c r="Z3976" s="31"/>
      <c r="AA3976" s="31" t="str">
        <f>Tabela2[[#This Row],[ILUSTRADOR CRIAÇÃO]]</f>
        <v/>
      </c>
      <c r="AB3976" s="33"/>
      <c r="AC3976" s="16"/>
      <c r="AE3976" s="35" t="str">
        <f t="shared" si="63"/>
        <v>EF1 E002 Mat</v>
      </c>
    </row>
    <row r="3977" spans="1:31" x14ac:dyDescent="0.25">
      <c r="A3977" s="31"/>
      <c r="B3977" s="16"/>
      <c r="C3977" s="16"/>
      <c r="D3977" s="33"/>
      <c r="E3977" s="33"/>
      <c r="F3977" s="33"/>
      <c r="G3977" s="33"/>
      <c r="H3977" s="33"/>
      <c r="I3977" s="31"/>
      <c r="J3977" s="31"/>
      <c r="K3977" s="33"/>
      <c r="L3977" s="33"/>
      <c r="M3977" s="31"/>
      <c r="N3977" s="31"/>
      <c r="O3977" s="16"/>
      <c r="P3977" s="16"/>
      <c r="Q3977" s="16"/>
      <c r="R3977" s="33"/>
      <c r="S3977" s="34"/>
      <c r="T3977" s="34"/>
      <c r="U3977" s="34"/>
      <c r="V3977" s="34"/>
      <c r="W3977" s="34"/>
      <c r="X3977" s="33"/>
      <c r="Y3977" s="35" t="str">
        <f>IF(Tabela2[[#This Row],[SIGLA]]="","",VLOOKUP(Tabela2[[#This Row],[SIGLA]],Tabela1[[#All],[Sigla Arte]:[Crédito]],2,0))</f>
        <v/>
      </c>
      <c r="Z3977" s="31"/>
      <c r="AA3977" s="31" t="str">
        <f>Tabela2[[#This Row],[ILUSTRADOR CRIAÇÃO]]</f>
        <v/>
      </c>
      <c r="AB3977" s="33"/>
      <c r="AC3977" s="16"/>
      <c r="AE3977" s="35" t="str">
        <f t="shared" si="63"/>
        <v>EF1 E002 Mat</v>
      </c>
    </row>
    <row r="3978" spans="1:31" x14ac:dyDescent="0.25">
      <c r="A3978" s="31"/>
      <c r="B3978" s="16"/>
      <c r="C3978" s="16"/>
      <c r="D3978" s="33"/>
      <c r="E3978" s="33"/>
      <c r="F3978" s="33"/>
      <c r="G3978" s="33"/>
      <c r="H3978" s="33"/>
      <c r="I3978" s="31"/>
      <c r="J3978" s="31"/>
      <c r="K3978" s="33"/>
      <c r="L3978" s="33"/>
      <c r="M3978" s="31"/>
      <c r="N3978" s="31"/>
      <c r="O3978" s="16"/>
      <c r="P3978" s="16"/>
      <c r="Q3978" s="16"/>
      <c r="R3978" s="33"/>
      <c r="S3978" s="34"/>
      <c r="T3978" s="34"/>
      <c r="U3978" s="34"/>
      <c r="V3978" s="34"/>
      <c r="W3978" s="34"/>
      <c r="X3978" s="33"/>
      <c r="Y3978" s="35" t="str">
        <f>IF(Tabela2[[#This Row],[SIGLA]]="","",VLOOKUP(Tabela2[[#This Row],[SIGLA]],Tabela1[[#All],[Sigla Arte]:[Crédito]],2,0))</f>
        <v/>
      </c>
      <c r="Z3978" s="31"/>
      <c r="AA3978" s="31" t="str">
        <f>Tabela2[[#This Row],[ILUSTRADOR CRIAÇÃO]]</f>
        <v/>
      </c>
      <c r="AB3978" s="33"/>
      <c r="AC3978" s="16"/>
      <c r="AE3978" s="35" t="str">
        <f t="shared" si="63"/>
        <v>EF1 E002 Mat</v>
      </c>
    </row>
    <row r="3979" spans="1:31" x14ac:dyDescent="0.25">
      <c r="A3979" s="31"/>
      <c r="B3979" s="16"/>
      <c r="C3979" s="16"/>
      <c r="D3979" s="33"/>
      <c r="E3979" s="33"/>
      <c r="F3979" s="33"/>
      <c r="G3979" s="33"/>
      <c r="H3979" s="33"/>
      <c r="I3979" s="31"/>
      <c r="J3979" s="31"/>
      <c r="K3979" s="33"/>
      <c r="L3979" s="33"/>
      <c r="M3979" s="31"/>
      <c r="N3979" s="31"/>
      <c r="O3979" s="16"/>
      <c r="P3979" s="16"/>
      <c r="Q3979" s="16"/>
      <c r="R3979" s="33"/>
      <c r="S3979" s="34"/>
      <c r="T3979" s="34"/>
      <c r="U3979" s="34"/>
      <c r="V3979" s="34"/>
      <c r="W3979" s="34"/>
      <c r="X3979" s="33"/>
      <c r="Y3979" s="35" t="str">
        <f>IF(Tabela2[[#This Row],[SIGLA]]="","",VLOOKUP(Tabela2[[#This Row],[SIGLA]],Tabela1[[#All],[Sigla Arte]:[Crédito]],2,0))</f>
        <v/>
      </c>
      <c r="Z3979" s="31"/>
      <c r="AA3979" s="31" t="str">
        <f>Tabela2[[#This Row],[ILUSTRADOR CRIAÇÃO]]</f>
        <v/>
      </c>
      <c r="AB3979" s="33"/>
      <c r="AC3979" s="16"/>
      <c r="AE3979" s="35" t="str">
        <f t="shared" si="63"/>
        <v>EF1 E002 Mat</v>
      </c>
    </row>
    <row r="3980" spans="1:31" x14ac:dyDescent="0.25">
      <c r="A3980" s="31"/>
      <c r="B3980" s="16"/>
      <c r="C3980" s="16"/>
      <c r="D3980" s="33"/>
      <c r="E3980" s="33"/>
      <c r="F3980" s="33"/>
      <c r="G3980" s="33"/>
      <c r="H3980" s="33"/>
      <c r="I3980" s="31"/>
      <c r="J3980" s="31"/>
      <c r="K3980" s="33"/>
      <c r="L3980" s="33"/>
      <c r="M3980" s="31"/>
      <c r="N3980" s="31"/>
      <c r="O3980" s="16"/>
      <c r="P3980" s="16"/>
      <c r="Q3980" s="16"/>
      <c r="R3980" s="33"/>
      <c r="S3980" s="34"/>
      <c r="T3980" s="34"/>
      <c r="U3980" s="34"/>
      <c r="V3980" s="34"/>
      <c r="W3980" s="34"/>
      <c r="X3980" s="33"/>
      <c r="Y3980" s="35" t="str">
        <f>IF(Tabela2[[#This Row],[SIGLA]]="","",VLOOKUP(Tabela2[[#This Row],[SIGLA]],Tabela1[[#All],[Sigla Arte]:[Crédito]],2,0))</f>
        <v/>
      </c>
      <c r="Z3980" s="31"/>
      <c r="AA3980" s="31" t="str">
        <f>Tabela2[[#This Row],[ILUSTRADOR CRIAÇÃO]]</f>
        <v/>
      </c>
      <c r="AB3980" s="33"/>
      <c r="AC3980" s="16"/>
      <c r="AE3980" s="35" t="str">
        <f t="shared" si="63"/>
        <v>EF1 E002 Mat</v>
      </c>
    </row>
    <row r="3981" spans="1:31" x14ac:dyDescent="0.25">
      <c r="A3981" s="31"/>
      <c r="B3981" s="16"/>
      <c r="C3981" s="16"/>
      <c r="D3981" s="33"/>
      <c r="E3981" s="33"/>
      <c r="F3981" s="33"/>
      <c r="G3981" s="33"/>
      <c r="H3981" s="33"/>
      <c r="I3981" s="31"/>
      <c r="J3981" s="31"/>
      <c r="K3981" s="33"/>
      <c r="L3981" s="33"/>
      <c r="M3981" s="31"/>
      <c r="N3981" s="31"/>
      <c r="O3981" s="16"/>
      <c r="P3981" s="16"/>
      <c r="Q3981" s="16"/>
      <c r="R3981" s="33"/>
      <c r="S3981" s="34"/>
      <c r="T3981" s="34"/>
      <c r="U3981" s="34"/>
      <c r="V3981" s="34"/>
      <c r="W3981" s="34"/>
      <c r="X3981" s="33"/>
      <c r="Y3981" s="35" t="str">
        <f>IF(Tabela2[[#This Row],[SIGLA]]="","",VLOOKUP(Tabela2[[#This Row],[SIGLA]],Tabela1[[#All],[Sigla Arte]:[Crédito]],2,0))</f>
        <v/>
      </c>
      <c r="Z3981" s="31"/>
      <c r="AA3981" s="31" t="str">
        <f>Tabela2[[#This Row],[ILUSTRADOR CRIAÇÃO]]</f>
        <v/>
      </c>
      <c r="AB3981" s="33"/>
      <c r="AC3981" s="16"/>
      <c r="AE3981" s="35" t="str">
        <f t="shared" si="63"/>
        <v>EF1 E002 Mat</v>
      </c>
    </row>
    <row r="3982" spans="1:31" x14ac:dyDescent="0.25">
      <c r="A3982" s="31"/>
      <c r="B3982" s="16"/>
      <c r="C3982" s="16"/>
      <c r="D3982" s="33"/>
      <c r="E3982" s="33"/>
      <c r="F3982" s="33"/>
      <c r="G3982" s="33"/>
      <c r="H3982" s="33"/>
      <c r="I3982" s="31"/>
      <c r="J3982" s="31"/>
      <c r="K3982" s="33"/>
      <c r="L3982" s="33"/>
      <c r="M3982" s="31"/>
      <c r="N3982" s="31"/>
      <c r="O3982" s="16"/>
      <c r="P3982" s="16"/>
      <c r="Q3982" s="16"/>
      <c r="R3982" s="33"/>
      <c r="S3982" s="34"/>
      <c r="T3982" s="34"/>
      <c r="U3982" s="34"/>
      <c r="V3982" s="34"/>
      <c r="W3982" s="34"/>
      <c r="X3982" s="33"/>
      <c r="Y3982" s="35" t="str">
        <f>IF(Tabela2[[#This Row],[SIGLA]]="","",VLOOKUP(Tabela2[[#This Row],[SIGLA]],Tabela1[[#All],[Sigla Arte]:[Crédito]],2,0))</f>
        <v/>
      </c>
      <c r="Z3982" s="31"/>
      <c r="AA3982" s="31" t="str">
        <f>Tabela2[[#This Row],[ILUSTRADOR CRIAÇÃO]]</f>
        <v/>
      </c>
      <c r="AB3982" s="33"/>
      <c r="AC3982" s="16"/>
      <c r="AE3982" s="35" t="str">
        <f t="shared" si="63"/>
        <v>EF1 E002 Mat</v>
      </c>
    </row>
    <row r="3983" spans="1:31" x14ac:dyDescent="0.25">
      <c r="A3983" s="31"/>
      <c r="B3983" s="16"/>
      <c r="C3983" s="16"/>
      <c r="D3983" s="33"/>
      <c r="E3983" s="33"/>
      <c r="F3983" s="33"/>
      <c r="G3983" s="33"/>
      <c r="H3983" s="33"/>
      <c r="I3983" s="31"/>
      <c r="J3983" s="31"/>
      <c r="K3983" s="33"/>
      <c r="L3983" s="33"/>
      <c r="M3983" s="31"/>
      <c r="N3983" s="31"/>
      <c r="O3983" s="16"/>
      <c r="P3983" s="16"/>
      <c r="Q3983" s="16"/>
      <c r="R3983" s="33"/>
      <c r="S3983" s="34"/>
      <c r="T3983" s="34"/>
      <c r="U3983" s="34"/>
      <c r="V3983" s="34"/>
      <c r="W3983" s="34"/>
      <c r="X3983" s="33"/>
      <c r="Y3983" s="35" t="str">
        <f>IF(Tabela2[[#This Row],[SIGLA]]="","",VLOOKUP(Tabela2[[#This Row],[SIGLA]],Tabela1[[#All],[Sigla Arte]:[Crédito]],2,0))</f>
        <v/>
      </c>
      <c r="Z3983" s="31"/>
      <c r="AA3983" s="31" t="str">
        <f>Tabela2[[#This Row],[ILUSTRADOR CRIAÇÃO]]</f>
        <v/>
      </c>
      <c r="AB3983" s="33"/>
      <c r="AC3983" s="16"/>
      <c r="AE3983" s="35" t="str">
        <f t="shared" si="63"/>
        <v>EF1 E002 Mat</v>
      </c>
    </row>
    <row r="3984" spans="1:31" x14ac:dyDescent="0.25">
      <c r="A3984" s="31"/>
      <c r="B3984" s="16"/>
      <c r="C3984" s="16"/>
      <c r="D3984" s="33"/>
      <c r="E3984" s="33"/>
      <c r="F3984" s="33"/>
      <c r="G3984" s="33"/>
      <c r="H3984" s="33"/>
      <c r="I3984" s="31"/>
      <c r="J3984" s="31"/>
      <c r="K3984" s="33"/>
      <c r="L3984" s="33"/>
      <c r="M3984" s="31"/>
      <c r="N3984" s="31"/>
      <c r="O3984" s="16"/>
      <c r="P3984" s="16"/>
      <c r="Q3984" s="16"/>
      <c r="R3984" s="33"/>
      <c r="S3984" s="34"/>
      <c r="T3984" s="34"/>
      <c r="U3984" s="34"/>
      <c r="V3984" s="34"/>
      <c r="W3984" s="34"/>
      <c r="X3984" s="33"/>
      <c r="Y3984" s="35" t="str">
        <f>IF(Tabela2[[#This Row],[SIGLA]]="","",VLOOKUP(Tabela2[[#This Row],[SIGLA]],Tabela1[[#All],[Sigla Arte]:[Crédito]],2,0))</f>
        <v/>
      </c>
      <c r="Z3984" s="31"/>
      <c r="AA3984" s="31" t="str">
        <f>Tabela2[[#This Row],[ILUSTRADOR CRIAÇÃO]]</f>
        <v/>
      </c>
      <c r="AB3984" s="33"/>
      <c r="AC3984" s="16"/>
      <c r="AE3984" s="35" t="str">
        <f t="shared" si="63"/>
        <v>EF1 E002 Mat</v>
      </c>
    </row>
    <row r="3985" spans="1:31" x14ac:dyDescent="0.25">
      <c r="A3985" s="31"/>
      <c r="B3985" s="16"/>
      <c r="C3985" s="16"/>
      <c r="D3985" s="33"/>
      <c r="E3985" s="33"/>
      <c r="F3985" s="33"/>
      <c r="G3985" s="33"/>
      <c r="H3985" s="33"/>
      <c r="I3985" s="31"/>
      <c r="J3985" s="31"/>
      <c r="K3985" s="33"/>
      <c r="L3985" s="33"/>
      <c r="M3985" s="31"/>
      <c r="N3985" s="31"/>
      <c r="O3985" s="16"/>
      <c r="P3985" s="16"/>
      <c r="Q3985" s="16"/>
      <c r="R3985" s="33"/>
      <c r="S3985" s="34"/>
      <c r="T3985" s="34"/>
      <c r="U3985" s="34"/>
      <c r="V3985" s="34"/>
      <c r="W3985" s="34"/>
      <c r="X3985" s="33"/>
      <c r="Y3985" s="35" t="str">
        <f>IF(Tabela2[[#This Row],[SIGLA]]="","",VLOOKUP(Tabela2[[#This Row],[SIGLA]],Tabela1[[#All],[Sigla Arte]:[Crédito]],2,0))</f>
        <v/>
      </c>
      <c r="Z3985" s="31"/>
      <c r="AA3985" s="31" t="str">
        <f>Tabela2[[#This Row],[ILUSTRADOR CRIAÇÃO]]</f>
        <v/>
      </c>
      <c r="AB3985" s="33"/>
      <c r="AC3985" s="16"/>
      <c r="AE3985" s="35" t="str">
        <f t="shared" si="63"/>
        <v>EF1 E002 Mat</v>
      </c>
    </row>
    <row r="3986" spans="1:31" x14ac:dyDescent="0.25">
      <c r="A3986" s="31"/>
      <c r="B3986" s="16"/>
      <c r="C3986" s="16"/>
      <c r="D3986" s="33"/>
      <c r="E3986" s="33"/>
      <c r="F3986" s="33"/>
      <c r="G3986" s="33"/>
      <c r="H3986" s="33"/>
      <c r="I3986" s="31"/>
      <c r="J3986" s="31"/>
      <c r="K3986" s="33"/>
      <c r="L3986" s="33"/>
      <c r="M3986" s="31"/>
      <c r="N3986" s="31"/>
      <c r="O3986" s="16"/>
      <c r="P3986" s="16"/>
      <c r="Q3986" s="16"/>
      <c r="R3986" s="33"/>
      <c r="S3986" s="34"/>
      <c r="T3986" s="34"/>
      <c r="U3986" s="34"/>
      <c r="V3986" s="34"/>
      <c r="W3986" s="34"/>
      <c r="X3986" s="33"/>
      <c r="Y3986" s="35" t="str">
        <f>IF(Tabela2[[#This Row],[SIGLA]]="","",VLOOKUP(Tabela2[[#This Row],[SIGLA]],Tabela1[[#All],[Sigla Arte]:[Crédito]],2,0))</f>
        <v/>
      </c>
      <c r="Z3986" s="31"/>
      <c r="AA3986" s="31" t="str">
        <f>Tabela2[[#This Row],[ILUSTRADOR CRIAÇÃO]]</f>
        <v/>
      </c>
      <c r="AB3986" s="33"/>
      <c r="AC3986" s="16"/>
      <c r="AE3986" s="35" t="str">
        <f t="shared" si="63"/>
        <v>EF1 E002 Mat</v>
      </c>
    </row>
    <row r="3987" spans="1:31" x14ac:dyDescent="0.25">
      <c r="A3987" s="31"/>
      <c r="B3987" s="16"/>
      <c r="C3987" s="16"/>
      <c r="D3987" s="33"/>
      <c r="E3987" s="33"/>
      <c r="F3987" s="33"/>
      <c r="G3987" s="33"/>
      <c r="H3987" s="33"/>
      <c r="I3987" s="31"/>
      <c r="J3987" s="31"/>
      <c r="K3987" s="33"/>
      <c r="L3987" s="33"/>
      <c r="M3987" s="31"/>
      <c r="N3987" s="31"/>
      <c r="O3987" s="16"/>
      <c r="P3987" s="16"/>
      <c r="Q3987" s="16"/>
      <c r="R3987" s="33"/>
      <c r="S3987" s="34"/>
      <c r="T3987" s="34"/>
      <c r="U3987" s="34"/>
      <c r="V3987" s="34"/>
      <c r="W3987" s="34"/>
      <c r="X3987" s="33"/>
      <c r="Y3987" s="35" t="str">
        <f>IF(Tabela2[[#This Row],[SIGLA]]="","",VLOOKUP(Tabela2[[#This Row],[SIGLA]],Tabela1[[#All],[Sigla Arte]:[Crédito]],2,0))</f>
        <v/>
      </c>
      <c r="Z3987" s="31"/>
      <c r="AA3987" s="31" t="str">
        <f>Tabela2[[#This Row],[ILUSTRADOR CRIAÇÃO]]</f>
        <v/>
      </c>
      <c r="AB3987" s="33"/>
      <c r="AC3987" s="16"/>
      <c r="AE3987" s="35" t="str">
        <f t="shared" si="63"/>
        <v>EF1 E002 Mat</v>
      </c>
    </row>
    <row r="3988" spans="1:31" x14ac:dyDescent="0.25">
      <c r="A3988" s="31"/>
      <c r="B3988" s="16"/>
      <c r="C3988" s="16"/>
      <c r="D3988" s="33"/>
      <c r="E3988" s="33"/>
      <c r="F3988" s="33"/>
      <c r="G3988" s="33"/>
      <c r="H3988" s="33"/>
      <c r="I3988" s="31"/>
      <c r="J3988" s="31"/>
      <c r="K3988" s="33"/>
      <c r="L3988" s="33"/>
      <c r="M3988" s="31"/>
      <c r="N3988" s="31"/>
      <c r="O3988" s="16"/>
      <c r="P3988" s="16"/>
      <c r="Q3988" s="16"/>
      <c r="R3988" s="33"/>
      <c r="S3988" s="34"/>
      <c r="T3988" s="34"/>
      <c r="U3988" s="34"/>
      <c r="V3988" s="34"/>
      <c r="W3988" s="34"/>
      <c r="X3988" s="33"/>
      <c r="Y3988" s="35" t="str">
        <f>IF(Tabela2[[#This Row],[SIGLA]]="","",VLOOKUP(Tabela2[[#This Row],[SIGLA]],Tabela1[[#All],[Sigla Arte]:[Crédito]],2,0))</f>
        <v/>
      </c>
      <c r="Z3988" s="31"/>
      <c r="AA3988" s="31" t="str">
        <f>Tabela2[[#This Row],[ILUSTRADOR CRIAÇÃO]]</f>
        <v/>
      </c>
      <c r="AB3988" s="33"/>
      <c r="AC3988" s="16"/>
      <c r="AE3988" s="35" t="str">
        <f t="shared" si="63"/>
        <v>EF1 E002 Mat</v>
      </c>
    </row>
    <row r="3989" spans="1:31" x14ac:dyDescent="0.25">
      <c r="A3989" s="31"/>
      <c r="B3989" s="16"/>
      <c r="C3989" s="16"/>
      <c r="D3989" s="33"/>
      <c r="E3989" s="33"/>
      <c r="F3989" s="33"/>
      <c r="G3989" s="33"/>
      <c r="H3989" s="33"/>
      <c r="I3989" s="31"/>
      <c r="J3989" s="31"/>
      <c r="K3989" s="33"/>
      <c r="L3989" s="33"/>
      <c r="M3989" s="31"/>
      <c r="N3989" s="31"/>
      <c r="O3989" s="16"/>
      <c r="P3989" s="16"/>
      <c r="Q3989" s="16"/>
      <c r="R3989" s="33"/>
      <c r="S3989" s="34"/>
      <c r="T3989" s="34"/>
      <c r="U3989" s="34"/>
      <c r="V3989" s="34"/>
      <c r="W3989" s="34"/>
      <c r="X3989" s="33"/>
      <c r="Y3989" s="35" t="str">
        <f>IF(Tabela2[[#This Row],[SIGLA]]="","",VLOOKUP(Tabela2[[#This Row],[SIGLA]],Tabela1[[#All],[Sigla Arte]:[Crédito]],2,0))</f>
        <v/>
      </c>
      <c r="Z3989" s="31"/>
      <c r="AA3989" s="31" t="str">
        <f>Tabela2[[#This Row],[ILUSTRADOR CRIAÇÃO]]</f>
        <v/>
      </c>
      <c r="AB3989" s="33"/>
      <c r="AC3989" s="16"/>
      <c r="AE3989" s="35" t="str">
        <f t="shared" si="63"/>
        <v>EF1 E002 Mat</v>
      </c>
    </row>
    <row r="3990" spans="1:31" x14ac:dyDescent="0.25">
      <c r="A3990" s="31"/>
      <c r="B3990" s="16"/>
      <c r="C3990" s="16"/>
      <c r="D3990" s="33"/>
      <c r="E3990" s="33"/>
      <c r="F3990" s="33"/>
      <c r="G3990" s="33"/>
      <c r="H3990" s="33"/>
      <c r="I3990" s="31"/>
      <c r="J3990" s="31"/>
      <c r="K3990" s="33"/>
      <c r="L3990" s="33"/>
      <c r="M3990" s="31"/>
      <c r="N3990" s="31"/>
      <c r="O3990" s="16"/>
      <c r="P3990" s="16"/>
      <c r="Q3990" s="16"/>
      <c r="R3990" s="33"/>
      <c r="S3990" s="34"/>
      <c r="T3990" s="34"/>
      <c r="U3990" s="34"/>
      <c r="V3990" s="34"/>
      <c r="W3990" s="34"/>
      <c r="X3990" s="33"/>
      <c r="Y3990" s="35" t="str">
        <f>IF(Tabela2[[#This Row],[SIGLA]]="","",VLOOKUP(Tabela2[[#This Row],[SIGLA]],Tabela1[[#All],[Sigla Arte]:[Crédito]],2,0))</f>
        <v/>
      </c>
      <c r="Z3990" s="31"/>
      <c r="AA3990" s="31" t="str">
        <f>Tabela2[[#This Row],[ILUSTRADOR CRIAÇÃO]]</f>
        <v/>
      </c>
      <c r="AB3990" s="33"/>
      <c r="AC3990" s="16"/>
      <c r="AE3990" s="35" t="str">
        <f t="shared" si="63"/>
        <v>EF1 E002 Mat</v>
      </c>
    </row>
    <row r="3991" spans="1:31" x14ac:dyDescent="0.25">
      <c r="A3991" s="31"/>
      <c r="B3991" s="16"/>
      <c r="C3991" s="16"/>
      <c r="D3991" s="33"/>
      <c r="E3991" s="33"/>
      <c r="F3991" s="33"/>
      <c r="G3991" s="33"/>
      <c r="H3991" s="33"/>
      <c r="I3991" s="31"/>
      <c r="J3991" s="31"/>
      <c r="K3991" s="33"/>
      <c r="L3991" s="33"/>
      <c r="M3991" s="31"/>
      <c r="N3991" s="31"/>
      <c r="O3991" s="16"/>
      <c r="P3991" s="16"/>
      <c r="Q3991" s="16"/>
      <c r="R3991" s="33"/>
      <c r="S3991" s="34"/>
      <c r="T3991" s="34"/>
      <c r="U3991" s="34"/>
      <c r="V3991" s="34"/>
      <c r="W3991" s="34"/>
      <c r="X3991" s="33"/>
      <c r="Y3991" s="35" t="str">
        <f>IF(Tabela2[[#This Row],[SIGLA]]="","",VLOOKUP(Tabela2[[#This Row],[SIGLA]],Tabela1[[#All],[Sigla Arte]:[Crédito]],2,0))</f>
        <v/>
      </c>
      <c r="Z3991" s="31"/>
      <c r="AA3991" s="31" t="str">
        <f>Tabela2[[#This Row],[ILUSTRADOR CRIAÇÃO]]</f>
        <v/>
      </c>
      <c r="AB3991" s="33"/>
      <c r="AC3991" s="16"/>
      <c r="AE3991" s="35" t="str">
        <f t="shared" si="63"/>
        <v>EF1 E002 Mat</v>
      </c>
    </row>
    <row r="3992" spans="1:31" x14ac:dyDescent="0.25">
      <c r="A3992" s="31"/>
      <c r="B3992" s="16"/>
      <c r="C3992" s="16"/>
      <c r="D3992" s="33"/>
      <c r="E3992" s="33"/>
      <c r="F3992" s="33"/>
      <c r="G3992" s="33"/>
      <c r="H3992" s="33"/>
      <c r="I3992" s="31"/>
      <c r="J3992" s="31"/>
      <c r="K3992" s="33"/>
      <c r="L3992" s="33"/>
      <c r="M3992" s="31"/>
      <c r="N3992" s="31"/>
      <c r="O3992" s="16"/>
      <c r="P3992" s="16"/>
      <c r="Q3992" s="16"/>
      <c r="R3992" s="33"/>
      <c r="S3992" s="34"/>
      <c r="T3992" s="34"/>
      <c r="U3992" s="34"/>
      <c r="V3992" s="34"/>
      <c r="W3992" s="34"/>
      <c r="X3992" s="33"/>
      <c r="Y3992" s="35" t="str">
        <f>IF(Tabela2[[#This Row],[SIGLA]]="","",VLOOKUP(Tabela2[[#This Row],[SIGLA]],Tabela1[[#All],[Sigla Arte]:[Crédito]],2,0))</f>
        <v/>
      </c>
      <c r="Z3992" s="31"/>
      <c r="AA3992" s="31" t="str">
        <f>Tabela2[[#This Row],[ILUSTRADOR CRIAÇÃO]]</f>
        <v/>
      </c>
      <c r="AB3992" s="33"/>
      <c r="AC3992" s="16"/>
      <c r="AE3992" s="35" t="str">
        <f t="shared" si="63"/>
        <v>EF1 E002 Mat</v>
      </c>
    </row>
    <row r="3993" spans="1:31" x14ac:dyDescent="0.25">
      <c r="A3993" s="31"/>
      <c r="B3993" s="16"/>
      <c r="C3993" s="16"/>
      <c r="D3993" s="33"/>
      <c r="E3993" s="33"/>
      <c r="F3993" s="33"/>
      <c r="G3993" s="33"/>
      <c r="H3993" s="33"/>
      <c r="I3993" s="31"/>
      <c r="J3993" s="31"/>
      <c r="K3993" s="33"/>
      <c r="L3993" s="33"/>
      <c r="M3993" s="31"/>
      <c r="N3993" s="31"/>
      <c r="O3993" s="16"/>
      <c r="P3993" s="16"/>
      <c r="Q3993" s="16"/>
      <c r="R3993" s="33"/>
      <c r="S3993" s="34"/>
      <c r="T3993" s="34"/>
      <c r="U3993" s="34"/>
      <c r="V3993" s="34"/>
      <c r="W3993" s="34"/>
      <c r="X3993" s="33"/>
      <c r="Y3993" s="35" t="str">
        <f>IF(Tabela2[[#This Row],[SIGLA]]="","",VLOOKUP(Tabela2[[#This Row],[SIGLA]],Tabela1[[#All],[Sigla Arte]:[Crédito]],2,0))</f>
        <v/>
      </c>
      <c r="Z3993" s="31"/>
      <c r="AA3993" s="31" t="str">
        <f>Tabela2[[#This Row],[ILUSTRADOR CRIAÇÃO]]</f>
        <v/>
      </c>
      <c r="AB3993" s="33"/>
      <c r="AC3993" s="16"/>
      <c r="AE3993" s="35" t="str">
        <f t="shared" si="63"/>
        <v>EF1 E002 Mat</v>
      </c>
    </row>
    <row r="3994" spans="1:31" x14ac:dyDescent="0.25">
      <c r="A3994" s="31"/>
      <c r="B3994" s="16"/>
      <c r="C3994" s="16"/>
      <c r="D3994" s="33"/>
      <c r="E3994" s="33"/>
      <c r="F3994" s="33"/>
      <c r="G3994" s="33"/>
      <c r="H3994" s="33"/>
      <c r="I3994" s="31"/>
      <c r="J3994" s="31"/>
      <c r="K3994" s="33"/>
      <c r="L3994" s="33"/>
      <c r="M3994" s="31"/>
      <c r="N3994" s="31"/>
      <c r="O3994" s="16"/>
      <c r="P3994" s="16"/>
      <c r="Q3994" s="16"/>
      <c r="R3994" s="33"/>
      <c r="S3994" s="34"/>
      <c r="T3994" s="34"/>
      <c r="U3994" s="34"/>
      <c r="V3994" s="34"/>
      <c r="W3994" s="34"/>
      <c r="X3994" s="33"/>
      <c r="Y3994" s="35" t="str">
        <f>IF(Tabela2[[#This Row],[SIGLA]]="","",VLOOKUP(Tabela2[[#This Row],[SIGLA]],Tabela1[[#All],[Sigla Arte]:[Crédito]],2,0))</f>
        <v/>
      </c>
      <c r="Z3994" s="31"/>
      <c r="AA3994" s="31" t="str">
        <f>Tabela2[[#This Row],[ILUSTRADOR CRIAÇÃO]]</f>
        <v/>
      </c>
      <c r="AB3994" s="33"/>
      <c r="AC3994" s="16"/>
      <c r="AE3994" s="35" t="str">
        <f t="shared" si="63"/>
        <v>EF1 E002 Mat</v>
      </c>
    </row>
    <row r="3995" spans="1:31" x14ac:dyDescent="0.25">
      <c r="A3995" s="31"/>
      <c r="B3995" s="16"/>
      <c r="C3995" s="16"/>
      <c r="D3995" s="33"/>
      <c r="E3995" s="33"/>
      <c r="F3995" s="33"/>
      <c r="G3995" s="33"/>
      <c r="H3995" s="33"/>
      <c r="I3995" s="31"/>
      <c r="J3995" s="31"/>
      <c r="K3995" s="33"/>
      <c r="L3995" s="33"/>
      <c r="M3995" s="31"/>
      <c r="N3995" s="31"/>
      <c r="O3995" s="16"/>
      <c r="P3995" s="16"/>
      <c r="Q3995" s="16"/>
      <c r="R3995" s="33"/>
      <c r="S3995" s="34"/>
      <c r="T3995" s="34"/>
      <c r="U3995" s="34"/>
      <c r="V3995" s="34"/>
      <c r="W3995" s="34"/>
      <c r="X3995" s="33"/>
      <c r="Y3995" s="35" t="str">
        <f>IF(Tabela2[[#This Row],[SIGLA]]="","",VLOOKUP(Tabela2[[#This Row],[SIGLA]],Tabela1[[#All],[Sigla Arte]:[Crédito]],2,0))</f>
        <v/>
      </c>
      <c r="Z3995" s="31"/>
      <c r="AA3995" s="31" t="str">
        <f>Tabela2[[#This Row],[ILUSTRADOR CRIAÇÃO]]</f>
        <v/>
      </c>
      <c r="AB3995" s="33"/>
      <c r="AC3995" s="16"/>
      <c r="AE3995" s="35" t="str">
        <f t="shared" si="63"/>
        <v>EF1 E002 Mat</v>
      </c>
    </row>
    <row r="3996" spans="1:31" x14ac:dyDescent="0.25">
      <c r="A3996" s="31"/>
      <c r="B3996" s="16"/>
      <c r="C3996" s="16"/>
      <c r="D3996" s="33"/>
      <c r="E3996" s="33"/>
      <c r="F3996" s="33"/>
      <c r="G3996" s="33"/>
      <c r="H3996" s="33"/>
      <c r="I3996" s="31"/>
      <c r="J3996" s="31"/>
      <c r="K3996" s="33"/>
      <c r="L3996" s="33"/>
      <c r="M3996" s="31"/>
      <c r="N3996" s="31"/>
      <c r="O3996" s="16"/>
      <c r="P3996" s="16"/>
      <c r="Q3996" s="16"/>
      <c r="R3996" s="33"/>
      <c r="S3996" s="34"/>
      <c r="T3996" s="34"/>
      <c r="U3996" s="34"/>
      <c r="V3996" s="34"/>
      <c r="W3996" s="34"/>
      <c r="X3996" s="33"/>
      <c r="Y3996" s="35" t="str">
        <f>IF(Tabela2[[#This Row],[SIGLA]]="","",VLOOKUP(Tabela2[[#This Row],[SIGLA]],Tabela1[[#All],[Sigla Arte]:[Crédito]],2,0))</f>
        <v/>
      </c>
      <c r="Z3996" s="31"/>
      <c r="AA3996" s="31" t="str">
        <f>Tabela2[[#This Row],[ILUSTRADOR CRIAÇÃO]]</f>
        <v/>
      </c>
      <c r="AB3996" s="33"/>
      <c r="AC3996" s="16"/>
      <c r="AE3996" s="35" t="str">
        <f t="shared" si="63"/>
        <v>EF1 E002 Mat</v>
      </c>
    </row>
    <row r="3997" spans="1:31" x14ac:dyDescent="0.25">
      <c r="A3997" s="31"/>
      <c r="B3997" s="16"/>
      <c r="C3997" s="16"/>
      <c r="D3997" s="33"/>
      <c r="E3997" s="33"/>
      <c r="F3997" s="33"/>
      <c r="G3997" s="33"/>
      <c r="H3997" s="33"/>
      <c r="I3997" s="31"/>
      <c r="J3997" s="31"/>
      <c r="K3997" s="33"/>
      <c r="L3997" s="33"/>
      <c r="M3997" s="31"/>
      <c r="N3997" s="31"/>
      <c r="O3997" s="16"/>
      <c r="P3997" s="16"/>
      <c r="Q3997" s="16"/>
      <c r="R3997" s="33"/>
      <c r="S3997" s="34"/>
      <c r="T3997" s="34"/>
      <c r="U3997" s="34"/>
      <c r="V3997" s="34"/>
      <c r="W3997" s="34"/>
      <c r="X3997" s="33"/>
      <c r="Y3997" s="35" t="str">
        <f>IF(Tabela2[[#This Row],[SIGLA]]="","",VLOOKUP(Tabela2[[#This Row],[SIGLA]],Tabela1[[#All],[Sigla Arte]:[Crédito]],2,0))</f>
        <v/>
      </c>
      <c r="Z3997" s="31"/>
      <c r="AA3997" s="31" t="str">
        <f>Tabela2[[#This Row],[ILUSTRADOR CRIAÇÃO]]</f>
        <v/>
      </c>
      <c r="AB3997" s="33"/>
      <c r="AC3997" s="16"/>
      <c r="AE3997" s="35" t="str">
        <f t="shared" si="63"/>
        <v>EF1 E002 Mat</v>
      </c>
    </row>
    <row r="3998" spans="1:31" x14ac:dyDescent="0.25">
      <c r="A3998" s="31"/>
      <c r="B3998" s="16"/>
      <c r="C3998" s="16"/>
      <c r="D3998" s="33"/>
      <c r="E3998" s="33"/>
      <c r="F3998" s="33"/>
      <c r="G3998" s="33"/>
      <c r="H3998" s="33"/>
      <c r="I3998" s="31"/>
      <c r="J3998" s="31"/>
      <c r="K3998" s="33"/>
      <c r="L3998" s="33"/>
      <c r="M3998" s="31"/>
      <c r="N3998" s="31"/>
      <c r="O3998" s="16"/>
      <c r="P3998" s="16"/>
      <c r="Q3998" s="16"/>
      <c r="R3998" s="33"/>
      <c r="S3998" s="34"/>
      <c r="T3998" s="34"/>
      <c r="U3998" s="34"/>
      <c r="V3998" s="34"/>
      <c r="W3998" s="34"/>
      <c r="X3998" s="33"/>
      <c r="Y3998" s="35" t="str">
        <f>IF(Tabela2[[#This Row],[SIGLA]]="","",VLOOKUP(Tabela2[[#This Row],[SIGLA]],Tabela1[[#All],[Sigla Arte]:[Crédito]],2,0))</f>
        <v/>
      </c>
      <c r="Z3998" s="31"/>
      <c r="AA3998" s="31" t="str">
        <f>Tabela2[[#This Row],[ILUSTRADOR CRIAÇÃO]]</f>
        <v/>
      </c>
      <c r="AB3998" s="33"/>
      <c r="AC3998" s="16"/>
      <c r="AE3998" s="35" t="str">
        <f t="shared" si="63"/>
        <v>EF1 E002 Mat</v>
      </c>
    </row>
    <row r="3999" spans="1:31" x14ac:dyDescent="0.25">
      <c r="A3999" s="31"/>
      <c r="B3999" s="16"/>
      <c r="C3999" s="16"/>
      <c r="D3999" s="33"/>
      <c r="E3999" s="33"/>
      <c r="F3999" s="33"/>
      <c r="G3999" s="33"/>
      <c r="H3999" s="33"/>
      <c r="I3999" s="31"/>
      <c r="J3999" s="31"/>
      <c r="K3999" s="33"/>
      <c r="L3999" s="33"/>
      <c r="M3999" s="31"/>
      <c r="N3999" s="31"/>
      <c r="O3999" s="16"/>
      <c r="P3999" s="16"/>
      <c r="Q3999" s="16"/>
      <c r="R3999" s="33"/>
      <c r="S3999" s="34"/>
      <c r="T3999" s="34"/>
      <c r="U3999" s="34"/>
      <c r="V3999" s="34"/>
      <c r="W3999" s="34"/>
      <c r="X3999" s="33"/>
      <c r="Y3999" s="35" t="str">
        <f>IF(Tabela2[[#This Row],[SIGLA]]="","",VLOOKUP(Tabela2[[#This Row],[SIGLA]],Tabela1[[#All],[Sigla Arte]:[Crédito]],2,0))</f>
        <v/>
      </c>
      <c r="Z3999" s="31"/>
      <c r="AA3999" s="31" t="str">
        <f>Tabela2[[#This Row],[ILUSTRADOR CRIAÇÃO]]</f>
        <v/>
      </c>
      <c r="AB3999" s="33"/>
      <c r="AC3999" s="16"/>
      <c r="AE3999" s="35" t="str">
        <f t="shared" si="63"/>
        <v>EF1 E002 Mat</v>
      </c>
    </row>
    <row r="4000" spans="1:31" x14ac:dyDescent="0.25">
      <c r="A4000" s="31"/>
      <c r="B4000" s="16"/>
      <c r="C4000" s="16"/>
      <c r="D4000" s="33"/>
      <c r="E4000" s="33"/>
      <c r="F4000" s="33"/>
      <c r="G4000" s="33"/>
      <c r="H4000" s="33"/>
      <c r="I4000" s="31"/>
      <c r="J4000" s="31"/>
      <c r="K4000" s="33"/>
      <c r="L4000" s="33"/>
      <c r="M4000" s="31"/>
      <c r="N4000" s="31"/>
      <c r="O4000" s="16"/>
      <c r="P4000" s="16"/>
      <c r="Q4000" s="16"/>
      <c r="R4000" s="33"/>
      <c r="S4000" s="34"/>
      <c r="T4000" s="34"/>
      <c r="U4000" s="34"/>
      <c r="V4000" s="34"/>
      <c r="W4000" s="34"/>
      <c r="X4000" s="33"/>
      <c r="Y4000" s="35" t="str">
        <f>IF(Tabela2[[#This Row],[SIGLA]]="","",VLOOKUP(Tabela2[[#This Row],[SIGLA]],Tabela1[[#All],[Sigla Arte]:[Crédito]],2,0))</f>
        <v/>
      </c>
      <c r="Z4000" s="31"/>
      <c r="AA4000" s="31" t="str">
        <f>Tabela2[[#This Row],[ILUSTRADOR CRIAÇÃO]]</f>
        <v/>
      </c>
      <c r="AB4000" s="33"/>
      <c r="AC4000" s="16"/>
      <c r="AE4000" s="35" t="str">
        <f t="shared" si="63"/>
        <v>EF1 E002 Mat</v>
      </c>
    </row>
    <row r="4001" spans="1:31" x14ac:dyDescent="0.25">
      <c r="A4001" s="31"/>
      <c r="B4001" s="16"/>
      <c r="C4001" s="16"/>
      <c r="D4001" s="33"/>
      <c r="E4001" s="33"/>
      <c r="F4001" s="33"/>
      <c r="G4001" s="33"/>
      <c r="H4001" s="33"/>
      <c r="I4001" s="31"/>
      <c r="J4001" s="31"/>
      <c r="K4001" s="33"/>
      <c r="L4001" s="33"/>
      <c r="M4001" s="31"/>
      <c r="N4001" s="31"/>
      <c r="O4001" s="16"/>
      <c r="P4001" s="16"/>
      <c r="Q4001" s="16"/>
      <c r="R4001" s="33"/>
      <c r="S4001" s="34"/>
      <c r="T4001" s="34"/>
      <c r="U4001" s="34"/>
      <c r="V4001" s="34"/>
      <c r="W4001" s="34"/>
      <c r="X4001" s="33"/>
      <c r="Y4001" s="35" t="str">
        <f>IF(Tabela2[[#This Row],[SIGLA]]="","",VLOOKUP(Tabela2[[#This Row],[SIGLA]],Tabela1[[#All],[Sigla Arte]:[Crédito]],2,0))</f>
        <v/>
      </c>
      <c r="Z4001" s="31"/>
      <c r="AA4001" s="31" t="str">
        <f>Tabela2[[#This Row],[ILUSTRADOR CRIAÇÃO]]</f>
        <v/>
      </c>
      <c r="AB4001" s="33"/>
      <c r="AC4001" s="16"/>
      <c r="AE4001" s="35" t="str">
        <f t="shared" si="63"/>
        <v>EF1 E002 Mat</v>
      </c>
    </row>
    <row r="4002" spans="1:31" x14ac:dyDescent="0.25">
      <c r="A4002" s="31"/>
      <c r="B4002" s="16"/>
      <c r="C4002" s="16"/>
      <c r="D4002" s="33"/>
      <c r="E4002" s="33"/>
      <c r="F4002" s="33"/>
      <c r="G4002" s="33"/>
      <c r="H4002" s="33"/>
      <c r="I4002" s="31"/>
      <c r="J4002" s="31"/>
      <c r="K4002" s="33"/>
      <c r="L4002" s="33"/>
      <c r="M4002" s="31"/>
      <c r="N4002" s="31"/>
      <c r="O4002" s="16"/>
      <c r="P4002" s="16"/>
      <c r="Q4002" s="16"/>
      <c r="R4002" s="33"/>
      <c r="S4002" s="34"/>
      <c r="T4002" s="34"/>
      <c r="U4002" s="34"/>
      <c r="V4002" s="34"/>
      <c r="W4002" s="34"/>
      <c r="X4002" s="33"/>
      <c r="Y4002" s="35" t="str">
        <f>IF(Tabela2[[#This Row],[SIGLA]]="","",VLOOKUP(Tabela2[[#This Row],[SIGLA]],Tabela1[[#All],[Sigla Arte]:[Crédito]],2,0))</f>
        <v/>
      </c>
      <c r="Z4002" s="31"/>
      <c r="AA4002" s="31" t="str">
        <f>Tabela2[[#This Row],[ILUSTRADOR CRIAÇÃO]]</f>
        <v/>
      </c>
      <c r="AB4002" s="33"/>
      <c r="AC4002" s="16"/>
      <c r="AE4002" s="35" t="str">
        <f t="shared" si="63"/>
        <v>EF1 E002 Mat</v>
      </c>
    </row>
    <row r="4003" spans="1:31" x14ac:dyDescent="0.25">
      <c r="A4003" s="31"/>
      <c r="B4003" s="16"/>
      <c r="C4003" s="16"/>
      <c r="D4003" s="33"/>
      <c r="E4003" s="33"/>
      <c r="F4003" s="33"/>
      <c r="G4003" s="33"/>
      <c r="H4003" s="33"/>
      <c r="I4003" s="31"/>
      <c r="J4003" s="31"/>
      <c r="K4003" s="33"/>
      <c r="L4003" s="33"/>
      <c r="M4003" s="31"/>
      <c r="N4003" s="31"/>
      <c r="O4003" s="16"/>
      <c r="P4003" s="16"/>
      <c r="Q4003" s="16"/>
      <c r="R4003" s="33"/>
      <c r="S4003" s="34"/>
      <c r="T4003" s="34"/>
      <c r="U4003" s="34"/>
      <c r="V4003" s="34"/>
      <c r="W4003" s="34"/>
      <c r="X4003" s="33"/>
      <c r="Y4003" s="35" t="str">
        <f>IF(Tabela2[[#This Row],[SIGLA]]="","",VLOOKUP(Tabela2[[#This Row],[SIGLA]],Tabela1[[#All],[Sigla Arte]:[Crédito]],2,0))</f>
        <v/>
      </c>
      <c r="Z4003" s="31"/>
      <c r="AA4003" s="31" t="str">
        <f>Tabela2[[#This Row],[ILUSTRADOR CRIAÇÃO]]</f>
        <v/>
      </c>
      <c r="AB4003" s="33"/>
      <c r="AC4003" s="16"/>
      <c r="AE4003" s="35" t="str">
        <f t="shared" si="63"/>
        <v>EF1 E002 Mat</v>
      </c>
    </row>
    <row r="4004" spans="1:31" x14ac:dyDescent="0.25">
      <c r="A4004" s="31"/>
      <c r="B4004" s="16"/>
      <c r="C4004" s="16"/>
      <c r="D4004" s="33"/>
      <c r="E4004" s="33"/>
      <c r="F4004" s="33"/>
      <c r="G4004" s="33"/>
      <c r="H4004" s="33"/>
      <c r="I4004" s="31"/>
      <c r="J4004" s="31"/>
      <c r="K4004" s="33"/>
      <c r="L4004" s="33"/>
      <c r="M4004" s="31"/>
      <c r="N4004" s="31"/>
      <c r="O4004" s="16"/>
      <c r="P4004" s="16"/>
      <c r="Q4004" s="16"/>
      <c r="R4004" s="33"/>
      <c r="S4004" s="34"/>
      <c r="T4004" s="34"/>
      <c r="U4004" s="34"/>
      <c r="V4004" s="34"/>
      <c r="W4004" s="34"/>
      <c r="X4004" s="33"/>
      <c r="Y4004" s="35" t="str">
        <f>IF(Tabela2[[#This Row],[SIGLA]]="","",VLOOKUP(Tabela2[[#This Row],[SIGLA]],Tabela1[[#All],[Sigla Arte]:[Crédito]],2,0))</f>
        <v/>
      </c>
      <c r="Z4004" s="31"/>
      <c r="AA4004" s="31" t="str">
        <f>Tabela2[[#This Row],[ILUSTRADOR CRIAÇÃO]]</f>
        <v/>
      </c>
      <c r="AB4004" s="33"/>
      <c r="AC4004" s="16"/>
      <c r="AE4004" s="35" t="str">
        <f t="shared" si="63"/>
        <v>EF1 E002 Mat</v>
      </c>
    </row>
    <row r="4005" spans="1:31" x14ac:dyDescent="0.25">
      <c r="A4005" s="31"/>
      <c r="B4005" s="16"/>
      <c r="C4005" s="16"/>
      <c r="D4005" s="33"/>
      <c r="E4005" s="33"/>
      <c r="F4005" s="33"/>
      <c r="G4005" s="33"/>
      <c r="H4005" s="33"/>
      <c r="I4005" s="31"/>
      <c r="J4005" s="31"/>
      <c r="K4005" s="33"/>
      <c r="L4005" s="33"/>
      <c r="M4005" s="31"/>
      <c r="N4005" s="31"/>
      <c r="O4005" s="16"/>
      <c r="P4005" s="16"/>
      <c r="Q4005" s="16"/>
      <c r="R4005" s="33"/>
      <c r="S4005" s="34"/>
      <c r="T4005" s="34"/>
      <c r="U4005" s="34"/>
      <c r="V4005" s="34"/>
      <c r="W4005" s="34"/>
      <c r="X4005" s="33"/>
      <c r="Y4005" s="35" t="str">
        <f>IF(Tabela2[[#This Row],[SIGLA]]="","",VLOOKUP(Tabela2[[#This Row],[SIGLA]],Tabela1[[#All],[Sigla Arte]:[Crédito]],2,0))</f>
        <v/>
      </c>
      <c r="Z4005" s="31"/>
      <c r="AA4005" s="31" t="str">
        <f>Tabela2[[#This Row],[ILUSTRADOR CRIAÇÃO]]</f>
        <v/>
      </c>
      <c r="AB4005" s="33"/>
      <c r="AC4005" s="16"/>
      <c r="AE4005" s="35" t="str">
        <f t="shared" si="63"/>
        <v>EF1 E002 Mat</v>
      </c>
    </row>
    <row r="4006" spans="1:31" x14ac:dyDescent="0.25">
      <c r="A4006" s="31"/>
      <c r="B4006" s="16"/>
      <c r="C4006" s="16"/>
      <c r="D4006" s="33"/>
      <c r="E4006" s="33"/>
      <c r="F4006" s="33"/>
      <c r="G4006" s="33"/>
      <c r="H4006" s="33"/>
      <c r="I4006" s="31"/>
      <c r="J4006" s="31"/>
      <c r="K4006" s="33"/>
      <c r="L4006" s="33"/>
      <c r="M4006" s="31"/>
      <c r="N4006" s="31"/>
      <c r="O4006" s="16"/>
      <c r="P4006" s="16"/>
      <c r="Q4006" s="16"/>
      <c r="R4006" s="33"/>
      <c r="S4006" s="34"/>
      <c r="T4006" s="34"/>
      <c r="U4006" s="34"/>
      <c r="V4006" s="34"/>
      <c r="W4006" s="34"/>
      <c r="X4006" s="33"/>
      <c r="Y4006" s="35" t="str">
        <f>IF(Tabela2[[#This Row],[SIGLA]]="","",VLOOKUP(Tabela2[[#This Row],[SIGLA]],Tabela1[[#All],[Sigla Arte]:[Crédito]],2,0))</f>
        <v/>
      </c>
      <c r="Z4006" s="31"/>
      <c r="AA4006" s="31" t="str">
        <f>Tabela2[[#This Row],[ILUSTRADOR CRIAÇÃO]]</f>
        <v/>
      </c>
      <c r="AB4006" s="33"/>
      <c r="AC4006" s="16"/>
      <c r="AE4006" s="35" t="str">
        <f t="shared" si="63"/>
        <v>EF1 E002 Mat</v>
      </c>
    </row>
    <row r="4007" spans="1:31" x14ac:dyDescent="0.25">
      <c r="A4007" s="31"/>
      <c r="B4007" s="16"/>
      <c r="C4007" s="16"/>
      <c r="D4007" s="33"/>
      <c r="E4007" s="33"/>
      <c r="F4007" s="33"/>
      <c r="G4007" s="33"/>
      <c r="H4007" s="33"/>
      <c r="I4007" s="31"/>
      <c r="J4007" s="31"/>
      <c r="K4007" s="33"/>
      <c r="L4007" s="33"/>
      <c r="M4007" s="31"/>
      <c r="N4007" s="31"/>
      <c r="O4007" s="16"/>
      <c r="P4007" s="16"/>
      <c r="Q4007" s="16"/>
      <c r="R4007" s="33"/>
      <c r="S4007" s="34"/>
      <c r="T4007" s="34"/>
      <c r="U4007" s="34"/>
      <c r="V4007" s="34"/>
      <c r="W4007" s="34"/>
      <c r="X4007" s="33"/>
      <c r="Y4007" s="35" t="str">
        <f>IF(Tabela2[[#This Row],[SIGLA]]="","",VLOOKUP(Tabela2[[#This Row],[SIGLA]],Tabela1[[#All],[Sigla Arte]:[Crédito]],2,0))</f>
        <v/>
      </c>
      <c r="Z4007" s="31"/>
      <c r="AA4007" s="31" t="str">
        <f>Tabela2[[#This Row],[ILUSTRADOR CRIAÇÃO]]</f>
        <v/>
      </c>
      <c r="AB4007" s="33"/>
      <c r="AC4007" s="16"/>
      <c r="AE4007" s="35" t="str">
        <f t="shared" si="63"/>
        <v>EF1 E002 Mat</v>
      </c>
    </row>
    <row r="4008" spans="1:31" x14ac:dyDescent="0.25">
      <c r="A4008" s="31"/>
      <c r="B4008" s="16"/>
      <c r="C4008" s="16"/>
      <c r="D4008" s="33"/>
      <c r="E4008" s="33"/>
      <c r="F4008" s="33"/>
      <c r="G4008" s="33"/>
      <c r="H4008" s="33"/>
      <c r="I4008" s="31"/>
      <c r="J4008" s="31"/>
      <c r="K4008" s="33"/>
      <c r="L4008" s="33"/>
      <c r="M4008" s="31"/>
      <c r="N4008" s="31"/>
      <c r="O4008" s="16"/>
      <c r="P4008" s="16"/>
      <c r="Q4008" s="16"/>
      <c r="R4008" s="33"/>
      <c r="S4008" s="34"/>
      <c r="T4008" s="34"/>
      <c r="U4008" s="34"/>
      <c r="V4008" s="34"/>
      <c r="W4008" s="34"/>
      <c r="X4008" s="33"/>
      <c r="Y4008" s="35" t="str">
        <f>IF(Tabela2[[#This Row],[SIGLA]]="","",VLOOKUP(Tabela2[[#This Row],[SIGLA]],Tabela1[[#All],[Sigla Arte]:[Crédito]],2,0))</f>
        <v/>
      </c>
      <c r="Z4008" s="31"/>
      <c r="AA4008" s="31" t="str">
        <f>Tabela2[[#This Row],[ILUSTRADOR CRIAÇÃO]]</f>
        <v/>
      </c>
      <c r="AB4008" s="33"/>
      <c r="AC4008" s="16"/>
      <c r="AE4008" s="35" t="str">
        <f t="shared" si="63"/>
        <v>EF1 E002 Mat</v>
      </c>
    </row>
    <row r="4009" spans="1:31" x14ac:dyDescent="0.25">
      <c r="A4009" s="31"/>
      <c r="B4009" s="16"/>
      <c r="C4009" s="16"/>
      <c r="D4009" s="33"/>
      <c r="E4009" s="33"/>
      <c r="F4009" s="33"/>
      <c r="G4009" s="33"/>
      <c r="H4009" s="33"/>
      <c r="I4009" s="31"/>
      <c r="J4009" s="31"/>
      <c r="K4009" s="33"/>
      <c r="L4009" s="33"/>
      <c r="M4009" s="31"/>
      <c r="N4009" s="31"/>
      <c r="O4009" s="16"/>
      <c r="P4009" s="16"/>
      <c r="Q4009" s="16"/>
      <c r="R4009" s="33"/>
      <c r="S4009" s="34"/>
      <c r="T4009" s="34"/>
      <c r="U4009" s="34"/>
      <c r="V4009" s="34"/>
      <c r="W4009" s="34"/>
      <c r="X4009" s="33"/>
      <c r="Y4009" s="35" t="str">
        <f>IF(Tabela2[[#This Row],[SIGLA]]="","",VLOOKUP(Tabela2[[#This Row],[SIGLA]],Tabela1[[#All],[Sigla Arte]:[Crédito]],2,0))</f>
        <v/>
      </c>
      <c r="Z4009" s="31"/>
      <c r="AA4009" s="31" t="str">
        <f>Tabela2[[#This Row],[ILUSTRADOR CRIAÇÃO]]</f>
        <v/>
      </c>
      <c r="AB4009" s="33"/>
      <c r="AC4009" s="16"/>
      <c r="AE4009" s="35" t="str">
        <f t="shared" si="63"/>
        <v>EF1 E002 Mat</v>
      </c>
    </row>
    <row r="4010" spans="1:31" x14ac:dyDescent="0.25">
      <c r="A4010" s="31"/>
      <c r="B4010" s="16"/>
      <c r="C4010" s="16"/>
      <c r="D4010" s="33"/>
      <c r="E4010" s="33"/>
      <c r="F4010" s="33"/>
      <c r="G4010" s="33"/>
      <c r="H4010" s="33"/>
      <c r="I4010" s="31"/>
      <c r="J4010" s="31"/>
      <c r="K4010" s="33"/>
      <c r="L4010" s="33"/>
      <c r="M4010" s="31"/>
      <c r="N4010" s="31"/>
      <c r="O4010" s="16"/>
      <c r="P4010" s="16"/>
      <c r="Q4010" s="16"/>
      <c r="R4010" s="33"/>
      <c r="S4010" s="34"/>
      <c r="T4010" s="34"/>
      <c r="U4010" s="34"/>
      <c r="V4010" s="34"/>
      <c r="W4010" s="34"/>
      <c r="X4010" s="33"/>
      <c r="Y4010" s="35" t="str">
        <f>IF(Tabela2[[#This Row],[SIGLA]]="","",VLOOKUP(Tabela2[[#This Row],[SIGLA]],Tabela1[[#All],[Sigla Arte]:[Crédito]],2,0))</f>
        <v/>
      </c>
      <c r="Z4010" s="31"/>
      <c r="AA4010" s="31" t="str">
        <f>Tabela2[[#This Row],[ILUSTRADOR CRIAÇÃO]]</f>
        <v/>
      </c>
      <c r="AB4010" s="33"/>
      <c r="AC4010" s="16"/>
      <c r="AE4010" s="35" t="str">
        <f t="shared" si="63"/>
        <v>EF1 E002 Mat</v>
      </c>
    </row>
    <row r="4011" spans="1:31" x14ac:dyDescent="0.25">
      <c r="A4011" s="31"/>
      <c r="B4011" s="16"/>
      <c r="C4011" s="16"/>
      <c r="D4011" s="33"/>
      <c r="E4011" s="33"/>
      <c r="F4011" s="33"/>
      <c r="G4011" s="33"/>
      <c r="H4011" s="33"/>
      <c r="I4011" s="31"/>
      <c r="J4011" s="31"/>
      <c r="K4011" s="33"/>
      <c r="L4011" s="33"/>
      <c r="M4011" s="31"/>
      <c r="N4011" s="31"/>
      <c r="O4011" s="16"/>
      <c r="P4011" s="16"/>
      <c r="Q4011" s="16"/>
      <c r="R4011" s="33"/>
      <c r="S4011" s="34"/>
      <c r="T4011" s="34"/>
      <c r="U4011" s="34"/>
      <c r="V4011" s="34"/>
      <c r="W4011" s="34"/>
      <c r="X4011" s="33"/>
      <c r="Y4011" s="35" t="str">
        <f>IF(Tabela2[[#This Row],[SIGLA]]="","",VLOOKUP(Tabela2[[#This Row],[SIGLA]],Tabela1[[#All],[Sigla Arte]:[Crédito]],2,0))</f>
        <v/>
      </c>
      <c r="Z4011" s="31"/>
      <c r="AA4011" s="31" t="str">
        <f>Tabela2[[#This Row],[ILUSTRADOR CRIAÇÃO]]</f>
        <v/>
      </c>
      <c r="AB4011" s="33"/>
      <c r="AC4011" s="16"/>
      <c r="AE4011" s="35" t="str">
        <f t="shared" si="63"/>
        <v>EF1 E002 Mat</v>
      </c>
    </row>
    <row r="4012" spans="1:31" x14ac:dyDescent="0.25">
      <c r="A4012" s="31"/>
      <c r="B4012" s="16"/>
      <c r="C4012" s="16"/>
      <c r="D4012" s="33"/>
      <c r="E4012" s="33"/>
      <c r="F4012" s="33"/>
      <c r="G4012" s="33"/>
      <c r="H4012" s="33"/>
      <c r="I4012" s="31"/>
      <c r="J4012" s="31"/>
      <c r="K4012" s="33"/>
      <c r="L4012" s="33"/>
      <c r="M4012" s="31"/>
      <c r="N4012" s="31"/>
      <c r="O4012" s="16"/>
      <c r="P4012" s="16"/>
      <c r="Q4012" s="16"/>
      <c r="R4012" s="33"/>
      <c r="S4012" s="34"/>
      <c r="T4012" s="34"/>
      <c r="U4012" s="34"/>
      <c r="V4012" s="34"/>
      <c r="W4012" s="34"/>
      <c r="X4012" s="33"/>
      <c r="Y4012" s="35" t="str">
        <f>IF(Tabela2[[#This Row],[SIGLA]]="","",VLOOKUP(Tabela2[[#This Row],[SIGLA]],Tabela1[[#All],[Sigla Arte]:[Crédito]],2,0))</f>
        <v/>
      </c>
      <c r="Z4012" s="31"/>
      <c r="AA4012" s="31" t="str">
        <f>Tabela2[[#This Row],[ILUSTRADOR CRIAÇÃO]]</f>
        <v/>
      </c>
      <c r="AB4012" s="33"/>
      <c r="AC4012" s="16"/>
      <c r="AE4012" s="35" t="str">
        <f t="shared" si="63"/>
        <v>EF1 E002 Mat</v>
      </c>
    </row>
    <row r="4013" spans="1:31" x14ac:dyDescent="0.25">
      <c r="A4013" s="31"/>
      <c r="B4013" s="16"/>
      <c r="C4013" s="16"/>
      <c r="D4013" s="33"/>
      <c r="E4013" s="33"/>
      <c r="F4013" s="33"/>
      <c r="G4013" s="33"/>
      <c r="H4013" s="33"/>
      <c r="I4013" s="31"/>
      <c r="J4013" s="31"/>
      <c r="K4013" s="33"/>
      <c r="L4013" s="33"/>
      <c r="M4013" s="31"/>
      <c r="N4013" s="31"/>
      <c r="O4013" s="16"/>
      <c r="P4013" s="16"/>
      <c r="Q4013" s="16"/>
      <c r="R4013" s="33"/>
      <c r="S4013" s="34"/>
      <c r="T4013" s="34"/>
      <c r="U4013" s="34"/>
      <c r="V4013" s="34"/>
      <c r="W4013" s="34"/>
      <c r="X4013" s="33"/>
      <c r="Y4013" s="35" t="str">
        <f>IF(Tabela2[[#This Row],[SIGLA]]="","",VLOOKUP(Tabela2[[#This Row],[SIGLA]],Tabela1[[#All],[Sigla Arte]:[Crédito]],2,0))</f>
        <v/>
      </c>
      <c r="Z4013" s="31"/>
      <c r="AA4013" s="31" t="str">
        <f>Tabela2[[#This Row],[ILUSTRADOR CRIAÇÃO]]</f>
        <v/>
      </c>
      <c r="AB4013" s="33"/>
      <c r="AC4013" s="16"/>
      <c r="AE4013" s="35" t="str">
        <f t="shared" si="63"/>
        <v>EF1 E002 Mat</v>
      </c>
    </row>
    <row r="4014" spans="1:31" x14ac:dyDescent="0.25">
      <c r="A4014" s="31"/>
      <c r="B4014" s="16"/>
      <c r="C4014" s="16"/>
      <c r="D4014" s="33"/>
      <c r="E4014" s="33"/>
      <c r="F4014" s="33"/>
      <c r="G4014" s="33"/>
      <c r="H4014" s="33"/>
      <c r="I4014" s="31"/>
      <c r="J4014" s="31"/>
      <c r="K4014" s="33"/>
      <c r="L4014" s="33"/>
      <c r="M4014" s="31"/>
      <c r="N4014" s="31"/>
      <c r="O4014" s="16"/>
      <c r="P4014" s="16"/>
      <c r="Q4014" s="16"/>
      <c r="R4014" s="33"/>
      <c r="S4014" s="34"/>
      <c r="T4014" s="34"/>
      <c r="U4014" s="34"/>
      <c r="V4014" s="34"/>
      <c r="W4014" s="34"/>
      <c r="X4014" s="33"/>
      <c r="Y4014" s="35" t="str">
        <f>IF(Tabela2[[#This Row],[SIGLA]]="","",VLOOKUP(Tabela2[[#This Row],[SIGLA]],Tabela1[[#All],[Sigla Arte]:[Crédito]],2,0))</f>
        <v/>
      </c>
      <c r="Z4014" s="31"/>
      <c r="AA4014" s="31" t="str">
        <f>Tabela2[[#This Row],[ILUSTRADOR CRIAÇÃO]]</f>
        <v/>
      </c>
      <c r="AB4014" s="33"/>
      <c r="AC4014" s="16"/>
      <c r="AE4014" s="35" t="str">
        <f t="shared" si="63"/>
        <v>EF1 E002 Mat</v>
      </c>
    </row>
    <row r="4015" spans="1:31" x14ac:dyDescent="0.25">
      <c r="A4015" s="31"/>
      <c r="B4015" s="16"/>
      <c r="C4015" s="16"/>
      <c r="D4015" s="33"/>
      <c r="E4015" s="33"/>
      <c r="F4015" s="33"/>
      <c r="G4015" s="33"/>
      <c r="H4015" s="33"/>
      <c r="I4015" s="31"/>
      <c r="J4015" s="31"/>
      <c r="K4015" s="33"/>
      <c r="L4015" s="33"/>
      <c r="M4015" s="31"/>
      <c r="N4015" s="31"/>
      <c r="O4015" s="16"/>
      <c r="P4015" s="16"/>
      <c r="Q4015" s="16"/>
      <c r="R4015" s="33"/>
      <c r="S4015" s="34"/>
      <c r="T4015" s="34"/>
      <c r="U4015" s="34"/>
      <c r="V4015" s="34"/>
      <c r="W4015" s="34"/>
      <c r="X4015" s="33"/>
      <c r="Y4015" s="35" t="str">
        <f>IF(Tabela2[[#This Row],[SIGLA]]="","",VLOOKUP(Tabela2[[#This Row],[SIGLA]],Tabela1[[#All],[Sigla Arte]:[Crédito]],2,0))</f>
        <v/>
      </c>
      <c r="Z4015" s="31"/>
      <c r="AA4015" s="31" t="str">
        <f>Tabela2[[#This Row],[ILUSTRADOR CRIAÇÃO]]</f>
        <v/>
      </c>
      <c r="AB4015" s="33"/>
      <c r="AC4015" s="16"/>
      <c r="AE4015" s="35" t="str">
        <f t="shared" si="63"/>
        <v>EF1 E002 Mat</v>
      </c>
    </row>
    <row r="4016" spans="1:31" x14ac:dyDescent="0.25">
      <c r="A4016" s="31"/>
      <c r="B4016" s="16"/>
      <c r="C4016" s="16"/>
      <c r="D4016" s="33"/>
      <c r="E4016" s="33"/>
      <c r="F4016" s="33"/>
      <c r="G4016" s="33"/>
      <c r="H4016" s="33"/>
      <c r="I4016" s="31"/>
      <c r="J4016" s="31"/>
      <c r="K4016" s="33"/>
      <c r="L4016" s="33"/>
      <c r="M4016" s="31"/>
      <c r="N4016" s="31"/>
      <c r="O4016" s="16"/>
      <c r="P4016" s="16"/>
      <c r="Q4016" s="16"/>
      <c r="R4016" s="33"/>
      <c r="S4016" s="34"/>
      <c r="T4016" s="34"/>
      <c r="U4016" s="34"/>
      <c r="V4016" s="34"/>
      <c r="W4016" s="34"/>
      <c r="X4016" s="33"/>
      <c r="Y4016" s="35" t="str">
        <f>IF(Tabela2[[#This Row],[SIGLA]]="","",VLOOKUP(Tabela2[[#This Row],[SIGLA]],Tabela1[[#All],[Sigla Arte]:[Crédito]],2,0))</f>
        <v/>
      </c>
      <c r="Z4016" s="31"/>
      <c r="AA4016" s="31" t="str">
        <f>Tabela2[[#This Row],[ILUSTRADOR CRIAÇÃO]]</f>
        <v/>
      </c>
      <c r="AB4016" s="33"/>
      <c r="AC4016" s="16"/>
      <c r="AE4016" s="35" t="str">
        <f t="shared" si="63"/>
        <v>EF1 E002 Mat</v>
      </c>
    </row>
    <row r="4017" spans="1:31" x14ac:dyDescent="0.25">
      <c r="A4017" s="31"/>
      <c r="B4017" s="16"/>
      <c r="C4017" s="16"/>
      <c r="D4017" s="33"/>
      <c r="E4017" s="33"/>
      <c r="F4017" s="33"/>
      <c r="G4017" s="33"/>
      <c r="H4017" s="33"/>
      <c r="I4017" s="31"/>
      <c r="J4017" s="31"/>
      <c r="K4017" s="33"/>
      <c r="L4017" s="33"/>
      <c r="M4017" s="31"/>
      <c r="N4017" s="31"/>
      <c r="O4017" s="16"/>
      <c r="P4017" s="16"/>
      <c r="Q4017" s="16"/>
      <c r="R4017" s="33"/>
      <c r="S4017" s="34"/>
      <c r="T4017" s="34"/>
      <c r="U4017" s="34"/>
      <c r="V4017" s="34"/>
      <c r="W4017" s="34"/>
      <c r="X4017" s="33"/>
      <c r="Y4017" s="35" t="str">
        <f>IF(Tabela2[[#This Row],[SIGLA]]="","",VLOOKUP(Tabela2[[#This Row],[SIGLA]],Tabela1[[#All],[Sigla Arte]:[Crédito]],2,0))</f>
        <v/>
      </c>
      <c r="Z4017" s="31"/>
      <c r="AA4017" s="31" t="str">
        <f>Tabela2[[#This Row],[ILUSTRADOR CRIAÇÃO]]</f>
        <v/>
      </c>
      <c r="AB4017" s="33"/>
      <c r="AC4017" s="16"/>
      <c r="AE4017" s="35" t="str">
        <f t="shared" si="63"/>
        <v>EF1 E002 Mat</v>
      </c>
    </row>
    <row r="4018" spans="1:31" x14ac:dyDescent="0.25">
      <c r="A4018" s="31"/>
      <c r="B4018" s="16"/>
      <c r="C4018" s="16"/>
      <c r="D4018" s="33"/>
      <c r="E4018" s="33"/>
      <c r="F4018" s="33"/>
      <c r="G4018" s="33"/>
      <c r="H4018" s="33"/>
      <c r="I4018" s="31"/>
      <c r="J4018" s="31"/>
      <c r="K4018" s="33"/>
      <c r="L4018" s="33"/>
      <c r="M4018" s="31"/>
      <c r="N4018" s="31"/>
      <c r="O4018" s="16"/>
      <c r="P4018" s="16"/>
      <c r="Q4018" s="16"/>
      <c r="R4018" s="33"/>
      <c r="S4018" s="34"/>
      <c r="T4018" s="34"/>
      <c r="U4018" s="34"/>
      <c r="V4018" s="34"/>
      <c r="W4018" s="34"/>
      <c r="X4018" s="33"/>
      <c r="Y4018" s="35" t="str">
        <f>IF(Tabela2[[#This Row],[SIGLA]]="","",VLOOKUP(Tabela2[[#This Row],[SIGLA]],Tabela1[[#All],[Sigla Arte]:[Crédito]],2,0))</f>
        <v/>
      </c>
      <c r="Z4018" s="31"/>
      <c r="AA4018" s="31" t="str">
        <f>Tabela2[[#This Row],[ILUSTRADOR CRIAÇÃO]]</f>
        <v/>
      </c>
      <c r="AB4018" s="33"/>
      <c r="AC4018" s="16"/>
      <c r="AE4018" s="35" t="str">
        <f t="shared" ref="AE4018:AE4078" si="64">"EF1 E002 Mat"</f>
        <v>EF1 E002 Mat</v>
      </c>
    </row>
    <row r="4019" spans="1:31" x14ac:dyDescent="0.25">
      <c r="A4019" s="31"/>
      <c r="B4019" s="16"/>
      <c r="C4019" s="16"/>
      <c r="D4019" s="33"/>
      <c r="E4019" s="33"/>
      <c r="F4019" s="33"/>
      <c r="G4019" s="33"/>
      <c r="H4019" s="33"/>
      <c r="I4019" s="31"/>
      <c r="J4019" s="31"/>
      <c r="K4019" s="33"/>
      <c r="L4019" s="33"/>
      <c r="M4019" s="31"/>
      <c r="N4019" s="31"/>
      <c r="O4019" s="16"/>
      <c r="P4019" s="16"/>
      <c r="Q4019" s="16"/>
      <c r="R4019" s="33"/>
      <c r="S4019" s="34"/>
      <c r="T4019" s="34"/>
      <c r="U4019" s="34"/>
      <c r="V4019" s="34"/>
      <c r="W4019" s="34"/>
      <c r="X4019" s="33"/>
      <c r="Y4019" s="35" t="str">
        <f>IF(Tabela2[[#This Row],[SIGLA]]="","",VLOOKUP(Tabela2[[#This Row],[SIGLA]],Tabela1[[#All],[Sigla Arte]:[Crédito]],2,0))</f>
        <v/>
      </c>
      <c r="Z4019" s="31"/>
      <c r="AA4019" s="31" t="str">
        <f>Tabela2[[#This Row],[ILUSTRADOR CRIAÇÃO]]</f>
        <v/>
      </c>
      <c r="AB4019" s="33"/>
      <c r="AC4019" s="16"/>
      <c r="AE4019" s="35" t="str">
        <f t="shared" si="64"/>
        <v>EF1 E002 Mat</v>
      </c>
    </row>
    <row r="4020" spans="1:31" x14ac:dyDescent="0.25">
      <c r="A4020" s="31"/>
      <c r="B4020" s="16"/>
      <c r="C4020" s="16"/>
      <c r="D4020" s="33"/>
      <c r="E4020" s="33"/>
      <c r="F4020" s="33"/>
      <c r="G4020" s="33"/>
      <c r="H4020" s="33"/>
      <c r="I4020" s="31"/>
      <c r="J4020" s="31"/>
      <c r="K4020" s="33"/>
      <c r="L4020" s="33"/>
      <c r="M4020" s="31"/>
      <c r="N4020" s="31"/>
      <c r="O4020" s="16"/>
      <c r="P4020" s="16"/>
      <c r="Q4020" s="16"/>
      <c r="R4020" s="33"/>
      <c r="S4020" s="34"/>
      <c r="T4020" s="34"/>
      <c r="U4020" s="34"/>
      <c r="V4020" s="34"/>
      <c r="W4020" s="34"/>
      <c r="X4020" s="33"/>
      <c r="Y4020" s="35" t="str">
        <f>IF(Tabela2[[#This Row],[SIGLA]]="","",VLOOKUP(Tabela2[[#This Row],[SIGLA]],Tabela1[[#All],[Sigla Arte]:[Crédito]],2,0))</f>
        <v/>
      </c>
      <c r="Z4020" s="31"/>
      <c r="AA4020" s="31" t="str">
        <f>Tabela2[[#This Row],[ILUSTRADOR CRIAÇÃO]]</f>
        <v/>
      </c>
      <c r="AB4020" s="33"/>
      <c r="AC4020" s="16"/>
      <c r="AE4020" s="35" t="str">
        <f t="shared" si="64"/>
        <v>EF1 E002 Mat</v>
      </c>
    </row>
    <row r="4021" spans="1:31" x14ac:dyDescent="0.25">
      <c r="A4021" s="31"/>
      <c r="B4021" s="16"/>
      <c r="C4021" s="16"/>
      <c r="D4021" s="33"/>
      <c r="E4021" s="33"/>
      <c r="F4021" s="33"/>
      <c r="G4021" s="33"/>
      <c r="H4021" s="33"/>
      <c r="I4021" s="31"/>
      <c r="J4021" s="31"/>
      <c r="K4021" s="33"/>
      <c r="L4021" s="33"/>
      <c r="M4021" s="31"/>
      <c r="N4021" s="31"/>
      <c r="O4021" s="16"/>
      <c r="P4021" s="16"/>
      <c r="Q4021" s="16"/>
      <c r="R4021" s="33"/>
      <c r="S4021" s="34"/>
      <c r="T4021" s="34"/>
      <c r="U4021" s="34"/>
      <c r="V4021" s="34"/>
      <c r="W4021" s="34"/>
      <c r="X4021" s="33"/>
      <c r="Y4021" s="35" t="str">
        <f>IF(Tabela2[[#This Row],[SIGLA]]="","",VLOOKUP(Tabela2[[#This Row],[SIGLA]],Tabela1[[#All],[Sigla Arte]:[Crédito]],2,0))</f>
        <v/>
      </c>
      <c r="Z4021" s="31"/>
      <c r="AA4021" s="31" t="str">
        <f>Tabela2[[#This Row],[ILUSTRADOR CRIAÇÃO]]</f>
        <v/>
      </c>
      <c r="AB4021" s="33"/>
      <c r="AC4021" s="16"/>
      <c r="AE4021" s="35" t="str">
        <f t="shared" si="64"/>
        <v>EF1 E002 Mat</v>
      </c>
    </row>
    <row r="4022" spans="1:31" x14ac:dyDescent="0.25">
      <c r="A4022" s="31"/>
      <c r="B4022" s="16"/>
      <c r="C4022" s="16"/>
      <c r="D4022" s="33"/>
      <c r="E4022" s="33"/>
      <c r="F4022" s="33"/>
      <c r="G4022" s="33"/>
      <c r="H4022" s="33"/>
      <c r="I4022" s="31"/>
      <c r="J4022" s="31"/>
      <c r="K4022" s="33"/>
      <c r="L4022" s="33"/>
      <c r="M4022" s="31"/>
      <c r="N4022" s="31"/>
      <c r="O4022" s="16"/>
      <c r="P4022" s="16"/>
      <c r="Q4022" s="16"/>
      <c r="R4022" s="33"/>
      <c r="S4022" s="34"/>
      <c r="T4022" s="34"/>
      <c r="U4022" s="34"/>
      <c r="V4022" s="34"/>
      <c r="W4022" s="34"/>
      <c r="X4022" s="33"/>
      <c r="Y4022" s="35" t="str">
        <f>IF(Tabela2[[#This Row],[SIGLA]]="","",VLOOKUP(Tabela2[[#This Row],[SIGLA]],Tabela1[[#All],[Sigla Arte]:[Crédito]],2,0))</f>
        <v/>
      </c>
      <c r="Z4022" s="31"/>
      <c r="AA4022" s="31" t="str">
        <f>Tabela2[[#This Row],[ILUSTRADOR CRIAÇÃO]]</f>
        <v/>
      </c>
      <c r="AB4022" s="33"/>
      <c r="AC4022" s="16"/>
      <c r="AE4022" s="35" t="str">
        <f t="shared" si="64"/>
        <v>EF1 E002 Mat</v>
      </c>
    </row>
    <row r="4023" spans="1:31" x14ac:dyDescent="0.25">
      <c r="A4023" s="31"/>
      <c r="B4023" s="16"/>
      <c r="C4023" s="16"/>
      <c r="D4023" s="33"/>
      <c r="E4023" s="33"/>
      <c r="F4023" s="33"/>
      <c r="G4023" s="33"/>
      <c r="H4023" s="33"/>
      <c r="I4023" s="31"/>
      <c r="J4023" s="31"/>
      <c r="K4023" s="33"/>
      <c r="L4023" s="33"/>
      <c r="M4023" s="31"/>
      <c r="N4023" s="31"/>
      <c r="O4023" s="16"/>
      <c r="P4023" s="16"/>
      <c r="Q4023" s="16"/>
      <c r="R4023" s="33"/>
      <c r="S4023" s="34"/>
      <c r="T4023" s="34"/>
      <c r="U4023" s="34"/>
      <c r="V4023" s="34"/>
      <c r="W4023" s="34"/>
      <c r="X4023" s="33"/>
      <c r="Y4023" s="35" t="str">
        <f>IF(Tabela2[[#This Row],[SIGLA]]="","",VLOOKUP(Tabela2[[#This Row],[SIGLA]],Tabela1[[#All],[Sigla Arte]:[Crédito]],2,0))</f>
        <v/>
      </c>
      <c r="Z4023" s="31"/>
      <c r="AA4023" s="31" t="str">
        <f>Tabela2[[#This Row],[ILUSTRADOR CRIAÇÃO]]</f>
        <v/>
      </c>
      <c r="AB4023" s="33"/>
      <c r="AC4023" s="16"/>
      <c r="AE4023" s="35" t="str">
        <f t="shared" si="64"/>
        <v>EF1 E002 Mat</v>
      </c>
    </row>
    <row r="4024" spans="1:31" x14ac:dyDescent="0.25">
      <c r="A4024" s="31"/>
      <c r="B4024" s="16"/>
      <c r="C4024" s="16"/>
      <c r="D4024" s="33"/>
      <c r="E4024" s="33"/>
      <c r="F4024" s="33"/>
      <c r="G4024" s="33"/>
      <c r="H4024" s="33"/>
      <c r="I4024" s="31"/>
      <c r="J4024" s="31"/>
      <c r="K4024" s="33"/>
      <c r="L4024" s="33"/>
      <c r="M4024" s="31"/>
      <c r="N4024" s="31"/>
      <c r="O4024" s="16"/>
      <c r="P4024" s="16"/>
      <c r="Q4024" s="16"/>
      <c r="R4024" s="33"/>
      <c r="S4024" s="34"/>
      <c r="T4024" s="34"/>
      <c r="U4024" s="34"/>
      <c r="V4024" s="34"/>
      <c r="W4024" s="34"/>
      <c r="X4024" s="33"/>
      <c r="Y4024" s="35" t="str">
        <f>IF(Tabela2[[#This Row],[SIGLA]]="","",VLOOKUP(Tabela2[[#This Row],[SIGLA]],Tabela1[[#All],[Sigla Arte]:[Crédito]],2,0))</f>
        <v/>
      </c>
      <c r="Z4024" s="31"/>
      <c r="AA4024" s="31" t="str">
        <f>Tabela2[[#This Row],[ILUSTRADOR CRIAÇÃO]]</f>
        <v/>
      </c>
      <c r="AB4024" s="33"/>
      <c r="AC4024" s="16"/>
      <c r="AE4024" s="35" t="str">
        <f t="shared" si="64"/>
        <v>EF1 E002 Mat</v>
      </c>
    </row>
    <row r="4025" spans="1:31" x14ac:dyDescent="0.25">
      <c r="A4025" s="31"/>
      <c r="B4025" s="16"/>
      <c r="C4025" s="16"/>
      <c r="D4025" s="33"/>
      <c r="E4025" s="33"/>
      <c r="F4025" s="33"/>
      <c r="G4025" s="33"/>
      <c r="H4025" s="33"/>
      <c r="I4025" s="31"/>
      <c r="J4025" s="31"/>
      <c r="K4025" s="33"/>
      <c r="L4025" s="33"/>
      <c r="M4025" s="31"/>
      <c r="N4025" s="31"/>
      <c r="O4025" s="16"/>
      <c r="P4025" s="16"/>
      <c r="Q4025" s="16"/>
      <c r="R4025" s="33"/>
      <c r="S4025" s="34"/>
      <c r="T4025" s="34"/>
      <c r="U4025" s="34"/>
      <c r="V4025" s="34"/>
      <c r="W4025" s="34"/>
      <c r="X4025" s="33"/>
      <c r="Y4025" s="35" t="str">
        <f>IF(Tabela2[[#This Row],[SIGLA]]="","",VLOOKUP(Tabela2[[#This Row],[SIGLA]],Tabela1[[#All],[Sigla Arte]:[Crédito]],2,0))</f>
        <v/>
      </c>
      <c r="Z4025" s="31"/>
      <c r="AA4025" s="31" t="str">
        <f>Tabela2[[#This Row],[ILUSTRADOR CRIAÇÃO]]</f>
        <v/>
      </c>
      <c r="AB4025" s="33"/>
      <c r="AC4025" s="16"/>
      <c r="AE4025" s="35" t="str">
        <f t="shared" si="64"/>
        <v>EF1 E002 Mat</v>
      </c>
    </row>
    <row r="4026" spans="1:31" x14ac:dyDescent="0.25">
      <c r="A4026" s="31"/>
      <c r="B4026" s="16"/>
      <c r="C4026" s="16"/>
      <c r="D4026" s="33"/>
      <c r="E4026" s="33"/>
      <c r="F4026" s="33"/>
      <c r="G4026" s="33"/>
      <c r="H4026" s="33"/>
      <c r="I4026" s="31"/>
      <c r="J4026" s="31"/>
      <c r="K4026" s="33"/>
      <c r="L4026" s="33"/>
      <c r="M4026" s="31"/>
      <c r="N4026" s="31"/>
      <c r="O4026" s="16"/>
      <c r="P4026" s="16"/>
      <c r="Q4026" s="16"/>
      <c r="R4026" s="33"/>
      <c r="S4026" s="34"/>
      <c r="T4026" s="34"/>
      <c r="U4026" s="34"/>
      <c r="V4026" s="34"/>
      <c r="W4026" s="34"/>
      <c r="X4026" s="33"/>
      <c r="Y4026" s="35" t="str">
        <f>IF(Tabela2[[#This Row],[SIGLA]]="","",VLOOKUP(Tabela2[[#This Row],[SIGLA]],Tabela1[[#All],[Sigla Arte]:[Crédito]],2,0))</f>
        <v/>
      </c>
      <c r="Z4026" s="31"/>
      <c r="AA4026" s="31" t="str">
        <f>Tabela2[[#This Row],[ILUSTRADOR CRIAÇÃO]]</f>
        <v/>
      </c>
      <c r="AB4026" s="33"/>
      <c r="AC4026" s="16"/>
      <c r="AE4026" s="35" t="str">
        <f t="shared" si="64"/>
        <v>EF1 E002 Mat</v>
      </c>
    </row>
    <row r="4027" spans="1:31" x14ac:dyDescent="0.25">
      <c r="A4027" s="31"/>
      <c r="B4027" s="16"/>
      <c r="C4027" s="16"/>
      <c r="D4027" s="33"/>
      <c r="E4027" s="33"/>
      <c r="F4027" s="33"/>
      <c r="G4027" s="33"/>
      <c r="H4027" s="33"/>
      <c r="I4027" s="31"/>
      <c r="J4027" s="31"/>
      <c r="K4027" s="33"/>
      <c r="L4027" s="33"/>
      <c r="M4027" s="31"/>
      <c r="N4027" s="31"/>
      <c r="O4027" s="16"/>
      <c r="P4027" s="16"/>
      <c r="Q4027" s="16"/>
      <c r="R4027" s="33"/>
      <c r="S4027" s="34"/>
      <c r="T4027" s="34"/>
      <c r="U4027" s="34"/>
      <c r="V4027" s="34"/>
      <c r="W4027" s="34"/>
      <c r="X4027" s="33"/>
      <c r="Y4027" s="35" t="str">
        <f>IF(Tabela2[[#This Row],[SIGLA]]="","",VLOOKUP(Tabela2[[#This Row],[SIGLA]],Tabela1[[#All],[Sigla Arte]:[Crédito]],2,0))</f>
        <v/>
      </c>
      <c r="Z4027" s="31"/>
      <c r="AA4027" s="31" t="str">
        <f>Tabela2[[#This Row],[ILUSTRADOR CRIAÇÃO]]</f>
        <v/>
      </c>
      <c r="AB4027" s="33"/>
      <c r="AC4027" s="16"/>
      <c r="AE4027" s="35" t="str">
        <f t="shared" si="64"/>
        <v>EF1 E002 Mat</v>
      </c>
    </row>
    <row r="4028" spans="1:31" x14ac:dyDescent="0.25">
      <c r="A4028" s="31"/>
      <c r="B4028" s="16"/>
      <c r="C4028" s="16"/>
      <c r="D4028" s="33"/>
      <c r="E4028" s="33"/>
      <c r="F4028" s="33"/>
      <c r="G4028" s="33"/>
      <c r="H4028" s="33"/>
      <c r="I4028" s="31"/>
      <c r="J4028" s="31"/>
      <c r="K4028" s="33"/>
      <c r="L4028" s="33"/>
      <c r="M4028" s="31"/>
      <c r="N4028" s="31"/>
      <c r="O4028" s="16"/>
      <c r="P4028" s="16"/>
      <c r="Q4028" s="16"/>
      <c r="R4028" s="33"/>
      <c r="S4028" s="34"/>
      <c r="T4028" s="34"/>
      <c r="U4028" s="34"/>
      <c r="V4028" s="34"/>
      <c r="W4028" s="34"/>
      <c r="X4028" s="33"/>
      <c r="Y4028" s="35" t="str">
        <f>IF(Tabela2[[#This Row],[SIGLA]]="","",VLOOKUP(Tabela2[[#This Row],[SIGLA]],Tabela1[[#All],[Sigla Arte]:[Crédito]],2,0))</f>
        <v/>
      </c>
      <c r="Z4028" s="31"/>
      <c r="AA4028" s="31" t="str">
        <f>Tabela2[[#This Row],[ILUSTRADOR CRIAÇÃO]]</f>
        <v/>
      </c>
      <c r="AB4028" s="33"/>
      <c r="AC4028" s="16"/>
      <c r="AE4028" s="35" t="str">
        <f t="shared" si="64"/>
        <v>EF1 E002 Mat</v>
      </c>
    </row>
    <row r="4029" spans="1:31" x14ac:dyDescent="0.25">
      <c r="A4029" s="31"/>
      <c r="B4029" s="16"/>
      <c r="C4029" s="16"/>
      <c r="D4029" s="33"/>
      <c r="E4029" s="33"/>
      <c r="F4029" s="33"/>
      <c r="G4029" s="33"/>
      <c r="H4029" s="33"/>
      <c r="I4029" s="31"/>
      <c r="J4029" s="31"/>
      <c r="K4029" s="33"/>
      <c r="L4029" s="33"/>
      <c r="M4029" s="31"/>
      <c r="N4029" s="31"/>
      <c r="O4029" s="16"/>
      <c r="P4029" s="16"/>
      <c r="Q4029" s="16"/>
      <c r="R4029" s="33"/>
      <c r="S4029" s="34"/>
      <c r="T4029" s="34"/>
      <c r="U4029" s="34"/>
      <c r="V4029" s="34"/>
      <c r="W4029" s="34"/>
      <c r="X4029" s="33"/>
      <c r="Y4029" s="35" t="str">
        <f>IF(Tabela2[[#This Row],[SIGLA]]="","",VLOOKUP(Tabela2[[#This Row],[SIGLA]],Tabela1[[#All],[Sigla Arte]:[Crédito]],2,0))</f>
        <v/>
      </c>
      <c r="Z4029" s="31"/>
      <c r="AA4029" s="31" t="str">
        <f>Tabela2[[#This Row],[ILUSTRADOR CRIAÇÃO]]</f>
        <v/>
      </c>
      <c r="AB4029" s="33"/>
      <c r="AC4029" s="16"/>
      <c r="AE4029" s="35" t="str">
        <f t="shared" si="64"/>
        <v>EF1 E002 Mat</v>
      </c>
    </row>
    <row r="4030" spans="1:31" x14ac:dyDescent="0.25">
      <c r="A4030" s="31"/>
      <c r="B4030" s="16"/>
      <c r="C4030" s="16"/>
      <c r="D4030" s="33"/>
      <c r="E4030" s="33"/>
      <c r="F4030" s="33"/>
      <c r="G4030" s="33"/>
      <c r="H4030" s="33"/>
      <c r="I4030" s="31"/>
      <c r="J4030" s="31"/>
      <c r="K4030" s="33"/>
      <c r="L4030" s="33"/>
      <c r="M4030" s="31"/>
      <c r="N4030" s="31"/>
      <c r="O4030" s="16"/>
      <c r="P4030" s="16"/>
      <c r="Q4030" s="16"/>
      <c r="R4030" s="33"/>
      <c r="S4030" s="34"/>
      <c r="T4030" s="34"/>
      <c r="U4030" s="34"/>
      <c r="V4030" s="34"/>
      <c r="W4030" s="34"/>
      <c r="X4030" s="33"/>
      <c r="Y4030" s="35" t="str">
        <f>IF(Tabela2[[#This Row],[SIGLA]]="","",VLOOKUP(Tabela2[[#This Row],[SIGLA]],Tabela1[[#All],[Sigla Arte]:[Crédito]],2,0))</f>
        <v/>
      </c>
      <c r="Z4030" s="31"/>
      <c r="AA4030" s="31" t="str">
        <f>Tabela2[[#This Row],[ILUSTRADOR CRIAÇÃO]]</f>
        <v/>
      </c>
      <c r="AB4030" s="33"/>
      <c r="AC4030" s="16"/>
      <c r="AE4030" s="35" t="str">
        <f t="shared" si="64"/>
        <v>EF1 E002 Mat</v>
      </c>
    </row>
    <row r="4031" spans="1:31" x14ac:dyDescent="0.25">
      <c r="A4031" s="31"/>
      <c r="B4031" s="16"/>
      <c r="C4031" s="16"/>
      <c r="D4031" s="33"/>
      <c r="E4031" s="33"/>
      <c r="F4031" s="33"/>
      <c r="G4031" s="33"/>
      <c r="H4031" s="33"/>
      <c r="I4031" s="31"/>
      <c r="J4031" s="31"/>
      <c r="K4031" s="33"/>
      <c r="L4031" s="33"/>
      <c r="M4031" s="31"/>
      <c r="N4031" s="31"/>
      <c r="O4031" s="16"/>
      <c r="P4031" s="16"/>
      <c r="Q4031" s="16"/>
      <c r="R4031" s="33"/>
      <c r="S4031" s="34"/>
      <c r="T4031" s="34"/>
      <c r="U4031" s="34"/>
      <c r="V4031" s="34"/>
      <c r="W4031" s="34"/>
      <c r="X4031" s="33"/>
      <c r="Y4031" s="35" t="str">
        <f>IF(Tabela2[[#This Row],[SIGLA]]="","",VLOOKUP(Tabela2[[#This Row],[SIGLA]],Tabela1[[#All],[Sigla Arte]:[Crédito]],2,0))</f>
        <v/>
      </c>
      <c r="Z4031" s="31"/>
      <c r="AA4031" s="31" t="str">
        <f>Tabela2[[#This Row],[ILUSTRADOR CRIAÇÃO]]</f>
        <v/>
      </c>
      <c r="AB4031" s="33"/>
      <c r="AC4031" s="16"/>
      <c r="AE4031" s="35" t="str">
        <f t="shared" si="64"/>
        <v>EF1 E002 Mat</v>
      </c>
    </row>
    <row r="4032" spans="1:31" x14ac:dyDescent="0.25">
      <c r="A4032" s="31"/>
      <c r="B4032" s="16"/>
      <c r="C4032" s="16"/>
      <c r="D4032" s="33"/>
      <c r="E4032" s="33"/>
      <c r="F4032" s="33"/>
      <c r="G4032" s="33"/>
      <c r="H4032" s="33"/>
      <c r="I4032" s="31"/>
      <c r="J4032" s="31"/>
      <c r="K4032" s="33"/>
      <c r="L4032" s="33"/>
      <c r="M4032" s="31"/>
      <c r="N4032" s="31"/>
      <c r="O4032" s="16"/>
      <c r="P4032" s="16"/>
      <c r="Q4032" s="16"/>
      <c r="R4032" s="33"/>
      <c r="S4032" s="34"/>
      <c r="T4032" s="34"/>
      <c r="U4032" s="34"/>
      <c r="V4032" s="34"/>
      <c r="W4032" s="34"/>
      <c r="X4032" s="33"/>
      <c r="Y4032" s="35" t="str">
        <f>IF(Tabela2[[#This Row],[SIGLA]]="","",VLOOKUP(Tabela2[[#This Row],[SIGLA]],Tabela1[[#All],[Sigla Arte]:[Crédito]],2,0))</f>
        <v/>
      </c>
      <c r="Z4032" s="31"/>
      <c r="AA4032" s="31" t="str">
        <f>Tabela2[[#This Row],[ILUSTRADOR CRIAÇÃO]]</f>
        <v/>
      </c>
      <c r="AB4032" s="33"/>
      <c r="AC4032" s="16"/>
      <c r="AE4032" s="35" t="str">
        <f t="shared" si="64"/>
        <v>EF1 E002 Mat</v>
      </c>
    </row>
    <row r="4033" spans="1:31" x14ac:dyDescent="0.25">
      <c r="A4033" s="31"/>
      <c r="B4033" s="16"/>
      <c r="C4033" s="16"/>
      <c r="D4033" s="33"/>
      <c r="E4033" s="33"/>
      <c r="F4033" s="33"/>
      <c r="G4033" s="33"/>
      <c r="H4033" s="33"/>
      <c r="I4033" s="31"/>
      <c r="J4033" s="31"/>
      <c r="K4033" s="33"/>
      <c r="L4033" s="33"/>
      <c r="M4033" s="31"/>
      <c r="N4033" s="31"/>
      <c r="O4033" s="16"/>
      <c r="P4033" s="16"/>
      <c r="Q4033" s="16"/>
      <c r="R4033" s="33"/>
      <c r="S4033" s="34"/>
      <c r="T4033" s="34"/>
      <c r="U4033" s="34"/>
      <c r="V4033" s="34"/>
      <c r="W4033" s="34"/>
      <c r="X4033" s="33"/>
      <c r="Y4033" s="35" t="str">
        <f>IF(Tabela2[[#This Row],[SIGLA]]="","",VLOOKUP(Tabela2[[#This Row],[SIGLA]],Tabela1[[#All],[Sigla Arte]:[Crédito]],2,0))</f>
        <v/>
      </c>
      <c r="Z4033" s="31"/>
      <c r="AA4033" s="31" t="str">
        <f>Tabela2[[#This Row],[ILUSTRADOR CRIAÇÃO]]</f>
        <v/>
      </c>
      <c r="AB4033" s="33"/>
      <c r="AC4033" s="16"/>
      <c r="AE4033" s="35" t="str">
        <f t="shared" si="64"/>
        <v>EF1 E002 Mat</v>
      </c>
    </row>
    <row r="4034" spans="1:31" x14ac:dyDescent="0.25">
      <c r="A4034" s="31"/>
      <c r="B4034" s="16"/>
      <c r="C4034" s="16"/>
      <c r="D4034" s="33"/>
      <c r="E4034" s="33"/>
      <c r="F4034" s="33"/>
      <c r="G4034" s="33"/>
      <c r="H4034" s="33"/>
      <c r="I4034" s="31"/>
      <c r="J4034" s="31"/>
      <c r="K4034" s="33"/>
      <c r="L4034" s="33"/>
      <c r="M4034" s="31"/>
      <c r="N4034" s="31"/>
      <c r="O4034" s="16"/>
      <c r="P4034" s="16"/>
      <c r="Q4034" s="16"/>
      <c r="R4034" s="33"/>
      <c r="S4034" s="34"/>
      <c r="T4034" s="34"/>
      <c r="U4034" s="34"/>
      <c r="V4034" s="34"/>
      <c r="W4034" s="34"/>
      <c r="X4034" s="33"/>
      <c r="Y4034" s="35" t="str">
        <f>IF(Tabela2[[#This Row],[SIGLA]]="","",VLOOKUP(Tabela2[[#This Row],[SIGLA]],Tabela1[[#All],[Sigla Arte]:[Crédito]],2,0))</f>
        <v/>
      </c>
      <c r="Z4034" s="31"/>
      <c r="AA4034" s="31" t="str">
        <f>Tabela2[[#This Row],[ILUSTRADOR CRIAÇÃO]]</f>
        <v/>
      </c>
      <c r="AB4034" s="33"/>
      <c r="AC4034" s="16"/>
      <c r="AE4034" s="35" t="str">
        <f t="shared" si="64"/>
        <v>EF1 E002 Mat</v>
      </c>
    </row>
    <row r="4035" spans="1:31" x14ac:dyDescent="0.25">
      <c r="A4035" s="31"/>
      <c r="B4035" s="16"/>
      <c r="C4035" s="16"/>
      <c r="D4035" s="33"/>
      <c r="E4035" s="33"/>
      <c r="F4035" s="33"/>
      <c r="G4035" s="33"/>
      <c r="H4035" s="33"/>
      <c r="I4035" s="31"/>
      <c r="J4035" s="31"/>
      <c r="K4035" s="33"/>
      <c r="L4035" s="33"/>
      <c r="M4035" s="31"/>
      <c r="N4035" s="31"/>
      <c r="O4035" s="16"/>
      <c r="P4035" s="16"/>
      <c r="Q4035" s="16"/>
      <c r="R4035" s="33"/>
      <c r="S4035" s="34"/>
      <c r="T4035" s="34"/>
      <c r="U4035" s="34"/>
      <c r="V4035" s="34"/>
      <c r="W4035" s="34"/>
      <c r="X4035" s="33"/>
      <c r="Y4035" s="35" t="str">
        <f>IF(Tabela2[[#This Row],[SIGLA]]="","",VLOOKUP(Tabela2[[#This Row],[SIGLA]],Tabela1[[#All],[Sigla Arte]:[Crédito]],2,0))</f>
        <v/>
      </c>
      <c r="Z4035" s="31"/>
      <c r="AA4035" s="31" t="str">
        <f>Tabela2[[#This Row],[ILUSTRADOR CRIAÇÃO]]</f>
        <v/>
      </c>
      <c r="AB4035" s="33"/>
      <c r="AC4035" s="16"/>
      <c r="AE4035" s="35" t="str">
        <f t="shared" si="64"/>
        <v>EF1 E002 Mat</v>
      </c>
    </row>
    <row r="4036" spans="1:31" x14ac:dyDescent="0.25">
      <c r="A4036" s="31"/>
      <c r="B4036" s="16"/>
      <c r="C4036" s="16"/>
      <c r="D4036" s="33"/>
      <c r="E4036" s="33"/>
      <c r="F4036" s="33"/>
      <c r="G4036" s="33"/>
      <c r="H4036" s="33"/>
      <c r="I4036" s="31"/>
      <c r="J4036" s="31"/>
      <c r="K4036" s="33"/>
      <c r="L4036" s="33"/>
      <c r="M4036" s="31"/>
      <c r="N4036" s="31"/>
      <c r="O4036" s="16"/>
      <c r="P4036" s="16"/>
      <c r="Q4036" s="16"/>
      <c r="R4036" s="33"/>
      <c r="S4036" s="34"/>
      <c r="T4036" s="34"/>
      <c r="U4036" s="34"/>
      <c r="V4036" s="34"/>
      <c r="W4036" s="34"/>
      <c r="X4036" s="33"/>
      <c r="Y4036" s="35" t="str">
        <f>IF(Tabela2[[#This Row],[SIGLA]]="","",VLOOKUP(Tabela2[[#This Row],[SIGLA]],Tabela1[[#All],[Sigla Arte]:[Crédito]],2,0))</f>
        <v/>
      </c>
      <c r="Z4036" s="31"/>
      <c r="AA4036" s="31" t="str">
        <f>Tabela2[[#This Row],[ILUSTRADOR CRIAÇÃO]]</f>
        <v/>
      </c>
      <c r="AB4036" s="33"/>
      <c r="AC4036" s="16"/>
      <c r="AE4036" s="35" t="str">
        <f t="shared" si="64"/>
        <v>EF1 E002 Mat</v>
      </c>
    </row>
    <row r="4037" spans="1:31" x14ac:dyDescent="0.25">
      <c r="A4037" s="31"/>
      <c r="B4037" s="16"/>
      <c r="C4037" s="16"/>
      <c r="D4037" s="33"/>
      <c r="E4037" s="33"/>
      <c r="F4037" s="33"/>
      <c r="G4037" s="33"/>
      <c r="H4037" s="33"/>
      <c r="I4037" s="31"/>
      <c r="J4037" s="31"/>
      <c r="K4037" s="33"/>
      <c r="L4037" s="33"/>
      <c r="M4037" s="31"/>
      <c r="N4037" s="31"/>
      <c r="O4037" s="16"/>
      <c r="P4037" s="16"/>
      <c r="Q4037" s="16"/>
      <c r="R4037" s="33"/>
      <c r="S4037" s="34"/>
      <c r="T4037" s="34"/>
      <c r="U4037" s="34"/>
      <c r="V4037" s="34"/>
      <c r="W4037" s="34"/>
      <c r="X4037" s="33"/>
      <c r="Y4037" s="35" t="str">
        <f>IF(Tabela2[[#This Row],[SIGLA]]="","",VLOOKUP(Tabela2[[#This Row],[SIGLA]],Tabela1[[#All],[Sigla Arte]:[Crédito]],2,0))</f>
        <v/>
      </c>
      <c r="Z4037" s="31"/>
      <c r="AA4037" s="31" t="str">
        <f>Tabela2[[#This Row],[ILUSTRADOR CRIAÇÃO]]</f>
        <v/>
      </c>
      <c r="AB4037" s="33"/>
      <c r="AC4037" s="16"/>
      <c r="AE4037" s="35" t="str">
        <f t="shared" si="64"/>
        <v>EF1 E002 Mat</v>
      </c>
    </row>
    <row r="4038" spans="1:31" x14ac:dyDescent="0.25">
      <c r="A4038" s="31"/>
      <c r="B4038" s="16"/>
      <c r="C4038" s="16"/>
      <c r="D4038" s="33"/>
      <c r="E4038" s="33"/>
      <c r="F4038" s="33"/>
      <c r="G4038" s="33"/>
      <c r="H4038" s="33"/>
      <c r="I4038" s="31"/>
      <c r="J4038" s="31"/>
      <c r="K4038" s="33"/>
      <c r="L4038" s="33"/>
      <c r="M4038" s="31"/>
      <c r="N4038" s="31"/>
      <c r="O4038" s="16"/>
      <c r="P4038" s="16"/>
      <c r="Q4038" s="16"/>
      <c r="R4038" s="33"/>
      <c r="S4038" s="34"/>
      <c r="T4038" s="34"/>
      <c r="U4038" s="34"/>
      <c r="V4038" s="34"/>
      <c r="W4038" s="34"/>
      <c r="X4038" s="33"/>
      <c r="Y4038" s="35" t="str">
        <f>IF(Tabela2[[#This Row],[SIGLA]]="","",VLOOKUP(Tabela2[[#This Row],[SIGLA]],Tabela1[[#All],[Sigla Arte]:[Crédito]],2,0))</f>
        <v/>
      </c>
      <c r="Z4038" s="31"/>
      <c r="AA4038" s="31" t="str">
        <f>Tabela2[[#This Row],[ILUSTRADOR CRIAÇÃO]]</f>
        <v/>
      </c>
      <c r="AB4038" s="33"/>
      <c r="AC4038" s="16"/>
      <c r="AE4038" s="35" t="str">
        <f t="shared" si="64"/>
        <v>EF1 E002 Mat</v>
      </c>
    </row>
    <row r="4039" spans="1:31" x14ac:dyDescent="0.25">
      <c r="A4039" s="31"/>
      <c r="B4039" s="16"/>
      <c r="C4039" s="16"/>
      <c r="D4039" s="33"/>
      <c r="E4039" s="33"/>
      <c r="F4039" s="33"/>
      <c r="G4039" s="33"/>
      <c r="H4039" s="33"/>
      <c r="I4039" s="31"/>
      <c r="J4039" s="31"/>
      <c r="K4039" s="33"/>
      <c r="L4039" s="33"/>
      <c r="M4039" s="31"/>
      <c r="N4039" s="31"/>
      <c r="O4039" s="16"/>
      <c r="P4039" s="16"/>
      <c r="Q4039" s="16"/>
      <c r="R4039" s="33"/>
      <c r="S4039" s="34"/>
      <c r="T4039" s="34"/>
      <c r="U4039" s="34"/>
      <c r="V4039" s="34"/>
      <c r="W4039" s="34"/>
      <c r="X4039" s="33"/>
      <c r="Y4039" s="35" t="str">
        <f>IF(Tabela2[[#This Row],[SIGLA]]="","",VLOOKUP(Tabela2[[#This Row],[SIGLA]],Tabela1[[#All],[Sigla Arte]:[Crédito]],2,0))</f>
        <v/>
      </c>
      <c r="Z4039" s="31"/>
      <c r="AA4039" s="31" t="str">
        <f>Tabela2[[#This Row],[ILUSTRADOR CRIAÇÃO]]</f>
        <v/>
      </c>
      <c r="AB4039" s="33"/>
      <c r="AC4039" s="16"/>
      <c r="AE4039" s="35" t="str">
        <f t="shared" si="64"/>
        <v>EF1 E002 Mat</v>
      </c>
    </row>
    <row r="4040" spans="1:31" x14ac:dyDescent="0.25">
      <c r="A4040" s="31"/>
      <c r="B4040" s="16"/>
      <c r="C4040" s="16"/>
      <c r="D4040" s="33"/>
      <c r="E4040" s="33"/>
      <c r="F4040" s="33"/>
      <c r="G4040" s="33"/>
      <c r="H4040" s="33"/>
      <c r="I4040" s="31"/>
      <c r="J4040" s="31"/>
      <c r="K4040" s="33"/>
      <c r="L4040" s="33"/>
      <c r="M4040" s="31"/>
      <c r="N4040" s="31"/>
      <c r="O4040" s="16"/>
      <c r="P4040" s="16"/>
      <c r="Q4040" s="16"/>
      <c r="R4040" s="33"/>
      <c r="S4040" s="34"/>
      <c r="T4040" s="34"/>
      <c r="U4040" s="34"/>
      <c r="V4040" s="34"/>
      <c r="W4040" s="34"/>
      <c r="X4040" s="33"/>
      <c r="Y4040" s="35" t="str">
        <f>IF(Tabela2[[#This Row],[SIGLA]]="","",VLOOKUP(Tabela2[[#This Row],[SIGLA]],Tabela1[[#All],[Sigla Arte]:[Crédito]],2,0))</f>
        <v/>
      </c>
      <c r="Z4040" s="31"/>
      <c r="AA4040" s="31" t="str">
        <f>Tabela2[[#This Row],[ILUSTRADOR CRIAÇÃO]]</f>
        <v/>
      </c>
      <c r="AB4040" s="33"/>
      <c r="AC4040" s="16"/>
      <c r="AE4040" s="35" t="str">
        <f t="shared" si="64"/>
        <v>EF1 E002 Mat</v>
      </c>
    </row>
    <row r="4041" spans="1:31" x14ac:dyDescent="0.25">
      <c r="A4041" s="31"/>
      <c r="B4041" s="16"/>
      <c r="C4041" s="16"/>
      <c r="D4041" s="33"/>
      <c r="E4041" s="33"/>
      <c r="F4041" s="33"/>
      <c r="G4041" s="33"/>
      <c r="H4041" s="33"/>
      <c r="I4041" s="31"/>
      <c r="J4041" s="31"/>
      <c r="K4041" s="33"/>
      <c r="L4041" s="33"/>
      <c r="M4041" s="31"/>
      <c r="N4041" s="31"/>
      <c r="O4041" s="16"/>
      <c r="P4041" s="16"/>
      <c r="Q4041" s="16"/>
      <c r="R4041" s="33"/>
      <c r="S4041" s="34"/>
      <c r="T4041" s="34"/>
      <c r="U4041" s="34"/>
      <c r="V4041" s="34"/>
      <c r="W4041" s="34"/>
      <c r="X4041" s="33"/>
      <c r="Y4041" s="35" t="str">
        <f>IF(Tabela2[[#This Row],[SIGLA]]="","",VLOOKUP(Tabela2[[#This Row],[SIGLA]],Tabela1[[#All],[Sigla Arte]:[Crédito]],2,0))</f>
        <v/>
      </c>
      <c r="Z4041" s="31"/>
      <c r="AA4041" s="31" t="str">
        <f>Tabela2[[#This Row],[ILUSTRADOR CRIAÇÃO]]</f>
        <v/>
      </c>
      <c r="AB4041" s="33"/>
      <c r="AC4041" s="16"/>
      <c r="AE4041" s="35" t="str">
        <f t="shared" si="64"/>
        <v>EF1 E002 Mat</v>
      </c>
    </row>
    <row r="4042" spans="1:31" x14ac:dyDescent="0.25">
      <c r="A4042" s="31"/>
      <c r="B4042" s="16"/>
      <c r="C4042" s="16"/>
      <c r="D4042" s="33"/>
      <c r="E4042" s="33"/>
      <c r="F4042" s="33"/>
      <c r="G4042" s="33"/>
      <c r="H4042" s="33"/>
      <c r="I4042" s="31"/>
      <c r="J4042" s="31"/>
      <c r="K4042" s="33"/>
      <c r="L4042" s="33"/>
      <c r="M4042" s="31"/>
      <c r="N4042" s="31"/>
      <c r="O4042" s="16"/>
      <c r="P4042" s="16"/>
      <c r="Q4042" s="16"/>
      <c r="R4042" s="33"/>
      <c r="S4042" s="34"/>
      <c r="T4042" s="34"/>
      <c r="U4042" s="34"/>
      <c r="V4042" s="34"/>
      <c r="W4042" s="34"/>
      <c r="X4042" s="33"/>
      <c r="Y4042" s="35" t="str">
        <f>IF(Tabela2[[#This Row],[SIGLA]]="","",VLOOKUP(Tabela2[[#This Row],[SIGLA]],Tabela1[[#All],[Sigla Arte]:[Crédito]],2,0))</f>
        <v/>
      </c>
      <c r="Z4042" s="31"/>
      <c r="AA4042" s="31" t="str">
        <f>Tabela2[[#This Row],[ILUSTRADOR CRIAÇÃO]]</f>
        <v/>
      </c>
      <c r="AB4042" s="33"/>
      <c r="AC4042" s="16"/>
      <c r="AE4042" s="35" t="str">
        <f t="shared" si="64"/>
        <v>EF1 E002 Mat</v>
      </c>
    </row>
    <row r="4043" spans="1:31" x14ac:dyDescent="0.25">
      <c r="A4043" s="31"/>
      <c r="B4043" s="16"/>
      <c r="C4043" s="16"/>
      <c r="D4043" s="33"/>
      <c r="E4043" s="33"/>
      <c r="F4043" s="33"/>
      <c r="G4043" s="33"/>
      <c r="H4043" s="33"/>
      <c r="I4043" s="31"/>
      <c r="J4043" s="31"/>
      <c r="K4043" s="33"/>
      <c r="L4043" s="33"/>
      <c r="M4043" s="31"/>
      <c r="N4043" s="31"/>
      <c r="O4043" s="16"/>
      <c r="P4043" s="16"/>
      <c r="Q4043" s="16"/>
      <c r="R4043" s="33"/>
      <c r="S4043" s="34"/>
      <c r="T4043" s="34"/>
      <c r="U4043" s="34"/>
      <c r="V4043" s="34"/>
      <c r="W4043" s="34"/>
      <c r="X4043" s="33"/>
      <c r="Y4043" s="35" t="str">
        <f>IF(Tabela2[[#This Row],[SIGLA]]="","",VLOOKUP(Tabela2[[#This Row],[SIGLA]],Tabela1[[#All],[Sigla Arte]:[Crédito]],2,0))</f>
        <v/>
      </c>
      <c r="Z4043" s="31"/>
      <c r="AA4043" s="31" t="str">
        <f>Tabela2[[#This Row],[ILUSTRADOR CRIAÇÃO]]</f>
        <v/>
      </c>
      <c r="AB4043" s="33"/>
      <c r="AC4043" s="16"/>
      <c r="AE4043" s="35" t="str">
        <f t="shared" si="64"/>
        <v>EF1 E002 Mat</v>
      </c>
    </row>
    <row r="4044" spans="1:31" x14ac:dyDescent="0.25">
      <c r="A4044" s="31"/>
      <c r="B4044" s="16"/>
      <c r="C4044" s="16"/>
      <c r="D4044" s="33"/>
      <c r="E4044" s="33"/>
      <c r="F4044" s="33"/>
      <c r="G4044" s="33"/>
      <c r="H4044" s="33"/>
      <c r="I4044" s="31"/>
      <c r="J4044" s="31"/>
      <c r="K4044" s="33"/>
      <c r="L4044" s="33"/>
      <c r="M4044" s="31"/>
      <c r="N4044" s="31"/>
      <c r="O4044" s="16"/>
      <c r="P4044" s="16"/>
      <c r="Q4044" s="16"/>
      <c r="R4044" s="33"/>
      <c r="S4044" s="34"/>
      <c r="T4044" s="34"/>
      <c r="U4044" s="34"/>
      <c r="V4044" s="34"/>
      <c r="W4044" s="34"/>
      <c r="X4044" s="33"/>
      <c r="Y4044" s="35" t="str">
        <f>IF(Tabela2[[#This Row],[SIGLA]]="","",VLOOKUP(Tabela2[[#This Row],[SIGLA]],Tabela1[[#All],[Sigla Arte]:[Crédito]],2,0))</f>
        <v/>
      </c>
      <c r="Z4044" s="31"/>
      <c r="AA4044" s="31" t="str">
        <f>Tabela2[[#This Row],[ILUSTRADOR CRIAÇÃO]]</f>
        <v/>
      </c>
      <c r="AB4044" s="33"/>
      <c r="AC4044" s="16"/>
      <c r="AE4044" s="35" t="str">
        <f t="shared" si="64"/>
        <v>EF1 E002 Mat</v>
      </c>
    </row>
    <row r="4045" spans="1:31" x14ac:dyDescent="0.25">
      <c r="A4045" s="31"/>
      <c r="B4045" s="16"/>
      <c r="C4045" s="16"/>
      <c r="D4045" s="33"/>
      <c r="E4045" s="33"/>
      <c r="F4045" s="33"/>
      <c r="G4045" s="33"/>
      <c r="H4045" s="33"/>
      <c r="I4045" s="31"/>
      <c r="J4045" s="31"/>
      <c r="K4045" s="33"/>
      <c r="L4045" s="33"/>
      <c r="M4045" s="31"/>
      <c r="N4045" s="31"/>
      <c r="O4045" s="16"/>
      <c r="P4045" s="16"/>
      <c r="Q4045" s="16"/>
      <c r="R4045" s="33"/>
      <c r="S4045" s="34"/>
      <c r="T4045" s="34"/>
      <c r="U4045" s="34"/>
      <c r="V4045" s="34"/>
      <c r="W4045" s="34"/>
      <c r="X4045" s="33"/>
      <c r="Y4045" s="35" t="str">
        <f>IF(Tabela2[[#This Row],[SIGLA]]="","",VLOOKUP(Tabela2[[#This Row],[SIGLA]],Tabela1[[#All],[Sigla Arte]:[Crédito]],2,0))</f>
        <v/>
      </c>
      <c r="Z4045" s="31"/>
      <c r="AA4045" s="31" t="str">
        <f>Tabela2[[#This Row],[ILUSTRADOR CRIAÇÃO]]</f>
        <v/>
      </c>
      <c r="AB4045" s="33"/>
      <c r="AC4045" s="16"/>
      <c r="AE4045" s="35" t="str">
        <f t="shared" si="64"/>
        <v>EF1 E002 Mat</v>
      </c>
    </row>
    <row r="4046" spans="1:31" x14ac:dyDescent="0.25">
      <c r="A4046" s="31"/>
      <c r="B4046" s="16"/>
      <c r="C4046" s="16"/>
      <c r="D4046" s="33"/>
      <c r="E4046" s="33"/>
      <c r="F4046" s="33"/>
      <c r="G4046" s="33"/>
      <c r="H4046" s="33"/>
      <c r="I4046" s="31"/>
      <c r="J4046" s="31"/>
      <c r="K4046" s="33"/>
      <c r="L4046" s="33"/>
      <c r="M4046" s="31"/>
      <c r="N4046" s="31"/>
      <c r="O4046" s="16"/>
      <c r="P4046" s="16"/>
      <c r="Q4046" s="16"/>
      <c r="R4046" s="33"/>
      <c r="S4046" s="34"/>
      <c r="T4046" s="34"/>
      <c r="U4046" s="34"/>
      <c r="V4046" s="34"/>
      <c r="W4046" s="34"/>
      <c r="X4046" s="33"/>
      <c r="Y4046" s="35" t="str">
        <f>IF(Tabela2[[#This Row],[SIGLA]]="","",VLOOKUP(Tabela2[[#This Row],[SIGLA]],Tabela1[[#All],[Sigla Arte]:[Crédito]],2,0))</f>
        <v/>
      </c>
      <c r="Z4046" s="31"/>
      <c r="AA4046" s="31" t="str">
        <f>Tabela2[[#This Row],[ILUSTRADOR CRIAÇÃO]]</f>
        <v/>
      </c>
      <c r="AB4046" s="33"/>
      <c r="AC4046" s="16"/>
      <c r="AE4046" s="35" t="str">
        <f t="shared" si="64"/>
        <v>EF1 E002 Mat</v>
      </c>
    </row>
    <row r="4047" spans="1:31" x14ac:dyDescent="0.25">
      <c r="A4047" s="31"/>
      <c r="B4047" s="16"/>
      <c r="C4047" s="16"/>
      <c r="D4047" s="33"/>
      <c r="E4047" s="33"/>
      <c r="F4047" s="33"/>
      <c r="G4047" s="33"/>
      <c r="H4047" s="33"/>
      <c r="I4047" s="31"/>
      <c r="J4047" s="31"/>
      <c r="K4047" s="33"/>
      <c r="L4047" s="33"/>
      <c r="M4047" s="31"/>
      <c r="N4047" s="31"/>
      <c r="O4047" s="16"/>
      <c r="P4047" s="16"/>
      <c r="Q4047" s="16"/>
      <c r="R4047" s="33"/>
      <c r="S4047" s="34"/>
      <c r="T4047" s="34"/>
      <c r="U4047" s="34"/>
      <c r="V4047" s="34"/>
      <c r="W4047" s="34"/>
      <c r="X4047" s="33"/>
      <c r="Y4047" s="35" t="str">
        <f>IF(Tabela2[[#This Row],[SIGLA]]="","",VLOOKUP(Tabela2[[#This Row],[SIGLA]],Tabela1[[#All],[Sigla Arte]:[Crédito]],2,0))</f>
        <v/>
      </c>
      <c r="Z4047" s="31"/>
      <c r="AA4047" s="31" t="str">
        <f>Tabela2[[#This Row],[ILUSTRADOR CRIAÇÃO]]</f>
        <v/>
      </c>
      <c r="AB4047" s="33"/>
      <c r="AC4047" s="16"/>
      <c r="AE4047" s="35" t="str">
        <f t="shared" si="64"/>
        <v>EF1 E002 Mat</v>
      </c>
    </row>
    <row r="4048" spans="1:31" x14ac:dyDescent="0.25">
      <c r="A4048" s="31"/>
      <c r="B4048" s="16"/>
      <c r="C4048" s="16"/>
      <c r="D4048" s="33"/>
      <c r="E4048" s="33"/>
      <c r="F4048" s="33"/>
      <c r="G4048" s="33"/>
      <c r="H4048" s="33"/>
      <c r="I4048" s="31"/>
      <c r="J4048" s="31"/>
      <c r="K4048" s="33"/>
      <c r="L4048" s="33"/>
      <c r="M4048" s="31"/>
      <c r="N4048" s="31"/>
      <c r="O4048" s="16"/>
      <c r="P4048" s="16"/>
      <c r="Q4048" s="16"/>
      <c r="R4048" s="33"/>
      <c r="S4048" s="34"/>
      <c r="T4048" s="34"/>
      <c r="U4048" s="34"/>
      <c r="V4048" s="34"/>
      <c r="W4048" s="34"/>
      <c r="X4048" s="33"/>
      <c r="Y4048" s="35" t="str">
        <f>IF(Tabela2[[#This Row],[SIGLA]]="","",VLOOKUP(Tabela2[[#This Row],[SIGLA]],Tabela1[[#All],[Sigla Arte]:[Crédito]],2,0))</f>
        <v/>
      </c>
      <c r="Z4048" s="31"/>
      <c r="AA4048" s="31" t="str">
        <f>Tabela2[[#This Row],[ILUSTRADOR CRIAÇÃO]]</f>
        <v/>
      </c>
      <c r="AB4048" s="33"/>
      <c r="AC4048" s="16"/>
      <c r="AE4048" s="35" t="str">
        <f t="shared" si="64"/>
        <v>EF1 E002 Mat</v>
      </c>
    </row>
    <row r="4049" spans="1:31" x14ac:dyDescent="0.25">
      <c r="A4049" s="31"/>
      <c r="B4049" s="16"/>
      <c r="C4049" s="16"/>
      <c r="D4049" s="33"/>
      <c r="E4049" s="33"/>
      <c r="F4049" s="33"/>
      <c r="G4049" s="33"/>
      <c r="H4049" s="33"/>
      <c r="I4049" s="31"/>
      <c r="J4049" s="31"/>
      <c r="K4049" s="33"/>
      <c r="L4049" s="33"/>
      <c r="M4049" s="31"/>
      <c r="N4049" s="31"/>
      <c r="O4049" s="16"/>
      <c r="P4049" s="16"/>
      <c r="Q4049" s="16"/>
      <c r="R4049" s="33"/>
      <c r="S4049" s="34"/>
      <c r="T4049" s="34"/>
      <c r="U4049" s="34"/>
      <c r="V4049" s="34"/>
      <c r="W4049" s="34"/>
      <c r="X4049" s="33"/>
      <c r="Y4049" s="35" t="str">
        <f>IF(Tabela2[[#This Row],[SIGLA]]="","",VLOOKUP(Tabela2[[#This Row],[SIGLA]],Tabela1[[#All],[Sigla Arte]:[Crédito]],2,0))</f>
        <v/>
      </c>
      <c r="Z4049" s="31"/>
      <c r="AA4049" s="31" t="str">
        <f>Tabela2[[#This Row],[ILUSTRADOR CRIAÇÃO]]</f>
        <v/>
      </c>
      <c r="AB4049" s="33"/>
      <c r="AC4049" s="16"/>
      <c r="AE4049" s="35" t="str">
        <f t="shared" si="64"/>
        <v>EF1 E002 Mat</v>
      </c>
    </row>
    <row r="4050" spans="1:31" x14ac:dyDescent="0.25">
      <c r="A4050" s="31"/>
      <c r="B4050" s="16"/>
      <c r="C4050" s="16"/>
      <c r="D4050" s="33"/>
      <c r="E4050" s="33"/>
      <c r="F4050" s="33"/>
      <c r="G4050" s="33"/>
      <c r="H4050" s="33"/>
      <c r="I4050" s="31"/>
      <c r="J4050" s="31"/>
      <c r="K4050" s="33"/>
      <c r="L4050" s="33"/>
      <c r="M4050" s="31"/>
      <c r="N4050" s="31"/>
      <c r="O4050" s="16"/>
      <c r="P4050" s="16"/>
      <c r="Q4050" s="16"/>
      <c r="R4050" s="33"/>
      <c r="S4050" s="34"/>
      <c r="T4050" s="34"/>
      <c r="U4050" s="34"/>
      <c r="V4050" s="34"/>
      <c r="W4050" s="34"/>
      <c r="X4050" s="33"/>
      <c r="Y4050" s="35" t="str">
        <f>IF(Tabela2[[#This Row],[SIGLA]]="","",VLOOKUP(Tabela2[[#This Row],[SIGLA]],Tabela1[[#All],[Sigla Arte]:[Crédito]],2,0))</f>
        <v/>
      </c>
      <c r="Z4050" s="31"/>
      <c r="AA4050" s="31" t="str">
        <f>Tabela2[[#This Row],[ILUSTRADOR CRIAÇÃO]]</f>
        <v/>
      </c>
      <c r="AB4050" s="33"/>
      <c r="AC4050" s="16"/>
      <c r="AE4050" s="35" t="str">
        <f t="shared" si="64"/>
        <v>EF1 E002 Mat</v>
      </c>
    </row>
    <row r="4051" spans="1:31" x14ac:dyDescent="0.25">
      <c r="A4051" s="31"/>
      <c r="B4051" s="16"/>
      <c r="C4051" s="16"/>
      <c r="D4051" s="33"/>
      <c r="E4051" s="33"/>
      <c r="F4051" s="33"/>
      <c r="G4051" s="33"/>
      <c r="H4051" s="33"/>
      <c r="I4051" s="31"/>
      <c r="J4051" s="31"/>
      <c r="K4051" s="33"/>
      <c r="L4051" s="33"/>
      <c r="M4051" s="31"/>
      <c r="N4051" s="31"/>
      <c r="O4051" s="16"/>
      <c r="P4051" s="16"/>
      <c r="Q4051" s="16"/>
      <c r="R4051" s="33"/>
      <c r="S4051" s="34"/>
      <c r="T4051" s="34"/>
      <c r="U4051" s="34"/>
      <c r="V4051" s="34"/>
      <c r="W4051" s="34"/>
      <c r="X4051" s="33"/>
      <c r="Y4051" s="35" t="str">
        <f>IF(Tabela2[[#This Row],[SIGLA]]="","",VLOOKUP(Tabela2[[#This Row],[SIGLA]],Tabela1[[#All],[Sigla Arte]:[Crédito]],2,0))</f>
        <v/>
      </c>
      <c r="Z4051" s="31"/>
      <c r="AA4051" s="31" t="str">
        <f>Tabela2[[#This Row],[ILUSTRADOR CRIAÇÃO]]</f>
        <v/>
      </c>
      <c r="AB4051" s="33"/>
      <c r="AC4051" s="16"/>
      <c r="AE4051" s="35" t="str">
        <f t="shared" si="64"/>
        <v>EF1 E002 Mat</v>
      </c>
    </row>
    <row r="4052" spans="1:31" x14ac:dyDescent="0.25">
      <c r="A4052" s="31"/>
      <c r="B4052" s="16"/>
      <c r="C4052" s="16"/>
      <c r="D4052" s="33"/>
      <c r="E4052" s="33"/>
      <c r="F4052" s="33"/>
      <c r="G4052" s="33"/>
      <c r="H4052" s="33"/>
      <c r="I4052" s="31"/>
      <c r="J4052" s="31"/>
      <c r="K4052" s="33"/>
      <c r="L4052" s="33"/>
      <c r="M4052" s="31"/>
      <c r="N4052" s="31"/>
      <c r="O4052" s="16"/>
      <c r="P4052" s="16"/>
      <c r="Q4052" s="16"/>
      <c r="R4052" s="33"/>
      <c r="S4052" s="34"/>
      <c r="T4052" s="34"/>
      <c r="U4052" s="34"/>
      <c r="V4052" s="34"/>
      <c r="W4052" s="34"/>
      <c r="X4052" s="33"/>
      <c r="Y4052" s="35" t="str">
        <f>IF(Tabela2[[#This Row],[SIGLA]]="","",VLOOKUP(Tabela2[[#This Row],[SIGLA]],Tabela1[[#All],[Sigla Arte]:[Crédito]],2,0))</f>
        <v/>
      </c>
      <c r="Z4052" s="31"/>
      <c r="AA4052" s="31" t="str">
        <f>Tabela2[[#This Row],[ILUSTRADOR CRIAÇÃO]]</f>
        <v/>
      </c>
      <c r="AB4052" s="33"/>
      <c r="AC4052" s="16"/>
      <c r="AE4052" s="35" t="str">
        <f t="shared" si="64"/>
        <v>EF1 E002 Mat</v>
      </c>
    </row>
    <row r="4053" spans="1:31" x14ac:dyDescent="0.25">
      <c r="A4053" s="31"/>
      <c r="B4053" s="16"/>
      <c r="C4053" s="16"/>
      <c r="D4053" s="33"/>
      <c r="E4053" s="33"/>
      <c r="F4053" s="33"/>
      <c r="G4053" s="33"/>
      <c r="H4053" s="33"/>
      <c r="I4053" s="31"/>
      <c r="J4053" s="31"/>
      <c r="K4053" s="33"/>
      <c r="L4053" s="33"/>
      <c r="M4053" s="31"/>
      <c r="N4053" s="31"/>
      <c r="O4053" s="16"/>
      <c r="P4053" s="16"/>
      <c r="Q4053" s="16"/>
      <c r="R4053" s="33"/>
      <c r="S4053" s="34"/>
      <c r="T4053" s="34"/>
      <c r="U4053" s="34"/>
      <c r="V4053" s="34"/>
      <c r="W4053" s="34"/>
      <c r="X4053" s="33"/>
      <c r="Y4053" s="35" t="str">
        <f>IF(Tabela2[[#This Row],[SIGLA]]="","",VLOOKUP(Tabela2[[#This Row],[SIGLA]],Tabela1[[#All],[Sigla Arte]:[Crédito]],2,0))</f>
        <v/>
      </c>
      <c r="Z4053" s="31"/>
      <c r="AA4053" s="31" t="str">
        <f>Tabela2[[#This Row],[ILUSTRADOR CRIAÇÃO]]</f>
        <v/>
      </c>
      <c r="AB4053" s="33"/>
      <c r="AC4053" s="16"/>
      <c r="AE4053" s="35" t="str">
        <f t="shared" si="64"/>
        <v>EF1 E002 Mat</v>
      </c>
    </row>
    <row r="4054" spans="1:31" x14ac:dyDescent="0.25">
      <c r="A4054" s="31"/>
      <c r="B4054" s="16"/>
      <c r="C4054" s="16"/>
      <c r="D4054" s="33"/>
      <c r="E4054" s="33"/>
      <c r="F4054" s="33"/>
      <c r="G4054" s="33"/>
      <c r="H4054" s="33"/>
      <c r="I4054" s="31"/>
      <c r="J4054" s="31"/>
      <c r="K4054" s="33"/>
      <c r="L4054" s="33"/>
      <c r="M4054" s="31"/>
      <c r="N4054" s="31"/>
      <c r="O4054" s="16"/>
      <c r="P4054" s="16"/>
      <c r="Q4054" s="16"/>
      <c r="R4054" s="33"/>
      <c r="S4054" s="34"/>
      <c r="T4054" s="34"/>
      <c r="U4054" s="34"/>
      <c r="V4054" s="34"/>
      <c r="W4054" s="34"/>
      <c r="X4054" s="33"/>
      <c r="Y4054" s="35" t="str">
        <f>IF(Tabela2[[#This Row],[SIGLA]]="","",VLOOKUP(Tabela2[[#This Row],[SIGLA]],Tabela1[[#All],[Sigla Arte]:[Crédito]],2,0))</f>
        <v/>
      </c>
      <c r="Z4054" s="31"/>
      <c r="AA4054" s="31" t="str">
        <f>Tabela2[[#This Row],[ILUSTRADOR CRIAÇÃO]]</f>
        <v/>
      </c>
      <c r="AB4054" s="33"/>
      <c r="AC4054" s="16"/>
      <c r="AE4054" s="35" t="str">
        <f t="shared" si="64"/>
        <v>EF1 E002 Mat</v>
      </c>
    </row>
    <row r="4055" spans="1:31" x14ac:dyDescent="0.25">
      <c r="A4055" s="31"/>
      <c r="B4055" s="16"/>
      <c r="C4055" s="16"/>
      <c r="D4055" s="33"/>
      <c r="E4055" s="33"/>
      <c r="F4055" s="33"/>
      <c r="G4055" s="33"/>
      <c r="H4055" s="33"/>
      <c r="I4055" s="31"/>
      <c r="J4055" s="31"/>
      <c r="K4055" s="33"/>
      <c r="L4055" s="33"/>
      <c r="M4055" s="31"/>
      <c r="N4055" s="31"/>
      <c r="O4055" s="16"/>
      <c r="P4055" s="16"/>
      <c r="Q4055" s="16"/>
      <c r="R4055" s="33"/>
      <c r="S4055" s="34"/>
      <c r="T4055" s="34"/>
      <c r="U4055" s="34"/>
      <c r="V4055" s="34"/>
      <c r="W4055" s="34"/>
      <c r="X4055" s="33"/>
      <c r="Y4055" s="35" t="str">
        <f>IF(Tabela2[[#This Row],[SIGLA]]="","",VLOOKUP(Tabela2[[#This Row],[SIGLA]],Tabela1[[#All],[Sigla Arte]:[Crédito]],2,0))</f>
        <v/>
      </c>
      <c r="Z4055" s="31"/>
      <c r="AA4055" s="31" t="str">
        <f>Tabela2[[#This Row],[ILUSTRADOR CRIAÇÃO]]</f>
        <v/>
      </c>
      <c r="AB4055" s="33"/>
      <c r="AC4055" s="16"/>
      <c r="AE4055" s="35" t="str">
        <f t="shared" si="64"/>
        <v>EF1 E002 Mat</v>
      </c>
    </row>
    <row r="4056" spans="1:31" x14ac:dyDescent="0.25">
      <c r="A4056" s="31"/>
      <c r="B4056" s="16"/>
      <c r="C4056" s="16"/>
      <c r="D4056" s="33"/>
      <c r="E4056" s="33"/>
      <c r="F4056" s="33"/>
      <c r="G4056" s="33"/>
      <c r="H4056" s="33"/>
      <c r="I4056" s="31"/>
      <c r="J4056" s="31"/>
      <c r="K4056" s="33"/>
      <c r="L4056" s="33"/>
      <c r="M4056" s="31"/>
      <c r="N4056" s="31"/>
      <c r="O4056" s="16"/>
      <c r="P4056" s="16"/>
      <c r="Q4056" s="16"/>
      <c r="R4056" s="33"/>
      <c r="S4056" s="34"/>
      <c r="T4056" s="34"/>
      <c r="U4056" s="34"/>
      <c r="V4056" s="34"/>
      <c r="W4056" s="34"/>
      <c r="X4056" s="33"/>
      <c r="Y4056" s="35" t="str">
        <f>IF(Tabela2[[#This Row],[SIGLA]]="","",VLOOKUP(Tabela2[[#This Row],[SIGLA]],Tabela1[[#All],[Sigla Arte]:[Crédito]],2,0))</f>
        <v/>
      </c>
      <c r="Z4056" s="31"/>
      <c r="AA4056" s="31" t="str">
        <f>Tabela2[[#This Row],[ILUSTRADOR CRIAÇÃO]]</f>
        <v/>
      </c>
      <c r="AB4056" s="33"/>
      <c r="AC4056" s="16"/>
      <c r="AE4056" s="35" t="str">
        <f t="shared" si="64"/>
        <v>EF1 E002 Mat</v>
      </c>
    </row>
    <row r="4057" spans="1:31" x14ac:dyDescent="0.25">
      <c r="A4057" s="31"/>
      <c r="B4057" s="16"/>
      <c r="C4057" s="16"/>
      <c r="D4057" s="33"/>
      <c r="E4057" s="33"/>
      <c r="F4057" s="33"/>
      <c r="G4057" s="33"/>
      <c r="H4057" s="33"/>
      <c r="I4057" s="31"/>
      <c r="J4057" s="31"/>
      <c r="K4057" s="33"/>
      <c r="L4057" s="33"/>
      <c r="M4057" s="31"/>
      <c r="N4057" s="31"/>
      <c r="O4057" s="16"/>
      <c r="P4057" s="16"/>
      <c r="Q4057" s="16"/>
      <c r="R4057" s="33"/>
      <c r="S4057" s="34"/>
      <c r="T4057" s="34"/>
      <c r="U4057" s="34"/>
      <c r="V4057" s="34"/>
      <c r="W4057" s="34"/>
      <c r="X4057" s="33"/>
      <c r="Y4057" s="35" t="str">
        <f>IF(Tabela2[[#This Row],[SIGLA]]="","",VLOOKUP(Tabela2[[#This Row],[SIGLA]],Tabela1[[#All],[Sigla Arte]:[Crédito]],2,0))</f>
        <v/>
      </c>
      <c r="Z4057" s="31"/>
      <c r="AA4057" s="31" t="str">
        <f>Tabela2[[#This Row],[ILUSTRADOR CRIAÇÃO]]</f>
        <v/>
      </c>
      <c r="AB4057" s="33"/>
      <c r="AC4057" s="16"/>
      <c r="AE4057" s="35" t="str">
        <f t="shared" si="64"/>
        <v>EF1 E002 Mat</v>
      </c>
    </row>
    <row r="4058" spans="1:31" x14ac:dyDescent="0.25">
      <c r="A4058" s="31"/>
      <c r="B4058" s="16"/>
      <c r="C4058" s="16"/>
      <c r="D4058" s="33"/>
      <c r="E4058" s="33"/>
      <c r="F4058" s="33"/>
      <c r="G4058" s="33"/>
      <c r="H4058" s="33"/>
      <c r="I4058" s="31"/>
      <c r="J4058" s="31"/>
      <c r="K4058" s="33"/>
      <c r="L4058" s="33"/>
      <c r="M4058" s="31"/>
      <c r="N4058" s="31"/>
      <c r="O4058" s="16"/>
      <c r="P4058" s="16"/>
      <c r="Q4058" s="16"/>
      <c r="R4058" s="33"/>
      <c r="S4058" s="34"/>
      <c r="T4058" s="34"/>
      <c r="U4058" s="34"/>
      <c r="V4058" s="34"/>
      <c r="W4058" s="34"/>
      <c r="X4058" s="33"/>
      <c r="Y4058" s="35" t="str">
        <f>IF(Tabela2[[#This Row],[SIGLA]]="","",VLOOKUP(Tabela2[[#This Row],[SIGLA]],Tabela1[[#All],[Sigla Arte]:[Crédito]],2,0))</f>
        <v/>
      </c>
      <c r="Z4058" s="31"/>
      <c r="AA4058" s="31" t="str">
        <f>Tabela2[[#This Row],[ILUSTRADOR CRIAÇÃO]]</f>
        <v/>
      </c>
      <c r="AB4058" s="33"/>
      <c r="AC4058" s="16"/>
      <c r="AE4058" s="35" t="str">
        <f t="shared" si="64"/>
        <v>EF1 E002 Mat</v>
      </c>
    </row>
    <row r="4059" spans="1:31" x14ac:dyDescent="0.25">
      <c r="A4059" s="31"/>
      <c r="B4059" s="16"/>
      <c r="C4059" s="16"/>
      <c r="D4059" s="33"/>
      <c r="E4059" s="33"/>
      <c r="F4059" s="33"/>
      <c r="G4059" s="33"/>
      <c r="H4059" s="33"/>
      <c r="I4059" s="31"/>
      <c r="J4059" s="31"/>
      <c r="K4059" s="33"/>
      <c r="L4059" s="33"/>
      <c r="M4059" s="31"/>
      <c r="N4059" s="31"/>
      <c r="O4059" s="16"/>
      <c r="P4059" s="16"/>
      <c r="Q4059" s="16"/>
      <c r="R4059" s="33"/>
      <c r="S4059" s="34"/>
      <c r="T4059" s="34"/>
      <c r="U4059" s="34"/>
      <c r="V4059" s="34"/>
      <c r="W4059" s="34"/>
      <c r="X4059" s="33"/>
      <c r="Y4059" s="35" t="str">
        <f>IF(Tabela2[[#This Row],[SIGLA]]="","",VLOOKUP(Tabela2[[#This Row],[SIGLA]],Tabela1[[#All],[Sigla Arte]:[Crédito]],2,0))</f>
        <v/>
      </c>
      <c r="Z4059" s="31"/>
      <c r="AA4059" s="31" t="str">
        <f>Tabela2[[#This Row],[ILUSTRADOR CRIAÇÃO]]</f>
        <v/>
      </c>
      <c r="AB4059" s="33"/>
      <c r="AC4059" s="16"/>
      <c r="AE4059" s="35" t="str">
        <f t="shared" si="64"/>
        <v>EF1 E002 Mat</v>
      </c>
    </row>
    <row r="4060" spans="1:31" x14ac:dyDescent="0.25">
      <c r="A4060" s="31"/>
      <c r="B4060" s="16"/>
      <c r="C4060" s="16"/>
      <c r="D4060" s="33"/>
      <c r="E4060" s="33"/>
      <c r="F4060" s="33"/>
      <c r="G4060" s="33"/>
      <c r="H4060" s="33"/>
      <c r="I4060" s="31"/>
      <c r="J4060" s="31"/>
      <c r="K4060" s="33"/>
      <c r="L4060" s="33"/>
      <c r="M4060" s="31"/>
      <c r="N4060" s="31"/>
      <c r="O4060" s="16"/>
      <c r="P4060" s="16"/>
      <c r="Q4060" s="16"/>
      <c r="R4060" s="33"/>
      <c r="S4060" s="34"/>
      <c r="T4060" s="34"/>
      <c r="U4060" s="34"/>
      <c r="V4060" s="34"/>
      <c r="W4060" s="34"/>
      <c r="X4060" s="33"/>
      <c r="Y4060" s="35" t="str">
        <f>IF(Tabela2[[#This Row],[SIGLA]]="","",VLOOKUP(Tabela2[[#This Row],[SIGLA]],Tabela1[[#All],[Sigla Arte]:[Crédito]],2,0))</f>
        <v/>
      </c>
      <c r="Z4060" s="31"/>
      <c r="AA4060" s="31" t="str">
        <f>Tabela2[[#This Row],[ILUSTRADOR CRIAÇÃO]]</f>
        <v/>
      </c>
      <c r="AB4060" s="33"/>
      <c r="AC4060" s="16"/>
      <c r="AE4060" s="35" t="str">
        <f t="shared" si="64"/>
        <v>EF1 E002 Mat</v>
      </c>
    </row>
    <row r="4061" spans="1:31" x14ac:dyDescent="0.25">
      <c r="A4061" s="31"/>
      <c r="B4061" s="16"/>
      <c r="C4061" s="16"/>
      <c r="D4061" s="33"/>
      <c r="E4061" s="33"/>
      <c r="F4061" s="33"/>
      <c r="G4061" s="33"/>
      <c r="H4061" s="33"/>
      <c r="I4061" s="31"/>
      <c r="J4061" s="31"/>
      <c r="K4061" s="33"/>
      <c r="L4061" s="33"/>
      <c r="M4061" s="31"/>
      <c r="N4061" s="31"/>
      <c r="O4061" s="16"/>
      <c r="P4061" s="16"/>
      <c r="Q4061" s="16"/>
      <c r="R4061" s="33"/>
      <c r="S4061" s="34"/>
      <c r="T4061" s="34"/>
      <c r="U4061" s="34"/>
      <c r="V4061" s="34"/>
      <c r="W4061" s="34"/>
      <c r="X4061" s="33"/>
      <c r="Y4061" s="35" t="str">
        <f>IF(Tabela2[[#This Row],[SIGLA]]="","",VLOOKUP(Tabela2[[#This Row],[SIGLA]],Tabela1[[#All],[Sigla Arte]:[Crédito]],2,0))</f>
        <v/>
      </c>
      <c r="Z4061" s="31"/>
      <c r="AA4061" s="31" t="str">
        <f>Tabela2[[#This Row],[ILUSTRADOR CRIAÇÃO]]</f>
        <v/>
      </c>
      <c r="AB4061" s="33"/>
      <c r="AC4061" s="16"/>
      <c r="AE4061" s="35" t="str">
        <f t="shared" si="64"/>
        <v>EF1 E002 Mat</v>
      </c>
    </row>
    <row r="4062" spans="1:31" x14ac:dyDescent="0.25">
      <c r="A4062" s="31"/>
      <c r="B4062" s="16"/>
      <c r="C4062" s="16"/>
      <c r="D4062" s="33"/>
      <c r="E4062" s="33"/>
      <c r="F4062" s="33"/>
      <c r="G4062" s="33"/>
      <c r="H4062" s="33"/>
      <c r="I4062" s="31"/>
      <c r="J4062" s="31"/>
      <c r="K4062" s="33"/>
      <c r="L4062" s="33"/>
      <c r="M4062" s="31"/>
      <c r="N4062" s="31"/>
      <c r="O4062" s="16"/>
      <c r="P4062" s="16"/>
      <c r="Q4062" s="16"/>
      <c r="R4062" s="33"/>
      <c r="S4062" s="34"/>
      <c r="T4062" s="34"/>
      <c r="U4062" s="34"/>
      <c r="V4062" s="34"/>
      <c r="W4062" s="34"/>
      <c r="X4062" s="33"/>
      <c r="Y4062" s="35" t="str">
        <f>IF(Tabela2[[#This Row],[SIGLA]]="","",VLOOKUP(Tabela2[[#This Row],[SIGLA]],Tabela1[[#All],[Sigla Arte]:[Crédito]],2,0))</f>
        <v/>
      </c>
      <c r="Z4062" s="31"/>
      <c r="AA4062" s="31" t="str">
        <f>Tabela2[[#This Row],[ILUSTRADOR CRIAÇÃO]]</f>
        <v/>
      </c>
      <c r="AB4062" s="33"/>
      <c r="AC4062" s="16"/>
      <c r="AE4062" s="35" t="str">
        <f t="shared" si="64"/>
        <v>EF1 E002 Mat</v>
      </c>
    </row>
    <row r="4063" spans="1:31" x14ac:dyDescent="0.25">
      <c r="A4063" s="31"/>
      <c r="B4063" s="16"/>
      <c r="C4063" s="16"/>
      <c r="D4063" s="33"/>
      <c r="E4063" s="33"/>
      <c r="F4063" s="33"/>
      <c r="G4063" s="33"/>
      <c r="H4063" s="33"/>
      <c r="I4063" s="31"/>
      <c r="J4063" s="31"/>
      <c r="K4063" s="33"/>
      <c r="L4063" s="33"/>
      <c r="M4063" s="31"/>
      <c r="N4063" s="31"/>
      <c r="O4063" s="16"/>
      <c r="P4063" s="16"/>
      <c r="Q4063" s="16"/>
      <c r="R4063" s="33"/>
      <c r="S4063" s="34"/>
      <c r="T4063" s="34"/>
      <c r="U4063" s="34"/>
      <c r="V4063" s="34"/>
      <c r="W4063" s="34"/>
      <c r="X4063" s="33"/>
      <c r="Y4063" s="35" t="str">
        <f>IF(Tabela2[[#This Row],[SIGLA]]="","",VLOOKUP(Tabela2[[#This Row],[SIGLA]],Tabela1[[#All],[Sigla Arte]:[Crédito]],2,0))</f>
        <v/>
      </c>
      <c r="Z4063" s="31"/>
      <c r="AA4063" s="31" t="str">
        <f>Tabela2[[#This Row],[ILUSTRADOR CRIAÇÃO]]</f>
        <v/>
      </c>
      <c r="AB4063" s="33"/>
      <c r="AC4063" s="16"/>
      <c r="AE4063" s="35" t="str">
        <f t="shared" si="64"/>
        <v>EF1 E002 Mat</v>
      </c>
    </row>
    <row r="4064" spans="1:31" x14ac:dyDescent="0.25">
      <c r="A4064" s="31"/>
      <c r="B4064" s="16"/>
      <c r="C4064" s="16"/>
      <c r="D4064" s="33"/>
      <c r="E4064" s="33"/>
      <c r="F4064" s="33"/>
      <c r="G4064" s="33"/>
      <c r="H4064" s="33"/>
      <c r="I4064" s="31"/>
      <c r="J4064" s="31"/>
      <c r="K4064" s="33"/>
      <c r="L4064" s="33"/>
      <c r="M4064" s="31"/>
      <c r="N4064" s="31"/>
      <c r="O4064" s="16"/>
      <c r="P4064" s="16"/>
      <c r="Q4064" s="16"/>
      <c r="R4064" s="33"/>
      <c r="S4064" s="34"/>
      <c r="T4064" s="34"/>
      <c r="U4064" s="34"/>
      <c r="V4064" s="34"/>
      <c r="W4064" s="34"/>
      <c r="X4064" s="33"/>
      <c r="Y4064" s="35" t="str">
        <f>IF(Tabela2[[#This Row],[SIGLA]]="","",VLOOKUP(Tabela2[[#This Row],[SIGLA]],Tabela1[[#All],[Sigla Arte]:[Crédito]],2,0))</f>
        <v/>
      </c>
      <c r="Z4064" s="31"/>
      <c r="AA4064" s="31" t="str">
        <f>Tabela2[[#This Row],[ILUSTRADOR CRIAÇÃO]]</f>
        <v/>
      </c>
      <c r="AB4064" s="33"/>
      <c r="AC4064" s="16"/>
      <c r="AE4064" s="35" t="str">
        <f t="shared" si="64"/>
        <v>EF1 E002 Mat</v>
      </c>
    </row>
    <row r="4065" spans="1:31" x14ac:dyDescent="0.25">
      <c r="A4065" s="31"/>
      <c r="B4065" s="16"/>
      <c r="C4065" s="16"/>
      <c r="D4065" s="33"/>
      <c r="E4065" s="33"/>
      <c r="F4065" s="33"/>
      <c r="G4065" s="33"/>
      <c r="H4065" s="33"/>
      <c r="I4065" s="31"/>
      <c r="J4065" s="31"/>
      <c r="K4065" s="33"/>
      <c r="L4065" s="33"/>
      <c r="M4065" s="31"/>
      <c r="N4065" s="31"/>
      <c r="O4065" s="16"/>
      <c r="P4065" s="16"/>
      <c r="Q4065" s="16"/>
      <c r="R4065" s="33"/>
      <c r="S4065" s="34"/>
      <c r="T4065" s="34"/>
      <c r="U4065" s="34"/>
      <c r="V4065" s="34"/>
      <c r="W4065" s="34"/>
      <c r="X4065" s="33"/>
      <c r="Y4065" s="35" t="str">
        <f>IF(Tabela2[[#This Row],[SIGLA]]="","",VLOOKUP(Tabela2[[#This Row],[SIGLA]],Tabela1[[#All],[Sigla Arte]:[Crédito]],2,0))</f>
        <v/>
      </c>
      <c r="Z4065" s="31"/>
      <c r="AA4065" s="31" t="str">
        <f>Tabela2[[#This Row],[ILUSTRADOR CRIAÇÃO]]</f>
        <v/>
      </c>
      <c r="AB4065" s="33"/>
      <c r="AC4065" s="16"/>
      <c r="AE4065" s="35" t="str">
        <f t="shared" si="64"/>
        <v>EF1 E002 Mat</v>
      </c>
    </row>
    <row r="4066" spans="1:31" x14ac:dyDescent="0.25">
      <c r="A4066" s="31"/>
      <c r="B4066" s="16"/>
      <c r="C4066" s="16"/>
      <c r="D4066" s="33"/>
      <c r="E4066" s="33"/>
      <c r="F4066" s="33"/>
      <c r="G4066" s="33"/>
      <c r="H4066" s="33"/>
      <c r="I4066" s="31"/>
      <c r="J4066" s="31"/>
      <c r="K4066" s="33"/>
      <c r="L4066" s="33"/>
      <c r="M4066" s="31"/>
      <c r="N4066" s="31"/>
      <c r="O4066" s="16"/>
      <c r="P4066" s="16"/>
      <c r="Q4066" s="16"/>
      <c r="R4066" s="33"/>
      <c r="S4066" s="34"/>
      <c r="T4066" s="34"/>
      <c r="U4066" s="34"/>
      <c r="V4066" s="34"/>
      <c r="W4066" s="34"/>
      <c r="X4066" s="33"/>
      <c r="Y4066" s="35" t="str">
        <f>IF(Tabela2[[#This Row],[SIGLA]]="","",VLOOKUP(Tabela2[[#This Row],[SIGLA]],Tabela1[[#All],[Sigla Arte]:[Crédito]],2,0))</f>
        <v/>
      </c>
      <c r="Z4066" s="31"/>
      <c r="AA4066" s="31" t="str">
        <f>Tabela2[[#This Row],[ILUSTRADOR CRIAÇÃO]]</f>
        <v/>
      </c>
      <c r="AB4066" s="33"/>
      <c r="AC4066" s="16"/>
      <c r="AE4066" s="35" t="str">
        <f t="shared" si="64"/>
        <v>EF1 E002 Mat</v>
      </c>
    </row>
    <row r="4067" spans="1:31" x14ac:dyDescent="0.25">
      <c r="A4067" s="31"/>
      <c r="B4067" s="16"/>
      <c r="C4067" s="16"/>
      <c r="D4067" s="33"/>
      <c r="E4067" s="33"/>
      <c r="F4067" s="33"/>
      <c r="G4067" s="33"/>
      <c r="H4067" s="33"/>
      <c r="I4067" s="31"/>
      <c r="J4067" s="31"/>
      <c r="K4067" s="33"/>
      <c r="L4067" s="33"/>
      <c r="M4067" s="31"/>
      <c r="N4067" s="31"/>
      <c r="O4067" s="16"/>
      <c r="P4067" s="16"/>
      <c r="Q4067" s="16"/>
      <c r="R4067" s="33"/>
      <c r="S4067" s="34"/>
      <c r="T4067" s="34"/>
      <c r="U4067" s="34"/>
      <c r="V4067" s="34"/>
      <c r="W4067" s="34"/>
      <c r="X4067" s="33"/>
      <c r="Y4067" s="35" t="str">
        <f>IF(Tabela2[[#This Row],[SIGLA]]="","",VLOOKUP(Tabela2[[#This Row],[SIGLA]],Tabela1[[#All],[Sigla Arte]:[Crédito]],2,0))</f>
        <v/>
      </c>
      <c r="Z4067" s="31"/>
      <c r="AA4067" s="31" t="str">
        <f>Tabela2[[#This Row],[ILUSTRADOR CRIAÇÃO]]</f>
        <v/>
      </c>
      <c r="AB4067" s="33"/>
      <c r="AC4067" s="16"/>
      <c r="AE4067" s="35" t="str">
        <f t="shared" si="64"/>
        <v>EF1 E002 Mat</v>
      </c>
    </row>
    <row r="4068" spans="1:31" x14ac:dyDescent="0.25">
      <c r="A4068" s="31"/>
      <c r="B4068" s="16"/>
      <c r="C4068" s="16"/>
      <c r="D4068" s="33"/>
      <c r="E4068" s="33"/>
      <c r="F4068" s="33"/>
      <c r="G4068" s="33"/>
      <c r="H4068" s="33"/>
      <c r="I4068" s="31"/>
      <c r="J4068" s="31"/>
      <c r="K4068" s="33"/>
      <c r="L4068" s="33"/>
      <c r="M4068" s="31"/>
      <c r="N4068" s="31"/>
      <c r="O4068" s="16"/>
      <c r="P4068" s="16"/>
      <c r="Q4068" s="16"/>
      <c r="R4068" s="33"/>
      <c r="S4068" s="34"/>
      <c r="T4068" s="34"/>
      <c r="U4068" s="34"/>
      <c r="V4068" s="34"/>
      <c r="W4068" s="34"/>
      <c r="X4068" s="33"/>
      <c r="Y4068" s="35" t="str">
        <f>IF(Tabela2[[#This Row],[SIGLA]]="","",VLOOKUP(Tabela2[[#This Row],[SIGLA]],Tabela1[[#All],[Sigla Arte]:[Crédito]],2,0))</f>
        <v/>
      </c>
      <c r="Z4068" s="31"/>
      <c r="AA4068" s="31" t="str">
        <f>Tabela2[[#This Row],[ILUSTRADOR CRIAÇÃO]]</f>
        <v/>
      </c>
      <c r="AB4068" s="33"/>
      <c r="AC4068" s="16"/>
      <c r="AE4068" s="35" t="str">
        <f t="shared" si="64"/>
        <v>EF1 E002 Mat</v>
      </c>
    </row>
    <row r="4069" spans="1:31" x14ac:dyDescent="0.25">
      <c r="A4069" s="31"/>
      <c r="B4069" s="16"/>
      <c r="C4069" s="16"/>
      <c r="D4069" s="33"/>
      <c r="E4069" s="33"/>
      <c r="F4069" s="33"/>
      <c r="G4069" s="33"/>
      <c r="H4069" s="33"/>
      <c r="I4069" s="31"/>
      <c r="J4069" s="31"/>
      <c r="K4069" s="33"/>
      <c r="L4069" s="33"/>
      <c r="M4069" s="31"/>
      <c r="N4069" s="31"/>
      <c r="O4069" s="16"/>
      <c r="P4069" s="16"/>
      <c r="Q4069" s="16"/>
      <c r="R4069" s="33"/>
      <c r="S4069" s="34"/>
      <c r="T4069" s="34"/>
      <c r="U4069" s="34"/>
      <c r="V4069" s="34"/>
      <c r="W4069" s="34"/>
      <c r="X4069" s="33"/>
      <c r="Y4069" s="35" t="str">
        <f>IF(Tabela2[[#This Row],[SIGLA]]="","",VLOOKUP(Tabela2[[#This Row],[SIGLA]],Tabela1[[#All],[Sigla Arte]:[Crédito]],2,0))</f>
        <v/>
      </c>
      <c r="Z4069" s="31"/>
      <c r="AA4069" s="31" t="str">
        <f>Tabela2[[#This Row],[ILUSTRADOR CRIAÇÃO]]</f>
        <v/>
      </c>
      <c r="AB4069" s="33"/>
      <c r="AC4069" s="16"/>
      <c r="AE4069" s="35" t="str">
        <f t="shared" si="64"/>
        <v>EF1 E002 Mat</v>
      </c>
    </row>
    <row r="4070" spans="1:31" x14ac:dyDescent="0.25">
      <c r="A4070" s="31"/>
      <c r="B4070" s="16"/>
      <c r="C4070" s="16"/>
      <c r="D4070" s="33"/>
      <c r="E4070" s="33"/>
      <c r="F4070" s="33"/>
      <c r="G4070" s="33"/>
      <c r="H4070" s="33"/>
      <c r="I4070" s="31"/>
      <c r="J4070" s="31"/>
      <c r="K4070" s="33"/>
      <c r="L4070" s="33"/>
      <c r="M4070" s="31"/>
      <c r="N4070" s="31"/>
      <c r="O4070" s="16"/>
      <c r="P4070" s="16"/>
      <c r="Q4070" s="16"/>
      <c r="R4070" s="33"/>
      <c r="S4070" s="34"/>
      <c r="T4070" s="34"/>
      <c r="U4070" s="34"/>
      <c r="V4070" s="34"/>
      <c r="W4070" s="34"/>
      <c r="X4070" s="33"/>
      <c r="Y4070" s="35" t="str">
        <f>IF(Tabela2[[#This Row],[SIGLA]]="","",VLOOKUP(Tabela2[[#This Row],[SIGLA]],Tabela1[[#All],[Sigla Arte]:[Crédito]],2,0))</f>
        <v/>
      </c>
      <c r="Z4070" s="31"/>
      <c r="AA4070" s="31" t="str">
        <f>Tabela2[[#This Row],[ILUSTRADOR CRIAÇÃO]]</f>
        <v/>
      </c>
      <c r="AB4070" s="33"/>
      <c r="AC4070" s="16"/>
      <c r="AE4070" s="35" t="str">
        <f t="shared" si="64"/>
        <v>EF1 E002 Mat</v>
      </c>
    </row>
    <row r="4071" spans="1:31" x14ac:dyDescent="0.25">
      <c r="A4071" s="31"/>
      <c r="B4071" s="16"/>
      <c r="C4071" s="16"/>
      <c r="D4071" s="33"/>
      <c r="E4071" s="33"/>
      <c r="F4071" s="33"/>
      <c r="G4071" s="33"/>
      <c r="H4071" s="33"/>
      <c r="I4071" s="31"/>
      <c r="J4071" s="31"/>
      <c r="K4071" s="33"/>
      <c r="L4071" s="33"/>
      <c r="M4071" s="31"/>
      <c r="N4071" s="31"/>
      <c r="O4071" s="16"/>
      <c r="P4071" s="16"/>
      <c r="Q4071" s="16"/>
      <c r="R4071" s="33"/>
      <c r="S4071" s="34"/>
      <c r="T4071" s="34"/>
      <c r="U4071" s="34"/>
      <c r="V4071" s="34"/>
      <c r="W4071" s="34"/>
      <c r="X4071" s="33"/>
      <c r="Y4071" s="35" t="str">
        <f>IF(Tabela2[[#This Row],[SIGLA]]="","",VLOOKUP(Tabela2[[#This Row],[SIGLA]],Tabela1[[#All],[Sigla Arte]:[Crédito]],2,0))</f>
        <v/>
      </c>
      <c r="Z4071" s="31"/>
      <c r="AA4071" s="31" t="str">
        <f>Tabela2[[#This Row],[ILUSTRADOR CRIAÇÃO]]</f>
        <v/>
      </c>
      <c r="AB4071" s="33"/>
      <c r="AC4071" s="16"/>
      <c r="AE4071" s="35" t="str">
        <f t="shared" si="64"/>
        <v>EF1 E002 Mat</v>
      </c>
    </row>
    <row r="4072" spans="1:31" x14ac:dyDescent="0.25">
      <c r="A4072" s="31"/>
      <c r="B4072" s="16"/>
      <c r="C4072" s="16"/>
      <c r="D4072" s="33"/>
      <c r="E4072" s="33"/>
      <c r="F4072" s="33"/>
      <c r="G4072" s="33"/>
      <c r="H4072" s="33"/>
      <c r="I4072" s="31"/>
      <c r="J4072" s="31"/>
      <c r="K4072" s="33"/>
      <c r="L4072" s="33"/>
      <c r="M4072" s="31"/>
      <c r="N4072" s="31"/>
      <c r="O4072" s="16"/>
      <c r="P4072" s="16"/>
      <c r="Q4072" s="16"/>
      <c r="R4072" s="33"/>
      <c r="S4072" s="34"/>
      <c r="T4072" s="34"/>
      <c r="U4072" s="34"/>
      <c r="V4072" s="34"/>
      <c r="W4072" s="34"/>
      <c r="X4072" s="33"/>
      <c r="Y4072" s="35" t="str">
        <f>IF(Tabela2[[#This Row],[SIGLA]]="","",VLOOKUP(Tabela2[[#This Row],[SIGLA]],Tabela1[[#All],[Sigla Arte]:[Crédito]],2,0))</f>
        <v/>
      </c>
      <c r="Z4072" s="31"/>
      <c r="AA4072" s="31" t="str">
        <f>Tabela2[[#This Row],[ILUSTRADOR CRIAÇÃO]]</f>
        <v/>
      </c>
      <c r="AB4072" s="33"/>
      <c r="AC4072" s="16"/>
      <c r="AE4072" s="35" t="str">
        <f t="shared" si="64"/>
        <v>EF1 E002 Mat</v>
      </c>
    </row>
    <row r="4073" spans="1:31" x14ac:dyDescent="0.25">
      <c r="A4073" s="31"/>
      <c r="B4073" s="16"/>
      <c r="C4073" s="16"/>
      <c r="D4073" s="33"/>
      <c r="E4073" s="33"/>
      <c r="F4073" s="33"/>
      <c r="G4073" s="33"/>
      <c r="H4073" s="33"/>
      <c r="I4073" s="31"/>
      <c r="J4073" s="31"/>
      <c r="K4073" s="33"/>
      <c r="L4073" s="33"/>
      <c r="M4073" s="31"/>
      <c r="N4073" s="31"/>
      <c r="O4073" s="16"/>
      <c r="P4073" s="16"/>
      <c r="Q4073" s="16"/>
      <c r="R4073" s="33"/>
      <c r="S4073" s="34"/>
      <c r="T4073" s="34"/>
      <c r="U4073" s="34"/>
      <c r="V4073" s="34"/>
      <c r="W4073" s="34"/>
      <c r="X4073" s="33"/>
      <c r="Y4073" s="35" t="str">
        <f>IF(Tabela2[[#This Row],[SIGLA]]="","",VLOOKUP(Tabela2[[#This Row],[SIGLA]],Tabela1[[#All],[Sigla Arte]:[Crédito]],2,0))</f>
        <v/>
      </c>
      <c r="Z4073" s="31"/>
      <c r="AA4073" s="31" t="str">
        <f>Tabela2[[#This Row],[ILUSTRADOR CRIAÇÃO]]</f>
        <v/>
      </c>
      <c r="AB4073" s="33"/>
      <c r="AC4073" s="16"/>
      <c r="AE4073" s="35" t="str">
        <f t="shared" si="64"/>
        <v>EF1 E002 Mat</v>
      </c>
    </row>
    <row r="4074" spans="1:31" x14ac:dyDescent="0.25">
      <c r="A4074" s="31"/>
      <c r="B4074" s="16"/>
      <c r="C4074" s="16"/>
      <c r="D4074" s="33"/>
      <c r="E4074" s="33"/>
      <c r="F4074" s="33"/>
      <c r="G4074" s="33"/>
      <c r="H4074" s="33"/>
      <c r="I4074" s="31"/>
      <c r="J4074" s="31"/>
      <c r="K4074" s="33"/>
      <c r="L4074" s="33"/>
      <c r="M4074" s="31"/>
      <c r="N4074" s="31"/>
      <c r="O4074" s="16"/>
      <c r="P4074" s="16"/>
      <c r="Q4074" s="16"/>
      <c r="R4074" s="33"/>
      <c r="S4074" s="34"/>
      <c r="T4074" s="34"/>
      <c r="U4074" s="34"/>
      <c r="V4074" s="34"/>
      <c r="W4074" s="34"/>
      <c r="X4074" s="33"/>
      <c r="Y4074" s="35" t="str">
        <f>IF(Tabela2[[#This Row],[SIGLA]]="","",VLOOKUP(Tabela2[[#This Row],[SIGLA]],Tabela1[[#All],[Sigla Arte]:[Crédito]],2,0))</f>
        <v/>
      </c>
      <c r="Z4074" s="31"/>
      <c r="AA4074" s="31" t="str">
        <f>Tabela2[[#This Row],[ILUSTRADOR CRIAÇÃO]]</f>
        <v/>
      </c>
      <c r="AB4074" s="33"/>
      <c r="AC4074" s="16"/>
      <c r="AE4074" s="35" t="str">
        <f t="shared" si="64"/>
        <v>EF1 E002 Mat</v>
      </c>
    </row>
    <row r="4075" spans="1:31" x14ac:dyDescent="0.25">
      <c r="A4075" s="31"/>
      <c r="B4075" s="16"/>
      <c r="C4075" s="16"/>
      <c r="D4075" s="33"/>
      <c r="E4075" s="33"/>
      <c r="F4075" s="33"/>
      <c r="G4075" s="33"/>
      <c r="H4075" s="33"/>
      <c r="I4075" s="31"/>
      <c r="J4075" s="31"/>
      <c r="K4075" s="33"/>
      <c r="L4075" s="33"/>
      <c r="M4075" s="31"/>
      <c r="N4075" s="31"/>
      <c r="O4075" s="16"/>
      <c r="P4075" s="16"/>
      <c r="Q4075" s="16"/>
      <c r="R4075" s="33"/>
      <c r="S4075" s="34"/>
      <c r="T4075" s="34"/>
      <c r="U4075" s="34"/>
      <c r="V4075" s="34"/>
      <c r="W4075" s="34"/>
      <c r="X4075" s="33"/>
      <c r="Y4075" s="35" t="str">
        <f>IF(Tabela2[[#This Row],[SIGLA]]="","",VLOOKUP(Tabela2[[#This Row],[SIGLA]],Tabela1[[#All],[Sigla Arte]:[Crédito]],2,0))</f>
        <v/>
      </c>
      <c r="Z4075" s="31"/>
      <c r="AA4075" s="31" t="str">
        <f>Tabela2[[#This Row],[ILUSTRADOR CRIAÇÃO]]</f>
        <v/>
      </c>
      <c r="AB4075" s="33"/>
      <c r="AC4075" s="16"/>
      <c r="AE4075" s="35" t="str">
        <f t="shared" si="64"/>
        <v>EF1 E002 Mat</v>
      </c>
    </row>
    <row r="4076" spans="1:31" x14ac:dyDescent="0.25">
      <c r="A4076" s="31"/>
      <c r="B4076" s="16"/>
      <c r="C4076" s="16"/>
      <c r="D4076" s="33"/>
      <c r="E4076" s="33"/>
      <c r="F4076" s="33"/>
      <c r="G4076" s="33"/>
      <c r="H4076" s="33"/>
      <c r="I4076" s="31"/>
      <c r="J4076" s="31"/>
      <c r="K4076" s="33"/>
      <c r="L4076" s="33"/>
      <c r="M4076" s="31"/>
      <c r="N4076" s="31"/>
      <c r="O4076" s="16"/>
      <c r="P4076" s="16"/>
      <c r="Q4076" s="16"/>
      <c r="R4076" s="33"/>
      <c r="S4076" s="34"/>
      <c r="T4076" s="34"/>
      <c r="U4076" s="34"/>
      <c r="V4076" s="34"/>
      <c r="W4076" s="34"/>
      <c r="X4076" s="33"/>
      <c r="Y4076" s="35" t="str">
        <f>IF(Tabela2[[#This Row],[SIGLA]]="","",VLOOKUP(Tabela2[[#This Row],[SIGLA]],Tabela1[[#All],[Sigla Arte]:[Crédito]],2,0))</f>
        <v/>
      </c>
      <c r="Z4076" s="31"/>
      <c r="AA4076" s="31" t="str">
        <f>Tabela2[[#This Row],[ILUSTRADOR CRIAÇÃO]]</f>
        <v/>
      </c>
      <c r="AB4076" s="33"/>
      <c r="AC4076" s="16"/>
      <c r="AE4076" s="35" t="str">
        <f t="shared" si="64"/>
        <v>EF1 E002 Mat</v>
      </c>
    </row>
    <row r="4077" spans="1:31" x14ac:dyDescent="0.25">
      <c r="A4077" s="31"/>
      <c r="B4077" s="16"/>
      <c r="C4077" s="16"/>
      <c r="D4077" s="33"/>
      <c r="E4077" s="33"/>
      <c r="F4077" s="33"/>
      <c r="G4077" s="33"/>
      <c r="H4077" s="33"/>
      <c r="I4077" s="31"/>
      <c r="J4077" s="31"/>
      <c r="K4077" s="33"/>
      <c r="L4077" s="33"/>
      <c r="M4077" s="31"/>
      <c r="N4077" s="31"/>
      <c r="O4077" s="16"/>
      <c r="P4077" s="16"/>
      <c r="Q4077" s="16"/>
      <c r="R4077" s="33"/>
      <c r="S4077" s="34"/>
      <c r="T4077" s="34"/>
      <c r="U4077" s="34"/>
      <c r="V4077" s="34"/>
      <c r="W4077" s="34"/>
      <c r="X4077" s="33"/>
      <c r="Y4077" s="35" t="str">
        <f>IF(Tabela2[[#This Row],[SIGLA]]="","",VLOOKUP(Tabela2[[#This Row],[SIGLA]],Tabela1[[#All],[Sigla Arte]:[Crédito]],2,0))</f>
        <v/>
      </c>
      <c r="Z4077" s="31"/>
      <c r="AA4077" s="31" t="str">
        <f>Tabela2[[#This Row],[ILUSTRADOR CRIAÇÃO]]</f>
        <v/>
      </c>
      <c r="AB4077" s="33"/>
      <c r="AC4077" s="16"/>
      <c r="AE4077" s="35" t="str">
        <f t="shared" si="64"/>
        <v>EF1 E002 Mat</v>
      </c>
    </row>
    <row r="4078" spans="1:31" x14ac:dyDescent="0.25">
      <c r="A4078" s="31"/>
      <c r="B4078" s="16"/>
      <c r="C4078" s="16"/>
      <c r="D4078" s="33"/>
      <c r="E4078" s="33"/>
      <c r="F4078" s="33"/>
      <c r="G4078" s="33"/>
      <c r="H4078" s="33"/>
      <c r="I4078" s="31"/>
      <c r="J4078" s="31"/>
      <c r="K4078" s="33"/>
      <c r="L4078" s="33"/>
      <c r="M4078" s="31"/>
      <c r="N4078" s="31"/>
      <c r="O4078" s="16"/>
      <c r="P4078" s="16"/>
      <c r="Q4078" s="16"/>
      <c r="R4078" s="33"/>
      <c r="S4078" s="34"/>
      <c r="T4078" s="34"/>
      <c r="U4078" s="34"/>
      <c r="V4078" s="34"/>
      <c r="W4078" s="34"/>
      <c r="X4078" s="33"/>
      <c r="Y4078" s="35" t="str">
        <f>IF(Tabela2[[#This Row],[SIGLA]]="","",VLOOKUP(Tabela2[[#This Row],[SIGLA]],Tabela1[[#All],[Sigla Arte]:[Crédito]],2,0))</f>
        <v/>
      </c>
      <c r="Z4078" s="31"/>
      <c r="AA4078" s="31" t="str">
        <f>Tabela2[[#This Row],[ILUSTRADOR CRIAÇÃO]]</f>
        <v/>
      </c>
      <c r="AB4078" s="33"/>
      <c r="AC4078" s="16"/>
      <c r="AE4078" s="35" t="str">
        <f t="shared" si="64"/>
        <v>EF1 E002 Mat</v>
      </c>
    </row>
  </sheetData>
  <sheetProtection sheet="1" formatCells="0" formatColumns="0" formatRows="0" sort="0" autoFilter="0" pivotTables="0"/>
  <pageMargins left="0.511811024" right="0.511811024" top="0.78740157499999996" bottom="0.78740157499999996" header="0.31496062000000002" footer="0.31496062000000002"/>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11">
        <x14:dataValidation type="list" allowBlank="1" showInputMessage="1" showErrorMessage="1" xr:uid="{C969C20B-651A-4D17-86CC-88E223060629}">
          <x14:formula1>
            <xm:f>metadados!$B$1:$B$7</xm:f>
          </x14:formula1>
          <xm:sqref>C64 C70:C142 C1:C61 C144:C182 C184:C1946 C1949:C1976 C1978:C1998 C2001:C2054 C2056:C2075 C2080:C1048576</xm:sqref>
        </x14:dataValidation>
        <x14:dataValidation type="list" allowBlank="1" showInputMessage="1" showErrorMessage="1" xr:uid="{1E0E5C3B-B338-4A82-ABB7-55FA01F1FD25}">
          <x14:formula1>
            <xm:f>metadados!$C$1:$C$8</xm:f>
          </x14:formula1>
          <xm:sqref>D1:D43 D48 D50:D182 D184:D1946 D1949:D1976 D1978:D1998 D2001:D2054 D2056:D2075 D2080:D2224 D2226:D1048576</xm:sqref>
        </x14:dataValidation>
        <x14:dataValidation type="list" allowBlank="1" showInputMessage="1" showErrorMessage="1" xr:uid="{C70449A7-09E1-454B-83EB-81DB8E145BED}">
          <x14:formula1>
            <xm:f>metadados!$D$1:$D$7</xm:f>
          </x14:formula1>
          <xm:sqref>L1:L182 F1:F182 L184:L1946 F184:F1946 F1949:F1976 L1949:L1976 L1978:L1998 F1978:F1998 F2001:F2054 L2001:L2054 L2056:L2075 L2080:L1048576 F2056:F2075 F2080:F1048576</xm:sqref>
        </x14:dataValidation>
        <x14:dataValidation type="list" allowBlank="1" showInputMessage="1" showErrorMessage="1" xr:uid="{832AC6A1-37A3-4247-8D3B-0B1514A698E5}">
          <x14:formula1>
            <xm:f>metadados!$E$1:$E$3</xm:f>
          </x14:formula1>
          <xm:sqref>I1:I182 I184:I323 I325:I719 I728:I1946 I1949:I1976 I1978:I1998 I2001:I2054 I2056:I2075 I2080:I1048576</xm:sqref>
        </x14:dataValidation>
        <x14:dataValidation type="list" allowBlank="1" showInputMessage="1" showErrorMessage="1" xr:uid="{ABD634A1-19D3-465A-AE87-A59444E4CB70}">
          <x14:formula1>
            <xm:f>metadados!$F$1:$F$13</xm:f>
          </x14:formula1>
          <xm:sqref>N1:N182 N184:N1946 N1949:N1976 N1978:N1998 N2001:N2054 N2056:N2075 N2080:N1048576</xm:sqref>
        </x14:dataValidation>
        <x14:dataValidation type="list" allowBlank="1" showErrorMessage="1" xr:uid="{8C59E314-3DFF-498C-8F2E-89E73DBE2751}">
          <x14:formula1>
            <xm:f>metadados!$A$1:$A$10</xm:f>
          </x14:formula1>
          <xm:sqref>B1:B1946 B1949:B1976 B1978:B1998 B2000:B2054 B2056:B2075 B2080:B2535 C2566 B2537:B2565 B2567:B1048576</xm:sqref>
        </x14:dataValidation>
        <x14:dataValidation type="list" allowBlank="1" showInputMessage="1" showErrorMessage="1" xr:uid="{B4ADD33D-8B17-41A6-94BC-BC2885E9FB91}">
          <x14:formula1>
            <xm:f>metadados!$G$1:$G$14</xm:f>
          </x14:formula1>
          <xm:sqref>AB1:AB2261 AB4079:AB1048576</xm:sqref>
        </x14:dataValidation>
        <x14:dataValidation type="list" allowBlank="1" showInputMessage="1" showErrorMessage="1" xr:uid="{61E550D5-36D2-44FC-A08D-4E51EFE8F470}">
          <x14:formula1>
            <xm:f>metadados!$H$1:$H$5</xm:f>
          </x14:formula1>
          <xm:sqref>AD1:AD1048576</xm:sqref>
        </x14:dataValidation>
        <x14:dataValidation type="list" allowBlank="1" showInputMessage="1" showErrorMessage="1" xr:uid="{473EC02A-C428-41CD-94C4-1504C5B838FA}">
          <x14:formula1>
            <xm:f>créditos_base!$A$3:$A$382</xm:f>
          </x14:formula1>
          <xm:sqref>Z1:Z1048576</xm:sqref>
        </x14:dataValidation>
        <x14:dataValidation type="list" allowBlank="1" showInputMessage="1" showErrorMessage="1" xr:uid="{132CF468-10BC-43D2-A123-5FF6B6C55BAF}">
          <x14:formula1>
            <xm:f>créditos_base!$B$3:$B$382</xm:f>
          </x14:formula1>
          <xm:sqref>X1:X1048576</xm:sqref>
        </x14:dataValidation>
        <x14:dataValidation type="list" allowBlank="1" showInputMessage="1" showErrorMessage="1" xr:uid="{D754A707-6279-4F87-9356-392933CE04C5}">
          <x14:formula1>
            <xm:f>metadados!$G$1:$G$18</xm:f>
          </x14:formula1>
          <xm:sqref>AB2262:AB4078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4E60-2F08-404E-A796-158B251FCA67}">
  <dimension ref="A1:C338"/>
  <sheetViews>
    <sheetView topLeftCell="A136" workbookViewId="0">
      <selection activeCell="C150" sqref="C150"/>
    </sheetView>
  </sheetViews>
  <sheetFormatPr defaultColWidth="12.5703125" defaultRowHeight="15" x14ac:dyDescent="0.25"/>
  <cols>
    <col min="1" max="1" width="58.140625" style="17" customWidth="1"/>
    <col min="2" max="2" width="13.140625" customWidth="1"/>
    <col min="3" max="3" width="68.7109375" customWidth="1"/>
    <col min="4" max="4" width="16.140625" customWidth="1"/>
  </cols>
  <sheetData>
    <row r="1" spans="1:3" ht="51.75" customHeight="1" x14ac:dyDescent="0.35">
      <c r="A1" s="66" t="s">
        <v>5753</v>
      </c>
      <c r="B1" s="66"/>
      <c r="C1" s="66"/>
    </row>
    <row r="2" spans="1:3" ht="16.5" x14ac:dyDescent="0.3">
      <c r="A2" s="18" t="s">
        <v>5754</v>
      </c>
      <c r="B2" s="19" t="s">
        <v>5755</v>
      </c>
      <c r="C2" s="20" t="s">
        <v>5756</v>
      </c>
    </row>
    <row r="3" spans="1:3" ht="16.5" x14ac:dyDescent="0.3">
      <c r="A3" s="21" t="s">
        <v>5757</v>
      </c>
      <c r="B3" s="22" t="s">
        <v>189</v>
      </c>
      <c r="C3" s="23" t="s">
        <v>5758</v>
      </c>
    </row>
    <row r="4" spans="1:3" ht="16.5" x14ac:dyDescent="0.3">
      <c r="A4" s="21" t="s">
        <v>5759</v>
      </c>
      <c r="B4" s="22" t="s">
        <v>184</v>
      </c>
      <c r="C4" s="24" t="s">
        <v>5760</v>
      </c>
    </row>
    <row r="5" spans="1:3" ht="33" x14ac:dyDescent="0.3">
      <c r="A5" s="25" t="s">
        <v>5761</v>
      </c>
      <c r="B5" s="22" t="s">
        <v>5762</v>
      </c>
      <c r="C5" s="23" t="s">
        <v>5763</v>
      </c>
    </row>
    <row r="6" spans="1:3" ht="16.5" x14ac:dyDescent="0.3">
      <c r="A6" s="21" t="s">
        <v>5764</v>
      </c>
      <c r="B6" s="22" t="s">
        <v>5765</v>
      </c>
      <c r="C6" s="23" t="s">
        <v>5766</v>
      </c>
    </row>
    <row r="7" spans="1:3" ht="33" x14ac:dyDescent="0.3">
      <c r="A7" s="21" t="s">
        <v>5767</v>
      </c>
      <c r="B7" s="22" t="s">
        <v>5768</v>
      </c>
      <c r="C7" s="23" t="s">
        <v>5769</v>
      </c>
    </row>
    <row r="8" spans="1:3" ht="33" x14ac:dyDescent="0.3">
      <c r="A8" s="21" t="s">
        <v>5770</v>
      </c>
      <c r="B8" s="22" t="s">
        <v>4015</v>
      </c>
      <c r="C8" s="23" t="s">
        <v>5771</v>
      </c>
    </row>
    <row r="9" spans="1:3" ht="16.5" x14ac:dyDescent="0.3">
      <c r="A9" s="21" t="s">
        <v>5772</v>
      </c>
      <c r="B9" s="22" t="s">
        <v>5773</v>
      </c>
      <c r="C9" s="23" t="s">
        <v>5758</v>
      </c>
    </row>
    <row r="10" spans="1:3" ht="16.5" x14ac:dyDescent="0.3">
      <c r="A10" s="21" t="s">
        <v>924</v>
      </c>
      <c r="B10" s="22" t="s">
        <v>5774</v>
      </c>
      <c r="C10" s="24" t="s">
        <v>439</v>
      </c>
    </row>
    <row r="11" spans="1:3" ht="16.5" x14ac:dyDescent="0.3">
      <c r="A11" s="21" t="s">
        <v>5775</v>
      </c>
      <c r="B11" s="22" t="s">
        <v>5776</v>
      </c>
      <c r="C11" s="24" t="s">
        <v>5777</v>
      </c>
    </row>
    <row r="12" spans="1:3" ht="16.5" x14ac:dyDescent="0.3">
      <c r="A12" s="21" t="s">
        <v>5778</v>
      </c>
      <c r="B12" s="22" t="s">
        <v>5779</v>
      </c>
      <c r="C12" s="24" t="s">
        <v>5780</v>
      </c>
    </row>
    <row r="13" spans="1:3" ht="16.5" x14ac:dyDescent="0.3">
      <c r="A13" s="21" t="s">
        <v>5781</v>
      </c>
      <c r="B13" s="22" t="s">
        <v>5782</v>
      </c>
      <c r="C13" s="24" t="s">
        <v>5783</v>
      </c>
    </row>
    <row r="14" spans="1:3" ht="16.5" x14ac:dyDescent="0.3">
      <c r="A14" s="21" t="s">
        <v>5784</v>
      </c>
      <c r="B14" s="22" t="s">
        <v>5785</v>
      </c>
      <c r="C14" s="23" t="s">
        <v>5786</v>
      </c>
    </row>
    <row r="15" spans="1:3" ht="16.5" x14ac:dyDescent="0.3">
      <c r="A15" s="21" t="s">
        <v>5787</v>
      </c>
      <c r="B15" s="22" t="s">
        <v>5788</v>
      </c>
      <c r="C15" s="24" t="s">
        <v>5789</v>
      </c>
    </row>
    <row r="16" spans="1:3" ht="16.5" x14ac:dyDescent="0.3">
      <c r="A16" s="21" t="s">
        <v>5790</v>
      </c>
      <c r="B16" s="22" t="s">
        <v>5791</v>
      </c>
      <c r="C16" s="24" t="s">
        <v>5792</v>
      </c>
    </row>
    <row r="17" spans="1:3" ht="16.5" x14ac:dyDescent="0.3">
      <c r="A17" s="21" t="s">
        <v>5793</v>
      </c>
      <c r="B17" s="22" t="s">
        <v>5794</v>
      </c>
      <c r="C17" s="23" t="s">
        <v>5795</v>
      </c>
    </row>
    <row r="18" spans="1:3" ht="16.5" x14ac:dyDescent="0.3">
      <c r="A18" s="21" t="s">
        <v>5796</v>
      </c>
      <c r="B18" s="22" t="s">
        <v>5797</v>
      </c>
      <c r="C18" s="23" t="s">
        <v>5798</v>
      </c>
    </row>
    <row r="19" spans="1:3" ht="16.5" x14ac:dyDescent="0.3">
      <c r="A19" s="21" t="s">
        <v>5799</v>
      </c>
      <c r="B19" s="22" t="s">
        <v>5800</v>
      </c>
      <c r="C19" s="23" t="s">
        <v>5801</v>
      </c>
    </row>
    <row r="20" spans="1:3" ht="16.5" x14ac:dyDescent="0.3">
      <c r="A20" s="21" t="s">
        <v>5802</v>
      </c>
      <c r="B20" s="22" t="s">
        <v>5803</v>
      </c>
      <c r="C20" s="24" t="s">
        <v>5804</v>
      </c>
    </row>
    <row r="21" spans="1:3" ht="16.5" x14ac:dyDescent="0.3">
      <c r="A21" s="21" t="s">
        <v>5805</v>
      </c>
      <c r="B21" s="22" t="s">
        <v>5806</v>
      </c>
      <c r="C21" s="23" t="s">
        <v>5807</v>
      </c>
    </row>
    <row r="22" spans="1:3" ht="16.5" x14ac:dyDescent="0.3">
      <c r="A22" s="21" t="s">
        <v>5808</v>
      </c>
      <c r="B22" s="22" t="s">
        <v>5809</v>
      </c>
      <c r="C22" s="23" t="s">
        <v>5810</v>
      </c>
    </row>
    <row r="23" spans="1:3" ht="16.5" x14ac:dyDescent="0.3">
      <c r="A23" s="21" t="s">
        <v>5811</v>
      </c>
      <c r="B23" s="22" t="s">
        <v>5812</v>
      </c>
      <c r="C23" s="23" t="s">
        <v>5813</v>
      </c>
    </row>
    <row r="24" spans="1:3" ht="16.5" x14ac:dyDescent="0.3">
      <c r="A24" s="21" t="s">
        <v>5814</v>
      </c>
      <c r="B24" s="22" t="s">
        <v>5815</v>
      </c>
      <c r="C24" s="23" t="s">
        <v>5816</v>
      </c>
    </row>
    <row r="25" spans="1:3" ht="16.5" x14ac:dyDescent="0.3">
      <c r="A25" s="21" t="s">
        <v>5817</v>
      </c>
      <c r="B25" s="22" t="s">
        <v>5818</v>
      </c>
      <c r="C25" s="24" t="s">
        <v>5819</v>
      </c>
    </row>
    <row r="26" spans="1:3" ht="16.5" x14ac:dyDescent="0.3">
      <c r="A26" s="21" t="s">
        <v>5820</v>
      </c>
      <c r="B26" s="22" t="s">
        <v>5821</v>
      </c>
      <c r="C26" s="24" t="s">
        <v>5822</v>
      </c>
    </row>
    <row r="27" spans="1:3" ht="16.5" x14ac:dyDescent="0.3">
      <c r="A27" s="21" t="s">
        <v>5823</v>
      </c>
      <c r="B27" s="22" t="s">
        <v>5824</v>
      </c>
      <c r="C27" s="23" t="s">
        <v>5825</v>
      </c>
    </row>
    <row r="28" spans="1:3" ht="16.5" x14ac:dyDescent="0.3">
      <c r="A28" s="21" t="s">
        <v>5826</v>
      </c>
      <c r="B28" s="22" t="s">
        <v>5827</v>
      </c>
      <c r="C28" s="24" t="s">
        <v>5828</v>
      </c>
    </row>
    <row r="29" spans="1:3" ht="16.5" x14ac:dyDescent="0.3">
      <c r="A29" s="21" t="s">
        <v>5829</v>
      </c>
      <c r="B29" s="22" t="s">
        <v>5830</v>
      </c>
      <c r="C29" s="23" t="s">
        <v>5831</v>
      </c>
    </row>
    <row r="30" spans="1:3" ht="16.5" x14ac:dyDescent="0.3">
      <c r="A30" s="21" t="s">
        <v>5832</v>
      </c>
      <c r="B30" s="22" t="s">
        <v>5833</v>
      </c>
      <c r="C30" s="23" t="s">
        <v>5834</v>
      </c>
    </row>
    <row r="31" spans="1:3" ht="16.5" x14ac:dyDescent="0.3">
      <c r="A31" s="21" t="s">
        <v>5835</v>
      </c>
      <c r="B31" s="22" t="s">
        <v>5836</v>
      </c>
      <c r="C31" s="24" t="s">
        <v>5837</v>
      </c>
    </row>
    <row r="32" spans="1:3" ht="16.5" x14ac:dyDescent="0.3">
      <c r="A32" s="21" t="s">
        <v>5838</v>
      </c>
      <c r="B32" s="22" t="s">
        <v>5839</v>
      </c>
      <c r="C32" s="23" t="s">
        <v>5840</v>
      </c>
    </row>
    <row r="33" spans="1:3" ht="16.5" x14ac:dyDescent="0.3">
      <c r="A33" s="21" t="s">
        <v>5841</v>
      </c>
      <c r="B33" s="22" t="s">
        <v>5842</v>
      </c>
      <c r="C33" s="23" t="s">
        <v>5843</v>
      </c>
    </row>
    <row r="34" spans="1:3" ht="16.5" x14ac:dyDescent="0.3">
      <c r="A34" s="21" t="s">
        <v>5844</v>
      </c>
      <c r="B34" s="22" t="s">
        <v>5845</v>
      </c>
      <c r="C34" s="24" t="s">
        <v>5846</v>
      </c>
    </row>
    <row r="35" spans="1:3" ht="16.5" x14ac:dyDescent="0.3">
      <c r="A35" s="21" t="s">
        <v>5847</v>
      </c>
      <c r="B35" s="22" t="s">
        <v>5848</v>
      </c>
      <c r="C35" s="23" t="s">
        <v>5849</v>
      </c>
    </row>
    <row r="36" spans="1:3" ht="16.5" x14ac:dyDescent="0.3">
      <c r="A36" s="21" t="s">
        <v>5850</v>
      </c>
      <c r="B36" s="22" t="s">
        <v>5851</v>
      </c>
      <c r="C36" s="23" t="s">
        <v>5852</v>
      </c>
    </row>
    <row r="37" spans="1:3" ht="16.5" x14ac:dyDescent="0.3">
      <c r="A37" s="21" t="s">
        <v>5853</v>
      </c>
      <c r="B37" s="22" t="s">
        <v>5854</v>
      </c>
      <c r="C37" s="23" t="s">
        <v>5855</v>
      </c>
    </row>
    <row r="38" spans="1:3" ht="16.5" x14ac:dyDescent="0.3">
      <c r="A38" s="21" t="s">
        <v>5856</v>
      </c>
      <c r="B38" s="22" t="s">
        <v>5857</v>
      </c>
      <c r="C38" s="23" t="s">
        <v>5858</v>
      </c>
    </row>
    <row r="39" spans="1:3" ht="16.5" x14ac:dyDescent="0.3">
      <c r="A39" s="21" t="s">
        <v>5859</v>
      </c>
      <c r="B39" s="22" t="s">
        <v>5860</v>
      </c>
      <c r="C39" s="23" t="s">
        <v>5861</v>
      </c>
    </row>
    <row r="40" spans="1:3" ht="16.5" x14ac:dyDescent="0.3">
      <c r="A40" s="21" t="s">
        <v>5862</v>
      </c>
      <c r="B40" s="22" t="s">
        <v>5863</v>
      </c>
      <c r="C40" s="24" t="s">
        <v>5864</v>
      </c>
    </row>
    <row r="41" spans="1:3" ht="16.5" x14ac:dyDescent="0.3">
      <c r="A41" s="21" t="s">
        <v>5865</v>
      </c>
      <c r="B41" s="22" t="s">
        <v>5866</v>
      </c>
      <c r="C41" s="23" t="s">
        <v>5867</v>
      </c>
    </row>
    <row r="42" spans="1:3" ht="16.5" x14ac:dyDescent="0.3">
      <c r="A42" s="21" t="s">
        <v>5868</v>
      </c>
      <c r="B42" s="22" t="s">
        <v>5869</v>
      </c>
      <c r="C42" s="23" t="s">
        <v>5870</v>
      </c>
    </row>
    <row r="43" spans="1:3" ht="16.5" x14ac:dyDescent="0.3">
      <c r="A43" s="21" t="s">
        <v>5871</v>
      </c>
      <c r="B43" s="22" t="s">
        <v>5872</v>
      </c>
      <c r="C43" s="23" t="s">
        <v>5873</v>
      </c>
    </row>
    <row r="44" spans="1:3" ht="16.5" x14ac:dyDescent="0.3">
      <c r="A44" s="21" t="s">
        <v>5874</v>
      </c>
      <c r="B44" s="22" t="s">
        <v>5875</v>
      </c>
      <c r="C44" s="24" t="s">
        <v>5876</v>
      </c>
    </row>
    <row r="45" spans="1:3" ht="16.5" x14ac:dyDescent="0.3">
      <c r="A45" s="21" t="s">
        <v>5877</v>
      </c>
      <c r="B45" s="22" t="s">
        <v>5878</v>
      </c>
      <c r="C45" s="23" t="s">
        <v>5879</v>
      </c>
    </row>
    <row r="46" spans="1:3" ht="16.5" x14ac:dyDescent="0.3">
      <c r="A46" s="21" t="s">
        <v>368</v>
      </c>
      <c r="B46" s="22" t="s">
        <v>4382</v>
      </c>
      <c r="C46" s="23" t="s">
        <v>4373</v>
      </c>
    </row>
    <row r="47" spans="1:3" ht="16.5" x14ac:dyDescent="0.3">
      <c r="A47" s="21" t="s">
        <v>5880</v>
      </c>
      <c r="B47" s="22" t="s">
        <v>5881</v>
      </c>
      <c r="C47" s="23" t="s">
        <v>5882</v>
      </c>
    </row>
    <row r="48" spans="1:3" ht="16.5" x14ac:dyDescent="0.3">
      <c r="A48" s="21" t="s">
        <v>5883</v>
      </c>
      <c r="B48" s="22" t="s">
        <v>5884</v>
      </c>
      <c r="C48" s="50" t="s">
        <v>5885</v>
      </c>
    </row>
    <row r="49" spans="1:3" ht="16.5" x14ac:dyDescent="0.3">
      <c r="A49" s="21" t="s">
        <v>5886</v>
      </c>
      <c r="B49" s="22" t="s">
        <v>5887</v>
      </c>
      <c r="C49" s="23" t="s">
        <v>5888</v>
      </c>
    </row>
    <row r="50" spans="1:3" ht="16.5" x14ac:dyDescent="0.3">
      <c r="A50" s="21" t="s">
        <v>5889</v>
      </c>
      <c r="B50" s="22" t="s">
        <v>5890</v>
      </c>
      <c r="C50" s="23" t="s">
        <v>5891</v>
      </c>
    </row>
    <row r="51" spans="1:3" ht="16.5" x14ac:dyDescent="0.3">
      <c r="A51" s="21" t="s">
        <v>5892</v>
      </c>
      <c r="B51" s="22" t="s">
        <v>5893</v>
      </c>
      <c r="C51" s="23" t="s">
        <v>5894</v>
      </c>
    </row>
    <row r="52" spans="1:3" ht="16.5" x14ac:dyDescent="0.3">
      <c r="A52" s="21" t="s">
        <v>5895</v>
      </c>
      <c r="B52" s="22" t="s">
        <v>5896</v>
      </c>
      <c r="C52" s="24" t="s">
        <v>5897</v>
      </c>
    </row>
    <row r="53" spans="1:3" ht="16.5" x14ac:dyDescent="0.3">
      <c r="A53" s="21" t="s">
        <v>5898</v>
      </c>
      <c r="B53" s="22" t="s">
        <v>5899</v>
      </c>
      <c r="C53" s="24"/>
    </row>
    <row r="54" spans="1:3" ht="16.5" x14ac:dyDescent="0.3">
      <c r="A54" s="21" t="s">
        <v>5900</v>
      </c>
      <c r="B54" s="22" t="s">
        <v>37</v>
      </c>
      <c r="C54" s="24" t="s">
        <v>5901</v>
      </c>
    </row>
    <row r="55" spans="1:3" ht="16.5" x14ac:dyDescent="0.3">
      <c r="A55" s="21" t="s">
        <v>5902</v>
      </c>
      <c r="B55" s="22" t="s">
        <v>5903</v>
      </c>
      <c r="C55" s="24" t="s">
        <v>5904</v>
      </c>
    </row>
    <row r="56" spans="1:3" ht="16.5" x14ac:dyDescent="0.3">
      <c r="A56" s="21" t="s">
        <v>5905</v>
      </c>
      <c r="B56" s="22" t="s">
        <v>2513</v>
      </c>
      <c r="C56" s="24" t="s">
        <v>2039</v>
      </c>
    </row>
    <row r="57" spans="1:3" ht="16.5" x14ac:dyDescent="0.3">
      <c r="A57" s="21" t="s">
        <v>5906</v>
      </c>
      <c r="B57" s="22" t="s">
        <v>4324</v>
      </c>
      <c r="C57" s="24" t="s">
        <v>5907</v>
      </c>
    </row>
    <row r="58" spans="1:3" ht="16.5" x14ac:dyDescent="0.3">
      <c r="A58" s="21" t="s">
        <v>5908</v>
      </c>
      <c r="B58" s="22" t="s">
        <v>1449</v>
      </c>
      <c r="C58" s="24" t="s">
        <v>935</v>
      </c>
    </row>
    <row r="59" spans="1:3" ht="16.5" x14ac:dyDescent="0.3">
      <c r="A59" s="21" t="s">
        <v>5909</v>
      </c>
      <c r="B59" s="22" t="s">
        <v>5910</v>
      </c>
      <c r="C59" s="24" t="s">
        <v>5911</v>
      </c>
    </row>
    <row r="60" spans="1:3" ht="16.5" x14ac:dyDescent="0.3">
      <c r="A60" s="21" t="s">
        <v>5912</v>
      </c>
      <c r="B60" s="22" t="s">
        <v>5913</v>
      </c>
      <c r="C60" s="50" t="s">
        <v>5914</v>
      </c>
    </row>
    <row r="61" spans="1:3" ht="16.5" x14ac:dyDescent="0.3">
      <c r="A61" s="21" t="s">
        <v>5915</v>
      </c>
      <c r="B61" s="22" t="s">
        <v>5916</v>
      </c>
      <c r="C61" s="24" t="s">
        <v>5917</v>
      </c>
    </row>
    <row r="62" spans="1:3" ht="16.5" x14ac:dyDescent="0.3">
      <c r="A62" s="21" t="s">
        <v>5918</v>
      </c>
      <c r="B62" s="22" t="s">
        <v>5919</v>
      </c>
      <c r="C62" s="24" t="s">
        <v>5920</v>
      </c>
    </row>
    <row r="63" spans="1:3" ht="16.5" x14ac:dyDescent="0.3">
      <c r="A63" s="21" t="s">
        <v>5921</v>
      </c>
      <c r="B63" s="22" t="s">
        <v>5922</v>
      </c>
      <c r="C63" s="24" t="s">
        <v>5923</v>
      </c>
    </row>
    <row r="64" spans="1:3" ht="16.5" x14ac:dyDescent="0.3">
      <c r="A64" s="21" t="s">
        <v>5924</v>
      </c>
      <c r="B64" s="22" t="s">
        <v>652</v>
      </c>
      <c r="C64" s="51" t="s">
        <v>5925</v>
      </c>
    </row>
    <row r="65" spans="1:3" ht="16.5" x14ac:dyDescent="0.3">
      <c r="A65" s="21" t="s">
        <v>5926</v>
      </c>
      <c r="B65" s="22" t="s">
        <v>5927</v>
      </c>
      <c r="C65" s="24" t="s">
        <v>5928</v>
      </c>
    </row>
    <row r="66" spans="1:3" ht="16.5" x14ac:dyDescent="0.3">
      <c r="A66" s="21" t="s">
        <v>5929</v>
      </c>
      <c r="B66" s="22" t="s">
        <v>5930</v>
      </c>
      <c r="C66" s="24" t="s">
        <v>5867</v>
      </c>
    </row>
    <row r="67" spans="1:3" ht="16.5" x14ac:dyDescent="0.3">
      <c r="A67" s="21" t="s">
        <v>5931</v>
      </c>
      <c r="B67" s="22" t="s">
        <v>5932</v>
      </c>
      <c r="C67" s="23" t="s">
        <v>5933</v>
      </c>
    </row>
    <row r="68" spans="1:3" ht="16.5" x14ac:dyDescent="0.3">
      <c r="A68" s="21" t="s">
        <v>5934</v>
      </c>
      <c r="B68" s="22" t="s">
        <v>5935</v>
      </c>
      <c r="C68" s="24" t="s">
        <v>5936</v>
      </c>
    </row>
    <row r="69" spans="1:3" ht="16.5" x14ac:dyDescent="0.3">
      <c r="A69" s="21" t="s">
        <v>5937</v>
      </c>
      <c r="B69" s="22" t="s">
        <v>5351</v>
      </c>
      <c r="C69" s="24" t="s">
        <v>5938</v>
      </c>
    </row>
    <row r="70" spans="1:3" ht="16.5" x14ac:dyDescent="0.3">
      <c r="A70" s="21" t="s">
        <v>5939</v>
      </c>
      <c r="B70" s="22" t="s">
        <v>5940</v>
      </c>
      <c r="C70" s="24" t="s">
        <v>5941</v>
      </c>
    </row>
    <row r="71" spans="1:3" ht="16.5" x14ac:dyDescent="0.3">
      <c r="A71" s="21" t="s">
        <v>5942</v>
      </c>
      <c r="B71" s="22" t="s">
        <v>5943</v>
      </c>
      <c r="C71" s="24" t="s">
        <v>5944</v>
      </c>
    </row>
    <row r="72" spans="1:3" ht="16.5" x14ac:dyDescent="0.3">
      <c r="A72" s="21" t="s">
        <v>5945</v>
      </c>
      <c r="B72" s="22" t="s">
        <v>5946</v>
      </c>
      <c r="C72" s="50" t="s">
        <v>5867</v>
      </c>
    </row>
    <row r="73" spans="1:3" ht="16.5" x14ac:dyDescent="0.3">
      <c r="A73" s="21" t="s">
        <v>5947</v>
      </c>
      <c r="B73" s="22" t="s">
        <v>5948</v>
      </c>
      <c r="C73" s="23" t="s">
        <v>5949</v>
      </c>
    </row>
    <row r="74" spans="1:3" ht="16.5" x14ac:dyDescent="0.3">
      <c r="A74" s="21" t="s">
        <v>5950</v>
      </c>
      <c r="B74" s="22" t="s">
        <v>5951</v>
      </c>
      <c r="C74" s="24" t="s">
        <v>5952</v>
      </c>
    </row>
    <row r="75" spans="1:3" ht="16.5" x14ac:dyDescent="0.3">
      <c r="A75" s="21" t="s">
        <v>5953</v>
      </c>
      <c r="B75" s="22" t="s">
        <v>3040</v>
      </c>
      <c r="C75" s="24" t="s">
        <v>5954</v>
      </c>
    </row>
    <row r="76" spans="1:3" ht="16.5" x14ac:dyDescent="0.3">
      <c r="A76" s="21" t="s">
        <v>5955</v>
      </c>
      <c r="B76" s="22" t="s">
        <v>5956</v>
      </c>
      <c r="C76" s="24" t="s">
        <v>5957</v>
      </c>
    </row>
    <row r="77" spans="1:3" ht="16.5" x14ac:dyDescent="0.3">
      <c r="A77" s="21" t="s">
        <v>5958</v>
      </c>
      <c r="B77" s="22" t="s">
        <v>5959</v>
      </c>
      <c r="C77" s="24" t="s">
        <v>5960</v>
      </c>
    </row>
    <row r="78" spans="1:3" ht="16.5" x14ac:dyDescent="0.3">
      <c r="A78" s="21" t="s">
        <v>5961</v>
      </c>
      <c r="B78" s="22" t="s">
        <v>5962</v>
      </c>
      <c r="C78" s="24" t="s">
        <v>5867</v>
      </c>
    </row>
    <row r="79" spans="1:3" ht="16.5" x14ac:dyDescent="0.3">
      <c r="A79" s="21" t="s">
        <v>5963</v>
      </c>
      <c r="B79" s="22" t="s">
        <v>5964</v>
      </c>
      <c r="C79" s="24" t="s">
        <v>5867</v>
      </c>
    </row>
    <row r="80" spans="1:3" ht="16.5" x14ac:dyDescent="0.3">
      <c r="A80" s="21" t="s">
        <v>5965</v>
      </c>
      <c r="B80" s="22" t="s">
        <v>5966</v>
      </c>
      <c r="C80" s="24" t="s">
        <v>5967</v>
      </c>
    </row>
    <row r="81" spans="1:3" ht="16.5" x14ac:dyDescent="0.3">
      <c r="A81" s="21" t="s">
        <v>5968</v>
      </c>
      <c r="B81" s="22" t="s">
        <v>1119</v>
      </c>
      <c r="C81" s="24" t="s">
        <v>4066</v>
      </c>
    </row>
    <row r="82" spans="1:3" ht="16.5" x14ac:dyDescent="0.3">
      <c r="A82" s="21" t="s">
        <v>5969</v>
      </c>
      <c r="B82" s="22" t="s">
        <v>5970</v>
      </c>
      <c r="C82" s="24" t="s">
        <v>5971</v>
      </c>
    </row>
    <row r="83" spans="1:3" ht="16.5" x14ac:dyDescent="0.3">
      <c r="A83" s="21" t="s">
        <v>5972</v>
      </c>
      <c r="B83" s="22" t="s">
        <v>5973</v>
      </c>
      <c r="C83" s="24" t="s">
        <v>5974</v>
      </c>
    </row>
    <row r="84" spans="1:3" ht="16.5" x14ac:dyDescent="0.3">
      <c r="A84" s="21" t="s">
        <v>5975</v>
      </c>
      <c r="B84" s="22" t="s">
        <v>1060</v>
      </c>
      <c r="C84" s="24" t="s">
        <v>5976</v>
      </c>
    </row>
    <row r="85" spans="1:3" ht="16.5" x14ac:dyDescent="0.3">
      <c r="A85" s="21" t="s">
        <v>5977</v>
      </c>
      <c r="B85" s="22" t="s">
        <v>100</v>
      </c>
      <c r="C85" s="24" t="s">
        <v>5978</v>
      </c>
    </row>
    <row r="86" spans="1:3" ht="16.5" x14ac:dyDescent="0.3">
      <c r="A86" s="21" t="s">
        <v>5979</v>
      </c>
      <c r="B86" s="22" t="s">
        <v>5980</v>
      </c>
      <c r="C86" s="59" t="s">
        <v>5981</v>
      </c>
    </row>
    <row r="87" spans="1:3" ht="16.5" x14ac:dyDescent="0.3">
      <c r="A87" s="21" t="s">
        <v>5982</v>
      </c>
      <c r="B87" s="22" t="s">
        <v>5983</v>
      </c>
      <c r="C87" s="24" t="s">
        <v>5984</v>
      </c>
    </row>
    <row r="88" spans="1:3" ht="16.5" x14ac:dyDescent="0.3">
      <c r="A88" s="21" t="s">
        <v>5985</v>
      </c>
      <c r="B88" s="22" t="s">
        <v>5986</v>
      </c>
      <c r="C88" s="24" t="s">
        <v>5987</v>
      </c>
    </row>
    <row r="89" spans="1:3" ht="16.5" x14ac:dyDescent="0.3">
      <c r="A89" s="21" t="s">
        <v>5988</v>
      </c>
      <c r="B89" s="22" t="s">
        <v>5989</v>
      </c>
      <c r="C89" s="24" t="s">
        <v>5990</v>
      </c>
    </row>
    <row r="90" spans="1:3" ht="16.5" x14ac:dyDescent="0.3">
      <c r="A90" s="21" t="s">
        <v>5991</v>
      </c>
      <c r="B90" s="22" t="s">
        <v>5992</v>
      </c>
      <c r="C90" s="24" t="s">
        <v>5993</v>
      </c>
    </row>
    <row r="91" spans="1:3" ht="16.5" x14ac:dyDescent="0.3">
      <c r="A91" s="21" t="s">
        <v>5994</v>
      </c>
      <c r="B91" s="22" t="s">
        <v>5995</v>
      </c>
      <c r="C91" s="24" t="s">
        <v>5996</v>
      </c>
    </row>
    <row r="92" spans="1:3" ht="16.5" x14ac:dyDescent="0.3">
      <c r="A92" s="21" t="s">
        <v>5997</v>
      </c>
      <c r="B92" s="22" t="s">
        <v>5998</v>
      </c>
      <c r="C92" s="24" t="s">
        <v>5999</v>
      </c>
    </row>
    <row r="93" spans="1:3" ht="16.5" x14ac:dyDescent="0.3">
      <c r="A93" s="21" t="s">
        <v>6000</v>
      </c>
      <c r="B93" s="22" t="s">
        <v>6001</v>
      </c>
      <c r="C93" s="24" t="s">
        <v>6002</v>
      </c>
    </row>
    <row r="94" spans="1:3" ht="16.5" x14ac:dyDescent="0.3">
      <c r="A94" s="21" t="s">
        <v>6003</v>
      </c>
      <c r="B94" s="22" t="s">
        <v>6004</v>
      </c>
      <c r="C94" s="24" t="s">
        <v>6005</v>
      </c>
    </row>
    <row r="95" spans="1:3" ht="16.5" x14ac:dyDescent="0.3">
      <c r="A95" s="21" t="s">
        <v>6006</v>
      </c>
      <c r="B95" s="22" t="s">
        <v>6007</v>
      </c>
      <c r="C95" s="24" t="s">
        <v>6008</v>
      </c>
    </row>
    <row r="96" spans="1:3" ht="16.5" x14ac:dyDescent="0.3">
      <c r="A96" s="21" t="s">
        <v>6009</v>
      </c>
      <c r="B96" s="22" t="s">
        <v>6010</v>
      </c>
      <c r="C96" s="24" t="s">
        <v>6011</v>
      </c>
    </row>
    <row r="97" spans="1:3" ht="16.5" x14ac:dyDescent="0.3">
      <c r="A97" s="21" t="s">
        <v>6012</v>
      </c>
      <c r="B97" s="22" t="s">
        <v>6013</v>
      </c>
      <c r="C97" s="24" t="s">
        <v>6014</v>
      </c>
    </row>
    <row r="98" spans="1:3" ht="16.5" x14ac:dyDescent="0.3">
      <c r="A98" s="21" t="s">
        <v>6015</v>
      </c>
      <c r="B98" s="22" t="s">
        <v>43</v>
      </c>
      <c r="C98" s="24" t="s">
        <v>6016</v>
      </c>
    </row>
    <row r="99" spans="1:3" ht="16.5" x14ac:dyDescent="0.3">
      <c r="A99" s="21" t="s">
        <v>6017</v>
      </c>
      <c r="B99" s="22" t="s">
        <v>6018</v>
      </c>
      <c r="C99" s="24" t="s">
        <v>6019</v>
      </c>
    </row>
    <row r="100" spans="1:3" ht="16.5" x14ac:dyDescent="0.3">
      <c r="A100" s="21" t="s">
        <v>6020</v>
      </c>
      <c r="B100" s="22" t="s">
        <v>6021</v>
      </c>
      <c r="C100" s="24" t="s">
        <v>6022</v>
      </c>
    </row>
    <row r="101" spans="1:3" ht="16.5" x14ac:dyDescent="0.3">
      <c r="A101" s="21" t="s">
        <v>6023</v>
      </c>
      <c r="B101" s="22" t="s">
        <v>6024</v>
      </c>
      <c r="C101" s="24" t="s">
        <v>6025</v>
      </c>
    </row>
    <row r="102" spans="1:3" ht="16.5" x14ac:dyDescent="0.3">
      <c r="A102" s="21" t="s">
        <v>6026</v>
      </c>
      <c r="B102" s="22" t="s">
        <v>6027</v>
      </c>
      <c r="C102" s="24" t="s">
        <v>6028</v>
      </c>
    </row>
    <row r="103" spans="1:3" ht="16.5" x14ac:dyDescent="0.3">
      <c r="A103" s="21" t="s">
        <v>6029</v>
      </c>
      <c r="B103" s="22" t="s">
        <v>6030</v>
      </c>
      <c r="C103" s="50" t="s">
        <v>6031</v>
      </c>
    </row>
    <row r="104" spans="1:3" ht="16.5" x14ac:dyDescent="0.3">
      <c r="A104" s="21" t="s">
        <v>6032</v>
      </c>
      <c r="B104" s="22" t="s">
        <v>6033</v>
      </c>
      <c r="C104" s="24" t="s">
        <v>6034</v>
      </c>
    </row>
    <row r="105" spans="1:3" ht="16.5" x14ac:dyDescent="0.3">
      <c r="A105" s="21" t="s">
        <v>6035</v>
      </c>
      <c r="B105" s="22" t="s">
        <v>6036</v>
      </c>
      <c r="C105" s="24" t="s">
        <v>6037</v>
      </c>
    </row>
    <row r="106" spans="1:3" ht="16.5" x14ac:dyDescent="0.3">
      <c r="A106" s="21" t="s">
        <v>140</v>
      </c>
      <c r="B106" s="22" t="s">
        <v>6038</v>
      </c>
      <c r="C106" s="24" t="s">
        <v>6039</v>
      </c>
    </row>
    <row r="107" spans="1:3" ht="16.5" x14ac:dyDescent="0.3">
      <c r="A107" s="21" t="s">
        <v>6040</v>
      </c>
      <c r="B107" s="22" t="s">
        <v>6041</v>
      </c>
      <c r="C107" s="24" t="s">
        <v>6042</v>
      </c>
    </row>
    <row r="108" spans="1:3" ht="16.5" x14ac:dyDescent="0.3">
      <c r="A108" s="21" t="s">
        <v>6043</v>
      </c>
      <c r="B108" s="22" t="s">
        <v>6044</v>
      </c>
      <c r="C108" s="51" t="s">
        <v>6045</v>
      </c>
    </row>
    <row r="109" spans="1:3" ht="16.5" x14ac:dyDescent="0.3">
      <c r="A109" s="21" t="s">
        <v>6046</v>
      </c>
      <c r="B109" s="22" t="s">
        <v>6047</v>
      </c>
      <c r="C109" s="23" t="s">
        <v>6048</v>
      </c>
    </row>
    <row r="110" spans="1:3" ht="16.5" x14ac:dyDescent="0.3">
      <c r="A110" s="21" t="s">
        <v>6049</v>
      </c>
      <c r="B110" s="22" t="s">
        <v>6050</v>
      </c>
      <c r="C110" s="52" t="s">
        <v>5867</v>
      </c>
    </row>
    <row r="111" spans="1:3" ht="16.5" x14ac:dyDescent="0.3">
      <c r="A111" s="21" t="s">
        <v>6051</v>
      </c>
      <c r="B111" s="22" t="s">
        <v>6052</v>
      </c>
      <c r="C111" s="24" t="s">
        <v>5867</v>
      </c>
    </row>
    <row r="112" spans="1:3" ht="16.5" x14ac:dyDescent="0.3">
      <c r="A112" s="21" t="s">
        <v>6053</v>
      </c>
      <c r="B112" s="22" t="s">
        <v>6054</v>
      </c>
      <c r="C112" s="50" t="s">
        <v>6055</v>
      </c>
    </row>
    <row r="113" spans="1:3" ht="16.5" x14ac:dyDescent="0.3">
      <c r="A113" s="21" t="s">
        <v>6056</v>
      </c>
      <c r="B113" s="22" t="s">
        <v>6057</v>
      </c>
      <c r="C113" s="24" t="s">
        <v>6058</v>
      </c>
    </row>
    <row r="114" spans="1:3" ht="16.5" x14ac:dyDescent="0.3">
      <c r="A114" s="21" t="s">
        <v>6059</v>
      </c>
      <c r="B114" s="22" t="s">
        <v>6060</v>
      </c>
      <c r="C114" s="24" t="s">
        <v>6061</v>
      </c>
    </row>
    <row r="115" spans="1:3" ht="16.5" x14ac:dyDescent="0.3">
      <c r="A115" s="21" t="s">
        <v>6062</v>
      </c>
      <c r="B115" s="22" t="s">
        <v>6063</v>
      </c>
      <c r="C115" s="24" t="s">
        <v>6064</v>
      </c>
    </row>
    <row r="116" spans="1:3" ht="16.5" x14ac:dyDescent="0.3">
      <c r="A116" s="21" t="s">
        <v>6065</v>
      </c>
      <c r="B116" s="22" t="s">
        <v>6066</v>
      </c>
      <c r="C116" s="24" t="s">
        <v>5867</v>
      </c>
    </row>
    <row r="117" spans="1:3" ht="16.5" x14ac:dyDescent="0.3">
      <c r="A117" s="50" t="s">
        <v>6067</v>
      </c>
      <c r="B117" s="22" t="s">
        <v>6068</v>
      </c>
      <c r="C117" s="24" t="s">
        <v>5867</v>
      </c>
    </row>
    <row r="118" spans="1:3" ht="16.5" x14ac:dyDescent="0.3">
      <c r="A118" s="53" t="s">
        <v>6069</v>
      </c>
      <c r="B118" s="22" t="s">
        <v>399</v>
      </c>
      <c r="C118" s="24" t="s">
        <v>6070</v>
      </c>
    </row>
    <row r="119" spans="1:3" ht="16.5" x14ac:dyDescent="0.3">
      <c r="A119" s="21" t="s">
        <v>6071</v>
      </c>
      <c r="B119" s="22" t="s">
        <v>6072</v>
      </c>
      <c r="C119" s="24" t="s">
        <v>5867</v>
      </c>
    </row>
    <row r="120" spans="1:3" ht="16.5" x14ac:dyDescent="0.3">
      <c r="A120" s="21" t="s">
        <v>6073</v>
      </c>
      <c r="B120" s="22" t="s">
        <v>2111</v>
      </c>
      <c r="C120" s="24" t="s">
        <v>6074</v>
      </c>
    </row>
    <row r="121" spans="1:3" ht="16.5" x14ac:dyDescent="0.3">
      <c r="A121" s="21" t="s">
        <v>6075</v>
      </c>
      <c r="B121" s="22" t="s">
        <v>6076</v>
      </c>
      <c r="C121" s="24" t="s">
        <v>6077</v>
      </c>
    </row>
    <row r="122" spans="1:3" ht="16.5" x14ac:dyDescent="0.3">
      <c r="A122" s="21" t="s">
        <v>6078</v>
      </c>
      <c r="B122" s="22" t="s">
        <v>3703</v>
      </c>
      <c r="C122" s="24" t="s">
        <v>6079</v>
      </c>
    </row>
    <row r="123" spans="1:3" ht="16.5" x14ac:dyDescent="0.3">
      <c r="A123" s="21" t="s">
        <v>6080</v>
      </c>
      <c r="B123" s="22" t="s">
        <v>6081</v>
      </c>
      <c r="C123" s="24" t="s">
        <v>6082</v>
      </c>
    </row>
    <row r="124" spans="1:3" ht="16.5" x14ac:dyDescent="0.3">
      <c r="A124" s="21" t="s">
        <v>383</v>
      </c>
      <c r="B124" s="22" t="s">
        <v>4892</v>
      </c>
      <c r="C124" s="24" t="s">
        <v>6083</v>
      </c>
    </row>
    <row r="125" spans="1:3" ht="16.5" x14ac:dyDescent="0.3">
      <c r="A125" s="21" t="s">
        <v>6084</v>
      </c>
      <c r="B125" s="22" t="s">
        <v>137</v>
      </c>
      <c r="C125" s="24" t="s">
        <v>6085</v>
      </c>
    </row>
    <row r="126" spans="1:3" ht="16.5" x14ac:dyDescent="0.3">
      <c r="A126" s="21" t="s">
        <v>6086</v>
      </c>
      <c r="B126" s="22" t="s">
        <v>3584</v>
      </c>
      <c r="C126" s="24" t="s">
        <v>3112</v>
      </c>
    </row>
    <row r="127" spans="1:3" ht="16.5" x14ac:dyDescent="0.3">
      <c r="A127" s="21" t="s">
        <v>6087</v>
      </c>
      <c r="B127" s="22" t="s">
        <v>6088</v>
      </c>
      <c r="C127" s="24" t="s">
        <v>6089</v>
      </c>
    </row>
    <row r="128" spans="1:3" ht="16.5" x14ac:dyDescent="0.3">
      <c r="A128" s="21" t="s">
        <v>6090</v>
      </c>
      <c r="B128" s="22" t="s">
        <v>6091</v>
      </c>
      <c r="C128" s="24" t="s">
        <v>6092</v>
      </c>
    </row>
    <row r="129" spans="1:3" ht="16.5" x14ac:dyDescent="0.3">
      <c r="A129" s="21" t="s">
        <v>6093</v>
      </c>
      <c r="B129" s="22" t="s">
        <v>6094</v>
      </c>
      <c r="C129" s="51" t="s">
        <v>6095</v>
      </c>
    </row>
    <row r="130" spans="1:3" ht="16.5" x14ac:dyDescent="0.3">
      <c r="A130" s="21" t="s">
        <v>6096</v>
      </c>
      <c r="B130" s="22" t="s">
        <v>3016</v>
      </c>
      <c r="C130" s="23" t="s">
        <v>6097</v>
      </c>
    </row>
    <row r="131" spans="1:3" ht="16.5" x14ac:dyDescent="0.3">
      <c r="A131" s="21" t="s">
        <v>6098</v>
      </c>
      <c r="B131" s="22" t="s">
        <v>6099</v>
      </c>
      <c r="C131" s="52" t="s">
        <v>6100</v>
      </c>
    </row>
    <row r="132" spans="1:3" ht="16.5" x14ac:dyDescent="0.3">
      <c r="A132" s="21" t="s">
        <v>6101</v>
      </c>
      <c r="B132" s="22" t="s">
        <v>6102</v>
      </c>
      <c r="C132" s="24" t="s">
        <v>6103</v>
      </c>
    </row>
    <row r="133" spans="1:3" ht="16.5" x14ac:dyDescent="0.3">
      <c r="A133" s="21" t="s">
        <v>6104</v>
      </c>
      <c r="B133" s="22" t="s">
        <v>6105</v>
      </c>
      <c r="C133" s="24" t="s">
        <v>6106</v>
      </c>
    </row>
    <row r="134" spans="1:3" ht="16.5" x14ac:dyDescent="0.3">
      <c r="A134" s="21" t="s">
        <v>6107</v>
      </c>
      <c r="B134" s="22" t="s">
        <v>6108</v>
      </c>
      <c r="C134" s="24" t="s">
        <v>6109</v>
      </c>
    </row>
    <row r="135" spans="1:3" ht="16.5" x14ac:dyDescent="0.3">
      <c r="A135" s="21" t="s">
        <v>572</v>
      </c>
      <c r="B135" s="22" t="s">
        <v>5130</v>
      </c>
      <c r="C135" s="24" t="s">
        <v>6110</v>
      </c>
    </row>
    <row r="136" spans="1:3" ht="16.5" x14ac:dyDescent="0.3">
      <c r="A136" s="21" t="s">
        <v>6111</v>
      </c>
      <c r="B136" s="22" t="s">
        <v>6112</v>
      </c>
      <c r="C136" s="24" t="s">
        <v>6113</v>
      </c>
    </row>
    <row r="137" spans="1:3" ht="16.5" x14ac:dyDescent="0.3">
      <c r="A137" s="21" t="s">
        <v>6114</v>
      </c>
      <c r="B137" s="22" t="s">
        <v>6115</v>
      </c>
      <c r="C137" s="24" t="s">
        <v>6116</v>
      </c>
    </row>
    <row r="138" spans="1:3" ht="16.5" x14ac:dyDescent="0.3">
      <c r="A138" s="21" t="s">
        <v>6117</v>
      </c>
      <c r="B138" s="22" t="s">
        <v>6118</v>
      </c>
      <c r="C138" s="24" t="s">
        <v>6119</v>
      </c>
    </row>
    <row r="139" spans="1:3" ht="16.5" x14ac:dyDescent="0.3">
      <c r="A139" s="21" t="s">
        <v>6120</v>
      </c>
      <c r="B139" s="22" t="s">
        <v>6121</v>
      </c>
      <c r="C139" s="51" t="s">
        <v>6122</v>
      </c>
    </row>
    <row r="140" spans="1:3" ht="16.5" x14ac:dyDescent="0.3">
      <c r="A140" s="21" t="s">
        <v>6123</v>
      </c>
      <c r="B140" s="22" t="s">
        <v>6124</v>
      </c>
      <c r="C140" s="52" t="s">
        <v>5867</v>
      </c>
    </row>
    <row r="141" spans="1:3" ht="16.5" x14ac:dyDescent="0.3">
      <c r="A141" s="21" t="s">
        <v>6125</v>
      </c>
      <c r="B141" s="22" t="s">
        <v>6126</v>
      </c>
      <c r="C141" s="51" t="s">
        <v>5867</v>
      </c>
    </row>
    <row r="142" spans="1:3" ht="16.5" x14ac:dyDescent="0.3">
      <c r="A142" s="21" t="s">
        <v>6127</v>
      </c>
      <c r="B142" s="22" t="s">
        <v>6128</v>
      </c>
      <c r="C142" s="23" t="s">
        <v>6129</v>
      </c>
    </row>
    <row r="143" spans="1:3" ht="16.5" x14ac:dyDescent="0.3">
      <c r="A143" s="21" t="s">
        <v>6130</v>
      </c>
      <c r="B143" s="22" t="s">
        <v>6131</v>
      </c>
      <c r="C143" s="23" t="s">
        <v>6132</v>
      </c>
    </row>
    <row r="144" spans="1:3" ht="16.5" x14ac:dyDescent="0.3">
      <c r="A144" s="21" t="s">
        <v>6133</v>
      </c>
      <c r="B144" s="22" t="s">
        <v>6134</v>
      </c>
      <c r="C144" s="23" t="s">
        <v>6135</v>
      </c>
    </row>
    <row r="145" spans="1:3" ht="16.5" x14ac:dyDescent="0.3">
      <c r="A145" s="21" t="s">
        <v>6136</v>
      </c>
      <c r="B145" s="22" t="s">
        <v>6137</v>
      </c>
      <c r="C145" s="52" t="s">
        <v>6138</v>
      </c>
    </row>
    <row r="146" spans="1:3" ht="16.5" x14ac:dyDescent="0.3">
      <c r="A146" s="21" t="s">
        <v>6139</v>
      </c>
      <c r="B146" s="22" t="s">
        <v>2269</v>
      </c>
      <c r="C146" s="51" t="s">
        <v>6140</v>
      </c>
    </row>
    <row r="147" spans="1:3" ht="16.5" x14ac:dyDescent="0.3">
      <c r="A147" s="21" t="s">
        <v>6141</v>
      </c>
      <c r="B147" s="22" t="s">
        <v>1126</v>
      </c>
      <c r="C147" s="52" t="s">
        <v>2050</v>
      </c>
    </row>
    <row r="148" spans="1:3" ht="16.5" x14ac:dyDescent="0.3">
      <c r="A148" s="21" t="s">
        <v>6142</v>
      </c>
      <c r="B148" s="22" t="s">
        <v>6143</v>
      </c>
      <c r="C148" s="51" t="s">
        <v>6144</v>
      </c>
    </row>
    <row r="149" spans="1:3" ht="16.5" x14ac:dyDescent="0.3">
      <c r="A149" s="21" t="s">
        <v>6145</v>
      </c>
      <c r="B149" s="22" t="s">
        <v>6146</v>
      </c>
      <c r="C149" s="52" t="s">
        <v>6147</v>
      </c>
    </row>
    <row r="150" spans="1:3" ht="16.5" x14ac:dyDescent="0.3">
      <c r="A150" s="21" t="s">
        <v>6148</v>
      </c>
      <c r="B150" s="22" t="s">
        <v>3542</v>
      </c>
      <c r="C150" s="24" t="s">
        <v>5309</v>
      </c>
    </row>
    <row r="151" spans="1:3" ht="16.5" x14ac:dyDescent="0.3">
      <c r="A151" s="21" t="s">
        <v>6149</v>
      </c>
      <c r="B151" s="22" t="s">
        <v>6150</v>
      </c>
      <c r="C151" s="24" t="s">
        <v>6151</v>
      </c>
    </row>
    <row r="152" spans="1:3" ht="16.5" x14ac:dyDescent="0.3">
      <c r="A152" s="21" t="s">
        <v>6152</v>
      </c>
      <c r="B152" s="22" t="s">
        <v>6153</v>
      </c>
      <c r="C152" s="24" t="s">
        <v>6154</v>
      </c>
    </row>
    <row r="153" spans="1:3" ht="16.5" x14ac:dyDescent="0.3">
      <c r="A153" s="21" t="s">
        <v>6155</v>
      </c>
      <c r="B153" s="22" t="s">
        <v>6156</v>
      </c>
      <c r="C153" s="50" t="s">
        <v>6157</v>
      </c>
    </row>
    <row r="154" spans="1:3" ht="16.5" x14ac:dyDescent="0.3">
      <c r="A154" s="21" t="s">
        <v>6158</v>
      </c>
      <c r="B154" s="22" t="s">
        <v>6159</v>
      </c>
      <c r="C154" s="51" t="s">
        <v>6160</v>
      </c>
    </row>
    <row r="155" spans="1:3" ht="16.5" x14ac:dyDescent="0.3">
      <c r="A155" s="21" t="s">
        <v>6161</v>
      </c>
      <c r="B155" s="22" t="s">
        <v>6162</v>
      </c>
      <c r="C155" s="23" t="s">
        <v>6163</v>
      </c>
    </row>
    <row r="156" spans="1:3" ht="16.5" x14ac:dyDescent="0.3">
      <c r="A156" s="21" t="s">
        <v>6164</v>
      </c>
      <c r="B156" s="22" t="s">
        <v>4747</v>
      </c>
      <c r="C156" s="52" t="s">
        <v>6165</v>
      </c>
    </row>
    <row r="157" spans="1:3" ht="16.5" x14ac:dyDescent="0.3">
      <c r="A157" s="21" t="s">
        <v>6166</v>
      </c>
      <c r="B157" s="22" t="s">
        <v>6167</v>
      </c>
      <c r="C157" s="24" t="s">
        <v>5867</v>
      </c>
    </row>
    <row r="158" spans="1:3" ht="16.5" x14ac:dyDescent="0.3">
      <c r="A158" s="21" t="s">
        <v>6168</v>
      </c>
      <c r="B158" s="22" t="s">
        <v>1864</v>
      </c>
      <c r="C158" s="24" t="s">
        <v>6169</v>
      </c>
    </row>
    <row r="159" spans="1:3" ht="16.5" x14ac:dyDescent="0.3">
      <c r="A159" s="21" t="s">
        <v>6170</v>
      </c>
      <c r="B159" s="22" t="s">
        <v>6171</v>
      </c>
      <c r="C159" s="24" t="s">
        <v>6172</v>
      </c>
    </row>
    <row r="160" spans="1:3" ht="16.5" x14ac:dyDescent="0.3">
      <c r="A160" s="21" t="s">
        <v>438</v>
      </c>
      <c r="B160" s="22" t="s">
        <v>1267</v>
      </c>
      <c r="C160" s="24" t="s">
        <v>4391</v>
      </c>
    </row>
    <row r="161" spans="1:3" ht="16.5" x14ac:dyDescent="0.3">
      <c r="A161" s="50" t="s">
        <v>6173</v>
      </c>
      <c r="B161" s="22" t="s">
        <v>6174</v>
      </c>
      <c r="C161" s="24" t="s">
        <v>5867</v>
      </c>
    </row>
    <row r="162" spans="1:3" ht="16.5" x14ac:dyDescent="0.3">
      <c r="A162" s="26" t="s">
        <v>6175</v>
      </c>
      <c r="B162" s="22" t="s">
        <v>6176</v>
      </c>
      <c r="C162" s="24" t="s">
        <v>6177</v>
      </c>
    </row>
    <row r="163" spans="1:3" ht="16.5" x14ac:dyDescent="0.3">
      <c r="A163" s="53" t="s">
        <v>6178</v>
      </c>
      <c r="B163" s="22" t="s">
        <v>6179</v>
      </c>
      <c r="C163" s="24" t="s">
        <v>6180</v>
      </c>
    </row>
    <row r="164" spans="1:3" ht="16.5" x14ac:dyDescent="0.3">
      <c r="A164" s="21" t="s">
        <v>6181</v>
      </c>
      <c r="B164" s="22" t="s">
        <v>6182</v>
      </c>
      <c r="C164" s="24" t="s">
        <v>6183</v>
      </c>
    </row>
    <row r="165" spans="1:3" ht="16.5" x14ac:dyDescent="0.3">
      <c r="A165" s="21" t="s">
        <v>6184</v>
      </c>
      <c r="B165" s="22" t="s">
        <v>6185</v>
      </c>
      <c r="C165" s="50" t="s">
        <v>6186</v>
      </c>
    </row>
    <row r="166" spans="1:3" ht="16.5" x14ac:dyDescent="0.3">
      <c r="A166" s="21" t="s">
        <v>6187</v>
      </c>
      <c r="B166" s="22" t="s">
        <v>6188</v>
      </c>
      <c r="C166" s="24" t="s">
        <v>6189</v>
      </c>
    </row>
    <row r="167" spans="1:3" ht="16.5" x14ac:dyDescent="0.3">
      <c r="A167" s="21" t="s">
        <v>6190</v>
      </c>
      <c r="B167" s="22" t="s">
        <v>162</v>
      </c>
      <c r="C167" s="24" t="s">
        <v>3538</v>
      </c>
    </row>
    <row r="168" spans="1:3" ht="16.5" x14ac:dyDescent="0.3">
      <c r="A168" s="21" t="s">
        <v>6191</v>
      </c>
      <c r="B168" s="22" t="s">
        <v>6192</v>
      </c>
      <c r="C168" s="24" t="s">
        <v>6193</v>
      </c>
    </row>
    <row r="169" spans="1:3" ht="16.5" x14ac:dyDescent="0.3">
      <c r="A169" s="21" t="s">
        <v>6194</v>
      </c>
      <c r="B169" s="22" t="s">
        <v>6195</v>
      </c>
      <c r="C169" s="24" t="s">
        <v>6196</v>
      </c>
    </row>
    <row r="170" spans="1:3" ht="16.5" x14ac:dyDescent="0.3">
      <c r="A170" s="21" t="s">
        <v>6197</v>
      </c>
      <c r="B170" s="22" t="s">
        <v>6198</v>
      </c>
      <c r="C170" s="24" t="s">
        <v>6199</v>
      </c>
    </row>
    <row r="171" spans="1:3" ht="16.5" x14ac:dyDescent="0.3">
      <c r="A171" s="21" t="s">
        <v>6200</v>
      </c>
      <c r="B171" s="22" t="s">
        <v>1515</v>
      </c>
      <c r="C171" s="24" t="s">
        <v>921</v>
      </c>
    </row>
    <row r="172" spans="1:3" ht="16.5" x14ac:dyDescent="0.3">
      <c r="A172" s="21" t="s">
        <v>6201</v>
      </c>
      <c r="B172" s="22" t="s">
        <v>6202</v>
      </c>
      <c r="C172" s="50" t="s">
        <v>6203</v>
      </c>
    </row>
    <row r="173" spans="1:3" ht="16.5" x14ac:dyDescent="0.3">
      <c r="A173" s="21" t="s">
        <v>6204</v>
      </c>
      <c r="B173" s="22" t="s">
        <v>6205</v>
      </c>
      <c r="C173" s="24" t="s">
        <v>6206</v>
      </c>
    </row>
    <row r="174" spans="1:3" ht="16.5" x14ac:dyDescent="0.3">
      <c r="A174" s="21" t="s">
        <v>6207</v>
      </c>
      <c r="B174" s="22" t="s">
        <v>6208</v>
      </c>
      <c r="C174" s="24" t="s">
        <v>6209</v>
      </c>
    </row>
    <row r="175" spans="1:3" ht="16.5" x14ac:dyDescent="0.3">
      <c r="A175" s="21" t="s">
        <v>6210</v>
      </c>
      <c r="B175" s="22" t="s">
        <v>6211</v>
      </c>
      <c r="C175" s="24" t="s">
        <v>6212</v>
      </c>
    </row>
    <row r="176" spans="1:3" ht="16.5" x14ac:dyDescent="0.3">
      <c r="A176" s="21" t="s">
        <v>6213</v>
      </c>
      <c r="B176" s="22" t="s">
        <v>6214</v>
      </c>
      <c r="C176" s="24" t="s">
        <v>6215</v>
      </c>
    </row>
    <row r="177" spans="1:3" ht="16.5" x14ac:dyDescent="0.3">
      <c r="A177" s="21" t="s">
        <v>6216</v>
      </c>
      <c r="B177" s="22" t="s">
        <v>6217</v>
      </c>
      <c r="C177" s="24" t="s">
        <v>6218</v>
      </c>
    </row>
    <row r="178" spans="1:3" ht="16.5" x14ac:dyDescent="0.3">
      <c r="A178" s="21" t="s">
        <v>6219</v>
      </c>
      <c r="B178" s="22" t="s">
        <v>6220</v>
      </c>
      <c r="C178" s="24" t="s">
        <v>6221</v>
      </c>
    </row>
    <row r="179" spans="1:3" ht="16.5" x14ac:dyDescent="0.3">
      <c r="A179" s="21" t="s">
        <v>6222</v>
      </c>
      <c r="B179" s="22" t="s">
        <v>6223</v>
      </c>
      <c r="C179" s="50" t="s">
        <v>6224</v>
      </c>
    </row>
    <row r="180" spans="1:3" ht="16.5" x14ac:dyDescent="0.3">
      <c r="A180" s="21" t="s">
        <v>6225</v>
      </c>
      <c r="B180" s="22" t="s">
        <v>6226</v>
      </c>
      <c r="C180" s="24" t="s">
        <v>6227</v>
      </c>
    </row>
    <row r="181" spans="1:3" ht="16.5" x14ac:dyDescent="0.3">
      <c r="A181" s="21" t="s">
        <v>6228</v>
      </c>
      <c r="B181" s="22" t="s">
        <v>6229</v>
      </c>
      <c r="C181" s="24" t="s">
        <v>5867</v>
      </c>
    </row>
    <row r="182" spans="1:3" ht="16.5" x14ac:dyDescent="0.3">
      <c r="A182" s="21" t="s">
        <v>6230</v>
      </c>
      <c r="B182" s="22" t="s">
        <v>6231</v>
      </c>
      <c r="C182" s="24" t="s">
        <v>6232</v>
      </c>
    </row>
    <row r="183" spans="1:3" ht="16.5" x14ac:dyDescent="0.3">
      <c r="A183" s="21" t="s">
        <v>6233</v>
      </c>
      <c r="B183" s="22" t="s">
        <v>6234</v>
      </c>
      <c r="C183" s="24" t="s">
        <v>6235</v>
      </c>
    </row>
    <row r="184" spans="1:3" ht="16.5" x14ac:dyDescent="0.3">
      <c r="A184" s="21" t="s">
        <v>6236</v>
      </c>
      <c r="B184" s="22" t="s">
        <v>5281</v>
      </c>
      <c r="C184" s="24" t="s">
        <v>6237</v>
      </c>
    </row>
    <row r="185" spans="1:3" ht="16.5" x14ac:dyDescent="0.3">
      <c r="A185" s="21" t="s">
        <v>6238</v>
      </c>
      <c r="B185" s="22" t="s">
        <v>6239</v>
      </c>
      <c r="C185" s="24" t="s">
        <v>6240</v>
      </c>
    </row>
    <row r="186" spans="1:3" ht="16.5" x14ac:dyDescent="0.3">
      <c r="A186" s="21" t="s">
        <v>6241</v>
      </c>
      <c r="B186" s="22" t="s">
        <v>6242</v>
      </c>
      <c r="C186" s="24" t="s">
        <v>6243</v>
      </c>
    </row>
    <row r="187" spans="1:3" ht="16.5" x14ac:dyDescent="0.3">
      <c r="A187" s="21" t="s">
        <v>6244</v>
      </c>
      <c r="B187" s="22" t="s">
        <v>6245</v>
      </c>
      <c r="C187" s="24" t="s">
        <v>6246</v>
      </c>
    </row>
    <row r="188" spans="1:3" ht="16.5" x14ac:dyDescent="0.3">
      <c r="A188" s="21" t="s">
        <v>6247</v>
      </c>
      <c r="B188" s="22" t="s">
        <v>6248</v>
      </c>
      <c r="C188" s="24" t="s">
        <v>6249</v>
      </c>
    </row>
    <row r="189" spans="1:3" ht="16.5" x14ac:dyDescent="0.3">
      <c r="A189" s="21" t="s">
        <v>6250</v>
      </c>
      <c r="B189" s="22" t="s">
        <v>6251</v>
      </c>
      <c r="C189" s="24" t="s">
        <v>5867</v>
      </c>
    </row>
    <row r="190" spans="1:3" ht="16.5" x14ac:dyDescent="0.3">
      <c r="A190" s="21" t="s">
        <v>6252</v>
      </c>
      <c r="B190" s="22" t="s">
        <v>708</v>
      </c>
      <c r="C190" s="24" t="s">
        <v>6253</v>
      </c>
    </row>
    <row r="191" spans="1:3" ht="16.5" x14ac:dyDescent="0.3">
      <c r="A191" s="21" t="s">
        <v>221</v>
      </c>
      <c r="B191" s="22" t="s">
        <v>2101</v>
      </c>
      <c r="C191" s="24" t="s">
        <v>4341</v>
      </c>
    </row>
    <row r="192" spans="1:3" ht="16.5" x14ac:dyDescent="0.3">
      <c r="A192" s="21" t="s">
        <v>6254</v>
      </c>
      <c r="B192" s="22" t="s">
        <v>6255</v>
      </c>
      <c r="C192" s="51" t="s">
        <v>6256</v>
      </c>
    </row>
    <row r="193" spans="1:3" ht="16.5" x14ac:dyDescent="0.3">
      <c r="A193" s="21" t="s">
        <v>6257</v>
      </c>
      <c r="B193" s="22" t="s">
        <v>6258</v>
      </c>
      <c r="C193" s="51" t="s">
        <v>6259</v>
      </c>
    </row>
    <row r="194" spans="1:3" ht="16.5" x14ac:dyDescent="0.3">
      <c r="A194" s="21" t="s">
        <v>6260</v>
      </c>
      <c r="B194" s="22" t="s">
        <v>6261</v>
      </c>
      <c r="C194" s="23" t="s">
        <v>6262</v>
      </c>
    </row>
    <row r="195" spans="1:3" ht="16.5" x14ac:dyDescent="0.3">
      <c r="A195" s="21" t="s">
        <v>6263</v>
      </c>
      <c r="B195" s="22" t="s">
        <v>6264</v>
      </c>
      <c r="C195" s="52" t="s">
        <v>6265</v>
      </c>
    </row>
    <row r="196" spans="1:3" ht="16.5" x14ac:dyDescent="0.3">
      <c r="A196" s="21" t="s">
        <v>6266</v>
      </c>
      <c r="B196" s="22" t="s">
        <v>703</v>
      </c>
      <c r="C196" s="52" t="s">
        <v>4650</v>
      </c>
    </row>
    <row r="197" spans="1:3" ht="16.5" x14ac:dyDescent="0.3">
      <c r="A197" s="21" t="s">
        <v>6267</v>
      </c>
      <c r="B197" s="22" t="s">
        <v>367</v>
      </c>
      <c r="C197" s="50" t="s">
        <v>6268</v>
      </c>
    </row>
    <row r="198" spans="1:3" ht="16.5" x14ac:dyDescent="0.3">
      <c r="A198" s="21" t="s">
        <v>6269</v>
      </c>
      <c r="B198" s="22" t="s">
        <v>6270</v>
      </c>
      <c r="C198" s="24" t="s">
        <v>6271</v>
      </c>
    </row>
    <row r="199" spans="1:3" ht="16.5" x14ac:dyDescent="0.3">
      <c r="A199" s="21" t="s">
        <v>6272</v>
      </c>
      <c r="B199" s="22" t="s">
        <v>6273</v>
      </c>
      <c r="C199" s="50" t="s">
        <v>6274</v>
      </c>
    </row>
    <row r="200" spans="1:3" ht="16.5" x14ac:dyDescent="0.3">
      <c r="A200" s="21" t="s">
        <v>6275</v>
      </c>
      <c r="B200" s="22" t="s">
        <v>194</v>
      </c>
      <c r="C200" s="51" t="s">
        <v>6276</v>
      </c>
    </row>
    <row r="201" spans="1:3" ht="16.5" x14ac:dyDescent="0.3">
      <c r="A201" s="21" t="s">
        <v>6277</v>
      </c>
      <c r="B201" s="22" t="s">
        <v>6278</v>
      </c>
      <c r="C201" s="51" t="s">
        <v>6279</v>
      </c>
    </row>
    <row r="202" spans="1:3" ht="16.5" x14ac:dyDescent="0.3">
      <c r="A202" s="21" t="s">
        <v>6280</v>
      </c>
      <c r="B202" s="22" t="s">
        <v>6281</v>
      </c>
      <c r="C202" s="23" t="s">
        <v>6282</v>
      </c>
    </row>
    <row r="203" spans="1:3" ht="16.5" x14ac:dyDescent="0.3">
      <c r="A203" s="21" t="s">
        <v>6283</v>
      </c>
      <c r="B203" s="22" t="s">
        <v>3056</v>
      </c>
      <c r="C203" s="50" t="s">
        <v>6284</v>
      </c>
    </row>
    <row r="204" spans="1:3" ht="16.5" x14ac:dyDescent="0.3">
      <c r="A204" s="21" t="s">
        <v>6285</v>
      </c>
      <c r="B204" s="22" t="s">
        <v>6286</v>
      </c>
      <c r="C204" s="52" t="s">
        <v>6287</v>
      </c>
    </row>
    <row r="205" spans="1:3" ht="16.5" x14ac:dyDescent="0.3">
      <c r="A205" s="21" t="s">
        <v>6288</v>
      </c>
      <c r="B205" s="22" t="s">
        <v>6289</v>
      </c>
      <c r="C205" s="24" t="s">
        <v>6290</v>
      </c>
    </row>
    <row r="206" spans="1:3" ht="16.5" x14ac:dyDescent="0.3">
      <c r="A206" s="21" t="s">
        <v>6291</v>
      </c>
      <c r="B206" s="22" t="s">
        <v>6292</v>
      </c>
      <c r="C206" s="24" t="s">
        <v>6293</v>
      </c>
    </row>
    <row r="207" spans="1:3" ht="16.5" x14ac:dyDescent="0.3">
      <c r="A207" s="21" t="s">
        <v>6294</v>
      </c>
      <c r="B207" s="22" t="s">
        <v>333</v>
      </c>
      <c r="C207" s="24" t="s">
        <v>6295</v>
      </c>
    </row>
    <row r="208" spans="1:3" ht="16.5" x14ac:dyDescent="0.3">
      <c r="A208" s="21" t="s">
        <v>6296</v>
      </c>
      <c r="B208" s="22" t="s">
        <v>6297</v>
      </c>
      <c r="C208" s="24" t="s">
        <v>5867</v>
      </c>
    </row>
    <row r="209" spans="1:3" ht="16.5" x14ac:dyDescent="0.3">
      <c r="A209" s="21" t="s">
        <v>6298</v>
      </c>
      <c r="B209" s="22" t="s">
        <v>6299</v>
      </c>
      <c r="C209" s="24" t="s">
        <v>6300</v>
      </c>
    </row>
    <row r="210" spans="1:3" ht="16.5" x14ac:dyDescent="0.3">
      <c r="A210" s="21" t="s">
        <v>6301</v>
      </c>
      <c r="B210" s="22" t="s">
        <v>1332</v>
      </c>
      <c r="C210" s="24" t="s">
        <v>6302</v>
      </c>
    </row>
    <row r="211" spans="1:3" ht="16.5" x14ac:dyDescent="0.3">
      <c r="A211" s="21" t="s">
        <v>6303</v>
      </c>
      <c r="B211" s="22" t="s">
        <v>6304</v>
      </c>
      <c r="C211" s="24" t="s">
        <v>6305</v>
      </c>
    </row>
    <row r="212" spans="1:3" ht="16.5" x14ac:dyDescent="0.3">
      <c r="A212" s="21" t="s">
        <v>6306</v>
      </c>
      <c r="B212" s="22" t="s">
        <v>6307</v>
      </c>
      <c r="C212" s="24" t="s">
        <v>6308</v>
      </c>
    </row>
    <row r="213" spans="1:3" ht="16.5" x14ac:dyDescent="0.3">
      <c r="A213" s="21" t="s">
        <v>6309</v>
      </c>
      <c r="B213" s="22" t="s">
        <v>6310</v>
      </c>
      <c r="C213" s="24" t="s">
        <v>6311</v>
      </c>
    </row>
    <row r="214" spans="1:3" ht="16.5" x14ac:dyDescent="0.3">
      <c r="A214" s="21" t="s">
        <v>6312</v>
      </c>
      <c r="B214" s="22" t="s">
        <v>6313</v>
      </c>
      <c r="C214" s="24" t="s">
        <v>6314</v>
      </c>
    </row>
    <row r="215" spans="1:3" ht="16.5" x14ac:dyDescent="0.3">
      <c r="A215" s="21" t="s">
        <v>6315</v>
      </c>
      <c r="B215" s="22" t="s">
        <v>6316</v>
      </c>
      <c r="C215" s="24" t="s">
        <v>6317</v>
      </c>
    </row>
    <row r="216" spans="1:3" ht="16.5" x14ac:dyDescent="0.3">
      <c r="A216" s="21" t="s">
        <v>6318</v>
      </c>
      <c r="B216" s="22" t="s">
        <v>6319</v>
      </c>
      <c r="C216" s="24" t="s">
        <v>6320</v>
      </c>
    </row>
    <row r="217" spans="1:3" ht="16.5" x14ac:dyDescent="0.3">
      <c r="A217" s="21" t="s">
        <v>6321</v>
      </c>
      <c r="B217" s="22" t="s">
        <v>6322</v>
      </c>
      <c r="C217" s="24" t="s">
        <v>6323</v>
      </c>
    </row>
    <row r="218" spans="1:3" ht="16.5" x14ac:dyDescent="0.3">
      <c r="A218" s="21" t="s">
        <v>6324</v>
      </c>
      <c r="B218" s="22" t="s">
        <v>6325</v>
      </c>
      <c r="C218" s="24" t="s">
        <v>6326</v>
      </c>
    </row>
    <row r="219" spans="1:3" ht="16.5" x14ac:dyDescent="0.3">
      <c r="A219" s="21" t="s">
        <v>6327</v>
      </c>
      <c r="B219" s="22" t="s">
        <v>6328</v>
      </c>
      <c r="C219" s="24" t="s">
        <v>6329</v>
      </c>
    </row>
    <row r="220" spans="1:3" ht="16.5" x14ac:dyDescent="0.3">
      <c r="A220" s="21" t="s">
        <v>6330</v>
      </c>
      <c r="B220" s="22" t="s">
        <v>6331</v>
      </c>
      <c r="C220" s="24" t="s">
        <v>6332</v>
      </c>
    </row>
    <row r="221" spans="1:3" ht="16.5" x14ac:dyDescent="0.3">
      <c r="A221" s="21" t="s">
        <v>6333</v>
      </c>
      <c r="B221" s="22" t="s">
        <v>6334</v>
      </c>
      <c r="C221" s="24" t="s">
        <v>6335</v>
      </c>
    </row>
    <row r="222" spans="1:3" ht="16.5" x14ac:dyDescent="0.3">
      <c r="A222" s="21" t="s">
        <v>6336</v>
      </c>
      <c r="B222" s="22" t="s">
        <v>6337</v>
      </c>
      <c r="C222" s="24" t="s">
        <v>6338</v>
      </c>
    </row>
    <row r="223" spans="1:3" ht="16.5" x14ac:dyDescent="0.3">
      <c r="A223" s="21" t="s">
        <v>6339</v>
      </c>
      <c r="B223" s="22" t="s">
        <v>6340</v>
      </c>
      <c r="C223" s="24" t="s">
        <v>6341</v>
      </c>
    </row>
    <row r="224" spans="1:3" ht="16.5" x14ac:dyDescent="0.3">
      <c r="A224" s="21" t="s">
        <v>6342</v>
      </c>
      <c r="B224" s="22" t="s">
        <v>6343</v>
      </c>
      <c r="C224" s="24" t="s">
        <v>6344</v>
      </c>
    </row>
    <row r="225" spans="1:3" ht="16.5" x14ac:dyDescent="0.3">
      <c r="A225" s="21" t="s">
        <v>6345</v>
      </c>
      <c r="B225" s="22" t="s">
        <v>5139</v>
      </c>
      <c r="C225" s="24" t="s">
        <v>6346</v>
      </c>
    </row>
    <row r="226" spans="1:3" ht="16.5" x14ac:dyDescent="0.3">
      <c r="A226" s="21" t="s">
        <v>6347</v>
      </c>
      <c r="B226" s="22" t="s">
        <v>6348</v>
      </c>
      <c r="C226" s="24" t="s">
        <v>6349</v>
      </c>
    </row>
    <row r="227" spans="1:3" ht="16.5" x14ac:dyDescent="0.3">
      <c r="A227" s="21" t="s">
        <v>6350</v>
      </c>
      <c r="B227" s="22" t="s">
        <v>6351</v>
      </c>
      <c r="C227" s="24" t="s">
        <v>6352</v>
      </c>
    </row>
    <row r="228" spans="1:3" ht="16.5" x14ac:dyDescent="0.3">
      <c r="A228" s="21" t="s">
        <v>6353</v>
      </c>
      <c r="B228" s="22" t="s">
        <v>6354</v>
      </c>
      <c r="C228" s="24" t="s">
        <v>6355</v>
      </c>
    </row>
    <row r="229" spans="1:3" ht="16.5" x14ac:dyDescent="0.3">
      <c r="A229" s="21" t="s">
        <v>6356</v>
      </c>
      <c r="B229" s="22" t="s">
        <v>6357</v>
      </c>
      <c r="C229" s="24" t="s">
        <v>6358</v>
      </c>
    </row>
    <row r="230" spans="1:3" ht="16.5" x14ac:dyDescent="0.3">
      <c r="A230" s="21" t="s">
        <v>6359</v>
      </c>
      <c r="B230" s="22" t="s">
        <v>6360</v>
      </c>
      <c r="C230" s="24" t="s">
        <v>6361</v>
      </c>
    </row>
    <row r="231" spans="1:3" ht="16.5" x14ac:dyDescent="0.3">
      <c r="A231" s="21" t="s">
        <v>6362</v>
      </c>
      <c r="B231" s="22" t="s">
        <v>6363</v>
      </c>
      <c r="C231" s="24" t="s">
        <v>6364</v>
      </c>
    </row>
    <row r="232" spans="1:3" ht="16.5" x14ac:dyDescent="0.3">
      <c r="A232" s="21" t="s">
        <v>352</v>
      </c>
      <c r="B232" s="22" t="s">
        <v>4394</v>
      </c>
      <c r="C232" s="24" t="s">
        <v>6365</v>
      </c>
    </row>
    <row r="233" spans="1:3" ht="16.5" x14ac:dyDescent="0.3">
      <c r="A233" s="21" t="s">
        <v>6366</v>
      </c>
      <c r="B233" s="22" t="s">
        <v>6367</v>
      </c>
      <c r="C233" s="24" t="s">
        <v>6368</v>
      </c>
    </row>
    <row r="234" spans="1:3" ht="16.5" x14ac:dyDescent="0.3">
      <c r="A234" s="21" t="s">
        <v>6369</v>
      </c>
      <c r="B234" s="22" t="s">
        <v>6370</v>
      </c>
      <c r="C234" s="24" t="s">
        <v>6371</v>
      </c>
    </row>
    <row r="235" spans="1:3" ht="16.5" x14ac:dyDescent="0.3">
      <c r="A235" s="21" t="s">
        <v>6372</v>
      </c>
      <c r="B235" s="22" t="s">
        <v>6373</v>
      </c>
      <c r="C235" s="24" t="s">
        <v>6374</v>
      </c>
    </row>
    <row r="236" spans="1:3" ht="16.5" x14ac:dyDescent="0.3">
      <c r="A236" s="21" t="s">
        <v>6375</v>
      </c>
      <c r="B236" s="22" t="s">
        <v>6376</v>
      </c>
      <c r="C236" s="24" t="s">
        <v>6377</v>
      </c>
    </row>
    <row r="237" spans="1:3" ht="16.5" x14ac:dyDescent="0.3">
      <c r="A237" s="21" t="s">
        <v>6378</v>
      </c>
      <c r="B237" s="22" t="s">
        <v>6379</v>
      </c>
      <c r="C237" s="24" t="s">
        <v>6380</v>
      </c>
    </row>
    <row r="238" spans="1:3" ht="16.5" x14ac:dyDescent="0.3">
      <c r="A238" s="21" t="s">
        <v>6381</v>
      </c>
      <c r="B238" s="22" t="s">
        <v>6370</v>
      </c>
      <c r="C238" s="24" t="s">
        <v>6382</v>
      </c>
    </row>
    <row r="239" spans="1:3" ht="16.5" x14ac:dyDescent="0.3">
      <c r="A239" s="21" t="s">
        <v>6383</v>
      </c>
      <c r="B239" s="22" t="s">
        <v>6384</v>
      </c>
      <c r="C239" s="24" t="s">
        <v>6385</v>
      </c>
    </row>
    <row r="240" spans="1:3" ht="16.5" x14ac:dyDescent="0.3">
      <c r="A240" s="21" t="s">
        <v>6386</v>
      </c>
      <c r="B240" s="22" t="s">
        <v>6387</v>
      </c>
      <c r="C240" s="58" t="s">
        <v>6388</v>
      </c>
    </row>
    <row r="241" spans="1:3" ht="16.5" x14ac:dyDescent="0.3">
      <c r="A241" s="21" t="s">
        <v>6389</v>
      </c>
      <c r="B241" s="22" t="s">
        <v>6390</v>
      </c>
      <c r="C241" s="24" t="s">
        <v>6391</v>
      </c>
    </row>
    <row r="242" spans="1:3" ht="16.5" x14ac:dyDescent="0.3">
      <c r="A242" s="21" t="s">
        <v>6392</v>
      </c>
      <c r="B242" s="22" t="s">
        <v>6393</v>
      </c>
      <c r="C242" s="24" t="s">
        <v>6394</v>
      </c>
    </row>
    <row r="243" spans="1:3" ht="16.5" x14ac:dyDescent="0.3">
      <c r="A243" s="21" t="s">
        <v>6395</v>
      </c>
      <c r="B243" s="22" t="s">
        <v>6396</v>
      </c>
      <c r="C243" s="24" t="s">
        <v>6397</v>
      </c>
    </row>
    <row r="244" spans="1:3" ht="16.5" x14ac:dyDescent="0.3">
      <c r="A244" s="21" t="s">
        <v>6398</v>
      </c>
      <c r="B244" s="22" t="s">
        <v>6399</v>
      </c>
      <c r="C244" s="24" t="s">
        <v>6064</v>
      </c>
    </row>
    <row r="245" spans="1:3" ht="16.5" x14ac:dyDescent="0.3">
      <c r="A245" s="21" t="s">
        <v>6400</v>
      </c>
      <c r="B245" s="22" t="s">
        <v>6401</v>
      </c>
      <c r="C245" s="24" t="s">
        <v>6402</v>
      </c>
    </row>
    <row r="246" spans="1:3" ht="16.5" x14ac:dyDescent="0.3">
      <c r="A246" s="21" t="s">
        <v>6403</v>
      </c>
      <c r="B246" s="22" t="s">
        <v>6404</v>
      </c>
      <c r="C246" s="24" t="s">
        <v>6405</v>
      </c>
    </row>
    <row r="247" spans="1:3" ht="16.5" x14ac:dyDescent="0.3">
      <c r="A247" s="21" t="s">
        <v>6406</v>
      </c>
      <c r="B247" s="22" t="s">
        <v>6407</v>
      </c>
      <c r="C247" s="24" t="s">
        <v>6408</v>
      </c>
    </row>
    <row r="248" spans="1:3" ht="16.5" x14ac:dyDescent="0.3">
      <c r="A248" s="21" t="s">
        <v>101</v>
      </c>
      <c r="B248" s="22" t="s">
        <v>4713</v>
      </c>
      <c r="C248" s="24" t="s">
        <v>6409</v>
      </c>
    </row>
    <row r="249" spans="1:3" ht="16.5" x14ac:dyDescent="0.3">
      <c r="A249" s="21" t="s">
        <v>6410</v>
      </c>
      <c r="B249" s="22" t="s">
        <v>6411</v>
      </c>
      <c r="C249" s="24" t="s">
        <v>6412</v>
      </c>
    </row>
    <row r="250" spans="1:3" ht="16.5" x14ac:dyDescent="0.3">
      <c r="A250" s="21" t="s">
        <v>6413</v>
      </c>
      <c r="B250" s="22" t="s">
        <v>6414</v>
      </c>
      <c r="C250" s="24" t="s">
        <v>6415</v>
      </c>
    </row>
    <row r="251" spans="1:3" ht="16.5" x14ac:dyDescent="0.3">
      <c r="A251" s="21" t="s">
        <v>6416</v>
      </c>
      <c r="B251" s="22" t="s">
        <v>6417</v>
      </c>
      <c r="C251" s="24" t="s">
        <v>6418</v>
      </c>
    </row>
    <row r="252" spans="1:3" ht="16.5" x14ac:dyDescent="0.3">
      <c r="A252" s="21" t="s">
        <v>6419</v>
      </c>
      <c r="B252" s="22" t="s">
        <v>6420</v>
      </c>
      <c r="C252" s="24" t="s">
        <v>6421</v>
      </c>
    </row>
    <row r="253" spans="1:3" ht="16.5" x14ac:dyDescent="0.3">
      <c r="A253" s="21" t="s">
        <v>6422</v>
      </c>
      <c r="B253" s="22" t="s">
        <v>6423</v>
      </c>
      <c r="C253" s="24" t="s">
        <v>6424</v>
      </c>
    </row>
    <row r="254" spans="1:3" ht="16.5" x14ac:dyDescent="0.3">
      <c r="A254" s="21" t="s">
        <v>6425</v>
      </c>
      <c r="B254" s="22" t="s">
        <v>6426</v>
      </c>
      <c r="C254" s="24" t="s">
        <v>6427</v>
      </c>
    </row>
    <row r="255" spans="1:3" ht="16.5" x14ac:dyDescent="0.3">
      <c r="A255" s="21" t="s">
        <v>6428</v>
      </c>
      <c r="B255" s="22" t="s">
        <v>6429</v>
      </c>
      <c r="C255" s="24" t="s">
        <v>6430</v>
      </c>
    </row>
    <row r="256" spans="1:3" ht="16.5" x14ac:dyDescent="0.3">
      <c r="A256" s="21" t="s">
        <v>6431</v>
      </c>
      <c r="B256" s="22" t="s">
        <v>6432</v>
      </c>
      <c r="C256" s="24" t="s">
        <v>6433</v>
      </c>
    </row>
    <row r="257" spans="1:3" ht="16.5" x14ac:dyDescent="0.3">
      <c r="A257" s="21" t="s">
        <v>6434</v>
      </c>
      <c r="B257" s="22" t="s">
        <v>6435</v>
      </c>
      <c r="C257" s="24" t="s">
        <v>6436</v>
      </c>
    </row>
    <row r="258" spans="1:3" ht="16.5" x14ac:dyDescent="0.3">
      <c r="A258" s="21" t="s">
        <v>6437</v>
      </c>
      <c r="B258" s="22" t="s">
        <v>6438</v>
      </c>
      <c r="C258" s="24" t="s">
        <v>6439</v>
      </c>
    </row>
    <row r="259" spans="1:3" ht="16.5" x14ac:dyDescent="0.3">
      <c r="A259" s="21" t="s">
        <v>6440</v>
      </c>
      <c r="B259" s="22" t="s">
        <v>1971</v>
      </c>
      <c r="C259" s="24" t="s">
        <v>6441</v>
      </c>
    </row>
    <row r="260" spans="1:3" ht="16.5" x14ac:dyDescent="0.3">
      <c r="A260" s="21" t="s">
        <v>6442</v>
      </c>
      <c r="B260" s="22" t="s">
        <v>6443</v>
      </c>
      <c r="C260" s="24" t="s">
        <v>6444</v>
      </c>
    </row>
    <row r="261" spans="1:3" ht="16.5" x14ac:dyDescent="0.3">
      <c r="A261" s="21" t="s">
        <v>6445</v>
      </c>
      <c r="B261" s="22" t="s">
        <v>6446</v>
      </c>
      <c r="C261" s="24" t="s">
        <v>6447</v>
      </c>
    </row>
    <row r="262" spans="1:3" ht="16.5" x14ac:dyDescent="0.3">
      <c r="A262" s="21" t="s">
        <v>6448</v>
      </c>
      <c r="B262" s="22" t="s">
        <v>6449</v>
      </c>
      <c r="C262" s="24" t="s">
        <v>6450</v>
      </c>
    </row>
    <row r="263" spans="1:3" ht="16.5" x14ac:dyDescent="0.3">
      <c r="A263" s="21" t="s">
        <v>6451</v>
      </c>
      <c r="B263" s="22" t="s">
        <v>6452</v>
      </c>
      <c r="C263" s="24" t="s">
        <v>6453</v>
      </c>
    </row>
    <row r="264" spans="1:3" ht="16.5" x14ac:dyDescent="0.3">
      <c r="A264" s="21" t="s">
        <v>6454</v>
      </c>
      <c r="B264" s="22" t="s">
        <v>6455</v>
      </c>
      <c r="C264" s="24" t="s">
        <v>6456</v>
      </c>
    </row>
    <row r="265" spans="1:3" ht="16.5" x14ac:dyDescent="0.3">
      <c r="A265" s="21" t="s">
        <v>6457</v>
      </c>
      <c r="B265" s="22" t="s">
        <v>6458</v>
      </c>
      <c r="C265" s="24" t="s">
        <v>6459</v>
      </c>
    </row>
    <row r="266" spans="1:3" ht="16.5" x14ac:dyDescent="0.3">
      <c r="A266" s="21" t="s">
        <v>6460</v>
      </c>
      <c r="B266" s="22" t="s">
        <v>6461</v>
      </c>
      <c r="C266" s="24" t="s">
        <v>6462</v>
      </c>
    </row>
    <row r="267" spans="1:3" ht="16.5" x14ac:dyDescent="0.3">
      <c r="A267" s="21" t="s">
        <v>6463</v>
      </c>
      <c r="B267" s="22" t="s">
        <v>6464</v>
      </c>
      <c r="C267" s="24" t="s">
        <v>6465</v>
      </c>
    </row>
    <row r="268" spans="1:3" ht="16.5" x14ac:dyDescent="0.3">
      <c r="A268" s="21" t="s">
        <v>6466</v>
      </c>
      <c r="B268" s="22" t="s">
        <v>6467</v>
      </c>
      <c r="C268" s="24" t="s">
        <v>6468</v>
      </c>
    </row>
    <row r="269" spans="1:3" ht="16.5" x14ac:dyDescent="0.3">
      <c r="A269" s="21" t="s">
        <v>6469</v>
      </c>
      <c r="B269" s="22" t="s">
        <v>3467</v>
      </c>
      <c r="C269" s="24" t="s">
        <v>6470</v>
      </c>
    </row>
    <row r="270" spans="1:3" ht="16.5" x14ac:dyDescent="0.3">
      <c r="A270" s="21" t="s">
        <v>6471</v>
      </c>
      <c r="B270" s="22" t="s">
        <v>3453</v>
      </c>
      <c r="C270" s="24" t="s">
        <v>6472</v>
      </c>
    </row>
    <row r="271" spans="1:3" ht="16.5" x14ac:dyDescent="0.3">
      <c r="A271" s="21" t="s">
        <v>6473</v>
      </c>
      <c r="B271" s="22" t="s">
        <v>85</v>
      </c>
      <c r="C271" s="24" t="s">
        <v>5309</v>
      </c>
    </row>
    <row r="272" spans="1:3" ht="16.5" x14ac:dyDescent="0.3">
      <c r="A272" s="21" t="s">
        <v>6474</v>
      </c>
      <c r="B272" s="22" t="s">
        <v>6475</v>
      </c>
      <c r="C272" s="51" t="s">
        <v>6476</v>
      </c>
    </row>
    <row r="273" spans="1:3" ht="16.5" x14ac:dyDescent="0.3">
      <c r="A273" s="21" t="s">
        <v>6477</v>
      </c>
      <c r="B273" s="22" t="s">
        <v>715</v>
      </c>
      <c r="C273" s="24" t="s">
        <v>949</v>
      </c>
    </row>
    <row r="274" spans="1:3" ht="16.5" x14ac:dyDescent="0.3">
      <c r="A274" s="21" t="s">
        <v>539</v>
      </c>
      <c r="B274" s="22" t="s">
        <v>1201</v>
      </c>
      <c r="C274" s="24" t="s">
        <v>5276</v>
      </c>
    </row>
    <row r="275" spans="1:3" ht="16.5" x14ac:dyDescent="0.3">
      <c r="A275" s="21" t="s">
        <v>6478</v>
      </c>
      <c r="B275" s="22" t="s">
        <v>6479</v>
      </c>
      <c r="C275" s="24" t="s">
        <v>6480</v>
      </c>
    </row>
    <row r="276" spans="1:3" ht="16.5" x14ac:dyDescent="0.3">
      <c r="A276" s="21" t="s">
        <v>6481</v>
      </c>
      <c r="B276" s="22" t="s">
        <v>351</v>
      </c>
      <c r="C276" s="52" t="s">
        <v>6482</v>
      </c>
    </row>
    <row r="277" spans="1:3" ht="16.5" x14ac:dyDescent="0.3">
      <c r="A277" s="21" t="s">
        <v>6483</v>
      </c>
      <c r="B277" s="22" t="s">
        <v>910</v>
      </c>
      <c r="C277" s="24" t="s">
        <v>6484</v>
      </c>
    </row>
    <row r="278" spans="1:3" ht="16.5" x14ac:dyDescent="0.3">
      <c r="A278" s="21" t="s">
        <v>6485</v>
      </c>
      <c r="B278" s="22" t="s">
        <v>6486</v>
      </c>
      <c r="C278" s="24" t="s">
        <v>6487</v>
      </c>
    </row>
    <row r="279" spans="1:3" ht="16.5" x14ac:dyDescent="0.3">
      <c r="A279" s="21" t="s">
        <v>6488</v>
      </c>
      <c r="B279" s="22" t="s">
        <v>6489</v>
      </c>
      <c r="C279" s="24" t="s">
        <v>6490</v>
      </c>
    </row>
    <row r="280" spans="1:3" ht="16.5" x14ac:dyDescent="0.3">
      <c r="A280" s="21" t="s">
        <v>1226</v>
      </c>
      <c r="B280" s="22" t="s">
        <v>6491</v>
      </c>
      <c r="C280" s="24" t="s">
        <v>6492</v>
      </c>
    </row>
    <row r="281" spans="1:3" ht="16.5" x14ac:dyDescent="0.3">
      <c r="A281" s="21" t="s">
        <v>6493</v>
      </c>
      <c r="B281" s="22" t="s">
        <v>6494</v>
      </c>
      <c r="C281" s="24" t="s">
        <v>6165</v>
      </c>
    </row>
    <row r="282" spans="1:3" ht="16.5" x14ac:dyDescent="0.3">
      <c r="A282" s="21" t="s">
        <v>6495</v>
      </c>
      <c r="B282" s="22" t="s">
        <v>470</v>
      </c>
      <c r="C282" s="24" t="s">
        <v>185</v>
      </c>
    </row>
    <row r="283" spans="1:3" ht="16.5" x14ac:dyDescent="0.3">
      <c r="A283" s="21" t="s">
        <v>6496</v>
      </c>
      <c r="B283" s="22" t="s">
        <v>6497</v>
      </c>
      <c r="C283" s="24" t="s">
        <v>6498</v>
      </c>
    </row>
    <row r="284" spans="1:3" ht="16.5" x14ac:dyDescent="0.3">
      <c r="A284" s="21" t="s">
        <v>6499</v>
      </c>
      <c r="B284" s="22" t="s">
        <v>6500</v>
      </c>
      <c r="C284" s="24" t="s">
        <v>6501</v>
      </c>
    </row>
    <row r="285" spans="1:3" ht="16.5" x14ac:dyDescent="0.3">
      <c r="A285" s="21" t="s">
        <v>6502</v>
      </c>
      <c r="B285" s="22" t="s">
        <v>4729</v>
      </c>
      <c r="C285" s="24" t="s">
        <v>6503</v>
      </c>
    </row>
    <row r="286" spans="1:3" ht="16.5" x14ac:dyDescent="0.3">
      <c r="A286" s="21" t="s">
        <v>6504</v>
      </c>
      <c r="B286" s="22" t="s">
        <v>6505</v>
      </c>
      <c r="C286" s="24" t="s">
        <v>6506</v>
      </c>
    </row>
    <row r="287" spans="1:3" ht="16.5" x14ac:dyDescent="0.3">
      <c r="A287" s="21" t="s">
        <v>6507</v>
      </c>
      <c r="B287" s="22" t="s">
        <v>6508</v>
      </c>
      <c r="C287" s="24" t="s">
        <v>6509</v>
      </c>
    </row>
    <row r="288" spans="1:3" ht="16.5" x14ac:dyDescent="0.3">
      <c r="A288" s="21" t="s">
        <v>6510</v>
      </c>
      <c r="B288" s="22" t="s">
        <v>6511</v>
      </c>
      <c r="C288" s="24" t="s">
        <v>6512</v>
      </c>
    </row>
    <row r="289" spans="1:3" ht="16.5" x14ac:dyDescent="0.3">
      <c r="A289" s="21" t="s">
        <v>6513</v>
      </c>
      <c r="B289" s="22" t="s">
        <v>6514</v>
      </c>
      <c r="C289" s="24" t="s">
        <v>6515</v>
      </c>
    </row>
    <row r="290" spans="1:3" ht="16.5" x14ac:dyDescent="0.3">
      <c r="A290" s="21" t="s">
        <v>6516</v>
      </c>
      <c r="B290" s="22" t="s">
        <v>6517</v>
      </c>
      <c r="C290" s="24" t="s">
        <v>6518</v>
      </c>
    </row>
    <row r="291" spans="1:3" ht="16.5" x14ac:dyDescent="0.3">
      <c r="A291" s="21" t="s">
        <v>6519</v>
      </c>
      <c r="B291" s="22" t="s">
        <v>6520</v>
      </c>
      <c r="C291" s="24" t="s">
        <v>6521</v>
      </c>
    </row>
    <row r="292" spans="1:3" ht="16.5" x14ac:dyDescent="0.3">
      <c r="A292" s="21" t="s">
        <v>6522</v>
      </c>
      <c r="B292" s="22" t="s">
        <v>6523</v>
      </c>
      <c r="C292" s="24" t="s">
        <v>6524</v>
      </c>
    </row>
    <row r="293" spans="1:3" ht="16.5" x14ac:dyDescent="0.3">
      <c r="A293" s="21" t="s">
        <v>6525</v>
      </c>
      <c r="B293" s="22" t="s">
        <v>6526</v>
      </c>
      <c r="C293" s="24" t="s">
        <v>6527</v>
      </c>
    </row>
    <row r="294" spans="1:3" ht="16.5" x14ac:dyDescent="0.3">
      <c r="A294" s="21" t="s">
        <v>6528</v>
      </c>
      <c r="B294" s="22" t="s">
        <v>3854</v>
      </c>
      <c r="C294" s="51" t="s">
        <v>6529</v>
      </c>
    </row>
    <row r="295" spans="1:3" ht="16.5" x14ac:dyDescent="0.3">
      <c r="A295" s="21" t="s">
        <v>6530</v>
      </c>
      <c r="B295" s="22" t="s">
        <v>6531</v>
      </c>
      <c r="C295" s="24" t="s">
        <v>6532</v>
      </c>
    </row>
    <row r="296" spans="1:3" ht="16.5" x14ac:dyDescent="0.3">
      <c r="A296" s="21" t="s">
        <v>6533</v>
      </c>
      <c r="B296" s="22" t="s">
        <v>3823</v>
      </c>
      <c r="C296" s="24" t="s">
        <v>6534</v>
      </c>
    </row>
    <row r="297" spans="1:3" ht="16.5" x14ac:dyDescent="0.3">
      <c r="A297" s="21" t="s">
        <v>6535</v>
      </c>
      <c r="B297" s="22" t="s">
        <v>6536</v>
      </c>
      <c r="C297" s="24" t="s">
        <v>6537</v>
      </c>
    </row>
    <row r="298" spans="1:3" ht="16.5" x14ac:dyDescent="0.3">
      <c r="A298" s="21" t="s">
        <v>6538</v>
      </c>
      <c r="B298" s="22" t="s">
        <v>6539</v>
      </c>
      <c r="C298" s="24" t="s">
        <v>6540</v>
      </c>
    </row>
    <row r="299" spans="1:3" ht="16.5" x14ac:dyDescent="0.3">
      <c r="A299" s="21" t="s">
        <v>6541</v>
      </c>
      <c r="B299" s="22" t="s">
        <v>6542</v>
      </c>
      <c r="C299" s="52" t="s">
        <v>6543</v>
      </c>
    </row>
    <row r="300" spans="1:3" ht="16.5" x14ac:dyDescent="0.3">
      <c r="A300" s="21" t="s">
        <v>6544</v>
      </c>
      <c r="B300" s="22" t="s">
        <v>6545</v>
      </c>
      <c r="C300" s="51" t="s">
        <v>6546</v>
      </c>
    </row>
    <row r="301" spans="1:3" ht="16.5" x14ac:dyDescent="0.3">
      <c r="A301" s="21" t="s">
        <v>6547</v>
      </c>
      <c r="B301" s="22" t="s">
        <v>6548</v>
      </c>
      <c r="C301" s="24" t="s">
        <v>6549</v>
      </c>
    </row>
    <row r="302" spans="1:3" ht="16.5" x14ac:dyDescent="0.3">
      <c r="A302" s="21" t="s">
        <v>6550</v>
      </c>
      <c r="B302" s="22" t="s">
        <v>6551</v>
      </c>
      <c r="C302" s="51" t="s">
        <v>6552</v>
      </c>
    </row>
    <row r="303" spans="1:3" ht="16.5" x14ac:dyDescent="0.3">
      <c r="A303" s="21" t="s">
        <v>5624</v>
      </c>
      <c r="B303" s="22" t="s">
        <v>48</v>
      </c>
      <c r="C303" s="51" t="s">
        <v>191</v>
      </c>
    </row>
    <row r="304" spans="1:3" ht="16.5" x14ac:dyDescent="0.3">
      <c r="A304" s="21" t="s">
        <v>6553</v>
      </c>
      <c r="B304" s="22" t="s">
        <v>6554</v>
      </c>
      <c r="C304" s="51" t="s">
        <v>6555</v>
      </c>
    </row>
    <row r="305" spans="1:3" ht="16.5" x14ac:dyDescent="0.3">
      <c r="A305" s="21" t="s">
        <v>6556</v>
      </c>
      <c r="B305" s="22" t="s">
        <v>6557</v>
      </c>
      <c r="C305" s="52" t="s">
        <v>6558</v>
      </c>
    </row>
    <row r="306" spans="1:3" ht="16.5" x14ac:dyDescent="0.3">
      <c r="A306" s="21" t="s">
        <v>6559</v>
      </c>
      <c r="B306" s="22" t="s">
        <v>6560</v>
      </c>
      <c r="C306" s="51" t="s">
        <v>6561</v>
      </c>
    </row>
    <row r="307" spans="1:3" ht="16.5" x14ac:dyDescent="0.3">
      <c r="A307" s="21" t="s">
        <v>6562</v>
      </c>
      <c r="B307" s="22" t="s">
        <v>6563</v>
      </c>
      <c r="C307" s="52" t="s">
        <v>6564</v>
      </c>
    </row>
    <row r="308" spans="1:3" ht="16.5" x14ac:dyDescent="0.3">
      <c r="A308" s="21" t="s">
        <v>6565</v>
      </c>
      <c r="B308" s="22" t="s">
        <v>6566</v>
      </c>
      <c r="C308" s="23" t="s">
        <v>6567</v>
      </c>
    </row>
    <row r="309" spans="1:3" ht="16.5" x14ac:dyDescent="0.3">
      <c r="A309" s="21" t="s">
        <v>6568</v>
      </c>
      <c r="B309" s="22" t="s">
        <v>6569</v>
      </c>
      <c r="C309" s="23" t="s">
        <v>6570</v>
      </c>
    </row>
    <row r="310" spans="1:3" ht="16.5" x14ac:dyDescent="0.3">
      <c r="A310" s="21" t="s">
        <v>6571</v>
      </c>
      <c r="B310" s="22" t="s">
        <v>6572</v>
      </c>
      <c r="C310" s="51" t="s">
        <v>6573</v>
      </c>
    </row>
    <row r="311" spans="1:3" ht="16.5" x14ac:dyDescent="0.3">
      <c r="A311" s="21" t="s">
        <v>6574</v>
      </c>
      <c r="B311" s="22" t="s">
        <v>6575</v>
      </c>
      <c r="C311" s="52" t="s">
        <v>6576</v>
      </c>
    </row>
    <row r="312" spans="1:3" ht="16.5" x14ac:dyDescent="0.3">
      <c r="A312" s="21" t="s">
        <v>6577</v>
      </c>
      <c r="B312" s="22" t="s">
        <v>6578</v>
      </c>
      <c r="C312" s="52" t="s">
        <v>6579</v>
      </c>
    </row>
    <row r="313" spans="1:3" ht="16.5" x14ac:dyDescent="0.3">
      <c r="A313" s="21" t="s">
        <v>6580</v>
      </c>
      <c r="B313" s="22" t="s">
        <v>6581</v>
      </c>
      <c r="C313" s="52" t="s">
        <v>6582</v>
      </c>
    </row>
    <row r="314" spans="1:3" ht="16.5" x14ac:dyDescent="0.3">
      <c r="A314" s="21" t="s">
        <v>6583</v>
      </c>
      <c r="B314" s="22" t="s">
        <v>6584</v>
      </c>
      <c r="C314" s="52" t="s">
        <v>6585</v>
      </c>
    </row>
    <row r="315" spans="1:3" ht="16.5" x14ac:dyDescent="0.3">
      <c r="A315" s="21" t="s">
        <v>6586</v>
      </c>
      <c r="B315" s="22" t="s">
        <v>6587</v>
      </c>
      <c r="C315" s="52" t="s">
        <v>6588</v>
      </c>
    </row>
    <row r="316" spans="1:3" ht="16.5" x14ac:dyDescent="0.3">
      <c r="A316" s="21" t="s">
        <v>6589</v>
      </c>
      <c r="B316" s="22" t="s">
        <v>6590</v>
      </c>
      <c r="C316" s="24" t="s">
        <v>6591</v>
      </c>
    </row>
    <row r="317" spans="1:3" ht="16.5" x14ac:dyDescent="0.3">
      <c r="A317" s="21" t="s">
        <v>1465</v>
      </c>
      <c r="B317" s="22" t="s">
        <v>6592</v>
      </c>
      <c r="C317" s="24" t="s">
        <v>6593</v>
      </c>
    </row>
    <row r="318" spans="1:3" ht="16.5" x14ac:dyDescent="0.3">
      <c r="A318" s="50" t="s">
        <v>6594</v>
      </c>
      <c r="B318" s="54" t="s">
        <v>6595</v>
      </c>
      <c r="C318" s="51" t="s">
        <v>6596</v>
      </c>
    </row>
    <row r="319" spans="1:3" ht="16.5" x14ac:dyDescent="0.3">
      <c r="A319" s="21" t="s">
        <v>6597</v>
      </c>
      <c r="B319" s="22" t="s">
        <v>6598</v>
      </c>
      <c r="C319" s="24" t="s">
        <v>6599</v>
      </c>
    </row>
    <row r="320" spans="1:3" ht="16.5" x14ac:dyDescent="0.3">
      <c r="A320" s="50" t="s">
        <v>88</v>
      </c>
      <c r="B320" s="54" t="s">
        <v>3749</v>
      </c>
      <c r="C320" s="51" t="s">
        <v>6600</v>
      </c>
    </row>
    <row r="321" spans="1:3" ht="16.5" x14ac:dyDescent="0.3">
      <c r="A321" s="21" t="s">
        <v>6601</v>
      </c>
      <c r="B321" s="22" t="s">
        <v>247</v>
      </c>
      <c r="C321" s="24" t="s">
        <v>4395</v>
      </c>
    </row>
    <row r="322" spans="1:3" ht="16.5" x14ac:dyDescent="0.3">
      <c r="A322" s="21" t="s">
        <v>6602</v>
      </c>
      <c r="B322" s="22" t="s">
        <v>6603</v>
      </c>
      <c r="C322" s="24" t="s">
        <v>6604</v>
      </c>
    </row>
    <row r="323" spans="1:3" ht="16.5" x14ac:dyDescent="0.3">
      <c r="A323" s="55" t="s">
        <v>6605</v>
      </c>
      <c r="B323" s="56" t="s">
        <v>6606</v>
      </c>
      <c r="C323" s="57" t="s">
        <v>6607</v>
      </c>
    </row>
    <row r="324" spans="1:3" ht="16.5" x14ac:dyDescent="0.3">
      <c r="A324" s="21" t="s">
        <v>6608</v>
      </c>
      <c r="B324" s="22" t="s">
        <v>6609</v>
      </c>
      <c r="C324" s="24" t="s">
        <v>6610</v>
      </c>
    </row>
    <row r="325" spans="1:3" ht="16.5" x14ac:dyDescent="0.3">
      <c r="A325" s="55" t="s">
        <v>6611</v>
      </c>
      <c r="B325" s="56" t="s">
        <v>6612</v>
      </c>
      <c r="C325" s="57" t="s">
        <v>6613</v>
      </c>
    </row>
    <row r="326" spans="1:3" ht="16.5" x14ac:dyDescent="0.3">
      <c r="A326" s="21" t="s">
        <v>6614</v>
      </c>
      <c r="B326" s="22" t="s">
        <v>6615</v>
      </c>
      <c r="C326" s="24" t="s">
        <v>6616</v>
      </c>
    </row>
    <row r="327" spans="1:3" ht="16.5" x14ac:dyDescent="0.3">
      <c r="A327" s="21" t="s">
        <v>6617</v>
      </c>
      <c r="B327" s="22" t="s">
        <v>6618</v>
      </c>
      <c r="C327" s="24" t="s">
        <v>6619</v>
      </c>
    </row>
    <row r="328" spans="1:3" ht="16.5" x14ac:dyDescent="0.3">
      <c r="A328" s="21" t="s">
        <v>6620</v>
      </c>
      <c r="B328" s="22" t="s">
        <v>6621</v>
      </c>
      <c r="C328" s="24" t="s">
        <v>6352</v>
      </c>
    </row>
    <row r="329" spans="1:3" ht="16.5" x14ac:dyDescent="0.3">
      <c r="A329" s="21" t="s">
        <v>6622</v>
      </c>
      <c r="B329" s="22" t="s">
        <v>6623</v>
      </c>
      <c r="C329" s="24" t="s">
        <v>6624</v>
      </c>
    </row>
    <row r="330" spans="1:3" ht="16.5" x14ac:dyDescent="0.3">
      <c r="A330" s="21" t="s">
        <v>6625</v>
      </c>
      <c r="B330" s="22" t="s">
        <v>6626</v>
      </c>
      <c r="C330" s="24" t="s">
        <v>6627</v>
      </c>
    </row>
    <row r="331" spans="1:3" ht="16.5" x14ac:dyDescent="0.3">
      <c r="A331" s="21" t="s">
        <v>6628</v>
      </c>
      <c r="B331" s="22" t="s">
        <v>6629</v>
      </c>
      <c r="C331" s="24" t="s">
        <v>6630</v>
      </c>
    </row>
    <row r="332" spans="1:3" ht="16.5" x14ac:dyDescent="0.3">
      <c r="A332" s="21" t="s">
        <v>38</v>
      </c>
      <c r="B332" s="22" t="s">
        <v>3443</v>
      </c>
      <c r="C332" s="24" t="s">
        <v>3060</v>
      </c>
    </row>
    <row r="333" spans="1:3" ht="16.5" x14ac:dyDescent="0.3">
      <c r="A333" s="50" t="s">
        <v>6631</v>
      </c>
      <c r="B333" s="54" t="s">
        <v>6632</v>
      </c>
      <c r="C333" s="51" t="s">
        <v>6633</v>
      </c>
    </row>
    <row r="334" spans="1:3" ht="16.5" x14ac:dyDescent="0.3">
      <c r="A334" s="21" t="s">
        <v>6634</v>
      </c>
      <c r="B334" s="22" t="s">
        <v>6635</v>
      </c>
      <c r="C334" s="24" t="s">
        <v>6636</v>
      </c>
    </row>
    <row r="335" spans="1:3" ht="16.5" x14ac:dyDescent="0.3">
      <c r="A335" s="21" t="s">
        <v>6637</v>
      </c>
      <c r="B335" s="22" t="s">
        <v>6638</v>
      </c>
      <c r="C335" s="24" t="s">
        <v>6639</v>
      </c>
    </row>
    <row r="336" spans="1:3" ht="16.5" x14ac:dyDescent="0.3">
      <c r="A336" s="21" t="s">
        <v>6640</v>
      </c>
      <c r="B336" s="22" t="s">
        <v>6641</v>
      </c>
      <c r="C336" s="24" t="s">
        <v>6642</v>
      </c>
    </row>
    <row r="337" spans="1:3" ht="16.5" x14ac:dyDescent="0.3">
      <c r="A337" s="21" t="s">
        <v>6643</v>
      </c>
      <c r="B337" s="22" t="s">
        <v>6644</v>
      </c>
      <c r="C337" s="24" t="s">
        <v>6645</v>
      </c>
    </row>
    <row r="338" spans="1:3" ht="16.5" x14ac:dyDescent="0.3">
      <c r="A338" s="27" t="s">
        <v>6646</v>
      </c>
      <c r="B338" s="28" t="s">
        <v>6647</v>
      </c>
      <c r="C338" s="29" t="s">
        <v>6648</v>
      </c>
    </row>
  </sheetData>
  <sheetProtection sheet="1" objects="1" scenarios="1"/>
  <mergeCells count="1">
    <mergeCell ref="A1:C1"/>
  </mergeCells>
  <pageMargins left="0.511811024" right="0.511811024" top="0.78740157499999996" bottom="0.78740157499999996" header="0.31496062000000002" footer="0.31496062000000002"/>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79135-AA0C-4A1E-A121-E2DF079A8E8A}">
  <dimension ref="A1:H16"/>
  <sheetViews>
    <sheetView workbookViewId="0">
      <selection activeCell="D12" sqref="D12"/>
    </sheetView>
  </sheetViews>
  <sheetFormatPr defaultRowHeight="15" x14ac:dyDescent="0.25"/>
  <cols>
    <col min="1" max="1" width="21.140625" customWidth="1"/>
    <col min="2" max="2" width="18.7109375" customWidth="1"/>
    <col min="3" max="3" width="20.85546875" customWidth="1"/>
    <col min="4" max="4" width="6.7109375" bestFit="1" customWidth="1"/>
    <col min="5" max="5" width="8.5703125" bestFit="1" customWidth="1"/>
    <col min="6" max="6" width="16.42578125" customWidth="1"/>
    <col min="7" max="7" width="3.28515625" bestFit="1" customWidth="1"/>
    <col min="8" max="8" width="16.28515625" bestFit="1" customWidth="1"/>
  </cols>
  <sheetData>
    <row r="1" spans="1:8" x14ac:dyDescent="0.25">
      <c r="A1" t="s">
        <v>6649</v>
      </c>
      <c r="B1" s="1" t="s">
        <v>33</v>
      </c>
      <c r="C1" s="2" t="s">
        <v>4727</v>
      </c>
      <c r="D1" s="3">
        <v>1</v>
      </c>
      <c r="E1" s="4" t="s">
        <v>35</v>
      </c>
      <c r="F1" s="5" t="s">
        <v>6650</v>
      </c>
      <c r="G1" s="4">
        <v>1</v>
      </c>
      <c r="H1" s="4" t="s">
        <v>385</v>
      </c>
    </row>
    <row r="2" spans="1:8" x14ac:dyDescent="0.25">
      <c r="A2" s="2" t="s">
        <v>6651</v>
      </c>
      <c r="B2" s="1" t="s">
        <v>164</v>
      </c>
      <c r="C2" s="2" t="s">
        <v>6652</v>
      </c>
      <c r="D2" s="3">
        <v>2</v>
      </c>
      <c r="E2" s="4" t="s">
        <v>995</v>
      </c>
      <c r="F2" s="5" t="s">
        <v>6653</v>
      </c>
      <c r="G2" s="4">
        <v>2</v>
      </c>
      <c r="H2" s="4" t="s">
        <v>40</v>
      </c>
    </row>
    <row r="3" spans="1:8" x14ac:dyDescent="0.25">
      <c r="A3" s="2" t="s">
        <v>3802</v>
      </c>
      <c r="B3" s="2" t="s">
        <v>1192</v>
      </c>
      <c r="C3" s="2" t="s">
        <v>6654</v>
      </c>
      <c r="D3" s="3">
        <v>3</v>
      </c>
      <c r="E3" s="4" t="s">
        <v>46</v>
      </c>
      <c r="F3" s="5" t="s">
        <v>6655</v>
      </c>
      <c r="G3" s="4">
        <v>3</v>
      </c>
      <c r="H3" s="4" t="s">
        <v>6656</v>
      </c>
    </row>
    <row r="4" spans="1:8" x14ac:dyDescent="0.25">
      <c r="A4" s="2" t="s">
        <v>4670</v>
      </c>
      <c r="B4" s="2" t="s">
        <v>4085</v>
      </c>
      <c r="C4" s="2" t="s">
        <v>6657</v>
      </c>
      <c r="D4" s="3">
        <v>4</v>
      </c>
      <c r="E4" s="4"/>
      <c r="F4" s="5" t="s">
        <v>6658</v>
      </c>
      <c r="G4" s="4">
        <v>4</v>
      </c>
      <c r="H4" s="4" t="s">
        <v>1093</v>
      </c>
    </row>
    <row r="5" spans="1:8" x14ac:dyDescent="0.25">
      <c r="A5" s="2" t="s">
        <v>397</v>
      </c>
      <c r="B5" s="2" t="s">
        <v>327</v>
      </c>
      <c r="C5" s="2" t="s">
        <v>34</v>
      </c>
      <c r="D5" s="3">
        <v>5</v>
      </c>
      <c r="E5" s="4"/>
      <c r="F5" s="5" t="s">
        <v>6659</v>
      </c>
      <c r="G5" s="4">
        <v>5</v>
      </c>
      <c r="H5" s="4" t="s">
        <v>6660</v>
      </c>
    </row>
    <row r="6" spans="1:8" x14ac:dyDescent="0.25">
      <c r="A6" s="2" t="s">
        <v>4700</v>
      </c>
      <c r="B6" s="1" t="s">
        <v>6661</v>
      </c>
      <c r="C6" s="2" t="s">
        <v>6662</v>
      </c>
      <c r="D6" s="3">
        <v>6</v>
      </c>
      <c r="E6" s="4"/>
      <c r="F6" s="5" t="s">
        <v>6663</v>
      </c>
      <c r="G6" s="4">
        <v>6</v>
      </c>
      <c r="H6" s="4"/>
    </row>
    <row r="7" spans="1:8" x14ac:dyDescent="0.25">
      <c r="A7" s="2" t="s">
        <v>6664</v>
      </c>
      <c r="B7" s="1" t="s">
        <v>6665</v>
      </c>
      <c r="C7" s="2" t="s">
        <v>5141</v>
      </c>
      <c r="D7" s="6" t="s">
        <v>6666</v>
      </c>
      <c r="E7" s="4"/>
      <c r="F7" s="5" t="s">
        <v>6667</v>
      </c>
      <c r="G7" s="4">
        <v>7</v>
      </c>
      <c r="H7" s="4"/>
    </row>
    <row r="8" spans="1:8" x14ac:dyDescent="0.25">
      <c r="A8" s="2" t="s">
        <v>97</v>
      </c>
      <c r="B8" s="1"/>
      <c r="C8" s="2" t="s">
        <v>4732</v>
      </c>
      <c r="D8" s="4"/>
      <c r="E8" s="4"/>
      <c r="F8" s="5" t="s">
        <v>6668</v>
      </c>
      <c r="G8" s="4">
        <v>8</v>
      </c>
      <c r="H8" s="4"/>
    </row>
    <row r="9" spans="1:8" x14ac:dyDescent="0.25">
      <c r="A9" s="2" t="s">
        <v>32</v>
      </c>
      <c r="C9" s="2"/>
      <c r="D9" s="4"/>
      <c r="E9" s="4"/>
      <c r="F9" s="5" t="s">
        <v>6669</v>
      </c>
      <c r="G9" s="4">
        <v>9</v>
      </c>
      <c r="H9" s="4"/>
    </row>
    <row r="10" spans="1:8" x14ac:dyDescent="0.25">
      <c r="A10" s="2" t="s">
        <v>401</v>
      </c>
      <c r="C10" s="2"/>
      <c r="D10" s="4"/>
      <c r="E10" s="4"/>
      <c r="F10" s="5" t="s">
        <v>6670</v>
      </c>
      <c r="G10" s="4">
        <v>10</v>
      </c>
      <c r="H10" s="4"/>
    </row>
    <row r="11" spans="1:8" x14ac:dyDescent="0.25">
      <c r="A11" s="2"/>
      <c r="B11" s="4"/>
      <c r="C11" s="4"/>
      <c r="D11" s="4"/>
      <c r="E11" s="4"/>
      <c r="F11" s="5" t="s">
        <v>6671</v>
      </c>
      <c r="G11" s="4">
        <v>11</v>
      </c>
      <c r="H11" s="4"/>
    </row>
    <row r="12" spans="1:8" x14ac:dyDescent="0.25">
      <c r="A12" s="2"/>
      <c r="B12" s="4"/>
      <c r="C12" s="4"/>
      <c r="D12" s="4"/>
      <c r="E12" s="4"/>
      <c r="F12" s="5" t="s">
        <v>6672</v>
      </c>
      <c r="G12" s="4">
        <v>12</v>
      </c>
      <c r="H12" s="4"/>
    </row>
    <row r="13" spans="1:8" x14ac:dyDescent="0.25">
      <c r="A13" s="4"/>
      <c r="B13" s="4"/>
      <c r="C13" s="4"/>
      <c r="D13" s="4"/>
      <c r="E13" s="4"/>
      <c r="F13" s="5" t="s">
        <v>6673</v>
      </c>
      <c r="G13" s="4">
        <v>13</v>
      </c>
      <c r="H13" s="4"/>
    </row>
    <row r="14" spans="1:8" x14ac:dyDescent="0.25">
      <c r="A14" s="4"/>
      <c r="B14" s="4"/>
      <c r="C14" s="4"/>
      <c r="D14" s="4"/>
      <c r="E14" s="4"/>
      <c r="F14" s="4"/>
      <c r="G14" s="4">
        <v>14</v>
      </c>
      <c r="H14" s="4"/>
    </row>
    <row r="15" spans="1:8" x14ac:dyDescent="0.25">
      <c r="G15" s="4">
        <v>30</v>
      </c>
    </row>
    <row r="16" spans="1:8" x14ac:dyDescent="0.25">
      <c r="G16" s="4">
        <v>31</v>
      </c>
    </row>
  </sheetData>
  <sheetProtection sheet="1" objects="1" scenarios="1"/>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9EABFE15328E34494B7ECE29E1ACB4F" ma:contentTypeVersion="16" ma:contentTypeDescription="Crie um novo documento." ma:contentTypeScope="" ma:versionID="eedd7d77a778617b2604db58cd4c3cb3">
  <xsd:schema xmlns:xsd="http://www.w3.org/2001/XMLSchema" xmlns:xs="http://www.w3.org/2001/XMLSchema" xmlns:p="http://schemas.microsoft.com/office/2006/metadata/properties" xmlns:ns2="036464c2-fd20-4b66-91a9-287fded1e9c2" xmlns:ns3="bc93fe7e-d035-43bb-a03c-6b57525c971b" targetNamespace="http://schemas.microsoft.com/office/2006/metadata/properties" ma:root="true" ma:fieldsID="f4801e42c48a2122a8b709c6b1ad6e85" ns2:_="" ns3:_="">
    <xsd:import namespace="036464c2-fd20-4b66-91a9-287fded1e9c2"/>
    <xsd:import namespace="bc93fe7e-d035-43bb-a03c-6b57525c97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us" minOccurs="0"/>
                <xsd:element ref="ns2:MediaLengthInSeconds" minOccurs="0"/>
                <xsd:element ref="ns2:Respons_x00e1_vel" minOccurs="0"/>
                <xsd:element ref="ns2:Observa_x00e7__x00e3_o"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6464c2-fd20-4b66-91a9-287fded1e9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tatus" ma:index="19" nillable="true" ma:displayName="status" ma:format="Dropdown" ma:internalName="status">
      <xsd:simpleType>
        <xsd:restriction base="dms:Choice">
          <xsd:enumeration value="Liberado para uso"/>
          <xsd:enumeration value="Em uso"/>
          <xsd:enumeration value="Concluído"/>
          <xsd:enumeration value="Em produção"/>
          <xsd:enumeration value="Cotejado"/>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Respons_x00e1_vel" ma:index="21" nillable="true" ma:displayName="Responsável" ma:format="Dropdown" ma:internalName="Respons_x00e1_vel">
      <xsd:simpleType>
        <xsd:restriction base="dms:Text">
          <xsd:maxLength value="255"/>
        </xsd:restriction>
      </xsd:simpleType>
    </xsd:element>
    <xsd:element name="Observa_x00e7__x00e3_o" ma:index="22" nillable="true" ma:displayName="Observação" ma:format="Dropdown" ma:internalName="Observa_x00e7__x00e3_o">
      <xsd:simpleType>
        <xsd:restriction base="dms:Choice">
          <xsd:enumeration value="Em uso"/>
          <xsd:enumeration value="Liberado para uso"/>
          <xsd:enumeration value="Escolha 3 "/>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93fe7e-d035-43bb-a03c-6b57525c971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8b5033-ad91-4790-a79c-36fca7f28cc3}" ma:internalName="TaxCatchAll" ma:showField="CatchAllData" ma:web="bc93fe7e-d035-43bb-a03c-6b57525c97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c93fe7e-d035-43bb-a03c-6b57525c971b" xsi:nil="true"/>
    <lcf76f155ced4ddcb4097134ff3c332f xmlns="036464c2-fd20-4b66-91a9-287fded1e9c2">
      <Terms xmlns="http://schemas.microsoft.com/office/infopath/2007/PartnerControls"/>
    </lcf76f155ced4ddcb4097134ff3c332f>
    <status xmlns="036464c2-fd20-4b66-91a9-287fded1e9c2" xsi:nil="true"/>
    <Respons_x00e1_vel xmlns="036464c2-fd20-4b66-91a9-287fded1e9c2" xsi:nil="true"/>
    <Observa_x00e7__x00e3_o xmlns="036464c2-fd20-4b66-91a9-287fded1e9c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EAF778-7AFC-4DA2-9532-9CF67F340D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6464c2-fd20-4b66-91a9-287fded1e9c2"/>
    <ds:schemaRef ds:uri="bc93fe7e-d035-43bb-a03c-6b57525c97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F5A8A88-114F-4414-B78B-59A1E08F48D9}">
  <ds:schemaRefs>
    <ds:schemaRef ds:uri="http://purl.org/dc/elements/1.1/"/>
    <ds:schemaRef ds:uri="http://schemas.microsoft.com/office/2006/documentManagement/types"/>
    <ds:schemaRef ds:uri="http://purl.org/dc/terms/"/>
    <ds:schemaRef ds:uri="http://www.w3.org/XML/1998/namespace"/>
    <ds:schemaRef ds:uri="http://schemas.openxmlformats.org/package/2006/metadata/core-properties"/>
    <ds:schemaRef ds:uri="036464c2-fd20-4b66-91a9-287fded1e9c2"/>
    <ds:schemaRef ds:uri="http://schemas.microsoft.com/office/infopath/2007/PartnerControls"/>
    <ds:schemaRef ds:uri="bc93fe7e-d035-43bb-a03c-6b57525c971b"/>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3DCC011B-0C57-45DA-AF49-4F980948F3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ilustração</vt:lpstr>
      <vt:lpstr>créditos_base</vt:lpstr>
      <vt:lpstr>metadados</vt:lpstr>
    </vt:vector>
  </TitlesOfParts>
  <Manager/>
  <Company>Scriba Projetos Editoriais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Lucia Moniz das Neves</cp:lastModifiedBy>
  <cp:revision/>
  <dcterms:created xsi:type="dcterms:W3CDTF">2024-11-11T13:23:41Z</dcterms:created>
  <dcterms:modified xsi:type="dcterms:W3CDTF">2025-10-22T13:22:05Z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0x01010019EABFE15328E34494B7ECE29E1ACB4F</vt:lpwstr>
  </property>
  <property fmtid="{D5CDD505-2E9C-101B-9397-08002B2CF9AE}" pid="3" name="MediaServiceImageTags">
    <vt:lpwstr/>
  </property>
</Properties>
</file>