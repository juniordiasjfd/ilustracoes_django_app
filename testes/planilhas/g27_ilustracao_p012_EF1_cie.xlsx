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6F4072C3-8FE5-4AA1-9A5A-E87D5B489122}"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X36" i="1"/>
  <c r="Z36" i="1" s="1"/>
  <c r="X38" i="1"/>
  <c r="Z38" i="1" s="1"/>
  <c r="X44" i="1"/>
  <c r="Z44" i="1" s="1"/>
  <c r="X229" i="1"/>
  <c r="Z229" i="1" s="1"/>
  <c r="X230" i="1"/>
  <c r="Z230" i="1" s="1"/>
  <c r="X2" i="1"/>
  <c r="Z2" i="1" s="1"/>
  <c r="X61" i="1"/>
  <c r="Z61" i="1" s="1"/>
  <c r="X62" i="1"/>
  <c r="Z62" i="1" s="1"/>
  <c r="X63" i="1"/>
  <c r="Z63" i="1" s="1"/>
  <c r="X64" i="1"/>
  <c r="Z64" i="1" s="1"/>
  <c r="X66" i="1"/>
  <c r="Z66" i="1" s="1"/>
  <c r="X68" i="1"/>
  <c r="Z68" i="1" s="1"/>
  <c r="X70" i="1"/>
  <c r="Z70" i="1" s="1"/>
  <c r="X72" i="1"/>
  <c r="Z72" i="1" s="1"/>
  <c r="X231" i="1"/>
  <c r="Z231" i="1" s="1"/>
  <c r="X75" i="1"/>
  <c r="Z75" i="1" s="1"/>
  <c r="X76" i="1"/>
  <c r="Z76" i="1" s="1"/>
  <c r="X77" i="1"/>
  <c r="Z77" i="1" s="1"/>
  <c r="X78" i="1"/>
  <c r="Z78" i="1" s="1"/>
  <c r="X79" i="1"/>
  <c r="Z79" i="1" s="1"/>
  <c r="X80" i="1"/>
  <c r="Z80" i="1" s="1"/>
  <c r="X95" i="1"/>
  <c r="Z95" i="1" s="1"/>
  <c r="X97" i="1"/>
  <c r="Z97" i="1" s="1"/>
  <c r="X100" i="1"/>
  <c r="Z100" i="1" s="1"/>
  <c r="X9" i="1"/>
  <c r="Z9" i="1" s="1"/>
  <c r="X10" i="1"/>
  <c r="Z10" i="1" s="1"/>
  <c r="X228" i="1"/>
  <c r="Z228" i="1" s="1"/>
  <c r="X13" i="1"/>
  <c r="Z13" i="1" s="1"/>
  <c r="X16" i="1"/>
  <c r="Z16" i="1" s="1"/>
  <c r="X18" i="1"/>
  <c r="Z18" i="1" s="1"/>
  <c r="X19" i="1"/>
  <c r="Z19" i="1" s="1"/>
  <c r="X20" i="1"/>
  <c r="Z20" i="1" s="1"/>
  <c r="X23" i="1"/>
  <c r="Z23" i="1" s="1"/>
  <c r="X25" i="1"/>
  <c r="Z25" i="1" s="1"/>
  <c r="X28" i="1"/>
  <c r="Z28" i="1" s="1"/>
  <c r="X30" i="1"/>
  <c r="Z30" i="1" s="1"/>
  <c r="X32" i="1"/>
  <c r="Z32" i="1" s="1"/>
  <c r="X34" i="1"/>
  <c r="Z34" i="1" s="1"/>
  <c r="X39" i="1"/>
  <c r="Z39" i="1" s="1"/>
  <c r="X41" i="1"/>
  <c r="Z41" i="1" s="1"/>
  <c r="X42" i="1"/>
  <c r="Z42" i="1" s="1"/>
  <c r="X43" i="1"/>
  <c r="Z43" i="1" s="1"/>
  <c r="X171" i="1"/>
  <c r="Z171" i="1" s="1"/>
  <c r="X172" i="1"/>
  <c r="Z172" i="1" s="1"/>
  <c r="X174" i="1"/>
  <c r="Z174" i="1" s="1"/>
  <c r="X178" i="1"/>
  <c r="Z178" i="1" s="1"/>
  <c r="X179" i="1"/>
  <c r="Z179" i="1" s="1"/>
  <c r="X180" i="1"/>
  <c r="Z180" i="1" s="1"/>
  <c r="X181" i="1"/>
  <c r="Z181" i="1" s="1"/>
  <c r="X183" i="1"/>
  <c r="Z183" i="1" s="1"/>
  <c r="X187" i="1"/>
  <c r="Z187" i="1" s="1"/>
  <c r="X191" i="1"/>
  <c r="Z191" i="1" s="1"/>
  <c r="X203" i="1"/>
  <c r="Z203" i="1" s="1"/>
  <c r="X205" i="1"/>
  <c r="Z205" i="1" s="1"/>
  <c r="X207" i="1"/>
  <c r="Z207" i="1" s="1"/>
  <c r="X209" i="1"/>
  <c r="Z209" i="1" s="1"/>
  <c r="X210" i="1"/>
  <c r="Z210" i="1" s="1"/>
  <c r="X217" i="1"/>
  <c r="Z217" i="1" s="1"/>
  <c r="X218" i="1"/>
  <c r="Z218" i="1" s="1"/>
  <c r="X102" i="1"/>
  <c r="Z102" i="1" s="1"/>
  <c r="X104" i="1"/>
  <c r="Z104" i="1" s="1"/>
  <c r="X106" i="1"/>
  <c r="Z106" i="1" s="1"/>
  <c r="X107" i="1"/>
  <c r="Z107" i="1" s="1"/>
  <c r="X109" i="1"/>
  <c r="Z109" i="1" s="1"/>
  <c r="X111" i="1"/>
  <c r="Z111" i="1" s="1"/>
  <c r="X114" i="1"/>
  <c r="Z114" i="1" s="1"/>
  <c r="X117" i="1"/>
  <c r="Z117" i="1" s="1"/>
  <c r="X118" i="1"/>
  <c r="Z118" i="1" s="1"/>
  <c r="X119" i="1"/>
  <c r="Z119" i="1" s="1"/>
  <c r="X120" i="1"/>
  <c r="Z120" i="1" s="1"/>
  <c r="X121" i="1"/>
  <c r="Z121" i="1" s="1"/>
  <c r="X122" i="1"/>
  <c r="Z122" i="1" s="1"/>
  <c r="X123" i="1"/>
  <c r="Z123" i="1" s="1"/>
  <c r="X124" i="1"/>
  <c r="Z124" i="1" s="1"/>
  <c r="X127" i="1"/>
  <c r="Z127" i="1" s="1"/>
  <c r="X130" i="1"/>
  <c r="Z130" i="1" s="1"/>
  <c r="X145" i="1"/>
  <c r="Z145" i="1" s="1"/>
  <c r="X148" i="1"/>
  <c r="Z148" i="1" s="1"/>
  <c r="X150" i="1"/>
  <c r="Z150" i="1" s="1"/>
  <c r="X151" i="1"/>
  <c r="Z151" i="1" s="1"/>
  <c r="X152" i="1"/>
  <c r="Z152" i="1" s="1"/>
  <c r="X154" i="1"/>
  <c r="Z154" i="1" s="1"/>
  <c r="X155" i="1"/>
  <c r="Z155" i="1" s="1"/>
  <c r="X159" i="1"/>
  <c r="Z159" i="1" s="1"/>
  <c r="X160" i="1"/>
  <c r="Z160" i="1" s="1"/>
  <c r="X161" i="1"/>
  <c r="Z161" i="1" s="1"/>
  <c r="X162" i="1"/>
  <c r="Z162" i="1" s="1"/>
  <c r="X163" i="1"/>
  <c r="Z163" i="1" s="1"/>
  <c r="X103" i="1"/>
  <c r="Z103" i="1" s="1"/>
  <c r="X105" i="1"/>
  <c r="Z105" i="1" s="1"/>
  <c r="X126" i="1"/>
  <c r="Z126" i="1" s="1"/>
  <c r="X129" i="1"/>
  <c r="Z129" i="1" s="1"/>
  <c r="X132" i="1"/>
  <c r="Z132" i="1" s="1"/>
  <c r="X133" i="1"/>
  <c r="Z133" i="1" s="1"/>
  <c r="X134" i="1"/>
  <c r="Z134" i="1" s="1"/>
  <c r="X135" i="1"/>
  <c r="Z135" i="1" s="1"/>
  <c r="X136" i="1"/>
  <c r="Z136" i="1" s="1"/>
  <c r="X137" i="1"/>
  <c r="Z137" i="1" s="1"/>
  <c r="X138" i="1"/>
  <c r="Z138" i="1" s="1"/>
  <c r="X139" i="1"/>
  <c r="X140" i="1"/>
  <c r="Z140" i="1" s="1"/>
  <c r="X141" i="1"/>
  <c r="Z141" i="1" s="1"/>
  <c r="X142" i="1"/>
  <c r="Z142" i="1" s="1"/>
  <c r="X144" i="1"/>
  <c r="Z144" i="1" s="1"/>
  <c r="X147" i="1"/>
  <c r="Z147" i="1" s="1"/>
  <c r="X149" i="1"/>
  <c r="Z149" i="1" s="1"/>
  <c r="X156" i="1"/>
  <c r="Z156" i="1" s="1"/>
  <c r="X157" i="1"/>
  <c r="Z157" i="1" s="1"/>
  <c r="X158" i="1"/>
  <c r="Z158" i="1" s="1"/>
  <c r="X153" i="1"/>
  <c r="Z153" i="1" s="1"/>
  <c r="X92" i="1"/>
  <c r="Z92" i="1" s="1"/>
  <c r="X93" i="1"/>
  <c r="Z93" i="1" s="1"/>
  <c r="X173" i="1"/>
  <c r="X176" i="1"/>
  <c r="X182" i="1"/>
  <c r="Z182" i="1" s="1"/>
  <c r="X184" i="1"/>
  <c r="Z184" i="1" s="1"/>
  <c r="X185" i="1"/>
  <c r="Z185" i="1" s="1"/>
  <c r="X186" i="1"/>
  <c r="Z186" i="1" s="1"/>
  <c r="X188" i="1"/>
  <c r="Z188" i="1" s="1"/>
  <c r="X189" i="1"/>
  <c r="Z189" i="1" s="1"/>
  <c r="X190" i="1"/>
  <c r="Z190" i="1" s="1"/>
  <c r="X7" i="1"/>
  <c r="Z7" i="1" s="1"/>
  <c r="X192" i="1"/>
  <c r="Z192" i="1" s="1"/>
  <c r="X193" i="1"/>
  <c r="Z193" i="1" s="1"/>
  <c r="X194" i="1"/>
  <c r="Z194" i="1" s="1"/>
  <c r="X195" i="1"/>
  <c r="Z195" i="1" s="1"/>
  <c r="X196" i="1"/>
  <c r="X197" i="1"/>
  <c r="X198" i="1"/>
  <c r="X199" i="1"/>
  <c r="X200" i="1"/>
  <c r="X201" i="1"/>
  <c r="Z201" i="1" s="1"/>
  <c r="X202" i="1"/>
  <c r="Z202" i="1" s="1"/>
  <c r="X204" i="1"/>
  <c r="X206" i="1"/>
  <c r="X208" i="1"/>
  <c r="X212" i="1"/>
  <c r="X213" i="1"/>
  <c r="X214" i="1"/>
  <c r="Z214" i="1" s="1"/>
  <c r="X215" i="1"/>
  <c r="Z215" i="1" s="1"/>
  <c r="X216" i="1"/>
  <c r="Z216" i="1" s="1"/>
  <c r="X219" i="1"/>
  <c r="X220" i="1"/>
  <c r="X221" i="1"/>
  <c r="X222" i="1"/>
  <c r="X223" i="1"/>
  <c r="X11" i="1"/>
  <c r="Z11" i="1" s="1"/>
  <c r="X12" i="1"/>
  <c r="Z12" i="1" s="1"/>
  <c r="X14" i="1"/>
  <c r="Z14" i="1" s="1"/>
  <c r="X15" i="1"/>
  <c r="Z15" i="1" s="1"/>
  <c r="X17" i="1"/>
  <c r="Z17" i="1" s="1"/>
  <c r="X21" i="1"/>
  <c r="Z21" i="1" s="1"/>
  <c r="X24" i="1"/>
  <c r="Z24" i="1" s="1"/>
  <c r="X26" i="1"/>
  <c r="Z26" i="1" s="1"/>
  <c r="X27" i="1"/>
  <c r="Z27" i="1" s="1"/>
  <c r="X29" i="1"/>
  <c r="Z29" i="1" s="1"/>
  <c r="X31" i="1"/>
  <c r="Z31" i="1" s="1"/>
  <c r="X33" i="1"/>
  <c r="Z33" i="1" s="1"/>
  <c r="X35" i="1"/>
  <c r="Z35" i="1" s="1"/>
  <c r="X37" i="1"/>
  <c r="Z37" i="1" s="1"/>
  <c r="X40" i="1"/>
  <c r="Z40" i="1" s="1"/>
  <c r="X45" i="1"/>
  <c r="Z45" i="1" s="1"/>
  <c r="X46" i="1"/>
  <c r="Z46" i="1" s="1"/>
  <c r="X50" i="1"/>
  <c r="Z50" i="1" s="1"/>
  <c r="X52" i="1"/>
  <c r="Z52" i="1" s="1"/>
  <c r="X56" i="1"/>
  <c r="Z56" i="1" s="1"/>
  <c r="X57" i="1"/>
  <c r="Z57" i="1" s="1"/>
  <c r="X58" i="1"/>
  <c r="Z58" i="1" s="1"/>
  <c r="X59" i="1"/>
  <c r="Z59" i="1" s="1"/>
  <c r="X60" i="1"/>
  <c r="Z60" i="1" s="1"/>
  <c r="X65" i="1"/>
  <c r="Z65" i="1" s="1"/>
  <c r="X67" i="1"/>
  <c r="Z67" i="1" s="1"/>
  <c r="X69" i="1"/>
  <c r="Z69" i="1" s="1"/>
  <c r="X71" i="1"/>
  <c r="Z71" i="1" s="1"/>
  <c r="X73" i="1"/>
  <c r="Z73" i="1" s="1"/>
  <c r="X74" i="1"/>
  <c r="Z74" i="1" s="1"/>
  <c r="X81" i="1"/>
  <c r="Z81" i="1" s="1"/>
  <c r="X82" i="1"/>
  <c r="Z82" i="1" s="1"/>
  <c r="X83" i="1"/>
  <c r="Z83" i="1" s="1"/>
  <c r="X84" i="1"/>
  <c r="Z84" i="1" s="1"/>
  <c r="X85" i="1"/>
  <c r="Z85" i="1" s="1"/>
  <c r="X86" i="1"/>
  <c r="Z86" i="1" s="1"/>
  <c r="X87" i="1"/>
  <c r="Z87" i="1" s="1"/>
  <c r="X88" i="1"/>
  <c r="Z88" i="1" s="1"/>
  <c r="X89" i="1"/>
  <c r="Z89" i="1" s="1"/>
  <c r="X90" i="1"/>
  <c r="Z90" i="1" s="1"/>
  <c r="X91" i="1"/>
  <c r="Z91" i="1" s="1"/>
  <c r="X94" i="1"/>
  <c r="Z94" i="1" s="1"/>
  <c r="X96" i="1"/>
  <c r="Z96" i="1" s="1"/>
  <c r="X51" i="1"/>
  <c r="Z51" i="1" s="1"/>
  <c r="X53" i="1"/>
  <c r="Z53" i="1" s="1"/>
  <c r="X108" i="1"/>
  <c r="Z108" i="1" s="1"/>
  <c r="X110" i="1"/>
  <c r="Z110" i="1" s="1"/>
  <c r="X112" i="1"/>
  <c r="Z112" i="1" s="1"/>
  <c r="X113" i="1"/>
  <c r="Z113" i="1" s="1"/>
  <c r="X125" i="1"/>
  <c r="Z125" i="1" s="1"/>
  <c r="X128" i="1"/>
  <c r="Z128" i="1" s="1"/>
  <c r="X131" i="1"/>
  <c r="Z131" i="1" s="1"/>
  <c r="X4" i="1"/>
  <c r="Z4" i="1" s="1"/>
  <c r="X143" i="1"/>
  <c r="Z143" i="1" s="1"/>
  <c r="X146" i="1"/>
  <c r="Z146" i="1" s="1"/>
  <c r="X164" i="1"/>
  <c r="Z164" i="1" s="1"/>
  <c r="X165" i="1"/>
  <c r="Z165" i="1" s="1"/>
  <c r="X166" i="1"/>
  <c r="Z166" i="1" s="1"/>
  <c r="X167" i="1"/>
  <c r="Z167" i="1" s="1"/>
  <c r="X168" i="1"/>
  <c r="Z168" i="1" s="1"/>
  <c r="X169" i="1"/>
  <c r="Z169" i="1" s="1"/>
  <c r="X170" i="1"/>
  <c r="Z170" i="1" s="1"/>
  <c r="X175" i="1"/>
  <c r="Z175" i="1" s="1"/>
  <c r="X177" i="1"/>
  <c r="Z177" i="1" s="1"/>
  <c r="X5" i="1"/>
  <c r="Z5" i="1" s="1"/>
  <c r="X6" i="1"/>
  <c r="Z6" i="1" s="1"/>
  <c r="X211" i="1"/>
  <c r="Z211" i="1" s="1"/>
  <c r="X47" i="1"/>
  <c r="Z47" i="1" s="1"/>
  <c r="X48" i="1"/>
  <c r="Z48" i="1" s="1"/>
  <c r="X49" i="1"/>
  <c r="Z49" i="1" s="1"/>
  <c r="X54" i="1"/>
  <c r="Z54" i="1" s="1"/>
  <c r="X8" i="1"/>
  <c r="Z8" i="1" s="1"/>
  <c r="X3" i="1"/>
  <c r="Z3" i="1" s="1"/>
  <c r="X98" i="1"/>
  <c r="Z98" i="1" s="1"/>
  <c r="X55" i="1"/>
  <c r="Z55" i="1" s="1"/>
  <c r="X101" i="1"/>
  <c r="Z101" i="1" s="1"/>
  <c r="X225" i="1"/>
  <c r="Z225" i="1" s="1"/>
  <c r="X227" i="1"/>
  <c r="Z227" i="1" s="1"/>
  <c r="X115" i="1"/>
  <c r="Z115" i="1" s="1"/>
  <c r="X116" i="1"/>
  <c r="Z116" i="1" s="1"/>
  <c r="X99" i="1"/>
  <c r="Z99" i="1" s="1"/>
  <c r="X224" i="1"/>
  <c r="Z224" i="1" s="1"/>
  <c r="X226" i="1"/>
  <c r="Z226" i="1" s="1"/>
  <c r="X22" i="1"/>
  <c r="Z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56C2E838-E617-4F91-93A6-61EFEC237A03}">
      <text>
        <r>
          <rPr>
            <sz val="9"/>
            <color indexed="81"/>
            <rFont val="Segoe UI"/>
            <family val="2"/>
          </rPr>
          <t xml:space="preserve">Sequência numérica acompanhada do código que identifica a obra.
</t>
        </r>
      </text>
    </comment>
    <comment ref="B1" authorId="0" shapeId="0" xr:uid="{2584F85A-68C0-4875-86B6-D81D07A854B2}">
      <text>
        <r>
          <rPr>
            <sz val="9"/>
            <color indexed="81"/>
            <rFont val="Segoe UI"/>
            <family val="2"/>
          </rPr>
          <t>Selecione na lista suspensa em cada célula o status da ilustração.</t>
        </r>
      </text>
    </comment>
    <comment ref="C1" authorId="0" shapeId="0" xr:uid="{C11D1367-7E9A-40F8-9A83-FD6396BB83CA}">
      <text>
        <r>
          <rPr>
            <sz val="9"/>
            <color indexed="81"/>
            <rFont val="Segoe UI"/>
            <family val="2"/>
          </rPr>
          <t>Selecione na lista suspensa em cada célula o status da ilustração.</t>
        </r>
      </text>
    </comment>
    <comment ref="D1" authorId="0" shapeId="0" xr:uid="{49412D89-9A72-47A8-A8C2-A4F51495D4C5}">
      <text>
        <r>
          <rPr>
            <sz val="9"/>
            <color indexed="81"/>
            <rFont val="Segoe UI"/>
            <family val="2"/>
          </rPr>
          <t>Selecione na lista suspensa em cada célula o status da ilustração.</t>
        </r>
      </text>
    </comment>
    <comment ref="E1" authorId="0" shapeId="0" xr:uid="{5BD9905C-77CE-4F76-B1DB-E00A7D201582}">
      <text>
        <r>
          <rPr>
            <sz val="9"/>
            <color indexed="81"/>
            <rFont val="Segoe UI"/>
            <family val="2"/>
          </rPr>
          <t>Preencher estes campos com números 
de páginas.</t>
        </r>
      </text>
    </comment>
    <comment ref="F1" authorId="0" shapeId="0" xr:uid="{381363BA-5BE7-4A18-97B6-7C32C6870A02}">
      <text>
        <r>
          <rPr>
            <sz val="9"/>
            <color indexed="81"/>
            <rFont val="Segoe UI"/>
            <family val="2"/>
          </rPr>
          <t>Preencher estes campos com números 
de páginas.</t>
        </r>
      </text>
    </comment>
    <comment ref="G1" authorId="0" shapeId="0" xr:uid="{543F0729-F0AB-4895-99C2-F0E2EA868B96}">
      <text>
        <r>
          <rPr>
            <sz val="9"/>
            <color indexed="81"/>
            <rFont val="Segoe UI"/>
            <family val="2"/>
          </rPr>
          <t>Preencher este campo com o número do capítulo ou nome da seção.</t>
        </r>
      </text>
    </comment>
    <comment ref="H1" authorId="0" shapeId="0" xr:uid="{AE795FDC-7DAF-4C36-AAEF-63316946EB84}">
      <text>
        <r>
          <rPr>
            <sz val="9"/>
            <color indexed="81"/>
            <rFont val="Segoe UI"/>
            <family val="2"/>
          </rPr>
          <t xml:space="preserve">Preencher estes campos com números do capítulos ou os nomes padronizados das seções.
</t>
        </r>
      </text>
    </comment>
    <comment ref="I1" authorId="0" shapeId="0" xr:uid="{E7BE1C63-D9A6-4C2C-BBFE-A968B8FAE141}">
      <text>
        <r>
          <rPr>
            <sz val="9"/>
            <color indexed="81"/>
            <rFont val="Segoe UI"/>
            <family val="2"/>
          </rPr>
          <t xml:space="preserve">Preencher estes campos com números do capítulos ou os nomes padronizados das seções.
</t>
        </r>
      </text>
    </comment>
    <comment ref="J1" authorId="0" shapeId="0" xr:uid="{26F1B7DB-5D60-4E46-91AC-D58BAE351DCE}">
      <text>
        <r>
          <rPr>
            <sz val="9"/>
            <color indexed="81"/>
            <rFont val="Segoe UI"/>
            <family val="2"/>
          </rPr>
          <t xml:space="preserve">Se o tipo de imagem escolhida for RESGATE ou AJUSTE, coloque aqui o nome da obra de origem.
</t>
        </r>
      </text>
    </comment>
    <comment ref="K1" authorId="0" shapeId="0" xr:uid="{22C5497A-20CA-4A2D-A834-C777BC694356}">
      <text>
        <r>
          <rPr>
            <sz val="9"/>
            <color indexed="81"/>
            <rFont val="Segoe UI"/>
            <family val="2"/>
          </rPr>
          <t xml:space="preserve">Se o tipo de imagem escolhida for RESGATE ou AJUSTE, coloque aqui apenas o número da página da obra de origem.
</t>
        </r>
      </text>
    </comment>
    <comment ref="L1" authorId="0" shapeId="0" xr:uid="{EA7FFB27-2FCE-4F0D-A39C-D43D6C0B2F8B}">
      <text>
        <r>
          <rPr>
            <sz val="9"/>
            <color indexed="81"/>
            <rFont val="Segoe UI"/>
            <family val="2"/>
          </rPr>
          <t>Se o tipo de imagem escolhida for RESGATE ou AJUSTE, coloque aqui apenas o número do volume da obra de origem.</t>
        </r>
      </text>
    </comment>
    <comment ref="M1" authorId="0" shapeId="0" xr:uid="{487238BA-1983-4905-AA9F-43D1D4D0033E}">
      <text>
        <r>
          <rPr>
            <sz val="9"/>
            <color indexed="81"/>
            <rFont val="Segoe UI"/>
            <family val="2"/>
          </rPr>
          <t xml:space="preserve">
Se o tipo de imagem escolhida for RESGATE ou AJUSTE, coloque aqui apenas o número do volume da obra de origem.</t>
        </r>
      </text>
    </comment>
    <comment ref="N1" authorId="0" shapeId="0" xr:uid="{59C170D1-5747-4D20-A565-B1C16DFD018E}">
      <text>
        <r>
          <rPr>
            <sz val="9"/>
            <color indexed="81"/>
            <rFont val="Segoe UI"/>
            <family val="2"/>
          </rPr>
          <t>Qual editora possui o direito de uso da ilustração.</t>
        </r>
      </text>
    </comment>
    <comment ref="O1" authorId="0" shapeId="0" xr:uid="{412FB149-09B6-47F4-AB5B-3C5A105CC7C5}">
      <text>
        <r>
          <rPr>
            <sz val="9"/>
            <color indexed="81"/>
            <rFont val="Segoe UI"/>
            <family val="2"/>
          </rPr>
          <t xml:space="preserve">Descrição da imagem detalhada de acordo com a edição.
</t>
        </r>
      </text>
    </comment>
    <comment ref="P1" authorId="0" shapeId="0" xr:uid="{639B393A-3846-4E76-9112-FDF34199674F}">
      <text>
        <r>
          <rPr>
            <sz val="9"/>
            <color indexed="81"/>
            <rFont val="Segoe UI"/>
            <family val="2"/>
          </rPr>
          <t>Anotações gerais/adicionais da equipe/núcleo sobre a produção da imagem.</t>
        </r>
      </text>
    </comment>
    <comment ref="Q1" authorId="0" shapeId="0" xr:uid="{DF944296-966B-4808-B80F-FBF7F1E5D406}">
      <text>
        <r>
          <rPr>
            <sz val="9"/>
            <color indexed="81"/>
            <rFont val="Segoe UI"/>
            <family val="2"/>
          </rPr>
          <t xml:space="preserve">Número do lote de acordo com a data de liberação para arte.
</t>
        </r>
      </text>
    </comment>
    <comment ref="R1" authorId="0" shapeId="0" xr:uid="{B72C0402-F7EE-4FAC-91FC-0176A3E65EF8}">
      <text>
        <r>
          <rPr>
            <sz val="9"/>
            <color indexed="81"/>
            <rFont val="Segoe UI"/>
            <family val="2"/>
          </rPr>
          <t xml:space="preserve">Data que o lote foi liberado para edição de arte.
</t>
        </r>
      </text>
    </comment>
    <comment ref="S1" authorId="0" shapeId="0" xr:uid="{AD7FD7A1-A867-45C0-BF76-5C5B6BC52188}">
      <text>
        <r>
          <rPr>
            <sz val="9"/>
            <color indexed="81"/>
            <rFont val="Segoe UI"/>
            <family val="2"/>
          </rPr>
          <t>Data de envio da edição de arte para o ilustrador.</t>
        </r>
      </text>
    </comment>
    <comment ref="T1" authorId="0" shapeId="0" xr:uid="{35F0415F-AFD1-40E7-9C5B-5B669A195D18}">
      <text>
        <r>
          <rPr>
            <sz val="9"/>
            <color indexed="81"/>
            <rFont val="Segoe UI"/>
            <family val="2"/>
          </rPr>
          <t xml:space="preserve">Data de recebimento 
do rafe do ilustrador.
</t>
        </r>
      </text>
    </comment>
    <comment ref="U1" authorId="0" shapeId="0" xr:uid="{C8F9929C-BF9F-44AC-9ECC-BA387B5C7D6E}">
      <text>
        <r>
          <rPr>
            <sz val="9"/>
            <color indexed="81"/>
            <rFont val="Segoe UI"/>
            <family val="2"/>
          </rPr>
          <t xml:space="preserve">Data de envio para finalizar a ilustração.
</t>
        </r>
      </text>
    </comment>
    <comment ref="V1" authorId="0" shapeId="0" xr:uid="{CDEF1282-17C4-4E72-A73F-59DF80DC0FD5}">
      <text>
        <r>
          <rPr>
            <sz val="9"/>
            <color indexed="81"/>
            <rFont val="Segoe UI"/>
            <family val="2"/>
          </rPr>
          <t>Data de retorno da ilustração finalizada pelo ilustrador.</t>
        </r>
      </text>
    </comment>
    <comment ref="W1" authorId="0" shapeId="0" xr:uid="{52FC001D-DB8E-4D04-88C8-2DFA46D38524}">
      <text>
        <r>
          <rPr>
            <sz val="9"/>
            <color indexed="81"/>
            <rFont val="Segoe UI"/>
            <family val="2"/>
          </rPr>
          <t>Data de retorno da ilustração finalizada pelo ilustrador.</t>
        </r>
      </text>
    </comment>
    <comment ref="X1" authorId="0" shapeId="0" xr:uid="{7CD35314-793F-4F13-AD9C-B21FDA14E6B1}">
      <text>
        <r>
          <rPr>
            <sz val="9"/>
            <color indexed="81"/>
            <rFont val="Segoe UI"/>
            <family val="2"/>
          </rPr>
          <t>Nome do ilustrador que produziu ou produzirá a ilustração ou o nome do criador da ilustração do padrão.
Coluna bloqueada para edição manual.</t>
        </r>
      </text>
    </comment>
    <comment ref="Y1" authorId="0" shapeId="0" xr:uid="{94E675C8-1AA1-4AD4-ABD3-B79361769AC7}">
      <text>
        <r>
          <rPr>
            <sz val="9"/>
            <color indexed="81"/>
            <rFont val="Segoe UI"/>
            <family val="2"/>
          </rPr>
          <t>Nome de quem ajustou ou coloriu a ilustração.</t>
        </r>
      </text>
    </comment>
    <comment ref="Z1" authorId="0" shapeId="0" xr:uid="{50E5EA2C-DCB3-4633-A030-31B42F618BC7}">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F5CBCE6A-64D8-44EF-869B-CD09D9359688}">
      <text>
        <r>
          <rPr>
            <sz val="9"/>
            <color indexed="81"/>
            <rFont val="Segoe UI"/>
            <family val="2"/>
          </rPr>
          <t xml:space="preserve">Selecione na lista suspensa em cada célula a classificação da ilustração.
</t>
        </r>
      </text>
    </comment>
    <comment ref="AB1" authorId="0" shapeId="0" xr:uid="{A211E502-EACF-472D-967A-D6DD18917456}">
      <text>
        <r>
          <rPr>
            <sz val="9"/>
            <color indexed="81"/>
            <rFont val="Segoe UI"/>
            <family val="2"/>
          </rPr>
          <t>Anotações gerais/adicionais do designer sobre a produção da imagem.</t>
        </r>
      </text>
    </comment>
    <comment ref="AC1" authorId="0" shapeId="0" xr:uid="{07491294-521E-4A9B-8FBB-C7997381BA8C}">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tc={20A997EB-07BE-4B94-AC16-E5B893858C37}</author>
  </authors>
  <commentList>
    <comment ref="B5" authorId="0" shapeId="0" xr:uid="{20A997EB-07BE-4B94-AC16-E5B893858C3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<sst xmlns="http://schemas.openxmlformats.org/spreadsheetml/2006/main" count="3008" uniqueCount="1547">
  <si>
    <t>NOME DA OBRA
 PARA RESGATE</t>
  </si>
  <si>
    <t>PÁGINA PARA RESGATE</t>
  </si>
  <si>
    <t>VOLUME PARA RESGATE</t>
  </si>
  <si>
    <t>VERSÃO PARA RESGATE</t>
  </si>
  <si>
    <t>PROPRIEDADE</t>
  </si>
  <si>
    <t>i0120_3p012c_g27_e002</t>
  </si>
  <si>
    <t>APLICADA</t>
  </si>
  <si>
    <t>ILUSTRAÇÃO</t>
  </si>
  <si>
    <t>MIOLO</t>
  </si>
  <si>
    <t>RESGATE</t>
  </si>
  <si>
    <t>ilustração parte da Terra com cometa e meteoro entrando na atmosfera.
Página 14 do g23_ftd_lt_3bac. Código antigo: i0213rm_3bac_g23_ftd</t>
  </si>
  <si>
    <t>rm</t>
  </si>
  <si>
    <t>i0131_3p012c_g27_e002</t>
  </si>
  <si>
    <t>AJUSTE</t>
  </si>
  <si>
    <t>Resgatar ilustração de menina sentada acenando um sinal de positivo, olhando para a Lua. Página 16 do g23_ftd_lt_3bac. Código antigo
i0219iv_3bac_g23_ftd
AJUSTE - separar as duas ilustrações, dando uma retranca para cada uma</t>
  </si>
  <si>
    <t>iv</t>
  </si>
  <si>
    <t>Ingridhi Borges</t>
  </si>
  <si>
    <t>Resgate com ajuste</t>
  </si>
  <si>
    <t>FINALIZADO</t>
  </si>
  <si>
    <t>i0132_3p012c_g27_e002</t>
  </si>
  <si>
    <t>i0138_3p012c_g27_e002</t>
  </si>
  <si>
    <t>Resgate ilustração de menina iluminando globo terrestre com uma lanterna. Página
32 do g23_ftd_lt_3bac. Código antigo i0608ec_3bac_g23_ftd</t>
  </si>
  <si>
    <t>ec</t>
  </si>
  <si>
    <t>m0139_3p012c_g27_e002</t>
  </si>
  <si>
    <t>MAPA</t>
  </si>
  <si>
    <t xml:space="preserve">Mapa do Brasil. Página 32 do g23_ftd_lt_3bac. Código antigo
m0609ck_3bac_g23_ftd
AJUSTE – separar as ils, separar a retranca em A e B, uma para o mapa do Brasil e outra para o pequeno planisfério. </t>
  </si>
  <si>
    <t>ck</t>
  </si>
  <si>
    <t>m0140_3p012c_g27_e002</t>
  </si>
  <si>
    <t>Mapa do planisfério terrestre. Página 33 do g23_ftd_lt_3bac. Código antigo m0611ed_3bac_g23_ftd
AJUSTE – separar legenda do mapa, separar retranca em A e B.</t>
  </si>
  <si>
    <t>ed</t>
  </si>
  <si>
    <t>g0302_3p012c_g27_e002</t>
  </si>
  <si>
    <t>GRÁFICO</t>
  </si>
  <si>
    <t>Gráfico de porcentagem de água salgada e doce na terra. Página 39 do g23_ftd_lt_3bac. Código antigo g1004km_3bac_g23_ftd
AJUSTE- produzir legenda de acordo com a cor do gráfico, quadrado azul escuro e outro azul claro. Separar retranca de gráfico e legenda em A e B.</t>
  </si>
  <si>
    <t>km</t>
  </si>
  <si>
    <t>Rafaela Panissa</t>
  </si>
  <si>
    <t>i0307_3p012c_g27_e002</t>
  </si>
  <si>
    <t>NOVA</t>
  </si>
  <si>
    <t>Ilustração de um pedaço de carne bovina estilo ícone.</t>
  </si>
  <si>
    <t>ay</t>
  </si>
  <si>
    <t>Rafe:17/03 Final: 19/03</t>
  </si>
  <si>
    <t>i0308_3p012c_g27_e002</t>
  </si>
  <si>
    <t>Ilustração de um pedaço de carne de frango estilo ícone.</t>
  </si>
  <si>
    <t>i0309_3p012c_g27_e002</t>
  </si>
  <si>
    <t>Ilustração de pedaço de queijo estilo ícone</t>
  </si>
  <si>
    <t>i0310_3p012c_g27_e002</t>
  </si>
  <si>
    <t>Ilustração de um computador estilo ícone.</t>
  </si>
  <si>
    <t>i0311_3p012c_g27_e002</t>
  </si>
  <si>
    <t>Ilustração de um carro estilo ícone</t>
  </si>
  <si>
    <t>i0312_3p012c_g27_e002</t>
  </si>
  <si>
    <t>Ilustração de um saco de açúcar estilo ícone</t>
  </si>
  <si>
    <t>i0313_3p012c_g27_e002</t>
  </si>
  <si>
    <t>Ilustração de uma camiseta de algodão estilo ícone.</t>
  </si>
  <si>
    <t>i0314_3p012c_g27_e002</t>
  </si>
  <si>
    <t>Ilustração de uma folha de papel A4 estilo ícone.</t>
  </si>
  <si>
    <t>m0319_3p012c_g27_e002</t>
  </si>
  <si>
    <t>PRONTA</t>
  </si>
  <si>
    <t>Mapa com porcentagem total de abastecimento de água no Brasil em 2022. Pag. 42_ g23_ftd_lt_3bac. Código antigo: m1011km_3bac_g23_ftd
AJUSTES – 
•excluir nome das regiões e dados% que estão sobre o mapa
•inserir nome de região e dados em uma legenda 
•inserir mapinha de localização
•Ajustar as cores das regiões para dar mais contraste,
Dados da legenda:  Região Norte: 64,2%; Região Nordeste: 76,9%
Região Centro-Oeste: 89,8%;Região Sudeste: 90,9%
Região Sul: 91,6%</t>
  </si>
  <si>
    <t>i0320_3p012c_g27_e002</t>
  </si>
  <si>
    <t xml:space="preserve"> il de homem e menina em uma cozinha. Página 43 do g23_ftd_lt_3bac. Código antigo i1012fm_3bac_g23_ftd_ef_ly
AJUSTE – deixar apenas a cena como na referência abaixo o homem e a garota na cozinha, sem as tubulações.</t>
  </si>
  <si>
    <t>fm</t>
  </si>
  <si>
    <t>i0321_3p012c_g27_e002</t>
  </si>
  <si>
    <t>Resgatar ilustração de pessoa coletando um pouco de água de um rio. Página 44 do g23_ftd_lt_3bac. Código antigo i1013fm_3bac_g23_ftd_ef_ly</t>
  </si>
  <si>
    <t>i0323_3p012c_g27_e002</t>
  </si>
  <si>
    <t>Resgatar ilustração de representação da estrutura da terra. Página 46 do g23_ftd_lt_3bac. Código antigo i1016rm_3bac_g23_ftd</t>
  </si>
  <si>
    <t>i0324_3p012c_g27_e002</t>
  </si>
  <si>
    <t>Resgate ilustração de crosta terrestre. Página 47 do g23_ftd_lt_3bac. Código antigo i1017rm_3bac_g23_ftd</t>
  </si>
  <si>
    <t>i0326_3p012c_g27_e002</t>
  </si>
  <si>
    <t>Resgate ilustração de esquema de formação do solo. Página 47 do g23_ftd_lt_3bac. Código antigo i1018rm_3bac_g23_ftd</t>
  </si>
  <si>
    <t>i0333_3p012c_g27_e002</t>
  </si>
  <si>
    <t xml:space="preserve"> ilustração de bacia e zoom dos poros das partículas do solo. Página 50 do g23_ftd_lt_3bac. Código antigo i1026xe_3bac_g23_ftd
AJUSTE – separar as ils em retranca A e B.</t>
  </si>
  <si>
    <t>xe</t>
  </si>
  <si>
    <t>i0363_3p012c_g27_e002</t>
  </si>
  <si>
    <t>ilustração de representação de vegetação e solo. Página 58 do g23_ftd_lt_3bac. Código antigo i1059rm_3bac_g23_ftd
AJUSTE – separar os dois zoons da imagem principal, e excluir esses fios que contornam os zoons. Separar as três imagens em retrancas A, B e C</t>
  </si>
  <si>
    <t>i0374_3p012c_g27_e002</t>
  </si>
  <si>
    <t>Resgate ilustração de representação das camadas da atmosfera. Página 63 do g23_ftd_lt_3bac. Código antigo i1071rm_3bac_g23_ftd</t>
  </si>
  <si>
    <t>i0384_3p012c_g27_e002</t>
  </si>
  <si>
    <t>AJUSTE
Resgate ilustração de caminho que leva o siri até sua toca com frases. Página 68 do g23_ftd_lt_3bac. Código antigo i1081rm_3bac_g23_ftd AJUSTAR A ESPESSURA DOS CAMINHOS PARA QUE O ESTUDANTES NÃO CONSIGA PASSAR UM FIO SOBRE OS CAMINHOS, SE POSSÍVEL DEIXAR OS CAMINHOS COM FUNDO COR E NÃO BRANCO.</t>
  </si>
  <si>
    <t>Ellen Jacob</t>
  </si>
  <si>
    <t>i0101_4p012c_g27_e002</t>
  </si>
  <si>
    <t xml:space="preserve"> Ilustração de duas crianças com o pai andando em uma trilha. O Sol está no canto superior direto da imagem. Página 10 do g23_ftd_lt_4bac. Código antigo: i0202dn_4bac_g23_ftd</t>
  </si>
  <si>
    <t>dn</t>
  </si>
  <si>
    <t>i0102_4p012c_g27_e002</t>
  </si>
  <si>
    <t>ilustração de uma criança com os braços abertos em frente a 'Biblioteca'. O Sol está à direta da criança. A sombra da criança se forma no chão, à esquerda dela. Página 10 do g23_ftd_lt_4bac. Código antigo: i0203dn_4bac_g23_ftd</t>
  </si>
  <si>
    <t>m0109_4p012c_g27_e002</t>
  </si>
  <si>
    <t>Mapa do 'Brasil: Divisão política'. Está demonstrado no mapa as divisas dos estados brasileiros e do Distrito Federal com suas respectivas siglas; as linhas de fronteira com dos países vizinhos; os oceanos Pacífico e Atlântico; a linha do Equador e o Trópico de Capricórnio; uma miniatura de um planisfério no canto inferior esquerdo, com destaque na região do Brasil; uma escala indicando que cada centímetro do mapa equivale a 410 quilômetros; e uma rosa dos ventos de quatro pontas, com a letra N na ponta de cima, letra S na ponta de baixo, letra L na ponta da direita e letra O na ponta da esquerda. Página 13 do g23_ftd_lt_4bac. Código antigo: m0213ck_4bac_g23_ftd</t>
  </si>
  <si>
    <t>Bruna Campos</t>
  </si>
  <si>
    <t>i0110_4p012c_g27_e002</t>
  </si>
  <si>
    <t>Resgatar ilustração de uma rosa dos ventos, um símbolo com forma de uma estrela de oito pontas. Página 13 do g23_ftd_lt_4bac. Código antigo: i0214km_4bac_g23_ftd</t>
  </si>
  <si>
    <t>i0115_4p012c_g27_e002</t>
  </si>
  <si>
    <t>Resgatar ilustração da Terra à direita sendo iluminada pelo Sol à esquerda. Há um eixo de rotação que atravessa a Terra na diagonal. Uma seta indica o sentido do movimento de rotação, da esquerda para a direita. A região do continente americano está iluminada pelo Sol e indicada pela letra A e a região não iluminada é indicada pela letra B. Página 16 do g23_ftd_lt_4bac. Código antigo: i0216xe_4bac_g23_ftd</t>
  </si>
  <si>
    <t>i0116_4p012c_g27_e002</t>
  </si>
  <si>
    <t>Resgatar ilustração da Terra à direita sendo iluminada pelo Sol à esquerda. Há um eixo de rotação que atravessa a Terra na diagonal. Uma seta indica o sentido do movimento de rotação, da esquerda para a direita. O ponto indicado pela letra B aparece na região iluminada, enquanto o ponto indicado pela letra A aparece na região não iluminada. Página 16 do g23_ftd_lt_4bac. Código antigo: i0217xe_4bac_g23_ftd</t>
  </si>
  <si>
    <t>i0118_4p012c_g27_e002</t>
  </si>
  <si>
    <t>ilustração de representação do movimento de translação da Terra. Página 19 do g23_ftd_lt_4bac. Código antigo: i0223xe_4bac_g23_ftd.
AJUSTE: manter apenas a representação da Terra que está na parte de cima da ilustração, excluindo as outras 3. Ver print a seguir.</t>
  </si>
  <si>
    <t>i0119_4p012c_g27_e002</t>
  </si>
  <si>
    <t>ilustração de representação do movimento de translação da Terra. Página 19 do g23_ftd_lt_4bac. Código antigo: i0223xe_4bac_g23_ftd.
AJUSTE: manter apenas a representação da Terra que está do lado esquerdo da ilustração, excluindo as outras 3. Ver print a seguir.</t>
  </si>
  <si>
    <t>i0120_4p012c_g27_e002</t>
  </si>
  <si>
    <t>ilustração de representação do movimento de translação da Terra. Página 19 do g23_ftd_lt_4bac. Código antigo: i0223xe_4bac_g23_ftd.
AJUSTE: manter apenas a representação da Terra que está na parte de baixo da ilustração, excluindo as outras 3. Ver print a seguir.</t>
  </si>
  <si>
    <t>i0121_4p012c_g27_e002</t>
  </si>
  <si>
    <t>ilustração de representação do movimento de translação da Terra. Página 19 do g23_ftd_lt_4bac. Código antigo: i0223xe_4bac_g23_ftd.
AJUSTE: manter apenas a representação da Terra que está do lado direito da ilustração, excluindo as outras 3. Ver print a seguir.</t>
  </si>
  <si>
    <t>i0127_4p012c_g27_e002</t>
  </si>
  <si>
    <t>ilustração ciclo lunar, da página 23 do g23_ftd_lt_4bac. Código antigo: i0231xe_4bac_g23_ftd
AJUSTE: deixar apenas a representação da Lua do lado esquerdo, removendo as outras 3. No canto inferior direito, colocar um quadro com a representação da Lua totalmente escurecida. Ver print a seguir:</t>
  </si>
  <si>
    <t>i0128_4p012c_g27_e002</t>
  </si>
  <si>
    <t>ilustração ciclo lunar, da página 23 do g23_ftd_lt_4bac. Código antigo: i0231xe_4bac_g23_ftd
AJUSTE: deixar apenas a representação da Lua na parte superior, removendo as outras 3. No canto inferior direito, colocar um quadro com a representação da Lua com apenas o lado esquerdo iluminado. Ver print a seguir:</t>
  </si>
  <si>
    <t>i0129_4p012c_g27_e002</t>
  </si>
  <si>
    <t>ilustração ciclo lunar, da página 23 do g23_ftd_lt_4bac. Código antigo: i0231xe_4bac_g23_ftd
AJUSTE: deixar apenas a representação da Lua do lado direito, removendo as outras 3. No canto inferior direito, colocar um quadro com a representação da Lua totalmente iluminada. Ver print a seguir:</t>
  </si>
  <si>
    <t>i0130_4p012c_g27_e002</t>
  </si>
  <si>
    <t xml:space="preserve"> ilustração ciclo lunar, da página 23 do g23_ftd_lt_4bac. Código antigo: i0231xe_4bac_g23_ftd
AJUSTE: deixar apenas a representação da Lua na parte de baixo, removendo as outras 3. No canto inferior direito, colocar um quadro com a representação da Lua com apenas o lado direito iluminado. Ver print a seguir:</t>
  </si>
  <si>
    <t>i0132_4p012c_g27_e002</t>
  </si>
  <si>
    <t>ilustração ciclo lunar- Pág  23 - g23_ftd_lt_4bac. Código antigo: i0231xe_4bac_g23_ftd
AJUSTE- remover o quadro com a ilustração da fase da lua e deixar apenas Lua do lado direito na órbita. Ver ref. Abaixo</t>
  </si>
  <si>
    <t>i0133_4p012c_g27_e002</t>
  </si>
  <si>
    <t>ilustração ciclo lunar- Pág  23 - g23_ftd_lt_4bac. Código antigo: i0231xe_4bac_g23_ftd
AJUSTE: mesmo ajuste anterior, porém agora deve deixar na órbita apenas a lua da frente. 
Ver ref. Abaixo.</t>
  </si>
  <si>
    <t>i0134_4p012c_g27_e002</t>
  </si>
  <si>
    <t xml:space="preserve"> ilustração de um tronco de madeira preso ao solo na posição vertical. Ao fundo da imagem, há montanhas e o Sol no centro. A sombra da madeira se forma no chão no meio. Página 28 do g23_ftd_lt_4bac. Código antigo: i0238xe_4bac_g23_ftd
AJUSTE – separar as imagens cada uma com uma retranca</t>
  </si>
  <si>
    <t>i0135_4p012c_g27_e002</t>
  </si>
  <si>
    <t>ilustração de um tronco de madeira preso ao solo na posição vertical. Ao fundo da imagem, há montanhas e o Sol à direita. A sombra da madeira se forma no chão à direita. Página 28 do g23_ftd_lt_4bac. Código antigo: i0238xe_4bac_g23_ftd
AJUSTE – separar as imagens cada uma com uma retranca</t>
  </si>
  <si>
    <t>i0708_3p012c_g27_e002</t>
  </si>
  <si>
    <t>Ilustração de uma cena em que um homem adulto lê um livro sentado em um sofá sob a luz de uma
luminária. Ao lado do homem, sentada no sofá, uma menina de aproximadamente 9 anos
assistindo tv. Homem e menina negros e cabelos crespos. O homem com olhos verdes.
Página 111 do g23_ftd_lt_3bac.
Cód. Antigo ‐ i1607se_3bac_g23_ftd_ef_ly</t>
  </si>
  <si>
    <t>se</t>
  </si>
  <si>
    <t>i0709_3p012c_g27_e002</t>
  </si>
  <si>
    <t>Ilustração do mesmo homem negro de cabelos
crespos e olhos verdes da página anterior. Parte
da cena em que ele aparece lendo um livro
sentado em um sofá azul próximo a lâmpada.
Setas que representam feixe de luz devem estar
saindo da lâmpada chegando ao livro, seta
saindo do livro e chegando nos olhos do
homem. Página 112 do g23_ftd_lt_3bac.
Cód. Antigo ‐ i1608Ase_3bac_g23_ftd_ef_ly</t>
  </si>
  <si>
    <t>i0711_3p012c_g27_e002</t>
  </si>
  <si>
    <t>ilustração de garoto lendo um livro a luz de uma luminária, ilustração em quatro cenas .Primeira, setas  saindo da luminaria, indo para o olho e chegando no livro. Segunda, setas  saindo da luminaria, indo para o livro e chegando no olho. Terceira, setas  saindo da luminaria, chegando no livro e seta saindo do olho chegando no livro. Quarta, setas  saindo do olho, indo para o livro e chegando na luminaria. Ajuste- separar il em A,B,C,D</t>
  </si>
  <si>
    <t>i0724_3p012c_g27_e002</t>
  </si>
  <si>
    <t>Ilustração de um menino de pele clara e cabelos castanhos, segurando uma lanterna ligada
direcionada para a parede, ondem uma menina ruiva segura objetos opacos (peixinhos feitos de
cartolina presos em um palito de madeira, representando um teatro de sombras).
Página 117 do g23_ftd_lt_3bac.
Cód. Antigo ‐ i1622fm_3bac_g23_ftd</t>
  </si>
  <si>
    <t>i0726_3p012c_g27_e002</t>
  </si>
  <si>
    <t>Ilustração de esquema de raios de luz paralelos incidindo em um espelho plano e raios de luz refletidos de forma paralela.
Página 118 do g23_ftd_lt_3bac. Cód. Antigo ‐ i1624rm_3bac_g23_ftd</t>
  </si>
  <si>
    <t>i0730_3p012c_g27_e002</t>
  </si>
  <si>
    <t>Il de lanterna em três cenas. Luz sendo bloqueada pelo anteparo opaco. Luz sendo refletida pelo anteraro. Luz atravessando o anteparo. Ajuste - separar a il em A, B, C.</t>
  </si>
  <si>
    <t>i0733_3p012c_g27_e002</t>
  </si>
  <si>
    <t>Il de feixe de luz em três momentos. Feixe branco sendo refletido. Feixe branco sendo absrorvido. Feixe branco sendo refletido vermelho. Ajuste - separar il em A,B,C.</t>
  </si>
  <si>
    <t>i0734_3p012c_g27_e002</t>
  </si>
  <si>
    <t>Ilustração de um menino negro com boné em um quintal realizando inserindo parte de um espelho dentro de uma bacia com água. E a
formação de um arco‐íris na cartolina colada na parede. E zoom da mão na água com espelho. Ajuste - separar zoom da imagem principal, em A, B.</t>
  </si>
  <si>
    <t>i0737_3p012c_g27_e002</t>
  </si>
  <si>
    <t>Ilustração de homem pele clara, cabelos lisos e preto,
vestindo uma camisa de manga longa branca e calça larga
verde. O calçado deve ser um tamanco. Ele deve estar
tocando uma rabeca. Ao lado dele uma moça com uma sai
longa florida e uma blusa de babado. Ela deve estar segurando a saia e levantando parte dela, como se estivesse dançando fandango. Ela vede ser morena de cabelos ondulados, preso com um amarrador de flores. O calçado deve ser um sapato de sapateado. Ela deve estar com os ouvidos virados para a rabeca para que seja possível inserir linhas que representam o som saindo da rabeca e chegando
aos ouvidos dela. Referência das roupas.  Referência de pessoa tocando Rabeca</t>
  </si>
  <si>
    <t>cq</t>
  </si>
  <si>
    <t>r: 20/03 f:28/03</t>
  </si>
  <si>
    <t>i0742_3p012c_g27_e002</t>
  </si>
  <si>
    <t>Ilustração de orelha externa, média e interna.
Página 123 do g23_ftd_lt_3bac.
Cód. Antigo ‐ i1640ne_3bac_g23_ftd_aj</t>
  </si>
  <si>
    <t>ne</t>
  </si>
  <si>
    <t>i0760_3p012c_g27_e002</t>
  </si>
  <si>
    <t>Ilustração de uma menina negra com cabelos
ondulados, cozinhando em um fogão e com a
expressão de que tocou na panela quente.
Página 132 do g23_ftd_lt_3bac.
Cód. Antigo ‐ i1657iv_3bac_g23_ftd</t>
  </si>
  <si>
    <t>Felipe Grigoli</t>
  </si>
  <si>
    <t>Resgate Ajuste</t>
  </si>
  <si>
    <t>i0761_3p012c_g27_e002</t>
  </si>
  <si>
    <t>Ilustração de um menino negro, cabelos
crespos, costurando uma calça, ele deve estar
com uma agulha e linha nas mãos e com a
expressão de que tocou o dedo na ponta da
agulha.  Página 132 do g23_ftd_lt_3bac.
Cód. Antigo ‐ i1658iv_3bac_g23_ft</t>
  </si>
  <si>
    <t>i0762_3p012c_g27_e002</t>
  </si>
  <si>
    <t>Ilustração de homem moreno e cabelos ondulados, usando óculos. Ele deve estar em uma cozinha,
segurando um recipiente com verduras. No forno do fogão deve ter um bolo assando. Página 133 do g23_ftd_lt_3bac.
Cód. Antigo‐ i1659iv_3bac_g23_ftd</t>
  </si>
  <si>
    <t>i0764_3p012c_g27_e002</t>
  </si>
  <si>
    <t>Ilustração de um menino negro cabelos crespos,
sentido o cheiro de um leite estragado. Ele deve
estar tapando o nariz com as mãos.
Página 134 do g23_ftd_lt_3bac.
Cód. Antigo‐ i1661fm_3bac_g23_ftd</t>
  </si>
  <si>
    <t>i0765_3p012c_g27_e002</t>
  </si>
  <si>
    <t>Ilustração de um homem branco de óculos,
sentindo o cheiro de gás saindo de um
fogão. Página 134 do g23_ftd_lt_3bac.
Cód. Antigo ‐ i1662fm_3bac_g23_ftd</t>
  </si>
  <si>
    <t>i0773_3p012c_g27_e002</t>
  </si>
  <si>
    <t>Ilustração de uma intérprete de libras se
comunicando em dois momentos. Página 136 do g23_ftd_lt_3bac.
Cod.. Antigo ‐ i1670kb_3bac_g23_ftd_ly
AJUSTE – separar il em A e B.</t>
  </si>
  <si>
    <t>kb</t>
  </si>
  <si>
    <t>i0774_3p012c_g27_e002</t>
  </si>
  <si>
    <t>Ilustração de um homem adulto se comunicando com uma criança por meio da Libras. Eles devem estar sentados em um sofá de frente para televisão, passando um jornal apresentado por um jornalista com intérprete de Libras ao lado. Página 137 do g23_ftd_lt_3bac. Cód. Antigo‐ i1671kb_3bac_g23_ftd_ly</t>
  </si>
  <si>
    <t>i0503_3p012c_g27_e002</t>
  </si>
  <si>
    <t>ilustração de árvore. veio da página 73 do g23_ftd_lt_3bac. Código
antigo i1403rm_3bac_g23_ftd_ly
AJUSTE: remover o zoom com a representação da folha de árvore.
Ver print a seguir</t>
  </si>
  <si>
    <t>Maryane Vioto Silva</t>
  </si>
  <si>
    <t>i0504_3p012c_g27_e002</t>
  </si>
  <si>
    <t>ilustração de árvore. veio da página 73 do
g23_ftd_lt_3bac. Código antigo
i1403rm_3bac_g23_ftd_ly
AJUSTE: Recortar a folha de árvore com as setas
coloridas. Ver print a seguir.</t>
  </si>
  <si>
    <t>i0512_3p012c_g27_e002</t>
  </si>
  <si>
    <t>resgatar ilustração de flor. veio da página 77 do
g23_ftd_lt_3bac. Código antigo i1411rm_3bac_g23_ftd</t>
  </si>
  <si>
    <t>i0513_3p012c_g27_e002</t>
  </si>
  <si>
    <t>ilustração representativa contendo um homem, uma criança, duas árvores, plantas, flores, pássaros,
frutos. Página 78 do g23_ftd_lt_3bac. Código antigo i1412Acq_3bac_g23_ftd
AJUSTE: separar todos os zoons da imagem principal (zoom da flor, o zoom da abelha, o zoom do
pássaro comendo a maçã) e remover os tracejados.
Renomear as ilustração e zoons com retranca A, B, C</t>
  </si>
  <si>
    <t>i0514_3p012c_g27_e002</t>
  </si>
  <si>
    <t>Ilustração das etapas de germinação de uma planta. Resgate da página - 78 do g23_ftd_lt_3bac. cód antigo -i1412Acq_3bac_g23_ftd</t>
  </si>
  <si>
    <t>i0515_3p012c_g27_e002</t>
  </si>
  <si>
    <t>EXCLUIDA</t>
  </si>
  <si>
    <t>resgatar ilustração de menina com vasos
de plantas. veio da página 81 do
g23_ftd_lt_3bac. Código antigo
i1420dn_3bac_g23_ftd</t>
  </si>
  <si>
    <t>i0524_3p012c_g27_e002</t>
  </si>
  <si>
    <t>ilustração de mão inserindo uma folha em um vaso; Il de folha com broto; il de planta.
Veio da página 82 do g23_ftd_lt_3bac. Código
antigo - i1421ec_3bac_g23_ftd
AJUSTE – Separar as ils em - retrancas A,B e C.</t>
  </si>
  <si>
    <t xml:space="preserve">Resgate com ajuste </t>
  </si>
  <si>
    <t>i0530_3p012c_g27_e002</t>
  </si>
  <si>
    <t>ilustração da dentição de um carnívoropágina
87 do g23_ftd_lt_3bac. Código antigo
i1504rm_3bac_g23_ftd</t>
  </si>
  <si>
    <t>i0531_3p012c_g27_e002</t>
  </si>
  <si>
    <t>ilustração da dentição de um herbívoropágina
87 do g23_ftd_lt_3bac. Código antigo
i1505rm_3bac_g23_ftd</t>
  </si>
  <si>
    <t>i0533_3p012c_g27_e002</t>
  </si>
  <si>
    <t>Ilustração de um cavalo, mostrando os pulmões
em corte. página 89 do g23_ftd_lt_3bac
Cód. Antigo ‐ i1507Aec_3bac_g23_ftd_ly
AJUSTE ‐Recortar o cavalo, deixar a grama
embaixo de suas patas.</t>
  </si>
  <si>
    <t>i0534_3p012c_g27_e002</t>
  </si>
  <si>
    <t>Ilustração de uma abelha. Resgate da página 89 do
g23_ftd_lt_3bac.
Cód. Antigo ‐ i1507Aec_3bac_g23_ftd_ly
AJUSTE ‐Recortar a abelha, somente ela.</t>
  </si>
  <si>
    <t>i0535_3p012c_g27_e002</t>
  </si>
  <si>
    <t>Ilustração de traqueia de uma abelha em corte.
Resgate página 89 do g23_ftd_lt_3bac.
Cód. Antigo‐ i1507Cec_3bac_g23_ftd_ly</t>
  </si>
  <si>
    <t>i0536_3p012c_g27_e002</t>
  </si>
  <si>
    <t>Ilustração de uma minhoca sobre o solo.
Resgate página 89 do g23_ftd_lt_3bac.
cód. Antigo ‐ i1507Aec_3bac_g23_ftd_ly
AJUSTE – recortar somente a minhoca no solo.</t>
  </si>
  <si>
    <t>i0537_3p012c_g27_e002</t>
  </si>
  <si>
    <t>Ilustração de parte de uma minhoca em corte
sobre o solo. Resgate página 89 do
g23_ftd_lt_3bac.
Cód. Antigo ‐ i1507Dec_3bac_g23_ftd_ly</t>
  </si>
  <si>
    <t>i0538_3p012c_g27_e002</t>
  </si>
  <si>
    <t>Ilustração de um peixe em um rio.
Resgate página 88 do g23_ftd_lt_3bac.
Cód. Antigo ‐ i1507Aec_3bac_g23_ftd_ly
AJUSTE – recortar o peixe no rio.</t>
  </si>
  <si>
    <t>i0539_3p012c_g27_e002</t>
  </si>
  <si>
    <t>Ilustração de brânquias de um peixe.
Resgate página 88 do g23_ftd_lt_3bac.
Cód. Antigo‐ i1507Bec_3bac_g23_ftd_ly</t>
  </si>
  <si>
    <t>i0540_3p012c_g27_e002</t>
  </si>
  <si>
    <t>Ilustração de girinos e sapo adulto em rio.
Resgate página 88 do g23_ftd_lt_3bac.
Cód. Antigo ‐ i1507Aec_3bac_g23_ftd_ly
AJUSTE – recortar o sapo sobre a pedra com os
girinos ao redor no rio.</t>
  </si>
  <si>
    <t>i0557_3p012c_g27_e002</t>
  </si>
  <si>
    <t>regatar ilustração de menina e senhora
observando um galinheiro. veio da página 94
do g23_ftd_lt_3bac. Código antigo
i1524Akb_3bac_g23_ftd_ly</t>
  </si>
  <si>
    <t>i0558_3p012c_g27_e002</t>
  </si>
  <si>
    <t>resgatar ilustração de menina observando um
galinheiro . veio da página 94 do
g23_ftd_lt_3bac. Código antigo
i1524Bkb_3bac_g23_ftd_ly</t>
  </si>
  <si>
    <t>i0559_3p012c_g27_e002</t>
  </si>
  <si>
    <t>resgatar ilustração de galo e galinha com seus
pintinhos . veio da página 94 do
g23_ftd_lt_3bac. Código antigo
i1524Ckb_3bac_g23_ftd_ly</t>
  </si>
  <si>
    <t>i0560_3p012c_g27_e002</t>
  </si>
  <si>
    <t>resgatar ilustração de menina observando
fotos. veio da página 94 do g23_ftd_lt_3bac.
Código antigo i1524Dkb_3bac_g23_ftd_ly</t>
  </si>
  <si>
    <t>i0562_3p012c_g27_e002</t>
  </si>
  <si>
    <t>il de reprodução do sapos, espermatozoides, rio, ovócitos, ovos, girinos ‐. veio da página 95 do
g23_ftd_lt_3bac. Código antigo i1526xe_3bac_g23_ftd</t>
  </si>
  <si>
    <t>i0575_3p012c_g27_e002</t>
  </si>
  <si>
    <t>resgatar ilustração de grilo e separar em 4 ilustrações. veio da página 99 do g23_ftd_lt_3bac. Código
antigo i1539rm_3bac_g23_ftdA</t>
  </si>
  <si>
    <t>i0576_3p012c_g27_e002</t>
  </si>
  <si>
    <t>Resgatar ilustração de uma palestrante e pessoas observando. Página 100 do g23_ftd_lt_3bac. Código
antigo i1540iv_3bac_g23_ftd_ef_ly</t>
  </si>
  <si>
    <t>i0596_3p012c_g27_e002</t>
  </si>
  <si>
    <t>Ilustração de um bebê negro, com cabelos
crespo e pretos, olhos pretos.
Resgate da página 22 do g23_ftd_lt_2bac
Cód. Antigo‐ i0231Acq_2bac_g23_ftd_ly</t>
  </si>
  <si>
    <t>i0597_3p012c_g27_e002</t>
  </si>
  <si>
    <t>cabelos crespo e pretos, olhos pretos, agora
com 10 anos.  Resgate da página 22 do g23_ftd_lt_2bac
Cód. Antigo‐ i0231Bcq_2bac_g23_ftd_ly</t>
  </si>
  <si>
    <t>i0598_3p012c_g27_e002</t>
  </si>
  <si>
    <t>Ilustração do mesmo menino negro, com
cabelos crespo e pretos, olhos pretos, agora
com 16 anos.
Resgate da página 23 do g23_ftd_lt_2bac
Cód. Antigo ‐ i0231Ccq_2bac_g23_ftd_ly</t>
  </si>
  <si>
    <t>i0599_3p012c_g27_e002</t>
  </si>
  <si>
    <t>Ilustração do mesmo menino negro, com
cabelos crespo e pretos, olhos pretos, agora
com 30 anos.
Resgate da página 23 do g23_ftd_lt_2bac
Cód. Antigo ‐ i0231Dcq_2bac_g23_ftd_ly</t>
  </si>
  <si>
    <t>i0600_3p012c_g27_e002</t>
  </si>
  <si>
    <t>Ilustração do mesmo menino negro, com
cabelos crespo e pretos, olhos pretos, agora
com 70 anos.
Resgate da página 23 do g23_ftd_lt_2bac
Cód. Antigo ‐ i0231Ecq_2bac_g23_ftd_ly</t>
  </si>
  <si>
    <t>i0503_5p012c_g27_e002</t>
  </si>
  <si>
    <t>Ilustração de copo com duas bolinhas. Página 35 do g23_ftd_lt_5bac. Código antigo
i0404rm_5bac_g23_ftd_LOcopy2
AJUSTE – separar il em diferentes retrancas</t>
  </si>
  <si>
    <t xml:space="preserve">Rafaela Panissa </t>
  </si>
  <si>
    <t>i0504_5p012c_g27_e002</t>
  </si>
  <si>
    <t>Ilustração de duas balanças com bolinhas em cima de cada uma delas. Página 35 do g23_ftd_lt_5bac.
Código antigo i0404rm_5bac_g23_ftd_LOcopy1
AJUSTE – Separar ils em retrancas diferentes</t>
  </si>
  <si>
    <t>i0538_5p012c_g27_e002</t>
  </si>
  <si>
    <t>Ilustração de crianças soltando pipa.
Página 58 do g23_ftd_lt_5bac. Código antigo
i0628kf_5bac_g23_ftd_ef_ly
AJUSTE‐ recortar parte do ambiente com as
crianças soltando pipa. Inserir adulto na cena</t>
  </si>
  <si>
    <t>kf</t>
  </si>
  <si>
    <t>i0539_5p012c_g27_e002</t>
  </si>
  <si>
    <t>Ilustração de equipamentos elétricos conectados na
tomada. Resgatar apenas o zoom.
Página 58 do g23_ftd_lt_5bac. Código antigo
i0628kf_5bac_g23_ftd_ef_ly_circulos
AJUSTE – separar círculos em retrancas A,B,C...</t>
  </si>
  <si>
    <t>i0540_5p012c_g27_e002</t>
  </si>
  <si>
    <t>Resgatar ilustração de um chuveiro. veio da página
61 do g23_ftd_lt_5bac. Código antigo
i0631Afb_5bac_g23_ftd</t>
  </si>
  <si>
    <t>fb</t>
  </si>
  <si>
    <t>i0541_5p012c_g27_e002</t>
  </si>
  <si>
    <t>Resgatar Ilustração de uma geladeira. veio da
página 61 do g23_ftd_lt_5bac. Código antigo
i0631Cfb_5bac_g23_ftd</t>
  </si>
  <si>
    <t>i0542_5p012c_g27_e002</t>
  </si>
  <si>
    <t>Resgatar Ilustração de um computador. veio da
página 61 do g23_ftd_lt_5bac. Código antigo
i0631Bfb_5bac_g23_ftd</t>
  </si>
  <si>
    <t>i0543_5p012c_g27_e002</t>
  </si>
  <si>
    <t>Resgatar Ilustração de uma lâmpada. veio da
página 61 do g23_ftd_lt_5bac. Código antigo
i0631Dfb_5bac_g23_ftd</t>
  </si>
  <si>
    <t>i0544_5p012c_g27_e002</t>
  </si>
  <si>
    <t>Resgatar Ilustração de uma máquina de lavar e um
ferro de passar roupas. veio da página 61 do
g23_ftd_lt_5bac. Código antigo
i0631Efb_5bac_g23_ftd</t>
  </si>
  <si>
    <t>i0545_5p012c_g27_e002</t>
  </si>
  <si>
    <t>Ilustração de representação de um bairro com fontes
alternativas renováveis de energia (Postes solares e
lâmpadas de garrafa PET.
Página 62 g23_ftd_lt_5bac‐ cód. Antigo
i0634xe_5bac_g23_ftd_ly_ef
AJUSTE – recortar a imagem, será aplicado apenas
essa parte que está no print.</t>
  </si>
  <si>
    <t>i0547_5p012c_g27_e002</t>
  </si>
  <si>
    <t>Zoom de lâmpada de garrafa PET dentro de uma residência.
Página 63 do g23_ftd_lt_5bac ‐ cód.
Antigo i0634xe_5bac_g23_ftd_ly_ef
AJUSTE – separar o zoom da imagem principal.</t>
  </si>
  <si>
    <t>i0548_5p012c_g27_e002</t>
  </si>
  <si>
    <t>Ilustração de fatura de energia elétrica. Página 64 do g23_ftd_lt_5bac. Código antigo
i0636zz_5bac_g23_ftd
AJUSTE – atualizar datas de 2023 para 2027, ver referência anexo.</t>
  </si>
  <si>
    <t>zz</t>
  </si>
  <si>
    <t>CARMEN MARTINEZ/ARQUIVO DA EDITORA</t>
  </si>
  <si>
    <t>i0549_5p012c_g27_e002</t>
  </si>
  <si>
    <t>ilustração de casas em uma rua. veio da página 64 do g23_ftd_lt_5bac. Código antigo - i0635xe_5bac_g23_ftd_ly_ef</t>
  </si>
  <si>
    <t>i0554_5p012c_g27_e002</t>
  </si>
  <si>
    <t>Ilustração de um ímã com seus polos magnéticos. Página 67 do
g23_ftd_lt_5bac. Código antigo i0640fb_5bac_g23_ftd</t>
  </si>
  <si>
    <t>i0555_5p012c_g27_e002</t>
  </si>
  <si>
    <t>Resgatar Ilustração de ímãs com seus polos
magnéticos. Página 67 do g23_ftd_lt_5bac. Código
antigo i0641fb_5bac_g23_ftd</t>
  </si>
  <si>
    <t>i0556_5p012c_g27_e002</t>
  </si>
  <si>
    <t>Ilustração de ímãs com seus polos magnéticos.
Página 67 do g23_ftd_lt_5bac. Código antigo
i0642fb_5bac_g23_ftd</t>
  </si>
  <si>
    <t>i0557_5p012c_g27_e002</t>
  </si>
  <si>
    <t>Ilustração de representação de um ímã que se quebrou. Página 67 do g23_ftd_lt_5bac. Código antigo i0643fb_5bac_g23_ftd</t>
  </si>
  <si>
    <t>i0558_5p012c_g27_e002</t>
  </si>
  <si>
    <t>Ilustração de ímãs quebrados - AJUSTE- separar retranca em A,B,C. pág. 68 do g23_ftd_lt_5bac. Código antigo- i0666Bfb_5bac_g23_ftd</t>
  </si>
  <si>
    <t>i0580_5p012c_g27_e002</t>
  </si>
  <si>
    <t>Ilustração de bandeira verde, sem acréscimo na tarifa. Veio da
página 75 do g23_ftd_lt_5bac. Código antigo
i0665fb_5bac_g23_ftd - AJUSTE – separar il</t>
  </si>
  <si>
    <t>i0581_5p012c_g27_e002</t>
  </si>
  <si>
    <t>Ilustração de bandeira amarela,  página 75 do
g23_ftd_lt_5bac. Código antigo - i0665fb_5bac_g23_ftd1 
AJUSTE – separar il</t>
  </si>
  <si>
    <t>i0582_5p012c_g27_e002</t>
  </si>
  <si>
    <t>Ilustração de bandeira vermelha, . Veio da página 75 do
g23_ftd_lt_5bac. Código antigo i0665fb_5bac_g23_ftd2
AJUSTE – separar il</t>
  </si>
  <si>
    <t>i0572_5p012c_g27_e002</t>
  </si>
  <si>
    <t>Ilustração de uma bússola. Página 71 do g23_ftd_lt_5bac Cód antigo - i0660fb_5bac_g23_ftd</t>
  </si>
  <si>
    <t>i0352_5p012c_g27_e002</t>
  </si>
  <si>
    <t>Ilustração de Médica veterinária cuidando de uma arara azul. Página 108 do g23_ftd_lt_5bac.
Código antigo i1028ez_5bac_g23_ftd_ly
AJUSTE – separar da outra il que está no mesmo arquivo</t>
  </si>
  <si>
    <t>ez</t>
  </si>
  <si>
    <t>i0353_5p012c_g27_e002</t>
  </si>
  <si>
    <t>Ilustração de Indígena coletando cupuaçu do
cupuazeiro. Página 110 do g23_ftd_lt_5bac.
Código antigo i1029ez_5bac_g23_ftd_ly
AJUSTE ‐ CORTAR PARTE DA SOMRA DO
CUPUAÇUZEIRO.</t>
  </si>
  <si>
    <t>i0709_5p012c_g27_e002</t>
  </si>
  <si>
    <t>AJUSTADA
Ilustração de representação do sistema digestório humano. 
Usar il ajustada (corpo_humano2), ver com Ingridhi</t>
  </si>
  <si>
    <t>NELSON ISHIKAWA/ARQUIVO DA EDITORA</t>
  </si>
  <si>
    <t>Padrão</t>
  </si>
  <si>
    <t>i0717_5p012c_g27_e002</t>
  </si>
  <si>
    <t>Ilustração do sistema nervoso humano. Página 124 do g23_ftd_lt_5bac. Código antigo i1281zz_5bac_g23_ftd</t>
  </si>
  <si>
    <t>i0733_5p012c_g27_e002</t>
  </si>
  <si>
    <t>Ilustração de um agricultor colocando alfaces em caixas dentro de um caminhão, em uma fazenda com plantação de alface. Página 130 do g23_ftd_lt_5bac
Cód. Antigo - i1240Akm_5bac_g23_ftd_ly</t>
  </si>
  <si>
    <t>i0734_5p012c_g27_e002</t>
  </si>
  <si>
    <t>Ilustração de alface sendo transportado em caixas dentro de um caminhão. O caminhão deve estar na rua de uma cidade próximo a um mercado. Página 130 do g23_ftd_lt_5bac
Cód. Antigo - i1240Bkm_5bac_g23_ftd_ly</t>
  </si>
  <si>
    <t>i0735_5p012c_g27_e002</t>
  </si>
  <si>
    <t>Ilustração de um agricultor de homem escolhendo alfaces em um mercado. Página 131 do g23_ftd_lt_5bac
Cód. Antigo - i1240Ckm_5bac_g23_ftd_ly</t>
  </si>
  <si>
    <t>i0736_5p012c_g27_e002</t>
  </si>
  <si>
    <t>Ilustração de um homem colocando alface no prato de refeição de uma criança que está sentada a mesa de jantar.
Página 131 do g23_ftd_lt_5bac
Cód. Antigo - i1240Dkm_5bac_g23_ftd_ly</t>
  </si>
  <si>
    <t>i0737_5p012c_g27_e002</t>
  </si>
  <si>
    <t>Ilustração de uma casa. Página 132 do g23_ftd_lt_5bac. Código antigo i1241Bkm_5bac_g23_ftd_ly</t>
  </si>
  <si>
    <t>i0738_5p012c_g27_e002</t>
  </si>
  <si>
    <t>Ilustração de uma lanchonete. Página 132 do g23_ftd_lt_5bac. Código antigo i1241Ckm_5bac_g23_ftd_ly</t>
  </si>
  <si>
    <t>i0739_5p012c_g27_e002</t>
  </si>
  <si>
    <t>Ilustração de uma cesta de compras contendo legumes e verduras. Página 132 do g23_ftd_lt_5bac. Código antigo i1241Dkm_5bac_g23_ftd_ly</t>
  </si>
  <si>
    <t>g0744_5p012c_g27_e002</t>
  </si>
  <si>
    <t>Gráfico de setores sobre a segurança alimentar nos domicílios brasileiros no quarto trimestre em 2023.
Dados
Segurança alimentar: 73%
Insegurança alimentar leve: 18%
Insegurança alimentar moderada: 5%
Insegurança alimentar grave: 4%</t>
  </si>
  <si>
    <t>fg</t>
  </si>
  <si>
    <t>Grafico Simples</t>
  </si>
  <si>
    <t>i0748_5p012c_g27_e002</t>
  </si>
  <si>
    <t>Ilustração de homem e menina escolhendo frutas em uma gondola. Página 138 do g23_ftd_lt_5bac. Código antigo i1252ec_5bac_g23_ftd</t>
  </si>
  <si>
    <t>i0749_5p012c_g27_e002</t>
  </si>
  <si>
    <t>Ilustração de homem, mulher e menina em um supermercado. Página 138 do g23_ftd_lt_5bac. Código antigo i1254ec_5bac_g23_ftd</t>
  </si>
  <si>
    <t>i0750_5p012c_g27_e002</t>
  </si>
  <si>
    <t>Ilustração de mulher e menina verificando a data de validade de um produto. Página 138 do g23_ftd_lt_5bac. Código antigo i1253ec_5bac_g23_ftd
AJUSTE – ajustar a datado produto para 2028.</t>
  </si>
  <si>
    <t>i0751_5p012c_g27_e002</t>
  </si>
  <si>
    <t>Ilustração de família em cozinha de casa. Página 139 do g23_ftd_lt_5bac. Código antigo i1255EC_5bac_g23_ftd</t>
  </si>
  <si>
    <t>i0752_5p012c_g27_e002</t>
  </si>
  <si>
    <t>AJUSTADA
Ilustração de silhueta humana sistema digestório com alimento na boca. Arte, usar a imagem - corpo_humano5- ver com Ingridhi.</t>
  </si>
  <si>
    <t>i0753_5p012c_g27_e002</t>
  </si>
  <si>
    <t>Ilustração de dentição decídua humana. Página 141 do g23_ftd_lt_5bac. Código antigo i1257zz_5bac_g23_ftd</t>
  </si>
  <si>
    <t>Excluída pela equipe</t>
  </si>
  <si>
    <t>i0754_5p012c_g27_e002</t>
  </si>
  <si>
    <t>Ilustração de dentição permanente humana. Página 141 do g23_ftd_lt_5bac. Código antigo i1258zz_5bac_g23_ftd</t>
  </si>
  <si>
    <t>i0755_5p012c_g27_e002</t>
  </si>
  <si>
    <t>Ilustração de parte do sistema digestório humano, com o alimento boca, esôfago e estômago.
Arte, usar imagem – corpo_humano8, ver com Ingridhi.</t>
  </si>
  <si>
    <t>i0756_5p012c_g27_e002</t>
  </si>
  <si>
    <t>AJUSTADA
Ilustração de parte do sistema digestório humano.
Arte, usar imagem - corpo_humano9, ver com Ingridhi.</t>
  </si>
  <si>
    <t>i0758_5p012c_g27_e002</t>
  </si>
  <si>
    <t>Ilustração de crianças inspirando lentamente. Página 143 do g23_ftd_lt_5bac. Código antigo i1261cd_5bac_g23_ftd
AJUSTE – separar ils</t>
  </si>
  <si>
    <t>cd</t>
  </si>
  <si>
    <t>i0759_5p012c_g27_e002</t>
  </si>
  <si>
    <t>Ilustração de crianças medindo o tórax do colega com a fita métrica. Página 143 do g23_ftd_lt_5bac. Código antigo i1261cd_5bac_g23_ftd1  -   AJUSTE – separar ils</t>
  </si>
  <si>
    <t>i0760_5p012c_g27_e002</t>
  </si>
  <si>
    <t>AJUSTADA
Ilustração do sistema respiratório humano.
Arte, usar parte de cima do corpo - corpo_humano4 , ver com Ingridhi.</t>
  </si>
  <si>
    <t>i0761_5p012c_g27_e002</t>
  </si>
  <si>
    <t>Ilustração de zoom dos alvéolos pulmonares -pág.
144 do g23_ftd_lt_5bac
Cód. Antigo - i1262Bzz_5bac_g23_ftd</t>
  </si>
  <si>
    <t>i0762_5p012c_g27_e002</t>
  </si>
  <si>
    <t>Ilustração de zoom vasos sanguíneos- -pág.
144 do g23_ftd_lt_5bac
Cód. Antigo - i1262Czz_5bac_g23_ftd</t>
  </si>
  <si>
    <t>i0766_5p012c_g27_e002</t>
  </si>
  <si>
    <t>Ilustração de representação do sistema cardiovascular humano. Página 147 do g23_ftd_lt_5bac. Código antigo i1267zz_5bac_g23_ftd</t>
  </si>
  <si>
    <t>i0767_5p012c_g27_e002</t>
  </si>
  <si>
    <t>stração de representação do coração humano. Página 147 do g23_ftd_lt_5bac. Código antigo i1268zz_5bac_g23_ftd</t>
  </si>
  <si>
    <t>i0768_5p012c_g27_e002</t>
  </si>
  <si>
    <t>Ilustração de Representação de uma artéria. Página 148 do g23_ftd_lt_5bac. Código antigo i1269rm_5bac_g23_ftd</t>
  </si>
  <si>
    <t>i0769_5p012c_g27_e00</t>
  </si>
  <si>
    <t>Ilustração de Representação de veia. Página 148 do g23_ftd_lt_5bac. Código antigo i1271rm_5bac_g23_ftd</t>
  </si>
  <si>
    <t>i0770_5p012c_g27_e00</t>
  </si>
  <si>
    <t>Ilustração de Representação dos capilares. Página 148 do g23_ftd_lt_5bac. Código antigo i1270rm_5bac_g23_ftd</t>
  </si>
  <si>
    <t>i0775_5p012c_g27_e002</t>
  </si>
  <si>
    <t>Ilustração do sistema urinário feminino humano. Página 151 do g23_ftd_lt_5bac. Código antigo i1275zz_5bac_g23_ftd</t>
  </si>
  <si>
    <t>i0776_5p012c_g27_e002</t>
  </si>
  <si>
    <t>Ilustração do sistema urinário masculino humano. Página 151 do g23_ftd_lt_5bac. Código antigo i1276zz_5bac_g23_ftd</t>
  </si>
  <si>
    <t>i0779_5p012c_g27_e002</t>
  </si>
  <si>
    <t>Ilustração de silhueta humana com sistema digestório com alimento na boca. Arte, usar a imagem - corpo_humano5- ver com Ingridhi.</t>
  </si>
  <si>
    <t>i0782_5p012c_g27_e002</t>
  </si>
  <si>
    <t>Ilustração do sistema cardiovascular.
Página 147 do g23_ftd_lt_5bac. Código antigo i1267zz_5bac_g23_ftd</t>
  </si>
  <si>
    <t>i0783_5p012c_g27_e002</t>
  </si>
  <si>
    <t>Ilustração do sistema urinário masculino. Página 151 do g23_ftd_lt_5bac. Código antigo i1276zz_5bac_g23_ftd1</t>
  </si>
  <si>
    <t>i0104_5p012c_g27_e002</t>
  </si>
  <si>
    <t>Ilustração de representação do movimento de rotação da Terra. Página 11 do g23_ftd_lt_5bac. Código antigo i0206xe_5bac_g23_ftd</t>
  </si>
  <si>
    <t>i0107_5p012c_g27_e002</t>
  </si>
  <si>
    <t>Ilustração de representação do movimento de translação da Terra. Página 11 do g23_ftd_lt_5bac. Código antigo i0207xe_5bac_g23_ftd AJUSTE – deixar a órbita menos elíptica</t>
  </si>
  <si>
    <t>i0112_5p012c_g27_e002</t>
  </si>
  <si>
    <t>Ilustração de constelação de anta. Página 14 do g23_ftd_lt_5bac. Código antigo i0213fb_5bac_g23_ftd</t>
  </si>
  <si>
    <t>i0113_5p012c_g27_e002</t>
  </si>
  <si>
    <t>Ilustração de constelação de ema. Página 14 do g23_ftd_lt_5bac. Código antigo i0214fb_5bac_g23_ftd</t>
  </si>
  <si>
    <t>i0115_5p012c_g27_e002</t>
  </si>
  <si>
    <t>Ilustração de uma mulher e de uma criança segurando um tablet com aplicativo de astronomia e observando a constelação de escorpião. Página 15 do g23_ftd_lt_5bac. Código antigo i0216cd_5bac_g23_ftd</t>
  </si>
  <si>
    <t>i0119_5p012c_g27_e002</t>
  </si>
  <si>
    <t>Ilustração de representação do método utilizado para localizar a direção das constelações. Página 17 do g23_ftd_lt_5bac. Código antigo i0220fb_5bac_g23_ftd</t>
  </si>
  <si>
    <t>i0120_5p012c_g27_e002</t>
  </si>
  <si>
    <t>Ilustração do calendário do mês de maio de 2027, mostrando os dias da semana e os respectivos formatos da Lua, permitindo acompanhar a modificação de seu formato no período de um mês.
Referência, página 18, do g23_ftd_lt_5bac
https://www.calendarr.com/brasil/calendario-lunar-2027/</t>
  </si>
  <si>
    <t>i0121_5p012c_g27_e002</t>
  </si>
  <si>
    <t>Ilustração do calendário do mês de junho de 2027, mostrando os dias da semana e os respectivos formatos da Lua, permitindo acompanhar a modificação de seu formato no período de um mês.
Referência, página 18, do g23_ftd_lt_5bac
https://www.calendarr.com/brasil/calendario-lunar-2027/</t>
  </si>
  <si>
    <t>i0126_5p012c_g27_e002</t>
  </si>
  <si>
    <t>Ilustração de lua cheia. Página 19 do g23_ftd_lt_5bac. Código antigo i0224Afb_5bac_g23_ftd</t>
  </si>
  <si>
    <t>i0127_5p012c_g27_e002</t>
  </si>
  <si>
    <t>Ilustração de lua crescente. Página 19 do g23_ftd_lt_5bac. Código antigo i0224Bfb_5bac_g23_ftd</t>
  </si>
  <si>
    <t>i0128_5p012c_g27_e002</t>
  </si>
  <si>
    <t>Ilustração de lua nov. Página 19 do g23_ftd_lt_5bac. Código antigo i0224Cfb_5bac_g23_ft</t>
  </si>
  <si>
    <t>i0129_5p012c_g27_e002</t>
  </si>
  <si>
    <t>Ilustração de lua decrescente. Página 19 do g23_ftd_lt_5bac. Código antigo i0224Dfb_5bac_g23_ftd</t>
  </si>
  <si>
    <t>i0130_5p012c_g27_e002</t>
  </si>
  <si>
    <t>Ilustração de página do calendário de um dos meses do ano (março) de 2027, mostrando os dias da semana e com legenda que mostre os dias que começam as fases da Lua, com o desenho de seu formato aparente. Referência, página 20, do g23_ftd_lt_5bacUSAR CALENDÁRIO PADRÃO DA OBRA</t>
  </si>
  <si>
    <t>cj</t>
  </si>
  <si>
    <t xml:space="preserve">i0131_5p012c_g27_e002 </t>
  </si>
  <si>
    <t>Ilustração de página do calendário do mês posterior ao mês da ilustração ao lado (abril), do ano de 2027, mostrando os dias da semana e com legenda que mostre os dias que começam as fases da Lua, com o desenho de seu formato aparente. Referência, página 20, do g23_ftd_lt_5bac USAR CALENDÁRIO PADRÃO DA OBRA</t>
  </si>
  <si>
    <t>Está junto com i0130.</t>
  </si>
  <si>
    <t>Excluir código i0131, foi 
incorporado ao i0130</t>
  </si>
  <si>
    <t>i0132_5p012c_g27_e002</t>
  </si>
  <si>
    <t>Ilustração de representação das fases da lua. Página 20 do g23_ftd_lt_5bac. Código antigo i0226fb_5bac_g23_ftd</t>
  </si>
  <si>
    <t>i0143_5p012c_g27_e002</t>
  </si>
  <si>
    <t>Ilustração de recorte de rosto olhando em uma luneta, mostrando sua estrutura interna. Página 25 do g23_ftd_lt_5bac. Código antigo i0236rm_5bac_g23_ftd</t>
  </si>
  <si>
    <t>i0145_5p012c_g27_e002</t>
  </si>
  <si>
    <t>Ilustração de recorte de rosto olhando em um telescópio refletor, mostrando sua estrutura interna. Veio da página 25 do g23_ftd_lt_5bac. Código antigo i0238rm_5bac_g23_ftd</t>
  </si>
  <si>
    <t>i0149_5p012c_g27_e002</t>
  </si>
  <si>
    <t>Ilustração de recorte de rosto olhando em um periscópio, mostrando sua estrutura interna. Página 27 do g23_ftd_lt_5bac. Código antigo i0242rm_5bac_g23_ftd</t>
  </si>
  <si>
    <t>i0152_5p012c_g27_e002</t>
  </si>
  <si>
    <t>Ilustração de cientistas usando microscópio eletrônico. Veio da página 28 e 29 do g23_ftd_lt_5bac.
Código antigo i0245cq_5bac_g23_ftd_ly
AJUSTE – ajustar a il para que entre apenas no rodapé dessa página.</t>
  </si>
  <si>
    <t>i0155_5p012c_g27_e002</t>
  </si>
  <si>
    <t>Ilustração constelação da ema. Página 31 do g23_ftd_lt_5bac Código antigo i0248fb_5bac_g23_ftd</t>
  </si>
  <si>
    <t>i0156_5p012c_g27_e002</t>
  </si>
  <si>
    <t>Ilustração constelação do veado. Página 31 do g23_ftd_lt_5bac Código antigo i0249fb_5bac_g23_ftd</t>
  </si>
  <si>
    <t>i0157_5p012c_g27_e002</t>
  </si>
  <si>
    <t>Ilustração constelação do homem velho. Página 31 do g23_ftd_lt_5bac Código antigo i0250fb_5bac_g23_ftd</t>
  </si>
  <si>
    <t>i0305_4p012c_g27_e002</t>
  </si>
  <si>
    <t>Ilustração de uma mulher e uma criança na cozinha. A mulher coloca no congelador uma forma de gelo com água. A forma de gelo está destacada com a letra A. No fogão aceso, há uma chaleira com vapor saindo pelo bico. O vapor está destacado com a letra B. A criança está sentada na mesa, com um copo de água e gelo. O copo está destacado com a letra C. 
Página 58 do g23_ftd_lt_4bac. Código antigo: i0601Acd_4bac_g23_ftd</t>
  </si>
  <si>
    <t>i0306_4p012c_g27_e002</t>
  </si>
  <si>
    <t>Ilustração de copo de água da ilustração da página 58 do g23_ftd_lt_4bac. Código antigo: i0601Bcd_4bac_g23_ftd</t>
  </si>
  <si>
    <t>i0310_4p012c_g27_e002</t>
  </si>
  <si>
    <t>Ilustração de um homem quebrando ovos e despejando-os em uma tigela. Página 59 do g23_ftd_lt_4bac. Código antigo: i0602Acd_4bac_g23_ftd</t>
  </si>
  <si>
    <t>i0311_4p012c_g27_e002</t>
  </si>
  <si>
    <t>Ilustração de um homem adicionando leite à mistura da tigela. Página 59 do g23_ftd_lt_4bac. Código antigo: i0602Bcd_4bac_g23_ftd</t>
  </si>
  <si>
    <t>i0312_4p012c_g27_e002</t>
  </si>
  <si>
    <t>Ilustração de um homem adicionando manteiga derretida à mistura da tigela. Página 59 do g23_ftd_lt_4bac. Código antigo: i0602Ccd_4bac_g23_ftd</t>
  </si>
  <si>
    <t>i0313_4p012c_g27_e002</t>
  </si>
  <si>
    <t>Ilustração de um homem adicionando farinha à mistura da tigela. Página 59 do g23_ftd_lt_4bac. Código antigo: i0602Dcd_4bac_g23_ftd</t>
  </si>
  <si>
    <t>i0314_4p012c_g27_e002</t>
  </si>
  <si>
    <t>Ilustração de um homem colocando uma forma de bolo no forno. Página 59 do g23_ftd_lt_4bac. Código antigo: i0602Ecd_4bac_g23_ftd</t>
  </si>
  <si>
    <t>i0315_4p012c_g27_e002</t>
  </si>
  <si>
    <t>Ilustração de um bolo pronto. Página 59 do g23_ftd_lt_4bac. Código antigo: i0602Fcd_4bac_g23_ftd</t>
  </si>
  <si>
    <t>i0335_4p012c_g27_e002</t>
  </si>
  <si>
    <t xml:space="preserve">Ilustração de uma cena em um supermercado. Ilustração de uma menina de aproximadamente 10 anos, branca de cabelos lisos e castanhos. Ela deve estar usando um colar de identificação do autismo. Ao lado dela, deve ter um homem de aproximadamente 35 anos com características físicas semelhantes ao da menina. Ele deve estar segurando e analisando uma embalagem de café, enquanto a menina olha uma prateleira em que tudo tem plástico: frutas em uma embalagem com PVC (Filme PVC cobrindo as frutas), embalagens de café, queijo ralado, coco ralado, pote de mel. </t>
  </si>
  <si>
    <t>wh</t>
  </si>
  <si>
    <t>RAFE: 29/04/2025
FINAL: 02/05/2025</t>
  </si>
  <si>
    <t>PAGO</t>
  </si>
  <si>
    <t>i0336_4p012c_g27_e002</t>
  </si>
  <si>
    <t>Ilustração de uma mulher negra de tranças no supermercado, utilizando sacola reutilizável, enquanto a caixa oferece sacolas plásticas. Ele deve estar mostrando que vai utilizar a sacola reutilizável. Pode mostrar apenas o braço do caixa.</t>
  </si>
  <si>
    <t>R: 08/04 F:11/04</t>
  </si>
  <si>
    <t>i0341_4p012c_g27_e002</t>
  </si>
  <si>
    <t>Ilustração de cadeia alimentar com capim. Há uma seta apontando do capim para o preá, outra do preá para a suçuarana. Há setas apontando do capim, do preá e da suçuarana para os fungos e as bactérias. Página 72 do g23_ftd_lt_4bac. Código antigo: i0801xe_4bac_g23_ftd_ly
AJUSTE: adequar ilustração para caber em apenas uma página, conforme print a seguir.</t>
  </si>
  <si>
    <t>i0342_4p012c_g27_e002</t>
  </si>
  <si>
    <t>Recorte do capim da ilustração da página anterior.</t>
  </si>
  <si>
    <t>i0343_4p012c_g27_e002</t>
  </si>
  <si>
    <t>Recorte do preá da ilustração da página anterior.</t>
  </si>
  <si>
    <t>i0344_4p012c_g27_e002</t>
  </si>
  <si>
    <t>Recorte da suçuarana da ilustração da página anterior.</t>
  </si>
  <si>
    <t>i0345_4p012c_g27_e002</t>
  </si>
  <si>
    <t>Recorte dos microrganismos da ilustração da página anterior.</t>
  </si>
  <si>
    <t>i0346_4p012c_g27_e002</t>
  </si>
  <si>
    <t>Ilustração de cadeia alimentar. Página 74 do g23_ftd_lt_4bac. Código antigo: i0802xe_4bac_g23_ftd</t>
  </si>
  <si>
    <t>i0348_4p012c_g27_e002</t>
  </si>
  <si>
    <t>Ilustração de teia alimentar com: capim, gafanhoto, preá, teiú, veado-campeiro, sapo-ferreiro, suçuarana e seres vivos decompositores. O gafanhoto se alimenta de capim. O preá se alimenta de capim e de gafanhoto. O sapo-ferreiro se alimenta de gafanhoto. O teiú se alimenta de gafanhoto e de sapo-ferreiro. O veado-campeiro se alimenta de capim. A suçuarana se alimenta de preá, teiú e veado-campeiro. Todos são decompostos pelos seres vivos decompositores. Página 77 do g23_ftd_lt_4bac. Código antigo: i0805xe_4bac_g23_ftd</t>
  </si>
  <si>
    <t>i0349_4p012c_g27_e002</t>
  </si>
  <si>
    <t>Ilustração de Sol ilumina o capim, que serve de alimento ao preá, que serve de alimento à suçuarana. Setas vermelhas voltadas para cima saem do capim, do preá e da suçuarana. Página 75 do g23_ftd_lt_4bac. Código antigo: i0803xe_4bac_g23_ftd</t>
  </si>
  <si>
    <t>i0350_4p012c_g27_e002</t>
  </si>
  <si>
    <t>Ilustração de esquema com capim, preá, suçuarana e fungos e bactérias. Setas indicam a transferência do capim ao preá, do preá à suçuarana e de todos aos fungos e bactérias. Página 76 do g23_ftd_lt_4bac. Código antigo: i0804xe_4bac_g23_ftd</t>
  </si>
  <si>
    <t>i0357_4p012c_g27_e002</t>
  </si>
  <si>
    <t>Ilustração de estudantes em sala de aula. Há dois alunos apresentando um cartaz sobre 'Animais Exóticos Invasores' à frente da sala. O professor está ao lado da lousa. Página 80 do g23_ftd_lt_4bac. Código antigo: i0806iv_4bac_g23_ftd_ly
Ajuste: Adequar a il para que fique em uma página. Ver print</t>
  </si>
  <si>
    <t>i0370_4p012c_g27_e002</t>
  </si>
  <si>
    <t>Ilustração de teia alimentar com suçuarana, planta, mocó, tatu-bola, gafanhoto e seres vivos decompositores. O gafanhoto e o mocó se alimentam da planta. O tatu-bola se alimenta do gafanhoto. A suçuarana se alimenta do mocó e do tatu-bola. Todos servem de alimento para os seres vivos decompositores. Página 89 do g23_ftd_lt_4bac. Código antigo: i0807xe_4bac_g23_ftd</t>
  </si>
  <si>
    <t>i0152_3p012c_g27_e002</t>
  </si>
  <si>
    <t xml:space="preserve">Ilustração da constelação da Ema.
Página 31 do g23_ftd_lt_5bac.
Cód.antigo - i0248fb_5bac_g23_ftd
</t>
  </si>
  <si>
    <t>i0153_3p012c_g27_e002</t>
  </si>
  <si>
    <t xml:space="preserve">ilustração da constelação Homem Velho.
Página 31 do g23_ftd_lt_5bac.
Cód. Antigo- i0250fb_5bac_g23_ftd
</t>
  </si>
  <si>
    <t>i0513_4p012c_g27_e002</t>
  </si>
  <si>
    <t>ícone losango vermelho</t>
  </si>
  <si>
    <t>vc</t>
  </si>
  <si>
    <t>Arte</t>
  </si>
  <si>
    <t>i0514_4p012c_g27_e002</t>
  </si>
  <si>
    <t>ícone triangulo verde</t>
  </si>
  <si>
    <t>i0515_4p012c_g27_e002</t>
  </si>
  <si>
    <t>ícone círculo azul</t>
  </si>
  <si>
    <t>i0516_4p012c_g27_e002</t>
  </si>
  <si>
    <t>ícone quadrado amarelo</t>
  </si>
  <si>
    <t>i0538_4p012c_g27_e002</t>
  </si>
  <si>
    <t>Ilustração de um professor com quatro alunos em um parque com rio. Veio da página 106 do g23_ftd_lt_4bac. Código antigo: i1003Aec_4bac_g23_ftd
Ajuste: • cropar para entrar separado da outra il, e verificar se vai para caber na página com o balão de fala, se necessário recortar a parte de baixo e esquerda como no print
• inserir sombra nos personagens.</t>
  </si>
  <si>
    <t>Vinícius Costa</t>
  </si>
  <si>
    <t>i0539_4p012c_g27_e002</t>
  </si>
  <si>
    <t>Ilustração de uma menina de cabelos cacheados observando amostra em um microscópio óptico. Veio da página 106 do g23_ftd_lt_4bac. Código antigo: i1003Aec_4bac_g23_ftd
Ajuste: • cropar para entrar separado, e verificar se vai entrar na página, se necessário cortar o fundo amarelo
• deixar a boca da menina aberta (como se estivesse falando)</t>
  </si>
  <si>
    <t>i0540_4p012c_g27_e002</t>
  </si>
  <si>
    <t>Ilustração de um protozoário (Paramecium) visto ao microscópio. Veio da página 106 do g23_ftd_lt_4bac. Código antigo: i1003Bec_4bac_g23_ftd_ly
AJUSTE: Fazer o recorte circular como no print</t>
  </si>
  <si>
    <t>g0553_4p012c_g27_e002</t>
  </si>
  <si>
    <t>Compor gráfico de colunas de Quantidade de óbitos (eixo y) por sarampo no Brasil por Ano (eixo x) com os dados a seguir</t>
  </si>
  <si>
    <t>i0556_4p012c_g27_e002</t>
  </si>
  <si>
    <t>Resgatar ilustração de duas crianças: uma em cadeira de rodas sentada a mesa e utilizando um computador e outra em pé lendo um livro. Página 114 do g23_ftd_lt_4bac. Código antigo: i1006kb_4bac_g23_ftd_ly
AJUSTE: • separar a il 
• flipar para entrar isolada na página.
• Deixar o contorno do fundo orgânico igual as outras ils da seção</t>
  </si>
  <si>
    <t>i0557_4p012c_g27_e002</t>
  </si>
  <si>
    <t xml:space="preserve">Resgatar ilustração de duas crianças no ambiente escolar, uma criança de cabelos cacheados e óculos fixando um folheto em um mural e uma criança lendo um folheto. Página 114 do g23_ftd_lt_4bac. Código antigo: i1006kb_4bac_g23_ftd_ly
AJUSTE: separar a il para entrar isolada na página
</t>
  </si>
  <si>
    <t>i0701_4p012c_g27_e002</t>
  </si>
  <si>
    <t>Ilustração de sistema de tratamento de água em 8 etapas. Página 130 do g23_ftd_lt_4bac. Código antigo: i1202rm_4bac_g23_ftd
AJUSTE: Arte, por se tratar de uma sequência, não podemos quebrar essa ilustração em duas páginas. Por favor, realinhar os tanques para que a imagem fique mais horizontal e para que o espaço vazio de grama no meio dos tanques diminua, como na imagem a seguir. Qualquer dúvida, falar com Angélica (Cie).</t>
  </si>
  <si>
    <t>ARTE</t>
  </si>
  <si>
    <t>i0702_4p012c_g27_e002</t>
  </si>
  <si>
    <t>Ilustração de sistema de tratamento de esgoto em 10 etapas após a coleta do esgoto da cidade.
Página 136 do g23_ftd_lt_4bac. Código antigo: i1204rm_4bac_g23_ftd - 
AJUSTE: Arte, por se tratar de uma sequência, não podemos quebrar essa ilustração em duas páginas. Por favor, reorganizar os tanques para que o espaço vazio de grama no meio dos tanques diminua e para que os tanques entrem no maior tamanho possível na página. Ver imagem a seguir. Qualquer dúvida, falar com Angélica (Cie).</t>
  </si>
  <si>
    <t>i0703_4p012c_g27_e002</t>
  </si>
  <si>
    <t xml:space="preserve"> ilustração de uma fatura de água e esgoto. Página 138 do g23_ftd_lt_4bac. Código antigo: i1205zz_4bac_g23_ftd
AJUSTE: Separar a ilustração da fatura de água da imagem dos estudantes apresentando um seminário (para que ela entre isolada na página par). Atualizar as datas do HISTÓRICO DE CONSUMO/m3 para: 04/26; 05/26; 06/26; 07/26; 08/26; 09/26; 10/26; 11/26; 12/26; 01/27; 02/27.
Atualizar REFERÊNCIA para 03/2027. Atualizar DATA LEITURA para 02/04/2027. Atualizar VENCIMENTO: 20/04/2027. Ajustar VALOR R$/m3 (O $ está sobrescrito)</t>
  </si>
  <si>
    <t>i0704_4p012c_g27_e002</t>
  </si>
  <si>
    <t>Ilustração de estudantes em sala de aula, onde dois alunos, à frente da sala, seguram um cartaz com o título: 'Economia no consumo de água'. No cartaz, há imagens de uma pessoa escovando os dentes e de outra arrumando o cano da pia. Página 139 do g23_ftd_lt_4bac. Código antigo: i1206fm_4bac_g23_ftd_ly
AJUSTE: cropar imagem conforme indicado a seguir.</t>
  </si>
  <si>
    <t>i0705_4p012c_g27_e002</t>
  </si>
  <si>
    <t>Ilustração de esquema de aterro sanitário. O lixo é coletado por um caminhão na cidade e segue em direção ao aterro. O aterro consiste em diversas camadas alternadas entre solo e resíduos. A camada de superfície do aterro é um solo limpo, de onde saem chaminés que eliminam gases. Na base do aterro, há tubulações para coletar o chorume. Página 146 do g23_ftd_lt_4bac. Código antigo: i1208Aec_4bac_g23_ftd
AJUSTE: Cropar a ilustração conforme indicado a seguir, para que os remissivos caibam na página. Arte, por favor, não inserir os marcadores na imagem</t>
  </si>
  <si>
    <t>i0706_4p012c_g27_e002</t>
  </si>
  <si>
    <t>Ilustração de crianças e professor na sala de aula. Página 150 do g23_ftd_lt_4bac. Código antigo: i1220kf_4bac_g23_ftd_ly
AJUSTE: excluir os encanamentos da cena, deixar apenas a sala de aula com as crianças e professor.</t>
  </si>
  <si>
    <t>i0707_4p012c_g27_e002</t>
  </si>
  <si>
    <t>Ilustração de uma família em uma casa. Um homem e um menino estão na cozinha. O homem passa café e o menino toma suco de maracujá. Na mesa, há uma jarra com suco de maracujá e as sementes no fundo. Ao lado da cozinha, há uma área de serviço com máquina de lavar roupas. Na parte externa da casa, uma menina joga uma garrafa no lixo reciclável e há um varal com roupas secando. Página 42 do g23_ftd_lt_4bac. Código antigo: i0404ec_4bac_g23_ftd
AJUSTE: juntar as imagens do espelho para que entrem em apenas uma página. Excluir da cena a menina jogando a garrafa nas lixeiras e as lixeiras. Arte, por favor, não inserir os marcadores na imagem.</t>
  </si>
  <si>
    <t>i0716_4p012c_g27_e002</t>
  </si>
  <si>
    <t>Ilustração de reservatório de água  da etapa de floculação com uma turbina no centro. Página 132 do g23_ftd_lt_4bac. Código antigo: i1203rm_4bac_g23_ftd</t>
  </si>
  <si>
    <t>i0723_4p012c_g27_e002</t>
  </si>
  <si>
    <t>Ilustração de esquema de uma casa com fossa séptica vista de perfil. A fossa fica abaixo do nível do solo e um cano sai do banheiro da casa em direção a um dos tanques da fossa: '1: No primeiro tanque, o esgoto é armazenado e os seres microscópicos começam a transformar a matéria orgânica'. '2: O segundo tanque funciona como um filtro'. '3: No terceiro tanque, a porção líquida filtrada penetra no solo'. Página 141 do g23_ftd_lt_4bac. Código antigo: i1207rm_4bac_g23_ftd</t>
  </si>
  <si>
    <t>g0740_4p012c_g27_e002</t>
  </si>
  <si>
    <t xml:space="preserve">Gráfico representando a % da População atendida com rede de abastecimento de água e rede coletora de esgoto e por região do Brasil (2023). Produzir gráfico de colunas com as regiões do Brasil (Norte, Nordeste, Centro-Oeste, Sudeste e Sul) no eixo x. No eixo y representar a população atendida pelos serviços (%). Fazer a legenda.  Dados:  Região	População atendida com rede de abastecimento de água	População atendida com rede coletora de esgoto
Norte	60,9%	22,8%
Nordeste	74,1%	33,8%
Centro-Oeste	88,3%	66,5%
Sudeste	90,5%	80,8%
Sul	87,6%	51,5%
</t>
  </si>
  <si>
    <t>gráfico - padrão</t>
  </si>
  <si>
    <t>g0741_4p012c_g27_e002</t>
  </si>
  <si>
    <t xml:space="preserve">Gráfico representando a quantidade de resíduos sólidos produzidos e coletados por região do Brasil no ano de 2023.
Produzir gráfico de colunas com as regiões do Brasil (Norte, Nordeste, Centro-Oeste, Sudeste e Sul) no eixo x. No eixo y representar a quantidade de resíduos sólidos (produzidos e coletados) em tonelada. Fazer legenda.
Dados:
Região	Resíduos sólidos produzidos	Resíduos sólidos coletados
Norte	6033015	5019468
Nordeste	20011742	16669781
Centro-Oeste	6195047	5897685
Sudeste	39949760	39470363
Sul	8767903	8522402
</t>
  </si>
  <si>
    <t>i0765_4p012c_g27_e002</t>
  </si>
  <si>
    <t>Resgatar ilustração de esquema do processo de destilação, com recipientes diversos e interligados em cima de uma bancada. Página 47 do g23_ftd_lt_4bac. Código antigo: i0405xe_4bac_g23_ftd</t>
  </si>
  <si>
    <t>i0147_4p012c_g27_e002</t>
  </si>
  <si>
    <t>i0148_4p012c_g27_e002</t>
  </si>
  <si>
    <t xml:space="preserve">ilustração AJUSTADA de representação do movimento de translação da Terra. Somente Terra  do lado direito da ilustração. 
ARTE: favor resgatar a il ajustada i0121xe_4p012c_g27_e002, e colocar a retranca i0148.
</t>
  </si>
  <si>
    <t>Arte: disponibilizar a imagem já ajustada também com a retranca i0148.</t>
  </si>
  <si>
    <t>i0149_4p012c_g27_e002</t>
  </si>
  <si>
    <t>Ilustração da Terra (globo terrestre) mostrando o eixo de rotação e a linha do equador</t>
  </si>
  <si>
    <t>F: 28/05</t>
  </si>
  <si>
    <t>i0153_4p012c_g27_e002</t>
  </si>
  <si>
    <t xml:space="preserve">ilustração de uma família vendo televisão na sala de estar – deve ficar no rodapé da página. A televisão mostra um astronauta na Lua. Página 25 do g23_ftd_lt_4bac. Código antigo: i0233lp_4bac_g23_ftd_ly
AJUSTE- DEIXAR A IMAGEM DO TELEVISOR EM BRANCO E PRETO
</t>
  </si>
  <si>
    <t>lp</t>
  </si>
  <si>
    <t>g0785_5p012c_g27_e002</t>
  </si>
  <si>
    <t>Gráfico de colunas com o número de transplantes realizados no
Brasil entre janeiro e setembro de 2024.
Eixo Y = Número de transplantes
Eixo X = Órgãos
Dados:
Coração: 324
Fígado: 1819
Pâncreas: 105
Pulmão: 66
Rim: 4652</t>
  </si>
  <si>
    <t>bk</t>
  </si>
  <si>
    <t>g0375_4p012c_g27_e002</t>
  </si>
  <si>
    <t>Plotar gráfico de barras com dados da produção de plástico no mundo nas últimas décadas.
No eixo y representar a produção de plástico em milhões de toneladas - (Título do eixo y : Produção em milhões de toneladas)
No eixo X plotar os anos: 1950 – 2020
(Título do eixo X: Anos)
1950 –2 ; 1960‐ 8; 1970‐ 35; 1980 – 70; 1990 – 120; 2000 – 213
2010 – 313;  2020 – 450</t>
  </si>
  <si>
    <t>02/206/2025</t>
  </si>
  <si>
    <t>ib</t>
  </si>
  <si>
    <t>PADRÃO</t>
  </si>
  <si>
    <t>i0379_4p012c_g27_e002</t>
  </si>
  <si>
    <t>Ilustração de um mexilhão‐dourado
(Limnoperna fortunei)
Utilizar o mesmo mexilhão da ilustração da
página 56 (i0357_4p012c_g27_e002)</t>
  </si>
  <si>
    <t>RESGATE COM AJUSTE</t>
  </si>
  <si>
    <t>i0155_4p012c_g27_e002</t>
  </si>
  <si>
    <t>acervo.socioambiental.org/sites/default/files/publications/0pd00054.pdf - pág. em anexo.  A ilus não pode ficar idêntica, não fazer o mesmo traço (mas parecer que foi feito a mão e não vetorizado) e pode variar o tom de cor ;
Fazer as seguintes alterações:
1 - fazer as ilustrações dos respectivos meses em sentido horário
2 - mês de Maio, não ilustrar peixes. Ilustrar um indígena homem em pé
3 - mês de Junho, ilustrar o indígena com uma cumbuca na mão
4 - mês de Agosto, ilustrar somente o tronco de madeira enfeitado, igual da foto
5 - mês de Setembro, não ilustrar as pessoas. Ilustrar uma nuvem com chuva
6 - mês de Novembro, ilustrar somente uma canoa</t>
  </si>
  <si>
    <t>R: 02/06
F: 05/06</t>
  </si>
  <si>
    <t>i0394_3p012c_g27_e002</t>
  </si>
  <si>
    <t>Ilustração efeito estufa natural da página 79
do g23_ftd_2bac. Código antigo:
i0608rm_2bac_g23_ftd_ly
AJUSTE: Inserir na superfície terrestre
indústria emitindo gases, carro emitindo
gases e uma área florestal sendo queimada.
Levar em conta o espaço da página, vf se
precisa ficar mais vertical tbm</t>
  </si>
  <si>
    <t>i0790_4p012c_g27_e002</t>
  </si>
  <si>
    <t>il de uma lousa com a escrita de letra cursiva</t>
  </si>
  <si>
    <t>ca</t>
  </si>
  <si>
    <t>Marcela Pialarissi</t>
  </si>
  <si>
    <t>i6101_1p012c_g27_e002</t>
  </si>
  <si>
    <t>EDICAO_ARTE</t>
  </si>
  <si>
    <t>CAPA</t>
  </si>
  <si>
    <t>ilustração da capa</t>
  </si>
  <si>
    <t>kj</t>
  </si>
  <si>
    <t>F:09/08</t>
  </si>
  <si>
    <t>i0528_5p012c_g27_e002</t>
  </si>
  <si>
    <t>Ilustração de pessoa utilizando um liquidificador. Página 54 do g23_ftd_lt_5bac. Código antigo i0616cq_5bac_g23_ftd_ef_ly</t>
  </si>
  <si>
    <t>i0529_5p012c_g27_e002</t>
  </si>
  <si>
    <t>Ilustração de representação de rede de transmissão de energia elétrica. Página 54 do g23_ftd_lt_5bac. Código antigo i0617cq_5bac_g23_ftd</t>
  </si>
  <si>
    <t>i0383_5p011c_g27_e001</t>
  </si>
  <si>
    <t xml:space="preserve">Ilustrar ícones da legenda do etnomapa apresentado. Fazer os ícones o mais parecido possível. </t>
  </si>
  <si>
    <t>i0789_5p012c_g27_e002</t>
  </si>
  <si>
    <t>seta azul do projeto grafico</t>
  </si>
  <si>
    <t>i0790_5p012c_g27_e002</t>
  </si>
  <si>
    <t>seta vermelha do projeto grafico</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</si>
  <si>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</si>
  <si>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</si>
  <si>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</si>
  <si>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</si>
  <si>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</si>
  <si>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</si>
  <si>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</si>
  <si>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</si>
  <si>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</si>
  <si>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</si>
  <si>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</si>
  <si>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</si>
  <si>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</si>
  <si>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</si>
  <si>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</si>
  <si>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</si>
  <si>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</si>
  <si>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</si>
  <si>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</si>
  <si>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</si>
  <si>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</si>
  <si>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</si>
  <si>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</si>
  <si>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</si>
  <si>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</si>
  <si>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</si>
  <si>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</si>
  <si>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</si>
  <si>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</si>
  <si>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</si>
  <si>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</si>
  <si>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</si>
  <si>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</si>
  <si>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</si>
  <si>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</si>
  <si>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</si>
  <si>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</si>
  <si>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</si>
  <si>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</si>
  <si>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</si>
  <si>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</si>
  <si>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</si>
  <si>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</si>
  <si>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</si>
  <si>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</si>
  <si>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</si>
  <si>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</si>
  <si>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</si>
  <si>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</si>
  <si>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</si>
  <si>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</si>
  <si>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</si>
  <si>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</si>
  <si>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</si>
  <si>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</si>
  <si>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</si>
  <si>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</si>
  <si>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</si>
  <si>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</si>
  <si>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</si>
  <si>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</si>
  <si>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</si>
  <si>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</si>
  <si>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</si>
  <si>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</si>
  <si>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</si>
  <si>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</si>
  <si>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</si>
  <si>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</si>
  <si>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</si>
  <si>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</si>
  <si>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</si>
  <si>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</si>
  <si>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</si>
  <si>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</si>
  <si>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</si>
  <si>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</si>
  <si>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</si>
  <si>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</si>
  <si>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</si>
  <si>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</si>
  <si>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</si>
  <si>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</si>
  <si>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</si>
  <si>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</si>
  <si>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</si>
  <si>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</si>
  <si>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</si>
  <si>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</si>
  <si>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</si>
  <si>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</si>
  <si>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</si>
  <si>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</si>
  <si>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</si>
  <si>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</si>
  <si>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</si>
  <si>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</si>
  <si>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</si>
  <si>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</si>
  <si>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</si>
  <si>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</si>
  <si>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</si>
  <si>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</si>
  <si>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</si>
  <si>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</si>
  <si>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</si>
  <si>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</si>
  <si>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</si>
  <si>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</si>
  <si>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</si>
  <si>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</si>
  <si>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</si>
  <si>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</si>
  <si>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</si>
  <si>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</si>
  <si>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</si>
  <si>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</si>
  <si>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</si>
  <si>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</si>
  <si>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</si>
  <si>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</si>
  <si>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</si>
  <si>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</si>
  <si>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</si>
  <si>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</si>
  <si>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</si>
  <si>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</si>
  <si>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</si>
  <si>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</si>
  <si>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</si>
  <si>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</si>
  <si>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</si>
  <si>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</si>
  <si>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</si>
  <si>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</si>
  <si>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</si>
  <si>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</si>
  <si>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</si>
  <si>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</si>
  <si>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</si>
  <si>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</si>
  <si>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</si>
  <si>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</si>
  <si>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</si>
  <si>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</si>
  <si>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</si>
  <si>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</si>
  <si>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</si>
  <si>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</si>
  <si>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</si>
  <si>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</si>
  <si>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</si>
  <si>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</si>
  <si>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Cajila Barbosa</t>
  </si>
  <si>
    <t>CAJILA BARBOSA/ARQUIVO DA EDITORA</t>
  </si>
  <si>
    <t>Camila Ferreira Carmona</t>
  </si>
  <si>
    <t>CAMILA CARMONA/ARQUIVO DA EDITORA</t>
  </si>
  <si>
    <t>Carlitos Pinheiro</t>
  </si>
  <si>
    <t>CARLITOS PINHEIRO/ARQUIVO DA EDITORA</t>
  </si>
  <si>
    <t>Carlos Alberto Borin Junior</t>
  </si>
  <si>
    <t>CARLOS BORIN/ARQUIVO DA EDITORA</t>
  </si>
  <si>
    <t>Carlos Eduardo Nascimento</t>
  </si>
  <si>
    <t>cn</t>
  </si>
  <si>
    <t>CARLOS EDUARDO NASCIMENTO/ARQUIVO DA EDITORA</t>
  </si>
  <si>
    <t>Carmen Ferreira Martinez</t>
  </si>
  <si>
    <t>cc</t>
  </si>
  <si>
    <t>Carol Rempto</t>
  </si>
  <si>
    <t>cw</t>
  </si>
  <si>
    <t>CAROL REMPTO/ARQUIVO DA EDITORA</t>
  </si>
  <si>
    <t>Carol Sartori</t>
  </si>
  <si>
    <t>cx</t>
  </si>
  <si>
    <t>CAROL SARTORI/ARQUIVO DA EDITORA</t>
  </si>
  <si>
    <t>Carolina Coroa</t>
  </si>
  <si>
    <t>kk</t>
  </si>
  <si>
    <t>CAROLINA COROA/ARQUIVO DA EDITORA</t>
  </si>
  <si>
    <t>Caroline Antunes e Silva</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</si>
  <si>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</si>
  <si>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</si>
  <si>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</si>
  <si>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</si>
  <si>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</si>
  <si>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</si>
  <si>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</si>
  <si>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</si>
  <si>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</si>
  <si>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</si>
  <si>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</si>
  <si>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</si>
  <si>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</si>
  <si>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</si>
  <si>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</si>
  <si>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</si>
  <si>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</si>
  <si>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</si>
  <si>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</si>
  <si>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</si>
  <si>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</si>
  <si>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</si>
  <si>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</si>
  <si>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</si>
  <si>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</si>
  <si>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</si>
  <si>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</si>
  <si>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</si>
  <si>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</si>
  <si>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</si>
  <si>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</si>
  <si>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</si>
  <si>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</si>
  <si>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</si>
  <si>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</si>
  <si>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</si>
  <si>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</si>
  <si>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</si>
  <si>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</si>
  <si>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</si>
  <si>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</si>
  <si>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</si>
  <si>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</si>
  <si>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</si>
  <si>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</si>
  <si>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</si>
  <si>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</si>
  <si>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</si>
  <si>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</si>
  <si>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</si>
  <si>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</si>
  <si>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</si>
  <si>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</si>
  <si>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</si>
  <si>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</si>
  <si>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</si>
  <si>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</si>
  <si>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</si>
  <si>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</si>
  <si>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</si>
  <si>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</si>
  <si>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</si>
  <si>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</si>
  <si>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</si>
  <si>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</si>
  <si>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</si>
  <si>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</si>
  <si>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</si>
  <si>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</si>
  <si>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</si>
  <si>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</si>
  <si>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</si>
  <si>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</si>
  <si>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</si>
  <si>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</si>
  <si>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</si>
  <si>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</si>
  <si>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</si>
  <si>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</si>
  <si>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</si>
  <si>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</si>
  <si>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</si>
  <si>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</si>
  <si>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</si>
  <si>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</si>
  <si>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</si>
  <si>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</si>
  <si>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</si>
  <si>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</si>
  <si>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</si>
  <si>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</si>
  <si>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</si>
  <si>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</si>
  <si>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</si>
  <si>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</si>
  <si>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</si>
  <si>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</si>
  <si>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</si>
  <si>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</si>
  <si>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</si>
  <si>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</si>
  <si>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</si>
  <si>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</si>
  <si>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</si>
  <si>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</si>
  <si>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</si>
  <si>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</si>
  <si>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</si>
  <si>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</si>
  <si>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</si>
  <si>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</si>
  <si>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</si>
  <si>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</si>
  <si>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</si>
  <si>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</si>
  <si>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</si>
  <si>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</si>
  <si>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</si>
  <si>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</si>
  <si>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</si>
  <si>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</si>
  <si>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</si>
  <si>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</si>
  <si>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</si>
  <si>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</si>
  <si>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</si>
  <si>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</si>
  <si>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</si>
  <si>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</si>
  <si>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</si>
  <si>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</si>
  <si>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</si>
  <si>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</si>
  <si>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</si>
  <si>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</si>
  <si>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</si>
  <si>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</si>
  <si>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</si>
  <si>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</si>
  <si>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</si>
  <si>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</si>
  <si>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</si>
  <si>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</si>
  <si>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</si>
  <si>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</si>
  <si>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</si>
  <si>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</si>
  <si>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</si>
  <si>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</si>
  <si>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MÁRCIO GUERRA/ARQUIVO DA EDITORA</t>
  </si>
  <si>
    <t>Estúdio Um mais Dois</t>
  </si>
  <si>
    <t>ud</t>
  </si>
  <si>
    <t>Ezequiel Silva (Monge Lua)</t>
  </si>
  <si>
    <t>EZEQUIEL SILVA/ARQUIVO DA EDITORA</t>
  </si>
  <si>
    <t>Ewerton Xavier</t>
  </si>
  <si>
    <t>ex</t>
  </si>
  <si>
    <t>EWERTON XAVIER/ARQUIVO DA EDITORA</t>
  </si>
  <si>
    <t>Fabio Eugenio</t>
  </si>
  <si>
    <t>fe</t>
  </si>
  <si>
    <t>FABIO EUGENIO/ARQUIVO DA EDITORA</t>
  </si>
  <si>
    <t>Fabíola Petri</t>
  </si>
  <si>
    <t>fp</t>
  </si>
  <si>
    <t>FABÍOLA PETRI/ARQUIVO DA EDITORA</t>
  </si>
  <si>
    <t>FELIPE GRIGOLI/ARQUIVO DA EDITORA</t>
  </si>
  <si>
    <t>Fernanda Monteiro</t>
  </si>
  <si>
    <t>FERNANDA MONTEIRO/ARQUIVO DA EDITORA</t>
  </si>
  <si>
    <t>Fernanda Pardini Biagio</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</si>
  <si>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</si>
  <si>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</si>
  <si>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</si>
  <si>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</si>
  <si>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</si>
  <si>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</si>
  <si>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</si>
  <si>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</si>
  <si>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</si>
  <si>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</si>
  <si>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</si>
  <si>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</si>
  <si>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</si>
  <si>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</si>
  <si>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</si>
  <si>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</si>
  <si>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</si>
  <si>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</si>
  <si>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</si>
  <si>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</si>
  <si>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</si>
  <si>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</si>
  <si>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</si>
  <si>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</si>
  <si>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</si>
  <si>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Gabriella Imai</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</si>
  <si>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</si>
  <si>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</si>
  <si>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</si>
  <si>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</si>
  <si>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</si>
  <si>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</si>
  <si>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</si>
  <si>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</si>
  <si>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</si>
  <si>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</si>
  <si>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</si>
  <si>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</si>
  <si>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</si>
  <si>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</si>
  <si>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</si>
  <si>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</si>
  <si>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</si>
  <si>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</si>
  <si>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</si>
  <si>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</si>
  <si>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</si>
  <si>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</si>
  <si>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</si>
  <si>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</si>
  <si>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</si>
  <si>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</si>
  <si>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</si>
  <si>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</si>
  <si>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</si>
  <si>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</si>
  <si>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</si>
  <si>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</si>
  <si>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</si>
  <si>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</si>
  <si>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</si>
  <si>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</si>
  <si>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</si>
  <si>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</si>
  <si>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</si>
  <si>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</si>
  <si>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</si>
  <si>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</si>
  <si>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</si>
  <si>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</si>
  <si>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</si>
  <si>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</si>
  <si>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</si>
  <si>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</si>
  <si>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</si>
  <si>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</si>
  <si>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</si>
  <si>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</si>
  <si>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</si>
  <si>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</si>
  <si>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</si>
  <si>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</si>
  <si>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</si>
  <si>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</si>
  <si>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</si>
  <si>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</si>
  <si>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</si>
  <si>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</si>
  <si>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</si>
  <si>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</si>
  <si>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</si>
  <si>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</si>
  <si>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</si>
  <si>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</si>
  <si>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</si>
  <si>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</si>
  <si>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</si>
  <si>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</si>
  <si>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</si>
  <si>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</si>
  <si>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</si>
  <si>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</si>
  <si>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</si>
  <si>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</si>
  <si>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</si>
  <si>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</si>
  <si>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</si>
  <si>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</si>
  <si>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</si>
  <si>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</si>
  <si>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</si>
  <si>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</si>
  <si>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</si>
  <si>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</si>
  <si>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</si>
  <si>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</si>
  <si>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</si>
  <si>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</si>
  <si>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</si>
  <si>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</si>
  <si>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</si>
  <si>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</si>
  <si>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</si>
  <si>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</si>
  <si>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</si>
  <si>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</si>
  <si>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</si>
  <si>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</si>
  <si>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</si>
  <si>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</si>
  <si>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</si>
  <si>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</si>
  <si>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</si>
  <si>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</si>
  <si>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</si>
  <si>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</si>
  <si>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</si>
  <si>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</si>
  <si>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</si>
  <si>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</si>
  <si>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</si>
  <si>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</si>
  <si>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</si>
  <si>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</si>
  <si>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</si>
  <si>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</si>
  <si>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</si>
  <si>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</si>
  <si>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</si>
  <si>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</si>
  <si>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</si>
  <si>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</si>
  <si>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</si>
  <si>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</si>
  <si>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</si>
  <si>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</si>
  <si>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</si>
  <si>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</si>
  <si>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</si>
  <si>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</si>
  <si>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</si>
  <si>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</si>
  <si>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</si>
  <si>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</si>
  <si>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</si>
  <si>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</si>
  <si>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</si>
  <si>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</si>
  <si>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</si>
  <si>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</si>
  <si>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</si>
  <si>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</si>
  <si>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</si>
  <si>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</si>
  <si>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</si>
  <si>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</si>
  <si>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</si>
  <si>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</si>
  <si>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</si>
  <si>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</si>
  <si>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</si>
  <si>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</si>
  <si>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</si>
  <si>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Keithy Mostachi</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</si>
  <si>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</si>
  <si>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</si>
  <si>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</si>
  <si>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</si>
  <si>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</si>
  <si>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</si>
  <si>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</si>
  <si>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</si>
  <si>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</si>
  <si>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</si>
  <si>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</si>
  <si>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</si>
  <si>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</si>
  <si>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</si>
  <si>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</si>
  <si>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</si>
  <si>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</si>
  <si>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</si>
  <si>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</si>
  <si>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</si>
  <si>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</si>
  <si>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</si>
  <si>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</si>
  <si>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</si>
  <si>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</si>
  <si>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</si>
  <si>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</si>
  <si>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</si>
  <si>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</si>
  <si>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</si>
  <si>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</si>
  <si>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</si>
  <si>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</si>
  <si>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</si>
  <si>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</si>
  <si>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</si>
  <si>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</si>
  <si>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</si>
  <si>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</si>
  <si>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</si>
  <si>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</si>
  <si>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</si>
  <si>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</si>
  <si>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</si>
  <si>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</si>
  <si>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</si>
  <si>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</si>
  <si>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</si>
  <si>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</si>
  <si>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</si>
  <si>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</si>
  <si>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</si>
  <si>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</si>
  <si>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</si>
  <si>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</si>
  <si>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</si>
  <si>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</si>
  <si>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</si>
  <si>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</si>
  <si>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</si>
  <si>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</si>
  <si>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</si>
  <si>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</si>
  <si>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</si>
  <si>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</si>
  <si>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</si>
  <si>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</si>
  <si>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</si>
  <si>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</si>
  <si>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</si>
  <si>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</si>
  <si>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</si>
  <si>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</si>
  <si>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</si>
  <si>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</si>
  <si>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</si>
  <si>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</si>
  <si>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</si>
  <si>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</si>
  <si>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</si>
  <si>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</si>
  <si>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</si>
  <si>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</si>
  <si>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</si>
  <si>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</si>
  <si>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</si>
  <si>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</si>
  <si>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</si>
  <si>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</si>
  <si>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</si>
  <si>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</si>
  <si>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</si>
  <si>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</si>
  <si>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</si>
  <si>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</si>
  <si>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</si>
  <si>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</si>
  <si>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</si>
  <si>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</si>
  <si>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</si>
  <si>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</si>
  <si>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</si>
  <si>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</si>
  <si>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</si>
  <si>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</si>
  <si>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</si>
  <si>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</si>
  <si>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</si>
  <si>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</si>
  <si>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</si>
  <si>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</si>
  <si>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</si>
  <si>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</si>
  <si>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</si>
  <si>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</si>
  <si>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</si>
  <si>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</si>
  <si>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</si>
  <si>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</si>
  <si>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</si>
  <si>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</si>
  <si>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</si>
  <si>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</si>
  <si>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</si>
  <si>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</si>
  <si>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</si>
  <si>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</si>
  <si>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</si>
  <si>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</si>
  <si>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</si>
  <si>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</si>
  <si>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</si>
  <si>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</si>
  <si>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</si>
  <si>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</si>
  <si>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</si>
  <si>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</si>
  <si>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</si>
  <si>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</si>
  <si>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</si>
  <si>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</si>
  <si>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</si>
  <si>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</si>
  <si>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</si>
  <si>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</si>
  <si>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</si>
  <si>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</si>
  <si>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</si>
  <si>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</si>
  <si>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</si>
  <si>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</si>
  <si>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</si>
  <si>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</si>
  <si>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</si>
  <si>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</si>
  <si>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</si>
  <si>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</si>
  <si>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Nelson Cosentino</t>
  </si>
  <si>
    <t>nc</t>
  </si>
  <si>
    <t>NELSON COSENTINO/ARQUIVO DA EDITORA</t>
  </si>
  <si>
    <t>Nicolas Furtado</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</si>
  <si>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</si>
  <si>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</si>
  <si>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</si>
  <si>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</si>
  <si>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</si>
  <si>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</si>
  <si>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</si>
  <si>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</si>
  <si>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</si>
  <si>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</si>
  <si>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</si>
  <si>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</si>
  <si>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</si>
  <si>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</si>
  <si>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</si>
  <si>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</si>
  <si>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</si>
  <si>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</si>
  <si>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</si>
  <si>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</si>
  <si>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</si>
  <si>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</si>
  <si>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</si>
  <si>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</si>
  <si>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</si>
  <si>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</si>
  <si>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</si>
  <si>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</si>
  <si>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</si>
  <si>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</si>
  <si>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</si>
  <si>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</si>
  <si>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</si>
  <si>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</si>
  <si>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</si>
  <si>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</si>
  <si>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</si>
  <si>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</si>
  <si>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</si>
  <si>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</si>
  <si>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</si>
  <si>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</si>
  <si>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</si>
  <si>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</si>
  <si>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</si>
  <si>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</si>
  <si>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</si>
  <si>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</si>
  <si>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</si>
  <si>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</si>
  <si>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</si>
  <si>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</si>
  <si>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</si>
  <si>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</si>
  <si>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</si>
  <si>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</si>
  <si>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</si>
  <si>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</si>
  <si>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</si>
  <si>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</si>
  <si>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</si>
  <si>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</si>
  <si>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</si>
  <si>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</si>
  <si>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</si>
  <si>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</si>
  <si>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</si>
  <si>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</si>
  <si>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</si>
  <si>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</si>
  <si>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</si>
  <si>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</si>
  <si>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</si>
  <si>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</si>
  <si>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</si>
  <si>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pn</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</si>
  <si>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</si>
  <si>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</si>
  <si>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</si>
  <si>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</si>
  <si>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</si>
  <si>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</si>
  <si>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</si>
  <si>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</si>
  <si>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</si>
  <si>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</si>
  <si>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</si>
  <si>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</si>
  <si>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</si>
  <si>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</si>
  <si>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RAYANNE CARDOSO/ARQUIVO DA EDITORA</t>
  </si>
  <si>
    <t>Rebecca Baniski</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</si>
  <si>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</si>
  <si>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</si>
  <si>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</si>
  <si>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</si>
  <si>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</si>
  <si>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</si>
  <si>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</si>
  <si>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</si>
  <si>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</si>
  <si>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</si>
  <si>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</si>
  <si>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</si>
  <si>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</si>
  <si>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</si>
  <si>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</si>
  <si>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</si>
  <si>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</si>
  <si>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</si>
  <si>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</si>
  <si>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</si>
  <si>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</si>
  <si>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</si>
  <si>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</si>
  <si>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</si>
  <si>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</si>
  <si>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</si>
  <si>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</si>
  <si>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</si>
  <si>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</si>
  <si>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</si>
  <si>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</si>
  <si>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</si>
  <si>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</si>
  <si>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</si>
  <si>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</si>
  <si>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</si>
  <si>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</si>
  <si>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</si>
  <si>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</si>
  <si>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</si>
  <si>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</si>
  <si>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</si>
  <si>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</si>
  <si>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</si>
  <si>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</si>
  <si>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</si>
  <si>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</si>
  <si>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</si>
  <si>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</si>
  <si>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</si>
  <si>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</si>
  <si>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</si>
  <si>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</si>
  <si>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</si>
  <si>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</si>
  <si>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</si>
  <si>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</si>
  <si>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</si>
  <si>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</si>
  <si>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</si>
  <si>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</si>
  <si>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</si>
  <si>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</si>
  <si>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</si>
  <si>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</si>
  <si>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</si>
  <si>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sl</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</si>
  <si>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</si>
  <si>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</si>
  <si>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</si>
  <si>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</si>
  <si>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</si>
  <si>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</si>
  <si>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</si>
  <si>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</si>
  <si>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</si>
  <si>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</si>
  <si>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</si>
  <si>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</si>
  <si>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</si>
  <si>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</si>
  <si>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</si>
  <si>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</si>
  <si>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</si>
  <si>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</si>
  <si>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</si>
  <si>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</si>
  <si>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</si>
  <si>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</si>
  <si>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</si>
  <si>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</si>
  <si>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</si>
  <si>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</si>
  <si>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</si>
  <si>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</si>
  <si>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</si>
  <si>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</si>
  <si>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</si>
  <si>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</si>
  <si>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</si>
  <si>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</si>
  <si>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</si>
  <si>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</si>
  <si>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</si>
  <si>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</si>
  <si>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</si>
  <si>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</si>
  <si>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</si>
  <si>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</si>
  <si>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</si>
  <si>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</si>
  <si>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</si>
  <si>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</si>
  <si>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</si>
  <si>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</si>
  <si>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</si>
  <si>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t>
  </si>
  <si>
    <t>ti</t>
  </si>
  <si>
    <t>TATIANE GALHEIRO/ARQUIVO DA EDITORA</t>
  </si>
  <si>
    <t>Thais Castro</t>
  </si>
  <si>
    <t>tc</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</si>
  <si>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</si>
  <si>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</si>
  <si>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</si>
  <si>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</si>
  <si>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</si>
  <si>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</si>
  <si>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</si>
  <si>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</si>
  <si>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</si>
  <si>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</si>
  <si>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</si>
  <si>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</si>
  <si>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</si>
  <si>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</si>
  <si>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</si>
  <si>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</si>
  <si>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</si>
  <si>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</si>
  <si>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</si>
  <si>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</si>
  <si>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</si>
  <si>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</si>
  <si>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</si>
  <si>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</si>
  <si>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</si>
  <si>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</si>
  <si>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</si>
  <si>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</si>
  <si>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vf</t>
  </si>
  <si>
    <t>VICTOR LEMOS/ARQUIVO DA EDITORA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</si>
  <si>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</si>
  <si>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</si>
  <si>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</si>
  <si>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</si>
  <si>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</si>
  <si>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</si>
  <si>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</si>
  <si>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</si>
  <si>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</si>
  <si>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</si>
  <si>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</si>
  <si>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</si>
  <si>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</si>
  <si>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</si>
  <si>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</si>
  <si>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</si>
  <si>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</si>
  <si>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WERLLEN HOLANDA/ARQUIVO DA EDITORA</t>
  </si>
  <si>
    <t>PRÉ-EDIÇÃO</t>
  </si>
  <si>
    <t>SCRIBA</t>
  </si>
  <si>
    <t>PREVISAO</t>
  </si>
  <si>
    <t>EDICAO_EQUIPE</t>
  </si>
  <si>
    <t>IL TEC ARTE</t>
  </si>
  <si>
    <t>APRESENT.</t>
  </si>
  <si>
    <t>FTD</t>
  </si>
  <si>
    <t>IL + FOTO</t>
  </si>
  <si>
    <t>SUMÁRIO</t>
  </si>
  <si>
    <t>MDN</t>
  </si>
  <si>
    <t>FINALIZADO RAFE</t>
  </si>
  <si>
    <t>ILUSTRANDO</t>
  </si>
  <si>
    <t>ABERTURA</t>
  </si>
  <si>
    <t>SABER</t>
  </si>
  <si>
    <t>AVALIANDO</t>
  </si>
  <si>
    <t>SM</t>
  </si>
  <si>
    <t>PAGO RAFE</t>
  </si>
  <si>
    <t>AJUSTANDO</t>
  </si>
  <si>
    <t>LINHA TEMPO</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</si>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</sst>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color rgb="FF242424"/>
      <name val="Aptos Narrow"/>
      <charset val="1"/>
    </font>
    <font>
      <sz val="11"/>
      <color rgb="FF000000"/>
      <name val="Aptos Narrow"/>
      <family val="2"/>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6">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4" fillId="10" borderId="6" xfId="0" applyFont="1" applyFill="1" applyBorder="1"/>
    <xf numFmtId="0" fontId="4" fillId="10" borderId="7" xfId="0" applyFont="1" applyFill="1" applyBorder="1"/>
    <xf numFmtId="0" fontId="4" fillId="10" borderId="8" xfId="0" applyFont="1" applyFill="1" applyBorder="1"/>
    <xf numFmtId="0" fontId="6" fillId="9" borderId="5" xfId="0" applyFont="1" applyFill="1" applyBorder="1" applyAlignment="1">
      <alignment horizontal="left"/>
    </xf>
    <xf numFmtId="0" fontId="6" fillId="9" borderId="5" xfId="0" applyFont="1" applyFill="1" applyBorder="1" applyAlignment="1">
      <alignment horizontal="center" vertical="center"/>
    </xf>
    <xf numFmtId="0" fontId="6" fillId="9" borderId="5" xfId="0" applyFont="1" applyFill="1" applyBorder="1" applyAlignment="1">
      <alignment horizontal="left" vertical="center" wrapText="1"/>
    </xf>
    <xf numFmtId="0" fontId="6" fillId="9" borderId="5" xfId="0" applyFont="1" applyFill="1" applyBorder="1" applyAlignment="1">
      <alignment horizontal="left" vertical="center"/>
    </xf>
    <xf numFmtId="0" fontId="6" fillId="9" borderId="5" xfId="0" applyFont="1" applyFill="1" applyBorder="1" applyAlignment="1">
      <alignment horizontal="left" wrapText="1"/>
    </xf>
    <xf numFmtId="0" fontId="6" fillId="9" borderId="5" xfId="0" applyFont="1" applyFill="1" applyBorder="1"/>
    <xf numFmtId="0" fontId="6" fillId="9" borderId="9" xfId="0" applyFont="1" applyFill="1" applyBorder="1" applyAlignment="1">
      <alignment horizontal="left"/>
    </xf>
    <xf numFmtId="0" fontId="6" fillId="9" borderId="9" xfId="0" applyFont="1" applyFill="1" applyBorder="1" applyAlignment="1">
      <alignment horizontal="center" vertical="center"/>
    </xf>
    <xf numFmtId="0" fontId="6" fillId="9" borderId="9" xfId="0" applyFont="1" applyFill="1" applyBorder="1" applyAlignment="1">
      <alignment horizontal="left" vertical="center"/>
    </xf>
    <xf numFmtId="0" fontId="0" fillId="0" borderId="0" xfId="0" applyAlignment="1" applyProtection="1">
      <alignment vertical="center" wrapText="1"/>
      <protection locked="0"/>
    </xf>
    <xf numFmtId="0" fontId="7" fillId="0" borderId="0" xfId="0" applyFont="1"/>
    <xf numFmtId="0" fontId="8" fillId="0" borderId="10" xfId="0" applyFont="1" applyBorder="1" applyAlignment="1">
      <alignment vertical="center"/>
    </xf>
    <xf numFmtId="0" fontId="5" fillId="11"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xf numFmtId="0" fontId="3" fillId="0" borderId="0" xfId="0" applyFont="1" applyBorder="1" applyAlignment="1" applyProtection="1">
      <alignment horizontal="left" vertical="center"/>
      <protection locked="0"/>
    </xf>
    <xf numFmtId="0" fontId="0" fillId="0" borderId="5" xfId="0" applyBorder="1" applyProtection="1">
      <protection locked="0"/>
    </xf>
  </cellXfs>
  <cellStyles count="1">
    <cellStyle name="Normal" xfId="0" builtinId="0"/>
  </cellStyles>
  <dxfs count="40">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protection locked="0" hidden="0"/>
    </dxf>
    <dxf>
      <protection locked="0" hidden="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F24B5C02-59F4-4311-A4C9-3006E19D071D}"/>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4" name="CaixaDeTexto 3">
          <a:extLst>
            <a:ext uri="{FF2B5EF4-FFF2-40B4-BE49-F238E27FC236}">
              <a16:creationId xmlns:a16="http://schemas.microsoft.com/office/drawing/2014/main" id="{2F890D63-3BDC-4D55-92B3-931FD23D4094}"/>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5" name="CaixaDeTexto 4">
          <a:extLst>
            <a:ext uri="{FF2B5EF4-FFF2-40B4-BE49-F238E27FC236}">
              <a16:creationId xmlns:a16="http://schemas.microsoft.com/office/drawing/2014/main" id="{B15301CA-EFAD-48B0-9470-32A652BC7CE1}"/>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6" name="CaixaDeTexto 5">
          <a:extLst>
            <a:ext uri="{FF2B5EF4-FFF2-40B4-BE49-F238E27FC236}">
              <a16:creationId xmlns:a16="http://schemas.microsoft.com/office/drawing/2014/main" id="{8870023A-976D-426A-9E38-D89B3D2E75AD}"/>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7" name="CaixaDeTexto 6">
          <a:extLst>
            <a:ext uri="{FF2B5EF4-FFF2-40B4-BE49-F238E27FC236}">
              <a16:creationId xmlns:a16="http://schemas.microsoft.com/office/drawing/2014/main" id="{EB594D13-7A8F-48A2-AA45-A2EB6CB60C99}"/>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8" name="CaixaDeTexto 7">
          <a:extLst>
            <a:ext uri="{FF2B5EF4-FFF2-40B4-BE49-F238E27FC236}">
              <a16:creationId xmlns:a16="http://schemas.microsoft.com/office/drawing/2014/main" id="{DAB242F1-A625-4F6B-B144-9668424124DD}"/>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9" name="CaixaDeTexto 8">
          <a:extLst>
            <a:ext uri="{FF2B5EF4-FFF2-40B4-BE49-F238E27FC236}">
              <a16:creationId xmlns:a16="http://schemas.microsoft.com/office/drawing/2014/main" id="{3E7CF7C7-019C-4D9B-B673-7B3B873B7564}"/>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0" name="CaixaDeTexto 9">
          <a:extLst>
            <a:ext uri="{FF2B5EF4-FFF2-40B4-BE49-F238E27FC236}">
              <a16:creationId xmlns:a16="http://schemas.microsoft.com/office/drawing/2014/main" id="{B045F3E3-8519-40D8-AEB7-6FBB69515C5D}"/>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1" name="CaixaDeTexto 10">
          <a:extLst>
            <a:ext uri="{FF2B5EF4-FFF2-40B4-BE49-F238E27FC236}">
              <a16:creationId xmlns:a16="http://schemas.microsoft.com/office/drawing/2014/main" id="{D35F11CC-654D-45AC-BF1F-4FF4D9B797B2}"/>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2" name="CaixaDeTexto 11">
          <a:extLst>
            <a:ext uri="{FF2B5EF4-FFF2-40B4-BE49-F238E27FC236}">
              <a16:creationId xmlns:a16="http://schemas.microsoft.com/office/drawing/2014/main" id="{8D77D91D-368D-42F0-B6AF-34AAFF825A14}"/>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229</xdr:row>
      <xdr:rowOff>0</xdr:rowOff>
    </xdr:from>
    <xdr:ext cx="45719" cy="101600"/>
    <xdr:sp macro="" textlink="">
      <xdr:nvSpPr>
        <xdr:cNvPr id="13" name="CaixaDeTexto 12">
          <a:extLst>
            <a:ext uri="{FF2B5EF4-FFF2-40B4-BE49-F238E27FC236}">
              <a16:creationId xmlns:a16="http://schemas.microsoft.com/office/drawing/2014/main" id="{180CECF8-6063-41E8-AB91-D1E2BE198FD3}"/>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4" name="CaixaDeTexto 13">
          <a:extLst>
            <a:ext uri="{FF2B5EF4-FFF2-40B4-BE49-F238E27FC236}">
              <a16:creationId xmlns:a16="http://schemas.microsoft.com/office/drawing/2014/main" id="{1E8EBED8-D87D-4463-875D-954743AEC6AC}"/>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5" name="CaixaDeTexto 14">
          <a:extLst>
            <a:ext uri="{FF2B5EF4-FFF2-40B4-BE49-F238E27FC236}">
              <a16:creationId xmlns:a16="http://schemas.microsoft.com/office/drawing/2014/main" id="{FAA8C224-71AE-42AC-B1E0-418713D0F834}"/>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231" totalsRowShown="0" dataDxfId="39">
  <autoFilter ref="A1:AF231" xr:uid="{26F14978-443C-43BF-BBAB-3AC6D5A7AEE7}"/>
  <sortState xmlns:xlrd2="http://schemas.microsoft.com/office/spreadsheetml/2017/richdata2" ref="A2:AF231">
    <sortCondition ref="A1:A231"/>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80552612-8696-4513-904F-BF4CE0084682}" name="componente" dataDxfId="0">
      <calculatedColumnFormula>"Ciências"</calculatedColumnFormula>
    </tableColumn>
    <tableColumn id="32" xr3:uid="{3458877C-A0CA-4225-8AB9-88EB235AF658}"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C018390-1812-4E85-8725-0F3DDCB6250B}" name="Tabela1" displayName="Tabela1" ref="A2:C338" totalsRowShown="0" headerRowDxfId="9" headerRowBorderDxfId="8" tableBorderDxfId="7" totalsRowBorderDxfId="6">
  <autoFilter ref="A2:C338" xr:uid="{9C018390-1812-4E85-8725-0F3DDCB6250B}"/>
  <tableColumns count="3">
    <tableColumn id="1" xr3:uid="{FBA4B9F9-70E3-496E-B0DD-DD6677035A85}" name="Nome do ilustrador" dataDxfId="5"/>
    <tableColumn id="2" xr3:uid="{8BDEAF04-A007-4353-B889-8BC04065564E}" name="Sigla Arte" dataDxfId="4"/>
    <tableColumn id="3" xr3:uid="{518D8C5F-FE0C-4149-80E3-38E4211EC801}"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20A997EB-07BE-4B94-AC16-E5B893858C37}">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231"/>
  <sheetViews>
    <sheetView tabSelected="1" topLeftCell="Y1" workbookViewId="0">
      <selection activeCell="AE3" sqref="AE3"/>
    </sheetView>
  </sheetViews>
  <sheetFormatPr defaultColWidth="9.109375" defaultRowHeight="14.4" x14ac:dyDescent="0.3"/>
  <cols>
    <col min="1" max="1" width="26.33203125" customWidth="1"/>
    <col min="2" max="2" width="15.33203125" style="19" bestFit="1" customWidth="1"/>
    <col min="3" max="3" width="16.109375" style="19" bestFit="1" customWidth="1"/>
    <col min="4" max="4" width="15.33203125" style="19"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54.44140625" style="19" customWidth="1"/>
    <col min="16" max="16" width="17.6640625" style="19" customWidth="1"/>
    <col min="17" max="17" width="20.5546875" style="3" customWidth="1"/>
    <col min="18" max="22" width="18.6640625" style="23" customWidth="1"/>
    <col min="23" max="23" width="8.88671875" style="3" customWidth="1"/>
    <col min="24" max="24" width="58.33203125" style="4" customWidth="1"/>
    <col min="25" max="25" width="24.6640625" style="4" customWidth="1"/>
    <col min="26" max="26" width="61.109375" style="4" customWidth="1"/>
    <col min="27" max="27" width="16.5546875" style="3" customWidth="1"/>
    <col min="28" max="28" width="35.5546875" style="19" customWidth="1"/>
    <col min="29" max="29" width="19.44140625" style="18" customWidth="1"/>
    <col min="30" max="30" width="13.6640625" style="4" bestFit="1" customWidth="1"/>
  </cols>
  <sheetData>
    <row r="1" spans="1:32" s="10" customFormat="1" ht="28.8" x14ac:dyDescent="0.3">
      <c r="A1" s="7" t="s">
        <v>1520</v>
      </c>
      <c r="B1" s="8" t="s">
        <v>1521</v>
      </c>
      <c r="C1" s="8" t="s">
        <v>1522</v>
      </c>
      <c r="D1" s="8" t="s">
        <v>1523</v>
      </c>
      <c r="E1" s="8" t="s">
        <v>1524</v>
      </c>
      <c r="F1" s="8" t="s">
        <v>1525</v>
      </c>
      <c r="G1" s="8" t="s">
        <v>1526</v>
      </c>
      <c r="H1" s="8" t="s">
        <v>1527</v>
      </c>
      <c r="I1" s="8" t="s">
        <v>1528</v>
      </c>
      <c r="J1" s="8" t="s">
        <v>0</v>
      </c>
      <c r="K1" s="8" t="s">
        <v>1</v>
      </c>
      <c r="L1" s="8" t="s">
        <v>2</v>
      </c>
      <c r="M1" s="8" t="s">
        <v>3</v>
      </c>
      <c r="N1" s="8" t="s">
        <v>4</v>
      </c>
      <c r="O1" s="8" t="s">
        <v>1529</v>
      </c>
      <c r="P1" s="8" t="s">
        <v>1530</v>
      </c>
      <c r="Q1" s="8" t="s">
        <v>1531</v>
      </c>
      <c r="R1" s="16" t="s">
        <v>1532</v>
      </c>
      <c r="S1" s="13" t="s">
        <v>1533</v>
      </c>
      <c r="T1" s="13" t="s">
        <v>1534</v>
      </c>
      <c r="U1" s="13" t="s">
        <v>1535</v>
      </c>
      <c r="V1" s="14" t="s">
        <v>1536</v>
      </c>
      <c r="W1" s="14" t="s">
        <v>1537</v>
      </c>
      <c r="X1" s="42" t="s">
        <v>1538</v>
      </c>
      <c r="Y1" s="9" t="s">
        <v>1539</v>
      </c>
      <c r="Z1" s="11" t="s">
        <v>1540</v>
      </c>
      <c r="AA1" s="9" t="s">
        <v>1541</v>
      </c>
      <c r="AB1" s="9" t="s">
        <v>1542</v>
      </c>
      <c r="AC1" s="17" t="s">
        <v>1543</v>
      </c>
      <c r="AD1" s="15" t="s">
        <v>1544</v>
      </c>
      <c r="AE1" s="43" t="s">
        <v>1545</v>
      </c>
      <c r="AF1" s="43" t="s">
        <v>1546</v>
      </c>
    </row>
    <row r="2" spans="1:32" s="12" customFormat="1" ht="57.6" x14ac:dyDescent="0.3">
      <c r="A2" s="12" t="s">
        <v>30</v>
      </c>
      <c r="B2" s="18" t="s">
        <v>6</v>
      </c>
      <c r="C2" s="18" t="s">
        <v>31</v>
      </c>
      <c r="D2" s="18" t="s">
        <v>8</v>
      </c>
      <c r="E2" s="20">
        <v>34</v>
      </c>
      <c r="F2" s="20">
        <v>3</v>
      </c>
      <c r="G2" s="20">
        <v>2</v>
      </c>
      <c r="H2" s="20"/>
      <c r="I2" s="21" t="s">
        <v>13</v>
      </c>
      <c r="J2" s="21"/>
      <c r="K2" s="20"/>
      <c r="L2" s="20"/>
      <c r="M2" s="21"/>
      <c r="N2" s="21"/>
      <c r="O2" s="24" t="s">
        <v>32</v>
      </c>
      <c r="P2" s="24"/>
      <c r="Q2" s="20">
        <v>2</v>
      </c>
      <c r="R2" s="22">
        <v>45727</v>
      </c>
      <c r="S2" s="22">
        <v>45728</v>
      </c>
      <c r="T2" s="22"/>
      <c r="U2" s="22"/>
      <c r="V2" s="22">
        <v>45729</v>
      </c>
      <c r="W2" s="20" t="s">
        <v>33</v>
      </c>
      <c r="X2" s="4" t="str">
        <f>IF(Tabela2[[#This Row],[sigla]]="","",VLOOKUP(Tabela2[[#This Row],[sigla]],Tabela1[[#All],[Sigla Arte]:[Crédito]],2,0))</f>
        <v>KEITHY MOSTACHI/ARQUIVO DA EDITORA</v>
      </c>
      <c r="Y2" s="21" t="s">
        <v>34</v>
      </c>
      <c r="Z2" s="21" t="str">
        <f>Tabela2[[#This Row],[ilustrador]]</f>
        <v>KEITHY MOSTACHI/ARQUIVO DA EDITORA</v>
      </c>
      <c r="AA2" s="20">
        <v>13</v>
      </c>
      <c r="AB2" s="18"/>
      <c r="AC2" s="18" t="s">
        <v>18</v>
      </c>
      <c r="AD2" s="4" t="str">
        <f t="shared" ref="AD2:AD65" si="0">"Plantar"</f>
        <v>Plantar</v>
      </c>
      <c r="AE2" s="12" t="str">
        <f t="shared" ref="AE2:AE65" si="1">"Ciências"</f>
        <v>Ciências</v>
      </c>
    </row>
    <row r="3" spans="1:32" s="12" customFormat="1" ht="86.4" x14ac:dyDescent="0.3">
      <c r="A3" s="12" t="s">
        <v>505</v>
      </c>
      <c r="B3" s="18" t="s">
        <v>6</v>
      </c>
      <c r="C3" s="18" t="s">
        <v>31</v>
      </c>
      <c r="D3" s="18" t="s">
        <v>8</v>
      </c>
      <c r="E3" s="20">
        <v>41</v>
      </c>
      <c r="F3" s="20">
        <v>4</v>
      </c>
      <c r="G3" s="20">
        <v>2</v>
      </c>
      <c r="H3" s="20"/>
      <c r="I3" s="21" t="s">
        <v>36</v>
      </c>
      <c r="J3" s="21"/>
      <c r="K3" s="20"/>
      <c r="L3" s="20"/>
      <c r="M3" s="21"/>
      <c r="N3" s="21"/>
      <c r="O3" s="24" t="s">
        <v>506</v>
      </c>
      <c r="P3" s="24"/>
      <c r="Q3" s="20">
        <v>11</v>
      </c>
      <c r="R3" s="22">
        <v>45804</v>
      </c>
      <c r="S3" s="22" t="s">
        <v>507</v>
      </c>
      <c r="T3" s="22"/>
      <c r="U3" s="22"/>
      <c r="V3" s="22">
        <v>45810</v>
      </c>
      <c r="W3" s="20" t="s">
        <v>508</v>
      </c>
      <c r="X3" s="4" t="str">
        <f>IF(Tabela2[[#This Row],[sigla]]="","",VLOOKUP(Tabela2[[#This Row],[sigla]],Tabela1[[#All],[Sigla Arte]:[Crédito]],2,0))</f>
        <v>INGRIDHI BORGES/ARQUIVO DA EDITORA</v>
      </c>
      <c r="Y3" s="21"/>
      <c r="Z3" s="21" t="str">
        <f>Tabela2[[#This Row],[ilustrador]]</f>
        <v>INGRIDHI BORGES/ARQUIVO DA EDITORA</v>
      </c>
      <c r="AA3" s="20">
        <v>12</v>
      </c>
      <c r="AB3" s="18" t="s">
        <v>509</v>
      </c>
      <c r="AC3" s="18" t="s">
        <v>18</v>
      </c>
      <c r="AD3" s="4" t="str">
        <f t="shared" si="0"/>
        <v>Plantar</v>
      </c>
      <c r="AE3" s="12" t="str">
        <f t="shared" si="1"/>
        <v>Ciências</v>
      </c>
    </row>
    <row r="4" spans="1:32" s="12" customFormat="1" ht="86.4" x14ac:dyDescent="0.3">
      <c r="A4" s="12" t="s">
        <v>460</v>
      </c>
      <c r="B4" s="18" t="s">
        <v>6</v>
      </c>
      <c r="C4" s="18" t="s">
        <v>31</v>
      </c>
      <c r="D4" s="18" t="s">
        <v>8</v>
      </c>
      <c r="E4" s="20">
        <v>82</v>
      </c>
      <c r="F4" s="20">
        <v>4</v>
      </c>
      <c r="G4" s="20">
        <v>3</v>
      </c>
      <c r="H4" s="20"/>
      <c r="I4" s="21" t="s">
        <v>36</v>
      </c>
      <c r="J4" s="21"/>
      <c r="K4" s="20"/>
      <c r="L4" s="20"/>
      <c r="M4" s="21"/>
      <c r="N4" s="21"/>
      <c r="O4" s="24" t="s">
        <v>461</v>
      </c>
      <c r="P4" s="24"/>
      <c r="Q4" s="20">
        <v>7</v>
      </c>
      <c r="R4" s="22">
        <v>45770</v>
      </c>
      <c r="S4" s="22">
        <v>45770</v>
      </c>
      <c r="T4" s="22"/>
      <c r="U4" s="22"/>
      <c r="V4" s="22">
        <v>45771</v>
      </c>
      <c r="W4" s="20" t="s">
        <v>445</v>
      </c>
      <c r="X4" s="4" t="str">
        <f>IF(Tabela2[[#This Row],[sigla]]="","",VLOOKUP(Tabela2[[#This Row],[sigla]],Tabela1[[#All],[Sigla Arte]:[Crédito]],2,0))</f>
        <v>VINÍCIUS COSTA/ARQUIVO DA EDITORA</v>
      </c>
      <c r="Y4" s="21" t="s">
        <v>455</v>
      </c>
      <c r="Z4" s="21" t="str">
        <f>Tabela2[[#This Row],[ilustrador]]</f>
        <v>VINÍCIUS COSTA/ARQUIVO DA EDITORA</v>
      </c>
      <c r="AA4" s="20">
        <v>14</v>
      </c>
      <c r="AB4" s="18" t="s">
        <v>17</v>
      </c>
      <c r="AC4" s="18" t="s">
        <v>18</v>
      </c>
      <c r="AD4" s="4" t="str">
        <f t="shared" si="0"/>
        <v>Plantar</v>
      </c>
      <c r="AE4" s="12" t="str">
        <f t="shared" si="1"/>
        <v>Ciências</v>
      </c>
    </row>
    <row r="5" spans="1:32" s="12" customFormat="1" ht="43.2" x14ac:dyDescent="0.3">
      <c r="A5" s="12" t="s">
        <v>485</v>
      </c>
      <c r="B5" s="18" t="s">
        <v>6</v>
      </c>
      <c r="C5" s="18" t="s">
        <v>31</v>
      </c>
      <c r="D5" s="18" t="s">
        <v>8</v>
      </c>
      <c r="E5" s="20">
        <v>119</v>
      </c>
      <c r="F5" s="20">
        <v>4</v>
      </c>
      <c r="G5" s="20">
        <v>4</v>
      </c>
      <c r="H5" s="20"/>
      <c r="I5" s="21" t="s">
        <v>36</v>
      </c>
      <c r="J5" s="21"/>
      <c r="K5" s="20"/>
      <c r="L5" s="20"/>
      <c r="M5" s="21"/>
      <c r="N5" s="21"/>
      <c r="O5" s="24" t="s">
        <v>486</v>
      </c>
      <c r="P5" s="24"/>
      <c r="Q5" s="20">
        <v>9</v>
      </c>
      <c r="R5" s="22">
        <v>45796</v>
      </c>
      <c r="S5" s="22">
        <v>45797</v>
      </c>
      <c r="T5" s="22"/>
      <c r="U5" s="22"/>
      <c r="V5" s="22">
        <v>45797</v>
      </c>
      <c r="W5" s="20" t="s">
        <v>33</v>
      </c>
      <c r="X5" s="4" t="str">
        <f>IF(Tabela2[[#This Row],[sigla]]="","",VLOOKUP(Tabela2[[#This Row],[sigla]],Tabela1[[#All],[Sigla Arte]:[Crédito]],2,0))</f>
        <v>KEITHY MOSTACHI/ARQUIVO DA EDITORA</v>
      </c>
      <c r="Y5" s="21"/>
      <c r="Z5" s="21" t="str">
        <f>Tabela2[[#This Row],[ilustrador]]</f>
        <v>KEITHY MOSTACHI/ARQUIVO DA EDITORA</v>
      </c>
      <c r="AA5" s="20">
        <v>12</v>
      </c>
      <c r="AB5" s="18" t="s">
        <v>487</v>
      </c>
      <c r="AC5" s="18" t="s">
        <v>18</v>
      </c>
      <c r="AD5" s="4" t="str">
        <f t="shared" si="0"/>
        <v>Plantar</v>
      </c>
      <c r="AE5" s="12" t="str">
        <f t="shared" si="1"/>
        <v>Ciências</v>
      </c>
    </row>
    <row r="6" spans="1:32" s="12" customFormat="1" ht="57.6" x14ac:dyDescent="0.3">
      <c r="A6" s="12" t="s">
        <v>488</v>
      </c>
      <c r="B6" s="18" t="s">
        <v>6</v>
      </c>
      <c r="C6" s="18" t="s">
        <v>31</v>
      </c>
      <c r="D6" s="18" t="s">
        <v>8</v>
      </c>
      <c r="E6" s="20">
        <v>120</v>
      </c>
      <c r="F6" s="20">
        <v>4</v>
      </c>
      <c r="G6" s="20">
        <v>4</v>
      </c>
      <c r="H6" s="20"/>
      <c r="I6" s="21" t="s">
        <v>36</v>
      </c>
      <c r="J6" s="21"/>
      <c r="K6" s="20"/>
      <c r="L6" s="20"/>
      <c r="M6" s="21"/>
      <c r="N6" s="21"/>
      <c r="O6" s="24" t="s">
        <v>489</v>
      </c>
      <c r="P6" s="24"/>
      <c r="Q6" s="20">
        <v>9</v>
      </c>
      <c r="R6" s="22">
        <v>45796</v>
      </c>
      <c r="S6" s="22">
        <v>45797</v>
      </c>
      <c r="T6" s="22"/>
      <c r="U6" s="22"/>
      <c r="V6" s="22">
        <v>45797</v>
      </c>
      <c r="W6" s="20" t="s">
        <v>33</v>
      </c>
      <c r="X6" s="4" t="str">
        <f>IF(Tabela2[[#This Row],[sigla]]="","",VLOOKUP(Tabela2[[#This Row],[sigla]],Tabela1[[#All],[Sigla Arte]:[Crédito]],2,0))</f>
        <v>KEITHY MOSTACHI/ARQUIVO DA EDITORA</v>
      </c>
      <c r="Y6" s="21"/>
      <c r="Z6" s="21" t="str">
        <f>Tabela2[[#This Row],[ilustrador]]</f>
        <v>KEITHY MOSTACHI/ARQUIVO DA EDITORA</v>
      </c>
      <c r="AA6" s="20">
        <v>12</v>
      </c>
      <c r="AB6" s="18" t="s">
        <v>487</v>
      </c>
      <c r="AC6" s="18" t="s">
        <v>18</v>
      </c>
      <c r="AD6" s="4" t="str">
        <f t="shared" si="0"/>
        <v>Plantar</v>
      </c>
      <c r="AE6" s="12" t="str">
        <f t="shared" si="1"/>
        <v>Ciências</v>
      </c>
    </row>
    <row r="7" spans="1:32" s="12" customFormat="1" ht="43.2" x14ac:dyDescent="0.3">
      <c r="A7" s="45" t="s">
        <v>292</v>
      </c>
      <c r="B7" s="18" t="s">
        <v>6</v>
      </c>
      <c r="C7" s="18" t="s">
        <v>31</v>
      </c>
      <c r="D7" s="18" t="s">
        <v>8</v>
      </c>
      <c r="E7" s="20">
        <v>120</v>
      </c>
      <c r="F7" s="20">
        <v>5</v>
      </c>
      <c r="G7" s="20">
        <v>4</v>
      </c>
      <c r="H7" s="20"/>
      <c r="I7" s="21" t="s">
        <v>36</v>
      </c>
      <c r="J7" s="21"/>
      <c r="K7" s="20"/>
      <c r="L7" s="20"/>
      <c r="M7" s="21"/>
      <c r="N7" s="21"/>
      <c r="O7" s="24" t="s">
        <v>293</v>
      </c>
      <c r="P7" s="24"/>
      <c r="Q7" s="20">
        <v>3</v>
      </c>
      <c r="R7" s="22">
        <v>45749</v>
      </c>
      <c r="S7" s="22">
        <v>45755</v>
      </c>
      <c r="T7" s="22"/>
      <c r="U7" s="22"/>
      <c r="V7" s="22">
        <v>45758</v>
      </c>
      <c r="W7" s="20" t="s">
        <v>294</v>
      </c>
      <c r="X7" s="4" t="str">
        <f>IF(Tabela2[[#This Row],[sigla]]="","",VLOOKUP(Tabela2[[#This Row],[sigla]],Tabela1[[#All],[Sigla Arte]:[Crédito]],2,0))</f>
        <v>FELIPE GRIGOLI/ARQUIVO DA EDITORA</v>
      </c>
      <c r="Y7" s="21" t="s">
        <v>142</v>
      </c>
      <c r="Z7" s="21" t="str">
        <f>Tabela2[[#This Row],[ilustrador]]</f>
        <v>FELIPE GRIGOLI/ARQUIVO DA EDITORA</v>
      </c>
      <c r="AA7" s="20">
        <v>12</v>
      </c>
      <c r="AB7" s="18" t="s">
        <v>295</v>
      </c>
      <c r="AC7" s="18" t="s">
        <v>18</v>
      </c>
      <c r="AD7" s="4" t="str">
        <f t="shared" si="0"/>
        <v>Plantar</v>
      </c>
      <c r="AE7" s="12" t="str">
        <f t="shared" si="1"/>
        <v>Ciências</v>
      </c>
    </row>
    <row r="8" spans="1:32" s="12" customFormat="1" ht="72" x14ac:dyDescent="0.3">
      <c r="A8" s="12" t="s">
        <v>502</v>
      </c>
      <c r="B8" s="18" t="s">
        <v>6</v>
      </c>
      <c r="C8" s="18" t="s">
        <v>31</v>
      </c>
      <c r="D8" s="18" t="s">
        <v>8</v>
      </c>
      <c r="E8" s="20">
        <v>106</v>
      </c>
      <c r="F8" s="20">
        <v>5</v>
      </c>
      <c r="G8" s="20">
        <v>4</v>
      </c>
      <c r="H8" s="20"/>
      <c r="I8" s="21" t="s">
        <v>36</v>
      </c>
      <c r="J8" s="21"/>
      <c r="K8" s="20"/>
      <c r="L8" s="20"/>
      <c r="M8" s="21"/>
      <c r="N8" s="21"/>
      <c r="O8" s="24" t="s">
        <v>503</v>
      </c>
      <c r="P8" s="24"/>
      <c r="Q8" s="20">
        <v>5</v>
      </c>
      <c r="R8" s="22">
        <v>45804</v>
      </c>
      <c r="S8" s="22">
        <v>45813</v>
      </c>
      <c r="T8" s="22"/>
      <c r="U8" s="22"/>
      <c r="V8" s="22">
        <v>45813</v>
      </c>
      <c r="W8" s="20" t="s">
        <v>504</v>
      </c>
      <c r="X8" s="4" t="str">
        <f>IF(Tabela2[[#This Row],[sigla]]="","",VLOOKUP(Tabela2[[#This Row],[sigla]],Tabela1[[#All],[Sigla Arte]:[Crédito]],2,0))</f>
        <v>REBECCA BANISKI/ARQUIVO DA EDITORA</v>
      </c>
      <c r="Y8" s="21"/>
      <c r="Z8" s="21" t="str">
        <f>Tabela2[[#This Row],[ilustrador]]</f>
        <v>REBECCA BANISKI/ARQUIVO DA EDITORA</v>
      </c>
      <c r="AA8" s="20"/>
      <c r="AB8" s="18"/>
      <c r="AC8" s="18" t="s">
        <v>18</v>
      </c>
      <c r="AD8" s="4" t="str">
        <f t="shared" si="0"/>
        <v>Plantar</v>
      </c>
      <c r="AE8" s="12" t="str">
        <f t="shared" si="1"/>
        <v>Ciências</v>
      </c>
    </row>
    <row r="9" spans="1:32" s="12" customFormat="1" x14ac:dyDescent="0.3">
      <c r="A9" s="12" t="s">
        <v>78</v>
      </c>
      <c r="B9" s="18" t="s">
        <v>6</v>
      </c>
      <c r="C9" s="18" t="s">
        <v>7</v>
      </c>
      <c r="D9" s="18" t="s">
        <v>8</v>
      </c>
      <c r="E9" s="20">
        <v>10</v>
      </c>
      <c r="F9" s="20">
        <v>4</v>
      </c>
      <c r="G9" s="20">
        <v>1</v>
      </c>
      <c r="H9" s="20"/>
      <c r="I9" s="21" t="s">
        <v>9</v>
      </c>
      <c r="J9" s="21"/>
      <c r="K9" s="20"/>
      <c r="L9" s="20"/>
      <c r="M9" s="21"/>
      <c r="N9" s="21"/>
      <c r="O9" s="24" t="s">
        <v>79</v>
      </c>
      <c r="P9" s="24"/>
      <c r="Q9" s="20"/>
      <c r="R9" s="22"/>
      <c r="S9" s="22"/>
      <c r="T9" s="22"/>
      <c r="U9" s="22"/>
      <c r="V9" s="22"/>
      <c r="W9" s="20" t="s">
        <v>80</v>
      </c>
      <c r="X9" s="4" t="str">
        <f>IF(Tabela2[[#This Row],[sigla]]="","",VLOOKUP(Tabela2[[#This Row],[sigla]],Tabela1[[#All],[Sigla Arte]:[Crédito]],2,0))</f>
        <v>GUILHERME RODRIGUES/ARQUIVO DA EDITORA</v>
      </c>
      <c r="Y9" s="21"/>
      <c r="Z9" s="21" t="str">
        <f>Tabela2[[#This Row],[ilustrador]]</f>
        <v>GUILHERME RODRIGUES/ARQUIVO DA EDITORA</v>
      </c>
      <c r="AA9" s="20"/>
      <c r="AB9" s="18"/>
      <c r="AC9" s="18"/>
      <c r="AD9" s="4" t="str">
        <f t="shared" si="0"/>
        <v>Plantar</v>
      </c>
      <c r="AE9" s="12" t="str">
        <f t="shared" si="1"/>
        <v>Ciências</v>
      </c>
    </row>
    <row r="10" spans="1:32" s="12" customFormat="1" x14ac:dyDescent="0.3">
      <c r="A10" s="12" t="s">
        <v>81</v>
      </c>
      <c r="B10" s="18" t="s">
        <v>6</v>
      </c>
      <c r="C10" s="18" t="s">
        <v>7</v>
      </c>
      <c r="D10" s="18" t="s">
        <v>8</v>
      </c>
      <c r="E10" s="20">
        <v>10</v>
      </c>
      <c r="F10" s="20">
        <v>4</v>
      </c>
      <c r="G10" s="20">
        <v>1</v>
      </c>
      <c r="H10" s="20"/>
      <c r="I10" s="21" t="s">
        <v>9</v>
      </c>
      <c r="J10" s="21"/>
      <c r="K10" s="20"/>
      <c r="L10" s="20"/>
      <c r="M10" s="21"/>
      <c r="N10" s="21"/>
      <c r="O10" s="24" t="s">
        <v>82</v>
      </c>
      <c r="P10" s="24"/>
      <c r="Q10" s="20"/>
      <c r="R10" s="22"/>
      <c r="S10" s="22"/>
      <c r="T10" s="22"/>
      <c r="U10" s="22"/>
      <c r="V10" s="22"/>
      <c r="W10" s="20" t="s">
        <v>80</v>
      </c>
      <c r="X10" s="4" t="str">
        <f>IF(Tabela2[[#This Row],[sigla]]="","",VLOOKUP(Tabela2[[#This Row],[sigla]],Tabela1[[#All],[Sigla Arte]:[Crédito]],2,0))</f>
        <v>GUILHERME RODRIGUES/ARQUIVO DA EDITORA</v>
      </c>
      <c r="Y10" s="21"/>
      <c r="Z10" s="21" t="str">
        <f>Tabela2[[#This Row],[ilustrador]]</f>
        <v>GUILHERME RODRIGUES/ARQUIVO DA EDITORA</v>
      </c>
      <c r="AA10" s="20"/>
      <c r="AB10" s="18"/>
      <c r="AC10" s="18"/>
      <c r="AD10" s="4" t="str">
        <f t="shared" si="0"/>
        <v>Plantar</v>
      </c>
      <c r="AE10" s="12" t="str">
        <f t="shared" si="1"/>
        <v>Ciências</v>
      </c>
    </row>
    <row r="11" spans="1:32" s="12" customFormat="1" x14ac:dyDescent="0.3">
      <c r="A11" s="12" t="s">
        <v>346</v>
      </c>
      <c r="B11" s="18" t="s">
        <v>6</v>
      </c>
      <c r="C11" s="18" t="s">
        <v>7</v>
      </c>
      <c r="D11" s="18" t="s">
        <v>8</v>
      </c>
      <c r="E11" s="20">
        <v>11</v>
      </c>
      <c r="F11" s="20">
        <v>5</v>
      </c>
      <c r="G11" s="20">
        <v>1</v>
      </c>
      <c r="H11" s="20"/>
      <c r="I11" s="21" t="s">
        <v>9</v>
      </c>
      <c r="J11" s="21"/>
      <c r="K11" s="20"/>
      <c r="L11" s="20"/>
      <c r="M11" s="21"/>
      <c r="N11" s="21"/>
      <c r="O11" s="24" t="s">
        <v>347</v>
      </c>
      <c r="P11" s="24"/>
      <c r="Q11" s="20"/>
      <c r="R11" s="22"/>
      <c r="S11" s="22"/>
      <c r="T11" s="22"/>
      <c r="U11" s="22"/>
      <c r="V11" s="22"/>
      <c r="W11" s="20" t="s">
        <v>70</v>
      </c>
      <c r="X11" s="4" t="str">
        <f>IF(Tabela2[[#This Row],[sigla]]="","",VLOOKUP(Tabela2[[#This Row],[sigla]],Tabela1[[#All],[Sigla Arte]:[Crédito]],2,0))</f>
        <v>ALEXANDRE DE SOUZA/ARQUIVO DA EDITORA</v>
      </c>
      <c r="Y11" s="21"/>
      <c r="Z11" s="21" t="str">
        <f>Tabela2[[#This Row],[ilustrador]]</f>
        <v>ALEXANDRE DE SOUZA/ARQUIVO DA EDITORA</v>
      </c>
      <c r="AA11" s="20"/>
      <c r="AB11" s="18"/>
      <c r="AC11" s="18"/>
      <c r="AD11" s="4" t="str">
        <f t="shared" si="0"/>
        <v>Plantar</v>
      </c>
      <c r="AE11" s="12" t="str">
        <f t="shared" si="1"/>
        <v>Ciências</v>
      </c>
    </row>
    <row r="12" spans="1:32" s="12" customFormat="1" x14ac:dyDescent="0.3">
      <c r="A12" s="12" t="s">
        <v>348</v>
      </c>
      <c r="B12" s="18" t="s">
        <v>6</v>
      </c>
      <c r="C12" s="18" t="s">
        <v>7</v>
      </c>
      <c r="D12" s="18" t="s">
        <v>8</v>
      </c>
      <c r="E12" s="20">
        <v>11</v>
      </c>
      <c r="F12" s="20">
        <v>5</v>
      </c>
      <c r="G12" s="20">
        <v>1</v>
      </c>
      <c r="H12" s="20"/>
      <c r="I12" s="21" t="s">
        <v>13</v>
      </c>
      <c r="J12" s="21"/>
      <c r="K12" s="20"/>
      <c r="L12" s="20"/>
      <c r="M12" s="21"/>
      <c r="N12" s="21"/>
      <c r="O12" s="24" t="s">
        <v>349</v>
      </c>
      <c r="P12" s="24"/>
      <c r="Q12" s="20">
        <v>4</v>
      </c>
      <c r="R12" s="22">
        <v>45750</v>
      </c>
      <c r="S12" s="22">
        <v>45756</v>
      </c>
      <c r="T12" s="22"/>
      <c r="U12" s="22"/>
      <c r="V12" s="22">
        <v>45756</v>
      </c>
      <c r="W12" s="20" t="s">
        <v>70</v>
      </c>
      <c r="X12" s="4" t="str">
        <f>IF(Tabela2[[#This Row],[sigla]]="","",VLOOKUP(Tabela2[[#This Row],[sigla]],Tabela1[[#All],[Sigla Arte]:[Crédito]],2,0))</f>
        <v>ALEXANDRE DE SOUZA/ARQUIVO DA EDITORA</v>
      </c>
      <c r="Y12" s="21" t="s">
        <v>16</v>
      </c>
      <c r="Z12" s="21" t="str">
        <f>Tabela2[[#This Row],[ilustrador]]</f>
        <v>ALEXANDRE DE SOUZA/ARQUIVO DA EDITORA</v>
      </c>
      <c r="AA12" s="20">
        <v>13</v>
      </c>
      <c r="AB12" s="18" t="s">
        <v>17</v>
      </c>
      <c r="AC12" s="18" t="s">
        <v>18</v>
      </c>
      <c r="AD12" s="4" t="str">
        <f t="shared" si="0"/>
        <v>Plantar</v>
      </c>
      <c r="AE12" s="12" t="str">
        <f t="shared" si="1"/>
        <v>Ciências</v>
      </c>
    </row>
    <row r="13" spans="1:32" s="12" customFormat="1" x14ac:dyDescent="0.3">
      <c r="A13" s="12" t="s">
        <v>86</v>
      </c>
      <c r="B13" s="18" t="s">
        <v>6</v>
      </c>
      <c r="C13" s="18" t="s">
        <v>7</v>
      </c>
      <c r="D13" s="18" t="s">
        <v>8</v>
      </c>
      <c r="E13" s="20">
        <v>13</v>
      </c>
      <c r="F13" s="20">
        <v>4</v>
      </c>
      <c r="G13" s="20">
        <v>1</v>
      </c>
      <c r="H13" s="20"/>
      <c r="I13" s="21" t="s">
        <v>9</v>
      </c>
      <c r="J13" s="21"/>
      <c r="K13" s="20"/>
      <c r="L13" s="20"/>
      <c r="M13" s="21"/>
      <c r="N13" s="21"/>
      <c r="O13" s="24" t="s">
        <v>87</v>
      </c>
      <c r="P13" s="24"/>
      <c r="Q13" s="20"/>
      <c r="R13" s="22"/>
      <c r="S13" s="22"/>
      <c r="T13" s="22"/>
      <c r="U13" s="22"/>
      <c r="V13" s="22"/>
      <c r="W13" s="20" t="s">
        <v>33</v>
      </c>
      <c r="X13" s="4" t="str">
        <f>IF(Tabela2[[#This Row],[sigla]]="","",VLOOKUP(Tabela2[[#This Row],[sigla]],Tabela1[[#All],[Sigla Arte]:[Crédito]],2,0))</f>
        <v>KEITHY MOSTACHI/ARQUIVO DA EDITORA</v>
      </c>
      <c r="Y13" s="21"/>
      <c r="Z13" s="21" t="str">
        <f>Tabela2[[#This Row],[ilustrador]]</f>
        <v>KEITHY MOSTACHI/ARQUIVO DA EDITORA</v>
      </c>
      <c r="AA13" s="20"/>
      <c r="AB13" s="18"/>
      <c r="AC13" s="18"/>
      <c r="AD13" s="4" t="str">
        <f t="shared" si="0"/>
        <v>Plantar</v>
      </c>
      <c r="AE13" s="12" t="str">
        <f t="shared" si="1"/>
        <v>Ciências</v>
      </c>
    </row>
    <row r="14" spans="1:32" s="12" customFormat="1" x14ac:dyDescent="0.3">
      <c r="A14" s="12" t="s">
        <v>350</v>
      </c>
      <c r="B14" s="18" t="s">
        <v>6</v>
      </c>
      <c r="C14" s="18" t="s">
        <v>7</v>
      </c>
      <c r="D14" s="18" t="s">
        <v>8</v>
      </c>
      <c r="E14" s="20">
        <v>14</v>
      </c>
      <c r="F14" s="20">
        <v>5</v>
      </c>
      <c r="G14" s="20">
        <v>1</v>
      </c>
      <c r="H14" s="20"/>
      <c r="I14" s="21" t="s">
        <v>9</v>
      </c>
      <c r="J14" s="21"/>
      <c r="K14" s="20"/>
      <c r="L14" s="20"/>
      <c r="M14" s="21"/>
      <c r="N14" s="21"/>
      <c r="O14" s="24" t="s">
        <v>351</v>
      </c>
      <c r="P14" s="24"/>
      <c r="Q14" s="20"/>
      <c r="R14" s="22"/>
      <c r="S14" s="22"/>
      <c r="T14" s="22"/>
      <c r="U14" s="22"/>
      <c r="V14" s="22"/>
      <c r="W14" s="20" t="s">
        <v>230</v>
      </c>
      <c r="X14" s="4" t="str">
        <f>IF(Tabela2[[#This Row],[sigla]]="","",VLOOKUP(Tabela2[[#This Row],[sigla]],Tabela1[[#All],[Sigla Arte]:[Crédito]],2,0))</f>
        <v>FERNANDA PARDINI BIAGIO/ARQUIVO DA EDITORA</v>
      </c>
      <c r="Y14" s="21"/>
      <c r="Z14" s="21" t="str">
        <f>Tabela2[[#This Row],[ilustrador]]</f>
        <v>FERNANDA PARDINI BIAGIO/ARQUIVO DA EDITORA</v>
      </c>
      <c r="AA14" s="20"/>
      <c r="AB14" s="18"/>
      <c r="AC14" s="18"/>
      <c r="AD14" s="4" t="str">
        <f t="shared" si="0"/>
        <v>Plantar</v>
      </c>
      <c r="AE14" s="12" t="str">
        <f t="shared" si="1"/>
        <v>Ciências</v>
      </c>
    </row>
    <row r="15" spans="1:32" s="12" customFormat="1" x14ac:dyDescent="0.3">
      <c r="A15" s="12" t="s">
        <v>352</v>
      </c>
      <c r="B15" s="18" t="s">
        <v>169</v>
      </c>
      <c r="C15" s="18" t="s">
        <v>7</v>
      </c>
      <c r="D15" s="18" t="s">
        <v>8</v>
      </c>
      <c r="E15" s="20">
        <v>14</v>
      </c>
      <c r="F15" s="20">
        <v>5</v>
      </c>
      <c r="G15" s="20">
        <v>1</v>
      </c>
      <c r="H15" s="20"/>
      <c r="I15" s="21" t="s">
        <v>9</v>
      </c>
      <c r="J15" s="21"/>
      <c r="K15" s="20"/>
      <c r="L15" s="20"/>
      <c r="M15" s="21"/>
      <c r="N15" s="21"/>
      <c r="O15" s="24" t="s">
        <v>353</v>
      </c>
      <c r="P15" s="24"/>
      <c r="Q15" s="20"/>
      <c r="R15" s="22"/>
      <c r="S15" s="22"/>
      <c r="T15" s="22"/>
      <c r="U15" s="22"/>
      <c r="V15" s="22"/>
      <c r="W15" s="20" t="s">
        <v>230</v>
      </c>
      <c r="X15" s="4" t="str">
        <f>IF(Tabela2[[#This Row],[sigla]]="","",VLOOKUP(Tabela2[[#This Row],[sigla]],Tabela1[[#All],[Sigla Arte]:[Crédito]],2,0))</f>
        <v>FERNANDA PARDINI BIAGIO/ARQUIVO DA EDITORA</v>
      </c>
      <c r="Y15" s="21"/>
      <c r="Z15" s="21" t="str">
        <f>Tabela2[[#This Row],[ilustrador]]</f>
        <v>FERNANDA PARDINI BIAGIO/ARQUIVO DA EDITORA</v>
      </c>
      <c r="AA15" s="20"/>
      <c r="AB15" s="18"/>
      <c r="AC15" s="18"/>
      <c r="AD15" s="4" t="str">
        <f t="shared" si="0"/>
        <v>Plantar</v>
      </c>
      <c r="AE15" s="12" t="str">
        <f t="shared" si="1"/>
        <v>Ciências</v>
      </c>
    </row>
    <row r="16" spans="1:32" s="12" customFormat="1" x14ac:dyDescent="0.3">
      <c r="A16" s="12" t="s">
        <v>88</v>
      </c>
      <c r="B16" s="18" t="s">
        <v>6</v>
      </c>
      <c r="C16" s="18" t="s">
        <v>7</v>
      </c>
      <c r="D16" s="18" t="s">
        <v>8</v>
      </c>
      <c r="E16" s="20">
        <v>16</v>
      </c>
      <c r="F16" s="20">
        <v>4</v>
      </c>
      <c r="G16" s="20">
        <v>1</v>
      </c>
      <c r="H16" s="20"/>
      <c r="I16" s="21" t="s">
        <v>9</v>
      </c>
      <c r="J16" s="21"/>
      <c r="K16" s="20"/>
      <c r="L16" s="20"/>
      <c r="M16" s="21"/>
      <c r="N16" s="21"/>
      <c r="O16" s="24" t="s">
        <v>89</v>
      </c>
      <c r="P16" s="24"/>
      <c r="Q16" s="20"/>
      <c r="R16" s="22"/>
      <c r="S16" s="22"/>
      <c r="T16" s="22"/>
      <c r="U16" s="22"/>
      <c r="V16" s="22"/>
      <c r="W16" s="20" t="s">
        <v>70</v>
      </c>
      <c r="X16" s="4" t="str">
        <f>IF(Tabela2[[#This Row],[sigla]]="","",VLOOKUP(Tabela2[[#This Row],[sigla]],Tabela1[[#All],[Sigla Arte]:[Crédito]],2,0))</f>
        <v>ALEXANDRE DE SOUZA/ARQUIVO DA EDITORA</v>
      </c>
      <c r="Y16" s="21"/>
      <c r="Z16" s="21" t="str">
        <f>Tabela2[[#This Row],[ilustrador]]</f>
        <v>ALEXANDRE DE SOUZA/ARQUIVO DA EDITORA</v>
      </c>
      <c r="AA16" s="20"/>
      <c r="AB16" s="18"/>
      <c r="AC16" s="18"/>
      <c r="AD16" s="4" t="str">
        <f t="shared" si="0"/>
        <v>Plantar</v>
      </c>
      <c r="AE16" s="12" t="str">
        <f t="shared" si="1"/>
        <v>Ciências</v>
      </c>
    </row>
    <row r="17" spans="1:31" s="12" customFormat="1" ht="158.4" x14ac:dyDescent="0.3">
      <c r="A17" s="12" t="s">
        <v>354</v>
      </c>
      <c r="B17" s="18" t="s">
        <v>6</v>
      </c>
      <c r="C17" s="18" t="s">
        <v>7</v>
      </c>
      <c r="D17" s="18" t="s">
        <v>8</v>
      </c>
      <c r="E17" s="20">
        <v>15</v>
      </c>
      <c r="F17" s="20">
        <v>5</v>
      </c>
      <c r="G17" s="20">
        <v>1</v>
      </c>
      <c r="H17" s="20"/>
      <c r="I17" s="21" t="s">
        <v>9</v>
      </c>
      <c r="J17" s="21"/>
      <c r="K17" s="20"/>
      <c r="L17" s="20"/>
      <c r="M17" s="21"/>
      <c r="N17" s="21"/>
      <c r="O17" s="24" t="s">
        <v>355</v>
      </c>
      <c r="P17" s="24"/>
      <c r="Q17" s="20"/>
      <c r="R17" s="22"/>
      <c r="S17" s="22"/>
      <c r="T17" s="22"/>
      <c r="U17" s="22"/>
      <c r="V17" s="22"/>
      <c r="W17" s="20" t="s">
        <v>317</v>
      </c>
      <c r="X17" s="4" t="str">
        <f>IF(Tabela2[[#This Row],[sigla]]="","",VLOOKUP(Tabela2[[#This Row],[sigla]],Tabela1[[#All],[Sigla Arte]:[Crédito]],2,0))</f>
        <v>CAROLINE ANTUNES E SILVA/ARQUIVO DA EDITORA</v>
      </c>
      <c r="Y17" s="21"/>
      <c r="Z17" s="21" t="str">
        <f>Tabela2[[#This Row],[ilustrador]]</f>
        <v>CAROLINE ANTUNES E SILVA/ARQUIVO DA EDITORA</v>
      </c>
      <c r="AA17" s="20"/>
      <c r="AB17" s="18"/>
      <c r="AC17" s="18"/>
      <c r="AD17" s="4" t="str">
        <f t="shared" si="0"/>
        <v>Plantar</v>
      </c>
      <c r="AE17" s="12" t="str">
        <f t="shared" si="1"/>
        <v>Ciências</v>
      </c>
    </row>
    <row r="18" spans="1:31" s="12" customFormat="1" ht="57.6" x14ac:dyDescent="0.3">
      <c r="A18" s="12" t="s">
        <v>90</v>
      </c>
      <c r="B18" s="18" t="s">
        <v>6</v>
      </c>
      <c r="C18" s="18" t="s">
        <v>7</v>
      </c>
      <c r="D18" s="18" t="s">
        <v>8</v>
      </c>
      <c r="E18" s="20">
        <v>16</v>
      </c>
      <c r="F18" s="20">
        <v>4</v>
      </c>
      <c r="G18" s="20">
        <v>1</v>
      </c>
      <c r="H18" s="20"/>
      <c r="I18" s="21" t="s">
        <v>9</v>
      </c>
      <c r="J18" s="21"/>
      <c r="K18" s="20"/>
      <c r="L18" s="20"/>
      <c r="M18" s="21"/>
      <c r="N18" s="21"/>
      <c r="O18" s="24" t="s">
        <v>91</v>
      </c>
      <c r="P18" s="24"/>
      <c r="Q18" s="20"/>
      <c r="R18" s="22"/>
      <c r="S18" s="22"/>
      <c r="T18" s="22"/>
      <c r="U18" s="22"/>
      <c r="V18" s="22"/>
      <c r="W18" s="20" t="s">
        <v>70</v>
      </c>
      <c r="X18" s="4" t="str">
        <f>IF(Tabela2[[#This Row],[sigla]]="","",VLOOKUP(Tabela2[[#This Row],[sigla]],Tabela1[[#All],[Sigla Arte]:[Crédito]],2,0))</f>
        <v>ALEXANDRE DE SOUZA/ARQUIVO DA EDITORA</v>
      </c>
      <c r="Y18" s="21"/>
      <c r="Z18" s="21" t="str">
        <f>Tabela2[[#This Row],[ilustrador]]</f>
        <v>ALEXANDRE DE SOUZA/ARQUIVO DA EDITORA</v>
      </c>
      <c r="AA18" s="20"/>
      <c r="AB18" s="18"/>
      <c r="AC18" s="18"/>
      <c r="AD18" s="4" t="str">
        <f t="shared" si="0"/>
        <v>Plantar</v>
      </c>
      <c r="AE18" s="12" t="str">
        <f t="shared" si="1"/>
        <v>Ciências</v>
      </c>
    </row>
    <row r="19" spans="1:31" s="12" customFormat="1" ht="43.2" x14ac:dyDescent="0.3">
      <c r="A19" s="12" t="s">
        <v>92</v>
      </c>
      <c r="B19" s="18" t="s">
        <v>6</v>
      </c>
      <c r="C19" s="18" t="s">
        <v>7</v>
      </c>
      <c r="D19" s="18" t="s">
        <v>8</v>
      </c>
      <c r="E19" s="20">
        <v>19</v>
      </c>
      <c r="F19" s="20">
        <v>4</v>
      </c>
      <c r="G19" s="20">
        <v>1</v>
      </c>
      <c r="H19" s="20"/>
      <c r="I19" s="21" t="s">
        <v>13</v>
      </c>
      <c r="J19" s="21"/>
      <c r="K19" s="20"/>
      <c r="L19" s="20"/>
      <c r="M19" s="21"/>
      <c r="N19" s="21"/>
      <c r="O19" s="24" t="s">
        <v>93</v>
      </c>
      <c r="P19" s="24"/>
      <c r="Q19" s="20">
        <v>1</v>
      </c>
      <c r="R19" s="22">
        <v>45728</v>
      </c>
      <c r="S19" s="22">
        <v>45728</v>
      </c>
      <c r="T19" s="22"/>
      <c r="U19" s="22"/>
      <c r="V19" s="22">
        <v>45729</v>
      </c>
      <c r="W19" s="20" t="s">
        <v>70</v>
      </c>
      <c r="X19" s="4" t="str">
        <f>IF(Tabela2[[#This Row],[sigla]]="","",VLOOKUP(Tabela2[[#This Row],[sigla]],Tabela1[[#All],[Sigla Arte]:[Crédito]],2,0))</f>
        <v>ALEXANDRE DE SOUZA/ARQUIVO DA EDITORA</v>
      </c>
      <c r="Y19" s="21" t="s">
        <v>85</v>
      </c>
      <c r="Z19" s="21" t="str">
        <f>Tabela2[[#This Row],[ilustrador]]</f>
        <v>ALEXANDRE DE SOUZA/ARQUIVO DA EDITORA</v>
      </c>
      <c r="AA19" s="20">
        <v>14</v>
      </c>
      <c r="AB19" s="18"/>
      <c r="AC19" s="18" t="s">
        <v>18</v>
      </c>
      <c r="AD19" s="4" t="str">
        <f t="shared" si="0"/>
        <v>Plantar</v>
      </c>
      <c r="AE19" s="12" t="str">
        <f t="shared" si="1"/>
        <v>Ciências</v>
      </c>
    </row>
    <row r="20" spans="1:31" s="12" customFormat="1" ht="43.2" x14ac:dyDescent="0.3">
      <c r="A20" s="12" t="s">
        <v>94</v>
      </c>
      <c r="B20" s="18" t="s">
        <v>6</v>
      </c>
      <c r="C20" s="18" t="s">
        <v>7</v>
      </c>
      <c r="D20" s="18" t="s">
        <v>8</v>
      </c>
      <c r="E20" s="20">
        <v>19</v>
      </c>
      <c r="F20" s="20">
        <v>4</v>
      </c>
      <c r="G20" s="20">
        <v>1</v>
      </c>
      <c r="H20" s="20"/>
      <c r="I20" s="21" t="s">
        <v>13</v>
      </c>
      <c r="J20" s="21"/>
      <c r="K20" s="20"/>
      <c r="L20" s="20"/>
      <c r="M20" s="21"/>
      <c r="N20" s="21"/>
      <c r="O20" s="24" t="s">
        <v>95</v>
      </c>
      <c r="P20" s="24"/>
      <c r="Q20" s="20">
        <v>1</v>
      </c>
      <c r="R20" s="22">
        <v>45728</v>
      </c>
      <c r="S20" s="22">
        <v>45728</v>
      </c>
      <c r="T20" s="22"/>
      <c r="U20" s="22"/>
      <c r="V20" s="22">
        <v>45729</v>
      </c>
      <c r="W20" s="20" t="s">
        <v>70</v>
      </c>
      <c r="X20" s="4" t="str">
        <f>IF(Tabela2[[#This Row],[sigla]]="","",VLOOKUP(Tabela2[[#This Row],[sigla]],Tabela1[[#All],[Sigla Arte]:[Crédito]],2,0))</f>
        <v>ALEXANDRE DE SOUZA/ARQUIVO DA EDITORA</v>
      </c>
      <c r="Y20" s="21" t="s">
        <v>85</v>
      </c>
      <c r="Z20" s="21" t="str">
        <f>Tabela2[[#This Row],[ilustrador]]</f>
        <v>ALEXANDRE DE SOUZA/ARQUIVO DA EDITORA</v>
      </c>
      <c r="AA20" s="20">
        <v>14</v>
      </c>
      <c r="AB20" s="18"/>
      <c r="AC20" s="18" t="s">
        <v>18</v>
      </c>
      <c r="AD20" s="4" t="str">
        <f t="shared" si="0"/>
        <v>Plantar</v>
      </c>
      <c r="AE20" s="12" t="str">
        <f t="shared" si="1"/>
        <v>Ciências</v>
      </c>
    </row>
    <row r="21" spans="1:31" s="12" customFormat="1" ht="28.8" x14ac:dyDescent="0.3">
      <c r="A21" s="12" t="s">
        <v>356</v>
      </c>
      <c r="B21" s="18" t="s">
        <v>169</v>
      </c>
      <c r="C21" s="18" t="s">
        <v>7</v>
      </c>
      <c r="D21" s="18" t="s">
        <v>8</v>
      </c>
      <c r="E21" s="20">
        <v>17</v>
      </c>
      <c r="F21" s="20">
        <v>5</v>
      </c>
      <c r="G21" s="20">
        <v>1</v>
      </c>
      <c r="H21" s="20"/>
      <c r="I21" s="21" t="s">
        <v>9</v>
      </c>
      <c r="J21" s="21"/>
      <c r="K21" s="20"/>
      <c r="L21" s="20"/>
      <c r="M21" s="21"/>
      <c r="N21" s="21"/>
      <c r="O21" s="24" t="s">
        <v>357</v>
      </c>
      <c r="P21" s="24"/>
      <c r="Q21" s="20"/>
      <c r="R21" s="22"/>
      <c r="S21" s="22"/>
      <c r="T21" s="22"/>
      <c r="U21" s="22"/>
      <c r="V21" s="22"/>
      <c r="W21" s="20" t="s">
        <v>230</v>
      </c>
      <c r="X21" s="4" t="str">
        <f>IF(Tabela2[[#This Row],[sigla]]="","",VLOOKUP(Tabela2[[#This Row],[sigla]],Tabela1[[#All],[Sigla Arte]:[Crédito]],2,0))</f>
        <v>FERNANDA PARDINI BIAGIO/ARQUIVO DA EDITORA</v>
      </c>
      <c r="Y21" s="21"/>
      <c r="Z21" s="21" t="str">
        <f>Tabela2[[#This Row],[ilustrador]]</f>
        <v>FERNANDA PARDINI BIAGIO/ARQUIVO DA EDITORA</v>
      </c>
      <c r="AA21" s="20"/>
      <c r="AB21" s="18"/>
      <c r="AC21" s="18"/>
      <c r="AD21" s="4" t="str">
        <f t="shared" si="0"/>
        <v>Plantar</v>
      </c>
      <c r="AE21" s="12" t="str">
        <f t="shared" si="1"/>
        <v>Ciências</v>
      </c>
    </row>
    <row r="22" spans="1:31" s="12" customFormat="1" ht="28.8" x14ac:dyDescent="0.3">
      <c r="A22" s="12" t="s">
        <v>5</v>
      </c>
      <c r="B22" s="18" t="s">
        <v>6</v>
      </c>
      <c r="C22" s="18" t="s">
        <v>7</v>
      </c>
      <c r="D22" s="18" t="s">
        <v>8</v>
      </c>
      <c r="E22" s="20">
        <v>14</v>
      </c>
      <c r="F22" s="20">
        <v>3</v>
      </c>
      <c r="G22" s="20">
        <v>1</v>
      </c>
      <c r="H22" s="20"/>
      <c r="I22" s="21" t="s">
        <v>9</v>
      </c>
      <c r="J22" s="21"/>
      <c r="K22" s="20"/>
      <c r="L22" s="20"/>
      <c r="M22" s="21"/>
      <c r="N22" s="21"/>
      <c r="O22" s="24" t="s">
        <v>10</v>
      </c>
      <c r="P22" s="24"/>
      <c r="Q22" s="20"/>
      <c r="R22" s="22"/>
      <c r="S22" s="22"/>
      <c r="T22" s="22"/>
      <c r="U22" s="22"/>
      <c r="V22" s="22"/>
      <c r="W22" s="20" t="s">
        <v>11</v>
      </c>
      <c r="X22" s="4" t="str">
        <f>IF(Tabela2[[#This Row],[sigla]]="","",VLOOKUP(Tabela2[[#This Row],[sigla]],Tabela1[[#All],[Sigla Arte]:[Crédito]],2,0))</f>
        <v>HELOÍSA PINTARELLI/ARQUIVO DA EDITORA</v>
      </c>
      <c r="Y22" s="21"/>
      <c r="Z22" s="21" t="str">
        <f>Tabela2[[#This Row],[ilustrador]]</f>
        <v>HELOÍSA PINTARELLI/ARQUIVO DA EDITORA</v>
      </c>
      <c r="AA22" s="20"/>
      <c r="AB22" s="18"/>
      <c r="AC22" s="18"/>
      <c r="AD22" s="4" t="str">
        <f t="shared" si="0"/>
        <v>Plantar</v>
      </c>
      <c r="AE22" s="12" t="str">
        <f t="shared" si="1"/>
        <v>Ciências</v>
      </c>
    </row>
    <row r="23" spans="1:31" s="12" customFormat="1" ht="57.6" x14ac:dyDescent="0.3">
      <c r="A23" s="12" t="s">
        <v>96</v>
      </c>
      <c r="B23" s="18" t="s">
        <v>6</v>
      </c>
      <c r="C23" s="18" t="s">
        <v>7</v>
      </c>
      <c r="D23" s="18" t="s">
        <v>8</v>
      </c>
      <c r="E23" s="20">
        <v>19</v>
      </c>
      <c r="F23" s="20">
        <v>4</v>
      </c>
      <c r="G23" s="20">
        <v>1</v>
      </c>
      <c r="H23" s="20"/>
      <c r="I23" s="21" t="s">
        <v>13</v>
      </c>
      <c r="J23" s="21"/>
      <c r="K23" s="20"/>
      <c r="L23" s="20"/>
      <c r="M23" s="21"/>
      <c r="N23" s="21"/>
      <c r="O23" s="24" t="s">
        <v>97</v>
      </c>
      <c r="P23" s="24"/>
      <c r="Q23" s="20">
        <v>1</v>
      </c>
      <c r="R23" s="22">
        <v>45728</v>
      </c>
      <c r="S23" s="22">
        <v>45728</v>
      </c>
      <c r="T23" s="22"/>
      <c r="U23" s="22"/>
      <c r="V23" s="22">
        <v>45729</v>
      </c>
      <c r="W23" s="20" t="s">
        <v>70</v>
      </c>
      <c r="X23" s="4" t="str">
        <f>IF(Tabela2[[#This Row],[sigla]]="","",VLOOKUP(Tabela2[[#This Row],[sigla]],Tabela1[[#All],[Sigla Arte]:[Crédito]],2,0))</f>
        <v>ALEXANDRE DE SOUZA/ARQUIVO DA EDITORA</v>
      </c>
      <c r="Y23" s="21" t="s">
        <v>85</v>
      </c>
      <c r="Z23" s="21" t="str">
        <f>Tabela2[[#This Row],[ilustrador]]</f>
        <v>ALEXANDRE DE SOUZA/ARQUIVO DA EDITORA</v>
      </c>
      <c r="AA23" s="20">
        <v>14</v>
      </c>
      <c r="AB23" s="18"/>
      <c r="AC23" s="18" t="s">
        <v>18</v>
      </c>
      <c r="AD23" s="4" t="str">
        <f t="shared" si="0"/>
        <v>Plantar</v>
      </c>
      <c r="AE23" s="12" t="str">
        <f t="shared" si="1"/>
        <v>Ciências</v>
      </c>
    </row>
    <row r="24" spans="1:31" s="12" customFormat="1" ht="72" x14ac:dyDescent="0.3">
      <c r="A24" s="12" t="s">
        <v>358</v>
      </c>
      <c r="B24" s="18" t="s">
        <v>6</v>
      </c>
      <c r="C24" s="18" t="s">
        <v>7</v>
      </c>
      <c r="D24" s="18" t="s">
        <v>8</v>
      </c>
      <c r="E24" s="20">
        <v>18</v>
      </c>
      <c r="F24" s="20">
        <v>5</v>
      </c>
      <c r="G24" s="20">
        <v>1</v>
      </c>
      <c r="H24" s="20"/>
      <c r="I24" s="21" t="s">
        <v>13</v>
      </c>
      <c r="J24" s="21"/>
      <c r="K24" s="20"/>
      <c r="L24" s="20"/>
      <c r="M24" s="21"/>
      <c r="N24" s="21"/>
      <c r="O24" s="24" t="s">
        <v>359</v>
      </c>
      <c r="P24" s="24"/>
      <c r="Q24" s="20">
        <v>4</v>
      </c>
      <c r="R24" s="22">
        <v>45750</v>
      </c>
      <c r="S24" s="22">
        <v>45756</v>
      </c>
      <c r="T24" s="22"/>
      <c r="U24" s="22"/>
      <c r="V24" s="22">
        <v>45756</v>
      </c>
      <c r="W24" s="20" t="s">
        <v>11</v>
      </c>
      <c r="X24" s="4" t="str">
        <f>IF(Tabela2[[#This Row],[sigla]]="","",VLOOKUP(Tabela2[[#This Row],[sigla]],Tabela1[[#All],[Sigla Arte]:[Crédito]],2,0))</f>
        <v>HELOÍSA PINTARELLI/ARQUIVO DA EDITORA</v>
      </c>
      <c r="Y24" s="21" t="s">
        <v>16</v>
      </c>
      <c r="Z24" s="21" t="str">
        <f>Tabela2[[#This Row],[ilustrador]]</f>
        <v>HELOÍSA PINTARELLI/ARQUIVO DA EDITORA</v>
      </c>
      <c r="AA24" s="20">
        <v>13</v>
      </c>
      <c r="AB24" s="18" t="s">
        <v>17</v>
      </c>
      <c r="AC24" s="18" t="s">
        <v>18</v>
      </c>
      <c r="AD24" s="4" t="str">
        <f t="shared" si="0"/>
        <v>Plantar</v>
      </c>
      <c r="AE24" s="12" t="str">
        <f t="shared" si="1"/>
        <v>Ciências</v>
      </c>
    </row>
    <row r="25" spans="1:31" s="12" customFormat="1" ht="43.2" x14ac:dyDescent="0.3">
      <c r="A25" s="12" t="s">
        <v>98</v>
      </c>
      <c r="B25" s="18" t="s">
        <v>6</v>
      </c>
      <c r="C25" s="18" t="s">
        <v>7</v>
      </c>
      <c r="D25" s="18" t="s">
        <v>8</v>
      </c>
      <c r="E25" s="20">
        <v>19</v>
      </c>
      <c r="F25" s="20">
        <v>4</v>
      </c>
      <c r="G25" s="20">
        <v>1</v>
      </c>
      <c r="H25" s="20"/>
      <c r="I25" s="21" t="s">
        <v>13</v>
      </c>
      <c r="J25" s="21"/>
      <c r="K25" s="20"/>
      <c r="L25" s="20"/>
      <c r="M25" s="21"/>
      <c r="N25" s="21"/>
      <c r="O25" s="24" t="s">
        <v>99</v>
      </c>
      <c r="P25" s="24"/>
      <c r="Q25" s="20">
        <v>1</v>
      </c>
      <c r="R25" s="22">
        <v>45728</v>
      </c>
      <c r="S25" s="22">
        <v>45728</v>
      </c>
      <c r="T25" s="22"/>
      <c r="U25" s="22"/>
      <c r="V25" s="22">
        <v>45729</v>
      </c>
      <c r="W25" s="20" t="s">
        <v>70</v>
      </c>
      <c r="X25" s="4" t="str">
        <f>IF(Tabela2[[#This Row],[sigla]]="","",VLOOKUP(Tabela2[[#This Row],[sigla]],Tabela1[[#All],[Sigla Arte]:[Crédito]],2,0))</f>
        <v>ALEXANDRE DE SOUZA/ARQUIVO DA EDITORA</v>
      </c>
      <c r="Y25" s="21" t="s">
        <v>85</v>
      </c>
      <c r="Z25" s="21" t="str">
        <f>Tabela2[[#This Row],[ilustrador]]</f>
        <v>ALEXANDRE DE SOUZA/ARQUIVO DA EDITORA</v>
      </c>
      <c r="AA25" s="20">
        <v>14</v>
      </c>
      <c r="AB25" s="18"/>
      <c r="AC25" s="18" t="s">
        <v>18</v>
      </c>
      <c r="AD25" s="4" t="str">
        <f t="shared" si="0"/>
        <v>Plantar</v>
      </c>
      <c r="AE25" s="12" t="str">
        <f t="shared" si="1"/>
        <v>Ciências</v>
      </c>
    </row>
    <row r="26" spans="1:31" s="12" customFormat="1" ht="74.25" customHeight="1" x14ac:dyDescent="0.3">
      <c r="A26" s="12" t="s">
        <v>360</v>
      </c>
      <c r="B26" s="18" t="s">
        <v>6</v>
      </c>
      <c r="C26" s="18" t="s">
        <v>7</v>
      </c>
      <c r="D26" s="18" t="s">
        <v>8</v>
      </c>
      <c r="E26" s="20">
        <v>18</v>
      </c>
      <c r="F26" s="20">
        <v>5</v>
      </c>
      <c r="G26" s="20">
        <v>1</v>
      </c>
      <c r="H26" s="20"/>
      <c r="I26" s="21" t="s">
        <v>13</v>
      </c>
      <c r="J26" s="21"/>
      <c r="K26" s="20"/>
      <c r="L26" s="20"/>
      <c r="M26" s="21"/>
      <c r="N26" s="21"/>
      <c r="O26" s="24" t="s">
        <v>361</v>
      </c>
      <c r="P26" s="24"/>
      <c r="Q26" s="20">
        <v>4</v>
      </c>
      <c r="R26" s="22">
        <v>45750</v>
      </c>
      <c r="S26" s="22">
        <v>45756</v>
      </c>
      <c r="T26" s="22"/>
      <c r="U26" s="22"/>
      <c r="V26" s="22">
        <v>45756</v>
      </c>
      <c r="W26" s="20" t="s">
        <v>11</v>
      </c>
      <c r="X26" s="4" t="str">
        <f>IF(Tabela2[[#This Row],[sigla]]="","",VLOOKUP(Tabela2[[#This Row],[sigla]],Tabela1[[#All],[Sigla Arte]:[Crédito]],2,0))</f>
        <v>HELOÍSA PINTARELLI/ARQUIVO DA EDITORA</v>
      </c>
      <c r="Y26" s="21" t="s">
        <v>16</v>
      </c>
      <c r="Z26" s="21" t="str">
        <f>Tabela2[[#This Row],[ilustrador]]</f>
        <v>HELOÍSA PINTARELLI/ARQUIVO DA EDITORA</v>
      </c>
      <c r="AA26" s="20">
        <v>13</v>
      </c>
      <c r="AB26" s="18" t="s">
        <v>17</v>
      </c>
      <c r="AC26" s="18" t="s">
        <v>18</v>
      </c>
      <c r="AD26" s="4" t="str">
        <f t="shared" si="0"/>
        <v>Plantar</v>
      </c>
      <c r="AE26" s="12" t="str">
        <f t="shared" si="1"/>
        <v>Ciências</v>
      </c>
    </row>
    <row r="27" spans="1:31" s="12" customFormat="1" ht="43.2" x14ac:dyDescent="0.3">
      <c r="A27" s="12" t="s">
        <v>362</v>
      </c>
      <c r="B27" s="18" t="s">
        <v>6</v>
      </c>
      <c r="C27" s="18" t="s">
        <v>7</v>
      </c>
      <c r="D27" s="18" t="s">
        <v>8</v>
      </c>
      <c r="E27" s="20">
        <v>19</v>
      </c>
      <c r="F27" s="20">
        <v>5</v>
      </c>
      <c r="G27" s="20">
        <v>1</v>
      </c>
      <c r="H27" s="20"/>
      <c r="I27" s="21" t="s">
        <v>9</v>
      </c>
      <c r="J27" s="21"/>
      <c r="K27" s="20"/>
      <c r="L27" s="20"/>
      <c r="M27" s="21"/>
      <c r="N27" s="21"/>
      <c r="O27" s="24" t="s">
        <v>363</v>
      </c>
      <c r="P27" s="24"/>
      <c r="Q27" s="20"/>
      <c r="R27" s="22"/>
      <c r="S27" s="22"/>
      <c r="T27" s="22"/>
      <c r="U27" s="22"/>
      <c r="V27" s="22"/>
      <c r="W27" s="20" t="s">
        <v>230</v>
      </c>
      <c r="X27" s="4" t="str">
        <f>IF(Tabela2[[#This Row],[sigla]]="","",VLOOKUP(Tabela2[[#This Row],[sigla]],Tabela1[[#All],[Sigla Arte]:[Crédito]],2,0))</f>
        <v>FERNANDA PARDINI BIAGIO/ARQUIVO DA EDITORA</v>
      </c>
      <c r="Y27" s="21"/>
      <c r="Z27" s="21" t="str">
        <f>Tabela2[[#This Row],[ilustrador]]</f>
        <v>FERNANDA PARDINI BIAGIO/ARQUIVO DA EDITORA</v>
      </c>
      <c r="AA27" s="20"/>
      <c r="AB27" s="18"/>
      <c r="AC27" s="18"/>
      <c r="AD27" s="4" t="str">
        <f t="shared" si="0"/>
        <v>Plantar</v>
      </c>
      <c r="AE27" s="12" t="str">
        <f t="shared" si="1"/>
        <v>Ciências</v>
      </c>
    </row>
    <row r="28" spans="1:31" s="12" customFormat="1" ht="57.6" x14ac:dyDescent="0.3">
      <c r="A28" s="12" t="s">
        <v>100</v>
      </c>
      <c r="B28" s="18" t="s">
        <v>6</v>
      </c>
      <c r="C28" s="18" t="s">
        <v>7</v>
      </c>
      <c r="D28" s="18" t="s">
        <v>8</v>
      </c>
      <c r="E28" s="20">
        <v>23</v>
      </c>
      <c r="F28" s="20">
        <v>4</v>
      </c>
      <c r="G28" s="20">
        <v>1</v>
      </c>
      <c r="H28" s="20"/>
      <c r="I28" s="21" t="s">
        <v>13</v>
      </c>
      <c r="J28" s="21"/>
      <c r="K28" s="20"/>
      <c r="L28" s="20"/>
      <c r="M28" s="21"/>
      <c r="N28" s="21"/>
      <c r="O28" s="24" t="s">
        <v>101</v>
      </c>
      <c r="P28" s="24"/>
      <c r="Q28" s="20">
        <v>1</v>
      </c>
      <c r="R28" s="22">
        <v>45728</v>
      </c>
      <c r="S28" s="22">
        <v>45728</v>
      </c>
      <c r="T28" s="22"/>
      <c r="U28" s="22"/>
      <c r="V28" s="22">
        <v>45729</v>
      </c>
      <c r="W28" s="20" t="s">
        <v>70</v>
      </c>
      <c r="X28" s="4" t="str">
        <f>IF(Tabela2[[#This Row],[sigla]]="","",VLOOKUP(Tabela2[[#This Row],[sigla]],Tabela1[[#All],[Sigla Arte]:[Crédito]],2,0))</f>
        <v>ALEXANDRE DE SOUZA/ARQUIVO DA EDITORA</v>
      </c>
      <c r="Y28" s="21" t="s">
        <v>85</v>
      </c>
      <c r="Z28" s="21" t="str">
        <f>Tabela2[[#This Row],[ilustrador]]</f>
        <v>ALEXANDRE DE SOUZA/ARQUIVO DA EDITORA</v>
      </c>
      <c r="AA28" s="20">
        <v>14</v>
      </c>
      <c r="AB28" s="18"/>
      <c r="AC28" s="18" t="s">
        <v>18</v>
      </c>
      <c r="AD28" s="4" t="str">
        <f t="shared" si="0"/>
        <v>Plantar</v>
      </c>
      <c r="AE28" s="12" t="str">
        <f t="shared" si="1"/>
        <v>Ciências</v>
      </c>
    </row>
    <row r="29" spans="1:31" s="12" customFormat="1" ht="158.4" x14ac:dyDescent="0.3">
      <c r="A29" s="12" t="s">
        <v>364</v>
      </c>
      <c r="B29" s="18" t="s">
        <v>6</v>
      </c>
      <c r="C29" s="18" t="s">
        <v>7</v>
      </c>
      <c r="D29" s="18" t="s">
        <v>8</v>
      </c>
      <c r="E29" s="20">
        <v>19</v>
      </c>
      <c r="F29" s="20">
        <v>5</v>
      </c>
      <c r="G29" s="20">
        <v>1</v>
      </c>
      <c r="H29" s="20"/>
      <c r="I29" s="21" t="s">
        <v>9</v>
      </c>
      <c r="J29" s="21"/>
      <c r="K29" s="20"/>
      <c r="L29" s="20"/>
      <c r="M29" s="21"/>
      <c r="N29" s="21"/>
      <c r="O29" s="24" t="s">
        <v>365</v>
      </c>
      <c r="P29" s="24"/>
      <c r="Q29" s="20"/>
      <c r="R29" s="22"/>
      <c r="S29" s="22"/>
      <c r="T29" s="22"/>
      <c r="U29" s="22"/>
      <c r="V29" s="22"/>
      <c r="W29" s="20" t="s">
        <v>230</v>
      </c>
      <c r="X29" s="4" t="str">
        <f>IF(Tabela2[[#This Row],[sigla]]="","",VLOOKUP(Tabela2[[#This Row],[sigla]],Tabela1[[#All],[Sigla Arte]:[Crédito]],2,0))</f>
        <v>FERNANDA PARDINI BIAGIO/ARQUIVO DA EDITORA</v>
      </c>
      <c r="Y29" s="21"/>
      <c r="Z29" s="21" t="str">
        <f>Tabela2[[#This Row],[ilustrador]]</f>
        <v>FERNANDA PARDINI BIAGIO/ARQUIVO DA EDITORA</v>
      </c>
      <c r="AA29" s="20"/>
      <c r="AB29" s="18"/>
      <c r="AC29" s="18"/>
      <c r="AD29" s="4" t="str">
        <f t="shared" si="0"/>
        <v>Plantar</v>
      </c>
      <c r="AE29" s="12" t="str">
        <f t="shared" si="1"/>
        <v>Ciências</v>
      </c>
    </row>
    <row r="30" spans="1:31" s="12" customFormat="1" ht="43.2" x14ac:dyDescent="0.3">
      <c r="A30" s="12" t="s">
        <v>102</v>
      </c>
      <c r="B30" s="18" t="s">
        <v>6</v>
      </c>
      <c r="C30" s="18" t="s">
        <v>7</v>
      </c>
      <c r="D30" s="18" t="s">
        <v>8</v>
      </c>
      <c r="E30" s="20">
        <v>23</v>
      </c>
      <c r="F30" s="20">
        <v>4</v>
      </c>
      <c r="G30" s="20">
        <v>1</v>
      </c>
      <c r="H30" s="20"/>
      <c r="I30" s="21" t="s">
        <v>13</v>
      </c>
      <c r="J30" s="21"/>
      <c r="K30" s="20"/>
      <c r="L30" s="20"/>
      <c r="M30" s="21"/>
      <c r="N30" s="21"/>
      <c r="O30" s="24" t="s">
        <v>103</v>
      </c>
      <c r="P30" s="24"/>
      <c r="Q30" s="20">
        <v>1</v>
      </c>
      <c r="R30" s="22">
        <v>45728</v>
      </c>
      <c r="S30" s="22">
        <v>45728</v>
      </c>
      <c r="T30" s="22"/>
      <c r="U30" s="22"/>
      <c r="V30" s="22">
        <v>45729</v>
      </c>
      <c r="W30" s="20" t="s">
        <v>70</v>
      </c>
      <c r="X30" s="4" t="str">
        <f>IF(Tabela2[[#This Row],[sigla]]="","",VLOOKUP(Tabela2[[#This Row],[sigla]],Tabela1[[#All],[Sigla Arte]:[Crédito]],2,0))</f>
        <v>ALEXANDRE DE SOUZA/ARQUIVO DA EDITORA</v>
      </c>
      <c r="Y30" s="21" t="s">
        <v>85</v>
      </c>
      <c r="Z30" s="21" t="str">
        <f>Tabela2[[#This Row],[ilustrador]]</f>
        <v>ALEXANDRE DE SOUZA/ARQUIVO DA EDITORA</v>
      </c>
      <c r="AA30" s="20">
        <v>14</v>
      </c>
      <c r="AB30" s="18"/>
      <c r="AC30" s="18" t="s">
        <v>18</v>
      </c>
      <c r="AD30" s="4" t="str">
        <f t="shared" si="0"/>
        <v>Plantar</v>
      </c>
      <c r="AE30" s="12" t="str">
        <f t="shared" si="1"/>
        <v>Ciências</v>
      </c>
    </row>
    <row r="31" spans="1:31" s="12" customFormat="1" ht="100.8" x14ac:dyDescent="0.3">
      <c r="A31" s="12" t="s">
        <v>366</v>
      </c>
      <c r="B31" s="18" t="s">
        <v>6</v>
      </c>
      <c r="C31" s="18" t="s">
        <v>7</v>
      </c>
      <c r="D31" s="18" t="s">
        <v>8</v>
      </c>
      <c r="E31" s="20">
        <v>19</v>
      </c>
      <c r="F31" s="20">
        <v>5</v>
      </c>
      <c r="G31" s="20">
        <v>1</v>
      </c>
      <c r="H31" s="20"/>
      <c r="I31" s="21" t="s">
        <v>9</v>
      </c>
      <c r="J31" s="21"/>
      <c r="K31" s="20"/>
      <c r="L31" s="20"/>
      <c r="M31" s="21"/>
      <c r="N31" s="21"/>
      <c r="O31" s="24" t="s">
        <v>367</v>
      </c>
      <c r="P31" s="24"/>
      <c r="Q31" s="20"/>
      <c r="R31" s="22"/>
      <c r="S31" s="22"/>
      <c r="T31" s="22"/>
      <c r="U31" s="22"/>
      <c r="V31" s="22"/>
      <c r="W31" s="20" t="s">
        <v>230</v>
      </c>
      <c r="X31" s="4" t="str">
        <f>IF(Tabela2[[#This Row],[sigla]]="","",VLOOKUP(Tabela2[[#This Row],[sigla]],Tabela1[[#All],[Sigla Arte]:[Crédito]],2,0))</f>
        <v>FERNANDA PARDINI BIAGIO/ARQUIVO DA EDITORA</v>
      </c>
      <c r="Y31" s="21"/>
      <c r="Z31" s="21" t="str">
        <f>Tabela2[[#This Row],[ilustrador]]</f>
        <v>FERNANDA PARDINI BIAGIO/ARQUIVO DA EDITORA</v>
      </c>
      <c r="AA31" s="20"/>
      <c r="AB31" s="18"/>
      <c r="AC31" s="18"/>
      <c r="AD31" s="4" t="str">
        <f t="shared" si="0"/>
        <v>Plantar</v>
      </c>
      <c r="AE31" s="12" t="str">
        <f t="shared" si="1"/>
        <v>Ciências</v>
      </c>
    </row>
    <row r="32" spans="1:31" s="12" customFormat="1" ht="100.8" x14ac:dyDescent="0.3">
      <c r="A32" s="12" t="s">
        <v>104</v>
      </c>
      <c r="B32" s="18" t="s">
        <v>6</v>
      </c>
      <c r="C32" s="18" t="s">
        <v>7</v>
      </c>
      <c r="D32" s="18" t="s">
        <v>8</v>
      </c>
      <c r="E32" s="20">
        <v>23</v>
      </c>
      <c r="F32" s="20">
        <v>4</v>
      </c>
      <c r="G32" s="20">
        <v>1</v>
      </c>
      <c r="H32" s="20"/>
      <c r="I32" s="21" t="s">
        <v>13</v>
      </c>
      <c r="J32" s="21"/>
      <c r="K32" s="20"/>
      <c r="L32" s="20"/>
      <c r="M32" s="21"/>
      <c r="N32" s="21"/>
      <c r="O32" s="24" t="s">
        <v>105</v>
      </c>
      <c r="P32" s="24"/>
      <c r="Q32" s="20">
        <v>1</v>
      </c>
      <c r="R32" s="22">
        <v>45728</v>
      </c>
      <c r="S32" s="22">
        <v>45728</v>
      </c>
      <c r="T32" s="22"/>
      <c r="U32" s="22"/>
      <c r="V32" s="22">
        <v>45729</v>
      </c>
      <c r="W32" s="20" t="s">
        <v>70</v>
      </c>
      <c r="X32" s="4" t="str">
        <f>IF(Tabela2[[#This Row],[sigla]]="","",VLOOKUP(Tabela2[[#This Row],[sigla]],Tabela1[[#All],[Sigla Arte]:[Crédito]],2,0))</f>
        <v>ALEXANDRE DE SOUZA/ARQUIVO DA EDITORA</v>
      </c>
      <c r="Y32" s="21" t="s">
        <v>85</v>
      </c>
      <c r="Z32" s="21" t="str">
        <f>Tabela2[[#This Row],[ilustrador]]</f>
        <v>ALEXANDRE DE SOUZA/ARQUIVO DA EDITORA</v>
      </c>
      <c r="AA32" s="20">
        <v>14</v>
      </c>
      <c r="AB32" s="18"/>
      <c r="AC32" s="18" t="s">
        <v>18</v>
      </c>
      <c r="AD32" s="4" t="str">
        <f t="shared" si="0"/>
        <v>Plantar</v>
      </c>
      <c r="AE32" s="12" t="str">
        <f t="shared" si="1"/>
        <v>Ciências</v>
      </c>
    </row>
    <row r="33" spans="1:31" s="12" customFormat="1" ht="86.4" x14ac:dyDescent="0.3">
      <c r="A33" s="12" t="s">
        <v>368</v>
      </c>
      <c r="B33" s="18" t="s">
        <v>6</v>
      </c>
      <c r="C33" s="18" t="s">
        <v>7</v>
      </c>
      <c r="D33" s="18" t="s">
        <v>8</v>
      </c>
      <c r="E33" s="20">
        <v>19</v>
      </c>
      <c r="F33" s="20">
        <v>5</v>
      </c>
      <c r="G33" s="20">
        <v>1</v>
      </c>
      <c r="H33" s="20"/>
      <c r="I33" s="21" t="s">
        <v>9</v>
      </c>
      <c r="J33" s="21"/>
      <c r="K33" s="20"/>
      <c r="L33" s="20"/>
      <c r="M33" s="21"/>
      <c r="N33" s="21"/>
      <c r="O33" s="24" t="s">
        <v>369</v>
      </c>
      <c r="P33" s="24"/>
      <c r="Q33" s="20"/>
      <c r="R33" s="22"/>
      <c r="S33" s="22"/>
      <c r="T33" s="22"/>
      <c r="U33" s="22"/>
      <c r="V33" s="22"/>
      <c r="W33" s="20" t="s">
        <v>230</v>
      </c>
      <c r="X33" s="4" t="str">
        <f>IF(Tabela2[[#This Row],[sigla]]="","",VLOOKUP(Tabela2[[#This Row],[sigla]],Tabela1[[#All],[Sigla Arte]:[Crédito]],2,0))</f>
        <v>FERNANDA PARDINI BIAGIO/ARQUIVO DA EDITORA</v>
      </c>
      <c r="Y33" s="21"/>
      <c r="Z33" s="21" t="str">
        <f>Tabela2[[#This Row],[ilustrador]]</f>
        <v>FERNANDA PARDINI BIAGIO/ARQUIVO DA EDITORA</v>
      </c>
      <c r="AA33" s="20"/>
      <c r="AB33" s="18"/>
      <c r="AC33" s="18"/>
      <c r="AD33" s="4" t="str">
        <f t="shared" si="0"/>
        <v>Plantar</v>
      </c>
      <c r="AE33" s="12" t="str">
        <f t="shared" si="1"/>
        <v>Ciências</v>
      </c>
    </row>
    <row r="34" spans="1:31" s="12" customFormat="1" ht="86.4" x14ac:dyDescent="0.3">
      <c r="A34" s="12" t="s">
        <v>106</v>
      </c>
      <c r="B34" s="18" t="s">
        <v>6</v>
      </c>
      <c r="C34" s="18" t="s">
        <v>7</v>
      </c>
      <c r="D34" s="18" t="s">
        <v>8</v>
      </c>
      <c r="E34" s="20">
        <v>23</v>
      </c>
      <c r="F34" s="20">
        <v>4</v>
      </c>
      <c r="G34" s="20">
        <v>1</v>
      </c>
      <c r="H34" s="20"/>
      <c r="I34" s="21" t="s">
        <v>13</v>
      </c>
      <c r="J34" s="21"/>
      <c r="K34" s="20"/>
      <c r="L34" s="20"/>
      <c r="M34" s="21"/>
      <c r="N34" s="21"/>
      <c r="O34" s="24" t="s">
        <v>107</v>
      </c>
      <c r="P34" s="24"/>
      <c r="Q34" s="20">
        <v>1</v>
      </c>
      <c r="R34" s="22">
        <v>45728</v>
      </c>
      <c r="S34" s="22">
        <v>45728</v>
      </c>
      <c r="T34" s="22"/>
      <c r="U34" s="22"/>
      <c r="V34" s="22">
        <v>45729</v>
      </c>
      <c r="W34" s="20" t="s">
        <v>70</v>
      </c>
      <c r="X34" s="4" t="str">
        <f>IF(Tabela2[[#This Row],[sigla]]="","",VLOOKUP(Tabela2[[#This Row],[sigla]],Tabela1[[#All],[Sigla Arte]:[Crédito]],2,0))</f>
        <v>ALEXANDRE DE SOUZA/ARQUIVO DA EDITORA</v>
      </c>
      <c r="Y34" s="21" t="s">
        <v>85</v>
      </c>
      <c r="Z34" s="21" t="str">
        <f>Tabela2[[#This Row],[ilustrador]]</f>
        <v>ALEXANDRE DE SOUZA/ARQUIVO DA EDITORA</v>
      </c>
      <c r="AA34" s="20">
        <v>14</v>
      </c>
      <c r="AB34" s="18"/>
      <c r="AC34" s="18" t="s">
        <v>18</v>
      </c>
      <c r="AD34" s="4" t="str">
        <f t="shared" si="0"/>
        <v>Plantar</v>
      </c>
      <c r="AE34" s="12" t="str">
        <f t="shared" si="1"/>
        <v>Ciências</v>
      </c>
    </row>
    <row r="35" spans="1:31" s="12" customFormat="1" ht="86.4" x14ac:dyDescent="0.3">
      <c r="A35" s="12" t="s">
        <v>370</v>
      </c>
      <c r="B35" s="18" t="s">
        <v>6</v>
      </c>
      <c r="C35" s="18" t="s">
        <v>7</v>
      </c>
      <c r="D35" s="18" t="s">
        <v>8</v>
      </c>
      <c r="E35" s="20">
        <v>20</v>
      </c>
      <c r="F35" s="20">
        <v>5</v>
      </c>
      <c r="G35" s="20">
        <v>1</v>
      </c>
      <c r="H35" s="20"/>
      <c r="I35" s="21" t="s">
        <v>36</v>
      </c>
      <c r="J35" s="21"/>
      <c r="K35" s="20"/>
      <c r="L35" s="20"/>
      <c r="M35" s="21"/>
      <c r="N35" s="21"/>
      <c r="O35" s="24" t="s">
        <v>371</v>
      </c>
      <c r="P35" s="24"/>
      <c r="Q35" s="20">
        <v>4</v>
      </c>
      <c r="R35" s="22">
        <v>45750</v>
      </c>
      <c r="S35" s="22">
        <v>45756</v>
      </c>
      <c r="T35" s="22"/>
      <c r="U35" s="22"/>
      <c r="V35" s="22">
        <v>45756</v>
      </c>
      <c r="W35" s="20" t="s">
        <v>372</v>
      </c>
      <c r="X35" s="4" t="str">
        <f>IF(Tabela2[[#This Row],[sigla]]="","",VLOOKUP(Tabela2[[#This Row],[sigla]],Tabela1[[#All],[Sigla Arte]:[Crédito]],2,0))</f>
        <v>CARLOS BORIN/ARQUIVO DA EDITORA</v>
      </c>
      <c r="Y35" s="21" t="s">
        <v>16</v>
      </c>
      <c r="Z35" s="21" t="str">
        <f>Tabela2[[#This Row],[ilustrador]]</f>
        <v>CARLOS BORIN/ARQUIVO DA EDITORA</v>
      </c>
      <c r="AA35" s="20">
        <v>13</v>
      </c>
      <c r="AB35" s="18" t="s">
        <v>17</v>
      </c>
      <c r="AC35" s="18" t="s">
        <v>18</v>
      </c>
      <c r="AD35" s="4" t="str">
        <f t="shared" si="0"/>
        <v>Plantar</v>
      </c>
      <c r="AE35" s="12" t="str">
        <f t="shared" si="1"/>
        <v>Ciências</v>
      </c>
    </row>
    <row r="36" spans="1:31" s="12" customFormat="1" ht="72" x14ac:dyDescent="0.3">
      <c r="A36" s="12" t="s">
        <v>12</v>
      </c>
      <c r="B36" s="18" t="s">
        <v>6</v>
      </c>
      <c r="C36" s="18" t="s">
        <v>7</v>
      </c>
      <c r="D36" s="18" t="s">
        <v>8</v>
      </c>
      <c r="E36" s="20">
        <v>20</v>
      </c>
      <c r="F36" s="20">
        <v>3</v>
      </c>
      <c r="G36" s="20">
        <v>1</v>
      </c>
      <c r="H36" s="20"/>
      <c r="I36" s="21" t="s">
        <v>13</v>
      </c>
      <c r="J36" s="21"/>
      <c r="K36" s="20"/>
      <c r="L36" s="20"/>
      <c r="M36" s="21"/>
      <c r="N36" s="21"/>
      <c r="O36" s="24" t="s">
        <v>14</v>
      </c>
      <c r="P36" s="24"/>
      <c r="Q36" s="20">
        <v>1</v>
      </c>
      <c r="R36" s="22">
        <v>45726</v>
      </c>
      <c r="S36" s="22">
        <v>45726</v>
      </c>
      <c r="T36" s="22"/>
      <c r="U36" s="22"/>
      <c r="V36" s="22">
        <v>45727</v>
      </c>
      <c r="W36" s="20" t="s">
        <v>15</v>
      </c>
      <c r="X36" s="4" t="str">
        <f>IF(Tabela2[[#This Row],[sigla]]="","",VLOOKUP(Tabela2[[#This Row],[sigla]],Tabela1[[#All],[Sigla Arte]:[Crédito]],2,0))</f>
        <v>IVY NUNES/ARQUIVO DA EDITORA</v>
      </c>
      <c r="Y36" s="21" t="s">
        <v>16</v>
      </c>
      <c r="Z36" s="21" t="str">
        <f>Tabela2[[#This Row],[ilustrador]]</f>
        <v>IVY NUNES/ARQUIVO DA EDITORA</v>
      </c>
      <c r="AA36" s="20">
        <v>14</v>
      </c>
      <c r="AB36" s="18" t="s">
        <v>17</v>
      </c>
      <c r="AC36" s="18" t="s">
        <v>18</v>
      </c>
      <c r="AD36" s="4" t="str">
        <f t="shared" si="0"/>
        <v>Plantar</v>
      </c>
      <c r="AE36" s="12" t="str">
        <f t="shared" si="1"/>
        <v>Ciências</v>
      </c>
    </row>
    <row r="37" spans="1:31" s="12" customFormat="1" ht="86.4" x14ac:dyDescent="0.3">
      <c r="A37" s="12" t="s">
        <v>373</v>
      </c>
      <c r="B37" s="18" t="s">
        <v>169</v>
      </c>
      <c r="C37" s="18" t="s">
        <v>7</v>
      </c>
      <c r="D37" s="18" t="s">
        <v>8</v>
      </c>
      <c r="E37" s="20">
        <v>20</v>
      </c>
      <c r="F37" s="20">
        <v>5</v>
      </c>
      <c r="G37" s="20">
        <v>1</v>
      </c>
      <c r="H37" s="20"/>
      <c r="I37" s="21" t="s">
        <v>36</v>
      </c>
      <c r="J37" s="21"/>
      <c r="K37" s="20"/>
      <c r="L37" s="20"/>
      <c r="M37" s="21"/>
      <c r="N37" s="21"/>
      <c r="O37" s="24" t="s">
        <v>374</v>
      </c>
      <c r="P37" s="24" t="s">
        <v>375</v>
      </c>
      <c r="Q37" s="20">
        <v>4</v>
      </c>
      <c r="R37" s="22">
        <v>45750</v>
      </c>
      <c r="S37" s="22"/>
      <c r="T37" s="22"/>
      <c r="U37" s="22"/>
      <c r="V37" s="22"/>
      <c r="W37" s="20"/>
      <c r="X37" s="4" t="str">
        <f>IF(Tabela2[[#This Row],[sigla]]="","",VLOOKUP(Tabela2[[#This Row],[sigla]],Tabela1[[#All],[Sigla Arte]:[Crédito]],2,0))</f>
        <v/>
      </c>
      <c r="Y37" s="21"/>
      <c r="Z37" s="21" t="str">
        <f>Tabela2[[#This Row],[ilustrador]]</f>
        <v/>
      </c>
      <c r="AA37" s="20"/>
      <c r="AB37" s="24" t="s">
        <v>376</v>
      </c>
      <c r="AC37" s="18" t="s">
        <v>18</v>
      </c>
      <c r="AD37" s="4" t="str">
        <f t="shared" si="0"/>
        <v>Plantar</v>
      </c>
      <c r="AE37" s="12" t="str">
        <f t="shared" si="1"/>
        <v>Ciências</v>
      </c>
    </row>
    <row r="38" spans="1:31" s="12" customFormat="1" ht="86.4" x14ac:dyDescent="0.3">
      <c r="A38" s="12" t="s">
        <v>19</v>
      </c>
      <c r="B38" s="18" t="s">
        <v>6</v>
      </c>
      <c r="C38" s="18" t="s">
        <v>7</v>
      </c>
      <c r="D38" s="18" t="s">
        <v>8</v>
      </c>
      <c r="E38" s="18">
        <v>20</v>
      </c>
      <c r="F38" s="20">
        <v>3</v>
      </c>
      <c r="G38" s="20">
        <v>1</v>
      </c>
      <c r="H38" s="20"/>
      <c r="I38" s="21" t="s">
        <v>13</v>
      </c>
      <c r="J38" s="21"/>
      <c r="K38" s="20"/>
      <c r="L38" s="20"/>
      <c r="M38" s="21"/>
      <c r="N38" s="21"/>
      <c r="O38" s="24" t="s">
        <v>14</v>
      </c>
      <c r="P38" s="24"/>
      <c r="Q38" s="20">
        <v>1</v>
      </c>
      <c r="R38" s="22">
        <v>45726</v>
      </c>
      <c r="S38" s="22">
        <v>45726</v>
      </c>
      <c r="T38" s="22"/>
      <c r="U38" s="22"/>
      <c r="V38" s="22">
        <v>45727</v>
      </c>
      <c r="W38" s="20" t="s">
        <v>15</v>
      </c>
      <c r="X38" s="4" t="str">
        <f>IF(Tabela2[[#This Row],[sigla]]="","",VLOOKUP(Tabela2[[#This Row],[sigla]],Tabela1[[#All],[Sigla Arte]:[Crédito]],2,0))</f>
        <v>IVY NUNES/ARQUIVO DA EDITORA</v>
      </c>
      <c r="Y38" s="21" t="s">
        <v>16</v>
      </c>
      <c r="Z38" s="21" t="str">
        <f>Tabela2[[#This Row],[ilustrador]]</f>
        <v>IVY NUNES/ARQUIVO DA EDITORA</v>
      </c>
      <c r="AA38" s="20">
        <v>14</v>
      </c>
      <c r="AB38" s="18" t="s">
        <v>17</v>
      </c>
      <c r="AC38" s="18" t="s">
        <v>18</v>
      </c>
      <c r="AD38" s="4" t="str">
        <f t="shared" si="0"/>
        <v>Plantar</v>
      </c>
      <c r="AE38" s="12" t="str">
        <f t="shared" si="1"/>
        <v>Ciências</v>
      </c>
    </row>
    <row r="39" spans="1:31" s="12" customFormat="1" ht="86.4" x14ac:dyDescent="0.3">
      <c r="A39" s="12" t="s">
        <v>108</v>
      </c>
      <c r="B39" s="18" t="s">
        <v>6</v>
      </c>
      <c r="C39" s="18" t="s">
        <v>7</v>
      </c>
      <c r="D39" s="18" t="s">
        <v>8</v>
      </c>
      <c r="E39" s="20">
        <v>28</v>
      </c>
      <c r="F39" s="20">
        <v>4</v>
      </c>
      <c r="G39" s="20">
        <v>1</v>
      </c>
      <c r="H39" s="20"/>
      <c r="I39" s="21" t="s">
        <v>13</v>
      </c>
      <c r="J39" s="21"/>
      <c r="K39" s="20"/>
      <c r="L39" s="20"/>
      <c r="M39" s="21"/>
      <c r="N39" s="21"/>
      <c r="O39" s="24" t="s">
        <v>109</v>
      </c>
      <c r="P39" s="24"/>
      <c r="Q39" s="20">
        <v>1</v>
      </c>
      <c r="R39" s="22">
        <v>45728</v>
      </c>
      <c r="S39" s="22">
        <v>45728</v>
      </c>
      <c r="T39" s="22"/>
      <c r="U39" s="22"/>
      <c r="V39" s="22">
        <v>45729</v>
      </c>
      <c r="W39" s="20" t="s">
        <v>70</v>
      </c>
      <c r="X39" s="4" t="str">
        <f>IF(Tabela2[[#This Row],[sigla]]="","",VLOOKUP(Tabela2[[#This Row],[sigla]],Tabela1[[#All],[Sigla Arte]:[Crédito]],2,0))</f>
        <v>ALEXANDRE DE SOUZA/ARQUIVO DA EDITORA</v>
      </c>
      <c r="Y39" s="21" t="s">
        <v>85</v>
      </c>
      <c r="Z39" s="21" t="str">
        <f>Tabela2[[#This Row],[ilustrador]]</f>
        <v>ALEXANDRE DE SOUZA/ARQUIVO DA EDITORA</v>
      </c>
      <c r="AA39" s="20">
        <v>14</v>
      </c>
      <c r="AB39" s="18"/>
      <c r="AC39" s="18" t="s">
        <v>18</v>
      </c>
      <c r="AD39" s="4" t="str">
        <f t="shared" si="0"/>
        <v>Plantar</v>
      </c>
      <c r="AE39" s="12" t="str">
        <f t="shared" si="1"/>
        <v>Ciências</v>
      </c>
    </row>
    <row r="40" spans="1:31" s="12" customFormat="1" ht="86.4" x14ac:dyDescent="0.3">
      <c r="A40" s="12" t="s">
        <v>377</v>
      </c>
      <c r="B40" s="18" t="s">
        <v>6</v>
      </c>
      <c r="C40" s="18" t="s">
        <v>7</v>
      </c>
      <c r="D40" s="18" t="s">
        <v>8</v>
      </c>
      <c r="E40" s="20">
        <v>20</v>
      </c>
      <c r="F40" s="20">
        <v>5</v>
      </c>
      <c r="G40" s="20">
        <v>1</v>
      </c>
      <c r="H40" s="20"/>
      <c r="I40" s="21" t="s">
        <v>9</v>
      </c>
      <c r="J40" s="21"/>
      <c r="K40" s="20"/>
      <c r="L40" s="20"/>
      <c r="M40" s="21"/>
      <c r="N40" s="21"/>
      <c r="O40" s="24" t="s">
        <v>378</v>
      </c>
      <c r="P40" s="24"/>
      <c r="Q40" s="20"/>
      <c r="R40" s="22"/>
      <c r="S40" s="22"/>
      <c r="T40" s="22"/>
      <c r="U40" s="22"/>
      <c r="V40" s="22"/>
      <c r="W40" s="20" t="s">
        <v>230</v>
      </c>
      <c r="X40" s="4" t="str">
        <f>IF(Tabela2[[#This Row],[sigla]]="","",VLOOKUP(Tabela2[[#This Row],[sigla]],Tabela1[[#All],[Sigla Arte]:[Crédito]],2,0))</f>
        <v>FERNANDA PARDINI BIAGIO/ARQUIVO DA EDITORA</v>
      </c>
      <c r="Y40" s="21"/>
      <c r="Z40" s="21" t="str">
        <f>Tabela2[[#This Row],[ilustrador]]</f>
        <v>FERNANDA PARDINI BIAGIO/ARQUIVO DA EDITORA</v>
      </c>
      <c r="AA40" s="20"/>
      <c r="AB40" s="18"/>
      <c r="AC40" s="18"/>
      <c r="AD40" s="4" t="str">
        <f t="shared" si="0"/>
        <v>Plantar</v>
      </c>
      <c r="AE40" s="12" t="str">
        <f t="shared" si="1"/>
        <v>Ciências</v>
      </c>
    </row>
    <row r="41" spans="1:31" s="12" customFormat="1" ht="57.6" x14ac:dyDescent="0.3">
      <c r="A41" s="12" t="s">
        <v>110</v>
      </c>
      <c r="B41" s="18" t="s">
        <v>6</v>
      </c>
      <c r="C41" s="18" t="s">
        <v>7</v>
      </c>
      <c r="D41" s="18" t="s">
        <v>8</v>
      </c>
      <c r="E41" s="20">
        <v>28</v>
      </c>
      <c r="F41" s="20">
        <v>4</v>
      </c>
      <c r="G41" s="20">
        <v>1</v>
      </c>
      <c r="H41" s="20"/>
      <c r="I41" s="21" t="s">
        <v>13</v>
      </c>
      <c r="J41" s="21"/>
      <c r="K41" s="20"/>
      <c r="L41" s="20"/>
      <c r="M41" s="21"/>
      <c r="N41" s="21"/>
      <c r="O41" s="24" t="s">
        <v>111</v>
      </c>
      <c r="P41" s="24"/>
      <c r="Q41" s="20">
        <v>1</v>
      </c>
      <c r="R41" s="22">
        <v>45728</v>
      </c>
      <c r="S41" s="22">
        <v>45728</v>
      </c>
      <c r="T41" s="22"/>
      <c r="U41" s="22"/>
      <c r="V41" s="22">
        <v>45729</v>
      </c>
      <c r="W41" s="20" t="s">
        <v>70</v>
      </c>
      <c r="X41" s="4" t="str">
        <f>IF(Tabela2[[#This Row],[sigla]]="","",VLOOKUP(Tabela2[[#This Row],[sigla]],Tabela1[[#All],[Sigla Arte]:[Crédito]],2,0))</f>
        <v>ALEXANDRE DE SOUZA/ARQUIVO DA EDITORA</v>
      </c>
      <c r="Y41" s="21" t="s">
        <v>85</v>
      </c>
      <c r="Z41" s="21" t="str">
        <f>Tabela2[[#This Row],[ilustrador]]</f>
        <v>ALEXANDRE DE SOUZA/ARQUIVO DA EDITORA</v>
      </c>
      <c r="AA41" s="20">
        <v>14</v>
      </c>
      <c r="AB41" s="18"/>
      <c r="AC41" s="18" t="s">
        <v>18</v>
      </c>
      <c r="AD41" s="4" t="str">
        <f t="shared" si="0"/>
        <v>Plantar</v>
      </c>
      <c r="AE41" s="12" t="str">
        <f t="shared" si="1"/>
        <v>Ciências</v>
      </c>
    </row>
    <row r="42" spans="1:31" s="12" customFormat="1" ht="72" x14ac:dyDescent="0.3">
      <c r="A42" s="12" t="s">
        <v>112</v>
      </c>
      <c r="B42" s="18" t="s">
        <v>6</v>
      </c>
      <c r="C42" s="18" t="s">
        <v>7</v>
      </c>
      <c r="D42" s="18" t="s">
        <v>8</v>
      </c>
      <c r="E42" s="20">
        <v>28</v>
      </c>
      <c r="F42" s="20">
        <v>4</v>
      </c>
      <c r="G42" s="20">
        <v>1</v>
      </c>
      <c r="H42" s="20"/>
      <c r="I42" s="21" t="s">
        <v>13</v>
      </c>
      <c r="J42" s="21"/>
      <c r="K42" s="20"/>
      <c r="L42" s="20"/>
      <c r="M42" s="21"/>
      <c r="N42" s="21"/>
      <c r="O42" s="24" t="s">
        <v>113</v>
      </c>
      <c r="P42" s="24"/>
      <c r="Q42" s="20">
        <v>1</v>
      </c>
      <c r="R42" s="22">
        <v>45728</v>
      </c>
      <c r="S42" s="22">
        <v>45728</v>
      </c>
      <c r="T42" s="22"/>
      <c r="U42" s="22"/>
      <c r="V42" s="22">
        <v>45729</v>
      </c>
      <c r="W42" s="20" t="s">
        <v>70</v>
      </c>
      <c r="X42" s="4" t="str">
        <f>IF(Tabela2[[#This Row],[sigla]]="","",VLOOKUP(Tabela2[[#This Row],[sigla]],Tabela1[[#All],[Sigla Arte]:[Crédito]],2,0))</f>
        <v>ALEXANDRE DE SOUZA/ARQUIVO DA EDITORA</v>
      </c>
      <c r="Y42" s="21" t="s">
        <v>85</v>
      </c>
      <c r="Z42" s="21" t="str">
        <f>Tabela2[[#This Row],[ilustrador]]</f>
        <v>ALEXANDRE DE SOUZA/ARQUIVO DA EDITORA</v>
      </c>
      <c r="AA42" s="20">
        <v>14</v>
      </c>
      <c r="AB42" s="18"/>
      <c r="AC42" s="18" t="s">
        <v>18</v>
      </c>
      <c r="AD42" s="4" t="str">
        <f t="shared" si="0"/>
        <v>Plantar</v>
      </c>
      <c r="AE42" s="12" t="str">
        <f t="shared" si="1"/>
        <v>Ciências</v>
      </c>
    </row>
    <row r="43" spans="1:31" s="12" customFormat="1" ht="72" x14ac:dyDescent="0.3">
      <c r="A43" s="12" t="s">
        <v>114</v>
      </c>
      <c r="B43" s="18" t="s">
        <v>6</v>
      </c>
      <c r="C43" s="18" t="s">
        <v>7</v>
      </c>
      <c r="D43" s="18" t="s">
        <v>8</v>
      </c>
      <c r="E43" s="20">
        <v>28</v>
      </c>
      <c r="F43" s="20">
        <v>4</v>
      </c>
      <c r="G43" s="20">
        <v>1</v>
      </c>
      <c r="H43" s="20"/>
      <c r="I43" s="21" t="s">
        <v>13</v>
      </c>
      <c r="J43" s="21"/>
      <c r="K43" s="20"/>
      <c r="L43" s="20"/>
      <c r="M43" s="21"/>
      <c r="N43" s="21"/>
      <c r="O43" s="24" t="s">
        <v>115</v>
      </c>
      <c r="P43" s="24"/>
      <c r="Q43" s="20">
        <v>1</v>
      </c>
      <c r="R43" s="22">
        <v>45728</v>
      </c>
      <c r="S43" s="22">
        <v>45728</v>
      </c>
      <c r="T43" s="22"/>
      <c r="U43" s="22"/>
      <c r="V43" s="22">
        <v>45729</v>
      </c>
      <c r="W43" s="20" t="s">
        <v>70</v>
      </c>
      <c r="X43" s="4" t="str">
        <f>IF(Tabela2[[#This Row],[sigla]]="","",VLOOKUP(Tabela2[[#This Row],[sigla]],Tabela1[[#All],[Sigla Arte]:[Crédito]],2,0))</f>
        <v>ALEXANDRE DE SOUZA/ARQUIVO DA EDITORA</v>
      </c>
      <c r="Y43" s="21" t="s">
        <v>85</v>
      </c>
      <c r="Z43" s="21" t="str">
        <f>Tabela2[[#This Row],[ilustrador]]</f>
        <v>ALEXANDRE DE SOUZA/ARQUIVO DA EDITORA</v>
      </c>
      <c r="AA43" s="20">
        <v>14</v>
      </c>
      <c r="AB43" s="18"/>
      <c r="AC43" s="18" t="s">
        <v>18</v>
      </c>
      <c r="AD43" s="4" t="str">
        <f t="shared" si="0"/>
        <v>Plantar</v>
      </c>
      <c r="AE43" s="12" t="str">
        <f t="shared" si="1"/>
        <v>Ciências</v>
      </c>
    </row>
    <row r="44" spans="1:31" s="12" customFormat="1" ht="72" x14ac:dyDescent="0.3">
      <c r="A44" s="12" t="s">
        <v>20</v>
      </c>
      <c r="B44" s="18" t="s">
        <v>6</v>
      </c>
      <c r="C44" s="18" t="s">
        <v>7</v>
      </c>
      <c r="D44" s="18" t="s">
        <v>8</v>
      </c>
      <c r="E44" s="20">
        <v>25</v>
      </c>
      <c r="F44" s="20">
        <v>3</v>
      </c>
      <c r="G44" s="20">
        <v>1</v>
      </c>
      <c r="H44" s="20"/>
      <c r="I44" s="21" t="s">
        <v>9</v>
      </c>
      <c r="J44" s="21"/>
      <c r="K44" s="20"/>
      <c r="L44" s="20"/>
      <c r="M44" s="21"/>
      <c r="N44" s="21"/>
      <c r="O44" s="24" t="s">
        <v>21</v>
      </c>
      <c r="P44" s="24"/>
      <c r="Q44" s="20"/>
      <c r="R44" s="22"/>
      <c r="S44" s="22"/>
      <c r="T44" s="22"/>
      <c r="U44" s="22"/>
      <c r="V44" s="22"/>
      <c r="W44" s="20" t="s">
        <v>22</v>
      </c>
      <c r="X44" s="4" t="str">
        <f>IF(Tabela2[[#This Row],[sigla]]="","",VLOOKUP(Tabela2[[#This Row],[sigla]],Tabela1[[#All],[Sigla Arte]:[Crédito]],2,0))</f>
        <v>MÁRCIO GUERRA/ARQUIVO DA EDITORA</v>
      </c>
      <c r="Y44" s="21"/>
      <c r="Z44" s="21" t="str">
        <f>Tabela2[[#This Row],[ilustrador]]</f>
        <v>MÁRCIO GUERRA/ARQUIVO DA EDITORA</v>
      </c>
      <c r="AA44" s="20"/>
      <c r="AB44" s="18"/>
      <c r="AC44" s="18"/>
      <c r="AD44" s="4" t="str">
        <f t="shared" si="0"/>
        <v>Plantar</v>
      </c>
      <c r="AE44" s="12" t="str">
        <f t="shared" si="1"/>
        <v>Ciências</v>
      </c>
    </row>
    <row r="45" spans="1:31" s="12" customFormat="1" ht="115.2" x14ac:dyDescent="0.3">
      <c r="A45" s="12" t="s">
        <v>379</v>
      </c>
      <c r="B45" s="18" t="s">
        <v>6</v>
      </c>
      <c r="C45" s="18" t="s">
        <v>7</v>
      </c>
      <c r="D45" s="18" t="s">
        <v>8</v>
      </c>
      <c r="E45" s="20">
        <v>25</v>
      </c>
      <c r="F45" s="20">
        <v>5</v>
      </c>
      <c r="G45" s="20">
        <v>1</v>
      </c>
      <c r="H45" s="20"/>
      <c r="I45" s="21" t="s">
        <v>9</v>
      </c>
      <c r="J45" s="21"/>
      <c r="K45" s="20"/>
      <c r="L45" s="20"/>
      <c r="M45" s="21"/>
      <c r="N45" s="21"/>
      <c r="O45" s="24" t="s">
        <v>380</v>
      </c>
      <c r="P45" s="24"/>
      <c r="Q45" s="20"/>
      <c r="R45" s="22"/>
      <c r="S45" s="22"/>
      <c r="T45" s="22"/>
      <c r="U45" s="22"/>
      <c r="V45" s="22"/>
      <c r="W45" s="20" t="s">
        <v>11</v>
      </c>
      <c r="X45" s="4" t="str">
        <f>IF(Tabela2[[#This Row],[sigla]]="","",VLOOKUP(Tabela2[[#This Row],[sigla]],Tabela1[[#All],[Sigla Arte]:[Crédito]],2,0))</f>
        <v>HELOÍSA PINTARELLI/ARQUIVO DA EDITORA</v>
      </c>
      <c r="Y45" s="21"/>
      <c r="Z45" s="21" t="str">
        <f>Tabela2[[#This Row],[ilustrador]]</f>
        <v>HELOÍSA PINTARELLI/ARQUIVO DA EDITORA</v>
      </c>
      <c r="AA45" s="20"/>
      <c r="AB45" s="18"/>
      <c r="AC45" s="18"/>
      <c r="AD45" s="4" t="str">
        <f t="shared" si="0"/>
        <v>Plantar</v>
      </c>
      <c r="AE45" s="12" t="str">
        <f t="shared" si="1"/>
        <v>Ciências</v>
      </c>
    </row>
    <row r="46" spans="1:31" s="12" customFormat="1" ht="129.6" x14ac:dyDescent="0.3">
      <c r="A46" s="12" t="s">
        <v>381</v>
      </c>
      <c r="B46" s="18" t="s">
        <v>6</v>
      </c>
      <c r="C46" s="18" t="s">
        <v>7</v>
      </c>
      <c r="D46" s="18" t="s">
        <v>8</v>
      </c>
      <c r="E46" s="20">
        <v>25</v>
      </c>
      <c r="F46" s="20">
        <v>5</v>
      </c>
      <c r="G46" s="20">
        <v>1</v>
      </c>
      <c r="H46" s="20"/>
      <c r="I46" s="21" t="s">
        <v>9</v>
      </c>
      <c r="J46" s="21"/>
      <c r="K46" s="20"/>
      <c r="L46" s="20"/>
      <c r="M46" s="21"/>
      <c r="N46" s="21"/>
      <c r="O46" s="24" t="s">
        <v>382</v>
      </c>
      <c r="P46" s="24"/>
      <c r="Q46" s="20"/>
      <c r="R46" s="22"/>
      <c r="S46" s="22"/>
      <c r="T46" s="22"/>
      <c r="U46" s="22"/>
      <c r="V46" s="22"/>
      <c r="W46" s="20" t="s">
        <v>11</v>
      </c>
      <c r="X46" s="4" t="str">
        <f>IF(Tabela2[[#This Row],[sigla]]="","",VLOOKUP(Tabela2[[#This Row],[sigla]],Tabela1[[#All],[Sigla Arte]:[Crédito]],2,0))</f>
        <v>HELOÍSA PINTARELLI/ARQUIVO DA EDITORA</v>
      </c>
      <c r="Y46" s="21"/>
      <c r="Z46" s="21" t="str">
        <f>Tabela2[[#This Row],[ilustrador]]</f>
        <v>HELOÍSA PINTARELLI/ARQUIVO DA EDITORA</v>
      </c>
      <c r="AA46" s="20"/>
      <c r="AB46" s="18"/>
      <c r="AC46" s="18"/>
      <c r="AD46" s="4" t="str">
        <f t="shared" si="0"/>
        <v>Plantar</v>
      </c>
      <c r="AE46" s="12" t="str">
        <f t="shared" si="1"/>
        <v>Ciências</v>
      </c>
    </row>
    <row r="47" spans="1:31" s="12" customFormat="1" ht="100.8" x14ac:dyDescent="0.3">
      <c r="A47" s="12" t="s">
        <v>492</v>
      </c>
      <c r="B47" s="18" t="s">
        <v>6</v>
      </c>
      <c r="C47" s="18" t="s">
        <v>7</v>
      </c>
      <c r="D47" s="18" t="s">
        <v>8</v>
      </c>
      <c r="E47" s="20">
        <v>13</v>
      </c>
      <c r="F47" s="20">
        <v>4</v>
      </c>
      <c r="G47" s="20">
        <v>1</v>
      </c>
      <c r="H47" s="20"/>
      <c r="I47" s="21" t="s">
        <v>9</v>
      </c>
      <c r="J47" s="21"/>
      <c r="K47" s="20"/>
      <c r="L47" s="20"/>
      <c r="M47" s="21"/>
      <c r="N47" s="21"/>
      <c r="O47" s="24" t="s">
        <v>357</v>
      </c>
      <c r="P47" s="24"/>
      <c r="Q47" s="20"/>
      <c r="R47" s="22"/>
      <c r="S47" s="22"/>
      <c r="T47" s="22"/>
      <c r="U47" s="22"/>
      <c r="V47" s="22"/>
      <c r="W47" s="20" t="s">
        <v>230</v>
      </c>
      <c r="X47" s="4" t="str">
        <f>IF(Tabela2[[#This Row],[sigla]]="","",VLOOKUP(Tabela2[[#This Row],[sigla]],Tabela1[[#All],[Sigla Arte]:[Crédito]],2,0))</f>
        <v>FERNANDA PARDINI BIAGIO/ARQUIVO DA EDITORA</v>
      </c>
      <c r="Y47" s="21"/>
      <c r="Z47" s="21" t="str">
        <f>Tabela2[[#This Row],[ilustrador]]</f>
        <v>FERNANDA PARDINI BIAGIO/ARQUIVO DA EDITORA</v>
      </c>
      <c r="AA47" s="20"/>
      <c r="AB47" s="18"/>
      <c r="AC47" s="18"/>
      <c r="AD47" s="4" t="str">
        <f t="shared" si="0"/>
        <v>Plantar</v>
      </c>
      <c r="AE47" s="12" t="str">
        <f t="shared" si="1"/>
        <v>Ciências</v>
      </c>
    </row>
    <row r="48" spans="1:31" s="12" customFormat="1" ht="115.2" x14ac:dyDescent="0.3">
      <c r="A48" s="12" t="s">
        <v>493</v>
      </c>
      <c r="B48" s="18" t="s">
        <v>6</v>
      </c>
      <c r="C48" s="18" t="s">
        <v>7</v>
      </c>
      <c r="D48" s="18" t="s">
        <v>8</v>
      </c>
      <c r="E48" s="20">
        <v>18</v>
      </c>
      <c r="F48" s="20">
        <v>4</v>
      </c>
      <c r="G48" s="20">
        <v>1</v>
      </c>
      <c r="H48" s="20"/>
      <c r="I48" s="21" t="s">
        <v>9</v>
      </c>
      <c r="J48" s="21"/>
      <c r="K48" s="20"/>
      <c r="L48" s="20"/>
      <c r="M48" s="21"/>
      <c r="N48" s="21"/>
      <c r="O48" s="24" t="s">
        <v>494</v>
      </c>
      <c r="P48" s="24" t="s">
        <v>495</v>
      </c>
      <c r="Q48" s="20"/>
      <c r="R48" s="22"/>
      <c r="S48" s="22">
        <v>45803</v>
      </c>
      <c r="T48" s="22"/>
      <c r="U48" s="22"/>
      <c r="V48" s="22">
        <v>45803</v>
      </c>
      <c r="W48" s="20" t="s">
        <v>70</v>
      </c>
      <c r="X48" s="4" t="str">
        <f>IF(Tabela2[[#This Row],[sigla]]="","",VLOOKUP(Tabela2[[#This Row],[sigla]],Tabela1[[#All],[Sigla Arte]:[Crédito]],2,0))</f>
        <v>ALEXANDRE DE SOUZA/ARQUIVO DA EDITORA</v>
      </c>
      <c r="Y48" s="21" t="s">
        <v>16</v>
      </c>
      <c r="Z48" s="21" t="str">
        <f>Tabela2[[#This Row],[ilustrador]]</f>
        <v>ALEXANDRE DE SOUZA/ARQUIVO DA EDITORA</v>
      </c>
      <c r="AA48" s="20">
        <v>13</v>
      </c>
      <c r="AB48" s="18" t="s">
        <v>468</v>
      </c>
      <c r="AC48" s="18" t="s">
        <v>18</v>
      </c>
      <c r="AD48" s="4" t="str">
        <f t="shared" si="0"/>
        <v>Plantar</v>
      </c>
      <c r="AE48" s="12" t="str">
        <f t="shared" si="1"/>
        <v>Ciências</v>
      </c>
    </row>
    <row r="49" spans="1:31" s="12" customFormat="1" ht="57.6" x14ac:dyDescent="0.3">
      <c r="A49" s="12" t="s">
        <v>496</v>
      </c>
      <c r="B49" s="18" t="s">
        <v>6</v>
      </c>
      <c r="C49" s="18" t="s">
        <v>7</v>
      </c>
      <c r="D49" s="18" t="s">
        <v>8</v>
      </c>
      <c r="E49" s="20">
        <v>18</v>
      </c>
      <c r="F49" s="20">
        <v>4</v>
      </c>
      <c r="G49" s="20">
        <v>1</v>
      </c>
      <c r="H49" s="20"/>
      <c r="I49" s="21" t="s">
        <v>36</v>
      </c>
      <c r="J49" s="21"/>
      <c r="K49" s="20"/>
      <c r="L49" s="20"/>
      <c r="M49" s="21"/>
      <c r="N49" s="21"/>
      <c r="O49" s="24" t="s">
        <v>497</v>
      </c>
      <c r="P49" s="24"/>
      <c r="Q49" s="20">
        <v>10</v>
      </c>
      <c r="R49" s="22">
        <v>45799</v>
      </c>
      <c r="S49" s="22">
        <v>45803</v>
      </c>
      <c r="T49" s="22"/>
      <c r="U49" s="22"/>
      <c r="V49" s="22">
        <v>45806</v>
      </c>
      <c r="W49" s="20" t="s">
        <v>11</v>
      </c>
      <c r="X49" s="4" t="str">
        <f>IF(Tabela2[[#This Row],[sigla]]="","",VLOOKUP(Tabela2[[#This Row],[sigla]],Tabela1[[#All],[Sigla Arte]:[Crédito]],2,0))</f>
        <v>HELOÍSA PINTARELLI/ARQUIVO DA EDITORA</v>
      </c>
      <c r="Y49" s="21"/>
      <c r="Z49" s="21" t="str">
        <f>Tabela2[[#This Row],[ilustrador]]</f>
        <v>HELOÍSA PINTARELLI/ARQUIVO DA EDITORA</v>
      </c>
      <c r="AA49" s="20">
        <v>7</v>
      </c>
      <c r="AB49" s="18" t="s">
        <v>498</v>
      </c>
      <c r="AC49" s="18" t="s">
        <v>413</v>
      </c>
      <c r="AD49" s="4" t="str">
        <f t="shared" si="0"/>
        <v>Plantar</v>
      </c>
      <c r="AE49" s="12" t="str">
        <f t="shared" si="1"/>
        <v>Ciências</v>
      </c>
    </row>
    <row r="50" spans="1:31" s="12" customFormat="1" ht="43.2" x14ac:dyDescent="0.3">
      <c r="A50" s="12" t="s">
        <v>383</v>
      </c>
      <c r="B50" s="18" t="s">
        <v>6</v>
      </c>
      <c r="C50" s="18" t="s">
        <v>7</v>
      </c>
      <c r="D50" s="18" t="s">
        <v>8</v>
      </c>
      <c r="E50" s="20">
        <v>27</v>
      </c>
      <c r="F50" s="20">
        <v>5</v>
      </c>
      <c r="G50" s="20">
        <v>1</v>
      </c>
      <c r="H50" s="20"/>
      <c r="I50" s="21" t="s">
        <v>9</v>
      </c>
      <c r="J50" s="21"/>
      <c r="K50" s="20"/>
      <c r="L50" s="20"/>
      <c r="M50" s="21"/>
      <c r="N50" s="21"/>
      <c r="O50" s="24" t="s">
        <v>384</v>
      </c>
      <c r="P50" s="24"/>
      <c r="Q50" s="20"/>
      <c r="R50" s="22"/>
      <c r="S50" s="22"/>
      <c r="T50" s="22"/>
      <c r="U50" s="22"/>
      <c r="V50" s="22"/>
      <c r="W50" s="20" t="s">
        <v>11</v>
      </c>
      <c r="X50" s="4" t="str">
        <f>IF(Tabela2[[#This Row],[sigla]]="","",VLOOKUP(Tabela2[[#This Row],[sigla]],Tabela1[[#All],[Sigla Arte]:[Crédito]],2,0))</f>
        <v>HELOÍSA PINTARELLI/ARQUIVO DA EDITORA</v>
      </c>
      <c r="Y50" s="21"/>
      <c r="Z50" s="21" t="str">
        <f>Tabela2[[#This Row],[ilustrador]]</f>
        <v>HELOÍSA PINTARELLI/ARQUIVO DA EDITORA</v>
      </c>
      <c r="AA50" s="20"/>
      <c r="AB50" s="18"/>
      <c r="AC50" s="18"/>
      <c r="AD50" s="4" t="str">
        <f t="shared" si="0"/>
        <v>Plantar</v>
      </c>
      <c r="AE50" s="12" t="str">
        <f t="shared" si="1"/>
        <v>Ciências</v>
      </c>
    </row>
    <row r="51" spans="1:31" s="12" customFormat="1" ht="43.2" x14ac:dyDescent="0.3">
      <c r="A51" s="12" t="s">
        <v>439</v>
      </c>
      <c r="B51" s="18" t="s">
        <v>6</v>
      </c>
      <c r="C51" s="18" t="s">
        <v>7</v>
      </c>
      <c r="D51" s="18" t="s">
        <v>8</v>
      </c>
      <c r="E51" s="20">
        <v>19</v>
      </c>
      <c r="F51" s="20">
        <v>3</v>
      </c>
      <c r="G51" s="20">
        <v>1</v>
      </c>
      <c r="H51" s="20"/>
      <c r="I51" s="21" t="s">
        <v>9</v>
      </c>
      <c r="J51" s="21"/>
      <c r="K51" s="20"/>
      <c r="L51" s="20"/>
      <c r="M51" s="21"/>
      <c r="N51" s="21"/>
      <c r="O51" s="24" t="s">
        <v>440</v>
      </c>
      <c r="P51" s="24"/>
      <c r="Q51" s="20"/>
      <c r="R51" s="22"/>
      <c r="S51" s="22"/>
      <c r="T51" s="22"/>
      <c r="U51" s="22"/>
      <c r="V51" s="22"/>
      <c r="W51" s="20" t="s">
        <v>230</v>
      </c>
      <c r="X51" s="4" t="str">
        <f>IF(Tabela2[[#This Row],[sigla]]="","",VLOOKUP(Tabela2[[#This Row],[sigla]],Tabela1[[#All],[Sigla Arte]:[Crédito]],2,0))</f>
        <v>FERNANDA PARDINI BIAGIO/ARQUIVO DA EDITORA</v>
      </c>
      <c r="Y51" s="21"/>
      <c r="Z51" s="21" t="str">
        <f>Tabela2[[#This Row],[ilustrador]]</f>
        <v>FERNANDA PARDINI BIAGIO/ARQUIVO DA EDITORA</v>
      </c>
      <c r="AA51" s="20"/>
      <c r="AB51" s="18"/>
      <c r="AC51" s="18"/>
      <c r="AD51" s="4" t="str">
        <f t="shared" si="0"/>
        <v>Plantar</v>
      </c>
      <c r="AE51" s="12" t="str">
        <f t="shared" si="1"/>
        <v>Ciências</v>
      </c>
    </row>
    <row r="52" spans="1:31" s="12" customFormat="1" ht="86.4" x14ac:dyDescent="0.3">
      <c r="A52" s="12" t="s">
        <v>385</v>
      </c>
      <c r="B52" s="18" t="s">
        <v>6</v>
      </c>
      <c r="C52" s="18" t="s">
        <v>7</v>
      </c>
      <c r="D52" s="18" t="s">
        <v>8</v>
      </c>
      <c r="E52" s="20">
        <v>29</v>
      </c>
      <c r="F52" s="20">
        <v>5</v>
      </c>
      <c r="G52" s="20">
        <v>1</v>
      </c>
      <c r="H52" s="20"/>
      <c r="I52" s="21" t="s">
        <v>13</v>
      </c>
      <c r="J52" s="21"/>
      <c r="K52" s="20"/>
      <c r="L52" s="20"/>
      <c r="M52" s="21"/>
      <c r="N52" s="21"/>
      <c r="O52" s="24" t="s">
        <v>386</v>
      </c>
      <c r="P52" s="24"/>
      <c r="Q52" s="20">
        <v>4</v>
      </c>
      <c r="R52" s="22">
        <v>45750</v>
      </c>
      <c r="S52" s="22">
        <v>45756</v>
      </c>
      <c r="T52" s="22"/>
      <c r="U52" s="22"/>
      <c r="V52" s="22">
        <v>45756</v>
      </c>
      <c r="W52" s="20" t="s">
        <v>135</v>
      </c>
      <c r="X52" s="4" t="str">
        <f>IF(Tabela2[[#This Row],[sigla]]="","",VLOOKUP(Tabela2[[#This Row],[sigla]],Tabela1[[#All],[Sigla Arte]:[Crédito]],2,0))</f>
        <v>CARLITOS PINHEIRO/ARQUIVO DA EDITORA</v>
      </c>
      <c r="Y52" s="21" t="s">
        <v>16</v>
      </c>
      <c r="Z52" s="21" t="str">
        <f>Tabela2[[#This Row],[ilustrador]]</f>
        <v>CARLITOS PINHEIRO/ARQUIVO DA EDITORA</v>
      </c>
      <c r="AA52" s="20">
        <v>13</v>
      </c>
      <c r="AB52" s="18" t="s">
        <v>17</v>
      </c>
      <c r="AC52" s="18" t="s">
        <v>18</v>
      </c>
      <c r="AD52" s="4" t="str">
        <f t="shared" si="0"/>
        <v>Plantar</v>
      </c>
      <c r="AE52" s="12" t="str">
        <f t="shared" si="1"/>
        <v>Ciências</v>
      </c>
    </row>
    <row r="53" spans="1:31" s="12" customFormat="1" ht="187.2" x14ac:dyDescent="0.3">
      <c r="A53" s="12" t="s">
        <v>441</v>
      </c>
      <c r="B53" s="18" t="s">
        <v>6</v>
      </c>
      <c r="C53" s="18" t="s">
        <v>7</v>
      </c>
      <c r="D53" s="18" t="s">
        <v>8</v>
      </c>
      <c r="E53" s="20">
        <v>19</v>
      </c>
      <c r="F53" s="20">
        <v>3</v>
      </c>
      <c r="G53" s="20">
        <v>1</v>
      </c>
      <c r="H53" s="20"/>
      <c r="I53" s="21" t="s">
        <v>9</v>
      </c>
      <c r="J53" s="21"/>
      <c r="K53" s="20"/>
      <c r="L53" s="20"/>
      <c r="M53" s="21"/>
      <c r="N53" s="21"/>
      <c r="O53" s="24" t="s">
        <v>442</v>
      </c>
      <c r="P53" s="24"/>
      <c r="Q53" s="20"/>
      <c r="R53" s="22"/>
      <c r="S53" s="22"/>
      <c r="T53" s="22"/>
      <c r="U53" s="22"/>
      <c r="V53" s="22"/>
      <c r="W53" s="20" t="s">
        <v>230</v>
      </c>
      <c r="X53" s="4" t="str">
        <f>IF(Tabela2[[#This Row],[sigla]]="","",VLOOKUP(Tabela2[[#This Row],[sigla]],Tabela1[[#All],[Sigla Arte]:[Crédito]],2,0))</f>
        <v>FERNANDA PARDINI BIAGIO/ARQUIVO DA EDITORA</v>
      </c>
      <c r="Y53" s="21"/>
      <c r="Z53" s="21" t="str">
        <f>Tabela2[[#This Row],[ilustrador]]</f>
        <v>FERNANDA PARDINI BIAGIO/ARQUIVO DA EDITORA</v>
      </c>
      <c r="AA53" s="20"/>
      <c r="AB53" s="18"/>
      <c r="AC53" s="18"/>
      <c r="AD53" s="4" t="str">
        <f t="shared" si="0"/>
        <v>Plantar</v>
      </c>
      <c r="AE53" s="12" t="str">
        <f t="shared" si="1"/>
        <v>Ciências</v>
      </c>
    </row>
    <row r="54" spans="1:31" s="12" customFormat="1" ht="43.2" x14ac:dyDescent="0.3">
      <c r="A54" s="12" t="s">
        <v>499</v>
      </c>
      <c r="B54" s="18" t="s">
        <v>6</v>
      </c>
      <c r="C54" s="18" t="s">
        <v>7</v>
      </c>
      <c r="D54" s="18" t="s">
        <v>8</v>
      </c>
      <c r="E54" s="20">
        <v>25</v>
      </c>
      <c r="F54" s="20">
        <v>4</v>
      </c>
      <c r="G54" s="20">
        <v>1</v>
      </c>
      <c r="H54" s="20"/>
      <c r="I54" s="21" t="s">
        <v>13</v>
      </c>
      <c r="J54" s="21"/>
      <c r="K54" s="20"/>
      <c r="L54" s="20"/>
      <c r="M54" s="21"/>
      <c r="N54" s="21"/>
      <c r="O54" s="24" t="s">
        <v>500</v>
      </c>
      <c r="P54" s="24"/>
      <c r="Q54" s="20">
        <v>10</v>
      </c>
      <c r="R54" s="22">
        <v>45799</v>
      </c>
      <c r="S54" s="22">
        <v>45803</v>
      </c>
      <c r="T54" s="22"/>
      <c r="U54" s="22"/>
      <c r="V54" s="22">
        <v>45803</v>
      </c>
      <c r="W54" s="20" t="s">
        <v>501</v>
      </c>
      <c r="X54" s="4" t="str">
        <f>IF(Tabela2[[#This Row],[sigla]]="","",VLOOKUP(Tabela2[[#This Row],[sigla]],Tabela1[[#All],[Sigla Arte]:[Crédito]],2,0))</f>
        <v>LUCAS PALMA/ARQUIVO DA EDITORA</v>
      </c>
      <c r="Y54" s="21" t="s">
        <v>16</v>
      </c>
      <c r="Z54" s="21" t="str">
        <f>Tabela2[[#This Row],[ilustrador]]</f>
        <v>LUCAS PALMA/ARQUIVO DA EDITORA</v>
      </c>
      <c r="AA54" s="20">
        <v>13</v>
      </c>
      <c r="AB54" s="18" t="s">
        <v>468</v>
      </c>
      <c r="AC54" s="18" t="s">
        <v>18</v>
      </c>
      <c r="AD54" s="4" t="str">
        <f t="shared" si="0"/>
        <v>Plantar</v>
      </c>
      <c r="AE54" s="12" t="str">
        <f t="shared" si="1"/>
        <v>Ciências</v>
      </c>
    </row>
    <row r="55" spans="1:31" s="12" customFormat="1" ht="72" x14ac:dyDescent="0.3">
      <c r="A55" s="12" t="s">
        <v>513</v>
      </c>
      <c r="B55" s="18" t="s">
        <v>6</v>
      </c>
      <c r="C55" s="18" t="s">
        <v>7</v>
      </c>
      <c r="D55" s="18" t="s">
        <v>8</v>
      </c>
      <c r="E55" s="20">
        <v>26</v>
      </c>
      <c r="F55" s="20">
        <v>4</v>
      </c>
      <c r="G55" s="20">
        <v>1</v>
      </c>
      <c r="H55" s="20"/>
      <c r="I55" s="21" t="s">
        <v>36</v>
      </c>
      <c r="J55" s="21"/>
      <c r="K55" s="20"/>
      <c r="L55" s="20"/>
      <c r="M55" s="21"/>
      <c r="N55" s="21"/>
      <c r="O55" s="24" t="s">
        <v>514</v>
      </c>
      <c r="P55" s="24"/>
      <c r="Q55" s="20">
        <v>12</v>
      </c>
      <c r="R55" s="22">
        <v>45806</v>
      </c>
      <c r="S55" s="22">
        <v>45807</v>
      </c>
      <c r="T55" s="22">
        <v>45810</v>
      </c>
      <c r="U55" s="22">
        <v>45811</v>
      </c>
      <c r="V55" s="22">
        <v>45813</v>
      </c>
      <c r="W55" s="20" t="s">
        <v>411</v>
      </c>
      <c r="X55" s="4" t="str">
        <f>IF(Tabela2[[#This Row],[sigla]]="","",VLOOKUP(Tabela2[[#This Row],[sigla]],Tabela1[[#All],[Sigla Arte]:[Crédito]],2,0))</f>
        <v>WERLLEN HOLANDA/ARQUIVO DA EDITORA</v>
      </c>
      <c r="Y55" s="21"/>
      <c r="Z55" s="21" t="str">
        <f>Tabela2[[#This Row],[ilustrador]]</f>
        <v>WERLLEN HOLANDA/ARQUIVO DA EDITORA</v>
      </c>
      <c r="AA55" s="20">
        <v>5</v>
      </c>
      <c r="AB55" s="24" t="s">
        <v>515</v>
      </c>
      <c r="AC55" s="18" t="s">
        <v>413</v>
      </c>
      <c r="AD55" s="4" t="str">
        <f t="shared" si="0"/>
        <v>Plantar</v>
      </c>
      <c r="AE55" s="12" t="str">
        <f t="shared" si="1"/>
        <v>Ciências</v>
      </c>
    </row>
    <row r="56" spans="1:31" s="12" customFormat="1" ht="86.4" x14ac:dyDescent="0.3">
      <c r="A56" s="12" t="s">
        <v>387</v>
      </c>
      <c r="B56" s="18" t="s">
        <v>169</v>
      </c>
      <c r="C56" s="18" t="s">
        <v>7</v>
      </c>
      <c r="D56" s="18" t="s">
        <v>8</v>
      </c>
      <c r="E56" s="20">
        <v>31</v>
      </c>
      <c r="F56" s="20">
        <v>5</v>
      </c>
      <c r="G56" s="20">
        <v>1</v>
      </c>
      <c r="H56" s="20"/>
      <c r="I56" s="21" t="s">
        <v>9</v>
      </c>
      <c r="J56" s="21"/>
      <c r="K56" s="20"/>
      <c r="L56" s="20"/>
      <c r="M56" s="21"/>
      <c r="N56" s="21"/>
      <c r="O56" s="24" t="s">
        <v>388</v>
      </c>
      <c r="P56" s="24"/>
      <c r="Q56" s="20"/>
      <c r="R56" s="22"/>
      <c r="S56" s="22"/>
      <c r="T56" s="22"/>
      <c r="U56" s="22"/>
      <c r="V56" s="22"/>
      <c r="W56" s="20" t="s">
        <v>230</v>
      </c>
      <c r="X56" s="4" t="str">
        <f>IF(Tabela2[[#This Row],[sigla]]="","",VLOOKUP(Tabela2[[#This Row],[sigla]],Tabela1[[#All],[Sigla Arte]:[Crédito]],2,0))</f>
        <v>FERNANDA PARDINI BIAGIO/ARQUIVO DA EDITORA</v>
      </c>
      <c r="Y56" s="21"/>
      <c r="Z56" s="21" t="str">
        <f>Tabela2[[#This Row],[ilustrador]]</f>
        <v>FERNANDA PARDINI BIAGIO/ARQUIVO DA EDITORA</v>
      </c>
      <c r="AA56" s="20"/>
      <c r="AB56" s="18"/>
      <c r="AC56" s="18"/>
      <c r="AD56" s="4" t="str">
        <f t="shared" si="0"/>
        <v>Plantar</v>
      </c>
      <c r="AE56" s="12" t="str">
        <f t="shared" si="1"/>
        <v>Ciências</v>
      </c>
    </row>
    <row r="57" spans="1:31" s="12" customFormat="1" ht="72" x14ac:dyDescent="0.3">
      <c r="A57" s="12" t="s">
        <v>389</v>
      </c>
      <c r="B57" s="18" t="s">
        <v>6</v>
      </c>
      <c r="C57" s="18" t="s">
        <v>7</v>
      </c>
      <c r="D57" s="18" t="s">
        <v>8</v>
      </c>
      <c r="E57" s="20">
        <v>31</v>
      </c>
      <c r="F57" s="20">
        <v>5</v>
      </c>
      <c r="G57" s="20">
        <v>1</v>
      </c>
      <c r="H57" s="20"/>
      <c r="I57" s="21" t="s">
        <v>9</v>
      </c>
      <c r="J57" s="21"/>
      <c r="K57" s="20"/>
      <c r="L57" s="20"/>
      <c r="M57" s="21"/>
      <c r="N57" s="21"/>
      <c r="O57" s="24" t="s">
        <v>390</v>
      </c>
      <c r="P57" s="24"/>
      <c r="Q57" s="20"/>
      <c r="R57" s="22"/>
      <c r="S57" s="22"/>
      <c r="T57" s="22"/>
      <c r="U57" s="22"/>
      <c r="V57" s="22"/>
      <c r="W57" s="20" t="s">
        <v>230</v>
      </c>
      <c r="X57" s="4" t="str">
        <f>IF(Tabela2[[#This Row],[sigla]]="","",VLOOKUP(Tabela2[[#This Row],[sigla]],Tabela1[[#All],[Sigla Arte]:[Crédito]],2,0))</f>
        <v>FERNANDA PARDINI BIAGIO/ARQUIVO DA EDITORA</v>
      </c>
      <c r="Y57" s="21"/>
      <c r="Z57" s="21" t="str">
        <f>Tabela2[[#This Row],[ilustrador]]</f>
        <v>FERNANDA PARDINI BIAGIO/ARQUIVO DA EDITORA</v>
      </c>
      <c r="AA57" s="20"/>
      <c r="AB57" s="18"/>
      <c r="AC57" s="18"/>
      <c r="AD57" s="4" t="str">
        <f t="shared" si="0"/>
        <v>Plantar</v>
      </c>
      <c r="AE57" s="12" t="str">
        <f t="shared" si="1"/>
        <v>Ciências</v>
      </c>
    </row>
    <row r="58" spans="1:31" s="12" customFormat="1" ht="72" x14ac:dyDescent="0.3">
      <c r="A58" s="12" t="s">
        <v>391</v>
      </c>
      <c r="B58" s="18" t="s">
        <v>169</v>
      </c>
      <c r="C58" s="18" t="s">
        <v>7</v>
      </c>
      <c r="D58" s="18" t="s">
        <v>8</v>
      </c>
      <c r="E58" s="20">
        <v>31</v>
      </c>
      <c r="F58" s="20">
        <v>5</v>
      </c>
      <c r="G58" s="20">
        <v>1</v>
      </c>
      <c r="H58" s="20"/>
      <c r="I58" s="21" t="s">
        <v>9</v>
      </c>
      <c r="J58" s="21"/>
      <c r="K58" s="20"/>
      <c r="L58" s="20"/>
      <c r="M58" s="21"/>
      <c r="N58" s="21"/>
      <c r="O58" s="24" t="s">
        <v>392</v>
      </c>
      <c r="P58" s="24"/>
      <c r="Q58" s="20"/>
      <c r="R58" s="22"/>
      <c r="S58" s="22"/>
      <c r="T58" s="22"/>
      <c r="U58" s="22"/>
      <c r="V58" s="22"/>
      <c r="W58" s="20" t="s">
        <v>230</v>
      </c>
      <c r="X58" s="4" t="str">
        <f>IF(Tabela2[[#This Row],[sigla]]="","",VLOOKUP(Tabela2[[#This Row],[sigla]],Tabela1[[#All],[Sigla Arte]:[Crédito]],2,0))</f>
        <v>FERNANDA PARDINI BIAGIO/ARQUIVO DA EDITORA</v>
      </c>
      <c r="Y58" s="21"/>
      <c r="Z58" s="21" t="str">
        <f>Tabela2[[#This Row],[ilustrador]]</f>
        <v>FERNANDA PARDINI BIAGIO/ARQUIVO DA EDITORA</v>
      </c>
      <c r="AA58" s="20"/>
      <c r="AB58" s="18"/>
      <c r="AC58" s="18"/>
      <c r="AD58" s="4" t="str">
        <f t="shared" si="0"/>
        <v>Plantar</v>
      </c>
      <c r="AE58" s="12" t="str">
        <f t="shared" si="1"/>
        <v>Ciências</v>
      </c>
    </row>
    <row r="59" spans="1:31" s="12" customFormat="1" ht="57.6" x14ac:dyDescent="0.3">
      <c r="A59" s="12" t="s">
        <v>393</v>
      </c>
      <c r="B59" s="18" t="s">
        <v>6</v>
      </c>
      <c r="C59" s="18" t="s">
        <v>7</v>
      </c>
      <c r="D59" s="18" t="s">
        <v>8</v>
      </c>
      <c r="E59" s="20">
        <v>34</v>
      </c>
      <c r="F59" s="20">
        <v>4</v>
      </c>
      <c r="G59" s="20">
        <v>2</v>
      </c>
      <c r="H59" s="20"/>
      <c r="I59" s="21" t="s">
        <v>9</v>
      </c>
      <c r="J59" s="21"/>
      <c r="K59" s="20"/>
      <c r="L59" s="20"/>
      <c r="M59" s="21"/>
      <c r="N59" s="21"/>
      <c r="O59" s="24" t="s">
        <v>394</v>
      </c>
      <c r="P59" s="24"/>
      <c r="Q59" s="20"/>
      <c r="R59" s="22"/>
      <c r="S59" s="22"/>
      <c r="T59" s="22"/>
      <c r="U59" s="22"/>
      <c r="V59" s="22"/>
      <c r="W59" s="20" t="s">
        <v>317</v>
      </c>
      <c r="X59" s="4" t="str">
        <f>IF(Tabela2[[#This Row],[sigla]]="","",VLOOKUP(Tabela2[[#This Row],[sigla]],Tabela1[[#All],[Sigla Arte]:[Crédito]],2,0))</f>
        <v>CAROLINE ANTUNES E SILVA/ARQUIVO DA EDITORA</v>
      </c>
      <c r="Y59" s="21"/>
      <c r="Z59" s="21" t="str">
        <f>Tabela2[[#This Row],[ilustrador]]</f>
        <v>CAROLINE ANTUNES E SILVA/ARQUIVO DA EDITORA</v>
      </c>
      <c r="AA59" s="20"/>
      <c r="AB59" s="18"/>
      <c r="AC59" s="18"/>
      <c r="AD59" s="4" t="str">
        <f t="shared" si="0"/>
        <v>Plantar</v>
      </c>
      <c r="AE59" s="12" t="str">
        <f t="shared" si="1"/>
        <v>Ciências</v>
      </c>
    </row>
    <row r="60" spans="1:31" s="12" customFormat="1" ht="57.6" x14ac:dyDescent="0.3">
      <c r="A60" s="12" t="s">
        <v>395</v>
      </c>
      <c r="B60" s="18" t="s">
        <v>6</v>
      </c>
      <c r="C60" s="18" t="s">
        <v>7</v>
      </c>
      <c r="D60" s="18" t="s">
        <v>8</v>
      </c>
      <c r="E60" s="20">
        <v>34</v>
      </c>
      <c r="F60" s="20">
        <v>4</v>
      </c>
      <c r="G60" s="20">
        <v>2</v>
      </c>
      <c r="H60" s="20"/>
      <c r="I60" s="21" t="s">
        <v>9</v>
      </c>
      <c r="J60" s="21"/>
      <c r="K60" s="20"/>
      <c r="L60" s="20"/>
      <c r="M60" s="21"/>
      <c r="N60" s="21"/>
      <c r="O60" s="24" t="s">
        <v>396</v>
      </c>
      <c r="P60" s="24"/>
      <c r="Q60" s="20"/>
      <c r="R60" s="22"/>
      <c r="S60" s="22"/>
      <c r="T60" s="22"/>
      <c r="U60" s="22"/>
      <c r="V60" s="22"/>
      <c r="W60" s="20" t="s">
        <v>317</v>
      </c>
      <c r="X60" s="4" t="str">
        <f>IF(Tabela2[[#This Row],[sigla]]="","",VLOOKUP(Tabela2[[#This Row],[sigla]],Tabela1[[#All],[Sigla Arte]:[Crédito]],2,0))</f>
        <v>CAROLINE ANTUNES E SILVA/ARQUIVO DA EDITORA</v>
      </c>
      <c r="Y60" s="21"/>
      <c r="Z60" s="21" t="str">
        <f>Tabela2[[#This Row],[ilustrador]]</f>
        <v>CAROLINE ANTUNES E SILVA/ARQUIVO DA EDITORA</v>
      </c>
      <c r="AA60" s="20"/>
      <c r="AB60" s="18"/>
      <c r="AC60" s="18"/>
      <c r="AD60" s="4" t="str">
        <f t="shared" si="0"/>
        <v>Plantar</v>
      </c>
      <c r="AE60" s="12" t="str">
        <f t="shared" si="1"/>
        <v>Ciências</v>
      </c>
    </row>
    <row r="61" spans="1:31" s="12" customFormat="1" ht="72" x14ac:dyDescent="0.3">
      <c r="A61" s="12" t="s">
        <v>35</v>
      </c>
      <c r="B61" s="18" t="s">
        <v>6</v>
      </c>
      <c r="C61" s="18" t="s">
        <v>7</v>
      </c>
      <c r="D61" s="18" t="s">
        <v>8</v>
      </c>
      <c r="E61" s="20">
        <v>36</v>
      </c>
      <c r="F61" s="20">
        <v>3</v>
      </c>
      <c r="G61" s="20">
        <v>2</v>
      </c>
      <c r="H61" s="20"/>
      <c r="I61" s="21" t="s">
        <v>36</v>
      </c>
      <c r="J61" s="21"/>
      <c r="K61" s="20"/>
      <c r="L61" s="20"/>
      <c r="M61" s="21"/>
      <c r="N61" s="21"/>
      <c r="O61" s="24" t="s">
        <v>37</v>
      </c>
      <c r="P61" s="24"/>
      <c r="Q61" s="20">
        <v>2</v>
      </c>
      <c r="R61" s="22">
        <v>45727</v>
      </c>
      <c r="S61" s="22">
        <v>45729</v>
      </c>
      <c r="T61" s="22">
        <v>45733</v>
      </c>
      <c r="U61" s="22">
        <v>45734</v>
      </c>
      <c r="V61" s="22">
        <v>45735</v>
      </c>
      <c r="W61" s="20" t="s">
        <v>38</v>
      </c>
      <c r="X61" s="4" t="str">
        <f>IF(Tabela2[[#This Row],[sigla]]="","",VLOOKUP(Tabela2[[#This Row],[sigla]],Tabela1[[#All],[Sigla Arte]:[Crédito]],2,0))</f>
        <v>RAYANNE CARDOSO/ARQUIVO DA EDITORA</v>
      </c>
      <c r="Y61" s="21"/>
      <c r="Z61" s="21" t="str">
        <f>Tabela2[[#This Row],[ilustrador]]</f>
        <v>RAYANNE CARDOSO/ARQUIVO DA EDITORA</v>
      </c>
      <c r="AA61" s="20">
        <v>8</v>
      </c>
      <c r="AB61" s="18" t="s">
        <v>39</v>
      </c>
      <c r="AC61" s="18" t="s">
        <v>18</v>
      </c>
      <c r="AD61" s="4" t="str">
        <f t="shared" si="0"/>
        <v>Plantar</v>
      </c>
      <c r="AE61" s="12" t="str">
        <f t="shared" si="1"/>
        <v>Ciências</v>
      </c>
    </row>
    <row r="62" spans="1:31" s="12" customFormat="1" ht="57.6" x14ac:dyDescent="0.3">
      <c r="A62" s="12" t="s">
        <v>40</v>
      </c>
      <c r="B62" s="18" t="s">
        <v>6</v>
      </c>
      <c r="C62" s="18" t="s">
        <v>7</v>
      </c>
      <c r="D62" s="18" t="s">
        <v>8</v>
      </c>
      <c r="E62" s="20">
        <v>36</v>
      </c>
      <c r="F62" s="20">
        <v>3</v>
      </c>
      <c r="G62" s="20">
        <v>2</v>
      </c>
      <c r="H62" s="20"/>
      <c r="I62" s="21" t="s">
        <v>36</v>
      </c>
      <c r="J62" s="21"/>
      <c r="K62" s="20"/>
      <c r="L62" s="20"/>
      <c r="M62" s="21"/>
      <c r="N62" s="21"/>
      <c r="O62" s="24" t="s">
        <v>41</v>
      </c>
      <c r="P62" s="24"/>
      <c r="Q62" s="20">
        <v>2</v>
      </c>
      <c r="R62" s="22">
        <v>45727</v>
      </c>
      <c r="S62" s="22">
        <v>45729</v>
      </c>
      <c r="T62" s="22">
        <v>45733</v>
      </c>
      <c r="U62" s="22">
        <v>45734</v>
      </c>
      <c r="V62" s="22">
        <v>45735</v>
      </c>
      <c r="W62" s="20" t="s">
        <v>38</v>
      </c>
      <c r="X62" s="4" t="str">
        <f>IF(Tabela2[[#This Row],[sigla]]="","",VLOOKUP(Tabela2[[#This Row],[sigla]],Tabela1[[#All],[Sigla Arte]:[Crédito]],2,0))</f>
        <v>RAYANNE CARDOSO/ARQUIVO DA EDITORA</v>
      </c>
      <c r="Y62" s="21"/>
      <c r="Z62" s="21" t="str">
        <f>Tabela2[[#This Row],[ilustrador]]</f>
        <v>RAYANNE CARDOSO/ARQUIVO DA EDITORA</v>
      </c>
      <c r="AA62" s="20">
        <v>8</v>
      </c>
      <c r="AB62" s="18" t="s">
        <v>39</v>
      </c>
      <c r="AC62" s="18" t="s">
        <v>18</v>
      </c>
      <c r="AD62" s="4" t="str">
        <f t="shared" si="0"/>
        <v>Plantar</v>
      </c>
      <c r="AE62" s="12" t="str">
        <f t="shared" si="1"/>
        <v>Ciências</v>
      </c>
    </row>
    <row r="63" spans="1:31" s="12" customFormat="1" ht="72" x14ac:dyDescent="0.3">
      <c r="A63" s="12" t="s">
        <v>42</v>
      </c>
      <c r="B63" s="18" t="s">
        <v>6</v>
      </c>
      <c r="C63" s="18" t="s">
        <v>7</v>
      </c>
      <c r="D63" s="18" t="s">
        <v>8</v>
      </c>
      <c r="E63" s="20">
        <v>36</v>
      </c>
      <c r="F63" s="20">
        <v>3</v>
      </c>
      <c r="G63" s="20">
        <v>2</v>
      </c>
      <c r="H63" s="20"/>
      <c r="I63" s="21" t="s">
        <v>36</v>
      </c>
      <c r="J63" s="21"/>
      <c r="K63" s="20"/>
      <c r="L63" s="20"/>
      <c r="M63" s="21"/>
      <c r="N63" s="21"/>
      <c r="O63" s="24" t="s">
        <v>43</v>
      </c>
      <c r="P63" s="24"/>
      <c r="Q63" s="20">
        <v>2</v>
      </c>
      <c r="R63" s="22">
        <v>45727</v>
      </c>
      <c r="S63" s="22">
        <v>45729</v>
      </c>
      <c r="T63" s="22">
        <v>45733</v>
      </c>
      <c r="U63" s="22">
        <v>45734</v>
      </c>
      <c r="V63" s="22">
        <v>45735</v>
      </c>
      <c r="W63" s="20" t="s">
        <v>38</v>
      </c>
      <c r="X63" s="4" t="str">
        <f>IF(Tabela2[[#This Row],[sigla]]="","",VLOOKUP(Tabela2[[#This Row],[sigla]],Tabela1[[#All],[Sigla Arte]:[Crédito]],2,0))</f>
        <v>RAYANNE CARDOSO/ARQUIVO DA EDITORA</v>
      </c>
      <c r="Y63" s="21"/>
      <c r="Z63" s="21" t="str">
        <f>Tabela2[[#This Row],[ilustrador]]</f>
        <v>RAYANNE CARDOSO/ARQUIVO DA EDITORA</v>
      </c>
      <c r="AA63" s="20">
        <v>8</v>
      </c>
      <c r="AB63" s="18" t="s">
        <v>39</v>
      </c>
      <c r="AC63" s="18" t="s">
        <v>18</v>
      </c>
      <c r="AD63" s="4" t="str">
        <f t="shared" si="0"/>
        <v>Plantar</v>
      </c>
      <c r="AE63" s="12" t="str">
        <f t="shared" si="1"/>
        <v>Ciências</v>
      </c>
    </row>
    <row r="64" spans="1:31" s="12" customFormat="1" ht="28.8" x14ac:dyDescent="0.3">
      <c r="A64" s="12" t="s">
        <v>44</v>
      </c>
      <c r="B64" s="18" t="s">
        <v>6</v>
      </c>
      <c r="C64" s="18" t="s">
        <v>7</v>
      </c>
      <c r="D64" s="18" t="s">
        <v>8</v>
      </c>
      <c r="E64" s="20">
        <v>36</v>
      </c>
      <c r="F64" s="20">
        <v>3</v>
      </c>
      <c r="G64" s="20">
        <v>2</v>
      </c>
      <c r="H64" s="20"/>
      <c r="I64" s="21" t="s">
        <v>36</v>
      </c>
      <c r="J64" s="21"/>
      <c r="K64" s="20"/>
      <c r="L64" s="20"/>
      <c r="M64" s="21"/>
      <c r="N64" s="21"/>
      <c r="O64" s="24" t="s">
        <v>45</v>
      </c>
      <c r="P64" s="24"/>
      <c r="Q64" s="20">
        <v>2</v>
      </c>
      <c r="R64" s="22">
        <v>45727</v>
      </c>
      <c r="S64" s="22">
        <v>45729</v>
      </c>
      <c r="T64" s="22">
        <v>45733</v>
      </c>
      <c r="U64" s="22">
        <v>45734</v>
      </c>
      <c r="V64" s="22">
        <v>45735</v>
      </c>
      <c r="W64" s="20" t="s">
        <v>38</v>
      </c>
      <c r="X64" s="4" t="str">
        <f>IF(Tabela2[[#This Row],[sigla]]="","",VLOOKUP(Tabela2[[#This Row],[sigla]],Tabela1[[#All],[Sigla Arte]:[Crédito]],2,0))</f>
        <v>RAYANNE CARDOSO/ARQUIVO DA EDITORA</v>
      </c>
      <c r="Y64" s="21"/>
      <c r="Z64" s="21" t="str">
        <f>Tabela2[[#This Row],[ilustrador]]</f>
        <v>RAYANNE CARDOSO/ARQUIVO DA EDITORA</v>
      </c>
      <c r="AA64" s="20">
        <v>8</v>
      </c>
      <c r="AB64" s="18" t="s">
        <v>39</v>
      </c>
      <c r="AC64" s="18" t="s">
        <v>18</v>
      </c>
      <c r="AD64" s="4" t="str">
        <f t="shared" si="0"/>
        <v>Plantar</v>
      </c>
      <c r="AE64" s="12" t="str">
        <f t="shared" si="1"/>
        <v>Ciências</v>
      </c>
    </row>
    <row r="65" spans="1:31" s="12" customFormat="1" ht="115.2" x14ac:dyDescent="0.3">
      <c r="A65" s="12" t="s">
        <v>397</v>
      </c>
      <c r="B65" s="18" t="s">
        <v>169</v>
      </c>
      <c r="C65" s="18" t="s">
        <v>7</v>
      </c>
      <c r="D65" s="18" t="s">
        <v>8</v>
      </c>
      <c r="E65" s="20">
        <v>34</v>
      </c>
      <c r="F65" s="20">
        <v>4</v>
      </c>
      <c r="G65" s="20">
        <v>2</v>
      </c>
      <c r="H65" s="20"/>
      <c r="I65" s="21" t="s">
        <v>9</v>
      </c>
      <c r="J65" s="21"/>
      <c r="K65" s="20"/>
      <c r="L65" s="20"/>
      <c r="M65" s="21"/>
      <c r="N65" s="21"/>
      <c r="O65" s="24" t="s">
        <v>398</v>
      </c>
      <c r="P65" s="24"/>
      <c r="Q65" s="20"/>
      <c r="R65" s="22"/>
      <c r="S65" s="22"/>
      <c r="T65" s="22"/>
      <c r="U65" s="22"/>
      <c r="V65" s="22"/>
      <c r="W65" s="20" t="s">
        <v>317</v>
      </c>
      <c r="X65" s="4" t="str">
        <f>IF(Tabela2[[#This Row],[sigla]]="","",VLOOKUP(Tabela2[[#This Row],[sigla]],Tabela1[[#All],[Sigla Arte]:[Crédito]],2,0))</f>
        <v>CAROLINE ANTUNES E SILVA/ARQUIVO DA EDITORA</v>
      </c>
      <c r="Y65" s="21"/>
      <c r="Z65" s="21" t="str">
        <f>Tabela2[[#This Row],[ilustrador]]</f>
        <v>CAROLINE ANTUNES E SILVA/ARQUIVO DA EDITORA</v>
      </c>
      <c r="AA65" s="20"/>
      <c r="AB65" s="18"/>
      <c r="AC65" s="18"/>
      <c r="AD65" s="4" t="str">
        <f t="shared" si="0"/>
        <v>Plantar</v>
      </c>
      <c r="AE65" s="12" t="str">
        <f t="shared" si="1"/>
        <v>Ciências</v>
      </c>
    </row>
    <row r="66" spans="1:31" s="12" customFormat="1" ht="43.2" x14ac:dyDescent="0.3">
      <c r="A66" s="12" t="s">
        <v>46</v>
      </c>
      <c r="B66" s="18" t="s">
        <v>6</v>
      </c>
      <c r="C66" s="18" t="s">
        <v>7</v>
      </c>
      <c r="D66" s="18" t="s">
        <v>8</v>
      </c>
      <c r="E66" s="20">
        <v>36</v>
      </c>
      <c r="F66" s="20">
        <v>3</v>
      </c>
      <c r="G66" s="20">
        <v>2</v>
      </c>
      <c r="H66" s="20"/>
      <c r="I66" s="21" t="s">
        <v>36</v>
      </c>
      <c r="J66" s="21"/>
      <c r="K66" s="20"/>
      <c r="L66" s="20"/>
      <c r="M66" s="21"/>
      <c r="N66" s="21"/>
      <c r="O66" s="24" t="s">
        <v>47</v>
      </c>
      <c r="P66" s="24"/>
      <c r="Q66" s="20">
        <v>2</v>
      </c>
      <c r="R66" s="22">
        <v>45727</v>
      </c>
      <c r="S66" s="22">
        <v>45729</v>
      </c>
      <c r="T66" s="22">
        <v>45733</v>
      </c>
      <c r="U66" s="22">
        <v>45734</v>
      </c>
      <c r="V66" s="22">
        <v>45735</v>
      </c>
      <c r="W66" s="20" t="s">
        <v>38</v>
      </c>
      <c r="X66" s="4" t="str">
        <f>IF(Tabela2[[#This Row],[sigla]]="","",VLOOKUP(Tabela2[[#This Row],[sigla]],Tabela1[[#All],[Sigla Arte]:[Crédito]],2,0))</f>
        <v>RAYANNE CARDOSO/ARQUIVO DA EDITORA</v>
      </c>
      <c r="Y66" s="21"/>
      <c r="Z66" s="21" t="str">
        <f>Tabela2[[#This Row],[ilustrador]]</f>
        <v>RAYANNE CARDOSO/ARQUIVO DA EDITORA</v>
      </c>
      <c r="AA66" s="20">
        <v>8</v>
      </c>
      <c r="AB66" s="18" t="s">
        <v>39</v>
      </c>
      <c r="AC66" s="18" t="s">
        <v>18</v>
      </c>
      <c r="AD66" s="4" t="str">
        <f t="shared" ref="AD66:AD129" si="2">"Plantar"</f>
        <v>Plantar</v>
      </c>
      <c r="AE66" s="12" t="str">
        <f t="shared" ref="AE66:AE129" si="3">"Ciências"</f>
        <v>Ciências</v>
      </c>
    </row>
    <row r="67" spans="1:31" s="12" customFormat="1" ht="57.6" x14ac:dyDescent="0.3">
      <c r="A67" s="12" t="s">
        <v>399</v>
      </c>
      <c r="B67" s="18" t="s">
        <v>169</v>
      </c>
      <c r="C67" s="18" t="s">
        <v>7</v>
      </c>
      <c r="D67" s="18" t="s">
        <v>8</v>
      </c>
      <c r="E67" s="20">
        <v>34</v>
      </c>
      <c r="F67" s="20">
        <v>4</v>
      </c>
      <c r="G67" s="20">
        <v>2</v>
      </c>
      <c r="H67" s="20"/>
      <c r="I67" s="21" t="s">
        <v>9</v>
      </c>
      <c r="J67" s="21"/>
      <c r="K67" s="20"/>
      <c r="L67" s="20"/>
      <c r="M67" s="21"/>
      <c r="N67" s="21"/>
      <c r="O67" s="24" t="s">
        <v>400</v>
      </c>
      <c r="P67" s="24"/>
      <c r="Q67" s="20"/>
      <c r="R67" s="22"/>
      <c r="S67" s="22"/>
      <c r="T67" s="22"/>
      <c r="U67" s="22"/>
      <c r="V67" s="22"/>
      <c r="W67" s="20" t="s">
        <v>317</v>
      </c>
      <c r="X67" s="4" t="str">
        <f>IF(Tabela2[[#This Row],[sigla]]="","",VLOOKUP(Tabela2[[#This Row],[sigla]],Tabela1[[#All],[Sigla Arte]:[Crédito]],2,0))</f>
        <v>CAROLINE ANTUNES E SILVA/ARQUIVO DA EDITORA</v>
      </c>
      <c r="Y67" s="21"/>
      <c r="Z67" s="21" t="str">
        <f>Tabela2[[#This Row],[ilustrador]]</f>
        <v>CAROLINE ANTUNES E SILVA/ARQUIVO DA EDITORA</v>
      </c>
      <c r="AA67" s="20"/>
      <c r="AB67" s="18"/>
      <c r="AC67" s="18"/>
      <c r="AD67" s="4" t="str">
        <f t="shared" si="2"/>
        <v>Plantar</v>
      </c>
      <c r="AE67" s="12" t="str">
        <f t="shared" si="3"/>
        <v>Ciências</v>
      </c>
    </row>
    <row r="68" spans="1:31" s="12" customFormat="1" ht="72" x14ac:dyDescent="0.3">
      <c r="A68" s="12" t="s">
        <v>48</v>
      </c>
      <c r="B68" s="18" t="s">
        <v>6</v>
      </c>
      <c r="C68" s="18" t="s">
        <v>7</v>
      </c>
      <c r="D68" s="18" t="s">
        <v>8</v>
      </c>
      <c r="E68" s="20">
        <v>36</v>
      </c>
      <c r="F68" s="20">
        <v>3</v>
      </c>
      <c r="G68" s="20">
        <v>2</v>
      </c>
      <c r="H68" s="20"/>
      <c r="I68" s="21" t="s">
        <v>36</v>
      </c>
      <c r="J68" s="21"/>
      <c r="K68" s="20"/>
      <c r="L68" s="20"/>
      <c r="M68" s="21"/>
      <c r="N68" s="21"/>
      <c r="O68" s="24" t="s">
        <v>49</v>
      </c>
      <c r="P68" s="24"/>
      <c r="Q68" s="20">
        <v>2</v>
      </c>
      <c r="R68" s="22">
        <v>45727</v>
      </c>
      <c r="S68" s="22">
        <v>45729</v>
      </c>
      <c r="T68" s="22">
        <v>45733</v>
      </c>
      <c r="U68" s="22">
        <v>45734</v>
      </c>
      <c r="V68" s="22">
        <v>45735</v>
      </c>
      <c r="W68" s="20" t="s">
        <v>38</v>
      </c>
      <c r="X68" s="4" t="str">
        <f>IF(Tabela2[[#This Row],[sigla]]="","",VLOOKUP(Tabela2[[#This Row],[sigla]],Tabela1[[#All],[Sigla Arte]:[Crédito]],2,0))</f>
        <v>RAYANNE CARDOSO/ARQUIVO DA EDITORA</v>
      </c>
      <c r="Y68" s="21"/>
      <c r="Z68" s="21" t="str">
        <f>Tabela2[[#This Row],[ilustrador]]</f>
        <v>RAYANNE CARDOSO/ARQUIVO DA EDITORA</v>
      </c>
      <c r="AA68" s="20">
        <v>8</v>
      </c>
      <c r="AB68" s="18" t="s">
        <v>39</v>
      </c>
      <c r="AC68" s="18" t="s">
        <v>18</v>
      </c>
      <c r="AD68" s="4" t="str">
        <f t="shared" si="2"/>
        <v>Plantar</v>
      </c>
      <c r="AE68" s="12" t="str">
        <f t="shared" si="3"/>
        <v>Ciências</v>
      </c>
    </row>
    <row r="69" spans="1:31" s="12" customFormat="1" ht="43.2" x14ac:dyDescent="0.3">
      <c r="A69" s="12" t="s">
        <v>401</v>
      </c>
      <c r="B69" s="18" t="s">
        <v>169</v>
      </c>
      <c r="C69" s="18" t="s">
        <v>7</v>
      </c>
      <c r="D69" s="18" t="s">
        <v>8</v>
      </c>
      <c r="E69" s="20">
        <v>34</v>
      </c>
      <c r="F69" s="20">
        <v>4</v>
      </c>
      <c r="G69" s="20">
        <v>2</v>
      </c>
      <c r="H69" s="20"/>
      <c r="I69" s="21" t="s">
        <v>9</v>
      </c>
      <c r="J69" s="21"/>
      <c r="K69" s="20"/>
      <c r="L69" s="20"/>
      <c r="M69" s="21"/>
      <c r="N69" s="21"/>
      <c r="O69" s="24" t="s">
        <v>402</v>
      </c>
      <c r="P69" s="24"/>
      <c r="Q69" s="20"/>
      <c r="R69" s="22"/>
      <c r="S69" s="22"/>
      <c r="T69" s="22"/>
      <c r="U69" s="22"/>
      <c r="V69" s="22"/>
      <c r="W69" s="20" t="s">
        <v>317</v>
      </c>
      <c r="X69" s="4" t="str">
        <f>IF(Tabela2[[#This Row],[sigla]]="","",VLOOKUP(Tabela2[[#This Row],[sigla]],Tabela1[[#All],[Sigla Arte]:[Crédito]],2,0))</f>
        <v>CAROLINE ANTUNES E SILVA/ARQUIVO DA EDITORA</v>
      </c>
      <c r="Y69" s="21"/>
      <c r="Z69" s="21" t="str">
        <f>Tabela2[[#This Row],[ilustrador]]</f>
        <v>CAROLINE ANTUNES E SILVA/ARQUIVO DA EDITORA</v>
      </c>
      <c r="AA69" s="20"/>
      <c r="AB69" s="18"/>
      <c r="AC69" s="18"/>
      <c r="AD69" s="4" t="str">
        <f t="shared" si="2"/>
        <v>Plantar</v>
      </c>
      <c r="AE69" s="12" t="str">
        <f t="shared" si="3"/>
        <v>Ciências</v>
      </c>
    </row>
    <row r="70" spans="1:31" s="12" customFormat="1" ht="43.2" x14ac:dyDescent="0.3">
      <c r="A70" s="12" t="s">
        <v>50</v>
      </c>
      <c r="B70" s="18" t="s">
        <v>6</v>
      </c>
      <c r="C70" s="18" t="s">
        <v>7</v>
      </c>
      <c r="D70" s="18" t="s">
        <v>8</v>
      </c>
      <c r="E70" s="20">
        <v>36</v>
      </c>
      <c r="F70" s="20">
        <v>3</v>
      </c>
      <c r="G70" s="20">
        <v>2</v>
      </c>
      <c r="H70" s="20"/>
      <c r="I70" s="21" t="s">
        <v>36</v>
      </c>
      <c r="J70" s="21"/>
      <c r="K70" s="20"/>
      <c r="L70" s="20"/>
      <c r="M70" s="21"/>
      <c r="N70" s="21"/>
      <c r="O70" s="24" t="s">
        <v>51</v>
      </c>
      <c r="P70" s="24"/>
      <c r="Q70" s="20">
        <v>2</v>
      </c>
      <c r="R70" s="22">
        <v>45727</v>
      </c>
      <c r="S70" s="22">
        <v>45729</v>
      </c>
      <c r="T70" s="22">
        <v>45733</v>
      </c>
      <c r="U70" s="22">
        <v>45734</v>
      </c>
      <c r="V70" s="22">
        <v>45735</v>
      </c>
      <c r="W70" s="20" t="s">
        <v>38</v>
      </c>
      <c r="X70" s="4" t="str">
        <f>IF(Tabela2[[#This Row],[sigla]]="","",VLOOKUP(Tabela2[[#This Row],[sigla]],Tabela1[[#All],[Sigla Arte]:[Crédito]],2,0))</f>
        <v>RAYANNE CARDOSO/ARQUIVO DA EDITORA</v>
      </c>
      <c r="Y70" s="21"/>
      <c r="Z70" s="21" t="str">
        <f>Tabela2[[#This Row],[ilustrador]]</f>
        <v>RAYANNE CARDOSO/ARQUIVO DA EDITORA</v>
      </c>
      <c r="AA70" s="20">
        <v>8</v>
      </c>
      <c r="AB70" s="18" t="s">
        <v>39</v>
      </c>
      <c r="AC70" s="18" t="s">
        <v>18</v>
      </c>
      <c r="AD70" s="4" t="str">
        <f t="shared" si="2"/>
        <v>Plantar</v>
      </c>
      <c r="AE70" s="12" t="str">
        <f t="shared" si="3"/>
        <v>Ciências</v>
      </c>
    </row>
    <row r="71" spans="1:31" s="12" customFormat="1" ht="72" x14ac:dyDescent="0.3">
      <c r="A71" s="12" t="s">
        <v>403</v>
      </c>
      <c r="B71" s="18" t="s">
        <v>6</v>
      </c>
      <c r="C71" s="18" t="s">
        <v>7</v>
      </c>
      <c r="D71" s="18" t="s">
        <v>8</v>
      </c>
      <c r="E71" s="20">
        <v>34</v>
      </c>
      <c r="F71" s="20">
        <v>4</v>
      </c>
      <c r="G71" s="20">
        <v>2</v>
      </c>
      <c r="H71" s="20"/>
      <c r="I71" s="21" t="s">
        <v>9</v>
      </c>
      <c r="J71" s="21"/>
      <c r="K71" s="20"/>
      <c r="L71" s="20"/>
      <c r="M71" s="21"/>
      <c r="N71" s="21"/>
      <c r="O71" s="24" t="s">
        <v>404</v>
      </c>
      <c r="P71" s="24"/>
      <c r="Q71" s="20"/>
      <c r="R71" s="22"/>
      <c r="S71" s="22"/>
      <c r="T71" s="22"/>
      <c r="U71" s="22"/>
      <c r="V71" s="22"/>
      <c r="W71" s="20" t="s">
        <v>317</v>
      </c>
      <c r="X71" s="4" t="str">
        <f>IF(Tabela2[[#This Row],[sigla]]="","",VLOOKUP(Tabela2[[#This Row],[sigla]],Tabela1[[#All],[Sigla Arte]:[Crédito]],2,0))</f>
        <v>CAROLINE ANTUNES E SILVA/ARQUIVO DA EDITORA</v>
      </c>
      <c r="Y71" s="21"/>
      <c r="Z71" s="21" t="str">
        <f>Tabela2[[#This Row],[ilustrador]]</f>
        <v>CAROLINE ANTUNES E SILVA/ARQUIVO DA EDITORA</v>
      </c>
      <c r="AA71" s="20"/>
      <c r="AB71" s="18"/>
      <c r="AC71" s="18"/>
      <c r="AD71" s="4" t="str">
        <f t="shared" si="2"/>
        <v>Plantar</v>
      </c>
      <c r="AE71" s="12" t="str">
        <f t="shared" si="3"/>
        <v>Ciências</v>
      </c>
    </row>
    <row r="72" spans="1:31" s="12" customFormat="1" ht="57.6" x14ac:dyDescent="0.3">
      <c r="A72" s="12" t="s">
        <v>52</v>
      </c>
      <c r="B72" s="18" t="s">
        <v>6</v>
      </c>
      <c r="C72" s="18" t="s">
        <v>7</v>
      </c>
      <c r="D72" s="18" t="s">
        <v>8</v>
      </c>
      <c r="E72" s="20">
        <v>36</v>
      </c>
      <c r="F72" s="20">
        <v>3</v>
      </c>
      <c r="G72" s="20">
        <v>2</v>
      </c>
      <c r="H72" s="20"/>
      <c r="I72" s="21" t="s">
        <v>36</v>
      </c>
      <c r="J72" s="21"/>
      <c r="K72" s="20"/>
      <c r="L72" s="20"/>
      <c r="M72" s="21"/>
      <c r="N72" s="21"/>
      <c r="O72" s="24" t="s">
        <v>53</v>
      </c>
      <c r="P72" s="24"/>
      <c r="Q72" s="20">
        <v>2</v>
      </c>
      <c r="R72" s="22">
        <v>45727</v>
      </c>
      <c r="S72" s="22">
        <v>45729</v>
      </c>
      <c r="T72" s="22">
        <v>45733</v>
      </c>
      <c r="U72" s="22">
        <v>45734</v>
      </c>
      <c r="V72" s="22">
        <v>45735</v>
      </c>
      <c r="W72" s="20" t="s">
        <v>38</v>
      </c>
      <c r="X72" s="4" t="str">
        <f>IF(Tabela2[[#This Row],[sigla]]="","",VLOOKUP(Tabela2[[#This Row],[sigla]],Tabela1[[#All],[Sigla Arte]:[Crédito]],2,0))</f>
        <v>RAYANNE CARDOSO/ARQUIVO DA EDITORA</v>
      </c>
      <c r="Y72" s="21"/>
      <c r="Z72" s="21" t="str">
        <f>Tabela2[[#This Row],[ilustrador]]</f>
        <v>RAYANNE CARDOSO/ARQUIVO DA EDITORA</v>
      </c>
      <c r="AA72" s="20">
        <v>8</v>
      </c>
      <c r="AB72" s="18" t="s">
        <v>39</v>
      </c>
      <c r="AC72" s="18" t="s">
        <v>18</v>
      </c>
      <c r="AD72" s="4" t="str">
        <f t="shared" si="2"/>
        <v>Plantar</v>
      </c>
      <c r="AE72" s="12" t="str">
        <f t="shared" si="3"/>
        <v>Ciências</v>
      </c>
    </row>
    <row r="73" spans="1:31" s="12" customFormat="1" ht="43.2" x14ac:dyDescent="0.3">
      <c r="A73" s="12" t="s">
        <v>405</v>
      </c>
      <c r="B73" s="18" t="s">
        <v>169</v>
      </c>
      <c r="C73" s="18" t="s">
        <v>7</v>
      </c>
      <c r="D73" s="18" t="s">
        <v>8</v>
      </c>
      <c r="E73" s="20">
        <v>34</v>
      </c>
      <c r="F73" s="20">
        <v>4</v>
      </c>
      <c r="G73" s="20">
        <v>2</v>
      </c>
      <c r="H73" s="20"/>
      <c r="I73" s="21" t="s">
        <v>9</v>
      </c>
      <c r="J73" s="21"/>
      <c r="K73" s="20"/>
      <c r="L73" s="20"/>
      <c r="M73" s="21"/>
      <c r="N73" s="21"/>
      <c r="O73" s="24" t="s">
        <v>406</v>
      </c>
      <c r="P73" s="24"/>
      <c r="Q73" s="20"/>
      <c r="R73" s="22"/>
      <c r="S73" s="22"/>
      <c r="T73" s="22"/>
      <c r="U73" s="22"/>
      <c r="V73" s="22"/>
      <c r="W73" s="20" t="s">
        <v>317</v>
      </c>
      <c r="X73" s="4" t="str">
        <f>IF(Tabela2[[#This Row],[sigla]]="","",VLOOKUP(Tabela2[[#This Row],[sigla]],Tabela1[[#All],[Sigla Arte]:[Crédito]],2,0))</f>
        <v>CAROLINE ANTUNES E SILVA/ARQUIVO DA EDITORA</v>
      </c>
      <c r="Y73" s="21"/>
      <c r="Z73" s="21" t="str">
        <f>Tabela2[[#This Row],[ilustrador]]</f>
        <v>CAROLINE ANTUNES E SILVA/ARQUIVO DA EDITORA</v>
      </c>
      <c r="AA73" s="20"/>
      <c r="AB73" s="18"/>
      <c r="AC73" s="18"/>
      <c r="AD73" s="4" t="str">
        <f t="shared" si="2"/>
        <v>Plantar</v>
      </c>
      <c r="AE73" s="12" t="str">
        <f t="shared" si="3"/>
        <v>Ciências</v>
      </c>
    </row>
    <row r="74" spans="1:31" s="12" customFormat="1" ht="57.6" x14ac:dyDescent="0.3">
      <c r="A74" s="12" t="s">
        <v>407</v>
      </c>
      <c r="B74" s="18" t="s">
        <v>169</v>
      </c>
      <c r="C74" s="18" t="s">
        <v>7</v>
      </c>
      <c r="D74" s="18" t="s">
        <v>8</v>
      </c>
      <c r="E74" s="20">
        <v>34</v>
      </c>
      <c r="F74" s="20">
        <v>4</v>
      </c>
      <c r="G74" s="20">
        <v>2</v>
      </c>
      <c r="H74" s="20"/>
      <c r="I74" s="21" t="s">
        <v>9</v>
      </c>
      <c r="J74" s="21"/>
      <c r="K74" s="20"/>
      <c r="L74" s="20"/>
      <c r="M74" s="21"/>
      <c r="N74" s="21"/>
      <c r="O74" s="24" t="s">
        <v>408</v>
      </c>
      <c r="P74" s="24"/>
      <c r="Q74" s="20"/>
      <c r="R74" s="22"/>
      <c r="S74" s="22"/>
      <c r="T74" s="22"/>
      <c r="U74" s="22"/>
      <c r="V74" s="22"/>
      <c r="W74" s="20" t="s">
        <v>317</v>
      </c>
      <c r="X74" s="4" t="str">
        <f>IF(Tabela2[[#This Row],[sigla]]="","",VLOOKUP(Tabela2[[#This Row],[sigla]],Tabela1[[#All],[Sigla Arte]:[Crédito]],2,0))</f>
        <v>CAROLINE ANTUNES E SILVA/ARQUIVO DA EDITORA</v>
      </c>
      <c r="Y74" s="21"/>
      <c r="Z74" s="21" t="str">
        <f>Tabela2[[#This Row],[ilustrador]]</f>
        <v>CAROLINE ANTUNES E SILVA/ARQUIVO DA EDITORA</v>
      </c>
      <c r="AA74" s="20"/>
      <c r="AB74" s="18"/>
      <c r="AC74" s="18"/>
      <c r="AD74" s="4" t="str">
        <f t="shared" si="2"/>
        <v>Plantar</v>
      </c>
      <c r="AE74" s="12" t="str">
        <f t="shared" si="3"/>
        <v>Ciências</v>
      </c>
    </row>
    <row r="75" spans="1:31" s="12" customFormat="1" ht="57.6" x14ac:dyDescent="0.3">
      <c r="A75" s="12" t="s">
        <v>57</v>
      </c>
      <c r="B75" s="18" t="s">
        <v>6</v>
      </c>
      <c r="C75" s="18" t="s">
        <v>7</v>
      </c>
      <c r="D75" s="18" t="s">
        <v>8</v>
      </c>
      <c r="E75" s="20">
        <v>39</v>
      </c>
      <c r="F75" s="20">
        <v>3</v>
      </c>
      <c r="G75" s="20">
        <v>2</v>
      </c>
      <c r="H75" s="20"/>
      <c r="I75" s="21" t="s">
        <v>13</v>
      </c>
      <c r="J75" s="21"/>
      <c r="K75" s="20"/>
      <c r="L75" s="20"/>
      <c r="M75" s="21"/>
      <c r="N75" s="21"/>
      <c r="O75" s="24" t="s">
        <v>58</v>
      </c>
      <c r="P75" s="24"/>
      <c r="Q75" s="20">
        <v>2</v>
      </c>
      <c r="R75" s="22">
        <v>45727</v>
      </c>
      <c r="S75" s="22">
        <v>45728</v>
      </c>
      <c r="T75" s="22"/>
      <c r="U75" s="22"/>
      <c r="V75" s="22">
        <v>45729</v>
      </c>
      <c r="W75" s="20" t="s">
        <v>59</v>
      </c>
      <c r="X75" s="4" t="str">
        <f>IF(Tabela2[[#This Row],[sigla]]="","",VLOOKUP(Tabela2[[#This Row],[sigla]],Tabela1[[#All],[Sigla Arte]:[Crédito]],2,0))</f>
        <v>FERNANDA MONTEIRO/ARQUIVO DA EDITORA</v>
      </c>
      <c r="Y75" s="21" t="s">
        <v>34</v>
      </c>
      <c r="Z75" s="21" t="str">
        <f>Tabela2[[#This Row],[ilustrador]]</f>
        <v>FERNANDA MONTEIRO/ARQUIVO DA EDITORA</v>
      </c>
      <c r="AA75" s="20">
        <v>14</v>
      </c>
      <c r="AB75" s="18"/>
      <c r="AC75" s="18" t="s">
        <v>18</v>
      </c>
      <c r="AD75" s="4" t="str">
        <f t="shared" si="2"/>
        <v>Plantar</v>
      </c>
      <c r="AE75" s="12" t="str">
        <f t="shared" si="3"/>
        <v>Ciências</v>
      </c>
    </row>
    <row r="76" spans="1:31" s="12" customFormat="1" ht="57.6" x14ac:dyDescent="0.3">
      <c r="A76" s="12" t="s">
        <v>60</v>
      </c>
      <c r="B76" s="18" t="s">
        <v>6</v>
      </c>
      <c r="C76" s="18" t="s">
        <v>7</v>
      </c>
      <c r="D76" s="18" t="s">
        <v>8</v>
      </c>
      <c r="E76" s="20">
        <v>40</v>
      </c>
      <c r="F76" s="20">
        <v>3</v>
      </c>
      <c r="G76" s="20">
        <v>2</v>
      </c>
      <c r="H76" s="20"/>
      <c r="I76" s="21" t="s">
        <v>9</v>
      </c>
      <c r="J76" s="21"/>
      <c r="K76" s="20"/>
      <c r="L76" s="20"/>
      <c r="M76" s="21"/>
      <c r="N76" s="21"/>
      <c r="O76" s="24" t="s">
        <v>61</v>
      </c>
      <c r="P76" s="24"/>
      <c r="Q76" s="20"/>
      <c r="R76" s="22"/>
      <c r="S76" s="22"/>
      <c r="T76" s="22"/>
      <c r="U76" s="22"/>
      <c r="V76" s="22"/>
      <c r="W76" s="20" t="s">
        <v>59</v>
      </c>
      <c r="X76" s="4" t="str">
        <f>IF(Tabela2[[#This Row],[sigla]]="","",VLOOKUP(Tabela2[[#This Row],[sigla]],Tabela1[[#All],[Sigla Arte]:[Crédito]],2,0))</f>
        <v>FERNANDA MONTEIRO/ARQUIVO DA EDITORA</v>
      </c>
      <c r="Y76" s="21"/>
      <c r="Z76" s="21" t="str">
        <f>Tabela2[[#This Row],[ilustrador]]</f>
        <v>FERNANDA MONTEIRO/ARQUIVO DA EDITORA</v>
      </c>
      <c r="AA76" s="20"/>
      <c r="AB76" s="18"/>
      <c r="AC76" s="18"/>
      <c r="AD76" s="4" t="str">
        <f t="shared" si="2"/>
        <v>Plantar</v>
      </c>
      <c r="AE76" s="12" t="str">
        <f t="shared" si="3"/>
        <v>Ciências</v>
      </c>
    </row>
    <row r="77" spans="1:31" s="12" customFormat="1" ht="43.2" x14ac:dyDescent="0.3">
      <c r="A77" s="12" t="s">
        <v>62</v>
      </c>
      <c r="B77" s="18" t="s">
        <v>6</v>
      </c>
      <c r="C77" s="18" t="s">
        <v>7</v>
      </c>
      <c r="D77" s="18" t="s">
        <v>8</v>
      </c>
      <c r="E77" s="20">
        <v>42</v>
      </c>
      <c r="F77" s="20">
        <v>3</v>
      </c>
      <c r="G77" s="20">
        <v>2</v>
      </c>
      <c r="H77" s="20"/>
      <c r="I77" s="21" t="s">
        <v>9</v>
      </c>
      <c r="J77" s="21"/>
      <c r="K77" s="20"/>
      <c r="L77" s="20"/>
      <c r="M77" s="21"/>
      <c r="N77" s="21"/>
      <c r="O77" s="24" t="s">
        <v>63</v>
      </c>
      <c r="P77" s="24"/>
      <c r="Q77" s="20"/>
      <c r="R77" s="22"/>
      <c r="S77" s="22"/>
      <c r="T77" s="22"/>
      <c r="U77" s="22"/>
      <c r="V77" s="22"/>
      <c r="W77" s="20" t="s">
        <v>11</v>
      </c>
      <c r="X77" s="4" t="str">
        <f>IF(Tabela2[[#This Row],[sigla]]="","",VLOOKUP(Tabela2[[#This Row],[sigla]],Tabela1[[#All],[Sigla Arte]:[Crédito]],2,0))</f>
        <v>HELOÍSA PINTARELLI/ARQUIVO DA EDITORA</v>
      </c>
      <c r="Y77" s="21"/>
      <c r="Z77" s="21" t="str">
        <f>Tabela2[[#This Row],[ilustrador]]</f>
        <v>HELOÍSA PINTARELLI/ARQUIVO DA EDITORA</v>
      </c>
      <c r="AA77" s="20"/>
      <c r="AB77" s="18"/>
      <c r="AC77" s="18"/>
      <c r="AD77" s="4" t="str">
        <f t="shared" si="2"/>
        <v>Plantar</v>
      </c>
      <c r="AE77" s="12" t="str">
        <f t="shared" si="3"/>
        <v>Ciências</v>
      </c>
    </row>
    <row r="78" spans="1:31" s="12" customFormat="1" ht="72" x14ac:dyDescent="0.3">
      <c r="A78" s="12" t="s">
        <v>64</v>
      </c>
      <c r="B78" s="18" t="s">
        <v>6</v>
      </c>
      <c r="C78" s="18" t="s">
        <v>7</v>
      </c>
      <c r="D78" s="18" t="s">
        <v>8</v>
      </c>
      <c r="E78" s="20">
        <v>42</v>
      </c>
      <c r="F78" s="20">
        <v>3</v>
      </c>
      <c r="G78" s="20">
        <v>2</v>
      </c>
      <c r="H78" s="20"/>
      <c r="I78" s="21" t="s">
        <v>9</v>
      </c>
      <c r="J78" s="21"/>
      <c r="K78" s="20"/>
      <c r="L78" s="20"/>
      <c r="M78" s="21"/>
      <c r="N78" s="21"/>
      <c r="O78" s="24" t="s">
        <v>65</v>
      </c>
      <c r="P78" s="24"/>
      <c r="Q78" s="20"/>
      <c r="R78" s="22"/>
      <c r="S78" s="22"/>
      <c r="T78" s="22"/>
      <c r="U78" s="22"/>
      <c r="V78" s="22"/>
      <c r="W78" s="20" t="s">
        <v>11</v>
      </c>
      <c r="X78" s="4" t="str">
        <f>IF(Tabela2[[#This Row],[sigla]]="","",VLOOKUP(Tabela2[[#This Row],[sigla]],Tabela1[[#All],[Sigla Arte]:[Crédito]],2,0))</f>
        <v>HELOÍSA PINTARELLI/ARQUIVO DA EDITORA</v>
      </c>
      <c r="Y78" s="21"/>
      <c r="Z78" s="21" t="str">
        <f>Tabela2[[#This Row],[ilustrador]]</f>
        <v>HELOÍSA PINTARELLI/ARQUIVO DA EDITORA</v>
      </c>
      <c r="AA78" s="20"/>
      <c r="AB78" s="18"/>
      <c r="AC78" s="18"/>
      <c r="AD78" s="4" t="str">
        <f t="shared" si="2"/>
        <v>Plantar</v>
      </c>
      <c r="AE78" s="12" t="str">
        <f t="shared" si="3"/>
        <v>Ciências</v>
      </c>
    </row>
    <row r="79" spans="1:31" s="12" customFormat="1" ht="57.6" x14ac:dyDescent="0.3">
      <c r="A79" s="12" t="s">
        <v>66</v>
      </c>
      <c r="B79" s="18" t="s">
        <v>6</v>
      </c>
      <c r="C79" s="18" t="s">
        <v>7</v>
      </c>
      <c r="D79" s="18" t="s">
        <v>8</v>
      </c>
      <c r="E79" s="20">
        <v>43</v>
      </c>
      <c r="F79" s="20">
        <v>3</v>
      </c>
      <c r="G79" s="20">
        <v>2</v>
      </c>
      <c r="H79" s="20"/>
      <c r="I79" s="21" t="s">
        <v>9</v>
      </c>
      <c r="J79" s="21"/>
      <c r="K79" s="20"/>
      <c r="L79" s="20"/>
      <c r="M79" s="21"/>
      <c r="N79" s="21"/>
      <c r="O79" s="24" t="s">
        <v>67</v>
      </c>
      <c r="P79" s="24"/>
      <c r="Q79" s="20"/>
      <c r="R79" s="22"/>
      <c r="S79" s="22"/>
      <c r="T79" s="22"/>
      <c r="U79" s="22"/>
      <c r="V79" s="22"/>
      <c r="W79" s="20" t="s">
        <v>11</v>
      </c>
      <c r="X79" s="4" t="str">
        <f>IF(Tabela2[[#This Row],[sigla]]="","",VLOOKUP(Tabela2[[#This Row],[sigla]],Tabela1[[#All],[Sigla Arte]:[Crédito]],2,0))</f>
        <v>HELOÍSA PINTARELLI/ARQUIVO DA EDITORA</v>
      </c>
      <c r="Y79" s="21"/>
      <c r="Z79" s="21" t="str">
        <f>Tabela2[[#This Row],[ilustrador]]</f>
        <v>HELOÍSA PINTARELLI/ARQUIVO DA EDITORA</v>
      </c>
      <c r="AA79" s="20"/>
      <c r="AB79" s="18"/>
      <c r="AC79" s="18"/>
      <c r="AD79" s="4" t="str">
        <f t="shared" si="2"/>
        <v>Plantar</v>
      </c>
      <c r="AE79" s="12" t="str">
        <f t="shared" si="3"/>
        <v>Ciências</v>
      </c>
    </row>
    <row r="80" spans="1:31" s="12" customFormat="1" ht="57.6" x14ac:dyDescent="0.3">
      <c r="A80" s="12" t="s">
        <v>68</v>
      </c>
      <c r="B80" s="18" t="s">
        <v>6</v>
      </c>
      <c r="C80" s="18" t="s">
        <v>7</v>
      </c>
      <c r="D80" s="18" t="s">
        <v>8</v>
      </c>
      <c r="E80" s="20">
        <v>47</v>
      </c>
      <c r="F80" s="20">
        <v>3</v>
      </c>
      <c r="G80" s="20">
        <v>2</v>
      </c>
      <c r="H80" s="20"/>
      <c r="I80" s="21" t="s">
        <v>13</v>
      </c>
      <c r="J80" s="21"/>
      <c r="K80" s="20"/>
      <c r="L80" s="20"/>
      <c r="M80" s="21"/>
      <c r="N80" s="21"/>
      <c r="O80" s="24" t="s">
        <v>69</v>
      </c>
      <c r="P80" s="24"/>
      <c r="Q80" s="20">
        <v>2</v>
      </c>
      <c r="R80" s="22">
        <v>45727</v>
      </c>
      <c r="S80" s="22">
        <v>45728</v>
      </c>
      <c r="T80" s="22"/>
      <c r="U80" s="22"/>
      <c r="V80" s="22">
        <v>45729</v>
      </c>
      <c r="W80" s="20" t="s">
        <v>70</v>
      </c>
      <c r="X80" s="4" t="str">
        <f>IF(Tabela2[[#This Row],[sigla]]="","",VLOOKUP(Tabela2[[#This Row],[sigla]],Tabela1[[#All],[Sigla Arte]:[Crédito]],2,0))</f>
        <v>ALEXANDRE DE SOUZA/ARQUIVO DA EDITORA</v>
      </c>
      <c r="Y80" s="21" t="s">
        <v>34</v>
      </c>
      <c r="Z80" s="21" t="str">
        <f>Tabela2[[#This Row],[ilustrador]]</f>
        <v>ALEXANDRE DE SOUZA/ARQUIVO DA EDITORA</v>
      </c>
      <c r="AA80" s="20">
        <v>14</v>
      </c>
      <c r="AB80" s="18"/>
      <c r="AC80" s="18" t="s">
        <v>18</v>
      </c>
      <c r="AD80" s="4" t="str">
        <f t="shared" si="2"/>
        <v>Plantar</v>
      </c>
      <c r="AE80" s="12" t="str">
        <f t="shared" si="3"/>
        <v>Ciências</v>
      </c>
    </row>
    <row r="81" spans="1:31" s="12" customFormat="1" ht="57.6" x14ac:dyDescent="0.3">
      <c r="A81" s="12" t="s">
        <v>409</v>
      </c>
      <c r="B81" s="18" t="s">
        <v>6</v>
      </c>
      <c r="C81" s="18" t="s">
        <v>7</v>
      </c>
      <c r="D81" s="18" t="s">
        <v>8</v>
      </c>
      <c r="E81" s="20">
        <v>42</v>
      </c>
      <c r="F81" s="20">
        <v>4</v>
      </c>
      <c r="G81" s="20">
        <v>2</v>
      </c>
      <c r="H81" s="20"/>
      <c r="I81" s="21" t="s">
        <v>36</v>
      </c>
      <c r="J81" s="21"/>
      <c r="K81" s="20"/>
      <c r="L81" s="20"/>
      <c r="M81" s="21"/>
      <c r="N81" s="21"/>
      <c r="O81" s="24" t="s">
        <v>410</v>
      </c>
      <c r="P81" s="24"/>
      <c r="Q81" s="20">
        <v>5</v>
      </c>
      <c r="R81" s="22">
        <v>45751</v>
      </c>
      <c r="S81" s="22">
        <v>45772</v>
      </c>
      <c r="T81" s="22">
        <v>45775</v>
      </c>
      <c r="U81" s="22">
        <v>45775</v>
      </c>
      <c r="V81" s="22">
        <v>45777</v>
      </c>
      <c r="W81" s="20" t="s">
        <v>411</v>
      </c>
      <c r="X81" s="4" t="str">
        <f>IF(Tabela2[[#This Row],[sigla]]="","",VLOOKUP(Tabela2[[#This Row],[sigla]],Tabela1[[#All],[Sigla Arte]:[Crédito]],2,0))</f>
        <v>WERLLEN HOLANDA/ARQUIVO DA EDITORA</v>
      </c>
      <c r="Y81" s="21"/>
      <c r="Z81" s="21" t="str">
        <f>Tabela2[[#This Row],[ilustrador]]</f>
        <v>WERLLEN HOLANDA/ARQUIVO DA EDITORA</v>
      </c>
      <c r="AA81" s="20">
        <v>4</v>
      </c>
      <c r="AB81" s="24" t="s">
        <v>412</v>
      </c>
      <c r="AC81" s="18" t="s">
        <v>413</v>
      </c>
      <c r="AD81" s="4" t="str">
        <f t="shared" si="2"/>
        <v>Plantar</v>
      </c>
      <c r="AE81" s="12" t="str">
        <f t="shared" si="3"/>
        <v>Ciências</v>
      </c>
    </row>
    <row r="82" spans="1:31" s="12" customFormat="1" ht="43.2" x14ac:dyDescent="0.3">
      <c r="A82" s="12" t="s">
        <v>414</v>
      </c>
      <c r="B82" s="18" t="s">
        <v>6</v>
      </c>
      <c r="C82" s="18" t="s">
        <v>7</v>
      </c>
      <c r="D82" s="18" t="s">
        <v>8</v>
      </c>
      <c r="E82" s="20">
        <v>43</v>
      </c>
      <c r="F82" s="20">
        <v>4</v>
      </c>
      <c r="G82" s="20">
        <v>2</v>
      </c>
      <c r="H82" s="20"/>
      <c r="I82" s="21" t="s">
        <v>36</v>
      </c>
      <c r="J82" s="21"/>
      <c r="K82" s="20"/>
      <c r="L82" s="20"/>
      <c r="M82" s="21"/>
      <c r="N82" s="21"/>
      <c r="O82" s="24" t="s">
        <v>415</v>
      </c>
      <c r="P82" s="24"/>
      <c r="Q82" s="20">
        <v>5</v>
      </c>
      <c r="R82" s="22">
        <v>45751</v>
      </c>
      <c r="S82" s="22">
        <v>45754</v>
      </c>
      <c r="T82" s="22">
        <v>45755</v>
      </c>
      <c r="U82" s="22">
        <v>45756</v>
      </c>
      <c r="V82" s="22">
        <v>45757</v>
      </c>
      <c r="W82" s="20" t="s">
        <v>411</v>
      </c>
      <c r="X82" s="4" t="str">
        <f>IF(Tabela2[[#This Row],[sigla]]="","",VLOOKUP(Tabela2[[#This Row],[sigla]],Tabela1[[#All],[Sigla Arte]:[Crédito]],2,0))</f>
        <v>WERLLEN HOLANDA/ARQUIVO DA EDITORA</v>
      </c>
      <c r="Y82" s="21"/>
      <c r="Z82" s="21" t="str">
        <f>Tabela2[[#This Row],[ilustrador]]</f>
        <v>WERLLEN HOLANDA/ARQUIVO DA EDITORA</v>
      </c>
      <c r="AA82" s="20">
        <v>5</v>
      </c>
      <c r="AB82" s="18" t="s">
        <v>416</v>
      </c>
      <c r="AC82" s="18" t="s">
        <v>413</v>
      </c>
      <c r="AD82" s="4" t="str">
        <f t="shared" si="2"/>
        <v>Plantar</v>
      </c>
      <c r="AE82" s="12" t="str">
        <f t="shared" si="3"/>
        <v>Ciências</v>
      </c>
    </row>
    <row r="83" spans="1:31" s="12" customFormat="1" ht="43.2" x14ac:dyDescent="0.3">
      <c r="A83" s="12" t="s">
        <v>417</v>
      </c>
      <c r="B83" s="18" t="s">
        <v>6</v>
      </c>
      <c r="C83" s="18" t="s">
        <v>7</v>
      </c>
      <c r="D83" s="18" t="s">
        <v>8</v>
      </c>
      <c r="E83" s="20">
        <v>48</v>
      </c>
      <c r="F83" s="20">
        <v>4</v>
      </c>
      <c r="G83" s="20">
        <v>2</v>
      </c>
      <c r="H83" s="20"/>
      <c r="I83" s="21" t="s">
        <v>13</v>
      </c>
      <c r="J83" s="21"/>
      <c r="K83" s="20"/>
      <c r="L83" s="20"/>
      <c r="M83" s="21"/>
      <c r="N83" s="21"/>
      <c r="O83" s="24" t="s">
        <v>418</v>
      </c>
      <c r="P83" s="24"/>
      <c r="Q83" s="20">
        <v>5</v>
      </c>
      <c r="R83" s="22">
        <v>45751</v>
      </c>
      <c r="S83" s="22">
        <v>45751</v>
      </c>
      <c r="T83" s="22"/>
      <c r="U83" s="22"/>
      <c r="V83" s="22"/>
      <c r="W83" s="20" t="s">
        <v>70</v>
      </c>
      <c r="X83" s="4" t="str">
        <f>IF(Tabela2[[#This Row],[sigla]]="","",VLOOKUP(Tabela2[[#This Row],[sigla]],Tabela1[[#All],[Sigla Arte]:[Crédito]],2,0))</f>
        <v>ALEXANDRE DE SOUZA/ARQUIVO DA EDITORA</v>
      </c>
      <c r="Y83" s="21" t="s">
        <v>142</v>
      </c>
      <c r="Z83" s="21" t="str">
        <f>Tabela2[[#This Row],[ilustrador]]</f>
        <v>ALEXANDRE DE SOUZA/ARQUIVO DA EDITORA</v>
      </c>
      <c r="AA83" s="20">
        <v>13</v>
      </c>
      <c r="AB83" s="18" t="s">
        <v>143</v>
      </c>
      <c r="AC83" s="18" t="s">
        <v>18</v>
      </c>
      <c r="AD83" s="4" t="str">
        <f t="shared" si="2"/>
        <v>Plantar</v>
      </c>
      <c r="AE83" s="12" t="str">
        <f t="shared" si="3"/>
        <v>Ciências</v>
      </c>
    </row>
    <row r="84" spans="1:31" s="12" customFormat="1" ht="43.2" x14ac:dyDescent="0.3">
      <c r="A84" s="12" t="s">
        <v>419</v>
      </c>
      <c r="B84" s="18" t="s">
        <v>6</v>
      </c>
      <c r="C84" s="18" t="s">
        <v>7</v>
      </c>
      <c r="D84" s="18" t="s">
        <v>8</v>
      </c>
      <c r="E84" s="20">
        <v>49</v>
      </c>
      <c r="F84" s="20">
        <v>4</v>
      </c>
      <c r="G84" s="20">
        <v>2</v>
      </c>
      <c r="H84" s="20"/>
      <c r="I84" s="21" t="s">
        <v>36</v>
      </c>
      <c r="J84" s="21"/>
      <c r="K84" s="20"/>
      <c r="L84" s="20"/>
      <c r="M84" s="21"/>
      <c r="N84" s="21"/>
      <c r="O84" s="24" t="s">
        <v>420</v>
      </c>
      <c r="P84" s="24"/>
      <c r="Q84" s="20">
        <v>5</v>
      </c>
      <c r="R84" s="22">
        <v>45751</v>
      </c>
      <c r="S84" s="22">
        <v>45772</v>
      </c>
      <c r="T84" s="22"/>
      <c r="U84" s="22"/>
      <c r="V84" s="22">
        <v>45772</v>
      </c>
      <c r="W84" s="20" t="s">
        <v>70</v>
      </c>
      <c r="X84" s="4" t="str">
        <f>IF(Tabela2[[#This Row],[sigla]]="","",VLOOKUP(Tabela2[[#This Row],[sigla]],Tabela1[[#All],[Sigla Arte]:[Crédito]],2,0))</f>
        <v>ALEXANDRE DE SOUZA/ARQUIVO DA EDITORA</v>
      </c>
      <c r="Y84" s="21" t="s">
        <v>142</v>
      </c>
      <c r="Z84" s="21" t="str">
        <f>Tabela2[[#This Row],[ilustrador]]</f>
        <v>ALEXANDRE DE SOUZA/ARQUIVO DA EDITORA</v>
      </c>
      <c r="AA84" s="20">
        <v>14</v>
      </c>
      <c r="AB84" s="18" t="s">
        <v>143</v>
      </c>
      <c r="AC84" s="18" t="s">
        <v>18</v>
      </c>
      <c r="AD84" s="4" t="str">
        <f t="shared" si="2"/>
        <v>Plantar</v>
      </c>
      <c r="AE84" s="12" t="str">
        <f t="shared" si="3"/>
        <v>Ciências</v>
      </c>
    </row>
    <row r="85" spans="1:31" s="12" customFormat="1" ht="43.2" x14ac:dyDescent="0.3">
      <c r="A85" s="12" t="s">
        <v>421</v>
      </c>
      <c r="B85" s="18" t="s">
        <v>6</v>
      </c>
      <c r="C85" s="18" t="s">
        <v>7</v>
      </c>
      <c r="D85" s="18" t="s">
        <v>8</v>
      </c>
      <c r="E85" s="20">
        <v>49</v>
      </c>
      <c r="F85" s="20">
        <v>4</v>
      </c>
      <c r="G85" s="20">
        <v>2</v>
      </c>
      <c r="H85" s="20"/>
      <c r="I85" s="21" t="s">
        <v>36</v>
      </c>
      <c r="J85" s="21"/>
      <c r="K85" s="20"/>
      <c r="L85" s="20"/>
      <c r="M85" s="21"/>
      <c r="N85" s="21"/>
      <c r="O85" s="24" t="s">
        <v>422</v>
      </c>
      <c r="P85" s="24"/>
      <c r="Q85" s="20">
        <v>5</v>
      </c>
      <c r="R85" s="22">
        <v>45751</v>
      </c>
      <c r="S85" s="22">
        <v>45772</v>
      </c>
      <c r="T85" s="22"/>
      <c r="U85" s="22"/>
      <c r="V85" s="22">
        <v>45772</v>
      </c>
      <c r="W85" s="20" t="s">
        <v>70</v>
      </c>
      <c r="X85" s="4" t="str">
        <f>IF(Tabela2[[#This Row],[sigla]]="","",VLOOKUP(Tabela2[[#This Row],[sigla]],Tabela1[[#All],[Sigla Arte]:[Crédito]],2,0))</f>
        <v>ALEXANDRE DE SOUZA/ARQUIVO DA EDITORA</v>
      </c>
      <c r="Y85" s="21" t="s">
        <v>142</v>
      </c>
      <c r="Z85" s="21" t="str">
        <f>Tabela2[[#This Row],[ilustrador]]</f>
        <v>ALEXANDRE DE SOUZA/ARQUIVO DA EDITORA</v>
      </c>
      <c r="AA85" s="20">
        <v>14</v>
      </c>
      <c r="AB85" s="18" t="s">
        <v>143</v>
      </c>
      <c r="AC85" s="18" t="s">
        <v>18</v>
      </c>
      <c r="AD85" s="4" t="str">
        <f t="shared" si="2"/>
        <v>Plantar</v>
      </c>
      <c r="AE85" s="12" t="str">
        <f t="shared" si="3"/>
        <v>Ciências</v>
      </c>
    </row>
    <row r="86" spans="1:31" s="12" customFormat="1" ht="57.6" x14ac:dyDescent="0.3">
      <c r="A86" s="12" t="s">
        <v>423</v>
      </c>
      <c r="B86" s="18" t="s">
        <v>6</v>
      </c>
      <c r="C86" s="18" t="s">
        <v>7</v>
      </c>
      <c r="D86" s="18" t="s">
        <v>8</v>
      </c>
      <c r="E86" s="20">
        <v>49</v>
      </c>
      <c r="F86" s="20">
        <v>4</v>
      </c>
      <c r="G86" s="20">
        <v>2</v>
      </c>
      <c r="H86" s="20"/>
      <c r="I86" s="21" t="s">
        <v>36</v>
      </c>
      <c r="J86" s="21"/>
      <c r="K86" s="20"/>
      <c r="L86" s="20"/>
      <c r="M86" s="21"/>
      <c r="N86" s="21"/>
      <c r="O86" s="24" t="s">
        <v>424</v>
      </c>
      <c r="P86" s="24"/>
      <c r="Q86" s="20">
        <v>5</v>
      </c>
      <c r="R86" s="22">
        <v>45751</v>
      </c>
      <c r="S86" s="22">
        <v>45772</v>
      </c>
      <c r="T86" s="22"/>
      <c r="U86" s="22"/>
      <c r="V86" s="22">
        <v>45772</v>
      </c>
      <c r="W86" s="20" t="s">
        <v>70</v>
      </c>
      <c r="X86" s="4" t="str">
        <f>IF(Tabela2[[#This Row],[sigla]]="","",VLOOKUP(Tabela2[[#This Row],[sigla]],Tabela1[[#All],[Sigla Arte]:[Crédito]],2,0))</f>
        <v>ALEXANDRE DE SOUZA/ARQUIVO DA EDITORA</v>
      </c>
      <c r="Y86" s="21" t="s">
        <v>142</v>
      </c>
      <c r="Z86" s="21" t="str">
        <f>Tabela2[[#This Row],[ilustrador]]</f>
        <v>ALEXANDRE DE SOUZA/ARQUIVO DA EDITORA</v>
      </c>
      <c r="AA86" s="20">
        <v>14</v>
      </c>
      <c r="AB86" s="18" t="s">
        <v>143</v>
      </c>
      <c r="AC86" s="18" t="s">
        <v>18</v>
      </c>
      <c r="AD86" s="4" t="str">
        <f t="shared" si="2"/>
        <v>Plantar</v>
      </c>
      <c r="AE86" s="12" t="str">
        <f t="shared" si="3"/>
        <v>Ciências</v>
      </c>
    </row>
    <row r="87" spans="1:31" s="12" customFormat="1" ht="43.2" x14ac:dyDescent="0.3">
      <c r="A87" s="12" t="s">
        <v>425</v>
      </c>
      <c r="B87" s="18" t="s">
        <v>6</v>
      </c>
      <c r="C87" s="18" t="s">
        <v>7</v>
      </c>
      <c r="D87" s="18" t="s">
        <v>8</v>
      </c>
      <c r="E87" s="20">
        <v>49</v>
      </c>
      <c r="F87" s="20">
        <v>4</v>
      </c>
      <c r="G87" s="20">
        <v>2</v>
      </c>
      <c r="H87" s="20"/>
      <c r="I87" s="21" t="s">
        <v>36</v>
      </c>
      <c r="J87" s="21"/>
      <c r="K87" s="20"/>
      <c r="L87" s="20"/>
      <c r="M87" s="21"/>
      <c r="N87" s="21"/>
      <c r="O87" s="24" t="s">
        <v>426</v>
      </c>
      <c r="P87" s="24"/>
      <c r="Q87" s="20">
        <v>5</v>
      </c>
      <c r="R87" s="22">
        <v>45751</v>
      </c>
      <c r="S87" s="22">
        <v>45772</v>
      </c>
      <c r="T87" s="22"/>
      <c r="U87" s="22"/>
      <c r="V87" s="22">
        <v>45772</v>
      </c>
      <c r="W87" s="20" t="s">
        <v>70</v>
      </c>
      <c r="X87" s="4" t="str">
        <f>IF(Tabela2[[#This Row],[sigla]]="","",VLOOKUP(Tabela2[[#This Row],[sigla]],Tabela1[[#All],[Sigla Arte]:[Crédito]],2,0))</f>
        <v>ALEXANDRE DE SOUZA/ARQUIVO DA EDITORA</v>
      </c>
      <c r="Y87" s="21" t="s">
        <v>142</v>
      </c>
      <c r="Z87" s="21" t="str">
        <f>Tabela2[[#This Row],[ilustrador]]</f>
        <v>ALEXANDRE DE SOUZA/ARQUIVO DA EDITORA</v>
      </c>
      <c r="AA87" s="20">
        <v>14</v>
      </c>
      <c r="AB87" s="18" t="s">
        <v>143</v>
      </c>
      <c r="AC87" s="18" t="s">
        <v>18</v>
      </c>
      <c r="AD87" s="4" t="str">
        <f t="shared" si="2"/>
        <v>Plantar</v>
      </c>
      <c r="AE87" s="12" t="str">
        <f t="shared" si="3"/>
        <v>Ciências</v>
      </c>
    </row>
    <row r="88" spans="1:31" s="12" customFormat="1" ht="72" x14ac:dyDescent="0.3">
      <c r="A88" s="12" t="s">
        <v>427</v>
      </c>
      <c r="B88" s="18" t="s">
        <v>6</v>
      </c>
      <c r="C88" s="18" t="s">
        <v>7</v>
      </c>
      <c r="D88" s="18" t="s">
        <v>8</v>
      </c>
      <c r="E88" s="20">
        <v>50</v>
      </c>
      <c r="F88" s="20">
        <v>4</v>
      </c>
      <c r="G88" s="20">
        <v>2</v>
      </c>
      <c r="H88" s="20"/>
      <c r="I88" s="21" t="s">
        <v>9</v>
      </c>
      <c r="J88" s="21"/>
      <c r="K88" s="20"/>
      <c r="L88" s="20"/>
      <c r="M88" s="21"/>
      <c r="N88" s="21"/>
      <c r="O88" s="24" t="s">
        <v>428</v>
      </c>
      <c r="P88" s="24"/>
      <c r="Q88" s="20"/>
      <c r="R88" s="22"/>
      <c r="S88" s="22"/>
      <c r="T88" s="22"/>
      <c r="U88" s="22"/>
      <c r="V88" s="22"/>
      <c r="W88" s="20" t="s">
        <v>70</v>
      </c>
      <c r="X88" s="4" t="str">
        <f>IF(Tabela2[[#This Row],[sigla]]="","",VLOOKUP(Tabela2[[#This Row],[sigla]],Tabela1[[#All],[Sigla Arte]:[Crédito]],2,0))</f>
        <v>ALEXANDRE DE SOUZA/ARQUIVO DA EDITORA</v>
      </c>
      <c r="Y88" s="21"/>
      <c r="Z88" s="21" t="str">
        <f>Tabela2[[#This Row],[ilustrador]]</f>
        <v>ALEXANDRE DE SOUZA/ARQUIVO DA EDITORA</v>
      </c>
      <c r="AA88" s="20"/>
      <c r="AB88" s="18"/>
      <c r="AC88" s="18"/>
      <c r="AD88" s="4" t="str">
        <f t="shared" si="2"/>
        <v>Plantar</v>
      </c>
      <c r="AE88" s="12" t="str">
        <f t="shared" si="3"/>
        <v>Ciências</v>
      </c>
    </row>
    <row r="89" spans="1:31" s="12" customFormat="1" ht="72" x14ac:dyDescent="0.3">
      <c r="A89" s="12" t="s">
        <v>429</v>
      </c>
      <c r="B89" s="18" t="s">
        <v>6</v>
      </c>
      <c r="C89" s="18" t="s">
        <v>7</v>
      </c>
      <c r="D89" s="18" t="s">
        <v>8</v>
      </c>
      <c r="E89" s="20">
        <v>51</v>
      </c>
      <c r="F89" s="20">
        <v>4</v>
      </c>
      <c r="G89" s="20">
        <v>2</v>
      </c>
      <c r="H89" s="20"/>
      <c r="I89" s="21" t="s">
        <v>9</v>
      </c>
      <c r="J89" s="21"/>
      <c r="K89" s="20"/>
      <c r="L89" s="20"/>
      <c r="M89" s="21"/>
      <c r="N89" s="21"/>
      <c r="O89" s="24" t="s">
        <v>430</v>
      </c>
      <c r="P89" s="24"/>
      <c r="Q89" s="20"/>
      <c r="R89" s="22"/>
      <c r="S89" s="22"/>
      <c r="T89" s="22"/>
      <c r="U89" s="22"/>
      <c r="V89" s="22"/>
      <c r="W89" s="20" t="s">
        <v>70</v>
      </c>
      <c r="X89" s="4" t="str">
        <f>IF(Tabela2[[#This Row],[sigla]]="","",VLOOKUP(Tabela2[[#This Row],[sigla]],Tabela1[[#All],[Sigla Arte]:[Crédito]],2,0))</f>
        <v>ALEXANDRE DE SOUZA/ARQUIVO DA EDITORA</v>
      </c>
      <c r="Y89" s="21"/>
      <c r="Z89" s="21" t="str">
        <f>Tabela2[[#This Row],[ilustrador]]</f>
        <v>ALEXANDRE DE SOUZA/ARQUIVO DA EDITORA</v>
      </c>
      <c r="AA89" s="20"/>
      <c r="AB89" s="18"/>
      <c r="AC89" s="18"/>
      <c r="AD89" s="4" t="str">
        <f t="shared" si="2"/>
        <v>Plantar</v>
      </c>
      <c r="AE89" s="12" t="str">
        <f t="shared" si="3"/>
        <v>Ciências</v>
      </c>
    </row>
    <row r="90" spans="1:31" s="12" customFormat="1" ht="72" x14ac:dyDescent="0.3">
      <c r="A90" s="12" t="s">
        <v>431</v>
      </c>
      <c r="B90" s="18" t="s">
        <v>6</v>
      </c>
      <c r="C90" s="18" t="s">
        <v>7</v>
      </c>
      <c r="D90" s="18" t="s">
        <v>8</v>
      </c>
      <c r="E90" s="20">
        <v>52</v>
      </c>
      <c r="F90" s="20">
        <v>4</v>
      </c>
      <c r="G90" s="20">
        <v>2</v>
      </c>
      <c r="H90" s="20"/>
      <c r="I90" s="21" t="s">
        <v>9</v>
      </c>
      <c r="J90" s="21"/>
      <c r="K90" s="20"/>
      <c r="L90" s="20"/>
      <c r="M90" s="21"/>
      <c r="N90" s="21"/>
      <c r="O90" s="24" t="s">
        <v>432</v>
      </c>
      <c r="P90" s="24"/>
      <c r="Q90" s="20"/>
      <c r="R90" s="22"/>
      <c r="S90" s="22"/>
      <c r="T90" s="22"/>
      <c r="U90" s="22"/>
      <c r="V90" s="22"/>
      <c r="W90" s="20" t="s">
        <v>70</v>
      </c>
      <c r="X90" s="4" t="str">
        <f>IF(Tabela2[[#This Row],[sigla]]="","",VLOOKUP(Tabela2[[#This Row],[sigla]],Tabela1[[#All],[Sigla Arte]:[Crédito]],2,0))</f>
        <v>ALEXANDRE DE SOUZA/ARQUIVO DA EDITORA</v>
      </c>
      <c r="Y90" s="21"/>
      <c r="Z90" s="21" t="str">
        <f>Tabela2[[#This Row],[ilustrador]]</f>
        <v>ALEXANDRE DE SOUZA/ARQUIVO DA EDITORA</v>
      </c>
      <c r="AA90" s="20"/>
      <c r="AB90" s="18"/>
      <c r="AC90" s="18"/>
      <c r="AD90" s="4" t="str">
        <f t="shared" si="2"/>
        <v>Plantar</v>
      </c>
      <c r="AE90" s="12" t="str">
        <f t="shared" si="3"/>
        <v>Ciências</v>
      </c>
    </row>
    <row r="91" spans="1:31" s="12" customFormat="1" ht="57.6" x14ac:dyDescent="0.3">
      <c r="A91" s="12" t="s">
        <v>433</v>
      </c>
      <c r="B91" s="18" t="s">
        <v>6</v>
      </c>
      <c r="C91" s="18" t="s">
        <v>7</v>
      </c>
      <c r="D91" s="18" t="s">
        <v>8</v>
      </c>
      <c r="E91" s="20">
        <v>53</v>
      </c>
      <c r="F91" s="20">
        <v>4</v>
      </c>
      <c r="G91" s="20">
        <v>2</v>
      </c>
      <c r="H91" s="20"/>
      <c r="I91" s="21" t="s">
        <v>9</v>
      </c>
      <c r="J91" s="21"/>
      <c r="K91" s="20"/>
      <c r="L91" s="20"/>
      <c r="M91" s="21"/>
      <c r="N91" s="21"/>
      <c r="O91" s="24" t="s">
        <v>434</v>
      </c>
      <c r="P91" s="24"/>
      <c r="Q91" s="20"/>
      <c r="R91" s="22"/>
      <c r="S91" s="22"/>
      <c r="T91" s="22"/>
      <c r="U91" s="22"/>
      <c r="V91" s="22"/>
      <c r="W91" s="20" t="s">
        <v>70</v>
      </c>
      <c r="X91" s="4" t="str">
        <f>IF(Tabela2[[#This Row],[sigla]]="","",VLOOKUP(Tabela2[[#This Row],[sigla]],Tabela1[[#All],[Sigla Arte]:[Crédito]],2,0))</f>
        <v>ALEXANDRE DE SOUZA/ARQUIVO DA EDITORA</v>
      </c>
      <c r="Y91" s="21"/>
      <c r="Z91" s="21" t="str">
        <f>Tabela2[[#This Row],[ilustrador]]</f>
        <v>ALEXANDRE DE SOUZA/ARQUIVO DA EDITORA</v>
      </c>
      <c r="AA91" s="20"/>
      <c r="AB91" s="18"/>
      <c r="AC91" s="18"/>
      <c r="AD91" s="4" t="str">
        <f t="shared" si="2"/>
        <v>Plantar</v>
      </c>
      <c r="AE91" s="12" t="str">
        <f t="shared" si="3"/>
        <v>Ciências</v>
      </c>
    </row>
    <row r="92" spans="1:31" s="12" customFormat="1" ht="57.6" x14ac:dyDescent="0.3">
      <c r="A92" s="12" t="s">
        <v>267</v>
      </c>
      <c r="B92" s="18" t="s">
        <v>6</v>
      </c>
      <c r="C92" s="18" t="s">
        <v>7</v>
      </c>
      <c r="D92" s="18" t="s">
        <v>8</v>
      </c>
      <c r="E92" s="20">
        <v>58</v>
      </c>
      <c r="F92" s="20">
        <v>5</v>
      </c>
      <c r="G92" s="20">
        <v>2</v>
      </c>
      <c r="H92" s="20"/>
      <c r="I92" s="21" t="s">
        <v>13</v>
      </c>
      <c r="J92" s="21"/>
      <c r="K92" s="20"/>
      <c r="L92" s="20"/>
      <c r="M92" s="21"/>
      <c r="N92" s="21"/>
      <c r="O92" s="24" t="s">
        <v>268</v>
      </c>
      <c r="P92" s="24"/>
      <c r="Q92" s="20">
        <v>2</v>
      </c>
      <c r="R92" s="22">
        <v>45748</v>
      </c>
      <c r="S92" s="22">
        <v>45751</v>
      </c>
      <c r="T92" s="22"/>
      <c r="U92" s="22"/>
      <c r="V92" s="22">
        <v>45751</v>
      </c>
      <c r="W92" s="20" t="s">
        <v>269</v>
      </c>
      <c r="X92" s="4" t="str">
        <f>IF(Tabela2[[#This Row],[sigla]]="","",VLOOKUP(Tabela2[[#This Row],[sigla]],Tabela1[[#All],[Sigla Arte]:[Crédito]],2,0))</f>
        <v>EZEQUIEL SILVA/ARQUIVO DA EDITORA</v>
      </c>
      <c r="Y92" s="21" t="s">
        <v>142</v>
      </c>
      <c r="Z92" s="21" t="str">
        <f>Tabela2[[#This Row],[ilustrador]]</f>
        <v>EZEQUIEL SILVA/ARQUIVO DA EDITORA</v>
      </c>
      <c r="AA92" s="20">
        <v>14</v>
      </c>
      <c r="AB92" s="18" t="s">
        <v>143</v>
      </c>
      <c r="AC92" s="18" t="s">
        <v>18</v>
      </c>
      <c r="AD92" s="4" t="str">
        <f t="shared" si="2"/>
        <v>Plantar</v>
      </c>
      <c r="AE92" s="12" t="str">
        <f t="shared" si="3"/>
        <v>Ciências</v>
      </c>
    </row>
    <row r="93" spans="1:31" s="12" customFormat="1" ht="105.75" customHeight="1" x14ac:dyDescent="0.3">
      <c r="A93" s="12" t="s">
        <v>270</v>
      </c>
      <c r="B93" s="18" t="s">
        <v>6</v>
      </c>
      <c r="C93" s="18" t="s">
        <v>7</v>
      </c>
      <c r="D93" s="18" t="s">
        <v>8</v>
      </c>
      <c r="E93" s="20">
        <v>58</v>
      </c>
      <c r="F93" s="20">
        <v>5</v>
      </c>
      <c r="G93" s="20">
        <v>2</v>
      </c>
      <c r="H93" s="20"/>
      <c r="I93" s="21" t="s">
        <v>13</v>
      </c>
      <c r="J93" s="21"/>
      <c r="K93" s="20"/>
      <c r="L93" s="20"/>
      <c r="M93" s="21"/>
      <c r="N93" s="21"/>
      <c r="O93" s="24" t="s">
        <v>271</v>
      </c>
      <c r="P93" s="24"/>
      <c r="Q93" s="20">
        <v>2</v>
      </c>
      <c r="R93" s="22">
        <v>45748</v>
      </c>
      <c r="S93" s="22">
        <v>45751</v>
      </c>
      <c r="T93" s="22"/>
      <c r="U93" s="22"/>
      <c r="V93" s="22">
        <v>45751</v>
      </c>
      <c r="W93" s="20" t="s">
        <v>269</v>
      </c>
      <c r="X93" s="4" t="str">
        <f>IF(Tabela2[[#This Row],[sigla]]="","",VLOOKUP(Tabela2[[#This Row],[sigla]],Tabela1[[#All],[Sigla Arte]:[Crédito]],2,0))</f>
        <v>EZEQUIEL SILVA/ARQUIVO DA EDITORA</v>
      </c>
      <c r="Y93" s="21" t="s">
        <v>142</v>
      </c>
      <c r="Z93" s="21" t="str">
        <f>Tabela2[[#This Row],[ilustrador]]</f>
        <v>EZEQUIEL SILVA/ARQUIVO DA EDITORA</v>
      </c>
      <c r="AA93" s="20">
        <v>14</v>
      </c>
      <c r="AB93" s="18" t="s">
        <v>143</v>
      </c>
      <c r="AC93" s="18" t="s">
        <v>18</v>
      </c>
      <c r="AD93" s="4" t="str">
        <f t="shared" si="2"/>
        <v>Plantar</v>
      </c>
      <c r="AE93" s="12" t="str">
        <f t="shared" si="3"/>
        <v>Ciências</v>
      </c>
    </row>
    <row r="94" spans="1:31" s="12" customFormat="1" ht="72" x14ac:dyDescent="0.3">
      <c r="A94" s="12" t="s">
        <v>435</v>
      </c>
      <c r="B94" s="18" t="s">
        <v>6</v>
      </c>
      <c r="C94" s="18" t="s">
        <v>7</v>
      </c>
      <c r="D94" s="18" t="s">
        <v>8</v>
      </c>
      <c r="E94" s="20">
        <v>53</v>
      </c>
      <c r="F94" s="20">
        <v>4</v>
      </c>
      <c r="G94" s="20">
        <v>2</v>
      </c>
      <c r="H94" s="20"/>
      <c r="I94" s="21" t="s">
        <v>13</v>
      </c>
      <c r="J94" s="21"/>
      <c r="K94" s="20"/>
      <c r="L94" s="20"/>
      <c r="M94" s="21"/>
      <c r="N94" s="21"/>
      <c r="O94" s="24" t="s">
        <v>436</v>
      </c>
      <c r="P94" s="24"/>
      <c r="Q94" s="20">
        <v>5</v>
      </c>
      <c r="R94" s="22">
        <v>45751</v>
      </c>
      <c r="S94" s="22">
        <v>45751</v>
      </c>
      <c r="T94" s="22"/>
      <c r="U94" s="22"/>
      <c r="V94" s="22">
        <v>45754</v>
      </c>
      <c r="W94" s="20" t="s">
        <v>15</v>
      </c>
      <c r="X94" s="4" t="str">
        <f>IF(Tabela2[[#This Row],[sigla]]="","",VLOOKUP(Tabela2[[#This Row],[sigla]],Tabela1[[#All],[Sigla Arte]:[Crédito]],2,0))</f>
        <v>IVY NUNES/ARQUIVO DA EDITORA</v>
      </c>
      <c r="Y94" s="21" t="s">
        <v>142</v>
      </c>
      <c r="Z94" s="21" t="str">
        <f>Tabela2[[#This Row],[ilustrador]]</f>
        <v>IVY NUNES/ARQUIVO DA EDITORA</v>
      </c>
      <c r="AA94" s="20">
        <v>13</v>
      </c>
      <c r="AB94" s="18" t="s">
        <v>143</v>
      </c>
      <c r="AC94" s="18" t="s">
        <v>18</v>
      </c>
      <c r="AD94" s="4" t="str">
        <f t="shared" si="2"/>
        <v>Plantar</v>
      </c>
      <c r="AE94" s="12" t="str">
        <f t="shared" si="3"/>
        <v>Ciências</v>
      </c>
    </row>
    <row r="95" spans="1:31" s="12" customFormat="1" ht="43.2" x14ac:dyDescent="0.3">
      <c r="A95" s="12" t="s">
        <v>71</v>
      </c>
      <c r="B95" s="18" t="s">
        <v>6</v>
      </c>
      <c r="C95" s="18" t="s">
        <v>7</v>
      </c>
      <c r="D95" s="18" t="s">
        <v>8</v>
      </c>
      <c r="E95" s="20">
        <v>56</v>
      </c>
      <c r="F95" s="20">
        <v>3</v>
      </c>
      <c r="G95" s="20">
        <v>2</v>
      </c>
      <c r="H95" s="20"/>
      <c r="I95" s="21" t="s">
        <v>13</v>
      </c>
      <c r="J95" s="21"/>
      <c r="K95" s="20"/>
      <c r="L95" s="20"/>
      <c r="M95" s="21"/>
      <c r="N95" s="21"/>
      <c r="O95" s="24" t="s">
        <v>72</v>
      </c>
      <c r="P95" s="24"/>
      <c r="Q95" s="20">
        <v>2</v>
      </c>
      <c r="R95" s="22">
        <v>45727</v>
      </c>
      <c r="S95" s="22">
        <v>45728</v>
      </c>
      <c r="T95" s="22"/>
      <c r="U95" s="22"/>
      <c r="V95" s="22">
        <v>45729</v>
      </c>
      <c r="W95" s="20" t="s">
        <v>11</v>
      </c>
      <c r="X95" s="4" t="str">
        <f>IF(Tabela2[[#This Row],[sigla]]="","",VLOOKUP(Tabela2[[#This Row],[sigla]],Tabela1[[#All],[Sigla Arte]:[Crédito]],2,0))</f>
        <v>HELOÍSA PINTARELLI/ARQUIVO DA EDITORA</v>
      </c>
      <c r="Y95" s="21" t="s">
        <v>34</v>
      </c>
      <c r="Z95" s="21" t="str">
        <f>Tabela2[[#This Row],[ilustrador]]</f>
        <v>HELOÍSA PINTARELLI/ARQUIVO DA EDITORA</v>
      </c>
      <c r="AA95" s="20">
        <v>14</v>
      </c>
      <c r="AB95" s="18"/>
      <c r="AC95" s="18" t="s">
        <v>18</v>
      </c>
      <c r="AD95" s="4" t="str">
        <f t="shared" si="2"/>
        <v>Plantar</v>
      </c>
      <c r="AE95" s="12" t="str">
        <f t="shared" si="3"/>
        <v>Ciências</v>
      </c>
    </row>
    <row r="96" spans="1:31" s="12" customFormat="1" ht="43.2" x14ac:dyDescent="0.3">
      <c r="A96" s="12" t="s">
        <v>437</v>
      </c>
      <c r="B96" s="18" t="s">
        <v>6</v>
      </c>
      <c r="C96" s="18" t="s">
        <v>7</v>
      </c>
      <c r="D96" s="18" t="s">
        <v>8</v>
      </c>
      <c r="E96" s="20">
        <v>61</v>
      </c>
      <c r="F96" s="20">
        <v>4</v>
      </c>
      <c r="G96" s="20">
        <v>2</v>
      </c>
      <c r="H96" s="20"/>
      <c r="I96" s="21" t="s">
        <v>9</v>
      </c>
      <c r="J96" s="21"/>
      <c r="K96" s="20"/>
      <c r="L96" s="20"/>
      <c r="M96" s="21"/>
      <c r="N96" s="21"/>
      <c r="O96" s="24" t="s">
        <v>438</v>
      </c>
      <c r="P96" s="24"/>
      <c r="Q96" s="20"/>
      <c r="R96" s="22"/>
      <c r="S96" s="22"/>
      <c r="T96" s="22"/>
      <c r="U96" s="22"/>
      <c r="V96" s="22"/>
      <c r="W96" s="20" t="s">
        <v>70</v>
      </c>
      <c r="X96" s="4" t="str">
        <f>IF(Tabela2[[#This Row],[sigla]]="","",VLOOKUP(Tabela2[[#This Row],[sigla]],Tabela1[[#All],[Sigla Arte]:[Crédito]],2,0))</f>
        <v>ALEXANDRE DE SOUZA/ARQUIVO DA EDITORA</v>
      </c>
      <c r="Y96" s="21"/>
      <c r="Z96" s="21" t="str">
        <f>Tabela2[[#This Row],[ilustrador]]</f>
        <v>ALEXANDRE DE SOUZA/ARQUIVO DA EDITORA</v>
      </c>
      <c r="AA96" s="20"/>
      <c r="AB96" s="18"/>
      <c r="AC96" s="18"/>
      <c r="AD96" s="4" t="str">
        <f t="shared" si="2"/>
        <v>Plantar</v>
      </c>
      <c r="AE96" s="12" t="str">
        <f t="shared" si="3"/>
        <v>Ciências</v>
      </c>
    </row>
    <row r="97" spans="1:31" s="12" customFormat="1" ht="43.2" x14ac:dyDescent="0.3">
      <c r="A97" s="12" t="s">
        <v>73</v>
      </c>
      <c r="B97" s="18" t="s">
        <v>6</v>
      </c>
      <c r="C97" s="18" t="s">
        <v>7</v>
      </c>
      <c r="D97" s="18" t="s">
        <v>8</v>
      </c>
      <c r="E97" s="20">
        <v>61</v>
      </c>
      <c r="F97" s="20">
        <v>3</v>
      </c>
      <c r="G97" s="20">
        <v>2</v>
      </c>
      <c r="H97" s="20"/>
      <c r="I97" s="21" t="s">
        <v>9</v>
      </c>
      <c r="J97" s="21"/>
      <c r="K97" s="20"/>
      <c r="L97" s="20"/>
      <c r="M97" s="21"/>
      <c r="N97" s="21"/>
      <c r="O97" s="24" t="s">
        <v>74</v>
      </c>
      <c r="P97" s="24"/>
      <c r="Q97" s="20"/>
      <c r="R97" s="22"/>
      <c r="S97" s="22"/>
      <c r="T97" s="22"/>
      <c r="U97" s="22"/>
      <c r="V97" s="22"/>
      <c r="W97" s="20" t="s">
        <v>11</v>
      </c>
      <c r="X97" s="4" t="str">
        <f>IF(Tabela2[[#This Row],[sigla]]="","",VLOOKUP(Tabela2[[#This Row],[sigla]],Tabela1[[#All],[Sigla Arte]:[Crédito]],2,0))</f>
        <v>HELOÍSA PINTARELLI/ARQUIVO DA EDITORA</v>
      </c>
      <c r="Y97" s="21"/>
      <c r="Z97" s="21" t="str">
        <f>Tabela2[[#This Row],[ilustrador]]</f>
        <v>HELOÍSA PINTARELLI/ARQUIVO DA EDITORA</v>
      </c>
      <c r="AA97" s="20"/>
      <c r="AB97" s="18"/>
      <c r="AC97" s="18"/>
      <c r="AD97" s="4" t="str">
        <f t="shared" si="2"/>
        <v>Plantar</v>
      </c>
      <c r="AE97" s="12" t="str">
        <f t="shared" si="3"/>
        <v>Ciências</v>
      </c>
    </row>
    <row r="98" spans="1:31" s="12" customFormat="1" ht="43.2" x14ac:dyDescent="0.3">
      <c r="A98" s="12" t="s">
        <v>510</v>
      </c>
      <c r="B98" s="18" t="s">
        <v>6</v>
      </c>
      <c r="C98" s="18" t="s">
        <v>7</v>
      </c>
      <c r="D98" s="18" t="s">
        <v>8</v>
      </c>
      <c r="E98" s="20">
        <v>57</v>
      </c>
      <c r="F98" s="20">
        <v>4</v>
      </c>
      <c r="G98" s="20">
        <v>2</v>
      </c>
      <c r="H98" s="20"/>
      <c r="I98" s="21" t="s">
        <v>13</v>
      </c>
      <c r="J98" s="21"/>
      <c r="K98" s="20"/>
      <c r="L98" s="20"/>
      <c r="M98" s="21"/>
      <c r="N98" s="21"/>
      <c r="O98" s="24" t="s">
        <v>511</v>
      </c>
      <c r="P98" s="24"/>
      <c r="Q98" s="20">
        <v>11</v>
      </c>
      <c r="R98" s="22">
        <v>45804</v>
      </c>
      <c r="S98" s="22">
        <v>45810</v>
      </c>
      <c r="T98" s="22"/>
      <c r="U98" s="22"/>
      <c r="V98" s="22">
        <v>45810</v>
      </c>
      <c r="W98" s="20" t="s">
        <v>15</v>
      </c>
      <c r="X98" s="4" t="str">
        <f>IF(Tabela2[[#This Row],[sigla]]="","",VLOOKUP(Tabela2[[#This Row],[sigla]],Tabela1[[#All],[Sigla Arte]:[Crédito]],2,0))</f>
        <v>IVY NUNES/ARQUIVO DA EDITORA</v>
      </c>
      <c r="Y98" s="21" t="s">
        <v>16</v>
      </c>
      <c r="Z98" s="21" t="str">
        <f>Tabela2[[#This Row],[ilustrador]]</f>
        <v>IVY NUNES/ARQUIVO DA EDITORA</v>
      </c>
      <c r="AA98" s="20">
        <v>13</v>
      </c>
      <c r="AB98" s="18" t="s">
        <v>512</v>
      </c>
      <c r="AC98" s="18" t="s">
        <v>18</v>
      </c>
      <c r="AD98" s="4" t="str">
        <f t="shared" si="2"/>
        <v>Plantar</v>
      </c>
      <c r="AE98" s="12" t="str">
        <f t="shared" si="3"/>
        <v>Ciências</v>
      </c>
    </row>
    <row r="99" spans="1:31" s="12" customFormat="1" ht="57.6" x14ac:dyDescent="0.3">
      <c r="A99" s="12" t="s">
        <v>532</v>
      </c>
      <c r="B99" s="18" t="s">
        <v>169</v>
      </c>
      <c r="C99" s="18" t="s">
        <v>7</v>
      </c>
      <c r="D99" s="18" t="s">
        <v>8</v>
      </c>
      <c r="E99" s="20">
        <v>46</v>
      </c>
      <c r="F99" s="20">
        <v>5</v>
      </c>
      <c r="G99" s="20">
        <v>2</v>
      </c>
      <c r="H99" s="20"/>
      <c r="I99" s="21" t="s">
        <v>36</v>
      </c>
      <c r="J99" s="21"/>
      <c r="K99" s="20"/>
      <c r="L99" s="20"/>
      <c r="M99" s="21"/>
      <c r="N99" s="21"/>
      <c r="O99" s="24" t="s">
        <v>533</v>
      </c>
      <c r="P99" s="24"/>
      <c r="Q99" s="20">
        <v>15</v>
      </c>
      <c r="R99" s="22">
        <v>45860</v>
      </c>
      <c r="S99" s="22"/>
      <c r="T99" s="22"/>
      <c r="U99" s="22"/>
      <c r="V99" s="22"/>
      <c r="W99" s="20"/>
      <c r="X99" s="4" t="str">
        <f>IF(Tabela2[[#This Row],[sigla]]="","",VLOOKUP(Tabela2[[#This Row],[sigla]],Tabela1[[#All],[Sigla Arte]:[Crédito]],2,0))</f>
        <v/>
      </c>
      <c r="Y99" s="21"/>
      <c r="Z99" s="21" t="str">
        <f>Tabela2[[#This Row],[ilustrador]]</f>
        <v/>
      </c>
      <c r="AA99" s="20"/>
      <c r="AB99" s="18"/>
      <c r="AC99" s="18"/>
      <c r="AD99" s="4" t="str">
        <f t="shared" si="2"/>
        <v>Plantar</v>
      </c>
      <c r="AE99" s="12" t="str">
        <f t="shared" si="3"/>
        <v>Ciências</v>
      </c>
    </row>
    <row r="100" spans="1:31" s="12" customFormat="1" ht="100.8" x14ac:dyDescent="0.3">
      <c r="A100" s="12" t="s">
        <v>75</v>
      </c>
      <c r="B100" s="18" t="s">
        <v>6</v>
      </c>
      <c r="C100" s="18" t="s">
        <v>7</v>
      </c>
      <c r="D100" s="18" t="s">
        <v>8</v>
      </c>
      <c r="E100" s="20">
        <v>66</v>
      </c>
      <c r="F100" s="20">
        <v>3</v>
      </c>
      <c r="G100" s="20">
        <v>2</v>
      </c>
      <c r="H100" s="20"/>
      <c r="I100" s="21" t="s">
        <v>13</v>
      </c>
      <c r="J100" s="21"/>
      <c r="K100" s="20"/>
      <c r="L100" s="20"/>
      <c r="M100" s="21"/>
      <c r="N100" s="21"/>
      <c r="O100" s="24" t="s">
        <v>76</v>
      </c>
      <c r="P100" s="24"/>
      <c r="Q100" s="20">
        <v>9</v>
      </c>
      <c r="R100" s="22">
        <v>45770</v>
      </c>
      <c r="S100" s="22">
        <v>45784</v>
      </c>
      <c r="T100" s="22"/>
      <c r="U100" s="22"/>
      <c r="V100" s="22">
        <v>45784</v>
      </c>
      <c r="W100" s="20" t="s">
        <v>59</v>
      </c>
      <c r="X100" s="4" t="str">
        <f>IF(Tabela2[[#This Row],[sigla]]="","",VLOOKUP(Tabela2[[#This Row],[sigla]],Tabela1[[#All],[Sigla Arte]:[Crédito]],2,0))</f>
        <v>FERNANDA MONTEIRO/ARQUIVO DA EDITORA</v>
      </c>
      <c r="Y100" s="21" t="s">
        <v>77</v>
      </c>
      <c r="Z100" s="21" t="str">
        <f>Tabela2[[#This Row],[ilustrador]]</f>
        <v>FERNANDA MONTEIRO/ARQUIVO DA EDITORA</v>
      </c>
      <c r="AA100" s="20">
        <v>13</v>
      </c>
      <c r="AB100" s="18"/>
      <c r="AC100" s="18" t="s">
        <v>18</v>
      </c>
      <c r="AD100" s="4" t="str">
        <f t="shared" si="2"/>
        <v>Plantar</v>
      </c>
      <c r="AE100" s="12" t="str">
        <f t="shared" si="3"/>
        <v>Ciências</v>
      </c>
    </row>
    <row r="101" spans="1:31" s="12" customFormat="1" ht="57.6" x14ac:dyDescent="0.3">
      <c r="A101" s="12" t="s">
        <v>516</v>
      </c>
      <c r="B101" s="18" t="s">
        <v>55</v>
      </c>
      <c r="C101" s="18" t="s">
        <v>7</v>
      </c>
      <c r="D101" s="18" t="s">
        <v>8</v>
      </c>
      <c r="E101" s="20">
        <v>64</v>
      </c>
      <c r="F101" s="20">
        <v>3</v>
      </c>
      <c r="G101" s="20">
        <v>2</v>
      </c>
      <c r="H101" s="20"/>
      <c r="I101" s="21" t="s">
        <v>13</v>
      </c>
      <c r="J101" s="21"/>
      <c r="K101" s="20"/>
      <c r="L101" s="20"/>
      <c r="M101" s="21"/>
      <c r="N101" s="21"/>
      <c r="O101" s="24" t="s">
        <v>517</v>
      </c>
      <c r="P101" s="24"/>
      <c r="Q101" s="20">
        <v>13</v>
      </c>
      <c r="R101" s="22">
        <v>45818</v>
      </c>
      <c r="S101" s="22">
        <v>45819</v>
      </c>
      <c r="T101" s="22"/>
      <c r="U101" s="22"/>
      <c r="V101" s="22">
        <v>45819</v>
      </c>
      <c r="W101" s="20" t="s">
        <v>11</v>
      </c>
      <c r="X101" s="4" t="str">
        <f>IF(Tabela2[[#This Row],[sigla]]="","",VLOOKUP(Tabela2[[#This Row],[sigla]],Tabela1[[#All],[Sigla Arte]:[Crédito]],2,0))</f>
        <v>HELOÍSA PINTARELLI/ARQUIVO DA EDITORA</v>
      </c>
      <c r="Y101" s="21" t="s">
        <v>16</v>
      </c>
      <c r="Z101" s="21" t="str">
        <f>Tabela2[[#This Row],[ilustrador]]</f>
        <v>HELOÍSA PINTARELLI/ARQUIVO DA EDITORA</v>
      </c>
      <c r="AA101" s="20">
        <v>13</v>
      </c>
      <c r="AB101" s="18" t="s">
        <v>512</v>
      </c>
      <c r="AC101" s="18" t="s">
        <v>18</v>
      </c>
      <c r="AD101" s="4" t="str">
        <f t="shared" si="2"/>
        <v>Plantar</v>
      </c>
      <c r="AE101" s="12" t="str">
        <f t="shared" si="3"/>
        <v>Ciências</v>
      </c>
    </row>
    <row r="102" spans="1:31" s="12" customFormat="1" ht="57.6" x14ac:dyDescent="0.3">
      <c r="A102" s="12" t="s">
        <v>157</v>
      </c>
      <c r="B102" s="18" t="s">
        <v>6</v>
      </c>
      <c r="C102" s="18" t="s">
        <v>7</v>
      </c>
      <c r="D102" s="18" t="s">
        <v>8</v>
      </c>
      <c r="E102" s="20">
        <v>71</v>
      </c>
      <c r="F102" s="20">
        <v>3</v>
      </c>
      <c r="G102" s="20">
        <v>3</v>
      </c>
      <c r="H102" s="20"/>
      <c r="I102" s="21" t="s">
        <v>13</v>
      </c>
      <c r="J102" s="21"/>
      <c r="K102" s="20"/>
      <c r="L102" s="20"/>
      <c r="M102" s="21"/>
      <c r="N102" s="21"/>
      <c r="O102" s="24" t="s">
        <v>158</v>
      </c>
      <c r="P102" s="24"/>
      <c r="Q102" s="20">
        <v>4</v>
      </c>
      <c r="R102" s="22">
        <v>45744</v>
      </c>
      <c r="S102" s="22">
        <v>45382</v>
      </c>
      <c r="T102" s="22"/>
      <c r="U102" s="22"/>
      <c r="V102" s="22">
        <v>45748</v>
      </c>
      <c r="W102" s="20" t="s">
        <v>11</v>
      </c>
      <c r="X102" s="4" t="str">
        <f>IF(Tabela2[[#This Row],[sigla]]="","",VLOOKUP(Tabela2[[#This Row],[sigla]],Tabela1[[#All],[Sigla Arte]:[Crédito]],2,0))</f>
        <v>HELOÍSA PINTARELLI/ARQUIVO DA EDITORA</v>
      </c>
      <c r="Y102" s="21" t="s">
        <v>159</v>
      </c>
      <c r="Z102" s="21" t="str">
        <f>Tabela2[[#This Row],[ilustrador]]</f>
        <v>HELOÍSA PINTARELLI/ARQUIVO DA EDITORA</v>
      </c>
      <c r="AA102" s="20">
        <v>13</v>
      </c>
      <c r="AB102" s="18" t="s">
        <v>17</v>
      </c>
      <c r="AC102" s="18" t="s">
        <v>18</v>
      </c>
      <c r="AD102" s="4" t="str">
        <f t="shared" si="2"/>
        <v>Plantar</v>
      </c>
      <c r="AE102" s="12" t="str">
        <f t="shared" si="3"/>
        <v>Ciências</v>
      </c>
    </row>
    <row r="103" spans="1:31" s="12" customFormat="1" ht="28.8" x14ac:dyDescent="0.3">
      <c r="A103" s="12" t="s">
        <v>218</v>
      </c>
      <c r="B103" s="18" t="s">
        <v>6</v>
      </c>
      <c r="C103" s="18" t="s">
        <v>7</v>
      </c>
      <c r="D103" s="18" t="s">
        <v>8</v>
      </c>
      <c r="E103" s="20">
        <v>67</v>
      </c>
      <c r="F103" s="20">
        <v>5</v>
      </c>
      <c r="G103" s="20">
        <v>3</v>
      </c>
      <c r="H103" s="20"/>
      <c r="I103" s="21" t="s">
        <v>13</v>
      </c>
      <c r="J103" s="21"/>
      <c r="K103" s="20"/>
      <c r="L103" s="20"/>
      <c r="M103" s="21"/>
      <c r="N103" s="21"/>
      <c r="O103" s="24" t="s">
        <v>219</v>
      </c>
      <c r="P103" s="24"/>
      <c r="Q103" s="20">
        <v>1</v>
      </c>
      <c r="R103" s="22">
        <v>45747</v>
      </c>
      <c r="S103" s="22">
        <v>45747</v>
      </c>
      <c r="T103" s="22"/>
      <c r="U103" s="22"/>
      <c r="V103" s="22">
        <v>45750</v>
      </c>
      <c r="W103" s="20" t="s">
        <v>11</v>
      </c>
      <c r="X103" s="4" t="str">
        <f>IF(Tabela2[[#This Row],[sigla]]="","",VLOOKUP(Tabela2[[#This Row],[sigla]],Tabela1[[#All],[Sigla Arte]:[Crédito]],2,0))</f>
        <v>HELOÍSA PINTARELLI/ARQUIVO DA EDITORA</v>
      </c>
      <c r="Y103" s="21" t="s">
        <v>220</v>
      </c>
      <c r="Z103" s="21" t="str">
        <f>Tabela2[[#This Row],[ilustrador]]</f>
        <v>HELOÍSA PINTARELLI/ARQUIVO DA EDITORA</v>
      </c>
      <c r="AA103" s="20">
        <v>14</v>
      </c>
      <c r="AB103" s="18"/>
      <c r="AC103" s="18" t="s">
        <v>18</v>
      </c>
      <c r="AD103" s="4" t="str">
        <f t="shared" si="2"/>
        <v>Plantar</v>
      </c>
      <c r="AE103" s="12" t="str">
        <f t="shared" si="3"/>
        <v>Ciências</v>
      </c>
    </row>
    <row r="104" spans="1:31" s="12" customFormat="1" ht="28.8" x14ac:dyDescent="0.3">
      <c r="A104" s="12" t="s">
        <v>160</v>
      </c>
      <c r="B104" s="18" t="s">
        <v>6</v>
      </c>
      <c r="C104" s="18" t="s">
        <v>7</v>
      </c>
      <c r="D104" s="18" t="s">
        <v>8</v>
      </c>
      <c r="E104" s="20">
        <v>71</v>
      </c>
      <c r="F104" s="20">
        <v>3</v>
      </c>
      <c r="G104" s="20">
        <v>3</v>
      </c>
      <c r="H104" s="20"/>
      <c r="I104" s="21" t="s">
        <v>13</v>
      </c>
      <c r="J104" s="21"/>
      <c r="K104" s="20"/>
      <c r="L104" s="20"/>
      <c r="M104" s="21"/>
      <c r="N104" s="21"/>
      <c r="O104" s="24" t="s">
        <v>161</v>
      </c>
      <c r="P104" s="24"/>
      <c r="Q104" s="20">
        <v>4</v>
      </c>
      <c r="R104" s="22">
        <v>45744</v>
      </c>
      <c r="S104" s="22">
        <v>45747</v>
      </c>
      <c r="T104" s="22"/>
      <c r="U104" s="22"/>
      <c r="V104" s="22">
        <v>45748</v>
      </c>
      <c r="W104" s="20" t="s">
        <v>11</v>
      </c>
      <c r="X104" s="4" t="str">
        <f>IF(Tabela2[[#This Row],[sigla]]="","",VLOOKUP(Tabela2[[#This Row],[sigla]],Tabela1[[#All],[Sigla Arte]:[Crédito]],2,0))</f>
        <v>HELOÍSA PINTARELLI/ARQUIVO DA EDITORA</v>
      </c>
      <c r="Y104" s="21" t="s">
        <v>159</v>
      </c>
      <c r="Z104" s="21" t="str">
        <f>Tabela2[[#This Row],[ilustrador]]</f>
        <v>HELOÍSA PINTARELLI/ARQUIVO DA EDITORA</v>
      </c>
      <c r="AA104" s="20">
        <v>13</v>
      </c>
      <c r="AB104" s="18" t="s">
        <v>17</v>
      </c>
      <c r="AC104" s="18" t="s">
        <v>18</v>
      </c>
      <c r="AD104" s="4" t="str">
        <f t="shared" si="2"/>
        <v>Plantar</v>
      </c>
      <c r="AE104" s="12" t="str">
        <f t="shared" si="3"/>
        <v>Ciências</v>
      </c>
    </row>
    <row r="105" spans="1:31" s="12" customFormat="1" ht="43.2" x14ac:dyDescent="0.3">
      <c r="A105" s="12" t="s">
        <v>221</v>
      </c>
      <c r="B105" s="18" t="s">
        <v>6</v>
      </c>
      <c r="C105" s="18" t="s">
        <v>7</v>
      </c>
      <c r="D105" s="18" t="s">
        <v>8</v>
      </c>
      <c r="E105" s="20">
        <v>67</v>
      </c>
      <c r="F105" s="20">
        <v>5</v>
      </c>
      <c r="G105" s="20">
        <v>3</v>
      </c>
      <c r="H105" s="20"/>
      <c r="I105" s="21" t="s">
        <v>13</v>
      </c>
      <c r="J105" s="21"/>
      <c r="K105" s="20"/>
      <c r="L105" s="20"/>
      <c r="M105" s="21"/>
      <c r="N105" s="21"/>
      <c r="O105" s="24" t="s">
        <v>222</v>
      </c>
      <c r="P105" s="24"/>
      <c r="Q105" s="20">
        <v>1</v>
      </c>
      <c r="R105" s="22">
        <v>45747</v>
      </c>
      <c r="S105" s="22">
        <v>45747</v>
      </c>
      <c r="T105" s="22"/>
      <c r="U105" s="22"/>
      <c r="V105" s="22">
        <v>45750</v>
      </c>
      <c r="W105" s="20" t="s">
        <v>11</v>
      </c>
      <c r="X105" s="4" t="str">
        <f>IF(Tabela2[[#This Row],[sigla]]="","",VLOOKUP(Tabela2[[#This Row],[sigla]],Tabela1[[#All],[Sigla Arte]:[Crédito]],2,0))</f>
        <v>HELOÍSA PINTARELLI/ARQUIVO DA EDITORA</v>
      </c>
      <c r="Y105" s="21" t="s">
        <v>220</v>
      </c>
      <c r="Z105" s="21" t="str">
        <f>Tabela2[[#This Row],[ilustrador]]</f>
        <v>HELOÍSA PINTARELLI/ARQUIVO DA EDITORA</v>
      </c>
      <c r="AA105" s="20">
        <v>14</v>
      </c>
      <c r="AB105" s="18"/>
      <c r="AC105" s="18" t="s">
        <v>18</v>
      </c>
      <c r="AD105" s="4" t="str">
        <f t="shared" si="2"/>
        <v>Plantar</v>
      </c>
      <c r="AE105" s="12" t="str">
        <f t="shared" si="3"/>
        <v>Ciências</v>
      </c>
    </row>
    <row r="106" spans="1:31" s="12" customFormat="1" ht="43.2" x14ac:dyDescent="0.3">
      <c r="A106" s="12" t="s">
        <v>162</v>
      </c>
      <c r="B106" s="18" t="s">
        <v>6</v>
      </c>
      <c r="C106" s="18" t="s">
        <v>7</v>
      </c>
      <c r="D106" s="18" t="s">
        <v>8</v>
      </c>
      <c r="E106" s="20">
        <v>75</v>
      </c>
      <c r="F106" s="20">
        <v>3</v>
      </c>
      <c r="G106" s="20">
        <v>3</v>
      </c>
      <c r="H106" s="20"/>
      <c r="I106" s="21" t="s">
        <v>9</v>
      </c>
      <c r="J106" s="21"/>
      <c r="K106" s="20"/>
      <c r="L106" s="20"/>
      <c r="M106" s="21"/>
      <c r="N106" s="21"/>
      <c r="O106" s="24" t="s">
        <v>163</v>
      </c>
      <c r="P106" s="24"/>
      <c r="Q106" s="20"/>
      <c r="R106" s="22"/>
      <c r="S106" s="22"/>
      <c r="T106" s="22"/>
      <c r="U106" s="22"/>
      <c r="V106" s="22"/>
      <c r="W106" s="20" t="s">
        <v>11</v>
      </c>
      <c r="X106" s="4" t="str">
        <f>IF(Tabela2[[#This Row],[sigla]]="","",VLOOKUP(Tabela2[[#This Row],[sigla]],Tabela1[[#All],[Sigla Arte]:[Crédito]],2,0))</f>
        <v>HELOÍSA PINTARELLI/ARQUIVO DA EDITORA</v>
      </c>
      <c r="Y106" s="21"/>
      <c r="Z106" s="21" t="str">
        <f>Tabela2[[#This Row],[ilustrador]]</f>
        <v>HELOÍSA PINTARELLI/ARQUIVO DA EDITORA</v>
      </c>
      <c r="AA106" s="20"/>
      <c r="AB106" s="18"/>
      <c r="AC106" s="18"/>
      <c r="AD106" s="4" t="str">
        <f t="shared" si="2"/>
        <v>Plantar</v>
      </c>
      <c r="AE106" s="12" t="str">
        <f t="shared" si="3"/>
        <v>Ciências</v>
      </c>
    </row>
    <row r="107" spans="1:31" s="12" customFormat="1" ht="28.8" x14ac:dyDescent="0.3">
      <c r="A107" s="12" t="s">
        <v>164</v>
      </c>
      <c r="B107" s="18" t="s">
        <v>6</v>
      </c>
      <c r="C107" s="18" t="s">
        <v>7</v>
      </c>
      <c r="D107" s="18" t="s">
        <v>8</v>
      </c>
      <c r="E107" s="20">
        <v>76</v>
      </c>
      <c r="F107" s="20">
        <v>3</v>
      </c>
      <c r="G107" s="20">
        <v>3</v>
      </c>
      <c r="H107" s="20"/>
      <c r="I107" s="21" t="s">
        <v>13</v>
      </c>
      <c r="J107" s="21"/>
      <c r="K107" s="20"/>
      <c r="L107" s="20"/>
      <c r="M107" s="21"/>
      <c r="N107" s="21"/>
      <c r="O107" s="24" t="s">
        <v>165</v>
      </c>
      <c r="P107" s="24"/>
      <c r="Q107" s="20">
        <v>4</v>
      </c>
      <c r="R107" s="22">
        <v>45744</v>
      </c>
      <c r="S107" s="22">
        <v>45747</v>
      </c>
      <c r="T107" s="22"/>
      <c r="U107" s="22"/>
      <c r="V107" s="22">
        <v>45748</v>
      </c>
      <c r="W107" s="20" t="s">
        <v>135</v>
      </c>
      <c r="X107" s="4" t="str">
        <f>IF(Tabela2[[#This Row],[sigla]]="","",VLOOKUP(Tabela2[[#This Row],[sigla]],Tabela1[[#All],[Sigla Arte]:[Crédito]],2,0))</f>
        <v>CARLITOS PINHEIRO/ARQUIVO DA EDITORA</v>
      </c>
      <c r="Y107" s="21" t="s">
        <v>159</v>
      </c>
      <c r="Z107" s="21" t="str">
        <f>Tabela2[[#This Row],[ilustrador]]</f>
        <v>CARLITOS PINHEIRO/ARQUIVO DA EDITORA</v>
      </c>
      <c r="AA107" s="20">
        <v>13</v>
      </c>
      <c r="AB107" s="18" t="s">
        <v>17</v>
      </c>
      <c r="AC107" s="18" t="s">
        <v>18</v>
      </c>
      <c r="AD107" s="4" t="str">
        <f t="shared" si="2"/>
        <v>Plantar</v>
      </c>
      <c r="AE107" s="12" t="str">
        <f t="shared" si="3"/>
        <v>Ciências</v>
      </c>
    </row>
    <row r="108" spans="1:31" s="12" customFormat="1" ht="43.2" x14ac:dyDescent="0.3">
      <c r="A108" s="12" t="s">
        <v>443</v>
      </c>
      <c r="B108" s="18" t="s">
        <v>6</v>
      </c>
      <c r="C108" s="18" t="s">
        <v>7</v>
      </c>
      <c r="D108" s="18" t="s">
        <v>8</v>
      </c>
      <c r="E108" s="20">
        <v>67</v>
      </c>
      <c r="F108" s="20">
        <v>4</v>
      </c>
      <c r="G108" s="20">
        <v>3</v>
      </c>
      <c r="H108" s="20"/>
      <c r="I108" s="21" t="s">
        <v>36</v>
      </c>
      <c r="J108" s="21"/>
      <c r="K108" s="20"/>
      <c r="L108" s="20"/>
      <c r="M108" s="21"/>
      <c r="N108" s="21"/>
      <c r="O108" s="24" t="s">
        <v>444</v>
      </c>
      <c r="P108" s="24"/>
      <c r="Q108" s="20">
        <v>7</v>
      </c>
      <c r="R108" s="22">
        <v>45770</v>
      </c>
      <c r="S108" s="22">
        <v>45770</v>
      </c>
      <c r="T108" s="22"/>
      <c r="U108" s="22"/>
      <c r="V108" s="22">
        <v>45771</v>
      </c>
      <c r="W108" s="20" t="s">
        <v>445</v>
      </c>
      <c r="X108" s="4" t="str">
        <f>IF(Tabela2[[#This Row],[sigla]]="","",VLOOKUP(Tabela2[[#This Row],[sigla]],Tabela1[[#All],[Sigla Arte]:[Crédito]],2,0))</f>
        <v>VINÍCIUS COSTA/ARQUIVO DA EDITORA</v>
      </c>
      <c r="Y108" s="21" t="s">
        <v>446</v>
      </c>
      <c r="Z108" s="21" t="str">
        <f>Tabela2[[#This Row],[ilustrador]]</f>
        <v>VINÍCIUS COSTA/ARQUIVO DA EDITORA</v>
      </c>
      <c r="AA108" s="20">
        <v>8</v>
      </c>
      <c r="AB108" s="18" t="s">
        <v>446</v>
      </c>
      <c r="AC108" s="18" t="s">
        <v>18</v>
      </c>
      <c r="AD108" s="4" t="str">
        <f t="shared" si="2"/>
        <v>Plantar</v>
      </c>
      <c r="AE108" s="12" t="str">
        <f t="shared" si="3"/>
        <v>Ciências</v>
      </c>
    </row>
    <row r="109" spans="1:31" s="12" customFormat="1" ht="43.2" x14ac:dyDescent="0.3">
      <c r="A109" s="12" t="s">
        <v>166</v>
      </c>
      <c r="B109" s="18" t="s">
        <v>6</v>
      </c>
      <c r="C109" s="18" t="s">
        <v>7</v>
      </c>
      <c r="D109" s="18" t="s">
        <v>8</v>
      </c>
      <c r="E109" s="20">
        <v>76</v>
      </c>
      <c r="F109" s="20">
        <v>3</v>
      </c>
      <c r="G109" s="20">
        <v>3</v>
      </c>
      <c r="H109" s="20"/>
      <c r="I109" s="21" t="s">
        <v>9</v>
      </c>
      <c r="J109" s="21"/>
      <c r="K109" s="20"/>
      <c r="L109" s="20"/>
      <c r="M109" s="21"/>
      <c r="N109" s="21"/>
      <c r="O109" s="24" t="s">
        <v>167</v>
      </c>
      <c r="P109" s="24"/>
      <c r="Q109" s="20"/>
      <c r="R109" s="22"/>
      <c r="S109" s="22"/>
      <c r="T109" s="22"/>
      <c r="U109" s="22"/>
      <c r="V109" s="22"/>
      <c r="W109" s="20" t="s">
        <v>135</v>
      </c>
      <c r="X109" s="4" t="str">
        <f>IF(Tabela2[[#This Row],[sigla]]="","",VLOOKUP(Tabela2[[#This Row],[sigla]],Tabela1[[#All],[Sigla Arte]:[Crédito]],2,0))</f>
        <v>CARLITOS PINHEIRO/ARQUIVO DA EDITORA</v>
      </c>
      <c r="Y109" s="21"/>
      <c r="Z109" s="21" t="str">
        <f>Tabela2[[#This Row],[ilustrador]]</f>
        <v>CARLITOS PINHEIRO/ARQUIVO DA EDITORA</v>
      </c>
      <c r="AA109" s="20"/>
      <c r="AB109" s="18"/>
      <c r="AC109" s="18"/>
      <c r="AD109" s="4" t="str">
        <f t="shared" si="2"/>
        <v>Plantar</v>
      </c>
      <c r="AE109" s="12" t="str">
        <f t="shared" si="3"/>
        <v>Ciências</v>
      </c>
    </row>
    <row r="110" spans="1:31" s="12" customFormat="1" ht="43.2" x14ac:dyDescent="0.3">
      <c r="A110" s="12" t="s">
        <v>447</v>
      </c>
      <c r="B110" s="18" t="s">
        <v>6</v>
      </c>
      <c r="C110" s="18" t="s">
        <v>7</v>
      </c>
      <c r="D110" s="18" t="s">
        <v>8</v>
      </c>
      <c r="E110" s="20">
        <v>67</v>
      </c>
      <c r="F110" s="20">
        <v>4</v>
      </c>
      <c r="G110" s="20">
        <v>3</v>
      </c>
      <c r="H110" s="20"/>
      <c r="I110" s="21" t="s">
        <v>36</v>
      </c>
      <c r="J110" s="21"/>
      <c r="K110" s="20"/>
      <c r="L110" s="20"/>
      <c r="M110" s="21"/>
      <c r="N110" s="21"/>
      <c r="O110" s="24" t="s">
        <v>448</v>
      </c>
      <c r="P110" s="24"/>
      <c r="Q110" s="20">
        <v>7</v>
      </c>
      <c r="R110" s="22">
        <v>45770</v>
      </c>
      <c r="S110" s="22">
        <v>45770</v>
      </c>
      <c r="T110" s="22"/>
      <c r="U110" s="22"/>
      <c r="V110" s="22">
        <v>45771</v>
      </c>
      <c r="W110" s="20" t="s">
        <v>445</v>
      </c>
      <c r="X110" s="4" t="str">
        <f>IF(Tabela2[[#This Row],[sigla]]="","",VLOOKUP(Tabela2[[#This Row],[sigla]],Tabela1[[#All],[Sigla Arte]:[Crédito]],2,0))</f>
        <v>VINÍCIUS COSTA/ARQUIVO DA EDITORA</v>
      </c>
      <c r="Y110" s="21" t="s">
        <v>446</v>
      </c>
      <c r="Z110" s="21" t="str">
        <f>Tabela2[[#This Row],[ilustrador]]</f>
        <v>VINÍCIUS COSTA/ARQUIVO DA EDITORA</v>
      </c>
      <c r="AA110" s="20">
        <v>8</v>
      </c>
      <c r="AB110" s="18" t="s">
        <v>446</v>
      </c>
      <c r="AC110" s="18" t="s">
        <v>18</v>
      </c>
      <c r="AD110" s="4" t="str">
        <f t="shared" si="2"/>
        <v>Plantar</v>
      </c>
      <c r="AE110" s="12" t="str">
        <f t="shared" si="3"/>
        <v>Ciências</v>
      </c>
    </row>
    <row r="111" spans="1:31" s="12" customFormat="1" ht="43.2" x14ac:dyDescent="0.3">
      <c r="A111" s="12" t="s">
        <v>168</v>
      </c>
      <c r="B111" s="18" t="s">
        <v>169</v>
      </c>
      <c r="C111" s="18" t="s">
        <v>7</v>
      </c>
      <c r="D111" s="18" t="s">
        <v>8</v>
      </c>
      <c r="E111" s="20">
        <v>78</v>
      </c>
      <c r="F111" s="20">
        <v>3</v>
      </c>
      <c r="G111" s="20">
        <v>3</v>
      </c>
      <c r="H111" s="20"/>
      <c r="I111" s="21" t="s">
        <v>9</v>
      </c>
      <c r="J111" s="21"/>
      <c r="K111" s="20"/>
      <c r="L111" s="20"/>
      <c r="M111" s="21"/>
      <c r="N111" s="21"/>
      <c r="O111" s="24" t="s">
        <v>170</v>
      </c>
      <c r="P111" s="24"/>
      <c r="Q111" s="20"/>
      <c r="R111" s="22"/>
      <c r="S111" s="22"/>
      <c r="T111" s="22"/>
      <c r="U111" s="22"/>
      <c r="V111" s="22"/>
      <c r="W111" s="20" t="s">
        <v>80</v>
      </c>
      <c r="X111" s="4" t="str">
        <f>IF(Tabela2[[#This Row],[sigla]]="","",VLOOKUP(Tabela2[[#This Row],[sigla]],Tabela1[[#All],[Sigla Arte]:[Crédito]],2,0))</f>
        <v>GUILHERME RODRIGUES/ARQUIVO DA EDITORA</v>
      </c>
      <c r="Y111" s="21"/>
      <c r="Z111" s="21" t="str">
        <f>Tabela2[[#This Row],[ilustrador]]</f>
        <v>GUILHERME RODRIGUES/ARQUIVO DA EDITORA</v>
      </c>
      <c r="AA111" s="20"/>
      <c r="AB111" s="18"/>
      <c r="AC111" s="18"/>
      <c r="AD111" s="4" t="str">
        <f t="shared" si="2"/>
        <v>Plantar</v>
      </c>
      <c r="AE111" s="12" t="str">
        <f t="shared" si="3"/>
        <v>Ciências</v>
      </c>
    </row>
    <row r="112" spans="1:31" s="12" customFormat="1" ht="28.8" x14ac:dyDescent="0.3">
      <c r="A112" s="12" t="s">
        <v>449</v>
      </c>
      <c r="B112" s="18" t="s">
        <v>6</v>
      </c>
      <c r="C112" s="18" t="s">
        <v>7</v>
      </c>
      <c r="D112" s="18" t="s">
        <v>8</v>
      </c>
      <c r="E112" s="20">
        <v>67</v>
      </c>
      <c r="F112" s="20">
        <v>4</v>
      </c>
      <c r="G112" s="20">
        <v>3</v>
      </c>
      <c r="H112" s="20"/>
      <c r="I112" s="21" t="s">
        <v>36</v>
      </c>
      <c r="J112" s="21"/>
      <c r="K112" s="20"/>
      <c r="L112" s="20"/>
      <c r="M112" s="21"/>
      <c r="N112" s="21"/>
      <c r="O112" s="24" t="s">
        <v>450</v>
      </c>
      <c r="P112" s="24"/>
      <c r="Q112" s="20">
        <v>7</v>
      </c>
      <c r="R112" s="22">
        <v>45770</v>
      </c>
      <c r="S112" s="22">
        <v>45770</v>
      </c>
      <c r="T112" s="22"/>
      <c r="U112" s="22"/>
      <c r="V112" s="22">
        <v>45771</v>
      </c>
      <c r="W112" s="20" t="s">
        <v>445</v>
      </c>
      <c r="X112" s="4" t="str">
        <f>IF(Tabela2[[#This Row],[sigla]]="","",VLOOKUP(Tabela2[[#This Row],[sigla]],Tabela1[[#All],[Sigla Arte]:[Crédito]],2,0))</f>
        <v>VINÍCIUS COSTA/ARQUIVO DA EDITORA</v>
      </c>
      <c r="Y112" s="21" t="s">
        <v>446</v>
      </c>
      <c r="Z112" s="21" t="str">
        <f>Tabela2[[#This Row],[ilustrador]]</f>
        <v>VINÍCIUS COSTA/ARQUIVO DA EDITORA</v>
      </c>
      <c r="AA112" s="20">
        <v>8</v>
      </c>
      <c r="AB112" s="18" t="s">
        <v>446</v>
      </c>
      <c r="AC112" s="18" t="s">
        <v>18</v>
      </c>
      <c r="AD112" s="4" t="str">
        <f t="shared" si="2"/>
        <v>Plantar</v>
      </c>
      <c r="AE112" s="12" t="str">
        <f t="shared" si="3"/>
        <v>Ciências</v>
      </c>
    </row>
    <row r="113" spans="1:31" s="12" customFormat="1" ht="57.6" x14ac:dyDescent="0.3">
      <c r="A113" s="12" t="s">
        <v>451</v>
      </c>
      <c r="B113" s="18" t="s">
        <v>6</v>
      </c>
      <c r="C113" s="18" t="s">
        <v>7</v>
      </c>
      <c r="D113" s="18" t="s">
        <v>8</v>
      </c>
      <c r="E113" s="20">
        <v>67</v>
      </c>
      <c r="F113" s="20">
        <v>4</v>
      </c>
      <c r="G113" s="20">
        <v>3</v>
      </c>
      <c r="H113" s="20"/>
      <c r="I113" s="21" t="s">
        <v>36</v>
      </c>
      <c r="J113" s="21"/>
      <c r="K113" s="20"/>
      <c r="L113" s="20"/>
      <c r="M113" s="21"/>
      <c r="N113" s="21"/>
      <c r="O113" s="24" t="s">
        <v>452</v>
      </c>
      <c r="P113" s="24"/>
      <c r="Q113" s="20">
        <v>7</v>
      </c>
      <c r="R113" s="22">
        <v>45770</v>
      </c>
      <c r="S113" s="22">
        <v>45770</v>
      </c>
      <c r="T113" s="22"/>
      <c r="U113" s="22"/>
      <c r="V113" s="22">
        <v>45771</v>
      </c>
      <c r="W113" s="20" t="s">
        <v>445</v>
      </c>
      <c r="X113" s="4" t="str">
        <f>IF(Tabela2[[#This Row],[sigla]]="","",VLOOKUP(Tabela2[[#This Row],[sigla]],Tabela1[[#All],[Sigla Arte]:[Crédito]],2,0))</f>
        <v>VINÍCIUS COSTA/ARQUIVO DA EDITORA</v>
      </c>
      <c r="Y113" s="21" t="s">
        <v>446</v>
      </c>
      <c r="Z113" s="21" t="str">
        <f>Tabela2[[#This Row],[ilustrador]]</f>
        <v>VINÍCIUS COSTA/ARQUIVO DA EDITORA</v>
      </c>
      <c r="AA113" s="20">
        <v>8</v>
      </c>
      <c r="AB113" s="18" t="s">
        <v>446</v>
      </c>
      <c r="AC113" s="18" t="s">
        <v>18</v>
      </c>
      <c r="AD113" s="4" t="str">
        <f t="shared" si="2"/>
        <v>Plantar</v>
      </c>
      <c r="AE113" s="12" t="str">
        <f t="shared" si="3"/>
        <v>Ciências</v>
      </c>
    </row>
    <row r="114" spans="1:31" s="12" customFormat="1" ht="72" x14ac:dyDescent="0.3">
      <c r="A114" s="12" t="s">
        <v>171</v>
      </c>
      <c r="B114" s="18" t="s">
        <v>6</v>
      </c>
      <c r="C114" s="18" t="s">
        <v>7</v>
      </c>
      <c r="D114" s="18" t="s">
        <v>8</v>
      </c>
      <c r="E114" s="20">
        <v>80</v>
      </c>
      <c r="F114" s="20">
        <v>3</v>
      </c>
      <c r="G114" s="20">
        <v>3</v>
      </c>
      <c r="H114" s="20"/>
      <c r="I114" s="21" t="s">
        <v>13</v>
      </c>
      <c r="J114" s="21"/>
      <c r="K114" s="20"/>
      <c r="L114" s="20"/>
      <c r="M114" s="21"/>
      <c r="N114" s="21"/>
      <c r="O114" s="24" t="s">
        <v>172</v>
      </c>
      <c r="P114" s="24"/>
      <c r="Q114" s="20">
        <v>4</v>
      </c>
      <c r="R114" s="22">
        <v>45744</v>
      </c>
      <c r="S114" s="22">
        <v>45747</v>
      </c>
      <c r="T114" s="22"/>
      <c r="U114" s="22"/>
      <c r="V114" s="22">
        <v>45748</v>
      </c>
      <c r="W114" s="20" t="s">
        <v>22</v>
      </c>
      <c r="X114" s="4" t="str">
        <f>IF(Tabela2[[#This Row],[sigla]]="","",VLOOKUP(Tabela2[[#This Row],[sigla]],Tabela1[[#All],[Sigla Arte]:[Crédito]],2,0))</f>
        <v>MÁRCIO GUERRA/ARQUIVO DA EDITORA</v>
      </c>
      <c r="Y114" s="21" t="s">
        <v>159</v>
      </c>
      <c r="Z114" s="21" t="str">
        <f>Tabela2[[#This Row],[ilustrador]]</f>
        <v>MÁRCIO GUERRA/ARQUIVO DA EDITORA</v>
      </c>
      <c r="AA114" s="20">
        <v>13</v>
      </c>
      <c r="AB114" s="18" t="s">
        <v>173</v>
      </c>
      <c r="AC114" s="18" t="s">
        <v>18</v>
      </c>
      <c r="AD114" s="4" t="str">
        <f t="shared" si="2"/>
        <v>Plantar</v>
      </c>
      <c r="AE114" s="12" t="str">
        <f t="shared" si="3"/>
        <v>Ciências</v>
      </c>
    </row>
    <row r="115" spans="1:31" s="12" customFormat="1" ht="43.2" x14ac:dyDescent="0.3">
      <c r="A115" s="12" t="s">
        <v>528</v>
      </c>
      <c r="B115" s="18" t="s">
        <v>6</v>
      </c>
      <c r="C115" s="18" t="s">
        <v>7</v>
      </c>
      <c r="D115" s="18" t="s">
        <v>8</v>
      </c>
      <c r="E115" s="20">
        <v>80</v>
      </c>
      <c r="F115" s="20">
        <v>5</v>
      </c>
      <c r="G115" s="20">
        <v>3</v>
      </c>
      <c r="H115" s="20"/>
      <c r="I115" s="21" t="s">
        <v>9</v>
      </c>
      <c r="J115" s="21"/>
      <c r="K115" s="20"/>
      <c r="L115" s="20"/>
      <c r="M115" s="21"/>
      <c r="N115" s="21"/>
      <c r="O115" s="24" t="s">
        <v>529</v>
      </c>
      <c r="P115" s="24"/>
      <c r="Q115" s="20"/>
      <c r="R115" s="22"/>
      <c r="S115" s="22"/>
      <c r="T115" s="22"/>
      <c r="U115" s="22"/>
      <c r="V115" s="22"/>
      <c r="W115" s="20" t="s">
        <v>135</v>
      </c>
      <c r="X115" s="4" t="str">
        <f>IF(Tabela2[[#This Row],[sigla]]="","",VLOOKUP(Tabela2[[#This Row],[sigla]],Tabela1[[#All],[Sigla Arte]:[Crédito]],2,0))</f>
        <v>CARLITOS PINHEIRO/ARQUIVO DA EDITORA</v>
      </c>
      <c r="Y115" s="21"/>
      <c r="Z115" s="21" t="str">
        <f>Tabela2[[#This Row],[ilustrador]]</f>
        <v>CARLITOS PINHEIRO/ARQUIVO DA EDITORA</v>
      </c>
      <c r="AA115" s="20"/>
      <c r="AB115" s="18"/>
      <c r="AC115" s="18"/>
      <c r="AD115" s="4" t="str">
        <f t="shared" si="2"/>
        <v>Plantar</v>
      </c>
      <c r="AE115" s="12" t="str">
        <f t="shared" si="3"/>
        <v>Ciências</v>
      </c>
    </row>
    <row r="116" spans="1:31" s="12" customFormat="1" ht="28.8" x14ac:dyDescent="0.3">
      <c r="A116" s="12" t="s">
        <v>530</v>
      </c>
      <c r="B116" s="18" t="s">
        <v>6</v>
      </c>
      <c r="C116" s="18" t="s">
        <v>7</v>
      </c>
      <c r="D116" s="18" t="s">
        <v>8</v>
      </c>
      <c r="E116" s="20">
        <v>80</v>
      </c>
      <c r="F116" s="20">
        <v>5</v>
      </c>
      <c r="G116" s="20">
        <v>3</v>
      </c>
      <c r="H116" s="20"/>
      <c r="I116" s="21" t="s">
        <v>9</v>
      </c>
      <c r="J116" s="21"/>
      <c r="K116" s="20"/>
      <c r="L116" s="20"/>
      <c r="M116" s="21"/>
      <c r="N116" s="21"/>
      <c r="O116" s="24" t="s">
        <v>531</v>
      </c>
      <c r="P116" s="24"/>
      <c r="Q116" s="20"/>
      <c r="R116" s="22"/>
      <c r="S116" s="22"/>
      <c r="T116" s="22"/>
      <c r="U116" s="22"/>
      <c r="V116" s="22"/>
      <c r="W116" s="20" t="s">
        <v>135</v>
      </c>
      <c r="X116" s="4" t="str">
        <f>IF(Tabela2[[#This Row],[sigla]]="","",VLOOKUP(Tabela2[[#This Row],[sigla]],Tabela1[[#All],[Sigla Arte]:[Crédito]],2,0))</f>
        <v>CARLITOS PINHEIRO/ARQUIVO DA EDITORA</v>
      </c>
      <c r="Y116" s="21"/>
      <c r="Z116" s="21" t="str">
        <f>Tabela2[[#This Row],[ilustrador]]</f>
        <v>CARLITOS PINHEIRO/ARQUIVO DA EDITORA</v>
      </c>
      <c r="AA116" s="20"/>
      <c r="AB116" s="18"/>
      <c r="AC116" s="18"/>
      <c r="AD116" s="4" t="str">
        <f t="shared" si="2"/>
        <v>Plantar</v>
      </c>
      <c r="AE116" s="12" t="str">
        <f t="shared" si="3"/>
        <v>Ciências</v>
      </c>
    </row>
    <row r="117" spans="1:31" s="12" customFormat="1" ht="57.6" x14ac:dyDescent="0.3">
      <c r="A117" s="12" t="s">
        <v>174</v>
      </c>
      <c r="B117" s="18" t="s">
        <v>6</v>
      </c>
      <c r="C117" s="18" t="s">
        <v>7</v>
      </c>
      <c r="D117" s="18" t="s">
        <v>8</v>
      </c>
      <c r="E117" s="20">
        <v>83</v>
      </c>
      <c r="F117" s="20">
        <v>3</v>
      </c>
      <c r="G117" s="20">
        <v>3</v>
      </c>
      <c r="H117" s="20"/>
      <c r="I117" s="21" t="s">
        <v>9</v>
      </c>
      <c r="J117" s="21"/>
      <c r="K117" s="20"/>
      <c r="L117" s="20"/>
      <c r="M117" s="21"/>
      <c r="N117" s="21"/>
      <c r="O117" s="24" t="s">
        <v>175</v>
      </c>
      <c r="P117" s="24"/>
      <c r="Q117" s="20"/>
      <c r="R117" s="22"/>
      <c r="S117" s="22"/>
      <c r="T117" s="22"/>
      <c r="U117" s="22"/>
      <c r="V117" s="22"/>
      <c r="W117" s="20" t="s">
        <v>11</v>
      </c>
      <c r="X117" s="4" t="str">
        <f>IF(Tabela2[[#This Row],[sigla]]="","",VLOOKUP(Tabela2[[#This Row],[sigla]],Tabela1[[#All],[Sigla Arte]:[Crédito]],2,0))</f>
        <v>HELOÍSA PINTARELLI/ARQUIVO DA EDITORA</v>
      </c>
      <c r="Y117" s="21"/>
      <c r="Z117" s="21" t="str">
        <f>Tabela2[[#This Row],[ilustrador]]</f>
        <v>HELOÍSA PINTARELLI/ARQUIVO DA EDITORA</v>
      </c>
      <c r="AA117" s="20"/>
      <c r="AB117" s="18"/>
      <c r="AC117" s="18"/>
      <c r="AD117" s="4" t="str">
        <f t="shared" si="2"/>
        <v>Plantar</v>
      </c>
      <c r="AE117" s="12" t="str">
        <f t="shared" si="3"/>
        <v>Ciências</v>
      </c>
    </row>
    <row r="118" spans="1:31" s="12" customFormat="1" ht="57.6" x14ac:dyDescent="0.3">
      <c r="A118" s="12" t="s">
        <v>176</v>
      </c>
      <c r="B118" s="18" t="s">
        <v>6</v>
      </c>
      <c r="C118" s="18" t="s">
        <v>7</v>
      </c>
      <c r="D118" s="18" t="s">
        <v>8</v>
      </c>
      <c r="E118" s="20">
        <v>83</v>
      </c>
      <c r="F118" s="20">
        <v>3</v>
      </c>
      <c r="G118" s="20">
        <v>3</v>
      </c>
      <c r="H118" s="20"/>
      <c r="I118" s="21" t="s">
        <v>9</v>
      </c>
      <c r="J118" s="21"/>
      <c r="K118" s="20"/>
      <c r="L118" s="20"/>
      <c r="M118" s="21"/>
      <c r="N118" s="21"/>
      <c r="O118" s="24" t="s">
        <v>177</v>
      </c>
      <c r="P118" s="24"/>
      <c r="Q118" s="20"/>
      <c r="R118" s="22"/>
      <c r="S118" s="22"/>
      <c r="T118" s="22"/>
      <c r="U118" s="22"/>
      <c r="V118" s="22"/>
      <c r="W118" s="20" t="s">
        <v>11</v>
      </c>
      <c r="X118" s="4" t="str">
        <f>IF(Tabela2[[#This Row],[sigla]]="","",VLOOKUP(Tabela2[[#This Row],[sigla]],Tabela1[[#All],[Sigla Arte]:[Crédito]],2,0))</f>
        <v>HELOÍSA PINTARELLI/ARQUIVO DA EDITORA</v>
      </c>
      <c r="Y118" s="21"/>
      <c r="Z118" s="21" t="str">
        <f>Tabela2[[#This Row],[ilustrador]]</f>
        <v>HELOÍSA PINTARELLI/ARQUIVO DA EDITORA</v>
      </c>
      <c r="AA118" s="20"/>
      <c r="AB118" s="18"/>
      <c r="AC118" s="18"/>
      <c r="AD118" s="4" t="str">
        <f t="shared" si="2"/>
        <v>Plantar</v>
      </c>
      <c r="AE118" s="12" t="str">
        <f t="shared" si="3"/>
        <v>Ciências</v>
      </c>
    </row>
    <row r="119" spans="1:31" s="12" customFormat="1" ht="43.2" x14ac:dyDescent="0.3">
      <c r="A119" s="12" t="s">
        <v>178</v>
      </c>
      <c r="B119" s="18" t="s">
        <v>6</v>
      </c>
      <c r="C119" s="18" t="s">
        <v>7</v>
      </c>
      <c r="D119" s="18" t="s">
        <v>8</v>
      </c>
      <c r="E119" s="20">
        <v>84</v>
      </c>
      <c r="F119" s="20">
        <v>3</v>
      </c>
      <c r="G119" s="20">
        <v>3</v>
      </c>
      <c r="H119" s="20"/>
      <c r="I119" s="21" t="s">
        <v>13</v>
      </c>
      <c r="J119" s="21"/>
      <c r="K119" s="20"/>
      <c r="L119" s="20"/>
      <c r="M119" s="21"/>
      <c r="N119" s="21"/>
      <c r="O119" s="24" t="s">
        <v>179</v>
      </c>
      <c r="P119" s="24"/>
      <c r="Q119" s="20">
        <v>4</v>
      </c>
      <c r="R119" s="22">
        <v>45744</v>
      </c>
      <c r="S119" s="22">
        <v>45747</v>
      </c>
      <c r="T119" s="22"/>
      <c r="U119" s="22"/>
      <c r="V119" s="22">
        <v>45748</v>
      </c>
      <c r="W119" s="20" t="s">
        <v>22</v>
      </c>
      <c r="X119" s="4" t="str">
        <f>IF(Tabela2[[#This Row],[sigla]]="","",VLOOKUP(Tabela2[[#This Row],[sigla]],Tabela1[[#All],[Sigla Arte]:[Crédito]],2,0))</f>
        <v>MÁRCIO GUERRA/ARQUIVO DA EDITORA</v>
      </c>
      <c r="Y119" s="21" t="s">
        <v>159</v>
      </c>
      <c r="Z119" s="21" t="str">
        <f>Tabela2[[#This Row],[ilustrador]]</f>
        <v>MÁRCIO GUERRA/ARQUIVO DA EDITORA</v>
      </c>
      <c r="AA119" s="20">
        <v>13</v>
      </c>
      <c r="AB119" s="18" t="s">
        <v>17</v>
      </c>
      <c r="AC119" s="18" t="s">
        <v>18</v>
      </c>
      <c r="AD119" s="4" t="str">
        <f t="shared" si="2"/>
        <v>Plantar</v>
      </c>
      <c r="AE119" s="12" t="str">
        <f t="shared" si="3"/>
        <v>Ciências</v>
      </c>
    </row>
    <row r="120" spans="1:31" s="12" customFormat="1" ht="57.6" x14ac:dyDescent="0.3">
      <c r="A120" s="12" t="s">
        <v>180</v>
      </c>
      <c r="B120" s="18" t="s">
        <v>6</v>
      </c>
      <c r="C120" s="18" t="s">
        <v>7</v>
      </c>
      <c r="D120" s="18" t="s">
        <v>8</v>
      </c>
      <c r="E120" s="20">
        <v>85</v>
      </c>
      <c r="F120" s="20">
        <v>3</v>
      </c>
      <c r="G120" s="20">
        <v>3</v>
      </c>
      <c r="H120" s="20"/>
      <c r="I120" s="21" t="s">
        <v>13</v>
      </c>
      <c r="J120" s="21"/>
      <c r="K120" s="20"/>
      <c r="L120" s="20"/>
      <c r="M120" s="21"/>
      <c r="N120" s="21"/>
      <c r="O120" s="24" t="s">
        <v>181</v>
      </c>
      <c r="P120" s="24"/>
      <c r="Q120" s="20">
        <v>4</v>
      </c>
      <c r="R120" s="22">
        <v>45744</v>
      </c>
      <c r="S120" s="22">
        <v>45747</v>
      </c>
      <c r="T120" s="22"/>
      <c r="U120" s="22"/>
      <c r="V120" s="22">
        <v>45748</v>
      </c>
      <c r="W120" s="20" t="s">
        <v>22</v>
      </c>
      <c r="X120" s="4" t="str">
        <f>IF(Tabela2[[#This Row],[sigla]]="","",VLOOKUP(Tabela2[[#This Row],[sigla]],Tabela1[[#All],[Sigla Arte]:[Crédito]],2,0))</f>
        <v>MÁRCIO GUERRA/ARQUIVO DA EDITORA</v>
      </c>
      <c r="Y120" s="21" t="s">
        <v>159</v>
      </c>
      <c r="Z120" s="21" t="str">
        <f>Tabela2[[#This Row],[ilustrador]]</f>
        <v>MÁRCIO GUERRA/ARQUIVO DA EDITORA</v>
      </c>
      <c r="AA120" s="20">
        <v>13</v>
      </c>
      <c r="AB120" s="18" t="s">
        <v>17</v>
      </c>
      <c r="AC120" s="18" t="s">
        <v>18</v>
      </c>
      <c r="AD120" s="4" t="str">
        <f t="shared" si="2"/>
        <v>Plantar</v>
      </c>
      <c r="AE120" s="12" t="str">
        <f t="shared" si="3"/>
        <v>Ciências</v>
      </c>
    </row>
    <row r="121" spans="1:31" s="12" customFormat="1" ht="28.8" x14ac:dyDescent="0.3">
      <c r="A121" s="12" t="s">
        <v>182</v>
      </c>
      <c r="B121" s="18" t="s">
        <v>6</v>
      </c>
      <c r="C121" s="18" t="s">
        <v>7</v>
      </c>
      <c r="D121" s="18" t="s">
        <v>8</v>
      </c>
      <c r="E121" s="20">
        <v>85</v>
      </c>
      <c r="F121" s="20">
        <v>3</v>
      </c>
      <c r="G121" s="20">
        <v>3</v>
      </c>
      <c r="H121" s="20"/>
      <c r="I121" s="21" t="s">
        <v>9</v>
      </c>
      <c r="J121" s="21"/>
      <c r="K121" s="20"/>
      <c r="L121" s="20"/>
      <c r="M121" s="21"/>
      <c r="N121" s="21"/>
      <c r="O121" s="24" t="s">
        <v>183</v>
      </c>
      <c r="P121" s="24"/>
      <c r="Q121" s="20"/>
      <c r="R121" s="22"/>
      <c r="S121" s="22"/>
      <c r="T121" s="22"/>
      <c r="U121" s="22"/>
      <c r="V121" s="22"/>
      <c r="W121" s="20" t="s">
        <v>22</v>
      </c>
      <c r="X121" s="4" t="str">
        <f>IF(Tabela2[[#This Row],[sigla]]="","",VLOOKUP(Tabela2[[#This Row],[sigla]],Tabela1[[#All],[Sigla Arte]:[Crédito]],2,0))</f>
        <v>MÁRCIO GUERRA/ARQUIVO DA EDITORA</v>
      </c>
      <c r="Y121" s="21"/>
      <c r="Z121" s="21" t="str">
        <f>Tabela2[[#This Row],[ilustrador]]</f>
        <v>MÁRCIO GUERRA/ARQUIVO DA EDITORA</v>
      </c>
      <c r="AA121" s="20"/>
      <c r="AB121" s="18"/>
      <c r="AC121" s="18"/>
      <c r="AD121" s="4" t="str">
        <f t="shared" si="2"/>
        <v>Plantar</v>
      </c>
      <c r="AE121" s="12" t="str">
        <f t="shared" si="3"/>
        <v>Ciências</v>
      </c>
    </row>
    <row r="122" spans="1:31" s="12" customFormat="1" ht="28.8" x14ac:dyDescent="0.3">
      <c r="A122" s="12" t="s">
        <v>184</v>
      </c>
      <c r="B122" s="18" t="s">
        <v>6</v>
      </c>
      <c r="C122" s="18" t="s">
        <v>7</v>
      </c>
      <c r="D122" s="18" t="s">
        <v>8</v>
      </c>
      <c r="E122" s="20">
        <v>85</v>
      </c>
      <c r="F122" s="20">
        <v>3</v>
      </c>
      <c r="G122" s="20">
        <v>3</v>
      </c>
      <c r="H122" s="20"/>
      <c r="I122" s="21" t="s">
        <v>13</v>
      </c>
      <c r="J122" s="21"/>
      <c r="K122" s="20"/>
      <c r="L122" s="20"/>
      <c r="M122" s="21"/>
      <c r="N122" s="21"/>
      <c r="O122" s="24" t="s">
        <v>185</v>
      </c>
      <c r="P122" s="24"/>
      <c r="Q122" s="20">
        <v>4</v>
      </c>
      <c r="R122" s="22">
        <v>45744</v>
      </c>
      <c r="S122" s="22">
        <v>45747</v>
      </c>
      <c r="T122" s="22"/>
      <c r="U122" s="22"/>
      <c r="V122" s="22">
        <v>45748</v>
      </c>
      <c r="W122" s="20" t="s">
        <v>22</v>
      </c>
      <c r="X122" s="4" t="str">
        <f>IF(Tabela2[[#This Row],[sigla]]="","",VLOOKUP(Tabela2[[#This Row],[sigla]],Tabela1[[#All],[Sigla Arte]:[Crédito]],2,0))</f>
        <v>MÁRCIO GUERRA/ARQUIVO DA EDITORA</v>
      </c>
      <c r="Y122" s="21" t="s">
        <v>159</v>
      </c>
      <c r="Z122" s="21" t="str">
        <f>Tabela2[[#This Row],[ilustrador]]</f>
        <v>MÁRCIO GUERRA/ARQUIVO DA EDITORA</v>
      </c>
      <c r="AA122" s="20">
        <v>13</v>
      </c>
      <c r="AB122" s="18" t="s">
        <v>17</v>
      </c>
      <c r="AC122" s="18" t="s">
        <v>18</v>
      </c>
      <c r="AD122" s="4" t="str">
        <f t="shared" si="2"/>
        <v>Plantar</v>
      </c>
      <c r="AE122" s="12" t="str">
        <f t="shared" si="3"/>
        <v>Ciências</v>
      </c>
    </row>
    <row r="123" spans="1:31" s="12" customFormat="1" ht="43.2" x14ac:dyDescent="0.3">
      <c r="A123" s="12" t="s">
        <v>186</v>
      </c>
      <c r="B123" s="18" t="s">
        <v>6</v>
      </c>
      <c r="C123" s="18" t="s">
        <v>7</v>
      </c>
      <c r="D123" s="18" t="s">
        <v>8</v>
      </c>
      <c r="E123" s="20">
        <v>85</v>
      </c>
      <c r="F123" s="20">
        <v>3</v>
      </c>
      <c r="G123" s="20">
        <v>3</v>
      </c>
      <c r="H123" s="20"/>
      <c r="I123" s="21" t="s">
        <v>9</v>
      </c>
      <c r="J123" s="21"/>
      <c r="K123" s="20"/>
      <c r="L123" s="20"/>
      <c r="M123" s="21"/>
      <c r="N123" s="21"/>
      <c r="O123" s="24" t="s">
        <v>187</v>
      </c>
      <c r="P123" s="24"/>
      <c r="Q123" s="20"/>
      <c r="R123" s="22"/>
      <c r="S123" s="22"/>
      <c r="T123" s="22"/>
      <c r="U123" s="22"/>
      <c r="V123" s="22"/>
      <c r="W123" s="20" t="s">
        <v>22</v>
      </c>
      <c r="X123" s="4" t="str">
        <f>IF(Tabela2[[#This Row],[sigla]]="","",VLOOKUP(Tabela2[[#This Row],[sigla]],Tabela1[[#All],[Sigla Arte]:[Crédito]],2,0))</f>
        <v>MÁRCIO GUERRA/ARQUIVO DA EDITORA</v>
      </c>
      <c r="Y123" s="21"/>
      <c r="Z123" s="21" t="str">
        <f>Tabela2[[#This Row],[ilustrador]]</f>
        <v>MÁRCIO GUERRA/ARQUIVO DA EDITORA</v>
      </c>
      <c r="AA123" s="20"/>
      <c r="AB123" s="18"/>
      <c r="AC123" s="18"/>
      <c r="AD123" s="4" t="str">
        <f t="shared" si="2"/>
        <v>Plantar</v>
      </c>
      <c r="AE123" s="12" t="str">
        <f t="shared" si="3"/>
        <v>Ciências</v>
      </c>
    </row>
    <row r="124" spans="1:31" s="12" customFormat="1" ht="100.8" x14ac:dyDescent="0.3">
      <c r="A124" s="12" t="s">
        <v>188</v>
      </c>
      <c r="B124" s="18" t="s">
        <v>6</v>
      </c>
      <c r="C124" s="18" t="s">
        <v>7</v>
      </c>
      <c r="D124" s="18" t="s">
        <v>8</v>
      </c>
      <c r="E124" s="20">
        <v>86</v>
      </c>
      <c r="F124" s="20">
        <v>3</v>
      </c>
      <c r="G124" s="20">
        <v>3</v>
      </c>
      <c r="H124" s="20"/>
      <c r="I124" s="21" t="s">
        <v>13</v>
      </c>
      <c r="J124" s="21"/>
      <c r="K124" s="20"/>
      <c r="L124" s="20"/>
      <c r="M124" s="21"/>
      <c r="N124" s="21"/>
      <c r="O124" s="24" t="s">
        <v>189</v>
      </c>
      <c r="P124" s="24"/>
      <c r="Q124" s="20">
        <v>4</v>
      </c>
      <c r="R124" s="22">
        <v>45744</v>
      </c>
      <c r="S124" s="22">
        <v>45747</v>
      </c>
      <c r="T124" s="22"/>
      <c r="U124" s="22"/>
      <c r="V124" s="22">
        <v>45748</v>
      </c>
      <c r="W124" s="20" t="s">
        <v>22</v>
      </c>
      <c r="X124" s="4" t="str">
        <f>IF(Tabela2[[#This Row],[sigla]]="","",VLOOKUP(Tabela2[[#This Row],[sigla]],Tabela1[[#All],[Sigla Arte]:[Crédito]],2,0))</f>
        <v>MÁRCIO GUERRA/ARQUIVO DA EDITORA</v>
      </c>
      <c r="Y124" s="21" t="s">
        <v>159</v>
      </c>
      <c r="Z124" s="21" t="str">
        <f>Tabela2[[#This Row],[ilustrador]]</f>
        <v>MÁRCIO GUERRA/ARQUIVO DA EDITORA</v>
      </c>
      <c r="AA124" s="20">
        <v>13</v>
      </c>
      <c r="AB124" s="18" t="s">
        <v>17</v>
      </c>
      <c r="AC124" s="18" t="s">
        <v>18</v>
      </c>
      <c r="AD124" s="4" t="str">
        <f t="shared" si="2"/>
        <v>Plantar</v>
      </c>
      <c r="AE124" s="12" t="str">
        <f t="shared" si="3"/>
        <v>Ciências</v>
      </c>
    </row>
    <row r="125" spans="1:31" s="12" customFormat="1" ht="43.2" x14ac:dyDescent="0.3">
      <c r="A125" s="12" t="s">
        <v>453</v>
      </c>
      <c r="B125" s="18" t="s">
        <v>6</v>
      </c>
      <c r="C125" s="18" t="s">
        <v>7</v>
      </c>
      <c r="D125" s="18" t="s">
        <v>8</v>
      </c>
      <c r="E125" s="20">
        <v>76</v>
      </c>
      <c r="F125" s="20">
        <v>4</v>
      </c>
      <c r="G125" s="20">
        <v>3</v>
      </c>
      <c r="H125" s="20"/>
      <c r="I125" s="21" t="s">
        <v>13</v>
      </c>
      <c r="J125" s="21"/>
      <c r="K125" s="20"/>
      <c r="L125" s="20"/>
      <c r="M125" s="21"/>
      <c r="N125" s="21"/>
      <c r="O125" s="24" t="s">
        <v>454</v>
      </c>
      <c r="P125" s="24"/>
      <c r="Q125" s="20">
        <v>7</v>
      </c>
      <c r="R125" s="22">
        <v>45770</v>
      </c>
      <c r="S125" s="22">
        <v>45770</v>
      </c>
      <c r="T125" s="22"/>
      <c r="U125" s="22"/>
      <c r="V125" s="22">
        <v>45771</v>
      </c>
      <c r="W125" s="20" t="s">
        <v>22</v>
      </c>
      <c r="X125" s="4" t="str">
        <f>IF(Tabela2[[#This Row],[sigla]]="","",VLOOKUP(Tabela2[[#This Row],[sigla]],Tabela1[[#All],[Sigla Arte]:[Crédito]],2,0))</f>
        <v>MÁRCIO GUERRA/ARQUIVO DA EDITORA</v>
      </c>
      <c r="Y125" s="21" t="s">
        <v>455</v>
      </c>
      <c r="Z125" s="21" t="str">
        <f>Tabela2[[#This Row],[ilustrador]]</f>
        <v>MÁRCIO GUERRA/ARQUIVO DA EDITORA</v>
      </c>
      <c r="AA125" s="20">
        <v>14</v>
      </c>
      <c r="AB125" s="18" t="s">
        <v>17</v>
      </c>
      <c r="AC125" s="18" t="s">
        <v>18</v>
      </c>
      <c r="AD125" s="4" t="str">
        <f t="shared" si="2"/>
        <v>Plantar</v>
      </c>
      <c r="AE125" s="12" t="str">
        <f t="shared" si="3"/>
        <v>Ciências</v>
      </c>
    </row>
    <row r="126" spans="1:31" s="12" customFormat="1" ht="43.2" x14ac:dyDescent="0.3">
      <c r="A126" s="12" t="s">
        <v>223</v>
      </c>
      <c r="B126" s="18" t="s">
        <v>169</v>
      </c>
      <c r="C126" s="18" t="s">
        <v>7</v>
      </c>
      <c r="D126" s="18" t="s">
        <v>8</v>
      </c>
      <c r="E126" s="20"/>
      <c r="F126" s="20">
        <v>5</v>
      </c>
      <c r="G126" s="20">
        <v>3</v>
      </c>
      <c r="H126" s="20"/>
      <c r="I126" s="21" t="s">
        <v>13</v>
      </c>
      <c r="J126" s="21"/>
      <c r="K126" s="20"/>
      <c r="L126" s="20"/>
      <c r="M126" s="21"/>
      <c r="N126" s="21"/>
      <c r="O126" s="24" t="s">
        <v>224</v>
      </c>
      <c r="P126" s="24"/>
      <c r="Q126" s="20">
        <v>1</v>
      </c>
      <c r="R126" s="22">
        <v>45747</v>
      </c>
      <c r="S126" s="22">
        <v>45747</v>
      </c>
      <c r="T126" s="22"/>
      <c r="U126" s="22"/>
      <c r="V126" s="22">
        <v>45750</v>
      </c>
      <c r="W126" s="20" t="s">
        <v>225</v>
      </c>
      <c r="X126" s="4" t="str">
        <f>IF(Tabela2[[#This Row],[sigla]]="","",VLOOKUP(Tabela2[[#This Row],[sigla]],Tabela1[[#All],[Sigla Arte]:[Crédito]],2,0))</f>
        <v>KATHARINE FROTA/ARQUIVO DA EDITORA</v>
      </c>
      <c r="Y126" s="21" t="s">
        <v>220</v>
      </c>
      <c r="Z126" s="21" t="str">
        <f>Tabela2[[#This Row],[ilustrador]]</f>
        <v>KATHARINE FROTA/ARQUIVO DA EDITORA</v>
      </c>
      <c r="AA126" s="20">
        <v>14</v>
      </c>
      <c r="AB126" s="18"/>
      <c r="AC126" s="18" t="s">
        <v>18</v>
      </c>
      <c r="AD126" s="4" t="str">
        <f t="shared" si="2"/>
        <v>Plantar</v>
      </c>
      <c r="AE126" s="12" t="str">
        <f t="shared" si="3"/>
        <v>Ciências</v>
      </c>
    </row>
    <row r="127" spans="1:31" s="12" customFormat="1" ht="57.6" x14ac:dyDescent="0.3">
      <c r="A127" s="12" t="s">
        <v>190</v>
      </c>
      <c r="B127" s="18" t="s">
        <v>6</v>
      </c>
      <c r="C127" s="18" t="s">
        <v>7</v>
      </c>
      <c r="D127" s="18" t="s">
        <v>8</v>
      </c>
      <c r="E127" s="20">
        <v>86</v>
      </c>
      <c r="F127" s="20">
        <v>3</v>
      </c>
      <c r="G127" s="20">
        <v>3</v>
      </c>
      <c r="H127" s="20"/>
      <c r="I127" s="21" t="s">
        <v>9</v>
      </c>
      <c r="J127" s="21"/>
      <c r="K127" s="20"/>
      <c r="L127" s="20"/>
      <c r="M127" s="21"/>
      <c r="N127" s="21"/>
      <c r="O127" s="24" t="s">
        <v>191</v>
      </c>
      <c r="P127" s="24"/>
      <c r="Q127" s="20"/>
      <c r="R127" s="22"/>
      <c r="S127" s="22"/>
      <c r="T127" s="22"/>
      <c r="U127" s="22"/>
      <c r="V127" s="22"/>
      <c r="W127" s="20" t="s">
        <v>22</v>
      </c>
      <c r="X127" s="4" t="str">
        <f>IF(Tabela2[[#This Row],[sigla]]="","",VLOOKUP(Tabela2[[#This Row],[sigla]],Tabela1[[#All],[Sigla Arte]:[Crédito]],2,0))</f>
        <v>MÁRCIO GUERRA/ARQUIVO DA EDITORA</v>
      </c>
      <c r="Y127" s="21"/>
      <c r="Z127" s="21" t="str">
        <f>Tabela2[[#This Row],[ilustrador]]</f>
        <v>MÁRCIO GUERRA/ARQUIVO DA EDITORA</v>
      </c>
      <c r="AA127" s="20"/>
      <c r="AB127" s="18"/>
      <c r="AC127" s="18"/>
      <c r="AD127" s="4" t="str">
        <f t="shared" si="2"/>
        <v>Plantar</v>
      </c>
      <c r="AE127" s="12" t="str">
        <f t="shared" si="3"/>
        <v>Ciências</v>
      </c>
    </row>
    <row r="128" spans="1:31" s="12" customFormat="1" ht="28.8" x14ac:dyDescent="0.3">
      <c r="A128" s="12" t="s">
        <v>456</v>
      </c>
      <c r="B128" s="18" t="s">
        <v>6</v>
      </c>
      <c r="C128" s="18" t="s">
        <v>7</v>
      </c>
      <c r="D128" s="18" t="s">
        <v>8</v>
      </c>
      <c r="E128" s="20">
        <v>76</v>
      </c>
      <c r="F128" s="20">
        <v>4</v>
      </c>
      <c r="G128" s="20">
        <v>3</v>
      </c>
      <c r="H128" s="20"/>
      <c r="I128" s="21" t="s">
        <v>13</v>
      </c>
      <c r="J128" s="21"/>
      <c r="K128" s="20"/>
      <c r="L128" s="20"/>
      <c r="M128" s="21"/>
      <c r="N128" s="21"/>
      <c r="O128" s="24" t="s">
        <v>457</v>
      </c>
      <c r="P128" s="24"/>
      <c r="Q128" s="20">
        <v>7</v>
      </c>
      <c r="R128" s="22">
        <v>45770</v>
      </c>
      <c r="S128" s="22">
        <v>45770</v>
      </c>
      <c r="T128" s="22"/>
      <c r="U128" s="22"/>
      <c r="V128" s="22">
        <v>45771</v>
      </c>
      <c r="W128" s="20" t="s">
        <v>22</v>
      </c>
      <c r="X128" s="4" t="str">
        <f>IF(Tabela2[[#This Row],[sigla]]="","",VLOOKUP(Tabela2[[#This Row],[sigla]],Tabela1[[#All],[Sigla Arte]:[Crédito]],2,0))</f>
        <v>MÁRCIO GUERRA/ARQUIVO DA EDITORA</v>
      </c>
      <c r="Y128" s="21" t="s">
        <v>455</v>
      </c>
      <c r="Z128" s="21" t="str">
        <f>Tabela2[[#This Row],[ilustrador]]</f>
        <v>MÁRCIO GUERRA/ARQUIVO DA EDITORA</v>
      </c>
      <c r="AA128" s="20">
        <v>14</v>
      </c>
      <c r="AB128" s="18" t="s">
        <v>17</v>
      </c>
      <c r="AC128" s="18" t="s">
        <v>18</v>
      </c>
      <c r="AD128" s="4" t="str">
        <f t="shared" si="2"/>
        <v>Plantar</v>
      </c>
      <c r="AE128" s="12" t="str">
        <f t="shared" si="3"/>
        <v>Ciências</v>
      </c>
    </row>
    <row r="129" spans="1:31" s="12" customFormat="1" ht="43.2" x14ac:dyDescent="0.3">
      <c r="A129" s="12" t="s">
        <v>226</v>
      </c>
      <c r="B129" s="18" t="s">
        <v>6</v>
      </c>
      <c r="C129" s="18" t="s">
        <v>7</v>
      </c>
      <c r="D129" s="18" t="s">
        <v>8</v>
      </c>
      <c r="E129" s="20">
        <v>82</v>
      </c>
      <c r="F129" s="20">
        <v>5</v>
      </c>
      <c r="G129" s="20">
        <v>3</v>
      </c>
      <c r="H129" s="20"/>
      <c r="I129" s="21" t="s">
        <v>13</v>
      </c>
      <c r="J129" s="21"/>
      <c r="K129" s="20"/>
      <c r="L129" s="20"/>
      <c r="M129" s="21"/>
      <c r="N129" s="21"/>
      <c r="O129" s="24" t="s">
        <v>227</v>
      </c>
      <c r="P129" s="24"/>
      <c r="Q129" s="20">
        <v>1</v>
      </c>
      <c r="R129" s="22">
        <v>45747</v>
      </c>
      <c r="S129" s="22">
        <v>45747</v>
      </c>
      <c r="T129" s="22"/>
      <c r="U129" s="22"/>
      <c r="V129" s="22">
        <v>45750</v>
      </c>
      <c r="W129" s="20" t="s">
        <v>225</v>
      </c>
      <c r="X129" s="4" t="str">
        <f>IF(Tabela2[[#This Row],[sigla]]="","",VLOOKUP(Tabela2[[#This Row],[sigla]],Tabela1[[#All],[Sigla Arte]:[Crédito]],2,0))</f>
        <v>KATHARINE FROTA/ARQUIVO DA EDITORA</v>
      </c>
      <c r="Y129" s="21" t="s">
        <v>220</v>
      </c>
      <c r="Z129" s="21" t="str">
        <f>Tabela2[[#This Row],[ilustrador]]</f>
        <v>KATHARINE FROTA/ARQUIVO DA EDITORA</v>
      </c>
      <c r="AA129" s="20">
        <v>14</v>
      </c>
      <c r="AB129" s="18"/>
      <c r="AC129" s="18" t="s">
        <v>18</v>
      </c>
      <c r="AD129" s="4" t="str">
        <f t="shared" si="2"/>
        <v>Plantar</v>
      </c>
      <c r="AE129" s="12" t="str">
        <f t="shared" si="3"/>
        <v>Ciências</v>
      </c>
    </row>
    <row r="130" spans="1:31" s="12" customFormat="1" ht="28.8" x14ac:dyDescent="0.3">
      <c r="A130" s="12" t="s">
        <v>192</v>
      </c>
      <c r="B130" s="18" t="s">
        <v>6</v>
      </c>
      <c r="C130" s="18" t="s">
        <v>7</v>
      </c>
      <c r="D130" s="18" t="s">
        <v>8</v>
      </c>
      <c r="E130" s="20">
        <v>86</v>
      </c>
      <c r="F130" s="20">
        <v>3</v>
      </c>
      <c r="G130" s="20">
        <v>3</v>
      </c>
      <c r="H130" s="20"/>
      <c r="I130" s="21" t="s">
        <v>13</v>
      </c>
      <c r="J130" s="21"/>
      <c r="K130" s="20"/>
      <c r="L130" s="20"/>
      <c r="M130" s="21"/>
      <c r="N130" s="21"/>
      <c r="O130" s="24" t="s">
        <v>193</v>
      </c>
      <c r="P130" s="24"/>
      <c r="Q130" s="20">
        <v>4</v>
      </c>
      <c r="R130" s="22">
        <v>45744</v>
      </c>
      <c r="S130" s="22">
        <v>45747</v>
      </c>
      <c r="T130" s="22"/>
      <c r="U130" s="22"/>
      <c r="V130" s="22">
        <v>45748</v>
      </c>
      <c r="W130" s="20" t="s">
        <v>22</v>
      </c>
      <c r="X130" s="4" t="str">
        <f>IF(Tabela2[[#This Row],[sigla]]="","",VLOOKUP(Tabela2[[#This Row],[sigla]],Tabela1[[#All],[Sigla Arte]:[Crédito]],2,0))</f>
        <v>MÁRCIO GUERRA/ARQUIVO DA EDITORA</v>
      </c>
      <c r="Y130" s="21" t="s">
        <v>159</v>
      </c>
      <c r="Z130" s="21" t="str">
        <f>Tabela2[[#This Row],[ilustrador]]</f>
        <v>MÁRCIO GUERRA/ARQUIVO DA EDITORA</v>
      </c>
      <c r="AA130" s="20">
        <v>13</v>
      </c>
      <c r="AB130" s="18" t="s">
        <v>17</v>
      </c>
      <c r="AC130" s="18" t="s">
        <v>18</v>
      </c>
      <c r="AD130" s="4" t="str">
        <f t="shared" ref="AD130:AD193" si="4">"Plantar"</f>
        <v>Plantar</v>
      </c>
      <c r="AE130" s="12" t="str">
        <f t="shared" ref="AE130:AE193" si="5">"Ciências"</f>
        <v>Ciências</v>
      </c>
    </row>
    <row r="131" spans="1:31" s="12" customFormat="1" ht="28.8" x14ac:dyDescent="0.3">
      <c r="A131" s="12" t="s">
        <v>458</v>
      </c>
      <c r="B131" s="18" t="s">
        <v>6</v>
      </c>
      <c r="C131" s="18" t="s">
        <v>7</v>
      </c>
      <c r="D131" s="18" t="s">
        <v>8</v>
      </c>
      <c r="E131" s="20">
        <v>76</v>
      </c>
      <c r="F131" s="20">
        <v>4</v>
      </c>
      <c r="G131" s="20">
        <v>3</v>
      </c>
      <c r="H131" s="20"/>
      <c r="I131" s="21" t="s">
        <v>13</v>
      </c>
      <c r="J131" s="21"/>
      <c r="K131" s="20"/>
      <c r="L131" s="20"/>
      <c r="M131" s="21"/>
      <c r="N131" s="21"/>
      <c r="O131" s="24" t="s">
        <v>459</v>
      </c>
      <c r="P131" s="24"/>
      <c r="Q131" s="20">
        <v>7</v>
      </c>
      <c r="R131" s="22">
        <v>45770</v>
      </c>
      <c r="S131" s="22">
        <v>45770</v>
      </c>
      <c r="T131" s="22"/>
      <c r="U131" s="22"/>
      <c r="V131" s="22">
        <v>45771</v>
      </c>
      <c r="W131" s="20" t="s">
        <v>22</v>
      </c>
      <c r="X131" s="4" t="str">
        <f>IF(Tabela2[[#This Row],[sigla]]="","",VLOOKUP(Tabela2[[#This Row],[sigla]],Tabela1[[#All],[Sigla Arte]:[Crédito]],2,0))</f>
        <v>MÁRCIO GUERRA/ARQUIVO DA EDITORA</v>
      </c>
      <c r="Y131" s="21" t="s">
        <v>455</v>
      </c>
      <c r="Z131" s="21" t="str">
        <f>Tabela2[[#This Row],[ilustrador]]</f>
        <v>MÁRCIO GUERRA/ARQUIVO DA EDITORA</v>
      </c>
      <c r="AA131" s="20">
        <v>14</v>
      </c>
      <c r="AB131" s="18" t="s">
        <v>17</v>
      </c>
      <c r="AC131" s="18" t="s">
        <v>18</v>
      </c>
      <c r="AD131" s="4" t="str">
        <f t="shared" si="4"/>
        <v>Plantar</v>
      </c>
      <c r="AE131" s="12" t="str">
        <f t="shared" si="5"/>
        <v>Ciências</v>
      </c>
    </row>
    <row r="132" spans="1:31" s="12" customFormat="1" ht="43.2" x14ac:dyDescent="0.3">
      <c r="A132" s="12" t="s">
        <v>228</v>
      </c>
      <c r="B132" s="18" t="s">
        <v>6</v>
      </c>
      <c r="C132" s="18" t="s">
        <v>7</v>
      </c>
      <c r="D132" s="18" t="s">
        <v>8</v>
      </c>
      <c r="E132" s="20">
        <v>82</v>
      </c>
      <c r="F132" s="20">
        <v>5</v>
      </c>
      <c r="G132" s="20">
        <v>3</v>
      </c>
      <c r="H132" s="20"/>
      <c r="I132" s="21" t="s">
        <v>9</v>
      </c>
      <c r="J132" s="21"/>
      <c r="K132" s="20"/>
      <c r="L132" s="20"/>
      <c r="M132" s="21"/>
      <c r="N132" s="21"/>
      <c r="O132" s="24" t="s">
        <v>229</v>
      </c>
      <c r="P132" s="24"/>
      <c r="Q132" s="20"/>
      <c r="R132" s="22"/>
      <c r="S132" s="22"/>
      <c r="T132" s="22"/>
      <c r="U132" s="22"/>
      <c r="V132" s="22"/>
      <c r="W132" s="20" t="s">
        <v>230</v>
      </c>
      <c r="X132" s="4" t="str">
        <f>IF(Tabela2[[#This Row],[sigla]]="","",VLOOKUP(Tabela2[[#This Row],[sigla]],Tabela1[[#All],[Sigla Arte]:[Crédito]],2,0))</f>
        <v>FERNANDA PARDINI BIAGIO/ARQUIVO DA EDITORA</v>
      </c>
      <c r="Y132" s="21"/>
      <c r="Z132" s="21" t="str">
        <f>Tabela2[[#This Row],[ilustrador]]</f>
        <v>FERNANDA PARDINI BIAGIO/ARQUIVO DA EDITORA</v>
      </c>
      <c r="AA132" s="20"/>
      <c r="AB132" s="18"/>
      <c r="AC132" s="18"/>
      <c r="AD132" s="4" t="str">
        <f t="shared" si="4"/>
        <v>Plantar</v>
      </c>
      <c r="AE132" s="12" t="str">
        <f t="shared" si="5"/>
        <v>Ciências</v>
      </c>
    </row>
    <row r="133" spans="1:31" s="12" customFormat="1" ht="43.2" x14ac:dyDescent="0.3">
      <c r="A133" s="12" t="s">
        <v>231</v>
      </c>
      <c r="B133" s="18" t="s">
        <v>6</v>
      </c>
      <c r="C133" s="18" t="s">
        <v>7</v>
      </c>
      <c r="D133" s="18" t="s">
        <v>8</v>
      </c>
      <c r="E133" s="20">
        <v>83</v>
      </c>
      <c r="F133" s="20">
        <v>5</v>
      </c>
      <c r="G133" s="20">
        <v>3</v>
      </c>
      <c r="H133" s="20"/>
      <c r="I133" s="21" t="s">
        <v>9</v>
      </c>
      <c r="J133" s="21"/>
      <c r="K133" s="20"/>
      <c r="L133" s="20"/>
      <c r="M133" s="21"/>
      <c r="N133" s="21"/>
      <c r="O133" s="24" t="s">
        <v>232</v>
      </c>
      <c r="P133" s="24"/>
      <c r="Q133" s="20"/>
      <c r="R133" s="22"/>
      <c r="S133" s="22"/>
      <c r="T133" s="22"/>
      <c r="U133" s="22"/>
      <c r="V133" s="22"/>
      <c r="W133" s="20" t="s">
        <v>230</v>
      </c>
      <c r="X133" s="4" t="str">
        <f>IF(Tabela2[[#This Row],[sigla]]="","",VLOOKUP(Tabela2[[#This Row],[sigla]],Tabela1[[#All],[Sigla Arte]:[Crédito]],2,0))</f>
        <v>FERNANDA PARDINI BIAGIO/ARQUIVO DA EDITORA</v>
      </c>
      <c r="Y133" s="21"/>
      <c r="Z133" s="21" t="str">
        <f>Tabela2[[#This Row],[ilustrador]]</f>
        <v>FERNANDA PARDINI BIAGIO/ARQUIVO DA EDITORA</v>
      </c>
      <c r="AA133" s="20"/>
      <c r="AB133" s="18"/>
      <c r="AC133" s="18"/>
      <c r="AD133" s="4" t="str">
        <f t="shared" si="4"/>
        <v>Plantar</v>
      </c>
      <c r="AE133" s="12" t="str">
        <f t="shared" si="5"/>
        <v>Ciências</v>
      </c>
    </row>
    <row r="134" spans="1:31" s="12" customFormat="1" ht="43.2" x14ac:dyDescent="0.3">
      <c r="A134" s="12" t="s">
        <v>233</v>
      </c>
      <c r="B134" s="18" t="s">
        <v>6</v>
      </c>
      <c r="C134" s="18" t="s">
        <v>7</v>
      </c>
      <c r="D134" s="18" t="s">
        <v>8</v>
      </c>
      <c r="E134" s="20">
        <v>83</v>
      </c>
      <c r="F134" s="20">
        <v>5</v>
      </c>
      <c r="G134" s="20">
        <v>3</v>
      </c>
      <c r="H134" s="20"/>
      <c r="I134" s="21" t="s">
        <v>9</v>
      </c>
      <c r="J134" s="21"/>
      <c r="K134" s="20"/>
      <c r="L134" s="20"/>
      <c r="M134" s="21"/>
      <c r="N134" s="21"/>
      <c r="O134" s="24" t="s">
        <v>234</v>
      </c>
      <c r="P134" s="24"/>
      <c r="Q134" s="20"/>
      <c r="R134" s="22"/>
      <c r="S134" s="22"/>
      <c r="T134" s="22"/>
      <c r="U134" s="22"/>
      <c r="V134" s="22"/>
      <c r="W134" s="20" t="s">
        <v>230</v>
      </c>
      <c r="X134" s="4" t="str">
        <f>IF(Tabela2[[#This Row],[sigla]]="","",VLOOKUP(Tabela2[[#This Row],[sigla]],Tabela1[[#All],[Sigla Arte]:[Crédito]],2,0))</f>
        <v>FERNANDA PARDINI BIAGIO/ARQUIVO DA EDITORA</v>
      </c>
      <c r="Y134" s="21"/>
      <c r="Z134" s="21" t="str">
        <f>Tabela2[[#This Row],[ilustrador]]</f>
        <v>FERNANDA PARDINI BIAGIO/ARQUIVO DA EDITORA</v>
      </c>
      <c r="AA134" s="20"/>
      <c r="AB134" s="18"/>
      <c r="AC134" s="18"/>
      <c r="AD134" s="4" t="str">
        <f t="shared" si="4"/>
        <v>Plantar</v>
      </c>
      <c r="AE134" s="12" t="str">
        <f t="shared" si="5"/>
        <v>Ciências</v>
      </c>
    </row>
    <row r="135" spans="1:31" s="12" customFormat="1" ht="43.2" x14ac:dyDescent="0.3">
      <c r="A135" s="12" t="s">
        <v>235</v>
      </c>
      <c r="B135" s="18" t="s">
        <v>6</v>
      </c>
      <c r="C135" s="18" t="s">
        <v>7</v>
      </c>
      <c r="D135" s="18" t="s">
        <v>8</v>
      </c>
      <c r="E135" s="20">
        <v>83</v>
      </c>
      <c r="F135" s="20">
        <v>5</v>
      </c>
      <c r="G135" s="20">
        <v>3</v>
      </c>
      <c r="H135" s="20"/>
      <c r="I135" s="21" t="s">
        <v>9</v>
      </c>
      <c r="J135" s="21"/>
      <c r="K135" s="20"/>
      <c r="L135" s="20"/>
      <c r="M135" s="21"/>
      <c r="N135" s="21"/>
      <c r="O135" s="24" t="s">
        <v>236</v>
      </c>
      <c r="P135" s="24"/>
      <c r="Q135" s="20"/>
      <c r="R135" s="22"/>
      <c r="S135" s="22"/>
      <c r="T135" s="22"/>
      <c r="U135" s="22"/>
      <c r="V135" s="22"/>
      <c r="W135" s="20" t="s">
        <v>230</v>
      </c>
      <c r="X135" s="4" t="str">
        <f>IF(Tabela2[[#This Row],[sigla]]="","",VLOOKUP(Tabela2[[#This Row],[sigla]],Tabela1[[#All],[Sigla Arte]:[Crédito]],2,0))</f>
        <v>FERNANDA PARDINI BIAGIO/ARQUIVO DA EDITORA</v>
      </c>
      <c r="Y135" s="21"/>
      <c r="Z135" s="21" t="str">
        <f>Tabela2[[#This Row],[ilustrador]]</f>
        <v>FERNANDA PARDINI BIAGIO/ARQUIVO DA EDITORA</v>
      </c>
      <c r="AA135" s="20"/>
      <c r="AB135" s="18"/>
      <c r="AC135" s="18"/>
      <c r="AD135" s="4" t="str">
        <f t="shared" si="4"/>
        <v>Plantar</v>
      </c>
      <c r="AE135" s="12" t="str">
        <f t="shared" si="5"/>
        <v>Ciências</v>
      </c>
    </row>
    <row r="136" spans="1:31" s="12" customFormat="1" ht="57.6" x14ac:dyDescent="0.3">
      <c r="A136" s="12" t="s">
        <v>237</v>
      </c>
      <c r="B136" s="18" t="s">
        <v>6</v>
      </c>
      <c r="C136" s="18" t="s">
        <v>7</v>
      </c>
      <c r="D136" s="18" t="s">
        <v>8</v>
      </c>
      <c r="E136" s="20">
        <v>83</v>
      </c>
      <c r="F136" s="20">
        <v>5</v>
      </c>
      <c r="G136" s="20">
        <v>3</v>
      </c>
      <c r="H136" s="20"/>
      <c r="I136" s="21" t="s">
        <v>9</v>
      </c>
      <c r="J136" s="21"/>
      <c r="K136" s="20"/>
      <c r="L136" s="20"/>
      <c r="M136" s="21"/>
      <c r="N136" s="21"/>
      <c r="O136" s="24" t="s">
        <v>238</v>
      </c>
      <c r="P136" s="24"/>
      <c r="Q136" s="20"/>
      <c r="R136" s="22"/>
      <c r="S136" s="22"/>
      <c r="T136" s="22"/>
      <c r="U136" s="22"/>
      <c r="V136" s="22"/>
      <c r="W136" s="20" t="s">
        <v>230</v>
      </c>
      <c r="X136" s="4" t="str">
        <f>IF(Tabela2[[#This Row],[sigla]]="","",VLOOKUP(Tabela2[[#This Row],[sigla]],Tabela1[[#All],[Sigla Arte]:[Crédito]],2,0))</f>
        <v>FERNANDA PARDINI BIAGIO/ARQUIVO DA EDITORA</v>
      </c>
      <c r="Y136" s="21"/>
      <c r="Z136" s="21" t="str">
        <f>Tabela2[[#This Row],[ilustrador]]</f>
        <v>FERNANDA PARDINI BIAGIO/ARQUIVO DA EDITORA</v>
      </c>
      <c r="AA136" s="20"/>
      <c r="AB136" s="18"/>
      <c r="AC136" s="18"/>
      <c r="AD136" s="4" t="str">
        <f t="shared" si="4"/>
        <v>Plantar</v>
      </c>
      <c r="AE136" s="12" t="str">
        <f t="shared" si="5"/>
        <v>Ciências</v>
      </c>
    </row>
    <row r="137" spans="1:31" s="12" customFormat="1" ht="43.2" x14ac:dyDescent="0.3">
      <c r="A137" s="12" t="s">
        <v>239</v>
      </c>
      <c r="B137" s="18" t="s">
        <v>6</v>
      </c>
      <c r="C137" s="18" t="s">
        <v>7</v>
      </c>
      <c r="D137" s="18" t="s">
        <v>8</v>
      </c>
      <c r="E137" s="20">
        <v>84</v>
      </c>
      <c r="F137" s="20">
        <v>5</v>
      </c>
      <c r="G137" s="20">
        <v>3</v>
      </c>
      <c r="H137" s="20"/>
      <c r="I137" s="21" t="s">
        <v>13</v>
      </c>
      <c r="J137" s="21"/>
      <c r="K137" s="20"/>
      <c r="L137" s="20"/>
      <c r="M137" s="21"/>
      <c r="N137" s="21"/>
      <c r="O137" s="24" t="s">
        <v>240</v>
      </c>
      <c r="P137" s="24"/>
      <c r="Q137" s="20">
        <v>1</v>
      </c>
      <c r="R137" s="22">
        <v>45747</v>
      </c>
      <c r="S137" s="22">
        <v>45747</v>
      </c>
      <c r="T137" s="22"/>
      <c r="U137" s="22"/>
      <c r="V137" s="22">
        <v>45750</v>
      </c>
      <c r="W137" s="20" t="s">
        <v>70</v>
      </c>
      <c r="X137" s="4" t="str">
        <f>IF(Tabela2[[#This Row],[sigla]]="","",VLOOKUP(Tabela2[[#This Row],[sigla]],Tabela1[[#All],[Sigla Arte]:[Crédito]],2,0))</f>
        <v>ALEXANDRE DE SOUZA/ARQUIVO DA EDITORA</v>
      </c>
      <c r="Y137" s="21" t="s">
        <v>220</v>
      </c>
      <c r="Z137" s="21" t="str">
        <f>Tabela2[[#This Row],[ilustrador]]</f>
        <v>ALEXANDRE DE SOUZA/ARQUIVO DA EDITORA</v>
      </c>
      <c r="AA137" s="20">
        <v>14</v>
      </c>
      <c r="AB137" s="18"/>
      <c r="AC137" s="18" t="s">
        <v>18</v>
      </c>
      <c r="AD137" s="4" t="str">
        <f t="shared" si="4"/>
        <v>Plantar</v>
      </c>
      <c r="AE137" s="12" t="str">
        <f t="shared" si="5"/>
        <v>Ciências</v>
      </c>
    </row>
    <row r="138" spans="1:31" s="12" customFormat="1" ht="43.2" x14ac:dyDescent="0.3">
      <c r="A138" s="12" t="s">
        <v>241</v>
      </c>
      <c r="B138" s="18" t="s">
        <v>6</v>
      </c>
      <c r="C138" s="18" t="s">
        <v>7</v>
      </c>
      <c r="D138" s="18" t="s">
        <v>8</v>
      </c>
      <c r="E138" s="20">
        <v>85</v>
      </c>
      <c r="F138" s="20">
        <v>5</v>
      </c>
      <c r="G138" s="20">
        <v>3</v>
      </c>
      <c r="H138" s="20"/>
      <c r="I138" s="21" t="s">
        <v>13</v>
      </c>
      <c r="J138" s="21"/>
      <c r="K138" s="20"/>
      <c r="L138" s="20"/>
      <c r="M138" s="21"/>
      <c r="N138" s="21"/>
      <c r="O138" s="24" t="s">
        <v>242</v>
      </c>
      <c r="P138" s="24"/>
      <c r="Q138" s="20">
        <v>1</v>
      </c>
      <c r="R138" s="22">
        <v>45747</v>
      </c>
      <c r="S138" s="22">
        <v>45747</v>
      </c>
      <c r="T138" s="22"/>
      <c r="U138" s="22"/>
      <c r="V138" s="22">
        <v>45750</v>
      </c>
      <c r="W138" s="20" t="s">
        <v>70</v>
      </c>
      <c r="X138" s="4" t="str">
        <f>IF(Tabela2[[#This Row],[sigla]]="","",VLOOKUP(Tabela2[[#This Row],[sigla]],Tabela1[[#All],[Sigla Arte]:[Crédito]],2,0))</f>
        <v>ALEXANDRE DE SOUZA/ARQUIVO DA EDITORA</v>
      </c>
      <c r="Y138" s="21" t="s">
        <v>220</v>
      </c>
      <c r="Z138" s="21" t="str">
        <f>Tabela2[[#This Row],[ilustrador]]</f>
        <v>ALEXANDRE DE SOUZA/ARQUIVO DA EDITORA</v>
      </c>
      <c r="AA138" s="20">
        <v>14</v>
      </c>
      <c r="AB138" s="18"/>
      <c r="AC138" s="18" t="s">
        <v>18</v>
      </c>
      <c r="AD138" s="4" t="str">
        <f t="shared" si="4"/>
        <v>Plantar</v>
      </c>
      <c r="AE138" s="12" t="str">
        <f t="shared" si="5"/>
        <v>Ciências</v>
      </c>
    </row>
    <row r="139" spans="1:31" s="12" customFormat="1" ht="43.2" x14ac:dyDescent="0.3">
      <c r="A139" s="12" t="s">
        <v>243</v>
      </c>
      <c r="B139" s="18" t="s">
        <v>6</v>
      </c>
      <c r="C139" s="18" t="s">
        <v>7</v>
      </c>
      <c r="D139" s="18" t="s">
        <v>8</v>
      </c>
      <c r="E139" s="20">
        <v>86</v>
      </c>
      <c r="F139" s="20">
        <v>5</v>
      </c>
      <c r="G139" s="20">
        <v>3</v>
      </c>
      <c r="H139" s="20"/>
      <c r="I139" s="21" t="s">
        <v>13</v>
      </c>
      <c r="J139" s="21"/>
      <c r="K139" s="20"/>
      <c r="L139" s="20"/>
      <c r="M139" s="21"/>
      <c r="N139" s="21"/>
      <c r="O139" s="24" t="s">
        <v>244</v>
      </c>
      <c r="P139" s="24"/>
      <c r="Q139" s="20">
        <v>1</v>
      </c>
      <c r="R139" s="22">
        <v>45747</v>
      </c>
      <c r="S139" s="22">
        <v>45747</v>
      </c>
      <c r="T139" s="22"/>
      <c r="U139" s="22"/>
      <c r="V139" s="22">
        <v>45750</v>
      </c>
      <c r="W139" s="20" t="s">
        <v>245</v>
      </c>
      <c r="X139" s="4" t="str">
        <f>IF(Tabela2[[#This Row],[sigla]]="","",VLOOKUP(Tabela2[[#This Row],[sigla]],Tabela1[[#All],[Sigla Arte]:[Crédito]],2,0))</f>
        <v>VER DOCUMENTO DE ILS. TÉCNICAS</v>
      </c>
      <c r="Y139" s="21" t="s">
        <v>220</v>
      </c>
      <c r="Z139" s="21" t="s">
        <v>246</v>
      </c>
      <c r="AA139" s="20">
        <v>14</v>
      </c>
      <c r="AB139" s="18"/>
      <c r="AC139" s="18" t="s">
        <v>18</v>
      </c>
      <c r="AD139" s="4" t="str">
        <f t="shared" si="4"/>
        <v>Plantar</v>
      </c>
      <c r="AE139" s="12" t="str">
        <f t="shared" si="5"/>
        <v>Ciências</v>
      </c>
    </row>
    <row r="140" spans="1:31" s="12" customFormat="1" ht="28.8" x14ac:dyDescent="0.3">
      <c r="A140" s="12" t="s">
        <v>247</v>
      </c>
      <c r="B140" s="18" t="s">
        <v>169</v>
      </c>
      <c r="C140" s="18" t="s">
        <v>7</v>
      </c>
      <c r="D140" s="18" t="s">
        <v>8</v>
      </c>
      <c r="E140" s="20">
        <v>86</v>
      </c>
      <c r="F140" s="20">
        <v>5</v>
      </c>
      <c r="G140" s="20">
        <v>3</v>
      </c>
      <c r="H140" s="20"/>
      <c r="I140" s="21" t="s">
        <v>9</v>
      </c>
      <c r="J140" s="21"/>
      <c r="K140" s="20"/>
      <c r="L140" s="20"/>
      <c r="M140" s="21"/>
      <c r="N140" s="21"/>
      <c r="O140" s="24" t="s">
        <v>248</v>
      </c>
      <c r="P140" s="24"/>
      <c r="Q140" s="20"/>
      <c r="R140" s="22"/>
      <c r="S140" s="22"/>
      <c r="T140" s="22"/>
      <c r="U140" s="22"/>
      <c r="V140" s="22"/>
      <c r="W140" s="20" t="s">
        <v>70</v>
      </c>
      <c r="X140" s="4" t="str">
        <f>IF(Tabela2[[#This Row],[sigla]]="","",VLOOKUP(Tabela2[[#This Row],[sigla]],Tabela1[[#All],[Sigla Arte]:[Crédito]],2,0))</f>
        <v>ALEXANDRE DE SOUZA/ARQUIVO DA EDITORA</v>
      </c>
      <c r="Y140" s="21"/>
      <c r="Z140" s="21" t="str">
        <f>Tabela2[[#This Row],[ilustrador]]</f>
        <v>ALEXANDRE DE SOUZA/ARQUIVO DA EDITORA</v>
      </c>
      <c r="AA140" s="20"/>
      <c r="AB140" s="18"/>
      <c r="AC140" s="18"/>
      <c r="AD140" s="4" t="str">
        <f t="shared" si="4"/>
        <v>Plantar</v>
      </c>
      <c r="AE140" s="12" t="str">
        <f t="shared" si="5"/>
        <v>Ciências</v>
      </c>
    </row>
    <row r="141" spans="1:31" s="12" customFormat="1" ht="28.8" x14ac:dyDescent="0.3">
      <c r="A141" s="12" t="s">
        <v>249</v>
      </c>
      <c r="B141" s="18" t="s">
        <v>6</v>
      </c>
      <c r="C141" s="18" t="s">
        <v>7</v>
      </c>
      <c r="D141" s="18" t="s">
        <v>8</v>
      </c>
      <c r="E141" s="20">
        <v>90</v>
      </c>
      <c r="F141" s="20">
        <v>5</v>
      </c>
      <c r="G141" s="20">
        <v>3</v>
      </c>
      <c r="H141" s="20"/>
      <c r="I141" s="21" t="s">
        <v>9</v>
      </c>
      <c r="J141" s="21"/>
      <c r="K141" s="20"/>
      <c r="L141" s="20"/>
      <c r="M141" s="21"/>
      <c r="N141" s="21"/>
      <c r="O141" s="24" t="s">
        <v>250</v>
      </c>
      <c r="P141" s="24"/>
      <c r="Q141" s="20"/>
      <c r="R141" s="22"/>
      <c r="S141" s="22"/>
      <c r="T141" s="22"/>
      <c r="U141" s="22"/>
      <c r="V141" s="22"/>
      <c r="W141" s="20" t="s">
        <v>230</v>
      </c>
      <c r="X141" s="4" t="str">
        <f>IF(Tabela2[[#This Row],[sigla]]="","",VLOOKUP(Tabela2[[#This Row],[sigla]],Tabela1[[#All],[Sigla Arte]:[Crédito]],2,0))</f>
        <v>FERNANDA PARDINI BIAGIO/ARQUIVO DA EDITORA</v>
      </c>
      <c r="Y141" s="21"/>
      <c r="Z141" s="21" t="str">
        <f>Tabela2[[#This Row],[ilustrador]]</f>
        <v>FERNANDA PARDINI BIAGIO/ARQUIVO DA EDITORA</v>
      </c>
      <c r="AA141" s="20"/>
      <c r="AB141" s="18"/>
      <c r="AC141" s="18"/>
      <c r="AD141" s="4" t="str">
        <f t="shared" si="4"/>
        <v>Plantar</v>
      </c>
      <c r="AE141" s="12" t="str">
        <f t="shared" si="5"/>
        <v>Ciências</v>
      </c>
    </row>
    <row r="142" spans="1:31" s="12" customFormat="1" ht="28.8" x14ac:dyDescent="0.3">
      <c r="A142" s="12" t="s">
        <v>251</v>
      </c>
      <c r="B142" s="18" t="s">
        <v>6</v>
      </c>
      <c r="C142" s="18" t="s">
        <v>7</v>
      </c>
      <c r="D142" s="18" t="s">
        <v>8</v>
      </c>
      <c r="E142" s="20">
        <v>89</v>
      </c>
      <c r="F142" s="20">
        <v>5</v>
      </c>
      <c r="G142" s="20">
        <v>3</v>
      </c>
      <c r="H142" s="20"/>
      <c r="I142" s="21" t="s">
        <v>9</v>
      </c>
      <c r="J142" s="21"/>
      <c r="K142" s="20"/>
      <c r="L142" s="20"/>
      <c r="M142" s="21"/>
      <c r="N142" s="21"/>
      <c r="O142" s="24" t="s">
        <v>252</v>
      </c>
      <c r="P142" s="24"/>
      <c r="Q142" s="20"/>
      <c r="R142" s="22"/>
      <c r="S142" s="22"/>
      <c r="T142" s="22"/>
      <c r="U142" s="22"/>
      <c r="V142" s="22"/>
      <c r="W142" s="20" t="s">
        <v>230</v>
      </c>
      <c r="X142" s="4" t="str">
        <f>IF(Tabela2[[#This Row],[sigla]]="","",VLOOKUP(Tabela2[[#This Row],[sigla]],Tabela1[[#All],[Sigla Arte]:[Crédito]],2,0))</f>
        <v>FERNANDA PARDINI BIAGIO/ARQUIVO DA EDITORA</v>
      </c>
      <c r="Y142" s="21"/>
      <c r="Z142" s="21" t="str">
        <f>Tabela2[[#This Row],[ilustrador]]</f>
        <v>FERNANDA PARDINI BIAGIO/ARQUIVO DA EDITORA</v>
      </c>
      <c r="AA142" s="20"/>
      <c r="AB142" s="18"/>
      <c r="AC142" s="18"/>
      <c r="AD142" s="4" t="str">
        <f t="shared" si="4"/>
        <v>Plantar</v>
      </c>
      <c r="AE142" s="12" t="str">
        <f t="shared" si="5"/>
        <v>Ciências</v>
      </c>
    </row>
    <row r="143" spans="1:31" s="12" customFormat="1" ht="28.8" x14ac:dyDescent="0.3">
      <c r="A143" s="12" t="s">
        <v>462</v>
      </c>
      <c r="B143" s="18" t="s">
        <v>6</v>
      </c>
      <c r="C143" s="18" t="s">
        <v>7</v>
      </c>
      <c r="D143" s="18" t="s">
        <v>8</v>
      </c>
      <c r="E143" s="20">
        <v>84</v>
      </c>
      <c r="F143" s="20">
        <v>4</v>
      </c>
      <c r="G143" s="20">
        <v>3</v>
      </c>
      <c r="H143" s="20"/>
      <c r="I143" s="21" t="s">
        <v>13</v>
      </c>
      <c r="J143" s="21"/>
      <c r="K143" s="20"/>
      <c r="L143" s="20"/>
      <c r="M143" s="21"/>
      <c r="N143" s="21"/>
      <c r="O143" s="24" t="s">
        <v>463</v>
      </c>
      <c r="P143" s="24"/>
      <c r="Q143" s="20">
        <v>7</v>
      </c>
      <c r="R143" s="22">
        <v>45770</v>
      </c>
      <c r="S143" s="22">
        <v>45770</v>
      </c>
      <c r="T143" s="22"/>
      <c r="U143" s="22"/>
      <c r="V143" s="22">
        <v>45771</v>
      </c>
      <c r="W143" s="20" t="s">
        <v>154</v>
      </c>
      <c r="X143" s="4" t="str">
        <f>IF(Tabela2[[#This Row],[sigla]]="","",VLOOKUP(Tabela2[[#This Row],[sigla]],Tabela1[[#All],[Sigla Arte]:[Crédito]],2,0))</f>
        <v>KLEBER MAURÍCIO COELHO/ARQUIVO DA EDITORA</v>
      </c>
      <c r="Y143" s="21" t="s">
        <v>455</v>
      </c>
      <c r="Z143" s="21" t="str">
        <f>Tabela2[[#This Row],[ilustrador]]</f>
        <v>KLEBER MAURÍCIO COELHO/ARQUIVO DA EDITORA</v>
      </c>
      <c r="AA143" s="20">
        <v>14</v>
      </c>
      <c r="AB143" s="18" t="s">
        <v>17</v>
      </c>
      <c r="AC143" s="18" t="s">
        <v>18</v>
      </c>
      <c r="AD143" s="4" t="str">
        <f t="shared" si="4"/>
        <v>Plantar</v>
      </c>
      <c r="AE143" s="12" t="str">
        <f t="shared" si="5"/>
        <v>Ciências</v>
      </c>
    </row>
    <row r="144" spans="1:31" s="12" customFormat="1" ht="28.8" x14ac:dyDescent="0.3">
      <c r="A144" s="12" t="s">
        <v>253</v>
      </c>
      <c r="B144" s="18" t="s">
        <v>6</v>
      </c>
      <c r="C144" s="18" t="s">
        <v>7</v>
      </c>
      <c r="D144" s="18" t="s">
        <v>8</v>
      </c>
      <c r="E144" s="20">
        <v>89</v>
      </c>
      <c r="F144" s="20">
        <v>5</v>
      </c>
      <c r="G144" s="20">
        <v>3</v>
      </c>
      <c r="H144" s="20"/>
      <c r="I144" s="21" t="s">
        <v>9</v>
      </c>
      <c r="J144" s="21"/>
      <c r="K144" s="20"/>
      <c r="L144" s="20"/>
      <c r="M144" s="21"/>
      <c r="N144" s="21"/>
      <c r="O144" s="24" t="s">
        <v>254</v>
      </c>
      <c r="P144" s="24"/>
      <c r="Q144" s="20"/>
      <c r="R144" s="22"/>
      <c r="S144" s="22"/>
      <c r="T144" s="22"/>
      <c r="U144" s="22"/>
      <c r="V144" s="22"/>
      <c r="W144" s="20" t="s">
        <v>230</v>
      </c>
      <c r="X144" s="4" t="str">
        <f>IF(Tabela2[[#This Row],[sigla]]="","",VLOOKUP(Tabela2[[#This Row],[sigla]],Tabela1[[#All],[Sigla Arte]:[Crédito]],2,0))</f>
        <v>FERNANDA PARDINI BIAGIO/ARQUIVO DA EDITORA</v>
      </c>
      <c r="Y144" s="21"/>
      <c r="Z144" s="21" t="str">
        <f>Tabela2[[#This Row],[ilustrador]]</f>
        <v>FERNANDA PARDINI BIAGIO/ARQUIVO DA EDITORA</v>
      </c>
      <c r="AA144" s="20"/>
      <c r="AB144" s="18"/>
      <c r="AC144" s="18"/>
      <c r="AD144" s="4" t="str">
        <f t="shared" si="4"/>
        <v>Plantar</v>
      </c>
      <c r="AE144" s="12" t="str">
        <f t="shared" si="5"/>
        <v>Ciências</v>
      </c>
    </row>
    <row r="145" spans="1:31" s="12" customFormat="1" ht="28.8" x14ac:dyDescent="0.3">
      <c r="A145" s="12" t="s">
        <v>194</v>
      </c>
      <c r="B145" s="18" t="s">
        <v>6</v>
      </c>
      <c r="C145" s="18" t="s">
        <v>7</v>
      </c>
      <c r="D145" s="18" t="s">
        <v>8</v>
      </c>
      <c r="E145" s="20">
        <v>90</v>
      </c>
      <c r="F145" s="20">
        <v>3</v>
      </c>
      <c r="G145" s="20">
        <v>3</v>
      </c>
      <c r="H145" s="20"/>
      <c r="I145" s="21" t="s">
        <v>9</v>
      </c>
      <c r="J145" s="21"/>
      <c r="K145" s="20"/>
      <c r="L145" s="20"/>
      <c r="M145" s="21"/>
      <c r="N145" s="21"/>
      <c r="O145" s="24" t="s">
        <v>195</v>
      </c>
      <c r="P145" s="24"/>
      <c r="Q145" s="20"/>
      <c r="R145" s="22"/>
      <c r="S145" s="22"/>
      <c r="T145" s="22"/>
      <c r="U145" s="22"/>
      <c r="V145" s="22"/>
      <c r="W145" s="20" t="s">
        <v>154</v>
      </c>
      <c r="X145" s="4" t="str">
        <f>IF(Tabela2[[#This Row],[sigla]]="","",VLOOKUP(Tabela2[[#This Row],[sigla]],Tabela1[[#All],[Sigla Arte]:[Crédito]],2,0))</f>
        <v>KLEBER MAURÍCIO COELHO/ARQUIVO DA EDITORA</v>
      </c>
      <c r="Y145" s="21"/>
      <c r="Z145" s="21" t="str">
        <f>Tabela2[[#This Row],[ilustrador]]</f>
        <v>KLEBER MAURÍCIO COELHO/ARQUIVO DA EDITORA</v>
      </c>
      <c r="AA145" s="20"/>
      <c r="AB145" s="18"/>
      <c r="AC145" s="18"/>
      <c r="AD145" s="4" t="str">
        <f t="shared" si="4"/>
        <v>Plantar</v>
      </c>
      <c r="AE145" s="12" t="str">
        <f t="shared" si="5"/>
        <v>Ciências</v>
      </c>
    </row>
    <row r="146" spans="1:31" s="12" customFormat="1" ht="43.2" x14ac:dyDescent="0.3">
      <c r="A146" s="12" t="s">
        <v>464</v>
      </c>
      <c r="B146" s="18" t="s">
        <v>6</v>
      </c>
      <c r="C146" s="18" t="s">
        <v>7</v>
      </c>
      <c r="D146" s="18" t="s">
        <v>8</v>
      </c>
      <c r="E146" s="20">
        <v>85</v>
      </c>
      <c r="F146" s="20">
        <v>4</v>
      </c>
      <c r="G146" s="20">
        <v>3</v>
      </c>
      <c r="H146" s="20"/>
      <c r="I146" s="21" t="s">
        <v>13</v>
      </c>
      <c r="J146" s="21"/>
      <c r="K146" s="20"/>
      <c r="L146" s="20"/>
      <c r="M146" s="21"/>
      <c r="N146" s="21"/>
      <c r="O146" s="24" t="s">
        <v>465</v>
      </c>
      <c r="P146" s="24"/>
      <c r="Q146" s="20">
        <v>7</v>
      </c>
      <c r="R146" s="22">
        <v>45770</v>
      </c>
      <c r="S146" s="22">
        <v>45770</v>
      </c>
      <c r="T146" s="22"/>
      <c r="U146" s="22"/>
      <c r="V146" s="22">
        <v>45771</v>
      </c>
      <c r="W146" s="20" t="s">
        <v>154</v>
      </c>
      <c r="X146" s="4" t="str">
        <f>IF(Tabela2[[#This Row],[sigla]]="","",VLOOKUP(Tabela2[[#This Row],[sigla]],Tabela1[[#All],[Sigla Arte]:[Crédito]],2,0))</f>
        <v>KLEBER MAURÍCIO COELHO/ARQUIVO DA EDITORA</v>
      </c>
      <c r="Y146" s="21" t="s">
        <v>455</v>
      </c>
      <c r="Z146" s="21" t="str">
        <f>Tabela2[[#This Row],[ilustrador]]</f>
        <v>KLEBER MAURÍCIO COELHO/ARQUIVO DA EDITORA</v>
      </c>
      <c r="AA146" s="20">
        <v>14</v>
      </c>
      <c r="AB146" s="18" t="s">
        <v>17</v>
      </c>
      <c r="AC146" s="18" t="s">
        <v>18</v>
      </c>
      <c r="AD146" s="4" t="str">
        <f t="shared" si="4"/>
        <v>Plantar</v>
      </c>
      <c r="AE146" s="12" t="str">
        <f t="shared" si="5"/>
        <v>Ciências</v>
      </c>
    </row>
    <row r="147" spans="1:31" s="12" customFormat="1" ht="43.2" x14ac:dyDescent="0.3">
      <c r="A147" s="12" t="s">
        <v>255</v>
      </c>
      <c r="B147" s="18" t="s">
        <v>6</v>
      </c>
      <c r="C147" s="18" t="s">
        <v>7</v>
      </c>
      <c r="D147" s="18" t="s">
        <v>8</v>
      </c>
      <c r="E147" s="20">
        <v>89</v>
      </c>
      <c r="F147" s="20">
        <v>5</v>
      </c>
      <c r="G147" s="20">
        <v>3</v>
      </c>
      <c r="H147" s="20"/>
      <c r="I147" s="21" t="s">
        <v>9</v>
      </c>
      <c r="J147" s="21"/>
      <c r="K147" s="20"/>
      <c r="L147" s="20"/>
      <c r="M147" s="21"/>
      <c r="N147" s="21"/>
      <c r="O147" s="24" t="s">
        <v>256</v>
      </c>
      <c r="P147" s="24"/>
      <c r="Q147" s="20"/>
      <c r="R147" s="22"/>
      <c r="S147" s="22"/>
      <c r="T147" s="22"/>
      <c r="U147" s="22"/>
      <c r="V147" s="22"/>
      <c r="W147" s="20" t="s">
        <v>230</v>
      </c>
      <c r="X147" s="4" t="str">
        <f>IF(Tabela2[[#This Row],[sigla]]="","",VLOOKUP(Tabela2[[#This Row],[sigla]],Tabela1[[#All],[Sigla Arte]:[Crédito]],2,0))</f>
        <v>FERNANDA PARDINI BIAGIO/ARQUIVO DA EDITORA</v>
      </c>
      <c r="Y147" s="21"/>
      <c r="Z147" s="21" t="str">
        <f>Tabela2[[#This Row],[ilustrador]]</f>
        <v>FERNANDA PARDINI BIAGIO/ARQUIVO DA EDITORA</v>
      </c>
      <c r="AA147" s="20"/>
      <c r="AB147" s="18"/>
      <c r="AC147" s="18"/>
      <c r="AD147" s="4" t="str">
        <f t="shared" si="4"/>
        <v>Plantar</v>
      </c>
      <c r="AE147" s="12" t="str">
        <f t="shared" si="5"/>
        <v>Ciências</v>
      </c>
    </row>
    <row r="148" spans="1:31" s="12" customFormat="1" ht="28.8" x14ac:dyDescent="0.3">
      <c r="A148" s="12" t="s">
        <v>196</v>
      </c>
      <c r="B148" s="18" t="s">
        <v>6</v>
      </c>
      <c r="C148" s="18" t="s">
        <v>7</v>
      </c>
      <c r="D148" s="18" t="s">
        <v>8</v>
      </c>
      <c r="E148" s="20">
        <v>90</v>
      </c>
      <c r="F148" s="20">
        <v>3</v>
      </c>
      <c r="G148" s="20">
        <v>3</v>
      </c>
      <c r="H148" s="20"/>
      <c r="I148" s="21" t="s">
        <v>9</v>
      </c>
      <c r="J148" s="21"/>
      <c r="K148" s="20"/>
      <c r="L148" s="20"/>
      <c r="M148" s="21"/>
      <c r="N148" s="21"/>
      <c r="O148" s="24" t="s">
        <v>197</v>
      </c>
      <c r="P148" s="24"/>
      <c r="Q148" s="20"/>
      <c r="R148" s="22"/>
      <c r="S148" s="22"/>
      <c r="T148" s="22"/>
      <c r="U148" s="22"/>
      <c r="V148" s="22"/>
      <c r="W148" s="20" t="s">
        <v>154</v>
      </c>
      <c r="X148" s="4" t="str">
        <f>IF(Tabela2[[#This Row],[sigla]]="","",VLOOKUP(Tabela2[[#This Row],[sigla]],Tabela1[[#All],[Sigla Arte]:[Crédito]],2,0))</f>
        <v>KLEBER MAURÍCIO COELHO/ARQUIVO DA EDITORA</v>
      </c>
      <c r="Y148" s="21"/>
      <c r="Z148" s="21" t="str">
        <f>Tabela2[[#This Row],[ilustrador]]</f>
        <v>KLEBER MAURÍCIO COELHO/ARQUIVO DA EDITORA</v>
      </c>
      <c r="AA148" s="20"/>
      <c r="AB148" s="18"/>
      <c r="AC148" s="18"/>
      <c r="AD148" s="4" t="str">
        <f t="shared" si="4"/>
        <v>Plantar</v>
      </c>
      <c r="AE148" s="12" t="str">
        <f t="shared" si="5"/>
        <v>Ciências</v>
      </c>
    </row>
    <row r="149" spans="1:31" s="12" customFormat="1" ht="43.2" x14ac:dyDescent="0.3">
      <c r="A149" s="12" t="s">
        <v>257</v>
      </c>
      <c r="B149" s="18" t="s">
        <v>6</v>
      </c>
      <c r="C149" s="18" t="s">
        <v>7</v>
      </c>
      <c r="D149" s="18" t="s">
        <v>8</v>
      </c>
      <c r="E149" s="20">
        <v>90</v>
      </c>
      <c r="F149" s="20">
        <v>5</v>
      </c>
      <c r="G149" s="20">
        <v>3</v>
      </c>
      <c r="H149" s="20"/>
      <c r="I149" s="21" t="s">
        <v>13</v>
      </c>
      <c r="J149" s="21"/>
      <c r="K149" s="20"/>
      <c r="L149" s="20"/>
      <c r="M149" s="21"/>
      <c r="N149" s="21"/>
      <c r="O149" s="24" t="s">
        <v>258</v>
      </c>
      <c r="P149" s="24"/>
      <c r="Q149" s="20">
        <v>1</v>
      </c>
      <c r="R149" s="22">
        <v>45747</v>
      </c>
      <c r="S149" s="22">
        <v>45747</v>
      </c>
      <c r="T149" s="22"/>
      <c r="U149" s="22"/>
      <c r="V149" s="22">
        <v>45750</v>
      </c>
      <c r="W149" s="20" t="s">
        <v>230</v>
      </c>
      <c r="X149" s="4" t="str">
        <f>IF(Tabela2[[#This Row],[sigla]]="","",VLOOKUP(Tabela2[[#This Row],[sigla]],Tabela1[[#All],[Sigla Arte]:[Crédito]],2,0))</f>
        <v>FERNANDA PARDINI BIAGIO/ARQUIVO DA EDITORA</v>
      </c>
      <c r="Y149" s="21" t="s">
        <v>220</v>
      </c>
      <c r="Z149" s="21" t="str">
        <f>Tabela2[[#This Row],[ilustrador]]</f>
        <v>FERNANDA PARDINI BIAGIO/ARQUIVO DA EDITORA</v>
      </c>
      <c r="AA149" s="20">
        <v>14</v>
      </c>
      <c r="AB149" s="18"/>
      <c r="AC149" s="18" t="s">
        <v>18</v>
      </c>
      <c r="AD149" s="4" t="str">
        <f t="shared" si="4"/>
        <v>Plantar</v>
      </c>
      <c r="AE149" s="12" t="str">
        <f t="shared" si="5"/>
        <v>Ciências</v>
      </c>
    </row>
    <row r="150" spans="1:31" s="12" customFormat="1" ht="43.2" x14ac:dyDescent="0.3">
      <c r="A150" s="12" t="s">
        <v>198</v>
      </c>
      <c r="B150" s="18" t="s">
        <v>6</v>
      </c>
      <c r="C150" s="18" t="s">
        <v>7</v>
      </c>
      <c r="D150" s="18" t="s">
        <v>8</v>
      </c>
      <c r="E150" s="20">
        <v>90</v>
      </c>
      <c r="F150" s="20">
        <v>3</v>
      </c>
      <c r="G150" s="20">
        <v>3</v>
      </c>
      <c r="H150" s="20"/>
      <c r="I150" s="21" t="s">
        <v>9</v>
      </c>
      <c r="J150" s="21"/>
      <c r="K150" s="20"/>
      <c r="L150" s="20"/>
      <c r="M150" s="21"/>
      <c r="N150" s="21"/>
      <c r="O150" s="24" t="s">
        <v>199</v>
      </c>
      <c r="P150" s="24"/>
      <c r="Q150" s="20"/>
      <c r="R150" s="22"/>
      <c r="S150" s="22"/>
      <c r="T150" s="22"/>
      <c r="U150" s="22"/>
      <c r="V150" s="22"/>
      <c r="W150" s="20" t="s">
        <v>154</v>
      </c>
      <c r="X150" s="4" t="str">
        <f>IF(Tabela2[[#This Row],[sigla]]="","",VLOOKUP(Tabela2[[#This Row],[sigla]],Tabela1[[#All],[Sigla Arte]:[Crédito]],2,0))</f>
        <v>KLEBER MAURÍCIO COELHO/ARQUIVO DA EDITORA</v>
      </c>
      <c r="Y150" s="21"/>
      <c r="Z150" s="21" t="str">
        <f>Tabela2[[#This Row],[ilustrador]]</f>
        <v>KLEBER MAURÍCIO COELHO/ARQUIVO DA EDITORA</v>
      </c>
      <c r="AA150" s="20"/>
      <c r="AB150" s="18"/>
      <c r="AC150" s="18"/>
      <c r="AD150" s="4" t="str">
        <f t="shared" si="4"/>
        <v>Plantar</v>
      </c>
      <c r="AE150" s="12" t="str">
        <f t="shared" si="5"/>
        <v>Ciências</v>
      </c>
    </row>
    <row r="151" spans="1:31" s="12" customFormat="1" ht="28.8" x14ac:dyDescent="0.3">
      <c r="A151" s="12" t="s">
        <v>200</v>
      </c>
      <c r="B151" s="18" t="s">
        <v>6</v>
      </c>
      <c r="C151" s="18" t="s">
        <v>7</v>
      </c>
      <c r="D151" s="18" t="s">
        <v>8</v>
      </c>
      <c r="E151" s="20">
        <v>90</v>
      </c>
      <c r="F151" s="20">
        <v>3</v>
      </c>
      <c r="G151" s="20">
        <v>3</v>
      </c>
      <c r="H151" s="20"/>
      <c r="I151" s="21" t="s">
        <v>9</v>
      </c>
      <c r="J151" s="21"/>
      <c r="K151" s="20"/>
      <c r="L151" s="20"/>
      <c r="M151" s="21"/>
      <c r="N151" s="21"/>
      <c r="O151" s="24" t="s">
        <v>201</v>
      </c>
      <c r="P151" s="24"/>
      <c r="Q151" s="20"/>
      <c r="R151" s="22"/>
      <c r="S151" s="22"/>
      <c r="T151" s="22"/>
      <c r="U151" s="22"/>
      <c r="V151" s="22"/>
      <c r="W151" s="20" t="s">
        <v>154</v>
      </c>
      <c r="X151" s="4" t="str">
        <f>IF(Tabela2[[#This Row],[sigla]]="","",VLOOKUP(Tabela2[[#This Row],[sigla]],Tabela1[[#All],[Sigla Arte]:[Crédito]],2,0))</f>
        <v>KLEBER MAURÍCIO COELHO/ARQUIVO DA EDITORA</v>
      </c>
      <c r="Y151" s="21"/>
      <c r="Z151" s="21" t="str">
        <f>Tabela2[[#This Row],[ilustrador]]</f>
        <v>KLEBER MAURÍCIO COELHO/ARQUIVO DA EDITORA</v>
      </c>
      <c r="AA151" s="20"/>
      <c r="AB151" s="18"/>
      <c r="AC151" s="18"/>
      <c r="AD151" s="4" t="str">
        <f t="shared" si="4"/>
        <v>Plantar</v>
      </c>
      <c r="AE151" s="12" t="str">
        <f t="shared" si="5"/>
        <v>Ciências</v>
      </c>
    </row>
    <row r="152" spans="1:31" s="12" customFormat="1" ht="28.8" x14ac:dyDescent="0.3">
      <c r="A152" s="12" t="s">
        <v>202</v>
      </c>
      <c r="B152" s="18" t="s">
        <v>6</v>
      </c>
      <c r="C152" s="18" t="s">
        <v>7</v>
      </c>
      <c r="D152" s="18" t="s">
        <v>8</v>
      </c>
      <c r="E152" s="20">
        <v>91</v>
      </c>
      <c r="F152" s="20">
        <v>3</v>
      </c>
      <c r="G152" s="20">
        <v>3</v>
      </c>
      <c r="H152" s="20"/>
      <c r="I152" s="21" t="s">
        <v>9</v>
      </c>
      <c r="J152" s="21"/>
      <c r="K152" s="20"/>
      <c r="L152" s="20"/>
      <c r="M152" s="21"/>
      <c r="N152" s="21"/>
      <c r="O152" s="24" t="s">
        <v>203</v>
      </c>
      <c r="P152" s="24"/>
      <c r="Q152" s="20"/>
      <c r="R152" s="22"/>
      <c r="S152" s="22"/>
      <c r="T152" s="22"/>
      <c r="U152" s="22"/>
      <c r="V152" s="22"/>
      <c r="W152" s="20" t="s">
        <v>70</v>
      </c>
      <c r="X152" s="4" t="str">
        <f>IF(Tabela2[[#This Row],[sigla]]="","",VLOOKUP(Tabela2[[#This Row],[sigla]],Tabela1[[#All],[Sigla Arte]:[Crédito]],2,0))</f>
        <v>ALEXANDRE DE SOUZA/ARQUIVO DA EDITORA</v>
      </c>
      <c r="Y152" s="21"/>
      <c r="Z152" s="21" t="str">
        <f>Tabela2[[#This Row],[ilustrador]]</f>
        <v>ALEXANDRE DE SOUZA/ARQUIVO DA EDITORA</v>
      </c>
      <c r="AA152" s="20"/>
      <c r="AB152" s="18"/>
      <c r="AC152" s="18"/>
      <c r="AD152" s="4" t="str">
        <f t="shared" si="4"/>
        <v>Plantar</v>
      </c>
      <c r="AE152" s="12" t="str">
        <f t="shared" si="5"/>
        <v>Ciências</v>
      </c>
    </row>
    <row r="153" spans="1:31" s="12" customFormat="1" ht="57.6" x14ac:dyDescent="0.3">
      <c r="A153" s="12" t="s">
        <v>265</v>
      </c>
      <c r="B153" s="18" t="s">
        <v>6</v>
      </c>
      <c r="C153" s="18" t="s">
        <v>7</v>
      </c>
      <c r="D153" s="18" t="s">
        <v>8</v>
      </c>
      <c r="E153" s="20">
        <v>93</v>
      </c>
      <c r="F153" s="20">
        <v>5</v>
      </c>
      <c r="G153" s="20">
        <v>3</v>
      </c>
      <c r="H153" s="20"/>
      <c r="I153" s="21" t="s">
        <v>9</v>
      </c>
      <c r="J153" s="21"/>
      <c r="K153" s="20"/>
      <c r="L153" s="20"/>
      <c r="M153" s="21"/>
      <c r="N153" s="21"/>
      <c r="O153" s="24" t="s">
        <v>266</v>
      </c>
      <c r="P153" s="24"/>
      <c r="Q153" s="20"/>
      <c r="R153" s="22"/>
      <c r="S153" s="22"/>
      <c r="T153" s="22"/>
      <c r="U153" s="22"/>
      <c r="V153" s="22"/>
      <c r="W153" s="20" t="s">
        <v>230</v>
      </c>
      <c r="X153" s="4" t="str">
        <f>IF(Tabela2[[#This Row],[sigla]]="","",VLOOKUP(Tabela2[[#This Row],[sigla]],Tabela1[[#All],[Sigla Arte]:[Crédito]],2,0))</f>
        <v>FERNANDA PARDINI BIAGIO/ARQUIVO DA EDITORA</v>
      </c>
      <c r="Y153" s="21"/>
      <c r="Z153" s="21" t="str">
        <f>Tabela2[[#This Row],[ilustrador]]</f>
        <v>FERNANDA PARDINI BIAGIO/ARQUIVO DA EDITORA</v>
      </c>
      <c r="AA153" s="20"/>
      <c r="AB153" s="18"/>
      <c r="AC153" s="18"/>
      <c r="AD153" s="4" t="str">
        <f t="shared" si="4"/>
        <v>Plantar</v>
      </c>
      <c r="AE153" s="12" t="str">
        <f t="shared" si="5"/>
        <v>Ciências</v>
      </c>
    </row>
    <row r="154" spans="1:31" s="12" customFormat="1" ht="43.2" x14ac:dyDescent="0.3">
      <c r="A154" s="12" t="s">
        <v>204</v>
      </c>
      <c r="B154" s="18" t="s">
        <v>6</v>
      </c>
      <c r="C154" s="18" t="s">
        <v>7</v>
      </c>
      <c r="D154" s="18" t="s">
        <v>8</v>
      </c>
      <c r="E154" s="20">
        <v>95</v>
      </c>
      <c r="F154" s="20">
        <v>3</v>
      </c>
      <c r="G154" s="20">
        <v>3</v>
      </c>
      <c r="H154" s="20"/>
      <c r="I154" s="21" t="s">
        <v>9</v>
      </c>
      <c r="J154" s="21"/>
      <c r="K154" s="20"/>
      <c r="L154" s="20"/>
      <c r="M154" s="21"/>
      <c r="N154" s="21"/>
      <c r="O154" s="24" t="s">
        <v>205</v>
      </c>
      <c r="P154" s="24"/>
      <c r="Q154" s="20"/>
      <c r="R154" s="22"/>
      <c r="S154" s="22"/>
      <c r="T154" s="22"/>
      <c r="U154" s="22"/>
      <c r="V154" s="22"/>
      <c r="W154" s="20" t="s">
        <v>11</v>
      </c>
      <c r="X154" s="4" t="str">
        <f>IF(Tabela2[[#This Row],[sigla]]="","",VLOOKUP(Tabela2[[#This Row],[sigla]],Tabela1[[#All],[Sigla Arte]:[Crédito]],2,0))</f>
        <v>HELOÍSA PINTARELLI/ARQUIVO DA EDITORA</v>
      </c>
      <c r="Y154" s="21"/>
      <c r="Z154" s="21" t="str">
        <f>Tabela2[[#This Row],[ilustrador]]</f>
        <v>HELOÍSA PINTARELLI/ARQUIVO DA EDITORA</v>
      </c>
      <c r="AA154" s="20"/>
      <c r="AB154" s="18"/>
      <c r="AC154" s="18"/>
      <c r="AD154" s="4" t="str">
        <f t="shared" si="4"/>
        <v>Plantar</v>
      </c>
      <c r="AE154" s="12" t="str">
        <f t="shared" si="5"/>
        <v>Ciências</v>
      </c>
    </row>
    <row r="155" spans="1:31" s="12" customFormat="1" ht="86.4" x14ac:dyDescent="0.3">
      <c r="A155" s="12" t="s">
        <v>206</v>
      </c>
      <c r="B155" s="18" t="s">
        <v>6</v>
      </c>
      <c r="C155" s="18" t="s">
        <v>7</v>
      </c>
      <c r="D155" s="18" t="s">
        <v>8</v>
      </c>
      <c r="E155" s="20">
        <v>96</v>
      </c>
      <c r="F155" s="20">
        <v>3</v>
      </c>
      <c r="G155" s="20">
        <v>3</v>
      </c>
      <c r="H155" s="20"/>
      <c r="I155" s="21" t="s">
        <v>9</v>
      </c>
      <c r="J155" s="21"/>
      <c r="K155" s="20"/>
      <c r="L155" s="20"/>
      <c r="M155" s="21"/>
      <c r="N155" s="21"/>
      <c r="O155" s="24" t="s">
        <v>207</v>
      </c>
      <c r="P155" s="24"/>
      <c r="Q155" s="20"/>
      <c r="R155" s="22"/>
      <c r="S155" s="22"/>
      <c r="T155" s="22"/>
      <c r="U155" s="22"/>
      <c r="V155" s="22"/>
      <c r="W155" s="20" t="s">
        <v>15</v>
      </c>
      <c r="X155" s="4" t="str">
        <f>IF(Tabela2[[#This Row],[sigla]]="","",VLOOKUP(Tabela2[[#This Row],[sigla]],Tabela1[[#All],[Sigla Arte]:[Crédito]],2,0))</f>
        <v>IVY NUNES/ARQUIVO DA EDITORA</v>
      </c>
      <c r="Y155" s="21"/>
      <c r="Z155" s="21" t="str">
        <f>Tabela2[[#This Row],[ilustrador]]</f>
        <v>IVY NUNES/ARQUIVO DA EDITORA</v>
      </c>
      <c r="AA155" s="20"/>
      <c r="AB155" s="18"/>
      <c r="AC155" s="18"/>
      <c r="AD155" s="4" t="str">
        <f t="shared" si="4"/>
        <v>Plantar</v>
      </c>
      <c r="AE155" s="12" t="str">
        <f t="shared" si="5"/>
        <v>Ciências</v>
      </c>
    </row>
    <row r="156" spans="1:31" s="12" customFormat="1" ht="86.4" x14ac:dyDescent="0.3">
      <c r="A156" s="12" t="s">
        <v>259</v>
      </c>
      <c r="B156" s="18" t="s">
        <v>6</v>
      </c>
      <c r="C156" s="18" t="s">
        <v>7</v>
      </c>
      <c r="D156" s="18" t="s">
        <v>8</v>
      </c>
      <c r="E156" s="20">
        <v>99</v>
      </c>
      <c r="F156" s="20">
        <v>5</v>
      </c>
      <c r="G156" s="20">
        <v>3</v>
      </c>
      <c r="H156" s="20"/>
      <c r="I156" s="21" t="s">
        <v>13</v>
      </c>
      <c r="J156" s="21"/>
      <c r="K156" s="20"/>
      <c r="L156" s="20"/>
      <c r="M156" s="21"/>
      <c r="N156" s="21"/>
      <c r="O156" s="24" t="s">
        <v>260</v>
      </c>
      <c r="P156" s="24"/>
      <c r="Q156" s="20">
        <v>1</v>
      </c>
      <c r="R156" s="22">
        <v>45747</v>
      </c>
      <c r="S156" s="22">
        <v>45747</v>
      </c>
      <c r="T156" s="22"/>
      <c r="U156" s="22"/>
      <c r="V156" s="22">
        <v>45750</v>
      </c>
      <c r="W156" s="20" t="s">
        <v>230</v>
      </c>
      <c r="X156" s="4" t="str">
        <f>IF(Tabela2[[#This Row],[sigla]]="","",VLOOKUP(Tabela2[[#This Row],[sigla]],Tabela1[[#All],[Sigla Arte]:[Crédito]],2,0))</f>
        <v>FERNANDA PARDINI BIAGIO/ARQUIVO DA EDITORA</v>
      </c>
      <c r="Y156" s="21" t="s">
        <v>220</v>
      </c>
      <c r="Z156" s="21" t="str">
        <f>Tabela2[[#This Row],[ilustrador]]</f>
        <v>FERNANDA PARDINI BIAGIO/ARQUIVO DA EDITORA</v>
      </c>
      <c r="AA156" s="20">
        <v>14</v>
      </c>
      <c r="AB156" s="18"/>
      <c r="AC156" s="18" t="s">
        <v>18</v>
      </c>
      <c r="AD156" s="4" t="str">
        <f t="shared" si="4"/>
        <v>Plantar</v>
      </c>
      <c r="AE156" s="12" t="str">
        <f t="shared" si="5"/>
        <v>Ciências</v>
      </c>
    </row>
    <row r="157" spans="1:31" s="12" customFormat="1" ht="28.8" x14ac:dyDescent="0.3">
      <c r="A157" s="12" t="s">
        <v>261</v>
      </c>
      <c r="B157" s="18" t="s">
        <v>6</v>
      </c>
      <c r="C157" s="18" t="s">
        <v>7</v>
      </c>
      <c r="D157" s="18" t="s">
        <v>8</v>
      </c>
      <c r="E157" s="20">
        <v>99</v>
      </c>
      <c r="F157" s="20">
        <v>5</v>
      </c>
      <c r="G157" s="20">
        <v>3</v>
      </c>
      <c r="H157" s="20"/>
      <c r="I157" s="21" t="s">
        <v>13</v>
      </c>
      <c r="J157" s="21"/>
      <c r="K157" s="20"/>
      <c r="L157" s="20"/>
      <c r="M157" s="21"/>
      <c r="N157" s="21"/>
      <c r="O157" s="24" t="s">
        <v>262</v>
      </c>
      <c r="P157" s="24"/>
      <c r="Q157" s="20">
        <v>1</v>
      </c>
      <c r="R157" s="22">
        <v>45747</v>
      </c>
      <c r="S157" s="22">
        <v>45747</v>
      </c>
      <c r="T157" s="22"/>
      <c r="U157" s="22"/>
      <c r="V157" s="22">
        <v>45750</v>
      </c>
      <c r="W157" s="20" t="s">
        <v>230</v>
      </c>
      <c r="X157" s="4" t="str">
        <f>IF(Tabela2[[#This Row],[sigla]]="","",VLOOKUP(Tabela2[[#This Row],[sigla]],Tabela1[[#All],[Sigla Arte]:[Crédito]],2,0))</f>
        <v>FERNANDA PARDINI BIAGIO/ARQUIVO DA EDITORA</v>
      </c>
      <c r="Y157" s="21" t="s">
        <v>220</v>
      </c>
      <c r="Z157" s="21" t="str">
        <f>Tabela2[[#This Row],[ilustrador]]</f>
        <v>FERNANDA PARDINI BIAGIO/ARQUIVO DA EDITORA</v>
      </c>
      <c r="AA157" s="20">
        <v>14</v>
      </c>
      <c r="AB157" s="18"/>
      <c r="AC157" s="18" t="s">
        <v>18</v>
      </c>
      <c r="AD157" s="4" t="str">
        <f t="shared" si="4"/>
        <v>Plantar</v>
      </c>
      <c r="AE157" s="12" t="str">
        <f t="shared" si="5"/>
        <v>Ciências</v>
      </c>
    </row>
    <row r="158" spans="1:31" s="12" customFormat="1" ht="28.8" x14ac:dyDescent="0.3">
      <c r="A158" s="12" t="s">
        <v>263</v>
      </c>
      <c r="B158" s="18" t="s">
        <v>6</v>
      </c>
      <c r="C158" s="18" t="s">
        <v>7</v>
      </c>
      <c r="D158" s="18" t="s">
        <v>8</v>
      </c>
      <c r="E158" s="20">
        <v>99</v>
      </c>
      <c r="F158" s="20">
        <v>5</v>
      </c>
      <c r="G158" s="20">
        <v>3</v>
      </c>
      <c r="H158" s="20"/>
      <c r="I158" s="21" t="s">
        <v>13</v>
      </c>
      <c r="J158" s="21"/>
      <c r="K158" s="20"/>
      <c r="L158" s="20"/>
      <c r="M158" s="21"/>
      <c r="N158" s="21"/>
      <c r="O158" s="24" t="s">
        <v>264</v>
      </c>
      <c r="P158" s="24"/>
      <c r="Q158" s="20">
        <v>1</v>
      </c>
      <c r="R158" s="22">
        <v>45747</v>
      </c>
      <c r="S158" s="22">
        <v>45747</v>
      </c>
      <c r="T158" s="22"/>
      <c r="U158" s="22"/>
      <c r="V158" s="22">
        <v>45750</v>
      </c>
      <c r="W158" s="20" t="s">
        <v>230</v>
      </c>
      <c r="X158" s="4" t="str">
        <f>IF(Tabela2[[#This Row],[sigla]]="","",VLOOKUP(Tabela2[[#This Row],[sigla]],Tabela1[[#All],[Sigla Arte]:[Crédito]],2,0))</f>
        <v>FERNANDA PARDINI BIAGIO/ARQUIVO DA EDITORA</v>
      </c>
      <c r="Y158" s="21" t="s">
        <v>220</v>
      </c>
      <c r="Z158" s="21" t="str">
        <f>Tabela2[[#This Row],[ilustrador]]</f>
        <v>FERNANDA PARDINI BIAGIO/ARQUIVO DA EDITORA</v>
      </c>
      <c r="AA158" s="20">
        <v>14</v>
      </c>
      <c r="AB158" s="18"/>
      <c r="AC158" s="18" t="s">
        <v>18</v>
      </c>
      <c r="AD158" s="4" t="str">
        <f t="shared" si="4"/>
        <v>Plantar</v>
      </c>
      <c r="AE158" s="12" t="str">
        <f t="shared" si="5"/>
        <v>Ciências</v>
      </c>
    </row>
    <row r="159" spans="1:31" s="12" customFormat="1" ht="28.8" x14ac:dyDescent="0.3">
      <c r="A159" s="12" t="s">
        <v>208</v>
      </c>
      <c r="B159" s="18" t="s">
        <v>6</v>
      </c>
      <c r="C159" s="18" t="s">
        <v>7</v>
      </c>
      <c r="D159" s="18" t="s">
        <v>8</v>
      </c>
      <c r="E159" s="20">
        <v>102</v>
      </c>
      <c r="F159" s="20">
        <v>3</v>
      </c>
      <c r="G159" s="20">
        <v>3</v>
      </c>
      <c r="H159" s="20"/>
      <c r="I159" s="21" t="s">
        <v>9</v>
      </c>
      <c r="J159" s="21"/>
      <c r="K159" s="20"/>
      <c r="L159" s="20"/>
      <c r="M159" s="21"/>
      <c r="N159" s="21"/>
      <c r="O159" s="24" t="s">
        <v>209</v>
      </c>
      <c r="P159" s="24"/>
      <c r="Q159" s="20"/>
      <c r="R159" s="22"/>
      <c r="S159" s="22"/>
      <c r="T159" s="22"/>
      <c r="U159" s="22"/>
      <c r="V159" s="22"/>
      <c r="W159" s="20" t="s">
        <v>135</v>
      </c>
      <c r="X159" s="4" t="str">
        <f>IF(Tabela2[[#This Row],[sigla]]="","",VLOOKUP(Tabela2[[#This Row],[sigla]],Tabela1[[#All],[Sigla Arte]:[Crédito]],2,0))</f>
        <v>CARLITOS PINHEIRO/ARQUIVO DA EDITORA</v>
      </c>
      <c r="Y159" s="21"/>
      <c r="Z159" s="21" t="str">
        <f>Tabela2[[#This Row],[ilustrador]]</f>
        <v>CARLITOS PINHEIRO/ARQUIVO DA EDITORA</v>
      </c>
      <c r="AA159" s="20"/>
      <c r="AB159" s="18"/>
      <c r="AC159" s="18"/>
      <c r="AD159" s="4" t="str">
        <f t="shared" si="4"/>
        <v>Plantar</v>
      </c>
      <c r="AE159" s="12" t="str">
        <f t="shared" si="5"/>
        <v>Ciências</v>
      </c>
    </row>
    <row r="160" spans="1:31" s="12" customFormat="1" ht="28.8" x14ac:dyDescent="0.3">
      <c r="A160" s="12" t="s">
        <v>210</v>
      </c>
      <c r="B160" s="18" t="s">
        <v>6</v>
      </c>
      <c r="C160" s="18" t="s">
        <v>7</v>
      </c>
      <c r="D160" s="18" t="s">
        <v>8</v>
      </c>
      <c r="E160" s="20">
        <v>102</v>
      </c>
      <c r="F160" s="20">
        <v>3</v>
      </c>
      <c r="G160" s="20">
        <v>3</v>
      </c>
      <c r="H160" s="20"/>
      <c r="I160" s="21" t="s">
        <v>9</v>
      </c>
      <c r="J160" s="21"/>
      <c r="K160" s="20"/>
      <c r="L160" s="20"/>
      <c r="M160" s="21"/>
      <c r="N160" s="21"/>
      <c r="O160" s="24" t="s">
        <v>211</v>
      </c>
      <c r="P160" s="24"/>
      <c r="Q160" s="20"/>
      <c r="R160" s="22"/>
      <c r="S160" s="22"/>
      <c r="T160" s="22"/>
      <c r="U160" s="22"/>
      <c r="V160" s="22"/>
      <c r="W160" s="20" t="s">
        <v>135</v>
      </c>
      <c r="X160" s="4" t="str">
        <f>IF(Tabela2[[#This Row],[sigla]]="","",VLOOKUP(Tabela2[[#This Row],[sigla]],Tabela1[[#All],[Sigla Arte]:[Crédito]],2,0))</f>
        <v>CARLITOS PINHEIRO/ARQUIVO DA EDITORA</v>
      </c>
      <c r="Y160" s="21"/>
      <c r="Z160" s="21" t="str">
        <f>Tabela2[[#This Row],[ilustrador]]</f>
        <v>CARLITOS PINHEIRO/ARQUIVO DA EDITORA</v>
      </c>
      <c r="AA160" s="20"/>
      <c r="AB160" s="18"/>
      <c r="AC160" s="18"/>
      <c r="AD160" s="4" t="str">
        <f t="shared" si="4"/>
        <v>Plantar</v>
      </c>
      <c r="AE160" s="12" t="str">
        <f t="shared" si="5"/>
        <v>Ciências</v>
      </c>
    </row>
    <row r="161" spans="1:31" s="12" customFormat="1" ht="72" x14ac:dyDescent="0.3">
      <c r="A161" s="12" t="s">
        <v>212</v>
      </c>
      <c r="B161" s="18" t="s">
        <v>6</v>
      </c>
      <c r="C161" s="18" t="s">
        <v>7</v>
      </c>
      <c r="D161" s="18" t="s">
        <v>8</v>
      </c>
      <c r="E161" s="20">
        <v>103</v>
      </c>
      <c r="F161" s="20">
        <v>3</v>
      </c>
      <c r="G161" s="20">
        <v>3</v>
      </c>
      <c r="H161" s="20"/>
      <c r="I161" s="21" t="s">
        <v>9</v>
      </c>
      <c r="J161" s="21"/>
      <c r="K161" s="20"/>
      <c r="L161" s="20"/>
      <c r="M161" s="21"/>
      <c r="N161" s="21"/>
      <c r="O161" s="24" t="s">
        <v>213</v>
      </c>
      <c r="P161" s="24"/>
      <c r="Q161" s="20"/>
      <c r="R161" s="22"/>
      <c r="S161" s="22"/>
      <c r="T161" s="22"/>
      <c r="U161" s="22"/>
      <c r="V161" s="22"/>
      <c r="W161" s="20" t="s">
        <v>135</v>
      </c>
      <c r="X161" s="4" t="str">
        <f>IF(Tabela2[[#This Row],[sigla]]="","",VLOOKUP(Tabela2[[#This Row],[sigla]],Tabela1[[#All],[Sigla Arte]:[Crédito]],2,0))</f>
        <v>CARLITOS PINHEIRO/ARQUIVO DA EDITORA</v>
      </c>
      <c r="Y161" s="21"/>
      <c r="Z161" s="21" t="str">
        <f>Tabela2[[#This Row],[ilustrador]]</f>
        <v>CARLITOS PINHEIRO/ARQUIVO DA EDITORA</v>
      </c>
      <c r="AA161" s="20"/>
      <c r="AB161" s="18"/>
      <c r="AC161" s="18"/>
      <c r="AD161" s="4" t="str">
        <f t="shared" si="4"/>
        <v>Plantar</v>
      </c>
      <c r="AE161" s="12" t="str">
        <f t="shared" si="5"/>
        <v>Ciências</v>
      </c>
    </row>
    <row r="162" spans="1:31" s="12" customFormat="1" ht="86.4" x14ac:dyDescent="0.3">
      <c r="A162" s="12" t="s">
        <v>214</v>
      </c>
      <c r="B162" s="18" t="s">
        <v>6</v>
      </c>
      <c r="C162" s="18" t="s">
        <v>7</v>
      </c>
      <c r="D162" s="18" t="s">
        <v>8</v>
      </c>
      <c r="E162" s="20">
        <v>103</v>
      </c>
      <c r="F162" s="20">
        <v>3</v>
      </c>
      <c r="G162" s="20">
        <v>3</v>
      </c>
      <c r="H162" s="20"/>
      <c r="I162" s="21" t="s">
        <v>9</v>
      </c>
      <c r="J162" s="21"/>
      <c r="K162" s="20"/>
      <c r="L162" s="20"/>
      <c r="M162" s="21"/>
      <c r="N162" s="21"/>
      <c r="O162" s="24" t="s">
        <v>215</v>
      </c>
      <c r="P162" s="24"/>
      <c r="Q162" s="20"/>
      <c r="R162" s="22"/>
      <c r="S162" s="22"/>
      <c r="T162" s="22"/>
      <c r="U162" s="22"/>
      <c r="V162" s="22"/>
      <c r="W162" s="20" t="s">
        <v>135</v>
      </c>
      <c r="X162" s="4" t="str">
        <f>IF(Tabela2[[#This Row],[sigla]]="","",VLOOKUP(Tabela2[[#This Row],[sigla]],Tabela1[[#All],[Sigla Arte]:[Crédito]],2,0))</f>
        <v>CARLITOS PINHEIRO/ARQUIVO DA EDITORA</v>
      </c>
      <c r="Y162" s="21"/>
      <c r="Z162" s="21" t="str">
        <f>Tabela2[[#This Row],[ilustrador]]</f>
        <v>CARLITOS PINHEIRO/ARQUIVO DA EDITORA</v>
      </c>
      <c r="AA162" s="20"/>
      <c r="AB162" s="18"/>
      <c r="AC162" s="18"/>
      <c r="AD162" s="4" t="str">
        <f t="shared" si="4"/>
        <v>Plantar</v>
      </c>
      <c r="AE162" s="12" t="str">
        <f t="shared" si="5"/>
        <v>Ciências</v>
      </c>
    </row>
    <row r="163" spans="1:31" s="12" customFormat="1" ht="28.8" x14ac:dyDescent="0.3">
      <c r="A163" s="12" t="s">
        <v>216</v>
      </c>
      <c r="B163" s="18" t="s">
        <v>6</v>
      </c>
      <c r="C163" s="18" t="s">
        <v>7</v>
      </c>
      <c r="D163" s="18" t="s">
        <v>8</v>
      </c>
      <c r="E163" s="20">
        <v>103</v>
      </c>
      <c r="F163" s="20">
        <v>3</v>
      </c>
      <c r="G163" s="20">
        <v>3</v>
      </c>
      <c r="H163" s="20"/>
      <c r="I163" s="21" t="s">
        <v>9</v>
      </c>
      <c r="J163" s="21"/>
      <c r="K163" s="20"/>
      <c r="L163" s="20"/>
      <c r="M163" s="21"/>
      <c r="N163" s="21"/>
      <c r="O163" s="24" t="s">
        <v>217</v>
      </c>
      <c r="P163" s="24"/>
      <c r="Q163" s="20"/>
      <c r="R163" s="22"/>
      <c r="S163" s="22"/>
      <c r="T163" s="22"/>
      <c r="U163" s="22"/>
      <c r="V163" s="22"/>
      <c r="W163" s="20" t="s">
        <v>135</v>
      </c>
      <c r="X163" s="4" t="str">
        <f>IF(Tabela2[[#This Row],[sigla]]="","",VLOOKUP(Tabela2[[#This Row],[sigla]],Tabela1[[#All],[Sigla Arte]:[Crédito]],2,0))</f>
        <v>CARLITOS PINHEIRO/ARQUIVO DA EDITORA</v>
      </c>
      <c r="Y163" s="21"/>
      <c r="Z163" s="21" t="str">
        <f>Tabela2[[#This Row],[ilustrador]]</f>
        <v>CARLITOS PINHEIRO/ARQUIVO DA EDITORA</v>
      </c>
      <c r="AA163" s="20"/>
      <c r="AB163" s="18"/>
      <c r="AC163" s="18"/>
      <c r="AD163" s="4" t="str">
        <f t="shared" si="4"/>
        <v>Plantar</v>
      </c>
      <c r="AE163" s="12" t="str">
        <f t="shared" si="5"/>
        <v>Ciências</v>
      </c>
    </row>
    <row r="164" spans="1:31" s="12" customFormat="1" ht="43.2" x14ac:dyDescent="0.3">
      <c r="A164" s="12" t="s">
        <v>466</v>
      </c>
      <c r="B164" s="18" t="s">
        <v>6</v>
      </c>
      <c r="C164" s="18" t="s">
        <v>7</v>
      </c>
      <c r="D164" s="18" t="s">
        <v>8</v>
      </c>
      <c r="E164" s="20">
        <v>102</v>
      </c>
      <c r="F164" s="20">
        <v>4</v>
      </c>
      <c r="G164" s="20">
        <v>4</v>
      </c>
      <c r="H164" s="20"/>
      <c r="I164" s="21" t="s">
        <v>13</v>
      </c>
      <c r="J164" s="21"/>
      <c r="K164" s="20"/>
      <c r="L164" s="20"/>
      <c r="M164" s="21"/>
      <c r="N164" s="21"/>
      <c r="O164" s="24" t="s">
        <v>467</v>
      </c>
      <c r="P164" s="24"/>
      <c r="Q164" s="20">
        <v>8</v>
      </c>
      <c r="R164" s="22">
        <v>45772</v>
      </c>
      <c r="S164" s="22">
        <v>45790</v>
      </c>
      <c r="T164" s="22"/>
      <c r="U164" s="22"/>
      <c r="V164" s="22">
        <v>45792</v>
      </c>
      <c r="W164" s="20" t="s">
        <v>11</v>
      </c>
      <c r="X164" s="4" t="str">
        <f>IF(Tabela2[[#This Row],[sigla]]="","",VLOOKUP(Tabela2[[#This Row],[sigla]],Tabela1[[#All],[Sigla Arte]:[Crédito]],2,0))</f>
        <v>HELOÍSA PINTARELLI/ARQUIVO DA EDITORA</v>
      </c>
      <c r="Y164" s="21" t="s">
        <v>16</v>
      </c>
      <c r="Z164" s="21" t="str">
        <f>Tabela2[[#This Row],[ilustrador]]</f>
        <v>HELOÍSA PINTARELLI/ARQUIVO DA EDITORA</v>
      </c>
      <c r="AA164" s="20">
        <v>13</v>
      </c>
      <c r="AB164" s="18" t="s">
        <v>468</v>
      </c>
      <c r="AC164" s="18" t="s">
        <v>18</v>
      </c>
      <c r="AD164" s="4" t="str">
        <f t="shared" si="4"/>
        <v>Plantar</v>
      </c>
      <c r="AE164" s="12" t="str">
        <f t="shared" si="5"/>
        <v>Ciências</v>
      </c>
    </row>
    <row r="165" spans="1:31" s="12" customFormat="1" ht="43.2" x14ac:dyDescent="0.3">
      <c r="A165" s="12" t="s">
        <v>469</v>
      </c>
      <c r="B165" s="18" t="s">
        <v>6</v>
      </c>
      <c r="C165" s="18" t="s">
        <v>7</v>
      </c>
      <c r="D165" s="18" t="s">
        <v>8</v>
      </c>
      <c r="E165" s="20">
        <v>106</v>
      </c>
      <c r="F165" s="20">
        <v>4</v>
      </c>
      <c r="G165" s="20">
        <v>4</v>
      </c>
      <c r="H165" s="20"/>
      <c r="I165" s="21" t="s">
        <v>13</v>
      </c>
      <c r="J165" s="21"/>
      <c r="K165" s="20"/>
      <c r="L165" s="20"/>
      <c r="M165" s="21"/>
      <c r="N165" s="21"/>
      <c r="O165" s="24" t="s">
        <v>470</v>
      </c>
      <c r="P165" s="24"/>
      <c r="Q165" s="20">
        <v>8</v>
      </c>
      <c r="R165" s="22">
        <v>45772</v>
      </c>
      <c r="S165" s="22">
        <v>45790</v>
      </c>
      <c r="T165" s="22"/>
      <c r="U165" s="22"/>
      <c r="V165" s="22">
        <v>45792</v>
      </c>
      <c r="W165" s="20" t="s">
        <v>11</v>
      </c>
      <c r="X165" s="4" t="str">
        <f>IF(Tabela2[[#This Row],[sigla]]="","",VLOOKUP(Tabela2[[#This Row],[sigla]],Tabela1[[#All],[Sigla Arte]:[Crédito]],2,0))</f>
        <v>HELOÍSA PINTARELLI/ARQUIVO DA EDITORA</v>
      </c>
      <c r="Y165" s="21" t="s">
        <v>16</v>
      </c>
      <c r="Z165" s="21" t="str">
        <f>Tabela2[[#This Row],[ilustrador]]</f>
        <v>HELOÍSA PINTARELLI/ARQUIVO DA EDITORA</v>
      </c>
      <c r="AA165" s="20">
        <v>13</v>
      </c>
      <c r="AB165" s="18" t="s">
        <v>468</v>
      </c>
      <c r="AC165" s="18" t="s">
        <v>18</v>
      </c>
      <c r="AD165" s="4" t="str">
        <f t="shared" si="4"/>
        <v>Plantar</v>
      </c>
      <c r="AE165" s="12" t="str">
        <f t="shared" si="5"/>
        <v>Ciências</v>
      </c>
    </row>
    <row r="166" spans="1:31" s="12" customFormat="1" ht="43.2" x14ac:dyDescent="0.3">
      <c r="A166" s="12" t="s">
        <v>471</v>
      </c>
      <c r="B166" s="18" t="s">
        <v>6</v>
      </c>
      <c r="C166" s="18" t="s">
        <v>7</v>
      </c>
      <c r="D166" s="18" t="s">
        <v>8</v>
      </c>
      <c r="E166" s="20">
        <v>110</v>
      </c>
      <c r="F166" s="20">
        <v>4</v>
      </c>
      <c r="G166" s="20">
        <v>4</v>
      </c>
      <c r="H166" s="20"/>
      <c r="I166" s="21" t="s">
        <v>13</v>
      </c>
      <c r="J166" s="21"/>
      <c r="K166" s="20"/>
      <c r="L166" s="20"/>
      <c r="M166" s="21"/>
      <c r="N166" s="21"/>
      <c r="O166" s="24" t="s">
        <v>472</v>
      </c>
      <c r="P166" s="24"/>
      <c r="Q166" s="20">
        <v>8</v>
      </c>
      <c r="R166" s="22">
        <v>45772</v>
      </c>
      <c r="S166" s="22">
        <v>45790</v>
      </c>
      <c r="T166" s="22"/>
      <c r="U166" s="22"/>
      <c r="V166" s="22">
        <v>45792</v>
      </c>
      <c r="W166" s="20" t="s">
        <v>245</v>
      </c>
      <c r="X166" s="4" t="str">
        <f>IF(Tabela2[[#This Row],[sigla]]="","",VLOOKUP(Tabela2[[#This Row],[sigla]],Tabela1[[#All],[Sigla Arte]:[Crédito]],2,0))</f>
        <v>VER DOCUMENTO DE ILS. TÉCNICAS</v>
      </c>
      <c r="Y166" s="21" t="s">
        <v>16</v>
      </c>
      <c r="Z166" s="21" t="str">
        <f>Tabela2[[#This Row],[ilustrador]]</f>
        <v>VER DOCUMENTO DE ILS. TÉCNICAS</v>
      </c>
      <c r="AA166" s="20">
        <v>13</v>
      </c>
      <c r="AB166" s="18" t="s">
        <v>468</v>
      </c>
      <c r="AC166" s="18" t="s">
        <v>18</v>
      </c>
      <c r="AD166" s="4" t="str">
        <f t="shared" si="4"/>
        <v>Plantar</v>
      </c>
      <c r="AE166" s="12" t="str">
        <f t="shared" si="5"/>
        <v>Ciências</v>
      </c>
    </row>
    <row r="167" spans="1:31" s="12" customFormat="1" ht="72" x14ac:dyDescent="0.3">
      <c r="A167" s="12" t="s">
        <v>473</v>
      </c>
      <c r="B167" s="18" t="s">
        <v>6</v>
      </c>
      <c r="C167" s="18" t="s">
        <v>7</v>
      </c>
      <c r="D167" s="18" t="s">
        <v>8</v>
      </c>
      <c r="E167" s="20">
        <v>111</v>
      </c>
      <c r="F167" s="20">
        <v>4</v>
      </c>
      <c r="G167" s="20">
        <v>4</v>
      </c>
      <c r="H167" s="20"/>
      <c r="I167" s="21" t="s">
        <v>13</v>
      </c>
      <c r="J167" s="21"/>
      <c r="K167" s="20"/>
      <c r="L167" s="20"/>
      <c r="M167" s="21"/>
      <c r="N167" s="21"/>
      <c r="O167" s="24" t="s">
        <v>474</v>
      </c>
      <c r="P167" s="24"/>
      <c r="Q167" s="20">
        <v>8</v>
      </c>
      <c r="R167" s="22">
        <v>45772</v>
      </c>
      <c r="S167" s="22">
        <v>45790</v>
      </c>
      <c r="T167" s="22"/>
      <c r="U167" s="22"/>
      <c r="V167" s="22">
        <v>45792</v>
      </c>
      <c r="W167" s="20" t="s">
        <v>59</v>
      </c>
      <c r="X167" s="4" t="str">
        <f>IF(Tabela2[[#This Row],[sigla]]="","",VLOOKUP(Tabela2[[#This Row],[sigla]],Tabela1[[#All],[Sigla Arte]:[Crédito]],2,0))</f>
        <v>FERNANDA MONTEIRO/ARQUIVO DA EDITORA</v>
      </c>
      <c r="Y167" s="21" t="s">
        <v>16</v>
      </c>
      <c r="Z167" s="21" t="str">
        <f>Tabela2[[#This Row],[ilustrador]]</f>
        <v>FERNANDA MONTEIRO/ARQUIVO DA EDITORA</v>
      </c>
      <c r="AA167" s="20">
        <v>13</v>
      </c>
      <c r="AB167" s="18" t="s">
        <v>468</v>
      </c>
      <c r="AC167" s="18" t="s">
        <v>18</v>
      </c>
      <c r="AD167" s="4" t="str">
        <f t="shared" si="4"/>
        <v>Plantar</v>
      </c>
      <c r="AE167" s="12" t="str">
        <f t="shared" si="5"/>
        <v>Ciências</v>
      </c>
    </row>
    <row r="168" spans="1:31" s="12" customFormat="1" ht="28.8" x14ac:dyDescent="0.3">
      <c r="A168" s="12" t="s">
        <v>475</v>
      </c>
      <c r="B168" s="18" t="s">
        <v>6</v>
      </c>
      <c r="C168" s="18" t="s">
        <v>7</v>
      </c>
      <c r="D168" s="18" t="s">
        <v>8</v>
      </c>
      <c r="E168" s="20">
        <v>116</v>
      </c>
      <c r="F168" s="20">
        <v>4</v>
      </c>
      <c r="G168" s="20">
        <v>4</v>
      </c>
      <c r="H168" s="20"/>
      <c r="I168" s="21" t="s">
        <v>13</v>
      </c>
      <c r="J168" s="21"/>
      <c r="K168" s="20"/>
      <c r="L168" s="20"/>
      <c r="M168" s="21"/>
      <c r="N168" s="21"/>
      <c r="O168" s="24" t="s">
        <v>476</v>
      </c>
      <c r="P168" s="24"/>
      <c r="Q168" s="20">
        <v>8</v>
      </c>
      <c r="R168" s="22">
        <v>45772</v>
      </c>
      <c r="S168" s="22">
        <v>45790</v>
      </c>
      <c r="T168" s="22"/>
      <c r="U168" s="22"/>
      <c r="V168" s="22">
        <v>45792</v>
      </c>
      <c r="W168" s="20" t="s">
        <v>22</v>
      </c>
      <c r="X168" s="4" t="str">
        <f>IF(Tabela2[[#This Row],[sigla]]="","",VLOOKUP(Tabela2[[#This Row],[sigla]],Tabela1[[#All],[Sigla Arte]:[Crédito]],2,0))</f>
        <v>MÁRCIO GUERRA/ARQUIVO DA EDITORA</v>
      </c>
      <c r="Y168" s="21" t="s">
        <v>16</v>
      </c>
      <c r="Z168" s="21" t="str">
        <f>Tabela2[[#This Row],[ilustrador]]</f>
        <v>MÁRCIO GUERRA/ARQUIVO DA EDITORA</v>
      </c>
      <c r="AA168" s="20">
        <v>13</v>
      </c>
      <c r="AB168" s="18" t="s">
        <v>468</v>
      </c>
      <c r="AC168" s="18" t="s">
        <v>18</v>
      </c>
      <c r="AD168" s="4" t="str">
        <f t="shared" si="4"/>
        <v>Plantar</v>
      </c>
      <c r="AE168" s="12" t="str">
        <f t="shared" si="5"/>
        <v>Ciências</v>
      </c>
    </row>
    <row r="169" spans="1:31" s="12" customFormat="1" ht="28.8" x14ac:dyDescent="0.3">
      <c r="A169" s="12" t="s">
        <v>477</v>
      </c>
      <c r="B169" s="18" t="s">
        <v>6</v>
      </c>
      <c r="C169" s="18" t="s">
        <v>7</v>
      </c>
      <c r="D169" s="18" t="s">
        <v>8</v>
      </c>
      <c r="E169" s="20">
        <v>121</v>
      </c>
      <c r="F169" s="20">
        <v>4</v>
      </c>
      <c r="G169" s="20">
        <v>4</v>
      </c>
      <c r="H169" s="20"/>
      <c r="I169" s="21" t="s">
        <v>13</v>
      </c>
      <c r="J169" s="21"/>
      <c r="K169" s="20"/>
      <c r="L169" s="20"/>
      <c r="M169" s="21"/>
      <c r="N169" s="21"/>
      <c r="O169" s="24" t="s">
        <v>478</v>
      </c>
      <c r="P169" s="24"/>
      <c r="Q169" s="20">
        <v>8</v>
      </c>
      <c r="R169" s="22">
        <v>45772</v>
      </c>
      <c r="S169" s="22">
        <v>45790</v>
      </c>
      <c r="T169" s="22"/>
      <c r="U169" s="22"/>
      <c r="V169" s="22">
        <v>45792</v>
      </c>
      <c r="W169" s="20" t="s">
        <v>225</v>
      </c>
      <c r="X169" s="4" t="str">
        <f>IF(Tabela2[[#This Row],[sigla]]="","",VLOOKUP(Tabela2[[#This Row],[sigla]],Tabela1[[#All],[Sigla Arte]:[Crédito]],2,0))</f>
        <v>KATHARINE FROTA/ARQUIVO DA EDITORA</v>
      </c>
      <c r="Y169" s="21" t="s">
        <v>16</v>
      </c>
      <c r="Z169" s="21" t="str">
        <f>Tabela2[[#This Row],[ilustrador]]</f>
        <v>KATHARINE FROTA/ARQUIVO DA EDITORA</v>
      </c>
      <c r="AA169" s="20">
        <v>13</v>
      </c>
      <c r="AB169" s="18" t="s">
        <v>468</v>
      </c>
      <c r="AC169" s="18" t="s">
        <v>18</v>
      </c>
      <c r="AD169" s="4" t="str">
        <f t="shared" si="4"/>
        <v>Plantar</v>
      </c>
      <c r="AE169" s="12" t="str">
        <f t="shared" si="5"/>
        <v>Ciências</v>
      </c>
    </row>
    <row r="170" spans="1:31" s="12" customFormat="1" ht="28.8" x14ac:dyDescent="0.3">
      <c r="A170" s="12" t="s">
        <v>479</v>
      </c>
      <c r="B170" s="18" t="s">
        <v>6</v>
      </c>
      <c r="C170" s="18" t="s">
        <v>7</v>
      </c>
      <c r="D170" s="18" t="s">
        <v>8</v>
      </c>
      <c r="E170" s="20">
        <v>127</v>
      </c>
      <c r="F170" s="20">
        <v>4</v>
      </c>
      <c r="G170" s="20">
        <v>4</v>
      </c>
      <c r="H170" s="20"/>
      <c r="I170" s="21" t="s">
        <v>13</v>
      </c>
      <c r="J170" s="21"/>
      <c r="K170" s="20"/>
      <c r="L170" s="20"/>
      <c r="M170" s="21"/>
      <c r="N170" s="21"/>
      <c r="O170" s="24" t="s">
        <v>480</v>
      </c>
      <c r="P170" s="24"/>
      <c r="Q170" s="20">
        <v>8</v>
      </c>
      <c r="R170" s="22">
        <v>45772</v>
      </c>
      <c r="S170" s="22">
        <v>45790</v>
      </c>
      <c r="T170" s="22"/>
      <c r="U170" s="22"/>
      <c r="V170" s="22">
        <v>45792</v>
      </c>
      <c r="W170" s="20" t="s">
        <v>22</v>
      </c>
      <c r="X170" s="4" t="str">
        <f>IF(Tabela2[[#This Row],[sigla]]="","",VLOOKUP(Tabela2[[#This Row],[sigla]],Tabela1[[#All],[Sigla Arte]:[Crédito]],2,0))</f>
        <v>MÁRCIO GUERRA/ARQUIVO DA EDITORA</v>
      </c>
      <c r="Y170" s="21" t="s">
        <v>16</v>
      </c>
      <c r="Z170" s="21" t="str">
        <f>Tabela2[[#This Row],[ilustrador]]</f>
        <v>MÁRCIO GUERRA/ARQUIVO DA EDITORA</v>
      </c>
      <c r="AA170" s="20">
        <v>13</v>
      </c>
      <c r="AB170" s="18" t="s">
        <v>468</v>
      </c>
      <c r="AC170" s="18" t="s">
        <v>18</v>
      </c>
      <c r="AD170" s="4" t="str">
        <f t="shared" si="4"/>
        <v>Plantar</v>
      </c>
      <c r="AE170" s="12" t="str">
        <f t="shared" si="5"/>
        <v>Ciências</v>
      </c>
    </row>
    <row r="171" spans="1:31" s="12" customFormat="1" ht="115.2" x14ac:dyDescent="0.3">
      <c r="A171" s="12" t="s">
        <v>116</v>
      </c>
      <c r="B171" s="18" t="s">
        <v>6</v>
      </c>
      <c r="C171" s="18" t="s">
        <v>7</v>
      </c>
      <c r="D171" s="18" t="s">
        <v>8</v>
      </c>
      <c r="E171" s="20">
        <v>111</v>
      </c>
      <c r="F171" s="20">
        <v>3</v>
      </c>
      <c r="G171" s="20">
        <v>4</v>
      </c>
      <c r="H171" s="20"/>
      <c r="I171" s="21" t="s">
        <v>9</v>
      </c>
      <c r="J171" s="21"/>
      <c r="K171" s="20"/>
      <c r="L171" s="20"/>
      <c r="M171" s="21"/>
      <c r="N171" s="21"/>
      <c r="O171" s="24" t="s">
        <v>117</v>
      </c>
      <c r="P171" s="24"/>
      <c r="Q171" s="20"/>
      <c r="R171" s="22"/>
      <c r="S171" s="22"/>
      <c r="T171" s="22"/>
      <c r="U171" s="22"/>
      <c r="V171" s="22"/>
      <c r="W171" s="20" t="s">
        <v>118</v>
      </c>
      <c r="X171" s="4" t="str">
        <f>IF(Tabela2[[#This Row],[sigla]]="","",VLOOKUP(Tabela2[[#This Row],[sigla]],Tabela1[[#All],[Sigla Arte]:[Crédito]],2,0))</f>
        <v>SABRINA ERAS/ARQUIVO DA EDITORA</v>
      </c>
      <c r="Y171" s="21"/>
      <c r="Z171" s="21" t="str">
        <f>Tabela2[[#This Row],[ilustrador]]</f>
        <v>SABRINA ERAS/ARQUIVO DA EDITORA</v>
      </c>
      <c r="AA171" s="20"/>
      <c r="AB171" s="18"/>
      <c r="AC171" s="18"/>
      <c r="AD171" s="4" t="str">
        <f t="shared" si="4"/>
        <v>Plantar</v>
      </c>
      <c r="AE171" s="12" t="str">
        <f t="shared" si="5"/>
        <v>Ciências</v>
      </c>
    </row>
    <row r="172" spans="1:31" s="12" customFormat="1" ht="28.8" x14ac:dyDescent="0.3">
      <c r="A172" s="12" t="s">
        <v>119</v>
      </c>
      <c r="B172" s="18" t="s">
        <v>6</v>
      </c>
      <c r="C172" s="18" t="s">
        <v>7</v>
      </c>
      <c r="D172" s="18" t="s">
        <v>8</v>
      </c>
      <c r="E172" s="20">
        <v>112</v>
      </c>
      <c r="F172" s="20">
        <v>3</v>
      </c>
      <c r="G172" s="20">
        <v>4</v>
      </c>
      <c r="H172" s="20"/>
      <c r="I172" s="21" t="s">
        <v>9</v>
      </c>
      <c r="J172" s="21"/>
      <c r="K172" s="20"/>
      <c r="L172" s="20"/>
      <c r="M172" s="21"/>
      <c r="N172" s="21"/>
      <c r="O172" s="24" t="s">
        <v>120</v>
      </c>
      <c r="P172" s="24"/>
      <c r="Q172" s="20"/>
      <c r="R172" s="22"/>
      <c r="S172" s="22"/>
      <c r="T172" s="22"/>
      <c r="U172" s="22"/>
      <c r="V172" s="22"/>
      <c r="W172" s="20" t="s">
        <v>118</v>
      </c>
      <c r="X172" s="4" t="str">
        <f>IF(Tabela2[[#This Row],[sigla]]="","",VLOOKUP(Tabela2[[#This Row],[sigla]],Tabela1[[#All],[Sigla Arte]:[Crédito]],2,0))</f>
        <v>SABRINA ERAS/ARQUIVO DA EDITORA</v>
      </c>
      <c r="Y172" s="21"/>
      <c r="Z172" s="21" t="str">
        <f>Tabela2[[#This Row],[ilustrador]]</f>
        <v>SABRINA ERAS/ARQUIVO DA EDITORA</v>
      </c>
      <c r="AA172" s="20"/>
      <c r="AB172" s="18"/>
      <c r="AC172" s="18"/>
      <c r="AD172" s="4" t="str">
        <f t="shared" si="4"/>
        <v>Plantar</v>
      </c>
      <c r="AE172" s="12" t="str">
        <f t="shared" si="5"/>
        <v>Ciências</v>
      </c>
    </row>
    <row r="173" spans="1:31" s="12" customFormat="1" ht="43.2" x14ac:dyDescent="0.3">
      <c r="A173" s="12" t="s">
        <v>272</v>
      </c>
      <c r="B173" s="18" t="s">
        <v>6</v>
      </c>
      <c r="C173" s="18" t="s">
        <v>7</v>
      </c>
      <c r="D173" s="18" t="s">
        <v>8</v>
      </c>
      <c r="E173" s="20">
        <v>105</v>
      </c>
      <c r="F173" s="20">
        <v>5</v>
      </c>
      <c r="G173" s="20">
        <v>4</v>
      </c>
      <c r="H173" s="20"/>
      <c r="I173" s="21" t="s">
        <v>13</v>
      </c>
      <c r="J173" s="21"/>
      <c r="K173" s="20"/>
      <c r="L173" s="20"/>
      <c r="M173" s="21"/>
      <c r="N173" s="21"/>
      <c r="O173" s="24" t="s">
        <v>273</v>
      </c>
      <c r="P173" s="24"/>
      <c r="Q173" s="20">
        <v>3</v>
      </c>
      <c r="R173" s="22">
        <v>45749</v>
      </c>
      <c r="S173" s="22">
        <v>45755</v>
      </c>
      <c r="T173" s="22"/>
      <c r="U173" s="22"/>
      <c r="V173" s="22">
        <v>45758</v>
      </c>
      <c r="W173" s="20" t="s">
        <v>245</v>
      </c>
      <c r="X173" s="4" t="str">
        <f>IF(Tabela2[[#This Row],[sigla]]="","",VLOOKUP(Tabela2[[#This Row],[sigla]],Tabela1[[#All],[Sigla Arte]:[Crédito]],2,0))</f>
        <v>VER DOCUMENTO DE ILS. TÉCNICAS</v>
      </c>
      <c r="Y173" s="38" t="s">
        <v>142</v>
      </c>
      <c r="Z173" s="21" t="s">
        <v>274</v>
      </c>
      <c r="AA173" s="20">
        <v>13</v>
      </c>
      <c r="AB173" s="18" t="s">
        <v>275</v>
      </c>
      <c r="AC173" s="18" t="s">
        <v>18</v>
      </c>
      <c r="AD173" s="4" t="str">
        <f t="shared" si="4"/>
        <v>Plantar</v>
      </c>
      <c r="AE173" s="12" t="str">
        <f t="shared" si="5"/>
        <v>Ciências</v>
      </c>
    </row>
    <row r="174" spans="1:31" s="12" customFormat="1" ht="43.2" x14ac:dyDescent="0.3">
      <c r="A174" s="12" t="s">
        <v>121</v>
      </c>
      <c r="B174" s="18" t="s">
        <v>6</v>
      </c>
      <c r="C174" s="18" t="s">
        <v>7</v>
      </c>
      <c r="D174" s="18" t="s">
        <v>8</v>
      </c>
      <c r="E174" s="20">
        <v>112</v>
      </c>
      <c r="F174" s="20">
        <v>3</v>
      </c>
      <c r="G174" s="20">
        <v>4</v>
      </c>
      <c r="H174" s="20"/>
      <c r="I174" s="21" t="s">
        <v>13</v>
      </c>
      <c r="J174" s="21"/>
      <c r="K174" s="20"/>
      <c r="L174" s="20"/>
      <c r="M174" s="21"/>
      <c r="N174" s="21"/>
      <c r="O174" s="24" t="s">
        <v>122</v>
      </c>
      <c r="P174" s="24"/>
      <c r="Q174" s="20">
        <v>3</v>
      </c>
      <c r="R174" s="22">
        <v>45735</v>
      </c>
      <c r="S174" s="22">
        <v>45735</v>
      </c>
      <c r="T174" s="22"/>
      <c r="U174" s="22"/>
      <c r="V174" s="22">
        <v>45735</v>
      </c>
      <c r="W174" s="20" t="s">
        <v>118</v>
      </c>
      <c r="X174" s="4" t="str">
        <f>IF(Tabela2[[#This Row],[sigla]]="","",VLOOKUP(Tabela2[[#This Row],[sigla]],Tabela1[[#All],[Sigla Arte]:[Crédito]],2,0))</f>
        <v>SABRINA ERAS/ARQUIVO DA EDITORA</v>
      </c>
      <c r="Y174" s="21" t="s">
        <v>34</v>
      </c>
      <c r="Z174" s="21" t="str">
        <f>Tabela2[[#This Row],[ilustrador]]</f>
        <v>SABRINA ERAS/ARQUIVO DA EDITORA</v>
      </c>
      <c r="AA174" s="20">
        <v>14</v>
      </c>
      <c r="AB174" s="18"/>
      <c r="AC174" s="18" t="s">
        <v>18</v>
      </c>
      <c r="AD174" s="4" t="str">
        <f t="shared" si="4"/>
        <v>Plantar</v>
      </c>
      <c r="AE174" s="12" t="str">
        <f t="shared" si="5"/>
        <v>Ciências</v>
      </c>
    </row>
    <row r="175" spans="1:31" s="12" customFormat="1" ht="43.2" x14ac:dyDescent="0.3">
      <c r="A175" s="12" t="s">
        <v>481</v>
      </c>
      <c r="B175" s="18" t="s">
        <v>6</v>
      </c>
      <c r="C175" s="18" t="s">
        <v>7</v>
      </c>
      <c r="D175" s="18" t="s">
        <v>8</v>
      </c>
      <c r="E175" s="20">
        <v>103</v>
      </c>
      <c r="F175" s="20">
        <v>4</v>
      </c>
      <c r="G175" s="20">
        <v>4</v>
      </c>
      <c r="H175" s="20"/>
      <c r="I175" s="21" t="s">
        <v>9</v>
      </c>
      <c r="J175" s="21"/>
      <c r="K175" s="20"/>
      <c r="L175" s="20"/>
      <c r="M175" s="21"/>
      <c r="N175" s="21"/>
      <c r="O175" s="24" t="s">
        <v>482</v>
      </c>
      <c r="P175" s="24"/>
      <c r="Q175" s="20"/>
      <c r="R175" s="22"/>
      <c r="S175" s="22"/>
      <c r="T175" s="22"/>
      <c r="U175" s="22"/>
      <c r="V175" s="22"/>
      <c r="W175" s="20" t="s">
        <v>11</v>
      </c>
      <c r="X175" s="4" t="str">
        <f>IF(Tabela2[[#This Row],[sigla]]="","",VLOOKUP(Tabela2[[#This Row],[sigla]],Tabela1[[#All],[Sigla Arte]:[Crédito]],2,0))</f>
        <v>HELOÍSA PINTARELLI/ARQUIVO DA EDITORA</v>
      </c>
      <c r="Y175" s="21"/>
      <c r="Z175" s="21" t="str">
        <f>Tabela2[[#This Row],[ilustrador]]</f>
        <v>HELOÍSA PINTARELLI/ARQUIVO DA EDITORA</v>
      </c>
      <c r="AA175" s="20"/>
      <c r="AB175" s="18"/>
      <c r="AC175" s="18"/>
      <c r="AD175" s="4" t="str">
        <f t="shared" si="4"/>
        <v>Plantar</v>
      </c>
      <c r="AE175" s="12" t="str">
        <f t="shared" si="5"/>
        <v>Ciências</v>
      </c>
    </row>
    <row r="176" spans="1:31" s="12" customFormat="1" ht="43.2" x14ac:dyDescent="0.3">
      <c r="A176" s="12" t="s">
        <v>276</v>
      </c>
      <c r="B176" s="18" t="s">
        <v>6</v>
      </c>
      <c r="C176" s="18" t="s">
        <v>7</v>
      </c>
      <c r="D176" s="18" t="s">
        <v>8</v>
      </c>
      <c r="E176" s="20">
        <v>109</v>
      </c>
      <c r="F176" s="20">
        <v>5</v>
      </c>
      <c r="G176" s="20">
        <v>4</v>
      </c>
      <c r="H176" s="20"/>
      <c r="I176" s="21" t="s">
        <v>9</v>
      </c>
      <c r="J176" s="21"/>
      <c r="K176" s="20"/>
      <c r="L176" s="20"/>
      <c r="M176" s="21"/>
      <c r="N176" s="21"/>
      <c r="O176" s="24" t="s">
        <v>277</v>
      </c>
      <c r="P176" s="24"/>
      <c r="Q176" s="20"/>
      <c r="R176" s="22"/>
      <c r="S176" s="22"/>
      <c r="T176" s="22"/>
      <c r="U176" s="22"/>
      <c r="V176" s="22"/>
      <c r="W176" s="20" t="s">
        <v>245</v>
      </c>
      <c r="X176" s="4" t="str">
        <f>IF(Tabela2[[#This Row],[sigla]]="","",VLOOKUP(Tabela2[[#This Row],[sigla]],Tabela1[[#All],[Sigla Arte]:[Crédito]],2,0))</f>
        <v>VER DOCUMENTO DE ILS. TÉCNICAS</v>
      </c>
      <c r="Y176" s="21"/>
      <c r="Z176" s="21" t="s">
        <v>274</v>
      </c>
      <c r="AA176" s="20"/>
      <c r="AB176" s="18"/>
      <c r="AC176" s="18"/>
      <c r="AD176" s="4" t="str">
        <f t="shared" si="4"/>
        <v>Plantar</v>
      </c>
      <c r="AE176" s="12" t="str">
        <f t="shared" si="5"/>
        <v>Ciências</v>
      </c>
    </row>
    <row r="177" spans="1:31" s="12" customFormat="1" ht="43.2" x14ac:dyDescent="0.3">
      <c r="A177" s="12" t="s">
        <v>483</v>
      </c>
      <c r="B177" s="18" t="s">
        <v>6</v>
      </c>
      <c r="C177" s="18" t="s">
        <v>7</v>
      </c>
      <c r="D177" s="18" t="s">
        <v>8</v>
      </c>
      <c r="E177" s="20">
        <v>108</v>
      </c>
      <c r="F177" s="20">
        <v>4</v>
      </c>
      <c r="G177" s="20">
        <v>4</v>
      </c>
      <c r="H177" s="20"/>
      <c r="I177" s="21" t="s">
        <v>9</v>
      </c>
      <c r="J177" s="21"/>
      <c r="K177" s="20"/>
      <c r="L177" s="20"/>
      <c r="M177" s="21"/>
      <c r="N177" s="21"/>
      <c r="O177" s="24" t="s">
        <v>484</v>
      </c>
      <c r="P177" s="24"/>
      <c r="Q177" s="20"/>
      <c r="R177" s="22"/>
      <c r="S177" s="22"/>
      <c r="T177" s="22"/>
      <c r="U177" s="22"/>
      <c r="V177" s="22"/>
      <c r="W177" s="20" t="s">
        <v>11</v>
      </c>
      <c r="X177" s="4" t="str">
        <f>IF(Tabela2[[#This Row],[sigla]]="","",VLOOKUP(Tabela2[[#This Row],[sigla]],Tabela1[[#All],[Sigla Arte]:[Crédito]],2,0))</f>
        <v>HELOÍSA PINTARELLI/ARQUIVO DA EDITORA</v>
      </c>
      <c r="Y177" s="21"/>
      <c r="Z177" s="21" t="str">
        <f>Tabela2[[#This Row],[ilustrador]]</f>
        <v>HELOÍSA PINTARELLI/ARQUIVO DA EDITORA</v>
      </c>
      <c r="AA177" s="20"/>
      <c r="AB177" s="18"/>
      <c r="AC177" s="18"/>
      <c r="AD177" s="4" t="str">
        <f t="shared" si="4"/>
        <v>Plantar</v>
      </c>
      <c r="AE177" s="12" t="str">
        <f t="shared" si="5"/>
        <v>Ciências</v>
      </c>
    </row>
    <row r="178" spans="1:31" s="12" customFormat="1" ht="28.8" x14ac:dyDescent="0.3">
      <c r="A178" s="12" t="s">
        <v>123</v>
      </c>
      <c r="B178" s="18" t="s">
        <v>6</v>
      </c>
      <c r="C178" s="18" t="s">
        <v>7</v>
      </c>
      <c r="D178" s="18" t="s">
        <v>8</v>
      </c>
      <c r="E178" s="20">
        <v>117</v>
      </c>
      <c r="F178" s="20">
        <v>3</v>
      </c>
      <c r="G178" s="20">
        <v>4</v>
      </c>
      <c r="H178" s="20"/>
      <c r="I178" s="21" t="s">
        <v>9</v>
      </c>
      <c r="J178" s="21"/>
      <c r="K178" s="20"/>
      <c r="L178" s="20"/>
      <c r="M178" s="21"/>
      <c r="N178" s="21"/>
      <c r="O178" s="24" t="s">
        <v>124</v>
      </c>
      <c r="P178" s="24"/>
      <c r="Q178" s="20"/>
      <c r="R178" s="22"/>
      <c r="S178" s="22"/>
      <c r="T178" s="22"/>
      <c r="U178" s="22"/>
      <c r="V178" s="22"/>
      <c r="W178" s="20" t="s">
        <v>59</v>
      </c>
      <c r="X178" s="4" t="str">
        <f>IF(Tabela2[[#This Row],[sigla]]="","",VLOOKUP(Tabela2[[#This Row],[sigla]],Tabela1[[#All],[Sigla Arte]:[Crédito]],2,0))</f>
        <v>FERNANDA MONTEIRO/ARQUIVO DA EDITORA</v>
      </c>
      <c r="Y178" s="21"/>
      <c r="Z178" s="21" t="str">
        <f>Tabela2[[#This Row],[ilustrador]]</f>
        <v>FERNANDA MONTEIRO/ARQUIVO DA EDITORA</v>
      </c>
      <c r="AA178" s="20"/>
      <c r="AB178" s="18"/>
      <c r="AC178" s="18"/>
      <c r="AD178" s="4" t="str">
        <f t="shared" si="4"/>
        <v>Plantar</v>
      </c>
      <c r="AE178" s="12" t="str">
        <f t="shared" si="5"/>
        <v>Ciências</v>
      </c>
    </row>
    <row r="179" spans="1:31" s="12" customFormat="1" ht="144" x14ac:dyDescent="0.3">
      <c r="A179" s="12" t="s">
        <v>125</v>
      </c>
      <c r="B179" s="18" t="s">
        <v>6</v>
      </c>
      <c r="C179" s="18" t="s">
        <v>7</v>
      </c>
      <c r="D179" s="18" t="s">
        <v>8</v>
      </c>
      <c r="E179" s="20">
        <v>118</v>
      </c>
      <c r="F179" s="20">
        <v>3</v>
      </c>
      <c r="G179" s="20">
        <v>4</v>
      </c>
      <c r="H179" s="20"/>
      <c r="I179" s="21" t="s">
        <v>9</v>
      </c>
      <c r="J179" s="21"/>
      <c r="K179" s="20"/>
      <c r="L179" s="20"/>
      <c r="M179" s="21"/>
      <c r="N179" s="21"/>
      <c r="O179" s="24" t="s">
        <v>126</v>
      </c>
      <c r="P179" s="24"/>
      <c r="Q179" s="20"/>
      <c r="R179" s="22"/>
      <c r="S179" s="22"/>
      <c r="T179" s="22"/>
      <c r="U179" s="22"/>
      <c r="V179" s="22"/>
      <c r="W179" s="20" t="s">
        <v>11</v>
      </c>
      <c r="X179" s="4" t="str">
        <f>IF(Tabela2[[#This Row],[sigla]]="","",VLOOKUP(Tabela2[[#This Row],[sigla]],Tabela1[[#All],[Sigla Arte]:[Crédito]],2,0))</f>
        <v>HELOÍSA PINTARELLI/ARQUIVO DA EDITORA</v>
      </c>
      <c r="Y179" s="21"/>
      <c r="Z179" s="21" t="str">
        <f>Tabela2[[#This Row],[ilustrador]]</f>
        <v>HELOÍSA PINTARELLI/ARQUIVO DA EDITORA</v>
      </c>
      <c r="AA179" s="20"/>
      <c r="AB179" s="18"/>
      <c r="AC179" s="18"/>
      <c r="AD179" s="4" t="str">
        <f t="shared" si="4"/>
        <v>Plantar</v>
      </c>
      <c r="AE179" s="12" t="str">
        <f t="shared" si="5"/>
        <v>Ciências</v>
      </c>
    </row>
    <row r="180" spans="1:31" s="12" customFormat="1" ht="57.6" x14ac:dyDescent="0.3">
      <c r="A180" s="12" t="s">
        <v>127</v>
      </c>
      <c r="B180" s="18" t="s">
        <v>6</v>
      </c>
      <c r="C180" s="18" t="s">
        <v>7</v>
      </c>
      <c r="D180" s="18" t="s">
        <v>8</v>
      </c>
      <c r="E180" s="20">
        <v>118</v>
      </c>
      <c r="F180" s="20">
        <v>3</v>
      </c>
      <c r="G180" s="20">
        <v>4</v>
      </c>
      <c r="H180" s="20"/>
      <c r="I180" s="21" t="s">
        <v>13</v>
      </c>
      <c r="J180" s="21"/>
      <c r="K180" s="20"/>
      <c r="L180" s="20"/>
      <c r="M180" s="21"/>
      <c r="N180" s="21"/>
      <c r="O180" s="24" t="s">
        <v>128</v>
      </c>
      <c r="P180" s="24"/>
      <c r="Q180" s="20">
        <v>3</v>
      </c>
      <c r="R180" s="22">
        <v>45735</v>
      </c>
      <c r="S180" s="22">
        <v>45735</v>
      </c>
      <c r="T180" s="22"/>
      <c r="U180" s="22"/>
      <c r="V180" s="22">
        <v>45735</v>
      </c>
      <c r="W180" s="20" t="s">
        <v>11</v>
      </c>
      <c r="X180" s="4" t="str">
        <f>IF(Tabela2[[#This Row],[sigla]]="","",VLOOKUP(Tabela2[[#This Row],[sigla]],Tabela1[[#All],[Sigla Arte]:[Crédito]],2,0))</f>
        <v>HELOÍSA PINTARELLI/ARQUIVO DA EDITORA</v>
      </c>
      <c r="Y180" s="21" t="s">
        <v>34</v>
      </c>
      <c r="Z180" s="21" t="str">
        <f>Tabela2[[#This Row],[ilustrador]]</f>
        <v>HELOÍSA PINTARELLI/ARQUIVO DA EDITORA</v>
      </c>
      <c r="AA180" s="20">
        <v>14</v>
      </c>
      <c r="AB180" s="18"/>
      <c r="AC180" s="18" t="s">
        <v>18</v>
      </c>
      <c r="AD180" s="4" t="str">
        <f t="shared" si="4"/>
        <v>Plantar</v>
      </c>
      <c r="AE180" s="12" t="str">
        <f t="shared" si="5"/>
        <v>Ciências</v>
      </c>
    </row>
    <row r="181" spans="1:31" s="12" customFormat="1" ht="100.8" x14ac:dyDescent="0.3">
      <c r="A181" s="12" t="s">
        <v>129</v>
      </c>
      <c r="B181" s="18" t="s">
        <v>6</v>
      </c>
      <c r="C181" s="18" t="s">
        <v>7</v>
      </c>
      <c r="D181" s="18" t="s">
        <v>8</v>
      </c>
      <c r="E181" s="20">
        <v>120</v>
      </c>
      <c r="F181" s="20">
        <v>3</v>
      </c>
      <c r="G181" s="20">
        <v>4</v>
      </c>
      <c r="H181" s="20"/>
      <c r="I181" s="21" t="s">
        <v>13</v>
      </c>
      <c r="J181" s="21"/>
      <c r="K181" s="20"/>
      <c r="L181" s="20"/>
      <c r="M181" s="21"/>
      <c r="N181" s="21"/>
      <c r="O181" s="24" t="s">
        <v>130</v>
      </c>
      <c r="P181" s="24"/>
      <c r="Q181" s="20">
        <v>3</v>
      </c>
      <c r="R181" s="22">
        <v>45735</v>
      </c>
      <c r="S181" s="22">
        <v>45735</v>
      </c>
      <c r="T181" s="22"/>
      <c r="U181" s="22"/>
      <c r="V181" s="22">
        <v>45735</v>
      </c>
      <c r="W181" s="20" t="s">
        <v>11</v>
      </c>
      <c r="X181" s="4" t="str">
        <f>IF(Tabela2[[#This Row],[sigla]]="","",VLOOKUP(Tabela2[[#This Row],[sigla]],Tabela1[[#All],[Sigla Arte]:[Crédito]],2,0))</f>
        <v>HELOÍSA PINTARELLI/ARQUIVO DA EDITORA</v>
      </c>
      <c r="Y181" s="21" t="s">
        <v>34</v>
      </c>
      <c r="Z181" s="21" t="str">
        <f>Tabela2[[#This Row],[ilustrador]]</f>
        <v>HELOÍSA PINTARELLI/ARQUIVO DA EDITORA</v>
      </c>
      <c r="AA181" s="20">
        <v>14</v>
      </c>
      <c r="AB181" s="18"/>
      <c r="AC181" s="18" t="s">
        <v>18</v>
      </c>
      <c r="AD181" s="4" t="str">
        <f t="shared" si="4"/>
        <v>Plantar</v>
      </c>
      <c r="AE181" s="12" t="str">
        <f t="shared" si="5"/>
        <v>Ciências</v>
      </c>
    </row>
    <row r="182" spans="1:31" s="12" customFormat="1" x14ac:dyDescent="0.3">
      <c r="A182" s="12" t="s">
        <v>278</v>
      </c>
      <c r="B182" s="18" t="s">
        <v>6</v>
      </c>
      <c r="C182" s="18" t="s">
        <v>7</v>
      </c>
      <c r="D182" s="18" t="s">
        <v>8</v>
      </c>
      <c r="E182" s="20">
        <v>114</v>
      </c>
      <c r="F182" s="20">
        <v>5</v>
      </c>
      <c r="G182" s="20">
        <v>4</v>
      </c>
      <c r="H182" s="20"/>
      <c r="I182" s="21" t="s">
        <v>9</v>
      </c>
      <c r="J182" s="21"/>
      <c r="K182" s="20"/>
      <c r="L182" s="20"/>
      <c r="M182" s="21"/>
      <c r="N182" s="21"/>
      <c r="O182" s="24" t="s">
        <v>279</v>
      </c>
      <c r="P182" s="24"/>
      <c r="Q182" s="20"/>
      <c r="R182" s="22"/>
      <c r="S182" s="22"/>
      <c r="T182" s="22"/>
      <c r="U182" s="22"/>
      <c r="V182" s="22"/>
      <c r="W182" s="20" t="s">
        <v>33</v>
      </c>
      <c r="X182" s="4" t="str">
        <f>IF(Tabela2[[#This Row],[sigla]]="","",VLOOKUP(Tabela2[[#This Row],[sigla]],Tabela1[[#All],[Sigla Arte]:[Crédito]],2,0))</f>
        <v>KEITHY MOSTACHI/ARQUIVO DA EDITORA</v>
      </c>
      <c r="Y182" s="21"/>
      <c r="Z182" s="21" t="str">
        <f>Tabela2[[#This Row],[ilustrador]]</f>
        <v>KEITHY MOSTACHI/ARQUIVO DA EDITORA</v>
      </c>
      <c r="AA182" s="20"/>
      <c r="AB182" s="18"/>
      <c r="AC182" s="18"/>
      <c r="AD182" s="4" t="str">
        <f t="shared" si="4"/>
        <v>Plantar</v>
      </c>
      <c r="AE182" s="12" t="str">
        <f t="shared" si="5"/>
        <v>Ciências</v>
      </c>
    </row>
    <row r="183" spans="1:31" s="12" customFormat="1" x14ac:dyDescent="0.3">
      <c r="A183" s="21" t="s">
        <v>131</v>
      </c>
      <c r="B183" s="18" t="s">
        <v>6</v>
      </c>
      <c r="C183" s="18" t="s">
        <v>7</v>
      </c>
      <c r="D183" s="18" t="s">
        <v>8</v>
      </c>
      <c r="E183" s="20">
        <v>120</v>
      </c>
      <c r="F183" s="20">
        <v>3</v>
      </c>
      <c r="G183" s="20">
        <v>4</v>
      </c>
      <c r="H183" s="20"/>
      <c r="I183" s="21" t="s">
        <v>13</v>
      </c>
      <c r="J183" s="21"/>
      <c r="K183" s="20"/>
      <c r="L183" s="20"/>
      <c r="M183" s="21"/>
      <c r="N183" s="21"/>
      <c r="O183" s="24" t="s">
        <v>132</v>
      </c>
      <c r="P183" s="24"/>
      <c r="Q183" s="20">
        <v>3</v>
      </c>
      <c r="R183" s="22">
        <v>45735</v>
      </c>
      <c r="S183" s="22">
        <v>45735</v>
      </c>
      <c r="T183" s="22"/>
      <c r="U183" s="22"/>
      <c r="V183" s="22">
        <v>45735</v>
      </c>
      <c r="W183" s="20" t="s">
        <v>59</v>
      </c>
      <c r="X183" s="4" t="str">
        <f>IF(Tabela2[[#This Row],[sigla]]="","",VLOOKUP(Tabela2[[#This Row],[sigla]],Tabela1[[#All],[Sigla Arte]:[Crédito]],2,0))</f>
        <v>FERNANDA MONTEIRO/ARQUIVO DA EDITORA</v>
      </c>
      <c r="Y183" s="21" t="s">
        <v>34</v>
      </c>
      <c r="Z183" s="21" t="str">
        <f>Tabela2[[#This Row],[ilustrador]]</f>
        <v>FERNANDA MONTEIRO/ARQUIVO DA EDITORA</v>
      </c>
      <c r="AA183" s="20">
        <v>14</v>
      </c>
      <c r="AB183" s="18"/>
      <c r="AC183" s="18" t="s">
        <v>18</v>
      </c>
      <c r="AD183" s="4" t="str">
        <f t="shared" si="4"/>
        <v>Plantar</v>
      </c>
      <c r="AE183" s="12" t="str">
        <f t="shared" si="5"/>
        <v>Ciências</v>
      </c>
    </row>
    <row r="184" spans="1:31" s="12" customFormat="1" x14ac:dyDescent="0.3">
      <c r="A184" s="12" t="s">
        <v>280</v>
      </c>
      <c r="B184" s="18" t="s">
        <v>6</v>
      </c>
      <c r="C184" s="18" t="s">
        <v>7</v>
      </c>
      <c r="D184" s="18" t="s">
        <v>8</v>
      </c>
      <c r="E184" s="20">
        <v>114</v>
      </c>
      <c r="F184" s="20">
        <v>5</v>
      </c>
      <c r="G184" s="20">
        <v>4</v>
      </c>
      <c r="H184" s="20"/>
      <c r="I184" s="21" t="s">
        <v>9</v>
      </c>
      <c r="J184" s="21"/>
      <c r="K184" s="20"/>
      <c r="L184" s="20"/>
      <c r="M184" s="21"/>
      <c r="N184" s="21"/>
      <c r="O184" s="24" t="s">
        <v>281</v>
      </c>
      <c r="P184" s="24"/>
      <c r="Q184" s="20"/>
      <c r="R184" s="22"/>
      <c r="S184" s="22"/>
      <c r="T184" s="22"/>
      <c r="U184" s="22"/>
      <c r="V184" s="22"/>
      <c r="W184" s="20" t="s">
        <v>33</v>
      </c>
      <c r="X184" s="4" t="str">
        <f>IF(Tabela2[[#This Row],[sigla]]="","",VLOOKUP(Tabela2[[#This Row],[sigla]],Tabela1[[#All],[Sigla Arte]:[Crédito]],2,0))</f>
        <v>KEITHY MOSTACHI/ARQUIVO DA EDITORA</v>
      </c>
      <c r="Y184" s="21"/>
      <c r="Z184" s="21" t="str">
        <f>Tabela2[[#This Row],[ilustrador]]</f>
        <v>KEITHY MOSTACHI/ARQUIVO DA EDITORA</v>
      </c>
      <c r="AA184" s="20"/>
      <c r="AB184" s="18"/>
      <c r="AC184" s="18"/>
      <c r="AD184" s="4" t="str">
        <f t="shared" si="4"/>
        <v>Plantar</v>
      </c>
      <c r="AE184" s="12" t="str">
        <f t="shared" si="5"/>
        <v>Ciências</v>
      </c>
    </row>
    <row r="185" spans="1:31" s="12" customFormat="1" x14ac:dyDescent="0.3">
      <c r="A185" s="12" t="s">
        <v>282</v>
      </c>
      <c r="B185" s="18" t="s">
        <v>6</v>
      </c>
      <c r="C185" s="18" t="s">
        <v>7</v>
      </c>
      <c r="D185" s="18" t="s">
        <v>8</v>
      </c>
      <c r="E185" s="20">
        <v>115</v>
      </c>
      <c r="F185" s="20">
        <v>5</v>
      </c>
      <c r="G185" s="20">
        <v>4</v>
      </c>
      <c r="H185" s="20"/>
      <c r="I185" s="21" t="s">
        <v>9</v>
      </c>
      <c r="J185" s="21"/>
      <c r="K185" s="20"/>
      <c r="L185" s="20"/>
      <c r="M185" s="21"/>
      <c r="N185" s="21"/>
      <c r="O185" s="24" t="s">
        <v>283</v>
      </c>
      <c r="P185" s="24"/>
      <c r="Q185" s="20"/>
      <c r="R185" s="22"/>
      <c r="S185" s="22"/>
      <c r="T185" s="22"/>
      <c r="U185" s="22"/>
      <c r="V185" s="22"/>
      <c r="W185" s="20" t="s">
        <v>33</v>
      </c>
      <c r="X185" s="4" t="str">
        <f>IF(Tabela2[[#This Row],[sigla]]="","",VLOOKUP(Tabela2[[#This Row],[sigla]],Tabela1[[#All],[Sigla Arte]:[Crédito]],2,0))</f>
        <v>KEITHY MOSTACHI/ARQUIVO DA EDITORA</v>
      </c>
      <c r="Y185" s="21"/>
      <c r="Z185" s="21" t="str">
        <f>Tabela2[[#This Row],[ilustrador]]</f>
        <v>KEITHY MOSTACHI/ARQUIVO DA EDITORA</v>
      </c>
      <c r="AA185" s="20"/>
      <c r="AB185" s="18"/>
      <c r="AC185" s="18"/>
      <c r="AD185" s="4" t="str">
        <f t="shared" si="4"/>
        <v>Plantar</v>
      </c>
      <c r="AE185" s="12" t="str">
        <f t="shared" si="5"/>
        <v>Ciências</v>
      </c>
    </row>
    <row r="186" spans="1:31" s="12" customFormat="1" ht="28.8" x14ac:dyDescent="0.3">
      <c r="A186" s="12" t="s">
        <v>284</v>
      </c>
      <c r="B186" s="18" t="s">
        <v>6</v>
      </c>
      <c r="C186" s="18" t="s">
        <v>7</v>
      </c>
      <c r="D186" s="18" t="s">
        <v>8</v>
      </c>
      <c r="E186" s="20">
        <v>115</v>
      </c>
      <c r="F186" s="20">
        <v>5</v>
      </c>
      <c r="G186" s="20">
        <v>4</v>
      </c>
      <c r="H186" s="20"/>
      <c r="I186" s="21" t="s">
        <v>9</v>
      </c>
      <c r="J186" s="21"/>
      <c r="K186" s="20"/>
      <c r="L186" s="20"/>
      <c r="M186" s="21"/>
      <c r="N186" s="21"/>
      <c r="O186" s="24" t="s">
        <v>285</v>
      </c>
      <c r="P186" s="24"/>
      <c r="Q186" s="20"/>
      <c r="R186" s="22"/>
      <c r="S186" s="22"/>
      <c r="T186" s="22"/>
      <c r="U186" s="22"/>
      <c r="V186" s="22"/>
      <c r="W186" s="20" t="s">
        <v>33</v>
      </c>
      <c r="X186" s="4" t="str">
        <f>IF(Tabela2[[#This Row],[sigla]]="","",VLOOKUP(Tabela2[[#This Row],[sigla]],Tabela1[[#All],[Sigla Arte]:[Crédito]],2,0))</f>
        <v>KEITHY MOSTACHI/ARQUIVO DA EDITORA</v>
      </c>
      <c r="Y186" s="21"/>
      <c r="Z186" s="21" t="str">
        <f>Tabela2[[#This Row],[ilustrador]]</f>
        <v>KEITHY MOSTACHI/ARQUIVO DA EDITORA</v>
      </c>
      <c r="AA186" s="20"/>
      <c r="AB186" s="18"/>
      <c r="AC186" s="18"/>
      <c r="AD186" s="4" t="str">
        <f t="shared" si="4"/>
        <v>Plantar</v>
      </c>
      <c r="AE186" s="12" t="str">
        <f t="shared" si="5"/>
        <v>Ciências</v>
      </c>
    </row>
    <row r="187" spans="1:31" s="12" customFormat="1" ht="129.6" x14ac:dyDescent="0.3">
      <c r="A187" s="20" t="s">
        <v>133</v>
      </c>
      <c r="B187" s="18" t="s">
        <v>6</v>
      </c>
      <c r="C187" s="18" t="s">
        <v>7</v>
      </c>
      <c r="D187" s="18" t="s">
        <v>8</v>
      </c>
      <c r="E187" s="20">
        <v>122</v>
      </c>
      <c r="F187" s="20">
        <v>3</v>
      </c>
      <c r="G187" s="20">
        <v>4</v>
      </c>
      <c r="H187" s="20"/>
      <c r="I187" s="21" t="s">
        <v>36</v>
      </c>
      <c r="J187" s="21"/>
      <c r="K187" s="20"/>
      <c r="L187" s="20"/>
      <c r="M187" s="21"/>
      <c r="N187" s="21"/>
      <c r="O187" s="24" t="s">
        <v>134</v>
      </c>
      <c r="P187" s="24"/>
      <c r="Q187" s="20">
        <v>3</v>
      </c>
      <c r="R187" s="22">
        <v>45735</v>
      </c>
      <c r="S187" s="22">
        <v>45735</v>
      </c>
      <c r="T187" s="22">
        <v>45738</v>
      </c>
      <c r="U187" s="22">
        <v>45741</v>
      </c>
      <c r="V187" s="22">
        <v>45744</v>
      </c>
      <c r="W187" s="20" t="s">
        <v>135</v>
      </c>
      <c r="X187" s="4" t="str">
        <f>IF(Tabela2[[#This Row],[sigla]]="","",VLOOKUP(Tabela2[[#This Row],[sigla]],Tabela1[[#All],[Sigla Arte]:[Crédito]],2,0))</f>
        <v>CARLITOS PINHEIRO/ARQUIVO DA EDITORA</v>
      </c>
      <c r="Y187" s="21"/>
      <c r="Z187" s="21" t="str">
        <f>Tabela2[[#This Row],[ilustrador]]</f>
        <v>CARLITOS PINHEIRO/ARQUIVO DA EDITORA</v>
      </c>
      <c r="AA187" s="20">
        <v>5</v>
      </c>
      <c r="AB187" s="18" t="s">
        <v>136</v>
      </c>
      <c r="AC187" s="18" t="s">
        <v>18</v>
      </c>
      <c r="AD187" s="4" t="str">
        <f t="shared" si="4"/>
        <v>Plantar</v>
      </c>
      <c r="AE187" s="12" t="str">
        <f t="shared" si="5"/>
        <v>Ciências</v>
      </c>
    </row>
    <row r="188" spans="1:31" s="12" customFormat="1" ht="57.6" x14ac:dyDescent="0.3">
      <c r="A188" s="12" t="s">
        <v>286</v>
      </c>
      <c r="B188" s="18" t="s">
        <v>6</v>
      </c>
      <c r="C188" s="18" t="s">
        <v>7</v>
      </c>
      <c r="D188" s="18" t="s">
        <v>8</v>
      </c>
      <c r="E188" s="20">
        <v>116</v>
      </c>
      <c r="F188" s="20">
        <v>5</v>
      </c>
      <c r="G188" s="20">
        <v>4</v>
      </c>
      <c r="H188" s="20"/>
      <c r="I188" s="21" t="s">
        <v>9</v>
      </c>
      <c r="J188" s="21"/>
      <c r="K188" s="20"/>
      <c r="L188" s="20"/>
      <c r="M188" s="21"/>
      <c r="N188" s="21"/>
      <c r="O188" s="24" t="s">
        <v>287</v>
      </c>
      <c r="P188" s="24"/>
      <c r="Q188" s="20"/>
      <c r="R188" s="22"/>
      <c r="S188" s="22"/>
      <c r="T188" s="22"/>
      <c r="U188" s="22"/>
      <c r="V188" s="22"/>
      <c r="W188" s="20" t="s">
        <v>33</v>
      </c>
      <c r="X188" s="4" t="str">
        <f>IF(Tabela2[[#This Row],[sigla]]="","",VLOOKUP(Tabela2[[#This Row],[sigla]],Tabela1[[#All],[Sigla Arte]:[Crédito]],2,0))</f>
        <v>KEITHY MOSTACHI/ARQUIVO DA EDITORA</v>
      </c>
      <c r="Y188" s="21"/>
      <c r="Z188" s="21" t="str">
        <f>Tabela2[[#This Row],[ilustrador]]</f>
        <v>KEITHY MOSTACHI/ARQUIVO DA EDITORA</v>
      </c>
      <c r="AA188" s="20"/>
      <c r="AB188" s="18"/>
      <c r="AC188" s="18"/>
      <c r="AD188" s="4" t="str">
        <f t="shared" si="4"/>
        <v>Plantar</v>
      </c>
      <c r="AE188" s="12" t="str">
        <f t="shared" si="5"/>
        <v>Ciências</v>
      </c>
    </row>
    <row r="189" spans="1:31" s="12" customFormat="1" ht="57.6" x14ac:dyDescent="0.3">
      <c r="A189" s="12" t="s">
        <v>288</v>
      </c>
      <c r="B189" s="18" t="s">
        <v>6</v>
      </c>
      <c r="C189" s="18" t="s">
        <v>7</v>
      </c>
      <c r="D189" s="18" t="s">
        <v>8</v>
      </c>
      <c r="E189" s="20">
        <v>116</v>
      </c>
      <c r="F189" s="20">
        <v>5</v>
      </c>
      <c r="G189" s="20">
        <v>4</v>
      </c>
      <c r="H189" s="20"/>
      <c r="I189" s="21" t="s">
        <v>9</v>
      </c>
      <c r="J189" s="21"/>
      <c r="K189" s="20"/>
      <c r="L189" s="20"/>
      <c r="M189" s="21"/>
      <c r="N189" s="21"/>
      <c r="O189" s="24" t="s">
        <v>289</v>
      </c>
      <c r="P189" s="24"/>
      <c r="Q189" s="20"/>
      <c r="R189" s="22"/>
      <c r="S189" s="22"/>
      <c r="T189" s="22"/>
      <c r="U189" s="22"/>
      <c r="V189" s="22"/>
      <c r="W189" s="20" t="s">
        <v>33</v>
      </c>
      <c r="X189" s="4" t="str">
        <f>IF(Tabela2[[#This Row],[sigla]]="","",VLOOKUP(Tabela2[[#This Row],[sigla]],Tabela1[[#All],[Sigla Arte]:[Crédito]],2,0))</f>
        <v>KEITHY MOSTACHI/ARQUIVO DA EDITORA</v>
      </c>
      <c r="Y189" s="21"/>
      <c r="Z189" s="21" t="str">
        <f>Tabela2[[#This Row],[ilustrador]]</f>
        <v>KEITHY MOSTACHI/ARQUIVO DA EDITORA</v>
      </c>
      <c r="AA189" s="20"/>
      <c r="AB189" s="18"/>
      <c r="AC189" s="18"/>
      <c r="AD189" s="4" t="str">
        <f t="shared" si="4"/>
        <v>Plantar</v>
      </c>
      <c r="AE189" s="12" t="str">
        <f t="shared" si="5"/>
        <v>Ciências</v>
      </c>
    </row>
    <row r="190" spans="1:31" s="12" customFormat="1" ht="72" x14ac:dyDescent="0.3">
      <c r="A190" s="12" t="s">
        <v>290</v>
      </c>
      <c r="B190" s="18" t="s">
        <v>6</v>
      </c>
      <c r="C190" s="18" t="s">
        <v>7</v>
      </c>
      <c r="D190" s="18" t="s">
        <v>8</v>
      </c>
      <c r="E190" s="20">
        <v>116</v>
      </c>
      <c r="F190" s="20">
        <v>5</v>
      </c>
      <c r="G190" s="20">
        <v>4</v>
      </c>
      <c r="H190" s="20"/>
      <c r="I190" s="21" t="s">
        <v>9</v>
      </c>
      <c r="J190" s="21"/>
      <c r="K190" s="20"/>
      <c r="L190" s="20"/>
      <c r="M190" s="21"/>
      <c r="N190" s="21"/>
      <c r="O190" s="24" t="s">
        <v>291</v>
      </c>
      <c r="P190" s="24"/>
      <c r="Q190" s="20"/>
      <c r="R190" s="22"/>
      <c r="S190" s="22"/>
      <c r="T190" s="22"/>
      <c r="U190" s="22"/>
      <c r="V190" s="22"/>
      <c r="W190" s="20" t="s">
        <v>33</v>
      </c>
      <c r="X190" s="4" t="str">
        <f>IF(Tabela2[[#This Row],[sigla]]="","",VLOOKUP(Tabela2[[#This Row],[sigla]],Tabela1[[#All],[Sigla Arte]:[Crédito]],2,0))</f>
        <v>KEITHY MOSTACHI/ARQUIVO DA EDITORA</v>
      </c>
      <c r="Y190" s="21"/>
      <c r="Z190" s="21" t="str">
        <f>Tabela2[[#This Row],[ilustrador]]</f>
        <v>KEITHY MOSTACHI/ARQUIVO DA EDITORA</v>
      </c>
      <c r="AA190" s="20"/>
      <c r="AB190" s="18"/>
      <c r="AC190" s="18"/>
      <c r="AD190" s="4" t="str">
        <f t="shared" si="4"/>
        <v>Plantar</v>
      </c>
      <c r="AE190" s="12" t="str">
        <f t="shared" si="5"/>
        <v>Ciências</v>
      </c>
    </row>
    <row r="191" spans="1:31" s="12" customFormat="1" ht="100.8" x14ac:dyDescent="0.3">
      <c r="A191" s="12" t="s">
        <v>137</v>
      </c>
      <c r="B191" s="18" t="s">
        <v>6</v>
      </c>
      <c r="C191" s="18" t="s">
        <v>7</v>
      </c>
      <c r="D191" s="18" t="s">
        <v>8</v>
      </c>
      <c r="E191" s="20">
        <v>123</v>
      </c>
      <c r="F191" s="20">
        <v>3</v>
      </c>
      <c r="G191" s="20">
        <v>4</v>
      </c>
      <c r="H191" s="20"/>
      <c r="I191" s="21" t="s">
        <v>9</v>
      </c>
      <c r="J191" s="21"/>
      <c r="K191" s="20"/>
      <c r="L191" s="20"/>
      <c r="M191" s="21"/>
      <c r="N191" s="21"/>
      <c r="O191" s="24" t="s">
        <v>138</v>
      </c>
      <c r="P191" s="24"/>
      <c r="Q191" s="20"/>
      <c r="R191" s="22"/>
      <c r="S191" s="22"/>
      <c r="T191" s="22"/>
      <c r="U191" s="22"/>
      <c r="V191" s="22"/>
      <c r="W191" s="20" t="s">
        <v>139</v>
      </c>
      <c r="X191" s="4" t="str">
        <f>IF(Tabela2[[#This Row],[sigla]]="","",VLOOKUP(Tabela2[[#This Row],[sigla]],Tabela1[[#All],[Sigla Arte]:[Crédito]],2,0))</f>
        <v>NELSON ISHIKAWA/ARQUIVO DA EDITORA</v>
      </c>
      <c r="Y191" s="21"/>
      <c r="Z191" s="21" t="str">
        <f>Tabela2[[#This Row],[ilustrador]]</f>
        <v>NELSON ISHIKAWA/ARQUIVO DA EDITORA</v>
      </c>
      <c r="AA191" s="20"/>
      <c r="AB191" s="18"/>
      <c r="AC191" s="18"/>
      <c r="AD191" s="4" t="str">
        <f t="shared" si="4"/>
        <v>Plantar</v>
      </c>
      <c r="AE191" s="12" t="str">
        <f t="shared" si="5"/>
        <v>Ciências</v>
      </c>
    </row>
    <row r="192" spans="1:31" s="12" customFormat="1" ht="57.6" x14ac:dyDescent="0.3">
      <c r="A192" s="12" t="s">
        <v>296</v>
      </c>
      <c r="B192" s="18" t="s">
        <v>6</v>
      </c>
      <c r="C192" s="18" t="s">
        <v>7</v>
      </c>
      <c r="D192" s="18" t="s">
        <v>8</v>
      </c>
      <c r="E192" s="20">
        <v>122</v>
      </c>
      <c r="F192" s="20">
        <v>5</v>
      </c>
      <c r="G192" s="20">
        <v>4</v>
      </c>
      <c r="H192" s="20"/>
      <c r="I192" s="21" t="s">
        <v>9</v>
      </c>
      <c r="J192" s="21"/>
      <c r="K192" s="20"/>
      <c r="L192" s="20"/>
      <c r="M192" s="21"/>
      <c r="N192" s="21"/>
      <c r="O192" s="24" t="s">
        <v>297</v>
      </c>
      <c r="P192" s="24"/>
      <c r="Q192" s="20"/>
      <c r="R192" s="22"/>
      <c r="S192" s="22"/>
      <c r="T192" s="22"/>
      <c r="U192" s="22"/>
      <c r="V192" s="22"/>
      <c r="W192" s="20" t="s">
        <v>22</v>
      </c>
      <c r="X192" s="4" t="str">
        <f>IF(Tabela2[[#This Row],[sigla]]="","",VLOOKUP(Tabela2[[#This Row],[sigla]],Tabela1[[#All],[Sigla Arte]:[Crédito]],2,0))</f>
        <v>MÁRCIO GUERRA/ARQUIVO DA EDITORA</v>
      </c>
      <c r="Y192" s="21"/>
      <c r="Z192" s="21" t="str">
        <f>Tabela2[[#This Row],[ilustrador]]</f>
        <v>MÁRCIO GUERRA/ARQUIVO DA EDITORA</v>
      </c>
      <c r="AA192" s="20"/>
      <c r="AB192" s="18"/>
      <c r="AC192" s="18"/>
      <c r="AD192" s="4" t="str">
        <f t="shared" si="4"/>
        <v>Plantar</v>
      </c>
      <c r="AE192" s="12" t="str">
        <f t="shared" si="5"/>
        <v>Ciências</v>
      </c>
    </row>
    <row r="193" spans="1:31" s="12" customFormat="1" ht="57.6" x14ac:dyDescent="0.3">
      <c r="A193" s="12" t="s">
        <v>298</v>
      </c>
      <c r="B193" s="18" t="s">
        <v>6</v>
      </c>
      <c r="C193" s="18" t="s">
        <v>7</v>
      </c>
      <c r="D193" s="18" t="s">
        <v>8</v>
      </c>
      <c r="E193" s="20">
        <v>122</v>
      </c>
      <c r="F193" s="20">
        <v>5</v>
      </c>
      <c r="G193" s="20">
        <v>4</v>
      </c>
      <c r="H193" s="20"/>
      <c r="I193" s="21" t="s">
        <v>9</v>
      </c>
      <c r="J193" s="21"/>
      <c r="K193" s="20"/>
      <c r="L193" s="20"/>
      <c r="M193" s="21"/>
      <c r="N193" s="21"/>
      <c r="O193" s="24" t="s">
        <v>299</v>
      </c>
      <c r="P193" s="24"/>
      <c r="Q193" s="20"/>
      <c r="R193" s="22"/>
      <c r="S193" s="22"/>
      <c r="T193" s="22"/>
      <c r="U193" s="22"/>
      <c r="V193" s="22"/>
      <c r="W193" s="20" t="s">
        <v>22</v>
      </c>
      <c r="X193" s="4" t="str">
        <f>IF(Tabela2[[#This Row],[sigla]]="","",VLOOKUP(Tabela2[[#This Row],[sigla]],Tabela1[[#All],[Sigla Arte]:[Crédito]],2,0))</f>
        <v>MÁRCIO GUERRA/ARQUIVO DA EDITORA</v>
      </c>
      <c r="Y193" s="21"/>
      <c r="Z193" s="21" t="str">
        <f>Tabela2[[#This Row],[ilustrador]]</f>
        <v>MÁRCIO GUERRA/ARQUIVO DA EDITORA</v>
      </c>
      <c r="AA193" s="20"/>
      <c r="AB193" s="18"/>
      <c r="AC193" s="18"/>
      <c r="AD193" s="4" t="str">
        <f t="shared" si="4"/>
        <v>Plantar</v>
      </c>
      <c r="AE193" s="12" t="str">
        <f t="shared" si="5"/>
        <v>Ciências</v>
      </c>
    </row>
    <row r="194" spans="1:31" s="12" customFormat="1" x14ac:dyDescent="0.3">
      <c r="A194" s="12" t="s">
        <v>300</v>
      </c>
      <c r="B194" s="18" t="s">
        <v>6</v>
      </c>
      <c r="C194" s="18" t="s">
        <v>7</v>
      </c>
      <c r="D194" s="18" t="s">
        <v>8</v>
      </c>
      <c r="E194" s="20">
        <v>122</v>
      </c>
      <c r="F194" s="20">
        <v>5</v>
      </c>
      <c r="G194" s="20">
        <v>4</v>
      </c>
      <c r="H194" s="20"/>
      <c r="I194" s="21" t="s">
        <v>13</v>
      </c>
      <c r="J194" s="21"/>
      <c r="K194" s="20"/>
      <c r="L194" s="20"/>
      <c r="M194" s="21"/>
      <c r="N194" s="21"/>
      <c r="O194" s="24" t="s">
        <v>301</v>
      </c>
      <c r="P194" s="24"/>
      <c r="Q194" s="20">
        <v>3</v>
      </c>
      <c r="R194" s="22">
        <v>45749</v>
      </c>
      <c r="S194" s="22">
        <v>45755</v>
      </c>
      <c r="T194" s="22"/>
      <c r="U194" s="22"/>
      <c r="V194" s="22">
        <v>45758</v>
      </c>
      <c r="W194" s="20" t="s">
        <v>22</v>
      </c>
      <c r="X194" s="4" t="str">
        <f>IF(Tabela2[[#This Row],[sigla]]="","",VLOOKUP(Tabela2[[#This Row],[sigla]],Tabela1[[#All],[Sigla Arte]:[Crédito]],2,0))</f>
        <v>MÁRCIO GUERRA/ARQUIVO DA EDITORA</v>
      </c>
      <c r="Y194" s="38" t="s">
        <v>142</v>
      </c>
      <c r="Z194" s="21" t="str">
        <f>Tabela2[[#This Row],[ilustrador]]</f>
        <v>MÁRCIO GUERRA/ARQUIVO DA EDITORA</v>
      </c>
      <c r="AA194" s="20">
        <v>14</v>
      </c>
      <c r="AB194" s="18" t="s">
        <v>143</v>
      </c>
      <c r="AC194" s="18" t="s">
        <v>18</v>
      </c>
      <c r="AD194" s="4" t="str">
        <f t="shared" ref="AD194:AD231" si="6">"Plantar"</f>
        <v>Plantar</v>
      </c>
      <c r="AE194" s="12" t="str">
        <f t="shared" ref="AE194:AE231" si="7">"Ciências"</f>
        <v>Ciências</v>
      </c>
    </row>
    <row r="195" spans="1:31" s="12" customFormat="1" x14ac:dyDescent="0.3">
      <c r="A195" s="12" t="s">
        <v>302</v>
      </c>
      <c r="B195" s="18" t="s">
        <v>6</v>
      </c>
      <c r="C195" s="18" t="s">
        <v>7</v>
      </c>
      <c r="D195" s="18" t="s">
        <v>8</v>
      </c>
      <c r="E195" s="20">
        <v>123</v>
      </c>
      <c r="F195" s="20">
        <v>5</v>
      </c>
      <c r="G195" s="20">
        <v>4</v>
      </c>
      <c r="H195" s="20"/>
      <c r="I195" s="21" t="s">
        <v>9</v>
      </c>
      <c r="J195" s="21"/>
      <c r="K195" s="20"/>
      <c r="L195" s="20"/>
      <c r="M195" s="21"/>
      <c r="N195" s="21"/>
      <c r="O195" s="24" t="s">
        <v>303</v>
      </c>
      <c r="P195" s="24"/>
      <c r="Q195" s="20"/>
      <c r="R195" s="22"/>
      <c r="S195" s="22"/>
      <c r="T195" s="22"/>
      <c r="U195" s="22"/>
      <c r="V195" s="22"/>
      <c r="W195" s="20" t="s">
        <v>22</v>
      </c>
      <c r="X195" s="4" t="str">
        <f>IF(Tabela2[[#This Row],[sigla]]="","",VLOOKUP(Tabela2[[#This Row],[sigla]],Tabela1[[#All],[Sigla Arte]:[Crédito]],2,0))</f>
        <v>MÁRCIO GUERRA/ARQUIVO DA EDITORA</v>
      </c>
      <c r="Y195" s="21"/>
      <c r="Z195" s="21" t="str">
        <f>Tabela2[[#This Row],[ilustrador]]</f>
        <v>MÁRCIO GUERRA/ARQUIVO DA EDITORA</v>
      </c>
      <c r="AA195" s="20"/>
      <c r="AB195" s="18"/>
      <c r="AC195" s="18"/>
      <c r="AD195" s="4" t="str">
        <f t="shared" si="6"/>
        <v>Plantar</v>
      </c>
      <c r="AE195" s="12" t="str">
        <f t="shared" si="7"/>
        <v>Ciências</v>
      </c>
    </row>
    <row r="196" spans="1:31" s="12" customFormat="1" x14ac:dyDescent="0.3">
      <c r="A196" s="12" t="s">
        <v>304</v>
      </c>
      <c r="B196" s="18" t="s">
        <v>6</v>
      </c>
      <c r="C196" s="18" t="s">
        <v>7</v>
      </c>
      <c r="D196" s="18" t="s">
        <v>8</v>
      </c>
      <c r="E196" s="20">
        <v>124</v>
      </c>
      <c r="F196" s="20">
        <v>5</v>
      </c>
      <c r="G196" s="20">
        <v>4</v>
      </c>
      <c r="H196" s="20"/>
      <c r="I196" s="21" t="s">
        <v>13</v>
      </c>
      <c r="J196" s="21"/>
      <c r="K196" s="20"/>
      <c r="L196" s="20"/>
      <c r="M196" s="21"/>
      <c r="N196" s="21"/>
      <c r="O196" s="24" t="s">
        <v>305</v>
      </c>
      <c r="P196" s="24"/>
      <c r="Q196" s="20">
        <v>3</v>
      </c>
      <c r="R196" s="22">
        <v>45749</v>
      </c>
      <c r="S196" s="22">
        <v>45755</v>
      </c>
      <c r="T196" s="22"/>
      <c r="U196" s="22"/>
      <c r="V196" s="22">
        <v>45758</v>
      </c>
      <c r="W196" s="20" t="s">
        <v>245</v>
      </c>
      <c r="X196" s="4" t="str">
        <f>IF(Tabela2[[#This Row],[sigla]]="","",VLOOKUP(Tabela2[[#This Row],[sigla]],Tabela1[[#All],[Sigla Arte]:[Crédito]],2,0))</f>
        <v>VER DOCUMENTO DE ILS. TÉCNICAS</v>
      </c>
      <c r="Y196" s="38" t="s">
        <v>142</v>
      </c>
      <c r="Z196" s="21" t="s">
        <v>274</v>
      </c>
      <c r="AA196" s="20">
        <v>13</v>
      </c>
      <c r="AB196" s="18" t="s">
        <v>275</v>
      </c>
      <c r="AC196" s="18" t="s">
        <v>18</v>
      </c>
      <c r="AD196" s="4" t="str">
        <f t="shared" si="6"/>
        <v>Plantar</v>
      </c>
      <c r="AE196" s="12" t="str">
        <f t="shared" si="7"/>
        <v>Ciências</v>
      </c>
    </row>
    <row r="197" spans="1:31" s="12" customFormat="1" x14ac:dyDescent="0.3">
      <c r="A197" s="12" t="s">
        <v>306</v>
      </c>
      <c r="B197" s="18" t="s">
        <v>169</v>
      </c>
      <c r="C197" s="18" t="s">
        <v>7</v>
      </c>
      <c r="D197" s="18" t="s">
        <v>8</v>
      </c>
      <c r="E197" s="20">
        <v>125</v>
      </c>
      <c r="F197" s="20">
        <v>5</v>
      </c>
      <c r="G197" s="20">
        <v>4</v>
      </c>
      <c r="H197" s="20"/>
      <c r="I197" s="21" t="s">
        <v>9</v>
      </c>
      <c r="J197" s="21"/>
      <c r="K197" s="20"/>
      <c r="L197" s="20"/>
      <c r="M197" s="21"/>
      <c r="N197" s="21"/>
      <c r="O197" s="24" t="s">
        <v>307</v>
      </c>
      <c r="P197" s="24" t="s">
        <v>308</v>
      </c>
      <c r="Q197" s="20"/>
      <c r="R197" s="22"/>
      <c r="S197" s="22"/>
      <c r="T197" s="22"/>
      <c r="U197" s="22"/>
      <c r="V197" s="22"/>
      <c r="W197" s="20" t="s">
        <v>245</v>
      </c>
      <c r="X197" s="4" t="str">
        <f>IF(Tabela2[[#This Row],[sigla]]="","",VLOOKUP(Tabela2[[#This Row],[sigla]],Tabela1[[#All],[Sigla Arte]:[Crédito]],2,0))</f>
        <v>VER DOCUMENTO DE ILS. TÉCNICAS</v>
      </c>
      <c r="Y197" s="21"/>
      <c r="Z197" s="21" t="s">
        <v>274</v>
      </c>
      <c r="AA197" s="20"/>
      <c r="AB197" s="18"/>
      <c r="AC197" s="18"/>
      <c r="AD197" s="4" t="str">
        <f t="shared" si="6"/>
        <v>Plantar</v>
      </c>
      <c r="AE197" s="12" t="str">
        <f t="shared" si="7"/>
        <v>Ciências</v>
      </c>
    </row>
    <row r="198" spans="1:31" s="12" customFormat="1" ht="100.8" x14ac:dyDescent="0.3">
      <c r="A198" s="12" t="s">
        <v>309</v>
      </c>
      <c r="B198" s="18" t="s">
        <v>6</v>
      </c>
      <c r="C198" s="18" t="s">
        <v>7</v>
      </c>
      <c r="D198" s="18" t="s">
        <v>8</v>
      </c>
      <c r="E198" s="20">
        <v>125</v>
      </c>
      <c r="F198" s="20">
        <v>5</v>
      </c>
      <c r="G198" s="20">
        <v>4</v>
      </c>
      <c r="H198" s="20"/>
      <c r="I198" s="21" t="s">
        <v>9</v>
      </c>
      <c r="J198" s="21"/>
      <c r="K198" s="20"/>
      <c r="L198" s="20"/>
      <c r="M198" s="21"/>
      <c r="N198" s="21"/>
      <c r="O198" s="24" t="s">
        <v>310</v>
      </c>
      <c r="P198" s="24"/>
      <c r="Q198" s="20"/>
      <c r="R198" s="22"/>
      <c r="S198" s="22"/>
      <c r="T198" s="22"/>
      <c r="U198" s="22"/>
      <c r="V198" s="22"/>
      <c r="W198" s="20" t="s">
        <v>245</v>
      </c>
      <c r="X198" s="4" t="str">
        <f>IF(Tabela2[[#This Row],[sigla]]="","",VLOOKUP(Tabela2[[#This Row],[sigla]],Tabela1[[#All],[Sigla Arte]:[Crédito]],2,0))</f>
        <v>VER DOCUMENTO DE ILS. TÉCNICAS</v>
      </c>
      <c r="Y198" s="21"/>
      <c r="Z198" s="21" t="s">
        <v>274</v>
      </c>
      <c r="AA198" s="20"/>
      <c r="AB198" s="18"/>
      <c r="AC198" s="18"/>
      <c r="AD198" s="4" t="str">
        <f t="shared" si="6"/>
        <v>Plantar</v>
      </c>
      <c r="AE198" s="12" t="str">
        <f t="shared" si="7"/>
        <v>Ciências</v>
      </c>
    </row>
    <row r="199" spans="1:31" s="12" customFormat="1" ht="86.4" x14ac:dyDescent="0.3">
      <c r="A199" s="12" t="s">
        <v>311</v>
      </c>
      <c r="B199" s="18" t="s">
        <v>6</v>
      </c>
      <c r="C199" s="18" t="s">
        <v>7</v>
      </c>
      <c r="D199" s="18" t="s">
        <v>8</v>
      </c>
      <c r="E199" s="20">
        <v>125</v>
      </c>
      <c r="F199" s="20">
        <v>5</v>
      </c>
      <c r="G199" s="20">
        <v>4</v>
      </c>
      <c r="H199" s="20"/>
      <c r="I199" s="21" t="s">
        <v>13</v>
      </c>
      <c r="J199" s="21"/>
      <c r="K199" s="20"/>
      <c r="L199" s="20"/>
      <c r="M199" s="21"/>
      <c r="N199" s="21"/>
      <c r="O199" s="24" t="s">
        <v>312</v>
      </c>
      <c r="P199" s="24"/>
      <c r="Q199" s="20">
        <v>3</v>
      </c>
      <c r="R199" s="22">
        <v>45749</v>
      </c>
      <c r="S199" s="22">
        <v>45755</v>
      </c>
      <c r="T199" s="22"/>
      <c r="U199" s="22"/>
      <c r="V199" s="22">
        <v>45758</v>
      </c>
      <c r="W199" s="20" t="s">
        <v>245</v>
      </c>
      <c r="X199" s="4" t="str">
        <f>IF(Tabela2[[#This Row],[sigla]]="","",VLOOKUP(Tabela2[[#This Row],[sigla]],Tabela1[[#All],[Sigla Arte]:[Crédito]],2,0))</f>
        <v>VER DOCUMENTO DE ILS. TÉCNICAS</v>
      </c>
      <c r="Y199" s="38" t="s">
        <v>142</v>
      </c>
      <c r="Z199" s="21" t="s">
        <v>274</v>
      </c>
      <c r="AA199" s="20">
        <v>13</v>
      </c>
      <c r="AB199" s="18" t="s">
        <v>275</v>
      </c>
      <c r="AC199" s="18" t="s">
        <v>18</v>
      </c>
      <c r="AD199" s="4" t="str">
        <f t="shared" si="6"/>
        <v>Plantar</v>
      </c>
      <c r="AE199" s="12" t="str">
        <f t="shared" si="7"/>
        <v>Ciências</v>
      </c>
    </row>
    <row r="200" spans="1:31" s="12" customFormat="1" ht="57.6" x14ac:dyDescent="0.3">
      <c r="A200" s="12" t="s">
        <v>313</v>
      </c>
      <c r="B200" s="18" t="s">
        <v>6</v>
      </c>
      <c r="C200" s="18" t="s">
        <v>7</v>
      </c>
      <c r="D200" s="18" t="s">
        <v>8</v>
      </c>
      <c r="E200" s="20">
        <v>126</v>
      </c>
      <c r="F200" s="20">
        <v>5</v>
      </c>
      <c r="G200" s="20">
        <v>4</v>
      </c>
      <c r="H200" s="20"/>
      <c r="I200" s="21" t="s">
        <v>13</v>
      </c>
      <c r="J200" s="21"/>
      <c r="K200" s="20"/>
      <c r="L200" s="20"/>
      <c r="M200" s="21"/>
      <c r="N200" s="21"/>
      <c r="O200" s="24" t="s">
        <v>314</v>
      </c>
      <c r="P200" s="24"/>
      <c r="Q200" s="20">
        <v>3</v>
      </c>
      <c r="R200" s="22">
        <v>45749</v>
      </c>
      <c r="S200" s="22">
        <v>45755</v>
      </c>
      <c r="T200" s="22"/>
      <c r="U200" s="22"/>
      <c r="V200" s="22">
        <v>45758</v>
      </c>
      <c r="W200" s="20" t="s">
        <v>245</v>
      </c>
      <c r="X200" s="4" t="str">
        <f>IF(Tabela2[[#This Row],[sigla]]="","",VLOOKUP(Tabela2[[#This Row],[sigla]],Tabela1[[#All],[Sigla Arte]:[Crédito]],2,0))</f>
        <v>VER DOCUMENTO DE ILS. TÉCNICAS</v>
      </c>
      <c r="Y200" s="38" t="s">
        <v>142</v>
      </c>
      <c r="Z200" s="21" t="s">
        <v>274</v>
      </c>
      <c r="AA200" s="20">
        <v>13</v>
      </c>
      <c r="AB200" s="18" t="s">
        <v>275</v>
      </c>
      <c r="AC200" s="18" t="s">
        <v>18</v>
      </c>
      <c r="AD200" s="4" t="str">
        <f t="shared" si="6"/>
        <v>Plantar</v>
      </c>
      <c r="AE200" s="12" t="str">
        <f t="shared" si="7"/>
        <v>Ciências</v>
      </c>
    </row>
    <row r="201" spans="1:31" s="12" customFormat="1" ht="28.8" x14ac:dyDescent="0.3">
      <c r="A201" s="12" t="s">
        <v>315</v>
      </c>
      <c r="B201" s="18" t="s">
        <v>6</v>
      </c>
      <c r="C201" s="18" t="s">
        <v>7</v>
      </c>
      <c r="D201" s="18" t="s">
        <v>8</v>
      </c>
      <c r="E201" s="20">
        <v>127</v>
      </c>
      <c r="F201" s="20">
        <v>5</v>
      </c>
      <c r="G201" s="20">
        <v>4</v>
      </c>
      <c r="H201" s="20"/>
      <c r="I201" s="21" t="s">
        <v>13</v>
      </c>
      <c r="J201" s="21"/>
      <c r="K201" s="20"/>
      <c r="L201" s="20"/>
      <c r="M201" s="21"/>
      <c r="N201" s="21"/>
      <c r="O201" s="24" t="s">
        <v>316</v>
      </c>
      <c r="P201" s="24"/>
      <c r="Q201" s="20">
        <v>3</v>
      </c>
      <c r="R201" s="22">
        <v>45749</v>
      </c>
      <c r="S201" s="22">
        <v>45755</v>
      </c>
      <c r="T201" s="22"/>
      <c r="U201" s="22"/>
      <c r="V201" s="22">
        <v>45758</v>
      </c>
      <c r="W201" s="20" t="s">
        <v>317</v>
      </c>
      <c r="X201" s="4" t="str">
        <f>IF(Tabela2[[#This Row],[sigla]]="","",VLOOKUP(Tabela2[[#This Row],[sigla]],Tabela1[[#All],[Sigla Arte]:[Crédito]],2,0))</f>
        <v>CAROLINE ANTUNES E SILVA/ARQUIVO DA EDITORA</v>
      </c>
      <c r="Y201" s="38" t="s">
        <v>142</v>
      </c>
      <c r="Z201" s="21" t="str">
        <f>Tabela2[[#This Row],[ilustrador]]</f>
        <v>CAROLINE ANTUNES E SILVA/ARQUIVO DA EDITORA</v>
      </c>
      <c r="AA201" s="20">
        <v>14</v>
      </c>
      <c r="AB201" s="18" t="s">
        <v>143</v>
      </c>
      <c r="AC201" s="18" t="s">
        <v>18</v>
      </c>
      <c r="AD201" s="4" t="str">
        <f t="shared" si="6"/>
        <v>Plantar</v>
      </c>
      <c r="AE201" s="12" t="str">
        <f t="shared" si="7"/>
        <v>Ciências</v>
      </c>
    </row>
    <row r="202" spans="1:31" s="12" customFormat="1" ht="100.8" x14ac:dyDescent="0.3">
      <c r="A202" s="12" t="s">
        <v>318</v>
      </c>
      <c r="B202" s="18" t="s">
        <v>6</v>
      </c>
      <c r="C202" s="18" t="s">
        <v>7</v>
      </c>
      <c r="D202" s="18" t="s">
        <v>8</v>
      </c>
      <c r="E202" s="20">
        <v>127</v>
      </c>
      <c r="F202" s="20">
        <v>5</v>
      </c>
      <c r="G202" s="20">
        <v>4</v>
      </c>
      <c r="H202" s="20"/>
      <c r="I202" s="21" t="s">
        <v>13</v>
      </c>
      <c r="J202" s="21"/>
      <c r="K202" s="20"/>
      <c r="L202" s="20"/>
      <c r="M202" s="21"/>
      <c r="N202" s="21"/>
      <c r="O202" s="24" t="s">
        <v>319</v>
      </c>
      <c r="P202" s="24"/>
      <c r="Q202" s="20">
        <v>3</v>
      </c>
      <c r="R202" s="22">
        <v>45749</v>
      </c>
      <c r="S202" s="22">
        <v>45755</v>
      </c>
      <c r="T202" s="22"/>
      <c r="U202" s="22"/>
      <c r="V202" s="22">
        <v>45758</v>
      </c>
      <c r="W202" s="20" t="s">
        <v>317</v>
      </c>
      <c r="X202" s="4" t="str">
        <f>IF(Tabela2[[#This Row],[sigla]]="","",VLOOKUP(Tabela2[[#This Row],[sigla]],Tabela1[[#All],[Sigla Arte]:[Crédito]],2,0))</f>
        <v>CAROLINE ANTUNES E SILVA/ARQUIVO DA EDITORA</v>
      </c>
      <c r="Y202" s="38" t="s">
        <v>142</v>
      </c>
      <c r="Z202" s="21" t="str">
        <f>Tabela2[[#This Row],[ilustrador]]</f>
        <v>CAROLINE ANTUNES E SILVA/ARQUIVO DA EDITORA</v>
      </c>
      <c r="AA202" s="20">
        <v>14</v>
      </c>
      <c r="AB202" s="18" t="s">
        <v>143</v>
      </c>
      <c r="AC202" s="18" t="s">
        <v>18</v>
      </c>
      <c r="AD202" s="4" t="str">
        <f t="shared" si="6"/>
        <v>Plantar</v>
      </c>
      <c r="AE202" s="12" t="str">
        <f t="shared" si="7"/>
        <v>Ciências</v>
      </c>
    </row>
    <row r="203" spans="1:31" s="12" customFormat="1" ht="86.4" x14ac:dyDescent="0.3">
      <c r="A203" s="12" t="s">
        <v>140</v>
      </c>
      <c r="B203" s="18" t="s">
        <v>6</v>
      </c>
      <c r="C203" s="18" t="s">
        <v>7</v>
      </c>
      <c r="D203" s="18" t="s">
        <v>8</v>
      </c>
      <c r="E203" s="20">
        <v>132</v>
      </c>
      <c r="F203" s="20">
        <v>3</v>
      </c>
      <c r="G203" s="20">
        <v>4</v>
      </c>
      <c r="H203" s="20"/>
      <c r="I203" s="21" t="s">
        <v>13</v>
      </c>
      <c r="J203" s="21"/>
      <c r="K203" s="20"/>
      <c r="L203" s="20"/>
      <c r="M203" s="21"/>
      <c r="N203" s="21"/>
      <c r="O203" s="24" t="s">
        <v>141</v>
      </c>
      <c r="P203" s="24"/>
      <c r="Q203" s="20">
        <v>5</v>
      </c>
      <c r="R203" s="22">
        <v>45756</v>
      </c>
      <c r="S203" s="22">
        <v>45756</v>
      </c>
      <c r="T203" s="22"/>
      <c r="U203" s="22"/>
      <c r="V203" s="22">
        <v>45756</v>
      </c>
      <c r="W203" s="20" t="s">
        <v>15</v>
      </c>
      <c r="X203" s="4" t="str">
        <f>IF(Tabela2[[#This Row],[sigla]]="","",VLOOKUP(Tabela2[[#This Row],[sigla]],Tabela1[[#All],[Sigla Arte]:[Crédito]],2,0))</f>
        <v>IVY NUNES/ARQUIVO DA EDITORA</v>
      </c>
      <c r="Y203" s="21" t="s">
        <v>142</v>
      </c>
      <c r="Z203" s="21" t="str">
        <f>Tabela2[[#This Row],[ilustrador]]</f>
        <v>IVY NUNES/ARQUIVO DA EDITORA</v>
      </c>
      <c r="AA203" s="20">
        <v>13</v>
      </c>
      <c r="AB203" s="18" t="s">
        <v>143</v>
      </c>
      <c r="AC203" s="18" t="s">
        <v>18</v>
      </c>
      <c r="AD203" s="4" t="str">
        <f t="shared" si="6"/>
        <v>Plantar</v>
      </c>
      <c r="AE203" s="12" t="str">
        <f t="shared" si="7"/>
        <v>Ciências</v>
      </c>
    </row>
    <row r="204" spans="1:31" s="12" customFormat="1" ht="100.8" x14ac:dyDescent="0.3">
      <c r="A204" s="12" t="s">
        <v>320</v>
      </c>
      <c r="B204" s="18" t="s">
        <v>6</v>
      </c>
      <c r="C204" s="18" t="s">
        <v>7</v>
      </c>
      <c r="D204" s="18" t="s">
        <v>8</v>
      </c>
      <c r="E204" s="20">
        <v>128</v>
      </c>
      <c r="F204" s="20">
        <v>5</v>
      </c>
      <c r="G204" s="20">
        <v>4</v>
      </c>
      <c r="H204" s="20"/>
      <c r="I204" s="21" t="s">
        <v>13</v>
      </c>
      <c r="J204" s="21"/>
      <c r="K204" s="20"/>
      <c r="L204" s="20"/>
      <c r="M204" s="21"/>
      <c r="N204" s="21"/>
      <c r="O204" s="24" t="s">
        <v>321</v>
      </c>
      <c r="P204" s="24"/>
      <c r="Q204" s="20">
        <v>3</v>
      </c>
      <c r="R204" s="22">
        <v>45749</v>
      </c>
      <c r="S204" s="22">
        <v>45755</v>
      </c>
      <c r="T204" s="22"/>
      <c r="U204" s="22"/>
      <c r="V204" s="22">
        <v>45758</v>
      </c>
      <c r="W204" s="20" t="s">
        <v>245</v>
      </c>
      <c r="X204" s="4" t="str">
        <f>IF(Tabela2[[#This Row],[sigla]]="","",VLOOKUP(Tabela2[[#This Row],[sigla]],Tabela1[[#All],[Sigla Arte]:[Crédito]],2,0))</f>
        <v>VER DOCUMENTO DE ILS. TÉCNICAS</v>
      </c>
      <c r="Y204" s="38" t="s">
        <v>142</v>
      </c>
      <c r="Z204" s="21" t="s">
        <v>274</v>
      </c>
      <c r="AA204" s="20">
        <v>14</v>
      </c>
      <c r="AB204" s="18" t="s">
        <v>275</v>
      </c>
      <c r="AC204" s="18" t="s">
        <v>18</v>
      </c>
      <c r="AD204" s="4" t="str">
        <f t="shared" si="6"/>
        <v>Plantar</v>
      </c>
      <c r="AE204" s="12" t="str">
        <f t="shared" si="7"/>
        <v>Ciências</v>
      </c>
    </row>
    <row r="205" spans="1:31" s="12" customFormat="1" ht="144" x14ac:dyDescent="0.3">
      <c r="A205" s="12" t="s">
        <v>144</v>
      </c>
      <c r="B205" s="18" t="s">
        <v>6</v>
      </c>
      <c r="C205" s="18" t="s">
        <v>7</v>
      </c>
      <c r="D205" s="18" t="s">
        <v>8</v>
      </c>
      <c r="E205" s="20">
        <v>132</v>
      </c>
      <c r="F205" s="20">
        <v>3</v>
      </c>
      <c r="G205" s="20">
        <v>4</v>
      </c>
      <c r="H205" s="20"/>
      <c r="I205" s="21" t="s">
        <v>13</v>
      </c>
      <c r="J205" s="21"/>
      <c r="K205" s="20"/>
      <c r="L205" s="20"/>
      <c r="M205" s="21"/>
      <c r="N205" s="21"/>
      <c r="O205" s="24" t="s">
        <v>145</v>
      </c>
      <c r="P205" s="24"/>
      <c r="Q205" s="20">
        <v>5</v>
      </c>
      <c r="R205" s="22">
        <v>45756</v>
      </c>
      <c r="S205" s="22">
        <v>45756</v>
      </c>
      <c r="T205" s="22"/>
      <c r="U205" s="22"/>
      <c r="V205" s="22">
        <v>45756</v>
      </c>
      <c r="W205" s="20" t="s">
        <v>15</v>
      </c>
      <c r="X205" s="4" t="str">
        <f>IF(Tabela2[[#This Row],[sigla]]="","",VLOOKUP(Tabela2[[#This Row],[sigla]],Tabela1[[#All],[Sigla Arte]:[Crédito]],2,0))</f>
        <v>IVY NUNES/ARQUIVO DA EDITORA</v>
      </c>
      <c r="Y205" s="21" t="s">
        <v>142</v>
      </c>
      <c r="Z205" s="21" t="str">
        <f>Tabela2[[#This Row],[ilustrador]]</f>
        <v>IVY NUNES/ARQUIVO DA EDITORA</v>
      </c>
      <c r="AA205" s="20">
        <v>13</v>
      </c>
      <c r="AB205" s="18" t="s">
        <v>143</v>
      </c>
      <c r="AC205" s="18" t="s">
        <v>18</v>
      </c>
      <c r="AD205" s="4" t="str">
        <f t="shared" si="6"/>
        <v>Plantar</v>
      </c>
      <c r="AE205" s="12" t="str">
        <f t="shared" si="7"/>
        <v>Ciências</v>
      </c>
    </row>
    <row r="206" spans="1:31" s="12" customFormat="1" ht="144" x14ac:dyDescent="0.3">
      <c r="A206" s="12" t="s">
        <v>322</v>
      </c>
      <c r="B206" s="18" t="s">
        <v>6</v>
      </c>
      <c r="C206" s="18" t="s">
        <v>7</v>
      </c>
      <c r="D206" s="18" t="s">
        <v>8</v>
      </c>
      <c r="E206" s="20">
        <v>128</v>
      </c>
      <c r="F206" s="20">
        <v>5</v>
      </c>
      <c r="G206" s="20">
        <v>4</v>
      </c>
      <c r="H206" s="20"/>
      <c r="I206" s="21" t="s">
        <v>9</v>
      </c>
      <c r="J206" s="21"/>
      <c r="K206" s="20"/>
      <c r="L206" s="20"/>
      <c r="M206" s="21"/>
      <c r="N206" s="21"/>
      <c r="O206" s="24" t="s">
        <v>323</v>
      </c>
      <c r="P206" s="24"/>
      <c r="Q206" s="20"/>
      <c r="R206" s="22"/>
      <c r="S206" s="22"/>
      <c r="T206" s="22"/>
      <c r="U206" s="22"/>
      <c r="V206" s="22"/>
      <c r="W206" s="20" t="s">
        <v>245</v>
      </c>
      <c r="X206" s="4" t="str">
        <f>IF(Tabela2[[#This Row],[sigla]]="","",VLOOKUP(Tabela2[[#This Row],[sigla]],Tabela1[[#All],[Sigla Arte]:[Crédito]],2,0))</f>
        <v>VER DOCUMENTO DE ILS. TÉCNICAS</v>
      </c>
      <c r="Y206" s="21"/>
      <c r="Z206" s="21" t="s">
        <v>274</v>
      </c>
      <c r="AA206" s="20"/>
      <c r="AB206" s="18"/>
      <c r="AC206" s="18"/>
      <c r="AD206" s="4" t="str">
        <f t="shared" si="6"/>
        <v>Plantar</v>
      </c>
      <c r="AE206" s="12" t="str">
        <f t="shared" si="7"/>
        <v>Ciências</v>
      </c>
    </row>
    <row r="207" spans="1:31" s="12" customFormat="1" ht="86.4" x14ac:dyDescent="0.3">
      <c r="A207" s="12" t="s">
        <v>146</v>
      </c>
      <c r="B207" s="18" t="s">
        <v>6</v>
      </c>
      <c r="C207" s="18" t="s">
        <v>7</v>
      </c>
      <c r="D207" s="18" t="s">
        <v>8</v>
      </c>
      <c r="E207" s="20">
        <v>133</v>
      </c>
      <c r="F207" s="20">
        <v>3</v>
      </c>
      <c r="G207" s="20">
        <v>4</v>
      </c>
      <c r="H207" s="20"/>
      <c r="I207" s="21" t="s">
        <v>13</v>
      </c>
      <c r="J207" s="21"/>
      <c r="K207" s="20"/>
      <c r="L207" s="20"/>
      <c r="M207" s="21"/>
      <c r="N207" s="21"/>
      <c r="O207" s="24" t="s">
        <v>147</v>
      </c>
      <c r="P207" s="24"/>
      <c r="Q207" s="20">
        <v>5</v>
      </c>
      <c r="R207" s="22">
        <v>45756</v>
      </c>
      <c r="S207" s="22">
        <v>45756</v>
      </c>
      <c r="T207" s="22"/>
      <c r="U207" s="22"/>
      <c r="V207" s="22">
        <v>45756</v>
      </c>
      <c r="W207" s="20" t="s">
        <v>15</v>
      </c>
      <c r="X207" s="4" t="str">
        <f>IF(Tabela2[[#This Row],[sigla]]="","",VLOOKUP(Tabela2[[#This Row],[sigla]],Tabela1[[#All],[Sigla Arte]:[Crédito]],2,0))</f>
        <v>IVY NUNES/ARQUIVO DA EDITORA</v>
      </c>
      <c r="Y207" s="21" t="s">
        <v>142</v>
      </c>
      <c r="Z207" s="21" t="str">
        <f>Tabela2[[#This Row],[ilustrador]]</f>
        <v>IVY NUNES/ARQUIVO DA EDITORA</v>
      </c>
      <c r="AA207" s="20">
        <v>13</v>
      </c>
      <c r="AB207" s="18" t="s">
        <v>143</v>
      </c>
      <c r="AC207" s="18" t="s">
        <v>18</v>
      </c>
      <c r="AD207" s="4" t="str">
        <f t="shared" si="6"/>
        <v>Plantar</v>
      </c>
      <c r="AE207" s="12" t="str">
        <f t="shared" si="7"/>
        <v>Ciências</v>
      </c>
    </row>
    <row r="208" spans="1:31" s="12" customFormat="1" ht="144" x14ac:dyDescent="0.3">
      <c r="A208" s="12" t="s">
        <v>324</v>
      </c>
      <c r="B208" s="18" t="s">
        <v>6</v>
      </c>
      <c r="C208" s="18" t="s">
        <v>7</v>
      </c>
      <c r="D208" s="18" t="s">
        <v>8</v>
      </c>
      <c r="E208" s="20">
        <v>128</v>
      </c>
      <c r="F208" s="20">
        <v>5</v>
      </c>
      <c r="G208" s="20">
        <v>4</v>
      </c>
      <c r="H208" s="20"/>
      <c r="I208" s="21" t="s">
        <v>9</v>
      </c>
      <c r="J208" s="21"/>
      <c r="K208" s="20"/>
      <c r="L208" s="20"/>
      <c r="M208" s="21"/>
      <c r="N208" s="21"/>
      <c r="O208" s="24" t="s">
        <v>325</v>
      </c>
      <c r="P208" s="24"/>
      <c r="Q208" s="20"/>
      <c r="R208" s="22"/>
      <c r="S208" s="22"/>
      <c r="T208" s="22"/>
      <c r="U208" s="22"/>
      <c r="V208" s="22"/>
      <c r="W208" s="20" t="s">
        <v>245</v>
      </c>
      <c r="X208" s="4" t="str">
        <f>IF(Tabela2[[#This Row],[sigla]]="","",VLOOKUP(Tabela2[[#This Row],[sigla]],Tabela1[[#All],[Sigla Arte]:[Crédito]],2,0))</f>
        <v>VER DOCUMENTO DE ILS. TÉCNICAS</v>
      </c>
      <c r="Y208" s="21"/>
      <c r="Z208" s="21" t="s">
        <v>274</v>
      </c>
      <c r="AA208" s="20"/>
      <c r="AB208" s="18"/>
      <c r="AC208" s="18"/>
      <c r="AD208" s="4" t="str">
        <f t="shared" si="6"/>
        <v>Plantar</v>
      </c>
      <c r="AE208" s="12" t="str">
        <f t="shared" si="7"/>
        <v>Ciências</v>
      </c>
    </row>
    <row r="209" spans="1:31" s="12" customFormat="1" ht="57.6" x14ac:dyDescent="0.3">
      <c r="A209" s="12" t="s">
        <v>148</v>
      </c>
      <c r="B209" s="18" t="s">
        <v>6</v>
      </c>
      <c r="C209" s="18" t="s">
        <v>7</v>
      </c>
      <c r="D209" s="18" t="s">
        <v>8</v>
      </c>
      <c r="E209" s="20">
        <v>134</v>
      </c>
      <c r="F209" s="20">
        <v>3</v>
      </c>
      <c r="G209" s="20">
        <v>4</v>
      </c>
      <c r="H209" s="20"/>
      <c r="I209" s="21" t="s">
        <v>9</v>
      </c>
      <c r="J209" s="21"/>
      <c r="K209" s="20"/>
      <c r="L209" s="20"/>
      <c r="M209" s="21"/>
      <c r="N209" s="21"/>
      <c r="O209" s="24" t="s">
        <v>149</v>
      </c>
      <c r="P209" s="24"/>
      <c r="Q209" s="20"/>
      <c r="R209" s="22"/>
      <c r="S209" s="22"/>
      <c r="T209" s="22"/>
      <c r="U209" s="22"/>
      <c r="V209" s="22"/>
      <c r="W209" s="20" t="s">
        <v>59</v>
      </c>
      <c r="X209" s="4" t="str">
        <f>IF(Tabela2[[#This Row],[sigla]]="","",VLOOKUP(Tabela2[[#This Row],[sigla]],Tabela1[[#All],[Sigla Arte]:[Crédito]],2,0))</f>
        <v>FERNANDA MONTEIRO/ARQUIVO DA EDITORA</v>
      </c>
      <c r="Y209" s="21"/>
      <c r="Z209" s="21" t="str">
        <f>Tabela2[[#This Row],[ilustrador]]</f>
        <v>FERNANDA MONTEIRO/ARQUIVO DA EDITORA</v>
      </c>
      <c r="AA209" s="20"/>
      <c r="AB209" s="18"/>
      <c r="AC209" s="18"/>
      <c r="AD209" s="4" t="str">
        <f t="shared" si="6"/>
        <v>Plantar</v>
      </c>
      <c r="AE209" s="12" t="str">
        <f t="shared" si="7"/>
        <v>Ciências</v>
      </c>
    </row>
    <row r="210" spans="1:31" s="12" customFormat="1" ht="172.8" x14ac:dyDescent="0.3">
      <c r="A210" s="12" t="s">
        <v>150</v>
      </c>
      <c r="B210" s="18" t="s">
        <v>6</v>
      </c>
      <c r="C210" s="18" t="s">
        <v>7</v>
      </c>
      <c r="D210" s="18" t="s">
        <v>8</v>
      </c>
      <c r="E210" s="20">
        <v>134</v>
      </c>
      <c r="F210" s="20">
        <v>3</v>
      </c>
      <c r="G210" s="20">
        <v>4</v>
      </c>
      <c r="H210" s="20"/>
      <c r="I210" s="21" t="s">
        <v>9</v>
      </c>
      <c r="J210" s="21"/>
      <c r="K210" s="20"/>
      <c r="L210" s="20"/>
      <c r="M210" s="21"/>
      <c r="N210" s="21"/>
      <c r="O210" s="24" t="s">
        <v>151</v>
      </c>
      <c r="P210" s="24"/>
      <c r="Q210" s="20"/>
      <c r="R210" s="22"/>
      <c r="S210" s="22"/>
      <c r="T210" s="22"/>
      <c r="U210" s="22"/>
      <c r="V210" s="22"/>
      <c r="W210" s="20" t="s">
        <v>59</v>
      </c>
      <c r="X210" s="4" t="str">
        <f>IF(Tabela2[[#This Row],[sigla]]="","",VLOOKUP(Tabela2[[#This Row],[sigla]],Tabela1[[#All],[Sigla Arte]:[Crédito]],2,0))</f>
        <v>FERNANDA MONTEIRO/ARQUIVO DA EDITORA</v>
      </c>
      <c r="Y210" s="21"/>
      <c r="Z210" s="21" t="str">
        <f>Tabela2[[#This Row],[ilustrador]]</f>
        <v>FERNANDA MONTEIRO/ARQUIVO DA EDITORA</v>
      </c>
      <c r="AA210" s="20"/>
      <c r="AB210" s="18"/>
      <c r="AC210" s="18"/>
      <c r="AD210" s="4" t="str">
        <f t="shared" si="6"/>
        <v>Plantar</v>
      </c>
      <c r="AE210" s="12" t="str">
        <f t="shared" si="7"/>
        <v>Ciências</v>
      </c>
    </row>
    <row r="211" spans="1:31" s="12" customFormat="1" ht="43.2" x14ac:dyDescent="0.3">
      <c r="A211" s="12" t="s">
        <v>490</v>
      </c>
      <c r="B211" s="18" t="s">
        <v>6</v>
      </c>
      <c r="C211" s="18" t="s">
        <v>7</v>
      </c>
      <c r="D211" s="18" t="s">
        <v>8</v>
      </c>
      <c r="E211" s="20">
        <v>131</v>
      </c>
      <c r="F211" s="20">
        <v>4</v>
      </c>
      <c r="G211" s="20">
        <v>4</v>
      </c>
      <c r="H211" s="20"/>
      <c r="I211" s="21" t="s">
        <v>9</v>
      </c>
      <c r="J211" s="21"/>
      <c r="K211" s="20"/>
      <c r="L211" s="20"/>
      <c r="M211" s="21"/>
      <c r="N211" s="21"/>
      <c r="O211" s="24" t="s">
        <v>491</v>
      </c>
      <c r="P211" s="24"/>
      <c r="Q211" s="20"/>
      <c r="R211" s="22"/>
      <c r="S211" s="22"/>
      <c r="T211" s="22"/>
      <c r="U211" s="22"/>
      <c r="V211" s="22"/>
      <c r="W211" s="20" t="s">
        <v>70</v>
      </c>
      <c r="X211" s="4" t="str">
        <f>IF(Tabela2[[#This Row],[sigla]]="","",VLOOKUP(Tabela2[[#This Row],[sigla]],Tabela1[[#All],[Sigla Arte]:[Crédito]],2,0))</f>
        <v>ALEXANDRE DE SOUZA/ARQUIVO DA EDITORA</v>
      </c>
      <c r="Y211" s="21"/>
      <c r="Z211" s="21" t="str">
        <f>Tabela2[[#This Row],[ilustrador]]</f>
        <v>ALEXANDRE DE SOUZA/ARQUIVO DA EDITORA</v>
      </c>
      <c r="AA211" s="20"/>
      <c r="AB211" s="18"/>
      <c r="AC211" s="18"/>
      <c r="AD211" s="4" t="str">
        <f t="shared" si="6"/>
        <v>Plantar</v>
      </c>
      <c r="AE211" s="12" t="str">
        <f t="shared" si="7"/>
        <v>Ciências</v>
      </c>
    </row>
    <row r="212" spans="1:31" s="12" customFormat="1" ht="115.2" x14ac:dyDescent="0.3">
      <c r="A212" s="12" t="s">
        <v>326</v>
      </c>
      <c r="B212" s="18" t="s">
        <v>6</v>
      </c>
      <c r="C212" s="18" t="s">
        <v>7</v>
      </c>
      <c r="D212" s="18" t="s">
        <v>8</v>
      </c>
      <c r="E212" s="20">
        <v>130</v>
      </c>
      <c r="F212" s="20">
        <v>5</v>
      </c>
      <c r="G212" s="20">
        <v>4</v>
      </c>
      <c r="H212" s="20"/>
      <c r="I212" s="21" t="s">
        <v>9</v>
      </c>
      <c r="J212" s="21"/>
      <c r="K212" s="20"/>
      <c r="L212" s="20"/>
      <c r="M212" s="21"/>
      <c r="N212" s="21"/>
      <c r="O212" s="24" t="s">
        <v>327</v>
      </c>
      <c r="P212" s="24"/>
      <c r="Q212" s="20"/>
      <c r="R212" s="22"/>
      <c r="S212" s="22"/>
      <c r="T212" s="22"/>
      <c r="U212" s="22"/>
      <c r="V212" s="22"/>
      <c r="W212" s="20" t="s">
        <v>245</v>
      </c>
      <c r="X212" s="4" t="str">
        <f>IF(Tabela2[[#This Row],[sigla]]="","",VLOOKUP(Tabela2[[#This Row],[sigla]],Tabela1[[#All],[Sigla Arte]:[Crédito]],2,0))</f>
        <v>VER DOCUMENTO DE ILS. TÉCNICAS</v>
      </c>
      <c r="Y212" s="21"/>
      <c r="Z212" s="21" t="s">
        <v>274</v>
      </c>
      <c r="AA212" s="20"/>
      <c r="AB212" s="18"/>
      <c r="AC212" s="18"/>
      <c r="AD212" s="4" t="str">
        <f t="shared" si="6"/>
        <v>Plantar</v>
      </c>
      <c r="AE212" s="12" t="str">
        <f t="shared" si="7"/>
        <v>Ciências</v>
      </c>
    </row>
    <row r="213" spans="1:31" s="12" customFormat="1" ht="216" x14ac:dyDescent="0.3">
      <c r="A213" s="12" t="s">
        <v>328</v>
      </c>
      <c r="B213" s="18" t="s">
        <v>6</v>
      </c>
      <c r="C213" s="18" t="s">
        <v>7</v>
      </c>
      <c r="D213" s="18" t="s">
        <v>8</v>
      </c>
      <c r="E213" s="20">
        <v>130</v>
      </c>
      <c r="F213" s="20">
        <v>5</v>
      </c>
      <c r="G213" s="20">
        <v>4</v>
      </c>
      <c r="H213" s="20"/>
      <c r="I213" s="21" t="s">
        <v>9</v>
      </c>
      <c r="J213" s="21"/>
      <c r="K213" s="20"/>
      <c r="L213" s="20"/>
      <c r="M213" s="21"/>
      <c r="N213" s="21"/>
      <c r="O213" s="24" t="s">
        <v>329</v>
      </c>
      <c r="P213" s="24"/>
      <c r="Q213" s="20"/>
      <c r="R213" s="22"/>
      <c r="S213" s="22"/>
      <c r="T213" s="22"/>
      <c r="U213" s="22"/>
      <c r="V213" s="22"/>
      <c r="W213" s="20" t="s">
        <v>245</v>
      </c>
      <c r="X213" s="4" t="str">
        <f>IF(Tabela2[[#This Row],[sigla]]="","",VLOOKUP(Tabela2[[#This Row],[sigla]],Tabela1[[#All],[Sigla Arte]:[Crédito]],2,0))</f>
        <v>VER DOCUMENTO DE ILS. TÉCNICAS</v>
      </c>
      <c r="Y213" s="21"/>
      <c r="Z213" s="21" t="s">
        <v>274</v>
      </c>
      <c r="AA213" s="20"/>
      <c r="AB213" s="18"/>
      <c r="AC213" s="18"/>
      <c r="AD213" s="4" t="str">
        <f t="shared" si="6"/>
        <v>Plantar</v>
      </c>
      <c r="AE213" s="12" t="str">
        <f t="shared" si="7"/>
        <v>Ciências</v>
      </c>
    </row>
    <row r="214" spans="1:31" s="12" customFormat="1" ht="201.6" x14ac:dyDescent="0.3">
      <c r="A214" s="12" t="s">
        <v>330</v>
      </c>
      <c r="B214" s="18" t="s">
        <v>6</v>
      </c>
      <c r="C214" s="18" t="s">
        <v>7</v>
      </c>
      <c r="D214" s="18" t="s">
        <v>8</v>
      </c>
      <c r="E214" s="20">
        <v>131</v>
      </c>
      <c r="F214" s="20">
        <v>5</v>
      </c>
      <c r="G214" s="20">
        <v>4</v>
      </c>
      <c r="H214" s="20"/>
      <c r="I214" s="21" t="s">
        <v>9</v>
      </c>
      <c r="J214" s="21"/>
      <c r="K214" s="20"/>
      <c r="L214" s="20"/>
      <c r="M214" s="21"/>
      <c r="N214" s="21"/>
      <c r="O214" s="24" t="s">
        <v>331</v>
      </c>
      <c r="P214" s="24"/>
      <c r="Q214" s="20"/>
      <c r="R214" s="22"/>
      <c r="S214" s="22"/>
      <c r="T214" s="22"/>
      <c r="U214" s="22"/>
      <c r="V214" s="22"/>
      <c r="W214" s="20" t="s">
        <v>11</v>
      </c>
      <c r="X214" s="4" t="str">
        <f>IF(Tabela2[[#This Row],[sigla]]="","",VLOOKUP(Tabela2[[#This Row],[sigla]],Tabela1[[#All],[Sigla Arte]:[Crédito]],2,0))</f>
        <v>HELOÍSA PINTARELLI/ARQUIVO DA EDITORA</v>
      </c>
      <c r="Y214" s="21"/>
      <c r="Z214" s="21" t="str">
        <f>Tabela2[[#This Row],[ilustrador]]</f>
        <v>HELOÍSA PINTARELLI/ARQUIVO DA EDITORA</v>
      </c>
      <c r="AA214" s="20"/>
      <c r="AB214" s="18"/>
      <c r="AC214" s="18"/>
      <c r="AD214" s="4" t="str">
        <f t="shared" si="6"/>
        <v>Plantar</v>
      </c>
      <c r="AE214" s="12" t="str">
        <f t="shared" si="7"/>
        <v>Ciências</v>
      </c>
    </row>
    <row r="215" spans="1:31" s="12" customFormat="1" ht="57.6" x14ac:dyDescent="0.3">
      <c r="A215" s="12" t="s">
        <v>332</v>
      </c>
      <c r="B215" s="18" t="s">
        <v>6</v>
      </c>
      <c r="C215" s="18" t="s">
        <v>7</v>
      </c>
      <c r="D215" s="18" t="s">
        <v>8</v>
      </c>
      <c r="E215" s="20">
        <v>131</v>
      </c>
      <c r="F215" s="20">
        <v>5</v>
      </c>
      <c r="G215" s="20">
        <v>4</v>
      </c>
      <c r="H215" s="20"/>
      <c r="I215" s="21" t="s">
        <v>9</v>
      </c>
      <c r="J215" s="21"/>
      <c r="K215" s="20"/>
      <c r="L215" s="20"/>
      <c r="M215" s="21"/>
      <c r="N215" s="21"/>
      <c r="O215" s="24" t="s">
        <v>333</v>
      </c>
      <c r="P215" s="24"/>
      <c r="Q215" s="20"/>
      <c r="R215" s="22"/>
      <c r="S215" s="22"/>
      <c r="T215" s="22"/>
      <c r="U215" s="22"/>
      <c r="V215" s="22"/>
      <c r="W215" s="20" t="s">
        <v>11</v>
      </c>
      <c r="X215" s="4" t="str">
        <f>IF(Tabela2[[#This Row],[sigla]]="","",VLOOKUP(Tabela2[[#This Row],[sigla]],Tabela1[[#All],[Sigla Arte]:[Crédito]],2,0))</f>
        <v>HELOÍSA PINTARELLI/ARQUIVO DA EDITORA</v>
      </c>
      <c r="Y215" s="21"/>
      <c r="Z215" s="21" t="str">
        <f>Tabela2[[#This Row],[ilustrador]]</f>
        <v>HELOÍSA PINTARELLI/ARQUIVO DA EDITORA</v>
      </c>
      <c r="AA215" s="20"/>
      <c r="AB215" s="18"/>
      <c r="AC215" s="18"/>
      <c r="AD215" s="4" t="str">
        <f t="shared" si="6"/>
        <v>Plantar</v>
      </c>
      <c r="AE215" s="12" t="str">
        <f t="shared" si="7"/>
        <v>Ciências</v>
      </c>
    </row>
    <row r="216" spans="1:31" s="12" customFormat="1" ht="43.2" x14ac:dyDescent="0.3">
      <c r="A216" s="12" t="s">
        <v>334</v>
      </c>
      <c r="B216" s="18" t="s">
        <v>6</v>
      </c>
      <c r="C216" s="18" t="s">
        <v>7</v>
      </c>
      <c r="D216" s="18" t="s">
        <v>8</v>
      </c>
      <c r="E216" s="20">
        <v>131</v>
      </c>
      <c r="F216" s="20">
        <v>5</v>
      </c>
      <c r="G216" s="20">
        <v>4</v>
      </c>
      <c r="H216" s="20"/>
      <c r="I216" s="21" t="s">
        <v>9</v>
      </c>
      <c r="J216" s="21"/>
      <c r="K216" s="20"/>
      <c r="L216" s="20"/>
      <c r="M216" s="21"/>
      <c r="N216" s="21"/>
      <c r="O216" s="24" t="s">
        <v>335</v>
      </c>
      <c r="P216" s="24"/>
      <c r="Q216" s="20"/>
      <c r="R216" s="22"/>
      <c r="S216" s="22"/>
      <c r="T216" s="22"/>
      <c r="U216" s="22"/>
      <c r="V216" s="22"/>
      <c r="W216" s="20" t="s">
        <v>11</v>
      </c>
      <c r="X216" s="4" t="str">
        <f>IF(Tabela2[[#This Row],[sigla]]="","",VLOOKUP(Tabela2[[#This Row],[sigla]],Tabela1[[#All],[Sigla Arte]:[Crédito]],2,0))</f>
        <v>HELOÍSA PINTARELLI/ARQUIVO DA EDITORA</v>
      </c>
      <c r="Y216" s="21"/>
      <c r="Z216" s="21" t="str">
        <f>Tabela2[[#This Row],[ilustrador]]</f>
        <v>HELOÍSA PINTARELLI/ARQUIVO DA EDITORA</v>
      </c>
      <c r="AA216" s="20"/>
      <c r="AB216" s="18"/>
      <c r="AC216" s="18"/>
      <c r="AD216" s="4" t="str">
        <f t="shared" si="6"/>
        <v>Plantar</v>
      </c>
      <c r="AE216" s="12" t="str">
        <f t="shared" si="7"/>
        <v>Ciências</v>
      </c>
    </row>
    <row r="217" spans="1:31" s="12" customFormat="1" ht="72" x14ac:dyDescent="0.3">
      <c r="A217" s="12" t="s">
        <v>152</v>
      </c>
      <c r="B217" s="18" t="s">
        <v>6</v>
      </c>
      <c r="C217" s="18" t="s">
        <v>7</v>
      </c>
      <c r="D217" s="18" t="s">
        <v>8</v>
      </c>
      <c r="E217" s="20">
        <v>136</v>
      </c>
      <c r="F217" s="20">
        <v>3</v>
      </c>
      <c r="G217" s="20">
        <v>4</v>
      </c>
      <c r="H217" s="20"/>
      <c r="I217" s="21" t="s">
        <v>13</v>
      </c>
      <c r="J217" s="21"/>
      <c r="K217" s="20"/>
      <c r="L217" s="20"/>
      <c r="M217" s="21"/>
      <c r="N217" s="21"/>
      <c r="O217" s="24" t="s">
        <v>153</v>
      </c>
      <c r="P217" s="24"/>
      <c r="Q217" s="20">
        <v>3</v>
      </c>
      <c r="R217" s="22">
        <v>45735</v>
      </c>
      <c r="S217" s="22">
        <v>45735</v>
      </c>
      <c r="T217" s="22"/>
      <c r="U217" s="22"/>
      <c r="V217" s="22">
        <v>45735</v>
      </c>
      <c r="W217" s="20" t="s">
        <v>154</v>
      </c>
      <c r="X217" s="4" t="str">
        <f>IF(Tabela2[[#This Row],[sigla]]="","",VLOOKUP(Tabela2[[#This Row],[sigla]],Tabela1[[#All],[Sigla Arte]:[Crédito]],2,0))</f>
        <v>KLEBER MAURÍCIO COELHO/ARQUIVO DA EDITORA</v>
      </c>
      <c r="Y217" s="21" t="s">
        <v>34</v>
      </c>
      <c r="Z217" s="21" t="str">
        <f>Tabela2[[#This Row],[ilustrador]]</f>
        <v>KLEBER MAURÍCIO COELHO/ARQUIVO DA EDITORA</v>
      </c>
      <c r="AA217" s="20">
        <v>14</v>
      </c>
      <c r="AB217" s="18"/>
      <c r="AC217" s="18" t="s">
        <v>18</v>
      </c>
      <c r="AD217" s="4" t="str">
        <f t="shared" si="6"/>
        <v>Plantar</v>
      </c>
      <c r="AE217" s="12" t="str">
        <f t="shared" si="7"/>
        <v>Ciências</v>
      </c>
    </row>
    <row r="218" spans="1:31" s="12" customFormat="1" ht="28.8" x14ac:dyDescent="0.3">
      <c r="A218" s="12" t="s">
        <v>155</v>
      </c>
      <c r="B218" s="18" t="s">
        <v>6</v>
      </c>
      <c r="C218" s="18" t="s">
        <v>7</v>
      </c>
      <c r="D218" s="18" t="s">
        <v>8</v>
      </c>
      <c r="E218" s="20">
        <v>137</v>
      </c>
      <c r="F218" s="20">
        <v>3</v>
      </c>
      <c r="G218" s="20">
        <v>4</v>
      </c>
      <c r="H218" s="20"/>
      <c r="I218" s="21" t="s">
        <v>9</v>
      </c>
      <c r="J218" s="21"/>
      <c r="K218" s="20"/>
      <c r="L218" s="20"/>
      <c r="M218" s="21"/>
      <c r="N218" s="21"/>
      <c r="O218" s="24" t="s">
        <v>156</v>
      </c>
      <c r="P218" s="24"/>
      <c r="Q218" s="20"/>
      <c r="R218" s="22"/>
      <c r="S218" s="22"/>
      <c r="T218" s="22"/>
      <c r="U218" s="22"/>
      <c r="V218" s="22"/>
      <c r="W218" s="20" t="s">
        <v>154</v>
      </c>
      <c r="X218" s="4" t="str">
        <f>IF(Tabela2[[#This Row],[sigla]]="","",VLOOKUP(Tabela2[[#This Row],[sigla]],Tabela1[[#All],[Sigla Arte]:[Crédito]],2,0))</f>
        <v>KLEBER MAURÍCIO COELHO/ARQUIVO DA EDITORA</v>
      </c>
      <c r="Y218" s="21"/>
      <c r="Z218" s="21" t="str">
        <f>Tabela2[[#This Row],[ilustrador]]</f>
        <v>KLEBER MAURÍCIO COELHO/ARQUIVO DA EDITORA</v>
      </c>
      <c r="AA218" s="20"/>
      <c r="AB218" s="18"/>
      <c r="AC218" s="18"/>
      <c r="AD218" s="4" t="str">
        <f t="shared" si="6"/>
        <v>Plantar</v>
      </c>
      <c r="AE218" s="12" t="str">
        <f t="shared" si="7"/>
        <v>Ciências</v>
      </c>
    </row>
    <row r="219" spans="1:31" s="12" customFormat="1" ht="86.4" x14ac:dyDescent="0.3">
      <c r="A219" s="12" t="s">
        <v>336</v>
      </c>
      <c r="B219" s="18" t="s">
        <v>6</v>
      </c>
      <c r="C219" s="18" t="s">
        <v>7</v>
      </c>
      <c r="D219" s="18" t="s">
        <v>8</v>
      </c>
      <c r="E219" s="20">
        <v>134</v>
      </c>
      <c r="F219" s="20">
        <v>5</v>
      </c>
      <c r="G219" s="20">
        <v>4</v>
      </c>
      <c r="H219" s="20"/>
      <c r="I219" s="21" t="s">
        <v>9</v>
      </c>
      <c r="J219" s="21"/>
      <c r="K219" s="20"/>
      <c r="L219" s="20"/>
      <c r="M219" s="21"/>
      <c r="N219" s="21"/>
      <c r="O219" s="24" t="s">
        <v>337</v>
      </c>
      <c r="P219" s="24"/>
      <c r="Q219" s="20"/>
      <c r="R219" s="22"/>
      <c r="S219" s="22"/>
      <c r="T219" s="22"/>
      <c r="U219" s="22"/>
      <c r="V219" s="22"/>
      <c r="W219" s="20" t="s">
        <v>245</v>
      </c>
      <c r="X219" s="4" t="str">
        <f>IF(Tabela2[[#This Row],[sigla]]="","",VLOOKUP(Tabela2[[#This Row],[sigla]],Tabela1[[#All],[Sigla Arte]:[Crédito]],2,0))</f>
        <v>VER DOCUMENTO DE ILS. TÉCNICAS</v>
      </c>
      <c r="Y219" s="21"/>
      <c r="Z219" s="21" t="s">
        <v>274</v>
      </c>
      <c r="AA219" s="20"/>
      <c r="AB219" s="18"/>
      <c r="AC219" s="18"/>
      <c r="AD219" s="4" t="str">
        <f t="shared" si="6"/>
        <v>Plantar</v>
      </c>
      <c r="AE219" s="12" t="str">
        <f t="shared" si="7"/>
        <v>Ciências</v>
      </c>
    </row>
    <row r="220" spans="1:31" s="12" customFormat="1" ht="144" x14ac:dyDescent="0.3">
      <c r="A220" s="12" t="s">
        <v>338</v>
      </c>
      <c r="B220" s="18" t="s">
        <v>6</v>
      </c>
      <c r="C220" s="18" t="s">
        <v>7</v>
      </c>
      <c r="D220" s="18" t="s">
        <v>8</v>
      </c>
      <c r="E220" s="20">
        <v>134</v>
      </c>
      <c r="F220" s="20">
        <v>5</v>
      </c>
      <c r="G220" s="20">
        <v>4</v>
      </c>
      <c r="H220" s="20"/>
      <c r="I220" s="21" t="s">
        <v>9</v>
      </c>
      <c r="J220" s="21"/>
      <c r="K220" s="20"/>
      <c r="L220" s="20"/>
      <c r="M220" s="21"/>
      <c r="N220" s="21"/>
      <c r="O220" s="24" t="s">
        <v>339</v>
      </c>
      <c r="P220" s="24"/>
      <c r="Q220" s="20"/>
      <c r="R220" s="22"/>
      <c r="S220" s="22"/>
      <c r="T220" s="22"/>
      <c r="U220" s="22"/>
      <c r="V220" s="22"/>
      <c r="W220" s="20" t="s">
        <v>245</v>
      </c>
      <c r="X220" s="4" t="str">
        <f>IF(Tabela2[[#This Row],[sigla]]="","",VLOOKUP(Tabela2[[#This Row],[sigla]],Tabela1[[#All],[Sigla Arte]:[Crédito]],2,0))</f>
        <v>VER DOCUMENTO DE ILS. TÉCNICAS</v>
      </c>
      <c r="Y220" s="21"/>
      <c r="Z220" s="21" t="s">
        <v>274</v>
      </c>
      <c r="AA220" s="20"/>
      <c r="AB220" s="18"/>
      <c r="AC220" s="18"/>
      <c r="AD220" s="4" t="str">
        <f t="shared" si="6"/>
        <v>Plantar</v>
      </c>
      <c r="AE220" s="12" t="str">
        <f t="shared" si="7"/>
        <v>Ciências</v>
      </c>
    </row>
    <row r="221" spans="1:31" s="12" customFormat="1" ht="115.2" x14ac:dyDescent="0.3">
      <c r="A221" s="12" t="s">
        <v>340</v>
      </c>
      <c r="B221" s="18" t="s">
        <v>6</v>
      </c>
      <c r="C221" s="18" t="s">
        <v>7</v>
      </c>
      <c r="D221" s="18" t="s">
        <v>8</v>
      </c>
      <c r="E221" s="20">
        <v>137</v>
      </c>
      <c r="F221" s="20">
        <v>5</v>
      </c>
      <c r="G221" s="20">
        <v>4</v>
      </c>
      <c r="H221" s="20"/>
      <c r="I221" s="21" t="s">
        <v>13</v>
      </c>
      <c r="J221" s="21"/>
      <c r="K221" s="20"/>
      <c r="L221" s="20"/>
      <c r="M221" s="21"/>
      <c r="N221" s="21"/>
      <c r="O221" s="24" t="s">
        <v>341</v>
      </c>
      <c r="P221" s="24"/>
      <c r="Q221" s="20">
        <v>3</v>
      </c>
      <c r="R221" s="22">
        <v>45749</v>
      </c>
      <c r="S221" s="22">
        <v>45755</v>
      </c>
      <c r="T221" s="22"/>
      <c r="U221" s="22"/>
      <c r="V221" s="22">
        <v>45758</v>
      </c>
      <c r="W221" s="20" t="s">
        <v>245</v>
      </c>
      <c r="X221" s="4" t="str">
        <f>IF(Tabela2[[#This Row],[sigla]]="","",VLOOKUP(Tabela2[[#This Row],[sigla]],Tabela1[[#All],[Sigla Arte]:[Crédito]],2,0))</f>
        <v>VER DOCUMENTO DE ILS. TÉCNICAS</v>
      </c>
      <c r="Y221" s="38" t="s">
        <v>142</v>
      </c>
      <c r="Z221" s="21" t="s">
        <v>274</v>
      </c>
      <c r="AA221" s="20">
        <v>14</v>
      </c>
      <c r="AB221" s="18" t="s">
        <v>275</v>
      </c>
      <c r="AC221" s="18" t="s">
        <v>18</v>
      </c>
      <c r="AD221" s="4" t="str">
        <f t="shared" si="6"/>
        <v>Plantar</v>
      </c>
      <c r="AE221" s="12" t="str">
        <f t="shared" si="7"/>
        <v>Ciências</v>
      </c>
    </row>
    <row r="222" spans="1:31" s="12" customFormat="1" ht="57.6" x14ac:dyDescent="0.3">
      <c r="A222" s="12" t="s">
        <v>342</v>
      </c>
      <c r="B222" s="18" t="s">
        <v>6</v>
      </c>
      <c r="C222" s="18" t="s">
        <v>7</v>
      </c>
      <c r="D222" s="18" t="s">
        <v>8</v>
      </c>
      <c r="E222" s="20">
        <v>139</v>
      </c>
      <c r="F222" s="20">
        <v>5</v>
      </c>
      <c r="G222" s="20">
        <v>4</v>
      </c>
      <c r="H222" s="20"/>
      <c r="I222" s="21" t="s">
        <v>9</v>
      </c>
      <c r="J222" s="21"/>
      <c r="K222" s="20"/>
      <c r="L222" s="20"/>
      <c r="M222" s="21"/>
      <c r="N222" s="21"/>
      <c r="O222" s="24" t="s">
        <v>343</v>
      </c>
      <c r="P222" s="24"/>
      <c r="Q222" s="20"/>
      <c r="R222" s="22"/>
      <c r="S222" s="22"/>
      <c r="T222" s="22"/>
      <c r="U222" s="22"/>
      <c r="V222" s="22"/>
      <c r="W222" s="20" t="s">
        <v>245</v>
      </c>
      <c r="X222" s="4" t="str">
        <f>IF(Tabela2[[#This Row],[sigla]]="","",VLOOKUP(Tabela2[[#This Row],[sigla]],Tabela1[[#All],[Sigla Arte]:[Crédito]],2,0))</f>
        <v>VER DOCUMENTO DE ILS. TÉCNICAS</v>
      </c>
      <c r="Y222" s="21"/>
      <c r="Z222" s="21" t="s">
        <v>274</v>
      </c>
      <c r="AA222" s="20"/>
      <c r="AB222" s="18"/>
      <c r="AC222" s="18"/>
      <c r="AD222" s="4" t="str">
        <f t="shared" si="6"/>
        <v>Plantar</v>
      </c>
      <c r="AE222" s="12" t="str">
        <f t="shared" si="7"/>
        <v>Ciências</v>
      </c>
    </row>
    <row r="223" spans="1:31" s="12" customFormat="1" ht="201.6" x14ac:dyDescent="0.3">
      <c r="A223" s="12" t="s">
        <v>344</v>
      </c>
      <c r="B223" s="18" t="s">
        <v>6</v>
      </c>
      <c r="C223" s="18" t="s">
        <v>7</v>
      </c>
      <c r="D223" s="18" t="s">
        <v>8</v>
      </c>
      <c r="E223" s="20">
        <v>139</v>
      </c>
      <c r="F223" s="20">
        <v>5</v>
      </c>
      <c r="G223" s="20">
        <v>4</v>
      </c>
      <c r="H223" s="20"/>
      <c r="I223" s="21" t="s">
        <v>9</v>
      </c>
      <c r="J223" s="21"/>
      <c r="K223" s="20"/>
      <c r="L223" s="20"/>
      <c r="M223" s="21"/>
      <c r="N223" s="21"/>
      <c r="O223" s="24" t="s">
        <v>345</v>
      </c>
      <c r="P223" s="24"/>
      <c r="Q223" s="20"/>
      <c r="R223" s="22"/>
      <c r="S223" s="22"/>
      <c r="T223" s="22"/>
      <c r="U223" s="22"/>
      <c r="V223" s="22"/>
      <c r="W223" s="20" t="s">
        <v>245</v>
      </c>
      <c r="X223" s="4" t="str">
        <f>IF(Tabela2[[#This Row],[sigla]]="","",VLOOKUP(Tabela2[[#This Row],[sigla]],Tabela1[[#All],[Sigla Arte]:[Crédito]],2,0))</f>
        <v>VER DOCUMENTO DE ILS. TÉCNICAS</v>
      </c>
      <c r="Y223" s="21"/>
      <c r="Z223" s="21" t="s">
        <v>274</v>
      </c>
      <c r="AA223" s="20"/>
      <c r="AB223" s="18"/>
      <c r="AC223" s="18"/>
      <c r="AD223" s="4" t="str">
        <f t="shared" si="6"/>
        <v>Plantar</v>
      </c>
      <c r="AE223" s="12" t="str">
        <f t="shared" si="7"/>
        <v>Ciências</v>
      </c>
    </row>
    <row r="224" spans="1:31" s="12" customFormat="1" ht="115.2" x14ac:dyDescent="0.3">
      <c r="A224" s="12" t="s">
        <v>534</v>
      </c>
      <c r="B224" s="18" t="s">
        <v>55</v>
      </c>
      <c r="C224" s="18" t="s">
        <v>7</v>
      </c>
      <c r="D224" s="18" t="s">
        <v>8</v>
      </c>
      <c r="E224" s="20">
        <v>128</v>
      </c>
      <c r="F224" s="20">
        <v>5</v>
      </c>
      <c r="G224" s="20">
        <v>4</v>
      </c>
      <c r="H224" s="20"/>
      <c r="I224" s="21" t="s">
        <v>36</v>
      </c>
      <c r="J224" s="21"/>
      <c r="K224" s="20"/>
      <c r="L224" s="20"/>
      <c r="M224" s="21"/>
      <c r="N224" s="21"/>
      <c r="O224" s="24" t="s">
        <v>535</v>
      </c>
      <c r="P224" s="24"/>
      <c r="Q224" s="20"/>
      <c r="R224" s="22"/>
      <c r="S224" s="22"/>
      <c r="T224" s="22"/>
      <c r="U224" s="22"/>
      <c r="V224" s="22"/>
      <c r="W224" s="20"/>
      <c r="X224" s="4" t="str">
        <f>IF(Tabela2[[#This Row],[sigla]]="","",VLOOKUP(Tabela2[[#This Row],[sigla]],Tabela1[[#All],[Sigla Arte]:[Crédito]],2,0))</f>
        <v/>
      </c>
      <c r="Y224" s="21"/>
      <c r="Z224" s="21" t="str">
        <f>Tabela2[[#This Row],[ilustrador]]</f>
        <v/>
      </c>
      <c r="AA224" s="20"/>
      <c r="AB224" s="18"/>
      <c r="AC224" s="18"/>
      <c r="AD224" s="4" t="str">
        <f t="shared" si="6"/>
        <v>Plantar</v>
      </c>
      <c r="AE224" s="12" t="str">
        <f t="shared" si="7"/>
        <v>Ciências</v>
      </c>
    </row>
    <row r="225" spans="1:31" s="12" customFormat="1" x14ac:dyDescent="0.3">
      <c r="A225" s="12" t="s">
        <v>518</v>
      </c>
      <c r="B225" s="18" t="s">
        <v>55</v>
      </c>
      <c r="C225" s="18" t="s">
        <v>7</v>
      </c>
      <c r="D225" s="18" t="s">
        <v>8</v>
      </c>
      <c r="E225" s="20">
        <v>138</v>
      </c>
      <c r="F225" s="20">
        <v>4</v>
      </c>
      <c r="G225" s="20">
        <v>4</v>
      </c>
      <c r="H225" s="20"/>
      <c r="I225" s="21" t="s">
        <v>36</v>
      </c>
      <c r="J225" s="21"/>
      <c r="K225" s="20"/>
      <c r="L225" s="20"/>
      <c r="M225" s="21"/>
      <c r="N225" s="21"/>
      <c r="O225" s="24" t="s">
        <v>519</v>
      </c>
      <c r="P225" s="24"/>
      <c r="Q225" s="20">
        <v>14</v>
      </c>
      <c r="R225" s="22">
        <v>45832</v>
      </c>
      <c r="S225" s="22">
        <v>45832</v>
      </c>
      <c r="T225" s="22"/>
      <c r="U225" s="22"/>
      <c r="V225" s="22">
        <v>45832</v>
      </c>
      <c r="W225" s="20" t="s">
        <v>520</v>
      </c>
      <c r="X225" s="4" t="str">
        <f>IF(Tabela2[[#This Row],[sigla]]="","",VLOOKUP(Tabela2[[#This Row],[sigla]],Tabela1[[#All],[Sigla Arte]:[Crédito]],2,0))</f>
        <v>CAMILA CARMONA/ARQUIVO DA EDITORA</v>
      </c>
      <c r="Y225" s="21" t="s">
        <v>521</v>
      </c>
      <c r="Z225" s="21" t="str">
        <f>Tabela2[[#This Row],[ilustrador]]</f>
        <v>CAMILA CARMONA/ARQUIVO DA EDITORA</v>
      </c>
      <c r="AA225" s="20">
        <v>13</v>
      </c>
      <c r="AB225" s="18" t="s">
        <v>509</v>
      </c>
      <c r="AC225" s="18" t="s">
        <v>18</v>
      </c>
      <c r="AD225" s="4" t="str">
        <f t="shared" si="6"/>
        <v>Plantar</v>
      </c>
      <c r="AE225" s="12" t="str">
        <f t="shared" si="7"/>
        <v>Ciências</v>
      </c>
    </row>
    <row r="226" spans="1:31" s="12" customFormat="1" x14ac:dyDescent="0.3">
      <c r="A226" s="12" t="s">
        <v>536</v>
      </c>
      <c r="B226" s="18" t="s">
        <v>55</v>
      </c>
      <c r="C226" s="18" t="s">
        <v>7</v>
      </c>
      <c r="D226" s="18" t="s">
        <v>8</v>
      </c>
      <c r="E226" s="20">
        <v>128</v>
      </c>
      <c r="F226" s="20">
        <v>5</v>
      </c>
      <c r="G226" s="20">
        <v>4</v>
      </c>
      <c r="H226" s="20"/>
      <c r="I226" s="21" t="s">
        <v>36</v>
      </c>
      <c r="J226" s="21"/>
      <c r="K226" s="20"/>
      <c r="L226" s="20"/>
      <c r="M226" s="21"/>
      <c r="N226" s="21"/>
      <c r="O226" s="24" t="s">
        <v>537</v>
      </c>
      <c r="P226" s="24"/>
      <c r="Q226" s="20"/>
      <c r="R226" s="22"/>
      <c r="S226" s="22"/>
      <c r="T226" s="22"/>
      <c r="U226" s="22"/>
      <c r="V226" s="22"/>
      <c r="W226" s="20"/>
      <c r="X226" s="4" t="str">
        <f>IF(Tabela2[[#This Row],[sigla]]="","",VLOOKUP(Tabela2[[#This Row],[sigla]],Tabela1[[#All],[Sigla Arte]:[Crédito]],2,0))</f>
        <v/>
      </c>
      <c r="Y226" s="21"/>
      <c r="Z226" s="21" t="str">
        <f>Tabela2[[#This Row],[ilustrador]]</f>
        <v/>
      </c>
      <c r="AA226" s="20"/>
      <c r="AB226" s="18"/>
      <c r="AC226" s="18"/>
      <c r="AD226" s="4" t="str">
        <f t="shared" si="6"/>
        <v>Plantar</v>
      </c>
      <c r="AE226" s="12" t="str">
        <f t="shared" si="7"/>
        <v>Ciências</v>
      </c>
    </row>
    <row r="227" spans="1:31" s="12" customFormat="1" ht="28.8" x14ac:dyDescent="0.3">
      <c r="A227" s="12" t="s">
        <v>522</v>
      </c>
      <c r="B227" s="18" t="s">
        <v>523</v>
      </c>
      <c r="C227" s="18" t="s">
        <v>7</v>
      </c>
      <c r="D227" s="18" t="s">
        <v>524</v>
      </c>
      <c r="E227" s="20">
        <v>1</v>
      </c>
      <c r="F227" s="20">
        <v>1</v>
      </c>
      <c r="G227" s="20">
        <v>1</v>
      </c>
      <c r="H227" s="20"/>
      <c r="I227" s="21" t="s">
        <v>36</v>
      </c>
      <c r="J227" s="21"/>
      <c r="K227" s="20"/>
      <c r="L227" s="20"/>
      <c r="M227" s="21"/>
      <c r="N227" s="21"/>
      <c r="O227" s="24" t="s">
        <v>525</v>
      </c>
      <c r="P227" s="24"/>
      <c r="Q227" s="20"/>
      <c r="R227" s="22"/>
      <c r="S227" s="22">
        <v>45854</v>
      </c>
      <c r="T227" s="22">
        <v>45864</v>
      </c>
      <c r="U227" s="22">
        <v>45871</v>
      </c>
      <c r="V227" s="22">
        <v>45878</v>
      </c>
      <c r="W227" s="20" t="s">
        <v>526</v>
      </c>
      <c r="X227" s="4" t="str">
        <f>IF(Tabela2[[#This Row],[sigla]]="","",VLOOKUP(Tabela2[[#This Row],[sigla]],Tabela1[[#All],[Sigla Arte]:[Crédito]],2,0))</f>
        <v>CAJILA BARBOSA/ARQUIVO DA EDITORA</v>
      </c>
      <c r="Y227" s="21"/>
      <c r="Z227" s="21" t="str">
        <f>Tabela2[[#This Row],[ilustrador]]</f>
        <v>CAJILA BARBOSA/ARQUIVO DA EDITORA</v>
      </c>
      <c r="AA227" s="20">
        <v>30</v>
      </c>
      <c r="AB227" s="18" t="s">
        <v>527</v>
      </c>
      <c r="AC227" s="18" t="s">
        <v>413</v>
      </c>
      <c r="AD227" s="4" t="str">
        <f t="shared" si="6"/>
        <v>Plantar</v>
      </c>
      <c r="AE227" s="12" t="str">
        <f t="shared" si="7"/>
        <v>Ciências</v>
      </c>
    </row>
    <row r="228" spans="1:31" s="12" customFormat="1" ht="43.2" x14ac:dyDescent="0.3">
      <c r="A228" s="12" t="s">
        <v>83</v>
      </c>
      <c r="B228" s="18" t="s">
        <v>6</v>
      </c>
      <c r="C228" s="18" t="s">
        <v>24</v>
      </c>
      <c r="D228" s="18" t="s">
        <v>8</v>
      </c>
      <c r="E228" s="20">
        <v>13</v>
      </c>
      <c r="F228" s="20">
        <v>4</v>
      </c>
      <c r="G228" s="20">
        <v>1</v>
      </c>
      <c r="H228" s="20"/>
      <c r="I228" s="21" t="s">
        <v>13</v>
      </c>
      <c r="J228" s="21"/>
      <c r="K228" s="20"/>
      <c r="L228" s="20"/>
      <c r="M228" s="21"/>
      <c r="N228" s="21"/>
      <c r="O228" s="24" t="s">
        <v>84</v>
      </c>
      <c r="P228" s="24"/>
      <c r="Q228" s="20">
        <v>1</v>
      </c>
      <c r="R228" s="22">
        <v>45728</v>
      </c>
      <c r="S228" s="22">
        <v>45728</v>
      </c>
      <c r="T228" s="22"/>
      <c r="U228" s="22"/>
      <c r="V228" s="22">
        <v>45729</v>
      </c>
      <c r="W228" s="20" t="s">
        <v>26</v>
      </c>
      <c r="X228" s="4" t="str">
        <f>IF(Tabela2[[#This Row],[sigla]]="","",VLOOKUP(Tabela2[[#This Row],[sigla]],Tabela1[[#All],[Sigla Arte]:[Crédito]],2,0))</f>
        <v>CYNTHIA SEKIGUCHI/ARQUIVO DA EDITORA</v>
      </c>
      <c r="Y228" s="21" t="s">
        <v>85</v>
      </c>
      <c r="Z228" s="21" t="str">
        <f>Tabela2[[#This Row],[ilustrador]]</f>
        <v>CYNTHIA SEKIGUCHI/ARQUIVO DA EDITORA</v>
      </c>
      <c r="AA228" s="20">
        <v>14</v>
      </c>
      <c r="AB228" s="18"/>
      <c r="AC228" s="18" t="s">
        <v>18</v>
      </c>
      <c r="AD228" s="4" t="str">
        <f t="shared" si="6"/>
        <v>Plantar</v>
      </c>
      <c r="AE228" s="12" t="str">
        <f t="shared" si="7"/>
        <v>Ciências</v>
      </c>
    </row>
    <row r="229" spans="1:31" s="12" customFormat="1" ht="28.8" x14ac:dyDescent="0.3">
      <c r="A229" s="12" t="s">
        <v>23</v>
      </c>
      <c r="B229" s="18" t="s">
        <v>6</v>
      </c>
      <c r="C229" s="18" t="s">
        <v>24</v>
      </c>
      <c r="D229" s="18" t="s">
        <v>8</v>
      </c>
      <c r="E229" s="20">
        <v>26</v>
      </c>
      <c r="F229" s="20">
        <v>3</v>
      </c>
      <c r="G229" s="20">
        <v>1</v>
      </c>
      <c r="H229" s="20"/>
      <c r="I229" s="21" t="s">
        <v>13</v>
      </c>
      <c r="J229" s="21"/>
      <c r="K229" s="20"/>
      <c r="L229" s="20"/>
      <c r="M229" s="21"/>
      <c r="N229" s="21"/>
      <c r="O229" s="24" t="s">
        <v>25</v>
      </c>
      <c r="P229" s="24"/>
      <c r="Q229" s="20">
        <v>1</v>
      </c>
      <c r="R229" s="22">
        <v>45726</v>
      </c>
      <c r="S229" s="22">
        <v>45726</v>
      </c>
      <c r="T229" s="22"/>
      <c r="U229" s="22"/>
      <c r="V229" s="22">
        <v>45727</v>
      </c>
      <c r="W229" s="20" t="s">
        <v>26</v>
      </c>
      <c r="X229" s="4" t="str">
        <f>IF(Tabela2[[#This Row],[sigla]]="","",VLOOKUP(Tabela2[[#This Row],[sigla]],Tabela1[[#All],[Sigla Arte]:[Crédito]],2,0))</f>
        <v>CYNTHIA SEKIGUCHI/ARQUIVO DA EDITORA</v>
      </c>
      <c r="Y229" s="21" t="s">
        <v>16</v>
      </c>
      <c r="Z229" s="21" t="str">
        <f>Tabela2[[#This Row],[ilustrador]]</f>
        <v>CYNTHIA SEKIGUCHI/ARQUIVO DA EDITORA</v>
      </c>
      <c r="AA229" s="20">
        <v>14</v>
      </c>
      <c r="AB229" s="18" t="s">
        <v>17</v>
      </c>
      <c r="AC229" s="18" t="s">
        <v>18</v>
      </c>
      <c r="AD229" s="4" t="str">
        <f t="shared" si="6"/>
        <v>Plantar</v>
      </c>
      <c r="AE229" s="12" t="str">
        <f t="shared" si="7"/>
        <v>Ciências</v>
      </c>
    </row>
    <row r="230" spans="1:31" s="12" customFormat="1" x14ac:dyDescent="0.3">
      <c r="A230" s="44" t="s">
        <v>27</v>
      </c>
      <c r="B230" s="18" t="s">
        <v>6</v>
      </c>
      <c r="C230" s="18" t="s">
        <v>24</v>
      </c>
      <c r="D230" s="18" t="s">
        <v>8</v>
      </c>
      <c r="E230" s="20">
        <v>27</v>
      </c>
      <c r="F230" s="20">
        <v>3</v>
      </c>
      <c r="G230" s="20">
        <v>1</v>
      </c>
      <c r="H230" s="20"/>
      <c r="I230" s="21" t="s">
        <v>13</v>
      </c>
      <c r="J230" s="21"/>
      <c r="K230" s="20"/>
      <c r="L230" s="20"/>
      <c r="M230" s="21"/>
      <c r="N230" s="21"/>
      <c r="O230" s="24" t="s">
        <v>28</v>
      </c>
      <c r="P230" s="24"/>
      <c r="Q230" s="20">
        <v>1</v>
      </c>
      <c r="R230" s="22">
        <v>45726</v>
      </c>
      <c r="S230" s="22">
        <v>45726</v>
      </c>
      <c r="T230" s="22"/>
      <c r="U230" s="22"/>
      <c r="V230" s="22">
        <v>45727</v>
      </c>
      <c r="W230" s="20" t="s">
        <v>29</v>
      </c>
      <c r="X230" s="4" t="str">
        <f>IF(Tabela2[[#This Row],[sigla]]="","",VLOOKUP(Tabela2[[#This Row],[sigla]],Tabela1[[#All],[Sigla Arte]:[Crédito]],2,0))</f>
        <v>EDSON BELLUSCI/ARQUIVO DA EDITORA</v>
      </c>
      <c r="Y230" s="21" t="s">
        <v>16</v>
      </c>
      <c r="Z230" s="21" t="str">
        <f>Tabela2[[#This Row],[ilustrador]]</f>
        <v>EDSON BELLUSCI/ARQUIVO DA EDITORA</v>
      </c>
      <c r="AA230" s="20">
        <v>14</v>
      </c>
      <c r="AB230" s="18" t="s">
        <v>17</v>
      </c>
      <c r="AC230" s="18" t="s">
        <v>18</v>
      </c>
      <c r="AD230" s="4" t="str">
        <f t="shared" si="6"/>
        <v>Plantar</v>
      </c>
      <c r="AE230" s="12" t="str">
        <f t="shared" si="7"/>
        <v>Ciências</v>
      </c>
    </row>
    <row r="231" spans="1:31" s="12" customFormat="1" x14ac:dyDescent="0.3">
      <c r="A231" s="20" t="s">
        <v>54</v>
      </c>
      <c r="B231" s="18" t="s">
        <v>55</v>
      </c>
      <c r="C231" s="18" t="s">
        <v>24</v>
      </c>
      <c r="D231" s="18" t="s">
        <v>8</v>
      </c>
      <c r="E231" s="20">
        <v>38</v>
      </c>
      <c r="F231" s="20">
        <v>3</v>
      </c>
      <c r="G231" s="20">
        <v>2</v>
      </c>
      <c r="H231" s="20"/>
      <c r="I231" s="21" t="s">
        <v>13</v>
      </c>
      <c r="J231" s="21"/>
      <c r="K231" s="20"/>
      <c r="L231" s="20"/>
      <c r="M231" s="21"/>
      <c r="N231" s="21"/>
      <c r="O231" s="24" t="s">
        <v>56</v>
      </c>
      <c r="P231" s="24"/>
      <c r="Q231" s="20">
        <v>2</v>
      </c>
      <c r="R231" s="22">
        <v>45727</v>
      </c>
      <c r="S231" s="22">
        <v>45728</v>
      </c>
      <c r="T231" s="22"/>
      <c r="U231" s="22"/>
      <c r="V231" s="22">
        <v>45729</v>
      </c>
      <c r="W231" s="20" t="s">
        <v>33</v>
      </c>
      <c r="X231" s="4" t="str">
        <f>IF(Tabela2[[#This Row],[sigla]]="","",VLOOKUP(Tabela2[[#This Row],[sigla]],Tabela1[[#All],[Sigla Arte]:[Crédito]],2,0))</f>
        <v>KEITHY MOSTACHI/ARQUIVO DA EDITORA</v>
      </c>
      <c r="Y231" s="21" t="s">
        <v>34</v>
      </c>
      <c r="Z231" s="21" t="str">
        <f>Tabela2[[#This Row],[ilustrador]]</f>
        <v>KEITHY MOSTACHI/ARQUIVO DA EDITORA</v>
      </c>
      <c r="AA231" s="20">
        <v>13</v>
      </c>
      <c r="AB231" s="18"/>
      <c r="AC231" s="18" t="s">
        <v>18</v>
      </c>
      <c r="AD231" s="4" t="str">
        <f t="shared" si="6"/>
        <v>Plantar</v>
      </c>
      <c r="AE231" s="12" t="str">
        <f t="shared" si="7"/>
        <v>Ciências</v>
      </c>
    </row>
  </sheetData>
  <sheetProtection formatCells="0" formatColumns="0" formatRows="0" sort="0" autoFilter="0" pivotTables="0"/>
  <dataValidations count="1">
    <dataValidation allowBlank="1" showErrorMessage="1" sqref="B1:D1" xr:uid="{E089A2D1-A61F-4683-8F5D-8E59C5A7AAB7}"/>
  </dataValidations>
  <pageMargins left="0.511811024" right="0.511811024" top="0.78740157499999996" bottom="0.78740157499999996" header="0.31496062000000002" footer="0.31496062000000002"/>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4">
        <x14:dataValidation type="list" allowBlank="1" showInputMessage="1" showErrorMessage="1" xr:uid="{B4ADD33D-8B17-41A6-94BC-BC2885E9FB91}">
          <x14:formula1>
            <xm:f>metadados!$G$1:$G$14</xm:f>
          </x14:formula1>
          <xm:sqref>AA232:AA1048576 AA2:AA225</xm:sqref>
        </x14:dataValidation>
        <x14:dataValidation type="list" allowBlank="1" showInputMessage="1" showErrorMessage="1" xr:uid="{C969C20B-651A-4D17-86CC-88E223060629}">
          <x14:formula1>
            <xm:f>metadados!$B$1:$B$7</xm:f>
          </x14:formula1>
          <xm:sqref>C2:C21 C23:C1048576</xm:sqref>
        </x14:dataValidation>
        <x14:dataValidation type="list" allowBlank="1" showInputMessage="1" showErrorMessage="1" xr:uid="{06BC7D6A-D6EB-41B5-B621-DE4A72652772}">
          <x14:formula1>
            <xm:f>créditos_base!$C$3:$C$224</xm:f>
          </x14:formula1>
          <xm:sqref>Y232:Y1048576</xm:sqref>
        </x14:dataValidation>
        <x14:dataValidation type="list" allowBlank="1" showInputMessage="1" showErrorMessage="1" xr:uid="{5705C48B-E793-4249-A1A5-E9D0055F43D8}">
          <x14:formula1>
            <xm:f>créditos_base!$B$3:$B$317</xm:f>
          </x14:formula1>
          <xm:sqref>W232:W1048576</xm:sqref>
        </x14:dataValidation>
        <x14:dataValidation type="list" allowBlank="1" showInputMessage="1" showErrorMessage="1" xr:uid="{ABB0D19B-7DBA-43DE-A30B-AC8B1F9D0207}">
          <x14:formula1>
            <xm:f>créditos_base!$B$3:$B$336</xm:f>
          </x14:formula1>
          <xm:sqref>W2:W226</xm:sqref>
        </x14:dataValidation>
        <x14:dataValidation type="list" allowBlank="1" showInputMessage="1" showErrorMessage="1" xr:uid="{B1A5159E-CB41-4AAE-A3B8-FAE8A1B1D7FA}">
          <x14:formula1>
            <xm:f>créditos_base!$A$3:$A$336</xm:f>
          </x14:formula1>
          <xm:sqref>Y2:Y231</xm:sqref>
        </x14:dataValidation>
        <x14:dataValidation type="list" allowBlank="1" showErrorMessage="1" xr:uid="{8C59E314-3DFF-498C-8F2E-89E73DBE2751}">
          <x14:formula1>
            <xm:f>metadados!$A$1:$A$10</xm:f>
          </x14:formula1>
          <xm:sqref>C187 B110:B186 B2:B108 B188:B1048576</xm:sqref>
        </x14:dataValidation>
        <x14:dataValidation type="list" allowBlank="1" showInputMessage="1" showErrorMessage="1" xr:uid="{C58902C0-8A13-43B6-A8A3-460F15449952}">
          <x14:formula1>
            <xm:f>metadados!$G$1:$G$16</xm:f>
          </x14:formula1>
          <xm:sqref>AA226:AA231</xm:sqref>
        </x14:dataValidation>
        <x14:dataValidation type="list" allowBlank="1" showInputMessage="1" showErrorMessage="1" xr:uid="{A8C71A8F-9947-4E42-B822-2C7491FF4438}">
          <x14:formula1>
            <xm:f>créditos_base!$B$3:$B$358</xm:f>
          </x14:formula1>
          <xm:sqref>W227:W231</xm:sqref>
        </x14:dataValidation>
        <x14:dataValidation type="list" allowBlank="1" showInputMessage="1" showErrorMessage="1" xr:uid="{1E0E5C3B-B338-4A82-ABB7-55FA01F1FD25}">
          <x14:formula1>
            <xm:f>metadados!$C$1:$C$8</xm:f>
          </x14:formula1>
          <xm:sqref>D2:D1048576</xm:sqref>
        </x14:dataValidation>
        <x14:dataValidation type="list" allowBlank="1" showInputMessage="1" showErrorMessage="1" xr:uid="{C70449A7-09E1-454B-83EB-81DB8E145BED}">
          <x14:formula1>
            <xm:f>metadados!$D$1:$D$7</xm:f>
          </x14:formula1>
          <xm:sqref>F2:F1048576 L2:L1048576</xm:sqref>
        </x14:dataValidation>
        <x14:dataValidation type="list" allowBlank="1" showInputMessage="1" showErrorMessage="1" xr:uid="{832AC6A1-37A3-4247-8D3B-0B1514A698E5}">
          <x14:formula1>
            <xm:f>metadados!$E$1:$E$3</xm:f>
          </x14:formula1>
          <xm:sqref>I2:I1048576</xm:sqref>
        </x14:dataValidation>
        <x14:dataValidation type="list" allowBlank="1" showInputMessage="1" showErrorMessage="1" xr:uid="{ABD634A1-19D3-465A-AE87-A59444E4CB70}">
          <x14:formula1>
            <xm:f>metadados!$F$1:$F$13</xm:f>
          </x14:formula1>
          <xm:sqref>N2:N1048576</xm:sqref>
        </x14:dataValidation>
        <x14:dataValidation type="list" allowBlank="1" showInputMessage="1" showErrorMessage="1" xr:uid="{61E550D5-36D2-44FC-A08D-4E51EFE8F470}">
          <x14:formula1>
            <xm:f>metadados!$H$1:$H$5</xm:f>
          </x14:formula1>
          <xm:sqref>AC2:AC1048576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78" workbookViewId="0">
      <selection activeCell="D85" sqref="D85"/>
    </sheetView>
  </sheetViews>
  <sheetFormatPr defaultColWidth="12.5546875" defaultRowHeight="14.4" x14ac:dyDescent="0.3"/>
  <cols>
    <col min="1" max="1" width="58.109375" style="25" customWidth="1"/>
    <col min="2" max="2" width="13.109375" customWidth="1"/>
    <col min="3" max="3" width="59" customWidth="1"/>
    <col min="4" max="4" width="25.33203125" customWidth="1"/>
  </cols>
  <sheetData>
    <row r="1" spans="1:3" ht="51.75" customHeight="1" x14ac:dyDescent="0.4">
      <c r="A1" s="41" t="s">
        <v>538</v>
      </c>
      <c r="B1" s="41"/>
      <c r="C1" s="41"/>
    </row>
    <row r="2" spans="1:3" x14ac:dyDescent="0.3">
      <c r="A2" s="26" t="s">
        <v>539</v>
      </c>
      <c r="B2" s="27" t="s">
        <v>540</v>
      </c>
      <c r="C2" s="28" t="s">
        <v>541</v>
      </c>
    </row>
    <row r="3" spans="1:3" x14ac:dyDescent="0.3">
      <c r="A3" s="29" t="s">
        <v>542</v>
      </c>
      <c r="B3" s="30" t="s">
        <v>543</v>
      </c>
      <c r="C3" s="31" t="s">
        <v>544</v>
      </c>
    </row>
    <row r="4" spans="1:3" x14ac:dyDescent="0.3">
      <c r="A4" s="29" t="s">
        <v>545</v>
      </c>
      <c r="B4" s="30" t="s">
        <v>245</v>
      </c>
      <c r="C4" s="32" t="s">
        <v>546</v>
      </c>
    </row>
    <row r="5" spans="1:3" ht="27.6" x14ac:dyDescent="0.3">
      <c r="A5" s="33" t="s">
        <v>547</v>
      </c>
      <c r="B5" s="30" t="s">
        <v>548</v>
      </c>
      <c r="C5" s="31" t="s">
        <v>549</v>
      </c>
    </row>
    <row r="6" spans="1:3" x14ac:dyDescent="0.3">
      <c r="A6" s="29" t="s">
        <v>550</v>
      </c>
      <c r="B6" s="30" t="s">
        <v>551</v>
      </c>
      <c r="C6" s="31" t="s">
        <v>552</v>
      </c>
    </row>
    <row r="7" spans="1:3" ht="27.6" x14ac:dyDescent="0.3">
      <c r="A7" s="29" t="s">
        <v>553</v>
      </c>
      <c r="B7" s="30" t="s">
        <v>554</v>
      </c>
      <c r="C7" s="31" t="s">
        <v>555</v>
      </c>
    </row>
    <row r="8" spans="1:3" ht="27.6" x14ac:dyDescent="0.3">
      <c r="A8" s="29" t="s">
        <v>556</v>
      </c>
      <c r="B8" s="30" t="s">
        <v>557</v>
      </c>
      <c r="C8" s="31" t="s">
        <v>558</v>
      </c>
    </row>
    <row r="9" spans="1:3" x14ac:dyDescent="0.3">
      <c r="A9" s="29" t="s">
        <v>559</v>
      </c>
      <c r="B9" s="30" t="s">
        <v>560</v>
      </c>
      <c r="C9" s="31" t="s">
        <v>544</v>
      </c>
    </row>
    <row r="10" spans="1:3" x14ac:dyDescent="0.3">
      <c r="A10" s="29" t="s">
        <v>446</v>
      </c>
      <c r="B10" s="30" t="s">
        <v>561</v>
      </c>
      <c r="C10" s="32" t="s">
        <v>468</v>
      </c>
    </row>
    <row r="11" spans="1:3" x14ac:dyDescent="0.3">
      <c r="A11" s="29" t="s">
        <v>562</v>
      </c>
      <c r="B11" s="30" t="s">
        <v>563</v>
      </c>
      <c r="C11" s="32" t="s">
        <v>564</v>
      </c>
    </row>
    <row r="12" spans="1:3" x14ac:dyDescent="0.3">
      <c r="A12" s="29" t="s">
        <v>565</v>
      </c>
      <c r="B12" s="30" t="s">
        <v>566</v>
      </c>
      <c r="C12" s="32" t="s">
        <v>567</v>
      </c>
    </row>
    <row r="13" spans="1:3" x14ac:dyDescent="0.3">
      <c r="A13" s="29" t="s">
        <v>568</v>
      </c>
      <c r="B13" s="30" t="s">
        <v>569</v>
      </c>
      <c r="C13" s="32" t="s">
        <v>570</v>
      </c>
    </row>
    <row r="14" spans="1:3" x14ac:dyDescent="0.3">
      <c r="A14" s="29" t="s">
        <v>571</v>
      </c>
      <c r="B14" s="30" t="s">
        <v>572</v>
      </c>
      <c r="C14" s="31" t="s">
        <v>573</v>
      </c>
    </row>
    <row r="15" spans="1:3" x14ac:dyDescent="0.3">
      <c r="A15" s="29" t="s">
        <v>574</v>
      </c>
      <c r="B15" s="30" t="s">
        <v>575</v>
      </c>
      <c r="C15" s="32" t="s">
        <v>576</v>
      </c>
    </row>
    <row r="16" spans="1:3" x14ac:dyDescent="0.3">
      <c r="A16" s="29" t="s">
        <v>577</v>
      </c>
      <c r="B16" s="30" t="s">
        <v>578</v>
      </c>
      <c r="C16" s="32" t="s">
        <v>579</v>
      </c>
    </row>
    <row r="17" spans="1:3" x14ac:dyDescent="0.3">
      <c r="A17" s="29" t="s">
        <v>580</v>
      </c>
      <c r="B17" s="30" t="s">
        <v>581</v>
      </c>
      <c r="C17" s="31" t="s">
        <v>582</v>
      </c>
    </row>
    <row r="18" spans="1:3" x14ac:dyDescent="0.3">
      <c r="A18" s="29" t="s">
        <v>583</v>
      </c>
      <c r="B18" s="30" t="s">
        <v>584</v>
      </c>
      <c r="C18" s="31" t="s">
        <v>585</v>
      </c>
    </row>
    <row r="19" spans="1:3" x14ac:dyDescent="0.3">
      <c r="A19" s="29" t="s">
        <v>586</v>
      </c>
      <c r="B19" s="30" t="s">
        <v>587</v>
      </c>
      <c r="C19" s="31" t="s">
        <v>588</v>
      </c>
    </row>
    <row r="20" spans="1:3" x14ac:dyDescent="0.3">
      <c r="A20" s="29" t="s">
        <v>589</v>
      </c>
      <c r="B20" s="30" t="s">
        <v>590</v>
      </c>
      <c r="C20" s="32" t="s">
        <v>591</v>
      </c>
    </row>
    <row r="21" spans="1:3" x14ac:dyDescent="0.3">
      <c r="A21" s="29" t="s">
        <v>592</v>
      </c>
      <c r="B21" s="30" t="s">
        <v>70</v>
      </c>
      <c r="C21" s="31" t="s">
        <v>593</v>
      </c>
    </row>
    <row r="22" spans="1:3" x14ac:dyDescent="0.3">
      <c r="A22" s="29" t="s">
        <v>594</v>
      </c>
      <c r="B22" s="30" t="s">
        <v>595</v>
      </c>
      <c r="C22" s="31" t="s">
        <v>596</v>
      </c>
    </row>
    <row r="23" spans="1:3" x14ac:dyDescent="0.3">
      <c r="A23" s="29" t="s">
        <v>597</v>
      </c>
      <c r="B23" s="30" t="s">
        <v>598</v>
      </c>
      <c r="C23" s="31" t="s">
        <v>599</v>
      </c>
    </row>
    <row r="24" spans="1:3" x14ac:dyDescent="0.3">
      <c r="A24" s="29" t="s">
        <v>600</v>
      </c>
      <c r="B24" s="30" t="s">
        <v>601</v>
      </c>
      <c r="C24" s="31" t="s">
        <v>602</v>
      </c>
    </row>
    <row r="25" spans="1:3" x14ac:dyDescent="0.3">
      <c r="A25" s="29" t="s">
        <v>603</v>
      </c>
      <c r="B25" s="30" t="s">
        <v>604</v>
      </c>
      <c r="C25" s="32" t="s">
        <v>605</v>
      </c>
    </row>
    <row r="26" spans="1:3" x14ac:dyDescent="0.3">
      <c r="A26" s="29" t="s">
        <v>606</v>
      </c>
      <c r="B26" s="30" t="s">
        <v>607</v>
      </c>
      <c r="C26" s="32" t="s">
        <v>608</v>
      </c>
    </row>
    <row r="27" spans="1:3" x14ac:dyDescent="0.3">
      <c r="A27" s="29" t="s">
        <v>609</v>
      </c>
      <c r="B27" s="30" t="s">
        <v>610</v>
      </c>
      <c r="C27" s="31" t="s">
        <v>611</v>
      </c>
    </row>
    <row r="28" spans="1:3" x14ac:dyDescent="0.3">
      <c r="A28" s="29" t="s">
        <v>612</v>
      </c>
      <c r="B28" s="30" t="s">
        <v>613</v>
      </c>
      <c r="C28" s="32" t="s">
        <v>614</v>
      </c>
    </row>
    <row r="29" spans="1:3" x14ac:dyDescent="0.3">
      <c r="A29" s="29" t="s">
        <v>615</v>
      </c>
      <c r="B29" s="30" t="s">
        <v>616</v>
      </c>
      <c r="C29" s="31" t="s">
        <v>617</v>
      </c>
    </row>
    <row r="30" spans="1:3" x14ac:dyDescent="0.3">
      <c r="A30" s="29" t="s">
        <v>618</v>
      </c>
      <c r="B30" s="30" t="s">
        <v>619</v>
      </c>
      <c r="C30" s="31" t="s">
        <v>620</v>
      </c>
    </row>
    <row r="31" spans="1:3" x14ac:dyDescent="0.3">
      <c r="A31" s="29" t="s">
        <v>621</v>
      </c>
      <c r="B31" s="30" t="s">
        <v>622</v>
      </c>
      <c r="C31" s="32" t="s">
        <v>623</v>
      </c>
    </row>
    <row r="32" spans="1:3" x14ac:dyDescent="0.3">
      <c r="A32" s="29" t="s">
        <v>624</v>
      </c>
      <c r="B32" s="30" t="s">
        <v>625</v>
      </c>
      <c r="C32" s="31" t="s">
        <v>626</v>
      </c>
    </row>
    <row r="33" spans="1:3" x14ac:dyDescent="0.3">
      <c r="A33" s="29" t="s">
        <v>627</v>
      </c>
      <c r="B33" s="30" t="s">
        <v>628</v>
      </c>
      <c r="C33" s="31" t="s">
        <v>629</v>
      </c>
    </row>
    <row r="34" spans="1:3" x14ac:dyDescent="0.3">
      <c r="A34" s="29" t="s">
        <v>630</v>
      </c>
      <c r="B34" s="30" t="s">
        <v>631</v>
      </c>
      <c r="C34" s="32" t="s">
        <v>632</v>
      </c>
    </row>
    <row r="35" spans="1:3" x14ac:dyDescent="0.3">
      <c r="A35" s="29" t="s">
        <v>633</v>
      </c>
      <c r="B35" s="30" t="s">
        <v>634</v>
      </c>
      <c r="C35" s="31" t="s">
        <v>635</v>
      </c>
    </row>
    <row r="36" spans="1:3" x14ac:dyDescent="0.3">
      <c r="A36" s="29" t="s">
        <v>636</v>
      </c>
      <c r="B36" s="30" t="s">
        <v>637</v>
      </c>
      <c r="C36" s="31" t="s">
        <v>638</v>
      </c>
    </row>
    <row r="37" spans="1:3" x14ac:dyDescent="0.3">
      <c r="A37" s="29" t="s">
        <v>639</v>
      </c>
      <c r="B37" s="30" t="s">
        <v>640</v>
      </c>
      <c r="C37" s="31" t="s">
        <v>641</v>
      </c>
    </row>
    <row r="38" spans="1:3" x14ac:dyDescent="0.3">
      <c r="A38" s="29" t="s">
        <v>642</v>
      </c>
      <c r="B38" s="30" t="s">
        <v>643</v>
      </c>
      <c r="C38" s="31" t="s">
        <v>644</v>
      </c>
    </row>
    <row r="39" spans="1:3" x14ac:dyDescent="0.3">
      <c r="A39" s="29" t="s">
        <v>645</v>
      </c>
      <c r="B39" s="30" t="s">
        <v>646</v>
      </c>
      <c r="C39" s="31" t="s">
        <v>647</v>
      </c>
    </row>
    <row r="40" spans="1:3" x14ac:dyDescent="0.3">
      <c r="A40" s="29" t="s">
        <v>648</v>
      </c>
      <c r="B40" s="30" t="s">
        <v>649</v>
      </c>
      <c r="C40" s="32" t="s">
        <v>650</v>
      </c>
    </row>
    <row r="41" spans="1:3" x14ac:dyDescent="0.3">
      <c r="A41" s="29" t="s">
        <v>651</v>
      </c>
      <c r="B41" s="30" t="s">
        <v>652</v>
      </c>
      <c r="C41" s="31" t="s">
        <v>653</v>
      </c>
    </row>
    <row r="42" spans="1:3" x14ac:dyDescent="0.3">
      <c r="A42" s="29" t="s">
        <v>654</v>
      </c>
      <c r="B42" s="30" t="s">
        <v>655</v>
      </c>
      <c r="C42" s="31" t="s">
        <v>656</v>
      </c>
    </row>
    <row r="43" spans="1:3" x14ac:dyDescent="0.3">
      <c r="A43" s="29" t="s">
        <v>657</v>
      </c>
      <c r="B43" s="30" t="s">
        <v>658</v>
      </c>
      <c r="C43" s="31" t="s">
        <v>659</v>
      </c>
    </row>
    <row r="44" spans="1:3" x14ac:dyDescent="0.3">
      <c r="A44" s="29" t="s">
        <v>660</v>
      </c>
      <c r="B44" s="30" t="s">
        <v>661</v>
      </c>
      <c r="C44" s="32" t="s">
        <v>662</v>
      </c>
    </row>
    <row r="45" spans="1:3" x14ac:dyDescent="0.3">
      <c r="A45" s="29" t="s">
        <v>663</v>
      </c>
      <c r="B45" s="30" t="s">
        <v>664</v>
      </c>
      <c r="C45" s="31" t="s">
        <v>665</v>
      </c>
    </row>
    <row r="46" spans="1:3" x14ac:dyDescent="0.3">
      <c r="A46" s="29" t="s">
        <v>85</v>
      </c>
      <c r="B46" s="30" t="s">
        <v>666</v>
      </c>
      <c r="C46" s="31" t="s">
        <v>667</v>
      </c>
    </row>
    <row r="47" spans="1:3" x14ac:dyDescent="0.3">
      <c r="A47" s="29" t="s">
        <v>668</v>
      </c>
      <c r="B47" s="30" t="s">
        <v>669</v>
      </c>
      <c r="C47" s="31" t="s">
        <v>670</v>
      </c>
    </row>
    <row r="48" spans="1:3" x14ac:dyDescent="0.3">
      <c r="A48" s="29" t="s">
        <v>671</v>
      </c>
      <c r="B48" s="30" t="s">
        <v>672</v>
      </c>
      <c r="C48" s="29" t="s">
        <v>673</v>
      </c>
    </row>
    <row r="49" spans="1:3" x14ac:dyDescent="0.3">
      <c r="A49" s="29" t="s">
        <v>674</v>
      </c>
      <c r="B49" s="30" t="s">
        <v>675</v>
      </c>
      <c r="C49" s="31" t="s">
        <v>676</v>
      </c>
    </row>
    <row r="50" spans="1:3" x14ac:dyDescent="0.3">
      <c r="A50" s="29" t="s">
        <v>677</v>
      </c>
      <c r="B50" s="30" t="s">
        <v>678</v>
      </c>
      <c r="C50" s="31" t="s">
        <v>679</v>
      </c>
    </row>
    <row r="51" spans="1:3" x14ac:dyDescent="0.3">
      <c r="A51" s="29" t="s">
        <v>680</v>
      </c>
      <c r="B51" s="30" t="s">
        <v>681</v>
      </c>
      <c r="C51" s="31" t="s">
        <v>682</v>
      </c>
    </row>
    <row r="52" spans="1:3" x14ac:dyDescent="0.3">
      <c r="A52" s="29" t="s">
        <v>683</v>
      </c>
      <c r="B52" s="30" t="s">
        <v>684</v>
      </c>
      <c r="C52" s="32" t="s">
        <v>685</v>
      </c>
    </row>
    <row r="53" spans="1:3" x14ac:dyDescent="0.3">
      <c r="A53" s="29" t="s">
        <v>686</v>
      </c>
      <c r="B53" s="30" t="s">
        <v>687</v>
      </c>
      <c r="C53" s="32"/>
    </row>
    <row r="54" spans="1:3" x14ac:dyDescent="0.3">
      <c r="A54" s="29" t="s">
        <v>688</v>
      </c>
      <c r="B54" s="30" t="s">
        <v>689</v>
      </c>
      <c r="C54" s="32" t="s">
        <v>690</v>
      </c>
    </row>
    <row r="55" spans="1:3" x14ac:dyDescent="0.3">
      <c r="A55" s="29" t="s">
        <v>691</v>
      </c>
      <c r="B55" s="30" t="s">
        <v>526</v>
      </c>
      <c r="C55" s="32" t="s">
        <v>692</v>
      </c>
    </row>
    <row r="56" spans="1:3" x14ac:dyDescent="0.3">
      <c r="A56" s="29" t="s">
        <v>693</v>
      </c>
      <c r="B56" s="30" t="s">
        <v>520</v>
      </c>
      <c r="C56" s="32" t="s">
        <v>694</v>
      </c>
    </row>
    <row r="57" spans="1:3" x14ac:dyDescent="0.3">
      <c r="A57" s="29" t="s">
        <v>695</v>
      </c>
      <c r="B57" s="30" t="s">
        <v>135</v>
      </c>
      <c r="C57" s="32" t="s">
        <v>696</v>
      </c>
    </row>
    <row r="58" spans="1:3" x14ac:dyDescent="0.3">
      <c r="A58" s="29" t="s">
        <v>697</v>
      </c>
      <c r="B58" s="30" t="s">
        <v>372</v>
      </c>
      <c r="C58" s="32" t="s">
        <v>698</v>
      </c>
    </row>
    <row r="59" spans="1:3" x14ac:dyDescent="0.3">
      <c r="A59" s="29" t="s">
        <v>699</v>
      </c>
      <c r="B59" s="30" t="s">
        <v>700</v>
      </c>
      <c r="C59" s="32" t="s">
        <v>701</v>
      </c>
    </row>
    <row r="60" spans="1:3" x14ac:dyDescent="0.3">
      <c r="A60" s="29" t="s">
        <v>702</v>
      </c>
      <c r="B60" s="30" t="s">
        <v>703</v>
      </c>
      <c r="C60" s="29" t="s">
        <v>246</v>
      </c>
    </row>
    <row r="61" spans="1:3" x14ac:dyDescent="0.3">
      <c r="A61" s="29" t="s">
        <v>704</v>
      </c>
      <c r="B61" s="30" t="s">
        <v>705</v>
      </c>
      <c r="C61" s="32" t="s">
        <v>706</v>
      </c>
    </row>
    <row r="62" spans="1:3" x14ac:dyDescent="0.3">
      <c r="A62" s="29" t="s">
        <v>707</v>
      </c>
      <c r="B62" s="30" t="s">
        <v>708</v>
      </c>
      <c r="C62" s="32" t="s">
        <v>709</v>
      </c>
    </row>
    <row r="63" spans="1:3" x14ac:dyDescent="0.3">
      <c r="A63" s="29" t="s">
        <v>710</v>
      </c>
      <c r="B63" s="30" t="s">
        <v>711</v>
      </c>
      <c r="C63" s="32" t="s">
        <v>712</v>
      </c>
    </row>
    <row r="64" spans="1:3" x14ac:dyDescent="0.3">
      <c r="A64" s="29" t="s">
        <v>713</v>
      </c>
      <c r="B64" s="30" t="s">
        <v>317</v>
      </c>
      <c r="C64" s="32" t="s">
        <v>714</v>
      </c>
    </row>
    <row r="65" spans="1:3" x14ac:dyDescent="0.3">
      <c r="A65" s="29" t="s">
        <v>715</v>
      </c>
      <c r="B65" s="30" t="s">
        <v>716</v>
      </c>
      <c r="C65" s="32" t="s">
        <v>717</v>
      </c>
    </row>
    <row r="66" spans="1:3" x14ac:dyDescent="0.3">
      <c r="A66" s="29" t="s">
        <v>718</v>
      </c>
      <c r="B66" s="30" t="s">
        <v>719</v>
      </c>
      <c r="C66" s="32" t="s">
        <v>653</v>
      </c>
    </row>
    <row r="67" spans="1:3" x14ac:dyDescent="0.3">
      <c r="A67" s="29" t="s">
        <v>720</v>
      </c>
      <c r="B67" s="30" t="s">
        <v>721</v>
      </c>
      <c r="C67" s="31" t="s">
        <v>722</v>
      </c>
    </row>
    <row r="68" spans="1:3" x14ac:dyDescent="0.3">
      <c r="A68" s="29" t="s">
        <v>723</v>
      </c>
      <c r="B68" s="30" t="s">
        <v>724</v>
      </c>
      <c r="C68" s="32" t="s">
        <v>725</v>
      </c>
    </row>
    <row r="69" spans="1:3" x14ac:dyDescent="0.3">
      <c r="A69" s="29" t="s">
        <v>726</v>
      </c>
      <c r="B69" s="30" t="s">
        <v>727</v>
      </c>
      <c r="C69" s="32" t="s">
        <v>728</v>
      </c>
    </row>
    <row r="70" spans="1:3" x14ac:dyDescent="0.3">
      <c r="A70" s="29" t="s">
        <v>729</v>
      </c>
      <c r="B70" s="30" t="s">
        <v>730</v>
      </c>
      <c r="C70" s="32" t="s">
        <v>731</v>
      </c>
    </row>
    <row r="71" spans="1:3" x14ac:dyDescent="0.3">
      <c r="A71" s="29" t="s">
        <v>732</v>
      </c>
      <c r="B71" s="30" t="s">
        <v>733</v>
      </c>
      <c r="C71" s="32" t="s">
        <v>734</v>
      </c>
    </row>
    <row r="72" spans="1:3" x14ac:dyDescent="0.3">
      <c r="A72" s="29" t="s">
        <v>735</v>
      </c>
      <c r="B72" s="30" t="s">
        <v>736</v>
      </c>
      <c r="C72" s="29" t="s">
        <v>653</v>
      </c>
    </row>
    <row r="73" spans="1:3" x14ac:dyDescent="0.3">
      <c r="A73" s="29" t="s">
        <v>737</v>
      </c>
      <c r="B73" s="30" t="s">
        <v>738</v>
      </c>
      <c r="C73" s="31" t="s">
        <v>739</v>
      </c>
    </row>
    <row r="74" spans="1:3" x14ac:dyDescent="0.3">
      <c r="A74" s="29" t="s">
        <v>740</v>
      </c>
      <c r="B74" s="30" t="s">
        <v>741</v>
      </c>
      <c r="C74" s="32" t="s">
        <v>742</v>
      </c>
    </row>
    <row r="75" spans="1:3" x14ac:dyDescent="0.3">
      <c r="A75" s="29" t="s">
        <v>743</v>
      </c>
      <c r="B75" s="30" t="s">
        <v>744</v>
      </c>
      <c r="C75" s="32" t="s">
        <v>745</v>
      </c>
    </row>
    <row r="76" spans="1:3" x14ac:dyDescent="0.3">
      <c r="A76" s="29" t="s">
        <v>746</v>
      </c>
      <c r="B76" s="30" t="s">
        <v>747</v>
      </c>
      <c r="C76" s="32" t="s">
        <v>748</v>
      </c>
    </row>
    <row r="77" spans="1:3" x14ac:dyDescent="0.3">
      <c r="A77" s="29" t="s">
        <v>749</v>
      </c>
      <c r="B77" s="30" t="s">
        <v>750</v>
      </c>
      <c r="C77" s="32" t="s">
        <v>751</v>
      </c>
    </row>
    <row r="78" spans="1:3" x14ac:dyDescent="0.3">
      <c r="A78" s="29" t="s">
        <v>752</v>
      </c>
      <c r="B78" s="30" t="s">
        <v>753</v>
      </c>
      <c r="C78" s="32" t="s">
        <v>653</v>
      </c>
    </row>
    <row r="79" spans="1:3" x14ac:dyDescent="0.3">
      <c r="A79" s="29" t="s">
        <v>754</v>
      </c>
      <c r="B79" s="30" t="s">
        <v>755</v>
      </c>
      <c r="C79" s="32" t="s">
        <v>653</v>
      </c>
    </row>
    <row r="80" spans="1:3" x14ac:dyDescent="0.3">
      <c r="A80" s="29" t="s">
        <v>756</v>
      </c>
      <c r="B80" s="30" t="s">
        <v>757</v>
      </c>
      <c r="C80" s="32" t="s">
        <v>758</v>
      </c>
    </row>
    <row r="81" spans="1:3" x14ac:dyDescent="0.3">
      <c r="A81" s="29" t="s">
        <v>759</v>
      </c>
      <c r="B81" s="30" t="s">
        <v>26</v>
      </c>
      <c r="C81" s="32" t="s">
        <v>760</v>
      </c>
    </row>
    <row r="82" spans="1:3" x14ac:dyDescent="0.3">
      <c r="A82" s="29" t="s">
        <v>761</v>
      </c>
      <c r="B82" s="30" t="s">
        <v>762</v>
      </c>
      <c r="C82" s="32" t="s">
        <v>763</v>
      </c>
    </row>
    <row r="83" spans="1:3" x14ac:dyDescent="0.3">
      <c r="A83" s="29" t="s">
        <v>764</v>
      </c>
      <c r="B83" s="30" t="s">
        <v>765</v>
      </c>
      <c r="C83" s="32" t="s">
        <v>766</v>
      </c>
    </row>
    <row r="84" spans="1:3" x14ac:dyDescent="0.3">
      <c r="A84" s="29" t="s">
        <v>767</v>
      </c>
      <c r="B84" s="30" t="s">
        <v>768</v>
      </c>
      <c r="C84" s="32" t="s">
        <v>769</v>
      </c>
    </row>
    <row r="85" spans="1:3" x14ac:dyDescent="0.3">
      <c r="A85" s="29" t="s">
        <v>770</v>
      </c>
      <c r="B85" s="30" t="s">
        <v>771</v>
      </c>
      <c r="C85" s="32" t="s">
        <v>772</v>
      </c>
    </row>
    <row r="86" spans="1:3" x14ac:dyDescent="0.3">
      <c r="A86" s="29" t="s">
        <v>773</v>
      </c>
      <c r="B86" s="30" t="s">
        <v>774</v>
      </c>
      <c r="C86" s="40" t="s">
        <v>775</v>
      </c>
    </row>
    <row r="87" spans="1:3" x14ac:dyDescent="0.3">
      <c r="A87" s="29" t="s">
        <v>776</v>
      </c>
      <c r="B87" s="30" t="s">
        <v>777</v>
      </c>
      <c r="C87" s="32" t="s">
        <v>778</v>
      </c>
    </row>
    <row r="88" spans="1:3" x14ac:dyDescent="0.3">
      <c r="A88" s="29" t="s">
        <v>779</v>
      </c>
      <c r="B88" s="30" t="s">
        <v>780</v>
      </c>
      <c r="C88" s="32" t="s">
        <v>781</v>
      </c>
    </row>
    <row r="89" spans="1:3" x14ac:dyDescent="0.3">
      <c r="A89" s="29" t="s">
        <v>782</v>
      </c>
      <c r="B89" s="30" t="s">
        <v>783</v>
      </c>
      <c r="C89" s="32" t="s">
        <v>784</v>
      </c>
    </row>
    <row r="90" spans="1:3" x14ac:dyDescent="0.3">
      <c r="A90" s="29" t="s">
        <v>785</v>
      </c>
      <c r="B90" s="30" t="s">
        <v>786</v>
      </c>
      <c r="C90" s="32" t="s">
        <v>787</v>
      </c>
    </row>
    <row r="91" spans="1:3" x14ac:dyDescent="0.3">
      <c r="A91" s="29" t="s">
        <v>788</v>
      </c>
      <c r="B91" s="30" t="s">
        <v>789</v>
      </c>
      <c r="C91" s="32" t="s">
        <v>790</v>
      </c>
    </row>
    <row r="92" spans="1:3" x14ac:dyDescent="0.3">
      <c r="A92" s="29" t="s">
        <v>791</v>
      </c>
      <c r="B92" s="30" t="s">
        <v>792</v>
      </c>
      <c r="C92" s="32" t="s">
        <v>793</v>
      </c>
    </row>
    <row r="93" spans="1:3" x14ac:dyDescent="0.3">
      <c r="A93" s="29" t="s">
        <v>794</v>
      </c>
      <c r="B93" s="30" t="s">
        <v>795</v>
      </c>
      <c r="C93" s="32" t="s">
        <v>796</v>
      </c>
    </row>
    <row r="94" spans="1:3" x14ac:dyDescent="0.3">
      <c r="A94" s="29" t="s">
        <v>797</v>
      </c>
      <c r="B94" s="30" t="s">
        <v>798</v>
      </c>
      <c r="C94" s="32" t="s">
        <v>799</v>
      </c>
    </row>
    <row r="95" spans="1:3" x14ac:dyDescent="0.3">
      <c r="A95" s="29" t="s">
        <v>800</v>
      </c>
      <c r="B95" s="30" t="s">
        <v>801</v>
      </c>
      <c r="C95" s="32" t="s">
        <v>802</v>
      </c>
    </row>
    <row r="96" spans="1:3" x14ac:dyDescent="0.3">
      <c r="A96" s="29" t="s">
        <v>803</v>
      </c>
      <c r="B96" s="30" t="s">
        <v>804</v>
      </c>
      <c r="C96" s="32" t="s">
        <v>805</v>
      </c>
    </row>
    <row r="97" spans="1:3" x14ac:dyDescent="0.3">
      <c r="A97" s="29" t="s">
        <v>806</v>
      </c>
      <c r="B97" s="30" t="s">
        <v>807</v>
      </c>
      <c r="C97" s="32" t="s">
        <v>808</v>
      </c>
    </row>
    <row r="98" spans="1:3" x14ac:dyDescent="0.3">
      <c r="A98" s="29" t="s">
        <v>809</v>
      </c>
      <c r="B98" s="30" t="s">
        <v>80</v>
      </c>
      <c r="C98" s="32" t="s">
        <v>810</v>
      </c>
    </row>
    <row r="99" spans="1:3" x14ac:dyDescent="0.3">
      <c r="A99" s="29" t="s">
        <v>811</v>
      </c>
      <c r="B99" s="30" t="s">
        <v>812</v>
      </c>
      <c r="C99" s="32" t="s">
        <v>813</v>
      </c>
    </row>
    <row r="100" spans="1:3" x14ac:dyDescent="0.3">
      <c r="A100" s="29" t="s">
        <v>814</v>
      </c>
      <c r="B100" s="30" t="s">
        <v>815</v>
      </c>
      <c r="C100" s="32" t="s">
        <v>816</v>
      </c>
    </row>
    <row r="101" spans="1:3" x14ac:dyDescent="0.3">
      <c r="A101" s="29" t="s">
        <v>817</v>
      </c>
      <c r="B101" s="30" t="s">
        <v>29</v>
      </c>
      <c r="C101" s="32" t="s">
        <v>818</v>
      </c>
    </row>
    <row r="102" spans="1:3" x14ac:dyDescent="0.3">
      <c r="A102" s="29" t="s">
        <v>819</v>
      </c>
      <c r="B102" s="30" t="s">
        <v>820</v>
      </c>
      <c r="C102" s="32" t="s">
        <v>821</v>
      </c>
    </row>
    <row r="103" spans="1:3" x14ac:dyDescent="0.3">
      <c r="A103" s="29" t="s">
        <v>822</v>
      </c>
      <c r="B103" s="30" t="s">
        <v>823</v>
      </c>
      <c r="C103" s="29" t="s">
        <v>824</v>
      </c>
    </row>
    <row r="104" spans="1:3" x14ac:dyDescent="0.3">
      <c r="A104" s="29" t="s">
        <v>825</v>
      </c>
      <c r="B104" s="30" t="s">
        <v>826</v>
      </c>
      <c r="C104" s="32" t="s">
        <v>827</v>
      </c>
    </row>
    <row r="105" spans="1:3" x14ac:dyDescent="0.3">
      <c r="A105" s="29" t="s">
        <v>828</v>
      </c>
      <c r="B105" s="30" t="s">
        <v>829</v>
      </c>
      <c r="C105" s="32" t="s">
        <v>830</v>
      </c>
    </row>
    <row r="106" spans="1:3" x14ac:dyDescent="0.3">
      <c r="A106" s="29" t="s">
        <v>77</v>
      </c>
      <c r="B106" s="30" t="s">
        <v>831</v>
      </c>
      <c r="C106" s="32" t="s">
        <v>832</v>
      </c>
    </row>
    <row r="107" spans="1:3" x14ac:dyDescent="0.3">
      <c r="A107" s="29" t="s">
        <v>833</v>
      </c>
      <c r="B107" s="30" t="s">
        <v>834</v>
      </c>
      <c r="C107" s="32" t="s">
        <v>835</v>
      </c>
    </row>
    <row r="108" spans="1:3" x14ac:dyDescent="0.3">
      <c r="A108" s="29" t="s">
        <v>836</v>
      </c>
      <c r="B108" s="30" t="s">
        <v>837</v>
      </c>
      <c r="C108" s="32" t="s">
        <v>838</v>
      </c>
    </row>
    <row r="109" spans="1:3" x14ac:dyDescent="0.3">
      <c r="A109" s="29" t="s">
        <v>839</v>
      </c>
      <c r="B109" s="30" t="s">
        <v>840</v>
      </c>
      <c r="C109" s="31" t="s">
        <v>841</v>
      </c>
    </row>
    <row r="110" spans="1:3" x14ac:dyDescent="0.3">
      <c r="A110" s="29" t="s">
        <v>842</v>
      </c>
      <c r="B110" s="30" t="s">
        <v>843</v>
      </c>
      <c r="C110" s="31" t="s">
        <v>653</v>
      </c>
    </row>
    <row r="111" spans="1:3" x14ac:dyDescent="0.3">
      <c r="A111" s="29" t="s">
        <v>844</v>
      </c>
      <c r="B111" s="30" t="s">
        <v>845</v>
      </c>
      <c r="C111" s="32" t="s">
        <v>653</v>
      </c>
    </row>
    <row r="112" spans="1:3" x14ac:dyDescent="0.3">
      <c r="A112" s="29" t="s">
        <v>846</v>
      </c>
      <c r="B112" s="30" t="s">
        <v>847</v>
      </c>
      <c r="C112" s="29" t="s">
        <v>848</v>
      </c>
    </row>
    <row r="113" spans="1:3" x14ac:dyDescent="0.3">
      <c r="A113" s="29" t="s">
        <v>849</v>
      </c>
      <c r="B113" s="30" t="s">
        <v>850</v>
      </c>
      <c r="C113" s="32" t="s">
        <v>851</v>
      </c>
    </row>
    <row r="114" spans="1:3" x14ac:dyDescent="0.3">
      <c r="A114" s="29" t="s">
        <v>852</v>
      </c>
      <c r="B114" s="30" t="s">
        <v>853</v>
      </c>
      <c r="C114" s="32" t="s">
        <v>854</v>
      </c>
    </row>
    <row r="115" spans="1:3" x14ac:dyDescent="0.3">
      <c r="A115" s="29" t="s">
        <v>855</v>
      </c>
      <c r="B115" s="30" t="s">
        <v>856</v>
      </c>
      <c r="C115" s="32" t="s">
        <v>857</v>
      </c>
    </row>
    <row r="116" spans="1:3" x14ac:dyDescent="0.3">
      <c r="A116" s="29" t="s">
        <v>858</v>
      </c>
      <c r="B116" s="30" t="s">
        <v>859</v>
      </c>
      <c r="C116" s="32" t="s">
        <v>653</v>
      </c>
    </row>
    <row r="117" spans="1:3" x14ac:dyDescent="0.3">
      <c r="A117" s="29" t="s">
        <v>860</v>
      </c>
      <c r="B117" s="30" t="s">
        <v>861</v>
      </c>
      <c r="C117" s="32" t="s">
        <v>653</v>
      </c>
    </row>
    <row r="118" spans="1:3" x14ac:dyDescent="0.3">
      <c r="A118" s="34" t="s">
        <v>862</v>
      </c>
      <c r="B118" s="30" t="s">
        <v>22</v>
      </c>
      <c r="C118" s="32" t="s">
        <v>863</v>
      </c>
    </row>
    <row r="119" spans="1:3" x14ac:dyDescent="0.3">
      <c r="A119" s="29" t="s">
        <v>864</v>
      </c>
      <c r="B119" s="30" t="s">
        <v>865</v>
      </c>
      <c r="C119" s="32" t="s">
        <v>653</v>
      </c>
    </row>
    <row r="120" spans="1:3" x14ac:dyDescent="0.3">
      <c r="A120" s="29" t="s">
        <v>866</v>
      </c>
      <c r="B120" s="30" t="s">
        <v>269</v>
      </c>
      <c r="C120" s="32" t="s">
        <v>867</v>
      </c>
    </row>
    <row r="121" spans="1:3" x14ac:dyDescent="0.3">
      <c r="A121" s="29" t="s">
        <v>868</v>
      </c>
      <c r="B121" s="30" t="s">
        <v>869</v>
      </c>
      <c r="C121" s="32" t="s">
        <v>870</v>
      </c>
    </row>
    <row r="122" spans="1:3" x14ac:dyDescent="0.3">
      <c r="A122" s="29" t="s">
        <v>871</v>
      </c>
      <c r="B122" s="30" t="s">
        <v>872</v>
      </c>
      <c r="C122" s="32" t="s">
        <v>873</v>
      </c>
    </row>
    <row r="123" spans="1:3" x14ac:dyDescent="0.3">
      <c r="A123" s="29" t="s">
        <v>874</v>
      </c>
      <c r="B123" s="30" t="s">
        <v>875</v>
      </c>
      <c r="C123" s="32" t="s">
        <v>876</v>
      </c>
    </row>
    <row r="124" spans="1:3" x14ac:dyDescent="0.3">
      <c r="A124" s="29" t="s">
        <v>142</v>
      </c>
      <c r="B124" s="30" t="s">
        <v>294</v>
      </c>
      <c r="C124" s="32" t="s">
        <v>877</v>
      </c>
    </row>
    <row r="125" spans="1:3" x14ac:dyDescent="0.3">
      <c r="A125" s="29" t="s">
        <v>878</v>
      </c>
      <c r="B125" s="30" t="s">
        <v>59</v>
      </c>
      <c r="C125" s="32" t="s">
        <v>879</v>
      </c>
    </row>
    <row r="126" spans="1:3" x14ac:dyDescent="0.3">
      <c r="A126" s="29" t="s">
        <v>880</v>
      </c>
      <c r="B126" s="30" t="s">
        <v>230</v>
      </c>
      <c r="C126" s="32" t="s">
        <v>881</v>
      </c>
    </row>
    <row r="127" spans="1:3" x14ac:dyDescent="0.3">
      <c r="A127" s="29" t="s">
        <v>882</v>
      </c>
      <c r="B127" s="30" t="s">
        <v>883</v>
      </c>
      <c r="C127" s="32" t="s">
        <v>884</v>
      </c>
    </row>
    <row r="128" spans="1:3" x14ac:dyDescent="0.3">
      <c r="A128" s="29" t="s">
        <v>885</v>
      </c>
      <c r="B128" s="30" t="s">
        <v>886</v>
      </c>
      <c r="C128" s="32" t="s">
        <v>887</v>
      </c>
    </row>
    <row r="129" spans="1:3" x14ac:dyDescent="0.3">
      <c r="A129" s="29" t="s">
        <v>888</v>
      </c>
      <c r="B129" s="30" t="s">
        <v>889</v>
      </c>
      <c r="C129" s="32" t="s">
        <v>890</v>
      </c>
    </row>
    <row r="130" spans="1:3" x14ac:dyDescent="0.3">
      <c r="A130" s="29" t="s">
        <v>891</v>
      </c>
      <c r="B130" s="30" t="s">
        <v>892</v>
      </c>
      <c r="C130" s="31" t="s">
        <v>893</v>
      </c>
    </row>
    <row r="131" spans="1:3" x14ac:dyDescent="0.3">
      <c r="A131" s="29" t="s">
        <v>894</v>
      </c>
      <c r="B131" s="30" t="s">
        <v>895</v>
      </c>
      <c r="C131" s="31" t="s">
        <v>896</v>
      </c>
    </row>
    <row r="132" spans="1:3" x14ac:dyDescent="0.3">
      <c r="A132" s="29" t="s">
        <v>897</v>
      </c>
      <c r="B132" s="30" t="s">
        <v>898</v>
      </c>
      <c r="C132" s="32" t="s">
        <v>899</v>
      </c>
    </row>
    <row r="133" spans="1:3" x14ac:dyDescent="0.3">
      <c r="A133" s="29" t="s">
        <v>900</v>
      </c>
      <c r="B133" s="30" t="s">
        <v>901</v>
      </c>
      <c r="C133" s="32" t="s">
        <v>902</v>
      </c>
    </row>
    <row r="134" spans="1:3" x14ac:dyDescent="0.3">
      <c r="A134" s="29" t="s">
        <v>903</v>
      </c>
      <c r="B134" s="30" t="s">
        <v>904</v>
      </c>
      <c r="C134" s="32" t="s">
        <v>905</v>
      </c>
    </row>
    <row r="135" spans="1:3" x14ac:dyDescent="0.3">
      <c r="A135" s="29" t="s">
        <v>906</v>
      </c>
      <c r="B135" s="30" t="s">
        <v>907</v>
      </c>
      <c r="C135" s="32" t="s">
        <v>908</v>
      </c>
    </row>
    <row r="136" spans="1:3" x14ac:dyDescent="0.3">
      <c r="A136" s="29" t="s">
        <v>909</v>
      </c>
      <c r="B136" s="30" t="s">
        <v>910</v>
      </c>
      <c r="C136" s="32" t="s">
        <v>911</v>
      </c>
    </row>
    <row r="137" spans="1:3" x14ac:dyDescent="0.3">
      <c r="A137" s="29" t="s">
        <v>912</v>
      </c>
      <c r="B137" s="30" t="s">
        <v>913</v>
      </c>
      <c r="C137" s="32" t="s">
        <v>914</v>
      </c>
    </row>
    <row r="138" spans="1:3" x14ac:dyDescent="0.3">
      <c r="A138" s="29" t="s">
        <v>915</v>
      </c>
      <c r="B138" s="30" t="s">
        <v>916</v>
      </c>
      <c r="C138" s="32" t="s">
        <v>917</v>
      </c>
    </row>
    <row r="139" spans="1:3" x14ac:dyDescent="0.3">
      <c r="A139" s="29" t="s">
        <v>918</v>
      </c>
      <c r="B139" s="30" t="s">
        <v>919</v>
      </c>
      <c r="C139" s="32" t="s">
        <v>920</v>
      </c>
    </row>
    <row r="140" spans="1:3" x14ac:dyDescent="0.3">
      <c r="A140" s="29" t="s">
        <v>921</v>
      </c>
      <c r="B140" s="30" t="s">
        <v>922</v>
      </c>
      <c r="C140" s="31" t="s">
        <v>653</v>
      </c>
    </row>
    <row r="141" spans="1:3" x14ac:dyDescent="0.3">
      <c r="A141" s="29" t="s">
        <v>923</v>
      </c>
      <c r="B141" s="30" t="s">
        <v>924</v>
      </c>
      <c r="C141" s="32" t="s">
        <v>653</v>
      </c>
    </row>
    <row r="142" spans="1:3" x14ac:dyDescent="0.3">
      <c r="A142" s="29" t="s">
        <v>925</v>
      </c>
      <c r="B142" s="30" t="s">
        <v>926</v>
      </c>
      <c r="C142" s="31" t="s">
        <v>927</v>
      </c>
    </row>
    <row r="143" spans="1:3" x14ac:dyDescent="0.3">
      <c r="A143" s="29" t="s">
        <v>928</v>
      </c>
      <c r="B143" s="30" t="s">
        <v>929</v>
      </c>
      <c r="C143" s="31" t="s">
        <v>930</v>
      </c>
    </row>
    <row r="144" spans="1:3" x14ac:dyDescent="0.3">
      <c r="A144" s="29" t="s">
        <v>931</v>
      </c>
      <c r="B144" s="30" t="s">
        <v>932</v>
      </c>
      <c r="C144" s="31" t="s">
        <v>933</v>
      </c>
    </row>
    <row r="145" spans="1:3" x14ac:dyDescent="0.3">
      <c r="A145" s="29" t="s">
        <v>934</v>
      </c>
      <c r="B145" s="30" t="s">
        <v>935</v>
      </c>
      <c r="C145" s="31" t="s">
        <v>936</v>
      </c>
    </row>
    <row r="146" spans="1:3" x14ac:dyDescent="0.3">
      <c r="A146" s="29" t="s">
        <v>937</v>
      </c>
      <c r="B146" s="30" t="s">
        <v>938</v>
      </c>
      <c r="C146" s="32" t="s">
        <v>939</v>
      </c>
    </row>
    <row r="147" spans="1:3" x14ac:dyDescent="0.3">
      <c r="A147" s="29" t="s">
        <v>940</v>
      </c>
      <c r="B147" s="30" t="s">
        <v>941</v>
      </c>
      <c r="C147" s="31" t="s">
        <v>942</v>
      </c>
    </row>
    <row r="148" spans="1:3" x14ac:dyDescent="0.3">
      <c r="A148" s="29" t="s">
        <v>943</v>
      </c>
      <c r="B148" s="30" t="s">
        <v>944</v>
      </c>
      <c r="C148" s="32" t="s">
        <v>945</v>
      </c>
    </row>
    <row r="149" spans="1:3" x14ac:dyDescent="0.3">
      <c r="A149" s="29" t="s">
        <v>946</v>
      </c>
      <c r="B149" s="30" t="s">
        <v>947</v>
      </c>
      <c r="C149" s="31" t="s">
        <v>948</v>
      </c>
    </row>
    <row r="150" spans="1:3" x14ac:dyDescent="0.3">
      <c r="A150" s="29" t="s">
        <v>949</v>
      </c>
      <c r="B150" s="30" t="s">
        <v>950</v>
      </c>
      <c r="C150" s="32" t="s">
        <v>951</v>
      </c>
    </row>
    <row r="151" spans="1:3" x14ac:dyDescent="0.3">
      <c r="A151" s="29" t="s">
        <v>952</v>
      </c>
      <c r="B151" s="30" t="s">
        <v>953</v>
      </c>
      <c r="C151" s="32" t="s">
        <v>954</v>
      </c>
    </row>
    <row r="152" spans="1:3" x14ac:dyDescent="0.3">
      <c r="A152" s="29" t="s">
        <v>955</v>
      </c>
      <c r="B152" s="30" t="s">
        <v>956</v>
      </c>
      <c r="C152" s="32" t="s">
        <v>957</v>
      </c>
    </row>
    <row r="153" spans="1:3" x14ac:dyDescent="0.3">
      <c r="A153" s="29" t="s">
        <v>958</v>
      </c>
      <c r="B153" s="30" t="s">
        <v>959</v>
      </c>
      <c r="C153" s="29" t="s">
        <v>960</v>
      </c>
    </row>
    <row r="154" spans="1:3" x14ac:dyDescent="0.3">
      <c r="A154" s="29" t="s">
        <v>961</v>
      </c>
      <c r="B154" s="30" t="s">
        <v>962</v>
      </c>
      <c r="C154" s="32" t="s">
        <v>963</v>
      </c>
    </row>
    <row r="155" spans="1:3" x14ac:dyDescent="0.3">
      <c r="A155" s="29" t="s">
        <v>964</v>
      </c>
      <c r="B155" s="30" t="s">
        <v>965</v>
      </c>
      <c r="C155" s="31" t="s">
        <v>966</v>
      </c>
    </row>
    <row r="156" spans="1:3" x14ac:dyDescent="0.3">
      <c r="A156" s="29" t="s">
        <v>967</v>
      </c>
      <c r="B156" s="30" t="s">
        <v>968</v>
      </c>
      <c r="C156" s="31" t="s">
        <v>969</v>
      </c>
    </row>
    <row r="157" spans="1:3" x14ac:dyDescent="0.3">
      <c r="A157" s="29" t="s">
        <v>970</v>
      </c>
      <c r="B157" s="30" t="s">
        <v>971</v>
      </c>
      <c r="C157" s="32" t="s">
        <v>653</v>
      </c>
    </row>
    <row r="158" spans="1:3" x14ac:dyDescent="0.3">
      <c r="A158" s="29" t="s">
        <v>972</v>
      </c>
      <c r="B158" s="30" t="s">
        <v>973</v>
      </c>
      <c r="C158" s="32" t="s">
        <v>974</v>
      </c>
    </row>
    <row r="159" spans="1:3" x14ac:dyDescent="0.3">
      <c r="A159" s="29" t="s">
        <v>975</v>
      </c>
      <c r="B159" s="30" t="s">
        <v>976</v>
      </c>
      <c r="C159" s="32" t="s">
        <v>977</v>
      </c>
    </row>
    <row r="160" spans="1:3" x14ac:dyDescent="0.3">
      <c r="A160" s="29" t="s">
        <v>16</v>
      </c>
      <c r="B160" s="30" t="s">
        <v>508</v>
      </c>
      <c r="C160" s="32" t="s">
        <v>978</v>
      </c>
    </row>
    <row r="161" spans="1:3" x14ac:dyDescent="0.3">
      <c r="A161" s="29" t="s">
        <v>979</v>
      </c>
      <c r="B161" s="30" t="s">
        <v>980</v>
      </c>
      <c r="C161" s="32" t="s">
        <v>653</v>
      </c>
    </row>
    <row r="162" spans="1:3" x14ac:dyDescent="0.3">
      <c r="A162" s="34" t="s">
        <v>981</v>
      </c>
      <c r="B162" s="30" t="s">
        <v>982</v>
      </c>
      <c r="C162" s="32" t="s">
        <v>983</v>
      </c>
    </row>
    <row r="163" spans="1:3" x14ac:dyDescent="0.3">
      <c r="A163" s="34" t="s">
        <v>984</v>
      </c>
      <c r="B163" s="30" t="s">
        <v>985</v>
      </c>
      <c r="C163" s="32" t="s">
        <v>986</v>
      </c>
    </row>
    <row r="164" spans="1:3" x14ac:dyDescent="0.3">
      <c r="A164" s="29" t="s">
        <v>987</v>
      </c>
      <c r="B164" s="30" t="s">
        <v>988</v>
      </c>
      <c r="C164" s="32" t="s">
        <v>989</v>
      </c>
    </row>
    <row r="165" spans="1:3" x14ac:dyDescent="0.3">
      <c r="A165" s="29" t="s">
        <v>990</v>
      </c>
      <c r="B165" s="30" t="s">
        <v>991</v>
      </c>
      <c r="C165" s="29" t="s">
        <v>992</v>
      </c>
    </row>
    <row r="166" spans="1:3" x14ac:dyDescent="0.3">
      <c r="A166" s="29" t="s">
        <v>993</v>
      </c>
      <c r="B166" s="30" t="s">
        <v>994</v>
      </c>
      <c r="C166" s="32" t="s">
        <v>995</v>
      </c>
    </row>
    <row r="167" spans="1:3" x14ac:dyDescent="0.3">
      <c r="A167" s="29" t="s">
        <v>996</v>
      </c>
      <c r="B167" s="30" t="s">
        <v>15</v>
      </c>
      <c r="C167" s="32" t="s">
        <v>997</v>
      </c>
    </row>
    <row r="168" spans="1:3" x14ac:dyDescent="0.3">
      <c r="A168" s="29" t="s">
        <v>998</v>
      </c>
      <c r="B168" s="30" t="s">
        <v>999</v>
      </c>
      <c r="C168" s="32" t="s">
        <v>1000</v>
      </c>
    </row>
    <row r="169" spans="1:3" x14ac:dyDescent="0.3">
      <c r="A169" s="29" t="s">
        <v>1001</v>
      </c>
      <c r="B169" s="30" t="s">
        <v>1002</v>
      </c>
      <c r="C169" s="32" t="s">
        <v>1003</v>
      </c>
    </row>
    <row r="170" spans="1:3" x14ac:dyDescent="0.3">
      <c r="A170" s="29" t="s">
        <v>1004</v>
      </c>
      <c r="B170" s="30" t="s">
        <v>1005</v>
      </c>
      <c r="C170" s="32" t="s">
        <v>1006</v>
      </c>
    </row>
    <row r="171" spans="1:3" x14ac:dyDescent="0.3">
      <c r="A171" s="29" t="s">
        <v>1007</v>
      </c>
      <c r="B171" s="30" t="s">
        <v>1008</v>
      </c>
      <c r="C171" s="32" t="s">
        <v>1009</v>
      </c>
    </row>
    <row r="172" spans="1:3" x14ac:dyDescent="0.3">
      <c r="A172" s="29" t="s">
        <v>1010</v>
      </c>
      <c r="B172" s="30" t="s">
        <v>1011</v>
      </c>
      <c r="C172" s="29" t="s">
        <v>1012</v>
      </c>
    </row>
    <row r="173" spans="1:3" x14ac:dyDescent="0.3">
      <c r="A173" s="29" t="s">
        <v>1013</v>
      </c>
      <c r="B173" s="30" t="s">
        <v>1014</v>
      </c>
      <c r="C173" s="32" t="s">
        <v>1015</v>
      </c>
    </row>
    <row r="174" spans="1:3" x14ac:dyDescent="0.3">
      <c r="A174" s="29" t="s">
        <v>1016</v>
      </c>
      <c r="B174" s="30" t="s">
        <v>1017</v>
      </c>
      <c r="C174" s="32" t="s">
        <v>1018</v>
      </c>
    </row>
    <row r="175" spans="1:3" x14ac:dyDescent="0.3">
      <c r="A175" s="29" t="s">
        <v>1019</v>
      </c>
      <c r="B175" s="30" t="s">
        <v>1020</v>
      </c>
      <c r="C175" s="32" t="s">
        <v>1021</v>
      </c>
    </row>
    <row r="176" spans="1:3" x14ac:dyDescent="0.3">
      <c r="A176" s="29" t="s">
        <v>1022</v>
      </c>
      <c r="B176" s="30" t="s">
        <v>1023</v>
      </c>
      <c r="C176" s="32" t="s">
        <v>1024</v>
      </c>
    </row>
    <row r="177" spans="1:3" x14ac:dyDescent="0.3">
      <c r="A177" s="29" t="s">
        <v>1025</v>
      </c>
      <c r="B177" s="30" t="s">
        <v>1026</v>
      </c>
      <c r="C177" s="32" t="s">
        <v>1027</v>
      </c>
    </row>
    <row r="178" spans="1:3" x14ac:dyDescent="0.3">
      <c r="A178" s="29" t="s">
        <v>1028</v>
      </c>
      <c r="B178" s="30" t="s">
        <v>1029</v>
      </c>
      <c r="C178" s="32" t="s">
        <v>1030</v>
      </c>
    </row>
    <row r="179" spans="1:3" x14ac:dyDescent="0.3">
      <c r="A179" s="29" t="s">
        <v>1031</v>
      </c>
      <c r="B179" s="30" t="s">
        <v>1032</v>
      </c>
      <c r="C179" s="29" t="s">
        <v>1033</v>
      </c>
    </row>
    <row r="180" spans="1:3" x14ac:dyDescent="0.3">
      <c r="A180" s="29" t="s">
        <v>1034</v>
      </c>
      <c r="B180" s="30" t="s">
        <v>1035</v>
      </c>
      <c r="C180" s="32" t="s">
        <v>1036</v>
      </c>
    </row>
    <row r="181" spans="1:3" x14ac:dyDescent="0.3">
      <c r="A181" s="29" t="s">
        <v>1037</v>
      </c>
      <c r="B181" s="30" t="s">
        <v>1038</v>
      </c>
      <c r="C181" s="32" t="s">
        <v>653</v>
      </c>
    </row>
    <row r="182" spans="1:3" x14ac:dyDescent="0.3">
      <c r="A182" s="29" t="s">
        <v>1039</v>
      </c>
      <c r="B182" s="30" t="s">
        <v>1040</v>
      </c>
      <c r="C182" s="32" t="s">
        <v>1041</v>
      </c>
    </row>
    <row r="183" spans="1:3" x14ac:dyDescent="0.3">
      <c r="A183" s="29" t="s">
        <v>1042</v>
      </c>
      <c r="B183" s="30" t="s">
        <v>1043</v>
      </c>
      <c r="C183" s="32" t="s">
        <v>1044</v>
      </c>
    </row>
    <row r="184" spans="1:3" x14ac:dyDescent="0.3">
      <c r="A184" s="29" t="s">
        <v>1045</v>
      </c>
      <c r="B184" s="30" t="s">
        <v>1046</v>
      </c>
      <c r="C184" s="32" t="s">
        <v>1047</v>
      </c>
    </row>
    <row r="185" spans="1:3" x14ac:dyDescent="0.3">
      <c r="A185" s="29" t="s">
        <v>1048</v>
      </c>
      <c r="B185" s="30" t="s">
        <v>1049</v>
      </c>
      <c r="C185" s="32" t="s">
        <v>1050</v>
      </c>
    </row>
    <row r="186" spans="1:3" x14ac:dyDescent="0.3">
      <c r="A186" s="29" t="s">
        <v>1051</v>
      </c>
      <c r="B186" s="30" t="s">
        <v>1052</v>
      </c>
      <c r="C186" s="32" t="s">
        <v>1053</v>
      </c>
    </row>
    <row r="187" spans="1:3" x14ac:dyDescent="0.3">
      <c r="A187" s="29" t="s">
        <v>1054</v>
      </c>
      <c r="B187" s="30" t="s">
        <v>1055</v>
      </c>
      <c r="C187" s="32" t="s">
        <v>1056</v>
      </c>
    </row>
    <row r="188" spans="1:3" x14ac:dyDescent="0.3">
      <c r="A188" s="29" t="s">
        <v>1057</v>
      </c>
      <c r="B188" s="30" t="s">
        <v>1058</v>
      </c>
      <c r="C188" s="32" t="s">
        <v>1059</v>
      </c>
    </row>
    <row r="189" spans="1:3" x14ac:dyDescent="0.3">
      <c r="A189" s="29" t="s">
        <v>1060</v>
      </c>
      <c r="B189" s="30" t="s">
        <v>1061</v>
      </c>
      <c r="C189" s="32" t="s">
        <v>653</v>
      </c>
    </row>
    <row r="190" spans="1:3" x14ac:dyDescent="0.3">
      <c r="A190" s="29" t="s">
        <v>1062</v>
      </c>
      <c r="B190" s="30" t="s">
        <v>225</v>
      </c>
      <c r="C190" s="32" t="s">
        <v>1063</v>
      </c>
    </row>
    <row r="191" spans="1:3" x14ac:dyDescent="0.3">
      <c r="A191" s="29" t="s">
        <v>1064</v>
      </c>
      <c r="B191" s="30" t="s">
        <v>33</v>
      </c>
      <c r="C191" s="32" t="s">
        <v>1065</v>
      </c>
    </row>
    <row r="192" spans="1:3" x14ac:dyDescent="0.3">
      <c r="A192" s="29" t="s">
        <v>1066</v>
      </c>
      <c r="B192" s="30" t="s">
        <v>1067</v>
      </c>
      <c r="C192" s="32" t="s">
        <v>1068</v>
      </c>
    </row>
    <row r="193" spans="1:3" x14ac:dyDescent="0.3">
      <c r="A193" s="29" t="s">
        <v>1069</v>
      </c>
      <c r="B193" s="30" t="s">
        <v>1070</v>
      </c>
      <c r="C193" s="32" t="s">
        <v>1071</v>
      </c>
    </row>
    <row r="194" spans="1:3" x14ac:dyDescent="0.3">
      <c r="A194" s="29" t="s">
        <v>1072</v>
      </c>
      <c r="B194" s="30" t="s">
        <v>1073</v>
      </c>
      <c r="C194" s="31" t="s">
        <v>1074</v>
      </c>
    </row>
    <row r="195" spans="1:3" x14ac:dyDescent="0.3">
      <c r="A195" s="29" t="s">
        <v>1075</v>
      </c>
      <c r="B195" s="30" t="s">
        <v>1076</v>
      </c>
      <c r="C195" s="31" t="s">
        <v>1077</v>
      </c>
    </row>
    <row r="196" spans="1:3" x14ac:dyDescent="0.3">
      <c r="A196" s="29" t="s">
        <v>1078</v>
      </c>
      <c r="B196" s="30" t="s">
        <v>154</v>
      </c>
      <c r="C196" s="31" t="s">
        <v>1079</v>
      </c>
    </row>
    <row r="197" spans="1:3" x14ac:dyDescent="0.3">
      <c r="A197" s="29" t="s">
        <v>1080</v>
      </c>
      <c r="B197" s="30" t="s">
        <v>1081</v>
      </c>
      <c r="C197" s="29" t="s">
        <v>1082</v>
      </c>
    </row>
    <row r="198" spans="1:3" x14ac:dyDescent="0.3">
      <c r="A198" s="29" t="s">
        <v>1083</v>
      </c>
      <c r="B198" s="30" t="s">
        <v>1084</v>
      </c>
      <c r="C198" s="32" t="s">
        <v>1085</v>
      </c>
    </row>
    <row r="199" spans="1:3" x14ac:dyDescent="0.3">
      <c r="A199" s="29" t="s">
        <v>1086</v>
      </c>
      <c r="B199" s="30" t="s">
        <v>1087</v>
      </c>
      <c r="C199" s="29" t="s">
        <v>1088</v>
      </c>
    </row>
    <row r="200" spans="1:3" x14ac:dyDescent="0.3">
      <c r="A200" s="29" t="s">
        <v>1089</v>
      </c>
      <c r="B200" s="30" t="s">
        <v>1090</v>
      </c>
      <c r="C200" s="32" t="s">
        <v>1091</v>
      </c>
    </row>
    <row r="201" spans="1:3" x14ac:dyDescent="0.3">
      <c r="A201" s="29" t="s">
        <v>1092</v>
      </c>
      <c r="B201" s="30" t="s">
        <v>1093</v>
      </c>
      <c r="C201" s="32" t="s">
        <v>1094</v>
      </c>
    </row>
    <row r="202" spans="1:3" x14ac:dyDescent="0.3">
      <c r="A202" s="29" t="s">
        <v>1095</v>
      </c>
      <c r="B202" s="30" t="s">
        <v>1096</v>
      </c>
      <c r="C202" s="31" t="s">
        <v>1097</v>
      </c>
    </row>
    <row r="203" spans="1:3" x14ac:dyDescent="0.3">
      <c r="A203" s="29" t="s">
        <v>1098</v>
      </c>
      <c r="B203" s="30" t="s">
        <v>1099</v>
      </c>
      <c r="C203" s="29" t="s">
        <v>1100</v>
      </c>
    </row>
    <row r="204" spans="1:3" x14ac:dyDescent="0.3">
      <c r="A204" s="29" t="s">
        <v>1101</v>
      </c>
      <c r="B204" s="30" t="s">
        <v>1102</v>
      </c>
      <c r="C204" s="31" t="s">
        <v>1103</v>
      </c>
    </row>
    <row r="205" spans="1:3" x14ac:dyDescent="0.3">
      <c r="A205" s="29" t="s">
        <v>1104</v>
      </c>
      <c r="B205" s="30" t="s">
        <v>1105</v>
      </c>
      <c r="C205" s="32" t="s">
        <v>1106</v>
      </c>
    </row>
    <row r="206" spans="1:3" x14ac:dyDescent="0.3">
      <c r="A206" s="29" t="s">
        <v>1107</v>
      </c>
      <c r="B206" s="30" t="s">
        <v>1108</v>
      </c>
      <c r="C206" s="32" t="s">
        <v>1109</v>
      </c>
    </row>
    <row r="207" spans="1:3" x14ac:dyDescent="0.3">
      <c r="A207" s="29" t="s">
        <v>1110</v>
      </c>
      <c r="B207" s="30" t="s">
        <v>1111</v>
      </c>
      <c r="C207" s="32" t="s">
        <v>1112</v>
      </c>
    </row>
    <row r="208" spans="1:3" x14ac:dyDescent="0.3">
      <c r="A208" s="29" t="s">
        <v>1113</v>
      </c>
      <c r="B208" s="30" t="s">
        <v>1114</v>
      </c>
      <c r="C208" s="32" t="s">
        <v>653</v>
      </c>
    </row>
    <row r="209" spans="1:3" x14ac:dyDescent="0.3">
      <c r="A209" s="29" t="s">
        <v>1115</v>
      </c>
      <c r="B209" s="30" t="s">
        <v>1116</v>
      </c>
      <c r="C209" s="32" t="s">
        <v>1117</v>
      </c>
    </row>
    <row r="210" spans="1:3" x14ac:dyDescent="0.3">
      <c r="A210" s="29" t="s">
        <v>1118</v>
      </c>
      <c r="B210" s="30" t="s">
        <v>501</v>
      </c>
      <c r="C210" s="32" t="s">
        <v>1119</v>
      </c>
    </row>
    <row r="211" spans="1:3" x14ac:dyDescent="0.3">
      <c r="A211" s="29" t="s">
        <v>1120</v>
      </c>
      <c r="B211" s="30" t="s">
        <v>1121</v>
      </c>
      <c r="C211" s="32" t="s">
        <v>1122</v>
      </c>
    </row>
    <row r="212" spans="1:3" x14ac:dyDescent="0.3">
      <c r="A212" s="29" t="s">
        <v>1123</v>
      </c>
      <c r="B212" s="30" t="s">
        <v>1124</v>
      </c>
      <c r="C212" s="32" t="s">
        <v>1125</v>
      </c>
    </row>
    <row r="213" spans="1:3" x14ac:dyDescent="0.3">
      <c r="A213" s="29" t="s">
        <v>1126</v>
      </c>
      <c r="B213" s="30" t="s">
        <v>1127</v>
      </c>
      <c r="C213" s="32" t="s">
        <v>1128</v>
      </c>
    </row>
    <row r="214" spans="1:3" x14ac:dyDescent="0.3">
      <c r="A214" s="29" t="s">
        <v>1129</v>
      </c>
      <c r="B214" s="30" t="s">
        <v>1130</v>
      </c>
      <c r="C214" s="32" t="s">
        <v>1131</v>
      </c>
    </row>
    <row r="215" spans="1:3" x14ac:dyDescent="0.3">
      <c r="A215" s="29" t="s">
        <v>1132</v>
      </c>
      <c r="B215" s="30" t="s">
        <v>1133</v>
      </c>
      <c r="C215" s="32" t="s">
        <v>1134</v>
      </c>
    </row>
    <row r="216" spans="1:3" x14ac:dyDescent="0.3">
      <c r="A216" s="29" t="s">
        <v>1135</v>
      </c>
      <c r="B216" s="30" t="s">
        <v>1136</v>
      </c>
      <c r="C216" s="32" t="s">
        <v>1137</v>
      </c>
    </row>
    <row r="217" spans="1:3" x14ac:dyDescent="0.3">
      <c r="A217" s="29" t="s">
        <v>521</v>
      </c>
      <c r="B217" s="30" t="s">
        <v>1138</v>
      </c>
      <c r="C217" s="32" t="s">
        <v>1139</v>
      </c>
    </row>
    <row r="218" spans="1:3" x14ac:dyDescent="0.3">
      <c r="A218" s="29" t="s">
        <v>1140</v>
      </c>
      <c r="B218" s="30" t="s">
        <v>1141</v>
      </c>
      <c r="C218" s="32" t="s">
        <v>1142</v>
      </c>
    </row>
    <row r="219" spans="1:3" x14ac:dyDescent="0.3">
      <c r="A219" s="29" t="s">
        <v>1143</v>
      </c>
      <c r="B219" s="30" t="s">
        <v>1144</v>
      </c>
      <c r="C219" s="32" t="s">
        <v>1145</v>
      </c>
    </row>
    <row r="220" spans="1:3" x14ac:dyDescent="0.3">
      <c r="A220" s="29" t="s">
        <v>1146</v>
      </c>
      <c r="B220" s="30" t="s">
        <v>1147</v>
      </c>
      <c r="C220" s="32" t="s">
        <v>1148</v>
      </c>
    </row>
    <row r="221" spans="1:3" x14ac:dyDescent="0.3">
      <c r="A221" s="29" t="s">
        <v>1149</v>
      </c>
      <c r="B221" s="30" t="s">
        <v>1150</v>
      </c>
      <c r="C221" s="32" t="s">
        <v>1151</v>
      </c>
    </row>
    <row r="222" spans="1:3" x14ac:dyDescent="0.3">
      <c r="A222" s="29" t="s">
        <v>1152</v>
      </c>
      <c r="B222" s="30" t="s">
        <v>1153</v>
      </c>
      <c r="C222" s="32" t="s">
        <v>1154</v>
      </c>
    </row>
    <row r="223" spans="1:3" x14ac:dyDescent="0.3">
      <c r="A223" s="29" t="s">
        <v>1155</v>
      </c>
      <c r="B223" s="30" t="s">
        <v>1156</v>
      </c>
      <c r="C223" s="32" t="s">
        <v>1157</v>
      </c>
    </row>
    <row r="224" spans="1:3" x14ac:dyDescent="0.3">
      <c r="A224" s="29" t="s">
        <v>1158</v>
      </c>
      <c r="B224" s="30" t="s">
        <v>1159</v>
      </c>
      <c r="C224" s="32" t="s">
        <v>1160</v>
      </c>
    </row>
    <row r="225" spans="1:3" x14ac:dyDescent="0.3">
      <c r="A225" s="29" t="s">
        <v>1161</v>
      </c>
      <c r="B225" s="30" t="s">
        <v>1162</v>
      </c>
      <c r="C225" s="32" t="s">
        <v>1163</v>
      </c>
    </row>
    <row r="226" spans="1:3" x14ac:dyDescent="0.3">
      <c r="A226" s="29" t="s">
        <v>1164</v>
      </c>
      <c r="B226" s="30" t="s">
        <v>1165</v>
      </c>
      <c r="C226" s="32" t="s">
        <v>1166</v>
      </c>
    </row>
    <row r="227" spans="1:3" x14ac:dyDescent="0.3">
      <c r="A227" s="29" t="s">
        <v>1167</v>
      </c>
      <c r="B227" s="30" t="s">
        <v>1168</v>
      </c>
      <c r="C227" s="32" t="s">
        <v>1169</v>
      </c>
    </row>
    <row r="228" spans="1:3" x14ac:dyDescent="0.3">
      <c r="A228" s="29" t="s">
        <v>1170</v>
      </c>
      <c r="B228" s="30" t="s">
        <v>1171</v>
      </c>
      <c r="C228" s="32" t="s">
        <v>1172</v>
      </c>
    </row>
    <row r="229" spans="1:3" x14ac:dyDescent="0.3">
      <c r="A229" s="29" t="s">
        <v>1173</v>
      </c>
      <c r="B229" s="30" t="s">
        <v>1174</v>
      </c>
      <c r="C229" s="32" t="s">
        <v>1175</v>
      </c>
    </row>
    <row r="230" spans="1:3" x14ac:dyDescent="0.3">
      <c r="A230" s="29" t="s">
        <v>1176</v>
      </c>
      <c r="B230" s="30" t="s">
        <v>1177</v>
      </c>
      <c r="C230" s="32" t="s">
        <v>1178</v>
      </c>
    </row>
    <row r="231" spans="1:3" x14ac:dyDescent="0.3">
      <c r="A231" s="29" t="s">
        <v>1179</v>
      </c>
      <c r="B231" s="30" t="s">
        <v>1180</v>
      </c>
      <c r="C231" s="32" t="s">
        <v>1181</v>
      </c>
    </row>
    <row r="232" spans="1:3" x14ac:dyDescent="0.3">
      <c r="A232" s="29" t="s">
        <v>159</v>
      </c>
      <c r="B232" s="30" t="s">
        <v>1182</v>
      </c>
      <c r="C232" s="32" t="s">
        <v>1183</v>
      </c>
    </row>
    <row r="233" spans="1:3" x14ac:dyDescent="0.3">
      <c r="A233" s="29" t="s">
        <v>1184</v>
      </c>
      <c r="B233" s="30" t="s">
        <v>1185</v>
      </c>
      <c r="C233" s="32" t="s">
        <v>1186</v>
      </c>
    </row>
    <row r="234" spans="1:3" x14ac:dyDescent="0.3">
      <c r="A234" s="29" t="s">
        <v>1187</v>
      </c>
      <c r="B234" s="30" t="s">
        <v>1188</v>
      </c>
      <c r="C234" s="32" t="s">
        <v>1189</v>
      </c>
    </row>
    <row r="235" spans="1:3" x14ac:dyDescent="0.3">
      <c r="A235" s="29" t="s">
        <v>1190</v>
      </c>
      <c r="B235" s="30" t="s">
        <v>1191</v>
      </c>
      <c r="C235" s="32" t="s">
        <v>1192</v>
      </c>
    </row>
    <row r="236" spans="1:3" x14ac:dyDescent="0.3">
      <c r="A236" s="29" t="s">
        <v>1193</v>
      </c>
      <c r="B236" s="30" t="s">
        <v>1194</v>
      </c>
      <c r="C236" s="32" t="s">
        <v>1195</v>
      </c>
    </row>
    <row r="237" spans="1:3" x14ac:dyDescent="0.3">
      <c r="A237" s="29" t="s">
        <v>1196</v>
      </c>
      <c r="B237" s="30" t="s">
        <v>1197</v>
      </c>
      <c r="C237" s="32" t="s">
        <v>1198</v>
      </c>
    </row>
    <row r="238" spans="1:3" x14ac:dyDescent="0.3">
      <c r="A238" s="29" t="s">
        <v>1199</v>
      </c>
      <c r="B238" s="30" t="s">
        <v>1188</v>
      </c>
      <c r="C238" s="32" t="s">
        <v>1200</v>
      </c>
    </row>
    <row r="239" spans="1:3" x14ac:dyDescent="0.3">
      <c r="A239" s="29" t="s">
        <v>1201</v>
      </c>
      <c r="B239" s="30" t="s">
        <v>1202</v>
      </c>
      <c r="C239" s="32" t="s">
        <v>1203</v>
      </c>
    </row>
    <row r="240" spans="1:3" x14ac:dyDescent="0.3">
      <c r="A240" s="29" t="s">
        <v>1204</v>
      </c>
      <c r="B240" s="30" t="s">
        <v>1205</v>
      </c>
      <c r="C240" s="39" t="s">
        <v>1206</v>
      </c>
    </row>
    <row r="241" spans="1:3" x14ac:dyDescent="0.3">
      <c r="A241" s="29" t="s">
        <v>1207</v>
      </c>
      <c r="B241" s="30" t="s">
        <v>1208</v>
      </c>
      <c r="C241" s="32" t="s">
        <v>1209</v>
      </c>
    </row>
    <row r="242" spans="1:3" x14ac:dyDescent="0.3">
      <c r="A242" s="29" t="s">
        <v>1210</v>
      </c>
      <c r="B242" s="30" t="s">
        <v>1211</v>
      </c>
      <c r="C242" s="32" t="s">
        <v>1212</v>
      </c>
    </row>
    <row r="243" spans="1:3" x14ac:dyDescent="0.3">
      <c r="A243" s="29" t="s">
        <v>1213</v>
      </c>
      <c r="B243" s="30" t="s">
        <v>1214</v>
      </c>
      <c r="C243" s="32" t="s">
        <v>1215</v>
      </c>
    </row>
    <row r="244" spans="1:3" x14ac:dyDescent="0.3">
      <c r="A244" s="29" t="s">
        <v>1216</v>
      </c>
      <c r="B244" s="30" t="s">
        <v>1217</v>
      </c>
      <c r="C244" s="32" t="s">
        <v>857</v>
      </c>
    </row>
    <row r="245" spans="1:3" x14ac:dyDescent="0.3">
      <c r="A245" s="29" t="s">
        <v>1218</v>
      </c>
      <c r="B245" s="30" t="s">
        <v>1219</v>
      </c>
      <c r="C245" s="32" t="s">
        <v>1220</v>
      </c>
    </row>
    <row r="246" spans="1:3" x14ac:dyDescent="0.3">
      <c r="A246" s="29" t="s">
        <v>1221</v>
      </c>
      <c r="B246" s="30" t="s">
        <v>139</v>
      </c>
      <c r="C246" s="32" t="s">
        <v>274</v>
      </c>
    </row>
    <row r="247" spans="1:3" x14ac:dyDescent="0.3">
      <c r="A247" s="29" t="s">
        <v>1222</v>
      </c>
      <c r="B247" s="30" t="s">
        <v>1223</v>
      </c>
      <c r="C247" s="32" t="s">
        <v>1224</v>
      </c>
    </row>
    <row r="248" spans="1:3" x14ac:dyDescent="0.3">
      <c r="A248" s="29" t="s">
        <v>1225</v>
      </c>
      <c r="B248" s="30" t="s">
        <v>1226</v>
      </c>
      <c r="C248" s="32" t="s">
        <v>1227</v>
      </c>
    </row>
    <row r="249" spans="1:3" x14ac:dyDescent="0.3">
      <c r="A249" s="29" t="s">
        <v>1228</v>
      </c>
      <c r="B249" s="30" t="s">
        <v>1229</v>
      </c>
      <c r="C249" s="32" t="s">
        <v>1230</v>
      </c>
    </row>
    <row r="250" spans="1:3" x14ac:dyDescent="0.3">
      <c r="A250" s="29" t="s">
        <v>1231</v>
      </c>
      <c r="B250" s="30" t="s">
        <v>1232</v>
      </c>
      <c r="C250" s="32" t="s">
        <v>1233</v>
      </c>
    </row>
    <row r="251" spans="1:3" x14ac:dyDescent="0.3">
      <c r="A251" s="29" t="s">
        <v>1234</v>
      </c>
      <c r="B251" s="30" t="s">
        <v>1235</v>
      </c>
      <c r="C251" s="32" t="s">
        <v>1236</v>
      </c>
    </row>
    <row r="252" spans="1:3" x14ac:dyDescent="0.3">
      <c r="A252" s="29" t="s">
        <v>1237</v>
      </c>
      <c r="B252" s="30" t="s">
        <v>1238</v>
      </c>
      <c r="C252" s="32" t="s">
        <v>1239</v>
      </c>
    </row>
    <row r="253" spans="1:3" x14ac:dyDescent="0.3">
      <c r="A253" s="29" t="s">
        <v>1240</v>
      </c>
      <c r="B253" s="30" t="s">
        <v>1241</v>
      </c>
      <c r="C253" s="32" t="s">
        <v>1242</v>
      </c>
    </row>
    <row r="254" spans="1:3" x14ac:dyDescent="0.3">
      <c r="A254" s="29" t="s">
        <v>1243</v>
      </c>
      <c r="B254" s="30" t="s">
        <v>1244</v>
      </c>
      <c r="C254" s="32" t="s">
        <v>1245</v>
      </c>
    </row>
    <row r="255" spans="1:3" x14ac:dyDescent="0.3">
      <c r="A255" s="29" t="s">
        <v>1246</v>
      </c>
      <c r="B255" s="30" t="s">
        <v>1247</v>
      </c>
      <c r="C255" s="32" t="s">
        <v>1248</v>
      </c>
    </row>
    <row r="256" spans="1:3" x14ac:dyDescent="0.3">
      <c r="A256" s="29" t="s">
        <v>1249</v>
      </c>
      <c r="B256" s="30" t="s">
        <v>1250</v>
      </c>
      <c r="C256" s="32" t="s">
        <v>1251</v>
      </c>
    </row>
    <row r="257" spans="1:3" x14ac:dyDescent="0.3">
      <c r="A257" s="29" t="s">
        <v>1252</v>
      </c>
      <c r="B257" s="30" t="s">
        <v>1253</v>
      </c>
      <c r="C257" s="32" t="s">
        <v>1254</v>
      </c>
    </row>
    <row r="258" spans="1:3" x14ac:dyDescent="0.3">
      <c r="A258" s="29" t="s">
        <v>1255</v>
      </c>
      <c r="B258" s="30" t="s">
        <v>1256</v>
      </c>
      <c r="C258" s="32" t="s">
        <v>1257</v>
      </c>
    </row>
    <row r="259" spans="1:3" x14ac:dyDescent="0.3">
      <c r="A259" s="29" t="s">
        <v>1258</v>
      </c>
      <c r="B259" s="30" t="s">
        <v>1259</v>
      </c>
      <c r="C259" s="32" t="s">
        <v>1260</v>
      </c>
    </row>
    <row r="260" spans="1:3" x14ac:dyDescent="0.3">
      <c r="A260" s="29" t="s">
        <v>1261</v>
      </c>
      <c r="B260" s="30" t="s">
        <v>1262</v>
      </c>
      <c r="C260" s="32" t="s">
        <v>1263</v>
      </c>
    </row>
    <row r="261" spans="1:3" x14ac:dyDescent="0.3">
      <c r="A261" s="29" t="s">
        <v>1264</v>
      </c>
      <c r="B261" s="30" t="s">
        <v>1265</v>
      </c>
      <c r="C261" s="32" t="s">
        <v>1266</v>
      </c>
    </row>
    <row r="262" spans="1:3" x14ac:dyDescent="0.3">
      <c r="A262" s="29" t="s">
        <v>1267</v>
      </c>
      <c r="B262" s="30" t="s">
        <v>1268</v>
      </c>
      <c r="C262" s="32" t="s">
        <v>1269</v>
      </c>
    </row>
    <row r="263" spans="1:3" x14ac:dyDescent="0.3">
      <c r="A263" s="29" t="s">
        <v>1270</v>
      </c>
      <c r="B263" s="30" t="s">
        <v>1271</v>
      </c>
      <c r="C263" s="32" t="s">
        <v>1272</v>
      </c>
    </row>
    <row r="264" spans="1:3" x14ac:dyDescent="0.3">
      <c r="A264" s="29" t="s">
        <v>1273</v>
      </c>
      <c r="B264" s="30" t="s">
        <v>1274</v>
      </c>
      <c r="C264" s="32" t="s">
        <v>1275</v>
      </c>
    </row>
    <row r="265" spans="1:3" x14ac:dyDescent="0.3">
      <c r="A265" s="29" t="s">
        <v>1276</v>
      </c>
      <c r="B265" s="30" t="s">
        <v>1277</v>
      </c>
      <c r="C265" s="32" t="s">
        <v>1278</v>
      </c>
    </row>
    <row r="266" spans="1:3" x14ac:dyDescent="0.3">
      <c r="A266" s="29" t="s">
        <v>1279</v>
      </c>
      <c r="B266" s="30" t="s">
        <v>1280</v>
      </c>
      <c r="C266" s="32" t="s">
        <v>1281</v>
      </c>
    </row>
    <row r="267" spans="1:3" x14ac:dyDescent="0.3">
      <c r="A267" s="29" t="s">
        <v>1282</v>
      </c>
      <c r="B267" s="30" t="s">
        <v>1283</v>
      </c>
      <c r="C267" s="32" t="s">
        <v>1284</v>
      </c>
    </row>
    <row r="268" spans="1:3" x14ac:dyDescent="0.3">
      <c r="A268" s="29" t="s">
        <v>1285</v>
      </c>
      <c r="B268" s="30" t="s">
        <v>1286</v>
      </c>
      <c r="C268" s="32" t="s">
        <v>1287</v>
      </c>
    </row>
    <row r="269" spans="1:3" x14ac:dyDescent="0.3">
      <c r="A269" s="29" t="s">
        <v>1288</v>
      </c>
      <c r="B269" s="30" t="s">
        <v>1289</v>
      </c>
      <c r="C269" s="32" t="s">
        <v>1290</v>
      </c>
    </row>
    <row r="270" spans="1:3" x14ac:dyDescent="0.3">
      <c r="A270" s="29" t="s">
        <v>1291</v>
      </c>
      <c r="B270" s="30" t="s">
        <v>1292</v>
      </c>
      <c r="C270" s="32" t="s">
        <v>1293</v>
      </c>
    </row>
    <row r="271" spans="1:3" x14ac:dyDescent="0.3">
      <c r="A271" s="29" t="s">
        <v>1294</v>
      </c>
      <c r="B271" s="30" t="s">
        <v>11</v>
      </c>
      <c r="C271" s="32" t="s">
        <v>951</v>
      </c>
    </row>
    <row r="272" spans="1:3" x14ac:dyDescent="0.3">
      <c r="A272" s="29" t="s">
        <v>1295</v>
      </c>
      <c r="B272" s="30" t="s">
        <v>1296</v>
      </c>
      <c r="C272" s="32" t="s">
        <v>1297</v>
      </c>
    </row>
    <row r="273" spans="1:3" x14ac:dyDescent="0.3">
      <c r="A273" s="29" t="s">
        <v>1298</v>
      </c>
      <c r="B273" s="30" t="s">
        <v>1299</v>
      </c>
      <c r="C273" s="32" t="s">
        <v>1300</v>
      </c>
    </row>
    <row r="274" spans="1:3" x14ac:dyDescent="0.3">
      <c r="A274" s="29" t="s">
        <v>220</v>
      </c>
      <c r="B274" s="30" t="s">
        <v>1301</v>
      </c>
      <c r="C274" s="32" t="s">
        <v>1302</v>
      </c>
    </row>
    <row r="275" spans="1:3" x14ac:dyDescent="0.3">
      <c r="A275" s="29" t="s">
        <v>1303</v>
      </c>
      <c r="B275" s="30" t="s">
        <v>1304</v>
      </c>
      <c r="C275" s="32" t="s">
        <v>1305</v>
      </c>
    </row>
    <row r="276" spans="1:3" x14ac:dyDescent="0.3">
      <c r="A276" s="29" t="s">
        <v>1306</v>
      </c>
      <c r="B276" s="30" t="s">
        <v>1307</v>
      </c>
      <c r="C276" s="31" t="s">
        <v>1308</v>
      </c>
    </row>
    <row r="277" spans="1:3" x14ac:dyDescent="0.3">
      <c r="A277" s="29" t="s">
        <v>1309</v>
      </c>
      <c r="B277" s="30" t="s">
        <v>1310</v>
      </c>
      <c r="C277" s="32" t="s">
        <v>1311</v>
      </c>
    </row>
    <row r="278" spans="1:3" x14ac:dyDescent="0.3">
      <c r="A278" s="29" t="s">
        <v>1312</v>
      </c>
      <c r="B278" s="30" t="s">
        <v>1313</v>
      </c>
      <c r="C278" s="32" t="s">
        <v>1314</v>
      </c>
    </row>
    <row r="279" spans="1:3" x14ac:dyDescent="0.3">
      <c r="A279" s="29" t="s">
        <v>1315</v>
      </c>
      <c r="B279" s="30" t="s">
        <v>38</v>
      </c>
      <c r="C279" s="32" t="s">
        <v>1316</v>
      </c>
    </row>
    <row r="280" spans="1:3" x14ac:dyDescent="0.3">
      <c r="A280" s="29" t="s">
        <v>1317</v>
      </c>
      <c r="B280" s="30" t="s">
        <v>504</v>
      </c>
      <c r="C280" s="32" t="s">
        <v>1318</v>
      </c>
    </row>
    <row r="281" spans="1:3" x14ac:dyDescent="0.3">
      <c r="A281" s="29" t="s">
        <v>1319</v>
      </c>
      <c r="B281" s="30" t="s">
        <v>1320</v>
      </c>
      <c r="C281" s="32" t="s">
        <v>969</v>
      </c>
    </row>
    <row r="282" spans="1:3" x14ac:dyDescent="0.3">
      <c r="A282" s="29" t="s">
        <v>1321</v>
      </c>
      <c r="B282" s="30" t="s">
        <v>1322</v>
      </c>
      <c r="C282" s="32" t="s">
        <v>1323</v>
      </c>
    </row>
    <row r="283" spans="1:3" x14ac:dyDescent="0.3">
      <c r="A283" s="29" t="s">
        <v>1324</v>
      </c>
      <c r="B283" s="30" t="s">
        <v>1325</v>
      </c>
      <c r="C283" s="32" t="s">
        <v>1326</v>
      </c>
    </row>
    <row r="284" spans="1:3" x14ac:dyDescent="0.3">
      <c r="A284" s="29" t="s">
        <v>1327</v>
      </c>
      <c r="B284" s="30" t="s">
        <v>1328</v>
      </c>
      <c r="C284" s="32" t="s">
        <v>1329</v>
      </c>
    </row>
    <row r="285" spans="1:3" x14ac:dyDescent="0.3">
      <c r="A285" s="29" t="s">
        <v>1330</v>
      </c>
      <c r="B285" s="30" t="s">
        <v>1331</v>
      </c>
      <c r="C285" s="32" t="s">
        <v>1332</v>
      </c>
    </row>
    <row r="286" spans="1:3" x14ac:dyDescent="0.3">
      <c r="A286" s="29" t="s">
        <v>1333</v>
      </c>
      <c r="B286" s="30" t="s">
        <v>1334</v>
      </c>
      <c r="C286" s="32" t="s">
        <v>1335</v>
      </c>
    </row>
    <row r="287" spans="1:3" x14ac:dyDescent="0.3">
      <c r="A287" s="29" t="s">
        <v>1336</v>
      </c>
      <c r="B287" s="30" t="s">
        <v>1337</v>
      </c>
      <c r="C287" s="32" t="s">
        <v>1338</v>
      </c>
    </row>
    <row r="288" spans="1:3" x14ac:dyDescent="0.3">
      <c r="A288" s="29" t="s">
        <v>1339</v>
      </c>
      <c r="B288" s="30" t="s">
        <v>1340</v>
      </c>
      <c r="C288" s="32" t="s">
        <v>1341</v>
      </c>
    </row>
    <row r="289" spans="1:3" x14ac:dyDescent="0.3">
      <c r="A289" s="29" t="s">
        <v>1342</v>
      </c>
      <c r="B289" s="30" t="s">
        <v>1343</v>
      </c>
      <c r="C289" s="32" t="s">
        <v>1344</v>
      </c>
    </row>
    <row r="290" spans="1:3" x14ac:dyDescent="0.3">
      <c r="A290" s="29" t="s">
        <v>1345</v>
      </c>
      <c r="B290" s="30" t="s">
        <v>1346</v>
      </c>
      <c r="C290" s="32" t="s">
        <v>1347</v>
      </c>
    </row>
    <row r="291" spans="1:3" x14ac:dyDescent="0.3">
      <c r="A291" s="29" t="s">
        <v>1348</v>
      </c>
      <c r="B291" s="30" t="s">
        <v>1349</v>
      </c>
      <c r="C291" s="32" t="s">
        <v>1350</v>
      </c>
    </row>
    <row r="292" spans="1:3" x14ac:dyDescent="0.3">
      <c r="A292" s="29" t="s">
        <v>1351</v>
      </c>
      <c r="B292" s="30" t="s">
        <v>1352</v>
      </c>
      <c r="C292" s="32" t="s">
        <v>1353</v>
      </c>
    </row>
    <row r="293" spans="1:3" x14ac:dyDescent="0.3">
      <c r="A293" s="29" t="s">
        <v>1354</v>
      </c>
      <c r="B293" s="30" t="s">
        <v>1355</v>
      </c>
      <c r="C293" s="32" t="s">
        <v>1356</v>
      </c>
    </row>
    <row r="294" spans="1:3" x14ac:dyDescent="0.3">
      <c r="A294" s="29" t="s">
        <v>1357</v>
      </c>
      <c r="B294" s="30" t="s">
        <v>1358</v>
      </c>
      <c r="C294" s="32" t="s">
        <v>1359</v>
      </c>
    </row>
    <row r="295" spans="1:3" x14ac:dyDescent="0.3">
      <c r="A295" s="29" t="s">
        <v>1360</v>
      </c>
      <c r="B295" s="30" t="s">
        <v>1361</v>
      </c>
      <c r="C295" s="32" t="s">
        <v>1362</v>
      </c>
    </row>
    <row r="296" spans="1:3" x14ac:dyDescent="0.3">
      <c r="A296" s="29" t="s">
        <v>1363</v>
      </c>
      <c r="B296" s="30" t="s">
        <v>1364</v>
      </c>
      <c r="C296" s="32" t="s">
        <v>1365</v>
      </c>
    </row>
    <row r="297" spans="1:3" x14ac:dyDescent="0.3">
      <c r="A297" s="29" t="s">
        <v>1366</v>
      </c>
      <c r="B297" s="30" t="s">
        <v>1367</v>
      </c>
      <c r="C297" s="32" t="s">
        <v>1368</v>
      </c>
    </row>
    <row r="298" spans="1:3" x14ac:dyDescent="0.3">
      <c r="A298" s="29" t="s">
        <v>1369</v>
      </c>
      <c r="B298" s="30" t="s">
        <v>1370</v>
      </c>
      <c r="C298" s="32" t="s">
        <v>1371</v>
      </c>
    </row>
    <row r="299" spans="1:3" x14ac:dyDescent="0.3">
      <c r="A299" s="29" t="s">
        <v>1372</v>
      </c>
      <c r="B299" s="30" t="s">
        <v>118</v>
      </c>
      <c r="C299" s="31" t="s">
        <v>1373</v>
      </c>
    </row>
    <row r="300" spans="1:3" x14ac:dyDescent="0.3">
      <c r="A300" s="29" t="s">
        <v>1374</v>
      </c>
      <c r="B300" s="30" t="s">
        <v>1375</v>
      </c>
      <c r="C300" s="32" t="s">
        <v>1376</v>
      </c>
    </row>
    <row r="301" spans="1:3" x14ac:dyDescent="0.3">
      <c r="A301" s="29" t="s">
        <v>1377</v>
      </c>
      <c r="B301" s="30" t="s">
        <v>1378</v>
      </c>
      <c r="C301" s="32" t="s">
        <v>1379</v>
      </c>
    </row>
    <row r="302" spans="1:3" x14ac:dyDescent="0.3">
      <c r="A302" s="29" t="s">
        <v>1380</v>
      </c>
      <c r="B302" s="30" t="s">
        <v>1381</v>
      </c>
      <c r="C302" s="32" t="s">
        <v>1382</v>
      </c>
    </row>
    <row r="303" spans="1:3" x14ac:dyDescent="0.3">
      <c r="A303" s="29" t="s">
        <v>1383</v>
      </c>
      <c r="B303" s="30" t="s">
        <v>1384</v>
      </c>
      <c r="C303" s="32" t="s">
        <v>1385</v>
      </c>
    </row>
    <row r="304" spans="1:3" x14ac:dyDescent="0.3">
      <c r="A304" s="29" t="s">
        <v>1386</v>
      </c>
      <c r="B304" s="30" t="s">
        <v>1387</v>
      </c>
      <c r="C304" s="32" t="s">
        <v>1388</v>
      </c>
    </row>
    <row r="305" spans="1:3" x14ac:dyDescent="0.3">
      <c r="A305" s="29" t="s">
        <v>1389</v>
      </c>
      <c r="B305" s="30" t="s">
        <v>1390</v>
      </c>
      <c r="C305" s="31" t="s">
        <v>1391</v>
      </c>
    </row>
    <row r="306" spans="1:3" x14ac:dyDescent="0.3">
      <c r="A306" s="29" t="s">
        <v>1392</v>
      </c>
      <c r="B306" s="30" t="s">
        <v>1393</v>
      </c>
      <c r="C306" s="32" t="s">
        <v>1394</v>
      </c>
    </row>
    <row r="307" spans="1:3" x14ac:dyDescent="0.3">
      <c r="A307" s="29" t="s">
        <v>1395</v>
      </c>
      <c r="B307" s="30" t="s">
        <v>1396</v>
      </c>
      <c r="C307" s="31" t="s">
        <v>1397</v>
      </c>
    </row>
    <row r="308" spans="1:3" x14ac:dyDescent="0.3">
      <c r="A308" s="29" t="s">
        <v>1398</v>
      </c>
      <c r="B308" s="30" t="s">
        <v>1399</v>
      </c>
      <c r="C308" s="31" t="s">
        <v>1400</v>
      </c>
    </row>
    <row r="309" spans="1:3" x14ac:dyDescent="0.3">
      <c r="A309" s="29" t="s">
        <v>1401</v>
      </c>
      <c r="B309" s="30" t="s">
        <v>1402</v>
      </c>
      <c r="C309" s="31" t="s">
        <v>1403</v>
      </c>
    </row>
    <row r="310" spans="1:3" x14ac:dyDescent="0.3">
      <c r="A310" s="29" t="s">
        <v>1404</v>
      </c>
      <c r="B310" s="30" t="s">
        <v>1405</v>
      </c>
      <c r="C310" s="32" t="s">
        <v>1406</v>
      </c>
    </row>
    <row r="311" spans="1:3" x14ac:dyDescent="0.3">
      <c r="A311" s="29" t="s">
        <v>1407</v>
      </c>
      <c r="B311" s="30" t="s">
        <v>1408</v>
      </c>
      <c r="C311" s="31" t="s">
        <v>1409</v>
      </c>
    </row>
    <row r="312" spans="1:3" x14ac:dyDescent="0.3">
      <c r="A312" s="29" t="s">
        <v>1410</v>
      </c>
      <c r="B312" s="30" t="s">
        <v>1411</v>
      </c>
      <c r="C312" s="31" t="s">
        <v>1412</v>
      </c>
    </row>
    <row r="313" spans="1:3" x14ac:dyDescent="0.3">
      <c r="A313" s="29" t="s">
        <v>1413</v>
      </c>
      <c r="B313" s="30" t="s">
        <v>1414</v>
      </c>
      <c r="C313" s="31" t="s">
        <v>1415</v>
      </c>
    </row>
    <row r="314" spans="1:3" x14ac:dyDescent="0.3">
      <c r="A314" s="29" t="s">
        <v>1416</v>
      </c>
      <c r="B314" s="30" t="s">
        <v>1417</v>
      </c>
      <c r="C314" s="31" t="s">
        <v>1418</v>
      </c>
    </row>
    <row r="315" spans="1:3" x14ac:dyDescent="0.3">
      <c r="A315" s="29" t="s">
        <v>1419</v>
      </c>
      <c r="B315" s="30" t="s">
        <v>1420</v>
      </c>
      <c r="C315" s="31" t="s">
        <v>1421</v>
      </c>
    </row>
    <row r="316" spans="1:3" x14ac:dyDescent="0.3">
      <c r="A316" s="29" t="s">
        <v>1422</v>
      </c>
      <c r="B316" s="30" t="s">
        <v>1423</v>
      </c>
      <c r="C316" s="32" t="s">
        <v>1424</v>
      </c>
    </row>
    <row r="317" spans="1:3" x14ac:dyDescent="0.3">
      <c r="A317" s="29" t="s">
        <v>1425</v>
      </c>
      <c r="B317" s="30" t="s">
        <v>1426</v>
      </c>
      <c r="C317" s="32" t="s">
        <v>1427</v>
      </c>
    </row>
    <row r="318" spans="1:3" x14ac:dyDescent="0.3">
      <c r="A318" s="29" t="s">
        <v>1428</v>
      </c>
      <c r="B318" s="30" t="s">
        <v>1429</v>
      </c>
      <c r="C318" s="32" t="s">
        <v>1430</v>
      </c>
    </row>
    <row r="319" spans="1:3" x14ac:dyDescent="0.3">
      <c r="A319" s="29" t="s">
        <v>1431</v>
      </c>
      <c r="B319" s="30" t="s">
        <v>1432</v>
      </c>
      <c r="C319" s="32" t="s">
        <v>1433</v>
      </c>
    </row>
    <row r="320" spans="1:3" x14ac:dyDescent="0.3">
      <c r="A320" s="29" t="s">
        <v>1434</v>
      </c>
      <c r="B320" s="30" t="s">
        <v>1435</v>
      </c>
      <c r="C320" s="32" t="s">
        <v>1436</v>
      </c>
    </row>
    <row r="321" spans="1:3" x14ac:dyDescent="0.3">
      <c r="A321" s="29" t="s">
        <v>1437</v>
      </c>
      <c r="B321" s="30" t="s">
        <v>1438</v>
      </c>
      <c r="C321" s="32" t="s">
        <v>1439</v>
      </c>
    </row>
    <row r="322" spans="1:3" x14ac:dyDescent="0.3">
      <c r="A322" s="29" t="s">
        <v>1440</v>
      </c>
      <c r="B322" s="30" t="s">
        <v>1441</v>
      </c>
      <c r="C322" s="32" t="s">
        <v>1442</v>
      </c>
    </row>
    <row r="323" spans="1:3" x14ac:dyDescent="0.3">
      <c r="A323" s="35" t="s">
        <v>1443</v>
      </c>
      <c r="B323" s="36" t="s">
        <v>1444</v>
      </c>
      <c r="C323" s="37" t="s">
        <v>1445</v>
      </c>
    </row>
    <row r="324" spans="1:3" x14ac:dyDescent="0.3">
      <c r="A324" s="29" t="s">
        <v>1446</v>
      </c>
      <c r="B324" s="30" t="s">
        <v>1447</v>
      </c>
      <c r="C324" s="32" t="s">
        <v>1448</v>
      </c>
    </row>
    <row r="325" spans="1:3" x14ac:dyDescent="0.3">
      <c r="A325" s="35" t="s">
        <v>1449</v>
      </c>
      <c r="B325" s="36" t="s">
        <v>1450</v>
      </c>
      <c r="C325" s="37" t="s">
        <v>1451</v>
      </c>
    </row>
    <row r="326" spans="1:3" x14ac:dyDescent="0.3">
      <c r="A326" s="29" t="s">
        <v>1452</v>
      </c>
      <c r="B326" s="30" t="s">
        <v>1453</v>
      </c>
      <c r="C326" s="32" t="s">
        <v>1454</v>
      </c>
    </row>
    <row r="327" spans="1:3" x14ac:dyDescent="0.3">
      <c r="A327" s="29" t="s">
        <v>1455</v>
      </c>
      <c r="B327" s="30" t="s">
        <v>1456</v>
      </c>
      <c r="C327" s="32" t="s">
        <v>1457</v>
      </c>
    </row>
    <row r="328" spans="1:3" x14ac:dyDescent="0.3">
      <c r="A328" s="29" t="s">
        <v>1458</v>
      </c>
      <c r="B328" s="30" t="s">
        <v>1459</v>
      </c>
      <c r="C328" s="32" t="s">
        <v>1169</v>
      </c>
    </row>
    <row r="329" spans="1:3" x14ac:dyDescent="0.3">
      <c r="A329" s="29" t="s">
        <v>1460</v>
      </c>
      <c r="B329" s="30" t="s">
        <v>1461</v>
      </c>
      <c r="C329" s="32" t="s">
        <v>1462</v>
      </c>
    </row>
    <row r="330" spans="1:3" x14ac:dyDescent="0.3">
      <c r="A330" s="29" t="s">
        <v>1463</v>
      </c>
      <c r="B330" s="30" t="s">
        <v>1464</v>
      </c>
      <c r="C330" s="32" t="s">
        <v>1465</v>
      </c>
    </row>
    <row r="331" spans="1:3" x14ac:dyDescent="0.3">
      <c r="A331" s="29" t="s">
        <v>1466</v>
      </c>
      <c r="B331" s="30" t="s">
        <v>1467</v>
      </c>
      <c r="C331" s="32" t="s">
        <v>1468</v>
      </c>
    </row>
    <row r="332" spans="1:3" x14ac:dyDescent="0.3">
      <c r="A332" s="29" t="s">
        <v>455</v>
      </c>
      <c r="B332" s="30" t="s">
        <v>445</v>
      </c>
      <c r="C332" s="32" t="s">
        <v>1469</v>
      </c>
    </row>
    <row r="333" spans="1:3" x14ac:dyDescent="0.3">
      <c r="A333" s="29" t="s">
        <v>1470</v>
      </c>
      <c r="B333" s="30" t="s">
        <v>1471</v>
      </c>
      <c r="C333" s="32" t="s">
        <v>1472</v>
      </c>
    </row>
    <row r="334" spans="1:3" x14ac:dyDescent="0.3">
      <c r="A334" s="29" t="s">
        <v>1473</v>
      </c>
      <c r="B334" s="30" t="s">
        <v>1474</v>
      </c>
      <c r="C334" s="32" t="s">
        <v>1475</v>
      </c>
    </row>
    <row r="335" spans="1:3" x14ac:dyDescent="0.3">
      <c r="A335" s="29" t="s">
        <v>1476</v>
      </c>
      <c r="B335" s="30" t="s">
        <v>1477</v>
      </c>
      <c r="C335" s="32" t="s">
        <v>1478</v>
      </c>
    </row>
    <row r="336" spans="1:3" x14ac:dyDescent="0.3">
      <c r="A336" s="29" t="s">
        <v>1479</v>
      </c>
      <c r="B336" s="30" t="s">
        <v>1480</v>
      </c>
      <c r="C336" s="32" t="s">
        <v>1481</v>
      </c>
    </row>
    <row r="337" spans="1:3" x14ac:dyDescent="0.3">
      <c r="A337" s="29" t="s">
        <v>1482</v>
      </c>
      <c r="B337" s="30" t="s">
        <v>1483</v>
      </c>
      <c r="C337" s="32" t="s">
        <v>1484</v>
      </c>
    </row>
    <row r="338" spans="1:3" x14ac:dyDescent="0.3">
      <c r="A338" s="35" t="s">
        <v>1485</v>
      </c>
      <c r="B338" s="36" t="s">
        <v>411</v>
      </c>
      <c r="C338" s="37" t="s">
        <v>1486</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17" sqref="G17"/>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1487</v>
      </c>
      <c r="B1" s="1" t="s">
        <v>7</v>
      </c>
      <c r="C1" s="2" t="s">
        <v>524</v>
      </c>
      <c r="D1" s="3">
        <v>1</v>
      </c>
      <c r="E1" s="4" t="s">
        <v>13</v>
      </c>
      <c r="F1" s="5" t="s">
        <v>1488</v>
      </c>
      <c r="G1" s="4">
        <v>1</v>
      </c>
      <c r="H1" s="4" t="s">
        <v>1489</v>
      </c>
    </row>
    <row r="2" spans="1:8" x14ac:dyDescent="0.3">
      <c r="A2" s="2" t="s">
        <v>1490</v>
      </c>
      <c r="B2" s="1" t="s">
        <v>1491</v>
      </c>
      <c r="C2" s="2" t="s">
        <v>1492</v>
      </c>
      <c r="D2" s="3">
        <v>2</v>
      </c>
      <c r="E2" s="4" t="s">
        <v>36</v>
      </c>
      <c r="F2" s="5" t="s">
        <v>1493</v>
      </c>
      <c r="G2" s="4">
        <v>2</v>
      </c>
      <c r="H2" s="4" t="s">
        <v>18</v>
      </c>
    </row>
    <row r="3" spans="1:8" x14ac:dyDescent="0.3">
      <c r="A3" s="2" t="s">
        <v>523</v>
      </c>
      <c r="B3" s="2" t="s">
        <v>1494</v>
      </c>
      <c r="C3" s="2" t="s">
        <v>1495</v>
      </c>
      <c r="D3" s="3">
        <v>3</v>
      </c>
      <c r="E3" s="4" t="s">
        <v>9</v>
      </c>
      <c r="F3" s="5" t="s">
        <v>1496</v>
      </c>
      <c r="G3" s="4">
        <v>3</v>
      </c>
      <c r="H3" s="4" t="s">
        <v>1497</v>
      </c>
    </row>
    <row r="4" spans="1:8" x14ac:dyDescent="0.3">
      <c r="A4" s="2" t="s">
        <v>1498</v>
      </c>
      <c r="B4" s="2" t="s">
        <v>24</v>
      </c>
      <c r="C4" s="2" t="s">
        <v>1499</v>
      </c>
      <c r="D4" s="3">
        <v>4</v>
      </c>
      <c r="E4" s="4"/>
      <c r="F4" s="5" t="s">
        <v>1500</v>
      </c>
      <c r="G4" s="4">
        <v>4</v>
      </c>
      <c r="H4" s="4" t="s">
        <v>413</v>
      </c>
    </row>
    <row r="5" spans="1:8" x14ac:dyDescent="0.3">
      <c r="A5" s="2" t="s">
        <v>1501</v>
      </c>
      <c r="B5" s="2" t="s">
        <v>31</v>
      </c>
      <c r="C5" s="2" t="s">
        <v>8</v>
      </c>
      <c r="D5" s="3">
        <v>5</v>
      </c>
      <c r="E5" s="4"/>
      <c r="F5" s="5" t="s">
        <v>1502</v>
      </c>
      <c r="G5" s="4">
        <v>5</v>
      </c>
      <c r="H5" s="4" t="s">
        <v>1503</v>
      </c>
    </row>
    <row r="6" spans="1:8" x14ac:dyDescent="0.3">
      <c r="A6" s="2" t="s">
        <v>1504</v>
      </c>
      <c r="B6" s="1" t="s">
        <v>1505</v>
      </c>
      <c r="C6" s="2" t="s">
        <v>1506</v>
      </c>
      <c r="D6" s="3">
        <v>6</v>
      </c>
      <c r="E6" s="4"/>
      <c r="F6" s="5" t="s">
        <v>1507</v>
      </c>
      <c r="G6" s="4">
        <v>6</v>
      </c>
      <c r="H6" s="4"/>
    </row>
    <row r="7" spans="1:8" x14ac:dyDescent="0.3">
      <c r="A7" s="2" t="s">
        <v>1508</v>
      </c>
      <c r="B7" s="1" t="s">
        <v>1509</v>
      </c>
      <c r="C7" s="2" t="s">
        <v>1510</v>
      </c>
      <c r="D7" s="6" t="s">
        <v>1511</v>
      </c>
      <c r="E7" s="4"/>
      <c r="F7" s="5" t="s">
        <v>1512</v>
      </c>
      <c r="G7" s="4">
        <v>7</v>
      </c>
      <c r="H7" s="4"/>
    </row>
    <row r="8" spans="1:8" x14ac:dyDescent="0.3">
      <c r="A8" s="2" t="s">
        <v>55</v>
      </c>
      <c r="B8" s="1"/>
      <c r="C8" s="2" t="s">
        <v>1513</v>
      </c>
      <c r="D8" s="4"/>
      <c r="E8" s="4"/>
      <c r="F8" s="5" t="s">
        <v>1514</v>
      </c>
      <c r="G8" s="4">
        <v>8</v>
      </c>
      <c r="H8" s="4"/>
    </row>
    <row r="9" spans="1:8" x14ac:dyDescent="0.3">
      <c r="A9" s="2" t="s">
        <v>6</v>
      </c>
      <c r="C9" s="2"/>
      <c r="D9" s="4"/>
      <c r="E9" s="4"/>
      <c r="F9" s="5" t="s">
        <v>1515</v>
      </c>
      <c r="G9" s="4">
        <v>9</v>
      </c>
      <c r="H9" s="4"/>
    </row>
    <row r="10" spans="1:8" x14ac:dyDescent="0.3">
      <c r="A10" s="2" t="s">
        <v>169</v>
      </c>
      <c r="C10" s="2"/>
      <c r="D10" s="4"/>
      <c r="E10" s="4"/>
      <c r="F10" s="5" t="s">
        <v>1516</v>
      </c>
      <c r="G10" s="4">
        <v>10</v>
      </c>
      <c r="H10" s="4"/>
    </row>
    <row r="11" spans="1:8" x14ac:dyDescent="0.3">
      <c r="A11" s="2"/>
      <c r="B11" s="4"/>
      <c r="C11" s="4"/>
      <c r="D11" s="4"/>
      <c r="E11" s="4"/>
      <c r="F11" s="5" t="s">
        <v>1517</v>
      </c>
      <c r="G11" s="4">
        <v>11</v>
      </c>
      <c r="H11" s="4"/>
    </row>
    <row r="12" spans="1:8" x14ac:dyDescent="0.3">
      <c r="A12" s="2"/>
      <c r="B12" s="4"/>
      <c r="C12" s="4"/>
      <c r="D12" s="4"/>
      <c r="E12" s="4"/>
      <c r="F12" s="5" t="s">
        <v>1518</v>
      </c>
      <c r="G12" s="4">
        <v>12</v>
      </c>
      <c r="H12" s="4"/>
    </row>
    <row r="13" spans="1:8" x14ac:dyDescent="0.3">
      <c r="A13" s="4"/>
      <c r="B13" s="4"/>
      <c r="C13" s="4"/>
      <c r="D13" s="4"/>
      <c r="E13" s="4"/>
      <c r="F13" s="5" t="s">
        <v>1519</v>
      </c>
      <c r="G13" s="4">
        <v>13</v>
      </c>
      <c r="H13" s="4"/>
    </row>
    <row r="14" spans="1:8" x14ac:dyDescent="0.3">
      <c r="A14" s="4"/>
      <c r="B14" s="4"/>
      <c r="C14" s="4"/>
      <c r="D14" s="4"/>
      <c r="E14" s="4"/>
      <c r="F14" s="4"/>
      <c r="G14" s="4">
        <v>14</v>
      </c>
      <c r="H14" s="4"/>
    </row>
    <row r="15" spans="1:8" x14ac:dyDescent="0.3">
      <c r="G15" s="4">
        <v>30</v>
      </c>
    </row>
    <row r="16" spans="1:8" x14ac:dyDescent="0.3">
      <c r="G16" s="4">
        <v>31</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F5A8A88-114F-4414-B78B-59A1E08F48D9}">
  <ds:schemaRefs>
    <ds:schemaRef ds:uri="http://purl.org/dc/terms/"/>
    <ds:schemaRef ds:uri="http://schemas.openxmlformats.org/package/2006/metadata/core-properties"/>
    <ds:schemaRef ds:uri="http://schemas.microsoft.com/office/2006/documentManagement/types"/>
    <ds:schemaRef ds:uri="http://purl.org/dc/dcmitype/"/>
    <ds:schemaRef ds:uri="http://www.w3.org/XML/1998/namespace"/>
    <ds:schemaRef ds:uri="http://schemas.microsoft.com/office/2006/metadata/properties"/>
    <ds:schemaRef ds:uri="bc93fe7e-d035-43bb-a03c-6b57525c971b"/>
    <ds:schemaRef ds:uri="http://schemas.microsoft.com/office/infopath/2007/PartnerControls"/>
    <ds:schemaRef ds:uri="036464c2-fd20-4b66-91a9-287fded1e9c2"/>
    <ds:schemaRef ds:uri="http://purl.org/dc/elements/1.1/"/>
  </ds:schemaRefs>
</ds:datastoreItem>
</file>

<file path=customXml/itemProps2.xml><?xml version="1.0" encoding="utf-8"?>
<ds:datastoreItem xmlns:ds="http://schemas.openxmlformats.org/officeDocument/2006/customXml" ds:itemID="{A9E4A1C2-74BE-4FB0-96F9-273124C2B4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DCC011B-0C57-45DA-AF49-4F980948F31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2025-11-14T21:52:32Z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