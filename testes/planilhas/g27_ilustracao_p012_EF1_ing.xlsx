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6097" documentId="13_ncr:1_{9D5BD713-FBE8-4E5E-B9DC-B2D1CA1F12E9}" xr6:coauthVersionLast="47" xr6:coauthVersionMax="47" xr10:uidLastSave="{EF2BDAC6-3FBA-44ED-AFAD-B2452B302B80}"/>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67" i="1" l="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Y468" i="1"/>
  <c r="AA468" i="1" s="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AA49" i="1" s="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AA65" i="1" s="1"/>
  <c r="Y66" i="1"/>
  <c r="AA66" i="1" s="1"/>
  <c r="Y67" i="1"/>
  <c r="AA67" i="1" s="1"/>
  <c r="Y68" i="1"/>
  <c r="AA68" i="1" s="1"/>
  <c r="Y69" i="1"/>
  <c r="AA69" i="1" s="1"/>
  <c r="Y70" i="1"/>
  <c r="AA70" i="1" s="1"/>
  <c r="Y71" i="1"/>
  <c r="AA71" i="1" s="1"/>
  <c r="Y72" i="1"/>
  <c r="AA72" i="1" s="1"/>
  <c r="Y73" i="1"/>
  <c r="AA73" i="1" s="1"/>
  <c r="Y74" i="1"/>
  <c r="AA74" i="1" s="1"/>
  <c r="Y75" i="1"/>
  <c r="AA75" i="1" s="1"/>
  <c r="Y76" i="1"/>
  <c r="AA76" i="1" s="1"/>
  <c r="Y77" i="1"/>
  <c r="AA77" i="1" s="1"/>
  <c r="Y78" i="1"/>
  <c r="AA78" i="1" s="1"/>
  <c r="Y79" i="1"/>
  <c r="AA79" i="1" s="1"/>
  <c r="Y80" i="1"/>
  <c r="AA80" i="1" s="1"/>
  <c r="Y81" i="1"/>
  <c r="AA81" i="1" s="1"/>
  <c r="Y82" i="1"/>
  <c r="AA82" i="1" s="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AA97" i="1" s="1"/>
  <c r="Y98" i="1"/>
  <c r="AA98" i="1" s="1"/>
  <c r="Y99" i="1"/>
  <c r="AA99" i="1" s="1"/>
  <c r="Y100" i="1"/>
  <c r="AA100" i="1" s="1"/>
  <c r="Y101" i="1"/>
  <c r="AA101" i="1" s="1"/>
  <c r="Y102" i="1"/>
  <c r="AA102" i="1" s="1"/>
  <c r="Y103" i="1"/>
  <c r="AA103" i="1" s="1"/>
  <c r="Y104" i="1"/>
  <c r="AA104" i="1" s="1"/>
  <c r="Y105" i="1"/>
  <c r="AA105" i="1" s="1"/>
  <c r="Y106" i="1"/>
  <c r="AA106" i="1" s="1"/>
  <c r="Y107" i="1"/>
  <c r="AA107" i="1" s="1"/>
  <c r="Y108" i="1"/>
  <c r="AA108" i="1" s="1"/>
  <c r="Y109" i="1"/>
  <c r="AA109" i="1" s="1"/>
  <c r="Y110" i="1"/>
  <c r="AA110" i="1" s="1"/>
  <c r="Y111" i="1"/>
  <c r="AA111" i="1" s="1"/>
  <c r="Y112" i="1"/>
  <c r="AA112" i="1" s="1"/>
  <c r="Y113" i="1"/>
  <c r="AA113" i="1" s="1"/>
  <c r="Y114" i="1"/>
  <c r="AA114" i="1" s="1"/>
  <c r="Y115" i="1"/>
  <c r="AA115" i="1" s="1"/>
  <c r="Y116" i="1"/>
  <c r="AA116" i="1" s="1"/>
  <c r="Y117" i="1"/>
  <c r="AA117" i="1" s="1"/>
  <c r="Y118" i="1"/>
  <c r="AA118" i="1" s="1"/>
  <c r="Y119" i="1"/>
  <c r="AA119" i="1" s="1"/>
  <c r="Y120" i="1"/>
  <c r="AA120" i="1" s="1"/>
  <c r="Y121" i="1"/>
  <c r="AA121" i="1" s="1"/>
  <c r="Y122" i="1"/>
  <c r="AA122" i="1" s="1"/>
  <c r="Y123" i="1"/>
  <c r="AA123" i="1" s="1"/>
  <c r="Y124" i="1"/>
  <c r="AA124" i="1" s="1"/>
  <c r="Y125" i="1"/>
  <c r="AA125" i="1" s="1"/>
  <c r="Y126" i="1"/>
  <c r="AA126" i="1" s="1"/>
  <c r="Y127" i="1"/>
  <c r="AA127" i="1" s="1"/>
  <c r="Y128" i="1"/>
  <c r="AA128" i="1" s="1"/>
  <c r="Y129" i="1"/>
  <c r="AA129" i="1" s="1"/>
  <c r="Y130" i="1"/>
  <c r="AA130" i="1" s="1"/>
  <c r="Y131" i="1"/>
  <c r="AA131" i="1" s="1"/>
  <c r="Y132" i="1"/>
  <c r="AA132" i="1" s="1"/>
  <c r="Y133" i="1"/>
  <c r="AA133" i="1" s="1"/>
  <c r="Y134" i="1"/>
  <c r="AA134" i="1" s="1"/>
  <c r="Y135" i="1"/>
  <c r="AA135" i="1" s="1"/>
  <c r="Y136" i="1"/>
  <c r="AA136" i="1" s="1"/>
  <c r="Y137" i="1"/>
  <c r="AA137" i="1" s="1"/>
  <c r="Y138" i="1"/>
  <c r="AA138" i="1" s="1"/>
  <c r="Y139" i="1"/>
  <c r="AA139" i="1" s="1"/>
  <c r="Y140" i="1"/>
  <c r="AA140" i="1" s="1"/>
  <c r="Y141" i="1"/>
  <c r="AA141" i="1" s="1"/>
  <c r="Y142" i="1"/>
  <c r="AA142" i="1" s="1"/>
  <c r="Y143" i="1"/>
  <c r="AA143" i="1" s="1"/>
  <c r="Y144" i="1"/>
  <c r="AA144" i="1" s="1"/>
  <c r="Y145" i="1"/>
  <c r="AA145" i="1" s="1"/>
  <c r="Y146" i="1"/>
  <c r="AA146" i="1" s="1"/>
  <c r="Y147" i="1"/>
  <c r="AA147" i="1" s="1"/>
  <c r="Y148" i="1"/>
  <c r="AA148" i="1" s="1"/>
  <c r="Y149" i="1"/>
  <c r="AA149" i="1" s="1"/>
  <c r="Y150" i="1"/>
  <c r="AA150" i="1" s="1"/>
  <c r="Y151" i="1"/>
  <c r="AA151" i="1" s="1"/>
  <c r="Y152" i="1"/>
  <c r="AA152" i="1" s="1"/>
  <c r="Y153" i="1"/>
  <c r="AA153" i="1" s="1"/>
  <c r="Y154" i="1"/>
  <c r="AA154" i="1" s="1"/>
  <c r="Y155" i="1"/>
  <c r="AA155" i="1" s="1"/>
  <c r="Y156" i="1"/>
  <c r="AA156" i="1" s="1"/>
  <c r="Y157" i="1"/>
  <c r="Y158" i="1"/>
  <c r="Y159" i="1"/>
  <c r="Y160" i="1"/>
  <c r="AA160" i="1" s="1"/>
  <c r="Y161" i="1"/>
  <c r="Y162" i="1"/>
  <c r="Y163" i="1"/>
  <c r="Y164" i="1"/>
  <c r="AA164" i="1" s="1"/>
  <c r="Y165" i="1"/>
  <c r="Y166" i="1"/>
  <c r="Y167" i="1"/>
  <c r="Y168" i="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Y188" i="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Y300" i="1"/>
  <c r="Y301" i="1"/>
  <c r="Y302" i="1"/>
  <c r="Y303" i="1"/>
  <c r="Y304" i="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AA383" i="1" s="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AA434" i="1" s="1"/>
  <c r="Y435" i="1"/>
  <c r="AA435" i="1" s="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 r="Y2" i="1"/>
  <c r="AA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tc={90584833-A839-4CFB-A203-2076C11CF896}</author>
  </authors>
  <commentList>
    <comment ref="B5" authorId="0" shapeId="0" xr:uid="{90584833-A839-4CFB-A203-2076C11CF8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<sst xmlns="http://schemas.openxmlformats.org/spreadsheetml/2006/main" count="4212" uniqueCount="1818">
  <si>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</si>
  <si>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</si>
  <si>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</si>
  <si>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</si>
  <si>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</si>
  <si>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</si>
  <si>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</si>
  <si>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</si>
  <si>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</si>
  <si>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</si>
  <si>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</si>
  <si>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</si>
  <si>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</si>
  <si>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</si>
  <si>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</si>
  <si>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</si>
  <si>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</si>
  <si>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</si>
  <si>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</si>
  <si>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</si>
  <si>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</si>
  <si>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</si>
  <si>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</si>
  <si>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</si>
  <si>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</si>
  <si>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</si>
  <si>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</si>
  <si>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</si>
  <si>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</si>
  <si>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</si>
  <si>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</si>
  <si>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i1102_1p012i_g27_e002</t>
  </si>
  <si>
    <t>APLICADA</t>
  </si>
  <si>
    <t>ILUSTRAÇÃO</t>
  </si>
  <si>
    <t>MIOLO</t>
  </si>
  <si>
    <t>Goodbye</t>
  </si>
  <si>
    <t>NOVA</t>
  </si>
  <si>
    <t>Arte, ilustrar uma árvore genealógica em que apareçam os avós, os pais e uma criança (menina). 
Inserir nomes para a avó: Ana. 
Inserir nome para o avô: Agenor. 
Inserir nome para a mãe: Juliana. 
Inserir nome para o pai: Bruno 
Inserir nome para a criança: Marina.</t>
  </si>
  <si>
    <t>vo</t>
  </si>
  <si>
    <t>Rafe:28/03 Final:02/04</t>
  </si>
  <si>
    <t>PAGO</t>
  </si>
  <si>
    <t>i0106_1p012i_g27_e002</t>
  </si>
  <si>
    <t>Welcome</t>
  </si>
  <si>
    <t xml:space="preserve">Ilustrar cena no pátio da escola no estilo “Onde está Wally?”. Entretanto, não deixar a imagem muito poluída e com elementos muito pequenos, para não prejudicar a leitura e compreensão dos estudantes na faixa etária em que se encontram (5-6 anos). No pátio, devem aparecer estudantes uniformizados, funcionários da escola e, obrigatoriamente, os seguintes elementos:  
- um skate (ilustrá-lo com um estudante, que deve estar com os equipamentos de segurança: capacete, cotoveleira e joelheira); 
- uma bike (ilustrá-la encostada em uma parede); 
- um hot dog (ilustrá-lo  em um cartaz perto da cantina ou na mão de um estudante); 
- um mouse (ilustrá-lo em cima de uma mesa com um notebook); 
- um tablet (ilustrá-lo na mão de um dos funcionários da escola); 
- calça jeans (ilustrar um funcionário da escola usando uma calça jeans); 
- shorts (ilustrar um estudante vestindo shorts como uniforme –os demais personagens devem estar de calça); 
- tinta spray (ilustrá-la com estudantes pintando um trabalho para o componente de Arte). 
Ilustrar outros elementos que fazem parte do contexto escolar para preencher a cena. </t>
  </si>
  <si>
    <t>R:04/04 F: 14/04</t>
  </si>
  <si>
    <t>i0318_1p012i_g27_e002</t>
  </si>
  <si>
    <t>Ilustrar uma professora de inglês em sala de aula com estudantes com cerca de 6 anos de idade. A professora deve ser negra, ter cabelo afro e deve estar vestindo jaleco branco. Ela deve estar no canto esquerdo da imagem, de perfil, olhando para os estudantes que estarão à direita, e deve parecer fazer uma pergunta a eles. Os estudantes devem estar sentados, em duplas. Um deles precisa ser um menino asiático e deve estar com uma das palmas da mão aberta mostrando os 5 dedos. A outra deve ser uma menina caucasiana, gordinha, de cabelo castanho e cacheado. Eles devem estar vestindo uniforme e devem parecer estar falando (respondendo à professora). Prever os espaços para os balões de fala que serão aplicados pela diagramação. Não é necessário aparecer mais crianças, somente se houver espaço. Também não é necessário que apareçam de corpo inteiro. Ver referência para a perspectiva:</t>
  </si>
  <si>
    <t>lz</t>
  </si>
  <si>
    <t>Finalizada:04/04</t>
  </si>
  <si>
    <t>i0319_1p012i_g27_e002</t>
  </si>
  <si>
    <t xml:space="preserve">Ao lado do texto, ilustrar uma lagoa (não precisa aparecer inteira, precisa aparecer somente a água) com uma mãe pato, de penagem branca, nadando ao centro. Ao redor da mãe pato, ilustrar 5 patinhos de penagem amarela. Os patinhos podem ter algumas variações de características e de movimento, por exemplo, um deles pode ter uma penagem mais volumosa no topo da cabeça, outro pode ter manchas marrons na cabeça e nas asas, algum deles pode estar batendo as asas, outro pode estar em cima da mãe pato. Não humanizar os animais com objetos humanos. Ilustrar números de 1 a 5 para cada pato filhote. É importante que os números sigam a ordem de leitura: da esquerda para a direita. Ilustrar outros elementos para deixar a ilustração atrativa, como o movimento da água, uma borboleta voando próxima aos patos e plantas na lagoa (dentro ou nas margens). Referências: </t>
  </si>
  <si>
    <t>Final: 04/04</t>
  </si>
  <si>
    <t>i0102_4p012i_g27_e002</t>
  </si>
  <si>
    <t xml:space="preserve">Ilustrar um jogo de tabuleiro simples, com 20 casas, 10 delas vão ficar na página ímpar e 10 casas na página par. Cada casa deve ser numerada e ter uma cor diferente da outra. Evitar cores como vermelho, verde e azul que os daltônicos têm dificuldade de enxergar. 
As ilustrações que ficam dentro das casas podem ser pequenas, como se fossem ícones, mas precisam ser visíveis e compreensíveis para os estudantes. </t>
  </si>
  <si>
    <t>ay</t>
  </si>
  <si>
    <t>i0148_4p012i_g27_e002</t>
  </si>
  <si>
    <t>EXCLUIDA</t>
  </si>
  <si>
    <t xml:space="preserve">Ilustrar ícone de bandeirinha para indicar a “largada” do jogo. </t>
  </si>
  <si>
    <t>FINALIZADO</t>
  </si>
  <si>
    <t>i0149_4p012i_g27_e002</t>
  </si>
  <si>
    <t xml:space="preserve">Ilustrar ícones de materiais escolares: lápis, borracha, caderno, cola e tesoura. </t>
  </si>
  <si>
    <t>i0150_4p012i_g27_e002</t>
  </si>
  <si>
    <t xml:space="preserve">Ilustrar 4 balões de fala, em cada um deles, inserir uma palavra: this, that, these, those. </t>
  </si>
  <si>
    <t>i0151_4p012i_g27_e002</t>
  </si>
  <si>
    <t xml:space="preserve">Ilustrar ícones de vegetais: pé de alface, tomate, brocólis e milho. </t>
  </si>
  <si>
    <t>i0152_4p012i_g27_e002</t>
  </si>
  <si>
    <t xml:space="preserve">Ilustrar ícones que remetam ao preparo de um alimento: colher de pau e liquidificador. </t>
  </si>
  <si>
    <t>i0153_4p012i_g27_e002</t>
  </si>
  <si>
    <t xml:space="preserve">Ilustrar ícones de vestimenta: shorts, camiseta, tênis. </t>
  </si>
  <si>
    <t>i0154_4p012i_g27_e002</t>
  </si>
  <si>
    <t xml:space="preserve">Ilustrar ícone de livro (fechado). </t>
  </si>
  <si>
    <t>i0155_4p012i_g27_e002</t>
  </si>
  <si>
    <t xml:space="preserve">Ilustrar ícone de calendário semanal (1 folha do calendário, sem aparecer o mês ou ano). Referência: </t>
  </si>
  <si>
    <t>i0156_4p012i_g27_e002</t>
  </si>
  <si>
    <t xml:space="preserve">Ilustrar ícone de calendário anual que deve estar escrito o ano (2027). Referência: </t>
  </si>
  <si>
    <t>i0157_4p012i_g27_e002</t>
  </si>
  <si>
    <t xml:space="preserve">Ilustrar ícones de animais (não precisa ser de corpo todo, pode ser só a cabeça ou alguma parte do corpo “brotando” das extremidades da casa, como a tromba do elefante): girafa, elefante, tigre, crocodilo). </t>
  </si>
  <si>
    <t>i0158_4p012i_g27_e002</t>
  </si>
  <si>
    <t xml:space="preserve">Ilustrar 2 ícones de macaco e 2 de lobo (não precisa ser de corpo todo, pose ser só a cabeça). </t>
  </si>
  <si>
    <t>i0159_4p012i_g27_e002</t>
  </si>
  <si>
    <t xml:space="preserve">Ilustrar ícone de balde de pipoca e claquete de cinema. </t>
  </si>
  <si>
    <t>i0160_4p012i_g27_e002</t>
  </si>
  <si>
    <t xml:space="preserve">Ilustrar ícones de primavera (flor), verão (sol), outono (folha seca) e inverno (termômetro indicando baixa temperatura) para representar as estações do ano. </t>
  </si>
  <si>
    <t>i0161_4p012i_g27_e002</t>
  </si>
  <si>
    <t xml:space="preserve">Ilustrar ícones de sol, nuvem com chuva, nuvem, vento e neblina para representar as condições de tempo atmosférico. </t>
  </si>
  <si>
    <t>i0162_4p012i_g27_e002</t>
  </si>
  <si>
    <t xml:space="preserve">Ilustrar ícone de folha de papel com coração ou rosa e um lápis ou caneta para representar o gênero textual poema. Referência: </t>
  </si>
  <si>
    <t>i0163_4p012i_g27_e002</t>
  </si>
  <si>
    <t xml:space="preserve">Ilustrar ícone de portal com fita para indicar a chegada ao final do jogo. </t>
  </si>
  <si>
    <t>i1102_4p012i_g27_e002</t>
  </si>
  <si>
    <t>Ilustrar uma espécie de termômetro, que vai de 0 a 10, que será usado para “medir” o desempenho dos estudantes nos estudos ao longo do ano. Usar 3 cores diferentes no termômetro: uma de 0 a 3 para indicar um desempenho baixo; de 4 a 7 para indicar um desempenho mediano; de 8 a 10 para indicar um ótimo desempenho. Além disso, podem ser inseridos ícones abaixo de cada faixa para ilustrar cada situação, como sinal de negativo, mais ou menos e positivo.</t>
  </si>
  <si>
    <t>rm</t>
  </si>
  <si>
    <t>i0305_4p012i_g27_e002</t>
  </si>
  <si>
    <t>Remember</t>
  </si>
  <si>
    <t xml:space="preserve">Ilustrar um quarto infantil com cama, guarda-roupa com uma das portas abertas, cadeira, vaso de planta no chão e espelho de corpo inteiro. Outros elementos devem ser ilustrados e precisam estar posicionados da seguinte maneira:
- ilustrar um livro em cima da cama;
- ilustrar um cachorro dormindo embaixo da cadeira;
- ilustrar um vestido pendurado no guarda roupa;
- ilustrar um gato atrás do vaso de planta;
- ilustrar uma mochila em frente ao espelho.
Não incluir outros elementos na cena.
</t>
  </si>
  <si>
    <t>la</t>
  </si>
  <si>
    <t>R: 31/03  F:08/04</t>
  </si>
  <si>
    <t>i0127_4p012i_g27_e002</t>
  </si>
  <si>
    <t>Ilustrar a planta baixa de uma casa. Na ilustração colocar os seguintes cômodos: um quarto, um banheiro, uma sala de estar, uma cozinha, uma sala de jantar e um jardim na parte externa. Além das paredes, fazer as indicações de onde estão as portas e janelas. Em cada cômodo, incluir as mobílias: no quarto –cama e guarda-roupa; no banheiro – chuveiro, vaso sanitário e pia; na sala de estar – sofá e rack com TV; na cozinha – fogão e geladeira; na sala de jantar – mesa e cadeiras; jardim – grama e flores.</t>
  </si>
  <si>
    <t>R: 31/03  F: 02/04</t>
  </si>
  <si>
    <t>i0128_4p012i_g27_e002</t>
  </si>
  <si>
    <t xml:space="preserve">Recorte do quarto da planta baixa. </t>
  </si>
  <si>
    <t>i0129_4p012i_g27_e002</t>
  </si>
  <si>
    <t xml:space="preserve">Recorte da sala de estar da planta baixa. </t>
  </si>
  <si>
    <t>i0130_4p012i_g27_e002</t>
  </si>
  <si>
    <t xml:space="preserve">Recorte do banheiro da planta baixa. </t>
  </si>
  <si>
    <t>i0131_4p012i_g27_e002</t>
  </si>
  <si>
    <t xml:space="preserve">Recorte da cozinha da planta baixa. </t>
  </si>
  <si>
    <t>i0132_4p012i_g27_e002</t>
  </si>
  <si>
    <t xml:space="preserve">Recorte da sala de jantar da planta baixa. </t>
  </si>
  <si>
    <t>i0133_4p012i_g27_e002</t>
  </si>
  <si>
    <t xml:space="preserve">Recorte do jardim da planta baixa. </t>
  </si>
  <si>
    <t>i0134_4p012i_g27_e002</t>
  </si>
  <si>
    <t xml:space="preserve">Ilustrar parte de uma planta baixa desenhada em um papel em branco, ela deve aparecer somente com a divisão dos cômodos. </t>
  </si>
  <si>
    <t>i0135_4p012i_g27_e002</t>
  </si>
  <si>
    <t xml:space="preserve">Ilustrar uma das divisões da planta baixa (um cômodo - banheiro) e, em uma das paredes, deve haver a indicação da porta. </t>
  </si>
  <si>
    <t>i0136_4p012i_g27_e002</t>
  </si>
  <si>
    <t xml:space="preserve">Ilustrar uma das divisões da planta baixa (um cômodo - banheiro), com a indicação da porta em uma das paredes, e com desenhos que representem os móveis (chuveiro, sanitário e pia). </t>
  </si>
  <si>
    <t>i0137_4p012i_g27_e002</t>
  </si>
  <si>
    <t xml:space="preserve">Ilustrar uma das divisões da planta baixa (um cômodo - banheiro), com a indicação da porta em uma das paredes, com desenhos que representem os móveis (chuveiro, sanitário e pia) e com a palavra: bathroom. </t>
  </si>
  <si>
    <t>i0145_4p012i_g27_e002</t>
  </si>
  <si>
    <t>Ilustrar algumas peças de jogo da memória organizadas em cima de uma mesa, já prontas. Pode ser a peça com o desenho de um jardim, outra com o desenho de um escritório. Ao lado delas, colocar a peça escrita GARDEN e mais uma peça escrita HOME OFFICE. A ilustração e a as palavras escritas precisam passar a impressão de que foram feitas por crianças</t>
  </si>
  <si>
    <t>th</t>
  </si>
  <si>
    <t>R: 08/04 F:011/04</t>
  </si>
  <si>
    <t xml:space="preserve">i0107_1p012i_g27_e002 </t>
  </si>
  <si>
    <t>PRONTA</t>
  </si>
  <si>
    <t xml:space="preserve">Ilustrar sala de aula com destaque para duas crianças em primeiro plano, sendo uma menina e um menino. A menina deve ser gordinha, ter a pele clara, cabelo cacheado castanho e olhos verdes. O menino deve ser oriental com cabelo preto espetado e olhos castanhos. As crianças devem aparentar ter 6 anos de idade, estar vestidas com uniforme escolar e estar posicionadas de frente uma para outra, fazendo um aceno com uma das mãos. A intenção é representá-las se cumprimentando. </t>
  </si>
  <si>
    <t>jn</t>
  </si>
  <si>
    <t>R:10/04 F:16/04</t>
  </si>
  <si>
    <t>i0108_1p012i_g27_e002</t>
  </si>
  <si>
    <t xml:space="preserve">Ilustrar a saída de uma escola com destaque para a professora, uma criança cadeirante e o pai em primeiro plano. A professora deve aparentar ter uns 50 anos de idade, deve ter a pele clara, cabelo curto grisalho e olhos castanhos e deve estar de jaleco. A criança cadeirante deve aparentar ter 6 anos de idade, ter a pele morena, cabelo liso castanho e olhos castanhos e deve estar de uniforme escolar. O pai deve aparentar ter 35 anos de idade, ser musculoso, ter a pele morena, ser careca e ter olhos castanhos. Enquanto a professora está parada no portão da escola, acenando, a criança e o pai devem estar se afastando, saindo da escola. A intenção é representá-los se despedindo. </t>
  </si>
  <si>
    <t>i0109_1p012i_g27_e002</t>
  </si>
  <si>
    <t xml:space="preserve">Ilustrar uma carteira escolar vista de cima. Sobre a mesa, ilustrar as cartas do jogo de memória (devem ser as mesmas cartas ilustradas na seção Additions). Algumas cartas devem estar viradas para baixo. Duas delas devem estar viradas para cima, formando um par. </t>
  </si>
  <si>
    <t>i0112_1p012i_g27_e002</t>
  </si>
  <si>
    <t xml:space="preserve">Ilustrar sala de aula com destaque para duas crianças em primeiro plano, sendo uma menina e um menino. A menina deve ter a pele clara, cabelo ruivo com franja, sardas no rosto e estar de óculos de grau. O menino deve ser moreno, ter o cabelo cacheado preto e olhos castanhos. As crianças devem aparentar ter 6 anos de idade e estar vestidas com uniforme escolar. Uma das crianças deve estar com a mão sobre o peito para passar a ideia de que está falando sobre si mesma. Atrás das crianças, para passar a ideia de primeiro dia de aula, pode estar a lousa com a frase: WELCOME, STUDENTS! A intenção da ilustração é mostrar duas crianças se apresentando uma à outra no primeiro dia de aula. </t>
  </si>
  <si>
    <t>F:18/04</t>
  </si>
  <si>
    <t>i0115_1p012i_g27_e002</t>
  </si>
  <si>
    <t xml:space="preserve">Ilustrar uma Carteira de Identidade Nacional de uma criança brasileira (somente a frente do documento). No topo, incluir as informações da República Federativa do Brasil e do Governo Federal. No canto direito, ilustrar a foto 3x4 de uma criança morena, de cabelo castanho cacheado e olhos castanhos. Ao lado da imagem, incluir as informações do documento: 
Nome: Ana da Silva 
CPF: 523.987.145-02 
Sexo: F 
Data de Nascimento: 20/05/2020 
Nacionalidade: Brasileira 
Naturalidade: Salvador/BA 
Validade: 30/01/2032 
No final do documento, cria 
Referência:  
https://www.gov.br/governodigital/pt-br/identidade/identificacao-do-cidadao-e-carteira-de-identidade-nacional/imagens/copy_of_Frenteeverso.png  </t>
  </si>
  <si>
    <t>i0116_1p012i_g27_e002</t>
  </si>
  <si>
    <t>No canto direito da página, oposto à letra de canção, ilustrar dois personagens, um menino e uma menina, com cerca de 6 anos de idade. Eles não precisam aparecer de corpo inteiro, pode aparecer só o rosto, o pescoço e os braços. O rosto deve aparecer bem grande com a boca deles bem aberta. Os braços podem estar acenando com a palma da mão. A intenção é parecer que os rostinhos estão saindo da borda da página e os personagens estão cantando bem alto uma canção sobre cumprimentos. Referências:</t>
  </si>
  <si>
    <t>i0120_1p012i_g27_e002</t>
  </si>
  <si>
    <t xml:space="preserve">Ilustrar o busto de um menino negro com um crachá pendurado ao pescoço. Esse crachá deve parecer ter sido feito por ele, usando um pedaço de cartolina branca e um pedaço de barbante para fazer o colar. No crachá deve ter o nome PEDRO escrito e um desenho do rosto de personagem. </t>
  </si>
  <si>
    <t xml:space="preserve">i0123_1p012i_g27_e002 </t>
  </si>
  <si>
    <t>Additions</t>
  </si>
  <si>
    <t>Ilustrar 8 cartas coloridas para um jogo da memória com cumprimentos e despedidas. Nas cartas, junto ao texto, adicionar ilustrações que os representem, como mão acenando, aperto de mão, balão de fala etc. Referência (Trilhas, m18, 1º ano, página 5):</t>
  </si>
  <si>
    <t>i0502_1p012i_g27_e002</t>
  </si>
  <si>
    <t>Learn and Practice</t>
  </si>
  <si>
    <t>Ilustrar uma família composta de avó, avô, mãe, pai e 3 filhos. No lado esquerdo, em primeiro plano, ilustrar um dos filhos. Ele deve ser um menino mestiço de 6 anos de idade, deve estar apontando para as demais pessoas e deve ser com a boca aberta como se estivesse falando (apresentando a sua família). Em segundo plano, ilustrar a avó e o avô asiáticos, ambos com cerca de 60 anos e cabelos grisalhos. A avó deve estar vestindo um vestido florido e deve estar sorridente. O avô deve ser mais gordinho, estar vestindo boina na cabeça e deve estar com um dos braços sobre os ombros da avó (como um gesto afetivo). Ao lado dos avôs, ilustrar os pais, ambos com cerca de 40 anos. O pai deve ser asiático, alto e deve estar sorridente. A mãe, que é de outro núcleo familiar, deve ter características brasileiras (pele morena, cabelos cacheados castanhos e olhos castanhos), deve ser gordinha e deve estar bem sorridente. Ao lado dos pais, ilustrar o filho mais velho, um adolescente mestiço de 15 anos de idade, com roupas despojadas. Na frente dos pais, ilustrar a irmã gêmea do menino que está em primeiro plano fazendo um “V” com os dedos (como se estivesse posando para a cena). A família pode estar em um local da casa, como o jardim ou a sala.</t>
  </si>
  <si>
    <t>gt</t>
  </si>
  <si>
    <t>R: 24/04 F:06/05</t>
  </si>
  <si>
    <t>i0503_1p012i_g27_e002</t>
  </si>
  <si>
    <t>Ilustração de busto da avó (a mesma que está na ilustração acima).</t>
  </si>
  <si>
    <t>i0504_1p012i_g27_e002</t>
  </si>
  <si>
    <t>Ilustração de busto do avô (o mesmo que está na ilustração acima).</t>
  </si>
  <si>
    <t>i0505_1p012i_g27_e002</t>
  </si>
  <si>
    <t>Ilustração de busto da mãe (a mesma que está na ilustração acima).</t>
  </si>
  <si>
    <t>i0506_1p012i_g27_e002</t>
  </si>
  <si>
    <t>Ilustração de busto do pai (o mesmo que está na ilustração acima).</t>
  </si>
  <si>
    <t>i0507_1p012i_g27_e002</t>
  </si>
  <si>
    <t>Ilustração de busto do irmão (o mesmo que está na ilustração acima).</t>
  </si>
  <si>
    <t>i0508_1p012i_g27_e002</t>
  </si>
  <si>
    <t>Ilustração de busto da irmã (a mesma que está na ilustração acima).</t>
  </si>
  <si>
    <t>i0511_1p012i_g27_e002</t>
  </si>
  <si>
    <t>Ilustrar duas crianças, um menino e uma menina, sentados um ao lado do outro na sala de aula. O menino deve ter a pele clara, ser ruivo e ter sardas. A menina deve ter a pele morena, com manchas brancas para representar que ela tem vitiligo, cabelo liso castanho e olhos castanhos. Ambos devem ter cerca de 6 anos e estar de uniforme escolar. Um deles deve estar mostrando um desenho feito da família dentro de uma imagem de porta-retrato. A moldura do porta-retrato deve ser a mesma usada na seção Additions. A criança deve estar com o dedo apontado para o desenho em uma figura que parece ser a mãe dela.</t>
  </si>
  <si>
    <t>i0515_1p012i_g27_e002</t>
  </si>
  <si>
    <t>Ilustrar em fio PB uma família composta de avó, avô e neta. Fazer um personagem ao lado do outro, eles não precisam aparecer de corpo inteiro. Nesse caso, colocar um fio delimitando as bordas para que o final do corpo não pareça inacabado ou “mutilado”. Os traços devem ser mais simples, sem tantos detalhes, para que o estudante consiga pintar.</t>
  </si>
  <si>
    <t>cq</t>
  </si>
  <si>
    <t>R:22/04 F:25/04</t>
  </si>
  <si>
    <t>i0516_1p012i_g27_e002</t>
  </si>
  <si>
    <t>Ilustrar em fio PB uma família composta de mãe, filho e filha. Fazer um personagem ao lado do outro, eles não precisam aparecer de corpo inteiro. Nesse caso, colocar um fio delimitando as bordas para que o final do corpo não pareça inacabado ou “mutilado”. Os traços devem ser mais simples, sem tantos detalhes, para que o estudante consiga pintar.</t>
  </si>
  <si>
    <t>i0518_1p012i_g27_e002</t>
  </si>
  <si>
    <t>Sing along</t>
  </si>
  <si>
    <t xml:space="preserve">No lado direito, oposto à letra de canção, ilustrar uma mão de criança com a palma aberta e os 5 dedos esticados. Como a intenção é que cada dedo represente um membro da família, fazer desenhos que os representem, como se fossem feitos com canetinha. No dedo polegar, para representar o pai, fazer desenhos de olhos, boca, bigode e gravata. No dedo indicador, para representar a mãe, fazer desenhos de olhos com cílios, boca com batom e cabelos compridos. No dedo do meio, para representar o irmão, fazer desenhos de olhos, boca e boné na ponta do dedo. No dedo anelar, para representar a irmã, fazer desenhos de olhos com cílios, boca, blush (na região que seriam as bochechas), cabelo com laço. No dedo mindinho, para representar o bebê, fazer desenhos de olhos, chupeta na boca e poucos cabelos. Além disso, é possível adicionar braços nos dedos em diferentes posições (fazendo joinha, braços erguidos, braços de mãos dadas) de acordo com o personagem. </t>
  </si>
  <si>
    <t>i0521_1p012i_g27_e002</t>
  </si>
  <si>
    <t>Hands on</t>
  </si>
  <si>
    <t>Ilustrar sobre uma carteira escolar uma escultura pequena feita de massinha de modelar que pareça ser uma avó. A intenção é parecer que essa escultura foi criada por uma criança de 6 anos de idade.</t>
  </si>
  <si>
    <t xml:space="preserve">i0716_1p012i_g27_e002 </t>
  </si>
  <si>
    <t xml:space="preserve">Ilustrar em fio PB um cachorro. A ilustração deve ter traços simples, sem detalhes pequenos, para o estudante pintar. </t>
  </si>
  <si>
    <t>R: 22/04  F: 25/04</t>
  </si>
  <si>
    <t xml:space="preserve">i0717_1p012i_g27_e002 </t>
  </si>
  <si>
    <t xml:space="preserve">Ilustrar em fio PB um peixe em aquário (de espécie que pode ser domesticada). A ilustração deve ter traços simples, sem detalhes pequenos, para o estudante pintar. </t>
  </si>
  <si>
    <t xml:space="preserve">i0718_1p012i_g27_e002 </t>
  </si>
  <si>
    <t xml:space="preserve">Ilustrar em fio PB um gato. A ilustração deve ter traços simples, sem detalhes pequenos, para o estudante pintar. </t>
  </si>
  <si>
    <t xml:space="preserve">i0719_1p012i_g27_e002 </t>
  </si>
  <si>
    <t xml:space="preserve">Ilustrar em fio PB um pássaro (de espécie que pode ser domesticada). A ilustração deve ter traços simples, sem detalhes pequenos, para o estudante pintar. </t>
  </si>
  <si>
    <t xml:space="preserve">i0720_1p012i_g27_e002 </t>
  </si>
  <si>
    <t xml:space="preserve">Ilustrar em fio PB um hamster. A ilustração deve ter traços simples, sem detalhes pequenos, para o estudante pintar. </t>
  </si>
  <si>
    <t xml:space="preserve">i0721_1p012i_g27_e002 </t>
  </si>
  <si>
    <t>Ilustrar em fio PB uma tartaruga (de espécie que pode ser domesticada). A ilustração deve ter traços simples, sem detalhes pequenos, para o estudante pintar.</t>
  </si>
  <si>
    <t xml:space="preserve">i0722_1p012i_g27_e002 </t>
  </si>
  <si>
    <t xml:space="preserve">Ilustrar um cachorro dentro de casa olhando pela janela. A janela deve ser o foco da ilustração e, pelo vidro, deve aparecer a parte externa da casa, que deve parecer ser uma mata. Ilustrar nessa parte externa um animal silvestre, pode ser uma arara. </t>
  </si>
  <si>
    <t xml:space="preserve">i0723_1p012i_g27_e002 </t>
  </si>
  <si>
    <t xml:space="preserve">No canto direito da página, oposto à letra de canção, ilustrar parte de um quintal, com grama, marcas de pata de cachorro, flores e um arbusto. Se tiver espaço, ilustrar uma casinha de cachorro vazia, pote de ração e água e brinquedos de cachorro. Atrás do arbusto, ilustrar um cachorro SRD caramelo, com orelhas curtas e rabo comprido. A intenção é parecer que ele está escondido ali. Referências: </t>
  </si>
  <si>
    <t>R: 18/04  F: 28/04</t>
  </si>
  <si>
    <t xml:space="preserve">i0727_1p012i_g27_e002 </t>
  </si>
  <si>
    <t xml:space="preserve">Ilustrar, sobre uma carteira escolar, 4 peças de um quebra-cabeça (que forma a imagem de um cachorro). Essas peças devem parecer que foram criadas por estudantes de 6 anos, então os cortes delas devem ser retos (sem aqueles encaixes que os quebra-cabeças costumam ter). O desenho nas peças precisa parecer desenho de criança. 3 peças já podem estar juntas formando quase que o cachorro inteiro. Uma peça pode estar de lado. Referência (as linhas vermelhas indicam como as peças estariam cortadas): </t>
  </si>
  <si>
    <t xml:space="preserve">i6101_1p012i_g27_e002 </t>
  </si>
  <si>
    <t xml:space="preserve">Ilustrar 8 cartas coloridas para um jogo da memória com cumprimentos e despedidas. Nas cartas, junto ao texto, adicionar ilustrações que os representem, como mão acenando, aperto de mão, balão de fala etc. Referência (Trilhas, m18, 1º ano, página 5): </t>
  </si>
  <si>
    <t>Pagar apenas o 30% do rafe. Essa ilustra está duplicada. (É a i0123 da Julia Ponnick) 15/04</t>
  </si>
  <si>
    <t>PAGO RAFE</t>
  </si>
  <si>
    <t>i1106_1p012i_g27_e002</t>
  </si>
  <si>
    <t>Ilustrar uma sala de aula com uma menina de 6 anos de idade fazendo uma pintura com tinta guache. A menina deve parecer ser de origem indígena e estar com uniforme. Fixada na parede, ilustrar uma cartolina branca com um desenho pintado à tinta, algo que uma criança faria, como uma flor ou um gato. A menina deve estar próxima da cartolina e segurando um pincel sujo de tinta. Ao lado, incluir uma mesa com potes de tinta nas cores: vermelho, azul, amarelo, verde, rosa, laranja, roxo, marrom, branco e preto. Se houver espaço, ilustrar também a professora (mulher asiática). A intenção é representar uma aula de Artes para apresentar o nome das cores em inglês.
Mancha de tinta vermelha. Mancha de tinta azul.Mancha de tinta amarela.Mancha de tinta verde.Mancha de tinta rosa.Mancha de tinta laranja.Mancha de tinta roxa.Mancha de tinta marrom.Mancha de tinta branca.Mancha de tinta preta.</t>
  </si>
  <si>
    <t>R:02/05 F:07/05</t>
  </si>
  <si>
    <t>i1111_1p012i_g27_e002</t>
  </si>
  <si>
    <t>AVALIANDO</t>
  </si>
  <si>
    <t>Ilustrar uma carteira escolar e, sobre ela, ilustrar a cartela de bingo da seção Additions. Cada casa deve estar pintada com uma cor diferente. As cores devem ser: laranja, verde, rosa e azul. Ao lado da cartela, ilustrar lápis de cor nessas cores.</t>
  </si>
  <si>
    <t>i1131_1p012i_g27_e002</t>
  </si>
  <si>
    <t xml:space="preserve">Ilustrar uma cartela de bingo com 4 casas somente (2 linhas e 2 colunas). No topo da cartela, incluir como título: BINGO (precisa ser em letra bastão cxAA). As casas devem ter fundo branco porque os estudantes vão pintar. Nas laterais da cartela, inserir um pincel com um caminho de tinta com cores variadas, lembrando um arco-íris. Elaborar de forma que esteja adequada para o digital.
Referência:
</t>
  </si>
  <si>
    <t>Excluída ao desconsumir</t>
  </si>
  <si>
    <t>i1116_1p012i_g27_e002</t>
  </si>
  <si>
    <t>Ilustrar em fio contorno uma boneca de pano. A linguagem da ilustração deve ser simples, sem muitos detalhes, para o estudante conseguir pintar.</t>
  </si>
  <si>
    <t>kf</t>
  </si>
  <si>
    <t>R:28/04 F:30/04</t>
  </si>
  <si>
    <t>i1117_1p012i_g27_e002</t>
  </si>
  <si>
    <t>Ilustrar em fio contorno um cachorro. A linguagem da ilustração deve ser simples, sem muitos detalhes, para o estudante conseguir pintar.</t>
  </si>
  <si>
    <t>i1118_1p012i_g27_e002</t>
  </si>
  <si>
    <t>Ilustrar em fio contorno um peixe. A linguagem da ilustração deve ser simples, sem muitos detalhes, para o estudante conseguir pintar.</t>
  </si>
  <si>
    <t>i1119_1p012i_g27_e002</t>
  </si>
  <si>
    <t>Ilustrar em fio contorno um bloco de montar (brinquedo). A linguagem da ilustração deve ser simples, sem muitos detalhes, para o estudante conseguir pintar.</t>
  </si>
  <si>
    <t>i1124_1p012i_g27_e002</t>
  </si>
  <si>
    <t>No canto direito, oposto à letra de canção, ilustrar um céu azul com um arco-íris com muito brilho e alguns pássaros voando em volta. Referência:</t>
  </si>
  <si>
    <t>R:02/05 F:08/05</t>
  </si>
  <si>
    <t>i0912_1p012i_g27_e002</t>
  </si>
  <si>
    <t>Ilustrar 2 crianças sentadas em sala de aula. Ambas devem ter cerca de 6 anos de idade e estar de uniforme. Uma delas deve ser um menino negro, com cabelo afro. A outra deve ser uma menina asiática. Em cada carteira, deve haver peças de quebra-cabeça iguais aos da seção Additions. As crianças devem estar montando o quebra-cabeça, devem parecer concentradas no jogo. Não é necessário que aparecem de corpo inteiro.</t>
  </si>
  <si>
    <t>zk</t>
  </si>
  <si>
    <t>R:05/05 F:09/05</t>
  </si>
  <si>
    <t>i0913_1p012i_g27_e002</t>
  </si>
  <si>
    <t>Ilustrar 2 crianças e 1 mulher em uma brinquedoteca. À esquerda, ilustrar a mulher, que deve aparentar ter cerca de 40 anos, deve ser bem gordinha, ter cabelo ruivo e ter os olhos verdes. Ao lado, ilustrar as 2 crianças brincando juntas. Uma das crianças deve ser uma menina de 6 anos de idade, ela deve ter características físicas semelhantes à mulher para parecer ser sua filha. Além disso, ilustrá-la com perna mecânica e abraçada a um urso de pelúcia. A outra criança deve ser um menino, também com 6 anos de idade, com pele morena, cabelo e olhos castanhos. Ele deve estar segurando um bloco de montar, mostrando-o para as outras duas pessoas na cena. Em frente das crianças, ilustrar outras peças de blocos de montar. Na cena, todos devem parecer estar conversando. Incluir brinquedos: 1 boneca, 2 carrinhos, 1 bola de futebol e 1 urso diferente daquela que a menina está segurando. Prever os espaços dos balões, mas não os incluir (eles serão colocados pela diagramação).</t>
  </si>
  <si>
    <t>i0922_1p012i_g27_e002</t>
  </si>
  <si>
    <t>No canto direito, oposto à letra de canção, ilustrar uma menina com cerca de 6 anos de idade e com características físicas brasileiras (pele morena, cabelos cacheados castanho e olhos castanhos). Ela deve aparecer de corpo inteiro, estar vestindo pijama e usando uma tiara com orelhas de urso. Além disso, ela deve estar com os braços estendidos, segurando um urso de pelúcia. A intenção é mostrá-la dançando com o urso, como se estivesse fazendo um dos comandos da letra de canção (sexto verso: “alcance o alto”). Se tiver espaço, ilustrá-la no quarto, para representar que a menina está brincando antes de dormir e passar a ideia de que a canção é uma canção de ninar.</t>
  </si>
  <si>
    <t>i6102_1p012i_g27_e002</t>
  </si>
  <si>
    <t>STORYTIME</t>
  </si>
  <si>
    <t>Ilustrar dois caranguejos na praia. Um deles deve ser grande para representar a mãe. O outro deve ser pequeno para representar o filho. Eles devem parecer que estão andando para o lado.</t>
  </si>
  <si>
    <t>R:06/05 F:12/05</t>
  </si>
  <si>
    <t>i6103_1p012i_g27_e002</t>
  </si>
  <si>
    <t>Ilustrar a caranguejo mãe olhando o andar do filho e reprovando-o. O caranguejo filho deve estar andando de lado e a mãe deve estar com um balão de pensamento com ponto de interrogação dentro.</t>
  </si>
  <si>
    <t>i6104_1p012i_g27_e002</t>
  </si>
  <si>
    <t>Ilustrar o caranguejo filho pedindo à mãe que o ensine a andar para frente. Para passar essa ideia, ilustrar um balão de fala para o caranguejo filho com a imagem de pegadas de pata na areia seguindo para a frente.</t>
  </si>
  <si>
    <t>i6105_1p012i_g27_e002</t>
  </si>
  <si>
    <t>Ilustrar a caranguejo mãe ensinando o filho a andar para frente. Ela deve estar tentando colocar os pés virados para frente.</t>
  </si>
  <si>
    <t>i6106_1p012i_g27_e002</t>
  </si>
  <si>
    <t>Ilustrar a caranguejo mãe caída, com o rosto a areia.</t>
  </si>
  <si>
    <t>i6107_1p012i_g27_e002</t>
  </si>
  <si>
    <t>Ilustrar em fio PB o caranguejo filho com as patas viradas para frente. A intenção é mostrá-lo caminhando para frente. Se necessário, incluir setinhas indicando que ele está indo para frente.</t>
  </si>
  <si>
    <t>i6108_1p012i_g27_e002</t>
  </si>
  <si>
    <t>Ilustrar em fio PB o caranguejo filho com as patas viradas para as laterais (como elas realmente são). A intenção é mostrá-lo caminhando para os lados. Se necessário, incluir setinhas indicando que ele está indo para os lados.</t>
  </si>
  <si>
    <t>i0931_1p012i_g27_e002</t>
  </si>
  <si>
    <t>Ilustrar cena para um quebra-cabeça de 6 peças. A cena deve ser de uma brinquedoteca com os seguintes brinquedos: 1 boneca, 1 carrinho, 1 bola, 1 urso de pelúcia, peças de blocos de montar, peças de quebra-cabeça. Não deve haver outros brinquedos. Pode haver prateleiras para colocar os brinquedos expostos mais ao alto e não no chão. Cada brinquedo deverá ficar em uma peça do quebra-cabeça. O corte das peças deverá ser reto, sem aquelas bordinhas de encaixe, sugestão para a disposição dos brinquedos na cena e para o corte das peças e referência de quebra-cabeça:</t>
  </si>
  <si>
    <t>i1134_1p012i_g27_e002</t>
  </si>
  <si>
    <t>Remember 3</t>
  </si>
  <si>
    <t>Ilustrar em fio contorno uma bola. Não deve ter muitos detalhes para que o estudante consiga pintar.</t>
  </si>
  <si>
    <t>i1135_1p012i_g27_e002</t>
  </si>
  <si>
    <t>Ilustrar em fio contorno uma boneca de pano. Não deve ter muitos detalhes para que o estudante consiga pintar.</t>
  </si>
  <si>
    <t>i1136_1p012i_g27_e002</t>
  </si>
  <si>
    <t>Ilustrar em fio contorno um pássaro. Não deve ter muitos detalhes para que o estudante consiga pintar.</t>
  </si>
  <si>
    <t>i1137_1p012i_g27_e002</t>
  </si>
  <si>
    <t>Ilustrar em fio contorno um cachorro. Não deve ter muitos detalhes para que o estudante consiga pintar.</t>
  </si>
  <si>
    <t xml:space="preserve">i6101_3p012i_g27_e002 </t>
  </si>
  <si>
    <t>Ilustrar um jogo de tabuleiro simples, com 20 casas, 10 delas vão ficar na página ímpar e 10 casas na página par. Cada casa deve ser numerada e ter uma cor diferente da outra. Evitar cores como vermelho, verde e azul que os daltônicos têm dificuldade de enxergar.  As ilustrações que ficam dentro das casas podem ser pequenas, como se fossem ícones, mas precisam ser visíveis e compreensíveis para os estudantes. Esse tabuleiro precisa ser semelhante ao que foi feito no 4º ano dessa coleção. 
a.  Ilustrar ícone de bandeirinha para indicar a “largada” do jogo.
b. Ilustrar ícones de sol nascendo, sol se pondo e lua para representar os períodos manhã, tarde e noite. Referência:
c. Ilustrar a frase em um balão de fala: How are you? 
d. Ilustrar ícones das letras do alfabeto (em letra bastão cxA). Referência:
e. Ilustrar ícones das letras do alfabeto (em letra bastão cxA), mas elas precisam estar com traço entre elas e ter reticências no final:  A-N-D...
f. Ilustrar ícones das frutas: maçã, banana e morango. 
g. Ilustrar ícone de mão com joinha (dedão para cima) e ícones das frutas: abacaxi e laranja.
h. Ilustrar ícone de mão com negativo (dedão para baixo) e ícones das frutas: mamão e kiwi.
i. Ilustrar ícones dos seguintes animais: vaca, galinha e cavalo.
j. Ilustrar balões de fala com as onomatopeias: OINK! BAA! QUACK! 
k. Ilustrar de forma divertida e com cores diferentes os seguintes números: 12, 18 e 20. Referência: 
l. Ilustrar dez ícones de coelhinhos. Pode ser só o rosto do coelhinho, caso precise economizar espaço na página. Referência: 
m. Ilustrar emojis para representar os seguintes sentimentos: feliz, triste e bravo. 
n. Ilustrar emojis para representar os seguintes sentimentos: surpresa, vergonha, confuso.
o. Ilustrar um rosto de menino e um rosto de menina, em que apareçam os olhos, orelhas, nariz e boca. Referência:
p. Ilustrar as palavras com um fundo colorido: This... These... 
q. Ilustrar ícone de portal com fita para indicar a chegada ao final do jogo.</t>
  </si>
  <si>
    <t>ca</t>
  </si>
  <si>
    <t>i0120_3p012i_g27_e002</t>
  </si>
  <si>
    <t>Ilustrar um menino negro de aproximadamente 8 anos em sala de aula. Ele deve ter o cabelo afro e estar de uniforme escolar. Ilustrar a boca aberta para parecer que está falando. O menino deve estar segurando um estojo escolar, mostrando-o.</t>
  </si>
  <si>
    <t>F: 26/05</t>
  </si>
  <si>
    <t>i0121_3p012i_g27_e002</t>
  </si>
  <si>
    <t>Ilustrar uma menina parda de aproximadamente 8 anos em sala de aula. Ela deve ter o cabelo bem curtinho (estilo “joãozinho”) com tiara de laço e deve estar vestindo uniforme. Ilustrar a boca aberta para parecer que está falando. A menina deve estar apontando para uma mochila, que deverá estar distante.</t>
  </si>
  <si>
    <t>i0122_3p012i_g27_e002</t>
  </si>
  <si>
    <t>Ilustrar uma mulher caucasiana de aproximadamente 30 anos em sala de aula. Ela deve ter o cabelo loiro e liso e olhos azuis, deve ser cadeirante e estar vestindo jaleco para parecer ser uma professora. Ilustrar a boca aberta para parecer que está falando. A mulher deve estar segurando 3 canetas coloridas, mostrando-as.</t>
  </si>
  <si>
    <t>i0123_3p012i_g27_e002</t>
  </si>
  <si>
    <t>Ilustrar um homem asiático de aproximadamente 40 anos em sala de aula. O homem deve estar vestindo jaleco para parecer ser um professor. Ilustrar a boca aberta para parecer que está falando. O homem deve estar apontando para 2 cadernos, que deverão estar em uma carteira distante.</t>
  </si>
  <si>
    <t>i0124_3p012i_g27_e002</t>
  </si>
  <si>
    <t xml:space="preserve">Ilustrar estudante com cerca de 8 anos em sala de aula apontando para lápis de cor sobre uma mesa distante. Não é necessário aparecer de corpo inteiro. Ilustrar a boca aberta para parecer que está falando. Variar gênero, etnia e tipo físico dos personagens ilustrados dessa atividade.
</t>
  </si>
  <si>
    <t>i0125_3p012i_g27_e002</t>
  </si>
  <si>
    <t>Ilustrar estudante com cerca de 8 anos em sala de aula segurando e mostrando um apontador de lápis. Não é necessário aparecer de corpo inteiro. Ilustrar a boca aberta para parecer que está falando. Variar gênero, etnia e tipo físico dos personagens ilustrados dessa atividade.</t>
  </si>
  <si>
    <t>i0126_3p012i_g27_e002</t>
  </si>
  <si>
    <t>Ilustrar professora em sala de aula segurando e mostrando pastas escolares de estudantes. Não é necessário aparecer de corpo inteiro. Ilustrar a boca aberta para parecer que está falando. Variar gênero, etnia e tipo físico dos personagens ilustrados dessa atividade.</t>
  </si>
  <si>
    <t>i0127_3p012i_g27_e002</t>
  </si>
  <si>
    <t>Ilustrar estudante com cerca de 8 anos em sala de aula apontando para um estojo sobre uma mesa distante. Não é necessário aparecer de corpo inteiro. Ilustrar a boca aberta para parecer que está falando. Variar gênero, etnia e tipo físico dos personagens ilustrados dessa atividade.</t>
  </si>
  <si>
    <t>i0133_3p012i_g27_e002</t>
  </si>
  <si>
    <t xml:space="preserve">Ilustrar uma lista de materiais escolares. Para isso, ilustrar uma folha de papel e, no topo, com fonte maior, incluir o título, centralizado na página:
School supply list
Abaixo do título, incluir o subtítulo, em fonte menor e centralizado na página:
Third grade
Abaixo do subtítulo, no canto esquerdo da folha, incluir um check note. Para cada quadrinho do check note, deve haver um item listado:
Notebook
Pencil
Eraser
Pencil sharpener
Colored pencils
</t>
  </si>
  <si>
    <t>i0140_3p012i_g27_e002</t>
  </si>
  <si>
    <t xml:space="preserve">Ilustrar uma folha de caderno avulsa. Ela não precisa aparecer inteira, o foco pode estar no topo da folha. Na primeira linha, ilustrar a seguinte frase como se fosse um título (em letra bastão e cxAA para dar destaque) e como se estivesse sido escrito à mão por uma criança de 8 anos:
SCHOOL SUPPLY LIST
</t>
  </si>
  <si>
    <t>F:02/06</t>
  </si>
  <si>
    <t>i0141_3p012i_g27_e002</t>
  </si>
  <si>
    <t xml:space="preserve">Ilustrar a mesma folha de caderno avulsa com o título escrito no topo e, abaixo dele, o ano escolar, como se estivesse sido escrito à mão por uma criança de 8 anos:
Third grade
</t>
  </si>
  <si>
    <t>i0142_3p012i_g27_e002</t>
  </si>
  <si>
    <t xml:space="preserve">Ilustrar a mesma folha de caderno avulsa com o título e o ano escolar escritos no topo e, abaixo deles, o primeiro item da lista, como se estivesse sido escrito à mão por uma criança de 8 anos:
Pen
</t>
  </si>
  <si>
    <t>i0143_3p012i_g27_e002</t>
  </si>
  <si>
    <t xml:space="preserve">Ilustrar a mesma folha de caderno avulsa com o título e o ano escolar escritos no topo e, abaixo deles, alguns itens listados, um abaixo do outro, como se estivessem sido escritos à mão por uma criança de 8 anos:
Pen
Pencil
Eraser
Pencil sharpener
</t>
  </si>
  <si>
    <t>i0147_3p012i_g27_e002</t>
  </si>
  <si>
    <t>Ilustrar uma menina com características indígenas, com cerca de 8 anos e de uniforme escolar, encontrando uma borracha em cima de uma cadeira da sala de aula. Como o objetivo é representar a brincadeira “Caça ao tesouro”, fazer de uma maneira com que a borracha pareça que estava escondida e a menina com cara de animada por ter encontrado o objeto. Se o espaço para essa cena não for suficiente, é possível ilustrar somente a cadeira com a borracha em cima e uma mão infantil estendida em direção à ela, prestes a pegá-la.</t>
  </si>
  <si>
    <t>i0322_3p012i_g27_e002</t>
  </si>
  <si>
    <t xml:space="preserve">Ilustrar uma tigela com salada dentro. A salada deve ter arroz integral cozido, pepino em cubos, pimentões vermelho, amarelo e laranja em cubos, avocado em cubos, cebola picada, pimenta do reino. </t>
  </si>
  <si>
    <t>R: 28/05 F:02/06</t>
  </si>
  <si>
    <t>i0323_3p012i_g27_e002</t>
  </si>
  <si>
    <t xml:space="preserve">Ilustrar uma página (no formato horizontal) com uma receita culinária, que estará com informações faltando.
No topo da página, como título da receita, incluir (os pontos de interrogação representem informações que faltam):
??? salad
Na primeira coluna, inserir o tópico:
Ingredients:
Abaixo do tópico, ilustrar um quadrado com pontos de interrogação como estampa.
Na segunda coluna, inserir outro tópico com o texto:
Directions:
1. Wash the vegetables.
2. Cut the vegetables and mix in a bowl.
3. Add salt and lemon juice.
4. Serve the salad and enjoy!
Na terceira coluna, ilustrar um quadrado com um ícone de máquina fotográfica para representar que ali entraria uma imagem.
A intenção dessa ilustração é mostrar um layout de receita em que os estudantes vão identificar o que está faltando para completar o texto no caderno. 
</t>
  </si>
  <si>
    <t>i0324_3p012i_g27_e002</t>
  </si>
  <si>
    <t>Ilustrar os seguintes alimentos um ao lado do outro: 1 cabeça de alface, 1 pepino, 1 pimentão vermelho, 1 saleiro, 1 vidro com suco de limão (o limão cortado ao meio ao lado do vidro).</t>
  </si>
  <si>
    <t>i0325_3p012i_g27_e002</t>
  </si>
  <si>
    <t>Ilustrar mãos lavando um pimentão vermelho em pia de cozinha (deve estar escorrendo água da torneira). Dentro da pia, na cuba, deve haver uma tigela com folhas de alface e um pepino inteiro, como se estivessem esperando para serem lavados também.</t>
  </si>
  <si>
    <t>Ficou com um único código: i0324_3p012i_g27_e002</t>
  </si>
  <si>
    <t>i0326_3p012i_g27_e002</t>
  </si>
  <si>
    <t>Ilustrar mãos cortando o pimentão em cubos sobre uma tábua em cima da mesa. Ao lado da tábua, deve haver a tigela com as folhas de alface e o pepino, como se estivessem esperando para serem cortados também.</t>
  </si>
  <si>
    <t>i0327_3p012i_g27_e002</t>
  </si>
  <si>
    <t>Ilustrar a tigela em cima da mesa e, dentro dela, ilustrar rodelas de pepino, folhas de alface cortadas em tiras e alguns cubos de pimentão vermelho. Em cima da tigela, ilustrar uma mão despejando os cubos de pimentão vermelho.</t>
  </si>
  <si>
    <t>i0328_3p012i_g27_e002</t>
  </si>
  <si>
    <t>Ilustrar a tigela em cima da mesa com todos os ingredientes dentro (alface em tiras, pepino em rodelas e pimentão vermelho em cubos). Em cima da tigela, ilustrar uma mão segurando o saleiro e a outra mão segurando o vidro com suco de limão, como se estivessem temperando.</t>
  </si>
  <si>
    <t>i0329_3p012i_g27_e002</t>
  </si>
  <si>
    <t>Resgatar ilustração da página anterior: ingredientes da salada: i0324_3p012i_g27_e002</t>
  </si>
  <si>
    <t>Keithy Mostachi</t>
  </si>
  <si>
    <t>Recorte da i0324</t>
  </si>
  <si>
    <t>i0330_3p012i_g27_e002</t>
  </si>
  <si>
    <t>i0331_3p012i_g27_e002</t>
  </si>
  <si>
    <t>Resgatar ilustração da página anterior: Step 2: i0326_3p012i_g27_e002</t>
  </si>
  <si>
    <t>i0332_3p012i_g27_e002</t>
  </si>
  <si>
    <t>Resgatar ilustração da página anterior: Step 3: i0327_3p012i_g27_e002</t>
  </si>
  <si>
    <t>i0333_3p012i_g27_e002</t>
  </si>
  <si>
    <t>Resgatar ilustração da página anterior: Step 4: i0328_3p012i_g27_e002</t>
  </si>
  <si>
    <t>i0920_3p012i_g27_e002</t>
  </si>
  <si>
    <t>Ilustrar uma mulher de cerca de 20 anos, ruiva, de cabelos lisos, com franja e com sardas, de olhos verdes, com a boca aberta para parecer que está falando. Ela deve estar vestindo uma camiseta de mangas longas, uma saia que deve parecer ser nova (fazer uns pontos de luz ou brilhinhos para passar essa ideia) e sandálias baixas.</t>
  </si>
  <si>
    <t>excluida, virou resgate para o 4 ano</t>
  </si>
  <si>
    <t>R: 30/05 ; F: 03/06</t>
  </si>
  <si>
    <t>i0921_3p012i_g27_e002</t>
  </si>
  <si>
    <t>Ilustrar um menino de cerca de 8 anos, pardo, de cabelos cacheados castanhos e olhos castanhos, com a boca aberta para parecer que está falando. Ele deve estar usando camisa de manga curta (com botões, com colarinho), calça jeans larga e tênis.</t>
  </si>
  <si>
    <t>i0922_3p012i_g27_e002</t>
  </si>
  <si>
    <t>Ilustrar uma menina de cerca de 8 anos, asiática, de cabelos lisos castanhos e olhos castanhos, com prótese na perna direita, com a boca aberta para parecer que está falando. Ela deve estar vestindo um vestido justo e botas já velhas (incluir imperfeições, como a cor desgastada, para passar essa ideia).</t>
  </si>
  <si>
    <t>i0923_3p012i_g27_e002</t>
  </si>
  <si>
    <t>Ilustrar um homem de cerca de 50 anos, negro, de cabelos afro e olhos castanhos, com a boca aberta para parecer que está falando. Ele deve estar usando um suéter bem colorido (fechado, de lã), calça lisa de uma única cor e sem estampa e sapatos fechados (não pode ser tênis).</t>
  </si>
  <si>
    <t>i0924_3p012i_g27_e002</t>
  </si>
  <si>
    <t>Ilustrar um menino de cerca de 8 anos, pardo, de cabelo raspadinho e olhos castanhos, vestindo uma camiseta, uma calça de moletom bem larga e tênis.</t>
  </si>
  <si>
    <t>i0925_3p012i_g27_e002</t>
  </si>
  <si>
    <t>Ilustrar uma menina de cerca de 8 anos, bem gordinha, de pele branca, de cabelo loiro liso e olhos azuis, usando um boné, um vestido bem colorido e sandálias.</t>
  </si>
  <si>
    <t>i0928_3p012i_g27_e002</t>
  </si>
  <si>
    <t>Ilustrar uma folha de sulfite. No topo, deve haver escrito: book’s title. No centro do livro, delimitar um quadrado e, dentro dele, deve haver a indicação: illustration. Na parte inferior, deve haver a indicação: author’s name. Logo abaixo, a indicação: publishing house. A intenção é apresentar aos estudantes os elementos que eles deverão inserir na criação de uma capa de livro.</t>
  </si>
  <si>
    <t>i6101_2p012i_g27_e002</t>
  </si>
  <si>
    <t>WELCOME</t>
  </si>
  <si>
    <t xml:space="preserve">Ilustrar um jogo de tabuleiro simples, com 20 casas, 10 delas vão ficar na página ímpar e 10 casas na página par. Cada casa deve ser numerada e ter uma cor diferente da outra. Evitar cores como vermelho, verde e azul que os daltônicos têm dificuldade de enxergar.
As ilustrações que ficam dentro das casas podem ser pequenas, como se fossem ícones, mas precisam ser visíveis e compreensíveis para os estudantes. Seguir o que foi feito na mesma seção dos volumes 3 e 4.
Ilustração detalhada no PDF.
</t>
  </si>
  <si>
    <t>R: 29/05 ; F: 03/06</t>
  </si>
  <si>
    <t>i0102_2p012i_g27_e002</t>
  </si>
  <si>
    <t>Ilustrar professora ruiva, de sardas, com jaleco, e um menino negro, de 7 anos, com uniforme escolar. O menino deve estar com expressão feliz. Ambos devem estar acenando um para o outro e devem estar com a boca aberta, para representar que estão conversando. A cena deve ser na sala de aula e não precisa ter tantos detalhes, mas deve haver uma janela mostrando que é início da manhã (o sol alto no céu) e um relógio digital indicando que são 7:30.</t>
  </si>
  <si>
    <t>R: 11/06 ; F: 23/06</t>
  </si>
  <si>
    <t>i0103_2p012i_g27_e002</t>
  </si>
  <si>
    <t>Ilustrar a mesma professora da i0102 com um professor, asiático, gordinho, com jaleco. O professor deve estar com expressão de triste. Ambos devem estar acenando um para o outro e devem estar com a boca aberta, para representar que estão conversando. A cena deve ser na sala de professores e não precisa ter tantos detalhes, mas deve haver uma janela mostrando que é meio da tarde (com o sol mais baixo no céu) e um relógio digital indicando que são 15:00 da tarde.</t>
  </si>
  <si>
    <t>Excluída, conforme conversado com Gabriela</t>
  </si>
  <si>
    <t>i0104_2p012i_g27_e002</t>
  </si>
  <si>
    <t>Ilustrar a mesma professora da i0102, mas com expressão de cansada, com sua filha, uma menina ruiva, de 7 anos, com vestido e de óculos. Ambas devem estar acenando uma para a outra e devem estar com a boca aberta, para representar que estão conversando. A cena deve ser na casa e não precisa ter tantos detalhes, mas deve haver uma janela mostrando que é início da noite (céu escuro e lua no céu) e um relógio digital indicando que são 19:00 da noite.</t>
  </si>
  <si>
    <t>i0105_2p012i_g27_e002</t>
  </si>
  <si>
    <t>Ilustrar a mesma professora ruiva da i0102, mas usando pijamas, com sua filha, a mesma menina ruiva da i0104, também com pijamas e sem os óculos. Somente a mulher deve estar com a boca aberta, para representar que está falando. A cena deve ser no quarto da menina e não precisa ter tantos detalhes, mas deve mostrar a menina deitada na cama e a mulher sentada ao lado, como se estivesse colocando a filha para dormir. Além disso, deve haver uma janela mostrando que é noite (céu escuro e lua no céu) e um relógio digital indicando que são 21:00 da noite.</t>
  </si>
  <si>
    <t>i0113_2p012i_g27_e002</t>
  </si>
  <si>
    <t>Ilustrar dois estudantes, um menino e uma menina, sentados na carteira em sala de aula. O menino deve ter descendência indiana e a menina deve ser parda (com cabelos e olhos castanhos). Os dois devem estar de uniforme. Sobre a mesa, deve haver cartas viradas para baixo, como se fossem as cartas do material complementar – seção Additions. O menino deve estar com uma carta na mão e com a boca aberta como estivesse falando. A menina deve estar com cara de pensativa.</t>
  </si>
  <si>
    <t>i0114_2p012i_g27_e002</t>
  </si>
  <si>
    <t>Abaixo da letra de canção, ilustrar duas crianças e uma professora sentadas em roda. A professora deve estar ao centro e cada uma das crianças ao lado. As crianças devem parecer ter cerca de 7 anos, uma deve ser uma menina e a outra deve ser um menino. A menina deve ser caucasiana e ter um dos braços amputados. O menino deve ser negro. Ambos devem estar com uniforme escolar. A professora deve aparentar ter cerca de 40 anos, deve ser asiática e estar com jaleco. Ilustrá-las com a boca aberta e fazendo movimentos para parecer que estão cantando. Saindo da boca dos personagens e flutuando pela página, ilustrar letras coloridas do alfabeto.</t>
  </si>
  <si>
    <t xml:space="preserve">i0310_2p012i_g27_e002 </t>
  </si>
  <si>
    <t>Ilustrar a sombra de um abacaxi, cacho de uva e morango. Referência:</t>
  </si>
  <si>
    <t>R: 12/06 F:15/06 - equipe atrasou retorno. Nova data para finalização: 23/06</t>
  </si>
  <si>
    <t xml:space="preserve">i0312_2p012i_g27_e002 </t>
  </si>
  <si>
    <t xml:space="preserve">Ilustrar um menino negro, sentado à mesa, segurando uma maçã. Ele deve parecer feliz e estar com a boca aberta para representar que está falando. </t>
  </si>
  <si>
    <t xml:space="preserve">i0313_2p012i_g27_e002 </t>
  </si>
  <si>
    <t xml:space="preserve">Ilustrar uma menina asiática, sentada à mesa, segurando um mamão cortado ao meio. Ela deve parecer não gostar da fruta (não o fazer com expressão de nojo – ela pode estar com a outra mão fazendo o sinal de negativo). Ela deve estar com a boca aberta para representar que está falando. Sobre a mesa, ilustrar uma cesta ou fruteira com outras frutas: banana e laranja. </t>
  </si>
  <si>
    <t xml:space="preserve">i0314_2p012i_g27_e002 </t>
  </si>
  <si>
    <t xml:space="preserve">Ilustrar uma menina parda, de cabelo cacheado e olho castanho, usando um aparelho auditivo (fazer a menina de perfil e com o cabelo preso para que apareça o aparelho), sentada à mesa, com a sua mãe (mesmas características físicas). A menina deve estar segurando um morando e a mulher também. Ambas devem parecer felizes. A mãe deve estar com a boca aberta para parecer que está falando. </t>
  </si>
  <si>
    <t xml:space="preserve">i0315_2p012i_g27_e002 </t>
  </si>
  <si>
    <t xml:space="preserve">Ilustrar um menino caucasiano, loiro e dos olhos azuis, sentado à mesa, com o seu pai (mesmas características físicas). O pai deve estar segurando um cacho de uva e o menino deve parecer não gostar dessa fruta (não o fazer com a expressão de nojo – ele pode estar com uma das mãos estendidas para parecer que está dizendo que não quer a fruta). O pai deve estar com a boca aberta para parecer que está falando. Sobre a mesa, ilustrar uma cesta ou fruteira com outras frutas: abacaxi e manga. </t>
  </si>
  <si>
    <t xml:space="preserve">i0317_2p012i_g27_e002 </t>
  </si>
  <si>
    <t xml:space="preserve">Ilustrar, ao lado da canção, bananas com braços, pernas, olhos e boca. Essas partes devem parecer que foram desenhadas às frutas. As bananas devem estar em diferentes posições, balançando os braços e pernas, como se estivessem dançando, e ter diferentes expressões faciais. Algumas delas podem estar descascadas. Referências: </t>
  </si>
  <si>
    <t xml:space="preserve">i0527_2p012i_g27_e002 </t>
  </si>
  <si>
    <t>Ilustrar uma carteira escolar com algumas cartas sobre a mesa. Essas cartas devem conter imagens de animais da fazenda – devem ser as mesmas que estão no material complementar (seção Additions). Na lateral, incluir um braço com a palma da mão virada para baixo, prestes a encostar em uma das cartas. A intenção é representar a palma da mão batendo em uma das cartas.</t>
  </si>
  <si>
    <t>R: 23/06  F: 26/06</t>
  </si>
  <si>
    <t xml:space="preserve">i0529_2p012i_g27_e002 </t>
  </si>
  <si>
    <t>Ilustrar, sangrando no rodapé da página, uma fazenda, em que apareça um gramado, árvores e uma cerca de madeira. Do lado de dentro da cerca, ilustrar um celeiro e os animais: uma vaca malhada, uma ovelha e um porco. Incluir, também, itens relacionados aos animais, como bloco de feno, uma poça de lama. Referência:</t>
  </si>
  <si>
    <t xml:space="preserve">i0536_2p012i_g27_e002 </t>
  </si>
  <si>
    <t>Ilustrar uma maquete de fazenda com animais: a base deve ser de papelão, a grama e terra de papel picado, os animais de massinha de modelar e as árvores e cerca de gravetos e folhas. A intenção é representar um trabalho feito por crianças. Se não couber tudo nesse espaço, ilustrar alguns elementos como uma ovelha de massinha e uma árvore de gravetos e folhas. Ambas sobre um pedaço de papelão com papel verde.</t>
  </si>
  <si>
    <t>i0502_3p012i_g27_e002</t>
  </si>
  <si>
    <t xml:space="preserve">Ilustrar folhinha de calendário para cada mês. Inserir o nome do mês centralizado na folhinha e um ícone que represente algo que esteja relacionado ao mês. Verificar detalhes na pauta. </t>
  </si>
  <si>
    <t>R: 23/06 F: 27/06</t>
  </si>
  <si>
    <t>i0510_3p012i_g27_e002</t>
  </si>
  <si>
    <t>Ilustrar um convite de aniversário contendo balões e chapeuzinhos de aniversário coloridos, que podem ficar nas laterais e na parte superior. Para ocupar menos espaço na página, ilustrar o convite de aniversário na horizontal. Ver detalhes na pauta</t>
  </si>
  <si>
    <t/>
  </si>
  <si>
    <t>fg</t>
  </si>
  <si>
    <t>ARTE</t>
  </si>
  <si>
    <t>i0511_3p012i_g27_e002</t>
  </si>
  <si>
    <t xml:space="preserve">Ilustrar um convite de aniversário no formato horizontal. No convite, algumas informações estão faltando, elas serão representadas por pontos de interrogação.
Na parte superior do cartão, de forma centralizada, colocar a seguinte frase:
You are invited to my
Logo após, inserir a frase a seguir, com letra estilizada e fonte maior:
BIRTHDAY
Inserir frase com pontos de interrogação:
???? is turning ?
Na parte inferior, incluir um círculo no centro com pontos de interrogação. Do lado esquerdo do círculo, também incluir pontos de interrogação. Do lado direito, inserir:
During the English class
Abaixo de tudo:
At school
</t>
  </si>
  <si>
    <t>i0515_3p012i_g27_e002</t>
  </si>
  <si>
    <t xml:space="preserve">Ilustrar um calendário feito de cartolina com o título Birthday calendar centralizado no topo. Logo abaixo dele, inserir os meses do ano (eles podem estar organizados em colunas: January, February, March, April, May, June, July, August, September, October, November, December.
Abaixo de alguns meses, colocar as fotos do rostinho de dois estudantes para representar aqueles que fazem aniversário no mês. Também o dia do aniversário e o nome do aniversariante, por exemplo, em June: Foto de um menino negro e, abaixo: 20 – Mateus.
</t>
  </si>
  <si>
    <t>jl</t>
  </si>
  <si>
    <t>F:25/06</t>
  </si>
  <si>
    <t>i0703_2p012i_g27_e002</t>
  </si>
  <si>
    <t>Ilustrar a conta de adição com os números e os símbolos coloridos:
9 + 6 =</t>
  </si>
  <si>
    <t>R: 23/06  F: 25/06</t>
  </si>
  <si>
    <t>i0704_2p012i_g27_e002</t>
  </si>
  <si>
    <t>Ilustrar a conta de adição com os números e os símbolos coloridos:
8 + 8 =</t>
  </si>
  <si>
    <t>i0705_2p012i_g27_e002</t>
  </si>
  <si>
    <t>Ilustrar a conta de adição com os números e os símbolos coloridos:
9 + 8 =</t>
  </si>
  <si>
    <t>i0706_2p012i_g27_e002</t>
  </si>
  <si>
    <t>Ilustrar a conta de adição com os números e os símbolos coloridos:
10 + 9 =</t>
  </si>
  <si>
    <t>i0707_2p012i_g27_e002</t>
  </si>
  <si>
    <t>Ilustrar a conta de adição com os números e os símbolos coloridos:
5 + 7 =</t>
  </si>
  <si>
    <t>i0708_2p012i_g27_e002</t>
  </si>
  <si>
    <t>Recorte de uma das cartas ilustradas no Material complementar.</t>
  </si>
  <si>
    <t>i0709_2p012i_g27_e002</t>
  </si>
  <si>
    <t>Ilustrar uma menina cega (com óculos e bengala), de pele clara e cabelos loiros. Ao lado dela, deve estar o seu pai (mesmas características físicas, porém não deve ser cego), de macacão e botas. Ambos devem estar com a boca aberta para parecer que estão falando. À frente deles, deve haver dez ovelhas no pasto. Incluir um balão de fala para uma das ovelhas com o som: BAA! BAA! Todas as ovelhas devem estar visíveis.</t>
  </si>
  <si>
    <t>R: 20/06  F: 26/06</t>
  </si>
  <si>
    <t>i0712_2p012i_g27_e002</t>
  </si>
  <si>
    <t>Ilustrar uma cena de fazenda com duas árvores. Em uma das árvores, deve haver 16 laranjas. Na outra árvore deve haver 18 maçãs. Incluir 11 coelhos e 10 porcos no gramado e um lago com 14 patos. Adicionar à cena uma mesa com 12 bananas (2 cachos com 6 bananas cada). Todos os elementos devem estar visíveis para os estudantes conseguirem contar.</t>
  </si>
  <si>
    <t>i0714_2p012i_g27_e002</t>
  </si>
  <si>
    <t>Ao lada da canção, ilustrar uma linha (ela deve ficar meio diagonal, indo do topo da borda da página até a parte inferior da página). Nessa linha, inserir os números 20, 19, 18, 17, 16, 15, 14, 13, 12, 11 e 10, enfileirados em ordem decrescente, como se estivessem equilibrando em cima da linha. Se não couber todos os números, deixar somente de 20 a 16. Cada número deve ser de uma cor diferente. Fazer olhinhos, boca, braços e pernas nos números e variar as expressões faciais e movimentos.</t>
  </si>
  <si>
    <t>i0720_2p012i_g27_e002</t>
  </si>
  <si>
    <t>Ilustrar cartas com o número indicado a seguir e as bordas nas cores indicadas. A intenção é que sejam usadas para o jogo Mau-Mau (similar ao Uno).</t>
  </si>
  <si>
    <t>i0932_2p012i_g27_e002</t>
  </si>
  <si>
    <t>Ilustrar rosto pardo com sobrancelhas franzidas, olhos arqueados, nariz e boca pressionada. A expressão facial deve representar nervosismo, raiva. Esse rosto deve encaixar e completar a imagem da criança que está na atividade 2 da página 52.</t>
  </si>
  <si>
    <t>R: 24/06  F:26/06</t>
  </si>
  <si>
    <t>i0933_2p012i_g27_e002</t>
  </si>
  <si>
    <t>Ilustrar rosto pardo com sobrancelhas, olhos arregalados, nariz e boca aberta. A expressão facial deve representar surpresa. Esse rosto deve encaixar e completar a imagem da criança que está na atividade 2 da página 52.</t>
  </si>
  <si>
    <t>i0902_2p012i_g27_e002</t>
  </si>
  <si>
    <t>Ilustrar uma carinha em fio somente com o contorno do rosto. Não deve haver cabelo, olhos, nariz e boca. A intenção é que os estudantes a completem com suas características e representem como estão se sentindo.</t>
  </si>
  <si>
    <t>bk</t>
  </si>
  <si>
    <t>Arte</t>
  </si>
  <si>
    <t>i0903_2p012i_g27_e002</t>
  </si>
  <si>
    <t>Ilustrar emoji feliz.</t>
  </si>
  <si>
    <t>zz</t>
  </si>
  <si>
    <t>Rebecca Baniski</t>
  </si>
  <si>
    <t>SERGIO LIMA/ARQUIVO DA EDITORA</t>
  </si>
  <si>
    <t>Padrão</t>
  </si>
  <si>
    <t>i0904_2p012i_g27_e002</t>
  </si>
  <si>
    <t>Ilustrar emoji triste</t>
  </si>
  <si>
    <t>i0905_2p012i_g27_e002</t>
  </si>
  <si>
    <t>Ilustrar emoji nervoso.</t>
  </si>
  <si>
    <t>i0906_2p012i_g27_e002</t>
  </si>
  <si>
    <t>Ilustrar emoji calmo</t>
  </si>
  <si>
    <t>i0907_2p012i_g27_e002</t>
  </si>
  <si>
    <t>Ilustrar emoji surpreso</t>
  </si>
  <si>
    <t>i0908_2p012i_g27_e002</t>
  </si>
  <si>
    <t>Ilustrar emoji envergonhado.</t>
  </si>
  <si>
    <t>i0909_2p012i_g27_e002</t>
  </si>
  <si>
    <t>Ilustrar emoji confuso.</t>
  </si>
  <si>
    <t>i0910_2p012i_g27_e002</t>
  </si>
  <si>
    <t>Ilustrar emoji orgulhoso</t>
  </si>
  <si>
    <t>i0914_2p012i_g27_e002</t>
  </si>
  <si>
    <t>i0915_2p012i_g27_e002</t>
  </si>
  <si>
    <t>i0916_2p012i_g27_e002</t>
  </si>
  <si>
    <t>i0917_2p012i_g27_e002</t>
  </si>
  <si>
    <t>Ilustrar emoji confuso</t>
  </si>
  <si>
    <t>i0920_2p012i_g27_e002</t>
  </si>
  <si>
    <t>Ilustrar busto de menino pardo, de cabelos lisos, sem os olhos, nariz e boca.</t>
  </si>
  <si>
    <t>i0921_2p012i_g27_e002</t>
  </si>
  <si>
    <t>Ilustrar busto de menina parda, de cabelo cacheado, sem os olhos, nariz e boca.</t>
  </si>
  <si>
    <t>i0923_2p012i_g27_e002</t>
  </si>
  <si>
    <t>Ilustrar ao lado da canção, sangrando na página se for preciso, um menino negro com trancinhas no cabelo. Ele deve estar batendo palmas e com uma das pernas levemente erguida. Incluir “CLAP CLAP” próximo às mãos para representar o som das palmas. Fazer um sinal que indique movimento da cabeça. A intenção é representar o menino fazendo as ações que a música apresenta: bater palmas, bater os pés, balançar a cabeça.</t>
  </si>
  <si>
    <t>i0720_3p012i_g27_e002</t>
  </si>
  <si>
    <t>Ilustrar uma professora japonesa, cerca de 40 anos, de jaleco. Ela deve estar segurando a imagem de uma girafa, como se estivesse apresentado informações do animal para os estudantes. Ela pode estar em pé e, atrás dela estar aparecendo um quadro negro, a boca deve estar aberta para mostrar que está falando. A ilustração pode ser de meio corpo.</t>
  </si>
  <si>
    <t>R: 20/06 ; F: 25/06</t>
  </si>
  <si>
    <t>i0721_3p012i_g27_e002</t>
  </si>
  <si>
    <t>Ilustrar um menino ruivo, cerca de 8 anos, cadeirante, usando uniforme escolar. Ele deve estar segurando a imagem de uma coruja, como se estivesse apresentado informações do animal para os colegas. Ela pode estar em pé e, atrás dele estar aparecendo um quadro negro, a boca deve estar aberta para mostrar que está falando. A ilustração pode ser de meio corpo.</t>
  </si>
  <si>
    <t>i0722_3p012i_g27_e002</t>
  </si>
  <si>
    <t>Ilustrar uma menina negra, cerca de 8 anos, usando uniforme escolar. Ela deve estar segurando a imagem de um crocodilo, como se estivesse apresentado informações do animal para os colegas. Ela pode estar em pé e, atrás dela estar aparecendo um quadro negro, a boca deve estar aberta para mostrar que está falando. A ilustração pode ser de meio corpo.</t>
  </si>
  <si>
    <t>i0723_3p012i_g27_e002</t>
  </si>
  <si>
    <t>Ilustrar um professor caucasiano, cerca de 60 anos, de jaleco. Ele deve estar segurando a imagem de um tatu, como se estivesse apresentado informações do animal para os estudantes. Ele pode estar em pé e, atrás dele estar aparecendo um quadro negro, a boca deve estar aberta para mostrar que está falando. A ilustração pode ser de meio corpo.</t>
  </si>
  <si>
    <t>i0724_3p012i_g27_e002</t>
  </si>
  <si>
    <t>Ilustrar uma cena na floresta, dividida em duas partes. Na primeira, ilustrar somente um tigre. Na segunda, ilustrar 2 tigres adultos.</t>
  </si>
  <si>
    <t>i0725_3p012i_g27_e002</t>
  </si>
  <si>
    <t>Ilustrar uma cena de savana dividida em duas partes. Na primeira, ilustrar somente um hipopótamo. Na segunda, ilustrar 2 hipopótamos.</t>
  </si>
  <si>
    <t>i0726_3p012i_g27_e002</t>
  </si>
  <si>
    <t>Ilustrar uma cena na floresta, dividida em duas partes. Na primeira, ilustrar somente um lobo. Na segunda, ilustrar 2 lobos.</t>
  </si>
  <si>
    <t>i0733_3p012i_g27_e002</t>
  </si>
  <si>
    <t xml:space="preserve">Ilustrar uma folha de sulfite. No topo, colocar a palavra:
tagline. Logo abaixo, com fonte maior, inserir a frase:
name of the movie. Na parte centralizada, colocar um quadrado contendo dentro a palavra “illustration”.
A intenção é mostrar as informações que devem ser preenchidas na produção de um cartaz de filme.
</t>
  </si>
  <si>
    <t>i0737_3p012i_g27_e002</t>
  </si>
  <si>
    <t>Ilustrar uma carta, estilo Super trunfo. No topo, colocar o nome do animal: African elephant. Logo abaixo, centralizado, colocar um desenho de um elefante africano, como se ele tivesse sido feito a mão por uma criança. Na parte inferior, colocar os tópicos com as notas:
size – 10
weight – 10
speed - 2</t>
  </si>
  <si>
    <t>i1102_2p012i_g27_e002</t>
  </si>
  <si>
    <t>Ilustrar uma criança, de mais ou menos 7 anos de idade, um menino pardo, gordinho, de cabelos lisos castanhos escuros e olhos castanhos. Ele deve estar usando uma bermuda florida, acima do joelho, uma camiseta regata e chinelos de dedo. O menino deve estar virado de frente, com uma das mãos fazendo um “V” (como se estivesse posando) e a outra para baixo com as mãos abertas. As pernas precisam estar um pouco afastadas uma da outra. O objetivo da ilustração é mostrar as partes do corpo humano, portanto, cada uma das partes que serão apresentadas deve estar visível (cabeça, olhos, nariz, boca, orelhas, ombros, braço, mãos, dedos, perna, joelho, pés). Colocar na ilustração uma sombra logo abaixo dos pés do menino ou um fundinho para que não passe a impressão de que ele está voando.</t>
  </si>
  <si>
    <t>bz</t>
  </si>
  <si>
    <t>r:26/06 f:07/07</t>
  </si>
  <si>
    <t>i1109_2p012i_g27_e002</t>
  </si>
  <si>
    <t>Ilustrar duas crianças em sala de aula. Uma delas deve ser uma menina negra e a outra deve ser um menino caucasiano com cabelos loiros. Ambas devem estar de uniforme escolar. A menina deve estar tocando os dois joelhos. O menino deve estar com a boca aberta para parecer que está falando.</t>
  </si>
  <si>
    <t>r:26/06 f:30/06</t>
  </si>
  <si>
    <t>i1110_2p012i_g27_e002</t>
  </si>
  <si>
    <t>Ilustrar as mesmas crianças em sala de aula. O menino deve estar com a mão esquerda estendida, mostrando-a e apontando para ela com a mão direita. A menina deve estar com a boca aberta para parecer que está falando.</t>
  </si>
  <si>
    <t>i1112_2p012i_g27_e002</t>
  </si>
  <si>
    <t>Ilustrar, abaixo do texto, quatro crianças, com cerca de 7 anos, de uniforme escolar, cantando e dançando. A primeira criança, um menino caucasiano cadeirante, deve estar com as mãos na cabeça. A segunda criança, uma menina indígena gordinha, teve estar com as duas mãos no ombro. A terceira criança, menina negra, deve estar com as mãos nos joelhos. A quarta criança, uma menina asiática, deve estar com as mãos nos pés. Incluir notas musicais na cena.</t>
  </si>
  <si>
    <t>i1115_2p012i_g27_e002</t>
  </si>
  <si>
    <t>Ilustrar um pedaço de papel kraft no chão e uma criança (menino pardo, gordinho, cerca de 7 anos, com uniforme escolar) deitado sobre o papel, com os braços e pernas abertos. Ao lado dele, ilustrar outra criança (menina ruiva, cerca de 7 anos, com uniforme escolar) fazendo o contorno do corpo do amigo com uma canetinha. As crianças devem estar usando uniforme.</t>
  </si>
  <si>
    <t>i6105_2p012i_g27_e002</t>
  </si>
  <si>
    <t xml:space="preserve">Ilustrar uma cena com 12 laranjas.
Deve haver uma laranjeira com 8 laranjas na copa da árvore, 3 caídas no chão e 1 cainda do pé (deve estar no ar, antes de tocar o chão).
</t>
  </si>
  <si>
    <t>R:20/06 F:24/06</t>
  </si>
  <si>
    <t>i6106_2p012i_g27_e002</t>
  </si>
  <si>
    <t>PADRÃO</t>
  </si>
  <si>
    <t>i6107_2p012i_g27_e002</t>
  </si>
  <si>
    <t>Ilustrar emoji triste.</t>
  </si>
  <si>
    <t>i6108_2p012i_g27_e002</t>
  </si>
  <si>
    <t>Remember 1</t>
  </si>
  <si>
    <t>Ilustrar duas crianças em sala de aula conversando. Uma delas deve ser um menino negro e a outra dever ser uma menina ruiva. Ambos devem parecer ter cerca de 7 anos e devem estar de uniforme escolar. A menina deve parecer triste. Eles não precisam aparecer de corpo inteiro, pode ser somente busto.</t>
  </si>
  <si>
    <t>R:20/06 F:25/06. Equipe atrasou a devolução do rafe. Finalizada ficou para dia 02/07.</t>
  </si>
  <si>
    <t>i6109_2p012i_g27_e002</t>
  </si>
  <si>
    <t>Ilustrar duas crianças em sala de aula conversando. Uma delas deve ser uma menina loira gordinha e a outra deve ser um menino asiático. Ambos devem parecer ter cerca de 7 anos e devem estar de uniforme escolar. Eles não precisam aparecer de corpo inteiro, pode ser somente busto.</t>
  </si>
  <si>
    <t>i0721_2p012i_g27_e002</t>
  </si>
  <si>
    <t>Remember 2</t>
  </si>
  <si>
    <t xml:space="preserve">Ilustrar sombra de porco. Referência: </t>
  </si>
  <si>
    <t>F: 30/06</t>
  </si>
  <si>
    <t xml:space="preserve">i0722_2p012i_g27_e002 </t>
  </si>
  <si>
    <t xml:space="preserve">Ilustrar sombra de pato. Referência: </t>
  </si>
  <si>
    <t xml:space="preserve">i0723_2p012i_g27_e002 </t>
  </si>
  <si>
    <t xml:space="preserve">Ilustrar sombra de coelho (não pode parecer o ícone da Playboy). Referência: </t>
  </si>
  <si>
    <t xml:space="preserve">i0724_2p012i_g27_e002 </t>
  </si>
  <si>
    <t xml:space="preserve">Ilustrar sombra de vaca. Referência: </t>
  </si>
  <si>
    <t xml:space="preserve">i0726_2p012i_g27_e002 </t>
  </si>
  <si>
    <t xml:space="preserve">Ilustrar uma maçã em fio, sem muitos detalhes para os estudantes pintarem. Referência: </t>
  </si>
  <si>
    <t xml:space="preserve">i0727_2p012i_g27_e002 </t>
  </si>
  <si>
    <t xml:space="preserve">Ilustrar um porco em fio, sem muitos detalhes para os estudantes pintarem. Referência: </t>
  </si>
  <si>
    <t>i1118_2p012i_g27_e002</t>
  </si>
  <si>
    <t>Ilustrar emoji surpreso.</t>
  </si>
  <si>
    <t>Felipe Grigoli</t>
  </si>
  <si>
    <t>PADRAO</t>
  </si>
  <si>
    <t>i1119_2p012i_g27_e002</t>
  </si>
  <si>
    <t>Ilustrar emoji com vergonha.</t>
  </si>
  <si>
    <t>i1120_2p012i_g27_e002</t>
  </si>
  <si>
    <t>i1121_2p012i_g27_e002</t>
  </si>
  <si>
    <t>i6116_2p012i_g27_e002</t>
  </si>
  <si>
    <t>Storytime</t>
  </si>
  <si>
    <t>Ilustrar no rodapé da página um cabelo cacheado, castanho, como se fosse uma mecha solta “voando” com o vento, junto de faíscas que representem o brilho e a magia do cabelo. Ao lado do texto, incluir uma cena que mostre a transição do verão para o inverno, para isso, ilustrar um céu azul com um sol bem vermelho (para simbolizar o verão) e, logo abaixo, continuar com o céu azul, mas adicionar vento como se fosse uma brisa gelada (para representar o inverno).</t>
  </si>
  <si>
    <t>i6117_2p012i_g27_e002</t>
  </si>
  <si>
    <t xml:space="preserve">Ilustrar ao lado do texto uma menina negra, rostinho arredondado, de aproximadamente 7 anos, de óculos redondo e brinco no formato de coração. Ela deve ter cabelo longo, bem cacheado e castanho. Esse cabelo deve estar esvoaçante, saindo da cabeça dela e se estendendo pela página.
A menina não precisa aparecer de corpo inteiro, pode aparecer somente de busto. Ela deve estar com um semblante de felicidade, com um sorriso bem largo. Espalhados, próximos à menina, incluir elementos que simbolizem a primavera, como flores e pássaros, e também elementos que simbolizem o outono, como folhas alaranjadas caindo.
</t>
  </si>
  <si>
    <t>i6118_2p012i_g27_e002</t>
  </si>
  <si>
    <t>Ilustrar o rostinho da menina negra (a mesma do poema) com o cabelo cacheado preso em coque no formato de ninho. Perto ao cabelo, ilustrar um passarinho voando, e ao redor de todo o cabelo, ilustrar notas musicais.</t>
  </si>
  <si>
    <t>i6119_2p012i_g27_e002</t>
  </si>
  <si>
    <t>Ilustrar o rostinho da menina negra (a mesma do poema) com o cabelo cacheado preso no formato que lembre um chapéu. Perto do cabelo, atrás da menina, ilustrar um sol.</t>
  </si>
  <si>
    <t>i6120_2p012i_g27_e002</t>
  </si>
  <si>
    <t>Ilustrar o rostinho da menina negra (a mesma do poema) com o cabelo cacheado solto, envolto no seu pescoço, lembrando um cachecol. Ao redor do cabelo, ilustrar o vento soprando.</t>
  </si>
  <si>
    <t>i6121_2p012i_g27_e002</t>
  </si>
  <si>
    <t>Ilustrar o rostinho da menina negra (a mesma do poema) com uma florzinha presa ao cabelo cacheado. Ao redor de todo o cabelo, ilustrar folhas marrons e laranjas (folhas secas).</t>
  </si>
  <si>
    <t>i0344_3p012i_g27_e002</t>
  </si>
  <si>
    <t>Remmember</t>
  </si>
  <si>
    <t>Ilustrar uma menina negra de +ou- 8 anos de idade, de meio corpo, vestindo uniforme escolar. Ela deve estar virada de frente, segurando um tubo de cola na mão.</t>
  </si>
  <si>
    <t>R: 27/06 F:02/07</t>
  </si>
  <si>
    <t>i0345_3p012i_g27_e002</t>
  </si>
  <si>
    <t>Ilustrar um menino chinês de +ou- 8 anos de idade, de meio corpo, vestindo uniforme escolar. Ele deve estar virado de frente, segurando dois cadernos, um em cada mão.</t>
  </si>
  <si>
    <t>i0346_3p012i_g27_e002</t>
  </si>
  <si>
    <t>Ilustrar um menino loiro bem gordinho de +ou- 8 anos de idade, de meio corpo, vestindo uniforme escolar. Ele deve estar apontando para uma mochila, que está em segundo plano, longe dele.</t>
  </si>
  <si>
    <t>i0347_3p012i_g27_e002</t>
  </si>
  <si>
    <t>Ilustrar uma menina parda de +ou- 8 anos de idade, de meio corpo, vestindo uniforme escolar e óculos de grau. Ela deve estar apontando para uns livros que estão em segundo plano, longe dela.</t>
  </si>
  <si>
    <t xml:space="preserve">i1139_3p012i_g27_e002 </t>
  </si>
  <si>
    <t xml:space="preserve">Ilustrar uma folha que pareça ser uma capa de livro produzida por estudantes. No topo, deve estar escrito “Poems” com letra cursiva (cxAb). Abaixo deve haver “3º A” em letra imprensa (cxAA) e, na sequência, um desenho de arco-íris. Abaixo dessa folha, ilustrar várias outras, de maneira que não mostrem o que há nelas (a intenção é só mostrar que há outras páginas após a capa). </t>
  </si>
  <si>
    <t>CQ</t>
  </si>
  <si>
    <t>R:04/07 F:16/07</t>
  </si>
  <si>
    <t xml:space="preserve">i1143_3p012i_g27_e002 </t>
  </si>
  <si>
    <t>Ilustrar um jardim sensorial produzido por estudantes. Deve haver um papel kraft estendido no chão da escola e, sobre ele, elementos da natureza como: folhas de árvores, flores (coloridas), galhos pequenos. Ao lado do jardim, ilustrar um estudante, menino, de +ou- 8 anos, cego (com óculos e bengala) e vestindo uniforme escolar. Ele pode estar segurando uma folha de árvore</t>
  </si>
  <si>
    <t xml:space="preserve">i1155_3p012i_g27_e002 </t>
  </si>
  <si>
    <t>RESGATE</t>
  </si>
  <si>
    <t xml:space="preserve">Resgate do termômetro do 4p012i_g27_e002 - código i1102_4p012i_g27_e002 </t>
  </si>
  <si>
    <t xml:space="preserve">i6122_2p012i_g27_e002 </t>
  </si>
  <si>
    <t xml:space="preserve">Ilustrar, ao lado do texto, um céu azul com algumas nuvens em formato tradicional e algumas nuvens formando pontos de interrogação. Abaixo do céu, ilustrar um gramado com um gato frajola (branco e preto) sentado, ronronando (fazer umas ondulações perto da cabeça e do pescoço do gato para representar a vibração do ronronado). </t>
  </si>
  <si>
    <t>R:03/07 F: 15/07</t>
  </si>
  <si>
    <t xml:space="preserve">i6123_2p012i_g27_e002 </t>
  </si>
  <si>
    <t xml:space="preserve">Ilustrar, ao lado do texto, o mesmo céu azul da ilustração anterior, com nuvens no formato tradicional, mas escuras. Deve haver gotas de chuva caindo das nuvens. </t>
  </si>
  <si>
    <t>i6125_2p012i_g27_e002 </t>
  </si>
  <si>
    <t>Ilustrar em fio busto de mulher idosa, com cabelo preso em coque, com óculos e rugas, para representar a avó. A ilu deve ter contornos mais retos, sem detalhes, para que o estudante consiga pintar.</t>
  </si>
  <si>
    <t>Excluída por corte de paginação</t>
  </si>
  <si>
    <t>R:03/07 PAGAR OS 30% DO RAFE.
IL VAI PARAR NO RAFE. (EXCLUÍDA)</t>
  </si>
  <si>
    <t>FINALIZADO RAFE</t>
  </si>
  <si>
    <t xml:space="preserve">i6126_2p012i_g27_e002 </t>
  </si>
  <si>
    <t xml:space="preserve">Ilustrar em fio busto de homem idoso, meio careca, com bigode, e com rugas, para representar o avô. A ilu deve ter contornos mais retos, sem detalhes, para que o estudante consiga pintar. </t>
  </si>
  <si>
    <t xml:space="preserve">i6127_2p012i_g27_e002 </t>
  </si>
  <si>
    <t>Ilustrar em fio busto de mulher de +ou- 35 anos, com cabelo cacheado, para representar a mãe. Ela deve ter características físicas similares aos idosos. A ilu deve ter contornos mais retos, sem detalhes, para que o estudante consiga pintar.</t>
  </si>
  <si>
    <t xml:space="preserve">i6128_2p012i_g27_e002 </t>
  </si>
  <si>
    <t>Ilustrar em fio busto de homem de +ou- 35 anos, com cabelo liso, para representar o pai. A ilu deve ter contornos mais retos, sem detalhes, para que o estudante consiga pintar.</t>
  </si>
  <si>
    <t xml:space="preserve">i6129_2p012i_g27_e002 </t>
  </si>
  <si>
    <t>Ilustrar em fio busto de duas meninas gêmeas de +ou- 12 anos, representar as irmãs. Elas devem ter características físicas similares aos adultos. A ilu deve ter contornos mais retos, sem detalhes, para que o estudante consiga pintar.</t>
  </si>
  <si>
    <t xml:space="preserve">i6130_2p012i_g27_e002 </t>
  </si>
  <si>
    <t>Ilustrar em fio busto de menino de +ou- 12 anos, para representar o irmão. Ele deve ter características físicas similares aos adultos. A ilu deve ter contornos mais retos, sem detalhes, para que o estudante consiga pintar</t>
  </si>
  <si>
    <t>i0331_4p012i_g27_e002</t>
  </si>
  <si>
    <t>Ilustrar uma estante de livros de madeira (sem portas). Nas prateleiras da estante, incluir livros. Não deve haver outros compondo a cena.</t>
  </si>
  <si>
    <t>R:16/07 (ilustração excluída, pagar somente o rafe).</t>
  </si>
  <si>
    <t>i0332_4p012i_g27_e002</t>
  </si>
  <si>
    <t>Ilustrar uma escrivaninha e, sobre ela, um abajur aceso. Não deve haver outros objetos compondo a cena.</t>
  </si>
  <si>
    <t>i0333_4p012i_g27_e002</t>
  </si>
  <si>
    <t>Ilustrar uma cama e, embaixo dela, um par de tênis. Não deve haver outros objetos compondo a cena.</t>
  </si>
  <si>
    <t>i0334_4p012i_g27_e002</t>
  </si>
  <si>
    <t>Ilustrar uma geladeira e, em frente dela, um gato. Não deve haver outros objetos compondo a cena.</t>
  </si>
  <si>
    <t>i0335_4p012i_g27_e002</t>
  </si>
  <si>
    <t>Ilustrar uma cadeira atrás de uma mesa. Não deve haver outros objetos compondo a cena.</t>
  </si>
  <si>
    <t>i0336_4p012i_g27_e002</t>
  </si>
  <si>
    <t>Ilustrar uma sala de estar com sala de jantar junto. Nelas deve haver os móveis e objetos: sofá, estante, abajur, mesa e cadeiras. O sofá deve estar em primeiro plano, visto de frente, um livro deve estar aberto em cima dele e uma bolinha deve estar em frente à ele. Atrás do sofá deve estar a estante. Nas prateleiras da estante deve haver um abajur e alguns livros. Ao lado do sofá, deve haver a mesa e as cadeiras. Em cima da mesa deve haver uma fruteira com maçãs dentro. Abaixo dela, deve haver um cachorro deitado, dormindo. Não deve haver outros objetos na cena.</t>
  </si>
  <si>
    <t>i0338_4p012i_g27_e002</t>
  </si>
  <si>
    <t>Ilustrar um quarto infantil com os seguintes móveis e objetos: cama, guarda-roupa (com uma das portas abertas), estante de livros, escrivaninha, cadeira, espelho e abajur. Embaixo da cama deve haver um par de chinelos. Em frente da cama deve haver um urso de pelúcia. Em cima do guarda-roupa deve uma caixa organizadora. Em frente ao guarda-roupa deve haver uma bola de futebol Dentro do guarda-roupa deve haver um cabide com camiseta pendurada. Ao lado do guarda-roupa deve ter um espelho de chão (de corpo inteiro) e, atrás dele, deve ter um gato (deixar a cara e o rabo do gato aparecendo). Nas prateleiras da estante deve haver livros. Em cima da escrivaninha deve haver um abajur. A cadeira deve estar junto com a escrivaninha, na parte de trás dela.</t>
  </si>
  <si>
    <t>EXCLUIDA, PAGAR APENAS 30% DO RAFE</t>
  </si>
  <si>
    <t>i0340_4p012i_g27_e002</t>
  </si>
  <si>
    <t>Ilustrar um quadrinho com uma pessoa desenhada de boneco palito e um balão de fala sobre a sua cabeça. Do lado direito e esquerdo, ilustrar parte dos outros quadrinhos, que não devem aparecer inteiros.</t>
  </si>
  <si>
    <t>R:18/07 F:23/07</t>
  </si>
  <si>
    <t>i6110_1p012i_g27_e002</t>
  </si>
  <si>
    <t>ADDITION</t>
  </si>
  <si>
    <t>Replicar jogo da memória: i0123_1p012i_g27_e002</t>
  </si>
  <si>
    <t>i6111_1p012i_g27_e002</t>
  </si>
  <si>
    <t>Replicar Quebra cabeça: i0931_1p012i_g27_e002</t>
  </si>
  <si>
    <t xml:space="preserve">i6112_1p012i_g27_e002 </t>
  </si>
  <si>
    <t>i6113_1p012i_g27_e002</t>
  </si>
  <si>
    <t>i6114_1p012i_g27_e002</t>
  </si>
  <si>
    <t>i6115_1p012i_g27_e002</t>
  </si>
  <si>
    <t xml:space="preserve">i0708_4p012i_g27_e002 </t>
  </si>
  <si>
    <t xml:space="preserve">Ilustrar casal (homem e mulher) de idosos indígenas (meio corpo). Não estereotipar: não os fazer com cocar e pinturas no corpo. Eles devem estar usando roupas simples: o idoso de camisa e a idosa de camiseta. Adicionar estampa na camisa do idoso que remeta às pinturas indígenas. Adicionar colar na idosa que remeta ao artesanato indígena (com sementes). Ambos devem estar sorridentes. </t>
  </si>
  <si>
    <t>R:23/07 F:28/07</t>
  </si>
  <si>
    <t xml:space="preserve">i0709_4p012i_g27_e002 </t>
  </si>
  <si>
    <t xml:space="preserve">Ilustrar casal (homem e mulher) de indígenas de cerca de 40 anos (meio corpo). Não estereotipar: não os fazer com cocar e pinturas no corpo. Eles devem estar usando roupas simples: ambos com camiseta. O homem deve ser gordinho e deve ter características semelhantes aos idosos (para representar ser filho dos dois). Ambos devem estar abraçados. </t>
  </si>
  <si>
    <t xml:space="preserve">i0710_4p012i_g27_e002 </t>
  </si>
  <si>
    <t>Ilustrar o mesmo casal indígena da i0709 (meio corpo) e, no meio deles, ilustrar um menino com cerca de 9 anos (meio corpo). Não estereotipar: não o fazer com cocar e pinturas no corpo. O menino deve ter características semelhantes ao casal (para representar ser filho dos dois). O casal deve estar apontando para o menino, como se estivesse o apresentando.</t>
  </si>
  <si>
    <t xml:space="preserve">i0711_4p012i_g27_e002 </t>
  </si>
  <si>
    <t xml:space="preserve">Ilustrar o mesmo casal indígena da i0709 (meio corpo) e, no colo de um deles, ilustrar uma menina com cerca de 2 anos. Não estereotipar: não a fazer com pinturas no corpo. A menina deve ter características semelhantes ao casal (para representar ser filha dos dois). O casal deve estar apontando para a menina, como se estivesse a apresentando. </t>
  </si>
  <si>
    <t xml:space="preserve">i0712_4p012i_g27_e002 </t>
  </si>
  <si>
    <t>Ilustrar o casal de idosos indígena da i0708 (meio corpo), no meio deles, ilustrar o mesmo menino da i0710 (meio corpo). Os idosos devem estar apontando para o menino, como se estivessem o apresentando.</t>
  </si>
  <si>
    <t xml:space="preserve">i0713_4p012i_g27_e002 </t>
  </si>
  <si>
    <t>Ilustrar o mesmo casal de idosos indígena da i0708 (meio corpo), no colo de um deles, ilustrar a mesma menina da i0711. Os idosos devem estar apontando para a menina, como se estivessem a apresentando.</t>
  </si>
  <si>
    <t xml:space="preserve">i0714_4p012i_g27_e002 </t>
  </si>
  <si>
    <t>Ilustrar homem caucasiano com cerca de 30 anos, cabelos cacheados castanhos e olhos castanhos (meio corpo). No colo dele, ilustrar a mesma menina da i0711 e, ao lado dele, ilustrar o mesmo menino da i0710 (meio corpo). O menino deve estar apontando para o homem, como se estivesse o apresentando.</t>
  </si>
  <si>
    <t xml:space="preserve">i0715_4p012i_g27_e002 </t>
  </si>
  <si>
    <t xml:space="preserve">Ilustrar mulher indígena com cerca de 30 anos, (meio corpo), com características semelhantes aos idosos da i0708 (para representar ser filha deles). No colo dela, ilustrar a mesma menina da i0711 e, ao lado dela, ilustrar o mesmo menino da i0710 (meio corpo). O menino deve estar apontando para a mulher, como se estivesse o apresentando. </t>
  </si>
  <si>
    <t xml:space="preserve">i0738_4p012i_g27_e002 </t>
  </si>
  <si>
    <t xml:space="preserve">Ilustrar duas crianças gêmeas, um menino e uma menina, com cerca de 5 anos (meio corpo), com características semelhantes ao homem e mulher da i0714 e i0715 (para representarem ser filhos deles). Eles devem estar abraçados com o mesmo menino da i0710. </t>
  </si>
  <si>
    <t xml:space="preserve">i0716_4p012i_g27_e002 </t>
  </si>
  <si>
    <t xml:space="preserve">Ilustrar o mesmo casal indígena da i0709 (meio corpo), na frente deles, ilustrar o mesmo menino (um dos gêmeos) da i0715 (meio corpo). O casal deve estar apontando para o menino, como se estivesse o apresentando. </t>
  </si>
  <si>
    <t xml:space="preserve">i0717_4p012i_g27_e002 </t>
  </si>
  <si>
    <t xml:space="preserve">Ilustrar o mesmo casal da i0709 (meio corpo), na frente deles, ilustrar a mesma menina (a outra gêmea) da i0715 (meio corpo). O casal deve estar apontando para a menina, como se estivesse a apresentando. </t>
  </si>
  <si>
    <t xml:space="preserve">i0718_4p012i_g27_e002 </t>
  </si>
  <si>
    <t>Ilustrar meio corpo de uma menina ruiva, cabelo curtinho e com um aparelho de surdez no ouvido. Ele está com uma das mãos, com o dedo indicador apontando para ela mesma. O objetivo é mostrar que ela está falando “Eu”.  Referência:</t>
  </si>
  <si>
    <t>R:24/07 F:28/07</t>
  </si>
  <si>
    <t xml:space="preserve">i0719_4p012i_g27_e002 </t>
  </si>
  <si>
    <t>Ilustrar a mesma menina da i0718 e, na frente dela, uma sombra de pessoa (não identificada, como se fosse o leitor/estudante). Ela deve estar apontando o dedo para a sombra (leitor), como se ele estivesse falando “você”.</t>
  </si>
  <si>
    <t xml:space="preserve">i0720_4p012i_g27_e002 </t>
  </si>
  <si>
    <t>Ilustrar a mesma menina da i0718, apontando para um garoto ruivo e com sardas no rosto (parecido com ela, pois são irmãos), como se ela estivesse falando “ele”.</t>
  </si>
  <si>
    <t xml:space="preserve">i0721_4p012i_g27_e002 </t>
  </si>
  <si>
    <t xml:space="preserve">Ilustrar a mesma menina da i0718 e o mesmo menino da i0720, no entanto, agora ele está apontando para a menina, como se ele estivesse dizendo “ela”. </t>
  </si>
  <si>
    <t xml:space="preserve">i0722_4p012i_g27_e002 </t>
  </si>
  <si>
    <t xml:space="preserve">Ilustrar a mesma menina da i0718 e um gatinho em seu colo. Ela está apontando para o gatinho, como se estivesse dizendo “ele, ela”. </t>
  </si>
  <si>
    <t xml:space="preserve">i0723_4p012i_g27_e002 </t>
  </si>
  <si>
    <t xml:space="preserve">Ilustrar a mesma menina da i0718 abraçada com uma senhora de +- 60 anos grisalha, que pareça ser sua avó, como se ambas estivessem dizendo “nós”. </t>
  </si>
  <si>
    <t xml:space="preserve">i0724_4p012i_g27_e002 </t>
  </si>
  <si>
    <t xml:space="preserve">Ilustrar a mesma menina da i0718 e, na frente dela, sombras de duas pessoas (não identificadas, como se fossem os leitores/estudantes). Ela deve estar apontando o de dedo para as sombras (leitores), como se estivesse falando “vocês”. </t>
  </si>
  <si>
    <t xml:space="preserve">i0725_4p012i_g27_e002 </t>
  </si>
  <si>
    <t xml:space="preserve">Ilustrar a mesma menina da i0718, na frente dele, uma sombra de pessoa (não identificada, como se fosse o leitor/estudante), distante dela, ao lado, devem estar o mesmo menino da i0720 e a mesma idosa da i0723. A menina deve estar apontando para o menino e para a idosa, como se estivesse dizendo “eles”. </t>
  </si>
  <si>
    <t>i0560_4p012i_g27_e002</t>
  </si>
  <si>
    <t xml:space="preserve">
Ilustrar uma mulher de cerca de 20 anos, ruiva, de cabelos lisos, com franja e com sardas, de olhos verdes, com a boca aberta para parecer que está falando. Ela deve estar vestindo uma camiseta de mangas longas, uma saia que deve parecer ser nova (fazer uns pontos de luz ou brilhinhos para passar essa ideia) e sandálias baixas.
resgatar do g27_3p012i_u5 código antigo i0920_3p012i_g27_e002
</t>
  </si>
  <si>
    <t>i0561_4p012i_g27_e002</t>
  </si>
  <si>
    <t xml:space="preserve">
Ilustrar um menino de cerca de 8 anos, pardo, de cabelos cacheados castanhos e olhos castanhos, com a boca aberta para parecer que está falando. Ele deve estar usando camisa de manga curta (com botões, com colarinho), calça jeans larga e tênis.
resgatar do g27_3p012i_u5 código antigo i0921_3p012i_g27_e002
</t>
  </si>
  <si>
    <t>i0562_4p012i_g27_e002</t>
  </si>
  <si>
    <t xml:space="preserve">
Ilustrar uma menina de cerca de 8 anos, asiática, de cabelos lisos castanhos e olhos castanhos, com prótese na perna direita, com a boca aberta para parecer que está falando. Ela deve estar vestindo um vestido justo e botas já velhas (incluir imperfeições, como a cor desgastada, para passar essa ideia).
resgatar do g27_3p012i_u5 código antigo i0922_3p012i_g27_e002
</t>
  </si>
  <si>
    <t>i0563_4p012i_g27_e002</t>
  </si>
  <si>
    <t xml:space="preserve">
Ilustrar um homem de cerca de 50 anos, negro, de cabelos afro e olhos castanhos, com a boca aberta para parecer que está falando. Ele deve estar usando um suéter bem colorido (fechado, de lã), calça lisa de uma única cor e sem estampa e sapatos fechados (não pode ser tênis).
resgatar do g27_3p012i_u5 código antigo i0923_3p012i_g27_e002
</t>
  </si>
  <si>
    <t>i0564_4p012i_g27_e002</t>
  </si>
  <si>
    <t xml:space="preserve">resgatar do g27_3p012i_u5 código antigo
Ilustrar um menino de cerca de 8 anos, pardo, de cabelo raspadinho e olhos castanhos, vestindo uma camiseta, uma calça de moletom bem larga e tênis.
resgatar do g27_3p012i_u5 código antigo i0924_3p012i_g27_e002
</t>
  </si>
  <si>
    <t>i0565_4p012i_g27_e002</t>
  </si>
  <si>
    <t xml:space="preserve">resgatar do g27_3p012i_u5 código antigo
Ilustrar uma menina de cerca de 8 anos, bem gordinha, de pele branca, de cabelo loiro liso e olhos azuis, usando um boné, um vestido bem colorido e sandálias.
resgatar do g27_3p012i_u5 código antigo i0925_3p012i_g27_e002
</t>
  </si>
  <si>
    <t>i0568_4p012i_g27_e002</t>
  </si>
  <si>
    <t xml:space="preserve">Ilustrar uma folha de sulfite. No topo, deve haver escrito: book’s title. No centro do livro, delimitar um quadrado e, dentro dele, deve haver a indicação: illustration. Na parte inferior, deve haver a indicação: author’s name. Logo abaixo, a indicação: publishing house. A intenção é apresentar aos estudantes os elementos que eles deverão inserir na criação de uma capa de livro.
resgatar do g27_3p012i_u5 código antigo i0928_3p012i_g27_e002
</t>
  </si>
  <si>
    <t xml:space="preserve">i0120_5p012i_g27_e002 </t>
  </si>
  <si>
    <t>Ilustrar um mural horizontal com um cartaz afixado. O cartaz deve conter o título (escrito em fonte maior e com destaque): 
Classroom rules 
Abaixo, listar o seguinte texto (retificado à direita, uma frase abaixo da outra): 
Come to class on time. 
Listen carefully during lessons. 
Participate in the activities. 
Wait your turn to speak or play. 
Help clean up the classroom. 
Take care of your school supplies. 
Ask permission to drink water or go to the toilet. 
Use kind words and respect everyone. 
Ao lado do texto, ilustrar uma lousa e carteira para representar a sala de aula.</t>
  </si>
  <si>
    <t>R: 23/07 F:28/07</t>
  </si>
  <si>
    <t>i0121_5p012i_g27_e002</t>
  </si>
  <si>
    <t xml:space="preserve">Ilustrar ícone de garrafa de água e balão com a frase “May I drink some water, please?”. </t>
  </si>
  <si>
    <t>i0122_5p012i_g27_e002</t>
  </si>
  <si>
    <t xml:space="preserve">Ilustrar ícone de relógio digital marcando 7:30. </t>
  </si>
  <si>
    <t>i0123_5p012i_g27_e002</t>
  </si>
  <si>
    <t xml:space="preserve">Ilustrar ícone de dois estudantes (meio corpo) abraçados, um deles com balão de fala com a frase “Thank you!”. </t>
  </si>
  <si>
    <t>i0124_5p012i_g27_e002</t>
  </si>
  <si>
    <t>Ilustrar ícone de orelha ouvindo com atenção.</t>
  </si>
  <si>
    <t>i0130_5p012i_g27_e002</t>
  </si>
  <si>
    <t>Ilustrar um corredor escolar com duas portas abertas para que seja possível ver as salas por dentro. Uma delas deve ser a biblioteca e a outra deve ser uma sala de aula. Ao lado da porta da biblioteca, ilustrar uma placa feita de papelão com a palavra escrita em canetinha: LIBRARY. Ao lado da porta da sala de aula, ilustrar outra placa também de papelão e escrita em canetinha: CLASSROOM. A intenção é representar placas de identificação feitas por estudantes.</t>
  </si>
  <si>
    <t>R: 24/07 F:28/07</t>
  </si>
  <si>
    <t>i0936_2p012i_g27_e002</t>
  </si>
  <si>
    <t>Ilustrar emoji com vergonha (do projeto gráfico).</t>
  </si>
  <si>
    <t>sl</t>
  </si>
  <si>
    <t>PADRAO - EMOJI</t>
  </si>
  <si>
    <t xml:space="preserve">i0320_5p012i_g27_e002 </t>
  </si>
  <si>
    <t>Ilustrar menina negra jogando futebol na quadra da escola. Ela deve parecer jogar muito bem. Ela deve estar de uniforme escolar e olhando para frente, com a boca aberta para representar que está falando.</t>
  </si>
  <si>
    <t xml:space="preserve">i0321_5p012i_g27_e002 </t>
  </si>
  <si>
    <t xml:space="preserve">Ilustrar um menino loiro de olhos azuis jogando tênis de mesa na escola. Ele deve parecer jogar mal (a bolinha deve estar pingando na mesa e ele não deve estar conseguindo alcançá-la. Ele deve estar de uniforme e olhando para frente, com a boca aberta para representar que está falando. </t>
  </si>
  <si>
    <t xml:space="preserve">i0322_5p012i_g27_e002 </t>
  </si>
  <si>
    <t xml:space="preserve">Ilustrar a mesma menina da i0320 conversando com o mesmo menino da i0321 na quadra da escola. Ambos devem estar de uniforme escolar. O menino deve estar pensativo. Sobre a cabeça dele, fazer um balão de pensamento com uma bicicleta e o sinal “check” verde. </t>
  </si>
  <si>
    <t xml:space="preserve">i0323_5p012i_g27_e002 </t>
  </si>
  <si>
    <t xml:space="preserve">Ilustrar o mesmo menino da i0321 conversando com a mesma menina da i0320 na quadra da escola. Ambos devem estar de uniforme escolar. A menina deve estar pensativa. Sobre a cabeça dela, fazer um balão de pensamento com uma prancha e um X vermelho. </t>
  </si>
  <si>
    <t xml:space="preserve">i0325_5p012i_g27_e002 </t>
  </si>
  <si>
    <t>Ilustrar uma cartolina dobrada ao meio para formar as páginas de um jornal feito por estudantes. Na primeira página, no topo, incluir o título do jornal: 5º A NEWSPAPER. Abaixo do título, ilustrar pedaços de folhas colados e, neles, incluir “cobrinhas” como se fossem textos. A intenção é representar que cada um é uma notícia produzida por um dos estudantes.</t>
  </si>
  <si>
    <t xml:space="preserve">i0329_5p012i_g27_e002 </t>
  </si>
  <si>
    <t xml:space="preserve">Ilustrar duas crianças na quadra da escola. Uma delas deve ser um menino asiático bem gordinho e a outra deve ser uma menina negra, ambos com cerca de 10 anos, vestindo uniforme escolar e tênis. O menino deve estar batendo uma bola no chão com uma das mãos e a menina deve estar pulando corda. No chão, entre as duas crianças, deve haver uma linha feita em giz de lousa, separando as duas crianças. A intenção é representar 2 estações de circuito esportivo. </t>
  </si>
  <si>
    <t>i6101_5p012i_g27_e002</t>
  </si>
  <si>
    <t xml:space="preserve">Ilustrar um jogo de tabuleiro simples, com 20 casas, 10 delas vão ficar na página ímpar e 10 casas na página par. Cada casa deve ser numerada e ter uma cor diferente da outra. Evitar cores como vermelho, verde e azul que os daltônicos têm dificuldade de enxergar.  As ilustrações que ficam dentro das casas podem ser pequenas, como se fossem ícones, mas precisam ser visíveis e compreensíveis para os estudantes.
a. Ilustrar ícone de bandeirinha para indicar a “largada” do jogo.
b. Ilustrar uma casa em que as paredes não apareçam para mostrar o quarto, a sala e a cozinha. Referência: 
c. Ilustrar ícones de sofá, cama, geladeira, mesa e cadeira. 
d.  Ilustrar um balão de fala e uma onomatopeia (BOOM!). 
e. Ilustrar ícones de hospital, supermercado e escola. As fachadas desses locais podem ter os símbolos que os representem (cruz vermelha, carrinho de mercado e livro). Referência: 
f. Ilustrar uma rua com uma padaria, no lado esquerdo dela, incluir um banco, e do lado direito da padaria, incluir uma farmácia. As fachadas desses locais podem ter símbolos que os representem (cifrão, pão e remédio). Referência: 
g. Ilustrar ícones de moto, trem e bote. 
h. Ilustrar ícones de carro, ônibus e bicicleta. 
i. Ilustrar ícone de anúncio de propaganda, com o desenho de uma bicicleta e a frase no topo: Always wear a helmet. Incluir algumas “cobrinhas” para indicar que tem mais texto.
j. Ilustrar ícone de camiseta, shorts, tênis, meia.
k. Ilustrar ícone de livro fechado, com um desenho na capa e algumas “cobrinhas” para indicar que é o texto (título, nome do autor, do ilustrador, da editora).
l. Ilustrar árvore genealógica com avós, pais, tios e primo ou prima (não precisa ter uma árvore se não tiver espaço, pode ser só os rostinhos das pessoas com as ligações). Referência: 
m. Ilustrar uma família composta de avó, pai, mãe, filha, tio e prima.
n. Ilustrar ícone de bilhete. Um pedaço de papel com o início: "Dear dad,". Abaixo, ilustrar umas “cobrinhas” para indicar que é o corpo do texto. No final, incluir a despedida e a assinatura: "Kisses, Gabi."
o. Ilustrar ícone de troféu para indicar o vencedor do jogo que chegou ao final primeiro. </t>
  </si>
  <si>
    <t>ly</t>
  </si>
  <si>
    <t xml:space="preserve">i6102_5p012i_g27_e002 </t>
  </si>
  <si>
    <t>GOODBYE</t>
  </si>
  <si>
    <t>Resgatar termômetro do 4p012i_g27_e002 – código i1102rm_4p012i_g27_e002</t>
  </si>
  <si>
    <t xml:space="preserve">i6103_5p012i_g27_e002 </t>
  </si>
  <si>
    <t>Ilustrar ícone de professora e estudante (meio corpo). Arte, se possível, enviar para o mesmo ilustrador da i6101_5p012i_g27_e002.</t>
  </si>
  <si>
    <t xml:space="preserve">i6104_5p012i_g27_e002 </t>
  </si>
  <si>
    <t>Ilustrar ícone de cartaz com o título RULES, “cobrinhas” para representar texto e ícone “check”. Arte, se possível, enviar para o mesmo ilustrador da i6101_5p012i_g27_e002. Referência:</t>
  </si>
  <si>
    <t xml:space="preserve">i6105_5p012i_g27_e002 </t>
  </si>
  <si>
    <t xml:space="preserve">Ilustrar ícone de bola de futebol e raquete de tênis de mesa. Arte, se possível, enviar para o mesmo ilustrador da i6101_5p012i_g27_e002. </t>
  </si>
  <si>
    <t xml:space="preserve">i6106_5p012i_g27_e002 </t>
  </si>
  <si>
    <t>Ilustrar ícone de bola de basquete com sinal de “check” ao lado e skate com sinal de X ao lado. Arte, se possível, enviar para o mesmo ilustrador da i6101_5p012i_g27_e002. Referência:</t>
  </si>
  <si>
    <t xml:space="preserve">i6107_5p012i_g27_e002 </t>
  </si>
  <si>
    <t xml:space="preserve">Ilustrar ícone de escova de dente e mochila escolar. Arte, se possível, enviar para o mesmo ilustrador da i6101_5p012i_g27_e002. </t>
  </si>
  <si>
    <t xml:space="preserve">i6108_5p012i_g27_e002 </t>
  </si>
  <si>
    <t>Ilustrar ícone de calendário com os dias da semana em inglês e sinal de “check” em tdos os dias. Arte, se possível, enviar para o mesmo ilustrador da i6101_5p012i_g27_e002.  Referência:</t>
  </si>
  <si>
    <t xml:space="preserve">i6109_5p012i_g27_e002 </t>
  </si>
  <si>
    <t xml:space="preserve">Ilustrar ícone de tesoura e panela de cozinha (para representar as profissões cabeleireiro e cozinheiro). Arte, se possível, enviar para o mesmo ilustrador da i6101_5p012i_g27_e002. </t>
  </si>
  <si>
    <t xml:space="preserve">i6110_5p012i_g27_e002 </t>
  </si>
  <si>
    <t>AJUSTE</t>
  </si>
  <si>
    <t xml:space="preserve">Ilustrar ícone de balão de fala com a frase SHE IS... Arte, se possível, enviar para o mesmo ilustrador da i6101_5p012i_g27_e002. </t>
  </si>
  <si>
    <t xml:space="preserve">i6111_5p012i_g27_e002 </t>
  </si>
  <si>
    <t xml:space="preserve">Ilustrar ícone de fone de ouvido. Arte, se possível, enviar para o mesmo ilustrador da i6101_5p012i_g27_e002. </t>
  </si>
  <si>
    <t xml:space="preserve">i6112_5p012i_g27_e002 </t>
  </si>
  <si>
    <t xml:space="preserve">Ilustrar ícone de balão de fala. Arte, se possível, enviar para o mesmo ilustrador da i6101_5p012i_g27_e002. </t>
  </si>
  <si>
    <t xml:space="preserve">i6113_5p012i_g27_e002 </t>
  </si>
  <si>
    <t xml:space="preserve">Ilustrar ícone de livro aberto com “cobrinhas” para representar o texto. Arte, se possível, enviar para o mesmo ilustrador da i6101_5p012i_g27_e002. </t>
  </si>
  <si>
    <t xml:space="preserve">i6114_5p012i_g27_e002 </t>
  </si>
  <si>
    <t xml:space="preserve">Ilustrar ícone de livro folha de papel com “cobrinhas” para representar o texto. Arte, se possível, enviar para o mesmo ilustrador da i6101_5p012i_g27_e002. </t>
  </si>
  <si>
    <t xml:space="preserve">i6115_5p012i_g27_e002 </t>
  </si>
  <si>
    <t xml:space="preserve">Ilustrar ícone de caderno e lápis. Arte, se possível, enviar para o mesmo ilustrador da i6101_5p012i_g27_e002. </t>
  </si>
  <si>
    <t>i6116_5p012i_g27_e002 </t>
  </si>
  <si>
    <t xml:space="preserve">Ilustrar ícone de rostinho de dois estudantes. Arte, se possível, enviar para o mesmo ilustrador da i6101_5p012i_g27_e002. </t>
  </si>
  <si>
    <t xml:space="preserve">i6117_5p012i_g27_e002 </t>
  </si>
  <si>
    <t xml:space="preserve">Ilustrar ícone de balão de fala com a palavra HELP. Arte, se possível, enviar para o mesmo ilustrador da i6101_5p012i_g27_e002. </t>
  </si>
  <si>
    <t xml:space="preserve">i6118_5p012i_g27_e002 </t>
  </si>
  <si>
    <t xml:space="preserve">Ilustrar ícone de duas mãos em um aperto de mão. Arte, se possível, enviar para o mesmo ilustrador da i6101_5p012i_g27_e002. </t>
  </si>
  <si>
    <t>i6116_1p012i_g27_e002</t>
  </si>
  <si>
    <t>EDICAO_ARTE</t>
  </si>
  <si>
    <t>CAPA</t>
  </si>
  <si>
    <t>ilustração da capa</t>
  </si>
  <si>
    <t>gi</t>
  </si>
  <si>
    <t>F:8/8</t>
  </si>
  <si>
    <t>i0503_5p012i_g27_e002</t>
  </si>
  <si>
    <t>Ilustrar uma folha de calendário à esquerda, com a palavra: Sunday. Ao lado e abaixo, ilustrar outras folhas do calendário, como se estivessem se soltado dele. Em cada folha deve ter um dia da semana (nessa ordem):
Monday</t>
  </si>
  <si>
    <t>F: 28/07</t>
  </si>
  <si>
    <t>if0122_2p012i_g27_e002</t>
  </si>
  <si>
    <t>IL + FOTO</t>
  </si>
  <si>
    <t>foto ilustração de dia e noite</t>
  </si>
  <si>
    <t>pn</t>
  </si>
  <si>
    <t>arte</t>
  </si>
  <si>
    <t>i0721_5p012i_g27_e002</t>
  </si>
  <si>
    <t>Ilustrar uma menina japonesa (cerca de 10 anos), de óculos e uniforme escolar, apontando para ela mesma. A ilustração deve ser de meio corpo e a menina deve estar na escola.</t>
  </si>
  <si>
    <t>i0722_5p012i_g27_e002</t>
  </si>
  <si>
    <t>Ilustrar um menino negro (cerca de 10 anos), e uniforme escolar, apontando para um homem careca, pele clara, olhos claros, com um avental de cozinha. A ilustração deve ser de meio corpo e os dois devem estar no refeitório da escola.</t>
  </si>
  <si>
    <t>excluida, virou i0721_5p012i_g27_e002</t>
  </si>
  <si>
    <t>i0723_5p012i_g27_e002</t>
  </si>
  <si>
    <t>Ilustrar as mesmas crianças da i0721_5p012i_g27_e002 e i0722_5p012i_g27_e002 olhando um professor e uma professora de Educação Física. A ilustração deve ser de meio corpo e os dois devem estar no pátio da escola.</t>
  </si>
  <si>
    <t>i0521_4p012i_g27_e002</t>
  </si>
  <si>
    <t>Ilustração simples de uma rua, na qual há uma padaria ao lado de uma farmácia. Referência:</t>
  </si>
  <si>
    <t>JANAINA OLIVEIRA/ARQUIVO DA EDITORA</t>
  </si>
  <si>
    <t>i0522_4p012i_g27_e002</t>
  </si>
  <si>
    <t>Ilustração simples de uma rua, na qual há uma academia, um bank e um parque (o banco deve estar entre os outros dois locais).</t>
  </si>
  <si>
    <t>i0523_4p012i_g27_e002</t>
  </si>
  <si>
    <t>Ilustração simples de uma rua onde, de um lado, há uma escola e do outro, atravessando a rua, há um hospital.</t>
  </si>
  <si>
    <t>i0524_4p012i_g27_e002</t>
  </si>
  <si>
    <t>Ilustração simples de um shopping center que se encontra na esquina de uma rua com uma placa em que está escrito Main Street.</t>
  </si>
  <si>
    <t>i0525_4p012i_g27_e002</t>
  </si>
  <si>
    <t xml:space="preserve">Ilustrar planta baixa com uma rua principal no meio e outra rua na lateral esquerda. Para a rua principal, colocar como nome: Oak Street. Para a outra rua, o nome: Rose Street.
De um lado da rua principal, ilustrar 3 estabelecimentos: museu, escola e padaria. Do outro lado da rua, ilustrar o parque. Incluir os nomes em inglês: museum, school, bakery, park. Referência
</t>
  </si>
  <si>
    <t>i0526_4p012i_g27_e002</t>
  </si>
  <si>
    <t xml:space="preserve">Ilustrar mapa da cidade com 2 ruas. Incluir os nomes: Cedro Street e Palmeira Street. Nos quarteirões, ilustrar os seguintes locais: farmácia, academia, banco, supermercado, parque, escola, restaurante e hospital. As fachadas podem ter ícones que remetam aos locais (remédio, halter, cifrão, carrinho de compra, placa com árvore, livro, garfo e cruz vermelha) e, se houver espaço, os nomes em inglês. Incluir faixas de pedestre, semáforo, placas de trânsito, árvores, plantas e outros detalhes pertinentes ao tema.
Referência para a posição dos lugares (primeira imagem) e para a linguagem da ilustração (segunda imagem):
</t>
  </si>
  <si>
    <t>i0528_4p012i_g27_e002</t>
  </si>
  <si>
    <t>Ilustrar um desenho de semáforo em uma folha de papel branca. A intenção é representar que um estudante fez o desenho como parte de um anúncio de propaganda sobre o trânsito.
Ilustrar a mesma folha branca com a frase escrita em letra cursiva cxAb: Stop. Look. Go safe. A intenção é representar que um estudante adicionou a frase no anúncio de propaganda sobre o trânsito.
Ilustrar a mesma folha branca com uma logo que contenha o desenho de um livro e, abaixo dele, a escrita students – 4º A. A intenção é representar que um estudante adicionou a logo no anúncio de propaganda sobre o trânsito.</t>
  </si>
  <si>
    <t>if1130_2p012i_g27_e002</t>
  </si>
  <si>
    <t>ABERTURA</t>
  </si>
  <si>
    <t>Abertura que era fotomontagem</t>
  </si>
  <si>
    <t>i6102_3p012i_g27_e002</t>
  </si>
  <si>
    <t xml:space="preserve">Resgatar do 4p012i_g27_e002 – código da ilustração i0102Bay_4p012i_g27_e002
AJUSTE para Arte: cropar somente a cola e a tesoura.
</t>
  </si>
  <si>
    <t>RESGATE AJUSTE</t>
  </si>
  <si>
    <t>i6103_3p012i_g27_e002</t>
  </si>
  <si>
    <t xml:space="preserve">
Resgatar do 4p012i_g27_e002 – código da ilustração i0102Cay_4p012i_g27_e002
AJUSTE para a Arte: cropar somente os balões com os pronomes THIS e THAT.
</t>
  </si>
  <si>
    <t>i6104_3p012i_g27_e002</t>
  </si>
  <si>
    <t xml:space="preserve">Resgatar do 4p012i_g27_e002 – código da ilustração i0102Day_4p012i_g27_e002
AJUSTE para a Arte: cropar somente o brocólis e o milho.
</t>
  </si>
  <si>
    <t>i6105_3p012i_g27_e002</t>
  </si>
  <si>
    <t>Resgatar colher e liquidificador do 4p012i_g27_e002 – código da ilustração i0102Eay_4p012i_g27_e002</t>
  </si>
  <si>
    <t>i6106_3p012i_g27_e002</t>
  </si>
  <si>
    <t xml:space="preserve">Resgatar do 4p012i_g27_e002 – código da ilustração i0102Kay_4p012i_g27_e002
AJUSTE para a Arte: cropar somente o tigre e o jacaré.
</t>
  </si>
  <si>
    <t>i6107_3p012i_g27_e002</t>
  </si>
  <si>
    <t xml:space="preserve">Resgatar do 4p012i_g27_e002 – código da ilustração i0102Lay_4p012i_g27_e002
AJUSTE para a Arte: cropar somente os dois macacos.
</t>
  </si>
  <si>
    <t>i6108_3p012i_g27_e002</t>
  </si>
  <si>
    <t xml:space="preserve">Resgatar do 4p012i_g27_e002 – código da ilustração i0102Nay_4p012i_g27_e002
AJUSTE para a Arte: cropar somente a flor e o sol.
</t>
  </si>
  <si>
    <t>i6109_3p012i_g27_e002</t>
  </si>
  <si>
    <t xml:space="preserve">Resgatar do 4p012i_g27_e002 – código da ilustração i0102Oay_4p012i_g27_e002
AJUSTE para a Arte: cropar somente a nuvem com chuva e o vento.
</t>
  </si>
  <si>
    <t>i6110_3p012i_g27_e002</t>
  </si>
  <si>
    <t>Ilustrar fone de ouvido. Arte, tentar fazer na mesma linguagem das ilus da i0102_4p012i_g27_e002</t>
  </si>
  <si>
    <t>i6111_3p012i_g27_e002</t>
  </si>
  <si>
    <t>Resgatar um dos balões com pronomes demonstrativos do 4p012i_g27_e002 – código da ilustração i0102Cay_4p012i_g27_e002
AJUSTE: retirar a palavra de dentro</t>
  </si>
  <si>
    <t>i6112_3p012i_g27_e002</t>
  </si>
  <si>
    <t>Ilustrar livro aberto com “cobrinhas” para simular texto. Arte, tentar fazer na mesma linguagem das ilus da i0102_4p012i_g27_e002</t>
  </si>
  <si>
    <t>i6113_3p012i_g27_e002</t>
  </si>
  <si>
    <t>Resgatar folha com lápis do 4p012i_g27_e002 – código da ilustração i0102Pay_4p012i_g27_e002
AJUSTE: retirar o coração</t>
  </si>
  <si>
    <t>i6114_3p012i_g27_e002</t>
  </si>
  <si>
    <t xml:space="preserve">Resgatar do 4p012i_g27_e002 – código da ilustração i0102Bay_4p012i_g27_e002
AJUSTE para a Arte: cropar somente o caderno e o lápis.
</t>
  </si>
  <si>
    <t>i6115_3p012i_g27_e002</t>
  </si>
  <si>
    <t>Ilustrar dois rostinhos de criança. Arte, tentar fazer na mesma linguagem das ilus da i0102_4p012i_g27_e002</t>
  </si>
  <si>
    <t>i6116_3p012i_g27_e002</t>
  </si>
  <si>
    <t>Resgatar folha com lápis do 4p012i_g27_e002 – código da ilustração i0102Pay_4p012i_g27_e002
AJUSTE: trocar a palavra de dentro do balão pela palavra HELP.</t>
  </si>
  <si>
    <t>i6117_3p012i_g27_e002</t>
  </si>
  <si>
    <t>Ilustrar duas mãos em um aperto de mão. Arte, tentar fazer na mesma linguagem das ilus da i0102_4p012i_g27_e002</t>
  </si>
  <si>
    <t>i6101_4p012i_g27_e002</t>
  </si>
  <si>
    <t>Resgatar ícone de cama e cadeira da i6101C_5p012i_g27_e002.
recortar somente cama e cadeira</t>
  </si>
  <si>
    <t>REULTILIZADA</t>
  </si>
  <si>
    <t>i6102_4p012i_g27_e002</t>
  </si>
  <si>
    <t xml:space="preserve">Resgatar ícone de bilhete da i6101Q_5p012i_g27_e002.
AJUSTE: Retirar “Dear, dad” e “Kisses, Gabi”. Deixar somente as cobrinhas e adicionar um sinal de + entre as frases dando um espaço entre elas ver print
</t>
  </si>
  <si>
    <t>i6103_4p012i_g27_e002</t>
  </si>
  <si>
    <t>Resgatar ícone de carro e bicicleta da i6101k_5p012i_g27_e002
Recortar somente o carro e a bicicleta</t>
  </si>
  <si>
    <t>i6104_4p012i_g27_e002</t>
  </si>
  <si>
    <t>Resgatar ícone de rua com padaria, banco e farmácia da i6101I_5p012i_g27_e002.</t>
  </si>
  <si>
    <t>i6105_4p012i_g27_e002</t>
  </si>
  <si>
    <t>Resgatar ícone de camiseta e tênis da i6101M_5p012i_g27_e002.
recortar somente a camiseta e o tenis</t>
  </si>
  <si>
    <t>i6106_4p012i_g27_e002</t>
  </si>
  <si>
    <t xml:space="preserve">Resgatar ícone de shorts e meia da i6101M_5p012i_g27_e002.
recortar somente o shorts e a meia
</t>
  </si>
  <si>
    <t>Bruna Campos</t>
  </si>
  <si>
    <t>Resgate da arte</t>
  </si>
  <si>
    <t>i6107_4p012i_g27_e002</t>
  </si>
  <si>
    <t>Resgatar ícone de família da i6101P_5p012i_g27_e002.</t>
  </si>
  <si>
    <t>i6108_4p012i_g27_e002</t>
  </si>
  <si>
    <t xml:space="preserve">Resgatar ícone de árvore genealógica da família da i6101O_5p012i_g27_e002.
AJUSTE: selecionar somente 2 pessoas e, ao lado delas, incluir um balão de fala com a palavra WE
</t>
  </si>
  <si>
    <t>i6109_4p012i_g27_e002</t>
  </si>
  <si>
    <t>Resgatar ícone de fone de ouvido da i6111_5p012i_g27_e002.</t>
  </si>
  <si>
    <t>i6110_4p012i_g27_e002</t>
  </si>
  <si>
    <t>Resgatar ícone de balão de fala da i6112_5p012i_g27_e002.</t>
  </si>
  <si>
    <t>i6111_4p012i_g27_e002</t>
  </si>
  <si>
    <t>Resgatar ícone de livro aberto da i6113_5p012i_g27_e002.</t>
  </si>
  <si>
    <t>i6112_4p012i_g27_e002</t>
  </si>
  <si>
    <t>Resgatar ícone de folha de papel da i6114_5p012i_g27_e002.</t>
  </si>
  <si>
    <t>i6113_4p012i_g27_e002</t>
  </si>
  <si>
    <t>Resgatar ícone de caderno e lápis da i6115_5p012i_g27_e002.</t>
  </si>
  <si>
    <t>i6114_4p012i_g27_e002</t>
  </si>
  <si>
    <t>Resgatar ícone de rostos de crianças da i6116_5p012i_g27_e002.</t>
  </si>
  <si>
    <t>i6115_4p012i_g27_e002</t>
  </si>
  <si>
    <t>Resgatar ícone de palavra com a palavra HELP da i6117_5p012i_g27_e002.</t>
  </si>
  <si>
    <t>i6116_4p012i_g27_e002</t>
  </si>
  <si>
    <t>Resgatar ícones de aperto de mãos da i6118_5p012i_g27_e002.</t>
  </si>
  <si>
    <t>i6120_4p012i_g27_e002</t>
  </si>
  <si>
    <t xml:space="preserve">il de lápis escrevendo
resgatar do i6114ay_5p012i_g27_e002
</t>
  </si>
  <si>
    <t>i0352_4p012i_g27_e002</t>
  </si>
  <si>
    <t>REMEMBER</t>
  </si>
  <si>
    <t>Ilustrar planta baixa com 2 ruas principais paralelas (de nomes: Moon Street e Nature Avenue) e 1 rua cortando as duas (de nome: Blue Street). Incluir faixas de pedestre e árvores. Separar as quadras, adicionando casas e os seguintes locais: bank, restaurant, bakery, gym, park, drugstore, supermarket, school. A localização deve ser de acordo com a referência.</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</si>
  <si>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</si>
  <si>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</si>
  <si>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</si>
  <si>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</si>
  <si>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</si>
  <si>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</si>
  <si>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</si>
  <si>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</si>
  <si>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</si>
  <si>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</si>
  <si>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</si>
  <si>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</si>
  <si>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</si>
  <si>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</si>
  <si>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</si>
  <si>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</si>
  <si>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</si>
  <si>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</si>
  <si>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</si>
  <si>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</si>
  <si>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</si>
  <si>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</si>
  <si>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</si>
  <si>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</si>
  <si>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</si>
  <si>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</si>
  <si>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</si>
  <si>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</si>
  <si>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</si>
  <si>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</si>
  <si>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</si>
  <si>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</si>
  <si>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</si>
  <si>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</si>
  <si>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</si>
  <si>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</si>
  <si>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</si>
  <si>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</si>
  <si>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</si>
  <si>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</si>
  <si>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</si>
  <si>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</si>
  <si>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</si>
  <si>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</si>
  <si>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</si>
  <si>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</si>
  <si>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</si>
  <si>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</si>
  <si>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</si>
  <si>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</si>
  <si>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</si>
  <si>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</si>
  <si>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</si>
  <si>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</si>
  <si>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</si>
  <si>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</si>
  <si>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</si>
  <si>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</si>
  <si>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</si>
  <si>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</si>
  <si>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</si>
  <si>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</si>
  <si>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</si>
  <si>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</si>
  <si>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</si>
  <si>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</si>
  <si>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</si>
  <si>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</si>
  <si>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</si>
  <si>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</si>
  <si>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</si>
  <si>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</si>
  <si>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</si>
  <si>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</si>
  <si>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</si>
  <si>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</si>
  <si>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</si>
  <si>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</si>
  <si>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</si>
  <si>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</si>
  <si>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</si>
  <si>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</si>
  <si>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</si>
  <si>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</si>
  <si>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</si>
  <si>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</si>
  <si>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</si>
  <si>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</si>
  <si>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</si>
  <si>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</si>
  <si>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</si>
  <si>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</si>
  <si>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</si>
  <si>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</si>
  <si>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</si>
  <si>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</si>
  <si>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</si>
  <si>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</si>
  <si>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</si>
  <si>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</si>
  <si>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</si>
  <si>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</si>
  <si>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</si>
  <si>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</si>
  <si>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</si>
  <si>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</si>
  <si>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</si>
  <si>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</si>
  <si>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</si>
  <si>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</si>
  <si>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</si>
  <si>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</si>
  <si>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</si>
  <si>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</si>
  <si>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</si>
  <si>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</si>
  <si>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</si>
  <si>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</si>
  <si>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</si>
  <si>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</si>
  <si>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</si>
  <si>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</si>
  <si>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</si>
  <si>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</si>
  <si>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</si>
  <si>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</si>
  <si>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</si>
  <si>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</si>
  <si>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</si>
  <si>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</si>
  <si>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</si>
  <si>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</si>
  <si>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</si>
  <si>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</si>
  <si>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</si>
  <si>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</si>
  <si>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</si>
  <si>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</si>
  <si>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</si>
  <si>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</si>
  <si>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</si>
  <si>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</si>
  <si>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</si>
  <si>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</si>
  <si>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</si>
  <si>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</si>
  <si>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</si>
  <si>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</si>
  <si>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</si>
  <si>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</si>
  <si>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</si>
  <si>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Cajila Barbosa</t>
  </si>
  <si>
    <t>kj</t>
  </si>
  <si>
    <t>CAJILA BARBOSA/ARQUIVO DA EDITORA</t>
  </si>
  <si>
    <t>Camila Ferreira Carmona</t>
  </si>
  <si>
    <t>CAMILA CARMONA/ARQUIVO DA EDITORA</t>
  </si>
  <si>
    <t>Carlitos Pinheiro</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</si>
  <si>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</si>
  <si>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</si>
  <si>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</si>
  <si>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</si>
  <si>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</si>
  <si>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</si>
  <si>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</si>
  <si>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</si>
  <si>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</si>
  <si>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</si>
  <si>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</si>
  <si>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</si>
  <si>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</si>
  <si>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</si>
  <si>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</si>
  <si>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</si>
  <si>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</si>
  <si>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</si>
  <si>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</si>
  <si>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</si>
  <si>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</si>
  <si>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</si>
  <si>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</si>
  <si>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</si>
  <si>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</si>
  <si>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</si>
  <si>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</si>
  <si>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</si>
  <si>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</si>
  <si>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</si>
  <si>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</si>
  <si>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</si>
  <si>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</si>
  <si>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</si>
  <si>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</si>
  <si>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</si>
  <si>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</si>
  <si>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</si>
  <si>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</si>
  <si>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</si>
  <si>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</si>
  <si>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</si>
  <si>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</si>
  <si>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</si>
  <si>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</si>
  <si>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</si>
  <si>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</si>
  <si>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</si>
  <si>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</si>
  <si>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</si>
  <si>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</si>
  <si>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</si>
  <si>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</si>
  <si>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</si>
  <si>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</si>
  <si>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</si>
  <si>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</si>
  <si>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</si>
  <si>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</si>
  <si>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</si>
  <si>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</si>
  <si>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</si>
  <si>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</si>
  <si>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</si>
  <si>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</si>
  <si>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</si>
  <si>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</si>
  <si>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</si>
  <si>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</si>
  <si>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</si>
  <si>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</si>
  <si>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</si>
  <si>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</si>
  <si>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</si>
  <si>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</si>
  <si>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</si>
  <si>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</si>
  <si>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</si>
  <si>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</si>
  <si>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</si>
  <si>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</si>
  <si>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</si>
  <si>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</si>
  <si>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</si>
  <si>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</si>
  <si>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</si>
  <si>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</si>
  <si>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</si>
  <si>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</si>
  <si>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</si>
  <si>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</si>
  <si>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</si>
  <si>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</si>
  <si>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</si>
  <si>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</si>
  <si>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</si>
  <si>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</si>
  <si>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</si>
  <si>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</si>
  <si>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</si>
  <si>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</si>
  <si>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</si>
  <si>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</si>
  <si>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</si>
  <si>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</si>
  <si>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</si>
  <si>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</si>
  <si>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</si>
  <si>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</si>
  <si>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</si>
  <si>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</si>
  <si>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</si>
  <si>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</si>
  <si>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</si>
  <si>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</si>
  <si>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</si>
  <si>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</si>
  <si>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</si>
  <si>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</si>
  <si>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</si>
  <si>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</si>
  <si>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</si>
  <si>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</si>
  <si>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</si>
  <si>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</si>
  <si>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</si>
  <si>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</si>
  <si>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</si>
  <si>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</si>
  <si>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</si>
  <si>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</si>
  <si>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</si>
  <si>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</si>
  <si>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</si>
  <si>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</si>
  <si>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</si>
  <si>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</si>
  <si>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</si>
  <si>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</si>
  <si>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</si>
  <si>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</si>
  <si>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</si>
  <si>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</si>
  <si>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</si>
  <si>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</si>
  <si>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</si>
  <si>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</si>
  <si>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</si>
  <si>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</si>
  <si>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</si>
  <si>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</si>
  <si>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</si>
  <si>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</si>
  <si>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</si>
  <si>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</si>
  <si>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</si>
  <si>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</si>
  <si>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</si>
  <si>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</si>
  <si>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</si>
  <si>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</si>
  <si>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</si>
  <si>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</si>
  <si>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</si>
  <si>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</si>
  <si>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</si>
  <si>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</si>
  <si>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</si>
  <si>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</si>
  <si>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</si>
  <si>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</si>
  <si>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</si>
  <si>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</si>
  <si>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</si>
  <si>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</si>
  <si>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</si>
  <si>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</si>
  <si>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</si>
  <si>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</si>
  <si>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</si>
  <si>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</si>
  <si>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</si>
  <si>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</si>
  <si>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</si>
  <si>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</si>
  <si>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</si>
  <si>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</si>
  <si>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</si>
  <si>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</si>
  <si>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</si>
  <si>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</si>
  <si>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</si>
  <si>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</si>
  <si>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</si>
  <si>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</si>
  <si>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</si>
  <si>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</si>
  <si>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</si>
  <si>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</si>
  <si>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</si>
  <si>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</si>
  <si>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</si>
  <si>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</si>
  <si>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</si>
  <si>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</si>
  <si>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</si>
  <si>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</si>
  <si>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</si>
  <si>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</si>
  <si>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</si>
  <si>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</si>
  <si>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</si>
  <si>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</si>
  <si>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</si>
  <si>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</si>
  <si>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</si>
  <si>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</si>
  <si>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</si>
  <si>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</si>
  <si>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GABRIELA TOZATI/ARQUIVO DA EDITORA</t>
  </si>
  <si>
    <t>Gabriella Imai</t>
  </si>
  <si>
    <t>gx</t>
  </si>
  <si>
    <t>GABRIELLA IMAI/ARQUIVO DA EDITORA</t>
  </si>
  <si>
    <t xml:space="preserve">Gilberto Audibert Alicio </t>
  </si>
  <si>
    <t>ga</t>
  </si>
  <si>
    <t>GILBERTO ALICIO/ARQUIVO DA EDITORA</t>
  </si>
  <si>
    <t>Giovana Medeiros</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</si>
  <si>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</si>
  <si>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</si>
  <si>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</si>
  <si>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</si>
  <si>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</si>
  <si>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</si>
  <si>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</si>
  <si>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</si>
  <si>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</si>
  <si>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</si>
  <si>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</si>
  <si>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</si>
  <si>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</si>
  <si>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</si>
  <si>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</si>
  <si>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</si>
  <si>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</si>
  <si>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</si>
  <si>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</si>
  <si>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</si>
  <si>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</si>
  <si>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</si>
  <si>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</si>
  <si>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</si>
  <si>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</si>
  <si>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</si>
  <si>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</si>
  <si>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</si>
  <si>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</si>
  <si>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</si>
  <si>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</si>
  <si>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</si>
  <si>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</si>
  <si>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</si>
  <si>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</si>
  <si>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</si>
  <si>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</si>
  <si>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</si>
  <si>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</si>
  <si>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</si>
  <si>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</si>
  <si>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</si>
  <si>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</si>
  <si>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</si>
  <si>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</si>
  <si>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</si>
  <si>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</si>
  <si>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</si>
  <si>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</si>
  <si>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</si>
  <si>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</si>
  <si>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</si>
  <si>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</si>
  <si>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</si>
  <si>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</si>
  <si>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</si>
  <si>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</si>
  <si>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</si>
  <si>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</si>
  <si>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</si>
  <si>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</si>
  <si>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</si>
  <si>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</si>
  <si>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</si>
  <si>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</si>
  <si>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</si>
  <si>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</si>
  <si>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</si>
  <si>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</si>
  <si>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</si>
  <si>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</si>
  <si>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</si>
  <si>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</si>
  <si>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</si>
  <si>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</si>
  <si>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</si>
  <si>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</si>
  <si>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</si>
  <si>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</si>
  <si>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</si>
  <si>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</si>
  <si>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</si>
  <si>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</si>
  <si>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</si>
  <si>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</si>
  <si>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</si>
  <si>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</si>
  <si>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</si>
  <si>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</si>
  <si>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</si>
  <si>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</si>
  <si>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</si>
  <si>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</si>
  <si>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</si>
  <si>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JACQUELINE LIMA/ARQUIVO DA EDITORA</t>
  </si>
  <si>
    <t>Janaina de Oliveira Castro</t>
  </si>
  <si>
    <t>ja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</si>
  <si>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</si>
  <si>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</si>
  <si>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</si>
  <si>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</si>
  <si>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</si>
  <si>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</si>
  <si>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</si>
  <si>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</si>
  <si>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</si>
  <si>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</si>
  <si>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</si>
  <si>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</si>
  <si>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</si>
  <si>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</si>
  <si>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</si>
  <si>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</si>
  <si>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</si>
  <si>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</si>
  <si>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</si>
  <si>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</si>
  <si>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</si>
  <si>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</si>
  <si>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</si>
  <si>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</si>
  <si>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</si>
  <si>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</si>
  <si>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</si>
  <si>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</si>
  <si>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</si>
  <si>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</si>
  <si>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</si>
  <si>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</si>
  <si>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</si>
  <si>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</si>
  <si>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</si>
  <si>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</si>
  <si>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</si>
  <si>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</si>
  <si>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</si>
  <si>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</si>
  <si>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</si>
  <si>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</si>
  <si>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</si>
  <si>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</si>
  <si>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</si>
  <si>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</si>
  <si>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</si>
  <si>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</si>
  <si>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</si>
  <si>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</si>
  <si>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</si>
  <si>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</si>
  <si>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</si>
  <si>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km</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</si>
  <si>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</si>
  <si>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</si>
  <si>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</si>
  <si>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</si>
  <si>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</si>
  <si>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</si>
  <si>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</si>
  <si>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</si>
  <si>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</si>
  <si>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</si>
  <si>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</si>
  <si>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</si>
  <si>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</si>
  <si>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</si>
  <si>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</si>
  <si>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</si>
  <si>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</si>
  <si>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</si>
  <si>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</si>
  <si>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</si>
  <si>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</si>
  <si>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</si>
  <si>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</si>
  <si>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</si>
  <si>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</si>
  <si>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</si>
  <si>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</si>
  <si>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</si>
  <si>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</si>
  <si>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</si>
  <si>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</si>
  <si>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</si>
  <si>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</si>
  <si>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</si>
  <si>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</si>
  <si>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</si>
  <si>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</si>
  <si>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</si>
  <si>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</si>
  <si>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</si>
  <si>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</si>
  <si>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</si>
  <si>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</si>
  <si>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</si>
  <si>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</si>
  <si>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</si>
  <si>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</si>
  <si>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</si>
  <si>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</si>
  <si>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</si>
  <si>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</si>
  <si>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</si>
  <si>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</si>
  <si>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</si>
  <si>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</si>
  <si>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</si>
  <si>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</si>
  <si>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</si>
  <si>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</si>
  <si>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</si>
  <si>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</si>
  <si>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</si>
  <si>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</si>
  <si>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</si>
  <si>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</si>
  <si>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</si>
  <si>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</si>
  <si>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</si>
  <si>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</si>
  <si>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</si>
  <si>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</si>
  <si>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</si>
  <si>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</si>
  <si>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</si>
  <si>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</si>
  <si>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</si>
  <si>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</si>
  <si>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</si>
  <si>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</si>
  <si>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</si>
  <si>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</si>
  <si>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</si>
  <si>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</si>
  <si>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</si>
  <si>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</si>
  <si>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</si>
  <si>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</si>
  <si>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</si>
  <si>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</si>
  <si>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</si>
  <si>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</si>
  <si>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</si>
  <si>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</si>
  <si>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</si>
  <si>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</si>
  <si>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</si>
  <si>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</si>
  <si>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</si>
  <si>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</si>
  <si>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</si>
  <si>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</si>
  <si>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</si>
  <si>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</si>
  <si>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</si>
  <si>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</si>
  <si>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</si>
  <si>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</si>
  <si>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</si>
  <si>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</si>
  <si>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</si>
  <si>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</si>
  <si>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</si>
  <si>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</si>
  <si>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</si>
  <si>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</si>
  <si>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</si>
  <si>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</si>
  <si>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</si>
  <si>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</si>
  <si>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</si>
  <si>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</si>
  <si>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</si>
  <si>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</si>
  <si>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</si>
  <si>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</si>
  <si>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</si>
  <si>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</si>
  <si>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</si>
  <si>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</si>
  <si>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</si>
  <si>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</si>
  <si>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</si>
  <si>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</si>
  <si>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</si>
  <si>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</si>
  <si>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</si>
  <si>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</si>
  <si>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</si>
  <si>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</si>
  <si>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</si>
  <si>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</si>
  <si>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</si>
  <si>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</si>
  <si>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</si>
  <si>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</si>
  <si>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</si>
  <si>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</si>
  <si>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</si>
  <si>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</si>
  <si>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</si>
  <si>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</si>
  <si>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</si>
  <si>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</si>
  <si>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</si>
  <si>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</si>
  <si>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</si>
  <si>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</si>
  <si>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</si>
  <si>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</si>
  <si>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</si>
  <si>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</si>
  <si>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</si>
  <si>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</si>
  <si>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</si>
  <si>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</si>
  <si>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</si>
  <si>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</si>
  <si>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</si>
  <si>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</si>
  <si>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</si>
  <si>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</si>
  <si>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</si>
  <si>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</si>
  <si>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</si>
  <si>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</si>
  <si>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</si>
  <si>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</si>
  <si>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</si>
  <si>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</si>
  <si>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</si>
  <si>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</si>
  <si>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</si>
  <si>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</si>
  <si>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</si>
  <si>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</si>
  <si>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</si>
  <si>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</si>
  <si>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</si>
  <si>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</si>
  <si>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</si>
  <si>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</si>
  <si>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</si>
  <si>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</si>
  <si>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</si>
  <si>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</si>
  <si>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</si>
  <si>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</si>
  <si>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</si>
  <si>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</si>
  <si>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</si>
  <si>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</si>
  <si>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</si>
  <si>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</si>
  <si>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</si>
  <si>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</si>
  <si>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</si>
  <si>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</si>
  <si>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</si>
  <si>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</si>
  <si>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</si>
  <si>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</si>
  <si>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</si>
  <si>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</si>
  <si>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</si>
  <si>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</si>
  <si>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</si>
  <si>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</si>
  <si>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</si>
  <si>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</si>
  <si>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</si>
  <si>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</si>
  <si>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</si>
  <si>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</si>
  <si>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</si>
  <si>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</si>
  <si>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</si>
  <si>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</si>
  <si>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</si>
  <si>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</si>
  <si>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</si>
  <si>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</si>
  <si>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RAFAEL LUZIO/ARQUIVO DA EDITORA</t>
  </si>
  <si>
    <t>Rafael Martins - Somma</t>
  </si>
  <si>
    <t>Rafaela Harger</t>
  </si>
  <si>
    <t xml:space="preserve">rx </t>
  </si>
  <si>
    <t>RAFAELA HARGER/ARQUIVO DA EDITORA</t>
  </si>
  <si>
    <t>Rafaela Hidalgo Pereira</t>
  </si>
  <si>
    <t>rp</t>
  </si>
  <si>
    <t>RAFAELA H. PEREIRA/ARQUIVO DA EDITORA</t>
  </si>
  <si>
    <t xml:space="preserve">Rafaela Panissa </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</si>
  <si>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</si>
  <si>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</si>
  <si>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</si>
  <si>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</si>
  <si>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</si>
  <si>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</si>
  <si>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</si>
  <si>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</si>
  <si>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</si>
  <si>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</si>
  <si>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</si>
  <si>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</si>
  <si>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</si>
  <si>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</si>
  <si>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RAYANNE CARDOSO/ARQUIVO DA EDITORA</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</si>
  <si>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</si>
  <si>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</si>
  <si>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</si>
  <si>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</si>
  <si>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</si>
  <si>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</si>
  <si>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</si>
  <si>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</si>
  <si>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</si>
  <si>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</si>
  <si>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</si>
  <si>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</si>
  <si>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</si>
  <si>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</si>
  <si>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</si>
  <si>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</si>
  <si>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</si>
  <si>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</si>
  <si>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</si>
  <si>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</si>
  <si>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</si>
  <si>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</si>
  <si>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</si>
  <si>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</si>
  <si>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</si>
  <si>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</si>
  <si>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</si>
  <si>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</si>
  <si>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</si>
  <si>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</si>
  <si>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</si>
  <si>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</si>
  <si>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</si>
  <si>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</si>
  <si>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</si>
  <si>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</si>
  <si>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</si>
  <si>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</si>
  <si>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</si>
  <si>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</si>
  <si>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</si>
  <si>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</si>
  <si>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</si>
  <si>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</si>
  <si>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</si>
  <si>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</si>
  <si>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</si>
  <si>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</si>
  <si>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</si>
  <si>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</si>
  <si>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</si>
  <si>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</si>
  <si>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</si>
  <si>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</si>
  <si>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</si>
  <si>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</si>
  <si>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</si>
  <si>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</si>
  <si>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</si>
  <si>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</si>
  <si>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</si>
  <si>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</si>
  <si>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</si>
  <si>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</si>
  <si>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</si>
  <si>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</si>
  <si>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</si>
  <si>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</si>
  <si>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</si>
  <si>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</si>
  <si>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</si>
  <si>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</si>
  <si>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</si>
  <si>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</si>
  <si>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</si>
  <si>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</si>
  <si>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</si>
  <si>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</si>
  <si>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</si>
  <si>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</si>
  <si>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</si>
  <si>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</si>
  <si>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</si>
  <si>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</si>
  <si>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</si>
  <si>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</si>
  <si>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</si>
  <si>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</si>
  <si>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</si>
  <si>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</si>
  <si>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</si>
  <si>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</si>
  <si>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</si>
  <si>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</si>
  <si>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</si>
  <si>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</si>
  <si>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</si>
  <si>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</si>
  <si>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</si>
  <si>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</si>
  <si>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</si>
  <si>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</si>
  <si>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</si>
  <si>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</si>
  <si>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</si>
  <si>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</si>
  <si>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</si>
  <si>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</si>
  <si>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</si>
  <si>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</si>
  <si>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</si>
  <si>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</si>
  <si>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</si>
  <si>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</si>
  <si>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</si>
  <si>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t>
  </si>
  <si>
    <t>ti</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</si>
  <si>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</si>
  <si>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</si>
  <si>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</si>
  <si>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</si>
  <si>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</si>
  <si>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</si>
  <si>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</si>
  <si>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</si>
  <si>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</si>
  <si>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</si>
  <si>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</si>
  <si>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</si>
  <si>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</si>
  <si>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</si>
  <si>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</si>
  <si>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</si>
  <si>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</si>
  <si>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</si>
  <si>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</si>
  <si>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</si>
  <si>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</si>
  <si>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</si>
  <si>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</si>
  <si>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</si>
  <si>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VERIDIANA PEGORARO CAMELO/ARQUIVO DA EDITORA</t>
  </si>
  <si>
    <t xml:space="preserve">Veridiana Scarpelli - IMAGERIA ESTUDIO </t>
  </si>
  <si>
    <t>vs</t>
  </si>
  <si>
    <t>VIRIDIANA SCARPELLI/ARQUIVO DA EDITORA</t>
  </si>
  <si>
    <t>Victor Ferreira Lemos</t>
  </si>
  <si>
    <t>vf</t>
  </si>
  <si>
    <t>VICTOR LEMOS/ARQUIVO DA EDITORA</t>
  </si>
  <si>
    <t>Vinícius Costa</t>
  </si>
  <si>
    <t>vc</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</si>
  <si>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</si>
  <si>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</si>
  <si>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</si>
  <si>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</si>
  <si>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</si>
  <si>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</si>
  <si>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</si>
  <si>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</si>
  <si>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</si>
  <si>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</si>
  <si>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</si>
  <si>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</si>
  <si>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</si>
  <si>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</si>
  <si>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</si>
  <si>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</si>
  <si>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</si>
  <si>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</si>
  <si>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</si>
  <si>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</si>
  <si>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</si>
  <si>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</si>
  <si>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</si>
  <si>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IL TEC ARTE</t>
  </si>
  <si>
    <t>APRESENT.</t>
  </si>
  <si>
    <t>FTD</t>
  </si>
  <si>
    <t>SUMÁRIO</t>
  </si>
  <si>
    <t>MDN</t>
  </si>
  <si>
    <t>ILUSTRANDO</t>
  </si>
  <si>
    <t>MAPA</t>
  </si>
  <si>
    <t>SABER</t>
  </si>
  <si>
    <t>GRÁFICO</t>
  </si>
  <si>
    <t>SM</t>
  </si>
  <si>
    <t>AJUSTANDO</t>
  </si>
  <si>
    <t>LINHA TEMPO</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</si>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</sst>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color rgb="FF000000"/>
      <name val="Aptos Narrow"/>
      <charset val="1"/>
    </font>
    <font>
      <sz val="12"/>
      <color theme="1"/>
      <name val="Calibri"/>
      <family val="2"/>
      <charset val="1"/>
    </font>
    <font>
      <sz val="11"/>
      <name val="Arial Narrow"/>
    </font>
    <font>
      <sz val="11"/>
      <color rgb="FF242424"/>
      <name val="Aptos Narrow"/>
      <charset val="1"/>
    </font>
    <font>
      <sz val="11"/>
      <color rgb="FF000000"/>
      <name val="Aptos Narrow"/>
      <family val="2"/>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9">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0" fillId="0" borderId="0" xfId="0" applyAlignment="1" applyProtection="1">
      <alignment horizontal="center" vertical="center" wrapText="1"/>
      <protection locked="0"/>
    </xf>
    <xf numFmtId="0" fontId="0" fillId="0" borderId="0" xfId="0" quotePrefix="1" applyAlignment="1" applyProtection="1">
      <alignment horizontal="left" vertical="center" wrapText="1"/>
      <protection locked="0"/>
    </xf>
    <xf numFmtId="0" fontId="8" fillId="0" borderId="0" xfId="0" applyFont="1" applyProtection="1">
      <protection locked="0"/>
    </xf>
    <xf numFmtId="0" fontId="9" fillId="0" borderId="0" xfId="0" applyFont="1" applyProtection="1">
      <protection locked="0"/>
    </xf>
    <xf numFmtId="0" fontId="10" fillId="9" borderId="5" xfId="0" applyFont="1" applyFill="1" applyBorder="1" applyAlignment="1">
      <alignment horizontal="left"/>
    </xf>
    <xf numFmtId="0" fontId="11" fillId="0" borderId="0" xfId="0" applyFont="1"/>
    <xf numFmtId="0" fontId="12" fillId="0" borderId="10" xfId="0" applyFont="1" applyBorder="1" applyAlignment="1">
      <alignment vertical="center"/>
    </xf>
    <xf numFmtId="0" fontId="7" fillId="9" borderId="5" xfId="0" applyFont="1" applyFill="1" applyBorder="1" applyAlignment="1" applyProtection="1">
      <alignment horizontal="left" vertical="center"/>
      <protection locked="0"/>
    </xf>
    <xf numFmtId="0" fontId="6" fillId="11"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682058A0-C878-49E3-BC8B-7A4889CE031C}"/>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D6DF4456-4B75-41EE-B8A6-FBB98F1E6787}"/>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07302A4A-C3BC-4D20-8B9B-9CB392769359}"/>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BECE3E60-16FB-493D-9FF4-C92B9EBB2A57}"/>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7" name="CaixaDeTexto 6">
          <a:extLst>
            <a:ext uri="{FF2B5EF4-FFF2-40B4-BE49-F238E27FC236}">
              <a16:creationId xmlns:a16="http://schemas.microsoft.com/office/drawing/2014/main" id="{EEDD6958-740D-4603-BD1F-326D56A5E704}"/>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62908C30-FC52-4F9B-99DE-A9E3D0D92B30}"/>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E398077F-2409-4DB0-8D6F-F4CB13101B10}"/>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401FDCC8-10F0-4FF2-8F67-2D2D7926A8A9}"/>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1" name="CaixaDeTexto 10">
          <a:extLst>
            <a:ext uri="{FF2B5EF4-FFF2-40B4-BE49-F238E27FC236}">
              <a16:creationId xmlns:a16="http://schemas.microsoft.com/office/drawing/2014/main" id="{F0B1D8AB-5952-4BC6-889D-6FA6ED0A5264}"/>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4EEB2857-7F3B-4276-A08E-23C36BAD1B2D}"/>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31ACAE27-6F9D-44BA-AB4B-9E0BC2DB5327}"/>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119D7239-E866-4084-B59F-C5BA22619226}"/>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C12BE027-A2F8-4E1C-B1E5-3280AA0A5794}"/>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A06EC169-CE95-421C-95FF-DEFB6C55C783}"/>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A89CF72A-D68C-41B2-8AB1-24E87D4B4A22}"/>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8" name="CaixaDeTexto 17">
          <a:extLst>
            <a:ext uri="{FF2B5EF4-FFF2-40B4-BE49-F238E27FC236}">
              <a16:creationId xmlns:a16="http://schemas.microsoft.com/office/drawing/2014/main" id="{EF058C1E-919A-4ECF-AF68-CDF3275BDFA9}"/>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9" name="CaixaDeTexto 18">
          <a:extLst>
            <a:ext uri="{FF2B5EF4-FFF2-40B4-BE49-F238E27FC236}">
              <a16:creationId xmlns:a16="http://schemas.microsoft.com/office/drawing/2014/main" id="{C3F0C8FA-08BF-4C3B-8D78-636337E50104}"/>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00" totalsRowShown="0" headerRowDxfId="39" dataDxfId="38">
  <autoFilter ref="A1:AE500"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C1FEADE5-978E-42A0-A72B-4B75CDF084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Ing"</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4D6D8-E68F-4104-9D2F-7DE70BD2D690}" name="Tabela1" displayName="Tabela1" ref="A2:C338" totalsRowShown="0" headerRowDxfId="6" headerRowBorderDxfId="5" tableBorderDxfId="4" totalsRowBorderDxfId="3">
  <autoFilter ref="A2:C338" xr:uid="{6F54D6D8-E68F-4104-9D2F-7DE70BD2D690}"/>
  <tableColumns count="3">
    <tableColumn id="1" xr3:uid="{B24412AE-B990-4A45-B889-D6167B0F0542}" name="Nome do ilustrador" dataDxfId="2"/>
    <tableColumn id="2" xr3:uid="{9BE30BD0-5A54-40CA-80EE-A2B0E9B1C1F5}" name="Sigla Arte" dataDxfId="1"/>
    <tableColumn id="3" xr3:uid="{00A3F2A9-AC87-4401-A118-26779A2D57AA}"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90584833-A839-4CFB-A203-2076C11CF896}">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00"/>
  <sheetViews>
    <sheetView tabSelected="1" workbookViewId="0">
      <pane xSplit="1" ySplit="1" topLeftCell="R2" activePane="bottomRight" state="frozen"/>
      <selection pane="topRight"/>
      <selection pane="bottomLeft" activeCell="A2" sqref="A2"/>
      <selection pane="bottomRight"/>
    </sheetView>
  </sheetViews>
  <sheetFormatPr defaultRowHeight="15" x14ac:dyDescent="0.25"/>
  <cols>
    <col min="1" max="1" width="26.28515625" style="4" customWidth="1"/>
    <col min="2" max="2" width="15.28515625" style="21" bestFit="1" customWidth="1"/>
    <col min="3" max="3" width="16.140625" style="21" bestFit="1" customWidth="1"/>
    <col min="4" max="4" width="15.28515625" style="21" customWidth="1"/>
    <col min="5" max="5" width="12.42578125" style="3" bestFit="1" customWidth="1"/>
    <col min="6" max="6" width="10.5703125" style="3" customWidth="1"/>
    <col min="7" max="7" width="11.140625" style="3" customWidth="1"/>
    <col min="8" max="8" width="13.5703125" style="3" customWidth="1"/>
    <col min="9" max="9" width="9.7109375" style="4" bestFit="1" customWidth="1"/>
    <col min="10" max="10" width="21.28515625" style="4" hidden="1" customWidth="1"/>
    <col min="11" max="11" width="12.85546875" style="3" hidden="1" customWidth="1"/>
    <col min="12" max="12" width="14" style="3" hidden="1" customWidth="1"/>
    <col min="13" max="13" width="15.28515625" style="4" hidden="1" customWidth="1"/>
    <col min="14" max="14" width="16.5703125" style="4" customWidth="1"/>
    <col min="15" max="15" width="54.42578125" style="21" customWidth="1"/>
    <col min="16" max="16" width="17.5703125" style="21" customWidth="1"/>
    <col min="17" max="17" width="36.42578125" style="21" hidden="1" customWidth="1"/>
    <col min="18" max="18" width="20.5703125" style="3" customWidth="1"/>
    <col min="19" max="20" width="18.7109375" style="25" customWidth="1"/>
    <col min="21" max="21" width="21" style="25" customWidth="1"/>
    <col min="22" max="23" width="18.7109375" style="25" customWidth="1"/>
    <col min="24" max="24" width="8.85546875" style="3" customWidth="1"/>
    <col min="25" max="25" width="57.85546875" style="4" customWidth="1"/>
    <col min="26" max="26" width="24.7109375" style="4" customWidth="1"/>
    <col min="27" max="27" width="61.85546875" style="4" customWidth="1"/>
    <col min="28" max="28" width="16.5703125" style="3" customWidth="1"/>
    <col min="29" max="29" width="35.5703125" style="21" customWidth="1"/>
    <col min="30" max="30" width="19.42578125" style="20" customWidth="1"/>
    <col min="31" max="31" width="13.7109375" style="4" bestFit="1" customWidth="1"/>
  </cols>
  <sheetData>
    <row r="1" spans="1:31" s="10" customFormat="1" ht="66" customHeight="1"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18" t="s">
        <v>14</v>
      </c>
      <c r="P1" s="18" t="s">
        <v>15</v>
      </c>
      <c r="Q1" s="8" t="s">
        <v>16</v>
      </c>
      <c r="R1" s="8" t="s">
        <v>17</v>
      </c>
      <c r="S1" s="16" t="s">
        <v>18</v>
      </c>
      <c r="T1" s="13" t="s">
        <v>19</v>
      </c>
      <c r="U1" s="13" t="s">
        <v>20</v>
      </c>
      <c r="V1" s="13" t="s">
        <v>21</v>
      </c>
      <c r="W1" s="14" t="s">
        <v>22</v>
      </c>
      <c r="X1" s="9" t="s">
        <v>23</v>
      </c>
      <c r="Y1" s="11" t="s">
        <v>24</v>
      </c>
      <c r="Z1" s="9" t="s">
        <v>25</v>
      </c>
      <c r="AA1" s="11" t="s">
        <v>26</v>
      </c>
      <c r="AB1" s="9" t="s">
        <v>27</v>
      </c>
      <c r="AC1" s="9" t="s">
        <v>28</v>
      </c>
      <c r="AD1" s="19" t="s">
        <v>29</v>
      </c>
      <c r="AE1" s="15" t="s">
        <v>30</v>
      </c>
    </row>
    <row r="2" spans="1:31" s="12" customFormat="1" ht="105" x14ac:dyDescent="0.25">
      <c r="A2" s="23" t="s">
        <v>31</v>
      </c>
      <c r="B2" s="20" t="s">
        <v>32</v>
      </c>
      <c r="C2" s="20" t="s">
        <v>33</v>
      </c>
      <c r="D2" s="20" t="s">
        <v>34</v>
      </c>
      <c r="E2" s="22">
        <v>71</v>
      </c>
      <c r="F2" s="22">
        <v>1</v>
      </c>
      <c r="G2" s="22"/>
      <c r="H2" s="22" t="s">
        <v>35</v>
      </c>
      <c r="I2" s="23" t="s">
        <v>36</v>
      </c>
      <c r="J2" s="23"/>
      <c r="K2" s="22"/>
      <c r="L2" s="22"/>
      <c r="M2" s="23"/>
      <c r="N2" s="23"/>
      <c r="O2" s="26" t="s">
        <v>37</v>
      </c>
      <c r="P2" s="26"/>
      <c r="Q2" s="26"/>
      <c r="R2" s="22">
        <v>1</v>
      </c>
      <c r="S2" s="24">
        <v>45741</v>
      </c>
      <c r="T2" s="24">
        <v>45743</v>
      </c>
      <c r="U2" s="24">
        <v>45748</v>
      </c>
      <c r="V2" s="24">
        <v>45749</v>
      </c>
      <c r="W2" s="24">
        <v>45758</v>
      </c>
      <c r="X2" s="22" t="s">
        <v>38</v>
      </c>
      <c r="Y2" s="4" t="str">
        <f>IF(Tabela2[[#This Row],[SIGLA]]="","",VLOOKUP(Tabela2[[#This Row],[SIGLA]],Tabela1[[#All],[Sigla Arte]:[Crédito]],2,0))</f>
        <v>VERIDIANA PEGORARO CAMELO/ARQUIVO DA EDITORA</v>
      </c>
      <c r="Z2" s="23"/>
      <c r="AA2" s="23" t="str">
        <f>Tabela2[[#This Row],[ILUSTRADOR CRIAÇÃO]]</f>
        <v>VERIDIANA PEGORARO CAMELO/ARQUIVO DA EDITORA</v>
      </c>
      <c r="AB2" s="22">
        <v>3</v>
      </c>
      <c r="AC2" s="20" t="s">
        <v>39</v>
      </c>
      <c r="AD2" s="20" t="s">
        <v>40</v>
      </c>
      <c r="AE2" s="4" t="str">
        <f t="shared" ref="AE2:AE65" si="0">"EF1 E002 Ing"</f>
        <v>EF1 E002 Ing</v>
      </c>
    </row>
    <row r="3" spans="1:31" s="12" customFormat="1" ht="375" x14ac:dyDescent="0.25">
      <c r="A3" s="23" t="s">
        <v>41</v>
      </c>
      <c r="B3" s="20" t="s">
        <v>32</v>
      </c>
      <c r="C3" s="20" t="s">
        <v>33</v>
      </c>
      <c r="D3" s="20" t="s">
        <v>34</v>
      </c>
      <c r="E3" s="22">
        <v>12</v>
      </c>
      <c r="F3" s="22">
        <v>1</v>
      </c>
      <c r="G3" s="22"/>
      <c r="H3" s="22" t="s">
        <v>42</v>
      </c>
      <c r="I3" s="23" t="s">
        <v>36</v>
      </c>
      <c r="J3" s="23"/>
      <c r="K3" s="22"/>
      <c r="L3" s="22"/>
      <c r="M3" s="23"/>
      <c r="N3" s="23"/>
      <c r="O3" s="26" t="s">
        <v>43</v>
      </c>
      <c r="P3" s="26"/>
      <c r="Q3" s="26"/>
      <c r="R3" s="22">
        <v>2</v>
      </c>
      <c r="S3" s="24">
        <v>45741</v>
      </c>
      <c r="T3" s="24">
        <v>45743</v>
      </c>
      <c r="U3" s="24">
        <v>45751</v>
      </c>
      <c r="V3" s="24">
        <v>45755</v>
      </c>
      <c r="W3" s="24">
        <v>45761</v>
      </c>
      <c r="X3" s="22" t="s">
        <v>38</v>
      </c>
      <c r="Y3" s="4" t="str">
        <f>IF(Tabela2[[#This Row],[SIGLA]]="","",VLOOKUP(Tabela2[[#This Row],[SIGLA]],Tabela1[[#All],[Sigla Arte]:[Crédito]],2,0))</f>
        <v>VERIDIANA PEGORARO CAMELO/ARQUIVO DA EDITORA</v>
      </c>
      <c r="Z3" s="23"/>
      <c r="AA3" s="23" t="str">
        <f>Tabela2[[#This Row],[ILUSTRADOR CRIAÇÃO]]</f>
        <v>VERIDIANA PEGORARO CAMELO/ARQUIVO DA EDITORA</v>
      </c>
      <c r="AB3" s="22">
        <v>1</v>
      </c>
      <c r="AC3" s="20" t="s">
        <v>44</v>
      </c>
      <c r="AD3" s="20" t="s">
        <v>40</v>
      </c>
      <c r="AE3" s="4" t="str">
        <f t="shared" si="0"/>
        <v>EF1 E002 Ing</v>
      </c>
    </row>
    <row r="4" spans="1:31" s="12" customFormat="1" ht="255" x14ac:dyDescent="0.25">
      <c r="A4" s="23" t="s">
        <v>45</v>
      </c>
      <c r="B4" s="20" t="s">
        <v>32</v>
      </c>
      <c r="C4" s="20" t="s">
        <v>33</v>
      </c>
      <c r="D4" s="20" t="s">
        <v>34</v>
      </c>
      <c r="E4" s="22">
        <v>25</v>
      </c>
      <c r="F4" s="22">
        <v>1</v>
      </c>
      <c r="G4" s="22">
        <v>2</v>
      </c>
      <c r="H4" s="22"/>
      <c r="I4" s="23" t="s">
        <v>36</v>
      </c>
      <c r="J4" s="23"/>
      <c r="K4" s="22"/>
      <c r="L4" s="22"/>
      <c r="M4" s="23"/>
      <c r="N4" s="23"/>
      <c r="O4" s="26" t="s">
        <v>46</v>
      </c>
      <c r="P4" s="26"/>
      <c r="Q4" s="26"/>
      <c r="R4" s="22">
        <v>3</v>
      </c>
      <c r="S4" s="24">
        <v>45741</v>
      </c>
      <c r="T4" s="24">
        <v>45743</v>
      </c>
      <c r="U4" s="24">
        <v>45748</v>
      </c>
      <c r="V4" s="24">
        <v>45749</v>
      </c>
      <c r="W4" s="24">
        <v>45755</v>
      </c>
      <c r="X4" s="22" t="s">
        <v>47</v>
      </c>
      <c r="Y4" s="4" t="str">
        <f>IF(Tabela2[[#This Row],[SIGLA]]="","",VLOOKUP(Tabela2[[#This Row],[SIGLA]],Tabela1[[#All],[Sigla Arte]:[Crédito]],2,0))</f>
        <v>RAFAEL LUZIO/ARQUIVO DA EDITORA</v>
      </c>
      <c r="Z4" s="23"/>
      <c r="AA4" s="23" t="str">
        <f>Tabela2[[#This Row],[ILUSTRADOR CRIAÇÃO]]</f>
        <v>RAFAEL LUZIO/ARQUIVO DA EDITORA</v>
      </c>
      <c r="AB4" s="22">
        <v>4</v>
      </c>
      <c r="AC4" s="26" t="s">
        <v>48</v>
      </c>
      <c r="AD4" s="20" t="s">
        <v>40</v>
      </c>
      <c r="AE4" s="4" t="str">
        <f t="shared" si="0"/>
        <v>EF1 E002 Ing</v>
      </c>
    </row>
    <row r="5" spans="1:31" s="12" customFormat="1" ht="240" x14ac:dyDescent="0.25">
      <c r="A5" s="23" t="s">
        <v>49</v>
      </c>
      <c r="B5" s="20" t="s">
        <v>32</v>
      </c>
      <c r="C5" s="20" t="s">
        <v>33</v>
      </c>
      <c r="D5" s="20" t="s">
        <v>34</v>
      </c>
      <c r="E5" s="22">
        <v>26</v>
      </c>
      <c r="F5" s="22">
        <v>1</v>
      </c>
      <c r="G5" s="22">
        <v>2</v>
      </c>
      <c r="H5" s="22"/>
      <c r="I5" s="23" t="s">
        <v>36</v>
      </c>
      <c r="J5" s="23"/>
      <c r="K5" s="22"/>
      <c r="L5" s="22"/>
      <c r="M5" s="23"/>
      <c r="N5" s="23"/>
      <c r="O5" s="26" t="s">
        <v>50</v>
      </c>
      <c r="P5" s="26"/>
      <c r="Q5" s="26"/>
      <c r="R5" s="22">
        <v>3</v>
      </c>
      <c r="S5" s="24">
        <v>45741</v>
      </c>
      <c r="T5" s="24">
        <v>45743</v>
      </c>
      <c r="U5" s="24">
        <v>45748</v>
      </c>
      <c r="V5" s="24">
        <v>45749</v>
      </c>
      <c r="W5" s="24">
        <v>45751</v>
      </c>
      <c r="X5" s="22" t="s">
        <v>47</v>
      </c>
      <c r="Y5" s="4" t="str">
        <f>IF(Tabela2[[#This Row],[SIGLA]]="","",VLOOKUP(Tabela2[[#This Row],[SIGLA]],Tabela1[[#All],[Sigla Arte]:[Crédito]],2,0))</f>
        <v>RAFAEL LUZIO/ARQUIVO DA EDITORA</v>
      </c>
      <c r="Z5" s="23"/>
      <c r="AA5" s="23" t="str">
        <f>Tabela2[[#This Row],[ILUSTRADOR CRIAÇÃO]]</f>
        <v>RAFAEL LUZIO/ARQUIVO DA EDITORA</v>
      </c>
      <c r="AB5" s="22">
        <v>5</v>
      </c>
      <c r="AC5" s="26" t="s">
        <v>51</v>
      </c>
      <c r="AD5" s="20" t="s">
        <v>40</v>
      </c>
      <c r="AE5" s="4" t="str">
        <f t="shared" si="0"/>
        <v>EF1 E002 Ing</v>
      </c>
    </row>
    <row r="6" spans="1:31" s="12" customFormat="1" ht="120" x14ac:dyDescent="0.25">
      <c r="A6" s="23" t="s">
        <v>52</v>
      </c>
      <c r="B6" s="20" t="s">
        <v>32</v>
      </c>
      <c r="C6" s="20" t="s">
        <v>33</v>
      </c>
      <c r="D6" s="20" t="s">
        <v>34</v>
      </c>
      <c r="E6" s="22">
        <v>11</v>
      </c>
      <c r="F6" s="22">
        <v>4</v>
      </c>
      <c r="G6" s="22"/>
      <c r="H6" s="22" t="s">
        <v>42</v>
      </c>
      <c r="I6" s="23" t="s">
        <v>36</v>
      </c>
      <c r="J6" s="23"/>
      <c r="K6" s="22"/>
      <c r="L6" s="22"/>
      <c r="M6" s="23"/>
      <c r="N6" s="23"/>
      <c r="O6" s="26" t="s">
        <v>53</v>
      </c>
      <c r="P6" s="26"/>
      <c r="Q6" s="26"/>
      <c r="R6" s="22">
        <v>4</v>
      </c>
      <c r="S6" s="24">
        <v>45742</v>
      </c>
      <c r="T6" s="24">
        <v>45743</v>
      </c>
      <c r="U6" s="24">
        <v>45747</v>
      </c>
      <c r="V6" s="24">
        <v>45718</v>
      </c>
      <c r="W6" s="24">
        <v>45751</v>
      </c>
      <c r="X6" s="22" t="s">
        <v>54</v>
      </c>
      <c r="Y6" s="4" t="str">
        <f>IF(Tabela2[[#This Row],[SIGLA]]="","",VLOOKUP(Tabela2[[#This Row],[SIGLA]],Tabela1[[#All],[Sigla Arte]:[Crédito]],2,0))</f>
        <v>RAYANNE CARDOSO/ARQUIVO DA EDITORA</v>
      </c>
      <c r="Z6" s="23"/>
      <c r="AA6" s="23" t="str">
        <f>Tabela2[[#This Row],[ILUSTRADOR CRIAÇÃO]]</f>
        <v>RAYANNE CARDOSO/ARQUIVO DA EDITORA</v>
      </c>
      <c r="AB6" s="22">
        <v>3</v>
      </c>
      <c r="AC6" s="20"/>
      <c r="AD6" s="20" t="s">
        <v>40</v>
      </c>
      <c r="AE6" s="4" t="str">
        <f t="shared" si="0"/>
        <v>EF1 E002 Ing</v>
      </c>
    </row>
    <row r="7" spans="1:31" s="12" customFormat="1" ht="30" x14ac:dyDescent="0.25">
      <c r="A7" s="17" t="s">
        <v>55</v>
      </c>
      <c r="B7" s="20" t="s">
        <v>56</v>
      </c>
      <c r="C7" s="20" t="s">
        <v>33</v>
      </c>
      <c r="D7" s="20" t="s">
        <v>34</v>
      </c>
      <c r="E7" s="22">
        <v>11</v>
      </c>
      <c r="F7" s="22">
        <v>4</v>
      </c>
      <c r="G7" s="22"/>
      <c r="H7" s="22" t="s">
        <v>42</v>
      </c>
      <c r="I7" s="23" t="s">
        <v>36</v>
      </c>
      <c r="J7" s="23"/>
      <c r="K7" s="22"/>
      <c r="L7" s="22"/>
      <c r="M7" s="23"/>
      <c r="N7" s="23"/>
      <c r="O7" s="26" t="s">
        <v>57</v>
      </c>
      <c r="P7" s="26"/>
      <c r="Q7" s="26"/>
      <c r="R7" s="22">
        <v>4</v>
      </c>
      <c r="S7" s="24">
        <v>45742</v>
      </c>
      <c r="T7" s="24"/>
      <c r="U7" s="24"/>
      <c r="V7" s="24"/>
      <c r="W7" s="24"/>
      <c r="X7" s="22"/>
      <c r="Y7" s="4" t="str">
        <f>IF(Tabela2[[#This Row],[SIGLA]]="","",VLOOKUP(Tabela2[[#This Row],[SIGLA]],Tabela1[[#All],[Sigla Arte]:[Crédito]],2,0))</f>
        <v/>
      </c>
      <c r="Z7" s="23"/>
      <c r="AA7" s="23" t="str">
        <f>Tabela2[[#This Row],[ILUSTRADOR CRIAÇÃO]]</f>
        <v/>
      </c>
      <c r="AB7" s="22"/>
      <c r="AC7" s="20"/>
      <c r="AD7" s="20" t="s">
        <v>58</v>
      </c>
      <c r="AE7" s="4" t="str">
        <f t="shared" si="0"/>
        <v>EF1 E002 Ing</v>
      </c>
    </row>
    <row r="8" spans="1:31" s="12" customFormat="1" ht="30" x14ac:dyDescent="0.25">
      <c r="A8" s="23" t="s">
        <v>59</v>
      </c>
      <c r="B8" s="20" t="s">
        <v>56</v>
      </c>
      <c r="C8" s="20" t="s">
        <v>33</v>
      </c>
      <c r="D8" s="20" t="s">
        <v>34</v>
      </c>
      <c r="E8" s="22">
        <v>11</v>
      </c>
      <c r="F8" s="22">
        <v>4</v>
      </c>
      <c r="G8" s="22"/>
      <c r="H8" s="22" t="s">
        <v>42</v>
      </c>
      <c r="I8" s="23" t="s">
        <v>36</v>
      </c>
      <c r="J8" s="23"/>
      <c r="K8" s="22"/>
      <c r="L8" s="22"/>
      <c r="M8" s="23"/>
      <c r="N8" s="23"/>
      <c r="O8" s="26" t="s">
        <v>60</v>
      </c>
      <c r="P8" s="26"/>
      <c r="Q8" s="26"/>
      <c r="R8" s="22">
        <v>4</v>
      </c>
      <c r="S8" s="24">
        <v>45742</v>
      </c>
      <c r="T8" s="24"/>
      <c r="U8" s="24"/>
      <c r="V8" s="24"/>
      <c r="W8" s="24"/>
      <c r="X8" s="22"/>
      <c r="Y8" s="4" t="str">
        <f>IF(Tabela2[[#This Row],[SIGLA]]="","",VLOOKUP(Tabela2[[#This Row],[SIGLA]],Tabela1[[#All],[Sigla Arte]:[Crédito]],2,0))</f>
        <v/>
      </c>
      <c r="Z8" s="23"/>
      <c r="AA8" s="23" t="str">
        <f>Tabela2[[#This Row],[ILUSTRADOR CRIAÇÃO]]</f>
        <v/>
      </c>
      <c r="AB8" s="22"/>
      <c r="AC8" s="20"/>
      <c r="AD8" s="20" t="s">
        <v>58</v>
      </c>
      <c r="AE8" s="4" t="str">
        <f t="shared" si="0"/>
        <v>EF1 E002 Ing</v>
      </c>
    </row>
    <row r="9" spans="1:31" s="12" customFormat="1" ht="30" x14ac:dyDescent="0.25">
      <c r="A9" s="23" t="s">
        <v>61</v>
      </c>
      <c r="B9" s="20" t="s">
        <v>56</v>
      </c>
      <c r="C9" s="20" t="s">
        <v>33</v>
      </c>
      <c r="D9" s="20" t="s">
        <v>34</v>
      </c>
      <c r="E9" s="22">
        <v>11</v>
      </c>
      <c r="F9" s="22">
        <v>4</v>
      </c>
      <c r="G9" s="22"/>
      <c r="H9" s="22" t="s">
        <v>42</v>
      </c>
      <c r="I9" s="23" t="s">
        <v>36</v>
      </c>
      <c r="J9" s="23"/>
      <c r="K9" s="22"/>
      <c r="L9" s="22"/>
      <c r="M9" s="23"/>
      <c r="N9" s="23"/>
      <c r="O9" s="26" t="s">
        <v>62</v>
      </c>
      <c r="P9" s="26"/>
      <c r="Q9" s="26"/>
      <c r="R9" s="22">
        <v>4</v>
      </c>
      <c r="S9" s="24">
        <v>45742</v>
      </c>
      <c r="T9" s="24"/>
      <c r="U9" s="24"/>
      <c r="V9" s="24"/>
      <c r="W9" s="24"/>
      <c r="X9" s="22"/>
      <c r="Y9" s="4" t="str">
        <f>IF(Tabela2[[#This Row],[SIGLA]]="","",VLOOKUP(Tabela2[[#This Row],[SIGLA]],Tabela1[[#All],[Sigla Arte]:[Crédito]],2,0))</f>
        <v/>
      </c>
      <c r="Z9" s="23"/>
      <c r="AA9" s="23" t="str">
        <f>Tabela2[[#This Row],[ILUSTRADOR CRIAÇÃO]]</f>
        <v/>
      </c>
      <c r="AB9" s="22"/>
      <c r="AC9" s="20"/>
      <c r="AD9" s="20" t="s">
        <v>58</v>
      </c>
      <c r="AE9" s="4" t="str">
        <f t="shared" si="0"/>
        <v>EF1 E002 Ing</v>
      </c>
    </row>
    <row r="10" spans="1:31" s="12" customFormat="1" ht="30" x14ac:dyDescent="0.25">
      <c r="A10" s="23" t="s">
        <v>63</v>
      </c>
      <c r="B10" s="20" t="s">
        <v>56</v>
      </c>
      <c r="C10" s="20" t="s">
        <v>33</v>
      </c>
      <c r="D10" s="20" t="s">
        <v>34</v>
      </c>
      <c r="E10" s="22">
        <v>11</v>
      </c>
      <c r="F10" s="22">
        <v>4</v>
      </c>
      <c r="G10" s="22"/>
      <c r="H10" s="22" t="s">
        <v>42</v>
      </c>
      <c r="I10" s="23" t="s">
        <v>36</v>
      </c>
      <c r="J10" s="23"/>
      <c r="K10" s="22"/>
      <c r="L10" s="22"/>
      <c r="M10" s="23"/>
      <c r="N10" s="23"/>
      <c r="O10" s="26" t="s">
        <v>64</v>
      </c>
      <c r="P10" s="26"/>
      <c r="Q10" s="26"/>
      <c r="R10" s="22">
        <v>4</v>
      </c>
      <c r="S10" s="24">
        <v>45742</v>
      </c>
      <c r="T10" s="24"/>
      <c r="U10" s="24"/>
      <c r="V10" s="24"/>
      <c r="W10" s="24"/>
      <c r="X10" s="22"/>
      <c r="Y10" s="4" t="str">
        <f>IF(Tabela2[[#This Row],[SIGLA]]="","",VLOOKUP(Tabela2[[#This Row],[SIGLA]],Tabela1[[#All],[Sigla Arte]:[Crédito]],2,0))</f>
        <v/>
      </c>
      <c r="Z10" s="23"/>
      <c r="AA10" s="23" t="str">
        <f>Tabela2[[#This Row],[ILUSTRADOR CRIAÇÃO]]</f>
        <v/>
      </c>
      <c r="AB10" s="22"/>
      <c r="AC10" s="20"/>
      <c r="AD10" s="20" t="s">
        <v>58</v>
      </c>
      <c r="AE10" s="4" t="str">
        <f t="shared" si="0"/>
        <v>EF1 E002 Ing</v>
      </c>
    </row>
    <row r="11" spans="1:31" s="12" customFormat="1" ht="30" x14ac:dyDescent="0.25">
      <c r="A11" s="23" t="s">
        <v>65</v>
      </c>
      <c r="B11" s="20" t="s">
        <v>56</v>
      </c>
      <c r="C11" s="20" t="s">
        <v>33</v>
      </c>
      <c r="D11" s="20" t="s">
        <v>34</v>
      </c>
      <c r="E11" s="22">
        <v>11</v>
      </c>
      <c r="F11" s="22">
        <v>4</v>
      </c>
      <c r="G11" s="22"/>
      <c r="H11" s="22" t="s">
        <v>42</v>
      </c>
      <c r="I11" s="23" t="s">
        <v>36</v>
      </c>
      <c r="J11" s="23"/>
      <c r="K11" s="22"/>
      <c r="L11" s="22"/>
      <c r="M11" s="23"/>
      <c r="N11" s="23"/>
      <c r="O11" s="26" t="s">
        <v>66</v>
      </c>
      <c r="P11" s="26"/>
      <c r="Q11" s="26"/>
      <c r="R11" s="22">
        <v>4</v>
      </c>
      <c r="S11" s="24">
        <v>45742</v>
      </c>
      <c r="T11" s="24"/>
      <c r="U11" s="24"/>
      <c r="V11" s="24"/>
      <c r="W11" s="24"/>
      <c r="X11" s="22"/>
      <c r="Y11" s="4" t="str">
        <f>IF(Tabela2[[#This Row],[SIGLA]]="","",VLOOKUP(Tabela2[[#This Row],[SIGLA]],Tabela1[[#All],[Sigla Arte]:[Crédito]],2,0))</f>
        <v/>
      </c>
      <c r="Z11" s="23"/>
      <c r="AA11" s="23" t="str">
        <f>Tabela2[[#This Row],[ILUSTRADOR CRIAÇÃO]]</f>
        <v/>
      </c>
      <c r="AB11" s="22"/>
      <c r="AC11" s="20"/>
      <c r="AD11" s="20" t="s">
        <v>58</v>
      </c>
      <c r="AE11" s="4" t="str">
        <f t="shared" si="0"/>
        <v>EF1 E002 Ing</v>
      </c>
    </row>
    <row r="12" spans="1:31" s="12" customFormat="1" x14ac:dyDescent="0.25">
      <c r="A12" s="23" t="s">
        <v>67</v>
      </c>
      <c r="B12" s="20" t="s">
        <v>56</v>
      </c>
      <c r="C12" s="20" t="s">
        <v>33</v>
      </c>
      <c r="D12" s="20" t="s">
        <v>34</v>
      </c>
      <c r="E12" s="22">
        <v>11</v>
      </c>
      <c r="F12" s="22">
        <v>4</v>
      </c>
      <c r="G12" s="22"/>
      <c r="H12" s="22" t="s">
        <v>42</v>
      </c>
      <c r="I12" s="23" t="s">
        <v>36</v>
      </c>
      <c r="J12" s="23"/>
      <c r="K12" s="22"/>
      <c r="L12" s="22"/>
      <c r="M12" s="23"/>
      <c r="N12" s="23"/>
      <c r="O12" s="26" t="s">
        <v>68</v>
      </c>
      <c r="P12" s="26"/>
      <c r="Q12" s="26"/>
      <c r="R12" s="22">
        <v>4</v>
      </c>
      <c r="S12" s="24">
        <v>45742</v>
      </c>
      <c r="T12" s="24"/>
      <c r="U12" s="24"/>
      <c r="V12" s="24"/>
      <c r="W12" s="24"/>
      <c r="X12" s="22"/>
      <c r="Y12" s="4" t="str">
        <f>IF(Tabela2[[#This Row],[SIGLA]]="","",VLOOKUP(Tabela2[[#This Row],[SIGLA]],Tabela1[[#All],[Sigla Arte]:[Crédito]],2,0))</f>
        <v/>
      </c>
      <c r="Z12" s="23"/>
      <c r="AA12" s="23" t="str">
        <f>Tabela2[[#This Row],[ILUSTRADOR CRIAÇÃO]]</f>
        <v/>
      </c>
      <c r="AB12" s="22"/>
      <c r="AC12" s="20"/>
      <c r="AD12" s="20" t="s">
        <v>58</v>
      </c>
      <c r="AE12" s="4" t="str">
        <f t="shared" si="0"/>
        <v>EF1 E002 Ing</v>
      </c>
    </row>
    <row r="13" spans="1:31" s="12" customFormat="1" x14ac:dyDescent="0.25">
      <c r="A13" s="23" t="s">
        <v>69</v>
      </c>
      <c r="B13" s="20" t="s">
        <v>56</v>
      </c>
      <c r="C13" s="20" t="s">
        <v>33</v>
      </c>
      <c r="D13" s="20" t="s">
        <v>34</v>
      </c>
      <c r="E13" s="22">
        <v>11</v>
      </c>
      <c r="F13" s="22">
        <v>4</v>
      </c>
      <c r="G13" s="22"/>
      <c r="H13" s="22" t="s">
        <v>42</v>
      </c>
      <c r="I13" s="23" t="s">
        <v>36</v>
      </c>
      <c r="J13" s="23"/>
      <c r="K13" s="22"/>
      <c r="L13" s="22"/>
      <c r="M13" s="23"/>
      <c r="N13" s="23"/>
      <c r="O13" s="26" t="s">
        <v>70</v>
      </c>
      <c r="P13" s="26"/>
      <c r="Q13" s="26"/>
      <c r="R13" s="22">
        <v>4</v>
      </c>
      <c r="S13" s="24">
        <v>45742</v>
      </c>
      <c r="T13" s="24"/>
      <c r="U13" s="24"/>
      <c r="V13" s="24"/>
      <c r="W13" s="24"/>
      <c r="X13" s="22"/>
      <c r="Y13" s="4" t="str">
        <f>IF(Tabela2[[#This Row],[SIGLA]]="","",VLOOKUP(Tabela2[[#This Row],[SIGLA]],Tabela1[[#All],[Sigla Arte]:[Crédito]],2,0))</f>
        <v/>
      </c>
      <c r="Z13" s="23"/>
      <c r="AA13" s="23" t="str">
        <f>Tabela2[[#This Row],[ILUSTRADOR CRIAÇÃO]]</f>
        <v/>
      </c>
      <c r="AB13" s="22"/>
      <c r="AC13" s="20"/>
      <c r="AD13" s="20" t="s">
        <v>58</v>
      </c>
      <c r="AE13" s="4" t="str">
        <f t="shared" si="0"/>
        <v>EF1 E002 Ing</v>
      </c>
    </row>
    <row r="14" spans="1:31" s="12" customFormat="1" ht="30" x14ac:dyDescent="0.25">
      <c r="A14" s="23" t="s">
        <v>71</v>
      </c>
      <c r="B14" s="20" t="s">
        <v>56</v>
      </c>
      <c r="C14" s="20" t="s">
        <v>33</v>
      </c>
      <c r="D14" s="20" t="s">
        <v>34</v>
      </c>
      <c r="E14" s="22">
        <v>11</v>
      </c>
      <c r="F14" s="22">
        <v>4</v>
      </c>
      <c r="G14" s="22"/>
      <c r="H14" s="22" t="s">
        <v>42</v>
      </c>
      <c r="I14" s="23" t="s">
        <v>36</v>
      </c>
      <c r="J14" s="23"/>
      <c r="K14" s="22"/>
      <c r="L14" s="22"/>
      <c r="M14" s="23"/>
      <c r="N14" s="23"/>
      <c r="O14" s="26" t="s">
        <v>72</v>
      </c>
      <c r="P14" s="26"/>
      <c r="Q14" s="26"/>
      <c r="R14" s="22">
        <v>4</v>
      </c>
      <c r="S14" s="24">
        <v>45742</v>
      </c>
      <c r="T14" s="24"/>
      <c r="U14" s="24"/>
      <c r="V14" s="24"/>
      <c r="W14" s="24"/>
      <c r="X14" s="22"/>
      <c r="Y14" s="4" t="str">
        <f>IF(Tabela2[[#This Row],[SIGLA]]="","",VLOOKUP(Tabela2[[#This Row],[SIGLA]],Tabela1[[#All],[Sigla Arte]:[Crédito]],2,0))</f>
        <v/>
      </c>
      <c r="Z14" s="23"/>
      <c r="AA14" s="23" t="str">
        <f>Tabela2[[#This Row],[ILUSTRADOR CRIAÇÃO]]</f>
        <v/>
      </c>
      <c r="AB14" s="22"/>
      <c r="AC14" s="20"/>
      <c r="AD14" s="20" t="s">
        <v>58</v>
      </c>
      <c r="AE14" s="4" t="str">
        <f t="shared" si="0"/>
        <v>EF1 E002 Ing</v>
      </c>
    </row>
    <row r="15" spans="1:31" s="12" customFormat="1" ht="30" x14ac:dyDescent="0.25">
      <c r="A15" s="23" t="s">
        <v>73</v>
      </c>
      <c r="B15" s="20" t="s">
        <v>56</v>
      </c>
      <c r="C15" s="20" t="s">
        <v>33</v>
      </c>
      <c r="D15" s="20" t="s">
        <v>34</v>
      </c>
      <c r="E15" s="22">
        <v>12</v>
      </c>
      <c r="F15" s="22">
        <v>4</v>
      </c>
      <c r="G15" s="22"/>
      <c r="H15" s="22" t="s">
        <v>42</v>
      </c>
      <c r="I15" s="23" t="s">
        <v>36</v>
      </c>
      <c r="J15" s="23"/>
      <c r="K15" s="22"/>
      <c r="L15" s="22"/>
      <c r="M15" s="23"/>
      <c r="N15" s="23"/>
      <c r="O15" s="26" t="s">
        <v>74</v>
      </c>
      <c r="P15" s="26"/>
      <c r="Q15" s="26"/>
      <c r="R15" s="22">
        <v>4</v>
      </c>
      <c r="S15" s="24">
        <v>45742</v>
      </c>
      <c r="T15" s="24"/>
      <c r="U15" s="24"/>
      <c r="V15" s="24"/>
      <c r="W15" s="24"/>
      <c r="X15" s="22"/>
      <c r="Y15" s="4" t="str">
        <f>IF(Tabela2[[#This Row],[SIGLA]]="","",VLOOKUP(Tabela2[[#This Row],[SIGLA]],Tabela1[[#All],[Sigla Arte]:[Crédito]],2,0))</f>
        <v/>
      </c>
      <c r="Z15" s="23"/>
      <c r="AA15" s="23" t="str">
        <f>Tabela2[[#This Row],[ILUSTRADOR CRIAÇÃO]]</f>
        <v/>
      </c>
      <c r="AB15" s="22"/>
      <c r="AC15" s="20"/>
      <c r="AD15" s="20" t="s">
        <v>58</v>
      </c>
      <c r="AE15" s="4" t="str">
        <f t="shared" si="0"/>
        <v>EF1 E002 Ing</v>
      </c>
    </row>
    <row r="16" spans="1:31" s="12" customFormat="1" ht="60" x14ac:dyDescent="0.25">
      <c r="A16" s="23" t="s">
        <v>75</v>
      </c>
      <c r="B16" s="20" t="s">
        <v>56</v>
      </c>
      <c r="C16" s="20" t="s">
        <v>33</v>
      </c>
      <c r="D16" s="20" t="s">
        <v>34</v>
      </c>
      <c r="E16" s="22">
        <v>12</v>
      </c>
      <c r="F16" s="22">
        <v>4</v>
      </c>
      <c r="G16" s="22"/>
      <c r="H16" s="22" t="s">
        <v>42</v>
      </c>
      <c r="I16" s="23" t="s">
        <v>36</v>
      </c>
      <c r="J16" s="23"/>
      <c r="K16" s="22"/>
      <c r="L16" s="22"/>
      <c r="M16" s="23"/>
      <c r="N16" s="23"/>
      <c r="O16" s="26" t="s">
        <v>76</v>
      </c>
      <c r="P16" s="26"/>
      <c r="Q16" s="26"/>
      <c r="R16" s="22">
        <v>4</v>
      </c>
      <c r="S16" s="24">
        <v>45742</v>
      </c>
      <c r="T16" s="24"/>
      <c r="U16" s="24"/>
      <c r="V16" s="24"/>
      <c r="W16" s="24"/>
      <c r="X16" s="22"/>
      <c r="Y16" s="4" t="str">
        <f>IF(Tabela2[[#This Row],[SIGLA]]="","",VLOOKUP(Tabela2[[#This Row],[SIGLA]],Tabela1[[#All],[Sigla Arte]:[Crédito]],2,0))</f>
        <v/>
      </c>
      <c r="Z16" s="23"/>
      <c r="AA16" s="23" t="str">
        <f>Tabela2[[#This Row],[ILUSTRADOR CRIAÇÃO]]</f>
        <v/>
      </c>
      <c r="AB16" s="22"/>
      <c r="AC16" s="20"/>
      <c r="AD16" s="20" t="s">
        <v>58</v>
      </c>
      <c r="AE16" s="4" t="str">
        <f t="shared" si="0"/>
        <v>EF1 E002 Ing</v>
      </c>
    </row>
    <row r="17" spans="1:31" s="12" customFormat="1" ht="30" x14ac:dyDescent="0.25">
      <c r="A17" s="23" t="s">
        <v>77</v>
      </c>
      <c r="B17" s="20" t="s">
        <v>56</v>
      </c>
      <c r="C17" s="20" t="s">
        <v>33</v>
      </c>
      <c r="D17" s="20" t="s">
        <v>34</v>
      </c>
      <c r="E17" s="22">
        <v>12</v>
      </c>
      <c r="F17" s="22">
        <v>4</v>
      </c>
      <c r="G17" s="22"/>
      <c r="H17" s="22" t="s">
        <v>42</v>
      </c>
      <c r="I17" s="23" t="s">
        <v>36</v>
      </c>
      <c r="J17" s="23"/>
      <c r="K17" s="22"/>
      <c r="L17" s="22"/>
      <c r="M17" s="23"/>
      <c r="N17" s="23"/>
      <c r="O17" s="26" t="s">
        <v>78</v>
      </c>
      <c r="P17" s="26"/>
      <c r="Q17" s="26"/>
      <c r="R17" s="22">
        <v>4</v>
      </c>
      <c r="S17" s="24">
        <v>45742</v>
      </c>
      <c r="T17" s="24"/>
      <c r="U17" s="24"/>
      <c r="V17" s="24"/>
      <c r="W17" s="24"/>
      <c r="X17" s="22"/>
      <c r="Y17" s="4" t="str">
        <f>IF(Tabela2[[#This Row],[SIGLA]]="","",VLOOKUP(Tabela2[[#This Row],[SIGLA]],Tabela1[[#All],[Sigla Arte]:[Crédito]],2,0))</f>
        <v/>
      </c>
      <c r="Z17" s="23"/>
      <c r="AA17" s="23" t="str">
        <f>Tabela2[[#This Row],[ILUSTRADOR CRIAÇÃO]]</f>
        <v/>
      </c>
      <c r="AB17" s="22"/>
      <c r="AC17" s="20"/>
      <c r="AD17" s="20" t="s">
        <v>58</v>
      </c>
      <c r="AE17" s="4" t="str">
        <f t="shared" si="0"/>
        <v>EF1 E002 Ing</v>
      </c>
    </row>
    <row r="18" spans="1:31" s="12" customFormat="1" x14ac:dyDescent="0.25">
      <c r="A18" s="23" t="s">
        <v>79</v>
      </c>
      <c r="B18" s="20" t="s">
        <v>56</v>
      </c>
      <c r="C18" s="20" t="s">
        <v>33</v>
      </c>
      <c r="D18" s="20" t="s">
        <v>34</v>
      </c>
      <c r="E18" s="22">
        <v>12</v>
      </c>
      <c r="F18" s="22">
        <v>4</v>
      </c>
      <c r="G18" s="22"/>
      <c r="H18" s="22" t="s">
        <v>42</v>
      </c>
      <c r="I18" s="23" t="s">
        <v>36</v>
      </c>
      <c r="J18" s="23"/>
      <c r="K18" s="22"/>
      <c r="L18" s="22"/>
      <c r="M18" s="23"/>
      <c r="N18" s="23"/>
      <c r="O18" s="26" t="s">
        <v>80</v>
      </c>
      <c r="P18" s="26"/>
      <c r="Q18" s="26"/>
      <c r="R18" s="22">
        <v>4</v>
      </c>
      <c r="S18" s="24">
        <v>45742</v>
      </c>
      <c r="T18" s="24"/>
      <c r="U18" s="24"/>
      <c r="V18" s="24"/>
      <c r="W18" s="24"/>
      <c r="X18" s="22"/>
      <c r="Y18" s="4" t="str">
        <f>IF(Tabela2[[#This Row],[SIGLA]]="","",VLOOKUP(Tabela2[[#This Row],[SIGLA]],Tabela1[[#All],[Sigla Arte]:[Crédito]],2,0))</f>
        <v/>
      </c>
      <c r="Z18" s="23"/>
      <c r="AA18" s="23" t="str">
        <f>Tabela2[[#This Row],[ILUSTRADOR CRIAÇÃO]]</f>
        <v/>
      </c>
      <c r="AB18" s="22"/>
      <c r="AC18" s="20"/>
      <c r="AD18" s="20" t="s">
        <v>58</v>
      </c>
      <c r="AE18" s="4" t="str">
        <f t="shared" si="0"/>
        <v>EF1 E002 Ing</v>
      </c>
    </row>
    <row r="19" spans="1:31" s="12" customFormat="1" ht="45" x14ac:dyDescent="0.25">
      <c r="A19" s="23" t="s">
        <v>81</v>
      </c>
      <c r="B19" s="20" t="s">
        <v>56</v>
      </c>
      <c r="C19" s="20" t="s">
        <v>33</v>
      </c>
      <c r="D19" s="20" t="s">
        <v>34</v>
      </c>
      <c r="E19" s="22">
        <v>12</v>
      </c>
      <c r="F19" s="22">
        <v>4</v>
      </c>
      <c r="G19" s="22"/>
      <c r="H19" s="22" t="s">
        <v>42</v>
      </c>
      <c r="I19" s="23" t="s">
        <v>36</v>
      </c>
      <c r="J19" s="23"/>
      <c r="K19" s="22"/>
      <c r="L19" s="22"/>
      <c r="M19" s="23"/>
      <c r="N19" s="23"/>
      <c r="O19" s="26" t="s">
        <v>82</v>
      </c>
      <c r="P19" s="26"/>
      <c r="Q19" s="26"/>
      <c r="R19" s="22">
        <v>4</v>
      </c>
      <c r="S19" s="24">
        <v>45742</v>
      </c>
      <c r="T19" s="24"/>
      <c r="U19" s="24"/>
      <c r="V19" s="24"/>
      <c r="W19" s="24"/>
      <c r="X19" s="22"/>
      <c r="Y19" s="4" t="str">
        <f>IF(Tabela2[[#This Row],[SIGLA]]="","",VLOOKUP(Tabela2[[#This Row],[SIGLA]],Tabela1[[#All],[Sigla Arte]:[Crédito]],2,0))</f>
        <v/>
      </c>
      <c r="Z19" s="23"/>
      <c r="AA19" s="23" t="str">
        <f>Tabela2[[#This Row],[ILUSTRADOR CRIAÇÃO]]</f>
        <v/>
      </c>
      <c r="AB19" s="22"/>
      <c r="AC19" s="20"/>
      <c r="AD19" s="20" t="s">
        <v>58</v>
      </c>
      <c r="AE19" s="4" t="str">
        <f t="shared" si="0"/>
        <v>EF1 E002 Ing</v>
      </c>
    </row>
    <row r="20" spans="1:31" s="12" customFormat="1" ht="45" x14ac:dyDescent="0.25">
      <c r="A20" s="23" t="s">
        <v>83</v>
      </c>
      <c r="B20" s="20" t="s">
        <v>56</v>
      </c>
      <c r="C20" s="20" t="s">
        <v>33</v>
      </c>
      <c r="D20" s="20" t="s">
        <v>34</v>
      </c>
      <c r="E20" s="22">
        <v>12</v>
      </c>
      <c r="F20" s="22">
        <v>4</v>
      </c>
      <c r="G20" s="22"/>
      <c r="H20" s="22" t="s">
        <v>42</v>
      </c>
      <c r="I20" s="23" t="s">
        <v>36</v>
      </c>
      <c r="J20" s="23"/>
      <c r="K20" s="22"/>
      <c r="L20" s="22"/>
      <c r="M20" s="23"/>
      <c r="N20" s="23"/>
      <c r="O20" s="26" t="s">
        <v>84</v>
      </c>
      <c r="P20" s="26"/>
      <c r="Q20" s="26"/>
      <c r="R20" s="22">
        <v>4</v>
      </c>
      <c r="S20" s="24">
        <v>45742</v>
      </c>
      <c r="T20" s="24"/>
      <c r="U20" s="24"/>
      <c r="V20" s="24"/>
      <c r="W20" s="24"/>
      <c r="X20" s="22"/>
      <c r="Y20" s="4" t="str">
        <f>IF(Tabela2[[#This Row],[SIGLA]]="","",VLOOKUP(Tabela2[[#This Row],[SIGLA]],Tabela1[[#All],[Sigla Arte]:[Crédito]],2,0))</f>
        <v/>
      </c>
      <c r="Z20" s="23"/>
      <c r="AA20" s="23" t="str">
        <f>Tabela2[[#This Row],[ILUSTRADOR CRIAÇÃO]]</f>
        <v/>
      </c>
      <c r="AB20" s="22"/>
      <c r="AC20" s="20"/>
      <c r="AD20" s="20" t="s">
        <v>58</v>
      </c>
      <c r="AE20" s="4" t="str">
        <f t="shared" si="0"/>
        <v>EF1 E002 Ing</v>
      </c>
    </row>
    <row r="21" spans="1:31" s="12" customFormat="1" ht="45" x14ac:dyDescent="0.25">
      <c r="A21" s="23" t="s">
        <v>85</v>
      </c>
      <c r="B21" s="20" t="s">
        <v>56</v>
      </c>
      <c r="C21" s="20" t="s">
        <v>33</v>
      </c>
      <c r="D21" s="20" t="s">
        <v>34</v>
      </c>
      <c r="E21" s="22">
        <v>12</v>
      </c>
      <c r="F21" s="22">
        <v>4</v>
      </c>
      <c r="G21" s="22"/>
      <c r="H21" s="22" t="s">
        <v>42</v>
      </c>
      <c r="I21" s="23" t="s">
        <v>36</v>
      </c>
      <c r="J21" s="23"/>
      <c r="K21" s="22"/>
      <c r="L21" s="22"/>
      <c r="M21" s="23"/>
      <c r="N21" s="23"/>
      <c r="O21" s="26" t="s">
        <v>86</v>
      </c>
      <c r="P21" s="26"/>
      <c r="Q21" s="26"/>
      <c r="R21" s="22">
        <v>4</v>
      </c>
      <c r="S21" s="24">
        <v>45742</v>
      </c>
      <c r="T21" s="24"/>
      <c r="U21" s="24"/>
      <c r="V21" s="24"/>
      <c r="W21" s="24"/>
      <c r="X21" s="22"/>
      <c r="Y21" s="4" t="str">
        <f>IF(Tabela2[[#This Row],[SIGLA]]="","",VLOOKUP(Tabela2[[#This Row],[SIGLA]],Tabela1[[#All],[Sigla Arte]:[Crédito]],2,0))</f>
        <v/>
      </c>
      <c r="Z21" s="23"/>
      <c r="AA21" s="23" t="str">
        <f>Tabela2[[#This Row],[ILUSTRADOR CRIAÇÃO]]</f>
        <v/>
      </c>
      <c r="AB21" s="22"/>
      <c r="AC21" s="20"/>
      <c r="AD21" s="20" t="s">
        <v>58</v>
      </c>
      <c r="AE21" s="4" t="str">
        <f t="shared" si="0"/>
        <v>EF1 E002 Ing</v>
      </c>
    </row>
    <row r="22" spans="1:31" s="12" customFormat="1" ht="30" x14ac:dyDescent="0.25">
      <c r="A22" s="23" t="s">
        <v>87</v>
      </c>
      <c r="B22" s="20" t="s">
        <v>56</v>
      </c>
      <c r="C22" s="20" t="s">
        <v>33</v>
      </c>
      <c r="D22" s="20" t="s">
        <v>34</v>
      </c>
      <c r="E22" s="22">
        <v>12</v>
      </c>
      <c r="F22" s="22">
        <v>4</v>
      </c>
      <c r="G22" s="22"/>
      <c r="H22" s="22" t="s">
        <v>42</v>
      </c>
      <c r="I22" s="23" t="s">
        <v>36</v>
      </c>
      <c r="J22" s="23"/>
      <c r="K22" s="22"/>
      <c r="L22" s="22"/>
      <c r="M22" s="23"/>
      <c r="N22" s="23"/>
      <c r="O22" s="26" t="s">
        <v>88</v>
      </c>
      <c r="P22" s="26"/>
      <c r="Q22" s="26"/>
      <c r="R22" s="22">
        <v>4</v>
      </c>
      <c r="S22" s="24">
        <v>45742</v>
      </c>
      <c r="T22" s="24"/>
      <c r="U22" s="24"/>
      <c r="V22" s="24"/>
      <c r="W22" s="24"/>
      <c r="X22" s="22"/>
      <c r="Y22" s="4" t="str">
        <f>IF(Tabela2[[#This Row],[SIGLA]]="","",VLOOKUP(Tabela2[[#This Row],[SIGLA]],Tabela1[[#All],[Sigla Arte]:[Crédito]],2,0))</f>
        <v/>
      </c>
      <c r="Z22" s="23"/>
      <c r="AA22" s="23" t="str">
        <f>Tabela2[[#This Row],[ILUSTRADOR CRIAÇÃO]]</f>
        <v/>
      </c>
      <c r="AB22" s="22"/>
      <c r="AC22" s="20"/>
      <c r="AD22" s="20" t="s">
        <v>58</v>
      </c>
      <c r="AE22" s="4" t="str">
        <f t="shared" si="0"/>
        <v>EF1 E002 Ing</v>
      </c>
    </row>
    <row r="23" spans="1:31" s="12" customFormat="1" ht="135" x14ac:dyDescent="0.25">
      <c r="A23" s="23" t="s">
        <v>89</v>
      </c>
      <c r="B23" s="20" t="s">
        <v>32</v>
      </c>
      <c r="C23" s="20" t="s">
        <v>33</v>
      </c>
      <c r="D23" s="20" t="s">
        <v>34</v>
      </c>
      <c r="E23" s="22">
        <v>79</v>
      </c>
      <c r="F23" s="22">
        <v>4</v>
      </c>
      <c r="G23" s="22"/>
      <c r="H23" s="22" t="s">
        <v>35</v>
      </c>
      <c r="I23" s="23" t="s">
        <v>36</v>
      </c>
      <c r="J23" s="23"/>
      <c r="K23" s="22"/>
      <c r="L23" s="22"/>
      <c r="M23" s="23"/>
      <c r="N23" s="23"/>
      <c r="O23" s="26" t="s">
        <v>90</v>
      </c>
      <c r="P23" s="26"/>
      <c r="Q23" s="26"/>
      <c r="R23" s="22">
        <v>5</v>
      </c>
      <c r="S23" s="24">
        <v>45742</v>
      </c>
      <c r="T23" s="24">
        <v>45744</v>
      </c>
      <c r="U23" s="24">
        <v>45747</v>
      </c>
      <c r="V23" s="24"/>
      <c r="W23" s="24">
        <v>45749</v>
      </c>
      <c r="X23" s="22" t="s">
        <v>91</v>
      </c>
      <c r="Y23" s="4" t="str">
        <f>IF(Tabela2[[#This Row],[SIGLA]]="","",VLOOKUP(Tabela2[[#This Row],[SIGLA]],Tabela1[[#All],[Sigla Arte]:[Crédito]],2,0))</f>
        <v>HELOÍSA PINTARELLI/ARQUIVO DA EDITORA</v>
      </c>
      <c r="Z23" s="23"/>
      <c r="AA23" s="23" t="str">
        <f>Tabela2[[#This Row],[ILUSTRADOR CRIAÇÃO]]</f>
        <v>HELOÍSA PINTARELLI/ARQUIVO DA EDITORA</v>
      </c>
      <c r="AB23" s="22">
        <v>7</v>
      </c>
      <c r="AC23" s="20"/>
      <c r="AD23" s="20" t="s">
        <v>40</v>
      </c>
      <c r="AE23" s="4" t="str">
        <f t="shared" si="0"/>
        <v>EF1 E002 Ing</v>
      </c>
    </row>
    <row r="24" spans="1:31" s="12" customFormat="1" ht="180" x14ac:dyDescent="0.25">
      <c r="A24" s="23" t="s">
        <v>92</v>
      </c>
      <c r="B24" s="20" t="s">
        <v>56</v>
      </c>
      <c r="C24" s="20" t="s">
        <v>33</v>
      </c>
      <c r="D24" s="20" t="s">
        <v>34</v>
      </c>
      <c r="E24" s="22">
        <v>34</v>
      </c>
      <c r="F24" s="22">
        <v>4</v>
      </c>
      <c r="G24" s="22"/>
      <c r="H24" s="22" t="s">
        <v>93</v>
      </c>
      <c r="I24" s="23" t="s">
        <v>36</v>
      </c>
      <c r="J24" s="23"/>
      <c r="K24" s="22"/>
      <c r="L24" s="22"/>
      <c r="M24" s="23"/>
      <c r="N24" s="23"/>
      <c r="O24" s="26" t="s">
        <v>94</v>
      </c>
      <c r="P24" s="26"/>
      <c r="Q24" s="26"/>
      <c r="R24" s="22">
        <v>6</v>
      </c>
      <c r="S24" s="24">
        <v>45742</v>
      </c>
      <c r="T24" s="24">
        <v>45743</v>
      </c>
      <c r="U24" s="24">
        <v>45747</v>
      </c>
      <c r="V24" s="24">
        <v>45750</v>
      </c>
      <c r="W24" s="24">
        <v>45755</v>
      </c>
      <c r="X24" s="22" t="s">
        <v>95</v>
      </c>
      <c r="Y24" s="4" t="str">
        <f>IF(Tabela2[[#This Row],[SIGLA]]="","",VLOOKUP(Tabela2[[#This Row],[SIGLA]],Tabela1[[#All],[Sigla Arte]:[Crédito]],2,0))</f>
        <v>LEONARDO DE MOURA AMARAL/ARQUIVO DA EDITORA</v>
      </c>
      <c r="Z24" s="23"/>
      <c r="AA24" s="23" t="str">
        <f>Tabela2[[#This Row],[ILUSTRADOR CRIAÇÃO]]</f>
        <v>LEONARDO DE MOURA AMARAL/ARQUIVO DA EDITORA</v>
      </c>
      <c r="AB24" s="22">
        <v>4</v>
      </c>
      <c r="AC24" s="20" t="s">
        <v>96</v>
      </c>
      <c r="AD24" s="20" t="s">
        <v>40</v>
      </c>
      <c r="AE24" s="4" t="str">
        <f t="shared" si="0"/>
        <v>EF1 E002 Ing</v>
      </c>
    </row>
    <row r="25" spans="1:31" s="12" customFormat="1" ht="135" x14ac:dyDescent="0.25">
      <c r="A25" s="23" t="s">
        <v>97</v>
      </c>
      <c r="B25" s="20" t="s">
        <v>32</v>
      </c>
      <c r="C25" s="20" t="s">
        <v>33</v>
      </c>
      <c r="D25" s="20" t="s">
        <v>34</v>
      </c>
      <c r="E25" s="22">
        <v>18</v>
      </c>
      <c r="F25" s="22">
        <v>4</v>
      </c>
      <c r="G25" s="22">
        <v>1</v>
      </c>
      <c r="H25" s="22"/>
      <c r="I25" s="23" t="s">
        <v>36</v>
      </c>
      <c r="J25" s="23"/>
      <c r="K25" s="22"/>
      <c r="L25" s="22"/>
      <c r="M25" s="23"/>
      <c r="N25" s="23"/>
      <c r="O25" s="26" t="s">
        <v>98</v>
      </c>
      <c r="P25" s="26"/>
      <c r="Q25" s="26"/>
      <c r="R25" s="22">
        <v>7</v>
      </c>
      <c r="S25" s="24">
        <v>45742</v>
      </c>
      <c r="T25" s="24">
        <v>45743</v>
      </c>
      <c r="U25" s="24">
        <v>45749</v>
      </c>
      <c r="V25" s="24"/>
      <c r="W25" s="24">
        <v>45749</v>
      </c>
      <c r="X25" s="22" t="s">
        <v>91</v>
      </c>
      <c r="Y25" s="4" t="str">
        <f>IF(Tabela2[[#This Row],[SIGLA]]="","",VLOOKUP(Tabela2[[#This Row],[SIGLA]],Tabela1[[#All],[Sigla Arte]:[Crédito]],2,0))</f>
        <v>HELOÍSA PINTARELLI/ARQUIVO DA EDITORA</v>
      </c>
      <c r="Z25" s="23"/>
      <c r="AA25" s="23" t="str">
        <f>Tabela2[[#This Row],[ILUSTRADOR CRIAÇÃO]]</f>
        <v>HELOÍSA PINTARELLI/ARQUIVO DA EDITORA</v>
      </c>
      <c r="AB25" s="22">
        <v>5</v>
      </c>
      <c r="AC25" s="20" t="s">
        <v>99</v>
      </c>
      <c r="AD25" s="20" t="s">
        <v>40</v>
      </c>
      <c r="AE25" s="4" t="str">
        <f t="shared" si="0"/>
        <v>EF1 E002 Ing</v>
      </c>
    </row>
    <row r="26" spans="1:31" s="12" customFormat="1" x14ac:dyDescent="0.25">
      <c r="A26" s="23" t="s">
        <v>100</v>
      </c>
      <c r="B26" s="20" t="s">
        <v>56</v>
      </c>
      <c r="C26" s="20" t="s">
        <v>33</v>
      </c>
      <c r="D26" s="20" t="s">
        <v>34</v>
      </c>
      <c r="E26" s="22">
        <v>18</v>
      </c>
      <c r="F26" s="22">
        <v>4</v>
      </c>
      <c r="G26" s="22">
        <v>1</v>
      </c>
      <c r="H26" s="22"/>
      <c r="I26" s="23" t="s">
        <v>36</v>
      </c>
      <c r="J26" s="23"/>
      <c r="K26" s="22"/>
      <c r="L26" s="22"/>
      <c r="M26" s="23"/>
      <c r="N26" s="23"/>
      <c r="O26" s="26" t="s">
        <v>101</v>
      </c>
      <c r="P26" s="26"/>
      <c r="Q26" s="26"/>
      <c r="R26" s="22">
        <v>7</v>
      </c>
      <c r="S26" s="24">
        <v>45742</v>
      </c>
      <c r="T26" s="24">
        <v>45743</v>
      </c>
      <c r="U26" s="24">
        <v>45747</v>
      </c>
      <c r="V26" s="24"/>
      <c r="W26" s="24">
        <v>45749</v>
      </c>
      <c r="X26" s="22" t="s">
        <v>91</v>
      </c>
      <c r="Y26" s="4" t="str">
        <f>IF(Tabela2[[#This Row],[SIGLA]]="","",VLOOKUP(Tabela2[[#This Row],[SIGLA]],Tabela1[[#All],[Sigla Arte]:[Crédito]],2,0))</f>
        <v>HELOÍSA PINTARELLI/ARQUIVO DA EDITORA</v>
      </c>
      <c r="Z26" s="23"/>
      <c r="AA26" s="23" t="str">
        <f>Tabela2[[#This Row],[ILUSTRADOR CRIAÇÃO]]</f>
        <v>HELOÍSA PINTARELLI/ARQUIVO DA EDITORA</v>
      </c>
      <c r="AB26" s="22">
        <v>14</v>
      </c>
      <c r="AC26" s="20" t="s">
        <v>99</v>
      </c>
      <c r="AD26" s="20" t="s">
        <v>40</v>
      </c>
      <c r="AE26" s="4" t="str">
        <f t="shared" si="0"/>
        <v>EF1 E002 Ing</v>
      </c>
    </row>
    <row r="27" spans="1:31" s="12" customFormat="1" x14ac:dyDescent="0.25">
      <c r="A27" s="23" t="s">
        <v>102</v>
      </c>
      <c r="B27" s="20" t="s">
        <v>56</v>
      </c>
      <c r="C27" s="20" t="s">
        <v>33</v>
      </c>
      <c r="D27" s="20" t="s">
        <v>34</v>
      </c>
      <c r="E27" s="22">
        <v>18</v>
      </c>
      <c r="F27" s="22">
        <v>4</v>
      </c>
      <c r="G27" s="22">
        <v>1</v>
      </c>
      <c r="H27" s="22"/>
      <c r="I27" s="23" t="s">
        <v>36</v>
      </c>
      <c r="J27" s="23"/>
      <c r="K27" s="22"/>
      <c r="L27" s="22"/>
      <c r="M27" s="23"/>
      <c r="N27" s="23"/>
      <c r="O27" s="26" t="s">
        <v>103</v>
      </c>
      <c r="P27" s="26"/>
      <c r="Q27" s="26"/>
      <c r="R27" s="22">
        <v>7</v>
      </c>
      <c r="S27" s="24">
        <v>45742</v>
      </c>
      <c r="T27" s="24">
        <v>45743</v>
      </c>
      <c r="U27" s="24">
        <v>45747</v>
      </c>
      <c r="V27" s="24"/>
      <c r="W27" s="24">
        <v>45749</v>
      </c>
      <c r="X27" s="22" t="s">
        <v>91</v>
      </c>
      <c r="Y27" s="4" t="str">
        <f>IF(Tabela2[[#This Row],[SIGLA]]="","",VLOOKUP(Tabela2[[#This Row],[SIGLA]],Tabela1[[#All],[Sigla Arte]:[Crédito]],2,0))</f>
        <v>HELOÍSA PINTARELLI/ARQUIVO DA EDITORA</v>
      </c>
      <c r="Z27" s="23"/>
      <c r="AA27" s="23" t="str">
        <f>Tabela2[[#This Row],[ILUSTRADOR CRIAÇÃO]]</f>
        <v>HELOÍSA PINTARELLI/ARQUIVO DA EDITORA</v>
      </c>
      <c r="AB27" s="22">
        <v>14</v>
      </c>
      <c r="AC27" s="20" t="s">
        <v>99</v>
      </c>
      <c r="AD27" s="20" t="s">
        <v>40</v>
      </c>
      <c r="AE27" s="4" t="str">
        <f t="shared" si="0"/>
        <v>EF1 E002 Ing</v>
      </c>
    </row>
    <row r="28" spans="1:31" s="12" customFormat="1" x14ac:dyDescent="0.25">
      <c r="A28" s="23" t="s">
        <v>104</v>
      </c>
      <c r="B28" s="20" t="s">
        <v>56</v>
      </c>
      <c r="C28" s="20" t="s">
        <v>33</v>
      </c>
      <c r="D28" s="20" t="s">
        <v>34</v>
      </c>
      <c r="E28" s="22">
        <v>18</v>
      </c>
      <c r="F28" s="22">
        <v>4</v>
      </c>
      <c r="G28" s="22">
        <v>1</v>
      </c>
      <c r="H28" s="22"/>
      <c r="I28" s="23" t="s">
        <v>36</v>
      </c>
      <c r="J28" s="23"/>
      <c r="K28" s="22"/>
      <c r="L28" s="22"/>
      <c r="M28" s="23"/>
      <c r="N28" s="23"/>
      <c r="O28" s="26" t="s">
        <v>105</v>
      </c>
      <c r="P28" s="26"/>
      <c r="Q28" s="26"/>
      <c r="R28" s="22">
        <v>7</v>
      </c>
      <c r="S28" s="24">
        <v>45742</v>
      </c>
      <c r="T28" s="24">
        <v>45743</v>
      </c>
      <c r="U28" s="24">
        <v>45747</v>
      </c>
      <c r="V28" s="24"/>
      <c r="W28" s="24">
        <v>45749</v>
      </c>
      <c r="X28" s="22" t="s">
        <v>91</v>
      </c>
      <c r="Y28" s="4" t="str">
        <f>IF(Tabela2[[#This Row],[SIGLA]]="","",VLOOKUP(Tabela2[[#This Row],[SIGLA]],Tabela1[[#All],[Sigla Arte]:[Crédito]],2,0))</f>
        <v>HELOÍSA PINTARELLI/ARQUIVO DA EDITORA</v>
      </c>
      <c r="Z28" s="23"/>
      <c r="AA28" s="23" t="str">
        <f>Tabela2[[#This Row],[ILUSTRADOR CRIAÇÃO]]</f>
        <v>HELOÍSA PINTARELLI/ARQUIVO DA EDITORA</v>
      </c>
      <c r="AB28" s="22">
        <v>14</v>
      </c>
      <c r="AC28" s="20" t="s">
        <v>99</v>
      </c>
      <c r="AD28" s="20" t="s">
        <v>40</v>
      </c>
      <c r="AE28" s="4" t="str">
        <f t="shared" si="0"/>
        <v>EF1 E002 Ing</v>
      </c>
    </row>
    <row r="29" spans="1:31" s="12" customFormat="1" x14ac:dyDescent="0.25">
      <c r="A29" s="23" t="s">
        <v>106</v>
      </c>
      <c r="B29" s="20" t="s">
        <v>56</v>
      </c>
      <c r="C29" s="20" t="s">
        <v>33</v>
      </c>
      <c r="D29" s="20" t="s">
        <v>34</v>
      </c>
      <c r="E29" s="22">
        <v>18</v>
      </c>
      <c r="F29" s="22">
        <v>4</v>
      </c>
      <c r="G29" s="22">
        <v>1</v>
      </c>
      <c r="H29" s="22"/>
      <c r="I29" s="23" t="s">
        <v>36</v>
      </c>
      <c r="J29" s="23"/>
      <c r="K29" s="22"/>
      <c r="L29" s="22"/>
      <c r="M29" s="23"/>
      <c r="N29" s="23"/>
      <c r="O29" s="26" t="s">
        <v>107</v>
      </c>
      <c r="P29" s="26"/>
      <c r="Q29" s="26"/>
      <c r="R29" s="22">
        <v>7</v>
      </c>
      <c r="S29" s="24">
        <v>45742</v>
      </c>
      <c r="T29" s="24">
        <v>45743</v>
      </c>
      <c r="U29" s="24">
        <v>45747</v>
      </c>
      <c r="V29" s="24"/>
      <c r="W29" s="24">
        <v>45749</v>
      </c>
      <c r="X29" s="22" t="s">
        <v>91</v>
      </c>
      <c r="Y29" s="4" t="str">
        <f>IF(Tabela2[[#This Row],[SIGLA]]="","",VLOOKUP(Tabela2[[#This Row],[SIGLA]],Tabela1[[#All],[Sigla Arte]:[Crédito]],2,0))</f>
        <v>HELOÍSA PINTARELLI/ARQUIVO DA EDITORA</v>
      </c>
      <c r="Z29" s="23"/>
      <c r="AA29" s="23" t="str">
        <f>Tabela2[[#This Row],[ILUSTRADOR CRIAÇÃO]]</f>
        <v>HELOÍSA PINTARELLI/ARQUIVO DA EDITORA</v>
      </c>
      <c r="AB29" s="22">
        <v>14</v>
      </c>
      <c r="AC29" s="20" t="s">
        <v>99</v>
      </c>
      <c r="AD29" s="20" t="s">
        <v>40</v>
      </c>
      <c r="AE29" s="4" t="str">
        <f t="shared" si="0"/>
        <v>EF1 E002 Ing</v>
      </c>
    </row>
    <row r="30" spans="1:31" s="12" customFormat="1" x14ac:dyDescent="0.25">
      <c r="A30" s="23" t="s">
        <v>108</v>
      </c>
      <c r="B30" s="20" t="s">
        <v>56</v>
      </c>
      <c r="C30" s="20" t="s">
        <v>33</v>
      </c>
      <c r="D30" s="20" t="s">
        <v>34</v>
      </c>
      <c r="E30" s="22">
        <v>18</v>
      </c>
      <c r="F30" s="22">
        <v>4</v>
      </c>
      <c r="G30" s="22">
        <v>1</v>
      </c>
      <c r="H30" s="22"/>
      <c r="I30" s="23" t="s">
        <v>36</v>
      </c>
      <c r="J30" s="23"/>
      <c r="K30" s="22"/>
      <c r="L30" s="22"/>
      <c r="M30" s="23"/>
      <c r="N30" s="23"/>
      <c r="O30" s="26" t="s">
        <v>109</v>
      </c>
      <c r="P30" s="26"/>
      <c r="Q30" s="26"/>
      <c r="R30" s="22">
        <v>7</v>
      </c>
      <c r="S30" s="24">
        <v>45742</v>
      </c>
      <c r="T30" s="24">
        <v>45743</v>
      </c>
      <c r="U30" s="24">
        <v>45747</v>
      </c>
      <c r="V30" s="24"/>
      <c r="W30" s="24">
        <v>45749</v>
      </c>
      <c r="X30" s="22" t="s">
        <v>91</v>
      </c>
      <c r="Y30" s="4" t="str">
        <f>IF(Tabela2[[#This Row],[SIGLA]]="","",VLOOKUP(Tabela2[[#This Row],[SIGLA]],Tabela1[[#All],[Sigla Arte]:[Crédito]],2,0))</f>
        <v>HELOÍSA PINTARELLI/ARQUIVO DA EDITORA</v>
      </c>
      <c r="Z30" s="23"/>
      <c r="AA30" s="23" t="str">
        <f>Tabela2[[#This Row],[ILUSTRADOR CRIAÇÃO]]</f>
        <v>HELOÍSA PINTARELLI/ARQUIVO DA EDITORA</v>
      </c>
      <c r="AB30" s="22">
        <v>14</v>
      </c>
      <c r="AC30" s="20" t="s">
        <v>99</v>
      </c>
      <c r="AD30" s="20" t="s">
        <v>40</v>
      </c>
      <c r="AE30" s="4" t="str">
        <f t="shared" si="0"/>
        <v>EF1 E002 Ing</v>
      </c>
    </row>
    <row r="31" spans="1:31" s="12" customFormat="1" x14ac:dyDescent="0.25">
      <c r="A31" s="23" t="s">
        <v>110</v>
      </c>
      <c r="B31" s="20" t="s">
        <v>56</v>
      </c>
      <c r="C31" s="20" t="s">
        <v>33</v>
      </c>
      <c r="D31" s="20" t="s">
        <v>34</v>
      </c>
      <c r="E31" s="22">
        <v>18</v>
      </c>
      <c r="F31" s="22">
        <v>4</v>
      </c>
      <c r="G31" s="22">
        <v>1</v>
      </c>
      <c r="H31" s="22"/>
      <c r="I31" s="23" t="s">
        <v>36</v>
      </c>
      <c r="J31" s="23"/>
      <c r="K31" s="22"/>
      <c r="L31" s="22"/>
      <c r="M31" s="23"/>
      <c r="N31" s="23"/>
      <c r="O31" s="26" t="s">
        <v>111</v>
      </c>
      <c r="P31" s="26"/>
      <c r="Q31" s="26"/>
      <c r="R31" s="22">
        <v>7</v>
      </c>
      <c r="S31" s="24">
        <v>45742</v>
      </c>
      <c r="T31" s="24">
        <v>45743</v>
      </c>
      <c r="U31" s="24">
        <v>45747</v>
      </c>
      <c r="V31" s="24"/>
      <c r="W31" s="24">
        <v>45749</v>
      </c>
      <c r="X31" s="22" t="s">
        <v>91</v>
      </c>
      <c r="Y31" s="4" t="str">
        <f>IF(Tabela2[[#This Row],[SIGLA]]="","",VLOOKUP(Tabela2[[#This Row],[SIGLA]],Tabela1[[#All],[Sigla Arte]:[Crédito]],2,0))</f>
        <v>HELOÍSA PINTARELLI/ARQUIVO DA EDITORA</v>
      </c>
      <c r="Z31" s="23"/>
      <c r="AA31" s="23" t="str">
        <f>Tabela2[[#This Row],[ILUSTRADOR CRIAÇÃO]]</f>
        <v>HELOÍSA PINTARELLI/ARQUIVO DA EDITORA</v>
      </c>
      <c r="AB31" s="22">
        <v>14</v>
      </c>
      <c r="AC31" s="20" t="s">
        <v>99</v>
      </c>
      <c r="AD31" s="20" t="s">
        <v>40</v>
      </c>
      <c r="AE31" s="4" t="str">
        <f t="shared" si="0"/>
        <v>EF1 E002 Ing</v>
      </c>
    </row>
    <row r="32" spans="1:31" s="12" customFormat="1" ht="45" x14ac:dyDescent="0.25">
      <c r="A32" s="23" t="s">
        <v>112</v>
      </c>
      <c r="B32" s="20" t="s">
        <v>56</v>
      </c>
      <c r="C32" s="20" t="s">
        <v>33</v>
      </c>
      <c r="D32" s="20" t="s">
        <v>34</v>
      </c>
      <c r="E32" s="22">
        <v>19</v>
      </c>
      <c r="F32" s="22">
        <v>4</v>
      </c>
      <c r="G32" s="22">
        <v>1</v>
      </c>
      <c r="H32" s="22"/>
      <c r="I32" s="23" t="s">
        <v>36</v>
      </c>
      <c r="J32" s="23"/>
      <c r="K32" s="22"/>
      <c r="L32" s="22"/>
      <c r="M32" s="23"/>
      <c r="N32" s="23"/>
      <c r="O32" s="26" t="s">
        <v>113</v>
      </c>
      <c r="P32" s="26"/>
      <c r="Q32" s="26"/>
      <c r="R32" s="22">
        <v>7</v>
      </c>
      <c r="S32" s="24">
        <v>45742</v>
      </c>
      <c r="T32" s="24">
        <v>45743</v>
      </c>
      <c r="U32" s="24">
        <v>45749</v>
      </c>
      <c r="V32" s="24"/>
      <c r="W32" s="24">
        <v>45749</v>
      </c>
      <c r="X32" s="22" t="s">
        <v>91</v>
      </c>
      <c r="Y32" s="4" t="str">
        <f>IF(Tabela2[[#This Row],[SIGLA]]="","",VLOOKUP(Tabela2[[#This Row],[SIGLA]],Tabela1[[#All],[Sigla Arte]:[Crédito]],2,0))</f>
        <v>HELOÍSA PINTARELLI/ARQUIVO DA EDITORA</v>
      </c>
      <c r="Z32" s="23"/>
      <c r="AA32" s="23" t="str">
        <f>Tabela2[[#This Row],[ILUSTRADOR CRIAÇÃO]]</f>
        <v>HELOÍSA PINTARELLI/ARQUIVO DA EDITORA</v>
      </c>
      <c r="AB32" s="22">
        <v>8</v>
      </c>
      <c r="AC32" s="20" t="s">
        <v>99</v>
      </c>
      <c r="AD32" s="20" t="s">
        <v>40</v>
      </c>
      <c r="AE32" s="4" t="str">
        <f t="shared" si="0"/>
        <v>EF1 E002 Ing</v>
      </c>
    </row>
    <row r="33" spans="1:31" s="12" customFormat="1" ht="45" x14ac:dyDescent="0.25">
      <c r="A33" s="23" t="s">
        <v>114</v>
      </c>
      <c r="B33" s="20" t="s">
        <v>56</v>
      </c>
      <c r="C33" s="20" t="s">
        <v>33</v>
      </c>
      <c r="D33" s="20" t="s">
        <v>34</v>
      </c>
      <c r="E33" s="22">
        <v>19</v>
      </c>
      <c r="F33" s="22">
        <v>4</v>
      </c>
      <c r="G33" s="22">
        <v>1</v>
      </c>
      <c r="H33" s="22"/>
      <c r="I33" s="23" t="s">
        <v>36</v>
      </c>
      <c r="J33" s="23"/>
      <c r="K33" s="22"/>
      <c r="L33" s="22"/>
      <c r="M33" s="23"/>
      <c r="N33" s="23"/>
      <c r="O33" s="26" t="s">
        <v>115</v>
      </c>
      <c r="P33" s="26"/>
      <c r="Q33" s="26"/>
      <c r="R33" s="22">
        <v>7</v>
      </c>
      <c r="S33" s="24">
        <v>45742</v>
      </c>
      <c r="T33" s="24">
        <v>45743</v>
      </c>
      <c r="U33" s="24">
        <v>45749</v>
      </c>
      <c r="V33" s="24"/>
      <c r="W33" s="24">
        <v>45749</v>
      </c>
      <c r="X33" s="22" t="s">
        <v>91</v>
      </c>
      <c r="Y33" s="4" t="str">
        <f>IF(Tabela2[[#This Row],[SIGLA]]="","",VLOOKUP(Tabela2[[#This Row],[SIGLA]],Tabela1[[#All],[Sigla Arte]:[Crédito]],2,0))</f>
        <v>HELOÍSA PINTARELLI/ARQUIVO DA EDITORA</v>
      </c>
      <c r="Z33" s="23"/>
      <c r="AA33" s="23" t="str">
        <f>Tabela2[[#This Row],[ILUSTRADOR CRIAÇÃO]]</f>
        <v>HELOÍSA PINTARELLI/ARQUIVO DA EDITORA</v>
      </c>
      <c r="AB33" s="22">
        <v>8</v>
      </c>
      <c r="AC33" s="20" t="s">
        <v>99</v>
      </c>
      <c r="AD33" s="20" t="s">
        <v>40</v>
      </c>
      <c r="AE33" s="4" t="str">
        <f t="shared" si="0"/>
        <v>EF1 E002 Ing</v>
      </c>
    </row>
    <row r="34" spans="1:31" s="12" customFormat="1" ht="60" x14ac:dyDescent="0.25">
      <c r="A34" s="23" t="s">
        <v>116</v>
      </c>
      <c r="B34" s="20" t="s">
        <v>56</v>
      </c>
      <c r="C34" s="20" t="s">
        <v>33</v>
      </c>
      <c r="D34" s="20" t="s">
        <v>34</v>
      </c>
      <c r="E34" s="22">
        <v>19</v>
      </c>
      <c r="F34" s="22">
        <v>4</v>
      </c>
      <c r="G34" s="22">
        <v>1</v>
      </c>
      <c r="H34" s="22"/>
      <c r="I34" s="23" t="s">
        <v>36</v>
      </c>
      <c r="J34" s="23"/>
      <c r="K34" s="22"/>
      <c r="L34" s="22"/>
      <c r="M34" s="23"/>
      <c r="N34" s="23"/>
      <c r="O34" s="26" t="s">
        <v>117</v>
      </c>
      <c r="P34" s="26"/>
      <c r="Q34" s="26"/>
      <c r="R34" s="22">
        <v>7</v>
      </c>
      <c r="S34" s="24">
        <v>45742</v>
      </c>
      <c r="T34" s="24">
        <v>45743</v>
      </c>
      <c r="U34" s="24">
        <v>45749</v>
      </c>
      <c r="V34" s="24"/>
      <c r="W34" s="24">
        <v>45749</v>
      </c>
      <c r="X34" s="22" t="s">
        <v>91</v>
      </c>
      <c r="Y34" s="4" t="str">
        <f>IF(Tabela2[[#This Row],[SIGLA]]="","",VLOOKUP(Tabela2[[#This Row],[SIGLA]],Tabela1[[#All],[Sigla Arte]:[Crédito]],2,0))</f>
        <v>HELOÍSA PINTARELLI/ARQUIVO DA EDITORA</v>
      </c>
      <c r="Z34" s="23"/>
      <c r="AA34" s="23" t="str">
        <f>Tabela2[[#This Row],[ILUSTRADOR CRIAÇÃO]]</f>
        <v>HELOÍSA PINTARELLI/ARQUIVO DA EDITORA</v>
      </c>
      <c r="AB34" s="22">
        <v>8</v>
      </c>
      <c r="AC34" s="20" t="s">
        <v>99</v>
      </c>
      <c r="AD34" s="20" t="s">
        <v>40</v>
      </c>
      <c r="AE34" s="4" t="str">
        <f t="shared" si="0"/>
        <v>EF1 E002 Ing</v>
      </c>
    </row>
    <row r="35" spans="1:31" s="12" customFormat="1" ht="60" x14ac:dyDescent="0.25">
      <c r="A35" s="23" t="s">
        <v>118</v>
      </c>
      <c r="B35" s="20" t="s">
        <v>56</v>
      </c>
      <c r="C35" s="20" t="s">
        <v>33</v>
      </c>
      <c r="D35" s="20" t="s">
        <v>34</v>
      </c>
      <c r="E35" s="22">
        <v>19</v>
      </c>
      <c r="F35" s="22">
        <v>4</v>
      </c>
      <c r="G35" s="22">
        <v>1</v>
      </c>
      <c r="H35" s="22"/>
      <c r="I35" s="23" t="s">
        <v>36</v>
      </c>
      <c r="J35" s="23"/>
      <c r="K35" s="22"/>
      <c r="L35" s="22"/>
      <c r="M35" s="23"/>
      <c r="N35" s="23"/>
      <c r="O35" s="26" t="s">
        <v>119</v>
      </c>
      <c r="P35" s="26"/>
      <c r="Q35" s="26"/>
      <c r="R35" s="22">
        <v>7</v>
      </c>
      <c r="S35" s="24">
        <v>45742</v>
      </c>
      <c r="T35" s="24">
        <v>45743</v>
      </c>
      <c r="U35" s="24">
        <v>45749</v>
      </c>
      <c r="V35" s="24"/>
      <c r="W35" s="24">
        <v>45749</v>
      </c>
      <c r="X35" s="22" t="s">
        <v>91</v>
      </c>
      <c r="Y35" s="4" t="str">
        <f>IF(Tabela2[[#This Row],[SIGLA]]="","",VLOOKUP(Tabela2[[#This Row],[SIGLA]],Tabela1[[#All],[Sigla Arte]:[Crédito]],2,0))</f>
        <v>HELOÍSA PINTARELLI/ARQUIVO DA EDITORA</v>
      </c>
      <c r="Z35" s="23"/>
      <c r="AA35" s="23" t="str">
        <f>Tabela2[[#This Row],[ILUSTRADOR CRIAÇÃO]]</f>
        <v>HELOÍSA PINTARELLI/ARQUIVO DA EDITORA</v>
      </c>
      <c r="AB35" s="22">
        <v>8</v>
      </c>
      <c r="AC35" s="20" t="s">
        <v>99</v>
      </c>
      <c r="AD35" s="20" t="s">
        <v>40</v>
      </c>
      <c r="AE35" s="4" t="str">
        <f t="shared" si="0"/>
        <v>EF1 E002 Ing</v>
      </c>
    </row>
    <row r="36" spans="1:31" s="12" customFormat="1" ht="105" x14ac:dyDescent="0.25">
      <c r="A36" s="23" t="s">
        <v>120</v>
      </c>
      <c r="B36" s="20" t="s">
        <v>56</v>
      </c>
      <c r="C36" s="20" t="s">
        <v>33</v>
      </c>
      <c r="D36" s="20" t="s">
        <v>34</v>
      </c>
      <c r="E36" s="22">
        <v>21</v>
      </c>
      <c r="F36" s="22">
        <v>4</v>
      </c>
      <c r="G36" s="22">
        <v>1</v>
      </c>
      <c r="H36" s="22"/>
      <c r="I36" s="23" t="s">
        <v>36</v>
      </c>
      <c r="J36" s="23"/>
      <c r="K36" s="22"/>
      <c r="L36" s="22"/>
      <c r="M36" s="23"/>
      <c r="N36" s="23"/>
      <c r="O36" s="26" t="s">
        <v>121</v>
      </c>
      <c r="P36" s="26"/>
      <c r="Q36" s="26"/>
      <c r="R36" s="22">
        <v>7</v>
      </c>
      <c r="S36" s="24">
        <v>45742</v>
      </c>
      <c r="T36" s="24">
        <v>45743</v>
      </c>
      <c r="U36" s="24">
        <v>45755</v>
      </c>
      <c r="V36" s="24">
        <v>45756</v>
      </c>
      <c r="W36" s="24">
        <v>45758</v>
      </c>
      <c r="X36" s="22" t="s">
        <v>122</v>
      </c>
      <c r="Y36" s="4" t="str">
        <f>IF(Tabela2[[#This Row],[SIGLA]]="","",VLOOKUP(Tabela2[[#This Row],[SIGLA]],Tabela1[[#All],[Sigla Arte]:[Crédito]],2,0))</f>
        <v>THAMIRES PAREDES/ARQUIVO DA EDITORA</v>
      </c>
      <c r="Z36" s="23"/>
      <c r="AA36" s="23" t="str">
        <f>Tabela2[[#This Row],[ILUSTRADOR CRIAÇÃO]]</f>
        <v>THAMIRES PAREDES/ARQUIVO DA EDITORA</v>
      </c>
      <c r="AB36" s="22">
        <v>5</v>
      </c>
      <c r="AC36" s="20" t="s">
        <v>123</v>
      </c>
      <c r="AD36" s="20" t="s">
        <v>40</v>
      </c>
      <c r="AE36" s="4" t="str">
        <f t="shared" si="0"/>
        <v>EF1 E002 Ing</v>
      </c>
    </row>
    <row r="37" spans="1:31" s="12" customFormat="1" ht="135" x14ac:dyDescent="0.25">
      <c r="A37" s="23" t="s">
        <v>124</v>
      </c>
      <c r="B37" s="20" t="s">
        <v>125</v>
      </c>
      <c r="C37" s="20" t="s">
        <v>33</v>
      </c>
      <c r="D37" s="20" t="s">
        <v>34</v>
      </c>
      <c r="E37" s="22">
        <v>14</v>
      </c>
      <c r="F37" s="22">
        <v>1</v>
      </c>
      <c r="G37" s="22">
        <v>1</v>
      </c>
      <c r="H37" s="22"/>
      <c r="I37" s="23" t="s">
        <v>36</v>
      </c>
      <c r="J37" s="23"/>
      <c r="K37" s="22"/>
      <c r="L37" s="22"/>
      <c r="M37" s="23"/>
      <c r="N37" s="23"/>
      <c r="O37" s="26" t="s">
        <v>126</v>
      </c>
      <c r="P37" s="26"/>
      <c r="Q37" s="26"/>
      <c r="R37" s="22">
        <v>8</v>
      </c>
      <c r="S37" s="24">
        <v>45750</v>
      </c>
      <c r="T37" s="24">
        <v>45754</v>
      </c>
      <c r="U37" s="24">
        <v>45762</v>
      </c>
      <c r="V37" s="24">
        <v>45762</v>
      </c>
      <c r="W37" s="24">
        <v>45768</v>
      </c>
      <c r="X37" s="22" t="s">
        <v>127</v>
      </c>
      <c r="Y37" s="4" t="str">
        <f>IF(Tabela2[[#This Row],[SIGLA]]="","",VLOOKUP(Tabela2[[#This Row],[SIGLA]],Tabela1[[#All],[Sigla Arte]:[Crédito]],2,0))</f>
        <v>JULIA PONNICK/ARQUIVO DA EDITORA</v>
      </c>
      <c r="Z37" s="23"/>
      <c r="AA37" s="23" t="str">
        <f>Tabela2[[#This Row],[ILUSTRADOR CRIAÇÃO]]</f>
        <v>JULIA PONNICK/ARQUIVO DA EDITORA</v>
      </c>
      <c r="AB37" s="22">
        <v>4</v>
      </c>
      <c r="AC37" s="20" t="s">
        <v>128</v>
      </c>
      <c r="AD37" s="20" t="s">
        <v>40</v>
      </c>
      <c r="AE37" s="4" t="str">
        <f t="shared" si="0"/>
        <v>EF1 E002 Ing</v>
      </c>
    </row>
    <row r="38" spans="1:31" s="12" customFormat="1" ht="195" x14ac:dyDescent="0.25">
      <c r="A38" s="23" t="s">
        <v>129</v>
      </c>
      <c r="B38" s="20" t="s">
        <v>32</v>
      </c>
      <c r="C38" s="20" t="s">
        <v>33</v>
      </c>
      <c r="D38" s="20" t="s">
        <v>34</v>
      </c>
      <c r="E38" s="22">
        <v>14</v>
      </c>
      <c r="F38" s="22">
        <v>1</v>
      </c>
      <c r="G38" s="22">
        <v>1</v>
      </c>
      <c r="H38" s="22"/>
      <c r="I38" s="23" t="s">
        <v>36</v>
      </c>
      <c r="J38" s="23"/>
      <c r="K38" s="22"/>
      <c r="L38" s="22"/>
      <c r="M38" s="23"/>
      <c r="N38" s="23"/>
      <c r="O38" s="26" t="s">
        <v>130</v>
      </c>
      <c r="P38" s="26"/>
      <c r="Q38" s="26"/>
      <c r="R38" s="22">
        <v>8</v>
      </c>
      <c r="S38" s="24">
        <v>45750</v>
      </c>
      <c r="T38" s="24">
        <v>45754</v>
      </c>
      <c r="U38" s="24">
        <v>45762</v>
      </c>
      <c r="V38" s="24">
        <v>45762</v>
      </c>
      <c r="W38" s="24">
        <v>45768</v>
      </c>
      <c r="X38" s="22" t="s">
        <v>127</v>
      </c>
      <c r="Y38" s="4" t="str">
        <f>IF(Tabela2[[#This Row],[SIGLA]]="","",VLOOKUP(Tabela2[[#This Row],[SIGLA]],Tabela1[[#All],[Sigla Arte]:[Crédito]],2,0))</f>
        <v>JULIA PONNICK/ARQUIVO DA EDITORA</v>
      </c>
      <c r="Z38" s="23"/>
      <c r="AA38" s="23" t="str">
        <f>Tabela2[[#This Row],[ILUSTRADOR CRIAÇÃO]]</f>
        <v>JULIA PONNICK/ARQUIVO DA EDITORA</v>
      </c>
      <c r="AB38" s="22">
        <v>4</v>
      </c>
      <c r="AC38" s="20" t="s">
        <v>128</v>
      </c>
      <c r="AD38" s="20" t="s">
        <v>40</v>
      </c>
      <c r="AE38" s="4" t="str">
        <f t="shared" si="0"/>
        <v>EF1 E002 Ing</v>
      </c>
    </row>
    <row r="39" spans="1:31" s="12" customFormat="1" ht="75" x14ac:dyDescent="0.25">
      <c r="A39" s="23" t="s">
        <v>131</v>
      </c>
      <c r="B39" s="20" t="s">
        <v>125</v>
      </c>
      <c r="C39" s="20" t="s">
        <v>33</v>
      </c>
      <c r="D39" s="20" t="s">
        <v>34</v>
      </c>
      <c r="E39" s="22">
        <v>15</v>
      </c>
      <c r="F39" s="22">
        <v>1</v>
      </c>
      <c r="G39" s="22">
        <v>1</v>
      </c>
      <c r="H39" s="22"/>
      <c r="I39" s="23" t="s">
        <v>36</v>
      </c>
      <c r="J39" s="23"/>
      <c r="K39" s="22"/>
      <c r="L39" s="22"/>
      <c r="M39" s="23"/>
      <c r="N39" s="23"/>
      <c r="O39" s="26" t="s">
        <v>132</v>
      </c>
      <c r="P39" s="26"/>
      <c r="Q39" s="26"/>
      <c r="R39" s="22">
        <v>8</v>
      </c>
      <c r="S39" s="24">
        <v>45750</v>
      </c>
      <c r="T39" s="24">
        <v>45754</v>
      </c>
      <c r="U39" s="24">
        <v>45762</v>
      </c>
      <c r="V39" s="24">
        <v>45762</v>
      </c>
      <c r="W39" s="24">
        <v>45768</v>
      </c>
      <c r="X39" s="22" t="s">
        <v>127</v>
      </c>
      <c r="Y39" s="4" t="str">
        <f>IF(Tabela2[[#This Row],[SIGLA]]="","",VLOOKUP(Tabela2[[#This Row],[SIGLA]],Tabela1[[#All],[Sigla Arte]:[Crédito]],2,0))</f>
        <v>JULIA PONNICK/ARQUIVO DA EDITORA</v>
      </c>
      <c r="Z39" s="23"/>
      <c r="AA39" s="23" t="str">
        <f>Tabela2[[#This Row],[ILUSTRADOR CRIAÇÃO]]</f>
        <v>JULIA PONNICK/ARQUIVO DA EDITORA</v>
      </c>
      <c r="AB39" s="22">
        <v>6</v>
      </c>
      <c r="AC39" s="20" t="s">
        <v>128</v>
      </c>
      <c r="AD39" s="20" t="s">
        <v>40</v>
      </c>
      <c r="AE39" s="4" t="str">
        <f t="shared" si="0"/>
        <v>EF1 E002 Ing</v>
      </c>
    </row>
    <row r="40" spans="1:31" s="12" customFormat="1" ht="195" x14ac:dyDescent="0.25">
      <c r="A40" s="23" t="s">
        <v>133</v>
      </c>
      <c r="B40" s="20" t="s">
        <v>32</v>
      </c>
      <c r="C40" s="20" t="s">
        <v>33</v>
      </c>
      <c r="D40" s="20" t="s">
        <v>34</v>
      </c>
      <c r="E40" s="22">
        <v>16</v>
      </c>
      <c r="F40" s="22">
        <v>1</v>
      </c>
      <c r="G40" s="22">
        <v>1</v>
      </c>
      <c r="H40" s="22"/>
      <c r="I40" s="23" t="s">
        <v>36</v>
      </c>
      <c r="J40" s="23"/>
      <c r="K40" s="22"/>
      <c r="L40" s="22"/>
      <c r="M40" s="23"/>
      <c r="N40" s="23"/>
      <c r="O40" s="26" t="s">
        <v>134</v>
      </c>
      <c r="P40" s="26"/>
      <c r="Q40" s="26"/>
      <c r="R40" s="22">
        <v>8</v>
      </c>
      <c r="S40" s="24">
        <v>45750</v>
      </c>
      <c r="T40" s="24">
        <v>45754</v>
      </c>
      <c r="U40" s="24">
        <v>45757</v>
      </c>
      <c r="V40" s="24">
        <v>45762</v>
      </c>
      <c r="W40" s="24">
        <v>45764</v>
      </c>
      <c r="X40" s="22" t="s">
        <v>47</v>
      </c>
      <c r="Y40" s="4" t="str">
        <f>IF(Tabela2[[#This Row],[SIGLA]]="","",VLOOKUP(Tabela2[[#This Row],[SIGLA]],Tabela1[[#All],[Sigla Arte]:[Crédito]],2,0))</f>
        <v>RAFAEL LUZIO/ARQUIVO DA EDITORA</v>
      </c>
      <c r="Z40" s="23"/>
      <c r="AA40" s="23" t="str">
        <f>Tabela2[[#This Row],[ILUSTRADOR CRIAÇÃO]]</f>
        <v>RAFAEL LUZIO/ARQUIVO DA EDITORA</v>
      </c>
      <c r="AB40" s="22">
        <v>5</v>
      </c>
      <c r="AC40" s="20" t="s">
        <v>135</v>
      </c>
      <c r="AD40" s="20" t="s">
        <v>40</v>
      </c>
      <c r="AE40" s="4" t="str">
        <f t="shared" si="0"/>
        <v>EF1 E002 Ing</v>
      </c>
    </row>
    <row r="41" spans="1:31" s="12" customFormat="1" ht="285" x14ac:dyDescent="0.25">
      <c r="A41" s="23" t="s">
        <v>136</v>
      </c>
      <c r="B41" s="20" t="s">
        <v>32</v>
      </c>
      <c r="C41" s="20" t="s">
        <v>33</v>
      </c>
      <c r="D41" s="20" t="s">
        <v>34</v>
      </c>
      <c r="E41" s="22">
        <v>17</v>
      </c>
      <c r="F41" s="22">
        <v>1</v>
      </c>
      <c r="G41" s="22">
        <v>1</v>
      </c>
      <c r="H41" s="22"/>
      <c r="I41" s="23" t="s">
        <v>36</v>
      </c>
      <c r="J41" s="23"/>
      <c r="K41" s="22"/>
      <c r="L41" s="22"/>
      <c r="M41" s="23"/>
      <c r="N41" s="23"/>
      <c r="O41" s="26" t="s">
        <v>137</v>
      </c>
      <c r="P41" s="26"/>
      <c r="Q41" s="26"/>
      <c r="R41" s="22">
        <v>8</v>
      </c>
      <c r="S41" s="24">
        <v>45750</v>
      </c>
      <c r="T41" s="24">
        <v>45754</v>
      </c>
      <c r="U41" s="24">
        <v>45757</v>
      </c>
      <c r="V41" s="24">
        <v>45762</v>
      </c>
      <c r="W41" s="24">
        <v>45764</v>
      </c>
      <c r="X41" s="22" t="s">
        <v>47</v>
      </c>
      <c r="Y41" s="4" t="str">
        <f>IF(Tabela2[[#This Row],[SIGLA]]="","",VLOOKUP(Tabela2[[#This Row],[SIGLA]],Tabela1[[#All],[Sigla Arte]:[Crédito]],2,0))</f>
        <v>RAFAEL LUZIO/ARQUIVO DA EDITORA</v>
      </c>
      <c r="Z41" s="23"/>
      <c r="AA41" s="23" t="str">
        <f>Tabela2[[#This Row],[ILUSTRADOR CRIAÇÃO]]</f>
        <v>RAFAEL LUZIO/ARQUIVO DA EDITORA</v>
      </c>
      <c r="AB41" s="22">
        <v>6</v>
      </c>
      <c r="AC41" s="20" t="s">
        <v>135</v>
      </c>
      <c r="AD41" s="20" t="s">
        <v>40</v>
      </c>
      <c r="AE41" s="4" t="str">
        <f t="shared" si="0"/>
        <v>EF1 E002 Ing</v>
      </c>
    </row>
    <row r="42" spans="1:31" s="12" customFormat="1" ht="150" x14ac:dyDescent="0.25">
      <c r="A42" s="23" t="s">
        <v>138</v>
      </c>
      <c r="B42" s="20" t="s">
        <v>32</v>
      </c>
      <c r="C42" s="20" t="s">
        <v>33</v>
      </c>
      <c r="D42" s="20" t="s">
        <v>34</v>
      </c>
      <c r="E42" s="22">
        <v>18</v>
      </c>
      <c r="F42" s="22">
        <v>1</v>
      </c>
      <c r="G42" s="22">
        <v>1</v>
      </c>
      <c r="H42" s="22"/>
      <c r="I42" s="23" t="s">
        <v>36</v>
      </c>
      <c r="J42" s="23"/>
      <c r="K42" s="22"/>
      <c r="L42" s="22"/>
      <c r="M42" s="23"/>
      <c r="N42" s="23"/>
      <c r="O42" s="26" t="s">
        <v>139</v>
      </c>
      <c r="P42" s="26"/>
      <c r="Q42" s="26"/>
      <c r="R42" s="22">
        <v>8</v>
      </c>
      <c r="S42" s="24"/>
      <c r="T42" s="24">
        <v>45754</v>
      </c>
      <c r="U42" s="24">
        <v>45757</v>
      </c>
      <c r="V42" s="24">
        <v>45762</v>
      </c>
      <c r="W42" s="24">
        <v>45764</v>
      </c>
      <c r="X42" s="22" t="s">
        <v>47</v>
      </c>
      <c r="Y42" s="4" t="str">
        <f>IF(Tabela2[[#This Row],[SIGLA]]="","",VLOOKUP(Tabela2[[#This Row],[SIGLA]],Tabela1[[#All],[Sigla Arte]:[Crédito]],2,0))</f>
        <v>RAFAEL LUZIO/ARQUIVO DA EDITORA</v>
      </c>
      <c r="Z42" s="23"/>
      <c r="AA42" s="23" t="str">
        <f>Tabela2[[#This Row],[ILUSTRADOR CRIAÇÃO]]</f>
        <v>RAFAEL LUZIO/ARQUIVO DA EDITORA</v>
      </c>
      <c r="AB42" s="22">
        <v>6</v>
      </c>
      <c r="AC42" s="20" t="s">
        <v>135</v>
      </c>
      <c r="AD42" s="20" t="s">
        <v>40</v>
      </c>
      <c r="AE42" s="4" t="str">
        <f t="shared" si="0"/>
        <v>EF1 E002 Ing</v>
      </c>
    </row>
    <row r="43" spans="1:31" s="12" customFormat="1" ht="90" x14ac:dyDescent="0.25">
      <c r="A43" s="23" t="s">
        <v>140</v>
      </c>
      <c r="B43" s="20" t="s">
        <v>125</v>
      </c>
      <c r="C43" s="20" t="s">
        <v>33</v>
      </c>
      <c r="D43" s="20" t="s">
        <v>34</v>
      </c>
      <c r="E43" s="22">
        <v>19</v>
      </c>
      <c r="F43" s="22">
        <v>1</v>
      </c>
      <c r="G43" s="22">
        <v>1</v>
      </c>
      <c r="H43" s="22"/>
      <c r="I43" s="23" t="s">
        <v>36</v>
      </c>
      <c r="J43" s="23"/>
      <c r="K43" s="22"/>
      <c r="L43" s="22"/>
      <c r="M43" s="23"/>
      <c r="N43" s="23"/>
      <c r="O43" s="26" t="s">
        <v>141</v>
      </c>
      <c r="P43" s="26"/>
      <c r="Q43" s="26"/>
      <c r="R43" s="22">
        <v>8</v>
      </c>
      <c r="S43" s="24">
        <v>45750</v>
      </c>
      <c r="T43" s="24">
        <v>45754</v>
      </c>
      <c r="U43" s="24">
        <v>45757</v>
      </c>
      <c r="V43" s="24">
        <v>45762</v>
      </c>
      <c r="W43" s="24">
        <v>45764</v>
      </c>
      <c r="X43" s="22" t="s">
        <v>47</v>
      </c>
      <c r="Y43" s="4" t="str">
        <f>IF(Tabela2[[#This Row],[SIGLA]]="","",VLOOKUP(Tabela2[[#This Row],[SIGLA]],Tabela1[[#All],[Sigla Arte]:[Crédito]],2,0))</f>
        <v>RAFAEL LUZIO/ARQUIVO DA EDITORA</v>
      </c>
      <c r="Z43" s="23"/>
      <c r="AA43" s="23" t="str">
        <f>Tabela2[[#This Row],[ILUSTRADOR CRIAÇÃO]]</f>
        <v>RAFAEL LUZIO/ARQUIVO DA EDITORA</v>
      </c>
      <c r="AB43" s="22">
        <v>7</v>
      </c>
      <c r="AC43" s="20" t="s">
        <v>135</v>
      </c>
      <c r="AD43" s="20" t="s">
        <v>40</v>
      </c>
      <c r="AE43" s="4" t="str">
        <f t="shared" si="0"/>
        <v>EF1 E002 Ing</v>
      </c>
    </row>
    <row r="44" spans="1:31" s="12" customFormat="1" ht="75" x14ac:dyDescent="0.25">
      <c r="A44" s="23" t="s">
        <v>142</v>
      </c>
      <c r="B44" s="20" t="s">
        <v>32</v>
      </c>
      <c r="C44" s="20" t="s">
        <v>33</v>
      </c>
      <c r="D44" s="20" t="s">
        <v>34</v>
      </c>
      <c r="E44" s="22">
        <v>73</v>
      </c>
      <c r="F44" s="22">
        <v>1</v>
      </c>
      <c r="G44" s="22"/>
      <c r="H44" s="22" t="s">
        <v>143</v>
      </c>
      <c r="I44" s="23" t="s">
        <v>36</v>
      </c>
      <c r="J44" s="23"/>
      <c r="K44" s="22"/>
      <c r="L44" s="22"/>
      <c r="M44" s="23"/>
      <c r="N44" s="23"/>
      <c r="O44" s="26" t="s">
        <v>144</v>
      </c>
      <c r="P44" s="26"/>
      <c r="Q44" s="26"/>
      <c r="R44" s="22">
        <v>9</v>
      </c>
      <c r="S44" s="24">
        <v>45750</v>
      </c>
      <c r="T44" s="24">
        <v>45754</v>
      </c>
      <c r="U44" s="24">
        <v>45762</v>
      </c>
      <c r="V44" s="24">
        <v>45762</v>
      </c>
      <c r="W44" s="24">
        <v>45768</v>
      </c>
      <c r="X44" s="22" t="s">
        <v>127</v>
      </c>
      <c r="Y44" s="4" t="str">
        <f>IF(Tabela2[[#This Row],[SIGLA]]="","",VLOOKUP(Tabela2[[#This Row],[SIGLA]],Tabela1[[#All],[Sigla Arte]:[Crédito]],2,0))</f>
        <v>JULIA PONNICK/ARQUIVO DA EDITORA</v>
      </c>
      <c r="Z44" s="23"/>
      <c r="AA44" s="23" t="str">
        <f>Tabela2[[#This Row],[ILUSTRADOR CRIAÇÃO]]</f>
        <v>JULIA PONNICK/ARQUIVO DA EDITORA</v>
      </c>
      <c r="AB44" s="22">
        <v>6</v>
      </c>
      <c r="AC44" s="20" t="s">
        <v>128</v>
      </c>
      <c r="AD44" s="20" t="s">
        <v>40</v>
      </c>
      <c r="AE44" s="4" t="str">
        <f t="shared" si="0"/>
        <v>EF1 E002 Ing</v>
      </c>
    </row>
    <row r="45" spans="1:31" s="12" customFormat="1" ht="345" x14ac:dyDescent="0.25">
      <c r="A45" s="23" t="s">
        <v>145</v>
      </c>
      <c r="B45" s="20" t="s">
        <v>32</v>
      </c>
      <c r="C45" s="20" t="s">
        <v>33</v>
      </c>
      <c r="D45" s="20" t="s">
        <v>34</v>
      </c>
      <c r="E45" s="22">
        <v>32</v>
      </c>
      <c r="F45" s="22">
        <v>1</v>
      </c>
      <c r="G45" s="22">
        <v>3</v>
      </c>
      <c r="H45" s="40" t="s">
        <v>146</v>
      </c>
      <c r="I45" s="23" t="s">
        <v>36</v>
      </c>
      <c r="J45" s="23"/>
      <c r="K45" s="22"/>
      <c r="L45" s="22"/>
      <c r="M45" s="23"/>
      <c r="N45" s="23"/>
      <c r="O45" s="26" t="s">
        <v>147</v>
      </c>
      <c r="P45" s="26"/>
      <c r="Q45" s="26"/>
      <c r="R45" s="22">
        <v>9</v>
      </c>
      <c r="S45" s="24">
        <v>45754</v>
      </c>
      <c r="T45" s="24">
        <v>45757</v>
      </c>
      <c r="U45" s="24">
        <v>45770</v>
      </c>
      <c r="V45" s="24">
        <v>45771</v>
      </c>
      <c r="W45" s="24">
        <v>45790</v>
      </c>
      <c r="X45" s="22" t="s">
        <v>148</v>
      </c>
      <c r="Y45" s="4" t="str">
        <f>IF(Tabela2[[#This Row],[SIGLA]]="","",VLOOKUP(Tabela2[[#This Row],[SIGLA]],Tabela1[[#All],[Sigla Arte]:[Crédito]],2,0))</f>
        <v>GABRIELA TOZATI/ARQUIVO DA EDITORA</v>
      </c>
      <c r="Z45" s="23"/>
      <c r="AA45" s="23" t="str">
        <f>Tabela2[[#This Row],[ILUSTRADOR CRIAÇÃO]]</f>
        <v>GABRIELA TOZATI/ARQUIVO DA EDITORA</v>
      </c>
      <c r="AB45" s="22">
        <v>2</v>
      </c>
      <c r="AC45" s="20" t="s">
        <v>149</v>
      </c>
      <c r="AD45" s="20" t="s">
        <v>40</v>
      </c>
      <c r="AE45" s="4" t="str">
        <f t="shared" si="0"/>
        <v>EF1 E002 Ing</v>
      </c>
    </row>
    <row r="46" spans="1:31" s="12" customFormat="1" ht="30" x14ac:dyDescent="0.25">
      <c r="A46" s="23" t="s">
        <v>150</v>
      </c>
      <c r="B46" s="20" t="s">
        <v>32</v>
      </c>
      <c r="C46" s="20" t="s">
        <v>33</v>
      </c>
      <c r="D46" s="20" t="s">
        <v>34</v>
      </c>
      <c r="E46" s="22">
        <v>32</v>
      </c>
      <c r="F46" s="22">
        <v>1</v>
      </c>
      <c r="G46" s="22">
        <v>3</v>
      </c>
      <c r="H46" s="40" t="s">
        <v>146</v>
      </c>
      <c r="I46" s="23" t="s">
        <v>36</v>
      </c>
      <c r="J46" s="23"/>
      <c r="K46" s="22"/>
      <c r="L46" s="22"/>
      <c r="M46" s="23"/>
      <c r="N46" s="23"/>
      <c r="O46" s="26" t="s">
        <v>151</v>
      </c>
      <c r="P46" s="26"/>
      <c r="Q46" s="26"/>
      <c r="R46" s="22">
        <v>9</v>
      </c>
      <c r="S46" s="24">
        <v>45754</v>
      </c>
      <c r="T46" s="24">
        <v>45757</v>
      </c>
      <c r="U46" s="24">
        <v>45770</v>
      </c>
      <c r="V46" s="24">
        <v>45771</v>
      </c>
      <c r="W46" s="24">
        <v>45790</v>
      </c>
      <c r="X46" s="22" t="s">
        <v>148</v>
      </c>
      <c r="Y46" s="4" t="str">
        <f>IF(Tabela2[[#This Row],[SIGLA]]="","",VLOOKUP(Tabela2[[#This Row],[SIGLA]],Tabela1[[#All],[Sigla Arte]:[Crédito]],2,0))</f>
        <v>GABRIELA TOZATI/ARQUIVO DA EDITORA</v>
      </c>
      <c r="Z46" s="23"/>
      <c r="AA46" s="23" t="str">
        <f>Tabela2[[#This Row],[ILUSTRADOR CRIAÇÃO]]</f>
        <v>GABRIELA TOZATI/ARQUIVO DA EDITORA</v>
      </c>
      <c r="AB46" s="22">
        <v>13</v>
      </c>
      <c r="AC46" s="20" t="s">
        <v>149</v>
      </c>
      <c r="AD46" s="20" t="s">
        <v>40</v>
      </c>
      <c r="AE46" s="4" t="str">
        <f t="shared" si="0"/>
        <v>EF1 E002 Ing</v>
      </c>
    </row>
    <row r="47" spans="1:31" s="12" customFormat="1" ht="30" x14ac:dyDescent="0.25">
      <c r="A47" s="23" t="s">
        <v>152</v>
      </c>
      <c r="B47" s="20" t="s">
        <v>32</v>
      </c>
      <c r="C47" s="20" t="s">
        <v>33</v>
      </c>
      <c r="D47" s="20" t="s">
        <v>34</v>
      </c>
      <c r="E47" s="22">
        <v>32</v>
      </c>
      <c r="F47" s="22">
        <v>1</v>
      </c>
      <c r="G47" s="22">
        <v>3</v>
      </c>
      <c r="H47" s="40" t="s">
        <v>146</v>
      </c>
      <c r="I47" s="23" t="s">
        <v>36</v>
      </c>
      <c r="J47" s="23"/>
      <c r="K47" s="22"/>
      <c r="L47" s="22"/>
      <c r="M47" s="23"/>
      <c r="N47" s="23"/>
      <c r="O47" s="26" t="s">
        <v>153</v>
      </c>
      <c r="P47" s="26"/>
      <c r="Q47" s="26"/>
      <c r="R47" s="22">
        <v>9</v>
      </c>
      <c r="S47" s="24">
        <v>45754</v>
      </c>
      <c r="T47" s="24">
        <v>45757</v>
      </c>
      <c r="U47" s="24">
        <v>45770</v>
      </c>
      <c r="V47" s="24">
        <v>45771</v>
      </c>
      <c r="W47" s="24">
        <v>45790</v>
      </c>
      <c r="X47" s="22" t="s">
        <v>148</v>
      </c>
      <c r="Y47" s="4" t="str">
        <f>IF(Tabela2[[#This Row],[SIGLA]]="","",VLOOKUP(Tabela2[[#This Row],[SIGLA]],Tabela1[[#All],[Sigla Arte]:[Crédito]],2,0))</f>
        <v>GABRIELA TOZATI/ARQUIVO DA EDITORA</v>
      </c>
      <c r="Z47" s="23"/>
      <c r="AA47" s="23" t="str">
        <f>Tabela2[[#This Row],[ILUSTRADOR CRIAÇÃO]]</f>
        <v>GABRIELA TOZATI/ARQUIVO DA EDITORA</v>
      </c>
      <c r="AB47" s="22">
        <v>13</v>
      </c>
      <c r="AC47" s="20" t="s">
        <v>149</v>
      </c>
      <c r="AD47" s="20" t="s">
        <v>40</v>
      </c>
      <c r="AE47" s="4" t="str">
        <f t="shared" si="0"/>
        <v>EF1 E002 Ing</v>
      </c>
    </row>
    <row r="48" spans="1:31" s="12" customFormat="1" ht="30" x14ac:dyDescent="0.25">
      <c r="A48" s="23" t="s">
        <v>154</v>
      </c>
      <c r="B48" s="20" t="s">
        <v>32</v>
      </c>
      <c r="C48" s="20" t="s">
        <v>33</v>
      </c>
      <c r="D48" s="20" t="s">
        <v>34</v>
      </c>
      <c r="E48" s="22">
        <v>32</v>
      </c>
      <c r="F48" s="22">
        <v>1</v>
      </c>
      <c r="G48" s="22">
        <v>3</v>
      </c>
      <c r="H48" s="40" t="s">
        <v>146</v>
      </c>
      <c r="I48" s="23" t="s">
        <v>36</v>
      </c>
      <c r="J48" s="23"/>
      <c r="K48" s="22"/>
      <c r="L48" s="22"/>
      <c r="M48" s="23"/>
      <c r="N48" s="23"/>
      <c r="O48" s="26" t="s">
        <v>155</v>
      </c>
      <c r="P48" s="26"/>
      <c r="Q48" s="26"/>
      <c r="R48" s="22">
        <v>9</v>
      </c>
      <c r="S48" s="24">
        <v>45754</v>
      </c>
      <c r="T48" s="24">
        <v>45757</v>
      </c>
      <c r="U48" s="24">
        <v>45770</v>
      </c>
      <c r="V48" s="24">
        <v>45771</v>
      </c>
      <c r="W48" s="24">
        <v>45790</v>
      </c>
      <c r="X48" s="22" t="s">
        <v>148</v>
      </c>
      <c r="Y48" s="4" t="str">
        <f>IF(Tabela2[[#This Row],[SIGLA]]="","",VLOOKUP(Tabela2[[#This Row],[SIGLA]],Tabela1[[#All],[Sigla Arte]:[Crédito]],2,0))</f>
        <v>GABRIELA TOZATI/ARQUIVO DA EDITORA</v>
      </c>
      <c r="Z48" s="23"/>
      <c r="AA48" s="23" t="str">
        <f>Tabela2[[#This Row],[ILUSTRADOR CRIAÇÃO]]</f>
        <v>GABRIELA TOZATI/ARQUIVO DA EDITORA</v>
      </c>
      <c r="AB48" s="22">
        <v>13</v>
      </c>
      <c r="AC48" s="20" t="s">
        <v>149</v>
      </c>
      <c r="AD48" s="20" t="s">
        <v>40</v>
      </c>
      <c r="AE48" s="4" t="str">
        <f t="shared" si="0"/>
        <v>EF1 E002 Ing</v>
      </c>
    </row>
    <row r="49" spans="1:31" s="12" customFormat="1" ht="30" x14ac:dyDescent="0.25">
      <c r="A49" s="23" t="s">
        <v>156</v>
      </c>
      <c r="B49" s="20" t="s">
        <v>32</v>
      </c>
      <c r="C49" s="20" t="s">
        <v>33</v>
      </c>
      <c r="D49" s="20" t="s">
        <v>34</v>
      </c>
      <c r="E49" s="22">
        <v>32</v>
      </c>
      <c r="F49" s="22">
        <v>1</v>
      </c>
      <c r="G49" s="22">
        <v>3</v>
      </c>
      <c r="H49" s="40" t="s">
        <v>146</v>
      </c>
      <c r="I49" s="23" t="s">
        <v>36</v>
      </c>
      <c r="J49" s="23"/>
      <c r="K49" s="22"/>
      <c r="L49" s="22"/>
      <c r="M49" s="23"/>
      <c r="N49" s="23"/>
      <c r="O49" s="26" t="s">
        <v>157</v>
      </c>
      <c r="P49" s="26"/>
      <c r="Q49" s="26"/>
      <c r="R49" s="22">
        <v>9</v>
      </c>
      <c r="S49" s="24">
        <v>45754</v>
      </c>
      <c r="T49" s="24">
        <v>45757</v>
      </c>
      <c r="U49" s="24">
        <v>45770</v>
      </c>
      <c r="V49" s="24">
        <v>45771</v>
      </c>
      <c r="W49" s="24">
        <v>45790</v>
      </c>
      <c r="X49" s="22" t="s">
        <v>148</v>
      </c>
      <c r="Y49" s="4" t="str">
        <f>IF(Tabela2[[#This Row],[SIGLA]]="","",VLOOKUP(Tabela2[[#This Row],[SIGLA]],Tabela1[[#All],[Sigla Arte]:[Crédito]],2,0))</f>
        <v>GABRIELA TOZATI/ARQUIVO DA EDITORA</v>
      </c>
      <c r="Z49" s="23"/>
      <c r="AA49" s="23" t="str">
        <f>Tabela2[[#This Row],[ILUSTRADOR CRIAÇÃO]]</f>
        <v>GABRIELA TOZATI/ARQUIVO DA EDITORA</v>
      </c>
      <c r="AB49" s="22">
        <v>13</v>
      </c>
      <c r="AC49" s="20" t="s">
        <v>149</v>
      </c>
      <c r="AD49" s="20" t="s">
        <v>40</v>
      </c>
      <c r="AE49" s="4" t="str">
        <f t="shared" si="0"/>
        <v>EF1 E002 Ing</v>
      </c>
    </row>
    <row r="50" spans="1:31" s="12" customFormat="1" ht="30" x14ac:dyDescent="0.25">
      <c r="A50" s="23" t="s">
        <v>158</v>
      </c>
      <c r="B50" s="20" t="s">
        <v>32</v>
      </c>
      <c r="C50" s="20" t="s">
        <v>33</v>
      </c>
      <c r="D50" s="20" t="s">
        <v>34</v>
      </c>
      <c r="E50" s="22">
        <v>32</v>
      </c>
      <c r="F50" s="22">
        <v>1</v>
      </c>
      <c r="G50" s="22">
        <v>3</v>
      </c>
      <c r="H50" s="40" t="s">
        <v>146</v>
      </c>
      <c r="I50" s="23" t="s">
        <v>36</v>
      </c>
      <c r="J50" s="23"/>
      <c r="K50" s="22"/>
      <c r="L50" s="22"/>
      <c r="M50" s="23"/>
      <c r="N50" s="23"/>
      <c r="O50" s="26" t="s">
        <v>159</v>
      </c>
      <c r="P50" s="26"/>
      <c r="Q50" s="26"/>
      <c r="R50" s="22">
        <v>9</v>
      </c>
      <c r="S50" s="24">
        <v>45754</v>
      </c>
      <c r="T50" s="24">
        <v>45757</v>
      </c>
      <c r="U50" s="24">
        <v>45770</v>
      </c>
      <c r="V50" s="24">
        <v>45771</v>
      </c>
      <c r="W50" s="24">
        <v>45790</v>
      </c>
      <c r="X50" s="22" t="s">
        <v>148</v>
      </c>
      <c r="Y50" s="4" t="str">
        <f>IF(Tabela2[[#This Row],[SIGLA]]="","",VLOOKUP(Tabela2[[#This Row],[SIGLA]],Tabela1[[#All],[Sigla Arte]:[Crédito]],2,0))</f>
        <v>GABRIELA TOZATI/ARQUIVO DA EDITORA</v>
      </c>
      <c r="Z50" s="23"/>
      <c r="AA50" s="23" t="str">
        <f>Tabela2[[#This Row],[ILUSTRADOR CRIAÇÃO]]</f>
        <v>GABRIELA TOZATI/ARQUIVO DA EDITORA</v>
      </c>
      <c r="AB50" s="22">
        <v>13</v>
      </c>
      <c r="AC50" s="20" t="s">
        <v>149</v>
      </c>
      <c r="AD50" s="20" t="s">
        <v>40</v>
      </c>
      <c r="AE50" s="4" t="str">
        <f t="shared" si="0"/>
        <v>EF1 E002 Ing</v>
      </c>
    </row>
    <row r="51" spans="1:31" s="12" customFormat="1" ht="30" x14ac:dyDescent="0.25">
      <c r="A51" s="23" t="s">
        <v>160</v>
      </c>
      <c r="B51" s="20" t="s">
        <v>32</v>
      </c>
      <c r="C51" s="20" t="s">
        <v>33</v>
      </c>
      <c r="D51" s="20" t="s">
        <v>34</v>
      </c>
      <c r="E51" s="22">
        <v>32</v>
      </c>
      <c r="F51" s="22">
        <v>1</v>
      </c>
      <c r="G51" s="22">
        <v>3</v>
      </c>
      <c r="H51" s="40" t="s">
        <v>146</v>
      </c>
      <c r="I51" s="23" t="s">
        <v>36</v>
      </c>
      <c r="J51" s="23"/>
      <c r="K51" s="22"/>
      <c r="L51" s="22"/>
      <c r="M51" s="23"/>
      <c r="N51" s="23"/>
      <c r="O51" s="26" t="s">
        <v>161</v>
      </c>
      <c r="P51" s="26"/>
      <c r="Q51" s="26"/>
      <c r="R51" s="22">
        <v>9</v>
      </c>
      <c r="S51" s="24">
        <v>45754</v>
      </c>
      <c r="T51" s="24">
        <v>45757</v>
      </c>
      <c r="U51" s="24">
        <v>45770</v>
      </c>
      <c r="V51" s="24">
        <v>45771</v>
      </c>
      <c r="W51" s="24">
        <v>45790</v>
      </c>
      <c r="X51" s="22" t="s">
        <v>148</v>
      </c>
      <c r="Y51" s="4" t="str">
        <f>IF(Tabela2[[#This Row],[SIGLA]]="","",VLOOKUP(Tabela2[[#This Row],[SIGLA]],Tabela1[[#All],[Sigla Arte]:[Crédito]],2,0))</f>
        <v>GABRIELA TOZATI/ARQUIVO DA EDITORA</v>
      </c>
      <c r="Z51" s="23"/>
      <c r="AA51" s="23" t="str">
        <f>Tabela2[[#This Row],[ILUSTRADOR CRIAÇÃO]]</f>
        <v>GABRIELA TOZATI/ARQUIVO DA EDITORA</v>
      </c>
      <c r="AB51" s="22">
        <v>13</v>
      </c>
      <c r="AC51" s="20" t="s">
        <v>149</v>
      </c>
      <c r="AD51" s="20" t="s">
        <v>40</v>
      </c>
      <c r="AE51" s="4" t="str">
        <f t="shared" si="0"/>
        <v>EF1 E002 Ing</v>
      </c>
    </row>
    <row r="52" spans="1:31" s="12" customFormat="1" ht="167.25" customHeight="1" x14ac:dyDescent="0.25">
      <c r="A52" s="23" t="s">
        <v>162</v>
      </c>
      <c r="B52" s="20" t="s">
        <v>32</v>
      </c>
      <c r="C52" s="20" t="s">
        <v>33</v>
      </c>
      <c r="D52" s="20" t="s">
        <v>34</v>
      </c>
      <c r="E52" s="22">
        <v>33</v>
      </c>
      <c r="F52" s="22">
        <v>1</v>
      </c>
      <c r="G52" s="22">
        <v>3</v>
      </c>
      <c r="H52" s="40" t="s">
        <v>146</v>
      </c>
      <c r="I52" s="23" t="s">
        <v>36</v>
      </c>
      <c r="J52" s="23"/>
      <c r="K52" s="22"/>
      <c r="L52" s="22"/>
      <c r="M52" s="23"/>
      <c r="N52" s="23"/>
      <c r="O52" s="26" t="s">
        <v>163</v>
      </c>
      <c r="P52" s="26"/>
      <c r="Q52" s="26"/>
      <c r="R52" s="22">
        <v>9</v>
      </c>
      <c r="S52" s="24">
        <v>45754</v>
      </c>
      <c r="T52" s="24">
        <v>45757</v>
      </c>
      <c r="U52" s="24">
        <v>45770</v>
      </c>
      <c r="V52" s="24">
        <v>45771</v>
      </c>
      <c r="W52" s="24">
        <v>45790</v>
      </c>
      <c r="X52" s="22" t="s">
        <v>148</v>
      </c>
      <c r="Y52" s="4" t="str">
        <f>IF(Tabela2[[#This Row],[SIGLA]]="","",VLOOKUP(Tabela2[[#This Row],[SIGLA]],Tabela1[[#All],[Sigla Arte]:[Crédito]],2,0))</f>
        <v>GABRIELA TOZATI/ARQUIVO DA EDITORA</v>
      </c>
      <c r="Z52" s="23"/>
      <c r="AA52" s="23" t="str">
        <f>Tabela2[[#This Row],[ILUSTRADOR CRIAÇÃO]]</f>
        <v>GABRIELA TOZATI/ARQUIVO DA EDITORA</v>
      </c>
      <c r="AB52" s="22">
        <v>5</v>
      </c>
      <c r="AC52" s="20" t="s">
        <v>149</v>
      </c>
      <c r="AD52" s="20" t="s">
        <v>40</v>
      </c>
      <c r="AE52" s="4" t="str">
        <f t="shared" si="0"/>
        <v>EF1 E002 Ing</v>
      </c>
    </row>
    <row r="53" spans="1:31" s="12" customFormat="1" ht="105" x14ac:dyDescent="0.25">
      <c r="A53" s="23" t="s">
        <v>164</v>
      </c>
      <c r="B53" s="20" t="s">
        <v>32</v>
      </c>
      <c r="C53" s="20" t="s">
        <v>33</v>
      </c>
      <c r="D53" s="20" t="s">
        <v>34</v>
      </c>
      <c r="E53" s="22">
        <v>34</v>
      </c>
      <c r="F53" s="22">
        <v>1</v>
      </c>
      <c r="G53" s="22">
        <v>3</v>
      </c>
      <c r="H53" s="40" t="s">
        <v>146</v>
      </c>
      <c r="I53" s="23" t="s">
        <v>36</v>
      </c>
      <c r="J53" s="23"/>
      <c r="K53" s="22"/>
      <c r="L53" s="22"/>
      <c r="M53" s="23"/>
      <c r="N53" s="23"/>
      <c r="O53" s="26" t="s">
        <v>165</v>
      </c>
      <c r="P53" s="26"/>
      <c r="Q53" s="26"/>
      <c r="R53" s="22">
        <v>9</v>
      </c>
      <c r="S53" s="24">
        <v>45754</v>
      </c>
      <c r="T53" s="24">
        <v>45757</v>
      </c>
      <c r="U53" s="24">
        <v>45770</v>
      </c>
      <c r="V53" s="24">
        <v>45771</v>
      </c>
      <c r="W53" s="24">
        <v>45772</v>
      </c>
      <c r="X53" s="22" t="s">
        <v>166</v>
      </c>
      <c r="Y53" s="4" t="str">
        <f>IF(Tabela2[[#This Row],[SIGLA]]="","",VLOOKUP(Tabela2[[#This Row],[SIGLA]],Tabela1[[#All],[Sigla Arte]:[Crédito]],2,0))</f>
        <v>CARLITOS PINHEIRO/ARQUIVO DA EDITORA</v>
      </c>
      <c r="Z53" s="23"/>
      <c r="AA53" s="23" t="str">
        <f>Tabela2[[#This Row],[ILUSTRADOR CRIAÇÃO]]</f>
        <v>CARLITOS PINHEIRO/ARQUIVO DA EDITORA</v>
      </c>
      <c r="AB53" s="22">
        <v>6</v>
      </c>
      <c r="AC53" s="20" t="s">
        <v>167</v>
      </c>
      <c r="AD53" s="20" t="s">
        <v>40</v>
      </c>
      <c r="AE53" s="4" t="str">
        <f t="shared" si="0"/>
        <v>EF1 E002 Ing</v>
      </c>
    </row>
    <row r="54" spans="1:31" s="12" customFormat="1" ht="105" x14ac:dyDescent="0.25">
      <c r="A54" s="23" t="s">
        <v>168</v>
      </c>
      <c r="B54" s="20" t="s">
        <v>32</v>
      </c>
      <c r="C54" s="20" t="s">
        <v>33</v>
      </c>
      <c r="D54" s="20" t="s">
        <v>34</v>
      </c>
      <c r="E54" s="22">
        <v>34</v>
      </c>
      <c r="F54" s="22">
        <v>1</v>
      </c>
      <c r="G54" s="22">
        <v>3</v>
      </c>
      <c r="H54" s="40" t="s">
        <v>146</v>
      </c>
      <c r="I54" s="23" t="s">
        <v>36</v>
      </c>
      <c r="J54" s="23"/>
      <c r="K54" s="22"/>
      <c r="L54" s="22"/>
      <c r="M54" s="23"/>
      <c r="N54" s="23"/>
      <c r="O54" s="26" t="s">
        <v>169</v>
      </c>
      <c r="P54" s="26"/>
      <c r="Q54" s="26"/>
      <c r="R54" s="22">
        <v>9</v>
      </c>
      <c r="S54" s="24">
        <v>45754</v>
      </c>
      <c r="T54" s="24">
        <v>45757</v>
      </c>
      <c r="U54" s="24">
        <v>45770</v>
      </c>
      <c r="V54" s="24">
        <v>45771</v>
      </c>
      <c r="W54" s="24">
        <v>45772</v>
      </c>
      <c r="X54" s="22" t="s">
        <v>166</v>
      </c>
      <c r="Y54" s="4" t="str">
        <f>IF(Tabela2[[#This Row],[SIGLA]]="","",VLOOKUP(Tabela2[[#This Row],[SIGLA]],Tabela1[[#All],[Sigla Arte]:[Crédito]],2,0))</f>
        <v>CARLITOS PINHEIRO/ARQUIVO DA EDITORA</v>
      </c>
      <c r="Z54" s="23"/>
      <c r="AA54" s="23" t="str">
        <f>Tabela2[[#This Row],[ILUSTRADOR CRIAÇÃO]]</f>
        <v>CARLITOS PINHEIRO/ARQUIVO DA EDITORA</v>
      </c>
      <c r="AB54" s="22">
        <v>6</v>
      </c>
      <c r="AC54" s="20" t="s">
        <v>167</v>
      </c>
      <c r="AD54" s="20" t="s">
        <v>40</v>
      </c>
      <c r="AE54" s="4" t="str">
        <f t="shared" si="0"/>
        <v>EF1 E002 Ing</v>
      </c>
    </row>
    <row r="55" spans="1:31" s="12" customFormat="1" ht="270" x14ac:dyDescent="0.25">
      <c r="A55" s="23" t="s">
        <v>170</v>
      </c>
      <c r="B55" s="20" t="s">
        <v>32</v>
      </c>
      <c r="C55" s="20" t="s">
        <v>33</v>
      </c>
      <c r="D55" s="20" t="s">
        <v>34</v>
      </c>
      <c r="E55" s="22">
        <v>36</v>
      </c>
      <c r="F55" s="22">
        <v>1</v>
      </c>
      <c r="G55" s="22">
        <v>3</v>
      </c>
      <c r="H55" s="40" t="s">
        <v>171</v>
      </c>
      <c r="I55" s="23" t="s">
        <v>36</v>
      </c>
      <c r="J55" s="23"/>
      <c r="K55" s="22"/>
      <c r="L55" s="22"/>
      <c r="M55" s="23"/>
      <c r="N55" s="23"/>
      <c r="O55" s="26" t="s">
        <v>172</v>
      </c>
      <c r="P55" s="26"/>
      <c r="Q55" s="26"/>
      <c r="R55" s="22">
        <v>9</v>
      </c>
      <c r="S55" s="24">
        <v>45754</v>
      </c>
      <c r="T55" s="24">
        <v>45757</v>
      </c>
      <c r="U55" s="24">
        <v>45770</v>
      </c>
      <c r="V55" s="24">
        <v>45771</v>
      </c>
      <c r="W55" s="24">
        <v>45772</v>
      </c>
      <c r="X55" s="22" t="s">
        <v>166</v>
      </c>
      <c r="Y55" s="4" t="str">
        <f>IF(Tabela2[[#This Row],[SIGLA]]="","",VLOOKUP(Tabela2[[#This Row],[SIGLA]],Tabela1[[#All],[Sigla Arte]:[Crédito]],2,0))</f>
        <v>CARLITOS PINHEIRO/ARQUIVO DA EDITORA</v>
      </c>
      <c r="Z55" s="23"/>
      <c r="AA55" s="23" t="str">
        <f>Tabela2[[#This Row],[ILUSTRADOR CRIAÇÃO]]</f>
        <v>CARLITOS PINHEIRO/ARQUIVO DA EDITORA</v>
      </c>
      <c r="AB55" s="22">
        <v>7</v>
      </c>
      <c r="AC55" s="20" t="s">
        <v>167</v>
      </c>
      <c r="AD55" s="20" t="s">
        <v>40</v>
      </c>
      <c r="AE55" s="4" t="str">
        <f t="shared" si="0"/>
        <v>EF1 E002 Ing</v>
      </c>
    </row>
    <row r="56" spans="1:31" s="12" customFormat="1" ht="60" x14ac:dyDescent="0.25">
      <c r="A56" s="23" t="s">
        <v>173</v>
      </c>
      <c r="B56" s="20" t="s">
        <v>32</v>
      </c>
      <c r="C56" s="20" t="s">
        <v>33</v>
      </c>
      <c r="D56" s="20" t="s">
        <v>34</v>
      </c>
      <c r="E56" s="22">
        <v>37</v>
      </c>
      <c r="F56" s="22">
        <v>1</v>
      </c>
      <c r="G56" s="22">
        <v>3</v>
      </c>
      <c r="H56" s="40" t="s">
        <v>174</v>
      </c>
      <c r="I56" s="23" t="s">
        <v>36</v>
      </c>
      <c r="J56" s="23"/>
      <c r="K56" s="22"/>
      <c r="L56" s="22"/>
      <c r="M56" s="23"/>
      <c r="N56" s="23"/>
      <c r="O56" s="26" t="s">
        <v>175</v>
      </c>
      <c r="P56" s="26"/>
      <c r="Q56" s="26"/>
      <c r="R56" s="22">
        <v>9</v>
      </c>
      <c r="S56" s="24">
        <v>45754</v>
      </c>
      <c r="T56" s="24">
        <v>45757</v>
      </c>
      <c r="U56" s="24">
        <v>45770</v>
      </c>
      <c r="V56" s="24">
        <v>45771</v>
      </c>
      <c r="W56" s="24">
        <v>45772</v>
      </c>
      <c r="X56" s="22" t="s">
        <v>166</v>
      </c>
      <c r="Y56" s="4" t="str">
        <f>IF(Tabela2[[#This Row],[SIGLA]]="","",VLOOKUP(Tabela2[[#This Row],[SIGLA]],Tabela1[[#All],[Sigla Arte]:[Crédito]],2,0))</f>
        <v>CARLITOS PINHEIRO/ARQUIVO DA EDITORA</v>
      </c>
      <c r="Z56" s="23"/>
      <c r="AA56" s="23" t="str">
        <f>Tabela2[[#This Row],[ILUSTRADOR CRIAÇÃO]]</f>
        <v>CARLITOS PINHEIRO/ARQUIVO DA EDITORA</v>
      </c>
      <c r="AB56" s="22">
        <v>7</v>
      </c>
      <c r="AC56" s="20" t="s">
        <v>167</v>
      </c>
      <c r="AD56" s="20" t="s">
        <v>40</v>
      </c>
      <c r="AE56" s="4" t="str">
        <f t="shared" si="0"/>
        <v>EF1 E002 Ing</v>
      </c>
    </row>
    <row r="57" spans="1:31" s="12" customFormat="1" ht="30" x14ac:dyDescent="0.25">
      <c r="A57" s="23" t="s">
        <v>176</v>
      </c>
      <c r="B57" s="20" t="s">
        <v>32</v>
      </c>
      <c r="C57" s="20" t="s">
        <v>33</v>
      </c>
      <c r="D57" s="20" t="s">
        <v>34</v>
      </c>
      <c r="E57" s="22">
        <v>43</v>
      </c>
      <c r="F57" s="22">
        <v>1</v>
      </c>
      <c r="G57" s="22">
        <v>4</v>
      </c>
      <c r="H57" s="22"/>
      <c r="I57" s="23" t="s">
        <v>36</v>
      </c>
      <c r="J57" s="23"/>
      <c r="K57" s="22"/>
      <c r="L57" s="22"/>
      <c r="M57" s="23"/>
      <c r="N57" s="23"/>
      <c r="O57" s="26" t="s">
        <v>177</v>
      </c>
      <c r="P57" s="26"/>
      <c r="Q57" s="26"/>
      <c r="R57" s="22">
        <v>10</v>
      </c>
      <c r="S57" s="24">
        <v>45761</v>
      </c>
      <c r="T57" s="24">
        <v>45763</v>
      </c>
      <c r="U57" s="24">
        <v>45770</v>
      </c>
      <c r="V57" s="24">
        <v>45771</v>
      </c>
      <c r="W57" s="24">
        <v>45772</v>
      </c>
      <c r="X57" s="22" t="s">
        <v>54</v>
      </c>
      <c r="Y57" s="4" t="str">
        <f>IF(Tabela2[[#This Row],[SIGLA]]="","",VLOOKUP(Tabela2[[#This Row],[SIGLA]],Tabela1[[#All],[Sigla Arte]:[Crédito]],2,0))</f>
        <v>RAYANNE CARDOSO/ARQUIVO DA EDITORA</v>
      </c>
      <c r="Z57" s="23"/>
      <c r="AA57" s="23" t="str">
        <f>Tabela2[[#This Row],[ILUSTRADOR CRIAÇÃO]]</f>
        <v>RAYANNE CARDOSO/ARQUIVO DA EDITORA</v>
      </c>
      <c r="AB57" s="22">
        <v>7</v>
      </c>
      <c r="AC57" s="20" t="s">
        <v>178</v>
      </c>
      <c r="AD57" s="20" t="s">
        <v>40</v>
      </c>
      <c r="AE57" s="4" t="str">
        <f t="shared" si="0"/>
        <v>EF1 E002 Ing</v>
      </c>
    </row>
    <row r="58" spans="1:31" s="12" customFormat="1" ht="45" x14ac:dyDescent="0.25">
      <c r="A58" s="23" t="s">
        <v>179</v>
      </c>
      <c r="B58" s="20" t="s">
        <v>32</v>
      </c>
      <c r="C58" s="20" t="s">
        <v>33</v>
      </c>
      <c r="D58" s="20" t="s">
        <v>34</v>
      </c>
      <c r="E58" s="22">
        <v>43</v>
      </c>
      <c r="F58" s="22">
        <v>1</v>
      </c>
      <c r="G58" s="22">
        <v>4</v>
      </c>
      <c r="H58" s="22"/>
      <c r="I58" s="23" t="s">
        <v>36</v>
      </c>
      <c r="J58" s="23"/>
      <c r="K58" s="22"/>
      <c r="L58" s="22"/>
      <c r="M58" s="23"/>
      <c r="N58" s="23"/>
      <c r="O58" s="26" t="s">
        <v>180</v>
      </c>
      <c r="P58" s="26"/>
      <c r="Q58" s="26"/>
      <c r="R58" s="22">
        <v>10</v>
      </c>
      <c r="S58" s="24">
        <v>45761</v>
      </c>
      <c r="T58" s="24">
        <v>45763</v>
      </c>
      <c r="U58" s="24">
        <v>45770</v>
      </c>
      <c r="V58" s="24">
        <v>45771</v>
      </c>
      <c r="W58" s="24">
        <v>45772</v>
      </c>
      <c r="X58" s="22" t="s">
        <v>54</v>
      </c>
      <c r="Y58" s="4" t="str">
        <f>IF(Tabela2[[#This Row],[SIGLA]]="","",VLOOKUP(Tabela2[[#This Row],[SIGLA]],Tabela1[[#All],[Sigla Arte]:[Crédito]],2,0))</f>
        <v>RAYANNE CARDOSO/ARQUIVO DA EDITORA</v>
      </c>
      <c r="Z58" s="23"/>
      <c r="AA58" s="23" t="str">
        <f>Tabela2[[#This Row],[ILUSTRADOR CRIAÇÃO]]</f>
        <v>RAYANNE CARDOSO/ARQUIVO DA EDITORA</v>
      </c>
      <c r="AB58" s="22">
        <v>7</v>
      </c>
      <c r="AC58" s="20" t="s">
        <v>178</v>
      </c>
      <c r="AD58" s="20" t="s">
        <v>40</v>
      </c>
      <c r="AE58" s="4" t="str">
        <f t="shared" si="0"/>
        <v>EF1 E002 Ing</v>
      </c>
    </row>
    <row r="59" spans="1:31" s="12" customFormat="1" ht="30" x14ac:dyDescent="0.25">
      <c r="A59" s="23" t="s">
        <v>181</v>
      </c>
      <c r="B59" s="20" t="s">
        <v>32</v>
      </c>
      <c r="C59" s="20" t="s">
        <v>33</v>
      </c>
      <c r="D59" s="20" t="s">
        <v>34</v>
      </c>
      <c r="E59" s="22">
        <v>43</v>
      </c>
      <c r="F59" s="22">
        <v>1</v>
      </c>
      <c r="G59" s="22">
        <v>4</v>
      </c>
      <c r="H59" s="22"/>
      <c r="I59" s="23" t="s">
        <v>36</v>
      </c>
      <c r="J59" s="23"/>
      <c r="K59" s="22"/>
      <c r="L59" s="22"/>
      <c r="M59" s="23"/>
      <c r="N59" s="23"/>
      <c r="O59" s="26" t="s">
        <v>182</v>
      </c>
      <c r="P59" s="26"/>
      <c r="Q59" s="26"/>
      <c r="R59" s="22">
        <v>10</v>
      </c>
      <c r="S59" s="24">
        <v>45761</v>
      </c>
      <c r="T59" s="24">
        <v>45763</v>
      </c>
      <c r="U59" s="24">
        <v>45770</v>
      </c>
      <c r="V59" s="24">
        <v>45771</v>
      </c>
      <c r="W59" s="24">
        <v>45772</v>
      </c>
      <c r="X59" s="22" t="s">
        <v>54</v>
      </c>
      <c r="Y59" s="4" t="str">
        <f>IF(Tabela2[[#This Row],[SIGLA]]="","",VLOOKUP(Tabela2[[#This Row],[SIGLA]],Tabela1[[#All],[Sigla Arte]:[Crédito]],2,0))</f>
        <v>RAYANNE CARDOSO/ARQUIVO DA EDITORA</v>
      </c>
      <c r="Z59" s="23"/>
      <c r="AA59" s="23" t="str">
        <f>Tabela2[[#This Row],[ILUSTRADOR CRIAÇÃO]]</f>
        <v>RAYANNE CARDOSO/ARQUIVO DA EDITORA</v>
      </c>
      <c r="AB59" s="22">
        <v>7</v>
      </c>
      <c r="AC59" s="20" t="s">
        <v>178</v>
      </c>
      <c r="AD59" s="20" t="s">
        <v>40</v>
      </c>
      <c r="AE59" s="4" t="str">
        <f t="shared" si="0"/>
        <v>EF1 E002 Ing</v>
      </c>
    </row>
    <row r="60" spans="1:31" s="12" customFormat="1" ht="45" x14ac:dyDescent="0.25">
      <c r="A60" s="23" t="s">
        <v>183</v>
      </c>
      <c r="B60" s="20" t="s">
        <v>32</v>
      </c>
      <c r="C60" s="20" t="s">
        <v>33</v>
      </c>
      <c r="D60" s="20" t="s">
        <v>34</v>
      </c>
      <c r="E60" s="22">
        <v>43</v>
      </c>
      <c r="F60" s="22">
        <v>1</v>
      </c>
      <c r="G60" s="22">
        <v>4</v>
      </c>
      <c r="H60" s="22"/>
      <c r="I60" s="23" t="s">
        <v>36</v>
      </c>
      <c r="J60" s="23"/>
      <c r="K60" s="22"/>
      <c r="L60" s="22"/>
      <c r="M60" s="23"/>
      <c r="N60" s="23"/>
      <c r="O60" s="26" t="s">
        <v>184</v>
      </c>
      <c r="P60" s="26"/>
      <c r="Q60" s="26"/>
      <c r="R60" s="22">
        <v>10</v>
      </c>
      <c r="S60" s="24">
        <v>45761</v>
      </c>
      <c r="T60" s="24">
        <v>45763</v>
      </c>
      <c r="U60" s="24">
        <v>45770</v>
      </c>
      <c r="V60" s="24">
        <v>45771</v>
      </c>
      <c r="W60" s="24">
        <v>45772</v>
      </c>
      <c r="X60" s="22" t="s">
        <v>54</v>
      </c>
      <c r="Y60" s="4" t="str">
        <f>IF(Tabela2[[#This Row],[SIGLA]]="","",VLOOKUP(Tabela2[[#This Row],[SIGLA]],Tabela1[[#All],[Sigla Arte]:[Crédito]],2,0))</f>
        <v>RAYANNE CARDOSO/ARQUIVO DA EDITORA</v>
      </c>
      <c r="Z60" s="23"/>
      <c r="AA60" s="23" t="str">
        <f>Tabela2[[#This Row],[ILUSTRADOR CRIAÇÃO]]</f>
        <v>RAYANNE CARDOSO/ARQUIVO DA EDITORA</v>
      </c>
      <c r="AB60" s="22">
        <v>7</v>
      </c>
      <c r="AC60" s="20" t="s">
        <v>178</v>
      </c>
      <c r="AD60" s="20" t="s">
        <v>40</v>
      </c>
      <c r="AE60" s="4" t="str">
        <f t="shared" si="0"/>
        <v>EF1 E002 Ing</v>
      </c>
    </row>
    <row r="61" spans="1:31" s="12" customFormat="1" ht="30" x14ac:dyDescent="0.25">
      <c r="A61" s="23" t="s">
        <v>185</v>
      </c>
      <c r="B61" s="20" t="s">
        <v>32</v>
      </c>
      <c r="C61" s="20" t="s">
        <v>33</v>
      </c>
      <c r="D61" s="20" t="s">
        <v>34</v>
      </c>
      <c r="E61" s="22">
        <v>43</v>
      </c>
      <c r="F61" s="22">
        <v>1</v>
      </c>
      <c r="G61" s="22">
        <v>4</v>
      </c>
      <c r="H61" s="22"/>
      <c r="I61" s="23" t="s">
        <v>36</v>
      </c>
      <c r="J61" s="23"/>
      <c r="K61" s="22"/>
      <c r="L61" s="22"/>
      <c r="M61" s="23"/>
      <c r="N61" s="23"/>
      <c r="O61" s="26" t="s">
        <v>186</v>
      </c>
      <c r="P61" s="26"/>
      <c r="Q61" s="26"/>
      <c r="R61" s="22">
        <v>10</v>
      </c>
      <c r="S61" s="24">
        <v>45761</v>
      </c>
      <c r="T61" s="24">
        <v>45763</v>
      </c>
      <c r="U61" s="24">
        <v>45770</v>
      </c>
      <c r="V61" s="24">
        <v>45771</v>
      </c>
      <c r="W61" s="24">
        <v>45772</v>
      </c>
      <c r="X61" s="22" t="s">
        <v>54</v>
      </c>
      <c r="Y61" s="4" t="str">
        <f>IF(Tabela2[[#This Row],[SIGLA]]="","",VLOOKUP(Tabela2[[#This Row],[SIGLA]],Tabela1[[#All],[Sigla Arte]:[Crédito]],2,0))</f>
        <v>RAYANNE CARDOSO/ARQUIVO DA EDITORA</v>
      </c>
      <c r="Z61" s="23"/>
      <c r="AA61" s="23" t="str">
        <f>Tabela2[[#This Row],[ILUSTRADOR CRIAÇÃO]]</f>
        <v>RAYANNE CARDOSO/ARQUIVO DA EDITORA</v>
      </c>
      <c r="AB61" s="22">
        <v>7</v>
      </c>
      <c r="AC61" s="20" t="s">
        <v>178</v>
      </c>
      <c r="AD61" s="20" t="s">
        <v>40</v>
      </c>
      <c r="AE61" s="4" t="str">
        <f t="shared" si="0"/>
        <v>EF1 E002 Ing</v>
      </c>
    </row>
    <row r="62" spans="1:31" s="12" customFormat="1" ht="45" x14ac:dyDescent="0.25">
      <c r="A62" s="23" t="s">
        <v>187</v>
      </c>
      <c r="B62" s="20" t="s">
        <v>32</v>
      </c>
      <c r="C62" s="20" t="s">
        <v>33</v>
      </c>
      <c r="D62" s="20" t="s">
        <v>34</v>
      </c>
      <c r="E62" s="22">
        <v>43</v>
      </c>
      <c r="F62" s="22">
        <v>1</v>
      </c>
      <c r="G62" s="22">
        <v>4</v>
      </c>
      <c r="H62" s="22"/>
      <c r="I62" s="23" t="s">
        <v>36</v>
      </c>
      <c r="J62" s="23"/>
      <c r="K62" s="22"/>
      <c r="L62" s="22"/>
      <c r="M62" s="23"/>
      <c r="N62" s="23"/>
      <c r="O62" s="26" t="s">
        <v>188</v>
      </c>
      <c r="P62" s="26"/>
      <c r="Q62" s="26"/>
      <c r="R62" s="22">
        <v>10</v>
      </c>
      <c r="S62" s="24">
        <v>45761</v>
      </c>
      <c r="T62" s="24">
        <v>45763</v>
      </c>
      <c r="U62" s="24">
        <v>45770</v>
      </c>
      <c r="V62" s="24">
        <v>45771</v>
      </c>
      <c r="W62" s="24">
        <v>45772</v>
      </c>
      <c r="X62" s="22" t="s">
        <v>54</v>
      </c>
      <c r="Y62" s="4" t="str">
        <f>IF(Tabela2[[#This Row],[SIGLA]]="","",VLOOKUP(Tabela2[[#This Row],[SIGLA]],Tabela1[[#All],[Sigla Arte]:[Crédito]],2,0))</f>
        <v>RAYANNE CARDOSO/ARQUIVO DA EDITORA</v>
      </c>
      <c r="Z62" s="23"/>
      <c r="AA62" s="23" t="str">
        <f>Tabela2[[#This Row],[ILUSTRADOR CRIAÇÃO]]</f>
        <v>RAYANNE CARDOSO/ARQUIVO DA EDITORA</v>
      </c>
      <c r="AB62" s="22">
        <v>7</v>
      </c>
      <c r="AC62" s="20" t="s">
        <v>178</v>
      </c>
      <c r="AD62" s="20" t="s">
        <v>40</v>
      </c>
      <c r="AE62" s="4" t="str">
        <f t="shared" si="0"/>
        <v>EF1 E002 Ing</v>
      </c>
    </row>
    <row r="63" spans="1:31" s="12" customFormat="1" ht="75" x14ac:dyDescent="0.25">
      <c r="A63" s="23" t="s">
        <v>189</v>
      </c>
      <c r="B63" s="20" t="s">
        <v>32</v>
      </c>
      <c r="C63" s="20" t="s">
        <v>33</v>
      </c>
      <c r="D63" s="20" t="s">
        <v>34</v>
      </c>
      <c r="E63" s="22">
        <v>43</v>
      </c>
      <c r="F63" s="22">
        <v>1</v>
      </c>
      <c r="G63" s="22">
        <v>4</v>
      </c>
      <c r="H63" s="22"/>
      <c r="I63" s="23" t="s">
        <v>36</v>
      </c>
      <c r="J63" s="23"/>
      <c r="K63" s="22"/>
      <c r="L63" s="22"/>
      <c r="M63" s="23"/>
      <c r="N63" s="23"/>
      <c r="O63" s="26" t="s">
        <v>190</v>
      </c>
      <c r="P63" s="26"/>
      <c r="Q63" s="26"/>
      <c r="R63" s="22">
        <v>10</v>
      </c>
      <c r="S63" s="24">
        <v>45761</v>
      </c>
      <c r="T63" s="24">
        <v>45763</v>
      </c>
      <c r="U63" s="24">
        <v>45770</v>
      </c>
      <c r="V63" s="24">
        <v>45771</v>
      </c>
      <c r="W63" s="24">
        <v>45772</v>
      </c>
      <c r="X63" s="22" t="s">
        <v>54</v>
      </c>
      <c r="Y63" s="4" t="str">
        <f>IF(Tabela2[[#This Row],[SIGLA]]="","",VLOOKUP(Tabela2[[#This Row],[SIGLA]],Tabela1[[#All],[Sigla Arte]:[Crédito]],2,0))</f>
        <v>RAYANNE CARDOSO/ARQUIVO DA EDITORA</v>
      </c>
      <c r="Z63" s="23"/>
      <c r="AA63" s="23" t="str">
        <f>Tabela2[[#This Row],[ILUSTRADOR CRIAÇÃO]]</f>
        <v>RAYANNE CARDOSO/ARQUIVO DA EDITORA</v>
      </c>
      <c r="AB63" s="22">
        <v>6</v>
      </c>
      <c r="AC63" s="20" t="s">
        <v>178</v>
      </c>
      <c r="AD63" s="20" t="s">
        <v>40</v>
      </c>
      <c r="AE63" s="4" t="str">
        <f t="shared" si="0"/>
        <v>EF1 E002 Ing</v>
      </c>
    </row>
    <row r="64" spans="1:31" s="12" customFormat="1" ht="120" x14ac:dyDescent="0.25">
      <c r="A64" s="23" t="s">
        <v>191</v>
      </c>
      <c r="B64" s="20" t="s">
        <v>32</v>
      </c>
      <c r="C64" s="20" t="s">
        <v>33</v>
      </c>
      <c r="D64" s="20" t="s">
        <v>34</v>
      </c>
      <c r="E64" s="22">
        <v>44</v>
      </c>
      <c r="F64" s="22">
        <v>1</v>
      </c>
      <c r="G64" s="22">
        <v>4</v>
      </c>
      <c r="H64" s="22"/>
      <c r="I64" s="23" t="s">
        <v>36</v>
      </c>
      <c r="J64" s="23"/>
      <c r="K64" s="22"/>
      <c r="L64" s="22"/>
      <c r="M64" s="23"/>
      <c r="N64" s="23"/>
      <c r="O64" s="26" t="s">
        <v>192</v>
      </c>
      <c r="P64" s="26"/>
      <c r="Q64" s="26"/>
      <c r="R64" s="22">
        <v>10</v>
      </c>
      <c r="S64" s="24">
        <v>45761</v>
      </c>
      <c r="T64" s="24">
        <v>45763</v>
      </c>
      <c r="U64" s="24">
        <v>45769</v>
      </c>
      <c r="V64" s="24">
        <v>45771</v>
      </c>
      <c r="W64" s="24">
        <v>45775</v>
      </c>
      <c r="X64" s="22" t="s">
        <v>47</v>
      </c>
      <c r="Y64" s="4" t="str">
        <f>IF(Tabela2[[#This Row],[SIGLA]]="","",VLOOKUP(Tabela2[[#This Row],[SIGLA]],Tabela1[[#All],[Sigla Arte]:[Crédito]],2,0))</f>
        <v>RAFAEL LUZIO/ARQUIVO DA EDITORA</v>
      </c>
      <c r="Z64" s="23"/>
      <c r="AA64" s="23" t="str">
        <f>Tabela2[[#This Row],[ILUSTRADOR CRIAÇÃO]]</f>
        <v>RAFAEL LUZIO/ARQUIVO DA EDITORA</v>
      </c>
      <c r="AB64" s="22">
        <v>6</v>
      </c>
      <c r="AC64" s="20" t="s">
        <v>193</v>
      </c>
      <c r="AD64" s="20" t="s">
        <v>40</v>
      </c>
      <c r="AE64" s="4" t="str">
        <f t="shared" si="0"/>
        <v>EF1 E002 Ing</v>
      </c>
    </row>
    <row r="65" spans="1:31" s="12" customFormat="1" ht="150" x14ac:dyDescent="0.25">
      <c r="A65" s="23" t="s">
        <v>194</v>
      </c>
      <c r="B65" s="20" t="s">
        <v>32</v>
      </c>
      <c r="C65" s="20" t="s">
        <v>33</v>
      </c>
      <c r="D65" s="20" t="s">
        <v>34</v>
      </c>
      <c r="E65" s="22">
        <v>45</v>
      </c>
      <c r="F65" s="22">
        <v>1</v>
      </c>
      <c r="G65" s="22">
        <v>4</v>
      </c>
      <c r="H65" s="22"/>
      <c r="I65" s="23" t="s">
        <v>36</v>
      </c>
      <c r="J65" s="23"/>
      <c r="K65" s="22"/>
      <c r="L65" s="22"/>
      <c r="M65" s="23"/>
      <c r="N65" s="23"/>
      <c r="O65" s="26" t="s">
        <v>195</v>
      </c>
      <c r="P65" s="26"/>
      <c r="Q65" s="26"/>
      <c r="R65" s="22">
        <v>10</v>
      </c>
      <c r="S65" s="24">
        <v>45761</v>
      </c>
      <c r="T65" s="24">
        <v>45763</v>
      </c>
      <c r="U65" s="24">
        <v>45769</v>
      </c>
      <c r="V65" s="24">
        <v>45771</v>
      </c>
      <c r="W65" s="24">
        <v>45775</v>
      </c>
      <c r="X65" s="22" t="s">
        <v>47</v>
      </c>
      <c r="Y65" s="4" t="str">
        <f>IF(Tabela2[[#This Row],[SIGLA]]="","",VLOOKUP(Tabela2[[#This Row],[SIGLA]],Tabela1[[#All],[Sigla Arte]:[Crédito]],2,0))</f>
        <v>RAFAEL LUZIO/ARQUIVO DA EDITORA</v>
      </c>
      <c r="Z65" s="23"/>
      <c r="AA65" s="23" t="str">
        <f>Tabela2[[#This Row],[ILUSTRADOR CRIAÇÃO]]</f>
        <v>RAFAEL LUZIO/ARQUIVO DA EDITORA</v>
      </c>
      <c r="AB65" s="22">
        <v>7</v>
      </c>
      <c r="AC65" s="20" t="s">
        <v>193</v>
      </c>
      <c r="AD65" s="20" t="s">
        <v>40</v>
      </c>
      <c r="AE65" s="4" t="str">
        <f t="shared" si="0"/>
        <v>EF1 E002 Ing</v>
      </c>
    </row>
    <row r="66" spans="1:31" s="12" customFormat="1" ht="75" x14ac:dyDescent="0.25">
      <c r="A66" s="23" t="s">
        <v>196</v>
      </c>
      <c r="B66" s="20" t="s">
        <v>56</v>
      </c>
      <c r="C66" s="20" t="s">
        <v>33</v>
      </c>
      <c r="D66" s="20" t="s">
        <v>34</v>
      </c>
      <c r="E66" s="22">
        <v>73</v>
      </c>
      <c r="F66" s="22">
        <v>1</v>
      </c>
      <c r="G66" s="22"/>
      <c r="H66" s="22" t="s">
        <v>143</v>
      </c>
      <c r="I66" s="23" t="s">
        <v>36</v>
      </c>
      <c r="J66" s="23"/>
      <c r="K66" s="22"/>
      <c r="L66" s="22"/>
      <c r="M66" s="23"/>
      <c r="N66" s="23"/>
      <c r="O66" s="26" t="s">
        <v>197</v>
      </c>
      <c r="P66" s="26"/>
      <c r="Q66" s="26"/>
      <c r="R66" s="22">
        <v>11</v>
      </c>
      <c r="S66" s="24">
        <v>45761</v>
      </c>
      <c r="T66" s="24">
        <v>45762</v>
      </c>
      <c r="U66" s="24">
        <v>45762</v>
      </c>
      <c r="V66" s="24"/>
      <c r="W66" s="24"/>
      <c r="X66" s="22" t="s">
        <v>47</v>
      </c>
      <c r="Y66" s="4" t="str">
        <f>IF(Tabela2[[#This Row],[SIGLA]]="","",VLOOKUP(Tabela2[[#This Row],[SIGLA]],Tabela1[[#All],[Sigla Arte]:[Crédito]],2,0))</f>
        <v>RAFAEL LUZIO/ARQUIVO DA EDITORA</v>
      </c>
      <c r="Z66" s="23"/>
      <c r="AA66" s="23" t="str">
        <f>Tabela2[[#This Row],[ILUSTRADOR CRIAÇÃO]]</f>
        <v>RAFAEL LUZIO/ARQUIVO DA EDITORA</v>
      </c>
      <c r="AB66" s="22">
        <v>6</v>
      </c>
      <c r="AC66" s="26" t="s">
        <v>198</v>
      </c>
      <c r="AD66" s="20" t="s">
        <v>199</v>
      </c>
      <c r="AE66" s="4" t="str">
        <f t="shared" ref="AE66:AE129" si="1">"EF1 E002 Ing"</f>
        <v>EF1 E002 Ing</v>
      </c>
    </row>
    <row r="67" spans="1:31" s="12" customFormat="1" ht="255" x14ac:dyDescent="0.25">
      <c r="A67" s="23" t="s">
        <v>200</v>
      </c>
      <c r="B67" s="20" t="s">
        <v>32</v>
      </c>
      <c r="C67" s="20" t="s">
        <v>33</v>
      </c>
      <c r="D67" s="20" t="s">
        <v>34</v>
      </c>
      <c r="E67" s="22">
        <v>58</v>
      </c>
      <c r="F67" s="22">
        <v>1</v>
      </c>
      <c r="G67" s="22">
        <v>6</v>
      </c>
      <c r="H67" s="22"/>
      <c r="I67" s="23" t="s">
        <v>36</v>
      </c>
      <c r="J67" s="23"/>
      <c r="K67" s="22"/>
      <c r="L67" s="22"/>
      <c r="M67" s="23"/>
      <c r="N67" s="23"/>
      <c r="O67" s="26" t="s">
        <v>201</v>
      </c>
      <c r="P67" s="26"/>
      <c r="Q67" s="26"/>
      <c r="R67" s="22">
        <v>12</v>
      </c>
      <c r="S67" s="24">
        <v>45769</v>
      </c>
      <c r="T67" s="24">
        <v>45772</v>
      </c>
      <c r="U67" s="24">
        <v>45779</v>
      </c>
      <c r="V67" s="24">
        <v>45785</v>
      </c>
      <c r="W67" s="24">
        <v>45790</v>
      </c>
      <c r="X67" s="22" t="s">
        <v>127</v>
      </c>
      <c r="Y67" s="4" t="str">
        <f>IF(Tabela2[[#This Row],[SIGLA]]="","",VLOOKUP(Tabela2[[#This Row],[SIGLA]],Tabela1[[#All],[Sigla Arte]:[Crédito]],2,0))</f>
        <v>JULIA PONNICK/ARQUIVO DA EDITORA</v>
      </c>
      <c r="Z67" s="23"/>
      <c r="AA67" s="23" t="str">
        <f>Tabela2[[#This Row],[ILUSTRADOR CRIAÇÃO]]</f>
        <v>JULIA PONNICK/ARQUIVO DA EDITORA</v>
      </c>
      <c r="AB67" s="22">
        <v>4</v>
      </c>
      <c r="AC67" s="20" t="s">
        <v>202</v>
      </c>
      <c r="AD67" s="20" t="s">
        <v>40</v>
      </c>
      <c r="AE67" s="4" t="str">
        <f t="shared" si="1"/>
        <v>EF1 E002 Ing</v>
      </c>
    </row>
    <row r="68" spans="1:31" s="12" customFormat="1" ht="75" x14ac:dyDescent="0.25">
      <c r="A68" s="23" t="s">
        <v>203</v>
      </c>
      <c r="B68" s="20" t="s">
        <v>204</v>
      </c>
      <c r="C68" s="20" t="s">
        <v>33</v>
      </c>
      <c r="D68" s="20" t="s">
        <v>34</v>
      </c>
      <c r="E68" s="22">
        <v>59</v>
      </c>
      <c r="F68" s="22">
        <v>1</v>
      </c>
      <c r="G68" s="22">
        <v>6</v>
      </c>
      <c r="H68" s="22"/>
      <c r="I68" s="23" t="s">
        <v>36</v>
      </c>
      <c r="J68" s="23"/>
      <c r="K68" s="22"/>
      <c r="L68" s="22"/>
      <c r="M68" s="23"/>
      <c r="N68" s="23"/>
      <c r="O68" s="26" t="s">
        <v>205</v>
      </c>
      <c r="P68" s="26"/>
      <c r="Q68" s="26"/>
      <c r="R68" s="22">
        <v>12</v>
      </c>
      <c r="S68" s="24">
        <v>45769</v>
      </c>
      <c r="T68" s="24">
        <v>45772</v>
      </c>
      <c r="U68" s="24">
        <v>45779</v>
      </c>
      <c r="V68" s="24">
        <v>45785</v>
      </c>
      <c r="W68" s="24">
        <v>45790</v>
      </c>
      <c r="X68" s="22" t="s">
        <v>127</v>
      </c>
      <c r="Y68" s="4" t="str">
        <f>IF(Tabela2[[#This Row],[SIGLA]]="","",VLOOKUP(Tabela2[[#This Row],[SIGLA]],Tabela1[[#All],[Sigla Arte]:[Crédito]],2,0))</f>
        <v>JULIA PONNICK/ARQUIVO DA EDITORA</v>
      </c>
      <c r="Z68" s="23"/>
      <c r="AA68" s="23" t="str">
        <f>Tabela2[[#This Row],[ILUSTRADOR CRIAÇÃO]]</f>
        <v>JULIA PONNICK/ARQUIVO DA EDITORA</v>
      </c>
      <c r="AB68" s="22">
        <v>13</v>
      </c>
      <c r="AC68" s="20" t="s">
        <v>202</v>
      </c>
      <c r="AD68" s="20" t="s">
        <v>40</v>
      </c>
      <c r="AE68" s="4" t="str">
        <f t="shared" si="1"/>
        <v>EF1 E002 Ing</v>
      </c>
    </row>
    <row r="69" spans="1:31" s="12" customFormat="1" ht="135" x14ac:dyDescent="0.25">
      <c r="A69" s="23" t="s">
        <v>206</v>
      </c>
      <c r="B69" s="20" t="s">
        <v>56</v>
      </c>
      <c r="C69" s="20" t="s">
        <v>33</v>
      </c>
      <c r="D69" s="20" t="s">
        <v>34</v>
      </c>
      <c r="E69" s="22">
        <v>58</v>
      </c>
      <c r="F69" s="22">
        <v>1</v>
      </c>
      <c r="G69" s="22"/>
      <c r="H69" s="22" t="s">
        <v>143</v>
      </c>
      <c r="I69" s="23" t="s">
        <v>36</v>
      </c>
      <c r="J69" s="23"/>
      <c r="K69" s="22"/>
      <c r="L69" s="22"/>
      <c r="M69" s="23"/>
      <c r="N69" s="23"/>
      <c r="O69" s="26" t="s">
        <v>207</v>
      </c>
      <c r="P69" s="26"/>
      <c r="Q69" s="26" t="s">
        <v>208</v>
      </c>
      <c r="R69" s="22">
        <v>12</v>
      </c>
      <c r="S69" s="24">
        <v>45769</v>
      </c>
      <c r="T69" s="24">
        <v>45772</v>
      </c>
      <c r="U69" s="24">
        <v>45779</v>
      </c>
      <c r="V69" s="24">
        <v>45785</v>
      </c>
      <c r="W69" s="24">
        <v>45790</v>
      </c>
      <c r="X69" s="22" t="s">
        <v>127</v>
      </c>
      <c r="Y69" s="4" t="str">
        <f>IF(Tabela2[[#This Row],[SIGLA]]="","",VLOOKUP(Tabela2[[#This Row],[SIGLA]],Tabela1[[#All],[Sigla Arte]:[Crédito]],2,0))</f>
        <v>JULIA PONNICK/ARQUIVO DA EDITORA</v>
      </c>
      <c r="Z69" s="23"/>
      <c r="AA69" s="23" t="str">
        <f>Tabela2[[#This Row],[ILUSTRADOR CRIAÇÃO]]</f>
        <v>JULIA PONNICK/ARQUIVO DA EDITORA</v>
      </c>
      <c r="AB69" s="22">
        <v>7</v>
      </c>
      <c r="AC69" s="20" t="s">
        <v>202</v>
      </c>
      <c r="AD69" s="20" t="s">
        <v>40</v>
      </c>
      <c r="AE69" s="4" t="str">
        <f t="shared" si="1"/>
        <v>EF1 E002 Ing</v>
      </c>
    </row>
    <row r="70" spans="1:31" s="12" customFormat="1" ht="45" x14ac:dyDescent="0.25">
      <c r="A70" s="23" t="s">
        <v>209</v>
      </c>
      <c r="B70" s="20" t="s">
        <v>204</v>
      </c>
      <c r="C70" s="20" t="s">
        <v>33</v>
      </c>
      <c r="D70" s="20" t="s">
        <v>34</v>
      </c>
      <c r="E70" s="22">
        <v>60</v>
      </c>
      <c r="F70" s="22">
        <v>1</v>
      </c>
      <c r="G70" s="22">
        <v>6</v>
      </c>
      <c r="H70" s="22"/>
      <c r="I70" s="23" t="s">
        <v>36</v>
      </c>
      <c r="J70" s="23"/>
      <c r="K70" s="22"/>
      <c r="L70" s="22"/>
      <c r="M70" s="23"/>
      <c r="N70" s="23"/>
      <c r="O70" s="26" t="s">
        <v>210</v>
      </c>
      <c r="P70" s="26"/>
      <c r="Q70" s="26"/>
      <c r="R70" s="22">
        <v>12</v>
      </c>
      <c r="S70" s="24">
        <v>45769</v>
      </c>
      <c r="T70" s="24">
        <v>45772</v>
      </c>
      <c r="U70" s="24">
        <v>45775</v>
      </c>
      <c r="V70" s="24">
        <v>45776</v>
      </c>
      <c r="W70" s="24">
        <v>45777</v>
      </c>
      <c r="X70" s="22" t="s">
        <v>211</v>
      </c>
      <c r="Y70" s="4" t="str">
        <f>IF(Tabela2[[#This Row],[SIGLA]]="","",VLOOKUP(Tabela2[[#This Row],[SIGLA]],Tabela1[[#All],[Sigla Arte]:[Crédito]],2,0))</f>
        <v>KATHARINE FROTA/ARQUIVO DA EDITORA</v>
      </c>
      <c r="Z70" s="23"/>
      <c r="AA70" s="23" t="str">
        <f>Tabela2[[#This Row],[ILUSTRADOR CRIAÇÃO]]</f>
        <v>KATHARINE FROTA/ARQUIVO DA EDITORA</v>
      </c>
      <c r="AB70" s="22">
        <v>8</v>
      </c>
      <c r="AC70" s="20" t="s">
        <v>212</v>
      </c>
      <c r="AD70" s="20" t="s">
        <v>40</v>
      </c>
      <c r="AE70" s="4" t="str">
        <f t="shared" si="1"/>
        <v>EF1 E002 Ing</v>
      </c>
    </row>
    <row r="71" spans="1:31" s="12" customFormat="1" ht="45" x14ac:dyDescent="0.25">
      <c r="A71" s="23" t="s">
        <v>213</v>
      </c>
      <c r="B71" s="20" t="s">
        <v>204</v>
      </c>
      <c r="C71" s="20" t="s">
        <v>33</v>
      </c>
      <c r="D71" s="20" t="s">
        <v>34</v>
      </c>
      <c r="E71" s="22">
        <v>60</v>
      </c>
      <c r="F71" s="22">
        <v>1</v>
      </c>
      <c r="G71" s="22">
        <v>6</v>
      </c>
      <c r="H71" s="22"/>
      <c r="I71" s="23" t="s">
        <v>36</v>
      </c>
      <c r="J71" s="23"/>
      <c r="K71" s="22"/>
      <c r="L71" s="22"/>
      <c r="M71" s="23"/>
      <c r="N71" s="23"/>
      <c r="O71" s="26" t="s">
        <v>214</v>
      </c>
      <c r="P71" s="26"/>
      <c r="Q71" s="26"/>
      <c r="R71" s="22">
        <v>12</v>
      </c>
      <c r="S71" s="24">
        <v>45769</v>
      </c>
      <c r="T71" s="24">
        <v>45772</v>
      </c>
      <c r="U71" s="24">
        <v>45775</v>
      </c>
      <c r="V71" s="24">
        <v>45776</v>
      </c>
      <c r="W71" s="24">
        <v>45777</v>
      </c>
      <c r="X71" s="22" t="s">
        <v>211</v>
      </c>
      <c r="Y71" s="4" t="str">
        <f>IF(Tabela2[[#This Row],[SIGLA]]="","",VLOOKUP(Tabela2[[#This Row],[SIGLA]],Tabela1[[#All],[Sigla Arte]:[Crédito]],2,0))</f>
        <v>KATHARINE FROTA/ARQUIVO DA EDITORA</v>
      </c>
      <c r="Z71" s="23"/>
      <c r="AA71" s="23" t="str">
        <f>Tabela2[[#This Row],[ILUSTRADOR CRIAÇÃO]]</f>
        <v>KATHARINE FROTA/ARQUIVO DA EDITORA</v>
      </c>
      <c r="AB71" s="22">
        <v>8</v>
      </c>
      <c r="AC71" s="20" t="s">
        <v>212</v>
      </c>
      <c r="AD71" s="20" t="s">
        <v>40</v>
      </c>
      <c r="AE71" s="4" t="str">
        <f t="shared" si="1"/>
        <v>EF1 E002 Ing</v>
      </c>
    </row>
    <row r="72" spans="1:31" s="12" customFormat="1" ht="45" x14ac:dyDescent="0.25">
      <c r="A72" s="23" t="s">
        <v>215</v>
      </c>
      <c r="B72" s="20" t="s">
        <v>125</v>
      </c>
      <c r="C72" s="20" t="s">
        <v>33</v>
      </c>
      <c r="D72" s="20" t="s">
        <v>34</v>
      </c>
      <c r="E72" s="22">
        <v>60</v>
      </c>
      <c r="F72" s="22">
        <v>1</v>
      </c>
      <c r="G72" s="22">
        <v>6</v>
      </c>
      <c r="H72" s="22"/>
      <c r="I72" s="23" t="s">
        <v>36</v>
      </c>
      <c r="J72" s="23"/>
      <c r="K72" s="22"/>
      <c r="L72" s="22"/>
      <c r="M72" s="23"/>
      <c r="N72" s="23"/>
      <c r="O72" s="26" t="s">
        <v>216</v>
      </c>
      <c r="P72" s="26"/>
      <c r="Q72" s="26"/>
      <c r="R72" s="22">
        <v>12</v>
      </c>
      <c r="S72" s="24">
        <v>45769</v>
      </c>
      <c r="T72" s="24">
        <v>45772</v>
      </c>
      <c r="U72" s="24">
        <v>45775</v>
      </c>
      <c r="V72" s="24">
        <v>45776</v>
      </c>
      <c r="W72" s="24">
        <v>45777</v>
      </c>
      <c r="X72" s="22" t="s">
        <v>211</v>
      </c>
      <c r="Y72" s="4" t="str">
        <f>IF(Tabela2[[#This Row],[SIGLA]]="","",VLOOKUP(Tabela2[[#This Row],[SIGLA]],Tabela1[[#All],[Sigla Arte]:[Crédito]],2,0))</f>
        <v>KATHARINE FROTA/ARQUIVO DA EDITORA</v>
      </c>
      <c r="Z72" s="23"/>
      <c r="AA72" s="23" t="str">
        <f>Tabela2[[#This Row],[ILUSTRADOR CRIAÇÃO]]</f>
        <v>KATHARINE FROTA/ARQUIVO DA EDITORA</v>
      </c>
      <c r="AB72" s="22">
        <v>8</v>
      </c>
      <c r="AC72" s="20" t="s">
        <v>212</v>
      </c>
      <c r="AD72" s="20" t="s">
        <v>40</v>
      </c>
      <c r="AE72" s="4" t="str">
        <f t="shared" si="1"/>
        <v>EF1 E002 Ing</v>
      </c>
    </row>
    <row r="73" spans="1:31" s="12" customFormat="1" ht="45" x14ac:dyDescent="0.25">
      <c r="A73" s="23" t="s">
        <v>217</v>
      </c>
      <c r="B73" s="20" t="s">
        <v>204</v>
      </c>
      <c r="C73" s="20" t="s">
        <v>33</v>
      </c>
      <c r="D73" s="20" t="s">
        <v>34</v>
      </c>
      <c r="E73" s="22">
        <v>60</v>
      </c>
      <c r="F73" s="22">
        <v>1</v>
      </c>
      <c r="G73" s="22">
        <v>6</v>
      </c>
      <c r="H73" s="22"/>
      <c r="I73" s="23" t="s">
        <v>36</v>
      </c>
      <c r="J73" s="23"/>
      <c r="K73" s="22"/>
      <c r="L73" s="22"/>
      <c r="M73" s="23"/>
      <c r="N73" s="23"/>
      <c r="O73" s="26" t="s">
        <v>218</v>
      </c>
      <c r="P73" s="26"/>
      <c r="Q73" s="26"/>
      <c r="R73" s="22">
        <v>12</v>
      </c>
      <c r="S73" s="24">
        <v>45769</v>
      </c>
      <c r="T73" s="24">
        <v>45772</v>
      </c>
      <c r="U73" s="24">
        <v>45775</v>
      </c>
      <c r="V73" s="24">
        <v>45776</v>
      </c>
      <c r="W73" s="24">
        <v>45777</v>
      </c>
      <c r="X73" s="22" t="s">
        <v>211</v>
      </c>
      <c r="Y73" s="4" t="str">
        <f>IF(Tabela2[[#This Row],[SIGLA]]="","",VLOOKUP(Tabela2[[#This Row],[SIGLA]],Tabela1[[#All],[Sigla Arte]:[Crédito]],2,0))</f>
        <v>KATHARINE FROTA/ARQUIVO DA EDITORA</v>
      </c>
      <c r="Z73" s="23"/>
      <c r="AA73" s="23" t="str">
        <f>Tabela2[[#This Row],[ILUSTRADOR CRIAÇÃO]]</f>
        <v>KATHARINE FROTA/ARQUIVO DA EDITORA</v>
      </c>
      <c r="AB73" s="22">
        <v>8</v>
      </c>
      <c r="AC73" s="20" t="s">
        <v>212</v>
      </c>
      <c r="AD73" s="20" t="s">
        <v>40</v>
      </c>
      <c r="AE73" s="4" t="str">
        <f t="shared" si="1"/>
        <v>EF1 E002 Ing</v>
      </c>
    </row>
    <row r="74" spans="1:31" s="12" customFormat="1" ht="45" x14ac:dyDescent="0.25">
      <c r="A74" s="23" t="s">
        <v>219</v>
      </c>
      <c r="B74" s="20" t="s">
        <v>32</v>
      </c>
      <c r="C74" s="20" t="s">
        <v>33</v>
      </c>
      <c r="D74" s="20" t="s">
        <v>34</v>
      </c>
      <c r="E74" s="22">
        <v>62</v>
      </c>
      <c r="F74" s="22">
        <v>1</v>
      </c>
      <c r="G74" s="22">
        <v>6</v>
      </c>
      <c r="H74" s="22"/>
      <c r="I74" s="23" t="s">
        <v>36</v>
      </c>
      <c r="J74" s="23"/>
      <c r="K74" s="22"/>
      <c r="L74" s="22"/>
      <c r="M74" s="23"/>
      <c r="N74" s="23"/>
      <c r="O74" s="26" t="s">
        <v>220</v>
      </c>
      <c r="P74" s="26"/>
      <c r="Q74" s="26"/>
      <c r="R74" s="22">
        <v>12</v>
      </c>
      <c r="S74" s="24">
        <v>45769</v>
      </c>
      <c r="T74" s="24">
        <v>45772</v>
      </c>
      <c r="U74" s="24">
        <v>45779</v>
      </c>
      <c r="V74" s="24">
        <v>45782</v>
      </c>
      <c r="W74" s="24">
        <v>45785</v>
      </c>
      <c r="X74" s="22" t="s">
        <v>54</v>
      </c>
      <c r="Y74" s="4" t="str">
        <f>IF(Tabela2[[#This Row],[SIGLA]]="","",VLOOKUP(Tabela2[[#This Row],[SIGLA]],Tabela1[[#All],[Sigla Arte]:[Crédito]],2,0))</f>
        <v>RAYANNE CARDOSO/ARQUIVO DA EDITORA</v>
      </c>
      <c r="Z74" s="23"/>
      <c r="AA74" s="23" t="str">
        <f>Tabela2[[#This Row],[ILUSTRADOR CRIAÇÃO]]</f>
        <v>RAYANNE CARDOSO/ARQUIVO DA EDITORA</v>
      </c>
      <c r="AB74" s="22">
        <v>5</v>
      </c>
      <c r="AC74" s="20" t="s">
        <v>221</v>
      </c>
      <c r="AD74" s="20" t="s">
        <v>40</v>
      </c>
      <c r="AE74" s="4" t="str">
        <f t="shared" si="1"/>
        <v>EF1 E002 Ing</v>
      </c>
    </row>
    <row r="75" spans="1:31" s="12" customFormat="1" ht="120" x14ac:dyDescent="0.25">
      <c r="A75" s="23" t="s">
        <v>222</v>
      </c>
      <c r="B75" s="20" t="s">
        <v>32</v>
      </c>
      <c r="C75" s="20" t="s">
        <v>33</v>
      </c>
      <c r="D75" s="20" t="s">
        <v>34</v>
      </c>
      <c r="E75" s="22">
        <v>51</v>
      </c>
      <c r="F75" s="22">
        <v>1</v>
      </c>
      <c r="G75" s="22">
        <v>5</v>
      </c>
      <c r="H75" s="22"/>
      <c r="I75" s="23" t="s">
        <v>36</v>
      </c>
      <c r="J75" s="23"/>
      <c r="K75" s="22"/>
      <c r="L75" s="22"/>
      <c r="M75" s="23"/>
      <c r="N75" s="23"/>
      <c r="O75" s="26" t="s">
        <v>223</v>
      </c>
      <c r="P75" s="26"/>
      <c r="Q75" s="26"/>
      <c r="R75" s="22">
        <v>13</v>
      </c>
      <c r="S75" s="24">
        <v>45769</v>
      </c>
      <c r="T75" s="24">
        <v>45775</v>
      </c>
      <c r="U75" s="24">
        <v>45782</v>
      </c>
      <c r="V75" s="24">
        <v>45785</v>
      </c>
      <c r="W75" s="24">
        <v>45791</v>
      </c>
      <c r="X75" s="22" t="s">
        <v>224</v>
      </c>
      <c r="Y75" s="4" t="str">
        <f>IF(Tabela2[[#This Row],[SIGLA]]="","",VLOOKUP(Tabela2[[#This Row],[SIGLA]],Tabela1[[#All],[Sigla Arte]:[Crédito]],2,0))</f>
        <v>ANA KOZUKI/ARQUIVO DA EDITORA</v>
      </c>
      <c r="Z75" s="23"/>
      <c r="AA75" s="23" t="str">
        <f>Tabela2[[#This Row],[ILUSTRADOR CRIAÇÃO]]</f>
        <v>ANA KOZUKI/ARQUIVO DA EDITORA</v>
      </c>
      <c r="AB75" s="22">
        <v>5</v>
      </c>
      <c r="AC75" s="20" t="s">
        <v>225</v>
      </c>
      <c r="AD75" s="20" t="s">
        <v>40</v>
      </c>
      <c r="AE75" s="4" t="str">
        <f t="shared" si="1"/>
        <v>EF1 E002 Ing</v>
      </c>
    </row>
    <row r="76" spans="1:31" s="12" customFormat="1" ht="267.75" customHeight="1" x14ac:dyDescent="0.25">
      <c r="A76" s="23" t="s">
        <v>226</v>
      </c>
      <c r="B76" s="20" t="s">
        <v>32</v>
      </c>
      <c r="C76" s="20" t="s">
        <v>33</v>
      </c>
      <c r="D76" s="20" t="s">
        <v>34</v>
      </c>
      <c r="E76" s="22">
        <v>52</v>
      </c>
      <c r="F76" s="22">
        <v>1</v>
      </c>
      <c r="G76" s="22">
        <v>5</v>
      </c>
      <c r="H76" s="22"/>
      <c r="I76" s="23" t="s">
        <v>36</v>
      </c>
      <c r="J76" s="23"/>
      <c r="K76" s="22"/>
      <c r="L76" s="22"/>
      <c r="M76" s="23"/>
      <c r="N76" s="23"/>
      <c r="O76" s="26" t="s">
        <v>227</v>
      </c>
      <c r="P76" s="26"/>
      <c r="Q76" s="26"/>
      <c r="R76" s="22">
        <v>13</v>
      </c>
      <c r="S76" s="24">
        <v>45769</v>
      </c>
      <c r="T76" s="24">
        <v>45775</v>
      </c>
      <c r="U76" s="24">
        <v>45782</v>
      </c>
      <c r="V76" s="24">
        <v>45785</v>
      </c>
      <c r="W76" s="24">
        <v>45791</v>
      </c>
      <c r="X76" s="22" t="s">
        <v>224</v>
      </c>
      <c r="Y76" s="4" t="str">
        <f>IF(Tabela2[[#This Row],[SIGLA]]="","",VLOOKUP(Tabela2[[#This Row],[SIGLA]],Tabela1[[#All],[Sigla Arte]:[Crédito]],2,0))</f>
        <v>ANA KOZUKI/ARQUIVO DA EDITORA</v>
      </c>
      <c r="Z76" s="23"/>
      <c r="AA76" s="23" t="str">
        <f>Tabela2[[#This Row],[ILUSTRADOR CRIAÇÃO]]</f>
        <v>ANA KOZUKI/ARQUIVO DA EDITORA</v>
      </c>
      <c r="AB76" s="22">
        <v>4</v>
      </c>
      <c r="AC76" s="20" t="s">
        <v>225</v>
      </c>
      <c r="AD76" s="20" t="s">
        <v>40</v>
      </c>
      <c r="AE76" s="4" t="str">
        <f t="shared" si="1"/>
        <v>EF1 E002 Ing</v>
      </c>
    </row>
    <row r="77" spans="1:31" s="12" customFormat="1" ht="177.75" customHeight="1" x14ac:dyDescent="0.25">
      <c r="A77" s="23" t="s">
        <v>228</v>
      </c>
      <c r="B77" s="20" t="s">
        <v>32</v>
      </c>
      <c r="C77" s="20" t="s">
        <v>33</v>
      </c>
      <c r="D77" s="20" t="s">
        <v>34</v>
      </c>
      <c r="E77" s="22">
        <v>54</v>
      </c>
      <c r="F77" s="22">
        <v>1</v>
      </c>
      <c r="G77" s="22">
        <v>5</v>
      </c>
      <c r="H77" s="22"/>
      <c r="I77" s="23" t="s">
        <v>36</v>
      </c>
      <c r="J77" s="23"/>
      <c r="K77" s="22"/>
      <c r="L77" s="22"/>
      <c r="M77" s="23"/>
      <c r="N77" s="23"/>
      <c r="O77" s="26" t="s">
        <v>229</v>
      </c>
      <c r="P77" s="26"/>
      <c r="Q77" s="26"/>
      <c r="R77" s="22">
        <v>13</v>
      </c>
      <c r="S77" s="24">
        <v>45769</v>
      </c>
      <c r="T77" s="24">
        <v>45775</v>
      </c>
      <c r="U77" s="24">
        <v>45782</v>
      </c>
      <c r="V77" s="24">
        <v>45785</v>
      </c>
      <c r="W77" s="24">
        <v>45791</v>
      </c>
      <c r="X77" s="22" t="s">
        <v>224</v>
      </c>
      <c r="Y77" s="4" t="str">
        <f>IF(Tabela2[[#This Row],[SIGLA]]="","",VLOOKUP(Tabela2[[#This Row],[SIGLA]],Tabela1[[#All],[Sigla Arte]:[Crédito]],2,0))</f>
        <v>ANA KOZUKI/ARQUIVO DA EDITORA</v>
      </c>
      <c r="Z77" s="23"/>
      <c r="AA77" s="23" t="str">
        <f>Tabela2[[#This Row],[ILUSTRADOR CRIAÇÃO]]</f>
        <v>ANA KOZUKI/ARQUIVO DA EDITORA</v>
      </c>
      <c r="AB77" s="22">
        <v>5</v>
      </c>
      <c r="AC77" s="20" t="s">
        <v>225</v>
      </c>
      <c r="AD77" s="20" t="s">
        <v>40</v>
      </c>
      <c r="AE77" s="4" t="str">
        <f t="shared" si="1"/>
        <v>EF1 E002 Ing</v>
      </c>
    </row>
    <row r="78" spans="1:31" s="12" customFormat="1" ht="60" x14ac:dyDescent="0.25">
      <c r="A78" s="23" t="s">
        <v>230</v>
      </c>
      <c r="B78" s="20" t="s">
        <v>32</v>
      </c>
      <c r="C78" s="20" t="s">
        <v>33</v>
      </c>
      <c r="D78" s="20" t="s">
        <v>34</v>
      </c>
      <c r="E78" s="22">
        <v>67</v>
      </c>
      <c r="F78" s="22">
        <v>1</v>
      </c>
      <c r="G78" s="22"/>
      <c r="H78" s="22" t="s">
        <v>231</v>
      </c>
      <c r="I78" s="23" t="s">
        <v>36</v>
      </c>
      <c r="J78" s="23"/>
      <c r="K78" s="22"/>
      <c r="L78" s="22"/>
      <c r="M78" s="23"/>
      <c r="N78" s="23"/>
      <c r="O78" s="26" t="s">
        <v>232</v>
      </c>
      <c r="P78" s="26"/>
      <c r="Q78" s="26"/>
      <c r="R78" s="22">
        <v>14</v>
      </c>
      <c r="S78" s="24">
        <v>45770</v>
      </c>
      <c r="T78" s="24">
        <v>45777</v>
      </c>
      <c r="U78" s="24">
        <v>45783</v>
      </c>
      <c r="V78" s="24">
        <v>45785</v>
      </c>
      <c r="W78" s="24">
        <v>45791</v>
      </c>
      <c r="X78" s="22" t="s">
        <v>127</v>
      </c>
      <c r="Y78" s="4" t="str">
        <f>IF(Tabela2[[#This Row],[SIGLA]]="","",VLOOKUP(Tabela2[[#This Row],[SIGLA]],Tabela1[[#All],[Sigla Arte]:[Crédito]],2,0))</f>
        <v>JULIA PONNICK/ARQUIVO DA EDITORA</v>
      </c>
      <c r="Z78" s="23"/>
      <c r="AA78" s="23" t="str">
        <f>Tabela2[[#This Row],[ILUSTRADOR CRIAÇÃO]]</f>
        <v>JULIA PONNICK/ARQUIVO DA EDITORA</v>
      </c>
      <c r="AB78" s="22">
        <v>5</v>
      </c>
      <c r="AC78" s="20" t="s">
        <v>233</v>
      </c>
      <c r="AD78" s="20" t="s">
        <v>40</v>
      </c>
      <c r="AE78" s="4" t="str">
        <f t="shared" si="1"/>
        <v>EF1 E002 Ing</v>
      </c>
    </row>
    <row r="79" spans="1:31" s="12" customFormat="1" ht="60" x14ac:dyDescent="0.25">
      <c r="A79" s="23" t="s">
        <v>234</v>
      </c>
      <c r="B79" s="20" t="s">
        <v>56</v>
      </c>
      <c r="C79" s="20" t="s">
        <v>33</v>
      </c>
      <c r="D79" s="20" t="s">
        <v>34</v>
      </c>
      <c r="E79" s="22">
        <v>68</v>
      </c>
      <c r="F79" s="22">
        <v>1</v>
      </c>
      <c r="G79" s="22"/>
      <c r="H79" s="22" t="s">
        <v>231</v>
      </c>
      <c r="I79" s="23" t="s">
        <v>36</v>
      </c>
      <c r="J79" s="23"/>
      <c r="K79" s="22"/>
      <c r="L79" s="22"/>
      <c r="M79" s="23"/>
      <c r="N79" s="23"/>
      <c r="O79" s="26" t="s">
        <v>235</v>
      </c>
      <c r="P79" s="26"/>
      <c r="Q79" s="26" t="s">
        <v>208</v>
      </c>
      <c r="R79" s="22">
        <v>14</v>
      </c>
      <c r="S79" s="24">
        <v>45770</v>
      </c>
      <c r="T79" s="24">
        <v>45777</v>
      </c>
      <c r="U79" s="24">
        <v>45783</v>
      </c>
      <c r="V79" s="24">
        <v>45785</v>
      </c>
      <c r="W79" s="24">
        <v>45791</v>
      </c>
      <c r="X79" s="22" t="s">
        <v>127</v>
      </c>
      <c r="Y79" s="4" t="str">
        <f>IF(Tabela2[[#This Row],[SIGLA]]="","",VLOOKUP(Tabela2[[#This Row],[SIGLA]],Tabela1[[#All],[Sigla Arte]:[Crédito]],2,0))</f>
        <v>JULIA PONNICK/ARQUIVO DA EDITORA</v>
      </c>
      <c r="Z79" s="23"/>
      <c r="AA79" s="23" t="str">
        <f>Tabela2[[#This Row],[ILUSTRADOR CRIAÇÃO]]</f>
        <v>JULIA PONNICK/ARQUIVO DA EDITORA</v>
      </c>
      <c r="AB79" s="22">
        <v>6</v>
      </c>
      <c r="AC79" s="20" t="s">
        <v>233</v>
      </c>
      <c r="AD79" s="20" t="s">
        <v>40</v>
      </c>
      <c r="AE79" s="4" t="str">
        <f t="shared" si="1"/>
        <v>EF1 E002 Ing</v>
      </c>
    </row>
    <row r="80" spans="1:31" s="12" customFormat="1" ht="60" x14ac:dyDescent="0.25">
      <c r="A80" s="23" t="s">
        <v>236</v>
      </c>
      <c r="B80" s="20" t="s">
        <v>32</v>
      </c>
      <c r="C80" s="20" t="s">
        <v>33</v>
      </c>
      <c r="D80" s="20" t="s">
        <v>34</v>
      </c>
      <c r="E80" s="22">
        <v>68</v>
      </c>
      <c r="F80" s="22">
        <v>1</v>
      </c>
      <c r="G80" s="22"/>
      <c r="H80" s="22" t="s">
        <v>231</v>
      </c>
      <c r="I80" s="23" t="s">
        <v>36</v>
      </c>
      <c r="J80" s="23"/>
      <c r="K80" s="22"/>
      <c r="L80" s="22"/>
      <c r="M80" s="23"/>
      <c r="N80" s="23"/>
      <c r="O80" s="26" t="s">
        <v>237</v>
      </c>
      <c r="P80" s="26"/>
      <c r="Q80" s="26"/>
      <c r="R80" s="22">
        <v>14</v>
      </c>
      <c r="S80" s="24">
        <v>45770</v>
      </c>
      <c r="T80" s="24">
        <v>45777</v>
      </c>
      <c r="U80" s="24">
        <v>45783</v>
      </c>
      <c r="V80" s="24">
        <v>45785</v>
      </c>
      <c r="W80" s="24">
        <v>45791</v>
      </c>
      <c r="X80" s="22" t="s">
        <v>127</v>
      </c>
      <c r="Y80" s="4" t="str">
        <f>IF(Tabela2[[#This Row],[SIGLA]]="","",VLOOKUP(Tabela2[[#This Row],[SIGLA]],Tabela1[[#All],[Sigla Arte]:[Crédito]],2,0))</f>
        <v>JULIA PONNICK/ARQUIVO DA EDITORA</v>
      </c>
      <c r="Z80" s="23"/>
      <c r="AA80" s="23" t="str">
        <f>Tabela2[[#This Row],[ILUSTRADOR CRIAÇÃO]]</f>
        <v>JULIA PONNICK/ARQUIVO DA EDITORA</v>
      </c>
      <c r="AB80" s="22">
        <v>6</v>
      </c>
      <c r="AC80" s="20" t="s">
        <v>233</v>
      </c>
      <c r="AD80" s="20" t="s">
        <v>40</v>
      </c>
      <c r="AE80" s="4" t="str">
        <f t="shared" si="1"/>
        <v>EF1 E002 Ing</v>
      </c>
    </row>
    <row r="81" spans="1:31" s="12" customFormat="1" ht="45" x14ac:dyDescent="0.25">
      <c r="A81" s="23" t="s">
        <v>238</v>
      </c>
      <c r="B81" s="20" t="s">
        <v>56</v>
      </c>
      <c r="C81" s="20" t="s">
        <v>33</v>
      </c>
      <c r="D81" s="20" t="s">
        <v>34</v>
      </c>
      <c r="E81" s="22">
        <v>68</v>
      </c>
      <c r="F81" s="22">
        <v>1</v>
      </c>
      <c r="G81" s="22"/>
      <c r="H81" s="22" t="s">
        <v>231</v>
      </c>
      <c r="I81" s="23" t="s">
        <v>36</v>
      </c>
      <c r="J81" s="23"/>
      <c r="K81" s="22"/>
      <c r="L81" s="22"/>
      <c r="M81" s="23"/>
      <c r="N81" s="23"/>
      <c r="O81" s="26" t="s">
        <v>239</v>
      </c>
      <c r="P81" s="26"/>
      <c r="Q81" s="26" t="s">
        <v>208</v>
      </c>
      <c r="R81" s="22">
        <v>14</v>
      </c>
      <c r="S81" s="24">
        <v>45770</v>
      </c>
      <c r="T81" s="24">
        <v>45777</v>
      </c>
      <c r="U81" s="24">
        <v>45783</v>
      </c>
      <c r="V81" s="24">
        <v>45785</v>
      </c>
      <c r="W81" s="24">
        <v>45791</v>
      </c>
      <c r="X81" s="22" t="s">
        <v>127</v>
      </c>
      <c r="Y81" s="4" t="str">
        <f>IF(Tabela2[[#This Row],[SIGLA]]="","",VLOOKUP(Tabela2[[#This Row],[SIGLA]],Tabela1[[#All],[Sigla Arte]:[Crédito]],2,0))</f>
        <v>JULIA PONNICK/ARQUIVO DA EDITORA</v>
      </c>
      <c r="Z81" s="23"/>
      <c r="AA81" s="23" t="str">
        <f>Tabela2[[#This Row],[ILUSTRADOR CRIAÇÃO]]</f>
        <v>JULIA PONNICK/ARQUIVO DA EDITORA</v>
      </c>
      <c r="AB81" s="22">
        <v>6</v>
      </c>
      <c r="AC81" s="20" t="s">
        <v>233</v>
      </c>
      <c r="AD81" s="20" t="s">
        <v>40</v>
      </c>
      <c r="AE81" s="4" t="str">
        <f t="shared" si="1"/>
        <v>EF1 E002 Ing</v>
      </c>
    </row>
    <row r="82" spans="1:31" s="12" customFormat="1" x14ac:dyDescent="0.25">
      <c r="A82" s="23" t="s">
        <v>240</v>
      </c>
      <c r="B82" s="20" t="s">
        <v>32</v>
      </c>
      <c r="C82" s="20" t="s">
        <v>33</v>
      </c>
      <c r="D82" s="20" t="s">
        <v>34</v>
      </c>
      <c r="E82" s="22">
        <v>68</v>
      </c>
      <c r="F82" s="22">
        <v>1</v>
      </c>
      <c r="G82" s="22"/>
      <c r="H82" s="22" t="s">
        <v>231</v>
      </c>
      <c r="I82" s="23" t="s">
        <v>36</v>
      </c>
      <c r="J82" s="23"/>
      <c r="K82" s="22"/>
      <c r="L82" s="22"/>
      <c r="M82" s="23"/>
      <c r="N82" s="23"/>
      <c r="O82" s="26" t="s">
        <v>241</v>
      </c>
      <c r="P82" s="26"/>
      <c r="Q82" s="26"/>
      <c r="R82" s="22">
        <v>14</v>
      </c>
      <c r="S82" s="24">
        <v>45770</v>
      </c>
      <c r="T82" s="24">
        <v>45777</v>
      </c>
      <c r="U82" s="24">
        <v>45783</v>
      </c>
      <c r="V82" s="24">
        <v>45785</v>
      </c>
      <c r="W82" s="24">
        <v>45791</v>
      </c>
      <c r="X82" s="22" t="s">
        <v>127</v>
      </c>
      <c r="Y82" s="4" t="str">
        <f>IF(Tabela2[[#This Row],[SIGLA]]="","",VLOOKUP(Tabela2[[#This Row],[SIGLA]],Tabela1[[#All],[Sigla Arte]:[Crédito]],2,0))</f>
        <v>JULIA PONNICK/ARQUIVO DA EDITORA</v>
      </c>
      <c r="Z82" s="23"/>
      <c r="AA82" s="23" t="str">
        <f>Tabela2[[#This Row],[ILUSTRADOR CRIAÇÃO]]</f>
        <v>JULIA PONNICK/ARQUIVO DA EDITORA</v>
      </c>
      <c r="AB82" s="22">
        <v>6</v>
      </c>
      <c r="AC82" s="20" t="s">
        <v>233</v>
      </c>
      <c r="AD82" s="20" t="s">
        <v>40</v>
      </c>
      <c r="AE82" s="4" t="str">
        <f t="shared" si="1"/>
        <v>EF1 E002 Ing</v>
      </c>
    </row>
    <row r="83" spans="1:31" s="12" customFormat="1" ht="60" x14ac:dyDescent="0.25">
      <c r="A83" s="23" t="s">
        <v>242</v>
      </c>
      <c r="B83" s="20" t="s">
        <v>56</v>
      </c>
      <c r="C83" s="20" t="s">
        <v>33</v>
      </c>
      <c r="D83" s="20" t="s">
        <v>34</v>
      </c>
      <c r="E83" s="22">
        <v>69</v>
      </c>
      <c r="F83" s="22">
        <v>1</v>
      </c>
      <c r="G83" s="22"/>
      <c r="H83" s="22" t="s">
        <v>231</v>
      </c>
      <c r="I83" s="23" t="s">
        <v>36</v>
      </c>
      <c r="J83" s="23"/>
      <c r="K83" s="22"/>
      <c r="L83" s="22"/>
      <c r="M83" s="23"/>
      <c r="N83" s="23"/>
      <c r="O83" s="26" t="s">
        <v>243</v>
      </c>
      <c r="P83" s="26"/>
      <c r="Q83" s="26" t="s">
        <v>208</v>
      </c>
      <c r="R83" s="22">
        <v>14</v>
      </c>
      <c r="S83" s="24">
        <v>45770</v>
      </c>
      <c r="T83" s="24">
        <v>45777</v>
      </c>
      <c r="U83" s="24">
        <v>45783</v>
      </c>
      <c r="V83" s="24">
        <v>45785</v>
      </c>
      <c r="W83" s="24">
        <v>45791</v>
      </c>
      <c r="X83" s="22" t="s">
        <v>127</v>
      </c>
      <c r="Y83" s="4" t="str">
        <f>IF(Tabela2[[#This Row],[SIGLA]]="","",VLOOKUP(Tabela2[[#This Row],[SIGLA]],Tabela1[[#All],[Sigla Arte]:[Crédito]],2,0))</f>
        <v>JULIA PONNICK/ARQUIVO DA EDITORA</v>
      </c>
      <c r="Z83" s="23"/>
      <c r="AA83" s="23" t="str">
        <f>Tabela2[[#This Row],[ILUSTRADOR CRIAÇÃO]]</f>
        <v>JULIA PONNICK/ARQUIVO DA EDITORA</v>
      </c>
      <c r="AB83" s="22">
        <v>7</v>
      </c>
      <c r="AC83" s="20" t="s">
        <v>233</v>
      </c>
      <c r="AD83" s="20" t="s">
        <v>40</v>
      </c>
      <c r="AE83" s="4" t="str">
        <f t="shared" si="1"/>
        <v>EF1 E002 Ing</v>
      </c>
    </row>
    <row r="84" spans="1:31" s="12" customFormat="1" ht="60" x14ac:dyDescent="0.25">
      <c r="A84" s="23" t="s">
        <v>244</v>
      </c>
      <c r="B84" s="20" t="s">
        <v>56</v>
      </c>
      <c r="C84" s="20" t="s">
        <v>33</v>
      </c>
      <c r="D84" s="20" t="s">
        <v>34</v>
      </c>
      <c r="E84" s="22">
        <v>69</v>
      </c>
      <c r="F84" s="22">
        <v>1</v>
      </c>
      <c r="G84" s="22"/>
      <c r="H84" s="22" t="s">
        <v>231</v>
      </c>
      <c r="I84" s="23" t="s">
        <v>36</v>
      </c>
      <c r="J84" s="23"/>
      <c r="K84" s="22"/>
      <c r="L84" s="22"/>
      <c r="M84" s="23"/>
      <c r="N84" s="23"/>
      <c r="O84" s="26" t="s">
        <v>245</v>
      </c>
      <c r="P84" s="26"/>
      <c r="Q84" s="26" t="s">
        <v>208</v>
      </c>
      <c r="R84" s="22">
        <v>14</v>
      </c>
      <c r="S84" s="24">
        <v>45770</v>
      </c>
      <c r="T84" s="24">
        <v>45777</v>
      </c>
      <c r="U84" s="24">
        <v>45783</v>
      </c>
      <c r="V84" s="24">
        <v>45785</v>
      </c>
      <c r="W84" s="24">
        <v>45791</v>
      </c>
      <c r="X84" s="22" t="s">
        <v>127</v>
      </c>
      <c r="Y84" s="4" t="str">
        <f>IF(Tabela2[[#This Row],[SIGLA]]="","",VLOOKUP(Tabela2[[#This Row],[SIGLA]],Tabela1[[#All],[Sigla Arte]:[Crédito]],2,0))</f>
        <v>JULIA PONNICK/ARQUIVO DA EDITORA</v>
      </c>
      <c r="Z84" s="23"/>
      <c r="AA84" s="23" t="str">
        <f>Tabela2[[#This Row],[ILUSTRADOR CRIAÇÃO]]</f>
        <v>JULIA PONNICK/ARQUIVO DA EDITORA</v>
      </c>
      <c r="AB84" s="22">
        <v>7</v>
      </c>
      <c r="AC84" s="20" t="s">
        <v>233</v>
      </c>
      <c r="AD84" s="20" t="s">
        <v>40</v>
      </c>
      <c r="AE84" s="4" t="str">
        <f t="shared" si="1"/>
        <v>EF1 E002 Ing</v>
      </c>
    </row>
    <row r="85" spans="1:31" s="12" customFormat="1" ht="165" x14ac:dyDescent="0.25">
      <c r="A85" s="23" t="s">
        <v>246</v>
      </c>
      <c r="B85" s="20" t="s">
        <v>32</v>
      </c>
      <c r="C85" s="20" t="s">
        <v>33</v>
      </c>
      <c r="D85" s="20" t="s">
        <v>34</v>
      </c>
      <c r="E85" s="22">
        <v>77</v>
      </c>
      <c r="F85" s="22">
        <v>1</v>
      </c>
      <c r="G85" s="22"/>
      <c r="H85" s="22" t="s">
        <v>143</v>
      </c>
      <c r="I85" s="23" t="s">
        <v>36</v>
      </c>
      <c r="J85" s="23"/>
      <c r="K85" s="22"/>
      <c r="L85" s="22"/>
      <c r="M85" s="23"/>
      <c r="N85" s="23"/>
      <c r="O85" s="26" t="s">
        <v>247</v>
      </c>
      <c r="P85" s="26"/>
      <c r="Q85" s="26"/>
      <c r="R85" s="22">
        <v>13</v>
      </c>
      <c r="S85" s="24">
        <v>45770</v>
      </c>
      <c r="T85" s="24">
        <v>45775</v>
      </c>
      <c r="U85" s="24">
        <v>45782</v>
      </c>
      <c r="V85" s="24">
        <v>45785</v>
      </c>
      <c r="W85" s="24">
        <v>45791</v>
      </c>
      <c r="X85" s="22" t="s">
        <v>224</v>
      </c>
      <c r="Y85" s="4" t="str">
        <f>IF(Tabela2[[#This Row],[SIGLA]]="","",VLOOKUP(Tabela2[[#This Row],[SIGLA]],Tabela1[[#All],[Sigla Arte]:[Crédito]],2,0))</f>
        <v>ANA KOZUKI/ARQUIVO DA EDITORA</v>
      </c>
      <c r="Z85" s="23"/>
      <c r="AA85" s="23" t="str">
        <f>Tabela2[[#This Row],[ILUSTRADOR CRIAÇÃO]]</f>
        <v>ANA KOZUKI/ARQUIVO DA EDITORA</v>
      </c>
      <c r="AB85" s="22">
        <v>5</v>
      </c>
      <c r="AC85" s="20" t="s">
        <v>225</v>
      </c>
      <c r="AD85" s="20" t="s">
        <v>40</v>
      </c>
      <c r="AE85" s="4" t="str">
        <f t="shared" si="1"/>
        <v>EF1 E002 Ing</v>
      </c>
    </row>
    <row r="86" spans="1:31" s="12" customFormat="1" ht="30" x14ac:dyDescent="0.25">
      <c r="A86" s="23" t="s">
        <v>248</v>
      </c>
      <c r="B86" s="20" t="s">
        <v>56</v>
      </c>
      <c r="C86" s="20" t="s">
        <v>33</v>
      </c>
      <c r="D86" s="20" t="s">
        <v>34</v>
      </c>
      <c r="E86" s="22">
        <v>66</v>
      </c>
      <c r="F86" s="22">
        <v>1</v>
      </c>
      <c r="G86" s="22"/>
      <c r="H86" s="22" t="s">
        <v>249</v>
      </c>
      <c r="I86" s="23" t="s">
        <v>36</v>
      </c>
      <c r="J86" s="23"/>
      <c r="K86" s="22"/>
      <c r="L86" s="22"/>
      <c r="M86" s="23"/>
      <c r="N86" s="23"/>
      <c r="O86" s="26" t="s">
        <v>250</v>
      </c>
      <c r="P86" s="26"/>
      <c r="Q86" s="26" t="s">
        <v>208</v>
      </c>
      <c r="R86" s="22">
        <v>15</v>
      </c>
      <c r="S86" s="24">
        <v>45771</v>
      </c>
      <c r="T86" s="24">
        <v>45772</v>
      </c>
      <c r="U86" s="24">
        <v>45775</v>
      </c>
      <c r="V86" s="24">
        <v>45776</v>
      </c>
      <c r="W86" s="24">
        <v>45777</v>
      </c>
      <c r="X86" s="22" t="s">
        <v>211</v>
      </c>
      <c r="Y86" s="4" t="str">
        <f>IF(Tabela2[[#This Row],[SIGLA]]="","",VLOOKUP(Tabela2[[#This Row],[SIGLA]],Tabela1[[#All],[Sigla Arte]:[Crédito]],2,0))</f>
        <v>KATHARINE FROTA/ARQUIVO DA EDITORA</v>
      </c>
      <c r="Z86" s="23"/>
      <c r="AA86" s="23" t="str">
        <f>Tabela2[[#This Row],[ILUSTRADOR CRIAÇÃO]]</f>
        <v>KATHARINE FROTA/ARQUIVO DA EDITORA</v>
      </c>
      <c r="AB86" s="22">
        <v>8</v>
      </c>
      <c r="AC86" s="20" t="s">
        <v>212</v>
      </c>
      <c r="AD86" s="20" t="s">
        <v>40</v>
      </c>
      <c r="AE86" s="4" t="str">
        <f t="shared" si="1"/>
        <v>EF1 E002 Ing</v>
      </c>
    </row>
    <row r="87" spans="1:31" s="12" customFormat="1" ht="30" x14ac:dyDescent="0.25">
      <c r="A87" s="23" t="s">
        <v>251</v>
      </c>
      <c r="B87" s="20" t="s">
        <v>56</v>
      </c>
      <c r="C87" s="20" t="s">
        <v>33</v>
      </c>
      <c r="D87" s="20" t="s">
        <v>34</v>
      </c>
      <c r="E87" s="22">
        <v>66</v>
      </c>
      <c r="F87" s="22">
        <v>1</v>
      </c>
      <c r="G87" s="22"/>
      <c r="H87" s="22" t="s">
        <v>249</v>
      </c>
      <c r="I87" s="23" t="s">
        <v>36</v>
      </c>
      <c r="J87" s="23"/>
      <c r="K87" s="22"/>
      <c r="L87" s="22"/>
      <c r="M87" s="23"/>
      <c r="N87" s="23"/>
      <c r="O87" s="26" t="s">
        <v>252</v>
      </c>
      <c r="P87" s="26"/>
      <c r="Q87" s="26" t="s">
        <v>208</v>
      </c>
      <c r="R87" s="22">
        <v>15</v>
      </c>
      <c r="S87" s="24">
        <v>45771</v>
      </c>
      <c r="T87" s="24">
        <v>45772</v>
      </c>
      <c r="U87" s="24">
        <v>45775</v>
      </c>
      <c r="V87" s="24">
        <v>45776</v>
      </c>
      <c r="W87" s="24">
        <v>45777</v>
      </c>
      <c r="X87" s="22" t="s">
        <v>211</v>
      </c>
      <c r="Y87" s="4" t="str">
        <f>IF(Tabela2[[#This Row],[SIGLA]]="","",VLOOKUP(Tabela2[[#This Row],[SIGLA]],Tabela1[[#All],[Sigla Arte]:[Crédito]],2,0))</f>
        <v>KATHARINE FROTA/ARQUIVO DA EDITORA</v>
      </c>
      <c r="Z87" s="23"/>
      <c r="AA87" s="23" t="str">
        <f>Tabela2[[#This Row],[ILUSTRADOR CRIAÇÃO]]</f>
        <v>KATHARINE FROTA/ARQUIVO DA EDITORA</v>
      </c>
      <c r="AB87" s="22">
        <v>8</v>
      </c>
      <c r="AC87" s="20" t="s">
        <v>212</v>
      </c>
      <c r="AD87" s="20" t="s">
        <v>40</v>
      </c>
      <c r="AE87" s="4" t="str">
        <f t="shared" si="1"/>
        <v>EF1 E002 Ing</v>
      </c>
    </row>
    <row r="88" spans="1:31" s="12" customFormat="1" ht="30" x14ac:dyDescent="0.25">
      <c r="A88" s="23" t="s">
        <v>253</v>
      </c>
      <c r="B88" s="20" t="s">
        <v>56</v>
      </c>
      <c r="C88" s="20" t="s">
        <v>33</v>
      </c>
      <c r="D88" s="20" t="s">
        <v>34</v>
      </c>
      <c r="E88" s="22">
        <v>66</v>
      </c>
      <c r="F88" s="22">
        <v>1</v>
      </c>
      <c r="G88" s="22"/>
      <c r="H88" s="22" t="s">
        <v>249</v>
      </c>
      <c r="I88" s="23" t="s">
        <v>36</v>
      </c>
      <c r="J88" s="23"/>
      <c r="K88" s="22"/>
      <c r="L88" s="22"/>
      <c r="M88" s="23"/>
      <c r="N88" s="23"/>
      <c r="O88" s="26" t="s">
        <v>254</v>
      </c>
      <c r="P88" s="26"/>
      <c r="Q88" s="26" t="s">
        <v>208</v>
      </c>
      <c r="R88" s="22">
        <v>15</v>
      </c>
      <c r="S88" s="24">
        <v>45771</v>
      </c>
      <c r="T88" s="24">
        <v>45772</v>
      </c>
      <c r="U88" s="24">
        <v>45775</v>
      </c>
      <c r="V88" s="24">
        <v>45776</v>
      </c>
      <c r="W88" s="24">
        <v>45777</v>
      </c>
      <c r="X88" s="22" t="s">
        <v>211</v>
      </c>
      <c r="Y88" s="4" t="str">
        <f>IF(Tabela2[[#This Row],[SIGLA]]="","",VLOOKUP(Tabela2[[#This Row],[SIGLA]],Tabela1[[#All],[Sigla Arte]:[Crédito]],2,0))</f>
        <v>KATHARINE FROTA/ARQUIVO DA EDITORA</v>
      </c>
      <c r="Z88" s="23"/>
      <c r="AA88" s="23" t="str">
        <f>Tabela2[[#This Row],[ILUSTRADOR CRIAÇÃO]]</f>
        <v>KATHARINE FROTA/ARQUIVO DA EDITORA</v>
      </c>
      <c r="AB88" s="22">
        <v>8</v>
      </c>
      <c r="AC88" s="20" t="s">
        <v>212</v>
      </c>
      <c r="AD88" s="20" t="s">
        <v>40</v>
      </c>
      <c r="AE88" s="4" t="str">
        <f t="shared" si="1"/>
        <v>EF1 E002 Ing</v>
      </c>
    </row>
    <row r="89" spans="1:31" s="12" customFormat="1" ht="30" x14ac:dyDescent="0.25">
      <c r="A89" s="23" t="s">
        <v>255</v>
      </c>
      <c r="B89" s="20" t="s">
        <v>56</v>
      </c>
      <c r="C89" s="20" t="s">
        <v>33</v>
      </c>
      <c r="D89" s="20" t="s">
        <v>34</v>
      </c>
      <c r="E89" s="22">
        <v>66</v>
      </c>
      <c r="F89" s="22">
        <v>1</v>
      </c>
      <c r="G89" s="22"/>
      <c r="H89" s="22" t="s">
        <v>249</v>
      </c>
      <c r="I89" s="23" t="s">
        <v>36</v>
      </c>
      <c r="J89" s="23"/>
      <c r="K89" s="22"/>
      <c r="L89" s="22"/>
      <c r="M89" s="23"/>
      <c r="N89" s="23"/>
      <c r="O89" s="26" t="s">
        <v>256</v>
      </c>
      <c r="P89" s="26"/>
      <c r="Q89" s="26" t="s">
        <v>208</v>
      </c>
      <c r="R89" s="22">
        <v>15</v>
      </c>
      <c r="S89" s="24">
        <v>45771</v>
      </c>
      <c r="T89" s="24">
        <v>45772</v>
      </c>
      <c r="U89" s="24">
        <v>45775</v>
      </c>
      <c r="V89" s="24">
        <v>45776</v>
      </c>
      <c r="W89" s="24">
        <v>45777</v>
      </c>
      <c r="X89" s="22" t="s">
        <v>211</v>
      </c>
      <c r="Y89" s="4" t="str">
        <f>IF(Tabela2[[#This Row],[SIGLA]]="","",VLOOKUP(Tabela2[[#This Row],[SIGLA]],Tabela1[[#All],[Sigla Arte]:[Crédito]],2,0))</f>
        <v>KATHARINE FROTA/ARQUIVO DA EDITORA</v>
      </c>
      <c r="Z89" s="23"/>
      <c r="AA89" s="23" t="str">
        <f>Tabela2[[#This Row],[ILUSTRADOR CRIAÇÃO]]</f>
        <v>KATHARINE FROTA/ARQUIVO DA EDITORA</v>
      </c>
      <c r="AB89" s="22">
        <v>8</v>
      </c>
      <c r="AC89" s="20" t="s">
        <v>212</v>
      </c>
      <c r="AD89" s="20" t="s">
        <v>40</v>
      </c>
      <c r="AE89" s="4" t="str">
        <f t="shared" si="1"/>
        <v>EF1 E002 Ing</v>
      </c>
    </row>
    <row r="90" spans="1:31" s="12" customFormat="1" ht="409.5" x14ac:dyDescent="0.25">
      <c r="A90" s="23" t="s">
        <v>257</v>
      </c>
      <c r="B90" s="20" t="s">
        <v>32</v>
      </c>
      <c r="C90" s="20" t="s">
        <v>33</v>
      </c>
      <c r="D90" s="20" t="s">
        <v>34</v>
      </c>
      <c r="E90" s="22">
        <v>11</v>
      </c>
      <c r="F90" s="22">
        <v>3</v>
      </c>
      <c r="G90" s="22"/>
      <c r="H90" s="22" t="s">
        <v>42</v>
      </c>
      <c r="I90" s="23" t="s">
        <v>36</v>
      </c>
      <c r="J90" s="23"/>
      <c r="K90" s="22"/>
      <c r="L90" s="22"/>
      <c r="M90" s="23"/>
      <c r="N90" s="23"/>
      <c r="O90" s="26" t="s">
        <v>258</v>
      </c>
      <c r="P90" s="26"/>
      <c r="Q90" s="26"/>
      <c r="R90" s="22">
        <v>16</v>
      </c>
      <c r="S90" s="24">
        <v>45771</v>
      </c>
      <c r="T90" s="24">
        <v>45776</v>
      </c>
      <c r="U90" s="24">
        <v>45782</v>
      </c>
      <c r="V90" s="24">
        <v>45785</v>
      </c>
      <c r="W90" s="24">
        <v>45790</v>
      </c>
      <c r="X90" s="22" t="s">
        <v>259</v>
      </c>
      <c r="Y90" s="4" t="str">
        <f>IF(Tabela2[[#This Row],[SIGLA]]="","",VLOOKUP(Tabela2[[#This Row],[SIGLA]],Tabela1[[#All],[Sigla Arte]:[Crédito]],2,0))</f>
        <v>CAMILA CARMONA/ARQUIVO DA EDITORA</v>
      </c>
      <c r="Z90" s="23"/>
      <c r="AA90" s="23" t="str">
        <f>Tabela2[[#This Row],[ILUSTRADOR CRIAÇÃO]]</f>
        <v>CAMILA CARMONA/ARQUIVO DA EDITORA</v>
      </c>
      <c r="AB90" s="22">
        <v>3</v>
      </c>
      <c r="AC90" s="20" t="s">
        <v>221</v>
      </c>
      <c r="AD90" s="20" t="s">
        <v>40</v>
      </c>
      <c r="AE90" s="4" t="str">
        <f t="shared" si="1"/>
        <v>EF1 E002 Ing</v>
      </c>
    </row>
    <row r="91" spans="1:31" s="12" customFormat="1" ht="75" x14ac:dyDescent="0.25">
      <c r="A91" s="23" t="s">
        <v>260</v>
      </c>
      <c r="B91" s="20" t="s">
        <v>32</v>
      </c>
      <c r="C91" s="20" t="s">
        <v>33</v>
      </c>
      <c r="D91" s="20" t="s">
        <v>34</v>
      </c>
      <c r="E91" s="22">
        <v>16</v>
      </c>
      <c r="F91" s="22">
        <v>3</v>
      </c>
      <c r="G91" s="22">
        <v>1</v>
      </c>
      <c r="H91" s="22"/>
      <c r="I91" s="23" t="s">
        <v>36</v>
      </c>
      <c r="J91" s="23"/>
      <c r="K91" s="22"/>
      <c r="L91" s="22"/>
      <c r="M91" s="23"/>
      <c r="N91" s="23"/>
      <c r="O91" s="26" t="s">
        <v>261</v>
      </c>
      <c r="P91" s="26"/>
      <c r="Q91" s="26"/>
      <c r="R91" s="22">
        <v>17</v>
      </c>
      <c r="S91" s="24">
        <v>45790</v>
      </c>
      <c r="T91" s="24">
        <v>45791</v>
      </c>
      <c r="U91" s="24">
        <v>45796</v>
      </c>
      <c r="V91" s="24">
        <v>45799</v>
      </c>
      <c r="W91" s="24">
        <v>45803</v>
      </c>
      <c r="X91" s="22" t="s">
        <v>224</v>
      </c>
      <c r="Y91" s="4" t="str">
        <f>IF(Tabela2[[#This Row],[SIGLA]]="","",VLOOKUP(Tabela2[[#This Row],[SIGLA]],Tabela1[[#All],[Sigla Arte]:[Crédito]],2,0))</f>
        <v>ANA KOZUKI/ARQUIVO DA EDITORA</v>
      </c>
      <c r="Z91" s="23"/>
      <c r="AA91" s="23" t="str">
        <f>Tabela2[[#This Row],[ILUSTRADOR CRIAÇÃO]]</f>
        <v>ANA KOZUKI/ARQUIVO DA EDITORA</v>
      </c>
      <c r="AB91" s="22">
        <v>5</v>
      </c>
      <c r="AC91" s="20" t="s">
        <v>262</v>
      </c>
      <c r="AD91" s="20" t="s">
        <v>40</v>
      </c>
      <c r="AE91" s="4" t="str">
        <f t="shared" si="1"/>
        <v>EF1 E002 Ing</v>
      </c>
    </row>
    <row r="92" spans="1:31" s="12" customFormat="1" ht="90" x14ac:dyDescent="0.25">
      <c r="A92" s="23" t="s">
        <v>263</v>
      </c>
      <c r="B92" s="20" t="s">
        <v>32</v>
      </c>
      <c r="C92" s="20" t="s">
        <v>33</v>
      </c>
      <c r="D92" s="20" t="s">
        <v>34</v>
      </c>
      <c r="E92" s="22">
        <v>16</v>
      </c>
      <c r="F92" s="22">
        <v>3</v>
      </c>
      <c r="G92" s="22">
        <v>1</v>
      </c>
      <c r="H92" s="22"/>
      <c r="I92" s="23" t="s">
        <v>36</v>
      </c>
      <c r="J92" s="23"/>
      <c r="K92" s="22"/>
      <c r="L92" s="22"/>
      <c r="M92" s="23"/>
      <c r="N92" s="23"/>
      <c r="O92" s="26" t="s">
        <v>264</v>
      </c>
      <c r="P92" s="26"/>
      <c r="Q92" s="26"/>
      <c r="R92" s="22">
        <v>17</v>
      </c>
      <c r="S92" s="24">
        <v>45790</v>
      </c>
      <c r="T92" s="24">
        <v>45791</v>
      </c>
      <c r="U92" s="24">
        <v>45796</v>
      </c>
      <c r="V92" s="24">
        <v>45799</v>
      </c>
      <c r="W92" s="24">
        <v>45803</v>
      </c>
      <c r="X92" s="22" t="s">
        <v>224</v>
      </c>
      <c r="Y92" s="4" t="str">
        <f>IF(Tabela2[[#This Row],[SIGLA]]="","",VLOOKUP(Tabela2[[#This Row],[SIGLA]],Tabela1[[#All],[Sigla Arte]:[Crédito]],2,0))</f>
        <v>ANA KOZUKI/ARQUIVO DA EDITORA</v>
      </c>
      <c r="Z92" s="23"/>
      <c r="AA92" s="23" t="str">
        <f>Tabela2[[#This Row],[ILUSTRADOR CRIAÇÃO]]</f>
        <v>ANA KOZUKI/ARQUIVO DA EDITORA</v>
      </c>
      <c r="AB92" s="22">
        <v>5</v>
      </c>
      <c r="AC92" s="20" t="s">
        <v>262</v>
      </c>
      <c r="AD92" s="20" t="s">
        <v>40</v>
      </c>
      <c r="AE92" s="4" t="str">
        <f t="shared" si="1"/>
        <v>EF1 E002 Ing</v>
      </c>
    </row>
    <row r="93" spans="1:31" s="12" customFormat="1" ht="90" x14ac:dyDescent="0.25">
      <c r="A93" s="23" t="s">
        <v>265</v>
      </c>
      <c r="B93" s="20" t="s">
        <v>32</v>
      </c>
      <c r="C93" s="20" t="s">
        <v>33</v>
      </c>
      <c r="D93" s="20" t="s">
        <v>34</v>
      </c>
      <c r="E93" s="22">
        <v>16</v>
      </c>
      <c r="F93" s="22">
        <v>3</v>
      </c>
      <c r="G93" s="22">
        <v>1</v>
      </c>
      <c r="H93" s="22"/>
      <c r="I93" s="23" t="s">
        <v>36</v>
      </c>
      <c r="J93" s="23"/>
      <c r="K93" s="22"/>
      <c r="L93" s="22"/>
      <c r="M93" s="23"/>
      <c r="N93" s="23"/>
      <c r="O93" s="26" t="s">
        <v>266</v>
      </c>
      <c r="P93" s="26"/>
      <c r="Q93" s="26"/>
      <c r="R93" s="22">
        <v>17</v>
      </c>
      <c r="S93" s="24">
        <v>45790</v>
      </c>
      <c r="T93" s="24">
        <v>45791</v>
      </c>
      <c r="U93" s="24">
        <v>45796</v>
      </c>
      <c r="V93" s="24">
        <v>45799</v>
      </c>
      <c r="W93" s="24">
        <v>45803</v>
      </c>
      <c r="X93" s="22" t="s">
        <v>224</v>
      </c>
      <c r="Y93" s="4" t="str">
        <f>IF(Tabela2[[#This Row],[SIGLA]]="","",VLOOKUP(Tabela2[[#This Row],[SIGLA]],Tabela1[[#All],[Sigla Arte]:[Crédito]],2,0))</f>
        <v>ANA KOZUKI/ARQUIVO DA EDITORA</v>
      </c>
      <c r="Z93" s="23"/>
      <c r="AA93" s="23" t="str">
        <f>Tabela2[[#This Row],[ILUSTRADOR CRIAÇÃO]]</f>
        <v>ANA KOZUKI/ARQUIVO DA EDITORA</v>
      </c>
      <c r="AB93" s="22">
        <v>5</v>
      </c>
      <c r="AC93" s="20" t="s">
        <v>262</v>
      </c>
      <c r="AD93" s="20" t="s">
        <v>40</v>
      </c>
      <c r="AE93" s="4" t="str">
        <f t="shared" si="1"/>
        <v>EF1 E002 Ing</v>
      </c>
    </row>
    <row r="94" spans="1:31" s="12" customFormat="1" ht="90" x14ac:dyDescent="0.25">
      <c r="A94" s="23" t="s">
        <v>267</v>
      </c>
      <c r="B94" s="20" t="s">
        <v>32</v>
      </c>
      <c r="C94" s="20" t="s">
        <v>33</v>
      </c>
      <c r="D94" s="20" t="s">
        <v>34</v>
      </c>
      <c r="E94" s="22">
        <v>16</v>
      </c>
      <c r="F94" s="22">
        <v>3</v>
      </c>
      <c r="G94" s="22">
        <v>1</v>
      </c>
      <c r="H94" s="22"/>
      <c r="I94" s="23" t="s">
        <v>36</v>
      </c>
      <c r="J94" s="23"/>
      <c r="K94" s="22"/>
      <c r="L94" s="22"/>
      <c r="M94" s="23"/>
      <c r="N94" s="23"/>
      <c r="O94" s="26" t="s">
        <v>268</v>
      </c>
      <c r="P94" s="26"/>
      <c r="Q94" s="26"/>
      <c r="R94" s="22">
        <v>17</v>
      </c>
      <c r="S94" s="24">
        <v>45790</v>
      </c>
      <c r="T94" s="24">
        <v>45791</v>
      </c>
      <c r="U94" s="24">
        <v>45796</v>
      </c>
      <c r="V94" s="24">
        <v>45799</v>
      </c>
      <c r="W94" s="24">
        <v>45803</v>
      </c>
      <c r="X94" s="22" t="s">
        <v>224</v>
      </c>
      <c r="Y94" s="4" t="str">
        <f>IF(Tabela2[[#This Row],[SIGLA]]="","",VLOOKUP(Tabela2[[#This Row],[SIGLA]],Tabela1[[#All],[Sigla Arte]:[Crédito]],2,0))</f>
        <v>ANA KOZUKI/ARQUIVO DA EDITORA</v>
      </c>
      <c r="Z94" s="23"/>
      <c r="AA94" s="23" t="str">
        <f>Tabela2[[#This Row],[ILUSTRADOR CRIAÇÃO]]</f>
        <v>ANA KOZUKI/ARQUIVO DA EDITORA</v>
      </c>
      <c r="AB94" s="22">
        <v>5</v>
      </c>
      <c r="AC94" s="20" t="s">
        <v>262</v>
      </c>
      <c r="AD94" s="20" t="s">
        <v>40</v>
      </c>
      <c r="AE94" s="4" t="str">
        <f t="shared" si="1"/>
        <v>EF1 E002 Ing</v>
      </c>
    </row>
    <row r="95" spans="1:31" s="12" customFormat="1" ht="90" x14ac:dyDescent="0.25">
      <c r="A95" s="23" t="s">
        <v>269</v>
      </c>
      <c r="B95" s="20" t="s">
        <v>32</v>
      </c>
      <c r="C95" s="20" t="s">
        <v>33</v>
      </c>
      <c r="D95" s="20" t="s">
        <v>34</v>
      </c>
      <c r="E95" s="22">
        <v>17</v>
      </c>
      <c r="F95" s="22">
        <v>3</v>
      </c>
      <c r="G95" s="22">
        <v>1</v>
      </c>
      <c r="H95" s="22"/>
      <c r="I95" s="23" t="s">
        <v>36</v>
      </c>
      <c r="J95" s="23"/>
      <c r="K95" s="22"/>
      <c r="L95" s="22"/>
      <c r="M95" s="23"/>
      <c r="N95" s="23"/>
      <c r="O95" s="26" t="s">
        <v>270</v>
      </c>
      <c r="P95" s="26"/>
      <c r="Q95" s="26"/>
      <c r="R95" s="22">
        <v>17</v>
      </c>
      <c r="S95" s="24">
        <v>45790</v>
      </c>
      <c r="T95" s="24">
        <v>45791</v>
      </c>
      <c r="U95" s="24">
        <v>45796</v>
      </c>
      <c r="V95" s="24">
        <v>45799</v>
      </c>
      <c r="W95" s="24">
        <v>45803</v>
      </c>
      <c r="X95" s="22" t="s">
        <v>224</v>
      </c>
      <c r="Y95" s="4" t="str">
        <f>IF(Tabela2[[#This Row],[SIGLA]]="","",VLOOKUP(Tabela2[[#This Row],[SIGLA]],Tabela1[[#All],[Sigla Arte]:[Crédito]],2,0))</f>
        <v>ANA KOZUKI/ARQUIVO DA EDITORA</v>
      </c>
      <c r="Z95" s="23"/>
      <c r="AA95" s="23" t="str">
        <f>Tabela2[[#This Row],[ILUSTRADOR CRIAÇÃO]]</f>
        <v>ANA KOZUKI/ARQUIVO DA EDITORA</v>
      </c>
      <c r="AB95" s="22">
        <v>5</v>
      </c>
      <c r="AC95" s="20" t="s">
        <v>262</v>
      </c>
      <c r="AD95" s="20" t="s">
        <v>40</v>
      </c>
      <c r="AE95" s="4" t="str">
        <f t="shared" si="1"/>
        <v>EF1 E002 Ing</v>
      </c>
    </row>
    <row r="96" spans="1:31" s="12" customFormat="1" ht="75" x14ac:dyDescent="0.25">
      <c r="A96" s="23" t="s">
        <v>271</v>
      </c>
      <c r="B96" s="20" t="s">
        <v>32</v>
      </c>
      <c r="C96" s="20" t="s">
        <v>33</v>
      </c>
      <c r="D96" s="20" t="s">
        <v>34</v>
      </c>
      <c r="E96" s="22">
        <v>17</v>
      </c>
      <c r="F96" s="22">
        <v>3</v>
      </c>
      <c r="G96" s="22">
        <v>1</v>
      </c>
      <c r="H96" s="22"/>
      <c r="I96" s="23" t="s">
        <v>36</v>
      </c>
      <c r="J96" s="23"/>
      <c r="K96" s="22"/>
      <c r="L96" s="22"/>
      <c r="M96" s="23"/>
      <c r="N96" s="23"/>
      <c r="O96" s="26" t="s">
        <v>272</v>
      </c>
      <c r="P96" s="26"/>
      <c r="Q96" s="26"/>
      <c r="R96" s="22">
        <v>17</v>
      </c>
      <c r="S96" s="24">
        <v>45790</v>
      </c>
      <c r="T96" s="24">
        <v>45791</v>
      </c>
      <c r="U96" s="24">
        <v>45796</v>
      </c>
      <c r="V96" s="24">
        <v>45799</v>
      </c>
      <c r="W96" s="24">
        <v>45803</v>
      </c>
      <c r="X96" s="22" t="s">
        <v>224</v>
      </c>
      <c r="Y96" s="4" t="str">
        <f>IF(Tabela2[[#This Row],[SIGLA]]="","",VLOOKUP(Tabela2[[#This Row],[SIGLA]],Tabela1[[#All],[Sigla Arte]:[Crédito]],2,0))</f>
        <v>ANA KOZUKI/ARQUIVO DA EDITORA</v>
      </c>
      <c r="Z96" s="23"/>
      <c r="AA96" s="23" t="str">
        <f>Tabela2[[#This Row],[ILUSTRADOR CRIAÇÃO]]</f>
        <v>ANA KOZUKI/ARQUIVO DA EDITORA</v>
      </c>
      <c r="AB96" s="22">
        <v>5</v>
      </c>
      <c r="AC96" s="20" t="s">
        <v>262</v>
      </c>
      <c r="AD96" s="20" t="s">
        <v>40</v>
      </c>
      <c r="AE96" s="4" t="str">
        <f t="shared" si="1"/>
        <v>EF1 E002 Ing</v>
      </c>
    </row>
    <row r="97" spans="1:31" s="12" customFormat="1" ht="75" x14ac:dyDescent="0.25">
      <c r="A97" s="23" t="s">
        <v>273</v>
      </c>
      <c r="B97" s="20" t="s">
        <v>32</v>
      </c>
      <c r="C97" s="20" t="s">
        <v>33</v>
      </c>
      <c r="D97" s="20" t="s">
        <v>34</v>
      </c>
      <c r="E97" s="22">
        <v>17</v>
      </c>
      <c r="F97" s="22">
        <v>3</v>
      </c>
      <c r="G97" s="22">
        <v>1</v>
      </c>
      <c r="H97" s="22"/>
      <c r="I97" s="23" t="s">
        <v>36</v>
      </c>
      <c r="J97" s="23"/>
      <c r="K97" s="22"/>
      <c r="L97" s="22"/>
      <c r="M97" s="23"/>
      <c r="N97" s="23"/>
      <c r="O97" s="26" t="s">
        <v>274</v>
      </c>
      <c r="P97" s="26"/>
      <c r="Q97" s="26"/>
      <c r="R97" s="22">
        <v>17</v>
      </c>
      <c r="S97" s="24">
        <v>45790</v>
      </c>
      <c r="T97" s="24">
        <v>45791</v>
      </c>
      <c r="U97" s="24">
        <v>45796</v>
      </c>
      <c r="V97" s="24">
        <v>45799</v>
      </c>
      <c r="W97" s="24">
        <v>45803</v>
      </c>
      <c r="X97" s="22" t="s">
        <v>224</v>
      </c>
      <c r="Y97" s="4" t="str">
        <f>IF(Tabela2[[#This Row],[SIGLA]]="","",VLOOKUP(Tabela2[[#This Row],[SIGLA]],Tabela1[[#All],[Sigla Arte]:[Crédito]],2,0))</f>
        <v>ANA KOZUKI/ARQUIVO DA EDITORA</v>
      </c>
      <c r="Z97" s="23"/>
      <c r="AA97" s="23" t="str">
        <f>Tabela2[[#This Row],[ILUSTRADOR CRIAÇÃO]]</f>
        <v>ANA KOZUKI/ARQUIVO DA EDITORA</v>
      </c>
      <c r="AB97" s="22">
        <v>5</v>
      </c>
      <c r="AC97" s="20" t="s">
        <v>262</v>
      </c>
      <c r="AD97" s="20" t="s">
        <v>40</v>
      </c>
      <c r="AE97" s="4" t="str">
        <f t="shared" si="1"/>
        <v>EF1 E002 Ing</v>
      </c>
    </row>
    <row r="98" spans="1:31" s="12" customFormat="1" ht="75" x14ac:dyDescent="0.25">
      <c r="A98" s="23" t="s">
        <v>275</v>
      </c>
      <c r="B98" s="20" t="s">
        <v>32</v>
      </c>
      <c r="C98" s="20" t="s">
        <v>33</v>
      </c>
      <c r="D98" s="20" t="s">
        <v>34</v>
      </c>
      <c r="E98" s="22">
        <v>17</v>
      </c>
      <c r="F98" s="22">
        <v>3</v>
      </c>
      <c r="G98" s="22">
        <v>1</v>
      </c>
      <c r="H98" s="22"/>
      <c r="I98" s="23" t="s">
        <v>36</v>
      </c>
      <c r="J98" s="23"/>
      <c r="K98" s="22"/>
      <c r="L98" s="22"/>
      <c r="M98" s="23"/>
      <c r="N98" s="23"/>
      <c r="O98" s="26" t="s">
        <v>276</v>
      </c>
      <c r="P98" s="26"/>
      <c r="Q98" s="26"/>
      <c r="R98" s="22">
        <v>17</v>
      </c>
      <c r="S98" s="24">
        <v>45790</v>
      </c>
      <c r="T98" s="24">
        <v>45791</v>
      </c>
      <c r="U98" s="24">
        <v>45796</v>
      </c>
      <c r="V98" s="24">
        <v>45799</v>
      </c>
      <c r="W98" s="24">
        <v>45803</v>
      </c>
      <c r="X98" s="22" t="s">
        <v>224</v>
      </c>
      <c r="Y98" s="4" t="str">
        <f>IF(Tabela2[[#This Row],[SIGLA]]="","",VLOOKUP(Tabela2[[#This Row],[SIGLA]],Tabela1[[#All],[Sigla Arte]:[Crédito]],2,0))</f>
        <v>ANA KOZUKI/ARQUIVO DA EDITORA</v>
      </c>
      <c r="Z98" s="23"/>
      <c r="AA98" s="23" t="str">
        <f>Tabela2[[#This Row],[ILUSTRADOR CRIAÇÃO]]</f>
        <v>ANA KOZUKI/ARQUIVO DA EDITORA</v>
      </c>
      <c r="AB98" s="22">
        <v>5</v>
      </c>
      <c r="AC98" s="20" t="s">
        <v>262</v>
      </c>
      <c r="AD98" s="20" t="s">
        <v>40</v>
      </c>
      <c r="AE98" s="4" t="str">
        <f t="shared" si="1"/>
        <v>EF1 E002 Ing</v>
      </c>
    </row>
    <row r="99" spans="1:31" s="12" customFormat="1" ht="240" x14ac:dyDescent="0.25">
      <c r="A99" s="23" t="s">
        <v>277</v>
      </c>
      <c r="B99" s="20" t="s">
        <v>32</v>
      </c>
      <c r="C99" s="20" t="s">
        <v>33</v>
      </c>
      <c r="D99" s="20" t="s">
        <v>34</v>
      </c>
      <c r="E99" s="22">
        <v>19</v>
      </c>
      <c r="F99" s="22">
        <v>3</v>
      </c>
      <c r="G99" s="22">
        <v>1</v>
      </c>
      <c r="H99" s="22"/>
      <c r="I99" s="23" t="s">
        <v>36</v>
      </c>
      <c r="J99" s="23"/>
      <c r="K99" s="22"/>
      <c r="L99" s="22"/>
      <c r="M99" s="23"/>
      <c r="N99" s="23"/>
      <c r="O99" s="26" t="s">
        <v>278</v>
      </c>
      <c r="P99" s="26"/>
      <c r="Q99" s="26"/>
      <c r="R99" s="22">
        <v>17</v>
      </c>
      <c r="S99" s="24">
        <v>45790</v>
      </c>
      <c r="T99" s="24">
        <v>45791</v>
      </c>
      <c r="U99" s="24">
        <v>45796</v>
      </c>
      <c r="V99" s="24">
        <v>45799</v>
      </c>
      <c r="W99" s="24">
        <v>45803</v>
      </c>
      <c r="X99" s="22" t="s">
        <v>224</v>
      </c>
      <c r="Y99" s="4" t="str">
        <f>IF(Tabela2[[#This Row],[SIGLA]]="","",VLOOKUP(Tabela2[[#This Row],[SIGLA]],Tabela1[[#All],[Sigla Arte]:[Crédito]],2,0))</f>
        <v>ANA KOZUKI/ARQUIVO DA EDITORA</v>
      </c>
      <c r="Z99" s="23"/>
      <c r="AA99" s="23" t="str">
        <f>Tabela2[[#This Row],[ILUSTRADOR CRIAÇÃO]]</f>
        <v>ANA KOZUKI/ARQUIVO DA EDITORA</v>
      </c>
      <c r="AB99" s="22">
        <v>7</v>
      </c>
      <c r="AC99" s="20" t="s">
        <v>262</v>
      </c>
      <c r="AD99" s="20" t="s">
        <v>40</v>
      </c>
      <c r="AE99" s="4" t="str">
        <f t="shared" si="1"/>
        <v>EF1 E002 Ing</v>
      </c>
    </row>
    <row r="100" spans="1:31" s="12" customFormat="1" ht="105" x14ac:dyDescent="0.25">
      <c r="A100" s="23" t="s">
        <v>279</v>
      </c>
      <c r="B100" s="20" t="s">
        <v>32</v>
      </c>
      <c r="C100" s="20" t="s">
        <v>33</v>
      </c>
      <c r="D100" s="20" t="s">
        <v>34</v>
      </c>
      <c r="E100" s="22">
        <v>20</v>
      </c>
      <c r="F100" s="22">
        <v>3</v>
      </c>
      <c r="G100" s="22">
        <v>1</v>
      </c>
      <c r="H100" s="22"/>
      <c r="I100" s="23" t="s">
        <v>36</v>
      </c>
      <c r="J100" s="23"/>
      <c r="K100" s="22"/>
      <c r="L100" s="22"/>
      <c r="M100" s="23"/>
      <c r="N100" s="23"/>
      <c r="O100" s="26" t="s">
        <v>280</v>
      </c>
      <c r="P100" s="26"/>
      <c r="Q100" s="26"/>
      <c r="R100" s="22">
        <v>17</v>
      </c>
      <c r="S100" s="24">
        <v>45790</v>
      </c>
      <c r="T100" s="24">
        <v>45791</v>
      </c>
      <c r="U100" s="24">
        <v>45801</v>
      </c>
      <c r="V100" s="24">
        <v>45806</v>
      </c>
      <c r="W100" s="24">
        <v>45807</v>
      </c>
      <c r="X100" s="22" t="s">
        <v>54</v>
      </c>
      <c r="Y100" s="4" t="str">
        <f>IF(Tabela2[[#This Row],[SIGLA]]="","",VLOOKUP(Tabela2[[#This Row],[SIGLA]],Tabela1[[#All],[Sigla Arte]:[Crédito]],2,0))</f>
        <v>RAYANNE CARDOSO/ARQUIVO DA EDITORA</v>
      </c>
      <c r="Z100" s="23"/>
      <c r="AA100" s="23" t="str">
        <f>Tabela2[[#This Row],[ILUSTRADOR CRIAÇÃO]]</f>
        <v>RAYANNE CARDOSO/ARQUIVO DA EDITORA</v>
      </c>
      <c r="AB100" s="22">
        <v>7</v>
      </c>
      <c r="AC100" s="20" t="s">
        <v>281</v>
      </c>
      <c r="AD100" s="20" t="s">
        <v>40</v>
      </c>
      <c r="AE100" s="4" t="str">
        <f t="shared" si="1"/>
        <v>EF1 E002 Ing</v>
      </c>
    </row>
    <row r="101" spans="1:31" s="12" customFormat="1" ht="75" x14ac:dyDescent="0.25">
      <c r="A101" s="23" t="s">
        <v>282</v>
      </c>
      <c r="B101" s="20" t="s">
        <v>56</v>
      </c>
      <c r="C101" s="20" t="s">
        <v>33</v>
      </c>
      <c r="D101" s="20" t="s">
        <v>34</v>
      </c>
      <c r="E101" s="22">
        <v>20</v>
      </c>
      <c r="F101" s="22">
        <v>3</v>
      </c>
      <c r="G101" s="22">
        <v>1</v>
      </c>
      <c r="H101" s="22"/>
      <c r="I101" s="23" t="s">
        <v>36</v>
      </c>
      <c r="J101" s="23"/>
      <c r="K101" s="22"/>
      <c r="L101" s="22"/>
      <c r="M101" s="23"/>
      <c r="N101" s="23"/>
      <c r="O101" s="26" t="s">
        <v>283</v>
      </c>
      <c r="P101" s="26"/>
      <c r="Q101" s="26"/>
      <c r="R101" s="22">
        <v>17</v>
      </c>
      <c r="S101" s="24">
        <v>45790</v>
      </c>
      <c r="T101" s="24"/>
      <c r="U101" s="24"/>
      <c r="V101" s="24"/>
      <c r="W101" s="24"/>
      <c r="X101" s="22"/>
      <c r="Y101" s="4" t="str">
        <f>IF(Tabela2[[#This Row],[SIGLA]]="","",VLOOKUP(Tabela2[[#This Row],[SIGLA]],Tabela1[[#All],[Sigla Arte]:[Crédito]],2,0))</f>
        <v/>
      </c>
      <c r="Z101" s="23"/>
      <c r="AA101" s="23" t="str">
        <f>Tabela2[[#This Row],[ILUSTRADOR CRIAÇÃO]]</f>
        <v/>
      </c>
      <c r="AB101" s="22"/>
      <c r="AC101" s="20"/>
      <c r="AD101" s="20"/>
      <c r="AE101" s="4" t="str">
        <f t="shared" si="1"/>
        <v>EF1 E002 Ing</v>
      </c>
    </row>
    <row r="102" spans="1:31" s="12" customFormat="1" ht="90" x14ac:dyDescent="0.25">
      <c r="A102" s="23" t="s">
        <v>284</v>
      </c>
      <c r="B102" s="20" t="s">
        <v>56</v>
      </c>
      <c r="C102" s="20" t="s">
        <v>33</v>
      </c>
      <c r="D102" s="20" t="s">
        <v>34</v>
      </c>
      <c r="E102" s="22">
        <v>20</v>
      </c>
      <c r="F102" s="22">
        <v>3</v>
      </c>
      <c r="G102" s="22">
        <v>1</v>
      </c>
      <c r="H102" s="22"/>
      <c r="I102" s="23" t="s">
        <v>36</v>
      </c>
      <c r="J102" s="23"/>
      <c r="K102" s="22"/>
      <c r="L102" s="22"/>
      <c r="M102" s="23"/>
      <c r="N102" s="23"/>
      <c r="O102" s="26" t="s">
        <v>285</v>
      </c>
      <c r="P102" s="26"/>
      <c r="Q102" s="26"/>
      <c r="R102" s="22">
        <v>17</v>
      </c>
      <c r="S102" s="24">
        <v>45790</v>
      </c>
      <c r="T102" s="24"/>
      <c r="U102" s="24"/>
      <c r="V102" s="24"/>
      <c r="W102" s="24"/>
      <c r="X102" s="22"/>
      <c r="Y102" s="4" t="str">
        <f>IF(Tabela2[[#This Row],[SIGLA]]="","",VLOOKUP(Tabela2[[#This Row],[SIGLA]],Tabela1[[#All],[Sigla Arte]:[Crédito]],2,0))</f>
        <v/>
      </c>
      <c r="Z102" s="23"/>
      <c r="AA102" s="23" t="str">
        <f>Tabela2[[#This Row],[ILUSTRADOR CRIAÇÃO]]</f>
        <v/>
      </c>
      <c r="AB102" s="22"/>
      <c r="AC102" s="20"/>
      <c r="AD102" s="20"/>
      <c r="AE102" s="4" t="str">
        <f t="shared" si="1"/>
        <v>EF1 E002 Ing</v>
      </c>
    </row>
    <row r="103" spans="1:31" s="12" customFormat="1" ht="135" x14ac:dyDescent="0.25">
      <c r="A103" s="23" t="s">
        <v>286</v>
      </c>
      <c r="B103" s="20" t="s">
        <v>56</v>
      </c>
      <c r="C103" s="20" t="s">
        <v>33</v>
      </c>
      <c r="D103" s="20" t="s">
        <v>34</v>
      </c>
      <c r="E103" s="22">
        <v>20</v>
      </c>
      <c r="F103" s="22">
        <v>3</v>
      </c>
      <c r="G103" s="22">
        <v>1</v>
      </c>
      <c r="H103" s="22"/>
      <c r="I103" s="23" t="s">
        <v>36</v>
      </c>
      <c r="J103" s="23"/>
      <c r="K103" s="22"/>
      <c r="L103" s="22"/>
      <c r="M103" s="23"/>
      <c r="N103" s="23"/>
      <c r="O103" s="26" t="s">
        <v>287</v>
      </c>
      <c r="P103" s="26"/>
      <c r="Q103" s="26"/>
      <c r="R103" s="22">
        <v>17</v>
      </c>
      <c r="S103" s="24">
        <v>45790</v>
      </c>
      <c r="T103" s="24"/>
      <c r="U103" s="24"/>
      <c r="V103" s="24"/>
      <c r="W103" s="24"/>
      <c r="X103" s="22"/>
      <c r="Y103" s="4" t="str">
        <f>IF(Tabela2[[#This Row],[SIGLA]]="","",VLOOKUP(Tabela2[[#This Row],[SIGLA]],Tabela1[[#All],[Sigla Arte]:[Crédito]],2,0))</f>
        <v/>
      </c>
      <c r="Z103" s="23"/>
      <c r="AA103" s="23" t="str">
        <f>Tabela2[[#This Row],[ILUSTRADOR CRIAÇÃO]]</f>
        <v/>
      </c>
      <c r="AB103" s="22"/>
      <c r="AC103" s="20"/>
      <c r="AD103" s="20"/>
      <c r="AE103" s="4" t="str">
        <f t="shared" si="1"/>
        <v>EF1 E002 Ing</v>
      </c>
    </row>
    <row r="104" spans="1:31" s="12" customFormat="1" ht="150" x14ac:dyDescent="0.25">
      <c r="A104" s="23" t="s">
        <v>288</v>
      </c>
      <c r="B104" s="20" t="s">
        <v>32</v>
      </c>
      <c r="C104" s="20" t="s">
        <v>33</v>
      </c>
      <c r="D104" s="20" t="s">
        <v>34</v>
      </c>
      <c r="E104" s="22">
        <v>21</v>
      </c>
      <c r="F104" s="22">
        <v>3</v>
      </c>
      <c r="G104" s="22">
        <v>1</v>
      </c>
      <c r="H104" s="22"/>
      <c r="I104" s="23" t="s">
        <v>36</v>
      </c>
      <c r="J104" s="23"/>
      <c r="K104" s="22"/>
      <c r="L104" s="22"/>
      <c r="M104" s="23"/>
      <c r="N104" s="23"/>
      <c r="O104" s="26" t="s">
        <v>289</v>
      </c>
      <c r="P104" s="26"/>
      <c r="Q104" s="26"/>
      <c r="R104" s="22">
        <v>17</v>
      </c>
      <c r="S104" s="24">
        <v>45790</v>
      </c>
      <c r="T104" s="24">
        <v>45791</v>
      </c>
      <c r="U104" s="24">
        <v>45801</v>
      </c>
      <c r="V104" s="24">
        <v>45806</v>
      </c>
      <c r="W104" s="24">
        <v>45807</v>
      </c>
      <c r="X104" s="22" t="s">
        <v>54</v>
      </c>
      <c r="Y104" s="4" t="str">
        <f>IF(Tabela2[[#This Row],[SIGLA]]="","",VLOOKUP(Tabela2[[#This Row],[SIGLA]],Tabela1[[#All],[Sigla Arte]:[Crédito]],2,0))</f>
        <v>RAYANNE CARDOSO/ARQUIVO DA EDITORA</v>
      </c>
      <c r="Z104" s="23"/>
      <c r="AA104" s="23" t="str">
        <f>Tabela2[[#This Row],[ILUSTRADOR CRIAÇÃO]]</f>
        <v>RAYANNE CARDOSO/ARQUIVO DA EDITORA</v>
      </c>
      <c r="AB104" s="22">
        <v>5</v>
      </c>
      <c r="AC104" s="20" t="s">
        <v>281</v>
      </c>
      <c r="AD104" s="20" t="s">
        <v>40</v>
      </c>
      <c r="AE104" s="4" t="str">
        <f t="shared" si="1"/>
        <v>EF1 E002 Ing</v>
      </c>
    </row>
    <row r="105" spans="1:31" s="12" customFormat="1" ht="60" x14ac:dyDescent="0.25">
      <c r="A105" s="23" t="s">
        <v>290</v>
      </c>
      <c r="B105" s="20" t="s">
        <v>32</v>
      </c>
      <c r="C105" s="20" t="s">
        <v>33</v>
      </c>
      <c r="D105" s="20" t="s">
        <v>34</v>
      </c>
      <c r="E105" s="22">
        <v>27</v>
      </c>
      <c r="F105" s="22">
        <v>3</v>
      </c>
      <c r="G105" s="22">
        <v>2</v>
      </c>
      <c r="H105" s="22"/>
      <c r="I105" s="23" t="s">
        <v>36</v>
      </c>
      <c r="J105" s="23"/>
      <c r="K105" s="22"/>
      <c r="L105" s="22"/>
      <c r="M105" s="23"/>
      <c r="N105" s="23"/>
      <c r="O105" s="26" t="s">
        <v>291</v>
      </c>
      <c r="P105" s="26"/>
      <c r="Q105" s="26"/>
      <c r="R105" s="22">
        <v>18</v>
      </c>
      <c r="S105" s="24">
        <v>45797</v>
      </c>
      <c r="T105" s="24">
        <v>45798</v>
      </c>
      <c r="U105" s="24">
        <v>45805</v>
      </c>
      <c r="V105" s="24">
        <v>45806</v>
      </c>
      <c r="W105" s="24">
        <v>45810</v>
      </c>
      <c r="X105" s="22" t="s">
        <v>127</v>
      </c>
      <c r="Y105" s="4" t="str">
        <f>IF(Tabela2[[#This Row],[SIGLA]]="","",VLOOKUP(Tabela2[[#This Row],[SIGLA]],Tabela1[[#All],[Sigla Arte]:[Crédito]],2,0))</f>
        <v>JULIA PONNICK/ARQUIVO DA EDITORA</v>
      </c>
      <c r="Z105" s="23"/>
      <c r="AA105" s="23" t="str">
        <f>Tabela2[[#This Row],[ILUSTRADOR CRIAÇÃO]]</f>
        <v>JULIA PONNICK/ARQUIVO DA EDITORA</v>
      </c>
      <c r="AB105" s="22">
        <v>7</v>
      </c>
      <c r="AC105" s="20" t="s">
        <v>292</v>
      </c>
      <c r="AD105" s="20" t="s">
        <v>40</v>
      </c>
      <c r="AE105" s="4" t="str">
        <f t="shared" si="1"/>
        <v>EF1 E002 Ing</v>
      </c>
    </row>
    <row r="106" spans="1:31" s="12" customFormat="1" ht="353.25" customHeight="1" x14ac:dyDescent="0.25">
      <c r="A106" s="23" t="s">
        <v>293</v>
      </c>
      <c r="B106" s="20" t="s">
        <v>32</v>
      </c>
      <c r="C106" s="20" t="s">
        <v>33</v>
      </c>
      <c r="D106" s="20" t="s">
        <v>34</v>
      </c>
      <c r="E106" s="22">
        <v>28</v>
      </c>
      <c r="F106" s="22">
        <v>3</v>
      </c>
      <c r="G106" s="22">
        <v>2</v>
      </c>
      <c r="H106" s="22"/>
      <c r="I106" s="23" t="s">
        <v>36</v>
      </c>
      <c r="J106" s="23"/>
      <c r="K106" s="22"/>
      <c r="L106" s="22"/>
      <c r="M106" s="23"/>
      <c r="N106" s="23"/>
      <c r="O106" s="26" t="s">
        <v>294</v>
      </c>
      <c r="P106" s="26"/>
      <c r="Q106" s="26"/>
      <c r="R106" s="22">
        <v>18</v>
      </c>
      <c r="S106" s="24">
        <v>45797</v>
      </c>
      <c r="T106" s="24">
        <v>45798</v>
      </c>
      <c r="U106" s="24">
        <v>45805</v>
      </c>
      <c r="V106" s="24">
        <v>45806</v>
      </c>
      <c r="W106" s="24">
        <v>45810</v>
      </c>
      <c r="X106" s="22" t="s">
        <v>127</v>
      </c>
      <c r="Y106" s="4" t="str">
        <f>IF(Tabela2[[#This Row],[SIGLA]]="","",VLOOKUP(Tabela2[[#This Row],[SIGLA]],Tabela1[[#All],[Sigla Arte]:[Crédito]],2,0))</f>
        <v>JULIA PONNICK/ARQUIVO DA EDITORA</v>
      </c>
      <c r="Z106" s="23"/>
      <c r="AA106" s="23" t="str">
        <f>Tabela2[[#This Row],[ILUSTRADOR CRIAÇÃO]]</f>
        <v>JULIA PONNICK/ARQUIVO DA EDITORA</v>
      </c>
      <c r="AB106" s="22">
        <v>7</v>
      </c>
      <c r="AC106" s="20" t="s">
        <v>292</v>
      </c>
      <c r="AD106" s="20" t="s">
        <v>40</v>
      </c>
      <c r="AE106" s="4" t="str">
        <f t="shared" si="1"/>
        <v>EF1 E002 Ing</v>
      </c>
    </row>
    <row r="107" spans="1:31" s="12" customFormat="1" ht="60" x14ac:dyDescent="0.25">
      <c r="A107" s="23" t="s">
        <v>295</v>
      </c>
      <c r="B107" s="20" t="s">
        <v>32</v>
      </c>
      <c r="C107" s="20" t="s">
        <v>33</v>
      </c>
      <c r="D107" s="20" t="s">
        <v>34</v>
      </c>
      <c r="E107" s="22">
        <v>29</v>
      </c>
      <c r="F107" s="22">
        <v>3</v>
      </c>
      <c r="G107" s="22">
        <v>2</v>
      </c>
      <c r="H107" s="22"/>
      <c r="I107" s="23" t="s">
        <v>36</v>
      </c>
      <c r="J107" s="23"/>
      <c r="K107" s="22"/>
      <c r="L107" s="22"/>
      <c r="M107" s="23"/>
      <c r="N107" s="23"/>
      <c r="O107" s="26" t="s">
        <v>296</v>
      </c>
      <c r="P107" s="26"/>
      <c r="Q107" s="26"/>
      <c r="R107" s="22">
        <v>18</v>
      </c>
      <c r="S107" s="24">
        <v>45797</v>
      </c>
      <c r="T107" s="24">
        <v>45798</v>
      </c>
      <c r="U107" s="24">
        <v>45805</v>
      </c>
      <c r="V107" s="24">
        <v>45806</v>
      </c>
      <c r="W107" s="24">
        <v>45810</v>
      </c>
      <c r="X107" s="22" t="s">
        <v>127</v>
      </c>
      <c r="Y107" s="4" t="str">
        <f>IF(Tabela2[[#This Row],[SIGLA]]="","",VLOOKUP(Tabela2[[#This Row],[SIGLA]],Tabela1[[#All],[Sigla Arte]:[Crédito]],2,0))</f>
        <v>JULIA PONNICK/ARQUIVO DA EDITORA</v>
      </c>
      <c r="Z107" s="23"/>
      <c r="AA107" s="23" t="str">
        <f>Tabela2[[#This Row],[ILUSTRADOR CRIAÇÃO]]</f>
        <v>JULIA PONNICK/ARQUIVO DA EDITORA</v>
      </c>
      <c r="AB107" s="22">
        <v>4</v>
      </c>
      <c r="AC107" s="20" t="s">
        <v>292</v>
      </c>
      <c r="AD107" s="20" t="s">
        <v>40</v>
      </c>
      <c r="AE107" s="4" t="str">
        <f t="shared" si="1"/>
        <v>EF1 E002 Ing</v>
      </c>
    </row>
    <row r="108" spans="1:31" s="12" customFormat="1" ht="75" x14ac:dyDescent="0.25">
      <c r="A108" s="23" t="s">
        <v>297</v>
      </c>
      <c r="B108" s="20" t="s">
        <v>56</v>
      </c>
      <c r="C108" s="20" t="s">
        <v>33</v>
      </c>
      <c r="D108" s="20" t="s">
        <v>34</v>
      </c>
      <c r="E108" s="22">
        <v>29</v>
      </c>
      <c r="F108" s="22">
        <v>3</v>
      </c>
      <c r="G108" s="22">
        <v>2</v>
      </c>
      <c r="H108" s="22"/>
      <c r="I108" s="23" t="s">
        <v>36</v>
      </c>
      <c r="J108" s="23"/>
      <c r="K108" s="22"/>
      <c r="L108" s="22"/>
      <c r="M108" s="23"/>
      <c r="N108" s="23"/>
      <c r="O108" s="26" t="s">
        <v>298</v>
      </c>
      <c r="P108" s="26"/>
      <c r="Q108" s="26" t="s">
        <v>299</v>
      </c>
      <c r="R108" s="22">
        <v>18</v>
      </c>
      <c r="S108" s="24">
        <v>45797</v>
      </c>
      <c r="T108" s="24"/>
      <c r="U108" s="24"/>
      <c r="V108" s="24"/>
      <c r="W108" s="24"/>
      <c r="X108" s="22"/>
      <c r="Y108" s="4" t="str">
        <f>IF(Tabela2[[#This Row],[SIGLA]]="","",VLOOKUP(Tabela2[[#This Row],[SIGLA]],Tabela1[[#All],[Sigla Arte]:[Crédito]],2,0))</f>
        <v/>
      </c>
      <c r="Z108" s="23"/>
      <c r="AA108" s="23" t="str">
        <f>Tabela2[[#This Row],[ILUSTRADOR CRIAÇÃO]]</f>
        <v/>
      </c>
      <c r="AB108" s="22"/>
      <c r="AC108" s="20"/>
      <c r="AD108" s="20"/>
      <c r="AE108" s="4" t="str">
        <f t="shared" si="1"/>
        <v>EF1 E002 Ing</v>
      </c>
    </row>
    <row r="109" spans="1:31" s="12" customFormat="1" ht="60" x14ac:dyDescent="0.25">
      <c r="A109" s="23" t="s">
        <v>300</v>
      </c>
      <c r="B109" s="20" t="s">
        <v>56</v>
      </c>
      <c r="C109" s="20" t="s">
        <v>33</v>
      </c>
      <c r="D109" s="20" t="s">
        <v>34</v>
      </c>
      <c r="E109" s="22">
        <v>29</v>
      </c>
      <c r="F109" s="22">
        <v>3</v>
      </c>
      <c r="G109" s="22">
        <v>2</v>
      </c>
      <c r="H109" s="22"/>
      <c r="I109" s="23" t="s">
        <v>36</v>
      </c>
      <c r="J109" s="23"/>
      <c r="K109" s="22"/>
      <c r="L109" s="22"/>
      <c r="M109" s="23"/>
      <c r="N109" s="23"/>
      <c r="O109" s="26" t="s">
        <v>301</v>
      </c>
      <c r="P109" s="26"/>
      <c r="Q109" s="26" t="s">
        <v>299</v>
      </c>
      <c r="R109" s="22">
        <v>18</v>
      </c>
      <c r="S109" s="24">
        <v>45797</v>
      </c>
      <c r="T109" s="24"/>
      <c r="U109" s="24"/>
      <c r="V109" s="24"/>
      <c r="W109" s="24"/>
      <c r="X109" s="22"/>
      <c r="Y109" s="4" t="str">
        <f>IF(Tabela2[[#This Row],[SIGLA]]="","",VLOOKUP(Tabela2[[#This Row],[SIGLA]],Tabela1[[#All],[Sigla Arte]:[Crédito]],2,0))</f>
        <v/>
      </c>
      <c r="Z109" s="23"/>
      <c r="AA109" s="23" t="str">
        <f>Tabela2[[#This Row],[ILUSTRADOR CRIAÇÃO]]</f>
        <v/>
      </c>
      <c r="AB109" s="22"/>
      <c r="AC109" s="20"/>
      <c r="AD109" s="20"/>
      <c r="AE109" s="4" t="str">
        <f t="shared" si="1"/>
        <v>EF1 E002 Ing</v>
      </c>
    </row>
    <row r="110" spans="1:31" s="12" customFormat="1" ht="75" x14ac:dyDescent="0.25">
      <c r="A110" s="23" t="s">
        <v>302</v>
      </c>
      <c r="B110" s="20" t="s">
        <v>56</v>
      </c>
      <c r="C110" s="20" t="s">
        <v>33</v>
      </c>
      <c r="D110" s="20" t="s">
        <v>34</v>
      </c>
      <c r="E110" s="22">
        <v>29</v>
      </c>
      <c r="F110" s="22">
        <v>3</v>
      </c>
      <c r="G110" s="22">
        <v>2</v>
      </c>
      <c r="H110" s="22"/>
      <c r="I110" s="23" t="s">
        <v>36</v>
      </c>
      <c r="J110" s="23"/>
      <c r="K110" s="22"/>
      <c r="L110" s="22"/>
      <c r="M110" s="23"/>
      <c r="N110" s="23"/>
      <c r="O110" s="26" t="s">
        <v>303</v>
      </c>
      <c r="P110" s="26"/>
      <c r="Q110" s="26" t="s">
        <v>299</v>
      </c>
      <c r="R110" s="22">
        <v>18</v>
      </c>
      <c r="S110" s="24">
        <v>45797</v>
      </c>
      <c r="T110" s="24"/>
      <c r="U110" s="24"/>
      <c r="V110" s="24"/>
      <c r="W110" s="24"/>
      <c r="X110" s="22"/>
      <c r="Y110" s="4" t="str">
        <f>IF(Tabela2[[#This Row],[SIGLA]]="","",VLOOKUP(Tabela2[[#This Row],[SIGLA]],Tabela1[[#All],[Sigla Arte]:[Crédito]],2,0))</f>
        <v/>
      </c>
      <c r="Z110" s="23"/>
      <c r="AA110" s="23" t="str">
        <f>Tabela2[[#This Row],[ILUSTRADOR CRIAÇÃO]]</f>
        <v/>
      </c>
      <c r="AB110" s="22"/>
      <c r="AC110" s="20"/>
      <c r="AD110" s="20"/>
      <c r="AE110" s="4" t="str">
        <f t="shared" si="1"/>
        <v>EF1 E002 Ing</v>
      </c>
    </row>
    <row r="111" spans="1:31" s="12" customFormat="1" ht="75" x14ac:dyDescent="0.25">
      <c r="A111" s="23" t="s">
        <v>304</v>
      </c>
      <c r="B111" s="20" t="s">
        <v>56</v>
      </c>
      <c r="C111" s="20" t="s">
        <v>33</v>
      </c>
      <c r="D111" s="20" t="s">
        <v>34</v>
      </c>
      <c r="E111" s="22">
        <v>29</v>
      </c>
      <c r="F111" s="22">
        <v>3</v>
      </c>
      <c r="G111" s="22">
        <v>2</v>
      </c>
      <c r="H111" s="22"/>
      <c r="I111" s="23" t="s">
        <v>36</v>
      </c>
      <c r="J111" s="23"/>
      <c r="K111" s="22"/>
      <c r="L111" s="22"/>
      <c r="M111" s="23"/>
      <c r="N111" s="23"/>
      <c r="O111" s="26" t="s">
        <v>305</v>
      </c>
      <c r="P111" s="26"/>
      <c r="Q111" s="26" t="s">
        <v>299</v>
      </c>
      <c r="R111" s="22">
        <v>18</v>
      </c>
      <c r="S111" s="24">
        <v>45797</v>
      </c>
      <c r="T111" s="24"/>
      <c r="U111" s="24"/>
      <c r="V111" s="24"/>
      <c r="W111" s="24"/>
      <c r="X111" s="22"/>
      <c r="Y111" s="4" t="str">
        <f>IF(Tabela2[[#This Row],[SIGLA]]="","",VLOOKUP(Tabela2[[#This Row],[SIGLA]],Tabela1[[#All],[Sigla Arte]:[Crédito]],2,0))</f>
        <v/>
      </c>
      <c r="Z111" s="23"/>
      <c r="AA111" s="23" t="str">
        <f>Tabela2[[#This Row],[ILUSTRADOR CRIAÇÃO]]</f>
        <v/>
      </c>
      <c r="AB111" s="22"/>
      <c r="AC111" s="20"/>
      <c r="AD111" s="20"/>
      <c r="AE111" s="4" t="str">
        <f t="shared" si="1"/>
        <v>EF1 E002 Ing</v>
      </c>
    </row>
    <row r="112" spans="1:31" s="12" customFormat="1" ht="30" x14ac:dyDescent="0.25">
      <c r="A112" s="23" t="s">
        <v>306</v>
      </c>
      <c r="B112" s="20" t="s">
        <v>125</v>
      </c>
      <c r="C112" s="20" t="s">
        <v>33</v>
      </c>
      <c r="D112" s="20" t="s">
        <v>34</v>
      </c>
      <c r="E112" s="22">
        <v>30</v>
      </c>
      <c r="F112" s="22">
        <v>3</v>
      </c>
      <c r="G112" s="22">
        <v>2</v>
      </c>
      <c r="H112" s="22"/>
      <c r="I112" s="23" t="s">
        <v>36</v>
      </c>
      <c r="J112" s="23"/>
      <c r="K112" s="22"/>
      <c r="L112" s="22"/>
      <c r="M112" s="23"/>
      <c r="N112" s="23"/>
      <c r="O112" s="26" t="s">
        <v>307</v>
      </c>
      <c r="P112" s="26"/>
      <c r="Q112" s="26"/>
      <c r="R112" s="22">
        <v>18</v>
      </c>
      <c r="S112" s="24">
        <v>45797</v>
      </c>
      <c r="T112" s="24">
        <v>45798</v>
      </c>
      <c r="U112" s="24"/>
      <c r="V112" s="24"/>
      <c r="W112" s="24">
        <v>45810</v>
      </c>
      <c r="X112" s="22" t="s">
        <v>127</v>
      </c>
      <c r="Y112" s="4" t="str">
        <f>IF(Tabela2[[#This Row],[SIGLA]]="","",VLOOKUP(Tabela2[[#This Row],[SIGLA]],Tabela1[[#All],[Sigla Arte]:[Crédito]],2,0))</f>
        <v>JULIA PONNICK/ARQUIVO DA EDITORA</v>
      </c>
      <c r="Z112" s="23" t="s">
        <v>308</v>
      </c>
      <c r="AA112" s="23" t="str">
        <f>Tabela2[[#This Row],[ILUSTRADOR CRIAÇÃO]]</f>
        <v>JULIA PONNICK/ARQUIVO DA EDITORA</v>
      </c>
      <c r="AB112" s="22">
        <v>13</v>
      </c>
      <c r="AC112" s="20" t="s">
        <v>309</v>
      </c>
      <c r="AD112" s="20" t="s">
        <v>58</v>
      </c>
      <c r="AE112" s="4" t="str">
        <f t="shared" si="1"/>
        <v>EF1 E002 Ing</v>
      </c>
    </row>
    <row r="113" spans="1:31" s="12" customFormat="1" x14ac:dyDescent="0.25">
      <c r="A113" s="23" t="s">
        <v>310</v>
      </c>
      <c r="B113" s="20" t="s">
        <v>125</v>
      </c>
      <c r="C113" s="20" t="s">
        <v>33</v>
      </c>
      <c r="D113" s="20" t="s">
        <v>34</v>
      </c>
      <c r="E113" s="22">
        <v>30</v>
      </c>
      <c r="F113" s="22">
        <v>3</v>
      </c>
      <c r="G113" s="22">
        <v>2</v>
      </c>
      <c r="H113" s="22"/>
      <c r="I113" s="23" t="s">
        <v>36</v>
      </c>
      <c r="J113" s="23"/>
      <c r="K113" s="22"/>
      <c r="L113" s="22"/>
      <c r="M113" s="23"/>
      <c r="N113" s="23"/>
      <c r="O113" s="26">
        <v>101</v>
      </c>
      <c r="P113" s="26"/>
      <c r="Q113" s="26"/>
      <c r="R113" s="22">
        <v>18</v>
      </c>
      <c r="S113" s="24">
        <v>45797</v>
      </c>
      <c r="T113" s="24">
        <v>45798</v>
      </c>
      <c r="U113" s="24"/>
      <c r="V113" s="24"/>
      <c r="W113" s="24">
        <v>45810</v>
      </c>
      <c r="X113" s="22" t="s">
        <v>127</v>
      </c>
      <c r="Y113" s="4" t="str">
        <f>IF(Tabela2[[#This Row],[SIGLA]]="","",VLOOKUP(Tabela2[[#This Row],[SIGLA]],Tabela1[[#All],[Sigla Arte]:[Crédito]],2,0))</f>
        <v>JULIA PONNICK/ARQUIVO DA EDITORA</v>
      </c>
      <c r="Z113" s="23" t="s">
        <v>308</v>
      </c>
      <c r="AA113" s="23" t="str">
        <f>Tabela2[[#This Row],[ILUSTRADOR CRIAÇÃO]]</f>
        <v>JULIA PONNICK/ARQUIVO DA EDITORA</v>
      </c>
      <c r="AB113" s="22">
        <v>13</v>
      </c>
      <c r="AC113" s="20" t="s">
        <v>309</v>
      </c>
      <c r="AD113" s="20" t="s">
        <v>58</v>
      </c>
      <c r="AE113" s="4" t="str">
        <f t="shared" si="1"/>
        <v>EF1 E002 Ing</v>
      </c>
    </row>
    <row r="114" spans="1:31" s="12" customFormat="1" ht="30" x14ac:dyDescent="0.25">
      <c r="A114" s="23" t="s">
        <v>311</v>
      </c>
      <c r="B114" s="20" t="s">
        <v>125</v>
      </c>
      <c r="C114" s="20" t="s">
        <v>33</v>
      </c>
      <c r="D114" s="20" t="s">
        <v>34</v>
      </c>
      <c r="E114" s="22">
        <v>30</v>
      </c>
      <c r="F114" s="22">
        <v>3</v>
      </c>
      <c r="G114" s="22">
        <v>2</v>
      </c>
      <c r="H114" s="22"/>
      <c r="I114" s="23" t="s">
        <v>36</v>
      </c>
      <c r="J114" s="23"/>
      <c r="K114" s="22"/>
      <c r="L114" s="22"/>
      <c r="M114" s="23"/>
      <c r="N114" s="23"/>
      <c r="O114" s="26" t="s">
        <v>312</v>
      </c>
      <c r="P114" s="26"/>
      <c r="Q114" s="26"/>
      <c r="R114" s="22">
        <v>18</v>
      </c>
      <c r="S114" s="24">
        <v>45797</v>
      </c>
      <c r="T114" s="24">
        <v>45798</v>
      </c>
      <c r="U114" s="24"/>
      <c r="V114" s="24"/>
      <c r="W114" s="24">
        <v>45810</v>
      </c>
      <c r="X114" s="22" t="s">
        <v>127</v>
      </c>
      <c r="Y114" s="4" t="str">
        <f>IF(Tabela2[[#This Row],[SIGLA]]="","",VLOOKUP(Tabela2[[#This Row],[SIGLA]],Tabela1[[#All],[Sigla Arte]:[Crédito]],2,0))</f>
        <v>JULIA PONNICK/ARQUIVO DA EDITORA</v>
      </c>
      <c r="Z114" s="23" t="s">
        <v>308</v>
      </c>
      <c r="AA114" s="23" t="str">
        <f>Tabela2[[#This Row],[ILUSTRADOR CRIAÇÃO]]</f>
        <v>JULIA PONNICK/ARQUIVO DA EDITORA</v>
      </c>
      <c r="AB114" s="22">
        <v>13</v>
      </c>
      <c r="AC114" s="20" t="s">
        <v>309</v>
      </c>
      <c r="AD114" s="20" t="s">
        <v>58</v>
      </c>
      <c r="AE114" s="4" t="str">
        <f t="shared" si="1"/>
        <v>EF1 E002 Ing</v>
      </c>
    </row>
    <row r="115" spans="1:31" s="12" customFormat="1" ht="30" x14ac:dyDescent="0.25">
      <c r="A115" s="23" t="s">
        <v>313</v>
      </c>
      <c r="B115" s="20" t="s">
        <v>125</v>
      </c>
      <c r="C115" s="20" t="s">
        <v>33</v>
      </c>
      <c r="D115" s="20" t="s">
        <v>34</v>
      </c>
      <c r="E115" s="22">
        <v>30</v>
      </c>
      <c r="F115" s="22">
        <v>3</v>
      </c>
      <c r="G115" s="22">
        <v>2</v>
      </c>
      <c r="H115" s="22"/>
      <c r="I115" s="23" t="s">
        <v>36</v>
      </c>
      <c r="J115" s="23"/>
      <c r="K115" s="22"/>
      <c r="L115" s="22"/>
      <c r="M115" s="23"/>
      <c r="N115" s="23"/>
      <c r="O115" s="26" t="s">
        <v>314</v>
      </c>
      <c r="P115" s="26"/>
      <c r="Q115" s="26"/>
      <c r="R115" s="22">
        <v>18</v>
      </c>
      <c r="S115" s="24">
        <v>45797</v>
      </c>
      <c r="T115" s="24">
        <v>45798</v>
      </c>
      <c r="U115" s="24"/>
      <c r="V115" s="24"/>
      <c r="W115" s="24">
        <v>45810</v>
      </c>
      <c r="X115" s="22" t="s">
        <v>127</v>
      </c>
      <c r="Y115" s="4" t="str">
        <f>IF(Tabela2[[#This Row],[SIGLA]]="","",VLOOKUP(Tabela2[[#This Row],[SIGLA]],Tabela1[[#All],[Sigla Arte]:[Crédito]],2,0))</f>
        <v>JULIA PONNICK/ARQUIVO DA EDITORA</v>
      </c>
      <c r="Z115" s="23" t="s">
        <v>308</v>
      </c>
      <c r="AA115" s="23" t="str">
        <f>Tabela2[[#This Row],[ILUSTRADOR CRIAÇÃO]]</f>
        <v>JULIA PONNICK/ARQUIVO DA EDITORA</v>
      </c>
      <c r="AB115" s="22">
        <v>13</v>
      </c>
      <c r="AC115" s="20" t="s">
        <v>309</v>
      </c>
      <c r="AD115" s="20" t="s">
        <v>58</v>
      </c>
      <c r="AE115" s="4" t="str">
        <f t="shared" si="1"/>
        <v>EF1 E002 Ing</v>
      </c>
    </row>
    <row r="116" spans="1:31" s="12" customFormat="1" ht="30" x14ac:dyDescent="0.25">
      <c r="A116" s="23" t="s">
        <v>315</v>
      </c>
      <c r="B116" s="20" t="s">
        <v>125</v>
      </c>
      <c r="C116" s="20" t="s">
        <v>33</v>
      </c>
      <c r="D116" s="20" t="s">
        <v>34</v>
      </c>
      <c r="E116" s="22">
        <v>30</v>
      </c>
      <c r="F116" s="22">
        <v>3</v>
      </c>
      <c r="G116" s="22">
        <v>2</v>
      </c>
      <c r="H116" s="22"/>
      <c r="I116" s="23" t="s">
        <v>36</v>
      </c>
      <c r="J116" s="23"/>
      <c r="K116" s="22"/>
      <c r="L116" s="22"/>
      <c r="M116" s="23"/>
      <c r="N116" s="23"/>
      <c r="O116" s="26" t="s">
        <v>316</v>
      </c>
      <c r="P116" s="26"/>
      <c r="Q116" s="26"/>
      <c r="R116" s="22">
        <v>18</v>
      </c>
      <c r="S116" s="24">
        <v>45797</v>
      </c>
      <c r="T116" s="24">
        <v>45798</v>
      </c>
      <c r="U116" s="24"/>
      <c r="V116" s="24"/>
      <c r="W116" s="24">
        <v>45810</v>
      </c>
      <c r="X116" s="22" t="s">
        <v>127</v>
      </c>
      <c r="Y116" s="4" t="str">
        <f>IF(Tabela2[[#This Row],[SIGLA]]="","",VLOOKUP(Tabela2[[#This Row],[SIGLA]],Tabela1[[#All],[Sigla Arte]:[Crédito]],2,0))</f>
        <v>JULIA PONNICK/ARQUIVO DA EDITORA</v>
      </c>
      <c r="Z116" s="23" t="s">
        <v>308</v>
      </c>
      <c r="AA116" s="23" t="str">
        <f>Tabela2[[#This Row],[ILUSTRADOR CRIAÇÃO]]</f>
        <v>JULIA PONNICK/ARQUIVO DA EDITORA</v>
      </c>
      <c r="AB116" s="22">
        <v>13</v>
      </c>
      <c r="AC116" s="20" t="s">
        <v>309</v>
      </c>
      <c r="AD116" s="20" t="s">
        <v>58</v>
      </c>
      <c r="AE116" s="4" t="str">
        <f t="shared" si="1"/>
        <v>EF1 E002 Ing</v>
      </c>
    </row>
    <row r="117" spans="1:31" s="12" customFormat="1" ht="90" x14ac:dyDescent="0.25">
      <c r="A117" s="23" t="s">
        <v>317</v>
      </c>
      <c r="B117" s="20" t="s">
        <v>32</v>
      </c>
      <c r="C117" s="20" t="s">
        <v>33</v>
      </c>
      <c r="D117" s="20" t="s">
        <v>34</v>
      </c>
      <c r="E117" s="22">
        <v>60</v>
      </c>
      <c r="F117" s="22">
        <v>3</v>
      </c>
      <c r="G117" s="22">
        <v>5</v>
      </c>
      <c r="H117" s="22"/>
      <c r="I117" s="23" t="s">
        <v>36</v>
      </c>
      <c r="J117" s="23"/>
      <c r="K117" s="22"/>
      <c r="L117" s="22"/>
      <c r="M117" s="23"/>
      <c r="N117" s="23"/>
      <c r="O117" s="26" t="s">
        <v>318</v>
      </c>
      <c r="P117" s="26"/>
      <c r="Q117" s="26" t="s">
        <v>319</v>
      </c>
      <c r="R117" s="22">
        <v>19</v>
      </c>
      <c r="S117" s="24">
        <v>45800</v>
      </c>
      <c r="T117" s="24">
        <v>45805</v>
      </c>
      <c r="U117" s="24">
        <v>45807</v>
      </c>
      <c r="V117" s="24">
        <v>45810</v>
      </c>
      <c r="W117" s="24">
        <v>45816</v>
      </c>
      <c r="X117" s="22" t="s">
        <v>95</v>
      </c>
      <c r="Y117" s="4" t="str">
        <f>IF(Tabela2[[#This Row],[SIGLA]]="","",VLOOKUP(Tabela2[[#This Row],[SIGLA]],Tabela1[[#All],[Sigla Arte]:[Crédito]],2,0))</f>
        <v>LEONARDO DE MOURA AMARAL/ARQUIVO DA EDITORA</v>
      </c>
      <c r="Z117" s="23"/>
      <c r="AA117" s="23" t="str">
        <f>Tabela2[[#This Row],[ILUSTRADOR CRIAÇÃO]]</f>
        <v>LEONARDO DE MOURA AMARAL/ARQUIVO DA EDITORA</v>
      </c>
      <c r="AB117" s="22">
        <v>6</v>
      </c>
      <c r="AC117" s="20" t="s">
        <v>320</v>
      </c>
      <c r="AD117" s="20" t="s">
        <v>40</v>
      </c>
      <c r="AE117" s="4" t="str">
        <f t="shared" si="1"/>
        <v>EF1 E002 Ing</v>
      </c>
    </row>
    <row r="118" spans="1:31" s="12" customFormat="1" ht="75" x14ac:dyDescent="0.25">
      <c r="A118" s="23" t="s">
        <v>321</v>
      </c>
      <c r="B118" s="20" t="s">
        <v>32</v>
      </c>
      <c r="C118" s="20" t="s">
        <v>33</v>
      </c>
      <c r="D118" s="20" t="s">
        <v>34</v>
      </c>
      <c r="E118" s="22">
        <v>60</v>
      </c>
      <c r="F118" s="22">
        <v>3</v>
      </c>
      <c r="G118" s="22">
        <v>5</v>
      </c>
      <c r="H118" s="22"/>
      <c r="I118" s="23" t="s">
        <v>36</v>
      </c>
      <c r="J118" s="23"/>
      <c r="K118" s="22"/>
      <c r="L118" s="22"/>
      <c r="M118" s="23"/>
      <c r="N118" s="23"/>
      <c r="O118" s="26" t="s">
        <v>322</v>
      </c>
      <c r="P118" s="26"/>
      <c r="Q118" s="26" t="s">
        <v>319</v>
      </c>
      <c r="R118" s="22">
        <v>19</v>
      </c>
      <c r="S118" s="24">
        <v>45800</v>
      </c>
      <c r="T118" s="24">
        <v>45805</v>
      </c>
      <c r="U118" s="24">
        <v>45807</v>
      </c>
      <c r="V118" s="24">
        <v>45810</v>
      </c>
      <c r="W118" s="24">
        <v>45816</v>
      </c>
      <c r="X118" s="22" t="s">
        <v>95</v>
      </c>
      <c r="Y118" s="4" t="str">
        <f>IF(Tabela2[[#This Row],[SIGLA]]="","",VLOOKUP(Tabela2[[#This Row],[SIGLA]],Tabela1[[#All],[Sigla Arte]:[Crédito]],2,0))</f>
        <v>LEONARDO DE MOURA AMARAL/ARQUIVO DA EDITORA</v>
      </c>
      <c r="Z118" s="23"/>
      <c r="AA118" s="23" t="str">
        <f>Tabela2[[#This Row],[ILUSTRADOR CRIAÇÃO]]</f>
        <v>LEONARDO DE MOURA AMARAL/ARQUIVO DA EDITORA</v>
      </c>
      <c r="AB118" s="22">
        <v>6</v>
      </c>
      <c r="AC118" s="20" t="s">
        <v>320</v>
      </c>
      <c r="AD118" s="20" t="s">
        <v>40</v>
      </c>
      <c r="AE118" s="4" t="str">
        <f t="shared" si="1"/>
        <v>EF1 E002 Ing</v>
      </c>
    </row>
    <row r="119" spans="1:31" s="12" customFormat="1" ht="90" x14ac:dyDescent="0.25">
      <c r="A119" s="23" t="s">
        <v>323</v>
      </c>
      <c r="B119" s="20" t="s">
        <v>32</v>
      </c>
      <c r="C119" s="20" t="s">
        <v>33</v>
      </c>
      <c r="D119" s="20" t="s">
        <v>34</v>
      </c>
      <c r="E119" s="22">
        <v>60</v>
      </c>
      <c r="F119" s="22">
        <v>3</v>
      </c>
      <c r="G119" s="22">
        <v>5</v>
      </c>
      <c r="H119" s="22"/>
      <c r="I119" s="23" t="s">
        <v>36</v>
      </c>
      <c r="J119" s="23"/>
      <c r="K119" s="22"/>
      <c r="L119" s="22"/>
      <c r="M119" s="23"/>
      <c r="N119" s="23"/>
      <c r="O119" s="26" t="s">
        <v>324</v>
      </c>
      <c r="P119" s="26"/>
      <c r="Q119" s="26" t="s">
        <v>319</v>
      </c>
      <c r="R119" s="22">
        <v>19</v>
      </c>
      <c r="S119" s="24">
        <v>45800</v>
      </c>
      <c r="T119" s="24">
        <v>45805</v>
      </c>
      <c r="U119" s="24">
        <v>45807</v>
      </c>
      <c r="V119" s="24">
        <v>45810</v>
      </c>
      <c r="W119" s="24">
        <v>45816</v>
      </c>
      <c r="X119" s="22" t="s">
        <v>95</v>
      </c>
      <c r="Y119" s="4" t="str">
        <f>IF(Tabela2[[#This Row],[SIGLA]]="","",VLOOKUP(Tabela2[[#This Row],[SIGLA]],Tabela1[[#All],[Sigla Arte]:[Crédito]],2,0))</f>
        <v>LEONARDO DE MOURA AMARAL/ARQUIVO DA EDITORA</v>
      </c>
      <c r="Z119" s="23"/>
      <c r="AA119" s="23" t="str">
        <f>Tabela2[[#This Row],[ILUSTRADOR CRIAÇÃO]]</f>
        <v>LEONARDO DE MOURA AMARAL/ARQUIVO DA EDITORA</v>
      </c>
      <c r="AB119" s="22">
        <v>6</v>
      </c>
      <c r="AC119" s="20" t="s">
        <v>320</v>
      </c>
      <c r="AD119" s="20" t="s">
        <v>40</v>
      </c>
      <c r="AE119" s="4" t="str">
        <f t="shared" si="1"/>
        <v>EF1 E002 Ing</v>
      </c>
    </row>
    <row r="120" spans="1:31" s="12" customFormat="1" ht="75" x14ac:dyDescent="0.25">
      <c r="A120" s="23" t="s">
        <v>325</v>
      </c>
      <c r="B120" s="20" t="s">
        <v>32</v>
      </c>
      <c r="C120" s="20" t="s">
        <v>33</v>
      </c>
      <c r="D120" s="20" t="s">
        <v>34</v>
      </c>
      <c r="E120" s="22">
        <v>60</v>
      </c>
      <c r="F120" s="22">
        <v>3</v>
      </c>
      <c r="G120" s="22">
        <v>5</v>
      </c>
      <c r="H120" s="22"/>
      <c r="I120" s="23" t="s">
        <v>36</v>
      </c>
      <c r="J120" s="23"/>
      <c r="K120" s="22"/>
      <c r="L120" s="22"/>
      <c r="M120" s="23"/>
      <c r="N120" s="23"/>
      <c r="O120" s="26" t="s">
        <v>326</v>
      </c>
      <c r="P120" s="26"/>
      <c r="Q120" s="26" t="s">
        <v>319</v>
      </c>
      <c r="R120" s="22">
        <v>19</v>
      </c>
      <c r="S120" s="24">
        <v>45800</v>
      </c>
      <c r="T120" s="24">
        <v>45805</v>
      </c>
      <c r="U120" s="24">
        <v>45807</v>
      </c>
      <c r="V120" s="24">
        <v>45810</v>
      </c>
      <c r="W120" s="24">
        <v>45816</v>
      </c>
      <c r="X120" s="22" t="s">
        <v>95</v>
      </c>
      <c r="Y120" s="4" t="str">
        <f>IF(Tabela2[[#This Row],[SIGLA]]="","",VLOOKUP(Tabela2[[#This Row],[SIGLA]],Tabela1[[#All],[Sigla Arte]:[Crédito]],2,0))</f>
        <v>LEONARDO DE MOURA AMARAL/ARQUIVO DA EDITORA</v>
      </c>
      <c r="Z120" s="23"/>
      <c r="AA120" s="23" t="str">
        <f>Tabela2[[#This Row],[ILUSTRADOR CRIAÇÃO]]</f>
        <v>LEONARDO DE MOURA AMARAL/ARQUIVO DA EDITORA</v>
      </c>
      <c r="AB120" s="22">
        <v>6</v>
      </c>
      <c r="AC120" s="20" t="s">
        <v>320</v>
      </c>
      <c r="AD120" s="20" t="s">
        <v>40</v>
      </c>
      <c r="AE120" s="4" t="str">
        <f t="shared" si="1"/>
        <v>EF1 E002 Ing</v>
      </c>
    </row>
    <row r="121" spans="1:31" s="12" customFormat="1" ht="45" x14ac:dyDescent="0.25">
      <c r="A121" s="23" t="s">
        <v>327</v>
      </c>
      <c r="B121" s="20" t="s">
        <v>32</v>
      </c>
      <c r="C121" s="20" t="s">
        <v>33</v>
      </c>
      <c r="D121" s="20" t="s">
        <v>34</v>
      </c>
      <c r="E121" s="22">
        <v>60</v>
      </c>
      <c r="F121" s="22">
        <v>3</v>
      </c>
      <c r="G121" s="22">
        <v>5</v>
      </c>
      <c r="H121" s="22"/>
      <c r="I121" s="23" t="s">
        <v>36</v>
      </c>
      <c r="J121" s="23"/>
      <c r="K121" s="22"/>
      <c r="L121" s="22"/>
      <c r="M121" s="23"/>
      <c r="N121" s="23"/>
      <c r="O121" s="26" t="s">
        <v>328</v>
      </c>
      <c r="P121" s="26"/>
      <c r="Q121" s="26" t="s">
        <v>319</v>
      </c>
      <c r="R121" s="22">
        <v>19</v>
      </c>
      <c r="S121" s="24">
        <v>45800</v>
      </c>
      <c r="T121" s="24">
        <v>45805</v>
      </c>
      <c r="U121" s="24">
        <v>45807</v>
      </c>
      <c r="V121" s="24">
        <v>45810</v>
      </c>
      <c r="W121" s="24">
        <v>45816</v>
      </c>
      <c r="X121" s="22" t="s">
        <v>95</v>
      </c>
      <c r="Y121" s="4" t="str">
        <f>IF(Tabela2[[#This Row],[SIGLA]]="","",VLOOKUP(Tabela2[[#This Row],[SIGLA]],Tabela1[[#All],[Sigla Arte]:[Crédito]],2,0))</f>
        <v>LEONARDO DE MOURA AMARAL/ARQUIVO DA EDITORA</v>
      </c>
      <c r="Z121" s="23"/>
      <c r="AA121" s="23" t="str">
        <f>Tabela2[[#This Row],[ILUSTRADOR CRIAÇÃO]]</f>
        <v>LEONARDO DE MOURA AMARAL/ARQUIVO DA EDITORA</v>
      </c>
      <c r="AB121" s="22">
        <v>6</v>
      </c>
      <c r="AC121" s="20" t="s">
        <v>320</v>
      </c>
      <c r="AD121" s="20" t="s">
        <v>40</v>
      </c>
      <c r="AE121" s="4" t="str">
        <f t="shared" si="1"/>
        <v>EF1 E002 Ing</v>
      </c>
    </row>
    <row r="122" spans="1:31" s="12" customFormat="1" ht="45" x14ac:dyDescent="0.25">
      <c r="A122" s="23" t="s">
        <v>329</v>
      </c>
      <c r="B122" s="20" t="s">
        <v>32</v>
      </c>
      <c r="C122" s="20" t="s">
        <v>33</v>
      </c>
      <c r="D122" s="20" t="s">
        <v>34</v>
      </c>
      <c r="E122" s="22">
        <v>60</v>
      </c>
      <c r="F122" s="22">
        <v>3</v>
      </c>
      <c r="G122" s="22">
        <v>5</v>
      </c>
      <c r="H122" s="22"/>
      <c r="I122" s="23" t="s">
        <v>36</v>
      </c>
      <c r="J122" s="23"/>
      <c r="K122" s="22"/>
      <c r="L122" s="22"/>
      <c r="M122" s="23"/>
      <c r="N122" s="23"/>
      <c r="O122" s="26" t="s">
        <v>330</v>
      </c>
      <c r="P122" s="26"/>
      <c r="Q122" s="26" t="s">
        <v>319</v>
      </c>
      <c r="R122" s="22">
        <v>19</v>
      </c>
      <c r="S122" s="24">
        <v>45800</v>
      </c>
      <c r="T122" s="24">
        <v>45805</v>
      </c>
      <c r="U122" s="24">
        <v>45807</v>
      </c>
      <c r="V122" s="24">
        <v>45810</v>
      </c>
      <c r="W122" s="24">
        <v>45816</v>
      </c>
      <c r="X122" s="22" t="s">
        <v>95</v>
      </c>
      <c r="Y122" s="4" t="str">
        <f>IF(Tabela2[[#This Row],[SIGLA]]="","",VLOOKUP(Tabela2[[#This Row],[SIGLA]],Tabela1[[#All],[Sigla Arte]:[Crédito]],2,0))</f>
        <v>LEONARDO DE MOURA AMARAL/ARQUIVO DA EDITORA</v>
      </c>
      <c r="Z122" s="23"/>
      <c r="AA122" s="23" t="str">
        <f>Tabela2[[#This Row],[ILUSTRADOR CRIAÇÃO]]</f>
        <v>LEONARDO DE MOURA AMARAL/ARQUIVO DA EDITORA</v>
      </c>
      <c r="AB122" s="22">
        <v>6</v>
      </c>
      <c r="AC122" s="20" t="s">
        <v>320</v>
      </c>
      <c r="AD122" s="20" t="s">
        <v>40</v>
      </c>
      <c r="AE122" s="4" t="str">
        <f t="shared" si="1"/>
        <v>EF1 E002 Ing</v>
      </c>
    </row>
    <row r="123" spans="1:31" s="12" customFormat="1" ht="105" x14ac:dyDescent="0.25">
      <c r="A123" s="23" t="s">
        <v>331</v>
      </c>
      <c r="B123" s="20" t="s">
        <v>32</v>
      </c>
      <c r="C123" s="20" t="s">
        <v>33</v>
      </c>
      <c r="D123" s="20" t="s">
        <v>34</v>
      </c>
      <c r="E123" s="22">
        <v>64</v>
      </c>
      <c r="F123" s="22">
        <v>3</v>
      </c>
      <c r="G123" s="22">
        <v>5</v>
      </c>
      <c r="H123" s="22"/>
      <c r="I123" s="23" t="s">
        <v>36</v>
      </c>
      <c r="J123" s="23"/>
      <c r="K123" s="22"/>
      <c r="L123" s="22"/>
      <c r="M123" s="23"/>
      <c r="N123" s="23"/>
      <c r="O123" s="26" t="s">
        <v>332</v>
      </c>
      <c r="P123" s="26"/>
      <c r="Q123" s="26" t="s">
        <v>319</v>
      </c>
      <c r="R123" s="22">
        <v>19</v>
      </c>
      <c r="S123" s="24">
        <v>45800</v>
      </c>
      <c r="T123" s="24">
        <v>45805</v>
      </c>
      <c r="U123" s="24">
        <v>45807</v>
      </c>
      <c r="V123" s="24">
        <v>45810</v>
      </c>
      <c r="W123" s="24">
        <v>45816</v>
      </c>
      <c r="X123" s="22" t="s">
        <v>95</v>
      </c>
      <c r="Y123" s="4" t="str">
        <f>IF(Tabela2[[#This Row],[SIGLA]]="","",VLOOKUP(Tabela2[[#This Row],[SIGLA]],Tabela1[[#All],[Sigla Arte]:[Crédito]],2,0))</f>
        <v>LEONARDO DE MOURA AMARAL/ARQUIVO DA EDITORA</v>
      </c>
      <c r="Z123" s="23"/>
      <c r="AA123" s="23" t="str">
        <f>Tabela2[[#This Row],[ILUSTRADOR CRIAÇÃO]]</f>
        <v>LEONARDO DE MOURA AMARAL/ARQUIVO DA EDITORA</v>
      </c>
      <c r="AB123" s="22">
        <v>7</v>
      </c>
      <c r="AC123" s="20" t="s">
        <v>320</v>
      </c>
      <c r="AD123" s="20" t="s">
        <v>40</v>
      </c>
      <c r="AE123" s="4" t="str">
        <f t="shared" si="1"/>
        <v>EF1 E002 Ing</v>
      </c>
    </row>
    <row r="124" spans="1:31" s="12" customFormat="1" ht="165" x14ac:dyDescent="0.25">
      <c r="A124" s="23" t="s">
        <v>333</v>
      </c>
      <c r="B124" s="20" t="s">
        <v>32</v>
      </c>
      <c r="C124" s="20" t="s">
        <v>33</v>
      </c>
      <c r="D124" s="20" t="s">
        <v>34</v>
      </c>
      <c r="E124" s="22">
        <v>11</v>
      </c>
      <c r="F124" s="22">
        <v>2</v>
      </c>
      <c r="G124" s="22">
        <v>1</v>
      </c>
      <c r="H124" s="22" t="s">
        <v>334</v>
      </c>
      <c r="I124" s="23" t="s">
        <v>36</v>
      </c>
      <c r="J124" s="23"/>
      <c r="K124" s="22"/>
      <c r="L124" s="22"/>
      <c r="M124" s="23"/>
      <c r="N124" s="23"/>
      <c r="O124" s="26" t="s">
        <v>335</v>
      </c>
      <c r="P124" s="26"/>
      <c r="Q124" s="26"/>
      <c r="R124" s="22">
        <v>20</v>
      </c>
      <c r="S124" s="24">
        <v>45803</v>
      </c>
      <c r="T124" s="24">
        <v>45804</v>
      </c>
      <c r="U124" s="24">
        <v>45806</v>
      </c>
      <c r="V124" s="24">
        <v>45810</v>
      </c>
      <c r="W124" s="24">
        <v>45812</v>
      </c>
      <c r="X124" s="22" t="s">
        <v>259</v>
      </c>
      <c r="Y124" s="4" t="str">
        <f>IF(Tabela2[[#This Row],[SIGLA]]="","",VLOOKUP(Tabela2[[#This Row],[SIGLA]],Tabela1[[#All],[Sigla Arte]:[Crédito]],2,0))</f>
        <v>CAMILA CARMONA/ARQUIVO DA EDITORA</v>
      </c>
      <c r="Z124" s="23"/>
      <c r="AA124" s="23" t="str">
        <f>Tabela2[[#This Row],[ILUSTRADOR CRIAÇÃO]]</f>
        <v>CAMILA CARMONA/ARQUIVO DA EDITORA</v>
      </c>
      <c r="AB124" s="22">
        <v>2</v>
      </c>
      <c r="AC124" s="20" t="s">
        <v>336</v>
      </c>
      <c r="AD124" s="20" t="s">
        <v>40</v>
      </c>
      <c r="AE124" s="4" t="str">
        <f t="shared" si="1"/>
        <v>EF1 E002 Ing</v>
      </c>
    </row>
    <row r="125" spans="1:31" s="12" customFormat="1" ht="135" x14ac:dyDescent="0.25">
      <c r="A125" s="23" t="s">
        <v>337</v>
      </c>
      <c r="B125" s="20" t="s">
        <v>32</v>
      </c>
      <c r="C125" s="20" t="s">
        <v>33</v>
      </c>
      <c r="D125" s="20" t="s">
        <v>34</v>
      </c>
      <c r="E125" s="22">
        <v>14</v>
      </c>
      <c r="F125" s="22">
        <v>2</v>
      </c>
      <c r="G125" s="22">
        <v>1</v>
      </c>
      <c r="H125" s="22"/>
      <c r="I125" s="23" t="s">
        <v>36</v>
      </c>
      <c r="J125" s="23"/>
      <c r="K125" s="22"/>
      <c r="L125" s="22"/>
      <c r="M125" s="23"/>
      <c r="N125" s="23"/>
      <c r="O125" s="26" t="s">
        <v>338</v>
      </c>
      <c r="P125" s="26"/>
      <c r="Q125" s="26"/>
      <c r="R125" s="22">
        <v>21</v>
      </c>
      <c r="S125" s="24">
        <v>45805</v>
      </c>
      <c r="T125" s="24">
        <v>45810</v>
      </c>
      <c r="U125" s="24">
        <v>45819</v>
      </c>
      <c r="V125" s="24">
        <v>45821</v>
      </c>
      <c r="W125" s="24">
        <v>45831</v>
      </c>
      <c r="X125" s="22" t="s">
        <v>54</v>
      </c>
      <c r="Y125" s="4" t="str">
        <f>IF(Tabela2[[#This Row],[SIGLA]]="","",VLOOKUP(Tabela2[[#This Row],[SIGLA]],Tabela1[[#All],[Sigla Arte]:[Crédito]],2,0))</f>
        <v>RAYANNE CARDOSO/ARQUIVO DA EDITORA</v>
      </c>
      <c r="Z125" s="23"/>
      <c r="AA125" s="23" t="str">
        <f>Tabela2[[#This Row],[ILUSTRADOR CRIAÇÃO]]</f>
        <v>RAYANNE CARDOSO/ARQUIVO DA EDITORA</v>
      </c>
      <c r="AB125" s="22">
        <v>3</v>
      </c>
      <c r="AC125" s="20" t="s">
        <v>339</v>
      </c>
      <c r="AD125" s="20" t="s">
        <v>40</v>
      </c>
      <c r="AE125" s="4" t="str">
        <f t="shared" si="1"/>
        <v>EF1 E002 Ing</v>
      </c>
    </row>
    <row r="126" spans="1:31" s="12" customFormat="1" ht="135" x14ac:dyDescent="0.25">
      <c r="A126" s="23" t="s">
        <v>340</v>
      </c>
      <c r="B126" s="20" t="s">
        <v>56</v>
      </c>
      <c r="C126" s="20" t="s">
        <v>33</v>
      </c>
      <c r="D126" s="20" t="s">
        <v>34</v>
      </c>
      <c r="E126" s="22">
        <v>14</v>
      </c>
      <c r="F126" s="22">
        <v>2</v>
      </c>
      <c r="G126" s="22">
        <v>1</v>
      </c>
      <c r="H126" s="22"/>
      <c r="I126" s="23" t="s">
        <v>36</v>
      </c>
      <c r="J126" s="23"/>
      <c r="K126" s="22"/>
      <c r="L126" s="22"/>
      <c r="M126" s="23"/>
      <c r="N126" s="23"/>
      <c r="O126" s="26" t="s">
        <v>341</v>
      </c>
      <c r="P126" s="26"/>
      <c r="Q126" s="26"/>
      <c r="R126" s="22">
        <v>21</v>
      </c>
      <c r="S126" s="24">
        <v>45805</v>
      </c>
      <c r="T126" s="24"/>
      <c r="U126" s="24"/>
      <c r="V126" s="24"/>
      <c r="W126" s="24"/>
      <c r="X126" s="22"/>
      <c r="Y126" s="4" t="str">
        <f>IF(Tabela2[[#This Row],[SIGLA]]="","",VLOOKUP(Tabela2[[#This Row],[SIGLA]],Tabela1[[#All],[Sigla Arte]:[Crédito]],2,0))</f>
        <v/>
      </c>
      <c r="Z126" s="23"/>
      <c r="AA126" s="23" t="str">
        <f>Tabela2[[#This Row],[ILUSTRADOR CRIAÇÃO]]</f>
        <v/>
      </c>
      <c r="AB126" s="22"/>
      <c r="AC126" s="20" t="s">
        <v>342</v>
      </c>
      <c r="AD126" s="20"/>
      <c r="AE126" s="4" t="str">
        <f t="shared" si="1"/>
        <v>EF1 E002 Ing</v>
      </c>
    </row>
    <row r="127" spans="1:31" s="12" customFormat="1" ht="135" x14ac:dyDescent="0.25">
      <c r="A127" s="23" t="s">
        <v>343</v>
      </c>
      <c r="B127" s="20" t="s">
        <v>56</v>
      </c>
      <c r="C127" s="20" t="s">
        <v>33</v>
      </c>
      <c r="D127" s="20" t="s">
        <v>34</v>
      </c>
      <c r="E127" s="22">
        <v>14</v>
      </c>
      <c r="F127" s="22">
        <v>2</v>
      </c>
      <c r="G127" s="22">
        <v>1</v>
      </c>
      <c r="H127" s="22"/>
      <c r="I127" s="23" t="s">
        <v>36</v>
      </c>
      <c r="J127" s="23"/>
      <c r="K127" s="22"/>
      <c r="L127" s="22"/>
      <c r="M127" s="23"/>
      <c r="N127" s="23"/>
      <c r="O127" s="26" t="s">
        <v>344</v>
      </c>
      <c r="P127" s="26"/>
      <c r="Q127" s="26"/>
      <c r="R127" s="22">
        <v>21</v>
      </c>
      <c r="S127" s="24">
        <v>45805</v>
      </c>
      <c r="T127" s="24"/>
      <c r="U127" s="24"/>
      <c r="V127" s="24"/>
      <c r="W127" s="24"/>
      <c r="X127" s="22"/>
      <c r="Y127" s="4" t="str">
        <f>IF(Tabela2[[#This Row],[SIGLA]]="","",VLOOKUP(Tabela2[[#This Row],[SIGLA]],Tabela1[[#All],[Sigla Arte]:[Crédito]],2,0))</f>
        <v/>
      </c>
      <c r="Z127" s="23"/>
      <c r="AA127" s="23" t="str">
        <f>Tabela2[[#This Row],[ILUSTRADOR CRIAÇÃO]]</f>
        <v/>
      </c>
      <c r="AB127" s="22"/>
      <c r="AC127" s="20" t="s">
        <v>342</v>
      </c>
      <c r="AD127" s="20"/>
      <c r="AE127" s="4" t="str">
        <f t="shared" si="1"/>
        <v>EF1 E002 Ing</v>
      </c>
    </row>
    <row r="128" spans="1:31" s="12" customFormat="1" ht="165" x14ac:dyDescent="0.25">
      <c r="A128" s="23" t="s">
        <v>345</v>
      </c>
      <c r="B128" s="20" t="s">
        <v>56</v>
      </c>
      <c r="C128" s="20" t="s">
        <v>33</v>
      </c>
      <c r="D128" s="20" t="s">
        <v>34</v>
      </c>
      <c r="E128" s="22">
        <v>14</v>
      </c>
      <c r="F128" s="22">
        <v>2</v>
      </c>
      <c r="G128" s="22">
        <v>1</v>
      </c>
      <c r="H128" s="22"/>
      <c r="I128" s="23" t="s">
        <v>36</v>
      </c>
      <c r="J128" s="23"/>
      <c r="K128" s="22"/>
      <c r="L128" s="22"/>
      <c r="M128" s="23"/>
      <c r="N128" s="23"/>
      <c r="O128" s="26" t="s">
        <v>346</v>
      </c>
      <c r="P128" s="26"/>
      <c r="Q128" s="26"/>
      <c r="R128" s="22">
        <v>21</v>
      </c>
      <c r="S128" s="24">
        <v>45805</v>
      </c>
      <c r="T128" s="24"/>
      <c r="U128" s="24"/>
      <c r="V128" s="24"/>
      <c r="W128" s="24"/>
      <c r="X128" s="22"/>
      <c r="Y128" s="4" t="str">
        <f>IF(Tabela2[[#This Row],[SIGLA]]="","",VLOOKUP(Tabela2[[#This Row],[SIGLA]],Tabela1[[#All],[Sigla Arte]:[Crédito]],2,0))</f>
        <v/>
      </c>
      <c r="Z128" s="23"/>
      <c r="AA128" s="23" t="str">
        <f>Tabela2[[#This Row],[ILUSTRADOR CRIAÇÃO]]</f>
        <v/>
      </c>
      <c r="AB128" s="22"/>
      <c r="AC128" s="20" t="s">
        <v>342</v>
      </c>
      <c r="AD128" s="20"/>
      <c r="AE128" s="4" t="str">
        <f t="shared" si="1"/>
        <v>EF1 E002 Ing</v>
      </c>
    </row>
    <row r="129" spans="1:31" s="12" customFormat="1" ht="135" x14ac:dyDescent="0.25">
      <c r="A129" s="23" t="s">
        <v>347</v>
      </c>
      <c r="B129" s="20" t="s">
        <v>125</v>
      </c>
      <c r="C129" s="20" t="s">
        <v>33</v>
      </c>
      <c r="D129" s="20" t="s">
        <v>34</v>
      </c>
      <c r="E129" s="22">
        <v>17</v>
      </c>
      <c r="F129" s="22">
        <v>2</v>
      </c>
      <c r="G129" s="22">
        <v>1</v>
      </c>
      <c r="H129" s="22"/>
      <c r="I129" s="23" t="s">
        <v>36</v>
      </c>
      <c r="J129" s="23"/>
      <c r="K129" s="22"/>
      <c r="L129" s="22"/>
      <c r="M129" s="23"/>
      <c r="N129" s="23"/>
      <c r="O129" s="26" t="s">
        <v>348</v>
      </c>
      <c r="P129" s="26"/>
      <c r="Q129" s="26"/>
      <c r="R129" s="22">
        <v>21</v>
      </c>
      <c r="S129" s="24">
        <v>45805</v>
      </c>
      <c r="T129" s="24">
        <v>45810</v>
      </c>
      <c r="U129" s="24">
        <v>45819</v>
      </c>
      <c r="V129" s="24">
        <v>45821</v>
      </c>
      <c r="W129" s="24">
        <v>45831</v>
      </c>
      <c r="X129" s="22" t="s">
        <v>54</v>
      </c>
      <c r="Y129" s="4" t="str">
        <f>IF(Tabela2[[#This Row],[SIGLA]]="","",VLOOKUP(Tabela2[[#This Row],[SIGLA]],Tabela1[[#All],[Sigla Arte]:[Crédito]],2,0))</f>
        <v>RAYANNE CARDOSO/ARQUIVO DA EDITORA</v>
      </c>
      <c r="Z129" s="23"/>
      <c r="AA129" s="23" t="str">
        <f>Tabela2[[#This Row],[ILUSTRADOR CRIAÇÃO]]</f>
        <v>RAYANNE CARDOSO/ARQUIVO DA EDITORA</v>
      </c>
      <c r="AB129" s="22">
        <v>5</v>
      </c>
      <c r="AC129" s="20" t="s">
        <v>339</v>
      </c>
      <c r="AD129" s="20" t="s">
        <v>40</v>
      </c>
      <c r="AE129" s="4" t="str">
        <f t="shared" si="1"/>
        <v>EF1 E002 Ing</v>
      </c>
    </row>
    <row r="130" spans="1:31" s="12" customFormat="1" ht="180" x14ac:dyDescent="0.25">
      <c r="A130" s="23" t="s">
        <v>349</v>
      </c>
      <c r="B130" s="20" t="s">
        <v>32</v>
      </c>
      <c r="C130" s="20" t="s">
        <v>33</v>
      </c>
      <c r="D130" s="20" t="s">
        <v>34</v>
      </c>
      <c r="E130" s="22">
        <v>18</v>
      </c>
      <c r="F130" s="22">
        <v>2</v>
      </c>
      <c r="G130" s="22">
        <v>1</v>
      </c>
      <c r="H130" s="22"/>
      <c r="I130" s="23" t="s">
        <v>36</v>
      </c>
      <c r="J130" s="23"/>
      <c r="K130" s="22"/>
      <c r="L130" s="22"/>
      <c r="M130" s="23"/>
      <c r="N130" s="23"/>
      <c r="O130" s="26" t="s">
        <v>350</v>
      </c>
      <c r="P130" s="26"/>
      <c r="Q130" s="26"/>
      <c r="R130" s="22">
        <v>21</v>
      </c>
      <c r="S130" s="24">
        <v>45805</v>
      </c>
      <c r="T130" s="24">
        <v>45810</v>
      </c>
      <c r="U130" s="24">
        <v>45819</v>
      </c>
      <c r="V130" s="24">
        <v>45821</v>
      </c>
      <c r="W130" s="24">
        <v>45831</v>
      </c>
      <c r="X130" s="22" t="s">
        <v>54</v>
      </c>
      <c r="Y130" s="4" t="str">
        <f>IF(Tabela2[[#This Row],[SIGLA]]="","",VLOOKUP(Tabela2[[#This Row],[SIGLA]],Tabela1[[#All],[Sigla Arte]:[Crédito]],2,0))</f>
        <v>RAYANNE CARDOSO/ARQUIVO DA EDITORA</v>
      </c>
      <c r="Z130" s="23"/>
      <c r="AA130" s="23" t="str">
        <f>Tabela2[[#This Row],[ILUSTRADOR CRIAÇÃO]]</f>
        <v>RAYANNE CARDOSO/ARQUIVO DA EDITORA</v>
      </c>
      <c r="AB130" s="22">
        <v>5</v>
      </c>
      <c r="AC130" s="20" t="s">
        <v>339</v>
      </c>
      <c r="AD130" s="20" t="s">
        <v>40</v>
      </c>
      <c r="AE130" s="4" t="str">
        <f t="shared" ref="AE130:AE193" si="2">"EF1 E002 Ing"</f>
        <v>EF1 E002 Ing</v>
      </c>
    </row>
    <row r="131" spans="1:31" s="12" customFormat="1" ht="45" x14ac:dyDescent="0.25">
      <c r="A131" s="23" t="s">
        <v>351</v>
      </c>
      <c r="B131" s="20" t="s">
        <v>32</v>
      </c>
      <c r="C131" s="20" t="s">
        <v>33</v>
      </c>
      <c r="D131" s="20" t="s">
        <v>34</v>
      </c>
      <c r="E131" s="22">
        <v>23</v>
      </c>
      <c r="F131" s="22">
        <v>2</v>
      </c>
      <c r="G131" s="22">
        <v>2</v>
      </c>
      <c r="H131" s="22"/>
      <c r="I131" s="23" t="s">
        <v>36</v>
      </c>
      <c r="J131" s="23"/>
      <c r="K131" s="22"/>
      <c r="L131" s="22"/>
      <c r="M131" s="23"/>
      <c r="N131" s="23"/>
      <c r="O131" s="26" t="s">
        <v>352</v>
      </c>
      <c r="P131" s="26"/>
      <c r="Q131" s="26"/>
      <c r="R131" s="22">
        <v>22</v>
      </c>
      <c r="S131" s="24">
        <v>45808</v>
      </c>
      <c r="T131" s="24">
        <v>45812</v>
      </c>
      <c r="U131" s="24">
        <v>45820</v>
      </c>
      <c r="V131" s="24">
        <v>45826</v>
      </c>
      <c r="W131" s="24">
        <v>45832</v>
      </c>
      <c r="X131" s="22" t="s">
        <v>224</v>
      </c>
      <c r="Y131" s="4" t="str">
        <f>IF(Tabela2[[#This Row],[SIGLA]]="","",VLOOKUP(Tabela2[[#This Row],[SIGLA]],Tabela1[[#All],[Sigla Arte]:[Crédito]],2,0))</f>
        <v>ANA KOZUKI/ARQUIVO DA EDITORA</v>
      </c>
      <c r="Z131" s="23"/>
      <c r="AA131" s="23" t="str">
        <f>Tabela2[[#This Row],[ILUSTRADOR CRIAÇÃO]]</f>
        <v>ANA KOZUKI/ARQUIVO DA EDITORA</v>
      </c>
      <c r="AB131" s="22">
        <v>8</v>
      </c>
      <c r="AC131" s="26" t="s">
        <v>353</v>
      </c>
      <c r="AD131" s="20" t="s">
        <v>40</v>
      </c>
      <c r="AE131" s="4" t="str">
        <f t="shared" si="2"/>
        <v>EF1 E002 Ing</v>
      </c>
    </row>
    <row r="132" spans="1:31" s="12" customFormat="1" ht="45" x14ac:dyDescent="0.25">
      <c r="A132" s="23" t="s">
        <v>354</v>
      </c>
      <c r="B132" s="20" t="s">
        <v>32</v>
      </c>
      <c r="C132" s="20" t="s">
        <v>33</v>
      </c>
      <c r="D132" s="20" t="s">
        <v>34</v>
      </c>
      <c r="E132" s="22">
        <v>24</v>
      </c>
      <c r="F132" s="22">
        <v>2</v>
      </c>
      <c r="G132" s="22">
        <v>2</v>
      </c>
      <c r="H132" s="22"/>
      <c r="I132" s="23" t="s">
        <v>36</v>
      </c>
      <c r="J132" s="23"/>
      <c r="K132" s="22"/>
      <c r="L132" s="22"/>
      <c r="M132" s="23"/>
      <c r="N132" s="23"/>
      <c r="O132" s="26" t="s">
        <v>355</v>
      </c>
      <c r="P132" s="26"/>
      <c r="Q132" s="26"/>
      <c r="R132" s="22">
        <v>22</v>
      </c>
      <c r="S132" s="24">
        <v>45808</v>
      </c>
      <c r="T132" s="24">
        <v>45812</v>
      </c>
      <c r="U132" s="24">
        <v>45820</v>
      </c>
      <c r="V132" s="24">
        <v>45826</v>
      </c>
      <c r="W132" s="24">
        <v>45832</v>
      </c>
      <c r="X132" s="22" t="s">
        <v>224</v>
      </c>
      <c r="Y132" s="4" t="str">
        <f>IF(Tabela2[[#This Row],[SIGLA]]="","",VLOOKUP(Tabela2[[#This Row],[SIGLA]],Tabela1[[#All],[Sigla Arte]:[Crédito]],2,0))</f>
        <v>ANA KOZUKI/ARQUIVO DA EDITORA</v>
      </c>
      <c r="Z132" s="23"/>
      <c r="AA132" s="23" t="str">
        <f>Tabela2[[#This Row],[ILUSTRADOR CRIAÇÃO]]</f>
        <v>ANA KOZUKI/ARQUIVO DA EDITORA</v>
      </c>
      <c r="AB132" s="22">
        <v>5</v>
      </c>
      <c r="AC132" s="26" t="s">
        <v>353</v>
      </c>
      <c r="AD132" s="20" t="s">
        <v>40</v>
      </c>
      <c r="AE132" s="4" t="str">
        <f t="shared" si="2"/>
        <v>EF1 E002 Ing</v>
      </c>
    </row>
    <row r="133" spans="1:31" s="12" customFormat="1" ht="105" x14ac:dyDescent="0.25">
      <c r="A133" s="23" t="s">
        <v>356</v>
      </c>
      <c r="B133" s="20" t="s">
        <v>32</v>
      </c>
      <c r="C133" s="20" t="s">
        <v>33</v>
      </c>
      <c r="D133" s="20" t="s">
        <v>34</v>
      </c>
      <c r="E133" s="22">
        <v>24</v>
      </c>
      <c r="F133" s="22">
        <v>2</v>
      </c>
      <c r="G133" s="22">
        <v>2</v>
      </c>
      <c r="H133" s="22"/>
      <c r="I133" s="23" t="s">
        <v>36</v>
      </c>
      <c r="J133" s="23"/>
      <c r="K133" s="22"/>
      <c r="L133" s="22"/>
      <c r="M133" s="23"/>
      <c r="N133" s="23"/>
      <c r="O133" s="26" t="s">
        <v>357</v>
      </c>
      <c r="P133" s="26"/>
      <c r="Q133" s="26"/>
      <c r="R133" s="22">
        <v>22</v>
      </c>
      <c r="S133" s="24">
        <v>45808</v>
      </c>
      <c r="T133" s="24">
        <v>45812</v>
      </c>
      <c r="U133" s="24">
        <v>45820</v>
      </c>
      <c r="V133" s="24">
        <v>45826</v>
      </c>
      <c r="W133" s="24">
        <v>45832</v>
      </c>
      <c r="X133" s="22" t="s">
        <v>224</v>
      </c>
      <c r="Y133" s="4" t="str">
        <f>IF(Tabela2[[#This Row],[SIGLA]]="","",VLOOKUP(Tabela2[[#This Row],[SIGLA]],Tabela1[[#All],[Sigla Arte]:[Crédito]],2,0))</f>
        <v>ANA KOZUKI/ARQUIVO DA EDITORA</v>
      </c>
      <c r="Z133" s="23"/>
      <c r="AA133" s="23" t="str">
        <f>Tabela2[[#This Row],[ILUSTRADOR CRIAÇÃO]]</f>
        <v>ANA KOZUKI/ARQUIVO DA EDITORA</v>
      </c>
      <c r="AB133" s="22">
        <v>5</v>
      </c>
      <c r="AC133" s="26" t="s">
        <v>353</v>
      </c>
      <c r="AD133" s="20" t="s">
        <v>40</v>
      </c>
      <c r="AE133" s="4" t="str">
        <f t="shared" si="2"/>
        <v>EF1 E002 Ing</v>
      </c>
    </row>
    <row r="134" spans="1:31" s="12" customFormat="1" ht="105" x14ac:dyDescent="0.25">
      <c r="A134" s="23" t="s">
        <v>358</v>
      </c>
      <c r="B134" s="20" t="s">
        <v>32</v>
      </c>
      <c r="C134" s="20" t="s">
        <v>33</v>
      </c>
      <c r="D134" s="20" t="s">
        <v>34</v>
      </c>
      <c r="E134" s="22">
        <v>24</v>
      </c>
      <c r="F134" s="22">
        <v>2</v>
      </c>
      <c r="G134" s="22">
        <v>2</v>
      </c>
      <c r="H134" s="22"/>
      <c r="I134" s="23" t="s">
        <v>36</v>
      </c>
      <c r="J134" s="23"/>
      <c r="K134" s="22"/>
      <c r="L134" s="22"/>
      <c r="M134" s="23"/>
      <c r="N134" s="23"/>
      <c r="O134" s="26" t="s">
        <v>359</v>
      </c>
      <c r="P134" s="26"/>
      <c r="Q134" s="26"/>
      <c r="R134" s="22">
        <v>22</v>
      </c>
      <c r="S134" s="24">
        <v>45808</v>
      </c>
      <c r="T134" s="24">
        <v>45812</v>
      </c>
      <c r="U134" s="24">
        <v>45820</v>
      </c>
      <c r="V134" s="24">
        <v>45826</v>
      </c>
      <c r="W134" s="24">
        <v>45832</v>
      </c>
      <c r="X134" s="22" t="s">
        <v>224</v>
      </c>
      <c r="Y134" s="4" t="str">
        <f>IF(Tabela2[[#This Row],[SIGLA]]="","",VLOOKUP(Tabela2[[#This Row],[SIGLA]],Tabela1[[#All],[Sigla Arte]:[Crédito]],2,0))</f>
        <v>ANA KOZUKI/ARQUIVO DA EDITORA</v>
      </c>
      <c r="Z134" s="23"/>
      <c r="AA134" s="23" t="str">
        <f>Tabela2[[#This Row],[ILUSTRADOR CRIAÇÃO]]</f>
        <v>ANA KOZUKI/ARQUIVO DA EDITORA</v>
      </c>
      <c r="AB134" s="22">
        <v>5</v>
      </c>
      <c r="AC134" s="26" t="s">
        <v>353</v>
      </c>
      <c r="AD134" s="20" t="s">
        <v>40</v>
      </c>
      <c r="AE134" s="4" t="str">
        <f t="shared" si="2"/>
        <v>EF1 E002 Ing</v>
      </c>
    </row>
    <row r="135" spans="1:31" s="12" customFormat="1" ht="135" x14ac:dyDescent="0.25">
      <c r="A135" s="23" t="s">
        <v>360</v>
      </c>
      <c r="B135" s="20" t="s">
        <v>32</v>
      </c>
      <c r="C135" s="20" t="s">
        <v>33</v>
      </c>
      <c r="D135" s="20" t="s">
        <v>34</v>
      </c>
      <c r="E135" s="22">
        <v>24</v>
      </c>
      <c r="F135" s="22">
        <v>2</v>
      </c>
      <c r="G135" s="22">
        <v>2</v>
      </c>
      <c r="H135" s="22"/>
      <c r="I135" s="23" t="s">
        <v>36</v>
      </c>
      <c r="J135" s="23"/>
      <c r="K135" s="22"/>
      <c r="L135" s="22"/>
      <c r="M135" s="23"/>
      <c r="N135" s="23"/>
      <c r="O135" s="26" t="s">
        <v>361</v>
      </c>
      <c r="P135" s="26"/>
      <c r="Q135" s="26"/>
      <c r="R135" s="22">
        <v>22</v>
      </c>
      <c r="S135" s="24">
        <v>45808</v>
      </c>
      <c r="T135" s="24">
        <v>45812</v>
      </c>
      <c r="U135" s="24">
        <v>45820</v>
      </c>
      <c r="V135" s="24">
        <v>45826</v>
      </c>
      <c r="W135" s="24">
        <v>45832</v>
      </c>
      <c r="X135" s="22" t="s">
        <v>224</v>
      </c>
      <c r="Y135" s="4" t="str">
        <f>IF(Tabela2[[#This Row],[SIGLA]]="","",VLOOKUP(Tabela2[[#This Row],[SIGLA]],Tabela1[[#All],[Sigla Arte]:[Crédito]],2,0))</f>
        <v>ANA KOZUKI/ARQUIVO DA EDITORA</v>
      </c>
      <c r="Z135" s="23"/>
      <c r="AA135" s="23" t="str">
        <f>Tabela2[[#This Row],[ILUSTRADOR CRIAÇÃO]]</f>
        <v>ANA KOZUKI/ARQUIVO DA EDITORA</v>
      </c>
      <c r="AB135" s="22">
        <v>5</v>
      </c>
      <c r="AC135" s="26" t="s">
        <v>353</v>
      </c>
      <c r="AD135" s="20" t="s">
        <v>40</v>
      </c>
      <c r="AE135" s="4" t="str">
        <f t="shared" si="2"/>
        <v>EF1 E002 Ing</v>
      </c>
    </row>
    <row r="136" spans="1:31" s="12" customFormat="1" ht="105" x14ac:dyDescent="0.25">
      <c r="A136" s="23" t="s">
        <v>362</v>
      </c>
      <c r="B136" s="20" t="s">
        <v>32</v>
      </c>
      <c r="C136" s="20" t="s">
        <v>33</v>
      </c>
      <c r="D136" s="20" t="s">
        <v>34</v>
      </c>
      <c r="E136" s="22">
        <v>26</v>
      </c>
      <c r="F136" s="22">
        <v>2</v>
      </c>
      <c r="G136" s="22">
        <v>2</v>
      </c>
      <c r="H136" s="22"/>
      <c r="I136" s="23" t="s">
        <v>36</v>
      </c>
      <c r="J136" s="23"/>
      <c r="K136" s="22"/>
      <c r="L136" s="22"/>
      <c r="M136" s="23"/>
      <c r="N136" s="23"/>
      <c r="O136" s="26" t="s">
        <v>363</v>
      </c>
      <c r="P136" s="26"/>
      <c r="Q136" s="26"/>
      <c r="R136" s="22">
        <v>22</v>
      </c>
      <c r="S136" s="24">
        <v>45808</v>
      </c>
      <c r="T136" s="24">
        <v>45812</v>
      </c>
      <c r="U136" s="24">
        <v>45820</v>
      </c>
      <c r="V136" s="24">
        <v>45826</v>
      </c>
      <c r="W136" s="24">
        <v>45832</v>
      </c>
      <c r="X136" s="22" t="s">
        <v>224</v>
      </c>
      <c r="Y136" s="4" t="str">
        <f>IF(Tabela2[[#This Row],[SIGLA]]="","",VLOOKUP(Tabela2[[#This Row],[SIGLA]],Tabela1[[#All],[Sigla Arte]:[Crédito]],2,0))</f>
        <v>ANA KOZUKI/ARQUIVO DA EDITORA</v>
      </c>
      <c r="Z136" s="23"/>
      <c r="AA136" s="23" t="str">
        <f>Tabela2[[#This Row],[ILUSTRADOR CRIAÇÃO]]</f>
        <v>ANA KOZUKI/ARQUIVO DA EDITORA</v>
      </c>
      <c r="AB136" s="22">
        <v>6</v>
      </c>
      <c r="AC136" s="26" t="s">
        <v>353</v>
      </c>
      <c r="AD136" s="20" t="s">
        <v>40</v>
      </c>
      <c r="AE136" s="4" t="str">
        <f t="shared" si="2"/>
        <v>EF1 E002 Ing</v>
      </c>
    </row>
    <row r="137" spans="1:31" s="12" customFormat="1" ht="105" x14ac:dyDescent="0.25">
      <c r="A137" s="23" t="s">
        <v>364</v>
      </c>
      <c r="B137" s="20" t="s">
        <v>32</v>
      </c>
      <c r="C137" s="20" t="s">
        <v>33</v>
      </c>
      <c r="D137" s="20" t="s">
        <v>34</v>
      </c>
      <c r="E137" s="22">
        <v>35</v>
      </c>
      <c r="F137" s="22">
        <v>2</v>
      </c>
      <c r="G137" s="22">
        <v>3</v>
      </c>
      <c r="H137" s="22"/>
      <c r="I137" s="23" t="s">
        <v>36</v>
      </c>
      <c r="J137" s="23"/>
      <c r="K137" s="22"/>
      <c r="L137" s="22"/>
      <c r="M137" s="23"/>
      <c r="N137" s="23"/>
      <c r="O137" s="26" t="s">
        <v>365</v>
      </c>
      <c r="P137" s="26"/>
      <c r="Q137" s="26"/>
      <c r="R137" s="22">
        <v>23</v>
      </c>
      <c r="S137" s="24">
        <v>45811</v>
      </c>
      <c r="T137" s="24">
        <v>45825</v>
      </c>
      <c r="U137" s="24">
        <v>45831</v>
      </c>
      <c r="V137" s="24">
        <v>45832</v>
      </c>
      <c r="W137" s="24">
        <v>45834</v>
      </c>
      <c r="X137" s="22" t="s">
        <v>211</v>
      </c>
      <c r="Y137" s="4" t="str">
        <f>IF(Tabela2[[#This Row],[SIGLA]]="","",VLOOKUP(Tabela2[[#This Row],[SIGLA]],Tabela1[[#All],[Sigla Arte]:[Crédito]],2,0))</f>
        <v>KATHARINE FROTA/ARQUIVO DA EDITORA</v>
      </c>
      <c r="Z137" s="23"/>
      <c r="AA137" s="23" t="str">
        <f>Tabela2[[#This Row],[ILUSTRADOR CRIAÇÃO]]</f>
        <v>KATHARINE FROTA/ARQUIVO DA EDITORA</v>
      </c>
      <c r="AB137" s="22">
        <v>4</v>
      </c>
      <c r="AC137" s="20" t="s">
        <v>366</v>
      </c>
      <c r="AD137" s="20" t="s">
        <v>40</v>
      </c>
      <c r="AE137" s="4" t="str">
        <f t="shared" si="2"/>
        <v>EF1 E002 Ing</v>
      </c>
    </row>
    <row r="138" spans="1:31" s="12" customFormat="1" ht="90" x14ac:dyDescent="0.25">
      <c r="A138" s="23" t="s">
        <v>367</v>
      </c>
      <c r="B138" s="20" t="s">
        <v>32</v>
      </c>
      <c r="C138" s="20" t="s">
        <v>33</v>
      </c>
      <c r="D138" s="20" t="s">
        <v>34</v>
      </c>
      <c r="E138" s="22">
        <v>36</v>
      </c>
      <c r="F138" s="22">
        <v>2</v>
      </c>
      <c r="G138" s="22">
        <v>3</v>
      </c>
      <c r="H138" s="22"/>
      <c r="I138" s="23" t="s">
        <v>36</v>
      </c>
      <c r="J138" s="23"/>
      <c r="K138" s="22"/>
      <c r="L138" s="22"/>
      <c r="M138" s="23"/>
      <c r="N138" s="23"/>
      <c r="O138" s="26" t="s">
        <v>368</v>
      </c>
      <c r="P138" s="26"/>
      <c r="Q138" s="26"/>
      <c r="R138" s="22">
        <v>23</v>
      </c>
      <c r="S138" s="24">
        <v>45811</v>
      </c>
      <c r="T138" s="24">
        <v>45825</v>
      </c>
      <c r="U138" s="24">
        <v>45831</v>
      </c>
      <c r="V138" s="24">
        <v>45832</v>
      </c>
      <c r="W138" s="24">
        <v>45834</v>
      </c>
      <c r="X138" s="22" t="s">
        <v>211</v>
      </c>
      <c r="Y138" s="4" t="str">
        <f>IF(Tabela2[[#This Row],[SIGLA]]="","",VLOOKUP(Tabela2[[#This Row],[SIGLA]],Tabela1[[#All],[Sigla Arte]:[Crédito]],2,0))</f>
        <v>KATHARINE FROTA/ARQUIVO DA EDITORA</v>
      </c>
      <c r="Z138" s="23"/>
      <c r="AA138" s="23" t="str">
        <f>Tabela2[[#This Row],[ILUSTRADOR CRIAÇÃO]]</f>
        <v>KATHARINE FROTA/ARQUIVO DA EDITORA</v>
      </c>
      <c r="AB138" s="22">
        <v>4</v>
      </c>
      <c r="AC138" s="20" t="s">
        <v>366</v>
      </c>
      <c r="AD138" s="20" t="s">
        <v>40</v>
      </c>
      <c r="AE138" s="4" t="str">
        <f t="shared" si="2"/>
        <v>EF1 E002 Ing</v>
      </c>
    </row>
    <row r="139" spans="1:31" s="12" customFormat="1" ht="120" x14ac:dyDescent="0.25">
      <c r="A139" s="23" t="s">
        <v>369</v>
      </c>
      <c r="B139" s="20" t="s">
        <v>32</v>
      </c>
      <c r="C139" s="20" t="s">
        <v>33</v>
      </c>
      <c r="D139" s="20" t="s">
        <v>34</v>
      </c>
      <c r="E139" s="22">
        <v>37</v>
      </c>
      <c r="F139" s="22">
        <v>2</v>
      </c>
      <c r="G139" s="22">
        <v>3</v>
      </c>
      <c r="H139" s="22"/>
      <c r="I139" s="23" t="s">
        <v>36</v>
      </c>
      <c r="J139" s="23"/>
      <c r="K139" s="22"/>
      <c r="L139" s="22"/>
      <c r="M139" s="23"/>
      <c r="N139" s="23"/>
      <c r="O139" s="26" t="s">
        <v>370</v>
      </c>
      <c r="P139" s="26"/>
      <c r="Q139" s="26"/>
      <c r="R139" s="22">
        <v>23</v>
      </c>
      <c r="S139" s="24">
        <v>45811</v>
      </c>
      <c r="T139" s="24">
        <v>45825</v>
      </c>
      <c r="U139" s="24">
        <v>45831</v>
      </c>
      <c r="V139" s="24">
        <v>45832</v>
      </c>
      <c r="W139" s="24">
        <v>45834</v>
      </c>
      <c r="X139" s="22" t="s">
        <v>211</v>
      </c>
      <c r="Y139" s="4" t="str">
        <f>IF(Tabela2[[#This Row],[SIGLA]]="","",VLOOKUP(Tabela2[[#This Row],[SIGLA]],Tabela1[[#All],[Sigla Arte]:[Crédito]],2,0))</f>
        <v>KATHARINE FROTA/ARQUIVO DA EDITORA</v>
      </c>
      <c r="Z139" s="23"/>
      <c r="AA139" s="23" t="str">
        <f>Tabela2[[#This Row],[ILUSTRADOR CRIAÇÃO]]</f>
        <v>KATHARINE FROTA/ARQUIVO DA EDITORA</v>
      </c>
      <c r="AB139" s="22">
        <v>5</v>
      </c>
      <c r="AC139" s="20" t="s">
        <v>366</v>
      </c>
      <c r="AD139" s="20" t="s">
        <v>40</v>
      </c>
      <c r="AE139" s="4" t="str">
        <f t="shared" si="2"/>
        <v>EF1 E002 Ing</v>
      </c>
    </row>
    <row r="140" spans="1:31" s="12" customFormat="1" ht="60" x14ac:dyDescent="0.25">
      <c r="A140" s="23" t="s">
        <v>371</v>
      </c>
      <c r="B140" s="20" t="s">
        <v>56</v>
      </c>
      <c r="C140" s="20" t="s">
        <v>33</v>
      </c>
      <c r="D140" s="20" t="s">
        <v>34</v>
      </c>
      <c r="E140" s="22">
        <v>36</v>
      </c>
      <c r="F140" s="22">
        <v>3</v>
      </c>
      <c r="G140" s="22">
        <v>3</v>
      </c>
      <c r="H140" s="22"/>
      <c r="I140" s="23" t="s">
        <v>36</v>
      </c>
      <c r="J140" s="23"/>
      <c r="K140" s="22"/>
      <c r="L140" s="22"/>
      <c r="M140" s="23"/>
      <c r="N140" s="23"/>
      <c r="O140" s="26" t="s">
        <v>372</v>
      </c>
      <c r="P140" s="26"/>
      <c r="Q140" s="26"/>
      <c r="R140" s="22">
        <v>24</v>
      </c>
      <c r="S140" s="24">
        <v>45818</v>
      </c>
      <c r="T140" s="24">
        <v>45825</v>
      </c>
      <c r="U140" s="24">
        <v>45832</v>
      </c>
      <c r="V140" s="24">
        <v>45833</v>
      </c>
      <c r="W140" s="24">
        <v>45835</v>
      </c>
      <c r="X140" s="22" t="s">
        <v>95</v>
      </c>
      <c r="Y140" s="4" t="str">
        <f>IF(Tabela2[[#This Row],[SIGLA]]="","",VLOOKUP(Tabela2[[#This Row],[SIGLA]],Tabela1[[#All],[Sigla Arte]:[Crédito]],2,0))</f>
        <v>LEONARDO DE MOURA AMARAL/ARQUIVO DA EDITORA</v>
      </c>
      <c r="Z140" s="23"/>
      <c r="AA140" s="23" t="str">
        <f>Tabela2[[#This Row],[ILUSTRADOR CRIAÇÃO]]</f>
        <v>LEONARDO DE MOURA AMARAL/ARQUIVO DA EDITORA</v>
      </c>
      <c r="AB140" s="22">
        <v>4</v>
      </c>
      <c r="AC140" s="20" t="s">
        <v>373</v>
      </c>
      <c r="AD140" s="20" t="s">
        <v>40</v>
      </c>
      <c r="AE140" s="4" t="str">
        <f t="shared" si="2"/>
        <v>EF1 E002 Ing</v>
      </c>
    </row>
    <row r="141" spans="1:31" s="12" customFormat="1" ht="75" x14ac:dyDescent="0.25">
      <c r="A141" s="23" t="s">
        <v>374</v>
      </c>
      <c r="B141" s="20" t="s">
        <v>56</v>
      </c>
      <c r="C141" s="20" t="s">
        <v>33</v>
      </c>
      <c r="D141" s="20" t="s">
        <v>34</v>
      </c>
      <c r="E141" s="22">
        <v>41</v>
      </c>
      <c r="F141" s="22">
        <v>3</v>
      </c>
      <c r="G141" s="22">
        <v>3</v>
      </c>
      <c r="H141" s="22"/>
      <c r="I141" s="23" t="s">
        <v>36</v>
      </c>
      <c r="J141" s="23"/>
      <c r="K141" s="22"/>
      <c r="L141" s="22"/>
      <c r="M141" s="23"/>
      <c r="N141" s="23"/>
      <c r="O141" s="26" t="s">
        <v>375</v>
      </c>
      <c r="P141" s="41" t="s">
        <v>376</v>
      </c>
      <c r="Q141" s="26"/>
      <c r="R141" s="22">
        <v>24</v>
      </c>
      <c r="S141" s="24">
        <v>45818</v>
      </c>
      <c r="T141" s="24">
        <v>45828</v>
      </c>
      <c r="U141" s="24"/>
      <c r="V141" s="24"/>
      <c r="W141" s="24">
        <v>45828</v>
      </c>
      <c r="X141" s="22" t="s">
        <v>377</v>
      </c>
      <c r="Y141" s="4" t="str">
        <f>IF(Tabela2[[#This Row],[SIGLA]]="","",VLOOKUP(Tabela2[[#This Row],[SIGLA]],Tabela1[[#All],[Sigla Arte]:[Crédito]],2,0))</f>
        <v>FELIPE GRIGOLI/ARQUIVO DA EDITORA</v>
      </c>
      <c r="Z141" s="23"/>
      <c r="AA141" s="23" t="str">
        <f>Tabela2[[#This Row],[ILUSTRADOR CRIAÇÃO]]</f>
        <v>FELIPE GRIGOLI/ARQUIVO DA EDITORA</v>
      </c>
      <c r="AB141" s="22">
        <v>13</v>
      </c>
      <c r="AC141" s="20" t="s">
        <v>378</v>
      </c>
      <c r="AD141" s="20" t="s">
        <v>58</v>
      </c>
      <c r="AE141" s="4" t="str">
        <f t="shared" si="2"/>
        <v>EF1 E002 Ing</v>
      </c>
    </row>
    <row r="142" spans="1:31" s="12" customFormat="1" ht="270" x14ac:dyDescent="0.25">
      <c r="A142" s="23" t="s">
        <v>379</v>
      </c>
      <c r="B142" s="20" t="s">
        <v>56</v>
      </c>
      <c r="C142" s="20" t="s">
        <v>33</v>
      </c>
      <c r="D142" s="20" t="s">
        <v>34</v>
      </c>
      <c r="E142" s="22">
        <v>42</v>
      </c>
      <c r="F142" s="22">
        <v>3</v>
      </c>
      <c r="G142" s="22">
        <v>3</v>
      </c>
      <c r="H142" s="22"/>
      <c r="I142" s="23" t="s">
        <v>36</v>
      </c>
      <c r="J142" s="23"/>
      <c r="K142" s="22"/>
      <c r="L142" s="22"/>
      <c r="M142" s="23"/>
      <c r="N142" s="23"/>
      <c r="O142" s="26" t="s">
        <v>380</v>
      </c>
      <c r="P142" s="26"/>
      <c r="Q142" s="26"/>
      <c r="R142" s="22">
        <v>24</v>
      </c>
      <c r="S142" s="24">
        <v>45818</v>
      </c>
      <c r="T142" s="24">
        <v>45828</v>
      </c>
      <c r="U142" s="24"/>
      <c r="V142" s="24"/>
      <c r="W142" s="24">
        <v>45828</v>
      </c>
      <c r="X142" s="22" t="s">
        <v>377</v>
      </c>
      <c r="Y142" s="4" t="str">
        <f>IF(Tabela2[[#This Row],[SIGLA]]="","",VLOOKUP(Tabela2[[#This Row],[SIGLA]],Tabela1[[#All],[Sigla Arte]:[Crédito]],2,0))</f>
        <v>FELIPE GRIGOLI/ARQUIVO DA EDITORA</v>
      </c>
      <c r="Z142" s="23"/>
      <c r="AA142" s="23" t="str">
        <f>Tabela2[[#This Row],[ILUSTRADOR CRIAÇÃO]]</f>
        <v>FELIPE GRIGOLI/ARQUIVO DA EDITORA</v>
      </c>
      <c r="AB142" s="22">
        <v>13</v>
      </c>
      <c r="AC142" s="20" t="s">
        <v>378</v>
      </c>
      <c r="AD142" s="20" t="s">
        <v>58</v>
      </c>
      <c r="AE142" s="4" t="str">
        <f t="shared" si="2"/>
        <v>EF1 E002 Ing</v>
      </c>
    </row>
    <row r="143" spans="1:31" s="12" customFormat="1" ht="165" x14ac:dyDescent="0.25">
      <c r="A143" s="23" t="s">
        <v>381</v>
      </c>
      <c r="B143" s="20" t="s">
        <v>56</v>
      </c>
      <c r="C143" s="20" t="s">
        <v>33</v>
      </c>
      <c r="D143" s="20" t="s">
        <v>34</v>
      </c>
      <c r="E143" s="22">
        <v>43</v>
      </c>
      <c r="F143" s="22">
        <v>3</v>
      </c>
      <c r="G143" s="22">
        <v>3</v>
      </c>
      <c r="H143" s="22"/>
      <c r="I143" s="23" t="s">
        <v>36</v>
      </c>
      <c r="J143" s="23"/>
      <c r="K143" s="22"/>
      <c r="L143" s="22"/>
      <c r="M143" s="23"/>
      <c r="N143" s="23"/>
      <c r="O143" s="26" t="s">
        <v>382</v>
      </c>
      <c r="P143" s="26"/>
      <c r="Q143" s="26"/>
      <c r="R143" s="22">
        <v>24</v>
      </c>
      <c r="S143" s="24">
        <v>45818</v>
      </c>
      <c r="T143" s="24">
        <v>45825</v>
      </c>
      <c r="U143" s="24"/>
      <c r="V143" s="24"/>
      <c r="W143" s="24">
        <v>45834</v>
      </c>
      <c r="X143" s="22" t="s">
        <v>383</v>
      </c>
      <c r="Y143" s="4" t="str">
        <f>IF(Tabela2[[#This Row],[SIGLA]]="","",VLOOKUP(Tabela2[[#This Row],[SIGLA]],Tabela1[[#All],[Sigla Arte]:[Crédito]],2,0))</f>
        <v>JACQUELINE LIMA/ARQUIVO DA EDITORA</v>
      </c>
      <c r="Z143" s="23"/>
      <c r="AA143" s="23" t="str">
        <f>Tabela2[[#This Row],[ILUSTRADOR CRIAÇÃO]]</f>
        <v>JACQUELINE LIMA/ARQUIVO DA EDITORA</v>
      </c>
      <c r="AB143" s="22">
        <v>4</v>
      </c>
      <c r="AC143" s="20" t="s">
        <v>384</v>
      </c>
      <c r="AD143" s="20" t="s">
        <v>40</v>
      </c>
      <c r="AE143" s="4" t="str">
        <f t="shared" si="2"/>
        <v>EF1 E002 Ing</v>
      </c>
    </row>
    <row r="144" spans="1:31" s="12" customFormat="1" ht="45" x14ac:dyDescent="0.25">
      <c r="A144" s="23" t="s">
        <v>385</v>
      </c>
      <c r="B144" s="20" t="s">
        <v>32</v>
      </c>
      <c r="C144" s="20" t="s">
        <v>33</v>
      </c>
      <c r="D144" s="20" t="s">
        <v>34</v>
      </c>
      <c r="E144" s="22">
        <v>41</v>
      </c>
      <c r="F144" s="22">
        <v>2</v>
      </c>
      <c r="G144" s="22">
        <v>4</v>
      </c>
      <c r="H144" s="22"/>
      <c r="I144" s="23" t="s">
        <v>36</v>
      </c>
      <c r="J144" s="23"/>
      <c r="K144" s="22"/>
      <c r="L144" s="22"/>
      <c r="M144" s="23"/>
      <c r="N144" s="23"/>
      <c r="O144" s="26" t="s">
        <v>386</v>
      </c>
      <c r="P144" s="26"/>
      <c r="Q144" s="26"/>
      <c r="R144" s="22">
        <v>25</v>
      </c>
      <c r="S144" s="24">
        <v>45821</v>
      </c>
      <c r="T144" s="24">
        <v>45826</v>
      </c>
      <c r="U144" s="24"/>
      <c r="V144" s="24"/>
      <c r="W144" s="24">
        <v>45831</v>
      </c>
      <c r="X144" s="22" t="s">
        <v>259</v>
      </c>
      <c r="Y144" s="4" t="str">
        <f>IF(Tabela2[[#This Row],[SIGLA]]="","",VLOOKUP(Tabela2[[#This Row],[SIGLA]],Tabela1[[#All],[Sigla Arte]:[Crédito]],2,0))</f>
        <v>CAMILA CARMONA/ARQUIVO DA EDITORA</v>
      </c>
      <c r="Z144" s="23"/>
      <c r="AA144" s="23" t="str">
        <f>Tabela2[[#This Row],[ILUSTRADOR CRIAÇÃO]]</f>
        <v>CAMILA CARMONA/ARQUIVO DA EDITORA</v>
      </c>
      <c r="AB144" s="22">
        <v>8</v>
      </c>
      <c r="AC144" s="20" t="s">
        <v>387</v>
      </c>
      <c r="AD144" s="20" t="s">
        <v>40</v>
      </c>
      <c r="AE144" s="4" t="str">
        <f t="shared" si="2"/>
        <v>EF1 E002 Ing</v>
      </c>
    </row>
    <row r="145" spans="1:31" s="12" customFormat="1" ht="45" x14ac:dyDescent="0.25">
      <c r="A145" s="42" t="s">
        <v>388</v>
      </c>
      <c r="B145" s="20" t="s">
        <v>32</v>
      </c>
      <c r="C145" s="20" t="s">
        <v>33</v>
      </c>
      <c r="D145" s="20" t="s">
        <v>34</v>
      </c>
      <c r="E145" s="22">
        <v>41</v>
      </c>
      <c r="F145" s="22">
        <v>2</v>
      </c>
      <c r="G145" s="22">
        <v>4</v>
      </c>
      <c r="H145" s="22"/>
      <c r="I145" s="23" t="s">
        <v>36</v>
      </c>
      <c r="J145" s="23"/>
      <c r="K145" s="22"/>
      <c r="L145" s="22"/>
      <c r="M145" s="23"/>
      <c r="N145" s="23"/>
      <c r="O145" s="26" t="s">
        <v>389</v>
      </c>
      <c r="P145" s="26"/>
      <c r="Q145" s="26"/>
      <c r="R145" s="22">
        <v>25</v>
      </c>
      <c r="S145" s="24">
        <v>45821</v>
      </c>
      <c r="T145" s="24">
        <v>45826</v>
      </c>
      <c r="U145" s="24"/>
      <c r="V145" s="24"/>
      <c r="W145" s="24">
        <v>45831</v>
      </c>
      <c r="X145" s="22" t="s">
        <v>259</v>
      </c>
      <c r="Y145" s="4" t="str">
        <f>IF(Tabela2[[#This Row],[SIGLA]]="","",VLOOKUP(Tabela2[[#This Row],[SIGLA]],Tabela1[[#All],[Sigla Arte]:[Crédito]],2,0))</f>
        <v>CAMILA CARMONA/ARQUIVO DA EDITORA</v>
      </c>
      <c r="Z145" s="23"/>
      <c r="AA145" s="23" t="str">
        <f>Tabela2[[#This Row],[ILUSTRADOR CRIAÇÃO]]</f>
        <v>CAMILA CARMONA/ARQUIVO DA EDITORA</v>
      </c>
      <c r="AB145" s="22">
        <v>8</v>
      </c>
      <c r="AC145" s="20" t="s">
        <v>387</v>
      </c>
      <c r="AD145" s="20" t="s">
        <v>40</v>
      </c>
      <c r="AE145" s="4" t="str">
        <f t="shared" si="2"/>
        <v>EF1 E002 Ing</v>
      </c>
    </row>
    <row r="146" spans="1:31" s="12" customFormat="1" ht="45" x14ac:dyDescent="0.25">
      <c r="A146" s="42" t="s">
        <v>390</v>
      </c>
      <c r="B146" s="20" t="s">
        <v>32</v>
      </c>
      <c r="C146" s="20" t="s">
        <v>33</v>
      </c>
      <c r="D146" s="20" t="s">
        <v>34</v>
      </c>
      <c r="E146" s="22">
        <v>41</v>
      </c>
      <c r="F146" s="22">
        <v>2</v>
      </c>
      <c r="G146" s="22">
        <v>4</v>
      </c>
      <c r="H146" s="22"/>
      <c r="I146" s="23" t="s">
        <v>36</v>
      </c>
      <c r="J146" s="23"/>
      <c r="K146" s="22"/>
      <c r="L146" s="22"/>
      <c r="M146" s="23"/>
      <c r="N146" s="23"/>
      <c r="O146" s="26" t="s">
        <v>391</v>
      </c>
      <c r="P146" s="26"/>
      <c r="Q146" s="26"/>
      <c r="R146" s="22">
        <v>25</v>
      </c>
      <c r="S146" s="24">
        <v>45821</v>
      </c>
      <c r="T146" s="24">
        <v>45826</v>
      </c>
      <c r="U146" s="24"/>
      <c r="V146" s="24"/>
      <c r="W146" s="24">
        <v>45831</v>
      </c>
      <c r="X146" s="22" t="s">
        <v>259</v>
      </c>
      <c r="Y146" s="4" t="str">
        <f>IF(Tabela2[[#This Row],[SIGLA]]="","",VLOOKUP(Tabela2[[#This Row],[SIGLA]],Tabela1[[#All],[Sigla Arte]:[Crédito]],2,0))</f>
        <v>CAMILA CARMONA/ARQUIVO DA EDITORA</v>
      </c>
      <c r="Z146" s="23"/>
      <c r="AA146" s="23" t="str">
        <f>Tabela2[[#This Row],[ILUSTRADOR CRIAÇÃO]]</f>
        <v>CAMILA CARMONA/ARQUIVO DA EDITORA</v>
      </c>
      <c r="AB146" s="22">
        <v>8</v>
      </c>
      <c r="AC146" s="20" t="s">
        <v>387</v>
      </c>
      <c r="AD146" s="20" t="s">
        <v>40</v>
      </c>
      <c r="AE146" s="4" t="str">
        <f t="shared" si="2"/>
        <v>EF1 E002 Ing</v>
      </c>
    </row>
    <row r="147" spans="1:31" s="12" customFormat="1" ht="45" x14ac:dyDescent="0.25">
      <c r="A147" s="42" t="s">
        <v>392</v>
      </c>
      <c r="B147" s="20" t="s">
        <v>32</v>
      </c>
      <c r="C147" s="20" t="s">
        <v>33</v>
      </c>
      <c r="D147" s="20" t="s">
        <v>34</v>
      </c>
      <c r="E147" s="22">
        <v>41</v>
      </c>
      <c r="F147" s="22">
        <v>2</v>
      </c>
      <c r="G147" s="22">
        <v>4</v>
      </c>
      <c r="H147" s="22"/>
      <c r="I147" s="23" t="s">
        <v>36</v>
      </c>
      <c r="J147" s="23"/>
      <c r="K147" s="22"/>
      <c r="L147" s="22"/>
      <c r="M147" s="23"/>
      <c r="N147" s="23"/>
      <c r="O147" s="26" t="s">
        <v>393</v>
      </c>
      <c r="P147" s="26"/>
      <c r="Q147" s="26"/>
      <c r="R147" s="22">
        <v>25</v>
      </c>
      <c r="S147" s="24">
        <v>45821</v>
      </c>
      <c r="T147" s="24">
        <v>45826</v>
      </c>
      <c r="U147" s="24"/>
      <c r="V147" s="24"/>
      <c r="W147" s="24">
        <v>45831</v>
      </c>
      <c r="X147" s="22" t="s">
        <v>259</v>
      </c>
      <c r="Y147" s="4" t="str">
        <f>IF(Tabela2[[#This Row],[SIGLA]]="","",VLOOKUP(Tabela2[[#This Row],[SIGLA]],Tabela1[[#All],[Sigla Arte]:[Crédito]],2,0))</f>
        <v>CAMILA CARMONA/ARQUIVO DA EDITORA</v>
      </c>
      <c r="Z147" s="23"/>
      <c r="AA147" s="23" t="str">
        <f>Tabela2[[#This Row],[ILUSTRADOR CRIAÇÃO]]</f>
        <v>CAMILA CARMONA/ARQUIVO DA EDITORA</v>
      </c>
      <c r="AB147" s="22">
        <v>8</v>
      </c>
      <c r="AC147" s="20" t="s">
        <v>387</v>
      </c>
      <c r="AD147" s="20" t="s">
        <v>40</v>
      </c>
      <c r="AE147" s="4" t="str">
        <f t="shared" si="2"/>
        <v>EF1 E002 Ing</v>
      </c>
    </row>
    <row r="148" spans="1:31" s="12" customFormat="1" ht="45" x14ac:dyDescent="0.25">
      <c r="A148" s="42" t="s">
        <v>394</v>
      </c>
      <c r="B148" s="20" t="s">
        <v>32</v>
      </c>
      <c r="C148" s="20" t="s">
        <v>33</v>
      </c>
      <c r="D148" s="20" t="s">
        <v>34</v>
      </c>
      <c r="E148" s="22">
        <v>41</v>
      </c>
      <c r="F148" s="22">
        <v>2</v>
      </c>
      <c r="G148" s="22">
        <v>4</v>
      </c>
      <c r="H148" s="22"/>
      <c r="I148" s="23" t="s">
        <v>36</v>
      </c>
      <c r="J148" s="23"/>
      <c r="K148" s="22"/>
      <c r="L148" s="22"/>
      <c r="M148" s="23"/>
      <c r="N148" s="23"/>
      <c r="O148" s="26" t="s">
        <v>395</v>
      </c>
      <c r="P148" s="26"/>
      <c r="Q148" s="26"/>
      <c r="R148" s="22">
        <v>25</v>
      </c>
      <c r="S148" s="24">
        <v>45821</v>
      </c>
      <c r="T148" s="24">
        <v>45826</v>
      </c>
      <c r="U148" s="24"/>
      <c r="V148" s="24"/>
      <c r="W148" s="24">
        <v>45831</v>
      </c>
      <c r="X148" s="22" t="s">
        <v>259</v>
      </c>
      <c r="Y148" s="4" t="str">
        <f>IF(Tabela2[[#This Row],[SIGLA]]="","",VLOOKUP(Tabela2[[#This Row],[SIGLA]],Tabela1[[#All],[Sigla Arte]:[Crédito]],2,0))</f>
        <v>CAMILA CARMONA/ARQUIVO DA EDITORA</v>
      </c>
      <c r="Z148" s="23"/>
      <c r="AA148" s="23" t="str">
        <f>Tabela2[[#This Row],[ILUSTRADOR CRIAÇÃO]]</f>
        <v>CAMILA CARMONA/ARQUIVO DA EDITORA</v>
      </c>
      <c r="AB148" s="22">
        <v>8</v>
      </c>
      <c r="AC148" s="20" t="s">
        <v>387</v>
      </c>
      <c r="AD148" s="20" t="s">
        <v>40</v>
      </c>
      <c r="AE148" s="4" t="str">
        <f t="shared" si="2"/>
        <v>EF1 E002 Ing</v>
      </c>
    </row>
    <row r="149" spans="1:31" s="12" customFormat="1" ht="30" x14ac:dyDescent="0.25">
      <c r="A149" s="23" t="s">
        <v>396</v>
      </c>
      <c r="B149" s="20" t="s">
        <v>32</v>
      </c>
      <c r="C149" s="20" t="s">
        <v>33</v>
      </c>
      <c r="D149" s="20" t="s">
        <v>34</v>
      </c>
      <c r="E149" s="22">
        <v>41</v>
      </c>
      <c r="F149" s="22">
        <v>2</v>
      </c>
      <c r="G149" s="22">
        <v>4</v>
      </c>
      <c r="H149" s="22"/>
      <c r="I149" s="23" t="s">
        <v>36</v>
      </c>
      <c r="J149" s="23"/>
      <c r="K149" s="22"/>
      <c r="L149" s="22"/>
      <c r="M149" s="23"/>
      <c r="N149" s="23"/>
      <c r="O149" s="26" t="s">
        <v>397</v>
      </c>
      <c r="P149" s="26"/>
      <c r="Q149" s="26"/>
      <c r="R149" s="22">
        <v>25</v>
      </c>
      <c r="S149" s="24">
        <v>45821</v>
      </c>
      <c r="T149" s="24">
        <v>45826</v>
      </c>
      <c r="U149" s="24"/>
      <c r="V149" s="24"/>
      <c r="W149" s="24">
        <v>45831</v>
      </c>
      <c r="X149" s="22" t="s">
        <v>259</v>
      </c>
      <c r="Y149" s="4" t="str">
        <f>IF(Tabela2[[#This Row],[SIGLA]]="","",VLOOKUP(Tabela2[[#This Row],[SIGLA]],Tabela1[[#All],[Sigla Arte]:[Crédito]],2,0))</f>
        <v>CAMILA CARMONA/ARQUIVO DA EDITORA</v>
      </c>
      <c r="Z149" s="23"/>
      <c r="AA149" s="23" t="str">
        <f>Tabela2[[#This Row],[ILUSTRADOR CRIAÇÃO]]</f>
        <v>CAMILA CARMONA/ARQUIVO DA EDITORA</v>
      </c>
      <c r="AB149" s="22">
        <v>13</v>
      </c>
      <c r="AC149" s="20" t="s">
        <v>387</v>
      </c>
      <c r="AD149" s="20" t="s">
        <v>40</v>
      </c>
      <c r="AE149" s="4" t="str">
        <f t="shared" si="2"/>
        <v>EF1 E002 Ing</v>
      </c>
    </row>
    <row r="150" spans="1:31" s="12" customFormat="1" ht="120" x14ac:dyDescent="0.25">
      <c r="A150" s="23" t="s">
        <v>398</v>
      </c>
      <c r="B150" s="20" t="s">
        <v>32</v>
      </c>
      <c r="C150" s="20" t="s">
        <v>33</v>
      </c>
      <c r="D150" s="20" t="s">
        <v>34</v>
      </c>
      <c r="E150" s="22">
        <v>42</v>
      </c>
      <c r="F150" s="22">
        <v>2</v>
      </c>
      <c r="G150" s="22">
        <v>4</v>
      </c>
      <c r="H150" s="22"/>
      <c r="I150" s="23" t="s">
        <v>36</v>
      </c>
      <c r="J150" s="23"/>
      <c r="K150" s="22"/>
      <c r="L150" s="22"/>
      <c r="M150" s="23"/>
      <c r="N150" s="23"/>
      <c r="O150" s="26" t="s">
        <v>399</v>
      </c>
      <c r="P150" s="26"/>
      <c r="Q150" s="26"/>
      <c r="R150" s="22">
        <v>25</v>
      </c>
      <c r="S150" s="24">
        <v>45821</v>
      </c>
      <c r="T150" s="24">
        <v>45826</v>
      </c>
      <c r="U150" s="24">
        <v>45832</v>
      </c>
      <c r="V150" s="24">
        <v>45832</v>
      </c>
      <c r="W150" s="24">
        <v>45835</v>
      </c>
      <c r="X150" s="22" t="s">
        <v>95</v>
      </c>
      <c r="Y150" s="4" t="str">
        <f>IF(Tabela2[[#This Row],[SIGLA]]="","",VLOOKUP(Tabela2[[#This Row],[SIGLA]],Tabela1[[#All],[Sigla Arte]:[Crédito]],2,0))</f>
        <v>LEONARDO DE MOURA AMARAL/ARQUIVO DA EDITORA</v>
      </c>
      <c r="Z150" s="23"/>
      <c r="AA150" s="23" t="str">
        <f>Tabela2[[#This Row],[ILUSTRADOR CRIAÇÃO]]</f>
        <v>LEONARDO DE MOURA AMARAL/ARQUIVO DA EDITORA</v>
      </c>
      <c r="AB150" s="22">
        <v>4</v>
      </c>
      <c r="AC150" s="20" t="s">
        <v>400</v>
      </c>
      <c r="AD150" s="20" t="s">
        <v>40</v>
      </c>
      <c r="AE150" s="4" t="str">
        <f t="shared" si="2"/>
        <v>EF1 E002 Ing</v>
      </c>
    </row>
    <row r="151" spans="1:31" s="12" customFormat="1" ht="105" x14ac:dyDescent="0.25">
      <c r="A151" s="23" t="s">
        <v>401</v>
      </c>
      <c r="B151" s="20" t="s">
        <v>32</v>
      </c>
      <c r="C151" s="20" t="s">
        <v>33</v>
      </c>
      <c r="D151" s="20" t="s">
        <v>34</v>
      </c>
      <c r="E151" s="22">
        <v>43</v>
      </c>
      <c r="F151" s="22">
        <v>2</v>
      </c>
      <c r="G151" s="22">
        <v>4</v>
      </c>
      <c r="H151" s="22"/>
      <c r="I151" s="23" t="s">
        <v>36</v>
      </c>
      <c r="J151" s="23"/>
      <c r="K151" s="22"/>
      <c r="L151" s="22"/>
      <c r="M151" s="23"/>
      <c r="N151" s="23"/>
      <c r="O151" s="26" t="s">
        <v>402</v>
      </c>
      <c r="P151" s="26"/>
      <c r="Q151" s="26"/>
      <c r="R151" s="22">
        <v>25</v>
      </c>
      <c r="S151" s="24">
        <v>45821</v>
      </c>
      <c r="T151" s="24">
        <v>45826</v>
      </c>
      <c r="U151" s="24">
        <v>45832</v>
      </c>
      <c r="V151" s="24">
        <v>45832</v>
      </c>
      <c r="W151" s="24">
        <v>45835</v>
      </c>
      <c r="X151" s="22" t="s">
        <v>95</v>
      </c>
      <c r="Y151" s="4" t="str">
        <f>IF(Tabela2[[#This Row],[SIGLA]]="","",VLOOKUP(Tabela2[[#This Row],[SIGLA]],Tabela1[[#All],[Sigla Arte]:[Crédito]],2,0))</f>
        <v>LEONARDO DE MOURA AMARAL/ARQUIVO DA EDITORA</v>
      </c>
      <c r="Z151" s="23"/>
      <c r="AA151" s="23" t="str">
        <f>Tabela2[[#This Row],[ILUSTRADOR CRIAÇÃO]]</f>
        <v>LEONARDO DE MOURA AMARAL/ARQUIVO DA EDITORA</v>
      </c>
      <c r="AB151" s="22">
        <v>4</v>
      </c>
      <c r="AC151" s="20" t="s">
        <v>400</v>
      </c>
      <c r="AD151" s="20" t="s">
        <v>40</v>
      </c>
      <c r="AE151" s="4" t="str">
        <f t="shared" si="2"/>
        <v>EF1 E002 Ing</v>
      </c>
    </row>
    <row r="152" spans="1:31" s="12" customFormat="1" ht="135" x14ac:dyDescent="0.25">
      <c r="A152" s="23" t="s">
        <v>403</v>
      </c>
      <c r="B152" s="20" t="s">
        <v>32</v>
      </c>
      <c r="C152" s="20" t="s">
        <v>33</v>
      </c>
      <c r="D152" s="20" t="s">
        <v>34</v>
      </c>
      <c r="E152" s="22">
        <v>44</v>
      </c>
      <c r="F152" s="22">
        <v>2</v>
      </c>
      <c r="G152" s="22">
        <v>4</v>
      </c>
      <c r="H152" s="22"/>
      <c r="I152" s="23" t="s">
        <v>36</v>
      </c>
      <c r="J152" s="23"/>
      <c r="K152" s="22"/>
      <c r="L152" s="22"/>
      <c r="M152" s="23"/>
      <c r="N152" s="23"/>
      <c r="O152" s="26" t="s">
        <v>404</v>
      </c>
      <c r="P152" s="26"/>
      <c r="Q152" s="26"/>
      <c r="R152" s="22">
        <v>25</v>
      </c>
      <c r="S152" s="24">
        <v>45821</v>
      </c>
      <c r="T152" s="24">
        <v>45826</v>
      </c>
      <c r="U152" s="24">
        <v>45832</v>
      </c>
      <c r="V152" s="24">
        <v>45832</v>
      </c>
      <c r="W152" s="24">
        <v>45835</v>
      </c>
      <c r="X152" s="22" t="s">
        <v>95</v>
      </c>
      <c r="Y152" s="4" t="str">
        <f>IF(Tabela2[[#This Row],[SIGLA]]="","",VLOOKUP(Tabela2[[#This Row],[SIGLA]],Tabela1[[#All],[Sigla Arte]:[Crédito]],2,0))</f>
        <v>LEONARDO DE MOURA AMARAL/ARQUIVO DA EDITORA</v>
      </c>
      <c r="Z152" s="23"/>
      <c r="AA152" s="23" t="str">
        <f>Tabela2[[#This Row],[ILUSTRADOR CRIAÇÃO]]</f>
        <v>LEONARDO DE MOURA AMARAL/ARQUIVO DA EDITORA</v>
      </c>
      <c r="AB152" s="22">
        <v>6</v>
      </c>
      <c r="AC152" s="20" t="s">
        <v>400</v>
      </c>
      <c r="AD152" s="20" t="s">
        <v>40</v>
      </c>
      <c r="AE152" s="4" t="str">
        <f t="shared" si="2"/>
        <v>EF1 E002 Ing</v>
      </c>
    </row>
    <row r="153" spans="1:31" s="12" customFormat="1" ht="45" x14ac:dyDescent="0.25">
      <c r="A153" s="23" t="s">
        <v>405</v>
      </c>
      <c r="B153" s="20" t="s">
        <v>32</v>
      </c>
      <c r="C153" s="20" t="s">
        <v>33</v>
      </c>
      <c r="D153" s="20" t="s">
        <v>34</v>
      </c>
      <c r="E153" s="22">
        <v>75</v>
      </c>
      <c r="F153" s="22">
        <v>2</v>
      </c>
      <c r="G153" s="22"/>
      <c r="H153" s="22"/>
      <c r="I153" s="23" t="s">
        <v>36</v>
      </c>
      <c r="J153" s="23"/>
      <c r="K153" s="22"/>
      <c r="L153" s="22"/>
      <c r="M153" s="23"/>
      <c r="N153" s="23"/>
      <c r="O153" s="26" t="s">
        <v>406</v>
      </c>
      <c r="P153" s="26"/>
      <c r="Q153" s="26"/>
      <c r="R153" s="22">
        <v>26</v>
      </c>
      <c r="S153" s="24">
        <v>45821</v>
      </c>
      <c r="T153" s="24">
        <v>45826</v>
      </c>
      <c r="U153" s="24"/>
      <c r="V153" s="24"/>
      <c r="W153" s="24">
        <v>45831</v>
      </c>
      <c r="X153" s="22" t="s">
        <v>259</v>
      </c>
      <c r="Y153" s="4" t="str">
        <f>IF(Tabela2[[#This Row],[SIGLA]]="","",VLOOKUP(Tabela2[[#This Row],[SIGLA]],Tabela1[[#All],[Sigla Arte]:[Crédito]],2,0))</f>
        <v>CAMILA CARMONA/ARQUIVO DA EDITORA</v>
      </c>
      <c r="Z153" s="23"/>
      <c r="AA153" s="23" t="str">
        <f>Tabela2[[#This Row],[ILUSTRADOR CRIAÇÃO]]</f>
        <v>CAMILA CARMONA/ARQUIVO DA EDITORA</v>
      </c>
      <c r="AB153" s="22">
        <v>6</v>
      </c>
      <c r="AC153" s="20" t="s">
        <v>387</v>
      </c>
      <c r="AD153" s="20" t="s">
        <v>40</v>
      </c>
      <c r="AE153" s="4" t="str">
        <f t="shared" si="2"/>
        <v>EF1 E002 Ing</v>
      </c>
    </row>
    <row r="154" spans="1:31" s="12" customFormat="1" ht="75" x14ac:dyDescent="0.25">
      <c r="A154" s="23" t="s">
        <v>407</v>
      </c>
      <c r="B154" s="20" t="s">
        <v>32</v>
      </c>
      <c r="C154" s="20" t="s">
        <v>33</v>
      </c>
      <c r="D154" s="20" t="s">
        <v>34</v>
      </c>
      <c r="E154" s="22">
        <v>77</v>
      </c>
      <c r="F154" s="22">
        <v>2</v>
      </c>
      <c r="G154" s="22">
        <v>5</v>
      </c>
      <c r="H154" s="22"/>
      <c r="I154" s="23" t="s">
        <v>36</v>
      </c>
      <c r="J154" s="23"/>
      <c r="K154" s="22"/>
      <c r="L154" s="22"/>
      <c r="M154" s="23"/>
      <c r="N154" s="23"/>
      <c r="O154" s="26" t="s">
        <v>408</v>
      </c>
      <c r="P154" s="26"/>
      <c r="Q154" s="26"/>
      <c r="R154" s="22">
        <v>26</v>
      </c>
      <c r="S154" s="24">
        <v>45821</v>
      </c>
      <c r="T154" s="24">
        <v>45826</v>
      </c>
      <c r="U154" s="24">
        <v>45832</v>
      </c>
      <c r="V154" s="24">
        <v>45833</v>
      </c>
      <c r="W154" s="24">
        <v>45835</v>
      </c>
      <c r="X154" s="22" t="s">
        <v>54</v>
      </c>
      <c r="Y154" s="4" t="str">
        <f>IF(Tabela2[[#This Row],[SIGLA]]="","",VLOOKUP(Tabela2[[#This Row],[SIGLA]],Tabela1[[#All],[Sigla Arte]:[Crédito]],2,0))</f>
        <v>RAYANNE CARDOSO/ARQUIVO DA EDITORA</v>
      </c>
      <c r="Z154" s="23"/>
      <c r="AA154" s="23" t="str">
        <f>Tabela2[[#This Row],[ILUSTRADOR CRIAÇÃO]]</f>
        <v>RAYANNE CARDOSO/ARQUIVO DA EDITORA</v>
      </c>
      <c r="AB154" s="22">
        <v>14</v>
      </c>
      <c r="AC154" s="20" t="s">
        <v>409</v>
      </c>
      <c r="AD154" s="20" t="s">
        <v>40</v>
      </c>
      <c r="AE154" s="4" t="str">
        <f t="shared" si="2"/>
        <v>EF1 E002 Ing</v>
      </c>
    </row>
    <row r="155" spans="1:31" s="12" customFormat="1" ht="60" x14ac:dyDescent="0.25">
      <c r="A155" s="23" t="s">
        <v>410</v>
      </c>
      <c r="B155" s="20" t="s">
        <v>32</v>
      </c>
      <c r="C155" s="20" t="s">
        <v>33</v>
      </c>
      <c r="D155" s="20" t="s">
        <v>34</v>
      </c>
      <c r="E155" s="22">
        <v>77</v>
      </c>
      <c r="F155" s="22">
        <v>2</v>
      </c>
      <c r="G155" s="22">
        <v>5</v>
      </c>
      <c r="H155" s="22"/>
      <c r="I155" s="23" t="s">
        <v>36</v>
      </c>
      <c r="J155" s="23"/>
      <c r="K155" s="22"/>
      <c r="L155" s="22"/>
      <c r="M155" s="23"/>
      <c r="N155" s="23"/>
      <c r="O155" s="26" t="s">
        <v>411</v>
      </c>
      <c r="P155" s="26"/>
      <c r="Q155" s="26"/>
      <c r="R155" s="22">
        <v>26</v>
      </c>
      <c r="S155" s="24">
        <v>45821</v>
      </c>
      <c r="T155" s="24">
        <v>45826</v>
      </c>
      <c r="U155" s="24">
        <v>45832</v>
      </c>
      <c r="V155" s="24">
        <v>45833</v>
      </c>
      <c r="W155" s="24">
        <v>45835</v>
      </c>
      <c r="X155" s="22" t="s">
        <v>54</v>
      </c>
      <c r="Y155" s="4" t="str">
        <f>IF(Tabela2[[#This Row],[SIGLA]]="","",VLOOKUP(Tabela2[[#This Row],[SIGLA]],Tabela1[[#All],[Sigla Arte]:[Crédito]],2,0))</f>
        <v>RAYANNE CARDOSO/ARQUIVO DA EDITORA</v>
      </c>
      <c r="Z155" s="23"/>
      <c r="AA155" s="23" t="str">
        <f>Tabela2[[#This Row],[ILUSTRADOR CRIAÇÃO]]</f>
        <v>RAYANNE CARDOSO/ARQUIVO DA EDITORA</v>
      </c>
      <c r="AB155" s="22">
        <v>14</v>
      </c>
      <c r="AC155" s="20" t="s">
        <v>409</v>
      </c>
      <c r="AD155" s="20" t="s">
        <v>40</v>
      </c>
      <c r="AE155" s="4" t="str">
        <f t="shared" si="2"/>
        <v>EF1 E002 Ing</v>
      </c>
    </row>
    <row r="156" spans="1:31" s="12" customFormat="1" ht="60" x14ac:dyDescent="0.25">
      <c r="A156" s="23" t="s">
        <v>412</v>
      </c>
      <c r="B156" s="20" t="s">
        <v>56</v>
      </c>
      <c r="C156" s="20" t="s">
        <v>33</v>
      </c>
      <c r="D156" s="20" t="s">
        <v>34</v>
      </c>
      <c r="E156" s="22">
        <v>49</v>
      </c>
      <c r="F156" s="22">
        <v>2</v>
      </c>
      <c r="G156" s="22">
        <v>5</v>
      </c>
      <c r="H156" s="22"/>
      <c r="I156" s="23" t="s">
        <v>36</v>
      </c>
      <c r="J156" s="23"/>
      <c r="K156" s="22"/>
      <c r="L156" s="22"/>
      <c r="M156" s="23"/>
      <c r="N156" s="23"/>
      <c r="O156" s="26" t="s">
        <v>413</v>
      </c>
      <c r="P156" s="26"/>
      <c r="Q156" s="26"/>
      <c r="R156" s="22">
        <v>27</v>
      </c>
      <c r="S156" s="24">
        <v>45821</v>
      </c>
      <c r="T156" s="24">
        <v>45824</v>
      </c>
      <c r="U156" s="24"/>
      <c r="V156" s="24"/>
      <c r="W156" s="24">
        <v>45824</v>
      </c>
      <c r="X156" s="22" t="s">
        <v>414</v>
      </c>
      <c r="Y156" s="4" t="str">
        <f>IF(Tabela2[[#This Row],[SIGLA]]="","",VLOOKUP(Tabela2[[#This Row],[SIGLA]],Tabela1[[#All],[Sigla Arte]:[Crédito]],2,0))</f>
        <v>REBECCA BANISKI/ARQUIVO DA EDITORA</v>
      </c>
      <c r="Z156" s="23"/>
      <c r="AA156" s="23" t="str">
        <f>Tabela2[[#This Row],[ILUSTRADOR CRIAÇÃO]]</f>
        <v>REBECCA BANISKI/ARQUIVO DA EDITORA</v>
      </c>
      <c r="AB156" s="22">
        <v>8</v>
      </c>
      <c r="AC156" s="20" t="s">
        <v>415</v>
      </c>
      <c r="AD156" s="20" t="s">
        <v>58</v>
      </c>
      <c r="AE156" s="4" t="str">
        <f t="shared" si="2"/>
        <v>EF1 E002 Ing</v>
      </c>
    </row>
    <row r="157" spans="1:31" s="12" customFormat="1" x14ac:dyDescent="0.25">
      <c r="A157" s="23" t="s">
        <v>416</v>
      </c>
      <c r="B157" s="20" t="s">
        <v>32</v>
      </c>
      <c r="C157" s="20" t="s">
        <v>33</v>
      </c>
      <c r="D157" s="20" t="s">
        <v>34</v>
      </c>
      <c r="E157" s="22">
        <v>50</v>
      </c>
      <c r="F157" s="22">
        <v>2</v>
      </c>
      <c r="G157" s="22">
        <v>5</v>
      </c>
      <c r="H157" s="22"/>
      <c r="I157" s="23" t="s">
        <v>36</v>
      </c>
      <c r="J157" s="23"/>
      <c r="K157" s="22"/>
      <c r="L157" s="22"/>
      <c r="M157" s="23"/>
      <c r="N157" s="23"/>
      <c r="O157" s="26" t="s">
        <v>417</v>
      </c>
      <c r="P157" s="26"/>
      <c r="Q157" s="26"/>
      <c r="R157" s="22">
        <v>27</v>
      </c>
      <c r="S157" s="24">
        <v>45821</v>
      </c>
      <c r="T157" s="24">
        <v>45824</v>
      </c>
      <c r="U157" s="24"/>
      <c r="V157" s="24"/>
      <c r="W157" s="24">
        <v>45824</v>
      </c>
      <c r="X157" s="22" t="s">
        <v>418</v>
      </c>
      <c r="Y157" s="4" t="str">
        <f>IF(Tabela2[[#This Row],[SIGLA]]="","",VLOOKUP(Tabela2[[#This Row],[SIGLA]],Tabela1[[#All],[Sigla Arte]:[Crédito]],2,0))</f>
        <v>VER DOCUMENTO DE ILS. TÉCNICAS</v>
      </c>
      <c r="Z157" s="23" t="s">
        <v>419</v>
      </c>
      <c r="AA157" s="12" t="s">
        <v>420</v>
      </c>
      <c r="AB157" s="22">
        <v>13</v>
      </c>
      <c r="AC157" s="20" t="s">
        <v>421</v>
      </c>
      <c r="AD157" s="20" t="s">
        <v>58</v>
      </c>
      <c r="AE157" s="4" t="str">
        <f t="shared" si="2"/>
        <v>EF1 E002 Ing</v>
      </c>
    </row>
    <row r="158" spans="1:31" s="12" customFormat="1" x14ac:dyDescent="0.25">
      <c r="A158" s="23" t="s">
        <v>422</v>
      </c>
      <c r="B158" s="20" t="s">
        <v>32</v>
      </c>
      <c r="C158" s="20" t="s">
        <v>33</v>
      </c>
      <c r="D158" s="20" t="s">
        <v>34</v>
      </c>
      <c r="E158" s="22">
        <v>50</v>
      </c>
      <c r="F158" s="22">
        <v>2</v>
      </c>
      <c r="G158" s="22">
        <v>5</v>
      </c>
      <c r="H158" s="22"/>
      <c r="I158" s="23" t="s">
        <v>36</v>
      </c>
      <c r="J158" s="23"/>
      <c r="K158" s="22"/>
      <c r="L158" s="22"/>
      <c r="M158" s="23"/>
      <c r="N158" s="23"/>
      <c r="O158" s="26" t="s">
        <v>423</v>
      </c>
      <c r="P158" s="26"/>
      <c r="Q158" s="26"/>
      <c r="R158" s="22">
        <v>27</v>
      </c>
      <c r="S158" s="24">
        <v>45821</v>
      </c>
      <c r="T158" s="24">
        <v>45825</v>
      </c>
      <c r="U158" s="24"/>
      <c r="V158" s="24"/>
      <c r="W158" s="24">
        <v>45825</v>
      </c>
      <c r="X158" s="22" t="s">
        <v>418</v>
      </c>
      <c r="Y158" s="4" t="str">
        <f>IF(Tabela2[[#This Row],[SIGLA]]="","",VLOOKUP(Tabela2[[#This Row],[SIGLA]],Tabela1[[#All],[Sigla Arte]:[Crédito]],2,0))</f>
        <v>VER DOCUMENTO DE ILS. TÉCNICAS</v>
      </c>
      <c r="Z158" s="23" t="s">
        <v>419</v>
      </c>
      <c r="AA158" s="12" t="s">
        <v>420</v>
      </c>
      <c r="AB158" s="22">
        <v>13</v>
      </c>
      <c r="AC158" s="20" t="s">
        <v>421</v>
      </c>
      <c r="AD158" s="20" t="s">
        <v>58</v>
      </c>
      <c r="AE158" s="4" t="str">
        <f t="shared" si="2"/>
        <v>EF1 E002 Ing</v>
      </c>
    </row>
    <row r="159" spans="1:31" s="12" customFormat="1" x14ac:dyDescent="0.25">
      <c r="A159" s="23" t="s">
        <v>424</v>
      </c>
      <c r="B159" s="20" t="s">
        <v>32</v>
      </c>
      <c r="C159" s="20" t="s">
        <v>33</v>
      </c>
      <c r="D159" s="20" t="s">
        <v>34</v>
      </c>
      <c r="E159" s="22">
        <v>50</v>
      </c>
      <c r="F159" s="22">
        <v>2</v>
      </c>
      <c r="G159" s="22">
        <v>5</v>
      </c>
      <c r="H159" s="22"/>
      <c r="I159" s="23" t="s">
        <v>36</v>
      </c>
      <c r="J159" s="23"/>
      <c r="K159" s="22"/>
      <c r="L159" s="22"/>
      <c r="M159" s="23"/>
      <c r="N159" s="23"/>
      <c r="O159" s="26" t="s">
        <v>425</v>
      </c>
      <c r="P159" s="26"/>
      <c r="Q159" s="26"/>
      <c r="R159" s="22">
        <v>27</v>
      </c>
      <c r="S159" s="24">
        <v>45821</v>
      </c>
      <c r="T159" s="24">
        <v>45825</v>
      </c>
      <c r="U159" s="24"/>
      <c r="V159" s="24"/>
      <c r="W159" s="24">
        <v>45825</v>
      </c>
      <c r="X159" s="22" t="s">
        <v>418</v>
      </c>
      <c r="Y159" s="4" t="str">
        <f>IF(Tabela2[[#This Row],[SIGLA]]="","",VLOOKUP(Tabela2[[#This Row],[SIGLA]],Tabela1[[#All],[Sigla Arte]:[Crédito]],2,0))</f>
        <v>VER DOCUMENTO DE ILS. TÉCNICAS</v>
      </c>
      <c r="Z159" s="23" t="s">
        <v>419</v>
      </c>
      <c r="AA159" s="12" t="s">
        <v>420</v>
      </c>
      <c r="AB159" s="22">
        <v>13</v>
      </c>
      <c r="AC159" s="20" t="s">
        <v>421</v>
      </c>
      <c r="AD159" s="20" t="s">
        <v>58</v>
      </c>
      <c r="AE159" s="4" t="str">
        <f t="shared" si="2"/>
        <v>EF1 E002 Ing</v>
      </c>
    </row>
    <row r="160" spans="1:31" s="12" customFormat="1" x14ac:dyDescent="0.25">
      <c r="A160" s="23" t="s">
        <v>426</v>
      </c>
      <c r="B160" s="20" t="s">
        <v>32</v>
      </c>
      <c r="C160" s="20" t="s">
        <v>33</v>
      </c>
      <c r="D160" s="20" t="s">
        <v>34</v>
      </c>
      <c r="E160" s="22">
        <v>50</v>
      </c>
      <c r="F160" s="22">
        <v>2</v>
      </c>
      <c r="G160" s="22">
        <v>5</v>
      </c>
      <c r="H160" s="22"/>
      <c r="I160" s="23" t="s">
        <v>36</v>
      </c>
      <c r="J160" s="23"/>
      <c r="K160" s="22"/>
      <c r="L160" s="22"/>
      <c r="M160" s="23"/>
      <c r="N160" s="23"/>
      <c r="O160" s="26" t="s">
        <v>427</v>
      </c>
      <c r="P160" s="26"/>
      <c r="Q160" s="26"/>
      <c r="R160" s="22">
        <v>27</v>
      </c>
      <c r="S160" s="24">
        <v>45821</v>
      </c>
      <c r="T160" s="24">
        <v>45825</v>
      </c>
      <c r="U160" s="24"/>
      <c r="V160" s="24"/>
      <c r="W160" s="24">
        <v>45825</v>
      </c>
      <c r="X160" s="22" t="s">
        <v>414</v>
      </c>
      <c r="Y160" s="4" t="str">
        <f>IF(Tabela2[[#This Row],[SIGLA]]="","",VLOOKUP(Tabela2[[#This Row],[SIGLA]],Tabela1[[#All],[Sigla Arte]:[Crédito]],2,0))</f>
        <v>REBECCA BANISKI/ARQUIVO DA EDITORA</v>
      </c>
      <c r="Z160" s="23"/>
      <c r="AA160" s="23" t="str">
        <f>Tabela2[[#This Row],[ILUSTRADOR CRIAÇÃO]]</f>
        <v>REBECCA BANISKI/ARQUIVO DA EDITORA</v>
      </c>
      <c r="AB160" s="22">
        <v>8</v>
      </c>
      <c r="AC160" s="20" t="s">
        <v>415</v>
      </c>
      <c r="AD160" s="20" t="s">
        <v>58</v>
      </c>
      <c r="AE160" s="4" t="str">
        <f t="shared" si="2"/>
        <v>EF1 E002 Ing</v>
      </c>
    </row>
    <row r="161" spans="1:31" s="12" customFormat="1" x14ac:dyDescent="0.25">
      <c r="A161" s="23" t="s">
        <v>428</v>
      </c>
      <c r="B161" s="20" t="s">
        <v>32</v>
      </c>
      <c r="C161" s="20" t="s">
        <v>33</v>
      </c>
      <c r="D161" s="20" t="s">
        <v>34</v>
      </c>
      <c r="E161" s="22">
        <v>50</v>
      </c>
      <c r="F161" s="22">
        <v>2</v>
      </c>
      <c r="G161" s="22">
        <v>5</v>
      </c>
      <c r="H161" s="22"/>
      <c r="I161" s="23" t="s">
        <v>36</v>
      </c>
      <c r="J161" s="23"/>
      <c r="K161" s="22"/>
      <c r="L161" s="22"/>
      <c r="M161" s="23"/>
      <c r="N161" s="23"/>
      <c r="O161" s="26" t="s">
        <v>429</v>
      </c>
      <c r="P161" s="26"/>
      <c r="Q161" s="26"/>
      <c r="R161" s="22">
        <v>27</v>
      </c>
      <c r="S161" s="24">
        <v>45821</v>
      </c>
      <c r="T161" s="24">
        <v>45825</v>
      </c>
      <c r="U161" s="24"/>
      <c r="V161" s="24"/>
      <c r="W161" s="24">
        <v>45825</v>
      </c>
      <c r="X161" s="22" t="s">
        <v>418</v>
      </c>
      <c r="Y161" s="4" t="str">
        <f>IF(Tabela2[[#This Row],[SIGLA]]="","",VLOOKUP(Tabela2[[#This Row],[SIGLA]],Tabela1[[#All],[Sigla Arte]:[Crédito]],2,0))</f>
        <v>VER DOCUMENTO DE ILS. TÉCNICAS</v>
      </c>
      <c r="Z161" s="23" t="s">
        <v>419</v>
      </c>
      <c r="AA161" s="12" t="s">
        <v>420</v>
      </c>
      <c r="AB161" s="22">
        <v>13</v>
      </c>
      <c r="AC161" s="20" t="s">
        <v>421</v>
      </c>
      <c r="AD161" s="20" t="s">
        <v>58</v>
      </c>
      <c r="AE161" s="4" t="str">
        <f t="shared" si="2"/>
        <v>EF1 E002 Ing</v>
      </c>
    </row>
    <row r="162" spans="1:31" s="12" customFormat="1" x14ac:dyDescent="0.25">
      <c r="A162" s="23" t="s">
        <v>430</v>
      </c>
      <c r="B162" s="20" t="s">
        <v>32</v>
      </c>
      <c r="C162" s="20" t="s">
        <v>33</v>
      </c>
      <c r="D162" s="20" t="s">
        <v>34</v>
      </c>
      <c r="E162" s="22">
        <v>50</v>
      </c>
      <c r="F162" s="22">
        <v>2</v>
      </c>
      <c r="G162" s="22">
        <v>5</v>
      </c>
      <c r="H162" s="22"/>
      <c r="I162" s="23" t="s">
        <v>36</v>
      </c>
      <c r="J162" s="23"/>
      <c r="K162" s="22"/>
      <c r="L162" s="22"/>
      <c r="M162" s="23"/>
      <c r="N162" s="23"/>
      <c r="O162" s="26" t="s">
        <v>431</v>
      </c>
      <c r="P162" s="26"/>
      <c r="Q162" s="26"/>
      <c r="R162" s="22">
        <v>27</v>
      </c>
      <c r="S162" s="24">
        <v>45821</v>
      </c>
      <c r="T162" s="24">
        <v>45825</v>
      </c>
      <c r="U162" s="24"/>
      <c r="V162" s="24"/>
      <c r="W162" s="24">
        <v>45825</v>
      </c>
      <c r="X162" s="22" t="s">
        <v>418</v>
      </c>
      <c r="Y162" s="4" t="str">
        <f>IF(Tabela2[[#This Row],[SIGLA]]="","",VLOOKUP(Tabela2[[#This Row],[SIGLA]],Tabela1[[#All],[Sigla Arte]:[Crédito]],2,0))</f>
        <v>VER DOCUMENTO DE ILS. TÉCNICAS</v>
      </c>
      <c r="Z162" s="23" t="s">
        <v>419</v>
      </c>
      <c r="AA162" s="12" t="s">
        <v>420</v>
      </c>
      <c r="AB162" s="22">
        <v>13</v>
      </c>
      <c r="AC162" s="20" t="s">
        <v>421</v>
      </c>
      <c r="AD162" s="20" t="s">
        <v>58</v>
      </c>
      <c r="AE162" s="4" t="str">
        <f t="shared" si="2"/>
        <v>EF1 E002 Ing</v>
      </c>
    </row>
    <row r="163" spans="1:31" s="12" customFormat="1" x14ac:dyDescent="0.25">
      <c r="A163" s="23" t="s">
        <v>432</v>
      </c>
      <c r="B163" s="20" t="s">
        <v>32</v>
      </c>
      <c r="C163" s="20" t="s">
        <v>33</v>
      </c>
      <c r="D163" s="20" t="s">
        <v>34</v>
      </c>
      <c r="E163" s="22">
        <v>50</v>
      </c>
      <c r="F163" s="22">
        <v>2</v>
      </c>
      <c r="G163" s="22">
        <v>5</v>
      </c>
      <c r="H163" s="22"/>
      <c r="I163" s="23" t="s">
        <v>36</v>
      </c>
      <c r="J163" s="23"/>
      <c r="K163" s="22"/>
      <c r="L163" s="22"/>
      <c r="M163" s="23"/>
      <c r="N163" s="23"/>
      <c r="O163" s="26" t="s">
        <v>433</v>
      </c>
      <c r="P163" s="26"/>
      <c r="Q163" s="26"/>
      <c r="R163" s="22">
        <v>27</v>
      </c>
      <c r="S163" s="24">
        <v>45821</v>
      </c>
      <c r="T163" s="24">
        <v>45825</v>
      </c>
      <c r="U163" s="24"/>
      <c r="V163" s="24"/>
      <c r="W163" s="24">
        <v>45825</v>
      </c>
      <c r="X163" s="22" t="s">
        <v>418</v>
      </c>
      <c r="Y163" s="4" t="str">
        <f>IF(Tabela2[[#This Row],[SIGLA]]="","",VLOOKUP(Tabela2[[#This Row],[SIGLA]],Tabela1[[#All],[Sigla Arte]:[Crédito]],2,0))</f>
        <v>VER DOCUMENTO DE ILS. TÉCNICAS</v>
      </c>
      <c r="Z163" s="23" t="s">
        <v>419</v>
      </c>
      <c r="AA163" s="12" t="s">
        <v>420</v>
      </c>
      <c r="AB163" s="22">
        <v>13</v>
      </c>
      <c r="AC163" s="20" t="s">
        <v>421</v>
      </c>
      <c r="AD163" s="20" t="s">
        <v>58</v>
      </c>
      <c r="AE163" s="4" t="str">
        <f t="shared" si="2"/>
        <v>EF1 E002 Ing</v>
      </c>
    </row>
    <row r="164" spans="1:31" s="12" customFormat="1" x14ac:dyDescent="0.25">
      <c r="A164" s="23" t="s">
        <v>434</v>
      </c>
      <c r="B164" s="20" t="s">
        <v>32</v>
      </c>
      <c r="C164" s="20" t="s">
        <v>33</v>
      </c>
      <c r="D164" s="20" t="s">
        <v>34</v>
      </c>
      <c r="E164" s="22">
        <v>50</v>
      </c>
      <c r="F164" s="22">
        <v>2</v>
      </c>
      <c r="G164" s="22">
        <v>5</v>
      </c>
      <c r="H164" s="22"/>
      <c r="I164" s="23" t="s">
        <v>36</v>
      </c>
      <c r="J164" s="23"/>
      <c r="K164" s="22"/>
      <c r="L164" s="22"/>
      <c r="M164" s="23"/>
      <c r="N164" s="23"/>
      <c r="O164" s="26" t="s">
        <v>435</v>
      </c>
      <c r="P164" s="26"/>
      <c r="Q164" s="26"/>
      <c r="R164" s="22">
        <v>27</v>
      </c>
      <c r="S164" s="24">
        <v>45821</v>
      </c>
      <c r="T164" s="24">
        <v>45825</v>
      </c>
      <c r="U164" s="24"/>
      <c r="V164" s="24"/>
      <c r="W164" s="24">
        <v>45825</v>
      </c>
      <c r="X164" s="22" t="s">
        <v>414</v>
      </c>
      <c r="Y164" s="4" t="str">
        <f>IF(Tabela2[[#This Row],[SIGLA]]="","",VLOOKUP(Tabela2[[#This Row],[SIGLA]],Tabela1[[#All],[Sigla Arte]:[Crédito]],2,0))</f>
        <v>REBECCA BANISKI/ARQUIVO DA EDITORA</v>
      </c>
      <c r="Z164" s="23"/>
      <c r="AA164" s="23" t="str">
        <f>Tabela2[[#This Row],[ILUSTRADOR CRIAÇÃO]]</f>
        <v>REBECCA BANISKI/ARQUIVO DA EDITORA</v>
      </c>
      <c r="AB164" s="22">
        <v>8</v>
      </c>
      <c r="AC164" s="20" t="s">
        <v>415</v>
      </c>
      <c r="AD164" s="20" t="s">
        <v>58</v>
      </c>
      <c r="AE164" s="4" t="str">
        <f t="shared" si="2"/>
        <v>EF1 E002 Ing</v>
      </c>
    </row>
    <row r="165" spans="1:31" s="12" customFormat="1" x14ac:dyDescent="0.25">
      <c r="A165" s="23" t="s">
        <v>436</v>
      </c>
      <c r="B165" s="20" t="s">
        <v>32</v>
      </c>
      <c r="C165" s="20" t="s">
        <v>33</v>
      </c>
      <c r="D165" s="20" t="s">
        <v>34</v>
      </c>
      <c r="E165" s="22">
        <v>51</v>
      </c>
      <c r="F165" s="22">
        <v>2</v>
      </c>
      <c r="G165" s="22">
        <v>5</v>
      </c>
      <c r="H165" s="22"/>
      <c r="I165" s="23" t="s">
        <v>36</v>
      </c>
      <c r="J165" s="23"/>
      <c r="K165" s="22"/>
      <c r="L165" s="22"/>
      <c r="M165" s="23"/>
      <c r="N165" s="23"/>
      <c r="O165" s="26" t="s">
        <v>425</v>
      </c>
      <c r="P165" s="26"/>
      <c r="Q165" s="26"/>
      <c r="R165" s="22">
        <v>27</v>
      </c>
      <c r="S165" s="24">
        <v>45821</v>
      </c>
      <c r="T165" s="24">
        <v>45825</v>
      </c>
      <c r="U165" s="24"/>
      <c r="V165" s="24"/>
      <c r="W165" s="24">
        <v>45825</v>
      </c>
      <c r="X165" s="22" t="s">
        <v>418</v>
      </c>
      <c r="Y165" s="4" t="str">
        <f>IF(Tabela2[[#This Row],[SIGLA]]="","",VLOOKUP(Tabela2[[#This Row],[SIGLA]],Tabela1[[#All],[Sigla Arte]:[Crédito]],2,0))</f>
        <v>VER DOCUMENTO DE ILS. TÉCNICAS</v>
      </c>
      <c r="Z165" s="23" t="s">
        <v>419</v>
      </c>
      <c r="AA165" s="12" t="s">
        <v>420</v>
      </c>
      <c r="AB165" s="22">
        <v>13</v>
      </c>
      <c r="AC165" s="20" t="s">
        <v>421</v>
      </c>
      <c r="AD165" s="20" t="s">
        <v>58</v>
      </c>
      <c r="AE165" s="4" t="str">
        <f t="shared" si="2"/>
        <v>EF1 E002 Ing</v>
      </c>
    </row>
    <row r="166" spans="1:31" s="12" customFormat="1" x14ac:dyDescent="0.25">
      <c r="A166" s="23" t="s">
        <v>437</v>
      </c>
      <c r="B166" s="20" t="s">
        <v>32</v>
      </c>
      <c r="C166" s="20" t="s">
        <v>33</v>
      </c>
      <c r="D166" s="20" t="s">
        <v>34</v>
      </c>
      <c r="E166" s="22">
        <v>51</v>
      </c>
      <c r="F166" s="22">
        <v>2</v>
      </c>
      <c r="G166" s="22">
        <v>5</v>
      </c>
      <c r="H166" s="22"/>
      <c r="I166" s="23" t="s">
        <v>36</v>
      </c>
      <c r="J166" s="23"/>
      <c r="K166" s="22"/>
      <c r="L166" s="22"/>
      <c r="M166" s="23"/>
      <c r="N166" s="23"/>
      <c r="O166" s="26" t="s">
        <v>429</v>
      </c>
      <c r="P166" s="26"/>
      <c r="Q166" s="26"/>
      <c r="R166" s="22">
        <v>27</v>
      </c>
      <c r="S166" s="24">
        <v>45821</v>
      </c>
      <c r="T166" s="24">
        <v>45825</v>
      </c>
      <c r="U166" s="24"/>
      <c r="V166" s="24"/>
      <c r="W166" s="24">
        <v>45825</v>
      </c>
      <c r="X166" s="22" t="s">
        <v>418</v>
      </c>
      <c r="Y166" s="4" t="str">
        <f>IF(Tabela2[[#This Row],[SIGLA]]="","",VLOOKUP(Tabela2[[#This Row],[SIGLA]],Tabela1[[#All],[Sigla Arte]:[Crédito]],2,0))</f>
        <v>VER DOCUMENTO DE ILS. TÉCNICAS</v>
      </c>
      <c r="Z166" s="23" t="s">
        <v>419</v>
      </c>
      <c r="AA166" s="12" t="s">
        <v>420</v>
      </c>
      <c r="AB166" s="22">
        <v>13</v>
      </c>
      <c r="AC166" s="20" t="s">
        <v>421</v>
      </c>
      <c r="AD166" s="20" t="s">
        <v>58</v>
      </c>
      <c r="AE166" s="4" t="str">
        <f t="shared" si="2"/>
        <v>EF1 E002 Ing</v>
      </c>
    </row>
    <row r="167" spans="1:31" s="12" customFormat="1" x14ac:dyDescent="0.25">
      <c r="A167" s="23" t="s">
        <v>438</v>
      </c>
      <c r="B167" s="20" t="s">
        <v>32</v>
      </c>
      <c r="C167" s="20" t="s">
        <v>33</v>
      </c>
      <c r="D167" s="20" t="s">
        <v>34</v>
      </c>
      <c r="E167" s="22">
        <v>51</v>
      </c>
      <c r="F167" s="22">
        <v>2</v>
      </c>
      <c r="G167" s="22">
        <v>5</v>
      </c>
      <c r="H167" s="22"/>
      <c r="I167" s="23" t="s">
        <v>36</v>
      </c>
      <c r="J167" s="23"/>
      <c r="K167" s="22"/>
      <c r="L167" s="22"/>
      <c r="M167" s="23"/>
      <c r="N167" s="23"/>
      <c r="O167" s="26" t="s">
        <v>435</v>
      </c>
      <c r="P167" s="26"/>
      <c r="Q167" s="26"/>
      <c r="R167" s="22">
        <v>27</v>
      </c>
      <c r="S167" s="24">
        <v>45821</v>
      </c>
      <c r="T167" s="24">
        <v>45825</v>
      </c>
      <c r="U167" s="24"/>
      <c r="V167" s="24"/>
      <c r="W167" s="24">
        <v>45825</v>
      </c>
      <c r="X167" s="22" t="s">
        <v>414</v>
      </c>
      <c r="Y167" s="4" t="str">
        <f>IF(Tabela2[[#This Row],[SIGLA]]="","",VLOOKUP(Tabela2[[#This Row],[SIGLA]],Tabela1[[#All],[Sigla Arte]:[Crédito]],2,0))</f>
        <v>REBECCA BANISKI/ARQUIVO DA EDITORA</v>
      </c>
      <c r="Z167" s="23"/>
      <c r="AA167" s="23" t="str">
        <f>IF(Tabela2[[#This Row],[SIGLA]]="","",VLOOKUP(Tabela2[[#This Row],[SIGLA]],Tabela1[[#All],[Sigla Arte]:[Crédito]],2,0))</f>
        <v>REBECCA BANISKI/ARQUIVO DA EDITORA</v>
      </c>
      <c r="AB167" s="22">
        <v>8</v>
      </c>
      <c r="AC167" s="20" t="s">
        <v>415</v>
      </c>
      <c r="AD167" s="20" t="s">
        <v>58</v>
      </c>
      <c r="AE167" s="4" t="str">
        <f t="shared" si="2"/>
        <v>EF1 E002 Ing</v>
      </c>
    </row>
    <row r="168" spans="1:31" s="12" customFormat="1" x14ac:dyDescent="0.25">
      <c r="A168" s="23" t="s">
        <v>439</v>
      </c>
      <c r="B168" s="20" t="s">
        <v>32</v>
      </c>
      <c r="C168" s="20" t="s">
        <v>33</v>
      </c>
      <c r="D168" s="20" t="s">
        <v>34</v>
      </c>
      <c r="E168" s="22">
        <v>51</v>
      </c>
      <c r="F168" s="22">
        <v>2</v>
      </c>
      <c r="G168" s="22">
        <v>5</v>
      </c>
      <c r="H168" s="22"/>
      <c r="I168" s="23" t="s">
        <v>36</v>
      </c>
      <c r="J168" s="23"/>
      <c r="K168" s="22"/>
      <c r="L168" s="22"/>
      <c r="M168" s="23"/>
      <c r="N168" s="23"/>
      <c r="O168" s="26" t="s">
        <v>440</v>
      </c>
      <c r="P168" s="26"/>
      <c r="Q168" s="26"/>
      <c r="R168" s="22">
        <v>27</v>
      </c>
      <c r="S168" s="24">
        <v>45821</v>
      </c>
      <c r="T168" s="24">
        <v>45825</v>
      </c>
      <c r="U168" s="24"/>
      <c r="V168" s="24"/>
      <c r="W168" s="24">
        <v>45825</v>
      </c>
      <c r="X168" s="22" t="s">
        <v>418</v>
      </c>
      <c r="Y168" s="4" t="str">
        <f>IF(Tabela2[[#This Row],[SIGLA]]="","",VLOOKUP(Tabela2[[#This Row],[SIGLA]],Tabela1[[#All],[Sigla Arte]:[Crédito]],2,0))</f>
        <v>VER DOCUMENTO DE ILS. TÉCNICAS</v>
      </c>
      <c r="Z168" s="23" t="s">
        <v>419</v>
      </c>
      <c r="AA168" s="12" t="s">
        <v>420</v>
      </c>
      <c r="AB168" s="22">
        <v>13</v>
      </c>
      <c r="AC168" s="20" t="s">
        <v>421</v>
      </c>
      <c r="AD168" s="20" t="s">
        <v>58</v>
      </c>
      <c r="AE168" s="4" t="str">
        <f t="shared" si="2"/>
        <v>EF1 E002 Ing</v>
      </c>
    </row>
    <row r="169" spans="1:31" s="12" customFormat="1" ht="30" x14ac:dyDescent="0.25">
      <c r="A169" s="23" t="s">
        <v>441</v>
      </c>
      <c r="B169" s="20" t="s">
        <v>32</v>
      </c>
      <c r="C169" s="20" t="s">
        <v>33</v>
      </c>
      <c r="D169" s="20" t="s">
        <v>34</v>
      </c>
      <c r="E169" s="22">
        <v>52</v>
      </c>
      <c r="F169" s="22">
        <v>2</v>
      </c>
      <c r="G169" s="22">
        <v>5</v>
      </c>
      <c r="H169" s="22"/>
      <c r="I169" s="23" t="s">
        <v>36</v>
      </c>
      <c r="J169" s="23"/>
      <c r="K169" s="22"/>
      <c r="L169" s="22"/>
      <c r="M169" s="23"/>
      <c r="N169" s="23"/>
      <c r="O169" s="26" t="s">
        <v>442</v>
      </c>
      <c r="P169" s="26"/>
      <c r="Q169" s="26"/>
      <c r="R169" s="22">
        <v>27</v>
      </c>
      <c r="S169" s="24">
        <v>45821</v>
      </c>
      <c r="T169" s="24">
        <v>45826</v>
      </c>
      <c r="U169" s="24">
        <v>45832</v>
      </c>
      <c r="V169" s="24">
        <v>45833</v>
      </c>
      <c r="W169" s="24">
        <v>45835</v>
      </c>
      <c r="X169" s="22" t="s">
        <v>54</v>
      </c>
      <c r="Y169" s="4" t="str">
        <f>IF(Tabela2[[#This Row],[SIGLA]]="","",VLOOKUP(Tabela2[[#This Row],[SIGLA]],Tabela1[[#All],[Sigla Arte]:[Crédito]],2,0))</f>
        <v>RAYANNE CARDOSO/ARQUIVO DA EDITORA</v>
      </c>
      <c r="Z169" s="23"/>
      <c r="AA169" s="23" t="str">
        <f>Tabela2[[#This Row],[ILUSTRADOR CRIAÇÃO]]</f>
        <v>RAYANNE CARDOSO/ARQUIVO DA EDITORA</v>
      </c>
      <c r="AB169" s="22">
        <v>7</v>
      </c>
      <c r="AC169" s="20" t="s">
        <v>409</v>
      </c>
      <c r="AD169" s="20" t="s">
        <v>40</v>
      </c>
      <c r="AE169" s="4" t="str">
        <f t="shared" si="2"/>
        <v>EF1 E002 Ing</v>
      </c>
    </row>
    <row r="170" spans="1:31" s="12" customFormat="1" ht="30" x14ac:dyDescent="0.25">
      <c r="A170" s="23" t="s">
        <v>443</v>
      </c>
      <c r="B170" s="20" t="s">
        <v>32</v>
      </c>
      <c r="C170" s="20" t="s">
        <v>33</v>
      </c>
      <c r="D170" s="20" t="s">
        <v>34</v>
      </c>
      <c r="E170" s="22">
        <v>52</v>
      </c>
      <c r="F170" s="22">
        <v>2</v>
      </c>
      <c r="G170" s="22">
        <v>5</v>
      </c>
      <c r="H170" s="22"/>
      <c r="I170" s="23" t="s">
        <v>36</v>
      </c>
      <c r="J170" s="23"/>
      <c r="K170" s="22"/>
      <c r="L170" s="22"/>
      <c r="M170" s="23"/>
      <c r="N170" s="23"/>
      <c r="O170" s="26" t="s">
        <v>444</v>
      </c>
      <c r="P170" s="26"/>
      <c r="Q170" s="26"/>
      <c r="R170" s="22">
        <v>27</v>
      </c>
      <c r="S170" s="24">
        <v>45821</v>
      </c>
      <c r="T170" s="24">
        <v>45826</v>
      </c>
      <c r="U170" s="24">
        <v>45832</v>
      </c>
      <c r="V170" s="24">
        <v>45833</v>
      </c>
      <c r="W170" s="24">
        <v>45835</v>
      </c>
      <c r="X170" s="22" t="s">
        <v>54</v>
      </c>
      <c r="Y170" s="4" t="str">
        <f>IF(Tabela2[[#This Row],[SIGLA]]="","",VLOOKUP(Tabela2[[#This Row],[SIGLA]],Tabela1[[#All],[Sigla Arte]:[Crédito]],2,0))</f>
        <v>RAYANNE CARDOSO/ARQUIVO DA EDITORA</v>
      </c>
      <c r="Z170" s="23"/>
      <c r="AA170" s="23" t="str">
        <f>Tabela2[[#This Row],[ILUSTRADOR CRIAÇÃO]]</f>
        <v>RAYANNE CARDOSO/ARQUIVO DA EDITORA</v>
      </c>
      <c r="AB170" s="22">
        <v>7</v>
      </c>
      <c r="AC170" s="20" t="s">
        <v>409</v>
      </c>
      <c r="AD170" s="20" t="s">
        <v>40</v>
      </c>
      <c r="AE170" s="4" t="str">
        <f t="shared" si="2"/>
        <v>EF1 E002 Ing</v>
      </c>
    </row>
    <row r="171" spans="1:31" s="12" customFormat="1" ht="120" x14ac:dyDescent="0.25">
      <c r="A171" s="23" t="s">
        <v>445</v>
      </c>
      <c r="B171" s="20" t="s">
        <v>32</v>
      </c>
      <c r="C171" s="20" t="s">
        <v>33</v>
      </c>
      <c r="D171" s="20" t="s">
        <v>34</v>
      </c>
      <c r="E171" s="22">
        <v>54</v>
      </c>
      <c r="F171" s="22">
        <v>2</v>
      </c>
      <c r="G171" s="22">
        <v>5</v>
      </c>
      <c r="H171" s="22"/>
      <c r="I171" s="23" t="s">
        <v>36</v>
      </c>
      <c r="J171" s="23"/>
      <c r="K171" s="22"/>
      <c r="L171" s="22"/>
      <c r="M171" s="23"/>
      <c r="N171" s="23"/>
      <c r="O171" s="26" t="s">
        <v>446</v>
      </c>
      <c r="P171" s="26"/>
      <c r="Q171" s="26"/>
      <c r="R171" s="22">
        <v>27</v>
      </c>
      <c r="S171" s="24">
        <v>45821</v>
      </c>
      <c r="T171" s="24">
        <v>45826</v>
      </c>
      <c r="U171" s="24">
        <v>45832</v>
      </c>
      <c r="V171" s="24">
        <v>45833</v>
      </c>
      <c r="W171" s="24">
        <v>45835</v>
      </c>
      <c r="X171" s="22" t="s">
        <v>54</v>
      </c>
      <c r="Y171" s="4" t="str">
        <f>IF(Tabela2[[#This Row],[SIGLA]]="","",VLOOKUP(Tabela2[[#This Row],[SIGLA]],Tabela1[[#All],[Sigla Arte]:[Crédito]],2,0))</f>
        <v>RAYANNE CARDOSO/ARQUIVO DA EDITORA</v>
      </c>
      <c r="Z171" s="23"/>
      <c r="AA171" s="23" t="str">
        <f>Tabela2[[#This Row],[ILUSTRADOR CRIAÇÃO]]</f>
        <v>RAYANNE CARDOSO/ARQUIVO DA EDITORA</v>
      </c>
      <c r="AB171" s="22">
        <v>6</v>
      </c>
      <c r="AC171" s="20" t="s">
        <v>409</v>
      </c>
      <c r="AD171" s="20" t="s">
        <v>40</v>
      </c>
      <c r="AE171" s="4" t="str">
        <f t="shared" si="2"/>
        <v>EF1 E002 Ing</v>
      </c>
    </row>
    <row r="172" spans="1:31" s="12" customFormat="1" ht="100.5" customHeight="1" x14ac:dyDescent="0.25">
      <c r="A172" s="23" t="s">
        <v>447</v>
      </c>
      <c r="B172" s="20" t="s">
        <v>32</v>
      </c>
      <c r="C172" s="20" t="s">
        <v>33</v>
      </c>
      <c r="D172" s="20" t="s">
        <v>34</v>
      </c>
      <c r="E172" s="22">
        <v>47</v>
      </c>
      <c r="F172" s="22">
        <v>3</v>
      </c>
      <c r="G172" s="22">
        <v>3</v>
      </c>
      <c r="H172" s="22"/>
      <c r="I172" s="23" t="s">
        <v>36</v>
      </c>
      <c r="J172" s="23"/>
      <c r="K172" s="22"/>
      <c r="L172" s="22"/>
      <c r="M172" s="23"/>
      <c r="N172" s="23"/>
      <c r="O172" s="26" t="s">
        <v>448</v>
      </c>
      <c r="P172" s="26"/>
      <c r="Q172" s="26"/>
      <c r="R172" s="22">
        <v>28</v>
      </c>
      <c r="S172" s="24">
        <v>45824</v>
      </c>
      <c r="T172" s="24">
        <v>45825</v>
      </c>
      <c r="U172" s="24">
        <v>45828</v>
      </c>
      <c r="V172" s="24">
        <v>45831</v>
      </c>
      <c r="W172" s="24">
        <v>45835</v>
      </c>
      <c r="X172" s="22" t="s">
        <v>259</v>
      </c>
      <c r="Y172" s="4" t="str">
        <f>IF(Tabela2[[#This Row],[SIGLA]]="","",VLOOKUP(Tabela2[[#This Row],[SIGLA]],Tabela1[[#All],[Sigla Arte]:[Crédito]],2,0))</f>
        <v>CAMILA CARMONA/ARQUIVO DA EDITORA</v>
      </c>
      <c r="Z172" s="23"/>
      <c r="AA172" s="23" t="str">
        <f>Tabela2[[#This Row],[ILUSTRADOR CRIAÇÃO]]</f>
        <v>CAMILA CARMONA/ARQUIVO DA EDITORA</v>
      </c>
      <c r="AB172" s="22">
        <v>7</v>
      </c>
      <c r="AC172" s="20" t="s">
        <v>449</v>
      </c>
      <c r="AD172" s="20" t="s">
        <v>40</v>
      </c>
      <c r="AE172" s="4" t="str">
        <f t="shared" si="2"/>
        <v>EF1 E002 Ing</v>
      </c>
    </row>
    <row r="173" spans="1:31" s="12" customFormat="1" ht="115.5" customHeight="1" x14ac:dyDescent="0.25">
      <c r="A173" s="23" t="s">
        <v>450</v>
      </c>
      <c r="B173" s="20" t="s">
        <v>32</v>
      </c>
      <c r="C173" s="20" t="s">
        <v>33</v>
      </c>
      <c r="D173" s="20" t="s">
        <v>34</v>
      </c>
      <c r="E173" s="22">
        <v>47</v>
      </c>
      <c r="F173" s="22">
        <v>3</v>
      </c>
      <c r="G173" s="22">
        <v>3</v>
      </c>
      <c r="H173" s="22"/>
      <c r="I173" s="23" t="s">
        <v>36</v>
      </c>
      <c r="J173" s="23"/>
      <c r="K173" s="22"/>
      <c r="L173" s="22"/>
      <c r="M173" s="23"/>
      <c r="N173" s="23"/>
      <c r="O173" s="26" t="s">
        <v>451</v>
      </c>
      <c r="P173" s="26"/>
      <c r="Q173" s="26"/>
      <c r="R173" s="22">
        <v>28</v>
      </c>
      <c r="S173" s="24">
        <v>45824</v>
      </c>
      <c r="T173" s="24">
        <v>45825</v>
      </c>
      <c r="U173" s="24">
        <v>45828</v>
      </c>
      <c r="V173" s="24">
        <v>45831</v>
      </c>
      <c r="W173" s="24">
        <v>45835</v>
      </c>
      <c r="X173" s="22" t="s">
        <v>259</v>
      </c>
      <c r="Y173" s="4" t="str">
        <f>IF(Tabela2[[#This Row],[SIGLA]]="","",VLOOKUP(Tabela2[[#This Row],[SIGLA]],Tabela1[[#All],[Sigla Arte]:[Crédito]],2,0))</f>
        <v>CAMILA CARMONA/ARQUIVO DA EDITORA</v>
      </c>
      <c r="Z173" s="23"/>
      <c r="AA173" s="23" t="str">
        <f>Tabela2[[#This Row],[ILUSTRADOR CRIAÇÃO]]</f>
        <v>CAMILA CARMONA/ARQUIVO DA EDITORA</v>
      </c>
      <c r="AB173" s="22">
        <v>7</v>
      </c>
      <c r="AC173" s="20" t="s">
        <v>449</v>
      </c>
      <c r="AD173" s="20" t="s">
        <v>40</v>
      </c>
      <c r="AE173" s="4" t="str">
        <f t="shared" si="2"/>
        <v>EF1 E002 Ing</v>
      </c>
    </row>
    <row r="174" spans="1:31" s="12" customFormat="1" ht="96" customHeight="1" x14ac:dyDescent="0.25">
      <c r="A174" s="23" t="s">
        <v>452</v>
      </c>
      <c r="B174" s="20" t="s">
        <v>32</v>
      </c>
      <c r="C174" s="20" t="s">
        <v>33</v>
      </c>
      <c r="D174" s="20" t="s">
        <v>34</v>
      </c>
      <c r="E174" s="22">
        <v>47</v>
      </c>
      <c r="F174" s="22">
        <v>3</v>
      </c>
      <c r="G174" s="22">
        <v>3</v>
      </c>
      <c r="H174" s="22"/>
      <c r="I174" s="23" t="s">
        <v>36</v>
      </c>
      <c r="J174" s="23"/>
      <c r="K174" s="22"/>
      <c r="L174" s="22"/>
      <c r="M174" s="23"/>
      <c r="N174" s="23"/>
      <c r="O174" s="26" t="s">
        <v>453</v>
      </c>
      <c r="P174" s="26"/>
      <c r="Q174" s="26"/>
      <c r="R174" s="22">
        <v>28</v>
      </c>
      <c r="S174" s="24">
        <v>45824</v>
      </c>
      <c r="T174" s="24">
        <v>45825</v>
      </c>
      <c r="U174" s="24">
        <v>45828</v>
      </c>
      <c r="V174" s="24">
        <v>45831</v>
      </c>
      <c r="W174" s="24">
        <v>45835</v>
      </c>
      <c r="X174" s="22" t="s">
        <v>259</v>
      </c>
      <c r="Y174" s="4" t="str">
        <f>IF(Tabela2[[#This Row],[SIGLA]]="","",VLOOKUP(Tabela2[[#This Row],[SIGLA]],Tabela1[[#All],[Sigla Arte]:[Crédito]],2,0))</f>
        <v>CAMILA CARMONA/ARQUIVO DA EDITORA</v>
      </c>
      <c r="Z174" s="23"/>
      <c r="AA174" s="23" t="str">
        <f>Tabela2[[#This Row],[ILUSTRADOR CRIAÇÃO]]</f>
        <v>CAMILA CARMONA/ARQUIVO DA EDITORA</v>
      </c>
      <c r="AB174" s="22">
        <v>7</v>
      </c>
      <c r="AC174" s="20" t="s">
        <v>449</v>
      </c>
      <c r="AD174" s="20" t="s">
        <v>40</v>
      </c>
      <c r="AE174" s="4" t="str">
        <f t="shared" si="2"/>
        <v>EF1 E002 Ing</v>
      </c>
    </row>
    <row r="175" spans="1:31" s="12" customFormat="1" ht="96" customHeight="1" x14ac:dyDescent="0.25">
      <c r="A175" s="23" t="s">
        <v>454</v>
      </c>
      <c r="B175" s="20" t="s">
        <v>32</v>
      </c>
      <c r="C175" s="20" t="s">
        <v>33</v>
      </c>
      <c r="D175" s="20" t="s">
        <v>34</v>
      </c>
      <c r="E175" s="22">
        <v>47</v>
      </c>
      <c r="F175" s="22">
        <v>3</v>
      </c>
      <c r="G175" s="22">
        <v>3</v>
      </c>
      <c r="H175" s="22"/>
      <c r="I175" s="23" t="s">
        <v>36</v>
      </c>
      <c r="J175" s="23"/>
      <c r="K175" s="22"/>
      <c r="L175" s="22"/>
      <c r="M175" s="23"/>
      <c r="N175" s="23"/>
      <c r="O175" s="26" t="s">
        <v>455</v>
      </c>
      <c r="P175" s="26"/>
      <c r="Q175" s="26"/>
      <c r="R175" s="22">
        <v>28</v>
      </c>
      <c r="S175" s="24">
        <v>45824</v>
      </c>
      <c r="T175" s="24">
        <v>45825</v>
      </c>
      <c r="U175" s="24">
        <v>45828</v>
      </c>
      <c r="V175" s="24">
        <v>45831</v>
      </c>
      <c r="W175" s="24">
        <v>45835</v>
      </c>
      <c r="X175" s="22" t="s">
        <v>259</v>
      </c>
      <c r="Y175" s="4" t="str">
        <f>IF(Tabela2[[#This Row],[SIGLA]]="","",VLOOKUP(Tabela2[[#This Row],[SIGLA]],Tabela1[[#All],[Sigla Arte]:[Crédito]],2,0))</f>
        <v>CAMILA CARMONA/ARQUIVO DA EDITORA</v>
      </c>
      <c r="Z175" s="23"/>
      <c r="AA175" s="23" t="str">
        <f>Tabela2[[#This Row],[ILUSTRADOR CRIAÇÃO]]</f>
        <v>CAMILA CARMONA/ARQUIVO DA EDITORA</v>
      </c>
      <c r="AB175" s="22">
        <v>7</v>
      </c>
      <c r="AC175" s="20" t="s">
        <v>449</v>
      </c>
      <c r="AD175" s="20" t="s">
        <v>40</v>
      </c>
      <c r="AE175" s="4" t="str">
        <f t="shared" si="2"/>
        <v>EF1 E002 Ing</v>
      </c>
    </row>
    <row r="176" spans="1:31" s="12" customFormat="1" ht="45" x14ac:dyDescent="0.25">
      <c r="A176" s="23" t="s">
        <v>456</v>
      </c>
      <c r="B176" s="20" t="s">
        <v>32</v>
      </c>
      <c r="C176" s="20" t="s">
        <v>33</v>
      </c>
      <c r="D176" s="20" t="s">
        <v>34</v>
      </c>
      <c r="E176" s="22">
        <v>48</v>
      </c>
      <c r="F176" s="22">
        <v>3</v>
      </c>
      <c r="G176" s="22">
        <v>3</v>
      </c>
      <c r="H176" s="22"/>
      <c r="I176" s="23" t="s">
        <v>36</v>
      </c>
      <c r="J176" s="23"/>
      <c r="K176" s="22"/>
      <c r="L176" s="22"/>
      <c r="M176" s="23"/>
      <c r="N176" s="23"/>
      <c r="O176" s="26" t="s">
        <v>457</v>
      </c>
      <c r="P176" s="26"/>
      <c r="Q176" s="26"/>
      <c r="R176" s="22">
        <v>28</v>
      </c>
      <c r="S176" s="24">
        <v>45824</v>
      </c>
      <c r="T176" s="24">
        <v>45825</v>
      </c>
      <c r="U176" s="24">
        <v>45828</v>
      </c>
      <c r="V176" s="24">
        <v>45831</v>
      </c>
      <c r="W176" s="24">
        <v>45834</v>
      </c>
      <c r="X176" s="22" t="s">
        <v>259</v>
      </c>
      <c r="Y176" s="4" t="str">
        <f>IF(Tabela2[[#This Row],[SIGLA]]="","",VLOOKUP(Tabela2[[#This Row],[SIGLA]],Tabela1[[#All],[Sigla Arte]:[Crédito]],2,0))</f>
        <v>CAMILA CARMONA/ARQUIVO DA EDITORA</v>
      </c>
      <c r="Z176" s="23"/>
      <c r="AA176" s="23" t="str">
        <f>Tabela2[[#This Row],[ILUSTRADOR CRIAÇÃO]]</f>
        <v>CAMILA CARMONA/ARQUIVO DA EDITORA</v>
      </c>
      <c r="AB176" s="22">
        <v>5</v>
      </c>
      <c r="AC176" s="20" t="s">
        <v>449</v>
      </c>
      <c r="AD176" s="20" t="s">
        <v>40</v>
      </c>
      <c r="AE176" s="4" t="str">
        <f t="shared" si="2"/>
        <v>EF1 E002 Ing</v>
      </c>
    </row>
    <row r="177" spans="1:31" s="12" customFormat="1" ht="45" x14ac:dyDescent="0.25">
      <c r="A177" s="23" t="s">
        <v>458</v>
      </c>
      <c r="B177" s="20" t="s">
        <v>32</v>
      </c>
      <c r="C177" s="20" t="s">
        <v>33</v>
      </c>
      <c r="D177" s="20" t="s">
        <v>34</v>
      </c>
      <c r="E177" s="22">
        <v>48</v>
      </c>
      <c r="F177" s="22">
        <v>3</v>
      </c>
      <c r="G177" s="22">
        <v>3</v>
      </c>
      <c r="H177" s="22"/>
      <c r="I177" s="23" t="s">
        <v>36</v>
      </c>
      <c r="J177" s="23"/>
      <c r="K177" s="22"/>
      <c r="L177" s="22"/>
      <c r="M177" s="23"/>
      <c r="N177" s="23"/>
      <c r="O177" s="26" t="s">
        <v>459</v>
      </c>
      <c r="P177" s="26"/>
      <c r="Q177" s="26"/>
      <c r="R177" s="22">
        <v>28</v>
      </c>
      <c r="S177" s="24">
        <v>45824</v>
      </c>
      <c r="T177" s="24">
        <v>45825</v>
      </c>
      <c r="U177" s="24">
        <v>45828</v>
      </c>
      <c r="V177" s="24">
        <v>45831</v>
      </c>
      <c r="W177" s="24">
        <v>45834</v>
      </c>
      <c r="X177" s="22" t="s">
        <v>259</v>
      </c>
      <c r="Y177" s="4" t="str">
        <f>IF(Tabela2[[#This Row],[SIGLA]]="","",VLOOKUP(Tabela2[[#This Row],[SIGLA]],Tabela1[[#All],[Sigla Arte]:[Crédito]],2,0))</f>
        <v>CAMILA CARMONA/ARQUIVO DA EDITORA</v>
      </c>
      <c r="Z177" s="23"/>
      <c r="AA177" s="23" t="str">
        <f>Tabela2[[#This Row],[ILUSTRADOR CRIAÇÃO]]</f>
        <v>CAMILA CARMONA/ARQUIVO DA EDITORA</v>
      </c>
      <c r="AB177" s="22">
        <v>5</v>
      </c>
      <c r="AC177" s="20" t="s">
        <v>449</v>
      </c>
      <c r="AD177" s="20" t="s">
        <v>40</v>
      </c>
      <c r="AE177" s="4" t="str">
        <f t="shared" si="2"/>
        <v>EF1 E002 Ing</v>
      </c>
    </row>
    <row r="178" spans="1:31" s="12" customFormat="1" ht="45" x14ac:dyDescent="0.25">
      <c r="A178" s="23" t="s">
        <v>460</v>
      </c>
      <c r="B178" s="20" t="s">
        <v>32</v>
      </c>
      <c r="C178" s="20" t="s">
        <v>33</v>
      </c>
      <c r="D178" s="20" t="s">
        <v>34</v>
      </c>
      <c r="E178" s="22">
        <v>48</v>
      </c>
      <c r="F178" s="22">
        <v>3</v>
      </c>
      <c r="G178" s="22">
        <v>3</v>
      </c>
      <c r="H178" s="22"/>
      <c r="I178" s="23" t="s">
        <v>36</v>
      </c>
      <c r="J178" s="23"/>
      <c r="K178" s="22"/>
      <c r="L178" s="22"/>
      <c r="M178" s="23"/>
      <c r="N178" s="23"/>
      <c r="O178" s="26" t="s">
        <v>461</v>
      </c>
      <c r="P178" s="26"/>
      <c r="Q178" s="26"/>
      <c r="R178" s="22">
        <v>28</v>
      </c>
      <c r="S178" s="24">
        <v>45824</v>
      </c>
      <c r="T178" s="24">
        <v>45825</v>
      </c>
      <c r="U178" s="24">
        <v>45828</v>
      </c>
      <c r="V178" s="24">
        <v>45831</v>
      </c>
      <c r="W178" s="24">
        <v>45834</v>
      </c>
      <c r="X178" s="22" t="s">
        <v>259</v>
      </c>
      <c r="Y178" s="4" t="str">
        <f>IF(Tabela2[[#This Row],[SIGLA]]="","",VLOOKUP(Tabela2[[#This Row],[SIGLA]],Tabela1[[#All],[Sigla Arte]:[Crédito]],2,0))</f>
        <v>CAMILA CARMONA/ARQUIVO DA EDITORA</v>
      </c>
      <c r="Z178" s="23"/>
      <c r="AA178" s="23" t="str">
        <f>Tabela2[[#This Row],[ILUSTRADOR CRIAÇÃO]]</f>
        <v>CAMILA CARMONA/ARQUIVO DA EDITORA</v>
      </c>
      <c r="AB178" s="22">
        <v>5</v>
      </c>
      <c r="AC178" s="20" t="s">
        <v>449</v>
      </c>
      <c r="AD178" s="20" t="s">
        <v>40</v>
      </c>
      <c r="AE178" s="4" t="str">
        <f t="shared" si="2"/>
        <v>EF1 E002 Ing</v>
      </c>
    </row>
    <row r="179" spans="1:31" s="12" customFormat="1" ht="105" x14ac:dyDescent="0.25">
      <c r="A179" s="23" t="s">
        <v>462</v>
      </c>
      <c r="B179" s="20" t="s">
        <v>32</v>
      </c>
      <c r="C179" s="20" t="s">
        <v>33</v>
      </c>
      <c r="D179" s="20" t="s">
        <v>34</v>
      </c>
      <c r="E179" s="22">
        <v>52</v>
      </c>
      <c r="F179" s="22">
        <v>3</v>
      </c>
      <c r="G179" s="22">
        <v>3</v>
      </c>
      <c r="H179" s="22"/>
      <c r="I179" s="23" t="s">
        <v>36</v>
      </c>
      <c r="J179" s="23"/>
      <c r="K179" s="22"/>
      <c r="L179" s="22"/>
      <c r="M179" s="23"/>
      <c r="N179" s="23"/>
      <c r="O179" s="26" t="s">
        <v>463</v>
      </c>
      <c r="P179" s="26"/>
      <c r="Q179" s="26"/>
      <c r="R179" s="22">
        <v>28</v>
      </c>
      <c r="S179" s="24">
        <v>45824</v>
      </c>
      <c r="T179" s="24">
        <v>45825</v>
      </c>
      <c r="U179" s="24">
        <v>45828</v>
      </c>
      <c r="V179" s="24"/>
      <c r="W179" s="24">
        <v>45828</v>
      </c>
      <c r="X179" s="22" t="s">
        <v>259</v>
      </c>
      <c r="Y179" s="4" t="str">
        <f>IF(Tabela2[[#This Row],[SIGLA]]="","",VLOOKUP(Tabela2[[#This Row],[SIGLA]],Tabela1[[#All],[Sigla Arte]:[Crédito]],2,0))</f>
        <v>CAMILA CARMONA/ARQUIVO DA EDITORA</v>
      </c>
      <c r="Z179" s="23"/>
      <c r="AA179" s="23" t="str">
        <f>Tabela2[[#This Row],[ILUSTRADOR CRIAÇÃO]]</f>
        <v>CAMILA CARMONA/ARQUIVO DA EDITORA</v>
      </c>
      <c r="AB179" s="22">
        <v>8</v>
      </c>
      <c r="AC179" s="20" t="s">
        <v>449</v>
      </c>
      <c r="AD179" s="20" t="s">
        <v>40</v>
      </c>
      <c r="AE179" s="4" t="str">
        <f t="shared" si="2"/>
        <v>EF1 E002 Ing</v>
      </c>
    </row>
    <row r="180" spans="1:31" s="12" customFormat="1" ht="120" x14ac:dyDescent="0.25">
      <c r="A180" s="23" t="s">
        <v>464</v>
      </c>
      <c r="B180" s="20" t="s">
        <v>32</v>
      </c>
      <c r="C180" s="20" t="s">
        <v>33</v>
      </c>
      <c r="D180" s="20" t="s">
        <v>34</v>
      </c>
      <c r="E180" s="22">
        <v>53</v>
      </c>
      <c r="F180" s="22">
        <v>3</v>
      </c>
      <c r="G180" s="22">
        <v>3</v>
      </c>
      <c r="H180" s="22"/>
      <c r="I180" s="23" t="s">
        <v>36</v>
      </c>
      <c r="J180" s="23"/>
      <c r="K180" s="22"/>
      <c r="L180" s="22"/>
      <c r="M180" s="23"/>
      <c r="N180" s="23"/>
      <c r="O180" s="26" t="s">
        <v>465</v>
      </c>
      <c r="P180" s="26"/>
      <c r="Q180" s="26"/>
      <c r="R180" s="22">
        <v>28</v>
      </c>
      <c r="S180" s="24">
        <v>45824</v>
      </c>
      <c r="T180" s="24">
        <v>45825</v>
      </c>
      <c r="U180" s="24">
        <v>45828</v>
      </c>
      <c r="V180" s="24"/>
      <c r="W180" s="24">
        <v>45828</v>
      </c>
      <c r="X180" s="22" t="s">
        <v>259</v>
      </c>
      <c r="Y180" s="4" t="str">
        <f>IF(Tabela2[[#This Row],[SIGLA]]="","",VLOOKUP(Tabela2[[#This Row],[SIGLA]],Tabela1[[#All],[Sigla Arte]:[Crédito]],2,0))</f>
        <v>CAMILA CARMONA/ARQUIVO DA EDITORA</v>
      </c>
      <c r="Z180" s="23"/>
      <c r="AA180" s="23" t="str">
        <f>Tabela2[[#This Row],[ILUSTRADOR CRIAÇÃO]]</f>
        <v>CAMILA CARMONA/ARQUIVO DA EDITORA</v>
      </c>
      <c r="AB180" s="22">
        <v>7</v>
      </c>
      <c r="AC180" s="20" t="s">
        <v>449</v>
      </c>
      <c r="AD180" s="20" t="s">
        <v>40</v>
      </c>
      <c r="AE180" s="4" t="str">
        <f t="shared" si="2"/>
        <v>EF1 E002 Ing</v>
      </c>
    </row>
    <row r="181" spans="1:31" s="12" customFormat="1" ht="216" customHeight="1" x14ac:dyDescent="0.25">
      <c r="A181" s="23" t="s">
        <v>466</v>
      </c>
      <c r="B181" s="20" t="s">
        <v>32</v>
      </c>
      <c r="C181" s="20" t="s">
        <v>33</v>
      </c>
      <c r="D181" s="20" t="s">
        <v>34</v>
      </c>
      <c r="E181" s="22">
        <v>58</v>
      </c>
      <c r="F181" s="22">
        <v>2</v>
      </c>
      <c r="G181" s="22">
        <v>6</v>
      </c>
      <c r="H181" s="22"/>
      <c r="I181" s="23" t="s">
        <v>36</v>
      </c>
      <c r="J181" s="23"/>
      <c r="K181" s="22"/>
      <c r="L181" s="22"/>
      <c r="M181" s="23"/>
      <c r="N181" s="23"/>
      <c r="O181" s="26" t="s">
        <v>467</v>
      </c>
      <c r="P181" s="26"/>
      <c r="Q181" s="26"/>
      <c r="R181" s="22">
        <v>29</v>
      </c>
      <c r="S181" s="24">
        <v>45824</v>
      </c>
      <c r="T181" s="24">
        <v>45828</v>
      </c>
      <c r="U181" s="24">
        <v>45832</v>
      </c>
      <c r="V181" s="24">
        <v>45834</v>
      </c>
      <c r="W181" s="24">
        <v>45845</v>
      </c>
      <c r="X181" s="22" t="s">
        <v>468</v>
      </c>
      <c r="Y181" s="4" t="str">
        <f>IF(Tabela2[[#This Row],[SIGLA]]="","",VLOOKUP(Tabela2[[#This Row],[SIGLA]],Tabela1[[#All],[Sigla Arte]:[Crédito]],2,0))</f>
        <v>BRUNA MENEZES/ARQUIVO DA EDITORA</v>
      </c>
      <c r="Z181" s="23"/>
      <c r="AA181" s="23" t="str">
        <f>Tabela2[[#This Row],[ILUSTRADOR CRIAÇÃO]]</f>
        <v>BRUNA MENEZES/ARQUIVO DA EDITORA</v>
      </c>
      <c r="AB181" s="22">
        <v>6</v>
      </c>
      <c r="AC181" s="20" t="s">
        <v>469</v>
      </c>
      <c r="AD181" s="20" t="s">
        <v>40</v>
      </c>
      <c r="AE181" s="4" t="str">
        <f t="shared" si="2"/>
        <v>EF1 E002 Ing</v>
      </c>
    </row>
    <row r="182" spans="1:31" s="12" customFormat="1" ht="90" x14ac:dyDescent="0.25">
      <c r="A182" s="23" t="s">
        <v>470</v>
      </c>
      <c r="B182" s="20" t="s">
        <v>32</v>
      </c>
      <c r="C182" s="20" t="s">
        <v>33</v>
      </c>
      <c r="D182" s="20" t="s">
        <v>34</v>
      </c>
      <c r="E182" s="22">
        <v>61</v>
      </c>
      <c r="F182" s="22">
        <v>2</v>
      </c>
      <c r="G182" s="22">
        <v>6</v>
      </c>
      <c r="H182" s="22"/>
      <c r="I182" s="23" t="s">
        <v>36</v>
      </c>
      <c r="J182" s="23"/>
      <c r="K182" s="22"/>
      <c r="L182" s="22"/>
      <c r="M182" s="23"/>
      <c r="N182" s="23"/>
      <c r="O182" s="26" t="s">
        <v>471</v>
      </c>
      <c r="P182" s="26"/>
      <c r="Q182" s="26"/>
      <c r="R182" s="22">
        <v>29</v>
      </c>
      <c r="S182" s="24">
        <v>45824</v>
      </c>
      <c r="T182" s="24">
        <v>45828</v>
      </c>
      <c r="U182" s="24">
        <v>45832</v>
      </c>
      <c r="V182" s="24">
        <v>45834</v>
      </c>
      <c r="W182" s="24">
        <v>45838</v>
      </c>
      <c r="X182" s="22" t="s">
        <v>468</v>
      </c>
      <c r="Y182" s="4" t="str">
        <f>IF(Tabela2[[#This Row],[SIGLA]]="","",VLOOKUP(Tabela2[[#This Row],[SIGLA]],Tabela1[[#All],[Sigla Arte]:[Crédito]],2,0))</f>
        <v>BRUNA MENEZES/ARQUIVO DA EDITORA</v>
      </c>
      <c r="Z182" s="23"/>
      <c r="AA182" s="23" t="str">
        <f>Tabela2[[#This Row],[ILUSTRADOR CRIAÇÃO]]</f>
        <v>BRUNA MENEZES/ARQUIVO DA EDITORA</v>
      </c>
      <c r="AB182" s="22">
        <v>5</v>
      </c>
      <c r="AC182" s="23" t="s">
        <v>472</v>
      </c>
      <c r="AD182" s="20" t="s">
        <v>40</v>
      </c>
      <c r="AE182" s="4" t="str">
        <f t="shared" si="2"/>
        <v>EF1 E002 Ing</v>
      </c>
    </row>
    <row r="183" spans="1:31" s="12" customFormat="1" ht="60" x14ac:dyDescent="0.25">
      <c r="A183" s="23" t="s">
        <v>473</v>
      </c>
      <c r="B183" s="20" t="s">
        <v>32</v>
      </c>
      <c r="C183" s="20" t="s">
        <v>33</v>
      </c>
      <c r="D183" s="20" t="s">
        <v>34</v>
      </c>
      <c r="E183" s="22">
        <v>61</v>
      </c>
      <c r="F183" s="22">
        <v>2</v>
      </c>
      <c r="G183" s="22">
        <v>6</v>
      </c>
      <c r="H183" s="22"/>
      <c r="I183" s="23" t="s">
        <v>36</v>
      </c>
      <c r="J183" s="23"/>
      <c r="K183" s="22"/>
      <c r="L183" s="22"/>
      <c r="M183" s="23"/>
      <c r="N183" s="23"/>
      <c r="O183" s="26" t="s">
        <v>474</v>
      </c>
      <c r="P183" s="26"/>
      <c r="Q183" s="26"/>
      <c r="R183" s="22">
        <v>29</v>
      </c>
      <c r="S183" s="24">
        <v>45824</v>
      </c>
      <c r="T183" s="24">
        <v>45828</v>
      </c>
      <c r="U183" s="24">
        <v>45832</v>
      </c>
      <c r="V183" s="24">
        <v>45834</v>
      </c>
      <c r="W183" s="24">
        <v>45838</v>
      </c>
      <c r="X183" s="22" t="s">
        <v>468</v>
      </c>
      <c r="Y183" s="4" t="str">
        <f>IF(Tabela2[[#This Row],[SIGLA]]="","",VLOOKUP(Tabela2[[#This Row],[SIGLA]],Tabela1[[#All],[Sigla Arte]:[Crédito]],2,0))</f>
        <v>BRUNA MENEZES/ARQUIVO DA EDITORA</v>
      </c>
      <c r="Z183" s="23"/>
      <c r="AA183" s="23" t="str">
        <f>Tabela2[[#This Row],[ILUSTRADOR CRIAÇÃO]]</f>
        <v>BRUNA MENEZES/ARQUIVO DA EDITORA</v>
      </c>
      <c r="AB183" s="22">
        <v>5</v>
      </c>
      <c r="AC183" s="23" t="s">
        <v>472</v>
      </c>
      <c r="AD183" s="20" t="s">
        <v>40</v>
      </c>
      <c r="AE183" s="4" t="str">
        <f t="shared" si="2"/>
        <v>EF1 E002 Ing</v>
      </c>
    </row>
    <row r="184" spans="1:31" s="12" customFormat="1" ht="135" x14ac:dyDescent="0.25">
      <c r="A184" s="23" t="s">
        <v>475</v>
      </c>
      <c r="B184" s="20" t="s">
        <v>32</v>
      </c>
      <c r="C184" s="20" t="s">
        <v>33</v>
      </c>
      <c r="D184" s="20" t="s">
        <v>34</v>
      </c>
      <c r="E184" s="22">
        <v>62</v>
      </c>
      <c r="F184" s="22">
        <v>2</v>
      </c>
      <c r="G184" s="22">
        <v>6</v>
      </c>
      <c r="H184" s="22"/>
      <c r="I184" s="23" t="s">
        <v>36</v>
      </c>
      <c r="J184" s="23"/>
      <c r="K184" s="22"/>
      <c r="L184" s="22"/>
      <c r="M184" s="23"/>
      <c r="N184" s="23"/>
      <c r="O184" s="26" t="s">
        <v>476</v>
      </c>
      <c r="P184" s="26"/>
      <c r="Q184" s="26"/>
      <c r="R184" s="22">
        <v>29</v>
      </c>
      <c r="S184" s="24">
        <v>45824</v>
      </c>
      <c r="T184" s="24">
        <v>45828</v>
      </c>
      <c r="U184" s="24">
        <v>45832</v>
      </c>
      <c r="V184" s="24">
        <v>45834</v>
      </c>
      <c r="W184" s="24">
        <v>45838</v>
      </c>
      <c r="X184" s="22" t="s">
        <v>468</v>
      </c>
      <c r="Y184" s="4" t="str">
        <f>IF(Tabela2[[#This Row],[SIGLA]]="","",VLOOKUP(Tabela2[[#This Row],[SIGLA]],Tabela1[[#All],[Sigla Arte]:[Crédito]],2,0))</f>
        <v>BRUNA MENEZES/ARQUIVO DA EDITORA</v>
      </c>
      <c r="Z184" s="23"/>
      <c r="AA184" s="23" t="str">
        <f>Tabela2[[#This Row],[ILUSTRADOR CRIAÇÃO]]</f>
        <v>BRUNA MENEZES/ARQUIVO DA EDITORA</v>
      </c>
      <c r="AB184" s="22">
        <v>4</v>
      </c>
      <c r="AC184" s="23" t="s">
        <v>472</v>
      </c>
      <c r="AD184" s="20" t="s">
        <v>40</v>
      </c>
      <c r="AE184" s="4" t="str">
        <f t="shared" si="2"/>
        <v>EF1 E002 Ing</v>
      </c>
    </row>
    <row r="185" spans="1:31" s="12" customFormat="1" ht="105" x14ac:dyDescent="0.25">
      <c r="A185" s="23" t="s">
        <v>477</v>
      </c>
      <c r="B185" s="20" t="s">
        <v>32</v>
      </c>
      <c r="C185" s="20" t="s">
        <v>33</v>
      </c>
      <c r="D185" s="20" t="s">
        <v>34</v>
      </c>
      <c r="E185" s="22">
        <v>63</v>
      </c>
      <c r="F185" s="22">
        <v>2</v>
      </c>
      <c r="G185" s="22">
        <v>6</v>
      </c>
      <c r="H185" s="22"/>
      <c r="I185" s="23" t="s">
        <v>36</v>
      </c>
      <c r="J185" s="23"/>
      <c r="K185" s="22"/>
      <c r="L185" s="22"/>
      <c r="M185" s="23"/>
      <c r="N185" s="23"/>
      <c r="O185" s="26" t="s">
        <v>478</v>
      </c>
      <c r="P185" s="26"/>
      <c r="Q185" s="26"/>
      <c r="R185" s="22">
        <v>29</v>
      </c>
      <c r="S185" s="24">
        <v>45824</v>
      </c>
      <c r="T185" s="24">
        <v>45828</v>
      </c>
      <c r="U185" s="24">
        <v>45832</v>
      </c>
      <c r="V185" s="24">
        <v>45834</v>
      </c>
      <c r="W185" s="24">
        <v>45838</v>
      </c>
      <c r="X185" s="22" t="s">
        <v>468</v>
      </c>
      <c r="Y185" s="4" t="str">
        <f>IF(Tabela2[[#This Row],[SIGLA]]="","",VLOOKUP(Tabela2[[#This Row],[SIGLA]],Tabela1[[#All],[Sigla Arte]:[Crédito]],2,0))</f>
        <v>BRUNA MENEZES/ARQUIVO DA EDITORA</v>
      </c>
      <c r="Z185" s="23"/>
      <c r="AA185" s="23" t="str">
        <f>Tabela2[[#This Row],[ILUSTRADOR CRIAÇÃO]]</f>
        <v>BRUNA MENEZES/ARQUIVO DA EDITORA</v>
      </c>
      <c r="AB185" s="22">
        <v>5</v>
      </c>
      <c r="AC185" s="23" t="s">
        <v>472</v>
      </c>
      <c r="AD185" s="20" t="s">
        <v>40</v>
      </c>
      <c r="AE185" s="4" t="str">
        <f t="shared" si="2"/>
        <v>EF1 E002 Ing</v>
      </c>
    </row>
    <row r="186" spans="1:31" s="12" customFormat="1" ht="75" x14ac:dyDescent="0.25">
      <c r="A186" s="23" t="s">
        <v>479</v>
      </c>
      <c r="B186" s="20" t="s">
        <v>32</v>
      </c>
      <c r="C186" s="20" t="s">
        <v>33</v>
      </c>
      <c r="D186" s="20" t="s">
        <v>34</v>
      </c>
      <c r="E186" s="22">
        <v>72</v>
      </c>
      <c r="F186" s="22">
        <v>2</v>
      </c>
      <c r="G186" s="22"/>
      <c r="H186" s="22" t="s">
        <v>35</v>
      </c>
      <c r="I186" s="23" t="s">
        <v>36</v>
      </c>
      <c r="J186" s="23"/>
      <c r="K186" s="22"/>
      <c r="L186" s="22"/>
      <c r="M186" s="23"/>
      <c r="N186" s="23"/>
      <c r="O186" s="26" t="s">
        <v>480</v>
      </c>
      <c r="P186" s="26"/>
      <c r="Q186" s="26"/>
      <c r="R186" s="22">
        <v>30</v>
      </c>
      <c r="S186" s="24">
        <v>45824</v>
      </c>
      <c r="T186" s="24">
        <v>45826</v>
      </c>
      <c r="U186" s="24">
        <v>45828</v>
      </c>
      <c r="V186" s="24">
        <v>45831</v>
      </c>
      <c r="W186" s="24">
        <v>45832</v>
      </c>
      <c r="X186" s="22" t="s">
        <v>224</v>
      </c>
      <c r="Y186" s="4" t="str">
        <f>IF(Tabela2[[#This Row],[SIGLA]]="","",VLOOKUP(Tabela2[[#This Row],[SIGLA]],Tabela1[[#All],[Sigla Arte]:[Crédito]],2,0))</f>
        <v>ANA KOZUKI/ARQUIVO DA EDITORA</v>
      </c>
      <c r="Z186" s="23"/>
      <c r="AA186" s="23" t="str">
        <f>Tabela2[[#This Row],[ILUSTRADOR CRIAÇÃO]]</f>
        <v>ANA KOZUKI/ARQUIVO DA EDITORA</v>
      </c>
      <c r="AB186" s="22">
        <v>6</v>
      </c>
      <c r="AC186" s="20" t="s">
        <v>481</v>
      </c>
      <c r="AD186" s="20" t="s">
        <v>40</v>
      </c>
      <c r="AE186" s="4" t="str">
        <f t="shared" si="2"/>
        <v>EF1 E002 Ing</v>
      </c>
    </row>
    <row r="187" spans="1:31" s="12" customFormat="1" x14ac:dyDescent="0.25">
      <c r="A187" s="23" t="s">
        <v>482</v>
      </c>
      <c r="B187" s="20" t="s">
        <v>32</v>
      </c>
      <c r="C187" s="20" t="s">
        <v>33</v>
      </c>
      <c r="D187" s="20" t="s">
        <v>34</v>
      </c>
      <c r="E187" s="22">
        <v>72</v>
      </c>
      <c r="F187" s="22">
        <v>2</v>
      </c>
      <c r="G187" s="22"/>
      <c r="H187" s="22" t="s">
        <v>35</v>
      </c>
      <c r="I187" s="23" t="s">
        <v>36</v>
      </c>
      <c r="J187" s="23"/>
      <c r="K187" s="22"/>
      <c r="L187" s="22"/>
      <c r="M187" s="23"/>
      <c r="N187" s="23"/>
      <c r="O187" s="26" t="s">
        <v>417</v>
      </c>
      <c r="P187" s="26"/>
      <c r="Q187" s="26"/>
      <c r="R187" s="22">
        <v>30</v>
      </c>
      <c r="S187" s="24">
        <v>45824</v>
      </c>
      <c r="T187" s="24">
        <v>45826</v>
      </c>
      <c r="U187" s="24"/>
      <c r="V187" s="24"/>
      <c r="W187" s="24">
        <v>45826</v>
      </c>
      <c r="X187" s="22" t="s">
        <v>418</v>
      </c>
      <c r="Y187" s="4" t="str">
        <f>IF(Tabela2[[#This Row],[SIGLA]]="","",VLOOKUP(Tabela2[[#This Row],[SIGLA]],Tabela1[[#All],[Sigla Arte]:[Crédito]],2,0))</f>
        <v>VER DOCUMENTO DE ILS. TÉCNICAS</v>
      </c>
      <c r="Z187" s="23" t="s">
        <v>308</v>
      </c>
      <c r="AA187" s="23" t="s">
        <v>420</v>
      </c>
      <c r="AB187" s="22">
        <v>13</v>
      </c>
      <c r="AC187" s="20" t="s">
        <v>483</v>
      </c>
      <c r="AD187" s="20" t="s">
        <v>58</v>
      </c>
      <c r="AE187" s="4" t="str">
        <f t="shared" si="2"/>
        <v>EF1 E002 Ing</v>
      </c>
    </row>
    <row r="188" spans="1:31" s="12" customFormat="1" x14ac:dyDescent="0.25">
      <c r="A188" s="23" t="s">
        <v>484</v>
      </c>
      <c r="B188" s="20" t="s">
        <v>32</v>
      </c>
      <c r="C188" s="20" t="s">
        <v>33</v>
      </c>
      <c r="D188" s="20" t="s">
        <v>34</v>
      </c>
      <c r="E188" s="22">
        <v>72</v>
      </c>
      <c r="F188" s="22">
        <v>2</v>
      </c>
      <c r="G188" s="22"/>
      <c r="H188" s="22" t="s">
        <v>35</v>
      </c>
      <c r="I188" s="23" t="s">
        <v>36</v>
      </c>
      <c r="J188" s="23"/>
      <c r="K188" s="22"/>
      <c r="L188" s="22"/>
      <c r="M188" s="23"/>
      <c r="N188" s="23"/>
      <c r="O188" s="26" t="s">
        <v>485</v>
      </c>
      <c r="P188" s="26"/>
      <c r="Q188" s="26"/>
      <c r="R188" s="22">
        <v>30</v>
      </c>
      <c r="S188" s="24">
        <v>45824</v>
      </c>
      <c r="T188" s="24">
        <v>45826</v>
      </c>
      <c r="U188" s="24"/>
      <c r="V188" s="24"/>
      <c r="W188" s="24">
        <v>45826</v>
      </c>
      <c r="X188" s="22" t="s">
        <v>418</v>
      </c>
      <c r="Y188" s="4" t="str">
        <f>IF(Tabela2[[#This Row],[SIGLA]]="","",VLOOKUP(Tabela2[[#This Row],[SIGLA]],Tabela1[[#All],[Sigla Arte]:[Crédito]],2,0))</f>
        <v>VER DOCUMENTO DE ILS. TÉCNICAS</v>
      </c>
      <c r="Z188" s="23" t="s">
        <v>308</v>
      </c>
      <c r="AA188" s="23" t="s">
        <v>420</v>
      </c>
      <c r="AB188" s="22">
        <v>13</v>
      </c>
      <c r="AC188" s="20" t="s">
        <v>483</v>
      </c>
      <c r="AD188" s="20" t="s">
        <v>58</v>
      </c>
      <c r="AE188" s="4" t="str">
        <f t="shared" si="2"/>
        <v>EF1 E002 Ing</v>
      </c>
    </row>
    <row r="189" spans="1:31" s="12" customFormat="1" ht="98.25" customHeight="1" x14ac:dyDescent="0.25">
      <c r="A189" s="23" t="s">
        <v>486</v>
      </c>
      <c r="B189" s="20" t="s">
        <v>125</v>
      </c>
      <c r="C189" s="20" t="s">
        <v>33</v>
      </c>
      <c r="D189" s="20" t="s">
        <v>34</v>
      </c>
      <c r="E189" s="22">
        <v>29</v>
      </c>
      <c r="F189" s="22">
        <v>2</v>
      </c>
      <c r="G189" s="22"/>
      <c r="H189" s="22" t="s">
        <v>487</v>
      </c>
      <c r="I189" s="23" t="s">
        <v>36</v>
      </c>
      <c r="J189" s="23"/>
      <c r="K189" s="22"/>
      <c r="L189" s="22"/>
      <c r="M189" s="23"/>
      <c r="N189" s="23"/>
      <c r="O189" s="26" t="s">
        <v>488</v>
      </c>
      <c r="P189" s="26"/>
      <c r="Q189" s="26"/>
      <c r="R189" s="22">
        <v>31</v>
      </c>
      <c r="S189" s="24">
        <v>45824</v>
      </c>
      <c r="T189" s="24">
        <v>45826</v>
      </c>
      <c r="U189" s="24">
        <v>45828</v>
      </c>
      <c r="V189" s="24">
        <v>45838</v>
      </c>
      <c r="W189" s="24">
        <v>45841</v>
      </c>
      <c r="X189" s="22" t="s">
        <v>47</v>
      </c>
      <c r="Y189" s="4" t="str">
        <f>IF(Tabela2[[#This Row],[SIGLA]]="","",VLOOKUP(Tabela2[[#This Row],[SIGLA]],Tabela1[[#All],[Sigla Arte]:[Crédito]],2,0))</f>
        <v>RAFAEL LUZIO/ARQUIVO DA EDITORA</v>
      </c>
      <c r="Z189" s="23"/>
      <c r="AA189" s="23" t="str">
        <f>Tabela2[[#This Row],[ILUSTRADOR CRIAÇÃO]]</f>
        <v>RAFAEL LUZIO/ARQUIVO DA EDITORA</v>
      </c>
      <c r="AB189" s="22">
        <v>5</v>
      </c>
      <c r="AC189" s="26" t="s">
        <v>489</v>
      </c>
      <c r="AD189" s="20" t="s">
        <v>40</v>
      </c>
      <c r="AE189" s="4" t="str">
        <f t="shared" si="2"/>
        <v>EF1 E002 Ing</v>
      </c>
    </row>
    <row r="190" spans="1:31" s="12" customFormat="1" ht="86.25" customHeight="1" x14ac:dyDescent="0.25">
      <c r="A190" s="23" t="s">
        <v>490</v>
      </c>
      <c r="B190" s="20" t="s">
        <v>125</v>
      </c>
      <c r="C190" s="20" t="s">
        <v>33</v>
      </c>
      <c r="D190" s="20" t="s">
        <v>34</v>
      </c>
      <c r="E190" s="22">
        <v>29</v>
      </c>
      <c r="F190" s="22">
        <v>2</v>
      </c>
      <c r="G190" s="22"/>
      <c r="H190" s="22" t="s">
        <v>487</v>
      </c>
      <c r="I190" s="23" t="s">
        <v>36</v>
      </c>
      <c r="J190" s="23"/>
      <c r="K190" s="22"/>
      <c r="L190" s="22"/>
      <c r="M190" s="23"/>
      <c r="N190" s="23"/>
      <c r="O190" s="26" t="s">
        <v>491</v>
      </c>
      <c r="P190" s="26"/>
      <c r="Q190" s="26"/>
      <c r="R190" s="22">
        <v>31</v>
      </c>
      <c r="S190" s="24">
        <v>45824</v>
      </c>
      <c r="T190" s="24">
        <v>45826</v>
      </c>
      <c r="U190" s="24">
        <v>45828</v>
      </c>
      <c r="V190" s="24">
        <v>45838</v>
      </c>
      <c r="W190" s="24">
        <v>45841</v>
      </c>
      <c r="X190" s="22" t="s">
        <v>47</v>
      </c>
      <c r="Y190" s="4" t="str">
        <f>IF(Tabela2[[#This Row],[SIGLA]]="","",VLOOKUP(Tabela2[[#This Row],[SIGLA]],Tabela1[[#All],[Sigla Arte]:[Crédito]],2,0))</f>
        <v>RAFAEL LUZIO/ARQUIVO DA EDITORA</v>
      </c>
      <c r="Z190" s="23"/>
      <c r="AA190" s="23" t="str">
        <f>Tabela2[[#This Row],[ILUSTRADOR CRIAÇÃO]]</f>
        <v>RAFAEL LUZIO/ARQUIVO DA EDITORA</v>
      </c>
      <c r="AB190" s="22">
        <v>5</v>
      </c>
      <c r="AC190" s="26" t="s">
        <v>489</v>
      </c>
      <c r="AD190" s="20" t="s">
        <v>40</v>
      </c>
      <c r="AE190" s="4" t="str">
        <f t="shared" si="2"/>
        <v>EF1 E002 Ing</v>
      </c>
    </row>
    <row r="191" spans="1:31" s="12" customFormat="1" x14ac:dyDescent="0.25">
      <c r="A191" s="23" t="s">
        <v>492</v>
      </c>
      <c r="B191" s="20" t="s">
        <v>32</v>
      </c>
      <c r="C191" s="20" t="s">
        <v>33</v>
      </c>
      <c r="D191" s="20" t="s">
        <v>34</v>
      </c>
      <c r="E191" s="22">
        <v>47</v>
      </c>
      <c r="F191" s="22">
        <v>2</v>
      </c>
      <c r="G191" s="22"/>
      <c r="H191" s="22" t="s">
        <v>493</v>
      </c>
      <c r="I191" s="23" t="s">
        <v>36</v>
      </c>
      <c r="J191" s="23"/>
      <c r="K191" s="22"/>
      <c r="L191" s="22"/>
      <c r="M191" s="23"/>
      <c r="N191" s="23"/>
      <c r="O191" s="26" t="s">
        <v>494</v>
      </c>
      <c r="P191" s="26"/>
      <c r="Q191" s="26"/>
      <c r="R191" s="22">
        <v>32</v>
      </c>
      <c r="S191" s="24">
        <v>45828</v>
      </c>
      <c r="T191" s="24">
        <v>45832</v>
      </c>
      <c r="U191" s="24"/>
      <c r="V191" s="24"/>
      <c r="W191" s="24">
        <v>45835</v>
      </c>
      <c r="X191" s="22" t="s">
        <v>91</v>
      </c>
      <c r="Y191" s="4" t="str">
        <f>IF(Tabela2[[#This Row],[SIGLA]]="","",VLOOKUP(Tabela2[[#This Row],[SIGLA]],Tabela1[[#All],[Sigla Arte]:[Crédito]],2,0))</f>
        <v>HELOÍSA PINTARELLI/ARQUIVO DA EDITORA</v>
      </c>
      <c r="Z191" s="23"/>
      <c r="AA191" s="23" t="str">
        <f>Tabela2[[#This Row],[ILUSTRADOR CRIAÇÃO]]</f>
        <v>HELOÍSA PINTARELLI/ARQUIVO DA EDITORA</v>
      </c>
      <c r="AB191" s="22">
        <v>7</v>
      </c>
      <c r="AC191" s="20" t="s">
        <v>495</v>
      </c>
      <c r="AD191" s="20" t="s">
        <v>40</v>
      </c>
      <c r="AE191" s="4" t="str">
        <f t="shared" si="2"/>
        <v>EF1 E002 Ing</v>
      </c>
    </row>
    <row r="192" spans="1:31" s="12" customFormat="1" x14ac:dyDescent="0.25">
      <c r="A192" s="23" t="s">
        <v>496</v>
      </c>
      <c r="B192" s="20" t="s">
        <v>32</v>
      </c>
      <c r="C192" s="20" t="s">
        <v>33</v>
      </c>
      <c r="D192" s="20" t="s">
        <v>34</v>
      </c>
      <c r="E192" s="22">
        <v>47</v>
      </c>
      <c r="F192" s="22">
        <v>2</v>
      </c>
      <c r="G192" s="22"/>
      <c r="H192" s="22" t="s">
        <v>493</v>
      </c>
      <c r="I192" s="23" t="s">
        <v>36</v>
      </c>
      <c r="J192" s="23"/>
      <c r="K192" s="22"/>
      <c r="L192" s="22"/>
      <c r="M192" s="23"/>
      <c r="N192" s="23"/>
      <c r="O192" s="26" t="s">
        <v>497</v>
      </c>
      <c r="P192" s="26"/>
      <c r="Q192" s="26"/>
      <c r="R192" s="22">
        <v>32</v>
      </c>
      <c r="S192" s="24">
        <v>45828</v>
      </c>
      <c r="T192" s="24">
        <v>45832</v>
      </c>
      <c r="U192" s="24"/>
      <c r="V192" s="24"/>
      <c r="W192" s="24">
        <v>45835</v>
      </c>
      <c r="X192" s="22" t="s">
        <v>91</v>
      </c>
      <c r="Y192" s="4" t="str">
        <f>IF(Tabela2[[#This Row],[SIGLA]]="","",VLOOKUP(Tabela2[[#This Row],[SIGLA]],Tabela1[[#All],[Sigla Arte]:[Crédito]],2,0))</f>
        <v>HELOÍSA PINTARELLI/ARQUIVO DA EDITORA</v>
      </c>
      <c r="Z192" s="23"/>
      <c r="AA192" s="23" t="str">
        <f>Tabela2[[#This Row],[ILUSTRADOR CRIAÇÃO]]</f>
        <v>HELOÍSA PINTARELLI/ARQUIVO DA EDITORA</v>
      </c>
      <c r="AB192" s="22">
        <v>7</v>
      </c>
      <c r="AC192" s="20" t="s">
        <v>495</v>
      </c>
      <c r="AD192" s="20" t="s">
        <v>40</v>
      </c>
      <c r="AE192" s="4" t="str">
        <f t="shared" si="2"/>
        <v>EF1 E002 Ing</v>
      </c>
    </row>
    <row r="193" spans="1:31" s="12" customFormat="1" ht="30" x14ac:dyDescent="0.25">
      <c r="A193" s="23" t="s">
        <v>498</v>
      </c>
      <c r="B193" s="20" t="s">
        <v>32</v>
      </c>
      <c r="C193" s="20" t="s">
        <v>33</v>
      </c>
      <c r="D193" s="20" t="s">
        <v>34</v>
      </c>
      <c r="E193" s="22">
        <v>47</v>
      </c>
      <c r="F193" s="22">
        <v>2</v>
      </c>
      <c r="G193" s="22"/>
      <c r="H193" s="22" t="s">
        <v>493</v>
      </c>
      <c r="I193" s="23" t="s">
        <v>36</v>
      </c>
      <c r="J193" s="23"/>
      <c r="K193" s="22"/>
      <c r="L193" s="22"/>
      <c r="M193" s="23"/>
      <c r="N193" s="23"/>
      <c r="O193" s="26" t="s">
        <v>499</v>
      </c>
      <c r="P193" s="26"/>
      <c r="Q193" s="26"/>
      <c r="R193" s="22">
        <v>32</v>
      </c>
      <c r="S193" s="24">
        <v>45828</v>
      </c>
      <c r="T193" s="24">
        <v>45832</v>
      </c>
      <c r="U193" s="24"/>
      <c r="V193" s="24"/>
      <c r="W193" s="24">
        <v>45835</v>
      </c>
      <c r="X193" s="22" t="s">
        <v>91</v>
      </c>
      <c r="Y193" s="4" t="str">
        <f>IF(Tabela2[[#This Row],[SIGLA]]="","",VLOOKUP(Tabela2[[#This Row],[SIGLA]],Tabela1[[#All],[Sigla Arte]:[Crédito]],2,0))</f>
        <v>HELOÍSA PINTARELLI/ARQUIVO DA EDITORA</v>
      </c>
      <c r="Z193" s="23"/>
      <c r="AA193" s="23" t="str">
        <f>Tabela2[[#This Row],[ILUSTRADOR CRIAÇÃO]]</f>
        <v>HELOÍSA PINTARELLI/ARQUIVO DA EDITORA</v>
      </c>
      <c r="AB193" s="22">
        <v>7</v>
      </c>
      <c r="AC193" s="20" t="s">
        <v>495</v>
      </c>
      <c r="AD193" s="20" t="s">
        <v>40</v>
      </c>
      <c r="AE193" s="4" t="str">
        <f t="shared" si="2"/>
        <v>EF1 E002 Ing</v>
      </c>
    </row>
    <row r="194" spans="1:31" s="12" customFormat="1" x14ac:dyDescent="0.25">
      <c r="A194" s="23" t="s">
        <v>500</v>
      </c>
      <c r="B194" s="20" t="s">
        <v>32</v>
      </c>
      <c r="C194" s="20" t="s">
        <v>33</v>
      </c>
      <c r="D194" s="20" t="s">
        <v>34</v>
      </c>
      <c r="E194" s="22">
        <v>47</v>
      </c>
      <c r="F194" s="22">
        <v>2</v>
      </c>
      <c r="G194" s="22"/>
      <c r="H194" s="22" t="s">
        <v>493</v>
      </c>
      <c r="I194" s="23" t="s">
        <v>36</v>
      </c>
      <c r="J194" s="23"/>
      <c r="K194" s="22"/>
      <c r="L194" s="22"/>
      <c r="M194" s="23"/>
      <c r="N194" s="23"/>
      <c r="O194" s="26" t="s">
        <v>501</v>
      </c>
      <c r="P194" s="26"/>
      <c r="Q194" s="26"/>
      <c r="R194" s="22">
        <v>32</v>
      </c>
      <c r="S194" s="24">
        <v>45828</v>
      </c>
      <c r="T194" s="24">
        <v>45832</v>
      </c>
      <c r="U194" s="24"/>
      <c r="V194" s="24"/>
      <c r="W194" s="24">
        <v>45835</v>
      </c>
      <c r="X194" s="22" t="s">
        <v>91</v>
      </c>
      <c r="Y194" s="4" t="str">
        <f>IF(Tabela2[[#This Row],[SIGLA]]="","",VLOOKUP(Tabela2[[#This Row],[SIGLA]],Tabela1[[#All],[Sigla Arte]:[Crédito]],2,0))</f>
        <v>HELOÍSA PINTARELLI/ARQUIVO DA EDITORA</v>
      </c>
      <c r="Z194" s="23"/>
      <c r="AA194" s="23" t="str">
        <f>Tabela2[[#This Row],[ILUSTRADOR CRIAÇÃO]]</f>
        <v>HELOÍSA PINTARELLI/ARQUIVO DA EDITORA</v>
      </c>
      <c r="AB194" s="22">
        <v>7</v>
      </c>
      <c r="AC194" s="20" t="s">
        <v>495</v>
      </c>
      <c r="AD194" s="20" t="s">
        <v>40</v>
      </c>
      <c r="AE194" s="4" t="str">
        <f t="shared" ref="AE194:AE257" si="3">"EF1 E002 Ing"</f>
        <v>EF1 E002 Ing</v>
      </c>
    </row>
    <row r="195" spans="1:31" s="12" customFormat="1" ht="30" x14ac:dyDescent="0.25">
      <c r="A195" s="23" t="s">
        <v>502</v>
      </c>
      <c r="B195" s="20" t="s">
        <v>32</v>
      </c>
      <c r="C195" s="20" t="s">
        <v>33</v>
      </c>
      <c r="D195" s="20" t="s">
        <v>34</v>
      </c>
      <c r="E195" s="22">
        <v>48</v>
      </c>
      <c r="F195" s="22">
        <v>2</v>
      </c>
      <c r="G195" s="22"/>
      <c r="H195" s="22" t="s">
        <v>493</v>
      </c>
      <c r="I195" s="23" t="s">
        <v>36</v>
      </c>
      <c r="J195" s="23"/>
      <c r="K195" s="22"/>
      <c r="L195" s="22"/>
      <c r="M195" s="23"/>
      <c r="N195" s="23"/>
      <c r="O195" s="26" t="s">
        <v>503</v>
      </c>
      <c r="P195" s="26"/>
      <c r="Q195" s="26"/>
      <c r="R195" s="22">
        <v>32</v>
      </c>
      <c r="S195" s="24">
        <v>45828</v>
      </c>
      <c r="T195" s="24">
        <v>45832</v>
      </c>
      <c r="U195" s="24"/>
      <c r="V195" s="24"/>
      <c r="W195" s="24">
        <v>45835</v>
      </c>
      <c r="X195" s="22" t="s">
        <v>91</v>
      </c>
      <c r="Y195" s="4" t="str">
        <f>IF(Tabela2[[#This Row],[SIGLA]]="","",VLOOKUP(Tabela2[[#This Row],[SIGLA]],Tabela1[[#All],[Sigla Arte]:[Crédito]],2,0))</f>
        <v>HELOÍSA PINTARELLI/ARQUIVO DA EDITORA</v>
      </c>
      <c r="Z195" s="23"/>
      <c r="AA195" s="23" t="str">
        <f>Tabela2[[#This Row],[ILUSTRADOR CRIAÇÃO]]</f>
        <v>HELOÍSA PINTARELLI/ARQUIVO DA EDITORA</v>
      </c>
      <c r="AB195" s="22">
        <v>8</v>
      </c>
      <c r="AC195" s="20" t="s">
        <v>495</v>
      </c>
      <c r="AD195" s="20" t="s">
        <v>40</v>
      </c>
      <c r="AE195" s="4" t="str">
        <f t="shared" si="3"/>
        <v>EF1 E002 Ing</v>
      </c>
    </row>
    <row r="196" spans="1:31" s="12" customFormat="1" ht="30" x14ac:dyDescent="0.25">
      <c r="A196" s="23" t="s">
        <v>504</v>
      </c>
      <c r="B196" s="20" t="s">
        <v>32</v>
      </c>
      <c r="C196" s="20" t="s">
        <v>33</v>
      </c>
      <c r="D196" s="20" t="s">
        <v>34</v>
      </c>
      <c r="E196" s="22">
        <v>48</v>
      </c>
      <c r="F196" s="22">
        <v>2</v>
      </c>
      <c r="G196" s="22"/>
      <c r="H196" s="22" t="s">
        <v>493</v>
      </c>
      <c r="I196" s="23" t="s">
        <v>36</v>
      </c>
      <c r="J196" s="23"/>
      <c r="K196" s="22"/>
      <c r="L196" s="22"/>
      <c r="M196" s="23"/>
      <c r="N196" s="23"/>
      <c r="O196" s="26" t="s">
        <v>505</v>
      </c>
      <c r="P196" s="26"/>
      <c r="Q196" s="26"/>
      <c r="R196" s="22">
        <v>32</v>
      </c>
      <c r="S196" s="24">
        <v>45828</v>
      </c>
      <c r="T196" s="24">
        <v>45832</v>
      </c>
      <c r="U196" s="24"/>
      <c r="V196" s="24"/>
      <c r="W196" s="24">
        <v>45835</v>
      </c>
      <c r="X196" s="22" t="s">
        <v>91</v>
      </c>
      <c r="Y196" s="4" t="str">
        <f>IF(Tabela2[[#This Row],[SIGLA]]="","",VLOOKUP(Tabela2[[#This Row],[SIGLA]],Tabela1[[#All],[Sigla Arte]:[Crédito]],2,0))</f>
        <v>HELOÍSA PINTARELLI/ARQUIVO DA EDITORA</v>
      </c>
      <c r="Z196" s="23"/>
      <c r="AA196" s="23" t="str">
        <f>Tabela2[[#This Row],[ILUSTRADOR CRIAÇÃO]]</f>
        <v>HELOÍSA PINTARELLI/ARQUIVO DA EDITORA</v>
      </c>
      <c r="AB196" s="22">
        <v>7</v>
      </c>
      <c r="AC196" s="20" t="s">
        <v>495</v>
      </c>
      <c r="AD196" s="20" t="s">
        <v>40</v>
      </c>
      <c r="AE196" s="4" t="str">
        <f t="shared" si="3"/>
        <v>EF1 E002 Ing</v>
      </c>
    </row>
    <row r="197" spans="1:31" s="12" customFormat="1" ht="15.75" x14ac:dyDescent="0.25">
      <c r="A197" s="43" t="s">
        <v>506</v>
      </c>
      <c r="B197" s="20" t="s">
        <v>32</v>
      </c>
      <c r="C197" s="20" t="s">
        <v>33</v>
      </c>
      <c r="D197" s="20" t="s">
        <v>34</v>
      </c>
      <c r="E197" s="22">
        <v>65</v>
      </c>
      <c r="F197" s="22">
        <v>2</v>
      </c>
      <c r="G197" s="22"/>
      <c r="H197" s="22" t="s">
        <v>249</v>
      </c>
      <c r="I197" s="23" t="s">
        <v>36</v>
      </c>
      <c r="J197" s="23"/>
      <c r="K197" s="22"/>
      <c r="L197" s="22"/>
      <c r="M197" s="23"/>
      <c r="N197" s="23"/>
      <c r="O197" s="26" t="s">
        <v>507</v>
      </c>
      <c r="P197" s="26"/>
      <c r="Q197" s="26"/>
      <c r="R197" s="22">
        <v>33</v>
      </c>
      <c r="S197" s="24">
        <v>45828</v>
      </c>
      <c r="T197" s="24">
        <v>45832</v>
      </c>
      <c r="U197" s="24"/>
      <c r="V197" s="24"/>
      <c r="W197" s="24">
        <v>45832</v>
      </c>
      <c r="X197" s="22" t="s">
        <v>418</v>
      </c>
      <c r="Y197" s="4" t="str">
        <f>IF(Tabela2[[#This Row],[SIGLA]]="","",VLOOKUP(Tabela2[[#This Row],[SIGLA]],Tabela1[[#All],[Sigla Arte]:[Crédito]],2,0))</f>
        <v>VER DOCUMENTO DE ILS. TÉCNICAS</v>
      </c>
      <c r="Z197" s="23" t="s">
        <v>508</v>
      </c>
      <c r="AA197" s="23" t="str">
        <f>Tabela2[[#This Row],[ILUSTRADOR CRIAÇÃO]]</f>
        <v>VER DOCUMENTO DE ILS. TÉCNICAS</v>
      </c>
      <c r="AB197" s="22">
        <v>13</v>
      </c>
      <c r="AC197" s="20" t="s">
        <v>509</v>
      </c>
      <c r="AD197" s="20" t="s">
        <v>58</v>
      </c>
      <c r="AE197" s="4" t="str">
        <f t="shared" si="3"/>
        <v>EF1 E002 Ing</v>
      </c>
    </row>
    <row r="198" spans="1:31" s="12" customFormat="1" x14ac:dyDescent="0.25">
      <c r="A198" s="23" t="s">
        <v>510</v>
      </c>
      <c r="B198" s="20" t="s">
        <v>32</v>
      </c>
      <c r="C198" s="20" t="s">
        <v>33</v>
      </c>
      <c r="D198" s="20" t="s">
        <v>34</v>
      </c>
      <c r="E198" s="22">
        <v>65</v>
      </c>
      <c r="F198" s="22">
        <v>2</v>
      </c>
      <c r="G198" s="22"/>
      <c r="H198" s="22" t="s">
        <v>249</v>
      </c>
      <c r="I198" s="23" t="s">
        <v>36</v>
      </c>
      <c r="J198" s="23"/>
      <c r="K198" s="22"/>
      <c r="L198" s="22"/>
      <c r="M198" s="23"/>
      <c r="N198" s="23"/>
      <c r="O198" s="26" t="s">
        <v>511</v>
      </c>
      <c r="P198" s="26"/>
      <c r="Q198" s="26"/>
      <c r="R198" s="22">
        <v>33</v>
      </c>
      <c r="S198" s="24">
        <v>45828</v>
      </c>
      <c r="T198" s="24">
        <v>45832</v>
      </c>
      <c r="U198" s="24"/>
      <c r="V198" s="24"/>
      <c r="W198" s="24">
        <v>45832</v>
      </c>
      <c r="X198" s="22" t="s">
        <v>418</v>
      </c>
      <c r="Y198" s="4" t="str">
        <f>IF(Tabela2[[#This Row],[SIGLA]]="","",VLOOKUP(Tabela2[[#This Row],[SIGLA]],Tabela1[[#All],[Sigla Arte]:[Crédito]],2,0))</f>
        <v>VER DOCUMENTO DE ILS. TÉCNICAS</v>
      </c>
      <c r="Z198" s="23" t="s">
        <v>508</v>
      </c>
      <c r="AA198" s="23" t="str">
        <f>Tabela2[[#This Row],[ILUSTRADOR CRIAÇÃO]]</f>
        <v>VER DOCUMENTO DE ILS. TÉCNICAS</v>
      </c>
      <c r="AB198" s="22">
        <v>13</v>
      </c>
      <c r="AC198" s="20" t="s">
        <v>509</v>
      </c>
      <c r="AD198" s="20" t="s">
        <v>58</v>
      </c>
      <c r="AE198" s="4" t="str">
        <f t="shared" si="3"/>
        <v>EF1 E002 Ing</v>
      </c>
    </row>
    <row r="199" spans="1:31" s="12" customFormat="1" x14ac:dyDescent="0.25">
      <c r="A199" s="23" t="s">
        <v>512</v>
      </c>
      <c r="B199" s="20" t="s">
        <v>32</v>
      </c>
      <c r="C199" s="20" t="s">
        <v>33</v>
      </c>
      <c r="D199" s="20" t="s">
        <v>34</v>
      </c>
      <c r="E199" s="22">
        <v>65</v>
      </c>
      <c r="F199" s="22">
        <v>2</v>
      </c>
      <c r="G199" s="22"/>
      <c r="H199" s="22" t="s">
        <v>249</v>
      </c>
      <c r="I199" s="23" t="s">
        <v>36</v>
      </c>
      <c r="J199" s="23"/>
      <c r="K199" s="22"/>
      <c r="L199" s="22"/>
      <c r="M199" s="23"/>
      <c r="N199" s="23"/>
      <c r="O199" s="26" t="s">
        <v>485</v>
      </c>
      <c r="P199" s="26"/>
      <c r="Q199" s="26"/>
      <c r="R199" s="22">
        <v>33</v>
      </c>
      <c r="S199" s="24">
        <v>45828</v>
      </c>
      <c r="T199" s="24">
        <v>45832</v>
      </c>
      <c r="U199" s="24"/>
      <c r="V199" s="24"/>
      <c r="W199" s="24">
        <v>45832</v>
      </c>
      <c r="X199" s="22" t="s">
        <v>418</v>
      </c>
      <c r="Y199" s="4" t="str">
        <f>IF(Tabela2[[#This Row],[SIGLA]]="","",VLOOKUP(Tabela2[[#This Row],[SIGLA]],Tabela1[[#All],[Sigla Arte]:[Crédito]],2,0))</f>
        <v>VER DOCUMENTO DE ILS. TÉCNICAS</v>
      </c>
      <c r="Z199" s="23" t="s">
        <v>508</v>
      </c>
      <c r="AA199" s="23" t="str">
        <f>Tabela2[[#This Row],[ILUSTRADOR CRIAÇÃO]]</f>
        <v>VER DOCUMENTO DE ILS. TÉCNICAS</v>
      </c>
      <c r="AB199" s="22">
        <v>13</v>
      </c>
      <c r="AC199" s="20" t="s">
        <v>509</v>
      </c>
      <c r="AD199" s="20" t="s">
        <v>58</v>
      </c>
      <c r="AE199" s="4" t="str">
        <f t="shared" si="3"/>
        <v>EF1 E002 Ing</v>
      </c>
    </row>
    <row r="200" spans="1:31" s="12" customFormat="1" x14ac:dyDescent="0.25">
      <c r="A200" s="23" t="s">
        <v>513</v>
      </c>
      <c r="B200" s="20" t="s">
        <v>32</v>
      </c>
      <c r="C200" s="20" t="s">
        <v>33</v>
      </c>
      <c r="D200" s="20" t="s">
        <v>34</v>
      </c>
      <c r="E200" s="22">
        <v>65</v>
      </c>
      <c r="F200" s="22">
        <v>2</v>
      </c>
      <c r="G200" s="22"/>
      <c r="H200" s="22" t="s">
        <v>249</v>
      </c>
      <c r="I200" s="23" t="s">
        <v>36</v>
      </c>
      <c r="J200" s="23"/>
      <c r="K200" s="22"/>
      <c r="L200" s="22"/>
      <c r="M200" s="23"/>
      <c r="N200" s="23"/>
      <c r="O200" s="26" t="s">
        <v>433</v>
      </c>
      <c r="P200" s="26"/>
      <c r="Q200" s="26"/>
      <c r="R200" s="22">
        <v>33</v>
      </c>
      <c r="S200" s="24">
        <v>45828</v>
      </c>
      <c r="T200" s="24">
        <v>45832</v>
      </c>
      <c r="U200" s="24"/>
      <c r="V200" s="24"/>
      <c r="W200" s="24">
        <v>45832</v>
      </c>
      <c r="X200" s="22" t="s">
        <v>418</v>
      </c>
      <c r="Y200" s="4" t="str">
        <f>IF(Tabela2[[#This Row],[SIGLA]]="","",VLOOKUP(Tabela2[[#This Row],[SIGLA]],Tabela1[[#All],[Sigla Arte]:[Crédito]],2,0))</f>
        <v>VER DOCUMENTO DE ILS. TÉCNICAS</v>
      </c>
      <c r="Z200" s="23" t="s">
        <v>508</v>
      </c>
      <c r="AA200" s="23" t="str">
        <f>Tabela2[[#This Row],[ILUSTRADOR CRIAÇÃO]]</f>
        <v>VER DOCUMENTO DE ILS. TÉCNICAS</v>
      </c>
      <c r="AB200" s="22">
        <v>13</v>
      </c>
      <c r="AC200" s="20" t="s">
        <v>509</v>
      </c>
      <c r="AD200" s="20" t="s">
        <v>58</v>
      </c>
      <c r="AE200" s="4" t="str">
        <f t="shared" si="3"/>
        <v>EF1 E002 Ing</v>
      </c>
    </row>
    <row r="201" spans="1:31" s="12" customFormat="1" ht="135" x14ac:dyDescent="0.25">
      <c r="A201" s="23" t="s">
        <v>514</v>
      </c>
      <c r="B201" s="20" t="s">
        <v>56</v>
      </c>
      <c r="C201" s="20" t="s">
        <v>33</v>
      </c>
      <c r="D201" s="20" t="s">
        <v>34</v>
      </c>
      <c r="E201" s="22">
        <v>67</v>
      </c>
      <c r="F201" s="22">
        <v>2</v>
      </c>
      <c r="G201" s="22"/>
      <c r="H201" s="22" t="s">
        <v>515</v>
      </c>
      <c r="I201" s="23" t="s">
        <v>36</v>
      </c>
      <c r="J201" s="23"/>
      <c r="K201" s="22"/>
      <c r="L201" s="22"/>
      <c r="M201" s="23"/>
      <c r="N201" s="23"/>
      <c r="O201" s="26" t="s">
        <v>516</v>
      </c>
      <c r="P201" s="26"/>
      <c r="Q201" s="26"/>
      <c r="R201" s="22">
        <v>34</v>
      </c>
      <c r="S201" s="24">
        <v>45828</v>
      </c>
      <c r="T201" s="24"/>
      <c r="U201" s="24"/>
      <c r="V201" s="24"/>
      <c r="W201" s="24"/>
      <c r="X201" s="22"/>
      <c r="Y201" s="4" t="str">
        <f>IF(Tabela2[[#This Row],[SIGLA]]="","",VLOOKUP(Tabela2[[#This Row],[SIGLA]],Tabela1[[#All],[Sigla Arte]:[Crédito]],2,0))</f>
        <v/>
      </c>
      <c r="Z201" s="23"/>
      <c r="AA201" s="23" t="str">
        <f>Tabela2[[#This Row],[ILUSTRADOR CRIAÇÃO]]</f>
        <v/>
      </c>
      <c r="AB201" s="22"/>
      <c r="AC201" s="20"/>
      <c r="AD201" s="20"/>
      <c r="AE201" s="4" t="str">
        <f t="shared" si="3"/>
        <v>EF1 E002 Ing</v>
      </c>
    </row>
    <row r="202" spans="1:31" s="12" customFormat="1" ht="210" x14ac:dyDescent="0.25">
      <c r="A202" s="23" t="s">
        <v>517</v>
      </c>
      <c r="B202" s="20" t="s">
        <v>56</v>
      </c>
      <c r="C202" s="20" t="s">
        <v>33</v>
      </c>
      <c r="D202" s="20" t="s">
        <v>34</v>
      </c>
      <c r="E202" s="22">
        <v>68</v>
      </c>
      <c r="F202" s="22">
        <v>2</v>
      </c>
      <c r="G202" s="22"/>
      <c r="H202" s="22" t="s">
        <v>515</v>
      </c>
      <c r="I202" s="23" t="s">
        <v>36</v>
      </c>
      <c r="J202" s="23"/>
      <c r="K202" s="22"/>
      <c r="L202" s="22"/>
      <c r="M202" s="23"/>
      <c r="N202" s="23"/>
      <c r="O202" s="26" t="s">
        <v>518</v>
      </c>
      <c r="P202" s="26"/>
      <c r="Q202" s="26"/>
      <c r="R202" s="22">
        <v>34</v>
      </c>
      <c r="S202" s="24">
        <v>45828</v>
      </c>
      <c r="T202" s="24"/>
      <c r="U202" s="24"/>
      <c r="V202" s="24"/>
      <c r="W202" s="24"/>
      <c r="X202" s="22"/>
      <c r="Y202" s="4" t="str">
        <f>IF(Tabela2[[#This Row],[SIGLA]]="","",VLOOKUP(Tabela2[[#This Row],[SIGLA]],Tabela1[[#All],[Sigla Arte]:[Crédito]],2,0))</f>
        <v/>
      </c>
      <c r="Z202" s="23"/>
      <c r="AA202" s="23" t="str">
        <f>Tabela2[[#This Row],[ILUSTRADOR CRIAÇÃO]]</f>
        <v/>
      </c>
      <c r="AB202" s="22"/>
      <c r="AC202" s="20"/>
      <c r="AD202" s="20"/>
      <c r="AE202" s="4" t="str">
        <f t="shared" si="3"/>
        <v>EF1 E002 Ing</v>
      </c>
    </row>
    <row r="203" spans="1:31" s="12" customFormat="1" ht="60" x14ac:dyDescent="0.25">
      <c r="A203" s="23" t="s">
        <v>519</v>
      </c>
      <c r="B203" s="20" t="s">
        <v>56</v>
      </c>
      <c r="C203" s="20" t="s">
        <v>33</v>
      </c>
      <c r="D203" s="20" t="s">
        <v>34</v>
      </c>
      <c r="E203" s="22">
        <v>69</v>
      </c>
      <c r="F203" s="22">
        <v>2</v>
      </c>
      <c r="G203" s="22"/>
      <c r="H203" s="22" t="s">
        <v>515</v>
      </c>
      <c r="I203" s="23" t="s">
        <v>36</v>
      </c>
      <c r="J203" s="23"/>
      <c r="K203" s="22"/>
      <c r="L203" s="22"/>
      <c r="M203" s="23"/>
      <c r="N203" s="23"/>
      <c r="O203" s="26" t="s">
        <v>520</v>
      </c>
      <c r="P203" s="26"/>
      <c r="Q203" s="26"/>
      <c r="R203" s="22">
        <v>34</v>
      </c>
      <c r="S203" s="24">
        <v>45828</v>
      </c>
      <c r="T203" s="24"/>
      <c r="U203" s="24"/>
      <c r="V203" s="24"/>
      <c r="W203" s="24"/>
      <c r="X203" s="22"/>
      <c r="Y203" s="4" t="str">
        <f>IF(Tabela2[[#This Row],[SIGLA]]="","",VLOOKUP(Tabela2[[#This Row],[SIGLA]],Tabela1[[#All],[Sigla Arte]:[Crédito]],2,0))</f>
        <v/>
      </c>
      <c r="Z203" s="23"/>
      <c r="AA203" s="23" t="str">
        <f>Tabela2[[#This Row],[ILUSTRADOR CRIAÇÃO]]</f>
        <v/>
      </c>
      <c r="AB203" s="22"/>
      <c r="AC203" s="20"/>
      <c r="AD203" s="20"/>
      <c r="AE203" s="4" t="str">
        <f t="shared" si="3"/>
        <v>EF1 E002 Ing</v>
      </c>
    </row>
    <row r="204" spans="1:31" s="12" customFormat="1" ht="45" x14ac:dyDescent="0.25">
      <c r="A204" s="23" t="s">
        <v>521</v>
      </c>
      <c r="B204" s="20" t="s">
        <v>56</v>
      </c>
      <c r="C204" s="20" t="s">
        <v>33</v>
      </c>
      <c r="D204" s="20" t="s">
        <v>34</v>
      </c>
      <c r="E204" s="22">
        <v>69</v>
      </c>
      <c r="F204" s="22">
        <v>2</v>
      </c>
      <c r="G204" s="22"/>
      <c r="H204" s="22" t="s">
        <v>515</v>
      </c>
      <c r="I204" s="23" t="s">
        <v>36</v>
      </c>
      <c r="J204" s="23"/>
      <c r="K204" s="22"/>
      <c r="L204" s="22"/>
      <c r="M204" s="23"/>
      <c r="N204" s="23"/>
      <c r="O204" s="26" t="s">
        <v>522</v>
      </c>
      <c r="P204" s="26"/>
      <c r="Q204" s="26"/>
      <c r="R204" s="22">
        <v>34</v>
      </c>
      <c r="S204" s="24">
        <v>45828</v>
      </c>
      <c r="T204" s="24"/>
      <c r="U204" s="24"/>
      <c r="V204" s="24"/>
      <c r="W204" s="24"/>
      <c r="X204" s="22"/>
      <c r="Y204" s="4" t="str">
        <f>IF(Tabela2[[#This Row],[SIGLA]]="","",VLOOKUP(Tabela2[[#This Row],[SIGLA]],Tabela1[[#All],[Sigla Arte]:[Crédito]],2,0))</f>
        <v/>
      </c>
      <c r="Z204" s="23"/>
      <c r="AA204" s="23" t="str">
        <f>Tabela2[[#This Row],[ILUSTRADOR CRIAÇÃO]]</f>
        <v/>
      </c>
      <c r="AB204" s="22"/>
      <c r="AC204" s="20"/>
      <c r="AD204" s="20"/>
      <c r="AE204" s="4" t="str">
        <f t="shared" si="3"/>
        <v>EF1 E002 Ing</v>
      </c>
    </row>
    <row r="205" spans="1:31" s="12" customFormat="1" ht="60" x14ac:dyDescent="0.25">
      <c r="A205" s="23" t="s">
        <v>523</v>
      </c>
      <c r="B205" s="20" t="s">
        <v>56</v>
      </c>
      <c r="C205" s="20" t="s">
        <v>33</v>
      </c>
      <c r="D205" s="20" t="s">
        <v>34</v>
      </c>
      <c r="E205" s="22">
        <v>69</v>
      </c>
      <c r="F205" s="22">
        <v>2</v>
      </c>
      <c r="G205" s="22"/>
      <c r="H205" s="22" t="s">
        <v>515</v>
      </c>
      <c r="I205" s="23" t="s">
        <v>36</v>
      </c>
      <c r="J205" s="23"/>
      <c r="K205" s="22"/>
      <c r="L205" s="22"/>
      <c r="M205" s="23"/>
      <c r="N205" s="23"/>
      <c r="O205" s="26" t="s">
        <v>524</v>
      </c>
      <c r="P205" s="26"/>
      <c r="Q205" s="26"/>
      <c r="R205" s="22">
        <v>34</v>
      </c>
      <c r="S205" s="24">
        <v>45828</v>
      </c>
      <c r="T205" s="24"/>
      <c r="U205" s="24"/>
      <c r="V205" s="24"/>
      <c r="W205" s="24"/>
      <c r="X205" s="22"/>
      <c r="Y205" s="4" t="str">
        <f>IF(Tabela2[[#This Row],[SIGLA]]="","",VLOOKUP(Tabela2[[#This Row],[SIGLA]],Tabela1[[#All],[Sigla Arte]:[Crédito]],2,0))</f>
        <v/>
      </c>
      <c r="Z205" s="23"/>
      <c r="AA205" s="23" t="str">
        <f>Tabela2[[#This Row],[ILUSTRADOR CRIAÇÃO]]</f>
        <v/>
      </c>
      <c r="AB205" s="22"/>
      <c r="AC205" s="20"/>
      <c r="AD205" s="20"/>
      <c r="AE205" s="4" t="str">
        <f t="shared" si="3"/>
        <v>EF1 E002 Ing</v>
      </c>
    </row>
    <row r="206" spans="1:31" s="12" customFormat="1" ht="60" x14ac:dyDescent="0.25">
      <c r="A206" s="23" t="s">
        <v>525</v>
      </c>
      <c r="B206" s="20" t="s">
        <v>56</v>
      </c>
      <c r="C206" s="20" t="s">
        <v>33</v>
      </c>
      <c r="D206" s="20" t="s">
        <v>34</v>
      </c>
      <c r="E206" s="22">
        <v>69</v>
      </c>
      <c r="F206" s="22">
        <v>2</v>
      </c>
      <c r="G206" s="22"/>
      <c r="H206" s="22" t="s">
        <v>515</v>
      </c>
      <c r="I206" s="23" t="s">
        <v>36</v>
      </c>
      <c r="J206" s="23"/>
      <c r="K206" s="22"/>
      <c r="L206" s="22"/>
      <c r="M206" s="23"/>
      <c r="N206" s="23"/>
      <c r="O206" s="26" t="s">
        <v>526</v>
      </c>
      <c r="P206" s="26"/>
      <c r="Q206" s="26"/>
      <c r="R206" s="22">
        <v>34</v>
      </c>
      <c r="S206" s="24">
        <v>45828</v>
      </c>
      <c r="T206" s="24"/>
      <c r="U206" s="24"/>
      <c r="V206" s="24"/>
      <c r="W206" s="24"/>
      <c r="X206" s="22"/>
      <c r="Y206" s="4" t="str">
        <f>IF(Tabela2[[#This Row],[SIGLA]]="","",VLOOKUP(Tabela2[[#This Row],[SIGLA]],Tabela1[[#All],[Sigla Arte]:[Crédito]],2,0))</f>
        <v/>
      </c>
      <c r="Z206" s="23"/>
      <c r="AA206" s="23" t="str">
        <f>Tabela2[[#This Row],[ILUSTRADOR CRIAÇÃO]]</f>
        <v/>
      </c>
      <c r="AB206" s="22"/>
      <c r="AC206" s="20"/>
      <c r="AD206" s="20"/>
      <c r="AE206" s="4" t="str">
        <f t="shared" si="3"/>
        <v>EF1 E002 Ing</v>
      </c>
    </row>
    <row r="207" spans="1:31" s="12" customFormat="1" ht="45" x14ac:dyDescent="0.25">
      <c r="A207" s="23" t="s">
        <v>527</v>
      </c>
      <c r="B207" s="20" t="s">
        <v>125</v>
      </c>
      <c r="C207" s="20" t="s">
        <v>33</v>
      </c>
      <c r="D207" s="20" t="s">
        <v>34</v>
      </c>
      <c r="E207" s="22">
        <v>33</v>
      </c>
      <c r="F207" s="22">
        <v>3</v>
      </c>
      <c r="G207" s="22"/>
      <c r="H207" s="22" t="s">
        <v>528</v>
      </c>
      <c r="I207" s="23" t="s">
        <v>36</v>
      </c>
      <c r="J207" s="23"/>
      <c r="K207" s="22"/>
      <c r="L207" s="22"/>
      <c r="M207" s="23"/>
      <c r="N207" s="23"/>
      <c r="O207" s="26" t="s">
        <v>529</v>
      </c>
      <c r="P207" s="26"/>
      <c r="Q207" s="26"/>
      <c r="R207" s="22">
        <v>35</v>
      </c>
      <c r="S207" s="24">
        <v>45828</v>
      </c>
      <c r="T207" s="24">
        <v>45832</v>
      </c>
      <c r="U207" s="24">
        <v>45835</v>
      </c>
      <c r="V207" s="24">
        <v>45838</v>
      </c>
      <c r="W207" s="24">
        <v>45840</v>
      </c>
      <c r="X207" s="22" t="s">
        <v>38</v>
      </c>
      <c r="Y207" s="4" t="str">
        <f>IF(Tabela2[[#This Row],[SIGLA]]="","",VLOOKUP(Tabela2[[#This Row],[SIGLA]],Tabela1[[#All],[Sigla Arte]:[Crédito]],2,0))</f>
        <v>VERIDIANA PEGORARO CAMELO/ARQUIVO DA EDITORA</v>
      </c>
      <c r="Z207" s="23"/>
      <c r="AA207" s="23" t="str">
        <f>Tabela2[[#This Row],[ILUSTRADOR CRIAÇÃO]]</f>
        <v>VERIDIANA PEGORARO CAMELO/ARQUIVO DA EDITORA</v>
      </c>
      <c r="AB207" s="22">
        <v>7</v>
      </c>
      <c r="AC207" s="20" t="s">
        <v>530</v>
      </c>
      <c r="AD207" s="20" t="s">
        <v>40</v>
      </c>
      <c r="AE207" s="4" t="str">
        <f t="shared" si="3"/>
        <v>EF1 E002 Ing</v>
      </c>
    </row>
    <row r="208" spans="1:31" s="12" customFormat="1" ht="60" x14ac:dyDescent="0.25">
      <c r="A208" s="23" t="s">
        <v>531</v>
      </c>
      <c r="B208" s="20" t="s">
        <v>125</v>
      </c>
      <c r="C208" s="20" t="s">
        <v>33</v>
      </c>
      <c r="D208" s="20" t="s">
        <v>34</v>
      </c>
      <c r="E208" s="22">
        <v>33</v>
      </c>
      <c r="F208" s="22">
        <v>3</v>
      </c>
      <c r="G208" s="22"/>
      <c r="H208" s="22" t="s">
        <v>528</v>
      </c>
      <c r="I208" s="23" t="s">
        <v>36</v>
      </c>
      <c r="J208" s="23"/>
      <c r="K208" s="22"/>
      <c r="L208" s="22"/>
      <c r="M208" s="23"/>
      <c r="N208" s="23"/>
      <c r="O208" s="26" t="s">
        <v>532</v>
      </c>
      <c r="P208" s="26"/>
      <c r="Q208" s="26"/>
      <c r="R208" s="22">
        <v>35</v>
      </c>
      <c r="S208" s="24">
        <v>45828</v>
      </c>
      <c r="T208" s="24">
        <v>45832</v>
      </c>
      <c r="U208" s="24">
        <v>45835</v>
      </c>
      <c r="V208" s="24">
        <v>45838</v>
      </c>
      <c r="W208" s="24">
        <v>45840</v>
      </c>
      <c r="X208" s="22" t="s">
        <v>38</v>
      </c>
      <c r="Y208" s="4" t="str">
        <f>IF(Tabela2[[#This Row],[SIGLA]]="","",VLOOKUP(Tabela2[[#This Row],[SIGLA]],Tabela1[[#All],[Sigla Arte]:[Crédito]],2,0))</f>
        <v>VERIDIANA PEGORARO CAMELO/ARQUIVO DA EDITORA</v>
      </c>
      <c r="Z208" s="23"/>
      <c r="AA208" s="23" t="str">
        <f>Tabela2[[#This Row],[ILUSTRADOR CRIAÇÃO]]</f>
        <v>VERIDIANA PEGORARO CAMELO/ARQUIVO DA EDITORA</v>
      </c>
      <c r="AB208" s="22">
        <v>7</v>
      </c>
      <c r="AC208" s="20" t="s">
        <v>530</v>
      </c>
      <c r="AD208" s="20" t="s">
        <v>40</v>
      </c>
      <c r="AE208" s="4" t="str">
        <f t="shared" si="3"/>
        <v>EF1 E002 Ing</v>
      </c>
    </row>
    <row r="209" spans="1:31" s="12" customFormat="1" ht="60" x14ac:dyDescent="0.25">
      <c r="A209" s="23" t="s">
        <v>533</v>
      </c>
      <c r="B209" s="20" t="s">
        <v>125</v>
      </c>
      <c r="C209" s="20" t="s">
        <v>33</v>
      </c>
      <c r="D209" s="20" t="s">
        <v>34</v>
      </c>
      <c r="E209" s="22">
        <v>33</v>
      </c>
      <c r="F209" s="22">
        <v>3</v>
      </c>
      <c r="G209" s="22"/>
      <c r="H209" s="22" t="s">
        <v>528</v>
      </c>
      <c r="I209" s="23" t="s">
        <v>36</v>
      </c>
      <c r="J209" s="23"/>
      <c r="K209" s="22"/>
      <c r="L209" s="22"/>
      <c r="M209" s="23"/>
      <c r="N209" s="23"/>
      <c r="O209" s="26" t="s">
        <v>534</v>
      </c>
      <c r="P209" s="26"/>
      <c r="Q209" s="26"/>
      <c r="R209" s="22">
        <v>35</v>
      </c>
      <c r="S209" s="24">
        <v>45828</v>
      </c>
      <c r="T209" s="24">
        <v>45832</v>
      </c>
      <c r="U209" s="24">
        <v>45835</v>
      </c>
      <c r="V209" s="24">
        <v>45838</v>
      </c>
      <c r="W209" s="24">
        <v>45840</v>
      </c>
      <c r="X209" s="22" t="s">
        <v>38</v>
      </c>
      <c r="Y209" s="4" t="str">
        <f>IF(Tabela2[[#This Row],[SIGLA]]="","",VLOOKUP(Tabela2[[#This Row],[SIGLA]],Tabela1[[#All],[Sigla Arte]:[Crédito]],2,0))</f>
        <v>VERIDIANA PEGORARO CAMELO/ARQUIVO DA EDITORA</v>
      </c>
      <c r="Z209" s="23"/>
      <c r="AA209" s="23" t="str">
        <f>Tabela2[[#This Row],[ILUSTRADOR CRIAÇÃO]]</f>
        <v>VERIDIANA PEGORARO CAMELO/ARQUIVO DA EDITORA</v>
      </c>
      <c r="AB209" s="22">
        <v>6</v>
      </c>
      <c r="AC209" s="20" t="s">
        <v>530</v>
      </c>
      <c r="AD209" s="20" t="s">
        <v>40</v>
      </c>
      <c r="AE209" s="4" t="str">
        <f t="shared" si="3"/>
        <v>EF1 E002 Ing</v>
      </c>
    </row>
    <row r="210" spans="1:31" s="12" customFormat="1" ht="60" x14ac:dyDescent="0.25">
      <c r="A210" s="23" t="s">
        <v>535</v>
      </c>
      <c r="B210" s="20" t="s">
        <v>125</v>
      </c>
      <c r="C210" s="20" t="s">
        <v>33</v>
      </c>
      <c r="D210" s="20" t="s">
        <v>34</v>
      </c>
      <c r="E210" s="22">
        <v>33</v>
      </c>
      <c r="F210" s="22">
        <v>3</v>
      </c>
      <c r="G210" s="22"/>
      <c r="H210" s="22" t="s">
        <v>528</v>
      </c>
      <c r="I210" s="23" t="s">
        <v>36</v>
      </c>
      <c r="J210" s="23"/>
      <c r="K210" s="22"/>
      <c r="L210" s="22"/>
      <c r="M210" s="23"/>
      <c r="N210" s="23"/>
      <c r="O210" s="26" t="s">
        <v>536</v>
      </c>
      <c r="P210" s="26"/>
      <c r="Q210" s="26"/>
      <c r="R210" s="22">
        <v>35</v>
      </c>
      <c r="S210" s="24">
        <v>45828</v>
      </c>
      <c r="T210" s="24">
        <v>45832</v>
      </c>
      <c r="U210" s="24">
        <v>45835</v>
      </c>
      <c r="V210" s="24">
        <v>45838</v>
      </c>
      <c r="W210" s="24">
        <v>45840</v>
      </c>
      <c r="X210" s="22" t="s">
        <v>38</v>
      </c>
      <c r="Y210" s="4" t="str">
        <f>IF(Tabela2[[#This Row],[SIGLA]]="","",VLOOKUP(Tabela2[[#This Row],[SIGLA]],Tabela1[[#All],[Sigla Arte]:[Crédito]],2,0))</f>
        <v>VERIDIANA PEGORARO CAMELO/ARQUIVO DA EDITORA</v>
      </c>
      <c r="Z210" s="23"/>
      <c r="AA210" s="23" t="str">
        <f>Tabela2[[#This Row],[ILUSTRADOR CRIAÇÃO]]</f>
        <v>VERIDIANA PEGORARO CAMELO/ARQUIVO DA EDITORA</v>
      </c>
      <c r="AB210" s="22">
        <v>6</v>
      </c>
      <c r="AC210" s="20" t="s">
        <v>530</v>
      </c>
      <c r="AD210" s="20" t="s">
        <v>40</v>
      </c>
      <c r="AE210" s="4" t="str">
        <f t="shared" si="3"/>
        <v>EF1 E002 Ing</v>
      </c>
    </row>
    <row r="211" spans="1:31" s="12" customFormat="1" ht="105" x14ac:dyDescent="0.25">
      <c r="A211" s="23" t="s">
        <v>537</v>
      </c>
      <c r="B211" s="20" t="s">
        <v>32</v>
      </c>
      <c r="C211" s="20" t="s">
        <v>33</v>
      </c>
      <c r="D211" s="20" t="s">
        <v>34</v>
      </c>
      <c r="E211" s="22">
        <v>74</v>
      </c>
      <c r="F211" s="22">
        <v>3</v>
      </c>
      <c r="G211" s="22">
        <v>4</v>
      </c>
      <c r="H211" s="22">
        <v>4</v>
      </c>
      <c r="I211" s="23" t="s">
        <v>36</v>
      </c>
      <c r="J211" s="23"/>
      <c r="K211" s="22"/>
      <c r="L211" s="22"/>
      <c r="M211" s="23"/>
      <c r="N211" s="23"/>
      <c r="O211" s="26" t="s">
        <v>538</v>
      </c>
      <c r="P211" s="26"/>
      <c r="Q211" s="26"/>
      <c r="R211" s="22">
        <v>36</v>
      </c>
      <c r="S211" s="24">
        <v>45831</v>
      </c>
      <c r="T211" s="24">
        <v>45839</v>
      </c>
      <c r="U211" s="24">
        <v>45845</v>
      </c>
      <c r="V211" s="24">
        <v>45846</v>
      </c>
      <c r="W211" s="24">
        <v>45854</v>
      </c>
      <c r="X211" s="22" t="s">
        <v>539</v>
      </c>
      <c r="Y211" s="4" t="str">
        <f>IF(Tabela2[[#This Row],[SIGLA]]="","",VLOOKUP(Tabela2[[#This Row],[SIGLA]],Tabela1[[#All],[Sigla Arte]:[Crédito]],2,0))</f>
        <v>CARLITOS PINHEIRO/ARQUIVO DA EDITORA</v>
      </c>
      <c r="Z211" s="23"/>
      <c r="AA211" s="23" t="str">
        <f>Tabela2[[#This Row],[ILUSTRADOR CRIAÇÃO]]</f>
        <v>CARLITOS PINHEIRO/ARQUIVO DA EDITORA</v>
      </c>
      <c r="AB211" s="22">
        <v>6</v>
      </c>
      <c r="AC211" s="20" t="s">
        <v>540</v>
      </c>
      <c r="AD211" s="20" t="s">
        <v>40</v>
      </c>
      <c r="AE211" s="4" t="str">
        <f t="shared" si="3"/>
        <v>EF1 E002 Ing</v>
      </c>
    </row>
    <row r="212" spans="1:31" s="12" customFormat="1" ht="105" x14ac:dyDescent="0.25">
      <c r="A212" s="23" t="s">
        <v>541</v>
      </c>
      <c r="B212" s="20" t="s">
        <v>32</v>
      </c>
      <c r="C212" s="20" t="s">
        <v>33</v>
      </c>
      <c r="D212" s="20" t="s">
        <v>34</v>
      </c>
      <c r="E212" s="22">
        <v>75</v>
      </c>
      <c r="F212" s="22">
        <v>3</v>
      </c>
      <c r="G212" s="22">
        <v>4</v>
      </c>
      <c r="H212" s="22">
        <v>4</v>
      </c>
      <c r="I212" s="23" t="s">
        <v>36</v>
      </c>
      <c r="J212" s="23"/>
      <c r="K212" s="22"/>
      <c r="L212" s="22"/>
      <c r="M212" s="23"/>
      <c r="N212" s="23"/>
      <c r="O212" s="26" t="s">
        <v>542</v>
      </c>
      <c r="P212" s="26"/>
      <c r="Q212" s="26"/>
      <c r="R212" s="22">
        <v>36</v>
      </c>
      <c r="S212" s="24">
        <v>45831</v>
      </c>
      <c r="T212" s="24">
        <v>45839</v>
      </c>
      <c r="U212" s="24">
        <v>45845</v>
      </c>
      <c r="V212" s="24">
        <v>45846</v>
      </c>
      <c r="W212" s="24">
        <v>45854</v>
      </c>
      <c r="X212" s="22" t="s">
        <v>539</v>
      </c>
      <c r="Y212" s="4" t="str">
        <f>IF(Tabela2[[#This Row],[SIGLA]]="","",VLOOKUP(Tabela2[[#This Row],[SIGLA]],Tabela1[[#All],[Sigla Arte]:[Crédito]],2,0))</f>
        <v>CARLITOS PINHEIRO/ARQUIVO DA EDITORA</v>
      </c>
      <c r="Z212" s="23"/>
      <c r="AA212" s="23" t="str">
        <f>Tabela2[[#This Row],[ILUSTRADOR CRIAÇÃO]]</f>
        <v>CARLITOS PINHEIRO/ARQUIVO DA EDITORA</v>
      </c>
      <c r="AB212" s="22">
        <v>5</v>
      </c>
      <c r="AC212" s="20" t="s">
        <v>540</v>
      </c>
      <c r="AD212" s="20" t="s">
        <v>40</v>
      </c>
      <c r="AE212" s="4" t="str">
        <f t="shared" si="3"/>
        <v>EF1 E002 Ing</v>
      </c>
    </row>
    <row r="213" spans="1:31" s="12" customFormat="1" ht="30" x14ac:dyDescent="0.25">
      <c r="A213" s="23" t="s">
        <v>543</v>
      </c>
      <c r="B213" s="20" t="s">
        <v>32</v>
      </c>
      <c r="C213" s="20" t="s">
        <v>33</v>
      </c>
      <c r="D213" s="20" t="s">
        <v>34</v>
      </c>
      <c r="E213" s="22">
        <v>79</v>
      </c>
      <c r="F213" s="22">
        <v>3</v>
      </c>
      <c r="G213" s="22"/>
      <c r="H213" s="22" t="s">
        <v>35</v>
      </c>
      <c r="I213" s="23" t="s">
        <v>544</v>
      </c>
      <c r="J213" s="23"/>
      <c r="K213" s="22"/>
      <c r="L213" s="22"/>
      <c r="M213" s="23"/>
      <c r="N213" s="23"/>
      <c r="O213" s="26" t="s">
        <v>545</v>
      </c>
      <c r="P213" s="26"/>
      <c r="Q213" s="26"/>
      <c r="R213" s="22"/>
      <c r="S213" s="24"/>
      <c r="T213" s="24"/>
      <c r="U213" s="24"/>
      <c r="V213" s="24"/>
      <c r="W213" s="24"/>
      <c r="X213" s="22" t="s">
        <v>91</v>
      </c>
      <c r="Y213" s="4" t="str">
        <f>IF(Tabela2[[#This Row],[SIGLA]]="","",VLOOKUP(Tabela2[[#This Row],[SIGLA]],Tabela1[[#All],[Sigla Arte]:[Crédito]],2,0))</f>
        <v>HELOÍSA PINTARELLI/ARQUIVO DA EDITORA</v>
      </c>
      <c r="Z213" s="23"/>
      <c r="AA213" s="23" t="str">
        <f>Tabela2[[#This Row],[ILUSTRADOR CRIAÇÃO]]</f>
        <v>HELOÍSA PINTARELLI/ARQUIVO DA EDITORA</v>
      </c>
      <c r="AB213" s="22"/>
      <c r="AC213" s="20"/>
      <c r="AD213" s="20"/>
      <c r="AE213" s="4" t="str">
        <f t="shared" si="3"/>
        <v>EF1 E002 Ing</v>
      </c>
    </row>
    <row r="214" spans="1:31" s="12" customFormat="1" ht="105" x14ac:dyDescent="0.25">
      <c r="A214" s="23" t="s">
        <v>546</v>
      </c>
      <c r="B214" s="20" t="s">
        <v>32</v>
      </c>
      <c r="C214" s="20" t="s">
        <v>33</v>
      </c>
      <c r="D214" s="20" t="s">
        <v>34</v>
      </c>
      <c r="E214" s="22">
        <v>67</v>
      </c>
      <c r="F214" s="22">
        <v>2</v>
      </c>
      <c r="G214" s="22"/>
      <c r="H214" s="22" t="s">
        <v>515</v>
      </c>
      <c r="I214" s="23" t="s">
        <v>36</v>
      </c>
      <c r="J214" s="23"/>
      <c r="K214" s="22"/>
      <c r="L214" s="22"/>
      <c r="M214" s="23"/>
      <c r="N214" s="23"/>
      <c r="O214" s="26" t="s">
        <v>547</v>
      </c>
      <c r="P214" s="26"/>
      <c r="Q214" s="26"/>
      <c r="R214" s="22">
        <v>37</v>
      </c>
      <c r="S214" s="24">
        <v>45835</v>
      </c>
      <c r="T214" s="24">
        <v>45838</v>
      </c>
      <c r="U214" s="24">
        <v>45842</v>
      </c>
      <c r="V214" s="24">
        <v>45849</v>
      </c>
      <c r="W214" s="24">
        <v>45853</v>
      </c>
      <c r="X214" s="22" t="s">
        <v>54</v>
      </c>
      <c r="Y214" s="4" t="str">
        <f>IF(Tabela2[[#This Row],[SIGLA]]="","",VLOOKUP(Tabela2[[#This Row],[SIGLA]],Tabela1[[#All],[Sigla Arte]:[Crédito]],2,0))</f>
        <v>RAYANNE CARDOSO/ARQUIVO DA EDITORA</v>
      </c>
      <c r="Z214" s="23"/>
      <c r="AA214" s="23" t="str">
        <f>Tabela2[[#This Row],[ILUSTRADOR CRIAÇÃO]]</f>
        <v>RAYANNE CARDOSO/ARQUIVO DA EDITORA</v>
      </c>
      <c r="AB214" s="22">
        <v>4</v>
      </c>
      <c r="AC214" s="26" t="s">
        <v>548</v>
      </c>
      <c r="AD214" s="20" t="s">
        <v>40</v>
      </c>
      <c r="AE214" s="4" t="str">
        <f t="shared" si="3"/>
        <v>EF1 E002 Ing</v>
      </c>
    </row>
    <row r="215" spans="1:31" s="12" customFormat="1" ht="45" x14ac:dyDescent="0.25">
      <c r="A215" s="23" t="s">
        <v>549</v>
      </c>
      <c r="B215" s="20" t="s">
        <v>32</v>
      </c>
      <c r="C215" s="20" t="s">
        <v>33</v>
      </c>
      <c r="D215" s="20" t="s">
        <v>34</v>
      </c>
      <c r="E215" s="22">
        <v>68</v>
      </c>
      <c r="F215" s="22">
        <v>2</v>
      </c>
      <c r="G215" s="22"/>
      <c r="H215" s="22" t="s">
        <v>515</v>
      </c>
      <c r="I215" s="23" t="s">
        <v>36</v>
      </c>
      <c r="J215" s="23"/>
      <c r="K215" s="22"/>
      <c r="L215" s="22"/>
      <c r="M215" s="23"/>
      <c r="N215" s="23"/>
      <c r="O215" s="26" t="s">
        <v>550</v>
      </c>
      <c r="P215" s="26"/>
      <c r="Q215" s="26"/>
      <c r="R215" s="22">
        <v>37</v>
      </c>
      <c r="S215" s="24">
        <v>45835</v>
      </c>
      <c r="T215" s="24">
        <v>45838</v>
      </c>
      <c r="U215" s="24">
        <v>45842</v>
      </c>
      <c r="V215" s="24">
        <v>45849</v>
      </c>
      <c r="W215" s="24">
        <v>45853</v>
      </c>
      <c r="X215" s="22" t="s">
        <v>54</v>
      </c>
      <c r="Y215" s="4" t="str">
        <f>IF(Tabela2[[#This Row],[SIGLA]]="","",VLOOKUP(Tabela2[[#This Row],[SIGLA]],Tabela1[[#All],[Sigla Arte]:[Crédito]],2,0))</f>
        <v>RAYANNE CARDOSO/ARQUIVO DA EDITORA</v>
      </c>
      <c r="Z215" s="23"/>
      <c r="AA215" s="23" t="str">
        <f>Tabela2[[#This Row],[ILUSTRADOR CRIAÇÃO]]</f>
        <v>RAYANNE CARDOSO/ARQUIVO DA EDITORA</v>
      </c>
      <c r="AB215" s="22">
        <v>5</v>
      </c>
      <c r="AC215" s="26" t="s">
        <v>548</v>
      </c>
      <c r="AD215" s="20" t="s">
        <v>40</v>
      </c>
      <c r="AE215" s="4" t="str">
        <f t="shared" si="3"/>
        <v>EF1 E002 Ing</v>
      </c>
    </row>
    <row r="216" spans="1:31" s="12" customFormat="1" ht="60" x14ac:dyDescent="0.25">
      <c r="A216" s="23" t="s">
        <v>551</v>
      </c>
      <c r="B216" s="20" t="s">
        <v>56</v>
      </c>
      <c r="C216" s="20" t="s">
        <v>33</v>
      </c>
      <c r="D216" s="20" t="s">
        <v>34</v>
      </c>
      <c r="E216" s="22">
        <v>69</v>
      </c>
      <c r="F216" s="22">
        <v>2</v>
      </c>
      <c r="G216" s="22"/>
      <c r="H216" s="22" t="s">
        <v>515</v>
      </c>
      <c r="I216" s="23" t="s">
        <v>36</v>
      </c>
      <c r="J216" s="23"/>
      <c r="K216" s="22"/>
      <c r="L216" s="22"/>
      <c r="M216" s="23"/>
      <c r="N216" s="23"/>
      <c r="O216" s="26" t="s">
        <v>552</v>
      </c>
      <c r="P216" s="26"/>
      <c r="Q216" s="26" t="s">
        <v>553</v>
      </c>
      <c r="R216" s="22">
        <v>37</v>
      </c>
      <c r="S216" s="24">
        <v>45835</v>
      </c>
      <c r="T216" s="24">
        <v>45838</v>
      </c>
      <c r="U216" s="24">
        <v>45842</v>
      </c>
      <c r="V216" s="24"/>
      <c r="W216" s="24"/>
      <c r="X216" s="22" t="s">
        <v>54</v>
      </c>
      <c r="Y216" s="4" t="str">
        <f>IF(Tabela2[[#This Row],[SIGLA]]="","",VLOOKUP(Tabela2[[#This Row],[SIGLA]],Tabela1[[#All],[Sigla Arte]:[Crédito]],2,0))</f>
        <v>RAYANNE CARDOSO/ARQUIVO DA EDITORA</v>
      </c>
      <c r="Z216" s="23"/>
      <c r="AA216" s="23" t="str">
        <f>Tabela2[[#This Row],[ILUSTRADOR CRIAÇÃO]]</f>
        <v>RAYANNE CARDOSO/ARQUIVO DA EDITORA</v>
      </c>
      <c r="AB216" s="22">
        <v>7</v>
      </c>
      <c r="AC216" s="26" t="s">
        <v>554</v>
      </c>
      <c r="AD216" s="20" t="s">
        <v>199</v>
      </c>
      <c r="AE216" s="4" t="str">
        <f t="shared" si="3"/>
        <v>EF1 E002 Ing</v>
      </c>
    </row>
    <row r="217" spans="1:31" s="12" customFormat="1" ht="60" x14ac:dyDescent="0.25">
      <c r="A217" s="23" t="s">
        <v>556</v>
      </c>
      <c r="B217" s="20" t="s">
        <v>56</v>
      </c>
      <c r="C217" s="20" t="s">
        <v>33</v>
      </c>
      <c r="D217" s="20" t="s">
        <v>34</v>
      </c>
      <c r="E217" s="22">
        <v>69</v>
      </c>
      <c r="F217" s="22">
        <v>2</v>
      </c>
      <c r="G217" s="22"/>
      <c r="H217" s="22" t="s">
        <v>515</v>
      </c>
      <c r="I217" s="23" t="s">
        <v>36</v>
      </c>
      <c r="J217" s="23"/>
      <c r="K217" s="22"/>
      <c r="L217" s="22"/>
      <c r="M217" s="23"/>
      <c r="N217" s="23"/>
      <c r="O217" s="26" t="s">
        <v>557</v>
      </c>
      <c r="P217" s="26"/>
      <c r="Q217" s="26" t="s">
        <v>553</v>
      </c>
      <c r="R217" s="22">
        <v>37</v>
      </c>
      <c r="S217" s="24">
        <v>45835</v>
      </c>
      <c r="T217" s="24">
        <v>45838</v>
      </c>
      <c r="U217" s="24">
        <v>45842</v>
      </c>
      <c r="V217" s="24"/>
      <c r="W217" s="24"/>
      <c r="X217" s="22" t="s">
        <v>54</v>
      </c>
      <c r="Y217" s="4" t="str">
        <f>IF(Tabela2[[#This Row],[SIGLA]]="","",VLOOKUP(Tabela2[[#This Row],[SIGLA]],Tabela1[[#All],[Sigla Arte]:[Crédito]],2,0))</f>
        <v>RAYANNE CARDOSO/ARQUIVO DA EDITORA</v>
      </c>
      <c r="Z217" s="23"/>
      <c r="AA217" s="23" t="str">
        <f>Tabela2[[#This Row],[ILUSTRADOR CRIAÇÃO]]</f>
        <v>RAYANNE CARDOSO/ARQUIVO DA EDITORA</v>
      </c>
      <c r="AB217" s="22">
        <v>7</v>
      </c>
      <c r="AC217" s="26" t="s">
        <v>554</v>
      </c>
      <c r="AD217" s="20" t="s">
        <v>199</v>
      </c>
      <c r="AE217" s="4" t="str">
        <f t="shared" si="3"/>
        <v>EF1 E002 Ing</v>
      </c>
    </row>
    <row r="218" spans="1:31" s="12" customFormat="1" ht="75" x14ac:dyDescent="0.25">
      <c r="A218" s="23" t="s">
        <v>558</v>
      </c>
      <c r="B218" s="20" t="s">
        <v>56</v>
      </c>
      <c r="C218" s="20" t="s">
        <v>33</v>
      </c>
      <c r="D218" s="20" t="s">
        <v>34</v>
      </c>
      <c r="E218" s="22">
        <v>69</v>
      </c>
      <c r="F218" s="22">
        <v>2</v>
      </c>
      <c r="G218" s="22"/>
      <c r="H218" s="22" t="s">
        <v>515</v>
      </c>
      <c r="I218" s="23" t="s">
        <v>36</v>
      </c>
      <c r="J218" s="23"/>
      <c r="K218" s="22"/>
      <c r="L218" s="22"/>
      <c r="M218" s="23"/>
      <c r="N218" s="23"/>
      <c r="O218" s="26" t="s">
        <v>559</v>
      </c>
      <c r="P218" s="26"/>
      <c r="Q218" s="26" t="s">
        <v>553</v>
      </c>
      <c r="R218" s="22">
        <v>37</v>
      </c>
      <c r="S218" s="24">
        <v>45835</v>
      </c>
      <c r="T218" s="24">
        <v>45838</v>
      </c>
      <c r="U218" s="24">
        <v>45842</v>
      </c>
      <c r="V218" s="24"/>
      <c r="W218" s="24"/>
      <c r="X218" s="22" t="s">
        <v>54</v>
      </c>
      <c r="Y218" s="4" t="str">
        <f>IF(Tabela2[[#This Row],[SIGLA]]="","",VLOOKUP(Tabela2[[#This Row],[SIGLA]],Tabela1[[#All],[Sigla Arte]:[Crédito]],2,0))</f>
        <v>RAYANNE CARDOSO/ARQUIVO DA EDITORA</v>
      </c>
      <c r="Z218" s="23"/>
      <c r="AA218" s="23" t="str">
        <f>Tabela2[[#This Row],[ILUSTRADOR CRIAÇÃO]]</f>
        <v>RAYANNE CARDOSO/ARQUIVO DA EDITORA</v>
      </c>
      <c r="AB218" s="22">
        <v>7</v>
      </c>
      <c r="AC218" s="26" t="s">
        <v>554</v>
      </c>
      <c r="AD218" s="20" t="s">
        <v>199</v>
      </c>
      <c r="AE218" s="4" t="str">
        <f t="shared" si="3"/>
        <v>EF1 E002 Ing</v>
      </c>
    </row>
    <row r="219" spans="1:31" s="12" customFormat="1" ht="60" x14ac:dyDescent="0.25">
      <c r="A219" s="23" t="s">
        <v>560</v>
      </c>
      <c r="B219" s="20" t="s">
        <v>56</v>
      </c>
      <c r="C219" s="20" t="s">
        <v>33</v>
      </c>
      <c r="D219" s="20" t="s">
        <v>34</v>
      </c>
      <c r="E219" s="22">
        <v>69</v>
      </c>
      <c r="F219" s="22">
        <v>2</v>
      </c>
      <c r="G219" s="22"/>
      <c r="H219" s="22" t="s">
        <v>515</v>
      </c>
      <c r="I219" s="23" t="s">
        <v>36</v>
      </c>
      <c r="J219" s="23"/>
      <c r="K219" s="22"/>
      <c r="L219" s="22"/>
      <c r="M219" s="23"/>
      <c r="N219" s="23"/>
      <c r="O219" s="26" t="s">
        <v>561</v>
      </c>
      <c r="P219" s="26"/>
      <c r="Q219" s="26" t="s">
        <v>553</v>
      </c>
      <c r="R219" s="22">
        <v>37</v>
      </c>
      <c r="S219" s="24">
        <v>45835</v>
      </c>
      <c r="T219" s="24">
        <v>45838</v>
      </c>
      <c r="U219" s="24">
        <v>45842</v>
      </c>
      <c r="V219" s="24"/>
      <c r="W219" s="24"/>
      <c r="X219" s="22" t="s">
        <v>54</v>
      </c>
      <c r="Y219" s="4" t="str">
        <f>IF(Tabela2[[#This Row],[SIGLA]]="","",VLOOKUP(Tabela2[[#This Row],[SIGLA]],Tabela1[[#All],[Sigla Arte]:[Crédito]],2,0))</f>
        <v>RAYANNE CARDOSO/ARQUIVO DA EDITORA</v>
      </c>
      <c r="Z219" s="23"/>
      <c r="AA219" s="23" t="str">
        <f>Tabela2[[#This Row],[ILUSTRADOR CRIAÇÃO]]</f>
        <v>RAYANNE CARDOSO/ARQUIVO DA EDITORA</v>
      </c>
      <c r="AB219" s="22">
        <v>7</v>
      </c>
      <c r="AC219" s="26" t="s">
        <v>554</v>
      </c>
      <c r="AD219" s="20" t="s">
        <v>199</v>
      </c>
      <c r="AE219" s="4" t="str">
        <f t="shared" si="3"/>
        <v>EF1 E002 Ing</v>
      </c>
    </row>
    <row r="220" spans="1:31" s="12" customFormat="1" ht="60" x14ac:dyDescent="0.25">
      <c r="A220" s="23" t="s">
        <v>562</v>
      </c>
      <c r="B220" s="20" t="s">
        <v>56</v>
      </c>
      <c r="C220" s="20" t="s">
        <v>33</v>
      </c>
      <c r="D220" s="20" t="s">
        <v>34</v>
      </c>
      <c r="E220" s="22">
        <v>69</v>
      </c>
      <c r="F220" s="22">
        <v>2</v>
      </c>
      <c r="G220" s="22"/>
      <c r="H220" s="22" t="s">
        <v>515</v>
      </c>
      <c r="I220" s="23" t="s">
        <v>36</v>
      </c>
      <c r="J220" s="23"/>
      <c r="K220" s="22"/>
      <c r="L220" s="22"/>
      <c r="M220" s="23"/>
      <c r="N220" s="23"/>
      <c r="O220" s="26" t="s">
        <v>563</v>
      </c>
      <c r="P220" s="26"/>
      <c r="Q220" s="26" t="s">
        <v>553</v>
      </c>
      <c r="R220" s="22">
        <v>37</v>
      </c>
      <c r="S220" s="24">
        <v>45835</v>
      </c>
      <c r="T220" s="24">
        <v>45838</v>
      </c>
      <c r="U220" s="24">
        <v>45842</v>
      </c>
      <c r="V220" s="24"/>
      <c r="W220" s="24"/>
      <c r="X220" s="22" t="s">
        <v>54</v>
      </c>
      <c r="Y220" s="4" t="str">
        <f>IF(Tabela2[[#This Row],[SIGLA]]="","",VLOOKUP(Tabela2[[#This Row],[SIGLA]],Tabela1[[#All],[Sigla Arte]:[Crédito]],2,0))</f>
        <v>RAYANNE CARDOSO/ARQUIVO DA EDITORA</v>
      </c>
      <c r="Z220" s="23"/>
      <c r="AA220" s="23" t="str">
        <f>Tabela2[[#This Row],[ILUSTRADOR CRIAÇÃO]]</f>
        <v>RAYANNE CARDOSO/ARQUIVO DA EDITORA</v>
      </c>
      <c r="AB220" s="22">
        <v>7</v>
      </c>
      <c r="AC220" s="26" t="s">
        <v>554</v>
      </c>
      <c r="AD220" s="20" t="s">
        <v>199</v>
      </c>
      <c r="AE220" s="4" t="str">
        <f t="shared" si="3"/>
        <v>EF1 E002 Ing</v>
      </c>
    </row>
    <row r="221" spans="1:31" s="12" customFormat="1" ht="60" x14ac:dyDescent="0.25">
      <c r="A221" s="23" t="s">
        <v>564</v>
      </c>
      <c r="B221" s="20" t="s">
        <v>56</v>
      </c>
      <c r="C221" s="20" t="s">
        <v>33</v>
      </c>
      <c r="D221" s="20" t="s">
        <v>34</v>
      </c>
      <c r="E221" s="22">
        <v>69</v>
      </c>
      <c r="F221" s="22">
        <v>2</v>
      </c>
      <c r="G221" s="22"/>
      <c r="H221" s="22" t="s">
        <v>515</v>
      </c>
      <c r="I221" s="23" t="s">
        <v>36</v>
      </c>
      <c r="J221" s="23"/>
      <c r="K221" s="22"/>
      <c r="L221" s="22"/>
      <c r="M221" s="23"/>
      <c r="N221" s="23"/>
      <c r="O221" s="26" t="s">
        <v>565</v>
      </c>
      <c r="P221" s="26"/>
      <c r="Q221" s="26" t="s">
        <v>553</v>
      </c>
      <c r="R221" s="22">
        <v>37</v>
      </c>
      <c r="S221" s="24">
        <v>45835</v>
      </c>
      <c r="T221" s="24">
        <v>45838</v>
      </c>
      <c r="U221" s="24">
        <v>45842</v>
      </c>
      <c r="V221" s="24"/>
      <c r="W221" s="24"/>
      <c r="X221" s="22" t="s">
        <v>54</v>
      </c>
      <c r="Y221" s="4" t="str">
        <f>IF(Tabela2[[#This Row],[SIGLA]]="","",VLOOKUP(Tabela2[[#This Row],[SIGLA]],Tabela1[[#All],[Sigla Arte]:[Crédito]],2,0))</f>
        <v>RAYANNE CARDOSO/ARQUIVO DA EDITORA</v>
      </c>
      <c r="Z221" s="23"/>
      <c r="AA221" s="23" t="str">
        <f>Tabela2[[#This Row],[ILUSTRADOR CRIAÇÃO]]</f>
        <v>RAYANNE CARDOSO/ARQUIVO DA EDITORA</v>
      </c>
      <c r="AB221" s="22">
        <v>7</v>
      </c>
      <c r="AC221" s="26" t="s">
        <v>554</v>
      </c>
      <c r="AD221" s="20" t="s">
        <v>199</v>
      </c>
      <c r="AE221" s="4" t="str">
        <f t="shared" si="3"/>
        <v>EF1 E002 Ing</v>
      </c>
    </row>
    <row r="222" spans="1:31" s="12" customFormat="1" ht="45" x14ac:dyDescent="0.25">
      <c r="A222" s="23" t="s">
        <v>566</v>
      </c>
      <c r="B222" s="20" t="s">
        <v>56</v>
      </c>
      <c r="C222" s="20" t="s">
        <v>33</v>
      </c>
      <c r="D222" s="20" t="s">
        <v>34</v>
      </c>
      <c r="E222" s="22">
        <v>26</v>
      </c>
      <c r="F222" s="22">
        <v>4</v>
      </c>
      <c r="G222" s="22"/>
      <c r="H222" s="22"/>
      <c r="I222" s="23" t="s">
        <v>36</v>
      </c>
      <c r="J222" s="23"/>
      <c r="K222" s="22"/>
      <c r="L222" s="22"/>
      <c r="M222" s="23"/>
      <c r="N222" s="23"/>
      <c r="O222" s="26" t="s">
        <v>567</v>
      </c>
      <c r="P222" s="26"/>
      <c r="Q222" s="26"/>
      <c r="R222" s="22">
        <v>39</v>
      </c>
      <c r="S222" s="24">
        <v>45847</v>
      </c>
      <c r="T222" s="24">
        <v>45852</v>
      </c>
      <c r="U222" s="24">
        <v>45854</v>
      </c>
      <c r="V222" s="24"/>
      <c r="W222" s="24"/>
      <c r="X222" s="22" t="s">
        <v>259</v>
      </c>
      <c r="Y222" s="4" t="str">
        <f>IF(Tabela2[[#This Row],[SIGLA]]="","",VLOOKUP(Tabela2[[#This Row],[SIGLA]],Tabela1[[#All],[Sigla Arte]:[Crédito]],2,0))</f>
        <v>CAMILA CARMONA/ARQUIVO DA EDITORA</v>
      </c>
      <c r="Z222" s="23"/>
      <c r="AA222" s="23" t="str">
        <f>Tabela2[[#This Row],[ILUSTRADOR CRIAÇÃO]]</f>
        <v>CAMILA CARMONA/ARQUIVO DA EDITORA</v>
      </c>
      <c r="AB222" s="22">
        <v>6</v>
      </c>
      <c r="AC222" s="26" t="s">
        <v>568</v>
      </c>
      <c r="AD222" s="20" t="s">
        <v>199</v>
      </c>
      <c r="AE222" s="4" t="str">
        <f t="shared" si="3"/>
        <v>EF1 E002 Ing</v>
      </c>
    </row>
    <row r="223" spans="1:31" s="12" customFormat="1" ht="30" x14ac:dyDescent="0.25">
      <c r="A223" s="23" t="s">
        <v>569</v>
      </c>
      <c r="B223" s="20" t="s">
        <v>56</v>
      </c>
      <c r="C223" s="20" t="s">
        <v>33</v>
      </c>
      <c r="D223" s="20" t="s">
        <v>34</v>
      </c>
      <c r="E223" s="22">
        <v>26</v>
      </c>
      <c r="F223" s="22">
        <v>4</v>
      </c>
      <c r="G223" s="22"/>
      <c r="H223" s="22"/>
      <c r="I223" s="23" t="s">
        <v>36</v>
      </c>
      <c r="J223" s="23"/>
      <c r="K223" s="22"/>
      <c r="L223" s="22"/>
      <c r="M223" s="23"/>
      <c r="N223" s="23"/>
      <c r="O223" s="26" t="s">
        <v>570</v>
      </c>
      <c r="P223" s="26"/>
      <c r="Q223" s="26"/>
      <c r="R223" s="22">
        <v>39</v>
      </c>
      <c r="S223" s="24">
        <v>45847</v>
      </c>
      <c r="T223" s="24">
        <v>45852</v>
      </c>
      <c r="U223" s="24">
        <v>45854</v>
      </c>
      <c r="V223" s="24"/>
      <c r="W223" s="24"/>
      <c r="X223" s="22" t="s">
        <v>259</v>
      </c>
      <c r="Y223" s="4" t="str">
        <f>IF(Tabela2[[#This Row],[SIGLA]]="","",VLOOKUP(Tabela2[[#This Row],[SIGLA]],Tabela1[[#All],[Sigla Arte]:[Crédito]],2,0))</f>
        <v>CAMILA CARMONA/ARQUIVO DA EDITORA</v>
      </c>
      <c r="Z223" s="23"/>
      <c r="AA223" s="23" t="str">
        <f>Tabela2[[#This Row],[ILUSTRADOR CRIAÇÃO]]</f>
        <v>CAMILA CARMONA/ARQUIVO DA EDITORA</v>
      </c>
      <c r="AB223" s="22">
        <v>6</v>
      </c>
      <c r="AC223" s="26" t="s">
        <v>568</v>
      </c>
      <c r="AD223" s="20" t="s">
        <v>199</v>
      </c>
      <c r="AE223" s="4" t="str">
        <f t="shared" si="3"/>
        <v>EF1 E002 Ing</v>
      </c>
    </row>
    <row r="224" spans="1:31" s="12" customFormat="1" ht="30" x14ac:dyDescent="0.25">
      <c r="A224" s="23" t="s">
        <v>571</v>
      </c>
      <c r="B224" s="20" t="s">
        <v>56</v>
      </c>
      <c r="C224" s="20" t="s">
        <v>33</v>
      </c>
      <c r="D224" s="20" t="s">
        <v>34</v>
      </c>
      <c r="E224" s="22">
        <v>26</v>
      </c>
      <c r="F224" s="22">
        <v>4</v>
      </c>
      <c r="G224" s="22"/>
      <c r="H224" s="22"/>
      <c r="I224" s="23" t="s">
        <v>36</v>
      </c>
      <c r="J224" s="23"/>
      <c r="K224" s="22"/>
      <c r="L224" s="22"/>
      <c r="M224" s="23"/>
      <c r="N224" s="23"/>
      <c r="O224" s="26" t="s">
        <v>572</v>
      </c>
      <c r="P224" s="26"/>
      <c r="Q224" s="26"/>
      <c r="R224" s="22">
        <v>39</v>
      </c>
      <c r="S224" s="24">
        <v>45847</v>
      </c>
      <c r="T224" s="24">
        <v>45852</v>
      </c>
      <c r="U224" s="24">
        <v>45854</v>
      </c>
      <c r="V224" s="24"/>
      <c r="W224" s="24"/>
      <c r="X224" s="22" t="s">
        <v>259</v>
      </c>
      <c r="Y224" s="4" t="str">
        <f>IF(Tabela2[[#This Row],[SIGLA]]="","",VLOOKUP(Tabela2[[#This Row],[SIGLA]],Tabela1[[#All],[Sigla Arte]:[Crédito]],2,0))</f>
        <v>CAMILA CARMONA/ARQUIVO DA EDITORA</v>
      </c>
      <c r="Z224" s="23"/>
      <c r="AA224" s="23" t="str">
        <f>Tabela2[[#This Row],[ILUSTRADOR CRIAÇÃO]]</f>
        <v>CAMILA CARMONA/ARQUIVO DA EDITORA</v>
      </c>
      <c r="AB224" s="22">
        <v>6</v>
      </c>
      <c r="AC224" s="26" t="s">
        <v>568</v>
      </c>
      <c r="AD224" s="20" t="s">
        <v>199</v>
      </c>
      <c r="AE224" s="4" t="str">
        <f t="shared" si="3"/>
        <v>EF1 E002 Ing</v>
      </c>
    </row>
    <row r="225" spans="1:31" s="12" customFormat="1" ht="30" x14ac:dyDescent="0.25">
      <c r="A225" s="23" t="s">
        <v>573</v>
      </c>
      <c r="B225" s="20" t="s">
        <v>56</v>
      </c>
      <c r="C225" s="20" t="s">
        <v>33</v>
      </c>
      <c r="D225" s="20" t="s">
        <v>34</v>
      </c>
      <c r="E225" s="22">
        <v>26</v>
      </c>
      <c r="F225" s="22">
        <v>4</v>
      </c>
      <c r="G225" s="22"/>
      <c r="H225" s="22"/>
      <c r="I225" s="23" t="s">
        <v>36</v>
      </c>
      <c r="J225" s="23"/>
      <c r="K225" s="22"/>
      <c r="L225" s="22"/>
      <c r="M225" s="23"/>
      <c r="N225" s="23"/>
      <c r="O225" s="26" t="s">
        <v>574</v>
      </c>
      <c r="P225" s="26"/>
      <c r="Q225" s="26"/>
      <c r="R225" s="22">
        <v>39</v>
      </c>
      <c r="S225" s="24">
        <v>45847</v>
      </c>
      <c r="T225" s="24">
        <v>45852</v>
      </c>
      <c r="U225" s="24">
        <v>45854</v>
      </c>
      <c r="V225" s="24"/>
      <c r="W225" s="24"/>
      <c r="X225" s="22" t="s">
        <v>259</v>
      </c>
      <c r="Y225" s="4" t="str">
        <f>IF(Tabela2[[#This Row],[SIGLA]]="","",VLOOKUP(Tabela2[[#This Row],[SIGLA]],Tabela1[[#All],[Sigla Arte]:[Crédito]],2,0))</f>
        <v>CAMILA CARMONA/ARQUIVO DA EDITORA</v>
      </c>
      <c r="Z225" s="23"/>
      <c r="AA225" s="23" t="str">
        <f>Tabela2[[#This Row],[ILUSTRADOR CRIAÇÃO]]</f>
        <v>CAMILA CARMONA/ARQUIVO DA EDITORA</v>
      </c>
      <c r="AB225" s="22">
        <v>6</v>
      </c>
      <c r="AC225" s="26" t="s">
        <v>568</v>
      </c>
      <c r="AD225" s="20" t="s">
        <v>199</v>
      </c>
      <c r="AE225" s="4" t="str">
        <f t="shared" si="3"/>
        <v>EF1 E002 Ing</v>
      </c>
    </row>
    <row r="226" spans="1:31" s="12" customFormat="1" ht="30" x14ac:dyDescent="0.25">
      <c r="A226" s="23" t="s">
        <v>575</v>
      </c>
      <c r="B226" s="20" t="s">
        <v>56</v>
      </c>
      <c r="C226" s="20" t="s">
        <v>33</v>
      </c>
      <c r="D226" s="20" t="s">
        <v>34</v>
      </c>
      <c r="E226" s="22">
        <v>26</v>
      </c>
      <c r="F226" s="22">
        <v>4</v>
      </c>
      <c r="G226" s="22"/>
      <c r="H226" s="22"/>
      <c r="I226" s="23" t="s">
        <v>36</v>
      </c>
      <c r="J226" s="23"/>
      <c r="K226" s="22"/>
      <c r="L226" s="22"/>
      <c r="M226" s="23"/>
      <c r="N226" s="23"/>
      <c r="O226" s="26" t="s">
        <v>576</v>
      </c>
      <c r="P226" s="26"/>
      <c r="Q226" s="26"/>
      <c r="R226" s="22">
        <v>39</v>
      </c>
      <c r="S226" s="24">
        <v>45847</v>
      </c>
      <c r="T226" s="24">
        <v>45852</v>
      </c>
      <c r="U226" s="24">
        <v>45854</v>
      </c>
      <c r="V226" s="24"/>
      <c r="W226" s="24"/>
      <c r="X226" s="22" t="s">
        <v>259</v>
      </c>
      <c r="Y226" s="4" t="str">
        <f>IF(Tabela2[[#This Row],[SIGLA]]="","",VLOOKUP(Tabela2[[#This Row],[SIGLA]],Tabela1[[#All],[Sigla Arte]:[Crédito]],2,0))</f>
        <v>CAMILA CARMONA/ARQUIVO DA EDITORA</v>
      </c>
      <c r="Z226" s="23"/>
      <c r="AA226" s="23" t="str">
        <f>Tabela2[[#This Row],[ILUSTRADOR CRIAÇÃO]]</f>
        <v>CAMILA CARMONA/ARQUIVO DA EDITORA</v>
      </c>
      <c r="AB226" s="22">
        <v>6</v>
      </c>
      <c r="AC226" s="26" t="s">
        <v>568</v>
      </c>
      <c r="AD226" s="20" t="s">
        <v>199</v>
      </c>
      <c r="AE226" s="4" t="str">
        <f t="shared" si="3"/>
        <v>EF1 E002 Ing</v>
      </c>
    </row>
    <row r="227" spans="1:31" s="12" customFormat="1" ht="156.75" customHeight="1" x14ac:dyDescent="0.25">
      <c r="A227" s="23" t="s">
        <v>577</v>
      </c>
      <c r="B227" s="20" t="s">
        <v>56</v>
      </c>
      <c r="C227" s="20" t="s">
        <v>33</v>
      </c>
      <c r="D227" s="20" t="s">
        <v>34</v>
      </c>
      <c r="E227" s="22">
        <v>27</v>
      </c>
      <c r="F227" s="22">
        <v>4</v>
      </c>
      <c r="G227" s="22"/>
      <c r="H227" s="22"/>
      <c r="I227" s="23" t="s">
        <v>36</v>
      </c>
      <c r="J227" s="23"/>
      <c r="K227" s="22"/>
      <c r="L227" s="22"/>
      <c r="M227" s="23"/>
      <c r="N227" s="23"/>
      <c r="O227" s="26" t="s">
        <v>578</v>
      </c>
      <c r="P227" s="26"/>
      <c r="Q227" s="26"/>
      <c r="R227" s="22">
        <v>39</v>
      </c>
      <c r="S227" s="24">
        <v>45847</v>
      </c>
      <c r="T227" s="24">
        <v>45852</v>
      </c>
      <c r="U227" s="24">
        <v>45854</v>
      </c>
      <c r="V227" s="24"/>
      <c r="W227" s="24"/>
      <c r="X227" s="22" t="s">
        <v>259</v>
      </c>
      <c r="Y227" s="4" t="str">
        <f>IF(Tabela2[[#This Row],[SIGLA]]="","",VLOOKUP(Tabela2[[#This Row],[SIGLA]],Tabela1[[#All],[Sigla Arte]:[Crédito]],2,0))</f>
        <v>CAMILA CARMONA/ARQUIVO DA EDITORA</v>
      </c>
      <c r="Z227" s="23"/>
      <c r="AA227" s="23" t="str">
        <f>Tabela2[[#This Row],[ILUSTRADOR CRIAÇÃO]]</f>
        <v>CAMILA CARMONA/ARQUIVO DA EDITORA</v>
      </c>
      <c r="AB227" s="22">
        <v>5</v>
      </c>
      <c r="AC227" s="26" t="s">
        <v>568</v>
      </c>
      <c r="AD227" s="20" t="s">
        <v>199</v>
      </c>
      <c r="AE227" s="4" t="str">
        <f t="shared" si="3"/>
        <v>EF1 E002 Ing</v>
      </c>
    </row>
    <row r="228" spans="1:31" s="12" customFormat="1" ht="204.75" customHeight="1" x14ac:dyDescent="0.25">
      <c r="A228" s="23" t="s">
        <v>579</v>
      </c>
      <c r="B228" s="20" t="s">
        <v>56</v>
      </c>
      <c r="C228" s="20" t="s">
        <v>33</v>
      </c>
      <c r="D228" s="20" t="s">
        <v>34</v>
      </c>
      <c r="E228" s="22">
        <v>28</v>
      </c>
      <c r="F228" s="22">
        <v>4</v>
      </c>
      <c r="G228" s="22"/>
      <c r="H228" s="22"/>
      <c r="I228" s="23" t="s">
        <v>36</v>
      </c>
      <c r="J228" s="23"/>
      <c r="K228" s="22"/>
      <c r="L228" s="22"/>
      <c r="M228" s="23"/>
      <c r="N228" s="23"/>
      <c r="O228" s="26" t="s">
        <v>580</v>
      </c>
      <c r="P228" s="26"/>
      <c r="Q228" s="26"/>
      <c r="R228" s="22">
        <v>39</v>
      </c>
      <c r="S228" s="24">
        <v>45847</v>
      </c>
      <c r="T228" s="24">
        <v>45852</v>
      </c>
      <c r="U228" s="24">
        <v>45859</v>
      </c>
      <c r="V228" s="24"/>
      <c r="W228" s="24"/>
      <c r="X228" s="22" t="s">
        <v>95</v>
      </c>
      <c r="Y228" s="4" t="str">
        <f>IF(Tabela2[[#This Row],[SIGLA]]="","",VLOOKUP(Tabela2[[#This Row],[SIGLA]],Tabela1[[#All],[Sigla Arte]:[Crédito]],2,0))</f>
        <v>LEONARDO DE MOURA AMARAL/ARQUIVO DA EDITORA</v>
      </c>
      <c r="Z228" s="23"/>
      <c r="AA228" s="23" t="str">
        <f>Tabela2[[#This Row],[ILUSTRADOR CRIAÇÃO]]</f>
        <v>LEONARDO DE MOURA AMARAL/ARQUIVO DA EDITORA</v>
      </c>
      <c r="AB228" s="22">
        <v>5</v>
      </c>
      <c r="AC228" s="20" t="s">
        <v>581</v>
      </c>
      <c r="AD228" s="20" t="s">
        <v>199</v>
      </c>
      <c r="AE228" s="4" t="str">
        <f t="shared" si="3"/>
        <v>EF1 E002 Ing</v>
      </c>
    </row>
    <row r="229" spans="1:31" s="12" customFormat="1" ht="79.5" customHeight="1" x14ac:dyDescent="0.25">
      <c r="A229" s="23" t="s">
        <v>582</v>
      </c>
      <c r="B229" s="20" t="s">
        <v>32</v>
      </c>
      <c r="C229" s="20" t="s">
        <v>33</v>
      </c>
      <c r="D229" s="20" t="s">
        <v>34</v>
      </c>
      <c r="E229" s="22">
        <v>30</v>
      </c>
      <c r="F229" s="22">
        <v>4</v>
      </c>
      <c r="G229" s="22">
        <v>1</v>
      </c>
      <c r="H229" s="22"/>
      <c r="I229" s="23" t="s">
        <v>36</v>
      </c>
      <c r="J229" s="23"/>
      <c r="K229" s="22"/>
      <c r="L229" s="22"/>
      <c r="M229" s="23"/>
      <c r="N229" s="23"/>
      <c r="O229" s="26" t="s">
        <v>583</v>
      </c>
      <c r="P229" s="26"/>
      <c r="Q229" s="26"/>
      <c r="R229" s="22">
        <v>39</v>
      </c>
      <c r="S229" s="24">
        <v>45847</v>
      </c>
      <c r="T229" s="24">
        <v>45852</v>
      </c>
      <c r="U229" s="24">
        <v>45859</v>
      </c>
      <c r="V229" s="24">
        <v>45862</v>
      </c>
      <c r="W229" s="24">
        <v>45863</v>
      </c>
      <c r="X229" s="22" t="s">
        <v>95</v>
      </c>
      <c r="Y229" s="4" t="str">
        <f>IF(Tabela2[[#This Row],[SIGLA]]="","",VLOOKUP(Tabela2[[#This Row],[SIGLA]],Tabela1[[#All],[Sigla Arte]:[Crédito]],2,0))</f>
        <v>LEONARDO DE MOURA AMARAL/ARQUIVO DA EDITORA</v>
      </c>
      <c r="Z229" s="23"/>
      <c r="AA229" s="23" t="str">
        <f>Tabela2[[#This Row],[ILUSTRADOR CRIAÇÃO]]</f>
        <v>LEONARDO DE MOURA AMARAL/ARQUIVO DA EDITORA</v>
      </c>
      <c r="AB229" s="22">
        <v>5</v>
      </c>
      <c r="AC229" s="20" t="s">
        <v>584</v>
      </c>
      <c r="AD229" s="20" t="s">
        <v>40</v>
      </c>
      <c r="AE229" s="4" t="str">
        <f t="shared" si="3"/>
        <v>EF1 E002 Ing</v>
      </c>
    </row>
    <row r="230" spans="1:31" s="12" customFormat="1" x14ac:dyDescent="0.25">
      <c r="A230" s="23" t="s">
        <v>585</v>
      </c>
      <c r="B230" s="20" t="s">
        <v>32</v>
      </c>
      <c r="C230" s="20" t="s">
        <v>33</v>
      </c>
      <c r="D230" s="20" t="s">
        <v>34</v>
      </c>
      <c r="E230" s="22">
        <v>73</v>
      </c>
      <c r="F230" s="22">
        <v>1</v>
      </c>
      <c r="G230" s="22"/>
      <c r="H230" s="22" t="s">
        <v>586</v>
      </c>
      <c r="I230" s="23" t="s">
        <v>544</v>
      </c>
      <c r="J230" s="23"/>
      <c r="K230" s="22"/>
      <c r="L230" s="22"/>
      <c r="M230" s="23"/>
      <c r="N230" s="23"/>
      <c r="O230" s="26" t="s">
        <v>587</v>
      </c>
      <c r="P230" s="26"/>
      <c r="Q230" s="26"/>
      <c r="R230" s="22"/>
      <c r="S230" s="24"/>
      <c r="T230" s="24"/>
      <c r="U230" s="24"/>
      <c r="V230" s="24"/>
      <c r="W230" s="24"/>
      <c r="X230" s="22" t="s">
        <v>127</v>
      </c>
      <c r="Y230" s="4" t="str">
        <f>IF(Tabela2[[#This Row],[SIGLA]]="","",VLOOKUP(Tabela2[[#This Row],[SIGLA]],Tabela1[[#All],[Sigla Arte]:[Crédito]],2,0))</f>
        <v>JULIA PONNICK/ARQUIVO DA EDITORA</v>
      </c>
      <c r="Z230" s="23"/>
      <c r="AA230" s="23" t="str">
        <f>Tabela2[[#This Row],[ILUSTRADOR CRIAÇÃO]]</f>
        <v>JULIA PONNICK/ARQUIVO DA EDITORA</v>
      </c>
      <c r="AB230" s="22"/>
      <c r="AC230" s="20"/>
      <c r="AD230" s="20"/>
      <c r="AE230" s="4" t="str">
        <f t="shared" si="3"/>
        <v>EF1 E002 Ing</v>
      </c>
    </row>
    <row r="231" spans="1:31" s="12" customFormat="1" x14ac:dyDescent="0.25">
      <c r="A231" s="23" t="s">
        <v>588</v>
      </c>
      <c r="B231" s="20" t="s">
        <v>32</v>
      </c>
      <c r="C231" s="20" t="s">
        <v>33</v>
      </c>
      <c r="D231" s="20" t="s">
        <v>34</v>
      </c>
      <c r="E231" s="22">
        <v>73</v>
      </c>
      <c r="F231" s="22">
        <v>1</v>
      </c>
      <c r="G231" s="22"/>
      <c r="H231" s="22" t="s">
        <v>586</v>
      </c>
      <c r="I231" s="23" t="s">
        <v>544</v>
      </c>
      <c r="J231" s="23"/>
      <c r="K231" s="22"/>
      <c r="L231" s="22"/>
      <c r="M231" s="23"/>
      <c r="N231" s="23"/>
      <c r="O231" s="26" t="s">
        <v>589</v>
      </c>
      <c r="P231" s="26"/>
      <c r="Q231" s="26"/>
      <c r="R231" s="22"/>
      <c r="S231" s="24"/>
      <c r="T231" s="24"/>
      <c r="U231" s="24"/>
      <c r="V231" s="24"/>
      <c r="W231" s="24"/>
      <c r="X231" s="22" t="s">
        <v>224</v>
      </c>
      <c r="Y231" s="4" t="str">
        <f>IF(Tabela2[[#This Row],[SIGLA]]="","",VLOOKUP(Tabela2[[#This Row],[SIGLA]],Tabela1[[#All],[Sigla Arte]:[Crédito]],2,0))</f>
        <v>ANA KOZUKI/ARQUIVO DA EDITORA</v>
      </c>
      <c r="Z231" s="23"/>
      <c r="AA231" s="23" t="str">
        <f>Tabela2[[#This Row],[ILUSTRADOR CRIAÇÃO]]</f>
        <v>ANA KOZUKI/ARQUIVO DA EDITORA</v>
      </c>
      <c r="AB231" s="22"/>
      <c r="AC231" s="20"/>
      <c r="AD231" s="20"/>
      <c r="AE231" s="4" t="str">
        <f t="shared" si="3"/>
        <v>EF1 E002 Ing</v>
      </c>
    </row>
    <row r="232" spans="1:31" s="12" customFormat="1" x14ac:dyDescent="0.25">
      <c r="A232" s="23" t="s">
        <v>590</v>
      </c>
      <c r="B232" s="20" t="s">
        <v>32</v>
      </c>
      <c r="C232" s="20" t="s">
        <v>33</v>
      </c>
      <c r="D232" s="20" t="s">
        <v>34</v>
      </c>
      <c r="E232" s="22">
        <v>75</v>
      </c>
      <c r="F232" s="22">
        <v>1</v>
      </c>
      <c r="G232" s="22"/>
      <c r="H232" s="22" t="s">
        <v>586</v>
      </c>
      <c r="I232" s="23" t="s">
        <v>544</v>
      </c>
      <c r="J232" s="23"/>
      <c r="K232" s="22"/>
      <c r="L232" s="22"/>
      <c r="M232" s="23"/>
      <c r="N232" s="23"/>
      <c r="O232" s="26" t="s">
        <v>587</v>
      </c>
      <c r="P232" s="26"/>
      <c r="Q232" s="26"/>
      <c r="R232" s="22"/>
      <c r="S232" s="24"/>
      <c r="T232" s="24"/>
      <c r="U232" s="24"/>
      <c r="V232" s="24"/>
      <c r="W232" s="24"/>
      <c r="X232" s="22" t="s">
        <v>127</v>
      </c>
      <c r="Y232" s="4" t="str">
        <f>IF(Tabela2[[#This Row],[SIGLA]]="","",VLOOKUP(Tabela2[[#This Row],[SIGLA]],Tabela1[[#All],[Sigla Arte]:[Crédito]],2,0))</f>
        <v>JULIA PONNICK/ARQUIVO DA EDITORA</v>
      </c>
      <c r="Z232" s="23"/>
      <c r="AA232" s="23" t="str">
        <f>Tabela2[[#This Row],[ILUSTRADOR CRIAÇÃO]]</f>
        <v>JULIA PONNICK/ARQUIVO DA EDITORA</v>
      </c>
      <c r="AB232" s="22"/>
      <c r="AC232" s="20"/>
      <c r="AD232" s="20"/>
      <c r="AE232" s="4" t="str">
        <f t="shared" si="3"/>
        <v>EF1 E002 Ing</v>
      </c>
    </row>
    <row r="233" spans="1:31" s="12" customFormat="1" x14ac:dyDescent="0.25">
      <c r="A233" s="23" t="s">
        <v>591</v>
      </c>
      <c r="B233" s="20" t="s">
        <v>32</v>
      </c>
      <c r="C233" s="20" t="s">
        <v>33</v>
      </c>
      <c r="D233" s="20" t="s">
        <v>34</v>
      </c>
      <c r="E233" s="22">
        <v>75</v>
      </c>
      <c r="F233" s="22">
        <v>1</v>
      </c>
      <c r="G233" s="22"/>
      <c r="H233" s="22" t="s">
        <v>586</v>
      </c>
      <c r="I233" s="23" t="s">
        <v>544</v>
      </c>
      <c r="J233" s="23"/>
      <c r="K233" s="22"/>
      <c r="L233" s="22"/>
      <c r="M233" s="23"/>
      <c r="N233" s="23"/>
      <c r="O233" s="26" t="s">
        <v>589</v>
      </c>
      <c r="P233" s="26"/>
      <c r="Q233" s="26"/>
      <c r="R233" s="22"/>
      <c r="S233" s="24"/>
      <c r="T233" s="24"/>
      <c r="U233" s="24"/>
      <c r="V233" s="24"/>
      <c r="W233" s="24"/>
      <c r="X233" s="22" t="s">
        <v>224</v>
      </c>
      <c r="Y233" s="4" t="str">
        <f>IF(Tabela2[[#This Row],[SIGLA]]="","",VLOOKUP(Tabela2[[#This Row],[SIGLA]],Tabela1[[#All],[Sigla Arte]:[Crédito]],2,0))</f>
        <v>ANA KOZUKI/ARQUIVO DA EDITORA</v>
      </c>
      <c r="Z233" s="23"/>
      <c r="AA233" s="23" t="str">
        <f>Tabela2[[#This Row],[ILUSTRADOR CRIAÇÃO]]</f>
        <v>ANA KOZUKI/ARQUIVO DA EDITORA</v>
      </c>
      <c r="AB233" s="22"/>
      <c r="AC233" s="20"/>
      <c r="AD233" s="20"/>
      <c r="AE233" s="4" t="str">
        <f t="shared" si="3"/>
        <v>EF1 E002 Ing</v>
      </c>
    </row>
    <row r="234" spans="1:31" s="12" customFormat="1" x14ac:dyDescent="0.25">
      <c r="A234" s="23" t="s">
        <v>592</v>
      </c>
      <c r="B234" s="20" t="s">
        <v>32</v>
      </c>
      <c r="C234" s="20" t="s">
        <v>33</v>
      </c>
      <c r="D234" s="20" t="s">
        <v>34</v>
      </c>
      <c r="E234" s="22">
        <v>77</v>
      </c>
      <c r="F234" s="22">
        <v>1</v>
      </c>
      <c r="G234" s="22"/>
      <c r="H234" s="22" t="s">
        <v>586</v>
      </c>
      <c r="I234" s="23" t="s">
        <v>544</v>
      </c>
      <c r="J234" s="23"/>
      <c r="K234" s="22"/>
      <c r="L234" s="22"/>
      <c r="M234" s="23"/>
      <c r="N234" s="23"/>
      <c r="O234" s="26" t="s">
        <v>587</v>
      </c>
      <c r="P234" s="26"/>
      <c r="Q234" s="26"/>
      <c r="R234" s="22"/>
      <c r="S234" s="24"/>
      <c r="T234" s="24"/>
      <c r="U234" s="24"/>
      <c r="V234" s="24"/>
      <c r="W234" s="24"/>
      <c r="X234" s="22" t="s">
        <v>127</v>
      </c>
      <c r="Y234" s="4" t="str">
        <f>IF(Tabela2[[#This Row],[SIGLA]]="","",VLOOKUP(Tabela2[[#This Row],[SIGLA]],Tabela1[[#All],[Sigla Arte]:[Crédito]],2,0))</f>
        <v>JULIA PONNICK/ARQUIVO DA EDITORA</v>
      </c>
      <c r="Z234" s="23"/>
      <c r="AA234" s="23" t="str">
        <f>Tabela2[[#This Row],[ILUSTRADOR CRIAÇÃO]]</f>
        <v>JULIA PONNICK/ARQUIVO DA EDITORA</v>
      </c>
      <c r="AB234" s="22"/>
      <c r="AC234" s="20"/>
      <c r="AD234" s="20"/>
      <c r="AE234" s="4" t="str">
        <f t="shared" si="3"/>
        <v>EF1 E002 Ing</v>
      </c>
    </row>
    <row r="235" spans="1:31" s="12" customFormat="1" x14ac:dyDescent="0.25">
      <c r="A235" s="23" t="s">
        <v>593</v>
      </c>
      <c r="B235" s="20" t="s">
        <v>32</v>
      </c>
      <c r="C235" s="20" t="s">
        <v>33</v>
      </c>
      <c r="D235" s="20" t="s">
        <v>34</v>
      </c>
      <c r="E235" s="22">
        <v>77</v>
      </c>
      <c r="F235" s="22">
        <v>1</v>
      </c>
      <c r="G235" s="22"/>
      <c r="H235" s="22" t="s">
        <v>586</v>
      </c>
      <c r="I235" s="23" t="s">
        <v>544</v>
      </c>
      <c r="J235" s="23"/>
      <c r="K235" s="22"/>
      <c r="L235" s="22"/>
      <c r="M235" s="23"/>
      <c r="N235" s="23"/>
      <c r="O235" s="26" t="s">
        <v>589</v>
      </c>
      <c r="P235" s="26"/>
      <c r="Q235" s="26"/>
      <c r="R235" s="22"/>
      <c r="S235" s="24"/>
      <c r="T235" s="24"/>
      <c r="U235" s="24"/>
      <c r="V235" s="24"/>
      <c r="W235" s="24"/>
      <c r="X235" s="22" t="s">
        <v>224</v>
      </c>
      <c r="Y235" s="4" t="str">
        <f>IF(Tabela2[[#This Row],[SIGLA]]="","",VLOOKUP(Tabela2[[#This Row],[SIGLA]],Tabela1[[#All],[Sigla Arte]:[Crédito]],2,0))</f>
        <v>ANA KOZUKI/ARQUIVO DA EDITORA</v>
      </c>
      <c r="Z235" s="23"/>
      <c r="AA235" s="23" t="str">
        <f>Tabela2[[#This Row],[ILUSTRADOR CRIAÇÃO]]</f>
        <v>ANA KOZUKI/ARQUIVO DA EDITORA</v>
      </c>
      <c r="AB235" s="22"/>
      <c r="AC235" s="20"/>
      <c r="AD235" s="20"/>
      <c r="AE235" s="4" t="str">
        <f t="shared" si="3"/>
        <v>EF1 E002 Ing</v>
      </c>
    </row>
    <row r="236" spans="1:31" s="12" customFormat="1" ht="120" x14ac:dyDescent="0.25">
      <c r="A236" s="23" t="s">
        <v>594</v>
      </c>
      <c r="B236" s="20" t="s">
        <v>32</v>
      </c>
      <c r="C236" s="20" t="s">
        <v>33</v>
      </c>
      <c r="D236" s="20" t="s">
        <v>34</v>
      </c>
      <c r="E236" s="22">
        <v>46</v>
      </c>
      <c r="F236" s="22">
        <v>4</v>
      </c>
      <c r="G236" s="22">
        <v>4</v>
      </c>
      <c r="H236" s="22"/>
      <c r="I236" s="23" t="s">
        <v>36</v>
      </c>
      <c r="J236" s="23"/>
      <c r="K236" s="22"/>
      <c r="L236" s="22"/>
      <c r="M236" s="23"/>
      <c r="N236" s="23"/>
      <c r="O236" s="26" t="s">
        <v>595</v>
      </c>
      <c r="P236" s="26"/>
      <c r="Q236" s="26"/>
      <c r="R236" s="22">
        <v>38</v>
      </c>
      <c r="S236" s="24">
        <v>45847</v>
      </c>
      <c r="T236" s="24">
        <v>45861</v>
      </c>
      <c r="U236" s="24">
        <v>45862</v>
      </c>
      <c r="V236" s="24">
        <v>45863</v>
      </c>
      <c r="W236" s="24">
        <v>45866</v>
      </c>
      <c r="X236" s="22" t="s">
        <v>224</v>
      </c>
      <c r="Y236" s="4" t="str">
        <f>IF(Tabela2[[#This Row],[SIGLA]]="","",VLOOKUP(Tabela2[[#This Row],[SIGLA]],Tabela1[[#All],[Sigla Arte]:[Crédito]],2,0))</f>
        <v>ANA KOZUKI/ARQUIVO DA EDITORA</v>
      </c>
      <c r="Z236" s="23"/>
      <c r="AA236" s="23" t="str">
        <f>Tabela2[[#This Row],[ILUSTRADOR CRIAÇÃO]]</f>
        <v>ANA KOZUKI/ARQUIVO DA EDITORA</v>
      </c>
      <c r="AB236" s="22">
        <v>4</v>
      </c>
      <c r="AC236" s="20" t="s">
        <v>596</v>
      </c>
      <c r="AD236" s="20" t="s">
        <v>40</v>
      </c>
      <c r="AE236" s="4" t="str">
        <f t="shared" si="3"/>
        <v>EF1 E002 Ing</v>
      </c>
    </row>
    <row r="237" spans="1:31" s="12" customFormat="1" ht="105" x14ac:dyDescent="0.25">
      <c r="A237" s="23" t="s">
        <v>597</v>
      </c>
      <c r="B237" s="20" t="s">
        <v>32</v>
      </c>
      <c r="C237" s="20" t="s">
        <v>33</v>
      </c>
      <c r="D237" s="20" t="s">
        <v>34</v>
      </c>
      <c r="E237" s="22">
        <v>46</v>
      </c>
      <c r="F237" s="22">
        <v>4</v>
      </c>
      <c r="G237" s="22">
        <v>4</v>
      </c>
      <c r="H237" s="22"/>
      <c r="I237" s="23" t="s">
        <v>36</v>
      </c>
      <c r="J237" s="23"/>
      <c r="K237" s="22"/>
      <c r="L237" s="22"/>
      <c r="M237" s="23"/>
      <c r="N237" s="23"/>
      <c r="O237" s="26" t="s">
        <v>598</v>
      </c>
      <c r="P237" s="26"/>
      <c r="Q237" s="26"/>
      <c r="R237" s="22">
        <v>38</v>
      </c>
      <c r="S237" s="24">
        <v>45847</v>
      </c>
      <c r="T237" s="24">
        <v>45852</v>
      </c>
      <c r="U237" s="24">
        <v>45862</v>
      </c>
      <c r="V237" s="24">
        <v>45863</v>
      </c>
      <c r="W237" s="24">
        <v>45866</v>
      </c>
      <c r="X237" s="22" t="s">
        <v>224</v>
      </c>
      <c r="Y237" s="4" t="str">
        <f>IF(Tabela2[[#This Row],[SIGLA]]="","",VLOOKUP(Tabela2[[#This Row],[SIGLA]],Tabela1[[#All],[Sigla Arte]:[Crédito]],2,0))</f>
        <v>ANA KOZUKI/ARQUIVO DA EDITORA</v>
      </c>
      <c r="Z237" s="23"/>
      <c r="AA237" s="23" t="str">
        <f>Tabela2[[#This Row],[ILUSTRADOR CRIAÇÃO]]</f>
        <v>ANA KOZUKI/ARQUIVO DA EDITORA</v>
      </c>
      <c r="AB237" s="22">
        <v>5</v>
      </c>
      <c r="AC237" s="20" t="s">
        <v>596</v>
      </c>
      <c r="AD237" s="20" t="s">
        <v>40</v>
      </c>
      <c r="AE237" s="4" t="str">
        <f t="shared" si="3"/>
        <v>EF1 E002 Ing</v>
      </c>
    </row>
    <row r="238" spans="1:31" s="12" customFormat="1" ht="105" x14ac:dyDescent="0.25">
      <c r="A238" s="23" t="s">
        <v>599</v>
      </c>
      <c r="B238" s="20" t="s">
        <v>32</v>
      </c>
      <c r="C238" s="20" t="s">
        <v>33</v>
      </c>
      <c r="D238" s="20" t="s">
        <v>34</v>
      </c>
      <c r="E238" s="22">
        <v>46</v>
      </c>
      <c r="F238" s="22">
        <v>4</v>
      </c>
      <c r="G238" s="22">
        <v>4</v>
      </c>
      <c r="H238" s="22"/>
      <c r="I238" s="23" t="s">
        <v>36</v>
      </c>
      <c r="J238" s="23"/>
      <c r="K238" s="22"/>
      <c r="L238" s="22"/>
      <c r="M238" s="23"/>
      <c r="N238" s="23"/>
      <c r="O238" s="26" t="s">
        <v>600</v>
      </c>
      <c r="P238" s="26"/>
      <c r="Q238" s="26"/>
      <c r="R238" s="22">
        <v>38</v>
      </c>
      <c r="S238" s="24">
        <v>45847</v>
      </c>
      <c r="T238" s="24">
        <v>45852</v>
      </c>
      <c r="U238" s="24">
        <v>45862</v>
      </c>
      <c r="V238" s="24">
        <v>45863</v>
      </c>
      <c r="W238" s="24">
        <v>45866</v>
      </c>
      <c r="X238" s="22" t="s">
        <v>224</v>
      </c>
      <c r="Y238" s="4" t="str">
        <f>IF(Tabela2[[#This Row],[SIGLA]]="","",VLOOKUP(Tabela2[[#This Row],[SIGLA]],Tabela1[[#All],[Sigla Arte]:[Crédito]],2,0))</f>
        <v>ANA KOZUKI/ARQUIVO DA EDITORA</v>
      </c>
      <c r="Z238" s="23"/>
      <c r="AA238" s="23" t="str">
        <f>Tabela2[[#This Row],[ILUSTRADOR CRIAÇÃO]]</f>
        <v>ANA KOZUKI/ARQUIVO DA EDITORA</v>
      </c>
      <c r="AB238" s="22">
        <v>5</v>
      </c>
      <c r="AC238" s="20" t="s">
        <v>596</v>
      </c>
      <c r="AD238" s="20" t="s">
        <v>40</v>
      </c>
      <c r="AE238" s="4" t="str">
        <f t="shared" si="3"/>
        <v>EF1 E002 Ing</v>
      </c>
    </row>
    <row r="239" spans="1:31" s="12" customFormat="1" ht="105" x14ac:dyDescent="0.25">
      <c r="A239" s="23" t="s">
        <v>601</v>
      </c>
      <c r="B239" s="20" t="s">
        <v>32</v>
      </c>
      <c r="C239" s="20" t="s">
        <v>33</v>
      </c>
      <c r="D239" s="20" t="s">
        <v>34</v>
      </c>
      <c r="E239" s="22">
        <v>46</v>
      </c>
      <c r="F239" s="22">
        <v>4</v>
      </c>
      <c r="G239" s="22">
        <v>4</v>
      </c>
      <c r="H239" s="22"/>
      <c r="I239" s="23" t="s">
        <v>36</v>
      </c>
      <c r="J239" s="23"/>
      <c r="K239" s="22"/>
      <c r="L239" s="22"/>
      <c r="M239" s="23"/>
      <c r="N239" s="23"/>
      <c r="O239" s="26" t="s">
        <v>602</v>
      </c>
      <c r="P239" s="26"/>
      <c r="Q239" s="26"/>
      <c r="R239" s="22">
        <v>38</v>
      </c>
      <c r="S239" s="24">
        <v>45847</v>
      </c>
      <c r="T239" s="24">
        <v>45852</v>
      </c>
      <c r="U239" s="24">
        <v>45862</v>
      </c>
      <c r="V239" s="24">
        <v>45863</v>
      </c>
      <c r="W239" s="24">
        <v>45866</v>
      </c>
      <c r="X239" s="22" t="s">
        <v>224</v>
      </c>
      <c r="Y239" s="4" t="str">
        <f>IF(Tabela2[[#This Row],[SIGLA]]="","",VLOOKUP(Tabela2[[#This Row],[SIGLA]],Tabela1[[#All],[Sigla Arte]:[Crédito]],2,0))</f>
        <v>ANA KOZUKI/ARQUIVO DA EDITORA</v>
      </c>
      <c r="Z239" s="23"/>
      <c r="AA239" s="23" t="str">
        <f>Tabela2[[#This Row],[ILUSTRADOR CRIAÇÃO]]</f>
        <v>ANA KOZUKI/ARQUIVO DA EDITORA</v>
      </c>
      <c r="AB239" s="22">
        <v>4</v>
      </c>
      <c r="AC239" s="20" t="s">
        <v>596</v>
      </c>
      <c r="AD239" s="20" t="s">
        <v>40</v>
      </c>
      <c r="AE239" s="4" t="str">
        <f t="shared" si="3"/>
        <v>EF1 E002 Ing</v>
      </c>
    </row>
    <row r="240" spans="1:31" s="12" customFormat="1" ht="60" x14ac:dyDescent="0.25">
      <c r="A240" s="23" t="s">
        <v>603</v>
      </c>
      <c r="B240" s="20" t="s">
        <v>32</v>
      </c>
      <c r="C240" s="20" t="s">
        <v>33</v>
      </c>
      <c r="D240" s="20" t="s">
        <v>34</v>
      </c>
      <c r="E240" s="22">
        <v>46</v>
      </c>
      <c r="F240" s="22">
        <v>4</v>
      </c>
      <c r="G240" s="22">
        <v>4</v>
      </c>
      <c r="H240" s="22"/>
      <c r="I240" s="23" t="s">
        <v>36</v>
      </c>
      <c r="J240" s="23"/>
      <c r="K240" s="22"/>
      <c r="L240" s="22"/>
      <c r="M240" s="23"/>
      <c r="N240" s="23"/>
      <c r="O240" s="26" t="s">
        <v>604</v>
      </c>
      <c r="P240" s="26"/>
      <c r="Q240" s="26"/>
      <c r="R240" s="22">
        <v>38</v>
      </c>
      <c r="S240" s="24">
        <v>45847</v>
      </c>
      <c r="T240" s="24">
        <v>45852</v>
      </c>
      <c r="U240" s="24">
        <v>45862</v>
      </c>
      <c r="V240" s="24">
        <v>45863</v>
      </c>
      <c r="W240" s="24">
        <v>45866</v>
      </c>
      <c r="X240" s="22" t="s">
        <v>224</v>
      </c>
      <c r="Y240" s="4" t="str">
        <f>IF(Tabela2[[#This Row],[SIGLA]]="","",VLOOKUP(Tabela2[[#This Row],[SIGLA]],Tabela1[[#All],[Sigla Arte]:[Crédito]],2,0))</f>
        <v>ANA KOZUKI/ARQUIVO DA EDITORA</v>
      </c>
      <c r="Z240" s="23"/>
      <c r="AA240" s="23" t="str">
        <f>Tabela2[[#This Row],[ILUSTRADOR CRIAÇÃO]]</f>
        <v>ANA KOZUKI/ARQUIVO DA EDITORA</v>
      </c>
      <c r="AB240" s="22">
        <v>5</v>
      </c>
      <c r="AC240" s="20" t="s">
        <v>596</v>
      </c>
      <c r="AD240" s="20" t="s">
        <v>40</v>
      </c>
      <c r="AE240" s="4" t="str">
        <f t="shared" si="3"/>
        <v>EF1 E002 Ing</v>
      </c>
    </row>
    <row r="241" spans="1:31" s="12" customFormat="1" ht="60" x14ac:dyDescent="0.25">
      <c r="A241" s="23" t="s">
        <v>605</v>
      </c>
      <c r="B241" s="20" t="s">
        <v>32</v>
      </c>
      <c r="C241" s="20" t="s">
        <v>33</v>
      </c>
      <c r="D241" s="20" t="s">
        <v>34</v>
      </c>
      <c r="E241" s="22">
        <v>46</v>
      </c>
      <c r="F241" s="22">
        <v>4</v>
      </c>
      <c r="G241" s="22">
        <v>4</v>
      </c>
      <c r="H241" s="22"/>
      <c r="I241" s="23" t="s">
        <v>36</v>
      </c>
      <c r="J241" s="23"/>
      <c r="K241" s="22"/>
      <c r="L241" s="22"/>
      <c r="M241" s="23"/>
      <c r="N241" s="23"/>
      <c r="O241" s="26" t="s">
        <v>606</v>
      </c>
      <c r="P241" s="26"/>
      <c r="Q241" s="26"/>
      <c r="R241" s="22">
        <v>38</v>
      </c>
      <c r="S241" s="24">
        <v>45847</v>
      </c>
      <c r="T241" s="24">
        <v>45852</v>
      </c>
      <c r="U241" s="24">
        <v>45862</v>
      </c>
      <c r="V241" s="24">
        <v>45863</v>
      </c>
      <c r="W241" s="24">
        <v>45866</v>
      </c>
      <c r="X241" s="22" t="s">
        <v>224</v>
      </c>
      <c r="Y241" s="4" t="str">
        <f>IF(Tabela2[[#This Row],[SIGLA]]="","",VLOOKUP(Tabela2[[#This Row],[SIGLA]],Tabela1[[#All],[Sigla Arte]:[Crédito]],2,0))</f>
        <v>ANA KOZUKI/ARQUIVO DA EDITORA</v>
      </c>
      <c r="Z241" s="23"/>
      <c r="AA241" s="23" t="str">
        <f>Tabela2[[#This Row],[ILUSTRADOR CRIAÇÃO]]</f>
        <v>ANA KOZUKI/ARQUIVO DA EDITORA</v>
      </c>
      <c r="AB241" s="22">
        <v>6</v>
      </c>
      <c r="AC241" s="20" t="s">
        <v>596</v>
      </c>
      <c r="AD241" s="20" t="s">
        <v>40</v>
      </c>
      <c r="AE241" s="4" t="str">
        <f t="shared" si="3"/>
        <v>EF1 E002 Ing</v>
      </c>
    </row>
    <row r="242" spans="1:31" s="12" customFormat="1" ht="90" x14ac:dyDescent="0.25">
      <c r="A242" s="23" t="s">
        <v>607</v>
      </c>
      <c r="B242" s="20" t="s">
        <v>32</v>
      </c>
      <c r="C242" s="20" t="s">
        <v>33</v>
      </c>
      <c r="D242" s="20" t="s">
        <v>34</v>
      </c>
      <c r="E242" s="22">
        <v>46</v>
      </c>
      <c r="F242" s="22">
        <v>4</v>
      </c>
      <c r="G242" s="22">
        <v>4</v>
      </c>
      <c r="H242" s="22"/>
      <c r="I242" s="23" t="s">
        <v>36</v>
      </c>
      <c r="J242" s="23"/>
      <c r="K242" s="22"/>
      <c r="L242" s="22"/>
      <c r="M242" s="23"/>
      <c r="N242" s="23"/>
      <c r="O242" s="26" t="s">
        <v>608</v>
      </c>
      <c r="P242" s="26"/>
      <c r="Q242" s="26"/>
      <c r="R242" s="22">
        <v>38</v>
      </c>
      <c r="S242" s="24">
        <v>45847</v>
      </c>
      <c r="T242" s="24">
        <v>45852</v>
      </c>
      <c r="U242" s="24">
        <v>45862</v>
      </c>
      <c r="V242" s="24">
        <v>45863</v>
      </c>
      <c r="W242" s="24">
        <v>45866</v>
      </c>
      <c r="X242" s="22" t="s">
        <v>224</v>
      </c>
      <c r="Y242" s="4" t="str">
        <f>IF(Tabela2[[#This Row],[SIGLA]]="","",VLOOKUP(Tabela2[[#This Row],[SIGLA]],Tabela1[[#All],[Sigla Arte]:[Crédito]],2,0))</f>
        <v>ANA KOZUKI/ARQUIVO DA EDITORA</v>
      </c>
      <c r="Z242" s="23"/>
      <c r="AA242" s="23" t="str">
        <f>Tabela2[[#This Row],[ILUSTRADOR CRIAÇÃO]]</f>
        <v>ANA KOZUKI/ARQUIVO DA EDITORA</v>
      </c>
      <c r="AB242" s="22">
        <v>5</v>
      </c>
      <c r="AC242" s="20" t="s">
        <v>596</v>
      </c>
      <c r="AD242" s="20" t="s">
        <v>40</v>
      </c>
      <c r="AE242" s="4" t="str">
        <f t="shared" si="3"/>
        <v>EF1 E002 Ing</v>
      </c>
    </row>
    <row r="243" spans="1:31" s="12" customFormat="1" ht="105" x14ac:dyDescent="0.25">
      <c r="A243" s="23" t="s">
        <v>609</v>
      </c>
      <c r="B243" s="20" t="s">
        <v>32</v>
      </c>
      <c r="C243" s="20" t="s">
        <v>33</v>
      </c>
      <c r="D243" s="20" t="s">
        <v>34</v>
      </c>
      <c r="E243" s="22">
        <v>46</v>
      </c>
      <c r="F243" s="22">
        <v>4</v>
      </c>
      <c r="G243" s="22">
        <v>4</v>
      </c>
      <c r="H243" s="22"/>
      <c r="I243" s="23" t="s">
        <v>36</v>
      </c>
      <c r="J243" s="23"/>
      <c r="K243" s="22"/>
      <c r="L243" s="22"/>
      <c r="M243" s="23"/>
      <c r="N243" s="23"/>
      <c r="O243" s="26" t="s">
        <v>610</v>
      </c>
      <c r="P243" s="26"/>
      <c r="Q243" s="26"/>
      <c r="R243" s="22">
        <v>38</v>
      </c>
      <c r="S243" s="24">
        <v>45847</v>
      </c>
      <c r="T243" s="24">
        <v>45852</v>
      </c>
      <c r="U243" s="24">
        <v>45862</v>
      </c>
      <c r="V243" s="24">
        <v>45863</v>
      </c>
      <c r="W243" s="24">
        <v>45866</v>
      </c>
      <c r="X243" s="22" t="s">
        <v>224</v>
      </c>
      <c r="Y243" s="4" t="str">
        <f>IF(Tabela2[[#This Row],[SIGLA]]="","",VLOOKUP(Tabela2[[#This Row],[SIGLA]],Tabela1[[#All],[Sigla Arte]:[Crédito]],2,0))</f>
        <v>ANA KOZUKI/ARQUIVO DA EDITORA</v>
      </c>
      <c r="Z243" s="23"/>
      <c r="AA243" s="23" t="str">
        <f>Tabela2[[#This Row],[ILUSTRADOR CRIAÇÃO]]</f>
        <v>ANA KOZUKI/ARQUIVO DA EDITORA</v>
      </c>
      <c r="AB243" s="22">
        <v>5</v>
      </c>
      <c r="AC243" s="20" t="s">
        <v>596</v>
      </c>
      <c r="AD243" s="20" t="s">
        <v>40</v>
      </c>
      <c r="AE243" s="4" t="str">
        <f t="shared" si="3"/>
        <v>EF1 E002 Ing</v>
      </c>
    </row>
    <row r="244" spans="1:31" s="12" customFormat="1" ht="75" x14ac:dyDescent="0.25">
      <c r="A244" s="23" t="s">
        <v>611</v>
      </c>
      <c r="B244" s="20" t="s">
        <v>32</v>
      </c>
      <c r="C244" s="20" t="s">
        <v>33</v>
      </c>
      <c r="D244" s="20" t="s">
        <v>34</v>
      </c>
      <c r="E244" s="22">
        <v>47</v>
      </c>
      <c r="F244" s="22">
        <v>4</v>
      </c>
      <c r="G244" s="22">
        <v>4</v>
      </c>
      <c r="H244" s="22"/>
      <c r="I244" s="23" t="s">
        <v>36</v>
      </c>
      <c r="J244" s="23"/>
      <c r="K244" s="22"/>
      <c r="L244" s="22"/>
      <c r="M244" s="23"/>
      <c r="N244" s="23"/>
      <c r="O244" s="26" t="s">
        <v>612</v>
      </c>
      <c r="P244" s="26"/>
      <c r="Q244" s="26"/>
      <c r="R244" s="22">
        <v>38</v>
      </c>
      <c r="S244" s="24">
        <v>45847</v>
      </c>
      <c r="T244" s="24">
        <v>45852</v>
      </c>
      <c r="U244" s="24">
        <v>45862</v>
      </c>
      <c r="V244" s="24">
        <v>45863</v>
      </c>
      <c r="W244" s="24">
        <v>45866</v>
      </c>
      <c r="X244" s="22" t="s">
        <v>224</v>
      </c>
      <c r="Y244" s="4" t="str">
        <f>IF(Tabela2[[#This Row],[SIGLA]]="","",VLOOKUP(Tabela2[[#This Row],[SIGLA]],Tabela1[[#All],[Sigla Arte]:[Crédito]],2,0))</f>
        <v>ANA KOZUKI/ARQUIVO DA EDITORA</v>
      </c>
      <c r="Z244" s="23"/>
      <c r="AA244" s="23" t="str">
        <f>Tabela2[[#This Row],[ILUSTRADOR CRIAÇÃO]]</f>
        <v>ANA KOZUKI/ARQUIVO DA EDITORA</v>
      </c>
      <c r="AB244" s="22">
        <v>5</v>
      </c>
      <c r="AC244" s="20" t="s">
        <v>596</v>
      </c>
      <c r="AD244" s="20" t="s">
        <v>40</v>
      </c>
      <c r="AE244" s="4" t="str">
        <f t="shared" si="3"/>
        <v>EF1 E002 Ing</v>
      </c>
    </row>
    <row r="245" spans="1:31" s="12" customFormat="1" ht="60" x14ac:dyDescent="0.25">
      <c r="A245" s="23" t="s">
        <v>613</v>
      </c>
      <c r="B245" s="20" t="s">
        <v>32</v>
      </c>
      <c r="C245" s="20" t="s">
        <v>33</v>
      </c>
      <c r="D245" s="20" t="s">
        <v>34</v>
      </c>
      <c r="E245" s="22">
        <v>47</v>
      </c>
      <c r="F245" s="22">
        <v>4</v>
      </c>
      <c r="G245" s="22">
        <v>4</v>
      </c>
      <c r="H245" s="22"/>
      <c r="I245" s="23" t="s">
        <v>36</v>
      </c>
      <c r="J245" s="23"/>
      <c r="K245" s="22"/>
      <c r="L245" s="22"/>
      <c r="M245" s="23"/>
      <c r="N245" s="23"/>
      <c r="O245" s="26" t="s">
        <v>614</v>
      </c>
      <c r="P245" s="26"/>
      <c r="Q245" s="26"/>
      <c r="R245" s="22">
        <v>38</v>
      </c>
      <c r="S245" s="24">
        <v>45847</v>
      </c>
      <c r="T245" s="24">
        <v>45852</v>
      </c>
      <c r="U245" s="24">
        <v>45862</v>
      </c>
      <c r="V245" s="24">
        <v>45863</v>
      </c>
      <c r="W245" s="24">
        <v>45866</v>
      </c>
      <c r="X245" s="22" t="s">
        <v>224</v>
      </c>
      <c r="Y245" s="4" t="str">
        <f>IF(Tabela2[[#This Row],[SIGLA]]="","",VLOOKUP(Tabela2[[#This Row],[SIGLA]],Tabela1[[#All],[Sigla Arte]:[Crédito]],2,0))</f>
        <v>ANA KOZUKI/ARQUIVO DA EDITORA</v>
      </c>
      <c r="Z245" s="23"/>
      <c r="AA245" s="23" t="str">
        <f>Tabela2[[#This Row],[ILUSTRADOR CRIAÇÃO]]</f>
        <v>ANA KOZUKI/ARQUIVO DA EDITORA</v>
      </c>
      <c r="AB245" s="22">
        <v>5</v>
      </c>
      <c r="AC245" s="20" t="s">
        <v>596</v>
      </c>
      <c r="AD245" s="20" t="s">
        <v>40</v>
      </c>
      <c r="AE245" s="4" t="str">
        <f t="shared" si="3"/>
        <v>EF1 E002 Ing</v>
      </c>
    </row>
    <row r="246" spans="1:31" s="12" customFormat="1" ht="60" x14ac:dyDescent="0.25">
      <c r="A246" s="23" t="s">
        <v>615</v>
      </c>
      <c r="B246" s="20" t="s">
        <v>32</v>
      </c>
      <c r="C246" s="20" t="s">
        <v>33</v>
      </c>
      <c r="D246" s="20" t="s">
        <v>34</v>
      </c>
      <c r="E246" s="22">
        <v>47</v>
      </c>
      <c r="F246" s="22">
        <v>4</v>
      </c>
      <c r="G246" s="22">
        <v>4</v>
      </c>
      <c r="H246" s="22"/>
      <c r="I246" s="23" t="s">
        <v>36</v>
      </c>
      <c r="J246" s="23"/>
      <c r="K246" s="22"/>
      <c r="L246" s="22"/>
      <c r="M246" s="23"/>
      <c r="N246" s="23"/>
      <c r="O246" s="26" t="s">
        <v>616</v>
      </c>
      <c r="P246" s="26"/>
      <c r="Q246" s="26"/>
      <c r="R246" s="22">
        <v>38</v>
      </c>
      <c r="S246" s="24">
        <v>45847</v>
      </c>
      <c r="T246" s="24">
        <v>45852</v>
      </c>
      <c r="U246" s="24">
        <v>45862</v>
      </c>
      <c r="V246" s="24">
        <v>45863</v>
      </c>
      <c r="W246" s="24">
        <v>45866</v>
      </c>
      <c r="X246" s="22" t="s">
        <v>224</v>
      </c>
      <c r="Y246" s="4" t="str">
        <f>IF(Tabela2[[#This Row],[SIGLA]]="","",VLOOKUP(Tabela2[[#This Row],[SIGLA]],Tabela1[[#All],[Sigla Arte]:[Crédito]],2,0))</f>
        <v>ANA KOZUKI/ARQUIVO DA EDITORA</v>
      </c>
      <c r="Z246" s="23"/>
      <c r="AA246" s="23" t="str">
        <f>Tabela2[[#This Row],[ILUSTRADOR CRIAÇÃO]]</f>
        <v>ANA KOZUKI/ARQUIVO DA EDITORA</v>
      </c>
      <c r="AB246" s="22">
        <v>5</v>
      </c>
      <c r="AC246" s="20" t="s">
        <v>596</v>
      </c>
      <c r="AD246" s="20" t="s">
        <v>40</v>
      </c>
      <c r="AE246" s="4" t="str">
        <f t="shared" si="3"/>
        <v>EF1 E002 Ing</v>
      </c>
    </row>
    <row r="247" spans="1:31" s="12" customFormat="1" ht="75" x14ac:dyDescent="0.25">
      <c r="A247" s="23" t="s">
        <v>617</v>
      </c>
      <c r="B247" s="20" t="s">
        <v>32</v>
      </c>
      <c r="C247" s="20" t="s">
        <v>33</v>
      </c>
      <c r="D247" s="20" t="s">
        <v>34</v>
      </c>
      <c r="E247" s="22">
        <v>48</v>
      </c>
      <c r="F247" s="22">
        <v>4</v>
      </c>
      <c r="G247" s="22">
        <v>4</v>
      </c>
      <c r="H247" s="22"/>
      <c r="I247" s="23" t="s">
        <v>36</v>
      </c>
      <c r="J247" s="23"/>
      <c r="K247" s="22"/>
      <c r="L247" s="22"/>
      <c r="M247" s="23"/>
      <c r="N247" s="23"/>
      <c r="O247" s="26" t="s">
        <v>618</v>
      </c>
      <c r="P247" s="26"/>
      <c r="Q247" s="26"/>
      <c r="R247" s="22">
        <v>38</v>
      </c>
      <c r="S247" s="24">
        <v>45847</v>
      </c>
      <c r="T247" s="24">
        <v>45852</v>
      </c>
      <c r="U247" s="24">
        <v>45862</v>
      </c>
      <c r="V247" s="24">
        <v>45863</v>
      </c>
      <c r="W247" s="24">
        <v>45866</v>
      </c>
      <c r="X247" s="22" t="s">
        <v>122</v>
      </c>
      <c r="Y247" s="4" t="str">
        <f>IF(Tabela2[[#This Row],[SIGLA]]="","",VLOOKUP(Tabela2[[#This Row],[SIGLA]],Tabela1[[#All],[Sigla Arte]:[Crédito]],2,0))</f>
        <v>THAMIRES PAREDES/ARQUIVO DA EDITORA</v>
      </c>
      <c r="Z247" s="23"/>
      <c r="AA247" s="23" t="str">
        <f>Tabela2[[#This Row],[ILUSTRADOR CRIAÇÃO]]</f>
        <v>THAMIRES PAREDES/ARQUIVO DA EDITORA</v>
      </c>
      <c r="AB247" s="22">
        <v>5</v>
      </c>
      <c r="AC247" s="20" t="s">
        <v>619</v>
      </c>
      <c r="AD247" s="20" t="s">
        <v>40</v>
      </c>
      <c r="AE247" s="4" t="str">
        <f t="shared" si="3"/>
        <v>EF1 E002 Ing</v>
      </c>
    </row>
    <row r="248" spans="1:31" s="12" customFormat="1" ht="60" x14ac:dyDescent="0.25">
      <c r="A248" s="23" t="s">
        <v>620</v>
      </c>
      <c r="B248" s="20" t="s">
        <v>32</v>
      </c>
      <c r="C248" s="20" t="s">
        <v>33</v>
      </c>
      <c r="D248" s="20" t="s">
        <v>34</v>
      </c>
      <c r="E248" s="22">
        <v>48</v>
      </c>
      <c r="F248" s="22">
        <v>4</v>
      </c>
      <c r="G248" s="22">
        <v>4</v>
      </c>
      <c r="H248" s="22"/>
      <c r="I248" s="23" t="s">
        <v>36</v>
      </c>
      <c r="J248" s="23"/>
      <c r="K248" s="22"/>
      <c r="L248" s="22"/>
      <c r="M248" s="23"/>
      <c r="N248" s="23"/>
      <c r="O248" s="26" t="s">
        <v>621</v>
      </c>
      <c r="P248" s="26"/>
      <c r="Q248" s="26"/>
      <c r="R248" s="22">
        <v>38</v>
      </c>
      <c r="S248" s="24">
        <v>45847</v>
      </c>
      <c r="T248" s="24">
        <v>45852</v>
      </c>
      <c r="U248" s="24">
        <v>45862</v>
      </c>
      <c r="V248" s="24">
        <v>45863</v>
      </c>
      <c r="W248" s="24">
        <v>45866</v>
      </c>
      <c r="X248" s="22" t="s">
        <v>122</v>
      </c>
      <c r="Y248" s="4" t="str">
        <f>IF(Tabela2[[#This Row],[SIGLA]]="","",VLOOKUP(Tabela2[[#This Row],[SIGLA]],Tabela1[[#All],[Sigla Arte]:[Crédito]],2,0))</f>
        <v>THAMIRES PAREDES/ARQUIVO DA EDITORA</v>
      </c>
      <c r="Z248" s="23"/>
      <c r="AA248" s="23" t="str">
        <f>Tabela2[[#This Row],[ILUSTRADOR CRIAÇÃO]]</f>
        <v>THAMIRES PAREDES/ARQUIVO DA EDITORA</v>
      </c>
      <c r="AB248" s="22">
        <v>5</v>
      </c>
      <c r="AC248" s="20" t="s">
        <v>619</v>
      </c>
      <c r="AD248" s="20" t="s">
        <v>40</v>
      </c>
      <c r="AE248" s="4" t="str">
        <f t="shared" si="3"/>
        <v>EF1 E002 Ing</v>
      </c>
    </row>
    <row r="249" spans="1:31" s="12" customFormat="1" ht="45" x14ac:dyDescent="0.25">
      <c r="A249" s="23" t="s">
        <v>622</v>
      </c>
      <c r="B249" s="20" t="s">
        <v>32</v>
      </c>
      <c r="C249" s="20" t="s">
        <v>33</v>
      </c>
      <c r="D249" s="20" t="s">
        <v>34</v>
      </c>
      <c r="E249" s="22">
        <v>48</v>
      </c>
      <c r="F249" s="22">
        <v>4</v>
      </c>
      <c r="G249" s="22">
        <v>4</v>
      </c>
      <c r="H249" s="22"/>
      <c r="I249" s="23" t="s">
        <v>36</v>
      </c>
      <c r="J249" s="23"/>
      <c r="K249" s="22"/>
      <c r="L249" s="22"/>
      <c r="M249" s="23"/>
      <c r="N249" s="23"/>
      <c r="O249" s="26" t="s">
        <v>623</v>
      </c>
      <c r="P249" s="26"/>
      <c r="Q249" s="26"/>
      <c r="R249" s="22">
        <v>38</v>
      </c>
      <c r="S249" s="24">
        <v>45847</v>
      </c>
      <c r="T249" s="24">
        <v>45852</v>
      </c>
      <c r="U249" s="24">
        <v>45862</v>
      </c>
      <c r="V249" s="24">
        <v>45863</v>
      </c>
      <c r="W249" s="24">
        <v>45866</v>
      </c>
      <c r="X249" s="22" t="s">
        <v>122</v>
      </c>
      <c r="Y249" s="4" t="str">
        <f>IF(Tabela2[[#This Row],[SIGLA]]="","",VLOOKUP(Tabela2[[#This Row],[SIGLA]],Tabela1[[#All],[Sigla Arte]:[Crédito]],2,0))</f>
        <v>THAMIRES PAREDES/ARQUIVO DA EDITORA</v>
      </c>
      <c r="Z249" s="23"/>
      <c r="AA249" s="23" t="str">
        <f>Tabela2[[#This Row],[ILUSTRADOR CRIAÇÃO]]</f>
        <v>THAMIRES PAREDES/ARQUIVO DA EDITORA</v>
      </c>
      <c r="AB249" s="22">
        <v>5</v>
      </c>
      <c r="AC249" s="20" t="s">
        <v>619</v>
      </c>
      <c r="AD249" s="20" t="s">
        <v>40</v>
      </c>
      <c r="AE249" s="4" t="str">
        <f t="shared" si="3"/>
        <v>EF1 E002 Ing</v>
      </c>
    </row>
    <row r="250" spans="1:31" s="12" customFormat="1" ht="45" x14ac:dyDescent="0.25">
      <c r="A250" s="23" t="s">
        <v>624</v>
      </c>
      <c r="B250" s="20" t="s">
        <v>32</v>
      </c>
      <c r="C250" s="20" t="s">
        <v>33</v>
      </c>
      <c r="D250" s="20" t="s">
        <v>34</v>
      </c>
      <c r="E250" s="22">
        <v>48</v>
      </c>
      <c r="F250" s="22">
        <v>4</v>
      </c>
      <c r="G250" s="22">
        <v>4</v>
      </c>
      <c r="H250" s="22"/>
      <c r="I250" s="23" t="s">
        <v>36</v>
      </c>
      <c r="J250" s="23"/>
      <c r="K250" s="22"/>
      <c r="L250" s="22"/>
      <c r="M250" s="23"/>
      <c r="N250" s="23"/>
      <c r="O250" s="26" t="s">
        <v>625</v>
      </c>
      <c r="P250" s="26"/>
      <c r="Q250" s="26"/>
      <c r="R250" s="22">
        <v>38</v>
      </c>
      <c r="S250" s="24">
        <v>45847</v>
      </c>
      <c r="T250" s="24">
        <v>45852</v>
      </c>
      <c r="U250" s="24">
        <v>45862</v>
      </c>
      <c r="V250" s="24">
        <v>45863</v>
      </c>
      <c r="W250" s="24">
        <v>45866</v>
      </c>
      <c r="X250" s="22" t="s">
        <v>122</v>
      </c>
      <c r="Y250" s="4" t="str">
        <f>IF(Tabela2[[#This Row],[SIGLA]]="","",VLOOKUP(Tabela2[[#This Row],[SIGLA]],Tabela1[[#All],[Sigla Arte]:[Crédito]],2,0))</f>
        <v>THAMIRES PAREDES/ARQUIVO DA EDITORA</v>
      </c>
      <c r="Z250" s="23"/>
      <c r="AA250" s="23" t="str">
        <f>Tabela2[[#This Row],[ILUSTRADOR CRIAÇÃO]]</f>
        <v>THAMIRES PAREDES/ARQUIVO DA EDITORA</v>
      </c>
      <c r="AB250" s="22">
        <v>5</v>
      </c>
      <c r="AC250" s="20" t="s">
        <v>619</v>
      </c>
      <c r="AD250" s="20" t="s">
        <v>40</v>
      </c>
      <c r="AE250" s="4" t="str">
        <f t="shared" si="3"/>
        <v>EF1 E002 Ing</v>
      </c>
    </row>
    <row r="251" spans="1:31" s="12" customFormat="1" ht="45" x14ac:dyDescent="0.25">
      <c r="A251" s="23" t="s">
        <v>626</v>
      </c>
      <c r="B251" s="20" t="s">
        <v>32</v>
      </c>
      <c r="C251" s="20" t="s">
        <v>33</v>
      </c>
      <c r="D251" s="20" t="s">
        <v>34</v>
      </c>
      <c r="E251" s="22">
        <v>48</v>
      </c>
      <c r="F251" s="22">
        <v>4</v>
      </c>
      <c r="G251" s="22">
        <v>4</v>
      </c>
      <c r="H251" s="22"/>
      <c r="I251" s="23" t="s">
        <v>36</v>
      </c>
      <c r="J251" s="23"/>
      <c r="K251" s="22"/>
      <c r="L251" s="22"/>
      <c r="M251" s="23"/>
      <c r="N251" s="23"/>
      <c r="O251" s="26" t="s">
        <v>627</v>
      </c>
      <c r="P251" s="26"/>
      <c r="Q251" s="26"/>
      <c r="R251" s="22">
        <v>38</v>
      </c>
      <c r="S251" s="24">
        <v>45847</v>
      </c>
      <c r="T251" s="24">
        <v>45852</v>
      </c>
      <c r="U251" s="24">
        <v>45862</v>
      </c>
      <c r="V251" s="24">
        <v>45863</v>
      </c>
      <c r="W251" s="24">
        <v>45866</v>
      </c>
      <c r="X251" s="22" t="s">
        <v>122</v>
      </c>
      <c r="Y251" s="4" t="str">
        <f>IF(Tabela2[[#This Row],[SIGLA]]="","",VLOOKUP(Tabela2[[#This Row],[SIGLA]],Tabela1[[#All],[Sigla Arte]:[Crédito]],2,0))</f>
        <v>THAMIRES PAREDES/ARQUIVO DA EDITORA</v>
      </c>
      <c r="Z251" s="23"/>
      <c r="AA251" s="23" t="str">
        <f>Tabela2[[#This Row],[ILUSTRADOR CRIAÇÃO]]</f>
        <v>THAMIRES PAREDES/ARQUIVO DA EDITORA</v>
      </c>
      <c r="AB251" s="22">
        <v>5</v>
      </c>
      <c r="AC251" s="20" t="s">
        <v>619</v>
      </c>
      <c r="AD251" s="20" t="s">
        <v>40</v>
      </c>
      <c r="AE251" s="4" t="str">
        <f t="shared" si="3"/>
        <v>EF1 E002 Ing</v>
      </c>
    </row>
    <row r="252" spans="1:31" s="12" customFormat="1" ht="45" x14ac:dyDescent="0.25">
      <c r="A252" s="23" t="s">
        <v>628</v>
      </c>
      <c r="B252" s="20" t="s">
        <v>32</v>
      </c>
      <c r="C252" s="20" t="s">
        <v>33</v>
      </c>
      <c r="D252" s="20" t="s">
        <v>34</v>
      </c>
      <c r="E252" s="22">
        <v>48</v>
      </c>
      <c r="F252" s="22">
        <v>4</v>
      </c>
      <c r="G252" s="22">
        <v>4</v>
      </c>
      <c r="H252" s="22"/>
      <c r="I252" s="23" t="s">
        <v>36</v>
      </c>
      <c r="J252" s="23"/>
      <c r="K252" s="22"/>
      <c r="L252" s="22"/>
      <c r="M252" s="23"/>
      <c r="N252" s="23"/>
      <c r="O252" s="26" t="s">
        <v>629</v>
      </c>
      <c r="P252" s="26"/>
      <c r="Q252" s="26"/>
      <c r="R252" s="22">
        <v>38</v>
      </c>
      <c r="S252" s="24">
        <v>45847</v>
      </c>
      <c r="T252" s="24">
        <v>45852</v>
      </c>
      <c r="U252" s="24">
        <v>45862</v>
      </c>
      <c r="V252" s="24">
        <v>45863</v>
      </c>
      <c r="W252" s="24">
        <v>45866</v>
      </c>
      <c r="X252" s="22" t="s">
        <v>122</v>
      </c>
      <c r="Y252" s="4" t="str">
        <f>IF(Tabela2[[#This Row],[SIGLA]]="","",VLOOKUP(Tabela2[[#This Row],[SIGLA]],Tabela1[[#All],[Sigla Arte]:[Crédito]],2,0))</f>
        <v>THAMIRES PAREDES/ARQUIVO DA EDITORA</v>
      </c>
      <c r="Z252" s="23"/>
      <c r="AA252" s="23" t="str">
        <f>Tabela2[[#This Row],[ILUSTRADOR CRIAÇÃO]]</f>
        <v>THAMIRES PAREDES/ARQUIVO DA EDITORA</v>
      </c>
      <c r="AB252" s="22">
        <v>5</v>
      </c>
      <c r="AC252" s="20" t="s">
        <v>619</v>
      </c>
      <c r="AD252" s="20" t="s">
        <v>40</v>
      </c>
      <c r="AE252" s="4" t="str">
        <f t="shared" si="3"/>
        <v>EF1 E002 Ing</v>
      </c>
    </row>
    <row r="253" spans="1:31" s="12" customFormat="1" ht="75" x14ac:dyDescent="0.25">
      <c r="A253" s="23" t="s">
        <v>630</v>
      </c>
      <c r="B253" s="20" t="s">
        <v>32</v>
      </c>
      <c r="C253" s="20" t="s">
        <v>33</v>
      </c>
      <c r="D253" s="20" t="s">
        <v>34</v>
      </c>
      <c r="E253" s="22">
        <v>48</v>
      </c>
      <c r="F253" s="22">
        <v>4</v>
      </c>
      <c r="G253" s="22">
        <v>4</v>
      </c>
      <c r="H253" s="22"/>
      <c r="I253" s="23" t="s">
        <v>36</v>
      </c>
      <c r="J253" s="23"/>
      <c r="K253" s="22"/>
      <c r="L253" s="22"/>
      <c r="M253" s="23"/>
      <c r="N253" s="23"/>
      <c r="O253" s="26" t="s">
        <v>631</v>
      </c>
      <c r="P253" s="26"/>
      <c r="Q253" s="26"/>
      <c r="R253" s="22">
        <v>38</v>
      </c>
      <c r="S253" s="24">
        <v>45847</v>
      </c>
      <c r="T253" s="24">
        <v>45852</v>
      </c>
      <c r="U253" s="24">
        <v>45862</v>
      </c>
      <c r="V253" s="24">
        <v>45863</v>
      </c>
      <c r="W253" s="24">
        <v>45866</v>
      </c>
      <c r="X253" s="22" t="s">
        <v>122</v>
      </c>
      <c r="Y253" s="4" t="str">
        <f>IF(Tabela2[[#This Row],[SIGLA]]="","",VLOOKUP(Tabela2[[#This Row],[SIGLA]],Tabela1[[#All],[Sigla Arte]:[Crédito]],2,0))</f>
        <v>THAMIRES PAREDES/ARQUIVO DA EDITORA</v>
      </c>
      <c r="Z253" s="23"/>
      <c r="AA253" s="23" t="str">
        <f>Tabela2[[#This Row],[ILUSTRADOR CRIAÇÃO]]</f>
        <v>THAMIRES PAREDES/ARQUIVO DA EDITORA</v>
      </c>
      <c r="AB253" s="22">
        <v>5</v>
      </c>
      <c r="AC253" s="20" t="s">
        <v>619</v>
      </c>
      <c r="AD253" s="20" t="s">
        <v>40</v>
      </c>
      <c r="AE253" s="4" t="str">
        <f t="shared" si="3"/>
        <v>EF1 E002 Ing</v>
      </c>
    </row>
    <row r="254" spans="1:31" s="12" customFormat="1" ht="90" x14ac:dyDescent="0.25">
      <c r="A254" s="23" t="s">
        <v>632</v>
      </c>
      <c r="B254" s="20" t="s">
        <v>32</v>
      </c>
      <c r="C254" s="20" t="s">
        <v>33</v>
      </c>
      <c r="D254" s="20" t="s">
        <v>34</v>
      </c>
      <c r="E254" s="22">
        <v>48</v>
      </c>
      <c r="F254" s="22">
        <v>4</v>
      </c>
      <c r="G254" s="22">
        <v>4</v>
      </c>
      <c r="H254" s="22"/>
      <c r="I254" s="23" t="s">
        <v>36</v>
      </c>
      <c r="J254" s="23"/>
      <c r="K254" s="22"/>
      <c r="L254" s="22"/>
      <c r="M254" s="23"/>
      <c r="N254" s="23"/>
      <c r="O254" s="26" t="s">
        <v>633</v>
      </c>
      <c r="P254" s="26"/>
      <c r="Q254" s="26"/>
      <c r="R254" s="22">
        <v>38</v>
      </c>
      <c r="S254" s="24">
        <v>45847</v>
      </c>
      <c r="T254" s="24">
        <v>45852</v>
      </c>
      <c r="U254" s="24">
        <v>45862</v>
      </c>
      <c r="V254" s="24">
        <v>45863</v>
      </c>
      <c r="W254" s="24">
        <v>45866</v>
      </c>
      <c r="X254" s="22" t="s">
        <v>122</v>
      </c>
      <c r="Y254" s="4" t="str">
        <f>IF(Tabela2[[#This Row],[SIGLA]]="","",VLOOKUP(Tabela2[[#This Row],[SIGLA]],Tabela1[[#All],[Sigla Arte]:[Crédito]],2,0))</f>
        <v>THAMIRES PAREDES/ARQUIVO DA EDITORA</v>
      </c>
      <c r="Z254" s="23"/>
      <c r="AA254" s="23" t="str">
        <f>Tabela2[[#This Row],[ILUSTRADOR CRIAÇÃO]]</f>
        <v>THAMIRES PAREDES/ARQUIVO DA EDITORA</v>
      </c>
      <c r="AB254" s="22">
        <v>5</v>
      </c>
      <c r="AC254" s="20" t="s">
        <v>619</v>
      </c>
      <c r="AD254" s="20" t="s">
        <v>40</v>
      </c>
      <c r="AE254" s="4" t="str">
        <f t="shared" si="3"/>
        <v>EF1 E002 Ing</v>
      </c>
    </row>
    <row r="255" spans="1:31" s="12" customFormat="1" ht="150" x14ac:dyDescent="0.25">
      <c r="A255" s="23" t="s">
        <v>634</v>
      </c>
      <c r="B255" s="20" t="s">
        <v>32</v>
      </c>
      <c r="C255" s="20" t="s">
        <v>33</v>
      </c>
      <c r="D255" s="20" t="s">
        <v>34</v>
      </c>
      <c r="E255" s="22">
        <v>38</v>
      </c>
      <c r="F255" s="22">
        <v>4</v>
      </c>
      <c r="G255" s="22">
        <v>3</v>
      </c>
      <c r="H255" s="22"/>
      <c r="I255" s="23" t="s">
        <v>544</v>
      </c>
      <c r="J255" s="23"/>
      <c r="K255" s="22"/>
      <c r="L255" s="22"/>
      <c r="M255" s="23"/>
      <c r="N255" s="23"/>
      <c r="O255" s="26" t="s">
        <v>635</v>
      </c>
      <c r="P255" s="26"/>
      <c r="Q255" s="26"/>
      <c r="R255" s="22"/>
      <c r="S255" s="24"/>
      <c r="T255" s="24"/>
      <c r="U255" s="24"/>
      <c r="V255" s="24"/>
      <c r="W255" s="24"/>
      <c r="X255" s="22"/>
      <c r="Y255" s="4" t="str">
        <f>IF(Tabela2[[#This Row],[SIGLA]]="","",VLOOKUP(Tabela2[[#This Row],[SIGLA]],Tabela1[[#All],[Sigla Arte]:[Crédito]],2,0))</f>
        <v/>
      </c>
      <c r="Z255" s="23"/>
      <c r="AA255" s="23" t="str">
        <f>Tabela2[[#This Row],[ILUSTRADOR CRIAÇÃO]]</f>
        <v/>
      </c>
      <c r="AB255" s="22"/>
      <c r="AC255" s="20"/>
      <c r="AD255" s="20"/>
      <c r="AE255" s="4" t="str">
        <f t="shared" si="3"/>
        <v>EF1 E002 Ing</v>
      </c>
    </row>
    <row r="256" spans="1:31" s="12" customFormat="1" ht="135" x14ac:dyDescent="0.25">
      <c r="A256" s="23" t="s">
        <v>636</v>
      </c>
      <c r="B256" s="20" t="s">
        <v>32</v>
      </c>
      <c r="C256" s="20" t="s">
        <v>33</v>
      </c>
      <c r="D256" s="20" t="s">
        <v>34</v>
      </c>
      <c r="E256" s="22">
        <v>38</v>
      </c>
      <c r="F256" s="22">
        <v>4</v>
      </c>
      <c r="G256" s="22">
        <v>3</v>
      </c>
      <c r="H256" s="22"/>
      <c r="I256" s="23" t="s">
        <v>544</v>
      </c>
      <c r="J256" s="23"/>
      <c r="K256" s="22"/>
      <c r="L256" s="22"/>
      <c r="M256" s="23"/>
      <c r="N256" s="23"/>
      <c r="O256" s="26" t="s">
        <v>637</v>
      </c>
      <c r="P256" s="26"/>
      <c r="Q256" s="26"/>
      <c r="R256" s="22"/>
      <c r="S256" s="24"/>
      <c r="T256" s="24"/>
      <c r="U256" s="24"/>
      <c r="V256" s="24"/>
      <c r="W256" s="24"/>
      <c r="X256" s="22"/>
      <c r="Y256" s="4" t="str">
        <f>IF(Tabela2[[#This Row],[SIGLA]]="","",VLOOKUP(Tabela2[[#This Row],[SIGLA]],Tabela1[[#All],[Sigla Arte]:[Crédito]],2,0))</f>
        <v/>
      </c>
      <c r="Z256" s="23"/>
      <c r="AA256" s="23" t="str">
        <f>Tabela2[[#This Row],[ILUSTRADOR CRIAÇÃO]]</f>
        <v/>
      </c>
      <c r="AB256" s="22"/>
      <c r="AC256" s="20"/>
      <c r="AD256" s="20"/>
      <c r="AE256" s="4" t="str">
        <f t="shared" si="3"/>
        <v>EF1 E002 Ing</v>
      </c>
    </row>
    <row r="257" spans="1:31" s="12" customFormat="1" ht="150" x14ac:dyDescent="0.25">
      <c r="A257" s="23" t="s">
        <v>638</v>
      </c>
      <c r="B257" s="20" t="s">
        <v>32</v>
      </c>
      <c r="C257" s="20" t="s">
        <v>33</v>
      </c>
      <c r="D257" s="20" t="s">
        <v>34</v>
      </c>
      <c r="E257" s="22">
        <v>38</v>
      </c>
      <c r="F257" s="22">
        <v>4</v>
      </c>
      <c r="G257" s="22">
        <v>3</v>
      </c>
      <c r="H257" s="22"/>
      <c r="I257" s="23" t="s">
        <v>544</v>
      </c>
      <c r="J257" s="23"/>
      <c r="K257" s="22"/>
      <c r="L257" s="22"/>
      <c r="M257" s="23"/>
      <c r="N257" s="23"/>
      <c r="O257" s="26" t="s">
        <v>639</v>
      </c>
      <c r="P257" s="26"/>
      <c r="Q257" s="26"/>
      <c r="R257" s="22"/>
      <c r="S257" s="24"/>
      <c r="T257" s="24"/>
      <c r="U257" s="24"/>
      <c r="V257" s="24"/>
      <c r="W257" s="24"/>
      <c r="X257" s="22"/>
      <c r="Y257" s="4" t="str">
        <f>IF(Tabela2[[#This Row],[SIGLA]]="","",VLOOKUP(Tabela2[[#This Row],[SIGLA]],Tabela1[[#All],[Sigla Arte]:[Crédito]],2,0))</f>
        <v/>
      </c>
      <c r="Z257" s="23"/>
      <c r="AA257" s="23" t="str">
        <f>Tabela2[[#This Row],[ILUSTRADOR CRIAÇÃO]]</f>
        <v/>
      </c>
      <c r="AB257" s="22"/>
      <c r="AC257" s="20"/>
      <c r="AD257" s="20"/>
      <c r="AE257" s="4" t="str">
        <f t="shared" si="3"/>
        <v>EF1 E002 Ing</v>
      </c>
    </row>
    <row r="258" spans="1:31" s="12" customFormat="1" ht="135" x14ac:dyDescent="0.25">
      <c r="A258" s="23" t="s">
        <v>640</v>
      </c>
      <c r="B258" s="20" t="s">
        <v>32</v>
      </c>
      <c r="C258" s="20" t="s">
        <v>33</v>
      </c>
      <c r="D258" s="20" t="s">
        <v>34</v>
      </c>
      <c r="E258" s="22">
        <v>38</v>
      </c>
      <c r="F258" s="22">
        <v>4</v>
      </c>
      <c r="G258" s="22">
        <v>3</v>
      </c>
      <c r="H258" s="22"/>
      <c r="I258" s="23" t="s">
        <v>544</v>
      </c>
      <c r="J258" s="23"/>
      <c r="K258" s="22"/>
      <c r="L258" s="22"/>
      <c r="M258" s="23"/>
      <c r="N258" s="23"/>
      <c r="O258" s="26" t="s">
        <v>641</v>
      </c>
      <c r="P258" s="26"/>
      <c r="Q258" s="26"/>
      <c r="R258" s="22"/>
      <c r="S258" s="24"/>
      <c r="T258" s="24"/>
      <c r="U258" s="24"/>
      <c r="V258" s="24"/>
      <c r="W258" s="24"/>
      <c r="X258" s="22"/>
      <c r="Y258" s="4" t="str">
        <f>IF(Tabela2[[#This Row],[SIGLA]]="","",VLOOKUP(Tabela2[[#This Row],[SIGLA]],Tabela1[[#All],[Sigla Arte]:[Crédito]],2,0))</f>
        <v/>
      </c>
      <c r="Z258" s="23"/>
      <c r="AA258" s="23" t="str">
        <f>Tabela2[[#This Row],[ILUSTRADOR CRIAÇÃO]]</f>
        <v/>
      </c>
      <c r="AB258" s="22"/>
      <c r="AC258" s="20"/>
      <c r="AD258" s="20"/>
      <c r="AE258" s="4" t="str">
        <f t="shared" ref="AE258:AE321" si="4">"EF1 E002 Ing"</f>
        <v>EF1 E002 Ing</v>
      </c>
    </row>
    <row r="259" spans="1:31" s="12" customFormat="1" ht="105" x14ac:dyDescent="0.25">
      <c r="A259" s="23" t="s">
        <v>642</v>
      </c>
      <c r="B259" s="20" t="s">
        <v>32</v>
      </c>
      <c r="C259" s="20" t="s">
        <v>33</v>
      </c>
      <c r="D259" s="20" t="s">
        <v>34</v>
      </c>
      <c r="E259" s="22">
        <v>39</v>
      </c>
      <c r="F259" s="22">
        <v>4</v>
      </c>
      <c r="G259" s="22">
        <v>3</v>
      </c>
      <c r="H259" s="22"/>
      <c r="I259" s="23" t="s">
        <v>544</v>
      </c>
      <c r="J259" s="23"/>
      <c r="K259" s="22"/>
      <c r="L259" s="22"/>
      <c r="M259" s="23"/>
      <c r="N259" s="23"/>
      <c r="O259" s="26" t="s">
        <v>643</v>
      </c>
      <c r="P259" s="26"/>
      <c r="Q259" s="26"/>
      <c r="R259" s="22"/>
      <c r="S259" s="24"/>
      <c r="T259" s="24"/>
      <c r="U259" s="24"/>
      <c r="V259" s="24"/>
      <c r="W259" s="24"/>
      <c r="X259" s="22"/>
      <c r="Y259" s="4" t="str">
        <f>IF(Tabela2[[#This Row],[SIGLA]]="","",VLOOKUP(Tabela2[[#This Row],[SIGLA]],Tabela1[[#All],[Sigla Arte]:[Crédito]],2,0))</f>
        <v/>
      </c>
      <c r="Z259" s="23"/>
      <c r="AA259" s="23" t="str">
        <f>Tabela2[[#This Row],[ILUSTRADOR CRIAÇÃO]]</f>
        <v/>
      </c>
      <c r="AB259" s="22"/>
      <c r="AC259" s="20"/>
      <c r="AD259" s="20"/>
      <c r="AE259" s="4" t="str">
        <f t="shared" si="4"/>
        <v>EF1 E002 Ing</v>
      </c>
    </row>
    <row r="260" spans="1:31" s="12" customFormat="1" ht="105" x14ac:dyDescent="0.25">
      <c r="A260" s="23" t="s">
        <v>644</v>
      </c>
      <c r="B260" s="20" t="s">
        <v>32</v>
      </c>
      <c r="C260" s="20" t="s">
        <v>33</v>
      </c>
      <c r="D260" s="20" t="s">
        <v>34</v>
      </c>
      <c r="E260" s="22">
        <v>39</v>
      </c>
      <c r="F260" s="22">
        <v>4</v>
      </c>
      <c r="G260" s="22">
        <v>3</v>
      </c>
      <c r="H260" s="22"/>
      <c r="I260" s="23" t="s">
        <v>544</v>
      </c>
      <c r="J260" s="23"/>
      <c r="K260" s="22"/>
      <c r="L260" s="22"/>
      <c r="M260" s="23"/>
      <c r="N260" s="23"/>
      <c r="O260" s="26" t="s">
        <v>645</v>
      </c>
      <c r="P260" s="26"/>
      <c r="Q260" s="26"/>
      <c r="R260" s="22"/>
      <c r="S260" s="24"/>
      <c r="T260" s="24"/>
      <c r="U260" s="24"/>
      <c r="V260" s="24"/>
      <c r="W260" s="24"/>
      <c r="X260" s="22"/>
      <c r="Y260" s="4" t="str">
        <f>IF(Tabela2[[#This Row],[SIGLA]]="","",VLOOKUP(Tabela2[[#This Row],[SIGLA]],Tabela1[[#All],[Sigla Arte]:[Crédito]],2,0))</f>
        <v/>
      </c>
      <c r="Z260" s="23"/>
      <c r="AA260" s="23" t="str">
        <f>Tabela2[[#This Row],[ILUSTRADOR CRIAÇÃO]]</f>
        <v/>
      </c>
      <c r="AB260" s="22"/>
      <c r="AC260" s="20"/>
      <c r="AD260" s="20"/>
      <c r="AE260" s="4" t="str">
        <f t="shared" si="4"/>
        <v>EF1 E002 Ing</v>
      </c>
    </row>
    <row r="261" spans="1:31" s="12" customFormat="1" ht="150" x14ac:dyDescent="0.25">
      <c r="A261" s="23" t="s">
        <v>646</v>
      </c>
      <c r="B261" s="20" t="s">
        <v>32</v>
      </c>
      <c r="C261" s="20" t="s">
        <v>33</v>
      </c>
      <c r="D261" s="20" t="s">
        <v>34</v>
      </c>
      <c r="E261" s="22">
        <v>42</v>
      </c>
      <c r="F261" s="22">
        <v>4</v>
      </c>
      <c r="G261" s="22">
        <v>3</v>
      </c>
      <c r="H261" s="22"/>
      <c r="I261" s="23" t="s">
        <v>544</v>
      </c>
      <c r="J261" s="23"/>
      <c r="K261" s="22"/>
      <c r="L261" s="22"/>
      <c r="M261" s="23"/>
      <c r="N261" s="23"/>
      <c r="O261" s="26" t="s">
        <v>647</v>
      </c>
      <c r="P261" s="26"/>
      <c r="Q261" s="26"/>
      <c r="R261" s="22"/>
      <c r="S261" s="24"/>
      <c r="T261" s="24"/>
      <c r="U261" s="24"/>
      <c r="V261" s="24"/>
      <c r="W261" s="24"/>
      <c r="X261" s="22"/>
      <c r="Y261" s="4" t="str">
        <f>IF(Tabela2[[#This Row],[SIGLA]]="","",VLOOKUP(Tabela2[[#This Row],[SIGLA]],Tabela1[[#All],[Sigla Arte]:[Crédito]],2,0))</f>
        <v/>
      </c>
      <c r="Z261" s="23"/>
      <c r="AA261" s="23" t="str">
        <f>Tabela2[[#This Row],[ILUSTRADOR CRIAÇÃO]]</f>
        <v/>
      </c>
      <c r="AB261" s="22"/>
      <c r="AC261" s="20"/>
      <c r="AD261" s="20"/>
      <c r="AE261" s="4" t="str">
        <f t="shared" si="4"/>
        <v>EF1 E002 Ing</v>
      </c>
    </row>
    <row r="262" spans="1:31" s="12" customFormat="1" ht="240" x14ac:dyDescent="0.25">
      <c r="A262" s="23" t="s">
        <v>648</v>
      </c>
      <c r="B262" s="20" t="s">
        <v>32</v>
      </c>
      <c r="C262" s="20" t="s">
        <v>33</v>
      </c>
      <c r="D262" s="20" t="s">
        <v>34</v>
      </c>
      <c r="E262" s="22">
        <v>19</v>
      </c>
      <c r="F262" s="22">
        <v>5</v>
      </c>
      <c r="G262" s="22">
        <v>1</v>
      </c>
      <c r="H262" s="22"/>
      <c r="I262" s="23" t="s">
        <v>36</v>
      </c>
      <c r="J262" s="23"/>
      <c r="K262" s="22"/>
      <c r="L262" s="22"/>
      <c r="M262" s="23"/>
      <c r="N262" s="23"/>
      <c r="O262" s="26" t="s">
        <v>649</v>
      </c>
      <c r="P262" s="26"/>
      <c r="Q262" s="26"/>
      <c r="R262" s="22">
        <v>40</v>
      </c>
      <c r="S262" s="24">
        <v>45848</v>
      </c>
      <c r="T262" s="24">
        <v>45854</v>
      </c>
      <c r="U262" s="24">
        <v>45861</v>
      </c>
      <c r="V262" s="24">
        <v>45862</v>
      </c>
      <c r="W262" s="24">
        <v>45864</v>
      </c>
      <c r="X262" s="22" t="s">
        <v>38</v>
      </c>
      <c r="Y262" s="4" t="str">
        <f>IF(Tabela2[[#This Row],[SIGLA]]="","",VLOOKUP(Tabela2[[#This Row],[SIGLA]],Tabela1[[#All],[Sigla Arte]:[Crédito]],2,0))</f>
        <v>VERIDIANA PEGORARO CAMELO/ARQUIVO DA EDITORA</v>
      </c>
      <c r="Z262" s="23"/>
      <c r="AA262" s="23" t="str">
        <f>Tabela2[[#This Row],[ILUSTRADOR CRIAÇÃO]]</f>
        <v>VERIDIANA PEGORARO CAMELO/ARQUIVO DA EDITORA</v>
      </c>
      <c r="AB262" s="22">
        <v>5</v>
      </c>
      <c r="AC262" s="20" t="s">
        <v>650</v>
      </c>
      <c r="AD262" s="20" t="s">
        <v>40</v>
      </c>
      <c r="AE262" s="4" t="str">
        <f t="shared" si="4"/>
        <v>EF1 E002 Ing</v>
      </c>
    </row>
    <row r="263" spans="1:31" s="12" customFormat="1" ht="30" x14ac:dyDescent="0.25">
      <c r="A263" s="23" t="s">
        <v>651</v>
      </c>
      <c r="B263" s="20" t="s">
        <v>32</v>
      </c>
      <c r="C263" s="20" t="s">
        <v>33</v>
      </c>
      <c r="D263" s="20" t="s">
        <v>34</v>
      </c>
      <c r="E263" s="22">
        <v>19</v>
      </c>
      <c r="F263" s="22">
        <v>5</v>
      </c>
      <c r="G263" s="22">
        <v>1</v>
      </c>
      <c r="H263" s="22"/>
      <c r="I263" s="23" t="s">
        <v>36</v>
      </c>
      <c r="J263" s="23"/>
      <c r="K263" s="22"/>
      <c r="L263" s="22"/>
      <c r="M263" s="23"/>
      <c r="N263" s="23"/>
      <c r="O263" s="26" t="s">
        <v>652</v>
      </c>
      <c r="P263" s="26"/>
      <c r="Q263" s="26"/>
      <c r="R263" s="22">
        <v>40</v>
      </c>
      <c r="S263" s="24">
        <v>45848</v>
      </c>
      <c r="T263" s="24">
        <v>45854</v>
      </c>
      <c r="U263" s="24">
        <v>45861</v>
      </c>
      <c r="V263" s="24">
        <v>45862</v>
      </c>
      <c r="W263" s="24">
        <v>45864</v>
      </c>
      <c r="X263" s="22" t="s">
        <v>38</v>
      </c>
      <c r="Y263" s="4" t="str">
        <f>IF(Tabela2[[#This Row],[SIGLA]]="","",VLOOKUP(Tabela2[[#This Row],[SIGLA]],Tabela1[[#All],[Sigla Arte]:[Crédito]],2,0))</f>
        <v>VERIDIANA PEGORARO CAMELO/ARQUIVO DA EDITORA</v>
      </c>
      <c r="Z263" s="23"/>
      <c r="AA263" s="23" t="str">
        <f>Tabela2[[#This Row],[ILUSTRADOR CRIAÇÃO]]</f>
        <v>VERIDIANA PEGORARO CAMELO/ARQUIVO DA EDITORA</v>
      </c>
      <c r="AB263" s="22">
        <v>8</v>
      </c>
      <c r="AC263" s="20" t="s">
        <v>650</v>
      </c>
      <c r="AD263" s="20" t="s">
        <v>40</v>
      </c>
      <c r="AE263" s="4" t="str">
        <f t="shared" si="4"/>
        <v>EF1 E002 Ing</v>
      </c>
    </row>
    <row r="264" spans="1:31" s="12" customFormat="1" x14ac:dyDescent="0.25">
      <c r="A264" s="23" t="s">
        <v>653</v>
      </c>
      <c r="B264" s="20" t="s">
        <v>32</v>
      </c>
      <c r="C264" s="20" t="s">
        <v>33</v>
      </c>
      <c r="D264" s="20" t="s">
        <v>34</v>
      </c>
      <c r="E264" s="22">
        <v>19</v>
      </c>
      <c r="F264" s="22">
        <v>5</v>
      </c>
      <c r="G264" s="22">
        <v>1</v>
      </c>
      <c r="H264" s="22"/>
      <c r="I264" s="23" t="s">
        <v>36</v>
      </c>
      <c r="J264" s="23"/>
      <c r="K264" s="22"/>
      <c r="L264" s="22"/>
      <c r="M264" s="23"/>
      <c r="N264" s="23"/>
      <c r="O264" s="26" t="s">
        <v>654</v>
      </c>
      <c r="P264" s="26"/>
      <c r="Q264" s="26"/>
      <c r="R264" s="22">
        <v>40</v>
      </c>
      <c r="S264" s="24">
        <v>45848</v>
      </c>
      <c r="T264" s="24">
        <v>45854</v>
      </c>
      <c r="U264" s="24">
        <v>45861</v>
      </c>
      <c r="V264" s="24">
        <v>45862</v>
      </c>
      <c r="W264" s="24">
        <v>45864</v>
      </c>
      <c r="X264" s="22" t="s">
        <v>38</v>
      </c>
      <c r="Y264" s="4" t="str">
        <f>IF(Tabela2[[#This Row],[SIGLA]]="","",VLOOKUP(Tabela2[[#This Row],[SIGLA]],Tabela1[[#All],[Sigla Arte]:[Crédito]],2,0))</f>
        <v>VERIDIANA PEGORARO CAMELO/ARQUIVO DA EDITORA</v>
      </c>
      <c r="Z264" s="23"/>
      <c r="AA264" s="23" t="str">
        <f>Tabela2[[#This Row],[ILUSTRADOR CRIAÇÃO]]</f>
        <v>VERIDIANA PEGORARO CAMELO/ARQUIVO DA EDITORA</v>
      </c>
      <c r="AB264" s="22">
        <v>8</v>
      </c>
      <c r="AC264" s="20" t="s">
        <v>650</v>
      </c>
      <c r="AD264" s="20" t="s">
        <v>40</v>
      </c>
      <c r="AE264" s="4" t="str">
        <f t="shared" si="4"/>
        <v>EF1 E002 Ing</v>
      </c>
    </row>
    <row r="265" spans="1:31" s="12" customFormat="1" ht="30" x14ac:dyDescent="0.25">
      <c r="A265" s="23" t="s">
        <v>655</v>
      </c>
      <c r="B265" s="20" t="s">
        <v>32</v>
      </c>
      <c r="C265" s="20" t="s">
        <v>33</v>
      </c>
      <c r="D265" s="20" t="s">
        <v>34</v>
      </c>
      <c r="E265" s="22">
        <v>19</v>
      </c>
      <c r="F265" s="22">
        <v>5</v>
      </c>
      <c r="G265" s="22">
        <v>1</v>
      </c>
      <c r="H265" s="22"/>
      <c r="I265" s="23" t="s">
        <v>36</v>
      </c>
      <c r="J265" s="23"/>
      <c r="K265" s="22"/>
      <c r="L265" s="22"/>
      <c r="M265" s="23"/>
      <c r="N265" s="23"/>
      <c r="O265" s="26" t="s">
        <v>656</v>
      </c>
      <c r="P265" s="26"/>
      <c r="Q265" s="26"/>
      <c r="R265" s="22">
        <v>40</v>
      </c>
      <c r="S265" s="24">
        <v>45848</v>
      </c>
      <c r="T265" s="24">
        <v>45854</v>
      </c>
      <c r="U265" s="24">
        <v>45861</v>
      </c>
      <c r="V265" s="24">
        <v>45862</v>
      </c>
      <c r="W265" s="24">
        <v>45864</v>
      </c>
      <c r="X265" s="22" t="s">
        <v>38</v>
      </c>
      <c r="Y265" s="4" t="str">
        <f>IF(Tabela2[[#This Row],[SIGLA]]="","",VLOOKUP(Tabela2[[#This Row],[SIGLA]],Tabela1[[#All],[Sigla Arte]:[Crédito]],2,0))</f>
        <v>VERIDIANA PEGORARO CAMELO/ARQUIVO DA EDITORA</v>
      </c>
      <c r="Z265" s="23"/>
      <c r="AA265" s="23" t="str">
        <f>Tabela2[[#This Row],[ILUSTRADOR CRIAÇÃO]]</f>
        <v>VERIDIANA PEGORARO CAMELO/ARQUIVO DA EDITORA</v>
      </c>
      <c r="AB265" s="22">
        <v>6</v>
      </c>
      <c r="AC265" s="20" t="s">
        <v>650</v>
      </c>
      <c r="AD265" s="20" t="s">
        <v>40</v>
      </c>
      <c r="AE265" s="4" t="str">
        <f t="shared" si="4"/>
        <v>EF1 E002 Ing</v>
      </c>
    </row>
    <row r="266" spans="1:31" s="12" customFormat="1" x14ac:dyDescent="0.25">
      <c r="A266" s="23" t="s">
        <v>657</v>
      </c>
      <c r="B266" s="20" t="s">
        <v>32</v>
      </c>
      <c r="C266" s="20" t="s">
        <v>33</v>
      </c>
      <c r="D266" s="20" t="s">
        <v>34</v>
      </c>
      <c r="E266" s="22">
        <v>19</v>
      </c>
      <c r="F266" s="22">
        <v>5</v>
      </c>
      <c r="G266" s="22">
        <v>1</v>
      </c>
      <c r="H266" s="22"/>
      <c r="I266" s="23" t="s">
        <v>36</v>
      </c>
      <c r="J266" s="23"/>
      <c r="K266" s="22"/>
      <c r="L266" s="22"/>
      <c r="M266" s="23"/>
      <c r="N266" s="23"/>
      <c r="O266" s="26" t="s">
        <v>658</v>
      </c>
      <c r="P266" s="26"/>
      <c r="Q266" s="26"/>
      <c r="R266" s="22">
        <v>40</v>
      </c>
      <c r="S266" s="24">
        <v>45848</v>
      </c>
      <c r="T266" s="24">
        <v>45854</v>
      </c>
      <c r="U266" s="24">
        <v>45861</v>
      </c>
      <c r="V266" s="24">
        <v>45862</v>
      </c>
      <c r="W266" s="24">
        <v>45864</v>
      </c>
      <c r="X266" s="22" t="s">
        <v>38</v>
      </c>
      <c r="Y266" s="4" t="str">
        <f>IF(Tabela2[[#This Row],[SIGLA]]="","",VLOOKUP(Tabela2[[#This Row],[SIGLA]],Tabela1[[#All],[Sigla Arte]:[Crédito]],2,0))</f>
        <v>VERIDIANA PEGORARO CAMELO/ARQUIVO DA EDITORA</v>
      </c>
      <c r="Z266" s="23"/>
      <c r="AA266" s="23" t="str">
        <f>Tabela2[[#This Row],[ILUSTRADOR CRIAÇÃO]]</f>
        <v>VERIDIANA PEGORARO CAMELO/ARQUIVO DA EDITORA</v>
      </c>
      <c r="AB266" s="22">
        <v>8</v>
      </c>
      <c r="AC266" s="20" t="s">
        <v>650</v>
      </c>
      <c r="AD266" s="20" t="s">
        <v>40</v>
      </c>
      <c r="AE266" s="4" t="str">
        <f t="shared" si="4"/>
        <v>EF1 E002 Ing</v>
      </c>
    </row>
    <row r="267" spans="1:31" s="12" customFormat="1" ht="135" x14ac:dyDescent="0.25">
      <c r="A267" s="23" t="s">
        <v>659</v>
      </c>
      <c r="B267" s="20" t="s">
        <v>32</v>
      </c>
      <c r="C267" s="20" t="s">
        <v>33</v>
      </c>
      <c r="D267" s="20" t="s">
        <v>34</v>
      </c>
      <c r="E267" s="22">
        <v>21</v>
      </c>
      <c r="F267" s="22">
        <v>5</v>
      </c>
      <c r="G267" s="22">
        <v>1</v>
      </c>
      <c r="H267" s="22"/>
      <c r="I267" s="23" t="s">
        <v>36</v>
      </c>
      <c r="J267" s="23"/>
      <c r="K267" s="22"/>
      <c r="L267" s="22"/>
      <c r="M267" s="23"/>
      <c r="N267" s="23"/>
      <c r="O267" s="26" t="s">
        <v>660</v>
      </c>
      <c r="P267" s="26"/>
      <c r="Q267" s="26"/>
      <c r="R267" s="22">
        <v>40</v>
      </c>
      <c r="S267" s="24">
        <v>45848</v>
      </c>
      <c r="T267" s="24">
        <v>45860</v>
      </c>
      <c r="U267" s="24">
        <v>45862</v>
      </c>
      <c r="V267" s="24">
        <v>45863</v>
      </c>
      <c r="W267" s="24">
        <v>45866</v>
      </c>
      <c r="X267" s="22" t="s">
        <v>259</v>
      </c>
      <c r="Y267" s="4" t="str">
        <f>IF(Tabela2[[#This Row],[SIGLA]]="","",VLOOKUP(Tabela2[[#This Row],[SIGLA]],Tabela1[[#All],[Sigla Arte]:[Crédito]],2,0))</f>
        <v>CAMILA CARMONA/ARQUIVO DA EDITORA</v>
      </c>
      <c r="Z267" s="23"/>
      <c r="AA267" s="23" t="str">
        <f>Tabela2[[#This Row],[ILUSTRADOR CRIAÇÃO]]</f>
        <v>CAMILA CARMONA/ARQUIVO DA EDITORA</v>
      </c>
      <c r="AB267" s="22">
        <v>5</v>
      </c>
      <c r="AC267" s="20" t="s">
        <v>661</v>
      </c>
      <c r="AD267" s="20" t="s">
        <v>40</v>
      </c>
      <c r="AE267" s="4" t="str">
        <f t="shared" si="4"/>
        <v>EF1 E002 Ing</v>
      </c>
    </row>
    <row r="268" spans="1:31" s="12" customFormat="1" x14ac:dyDescent="0.25">
      <c r="A268" s="23" t="s">
        <v>662</v>
      </c>
      <c r="B268" s="20" t="s">
        <v>32</v>
      </c>
      <c r="C268" s="20" t="s">
        <v>33</v>
      </c>
      <c r="D268" s="20" t="s">
        <v>34</v>
      </c>
      <c r="E268" s="22">
        <v>53</v>
      </c>
      <c r="F268" s="22">
        <v>2</v>
      </c>
      <c r="G268" s="22">
        <v>5</v>
      </c>
      <c r="H268" s="22"/>
      <c r="I268" s="23" t="s">
        <v>36</v>
      </c>
      <c r="J268" s="23"/>
      <c r="K268" s="22"/>
      <c r="L268" s="22"/>
      <c r="M268" s="23"/>
      <c r="N268" s="23"/>
      <c r="O268" s="26" t="s">
        <v>663</v>
      </c>
      <c r="P268" s="26"/>
      <c r="Q268" s="26"/>
      <c r="R268" s="22">
        <v>41</v>
      </c>
      <c r="S268" s="24">
        <v>45850</v>
      </c>
      <c r="T268" s="24">
        <v>45826</v>
      </c>
      <c r="U268" s="24"/>
      <c r="V268" s="24"/>
      <c r="W268" s="24">
        <v>45826</v>
      </c>
      <c r="X268" s="22" t="s">
        <v>664</v>
      </c>
      <c r="Y268" s="4" t="str">
        <f>IF(Tabela2[[#This Row],[SIGLA]]="","",VLOOKUP(Tabela2[[#This Row],[SIGLA]],Tabela1[[#All],[Sigla Arte]:[Crédito]],2,0))</f>
        <v>SERGIO LIMA/ARQUIVO DA EDITORA</v>
      </c>
      <c r="Z268" s="23" t="s">
        <v>508</v>
      </c>
      <c r="AA268" s="23" t="str">
        <f>Tabela2[[#This Row],[ILUSTRADOR CRIAÇÃO]]</f>
        <v>SERGIO LIMA/ARQUIVO DA EDITORA</v>
      </c>
      <c r="AB268" s="22">
        <v>13</v>
      </c>
      <c r="AC268" s="20" t="s">
        <v>665</v>
      </c>
      <c r="AD268" s="20" t="s">
        <v>58</v>
      </c>
      <c r="AE268" s="4" t="str">
        <f t="shared" si="4"/>
        <v>EF1 E002 Ing</v>
      </c>
    </row>
    <row r="269" spans="1:31" s="12" customFormat="1" ht="60" x14ac:dyDescent="0.25">
      <c r="A269" s="23" t="s">
        <v>666</v>
      </c>
      <c r="B269" s="20" t="s">
        <v>32</v>
      </c>
      <c r="C269" s="20" t="s">
        <v>33</v>
      </c>
      <c r="D269" s="20" t="s">
        <v>34</v>
      </c>
      <c r="E269" s="22">
        <v>26</v>
      </c>
      <c r="F269" s="22">
        <v>5</v>
      </c>
      <c r="G269" s="22">
        <v>2</v>
      </c>
      <c r="H269" s="22"/>
      <c r="I269" s="23" t="s">
        <v>36</v>
      </c>
      <c r="J269" s="23"/>
      <c r="K269" s="22"/>
      <c r="L269" s="22"/>
      <c r="M269" s="23"/>
      <c r="N269" s="23"/>
      <c r="O269" s="26" t="s">
        <v>667</v>
      </c>
      <c r="P269" s="26"/>
      <c r="Q269" s="26"/>
      <c r="R269" s="22">
        <v>42</v>
      </c>
      <c r="S269" s="24">
        <v>45853</v>
      </c>
      <c r="T269" s="24">
        <v>45860</v>
      </c>
      <c r="U269" s="24">
        <v>45862</v>
      </c>
      <c r="V269" s="24">
        <v>45863</v>
      </c>
      <c r="W269" s="24">
        <v>45866</v>
      </c>
      <c r="X269" s="22" t="s">
        <v>38</v>
      </c>
      <c r="Y269" s="4" t="str">
        <f>IF(Tabela2[[#This Row],[SIGLA]]="","",VLOOKUP(Tabela2[[#This Row],[SIGLA]],Tabela1[[#All],[Sigla Arte]:[Crédito]],2,0))</f>
        <v>VERIDIANA PEGORARO CAMELO/ARQUIVO DA EDITORA</v>
      </c>
      <c r="Z269" s="23"/>
      <c r="AA269" s="23" t="str">
        <f>Tabela2[[#This Row],[ILUSTRADOR CRIAÇÃO]]</f>
        <v>VERIDIANA PEGORARO CAMELO/ARQUIVO DA EDITORA</v>
      </c>
      <c r="AB269" s="22">
        <v>5</v>
      </c>
      <c r="AC269" s="20" t="s">
        <v>661</v>
      </c>
      <c r="AD269" s="20" t="s">
        <v>40</v>
      </c>
      <c r="AE269" s="4" t="str">
        <f t="shared" si="4"/>
        <v>EF1 E002 Ing</v>
      </c>
    </row>
    <row r="270" spans="1:31" s="12" customFormat="1" ht="90" x14ac:dyDescent="0.25">
      <c r="A270" s="23" t="s">
        <v>668</v>
      </c>
      <c r="B270" s="20" t="s">
        <v>32</v>
      </c>
      <c r="C270" s="20" t="s">
        <v>33</v>
      </c>
      <c r="D270" s="20" t="s">
        <v>34</v>
      </c>
      <c r="E270" s="22">
        <v>26</v>
      </c>
      <c r="F270" s="22">
        <v>5</v>
      </c>
      <c r="G270" s="22">
        <v>2</v>
      </c>
      <c r="H270" s="22"/>
      <c r="I270" s="23" t="s">
        <v>36</v>
      </c>
      <c r="J270" s="23"/>
      <c r="K270" s="22"/>
      <c r="L270" s="22"/>
      <c r="M270" s="23"/>
      <c r="N270" s="23"/>
      <c r="O270" s="26" t="s">
        <v>669</v>
      </c>
      <c r="P270" s="26"/>
      <c r="Q270" s="26"/>
      <c r="R270" s="22">
        <v>42</v>
      </c>
      <c r="S270" s="24">
        <v>45853</v>
      </c>
      <c r="T270" s="24">
        <v>45860</v>
      </c>
      <c r="U270" s="24">
        <v>45862</v>
      </c>
      <c r="V270" s="24">
        <v>45863</v>
      </c>
      <c r="W270" s="24">
        <v>45866</v>
      </c>
      <c r="X270" s="22" t="s">
        <v>38</v>
      </c>
      <c r="Y270" s="4" t="str">
        <f>IF(Tabela2[[#This Row],[SIGLA]]="","",VLOOKUP(Tabela2[[#This Row],[SIGLA]],Tabela1[[#All],[Sigla Arte]:[Crédito]],2,0))</f>
        <v>VERIDIANA PEGORARO CAMELO/ARQUIVO DA EDITORA</v>
      </c>
      <c r="Z270" s="23"/>
      <c r="AA270" s="23" t="str">
        <f>Tabela2[[#This Row],[ILUSTRADOR CRIAÇÃO]]</f>
        <v>VERIDIANA PEGORARO CAMELO/ARQUIVO DA EDITORA</v>
      </c>
      <c r="AB270" s="22">
        <v>5</v>
      </c>
      <c r="AC270" s="20" t="s">
        <v>661</v>
      </c>
      <c r="AD270" s="20" t="s">
        <v>40</v>
      </c>
      <c r="AE270" s="4" t="str">
        <f t="shared" si="4"/>
        <v>EF1 E002 Ing</v>
      </c>
    </row>
    <row r="271" spans="1:31" s="12" customFormat="1" ht="75" x14ac:dyDescent="0.25">
      <c r="A271" s="23" t="s">
        <v>670</v>
      </c>
      <c r="B271" s="20" t="s">
        <v>32</v>
      </c>
      <c r="C271" s="20" t="s">
        <v>33</v>
      </c>
      <c r="D271" s="20" t="s">
        <v>34</v>
      </c>
      <c r="E271" s="22">
        <v>26</v>
      </c>
      <c r="F271" s="22">
        <v>5</v>
      </c>
      <c r="G271" s="22">
        <v>2</v>
      </c>
      <c r="H271" s="22"/>
      <c r="I271" s="23" t="s">
        <v>36</v>
      </c>
      <c r="J271" s="23"/>
      <c r="K271" s="22"/>
      <c r="L271" s="22"/>
      <c r="M271" s="23"/>
      <c r="N271" s="23"/>
      <c r="O271" s="26" t="s">
        <v>671</v>
      </c>
      <c r="P271" s="26"/>
      <c r="Q271" s="26"/>
      <c r="R271" s="22">
        <v>42</v>
      </c>
      <c r="S271" s="24">
        <v>45853</v>
      </c>
      <c r="T271" s="24">
        <v>45860</v>
      </c>
      <c r="U271" s="24">
        <v>45862</v>
      </c>
      <c r="V271" s="24">
        <v>45863</v>
      </c>
      <c r="W271" s="24">
        <v>45866</v>
      </c>
      <c r="X271" s="22" t="s">
        <v>38</v>
      </c>
      <c r="Y271" s="4" t="str">
        <f>IF(Tabela2[[#This Row],[SIGLA]]="","",VLOOKUP(Tabela2[[#This Row],[SIGLA]],Tabela1[[#All],[Sigla Arte]:[Crédito]],2,0))</f>
        <v>VERIDIANA PEGORARO CAMELO/ARQUIVO DA EDITORA</v>
      </c>
      <c r="Z271" s="23"/>
      <c r="AA271" s="23" t="str">
        <f>Tabela2[[#This Row],[ILUSTRADOR CRIAÇÃO]]</f>
        <v>VERIDIANA PEGORARO CAMELO/ARQUIVO DA EDITORA</v>
      </c>
      <c r="AB271" s="22">
        <v>5</v>
      </c>
      <c r="AC271" s="20" t="s">
        <v>661</v>
      </c>
      <c r="AD271" s="20" t="s">
        <v>40</v>
      </c>
      <c r="AE271" s="4" t="str">
        <f t="shared" si="4"/>
        <v>EF1 E002 Ing</v>
      </c>
    </row>
    <row r="272" spans="1:31" s="12" customFormat="1" ht="75" x14ac:dyDescent="0.25">
      <c r="A272" s="23" t="s">
        <v>672</v>
      </c>
      <c r="B272" s="20" t="s">
        <v>32</v>
      </c>
      <c r="C272" s="20" t="s">
        <v>33</v>
      </c>
      <c r="D272" s="20" t="s">
        <v>34</v>
      </c>
      <c r="E272" s="22">
        <v>26</v>
      </c>
      <c r="F272" s="22">
        <v>5</v>
      </c>
      <c r="G272" s="22">
        <v>2</v>
      </c>
      <c r="H272" s="22"/>
      <c r="I272" s="23" t="s">
        <v>36</v>
      </c>
      <c r="J272" s="23"/>
      <c r="K272" s="22"/>
      <c r="L272" s="22"/>
      <c r="M272" s="23"/>
      <c r="N272" s="23"/>
      <c r="O272" s="26" t="s">
        <v>673</v>
      </c>
      <c r="P272" s="26"/>
      <c r="Q272" s="26"/>
      <c r="R272" s="22">
        <v>42</v>
      </c>
      <c r="S272" s="24">
        <v>45853</v>
      </c>
      <c r="T272" s="24">
        <v>45860</v>
      </c>
      <c r="U272" s="24">
        <v>45862</v>
      </c>
      <c r="V272" s="24">
        <v>45863</v>
      </c>
      <c r="W272" s="24">
        <v>45866</v>
      </c>
      <c r="X272" s="22" t="s">
        <v>38</v>
      </c>
      <c r="Y272" s="4" t="str">
        <f>IF(Tabela2[[#This Row],[SIGLA]]="","",VLOOKUP(Tabela2[[#This Row],[SIGLA]],Tabela1[[#All],[Sigla Arte]:[Crédito]],2,0))</f>
        <v>VERIDIANA PEGORARO CAMELO/ARQUIVO DA EDITORA</v>
      </c>
      <c r="Z272" s="23"/>
      <c r="AA272" s="23" t="str">
        <f>Tabela2[[#This Row],[ILUSTRADOR CRIAÇÃO]]</f>
        <v>VERIDIANA PEGORARO CAMELO/ARQUIVO DA EDITORA</v>
      </c>
      <c r="AB272" s="22">
        <v>5</v>
      </c>
      <c r="AC272" s="20" t="s">
        <v>661</v>
      </c>
      <c r="AD272" s="20" t="s">
        <v>40</v>
      </c>
      <c r="AE272" s="4" t="str">
        <f t="shared" si="4"/>
        <v>EF1 E002 Ing</v>
      </c>
    </row>
    <row r="273" spans="1:31" s="12" customFormat="1" ht="105" x14ac:dyDescent="0.25">
      <c r="A273" s="23" t="s">
        <v>674</v>
      </c>
      <c r="B273" s="20" t="s">
        <v>32</v>
      </c>
      <c r="C273" s="20" t="s">
        <v>33</v>
      </c>
      <c r="D273" s="20" t="s">
        <v>34</v>
      </c>
      <c r="E273" s="22">
        <v>30</v>
      </c>
      <c r="F273" s="22">
        <v>5</v>
      </c>
      <c r="G273" s="22">
        <v>2</v>
      </c>
      <c r="H273" s="22"/>
      <c r="I273" s="23" t="s">
        <v>36</v>
      </c>
      <c r="J273" s="23"/>
      <c r="K273" s="22"/>
      <c r="L273" s="22"/>
      <c r="M273" s="23"/>
      <c r="N273" s="23"/>
      <c r="O273" s="26" t="s">
        <v>675</v>
      </c>
      <c r="P273" s="26"/>
      <c r="Q273" s="26"/>
      <c r="R273" s="22">
        <v>42</v>
      </c>
      <c r="S273" s="24">
        <v>45853</v>
      </c>
      <c r="T273" s="24">
        <v>45860</v>
      </c>
      <c r="U273" s="24"/>
      <c r="V273" s="24"/>
      <c r="W273" s="24">
        <v>45860</v>
      </c>
      <c r="X273" s="22" t="s">
        <v>377</v>
      </c>
      <c r="Y273" s="4" t="str">
        <f>IF(Tabela2[[#This Row],[SIGLA]]="","",VLOOKUP(Tabela2[[#This Row],[SIGLA]],Tabela1[[#All],[Sigla Arte]:[Crédito]],2,0))</f>
        <v>FELIPE GRIGOLI/ARQUIVO DA EDITORA</v>
      </c>
      <c r="Z273" s="23"/>
      <c r="AA273" s="23" t="str">
        <f>Tabela2[[#This Row],[ILUSTRADOR CRIAÇÃO]]</f>
        <v>FELIPE GRIGOLI/ARQUIVO DA EDITORA</v>
      </c>
      <c r="AB273" s="22">
        <v>13</v>
      </c>
      <c r="AC273" s="20" t="s">
        <v>415</v>
      </c>
      <c r="AD273" s="20" t="s">
        <v>58</v>
      </c>
      <c r="AE273" s="4" t="str">
        <f t="shared" si="4"/>
        <v>EF1 E002 Ing</v>
      </c>
    </row>
    <row r="274" spans="1:31" s="12" customFormat="1" ht="135" x14ac:dyDescent="0.25">
      <c r="A274" s="23" t="s">
        <v>676</v>
      </c>
      <c r="B274" s="20" t="s">
        <v>32</v>
      </c>
      <c r="C274" s="20" t="s">
        <v>33</v>
      </c>
      <c r="D274" s="20" t="s">
        <v>34</v>
      </c>
      <c r="E274" s="22">
        <v>31</v>
      </c>
      <c r="F274" s="22">
        <v>5</v>
      </c>
      <c r="G274" s="22">
        <v>2</v>
      </c>
      <c r="H274" s="22"/>
      <c r="I274" s="23" t="s">
        <v>36</v>
      </c>
      <c r="J274" s="23"/>
      <c r="K274" s="22"/>
      <c r="L274" s="22"/>
      <c r="M274" s="23"/>
      <c r="N274" s="23"/>
      <c r="O274" s="26" t="s">
        <v>677</v>
      </c>
      <c r="P274" s="26"/>
      <c r="Q274" s="26"/>
      <c r="R274" s="22">
        <v>42</v>
      </c>
      <c r="S274" s="24">
        <v>45853</v>
      </c>
      <c r="T274" s="24">
        <v>45860</v>
      </c>
      <c r="U274" s="24">
        <v>45862</v>
      </c>
      <c r="V274" s="24">
        <v>45863</v>
      </c>
      <c r="W274" s="24">
        <v>45866</v>
      </c>
      <c r="X274" s="22" t="s">
        <v>38</v>
      </c>
      <c r="Y274" s="4" t="str">
        <f>IF(Tabela2[[#This Row],[SIGLA]]="","",VLOOKUP(Tabela2[[#This Row],[SIGLA]],Tabela1[[#All],[Sigla Arte]:[Crédito]],2,0))</f>
        <v>VERIDIANA PEGORARO CAMELO/ARQUIVO DA EDITORA</v>
      </c>
      <c r="Z274" s="23"/>
      <c r="AA274" s="23" t="str">
        <f>Tabela2[[#This Row],[ILUSTRADOR CRIAÇÃO]]</f>
        <v>VERIDIANA PEGORARO CAMELO/ARQUIVO DA EDITORA</v>
      </c>
      <c r="AB274" s="22">
        <v>5</v>
      </c>
      <c r="AC274" s="20" t="s">
        <v>661</v>
      </c>
      <c r="AD274" s="20" t="s">
        <v>40</v>
      </c>
      <c r="AE274" s="4" t="str">
        <f t="shared" si="4"/>
        <v>EF1 E002 Ing</v>
      </c>
    </row>
    <row r="275" spans="1:31" s="12" customFormat="1" ht="409.5" x14ac:dyDescent="0.25">
      <c r="A275" s="23" t="s">
        <v>678</v>
      </c>
      <c r="B275" s="20" t="s">
        <v>32</v>
      </c>
      <c r="C275" s="20" t="s">
        <v>33</v>
      </c>
      <c r="D275" s="20" t="s">
        <v>34</v>
      </c>
      <c r="E275" s="22">
        <v>11</v>
      </c>
      <c r="F275" s="22">
        <v>5</v>
      </c>
      <c r="G275" s="22" t="s">
        <v>334</v>
      </c>
      <c r="H275" s="22"/>
      <c r="I275" s="23" t="s">
        <v>36</v>
      </c>
      <c r="J275" s="23"/>
      <c r="K275" s="22"/>
      <c r="L275" s="22"/>
      <c r="M275" s="23"/>
      <c r="N275" s="23"/>
      <c r="O275" s="26" t="s">
        <v>679</v>
      </c>
      <c r="P275" s="26"/>
      <c r="Q275" s="26"/>
      <c r="R275" s="22">
        <v>43</v>
      </c>
      <c r="S275" s="24">
        <v>45854</v>
      </c>
      <c r="T275" s="24">
        <v>45860</v>
      </c>
      <c r="U275" s="24">
        <v>45862</v>
      </c>
      <c r="V275" s="24">
        <v>45863</v>
      </c>
      <c r="W275" s="24">
        <v>45866</v>
      </c>
      <c r="X275" s="22" t="s">
        <v>680</v>
      </c>
      <c r="Y275" s="4" t="str">
        <f>IF(Tabela2[[#This Row],[SIGLA]]="","",VLOOKUP(Tabela2[[#This Row],[SIGLA]],Tabela1[[#All],[Sigla Arte]:[Crédito]],2,0))</f>
        <v>LISLLEY GOMES FEIGE/ARQUIVO DA EDITORA</v>
      </c>
      <c r="Z275" s="23"/>
      <c r="AA275" s="23" t="str">
        <f>Tabela2[[#This Row],[ILUSTRADOR CRIAÇÃO]]</f>
        <v>LISLLEY GOMES FEIGE/ARQUIVO DA EDITORA</v>
      </c>
      <c r="AB275" s="22">
        <v>3</v>
      </c>
      <c r="AC275" s="20" t="s">
        <v>661</v>
      </c>
      <c r="AD275" s="20" t="s">
        <v>40</v>
      </c>
      <c r="AE275" s="4" t="str">
        <f t="shared" si="4"/>
        <v>EF1 E002 Ing</v>
      </c>
    </row>
    <row r="276" spans="1:31" s="12" customFormat="1" ht="30" x14ac:dyDescent="0.25">
      <c r="A276" s="23" t="s">
        <v>681</v>
      </c>
      <c r="B276" s="20" t="s">
        <v>32</v>
      </c>
      <c r="C276" s="20" t="s">
        <v>33</v>
      </c>
      <c r="D276" s="20" t="s">
        <v>34</v>
      </c>
      <c r="E276" s="22">
        <v>57</v>
      </c>
      <c r="F276" s="22">
        <v>5</v>
      </c>
      <c r="G276" s="22" t="s">
        <v>682</v>
      </c>
      <c r="H276" s="22"/>
      <c r="I276" s="23" t="s">
        <v>544</v>
      </c>
      <c r="J276" s="23"/>
      <c r="K276" s="22"/>
      <c r="L276" s="22"/>
      <c r="M276" s="23"/>
      <c r="N276" s="23"/>
      <c r="O276" s="26" t="s">
        <v>683</v>
      </c>
      <c r="P276" s="26"/>
      <c r="Q276" s="26"/>
      <c r="R276" s="22"/>
      <c r="S276" s="24"/>
      <c r="T276" s="24"/>
      <c r="U276" s="24"/>
      <c r="V276" s="24"/>
      <c r="W276" s="24"/>
      <c r="X276" s="22" t="s">
        <v>91</v>
      </c>
      <c r="Y276" s="4" t="str">
        <f>IF(Tabela2[[#This Row],[SIGLA]]="","",VLOOKUP(Tabela2[[#This Row],[SIGLA]],Tabela1[[#All],[Sigla Arte]:[Crédito]],2,0))</f>
        <v>HELOÍSA PINTARELLI/ARQUIVO DA EDITORA</v>
      </c>
      <c r="Z276" s="23"/>
      <c r="AA276" s="23" t="str">
        <f>Tabela2[[#This Row],[ILUSTRADOR CRIAÇÃO]]</f>
        <v>HELOÍSA PINTARELLI/ARQUIVO DA EDITORA</v>
      </c>
      <c r="AB276" s="22"/>
      <c r="AC276" s="20"/>
      <c r="AD276" s="20"/>
      <c r="AE276" s="4" t="str">
        <f t="shared" si="4"/>
        <v>EF1 E002 Ing</v>
      </c>
    </row>
    <row r="277" spans="1:31" s="12" customFormat="1" ht="45" x14ac:dyDescent="0.25">
      <c r="A277" s="23" t="s">
        <v>684</v>
      </c>
      <c r="B277" s="20" t="s">
        <v>32</v>
      </c>
      <c r="C277" s="20" t="s">
        <v>33</v>
      </c>
      <c r="D277" s="20" t="s">
        <v>34</v>
      </c>
      <c r="E277" s="22">
        <v>57</v>
      </c>
      <c r="F277" s="22">
        <v>5</v>
      </c>
      <c r="G277" s="22" t="s">
        <v>682</v>
      </c>
      <c r="H277" s="22"/>
      <c r="I277" s="23" t="s">
        <v>36</v>
      </c>
      <c r="J277" s="23"/>
      <c r="K277" s="22"/>
      <c r="L277" s="22"/>
      <c r="M277" s="23"/>
      <c r="N277" s="23"/>
      <c r="O277" s="26" t="s">
        <v>685</v>
      </c>
      <c r="P277" s="26"/>
      <c r="Q277" s="26"/>
      <c r="R277" s="22">
        <v>44</v>
      </c>
      <c r="S277" s="24">
        <v>45854</v>
      </c>
      <c r="T277" s="24">
        <v>45862</v>
      </c>
      <c r="U277" s="24"/>
      <c r="V277" s="24"/>
      <c r="W277" s="24">
        <v>45862</v>
      </c>
      <c r="X277" s="22" t="s">
        <v>377</v>
      </c>
      <c r="Y277" s="4" t="str">
        <f>IF(Tabela2[[#This Row],[SIGLA]]="","",VLOOKUP(Tabela2[[#This Row],[SIGLA]],Tabela1[[#All],[Sigla Arte]:[Crédito]],2,0))</f>
        <v>FELIPE GRIGOLI/ARQUIVO DA EDITORA</v>
      </c>
      <c r="Z277" s="20" t="s">
        <v>415</v>
      </c>
      <c r="AA277" s="23" t="str">
        <f>Tabela2[[#This Row],[ILUSTRADOR CRIAÇÃO]]</f>
        <v>FELIPE GRIGOLI/ARQUIVO DA EDITORA</v>
      </c>
      <c r="AB277" s="22">
        <v>4</v>
      </c>
      <c r="AC277" s="20" t="s">
        <v>415</v>
      </c>
      <c r="AD277" s="20" t="s">
        <v>58</v>
      </c>
      <c r="AE277" s="4" t="str">
        <f t="shared" si="4"/>
        <v>EF1 E002 Ing</v>
      </c>
    </row>
    <row r="278" spans="1:31" s="12" customFormat="1" ht="60" x14ac:dyDescent="0.25">
      <c r="A278" s="23" t="s">
        <v>686</v>
      </c>
      <c r="B278" s="20" t="s">
        <v>32</v>
      </c>
      <c r="C278" s="20" t="s">
        <v>33</v>
      </c>
      <c r="D278" s="20" t="s">
        <v>34</v>
      </c>
      <c r="E278" s="22">
        <v>57</v>
      </c>
      <c r="F278" s="22">
        <v>5</v>
      </c>
      <c r="G278" s="22" t="s">
        <v>682</v>
      </c>
      <c r="H278" s="22"/>
      <c r="I278" s="23" t="s">
        <v>36</v>
      </c>
      <c r="J278" s="23"/>
      <c r="K278" s="22"/>
      <c r="L278" s="22"/>
      <c r="M278" s="23"/>
      <c r="N278" s="23"/>
      <c r="O278" s="26" t="s">
        <v>687</v>
      </c>
      <c r="P278" s="26"/>
      <c r="Q278" s="26"/>
      <c r="R278" s="22">
        <v>44</v>
      </c>
      <c r="S278" s="24">
        <v>45854</v>
      </c>
      <c r="T278" s="24">
        <v>45868</v>
      </c>
      <c r="U278" s="24"/>
      <c r="V278" s="24"/>
      <c r="W278" s="24">
        <v>45868</v>
      </c>
      <c r="X278" s="22" t="s">
        <v>377</v>
      </c>
      <c r="Y278" s="4" t="str">
        <f>IF(Tabela2[[#This Row],[SIGLA]]="","",VLOOKUP(Tabela2[[#This Row],[SIGLA]],Tabela1[[#All],[Sigla Arte]:[Crédito]],2,0))</f>
        <v>FELIPE GRIGOLI/ARQUIVO DA EDITORA</v>
      </c>
      <c r="Z278" s="23"/>
      <c r="AA278" s="23" t="str">
        <f>Tabela2[[#This Row],[ILUSTRADOR CRIAÇÃO]]</f>
        <v>FELIPE GRIGOLI/ARQUIVO DA EDITORA</v>
      </c>
      <c r="AB278" s="22">
        <v>5</v>
      </c>
      <c r="AC278" s="20" t="s">
        <v>378</v>
      </c>
      <c r="AD278" s="20" t="s">
        <v>58</v>
      </c>
      <c r="AE278" s="4" t="str">
        <f t="shared" si="4"/>
        <v>EF1 E002 Ing</v>
      </c>
    </row>
    <row r="279" spans="1:31" s="12" customFormat="1" ht="45" x14ac:dyDescent="0.25">
      <c r="A279" s="23" t="s">
        <v>688</v>
      </c>
      <c r="B279" s="20" t="s">
        <v>32</v>
      </c>
      <c r="C279" s="20" t="s">
        <v>33</v>
      </c>
      <c r="D279" s="20" t="s">
        <v>34</v>
      </c>
      <c r="E279" s="22">
        <v>57</v>
      </c>
      <c r="F279" s="22">
        <v>5</v>
      </c>
      <c r="G279" s="22" t="s">
        <v>682</v>
      </c>
      <c r="H279" s="22"/>
      <c r="I279" s="23" t="s">
        <v>36</v>
      </c>
      <c r="J279" s="23"/>
      <c r="K279" s="22"/>
      <c r="L279" s="22"/>
      <c r="M279" s="23"/>
      <c r="N279" s="23"/>
      <c r="O279" s="26" t="s">
        <v>689</v>
      </c>
      <c r="P279" s="26"/>
      <c r="Q279" s="26"/>
      <c r="R279" s="22">
        <v>44</v>
      </c>
      <c r="S279" s="24">
        <v>45854</v>
      </c>
      <c r="T279" s="24">
        <v>45868</v>
      </c>
      <c r="U279" s="24"/>
      <c r="V279" s="24"/>
      <c r="W279" s="24">
        <v>45868</v>
      </c>
      <c r="X279" s="22" t="s">
        <v>377</v>
      </c>
      <c r="Y279" s="4" t="str">
        <f>IF(Tabela2[[#This Row],[SIGLA]]="","",VLOOKUP(Tabela2[[#This Row],[SIGLA]],Tabela1[[#All],[Sigla Arte]:[Crédito]],2,0))</f>
        <v>FELIPE GRIGOLI/ARQUIVO DA EDITORA</v>
      </c>
      <c r="Z279" s="23"/>
      <c r="AA279" s="23" t="str">
        <f>Tabela2[[#This Row],[ILUSTRADOR CRIAÇÃO]]</f>
        <v>FELIPE GRIGOLI/ARQUIVO DA EDITORA</v>
      </c>
      <c r="AB279" s="22">
        <v>5</v>
      </c>
      <c r="AC279" s="20" t="s">
        <v>378</v>
      </c>
      <c r="AD279" s="20" t="s">
        <v>58</v>
      </c>
      <c r="AE279" s="4" t="str">
        <f t="shared" si="4"/>
        <v>EF1 E002 Ing</v>
      </c>
    </row>
    <row r="280" spans="1:31" s="12" customFormat="1" ht="60" x14ac:dyDescent="0.25">
      <c r="A280" s="23" t="s">
        <v>690</v>
      </c>
      <c r="B280" s="20" t="s">
        <v>32</v>
      </c>
      <c r="C280" s="20" t="s">
        <v>33</v>
      </c>
      <c r="D280" s="20" t="s">
        <v>34</v>
      </c>
      <c r="E280" s="22">
        <v>57</v>
      </c>
      <c r="F280" s="22">
        <v>5</v>
      </c>
      <c r="G280" s="22" t="s">
        <v>682</v>
      </c>
      <c r="H280" s="22"/>
      <c r="I280" s="23" t="s">
        <v>36</v>
      </c>
      <c r="J280" s="23"/>
      <c r="K280" s="22"/>
      <c r="L280" s="22"/>
      <c r="M280" s="23"/>
      <c r="N280" s="23"/>
      <c r="O280" s="26" t="s">
        <v>691</v>
      </c>
      <c r="P280" s="26"/>
      <c r="Q280" s="26"/>
      <c r="R280" s="22">
        <v>44</v>
      </c>
      <c r="S280" s="24">
        <v>45854</v>
      </c>
      <c r="T280" s="24">
        <v>45868</v>
      </c>
      <c r="U280" s="24"/>
      <c r="V280" s="24"/>
      <c r="W280" s="24">
        <v>45868</v>
      </c>
      <c r="X280" s="22" t="s">
        <v>377</v>
      </c>
      <c r="Y280" s="4" t="str">
        <f>IF(Tabela2[[#This Row],[SIGLA]]="","",VLOOKUP(Tabela2[[#This Row],[SIGLA]],Tabela1[[#All],[Sigla Arte]:[Crédito]],2,0))</f>
        <v>FELIPE GRIGOLI/ARQUIVO DA EDITORA</v>
      </c>
      <c r="Z280" s="23"/>
      <c r="AA280" s="23" t="str">
        <f>Tabela2[[#This Row],[ILUSTRADOR CRIAÇÃO]]</f>
        <v>FELIPE GRIGOLI/ARQUIVO DA EDITORA</v>
      </c>
      <c r="AB280" s="22">
        <v>5</v>
      </c>
      <c r="AC280" s="20" t="s">
        <v>378</v>
      </c>
      <c r="AD280" s="20" t="s">
        <v>58</v>
      </c>
      <c r="AE280" s="4" t="str">
        <f t="shared" si="4"/>
        <v>EF1 E002 Ing</v>
      </c>
    </row>
    <row r="281" spans="1:31" s="12" customFormat="1" ht="45" x14ac:dyDescent="0.25">
      <c r="A281" s="23" t="s">
        <v>692</v>
      </c>
      <c r="B281" s="20" t="s">
        <v>32</v>
      </c>
      <c r="C281" s="20" t="s">
        <v>33</v>
      </c>
      <c r="D281" s="20" t="s">
        <v>34</v>
      </c>
      <c r="E281" s="22">
        <v>57</v>
      </c>
      <c r="F281" s="22">
        <v>5</v>
      </c>
      <c r="G281" s="22" t="s">
        <v>682</v>
      </c>
      <c r="H281" s="22"/>
      <c r="I281" s="23" t="s">
        <v>36</v>
      </c>
      <c r="J281" s="23"/>
      <c r="K281" s="22"/>
      <c r="L281" s="22"/>
      <c r="M281" s="23"/>
      <c r="N281" s="23"/>
      <c r="O281" s="26" t="s">
        <v>693</v>
      </c>
      <c r="P281" s="26"/>
      <c r="Q281" s="26"/>
      <c r="R281" s="22">
        <v>44</v>
      </c>
      <c r="S281" s="24">
        <v>45854</v>
      </c>
      <c r="T281" s="24">
        <v>45868</v>
      </c>
      <c r="U281" s="24"/>
      <c r="V281" s="24"/>
      <c r="W281" s="24">
        <v>45868</v>
      </c>
      <c r="X281" s="22" t="s">
        <v>377</v>
      </c>
      <c r="Y281" s="4" t="str">
        <f>IF(Tabela2[[#This Row],[SIGLA]]="","",VLOOKUP(Tabela2[[#This Row],[SIGLA]],Tabela1[[#All],[Sigla Arte]:[Crédito]],2,0))</f>
        <v>FELIPE GRIGOLI/ARQUIVO DA EDITORA</v>
      </c>
      <c r="Z281" s="23"/>
      <c r="AA281" s="23" t="str">
        <f>Tabela2[[#This Row],[ILUSTRADOR CRIAÇÃO]]</f>
        <v>FELIPE GRIGOLI/ARQUIVO DA EDITORA</v>
      </c>
      <c r="AB281" s="22">
        <v>5</v>
      </c>
      <c r="AC281" s="20" t="s">
        <v>378</v>
      </c>
      <c r="AD281" s="20" t="s">
        <v>58</v>
      </c>
      <c r="AE281" s="4" t="str">
        <f t="shared" si="4"/>
        <v>EF1 E002 Ing</v>
      </c>
    </row>
    <row r="282" spans="1:31" s="12" customFormat="1" ht="60" x14ac:dyDescent="0.25">
      <c r="A282" s="23" t="s">
        <v>694</v>
      </c>
      <c r="B282" s="20" t="s">
        <v>32</v>
      </c>
      <c r="C282" s="20" t="s">
        <v>33</v>
      </c>
      <c r="D282" s="20" t="s">
        <v>34</v>
      </c>
      <c r="E282" s="22">
        <v>57</v>
      </c>
      <c r="F282" s="22">
        <v>5</v>
      </c>
      <c r="G282" s="22" t="s">
        <v>682</v>
      </c>
      <c r="H282" s="22"/>
      <c r="I282" s="23" t="s">
        <v>36</v>
      </c>
      <c r="J282" s="23"/>
      <c r="K282" s="22"/>
      <c r="L282" s="22"/>
      <c r="M282" s="23"/>
      <c r="N282" s="23"/>
      <c r="O282" s="26" t="s">
        <v>695</v>
      </c>
      <c r="P282" s="26"/>
      <c r="Q282" s="26"/>
      <c r="R282" s="22">
        <v>44</v>
      </c>
      <c r="S282" s="24">
        <v>45854</v>
      </c>
      <c r="T282" s="24">
        <v>45868</v>
      </c>
      <c r="U282" s="24"/>
      <c r="V282" s="24"/>
      <c r="W282" s="24">
        <v>45868</v>
      </c>
      <c r="X282" s="22" t="s">
        <v>377</v>
      </c>
      <c r="Y282" s="4" t="str">
        <f>IF(Tabela2[[#This Row],[SIGLA]]="","",VLOOKUP(Tabela2[[#This Row],[SIGLA]],Tabela1[[#All],[Sigla Arte]:[Crédito]],2,0))</f>
        <v>FELIPE GRIGOLI/ARQUIVO DA EDITORA</v>
      </c>
      <c r="Z282" s="23"/>
      <c r="AA282" s="23" t="str">
        <f>Tabela2[[#This Row],[ILUSTRADOR CRIAÇÃO]]</f>
        <v>FELIPE GRIGOLI/ARQUIVO DA EDITORA</v>
      </c>
      <c r="AB282" s="22">
        <v>5</v>
      </c>
      <c r="AC282" s="20" t="s">
        <v>378</v>
      </c>
      <c r="AD282" s="20" t="s">
        <v>58</v>
      </c>
      <c r="AE282" s="4" t="str">
        <f t="shared" si="4"/>
        <v>EF1 E002 Ing</v>
      </c>
    </row>
    <row r="283" spans="1:31" s="12" customFormat="1" ht="60" x14ac:dyDescent="0.25">
      <c r="A283" s="23" t="s">
        <v>696</v>
      </c>
      <c r="B283" s="20" t="s">
        <v>125</v>
      </c>
      <c r="C283" s="20" t="s">
        <v>33</v>
      </c>
      <c r="D283" s="20" t="s">
        <v>34</v>
      </c>
      <c r="E283" s="22">
        <v>58</v>
      </c>
      <c r="F283" s="22">
        <v>5</v>
      </c>
      <c r="G283" s="22" t="s">
        <v>682</v>
      </c>
      <c r="H283" s="22"/>
      <c r="I283" s="23" t="s">
        <v>36</v>
      </c>
      <c r="J283" s="23"/>
      <c r="K283" s="22"/>
      <c r="L283" s="22"/>
      <c r="M283" s="23"/>
      <c r="N283" s="23"/>
      <c r="O283" s="26" t="s">
        <v>697</v>
      </c>
      <c r="P283" s="26"/>
      <c r="Q283" s="26"/>
      <c r="R283" s="22">
        <v>44</v>
      </c>
      <c r="S283" s="24">
        <v>45854</v>
      </c>
      <c r="T283" s="24">
        <v>45868</v>
      </c>
      <c r="U283" s="24"/>
      <c r="V283" s="24"/>
      <c r="W283" s="24">
        <v>45868</v>
      </c>
      <c r="X283" s="22" t="s">
        <v>377</v>
      </c>
      <c r="Y283" s="4" t="str">
        <f>IF(Tabela2[[#This Row],[SIGLA]]="","",VLOOKUP(Tabela2[[#This Row],[SIGLA]],Tabela1[[#All],[Sigla Arte]:[Crédito]],2,0))</f>
        <v>FELIPE GRIGOLI/ARQUIVO DA EDITORA</v>
      </c>
      <c r="Z283" s="23"/>
      <c r="AA283" s="23" t="str">
        <f>Tabela2[[#This Row],[ILUSTRADOR CRIAÇÃO]]</f>
        <v>FELIPE GRIGOLI/ARQUIVO DA EDITORA</v>
      </c>
      <c r="AB283" s="22">
        <v>5</v>
      </c>
      <c r="AC283" s="20" t="s">
        <v>378</v>
      </c>
      <c r="AD283" s="20" t="s">
        <v>58</v>
      </c>
      <c r="AE283" s="4" t="str">
        <f t="shared" si="4"/>
        <v>EF1 E002 Ing</v>
      </c>
    </row>
    <row r="284" spans="1:31" s="12" customFormat="1" ht="45" x14ac:dyDescent="0.25">
      <c r="A284" s="23" t="s">
        <v>698</v>
      </c>
      <c r="B284" s="20" t="s">
        <v>125</v>
      </c>
      <c r="C284" s="20" t="s">
        <v>33</v>
      </c>
      <c r="D284" s="20" t="s">
        <v>34</v>
      </c>
      <c r="E284" s="22">
        <v>58</v>
      </c>
      <c r="F284" s="22">
        <v>5</v>
      </c>
      <c r="G284" s="22" t="s">
        <v>682</v>
      </c>
      <c r="H284" s="22"/>
      <c r="I284" s="23" t="s">
        <v>699</v>
      </c>
      <c r="J284" s="23"/>
      <c r="K284" s="22"/>
      <c r="L284" s="22"/>
      <c r="M284" s="23"/>
      <c r="N284" s="23"/>
      <c r="O284" s="26" t="s">
        <v>700</v>
      </c>
      <c r="P284" s="26"/>
      <c r="Q284" s="26"/>
      <c r="R284" s="22">
        <v>44</v>
      </c>
      <c r="S284" s="24">
        <v>45854</v>
      </c>
      <c r="T284" s="24">
        <v>45868</v>
      </c>
      <c r="U284" s="24"/>
      <c r="V284" s="24"/>
      <c r="W284" s="24">
        <v>45868</v>
      </c>
      <c r="X284" s="22" t="s">
        <v>377</v>
      </c>
      <c r="Y284" s="4" t="str">
        <f>IF(Tabela2[[#This Row],[SIGLA]]="","",VLOOKUP(Tabela2[[#This Row],[SIGLA]],Tabela1[[#All],[Sigla Arte]:[Crédito]],2,0))</f>
        <v>FELIPE GRIGOLI/ARQUIVO DA EDITORA</v>
      </c>
      <c r="Z284" s="23"/>
      <c r="AA284" s="23" t="str">
        <f>Tabela2[[#This Row],[ILUSTRADOR CRIAÇÃO]]</f>
        <v>FELIPE GRIGOLI/ARQUIVO DA EDITORA</v>
      </c>
      <c r="AB284" s="22">
        <v>5</v>
      </c>
      <c r="AC284" s="20" t="s">
        <v>378</v>
      </c>
      <c r="AD284" s="20" t="s">
        <v>58</v>
      </c>
      <c r="AE284" s="4" t="str">
        <f t="shared" si="4"/>
        <v>EF1 E002 Ing</v>
      </c>
    </row>
    <row r="285" spans="1:31" s="12" customFormat="1" ht="30" x14ac:dyDescent="0.25">
      <c r="A285" s="23" t="s">
        <v>701</v>
      </c>
      <c r="B285" s="20" t="s">
        <v>32</v>
      </c>
      <c r="C285" s="20" t="s">
        <v>33</v>
      </c>
      <c r="D285" s="20" t="s">
        <v>34</v>
      </c>
      <c r="E285" s="22">
        <v>58</v>
      </c>
      <c r="F285" s="22">
        <v>5</v>
      </c>
      <c r="G285" s="22" t="s">
        <v>682</v>
      </c>
      <c r="H285" s="22"/>
      <c r="I285" s="23" t="s">
        <v>544</v>
      </c>
      <c r="J285" s="23"/>
      <c r="K285" s="22"/>
      <c r="L285" s="22"/>
      <c r="M285" s="23"/>
      <c r="N285" s="23"/>
      <c r="O285" s="26" t="s">
        <v>702</v>
      </c>
      <c r="P285" s="26"/>
      <c r="Q285" s="26"/>
      <c r="R285" s="22"/>
      <c r="S285" s="24"/>
      <c r="T285" s="24"/>
      <c r="U285" s="24"/>
      <c r="V285" s="24"/>
      <c r="W285" s="24"/>
      <c r="X285" s="22" t="s">
        <v>377</v>
      </c>
      <c r="Y285" s="4" t="str">
        <f>IF(Tabela2[[#This Row],[SIGLA]]="","",VLOOKUP(Tabela2[[#This Row],[SIGLA]],Tabela1[[#All],[Sigla Arte]:[Crédito]],2,0))</f>
        <v>FELIPE GRIGOLI/ARQUIVO DA EDITORA</v>
      </c>
      <c r="Z285" s="23"/>
      <c r="AA285" s="23" t="str">
        <f>Tabela2[[#This Row],[ILUSTRADOR CRIAÇÃO]]</f>
        <v>FELIPE GRIGOLI/ARQUIVO DA EDITORA</v>
      </c>
      <c r="AB285" s="22"/>
      <c r="AC285" s="20"/>
      <c r="AD285" s="20"/>
      <c r="AE285" s="4" t="str">
        <f t="shared" si="4"/>
        <v>EF1 E002 Ing</v>
      </c>
    </row>
    <row r="286" spans="1:31" s="12" customFormat="1" ht="30" x14ac:dyDescent="0.25">
      <c r="A286" s="23" t="s">
        <v>703</v>
      </c>
      <c r="B286" s="20" t="s">
        <v>32</v>
      </c>
      <c r="C286" s="20" t="s">
        <v>33</v>
      </c>
      <c r="D286" s="20" t="s">
        <v>34</v>
      </c>
      <c r="E286" s="22">
        <v>58</v>
      </c>
      <c r="F286" s="22">
        <v>5</v>
      </c>
      <c r="G286" s="22" t="s">
        <v>682</v>
      </c>
      <c r="H286" s="22"/>
      <c r="I286" s="23" t="s">
        <v>544</v>
      </c>
      <c r="J286" s="23"/>
      <c r="K286" s="22"/>
      <c r="L286" s="22"/>
      <c r="M286" s="23"/>
      <c r="N286" s="23"/>
      <c r="O286" s="26" t="s">
        <v>704</v>
      </c>
      <c r="P286" s="26"/>
      <c r="Q286" s="26"/>
      <c r="R286" s="22"/>
      <c r="S286" s="24"/>
      <c r="T286" s="24"/>
      <c r="U286" s="24"/>
      <c r="V286" s="24"/>
      <c r="W286" s="24"/>
      <c r="X286" s="22" t="s">
        <v>54</v>
      </c>
      <c r="Y286" s="4" t="str">
        <f>IF(Tabela2[[#This Row],[SIGLA]]="","",VLOOKUP(Tabela2[[#This Row],[SIGLA]],Tabela1[[#All],[Sigla Arte]:[Crédito]],2,0))</f>
        <v>RAYANNE CARDOSO/ARQUIVO DA EDITORA</v>
      </c>
      <c r="Z286" s="23"/>
      <c r="AA286" s="23" t="str">
        <f>Tabela2[[#This Row],[ILUSTRADOR CRIAÇÃO]]</f>
        <v>RAYANNE CARDOSO/ARQUIVO DA EDITORA</v>
      </c>
      <c r="AB286" s="22"/>
      <c r="AC286" s="20"/>
      <c r="AD286" s="20"/>
      <c r="AE286" s="4" t="str">
        <f t="shared" si="4"/>
        <v>EF1 E002 Ing</v>
      </c>
    </row>
    <row r="287" spans="1:31" s="12" customFormat="1" ht="45" x14ac:dyDescent="0.25">
      <c r="A287" s="23" t="s">
        <v>705</v>
      </c>
      <c r="B287" s="20" t="s">
        <v>32</v>
      </c>
      <c r="C287" s="20" t="s">
        <v>33</v>
      </c>
      <c r="D287" s="20" t="s">
        <v>34</v>
      </c>
      <c r="E287" s="22">
        <v>58</v>
      </c>
      <c r="F287" s="22">
        <v>5</v>
      </c>
      <c r="G287" s="22" t="s">
        <v>682</v>
      </c>
      <c r="H287" s="22"/>
      <c r="I287" s="23" t="s">
        <v>544</v>
      </c>
      <c r="J287" s="23"/>
      <c r="K287" s="22"/>
      <c r="L287" s="22"/>
      <c r="M287" s="23"/>
      <c r="N287" s="23"/>
      <c r="O287" s="26" t="s">
        <v>706</v>
      </c>
      <c r="P287" s="26"/>
      <c r="Q287" s="26"/>
      <c r="R287" s="22"/>
      <c r="S287" s="24"/>
      <c r="T287" s="24"/>
      <c r="U287" s="24"/>
      <c r="V287" s="24"/>
      <c r="W287" s="24"/>
      <c r="X287" s="22" t="s">
        <v>377</v>
      </c>
      <c r="Y287" s="4" t="str">
        <f>IF(Tabela2[[#This Row],[SIGLA]]="","",VLOOKUP(Tabela2[[#This Row],[SIGLA]],Tabela1[[#All],[Sigla Arte]:[Crédito]],2,0))</f>
        <v>FELIPE GRIGOLI/ARQUIVO DA EDITORA</v>
      </c>
      <c r="Z287" s="23"/>
      <c r="AA287" s="23" t="str">
        <f>Tabela2[[#This Row],[ILUSTRADOR CRIAÇÃO]]</f>
        <v>FELIPE GRIGOLI/ARQUIVO DA EDITORA</v>
      </c>
      <c r="AB287" s="22"/>
      <c r="AC287" s="20"/>
      <c r="AD287" s="20"/>
      <c r="AE287" s="4" t="str">
        <f t="shared" si="4"/>
        <v>EF1 E002 Ing</v>
      </c>
    </row>
    <row r="288" spans="1:31" s="12" customFormat="1" ht="45" x14ac:dyDescent="0.25">
      <c r="A288" s="23" t="s">
        <v>707</v>
      </c>
      <c r="B288" s="20" t="s">
        <v>32</v>
      </c>
      <c r="C288" s="20" t="s">
        <v>33</v>
      </c>
      <c r="D288" s="20" t="s">
        <v>34</v>
      </c>
      <c r="E288" s="22">
        <v>58</v>
      </c>
      <c r="F288" s="22">
        <v>5</v>
      </c>
      <c r="G288" s="22" t="s">
        <v>682</v>
      </c>
      <c r="H288" s="22"/>
      <c r="I288" s="23" t="s">
        <v>544</v>
      </c>
      <c r="J288" s="23"/>
      <c r="K288" s="22"/>
      <c r="L288" s="22"/>
      <c r="M288" s="23"/>
      <c r="N288" s="23"/>
      <c r="O288" s="26" t="s">
        <v>708</v>
      </c>
      <c r="P288" s="26"/>
      <c r="Q288" s="26"/>
      <c r="R288" s="22"/>
      <c r="S288" s="24"/>
      <c r="T288" s="24"/>
      <c r="U288" s="24"/>
      <c r="V288" s="24"/>
      <c r="W288" s="24"/>
      <c r="X288" s="22" t="s">
        <v>54</v>
      </c>
      <c r="Y288" s="4" t="str">
        <f>IF(Tabela2[[#This Row],[SIGLA]]="","",VLOOKUP(Tabela2[[#This Row],[SIGLA]],Tabela1[[#All],[Sigla Arte]:[Crédito]],2,0))</f>
        <v>RAYANNE CARDOSO/ARQUIVO DA EDITORA</v>
      </c>
      <c r="Z288" s="23"/>
      <c r="AA288" s="23" t="str">
        <f>Tabela2[[#This Row],[ILUSTRADOR CRIAÇÃO]]</f>
        <v>RAYANNE CARDOSO/ARQUIVO DA EDITORA</v>
      </c>
      <c r="AB288" s="22"/>
      <c r="AC288" s="20"/>
      <c r="AD288" s="20"/>
      <c r="AE288" s="4" t="str">
        <f t="shared" si="4"/>
        <v>EF1 E002 Ing</v>
      </c>
    </row>
    <row r="289" spans="1:31" s="12" customFormat="1" ht="30" x14ac:dyDescent="0.25">
      <c r="A289" s="23" t="s">
        <v>709</v>
      </c>
      <c r="B289" s="20" t="s">
        <v>32</v>
      </c>
      <c r="C289" s="20" t="s">
        <v>33</v>
      </c>
      <c r="D289" s="20" t="s">
        <v>34</v>
      </c>
      <c r="E289" s="22">
        <v>58</v>
      </c>
      <c r="F289" s="22">
        <v>5</v>
      </c>
      <c r="G289" s="22" t="s">
        <v>682</v>
      </c>
      <c r="H289" s="22"/>
      <c r="I289" s="23" t="s">
        <v>544</v>
      </c>
      <c r="J289" s="23"/>
      <c r="K289" s="22"/>
      <c r="L289" s="22"/>
      <c r="M289" s="23"/>
      <c r="N289" s="23"/>
      <c r="O289" s="26" t="s">
        <v>710</v>
      </c>
      <c r="P289" s="26"/>
      <c r="Q289" s="26"/>
      <c r="R289" s="22"/>
      <c r="S289" s="24"/>
      <c r="T289" s="24"/>
      <c r="U289" s="24"/>
      <c r="V289" s="24"/>
      <c r="W289" s="24"/>
      <c r="X289" s="22" t="s">
        <v>54</v>
      </c>
      <c r="Y289" s="4" t="str">
        <f>IF(Tabela2[[#This Row],[SIGLA]]="","",VLOOKUP(Tabela2[[#This Row],[SIGLA]],Tabela1[[#All],[Sigla Arte]:[Crédito]],2,0))</f>
        <v>RAYANNE CARDOSO/ARQUIVO DA EDITORA</v>
      </c>
      <c r="Z289" s="23"/>
      <c r="AA289" s="23" t="str">
        <f>Tabela2[[#This Row],[ILUSTRADOR CRIAÇÃO]]</f>
        <v>RAYANNE CARDOSO/ARQUIVO DA EDITORA</v>
      </c>
      <c r="AB289" s="22"/>
      <c r="AC289" s="20"/>
      <c r="AD289" s="20"/>
      <c r="AE289" s="4" t="str">
        <f t="shared" si="4"/>
        <v>EF1 E002 Ing</v>
      </c>
    </row>
    <row r="290" spans="1:31" s="12" customFormat="1" ht="45" x14ac:dyDescent="0.25">
      <c r="A290" s="23" t="s">
        <v>711</v>
      </c>
      <c r="B290" s="20" t="s">
        <v>32</v>
      </c>
      <c r="C290" s="20" t="s">
        <v>33</v>
      </c>
      <c r="D290" s="20" t="s">
        <v>34</v>
      </c>
      <c r="E290" s="22">
        <v>58</v>
      </c>
      <c r="F290" s="22">
        <v>5</v>
      </c>
      <c r="G290" s="22" t="s">
        <v>682</v>
      </c>
      <c r="H290" s="22"/>
      <c r="I290" s="23" t="s">
        <v>544</v>
      </c>
      <c r="J290" s="23"/>
      <c r="K290" s="22"/>
      <c r="L290" s="22"/>
      <c r="M290" s="23"/>
      <c r="N290" s="23"/>
      <c r="O290" s="26" t="s">
        <v>712</v>
      </c>
      <c r="P290" s="26"/>
      <c r="Q290" s="26"/>
      <c r="R290" s="22"/>
      <c r="S290" s="24"/>
      <c r="T290" s="24"/>
      <c r="U290" s="24"/>
      <c r="V290" s="24"/>
      <c r="W290" s="24"/>
      <c r="X290" s="22" t="s">
        <v>377</v>
      </c>
      <c r="Y290" s="4" t="str">
        <f>IF(Tabela2[[#This Row],[SIGLA]]="","",VLOOKUP(Tabela2[[#This Row],[SIGLA]],Tabela1[[#All],[Sigla Arte]:[Crédito]],2,0))</f>
        <v>FELIPE GRIGOLI/ARQUIVO DA EDITORA</v>
      </c>
      <c r="Z290" s="23"/>
      <c r="AA290" s="23" t="str">
        <f>Tabela2[[#This Row],[ILUSTRADOR CRIAÇÃO]]</f>
        <v>FELIPE GRIGOLI/ARQUIVO DA EDITORA</v>
      </c>
      <c r="AB290" s="22"/>
      <c r="AC290" s="20"/>
      <c r="AD290" s="20"/>
      <c r="AE290" s="4" t="str">
        <f t="shared" si="4"/>
        <v>EF1 E002 Ing</v>
      </c>
    </row>
    <row r="291" spans="1:31" s="12" customFormat="1" ht="45" x14ac:dyDescent="0.25">
      <c r="A291" s="23" t="s">
        <v>713</v>
      </c>
      <c r="B291" s="20" t="s">
        <v>32</v>
      </c>
      <c r="C291" s="20" t="s">
        <v>33</v>
      </c>
      <c r="D291" s="20" t="s">
        <v>34</v>
      </c>
      <c r="E291" s="22">
        <v>58</v>
      </c>
      <c r="F291" s="22">
        <v>5</v>
      </c>
      <c r="G291" s="22" t="s">
        <v>682</v>
      </c>
      <c r="H291" s="22"/>
      <c r="I291" s="23" t="s">
        <v>544</v>
      </c>
      <c r="J291" s="23"/>
      <c r="K291" s="22"/>
      <c r="L291" s="22"/>
      <c r="M291" s="23"/>
      <c r="N291" s="23"/>
      <c r="O291" s="26" t="s">
        <v>714</v>
      </c>
      <c r="P291" s="26"/>
      <c r="Q291" s="26"/>
      <c r="R291" s="22"/>
      <c r="S291" s="24"/>
      <c r="T291" s="24"/>
      <c r="U291" s="24"/>
      <c r="V291" s="24"/>
      <c r="W291" s="24"/>
      <c r="X291" s="22" t="s">
        <v>54</v>
      </c>
      <c r="Y291" s="4" t="str">
        <f>IF(Tabela2[[#This Row],[SIGLA]]="","",VLOOKUP(Tabela2[[#This Row],[SIGLA]],Tabela1[[#All],[Sigla Arte]:[Crédito]],2,0))</f>
        <v>RAYANNE CARDOSO/ARQUIVO DA EDITORA</v>
      </c>
      <c r="Z291" s="23"/>
      <c r="AA291" s="23" t="str">
        <f>Tabela2[[#This Row],[ILUSTRADOR CRIAÇÃO]]</f>
        <v>RAYANNE CARDOSO/ARQUIVO DA EDITORA</v>
      </c>
      <c r="AB291" s="22"/>
      <c r="AC291" s="20"/>
      <c r="AD291" s="20"/>
      <c r="AE291" s="4" t="str">
        <f t="shared" si="4"/>
        <v>EF1 E002 Ing</v>
      </c>
    </row>
    <row r="292" spans="1:31" s="12" customFormat="1" ht="45" x14ac:dyDescent="0.25">
      <c r="A292" s="23" t="s">
        <v>715</v>
      </c>
      <c r="B292" s="20" t="s">
        <v>32</v>
      </c>
      <c r="C292" s="20" t="s">
        <v>33</v>
      </c>
      <c r="D292" s="20" t="s">
        <v>34</v>
      </c>
      <c r="E292" s="22">
        <v>58</v>
      </c>
      <c r="F292" s="22">
        <v>5</v>
      </c>
      <c r="G292" s="22" t="s">
        <v>682</v>
      </c>
      <c r="H292" s="22"/>
      <c r="I292" s="23" t="s">
        <v>544</v>
      </c>
      <c r="J292" s="23"/>
      <c r="K292" s="22"/>
      <c r="L292" s="22"/>
      <c r="M292" s="23"/>
      <c r="N292" s="23"/>
      <c r="O292" s="26" t="s">
        <v>716</v>
      </c>
      <c r="P292" s="26"/>
      <c r="Q292" s="26"/>
      <c r="R292" s="22"/>
      <c r="S292" s="24"/>
      <c r="T292" s="24"/>
      <c r="U292" s="24"/>
      <c r="V292" s="24"/>
      <c r="W292" s="24"/>
      <c r="X292" s="22" t="s">
        <v>377</v>
      </c>
      <c r="Y292" s="4" t="str">
        <f>IF(Tabela2[[#This Row],[SIGLA]]="","",VLOOKUP(Tabela2[[#This Row],[SIGLA]],Tabela1[[#All],[Sigla Arte]:[Crédito]],2,0))</f>
        <v>FELIPE GRIGOLI/ARQUIVO DA EDITORA</v>
      </c>
      <c r="Z292" s="23"/>
      <c r="AA292" s="23" t="str">
        <f>Tabela2[[#This Row],[ILUSTRADOR CRIAÇÃO]]</f>
        <v>FELIPE GRIGOLI/ARQUIVO DA EDITORA</v>
      </c>
      <c r="AB292" s="22"/>
      <c r="AC292" s="20"/>
      <c r="AD292" s="20"/>
      <c r="AE292" s="4" t="str">
        <f t="shared" si="4"/>
        <v>EF1 E002 Ing</v>
      </c>
    </row>
    <row r="293" spans="1:31" s="12" customFormat="1" x14ac:dyDescent="0.25">
      <c r="A293" s="23" t="s">
        <v>717</v>
      </c>
      <c r="B293" s="20" t="s">
        <v>718</v>
      </c>
      <c r="C293" s="20" t="s">
        <v>33</v>
      </c>
      <c r="D293" s="20" t="s">
        <v>719</v>
      </c>
      <c r="E293" s="22">
        <v>1</v>
      </c>
      <c r="F293" s="22">
        <v>1</v>
      </c>
      <c r="G293" s="22">
        <v>1</v>
      </c>
      <c r="H293" s="22"/>
      <c r="I293" s="23" t="s">
        <v>36</v>
      </c>
      <c r="J293" s="23"/>
      <c r="K293" s="22"/>
      <c r="L293" s="22"/>
      <c r="M293" s="23"/>
      <c r="N293" s="23"/>
      <c r="O293" s="26" t="s">
        <v>720</v>
      </c>
      <c r="P293" s="26"/>
      <c r="Q293" s="26"/>
      <c r="R293" s="22"/>
      <c r="S293" s="24"/>
      <c r="T293" s="24">
        <v>45856</v>
      </c>
      <c r="U293" s="24">
        <v>45861</v>
      </c>
      <c r="V293" s="24">
        <v>45870</v>
      </c>
      <c r="W293" s="24">
        <v>45877</v>
      </c>
      <c r="X293" s="22" t="s">
        <v>721</v>
      </c>
      <c r="Y293" s="4" t="str">
        <f>IF(Tabela2[[#This Row],[SIGLA]]="","",VLOOKUP(Tabela2[[#This Row],[SIGLA]],Tabela1[[#All],[Sigla Arte]:[Crédito]],2,0))</f>
        <v>GIOVANA MEDEIROS/ARQUIVO DA EDITORA</v>
      </c>
      <c r="Z293" s="23"/>
      <c r="AA293" s="23" t="str">
        <f>Tabela2[[#This Row],[ILUSTRADOR CRIAÇÃO]]</f>
        <v>GIOVANA MEDEIROS/ARQUIVO DA EDITORA</v>
      </c>
      <c r="AB293" s="22">
        <v>30</v>
      </c>
      <c r="AC293" s="20" t="s">
        <v>722</v>
      </c>
      <c r="AD293" s="20" t="s">
        <v>40</v>
      </c>
      <c r="AE293" s="4" t="str">
        <f t="shared" si="4"/>
        <v>EF1 E002 Ing</v>
      </c>
    </row>
    <row r="294" spans="1:31" s="12" customFormat="1" ht="75" x14ac:dyDescent="0.25">
      <c r="A294" s="23" t="s">
        <v>723</v>
      </c>
      <c r="B294" s="20" t="s">
        <v>32</v>
      </c>
      <c r="C294" s="20" t="s">
        <v>33</v>
      </c>
      <c r="D294" s="20" t="s">
        <v>34</v>
      </c>
      <c r="E294" s="22">
        <v>36</v>
      </c>
      <c r="F294" s="22">
        <v>5</v>
      </c>
      <c r="G294" s="22">
        <v>3</v>
      </c>
      <c r="H294" s="22"/>
      <c r="I294" s="23" t="s">
        <v>36</v>
      </c>
      <c r="J294" s="23"/>
      <c r="K294" s="22"/>
      <c r="L294" s="22"/>
      <c r="M294" s="23"/>
      <c r="N294" s="23"/>
      <c r="O294" s="26" t="s">
        <v>724</v>
      </c>
      <c r="P294" s="26"/>
      <c r="Q294" s="26"/>
      <c r="R294" s="22">
        <v>45</v>
      </c>
      <c r="S294" s="24">
        <v>45854</v>
      </c>
      <c r="T294" s="24">
        <v>45861</v>
      </c>
      <c r="U294" s="24"/>
      <c r="V294" s="24"/>
      <c r="W294" s="24">
        <v>45864</v>
      </c>
      <c r="X294" s="22" t="s">
        <v>259</v>
      </c>
      <c r="Y294" s="4" t="str">
        <f>IF(Tabela2[[#This Row],[SIGLA]]="","",VLOOKUP(Tabela2[[#This Row],[SIGLA]],Tabela1[[#All],[Sigla Arte]:[Crédito]],2,0))</f>
        <v>CAMILA CARMONA/ARQUIVO DA EDITORA</v>
      </c>
      <c r="Z294" s="23"/>
      <c r="AA294" s="23" t="str">
        <f>Tabela2[[#This Row],[ILUSTRADOR CRIAÇÃO]]</f>
        <v>CAMILA CARMONA/ARQUIVO DA EDITORA</v>
      </c>
      <c r="AB294" s="22">
        <v>7</v>
      </c>
      <c r="AC294" s="20" t="s">
        <v>725</v>
      </c>
      <c r="AD294" s="20" t="s">
        <v>40</v>
      </c>
      <c r="AE294" s="4" t="str">
        <f t="shared" si="4"/>
        <v>EF1 E002 Ing</v>
      </c>
    </row>
    <row r="295" spans="1:31" s="12" customFormat="1" x14ac:dyDescent="0.25">
      <c r="A295" s="23" t="s">
        <v>726</v>
      </c>
      <c r="B295" s="20" t="s">
        <v>32</v>
      </c>
      <c r="C295" s="20" t="s">
        <v>727</v>
      </c>
      <c r="D295" s="20" t="s">
        <v>34</v>
      </c>
      <c r="E295" s="22">
        <v>13</v>
      </c>
      <c r="F295" s="22">
        <v>2</v>
      </c>
      <c r="G295" s="22">
        <v>1</v>
      </c>
      <c r="H295" s="22"/>
      <c r="I295" s="23" t="s">
        <v>36</v>
      </c>
      <c r="J295" s="23"/>
      <c r="K295" s="22"/>
      <c r="L295" s="22"/>
      <c r="M295" s="23"/>
      <c r="N295" s="23"/>
      <c r="O295" s="26" t="s">
        <v>728</v>
      </c>
      <c r="P295" s="26"/>
      <c r="Q295" s="26"/>
      <c r="R295" s="22">
        <v>46</v>
      </c>
      <c r="S295" s="24">
        <v>45855</v>
      </c>
      <c r="T295" s="24">
        <v>45855</v>
      </c>
      <c r="U295" s="24"/>
      <c r="V295" s="24"/>
      <c r="W295" s="24">
        <v>45855</v>
      </c>
      <c r="X295" s="22" t="s">
        <v>729</v>
      </c>
      <c r="Y295" s="4" t="str">
        <f>IF(Tabela2[[#This Row],[SIGLA]]="","",VLOOKUP(Tabela2[[#This Row],[SIGLA]],Tabela1[[#All],[Sigla Arte]:[Crédito]],2,0))</f>
        <v>RAFAELA PANISSA/ARQUIVO DA EDITORA</v>
      </c>
      <c r="Z295" s="23"/>
      <c r="AA295" s="23" t="str">
        <f>Tabela2[[#This Row],[ILUSTRADOR CRIAÇÃO]]</f>
        <v>RAFAELA PANISSA/ARQUIVO DA EDITORA</v>
      </c>
      <c r="AB295" s="22">
        <v>8</v>
      </c>
      <c r="AC295" s="20" t="s">
        <v>730</v>
      </c>
      <c r="AD295" s="20" t="s">
        <v>58</v>
      </c>
      <c r="AE295" s="4" t="str">
        <f t="shared" si="4"/>
        <v>EF1 E002 Ing</v>
      </c>
    </row>
    <row r="296" spans="1:31" s="12" customFormat="1" ht="60" x14ac:dyDescent="0.25">
      <c r="A296" s="23" t="s">
        <v>731</v>
      </c>
      <c r="B296" s="20" t="s">
        <v>125</v>
      </c>
      <c r="C296" s="20" t="s">
        <v>33</v>
      </c>
      <c r="D296" s="20" t="s">
        <v>34</v>
      </c>
      <c r="E296" s="22">
        <v>48</v>
      </c>
      <c r="F296" s="22">
        <v>5</v>
      </c>
      <c r="G296" s="22">
        <v>4</v>
      </c>
      <c r="H296" s="22"/>
      <c r="I296" s="23" t="s">
        <v>36</v>
      </c>
      <c r="J296" s="23"/>
      <c r="K296" s="22"/>
      <c r="L296" s="22"/>
      <c r="M296" s="23"/>
      <c r="N296" s="23"/>
      <c r="O296" s="26" t="s">
        <v>732</v>
      </c>
      <c r="P296" s="26"/>
      <c r="Q296" s="26"/>
      <c r="R296" s="22">
        <v>47</v>
      </c>
      <c r="S296" s="24">
        <v>45856</v>
      </c>
      <c r="T296" s="24">
        <v>45861</v>
      </c>
      <c r="U296" s="24">
        <v>45862</v>
      </c>
      <c r="V296" s="24">
        <v>45862</v>
      </c>
      <c r="W296" s="24">
        <v>45866</v>
      </c>
      <c r="X296" s="22" t="s">
        <v>47</v>
      </c>
      <c r="Y296" s="4" t="str">
        <f>IF(Tabela2[[#This Row],[SIGLA]]="","",VLOOKUP(Tabela2[[#This Row],[SIGLA]],Tabela1[[#All],[Sigla Arte]:[Crédito]],2,0))</f>
        <v>RAFAEL LUZIO/ARQUIVO DA EDITORA</v>
      </c>
      <c r="Z296" s="23"/>
      <c r="AA296" s="23" t="str">
        <f>Tabela2[[#This Row],[ILUSTRADOR CRIAÇÃO]]</f>
        <v>RAFAEL LUZIO/ARQUIVO DA EDITORA</v>
      </c>
      <c r="AB296" s="22">
        <v>4</v>
      </c>
      <c r="AC296" s="20" t="s">
        <v>661</v>
      </c>
      <c r="AD296" s="20" t="s">
        <v>40</v>
      </c>
      <c r="AE296" s="4" t="str">
        <f t="shared" si="4"/>
        <v>EF1 E002 Ing</v>
      </c>
    </row>
    <row r="297" spans="1:31" s="12" customFormat="1" ht="75" x14ac:dyDescent="0.25">
      <c r="A297" s="23" t="s">
        <v>733</v>
      </c>
      <c r="B297" s="20" t="s">
        <v>56</v>
      </c>
      <c r="C297" s="20" t="s">
        <v>33</v>
      </c>
      <c r="D297" s="20" t="s">
        <v>34</v>
      </c>
      <c r="E297" s="22">
        <v>48</v>
      </c>
      <c r="F297" s="22">
        <v>5</v>
      </c>
      <c r="G297" s="22">
        <v>4</v>
      </c>
      <c r="H297" s="22"/>
      <c r="I297" s="23" t="s">
        <v>36</v>
      </c>
      <c r="J297" s="23"/>
      <c r="K297" s="22"/>
      <c r="L297" s="22"/>
      <c r="M297" s="23"/>
      <c r="N297" s="23"/>
      <c r="O297" s="26" t="s">
        <v>734</v>
      </c>
      <c r="P297" s="26"/>
      <c r="Q297" s="26"/>
      <c r="R297" s="22">
        <v>47</v>
      </c>
      <c r="S297" s="24">
        <v>45856</v>
      </c>
      <c r="T297" s="24"/>
      <c r="U297" s="24"/>
      <c r="V297" s="24"/>
      <c r="W297" s="24"/>
      <c r="X297" s="22"/>
      <c r="Y297" s="4" t="str">
        <f>IF(Tabela2[[#This Row],[SIGLA]]="","",VLOOKUP(Tabela2[[#This Row],[SIGLA]],Tabela1[[#All],[Sigla Arte]:[Crédito]],2,0))</f>
        <v/>
      </c>
      <c r="Z297" s="23"/>
      <c r="AA297" s="23" t="str">
        <f>Tabela2[[#This Row],[ILUSTRADOR CRIAÇÃO]]</f>
        <v/>
      </c>
      <c r="AB297" s="22"/>
      <c r="AC297" s="20" t="s">
        <v>735</v>
      </c>
      <c r="AD297" s="20"/>
      <c r="AE297" s="4" t="str">
        <f t="shared" si="4"/>
        <v>EF1 E002 Ing</v>
      </c>
    </row>
    <row r="298" spans="1:31" s="12" customFormat="1" ht="60" x14ac:dyDescent="0.25">
      <c r="A298" s="23" t="s">
        <v>736</v>
      </c>
      <c r="B298" s="20" t="s">
        <v>56</v>
      </c>
      <c r="C298" s="20" t="s">
        <v>33</v>
      </c>
      <c r="D298" s="20" t="s">
        <v>34</v>
      </c>
      <c r="E298" s="22">
        <v>48</v>
      </c>
      <c r="F298" s="22">
        <v>5</v>
      </c>
      <c r="G298" s="22">
        <v>4</v>
      </c>
      <c r="H298" s="22"/>
      <c r="I298" s="23" t="s">
        <v>36</v>
      </c>
      <c r="J298" s="23"/>
      <c r="K298" s="22"/>
      <c r="L298" s="22"/>
      <c r="M298" s="23"/>
      <c r="N298" s="23"/>
      <c r="O298" s="26" t="s">
        <v>737</v>
      </c>
      <c r="P298" s="26"/>
      <c r="Q298" s="26"/>
      <c r="R298" s="22">
        <v>47</v>
      </c>
      <c r="S298" s="24">
        <v>45856</v>
      </c>
      <c r="T298" s="24"/>
      <c r="U298" s="24"/>
      <c r="V298" s="24"/>
      <c r="W298" s="24"/>
      <c r="X298" s="22"/>
      <c r="Y298" s="4" t="str">
        <f>IF(Tabela2[[#This Row],[SIGLA]]="","",VLOOKUP(Tabela2[[#This Row],[SIGLA]],Tabela1[[#All],[Sigla Arte]:[Crédito]],2,0))</f>
        <v/>
      </c>
      <c r="Z298" s="23"/>
      <c r="AA298" s="23" t="str">
        <f>Tabela2[[#This Row],[ILUSTRADOR CRIAÇÃO]]</f>
        <v/>
      </c>
      <c r="AB298" s="22"/>
      <c r="AC298" s="20" t="s">
        <v>735</v>
      </c>
      <c r="AD298" s="20"/>
      <c r="AE298" s="4" t="str">
        <f t="shared" si="4"/>
        <v>EF1 E002 Ing</v>
      </c>
    </row>
    <row r="299" spans="1:31" s="12" customFormat="1" ht="30" x14ac:dyDescent="0.25">
      <c r="A299" s="23" t="s">
        <v>738</v>
      </c>
      <c r="B299" s="20" t="s">
        <v>32</v>
      </c>
      <c r="C299" s="20" t="s">
        <v>33</v>
      </c>
      <c r="D299" s="20" t="s">
        <v>34</v>
      </c>
      <c r="E299" s="22">
        <v>27</v>
      </c>
      <c r="F299" s="22">
        <v>4</v>
      </c>
      <c r="G299" s="22">
        <v>2</v>
      </c>
      <c r="H299" s="22"/>
      <c r="I299" s="23" t="s">
        <v>36</v>
      </c>
      <c r="J299" s="23"/>
      <c r="K299" s="22"/>
      <c r="L299" s="22"/>
      <c r="M299" s="23"/>
      <c r="N299" s="23"/>
      <c r="O299" s="26" t="s">
        <v>739</v>
      </c>
      <c r="P299" s="26"/>
      <c r="Q299" s="26"/>
      <c r="R299" s="22">
        <v>48</v>
      </c>
      <c r="S299" s="24">
        <v>45859</v>
      </c>
      <c r="T299" s="24">
        <v>45860</v>
      </c>
      <c r="U299" s="24"/>
      <c r="V299" s="24"/>
      <c r="W299" s="24">
        <v>45860</v>
      </c>
      <c r="X299" s="22" t="s">
        <v>418</v>
      </c>
      <c r="Y299" s="4" t="str">
        <f>IF(Tabela2[[#This Row],[SIGLA]]="","",VLOOKUP(Tabela2[[#This Row],[SIGLA]],Tabela1[[#All],[Sigla Arte]:[Crédito]],2,0))</f>
        <v>VER DOCUMENTO DE ILS. TÉCNICAS</v>
      </c>
      <c r="Z299" s="23" t="s">
        <v>508</v>
      </c>
      <c r="AA299" s="47" t="s">
        <v>740</v>
      </c>
      <c r="AB299" s="22">
        <v>13</v>
      </c>
      <c r="AC299" s="20" t="s">
        <v>415</v>
      </c>
      <c r="AD299" s="20" t="s">
        <v>58</v>
      </c>
      <c r="AE299" s="4" t="str">
        <f t="shared" si="4"/>
        <v>EF1 E002 Ing</v>
      </c>
    </row>
    <row r="300" spans="1:31" s="12" customFormat="1" ht="45" x14ac:dyDescent="0.25">
      <c r="A300" s="23" t="s">
        <v>741</v>
      </c>
      <c r="B300" s="20" t="s">
        <v>32</v>
      </c>
      <c r="C300" s="20" t="s">
        <v>33</v>
      </c>
      <c r="D300" s="20" t="s">
        <v>34</v>
      </c>
      <c r="E300" s="22">
        <v>27</v>
      </c>
      <c r="F300" s="22">
        <v>4</v>
      </c>
      <c r="G300" s="22">
        <v>2</v>
      </c>
      <c r="H300" s="22"/>
      <c r="I300" s="23" t="s">
        <v>36</v>
      </c>
      <c r="J300" s="23"/>
      <c r="K300" s="22"/>
      <c r="L300" s="22"/>
      <c r="M300" s="23"/>
      <c r="N300" s="23"/>
      <c r="O300" s="26" t="s">
        <v>742</v>
      </c>
      <c r="P300" s="26"/>
      <c r="Q300" s="26"/>
      <c r="R300" s="22">
        <v>48</v>
      </c>
      <c r="S300" s="24">
        <v>45859</v>
      </c>
      <c r="T300" s="24">
        <v>45860</v>
      </c>
      <c r="U300" s="24"/>
      <c r="V300" s="24"/>
      <c r="W300" s="24">
        <v>45860</v>
      </c>
      <c r="X300" s="22" t="s">
        <v>418</v>
      </c>
      <c r="Y300" s="4" t="str">
        <f>IF(Tabela2[[#This Row],[SIGLA]]="","",VLOOKUP(Tabela2[[#This Row],[SIGLA]],Tabela1[[#All],[Sigla Arte]:[Crédito]],2,0))</f>
        <v>VER DOCUMENTO DE ILS. TÉCNICAS</v>
      </c>
      <c r="Z300" s="23" t="s">
        <v>508</v>
      </c>
      <c r="AA300" s="47" t="s">
        <v>740</v>
      </c>
      <c r="AB300" s="22">
        <v>13</v>
      </c>
      <c r="AC300" s="20" t="s">
        <v>415</v>
      </c>
      <c r="AD300" s="20" t="s">
        <v>58</v>
      </c>
      <c r="AE300" s="4" t="str">
        <f t="shared" si="4"/>
        <v>EF1 E002 Ing</v>
      </c>
    </row>
    <row r="301" spans="1:31" s="12" customFormat="1" ht="30" x14ac:dyDescent="0.25">
      <c r="A301" s="23" t="s">
        <v>743</v>
      </c>
      <c r="B301" s="20" t="s">
        <v>32</v>
      </c>
      <c r="C301" s="20" t="s">
        <v>33</v>
      </c>
      <c r="D301" s="20" t="s">
        <v>34</v>
      </c>
      <c r="E301" s="22">
        <v>27</v>
      </c>
      <c r="F301" s="22">
        <v>4</v>
      </c>
      <c r="G301" s="22">
        <v>2</v>
      </c>
      <c r="H301" s="22"/>
      <c r="I301" s="23" t="s">
        <v>36</v>
      </c>
      <c r="J301" s="23"/>
      <c r="K301" s="22"/>
      <c r="L301" s="22"/>
      <c r="M301" s="23"/>
      <c r="N301" s="23"/>
      <c r="O301" s="26" t="s">
        <v>744</v>
      </c>
      <c r="P301" s="26"/>
      <c r="Q301" s="26"/>
      <c r="R301" s="22">
        <v>48</v>
      </c>
      <c r="S301" s="24">
        <v>45859</v>
      </c>
      <c r="T301" s="24">
        <v>45860</v>
      </c>
      <c r="U301" s="24"/>
      <c r="V301" s="24"/>
      <c r="W301" s="24">
        <v>45860</v>
      </c>
      <c r="X301" s="22" t="s">
        <v>418</v>
      </c>
      <c r="Y301" s="4" t="str">
        <f>IF(Tabela2[[#This Row],[SIGLA]]="","",VLOOKUP(Tabela2[[#This Row],[SIGLA]],Tabela1[[#All],[Sigla Arte]:[Crédito]],2,0))</f>
        <v>VER DOCUMENTO DE ILS. TÉCNICAS</v>
      </c>
      <c r="Z301" s="23" t="s">
        <v>508</v>
      </c>
      <c r="AA301" s="47" t="s">
        <v>740</v>
      </c>
      <c r="AB301" s="22">
        <v>13</v>
      </c>
      <c r="AC301" s="20" t="s">
        <v>415</v>
      </c>
      <c r="AD301" s="20" t="s">
        <v>58</v>
      </c>
      <c r="AE301" s="4" t="str">
        <f t="shared" si="4"/>
        <v>EF1 E002 Ing</v>
      </c>
    </row>
    <row r="302" spans="1:31" s="12" customFormat="1" ht="45" x14ac:dyDescent="0.25">
      <c r="A302" s="23" t="s">
        <v>745</v>
      </c>
      <c r="B302" s="20" t="s">
        <v>32</v>
      </c>
      <c r="C302" s="20" t="s">
        <v>33</v>
      </c>
      <c r="D302" s="20" t="s">
        <v>34</v>
      </c>
      <c r="E302" s="22">
        <v>27</v>
      </c>
      <c r="F302" s="22">
        <v>4</v>
      </c>
      <c r="G302" s="22">
        <v>2</v>
      </c>
      <c r="H302" s="22"/>
      <c r="I302" s="23" t="s">
        <v>36</v>
      </c>
      <c r="J302" s="23"/>
      <c r="K302" s="22"/>
      <c r="L302" s="22"/>
      <c r="M302" s="23"/>
      <c r="N302" s="23"/>
      <c r="O302" s="26" t="s">
        <v>746</v>
      </c>
      <c r="P302" s="26"/>
      <c r="Q302" s="26"/>
      <c r="R302" s="22">
        <v>48</v>
      </c>
      <c r="S302" s="24">
        <v>45859</v>
      </c>
      <c r="T302" s="24">
        <v>45860</v>
      </c>
      <c r="U302" s="24"/>
      <c r="V302" s="24"/>
      <c r="W302" s="24">
        <v>45860</v>
      </c>
      <c r="X302" s="22" t="s">
        <v>418</v>
      </c>
      <c r="Y302" s="4" t="str">
        <f>IF(Tabela2[[#This Row],[SIGLA]]="","",VLOOKUP(Tabela2[[#This Row],[SIGLA]],Tabela1[[#All],[Sigla Arte]:[Crédito]],2,0))</f>
        <v>VER DOCUMENTO DE ILS. TÉCNICAS</v>
      </c>
      <c r="Z302" s="23" t="s">
        <v>508</v>
      </c>
      <c r="AA302" s="47" t="s">
        <v>740</v>
      </c>
      <c r="AB302" s="22">
        <v>13</v>
      </c>
      <c r="AC302" s="20" t="s">
        <v>415</v>
      </c>
      <c r="AD302" s="20" t="s">
        <v>58</v>
      </c>
      <c r="AE302" s="4" t="str">
        <f t="shared" si="4"/>
        <v>EF1 E002 Ing</v>
      </c>
    </row>
    <row r="303" spans="1:31" s="12" customFormat="1" ht="135" x14ac:dyDescent="0.25">
      <c r="A303" s="23" t="s">
        <v>747</v>
      </c>
      <c r="B303" s="20" t="s">
        <v>125</v>
      </c>
      <c r="C303" s="20" t="s">
        <v>33</v>
      </c>
      <c r="D303" s="20" t="s">
        <v>34</v>
      </c>
      <c r="E303" s="22">
        <v>27</v>
      </c>
      <c r="F303" s="22">
        <v>4</v>
      </c>
      <c r="G303" s="22">
        <v>2</v>
      </c>
      <c r="H303" s="22"/>
      <c r="I303" s="23" t="s">
        <v>36</v>
      </c>
      <c r="J303" s="23"/>
      <c r="K303" s="22"/>
      <c r="L303" s="22"/>
      <c r="M303" s="23"/>
      <c r="N303" s="23"/>
      <c r="O303" s="26" t="s">
        <v>748</v>
      </c>
      <c r="P303" s="26"/>
      <c r="Q303" s="26"/>
      <c r="R303" s="22">
        <v>48</v>
      </c>
      <c r="S303" s="24">
        <v>45859</v>
      </c>
      <c r="T303" s="24">
        <v>45860</v>
      </c>
      <c r="U303" s="24"/>
      <c r="V303" s="24"/>
      <c r="W303" s="24">
        <v>45860</v>
      </c>
      <c r="X303" s="22" t="s">
        <v>418</v>
      </c>
      <c r="Y303" s="4" t="str">
        <f>IF(Tabela2[[#This Row],[SIGLA]]="","",VLOOKUP(Tabela2[[#This Row],[SIGLA]],Tabela1[[#All],[Sigla Arte]:[Crédito]],2,0))</f>
        <v>VER DOCUMENTO DE ILS. TÉCNICAS</v>
      </c>
      <c r="Z303" s="23" t="s">
        <v>508</v>
      </c>
      <c r="AA303" s="47" t="s">
        <v>740</v>
      </c>
      <c r="AB303" s="22">
        <v>13</v>
      </c>
      <c r="AC303" s="20" t="s">
        <v>415</v>
      </c>
      <c r="AD303" s="20" t="s">
        <v>58</v>
      </c>
      <c r="AE303" s="4" t="str">
        <f t="shared" si="4"/>
        <v>EF1 E002 Ing</v>
      </c>
    </row>
    <row r="304" spans="1:31" s="12" customFormat="1" ht="195" x14ac:dyDescent="0.25">
      <c r="A304" s="23" t="s">
        <v>749</v>
      </c>
      <c r="B304" s="20" t="s">
        <v>32</v>
      </c>
      <c r="C304" s="20" t="s">
        <v>33</v>
      </c>
      <c r="D304" s="20" t="s">
        <v>34</v>
      </c>
      <c r="E304" s="22">
        <v>28</v>
      </c>
      <c r="F304" s="22">
        <v>4</v>
      </c>
      <c r="G304" s="22">
        <v>2</v>
      </c>
      <c r="H304" s="22"/>
      <c r="I304" s="23" t="s">
        <v>36</v>
      </c>
      <c r="J304" s="23"/>
      <c r="K304" s="22"/>
      <c r="L304" s="22"/>
      <c r="M304" s="23"/>
      <c r="N304" s="23"/>
      <c r="O304" s="26" t="s">
        <v>750</v>
      </c>
      <c r="P304" s="26"/>
      <c r="Q304" s="26"/>
      <c r="R304" s="22">
        <v>48</v>
      </c>
      <c r="S304" s="24">
        <v>45859</v>
      </c>
      <c r="T304" s="24">
        <v>45860</v>
      </c>
      <c r="U304" s="24"/>
      <c r="V304" s="24"/>
      <c r="W304" s="24">
        <v>45860</v>
      </c>
      <c r="X304" s="22" t="s">
        <v>418</v>
      </c>
      <c r="Y304" s="4" t="str">
        <f>IF(Tabela2[[#This Row],[SIGLA]]="","",VLOOKUP(Tabela2[[#This Row],[SIGLA]],Tabela1[[#All],[Sigla Arte]:[Crédito]],2,0))</f>
        <v>VER DOCUMENTO DE ILS. TÉCNICAS</v>
      </c>
      <c r="Z304" s="23" t="s">
        <v>508</v>
      </c>
      <c r="AA304" s="47" t="s">
        <v>740</v>
      </c>
      <c r="AB304" s="22">
        <v>13</v>
      </c>
      <c r="AC304" s="20" t="s">
        <v>415</v>
      </c>
      <c r="AD304" s="20" t="s">
        <v>58</v>
      </c>
      <c r="AE304" s="4" t="str">
        <f t="shared" si="4"/>
        <v>EF1 E002 Ing</v>
      </c>
    </row>
    <row r="305" spans="1:31" s="12" customFormat="1" ht="195" x14ac:dyDescent="0.25">
      <c r="A305" s="23" t="s">
        <v>751</v>
      </c>
      <c r="B305" s="20" t="s">
        <v>32</v>
      </c>
      <c r="C305" s="20" t="s">
        <v>33</v>
      </c>
      <c r="D305" s="20" t="s">
        <v>34</v>
      </c>
      <c r="E305" s="22">
        <v>30</v>
      </c>
      <c r="F305" s="22">
        <v>4</v>
      </c>
      <c r="G305" s="22">
        <v>2</v>
      </c>
      <c r="H305" s="22"/>
      <c r="I305" s="23" t="s">
        <v>36</v>
      </c>
      <c r="J305" s="23"/>
      <c r="K305" s="22"/>
      <c r="L305" s="22"/>
      <c r="M305" s="23"/>
      <c r="N305" s="23"/>
      <c r="O305" s="26" t="s">
        <v>752</v>
      </c>
      <c r="P305" s="26"/>
      <c r="Q305" s="26"/>
      <c r="R305" s="22">
        <v>48</v>
      </c>
      <c r="S305" s="24">
        <v>45859</v>
      </c>
      <c r="T305" s="24">
        <v>45860</v>
      </c>
      <c r="U305" s="24"/>
      <c r="V305" s="24"/>
      <c r="W305" s="24">
        <v>45860</v>
      </c>
      <c r="X305" s="22" t="s">
        <v>377</v>
      </c>
      <c r="Y305" s="4" t="str">
        <f>IF(Tabela2[[#This Row],[SIGLA]]="","",VLOOKUP(Tabela2[[#This Row],[SIGLA]],Tabela1[[#All],[Sigla Arte]:[Crédito]],2,0))</f>
        <v>FELIPE GRIGOLI/ARQUIVO DA EDITORA</v>
      </c>
      <c r="Z305" s="23"/>
      <c r="AA305" s="23" t="str">
        <f>Tabela2[[#This Row],[ILUSTRADOR CRIAÇÃO]]</f>
        <v>FELIPE GRIGOLI/ARQUIVO DA EDITORA</v>
      </c>
      <c r="AB305" s="22">
        <v>13</v>
      </c>
      <c r="AC305" s="20" t="s">
        <v>415</v>
      </c>
      <c r="AD305" s="20" t="s">
        <v>58</v>
      </c>
      <c r="AE305" s="4" t="str">
        <f t="shared" si="4"/>
        <v>EF1 E002 Ing</v>
      </c>
    </row>
    <row r="306" spans="1:31" s="12" customFormat="1" x14ac:dyDescent="0.25">
      <c r="A306" s="23" t="s">
        <v>753</v>
      </c>
      <c r="B306" s="20" t="s">
        <v>32</v>
      </c>
      <c r="C306" s="20" t="s">
        <v>727</v>
      </c>
      <c r="D306" s="20" t="s">
        <v>754</v>
      </c>
      <c r="E306" s="22"/>
      <c r="F306" s="22">
        <v>2</v>
      </c>
      <c r="G306" s="22">
        <v>6</v>
      </c>
      <c r="H306" s="22"/>
      <c r="I306" s="23" t="s">
        <v>36</v>
      </c>
      <c r="J306" s="23"/>
      <c r="K306" s="22"/>
      <c r="L306" s="22"/>
      <c r="M306" s="23"/>
      <c r="N306" s="23"/>
      <c r="O306" s="26" t="s">
        <v>755</v>
      </c>
      <c r="P306" s="26"/>
      <c r="Q306" s="26"/>
      <c r="R306" s="22"/>
      <c r="S306" s="24"/>
      <c r="T306" s="24">
        <v>45860</v>
      </c>
      <c r="U306" s="24"/>
      <c r="V306" s="24"/>
      <c r="W306" s="24">
        <v>45861</v>
      </c>
      <c r="X306" s="22" t="s">
        <v>729</v>
      </c>
      <c r="Y306" s="4" t="str">
        <f>IF(Tabela2[[#This Row],[SIGLA]]="","",VLOOKUP(Tabela2[[#This Row],[SIGLA]],Tabela1[[#All],[Sigla Arte]:[Crédito]],2,0))</f>
        <v>RAFAELA PANISSA/ARQUIVO DA EDITORA</v>
      </c>
      <c r="Z306" s="23"/>
      <c r="AA306" s="23" t="str">
        <f>Tabela2[[#This Row],[ILUSTRADOR CRIAÇÃO]]</f>
        <v>RAFAELA PANISSA/ARQUIVO DA EDITORA</v>
      </c>
      <c r="AB306" s="22">
        <v>8</v>
      </c>
      <c r="AC306" s="20" t="s">
        <v>415</v>
      </c>
      <c r="AD306" s="20" t="s">
        <v>58</v>
      </c>
      <c r="AE306" s="4" t="str">
        <f t="shared" si="4"/>
        <v>EF1 E002 Ing</v>
      </c>
    </row>
    <row r="307" spans="1:31" s="12" customFormat="1" ht="60" x14ac:dyDescent="0.25">
      <c r="A307" s="23" t="s">
        <v>756</v>
      </c>
      <c r="B307" s="20" t="s">
        <v>32</v>
      </c>
      <c r="C307" s="20" t="s">
        <v>33</v>
      </c>
      <c r="D307" s="20" t="s">
        <v>34</v>
      </c>
      <c r="E307" s="22">
        <v>57</v>
      </c>
      <c r="F307" s="22">
        <v>3</v>
      </c>
      <c r="G307" s="22" t="s">
        <v>682</v>
      </c>
      <c r="H307" s="22"/>
      <c r="I307" s="23" t="s">
        <v>699</v>
      </c>
      <c r="J307" s="23"/>
      <c r="K307" s="22"/>
      <c r="L307" s="22"/>
      <c r="M307" s="23"/>
      <c r="N307" s="23"/>
      <c r="O307" s="26" t="s">
        <v>757</v>
      </c>
      <c r="P307" s="26"/>
      <c r="Q307" s="26"/>
      <c r="R307" s="22">
        <v>49</v>
      </c>
      <c r="S307" s="24">
        <v>45862</v>
      </c>
      <c r="T307" s="24">
        <v>45866</v>
      </c>
      <c r="U307" s="24"/>
      <c r="V307" s="24"/>
      <c r="W307" s="24">
        <v>45866</v>
      </c>
      <c r="X307" s="22" t="s">
        <v>54</v>
      </c>
      <c r="Y307" s="4" t="str">
        <f>IF(Tabela2[[#This Row],[SIGLA]]="","",VLOOKUP(Tabela2[[#This Row],[SIGLA]],Tabela1[[#All],[Sigla Arte]:[Crédito]],2,0))</f>
        <v>RAYANNE CARDOSO/ARQUIVO DA EDITORA</v>
      </c>
      <c r="Z307" s="23" t="s">
        <v>508</v>
      </c>
      <c r="AA307" s="23" t="str">
        <f>Tabela2[[#This Row],[ILUSTRADOR CRIAÇÃO]]</f>
        <v>RAYANNE CARDOSO/ARQUIVO DA EDITORA</v>
      </c>
      <c r="AB307" s="22">
        <v>13</v>
      </c>
      <c r="AC307" s="20" t="s">
        <v>758</v>
      </c>
      <c r="AD307" s="20" t="s">
        <v>58</v>
      </c>
      <c r="AE307" s="4" t="str">
        <f t="shared" si="4"/>
        <v>EF1 E002 Ing</v>
      </c>
    </row>
    <row r="308" spans="1:31" s="12" customFormat="1" ht="90" x14ac:dyDescent="0.25">
      <c r="A308" s="23" t="s">
        <v>759</v>
      </c>
      <c r="B308" s="20" t="s">
        <v>32</v>
      </c>
      <c r="C308" s="20" t="s">
        <v>33</v>
      </c>
      <c r="D308" s="20" t="s">
        <v>34</v>
      </c>
      <c r="E308" s="22">
        <v>57</v>
      </c>
      <c r="F308" s="22">
        <v>3</v>
      </c>
      <c r="G308" s="22" t="s">
        <v>682</v>
      </c>
      <c r="H308" s="22"/>
      <c r="I308" s="23" t="s">
        <v>699</v>
      </c>
      <c r="J308" s="23"/>
      <c r="K308" s="22"/>
      <c r="L308" s="22"/>
      <c r="M308" s="23"/>
      <c r="N308" s="23"/>
      <c r="O308" s="26" t="s">
        <v>760</v>
      </c>
      <c r="P308" s="26"/>
      <c r="Q308" s="26"/>
      <c r="R308" s="22">
        <v>49</v>
      </c>
      <c r="S308" s="24">
        <v>45862</v>
      </c>
      <c r="T308" s="24">
        <v>45866</v>
      </c>
      <c r="U308" s="24"/>
      <c r="V308" s="24"/>
      <c r="W308" s="24">
        <v>45866</v>
      </c>
      <c r="X308" s="22" t="s">
        <v>54</v>
      </c>
      <c r="Y308" s="4" t="str">
        <f>IF(Tabela2[[#This Row],[SIGLA]]="","",VLOOKUP(Tabela2[[#This Row],[SIGLA]],Tabela1[[#All],[Sigla Arte]:[Crédito]],2,0))</f>
        <v>RAYANNE CARDOSO/ARQUIVO DA EDITORA</v>
      </c>
      <c r="Z308" s="23" t="s">
        <v>508</v>
      </c>
      <c r="AA308" s="23" t="str">
        <f>Tabela2[[#This Row],[ILUSTRADOR CRIAÇÃO]]</f>
        <v>RAYANNE CARDOSO/ARQUIVO DA EDITORA</v>
      </c>
      <c r="AB308" s="22">
        <v>13</v>
      </c>
      <c r="AC308" s="20" t="s">
        <v>758</v>
      </c>
      <c r="AD308" s="20" t="s">
        <v>58</v>
      </c>
      <c r="AE308" s="4" t="str">
        <f t="shared" si="4"/>
        <v>EF1 E002 Ing</v>
      </c>
    </row>
    <row r="309" spans="1:31" s="12" customFormat="1" ht="60" x14ac:dyDescent="0.25">
      <c r="A309" s="23" t="s">
        <v>761</v>
      </c>
      <c r="B309" s="20" t="s">
        <v>32</v>
      </c>
      <c r="C309" s="20" t="s">
        <v>33</v>
      </c>
      <c r="D309" s="20" t="s">
        <v>34</v>
      </c>
      <c r="E309" s="22">
        <v>57</v>
      </c>
      <c r="F309" s="22">
        <v>3</v>
      </c>
      <c r="G309" s="22" t="s">
        <v>682</v>
      </c>
      <c r="H309" s="22"/>
      <c r="I309" s="23" t="s">
        <v>699</v>
      </c>
      <c r="J309" s="23"/>
      <c r="K309" s="22"/>
      <c r="L309" s="22"/>
      <c r="M309" s="23"/>
      <c r="N309" s="23"/>
      <c r="O309" s="26" t="s">
        <v>762</v>
      </c>
      <c r="P309" s="26"/>
      <c r="Q309" s="26"/>
      <c r="R309" s="22">
        <v>49</v>
      </c>
      <c r="S309" s="24">
        <v>45862</v>
      </c>
      <c r="T309" s="24">
        <v>45866</v>
      </c>
      <c r="U309" s="24"/>
      <c r="V309" s="24"/>
      <c r="W309" s="24">
        <v>45866</v>
      </c>
      <c r="X309" s="22" t="s">
        <v>54</v>
      </c>
      <c r="Y309" s="4" t="str">
        <f>IF(Tabela2[[#This Row],[SIGLA]]="","",VLOOKUP(Tabela2[[#This Row],[SIGLA]],Tabela1[[#All],[Sigla Arte]:[Crédito]],2,0))</f>
        <v>RAYANNE CARDOSO/ARQUIVO DA EDITORA</v>
      </c>
      <c r="Z309" s="23" t="s">
        <v>508</v>
      </c>
      <c r="AA309" s="23" t="str">
        <f>Tabela2[[#This Row],[ILUSTRADOR CRIAÇÃO]]</f>
        <v>RAYANNE CARDOSO/ARQUIVO DA EDITORA</v>
      </c>
      <c r="AB309" s="22">
        <v>13</v>
      </c>
      <c r="AC309" s="20" t="s">
        <v>758</v>
      </c>
      <c r="AD309" s="20" t="s">
        <v>58</v>
      </c>
      <c r="AE309" s="4" t="str">
        <f t="shared" si="4"/>
        <v>EF1 E002 Ing</v>
      </c>
    </row>
    <row r="310" spans="1:31" s="12" customFormat="1" ht="30" x14ac:dyDescent="0.25">
      <c r="A310" s="23" t="s">
        <v>763</v>
      </c>
      <c r="B310" s="20" t="s">
        <v>32</v>
      </c>
      <c r="C310" s="20" t="s">
        <v>33</v>
      </c>
      <c r="D310" s="20" t="s">
        <v>34</v>
      </c>
      <c r="E310" s="22">
        <v>57</v>
      </c>
      <c r="F310" s="22">
        <v>3</v>
      </c>
      <c r="G310" s="22" t="s">
        <v>682</v>
      </c>
      <c r="H310" s="22"/>
      <c r="I310" s="23" t="s">
        <v>544</v>
      </c>
      <c r="J310" s="23"/>
      <c r="K310" s="22"/>
      <c r="L310" s="22"/>
      <c r="M310" s="23"/>
      <c r="N310" s="23"/>
      <c r="O310" s="26" t="s">
        <v>764</v>
      </c>
      <c r="P310" s="26"/>
      <c r="Q310" s="26"/>
      <c r="R310" s="22"/>
      <c r="S310" s="24"/>
      <c r="T310" s="24">
        <v>45866</v>
      </c>
      <c r="U310" s="24"/>
      <c r="V310" s="24"/>
      <c r="W310" s="24">
        <v>45866</v>
      </c>
      <c r="X310" s="22" t="s">
        <v>54</v>
      </c>
      <c r="Y310" s="4" t="str">
        <f>IF(Tabela2[[#This Row],[SIGLA]]="","",VLOOKUP(Tabela2[[#This Row],[SIGLA]],Tabela1[[#All],[Sigla Arte]:[Crédito]],2,0))</f>
        <v>RAYANNE CARDOSO/ARQUIVO DA EDITORA</v>
      </c>
      <c r="Z310" s="23" t="s">
        <v>508</v>
      </c>
      <c r="AA310" s="23" t="str">
        <f>Tabela2[[#This Row],[ILUSTRADOR CRIAÇÃO]]</f>
        <v>RAYANNE CARDOSO/ARQUIVO DA EDITORA</v>
      </c>
      <c r="AB310" s="22">
        <v>13</v>
      </c>
      <c r="AC310" s="20" t="s">
        <v>758</v>
      </c>
      <c r="AD310" s="20" t="s">
        <v>58</v>
      </c>
      <c r="AE310" s="4" t="str">
        <f t="shared" si="4"/>
        <v>EF1 E002 Ing</v>
      </c>
    </row>
    <row r="311" spans="1:31" s="12" customFormat="1" ht="60" x14ac:dyDescent="0.25">
      <c r="A311" s="23" t="s">
        <v>765</v>
      </c>
      <c r="B311" s="20" t="s">
        <v>32</v>
      </c>
      <c r="C311" s="20" t="s">
        <v>33</v>
      </c>
      <c r="D311" s="20" t="s">
        <v>34</v>
      </c>
      <c r="E311" s="22">
        <v>57</v>
      </c>
      <c r="F311" s="22">
        <v>3</v>
      </c>
      <c r="G311" s="22" t="s">
        <v>682</v>
      </c>
      <c r="H311" s="22"/>
      <c r="I311" s="23" t="s">
        <v>699</v>
      </c>
      <c r="J311" s="23"/>
      <c r="K311" s="22"/>
      <c r="L311" s="22"/>
      <c r="M311" s="23"/>
      <c r="N311" s="23"/>
      <c r="O311" s="26" t="s">
        <v>766</v>
      </c>
      <c r="P311" s="26"/>
      <c r="Q311" s="26"/>
      <c r="R311" s="22">
        <v>49</v>
      </c>
      <c r="S311" s="24">
        <v>45862</v>
      </c>
      <c r="T311" s="24">
        <v>45866</v>
      </c>
      <c r="U311" s="24"/>
      <c r="V311" s="24"/>
      <c r="W311" s="24">
        <v>45866</v>
      </c>
      <c r="X311" s="22" t="s">
        <v>54</v>
      </c>
      <c r="Y311" s="4" t="str">
        <f>IF(Tabela2[[#This Row],[SIGLA]]="","",VLOOKUP(Tabela2[[#This Row],[SIGLA]],Tabela1[[#All],[Sigla Arte]:[Crédito]],2,0))</f>
        <v>RAYANNE CARDOSO/ARQUIVO DA EDITORA</v>
      </c>
      <c r="Z311" s="23" t="s">
        <v>508</v>
      </c>
      <c r="AA311" s="23" t="str">
        <f>Tabela2[[#This Row],[ILUSTRADOR CRIAÇÃO]]</f>
        <v>RAYANNE CARDOSO/ARQUIVO DA EDITORA</v>
      </c>
      <c r="AB311" s="22">
        <v>13</v>
      </c>
      <c r="AC311" s="20" t="s">
        <v>758</v>
      </c>
      <c r="AD311" s="20" t="s">
        <v>58</v>
      </c>
      <c r="AE311" s="4" t="str">
        <f t="shared" si="4"/>
        <v>EF1 E002 Ing</v>
      </c>
    </row>
    <row r="312" spans="1:31" s="12" customFormat="1" ht="60" x14ac:dyDescent="0.25">
      <c r="A312" s="23" t="s">
        <v>767</v>
      </c>
      <c r="B312" s="20" t="s">
        <v>32</v>
      </c>
      <c r="C312" s="20" t="s">
        <v>33</v>
      </c>
      <c r="D312" s="20" t="s">
        <v>34</v>
      </c>
      <c r="E312" s="22">
        <v>57</v>
      </c>
      <c r="F312" s="22">
        <v>3</v>
      </c>
      <c r="G312" s="22" t="s">
        <v>682</v>
      </c>
      <c r="H312" s="22"/>
      <c r="I312" s="23" t="s">
        <v>699</v>
      </c>
      <c r="J312" s="23"/>
      <c r="K312" s="22"/>
      <c r="L312" s="22"/>
      <c r="M312" s="23"/>
      <c r="N312" s="23"/>
      <c r="O312" s="26" t="s">
        <v>768</v>
      </c>
      <c r="P312" s="26"/>
      <c r="Q312" s="26"/>
      <c r="R312" s="22">
        <v>49</v>
      </c>
      <c r="S312" s="24">
        <v>45862</v>
      </c>
      <c r="T312" s="24">
        <v>45866</v>
      </c>
      <c r="U312" s="24"/>
      <c r="V312" s="24"/>
      <c r="W312" s="24">
        <v>45866</v>
      </c>
      <c r="X312" s="22" t="s">
        <v>54</v>
      </c>
      <c r="Y312" s="4" t="str">
        <f>IF(Tabela2[[#This Row],[SIGLA]]="","",VLOOKUP(Tabela2[[#This Row],[SIGLA]],Tabela1[[#All],[Sigla Arte]:[Crédito]],2,0))</f>
        <v>RAYANNE CARDOSO/ARQUIVO DA EDITORA</v>
      </c>
      <c r="Z312" s="23" t="s">
        <v>508</v>
      </c>
      <c r="AA312" s="23" t="str">
        <f>Tabela2[[#This Row],[ILUSTRADOR CRIAÇÃO]]</f>
        <v>RAYANNE CARDOSO/ARQUIVO DA EDITORA</v>
      </c>
      <c r="AB312" s="22">
        <v>13</v>
      </c>
      <c r="AC312" s="20" t="s">
        <v>758</v>
      </c>
      <c r="AD312" s="20" t="s">
        <v>58</v>
      </c>
      <c r="AE312" s="4" t="str">
        <f t="shared" si="4"/>
        <v>EF1 E002 Ing</v>
      </c>
    </row>
    <row r="313" spans="1:31" s="12" customFormat="1" ht="60" x14ac:dyDescent="0.25">
      <c r="A313" s="23" t="s">
        <v>769</v>
      </c>
      <c r="B313" s="20" t="s">
        <v>32</v>
      </c>
      <c r="C313" s="20" t="s">
        <v>33</v>
      </c>
      <c r="D313" s="20" t="s">
        <v>34</v>
      </c>
      <c r="E313" s="22">
        <v>58</v>
      </c>
      <c r="F313" s="22">
        <v>3</v>
      </c>
      <c r="G313" s="22" t="s">
        <v>682</v>
      </c>
      <c r="H313" s="22"/>
      <c r="I313" s="23" t="s">
        <v>699</v>
      </c>
      <c r="J313" s="23"/>
      <c r="K313" s="22"/>
      <c r="L313" s="22"/>
      <c r="M313" s="23"/>
      <c r="N313" s="23"/>
      <c r="O313" s="26" t="s">
        <v>770</v>
      </c>
      <c r="P313" s="26"/>
      <c r="Q313" s="26"/>
      <c r="R313" s="22">
        <v>49</v>
      </c>
      <c r="S313" s="24">
        <v>45862</v>
      </c>
      <c r="T313" s="24">
        <v>45866</v>
      </c>
      <c r="U313" s="24"/>
      <c r="V313" s="24"/>
      <c r="W313" s="24">
        <v>45866</v>
      </c>
      <c r="X313" s="22" t="s">
        <v>54</v>
      </c>
      <c r="Y313" s="4" t="str">
        <f>IF(Tabela2[[#This Row],[SIGLA]]="","",VLOOKUP(Tabela2[[#This Row],[SIGLA]],Tabela1[[#All],[Sigla Arte]:[Crédito]],2,0))</f>
        <v>RAYANNE CARDOSO/ARQUIVO DA EDITORA</v>
      </c>
      <c r="Z313" s="23" t="s">
        <v>508</v>
      </c>
      <c r="AA313" s="23" t="str">
        <f>Tabela2[[#This Row],[ILUSTRADOR CRIAÇÃO]]</f>
        <v>RAYANNE CARDOSO/ARQUIVO DA EDITORA</v>
      </c>
      <c r="AB313" s="22">
        <v>13</v>
      </c>
      <c r="AC313" s="20" t="s">
        <v>758</v>
      </c>
      <c r="AD313" s="20" t="s">
        <v>58</v>
      </c>
      <c r="AE313" s="4" t="str">
        <f t="shared" si="4"/>
        <v>EF1 E002 Ing</v>
      </c>
    </row>
    <row r="314" spans="1:31" s="12" customFormat="1" ht="90" x14ac:dyDescent="0.25">
      <c r="A314" s="23" t="s">
        <v>771</v>
      </c>
      <c r="B314" s="20" t="s">
        <v>32</v>
      </c>
      <c r="C314" s="20" t="s">
        <v>33</v>
      </c>
      <c r="D314" s="20" t="s">
        <v>34</v>
      </c>
      <c r="E314" s="22">
        <v>58</v>
      </c>
      <c r="F314" s="22">
        <v>3</v>
      </c>
      <c r="G314" s="22" t="s">
        <v>682</v>
      </c>
      <c r="H314" s="22"/>
      <c r="I314" s="23" t="s">
        <v>699</v>
      </c>
      <c r="J314" s="23"/>
      <c r="K314" s="22"/>
      <c r="L314" s="22"/>
      <c r="M314" s="23"/>
      <c r="N314" s="23"/>
      <c r="O314" s="26" t="s">
        <v>772</v>
      </c>
      <c r="P314" s="26"/>
      <c r="Q314" s="26"/>
      <c r="R314" s="22">
        <v>49</v>
      </c>
      <c r="S314" s="24">
        <v>45862</v>
      </c>
      <c r="T314" s="24">
        <v>45866</v>
      </c>
      <c r="U314" s="24"/>
      <c r="V314" s="24"/>
      <c r="W314" s="24">
        <v>45866</v>
      </c>
      <c r="X314" s="22" t="s">
        <v>54</v>
      </c>
      <c r="Y314" s="4" t="str">
        <f>IF(Tabela2[[#This Row],[SIGLA]]="","",VLOOKUP(Tabela2[[#This Row],[SIGLA]],Tabela1[[#All],[Sigla Arte]:[Crédito]],2,0))</f>
        <v>RAYANNE CARDOSO/ARQUIVO DA EDITORA</v>
      </c>
      <c r="Z314" s="23" t="s">
        <v>508</v>
      </c>
      <c r="AA314" s="23" t="str">
        <f>Tabela2[[#This Row],[ILUSTRADOR CRIAÇÃO]]</f>
        <v>RAYANNE CARDOSO/ARQUIVO DA EDITORA</v>
      </c>
      <c r="AB314" s="22">
        <v>13</v>
      </c>
      <c r="AC314" s="20" t="s">
        <v>758</v>
      </c>
      <c r="AD314" s="20" t="s">
        <v>58</v>
      </c>
      <c r="AE314" s="4" t="str">
        <f t="shared" si="4"/>
        <v>EF1 E002 Ing</v>
      </c>
    </row>
    <row r="315" spans="1:31" s="12" customFormat="1" ht="30" x14ac:dyDescent="0.25">
      <c r="A315" s="23" t="s">
        <v>773</v>
      </c>
      <c r="B315" s="20" t="s">
        <v>32</v>
      </c>
      <c r="C315" s="20" t="s">
        <v>33</v>
      </c>
      <c r="D315" s="20" t="s">
        <v>34</v>
      </c>
      <c r="E315" s="22">
        <v>58</v>
      </c>
      <c r="F315" s="22">
        <v>3</v>
      </c>
      <c r="G315" s="22" t="s">
        <v>682</v>
      </c>
      <c r="H315" s="22"/>
      <c r="I315" s="23" t="s">
        <v>36</v>
      </c>
      <c r="J315" s="23"/>
      <c r="K315" s="22"/>
      <c r="L315" s="22"/>
      <c r="M315" s="23"/>
      <c r="N315" s="23"/>
      <c r="O315" s="26" t="s">
        <v>774</v>
      </c>
      <c r="P315" s="26"/>
      <c r="Q315" s="26"/>
      <c r="R315" s="22">
        <v>49</v>
      </c>
      <c r="S315" s="24">
        <v>45862</v>
      </c>
      <c r="T315" s="24">
        <v>45866</v>
      </c>
      <c r="U315" s="24"/>
      <c r="V315" s="24"/>
      <c r="W315" s="24">
        <v>45866</v>
      </c>
      <c r="X315" s="22" t="s">
        <v>377</v>
      </c>
      <c r="Y315" s="4" t="str">
        <f>IF(Tabela2[[#This Row],[SIGLA]]="","",VLOOKUP(Tabela2[[#This Row],[SIGLA]],Tabela1[[#All],[Sigla Arte]:[Crédito]],2,0))</f>
        <v>FELIPE GRIGOLI/ARQUIVO DA EDITORA</v>
      </c>
      <c r="Z315" s="23"/>
      <c r="AA315" s="23" t="str">
        <f>Tabela2[[#This Row],[ILUSTRADOR CRIAÇÃO]]</f>
        <v>FELIPE GRIGOLI/ARQUIVO DA EDITORA</v>
      </c>
      <c r="AB315" s="22">
        <v>8</v>
      </c>
      <c r="AC315" s="20" t="s">
        <v>378</v>
      </c>
      <c r="AD315" s="20" t="s">
        <v>58</v>
      </c>
      <c r="AE315" s="4" t="str">
        <f t="shared" si="4"/>
        <v>EF1 E002 Ing</v>
      </c>
    </row>
    <row r="316" spans="1:31" s="12" customFormat="1" ht="60" x14ac:dyDescent="0.25">
      <c r="A316" s="23" t="s">
        <v>775</v>
      </c>
      <c r="B316" s="20" t="s">
        <v>32</v>
      </c>
      <c r="C316" s="20" t="s">
        <v>33</v>
      </c>
      <c r="D316" s="20" t="s">
        <v>34</v>
      </c>
      <c r="E316" s="22">
        <v>58</v>
      </c>
      <c r="F316" s="22">
        <v>3</v>
      </c>
      <c r="G316" s="22" t="s">
        <v>682</v>
      </c>
      <c r="H316" s="22"/>
      <c r="I316" s="23" t="s">
        <v>699</v>
      </c>
      <c r="J316" s="23"/>
      <c r="K316" s="22"/>
      <c r="L316" s="22"/>
      <c r="M316" s="23"/>
      <c r="N316" s="23"/>
      <c r="O316" s="26" t="s">
        <v>776</v>
      </c>
      <c r="P316" s="26"/>
      <c r="Q316" s="26"/>
      <c r="R316" s="22">
        <v>49</v>
      </c>
      <c r="S316" s="24">
        <v>45862</v>
      </c>
      <c r="T316" s="24">
        <v>45866</v>
      </c>
      <c r="U316" s="24"/>
      <c r="V316" s="24"/>
      <c r="W316" s="24">
        <v>45866</v>
      </c>
      <c r="X316" s="22" t="s">
        <v>54</v>
      </c>
      <c r="Y316" s="4" t="str">
        <f>IF(Tabela2[[#This Row],[SIGLA]]="","",VLOOKUP(Tabela2[[#This Row],[SIGLA]],Tabela1[[#All],[Sigla Arte]:[Crédito]],2,0))</f>
        <v>RAYANNE CARDOSO/ARQUIVO DA EDITORA</v>
      </c>
      <c r="Z316" s="23" t="s">
        <v>508</v>
      </c>
      <c r="AA316" s="23" t="str">
        <f>Tabela2[[#This Row],[ILUSTRADOR CRIAÇÃO]]</f>
        <v>RAYANNE CARDOSO/ARQUIVO DA EDITORA</v>
      </c>
      <c r="AB316" s="22">
        <v>13</v>
      </c>
      <c r="AC316" s="20" t="s">
        <v>758</v>
      </c>
      <c r="AD316" s="20" t="s">
        <v>58</v>
      </c>
      <c r="AE316" s="4" t="str">
        <f t="shared" si="4"/>
        <v>EF1 E002 Ing</v>
      </c>
    </row>
    <row r="317" spans="1:31" s="12" customFormat="1" ht="45" x14ac:dyDescent="0.25">
      <c r="A317" s="23" t="s">
        <v>777</v>
      </c>
      <c r="B317" s="20" t="s">
        <v>32</v>
      </c>
      <c r="C317" s="20" t="s">
        <v>33</v>
      </c>
      <c r="D317" s="20" t="s">
        <v>34</v>
      </c>
      <c r="E317" s="22">
        <v>58</v>
      </c>
      <c r="F317" s="22">
        <v>3</v>
      </c>
      <c r="G317" s="22" t="s">
        <v>682</v>
      </c>
      <c r="H317" s="22"/>
      <c r="I317" s="23" t="s">
        <v>36</v>
      </c>
      <c r="J317" s="23"/>
      <c r="K317" s="22"/>
      <c r="L317" s="22"/>
      <c r="M317" s="23"/>
      <c r="N317" s="23"/>
      <c r="O317" s="26" t="s">
        <v>778</v>
      </c>
      <c r="P317" s="26"/>
      <c r="Q317" s="26"/>
      <c r="R317" s="22">
        <v>49</v>
      </c>
      <c r="S317" s="24">
        <v>45862</v>
      </c>
      <c r="T317" s="24">
        <v>45866</v>
      </c>
      <c r="U317" s="24"/>
      <c r="V317" s="24"/>
      <c r="W317" s="24">
        <v>45866</v>
      </c>
      <c r="X317" s="22" t="s">
        <v>377</v>
      </c>
      <c r="Y317" s="4" t="str">
        <f>IF(Tabela2[[#This Row],[SIGLA]]="","",VLOOKUP(Tabela2[[#This Row],[SIGLA]],Tabela1[[#All],[Sigla Arte]:[Crédito]],2,0))</f>
        <v>FELIPE GRIGOLI/ARQUIVO DA EDITORA</v>
      </c>
      <c r="Z317" s="23"/>
      <c r="AA317" s="23" t="str">
        <f>Tabela2[[#This Row],[ILUSTRADOR CRIAÇÃO]]</f>
        <v>FELIPE GRIGOLI/ARQUIVO DA EDITORA</v>
      </c>
      <c r="AB317" s="22">
        <v>8</v>
      </c>
      <c r="AC317" s="20" t="s">
        <v>378</v>
      </c>
      <c r="AD317" s="20" t="s">
        <v>58</v>
      </c>
      <c r="AE317" s="4" t="str">
        <f t="shared" si="4"/>
        <v>EF1 E002 Ing</v>
      </c>
    </row>
    <row r="318" spans="1:31" s="12" customFormat="1" ht="45" x14ac:dyDescent="0.25">
      <c r="A318" s="23" t="s">
        <v>779</v>
      </c>
      <c r="B318" s="20" t="s">
        <v>32</v>
      </c>
      <c r="C318" s="20" t="s">
        <v>33</v>
      </c>
      <c r="D318" s="20" t="s">
        <v>34</v>
      </c>
      <c r="E318" s="22">
        <v>58</v>
      </c>
      <c r="F318" s="22">
        <v>3</v>
      </c>
      <c r="G318" s="22" t="s">
        <v>682</v>
      </c>
      <c r="H318" s="22"/>
      <c r="I318" s="23" t="s">
        <v>699</v>
      </c>
      <c r="J318" s="23"/>
      <c r="K318" s="22"/>
      <c r="L318" s="22"/>
      <c r="M318" s="23"/>
      <c r="N318" s="23"/>
      <c r="O318" s="26" t="s">
        <v>780</v>
      </c>
      <c r="P318" s="26"/>
      <c r="Q318" s="26"/>
      <c r="R318" s="22">
        <v>49</v>
      </c>
      <c r="S318" s="24">
        <v>45862</v>
      </c>
      <c r="T318" s="24">
        <v>45866</v>
      </c>
      <c r="U318" s="24"/>
      <c r="V318" s="24"/>
      <c r="W318" s="24">
        <v>45866</v>
      </c>
      <c r="X318" s="22" t="s">
        <v>54</v>
      </c>
      <c r="Y318" s="4" t="str">
        <f>IF(Tabela2[[#This Row],[SIGLA]]="","",VLOOKUP(Tabela2[[#This Row],[SIGLA]],Tabela1[[#All],[Sigla Arte]:[Crédito]],2,0))</f>
        <v>RAYANNE CARDOSO/ARQUIVO DA EDITORA</v>
      </c>
      <c r="Z318" s="23" t="s">
        <v>508</v>
      </c>
      <c r="AA318" s="23" t="str">
        <f>Tabela2[[#This Row],[ILUSTRADOR CRIAÇÃO]]</f>
        <v>RAYANNE CARDOSO/ARQUIVO DA EDITORA</v>
      </c>
      <c r="AB318" s="22">
        <v>13</v>
      </c>
      <c r="AC318" s="20" t="s">
        <v>758</v>
      </c>
      <c r="AD318" s="20" t="s">
        <v>58</v>
      </c>
      <c r="AE318" s="4" t="str">
        <f t="shared" si="4"/>
        <v>EF1 E002 Ing</v>
      </c>
    </row>
    <row r="319" spans="1:31" s="12" customFormat="1" ht="60" x14ac:dyDescent="0.25">
      <c r="A319" s="23" t="s">
        <v>781</v>
      </c>
      <c r="B319" s="20" t="s">
        <v>32</v>
      </c>
      <c r="C319" s="20" t="s">
        <v>33</v>
      </c>
      <c r="D319" s="20" t="s">
        <v>34</v>
      </c>
      <c r="E319" s="22">
        <v>58</v>
      </c>
      <c r="F319" s="22">
        <v>3</v>
      </c>
      <c r="G319" s="22" t="s">
        <v>682</v>
      </c>
      <c r="H319" s="22"/>
      <c r="I319" s="23" t="s">
        <v>544</v>
      </c>
      <c r="J319" s="23"/>
      <c r="K319" s="22"/>
      <c r="L319" s="22"/>
      <c r="M319" s="23"/>
      <c r="N319" s="23"/>
      <c r="O319" s="26" t="s">
        <v>782</v>
      </c>
      <c r="P319" s="26"/>
      <c r="Q319" s="26"/>
      <c r="R319" s="22">
        <v>49</v>
      </c>
      <c r="S319" s="24">
        <v>45862</v>
      </c>
      <c r="T319" s="24">
        <v>45866</v>
      </c>
      <c r="U319" s="24"/>
      <c r="V319" s="24"/>
      <c r="W319" s="24">
        <v>45866</v>
      </c>
      <c r="X319" s="22" t="s">
        <v>54</v>
      </c>
      <c r="Y319" s="4" t="str">
        <f>IF(Tabela2[[#This Row],[SIGLA]]="","",VLOOKUP(Tabela2[[#This Row],[SIGLA]],Tabela1[[#All],[Sigla Arte]:[Crédito]],2,0))</f>
        <v>RAYANNE CARDOSO/ARQUIVO DA EDITORA</v>
      </c>
      <c r="Z319" s="23" t="s">
        <v>508</v>
      </c>
      <c r="AA319" s="23" t="str">
        <f>Tabela2[[#This Row],[ILUSTRADOR CRIAÇÃO]]</f>
        <v>RAYANNE CARDOSO/ARQUIVO DA EDITORA</v>
      </c>
      <c r="AB319" s="22">
        <v>13</v>
      </c>
      <c r="AC319" s="20" t="s">
        <v>758</v>
      </c>
      <c r="AD319" s="20" t="s">
        <v>58</v>
      </c>
      <c r="AE319" s="4" t="str">
        <f t="shared" si="4"/>
        <v>EF1 E002 Ing</v>
      </c>
    </row>
    <row r="320" spans="1:31" s="12" customFormat="1" ht="30" x14ac:dyDescent="0.25">
      <c r="A320" s="23" t="s">
        <v>783</v>
      </c>
      <c r="B320" s="20" t="s">
        <v>32</v>
      </c>
      <c r="C320" s="20" t="s">
        <v>33</v>
      </c>
      <c r="D320" s="20" t="s">
        <v>34</v>
      </c>
      <c r="E320" s="22">
        <v>58</v>
      </c>
      <c r="F320" s="22">
        <v>3</v>
      </c>
      <c r="G320" s="22" t="s">
        <v>682</v>
      </c>
      <c r="H320" s="22"/>
      <c r="I320" s="23" t="s">
        <v>36</v>
      </c>
      <c r="J320" s="23"/>
      <c r="K320" s="22"/>
      <c r="L320" s="22"/>
      <c r="M320" s="23"/>
      <c r="N320" s="23"/>
      <c r="O320" s="26" t="s">
        <v>784</v>
      </c>
      <c r="P320" s="26"/>
      <c r="Q320" s="26"/>
      <c r="R320" s="22">
        <v>49</v>
      </c>
      <c r="S320" s="24">
        <v>45862</v>
      </c>
      <c r="T320" s="24">
        <v>45866</v>
      </c>
      <c r="U320" s="24"/>
      <c r="V320" s="24"/>
      <c r="W320" s="24">
        <v>45866</v>
      </c>
      <c r="X320" s="22" t="s">
        <v>377</v>
      </c>
      <c r="Y320" s="4" t="str">
        <f>IF(Tabela2[[#This Row],[SIGLA]]="","",VLOOKUP(Tabela2[[#This Row],[SIGLA]],Tabela1[[#All],[Sigla Arte]:[Crédito]],2,0))</f>
        <v>FELIPE GRIGOLI/ARQUIVO DA EDITORA</v>
      </c>
      <c r="Z320" s="23"/>
      <c r="AA320" s="23" t="str">
        <f>Tabela2[[#This Row],[ILUSTRADOR CRIAÇÃO]]</f>
        <v>FELIPE GRIGOLI/ARQUIVO DA EDITORA</v>
      </c>
      <c r="AB320" s="22">
        <v>8</v>
      </c>
      <c r="AC320" s="20" t="s">
        <v>378</v>
      </c>
      <c r="AD320" s="20" t="s">
        <v>58</v>
      </c>
      <c r="AE320" s="4" t="str">
        <f t="shared" si="4"/>
        <v>EF1 E002 Ing</v>
      </c>
    </row>
    <row r="321" spans="1:31" s="12" customFormat="1" ht="60" x14ac:dyDescent="0.25">
      <c r="A321" s="23" t="s">
        <v>785</v>
      </c>
      <c r="B321" s="20" t="s">
        <v>32</v>
      </c>
      <c r="C321" s="20" t="s">
        <v>33</v>
      </c>
      <c r="D321" s="20" t="s">
        <v>34</v>
      </c>
      <c r="E321" s="22">
        <v>58</v>
      </c>
      <c r="F321" s="22">
        <v>3</v>
      </c>
      <c r="G321" s="22" t="s">
        <v>682</v>
      </c>
      <c r="H321" s="22"/>
      <c r="I321" s="23" t="s">
        <v>699</v>
      </c>
      <c r="J321" s="23"/>
      <c r="K321" s="22"/>
      <c r="L321" s="22"/>
      <c r="M321" s="23"/>
      <c r="N321" s="23"/>
      <c r="O321" s="26" t="s">
        <v>786</v>
      </c>
      <c r="P321" s="26"/>
      <c r="Q321" s="26"/>
      <c r="R321" s="22">
        <v>49</v>
      </c>
      <c r="S321" s="24">
        <v>45862</v>
      </c>
      <c r="T321" s="24">
        <v>45866</v>
      </c>
      <c r="U321" s="24"/>
      <c r="V321" s="24"/>
      <c r="W321" s="24">
        <v>45866</v>
      </c>
      <c r="X321" s="22" t="s">
        <v>54</v>
      </c>
      <c r="Y321" s="4" t="str">
        <f>IF(Tabela2[[#This Row],[SIGLA]]="","",VLOOKUP(Tabela2[[#This Row],[SIGLA]],Tabela1[[#All],[Sigla Arte]:[Crédito]],2,0))</f>
        <v>RAYANNE CARDOSO/ARQUIVO DA EDITORA</v>
      </c>
      <c r="Z321" s="23" t="s">
        <v>508</v>
      </c>
      <c r="AA321" s="23" t="str">
        <f>Tabela2[[#This Row],[ILUSTRADOR CRIAÇÃO]]</f>
        <v>RAYANNE CARDOSO/ARQUIVO DA EDITORA</v>
      </c>
      <c r="AB321" s="22">
        <v>13</v>
      </c>
      <c r="AC321" s="20" t="s">
        <v>758</v>
      </c>
      <c r="AD321" s="20" t="s">
        <v>58</v>
      </c>
      <c r="AE321" s="4" t="str">
        <f t="shared" si="4"/>
        <v>EF1 E002 Ing</v>
      </c>
    </row>
    <row r="322" spans="1:31" s="12" customFormat="1" ht="30" x14ac:dyDescent="0.25">
      <c r="A322" s="23" t="s">
        <v>787</v>
      </c>
      <c r="B322" s="20" t="s">
        <v>32</v>
      </c>
      <c r="C322" s="20" t="s">
        <v>33</v>
      </c>
      <c r="D322" s="20" t="s">
        <v>34</v>
      </c>
      <c r="E322" s="22">
        <v>58</v>
      </c>
      <c r="F322" s="22">
        <v>3</v>
      </c>
      <c r="G322" s="22" t="s">
        <v>682</v>
      </c>
      <c r="H322" s="22"/>
      <c r="I322" s="23" t="s">
        <v>36</v>
      </c>
      <c r="J322" s="23"/>
      <c r="K322" s="22"/>
      <c r="L322" s="22"/>
      <c r="M322" s="23"/>
      <c r="N322" s="23"/>
      <c r="O322" s="26" t="s">
        <v>788</v>
      </c>
      <c r="P322" s="26"/>
      <c r="Q322" s="26"/>
      <c r="R322" s="22">
        <v>49</v>
      </c>
      <c r="S322" s="24">
        <v>45862</v>
      </c>
      <c r="T322" s="24">
        <v>45866</v>
      </c>
      <c r="U322" s="24"/>
      <c r="V322" s="24"/>
      <c r="W322" s="24">
        <v>45866</v>
      </c>
      <c r="X322" s="22" t="s">
        <v>377</v>
      </c>
      <c r="Y322" s="4" t="str">
        <f>IF(Tabela2[[#This Row],[SIGLA]]="","",VLOOKUP(Tabela2[[#This Row],[SIGLA]],Tabela1[[#All],[Sigla Arte]:[Crédito]],2,0))</f>
        <v>FELIPE GRIGOLI/ARQUIVO DA EDITORA</v>
      </c>
      <c r="Z322" s="23"/>
      <c r="AA322" s="23" t="str">
        <f>Tabela2[[#This Row],[ILUSTRADOR CRIAÇÃO]]</f>
        <v>FELIPE GRIGOLI/ARQUIVO DA EDITORA</v>
      </c>
      <c r="AB322" s="22">
        <v>8</v>
      </c>
      <c r="AC322" s="20" t="s">
        <v>378</v>
      </c>
      <c r="AD322" s="20" t="s">
        <v>58</v>
      </c>
      <c r="AE322" s="4" t="str">
        <f t="shared" ref="AE322:AE385" si="5">"EF1 E002 Ing"</f>
        <v>EF1 E002 Ing</v>
      </c>
    </row>
    <row r="323" spans="1:31" s="12" customFormat="1" ht="45" x14ac:dyDescent="0.25">
      <c r="A323" s="23" t="s">
        <v>789</v>
      </c>
      <c r="B323" s="20" t="s">
        <v>32</v>
      </c>
      <c r="C323" s="20" t="s">
        <v>33</v>
      </c>
      <c r="D323" s="20" t="s">
        <v>34</v>
      </c>
      <c r="E323" s="22">
        <v>57</v>
      </c>
      <c r="F323" s="22">
        <v>4</v>
      </c>
      <c r="G323" s="22" t="s">
        <v>682</v>
      </c>
      <c r="H323" s="22"/>
      <c r="I323" s="23" t="s">
        <v>699</v>
      </c>
      <c r="J323" s="23"/>
      <c r="K323" s="22"/>
      <c r="L323" s="22"/>
      <c r="M323" s="23"/>
      <c r="N323" s="23"/>
      <c r="O323" s="26" t="s">
        <v>790</v>
      </c>
      <c r="P323" s="26"/>
      <c r="Q323" s="26"/>
      <c r="R323" s="22">
        <v>50</v>
      </c>
      <c r="S323" s="24">
        <v>45882</v>
      </c>
      <c r="T323" s="24">
        <v>45883</v>
      </c>
      <c r="U323" s="24"/>
      <c r="V323" s="24"/>
      <c r="W323" s="24">
        <v>45883</v>
      </c>
      <c r="X323" s="22" t="s">
        <v>680</v>
      </c>
      <c r="Y323" s="4" t="str">
        <f>IF(Tabela2[[#This Row],[SIGLA]]="","",VLOOKUP(Tabela2[[#This Row],[SIGLA]],Tabela1[[#All],[Sigla Arte]:[Crédito]],2,0))</f>
        <v>LISLLEY GOMES FEIGE/ARQUIVO DA EDITORA</v>
      </c>
      <c r="Z323" s="23" t="s">
        <v>508</v>
      </c>
      <c r="AA323" s="23" t="str">
        <f>Tabela2[[#This Row],[ILUSTRADOR CRIAÇÃO]]</f>
        <v>LISLLEY GOMES FEIGE/ARQUIVO DA EDITORA</v>
      </c>
      <c r="AB323" s="22">
        <v>13</v>
      </c>
      <c r="AC323" s="20" t="s">
        <v>791</v>
      </c>
      <c r="AD323" s="20" t="s">
        <v>58</v>
      </c>
      <c r="AE323" s="4" t="str">
        <f t="shared" si="5"/>
        <v>EF1 E002 Ing</v>
      </c>
    </row>
    <row r="324" spans="1:31" s="12" customFormat="1" ht="75" x14ac:dyDescent="0.25">
      <c r="A324" s="23" t="s">
        <v>792</v>
      </c>
      <c r="B324" s="20" t="s">
        <v>32</v>
      </c>
      <c r="C324" s="20" t="s">
        <v>33</v>
      </c>
      <c r="D324" s="20" t="s">
        <v>34</v>
      </c>
      <c r="E324" s="22">
        <v>57</v>
      </c>
      <c r="F324" s="22">
        <v>4</v>
      </c>
      <c r="G324" s="22" t="s">
        <v>682</v>
      </c>
      <c r="H324" s="22"/>
      <c r="I324" s="23" t="s">
        <v>699</v>
      </c>
      <c r="J324" s="23"/>
      <c r="K324" s="22"/>
      <c r="L324" s="22"/>
      <c r="M324" s="23"/>
      <c r="N324" s="23"/>
      <c r="O324" s="26" t="s">
        <v>793</v>
      </c>
      <c r="P324" s="26"/>
      <c r="Q324" s="26"/>
      <c r="R324" s="22">
        <v>50</v>
      </c>
      <c r="S324" s="24">
        <v>45882</v>
      </c>
      <c r="T324" s="24">
        <v>45883</v>
      </c>
      <c r="U324" s="24"/>
      <c r="V324" s="24"/>
      <c r="W324" s="24">
        <v>45883</v>
      </c>
      <c r="X324" s="22" t="s">
        <v>680</v>
      </c>
      <c r="Y324" s="4" t="str">
        <f>IF(Tabela2[[#This Row],[SIGLA]]="","",VLOOKUP(Tabela2[[#This Row],[SIGLA]],Tabela1[[#All],[Sigla Arte]:[Crédito]],2,0))</f>
        <v>LISLLEY GOMES FEIGE/ARQUIVO DA EDITORA</v>
      </c>
      <c r="Z324" s="23" t="s">
        <v>508</v>
      </c>
      <c r="AA324" s="23" t="str">
        <f>Tabela2[[#This Row],[ILUSTRADOR CRIAÇÃO]]</f>
        <v>LISLLEY GOMES FEIGE/ARQUIVO DA EDITORA</v>
      </c>
      <c r="AB324" s="22">
        <v>13</v>
      </c>
      <c r="AC324" s="20" t="s">
        <v>791</v>
      </c>
      <c r="AD324" s="20" t="s">
        <v>58</v>
      </c>
      <c r="AE324" s="4" t="str">
        <f t="shared" si="5"/>
        <v>EF1 E002 Ing</v>
      </c>
    </row>
    <row r="325" spans="1:31" s="12" customFormat="1" ht="45" x14ac:dyDescent="0.25">
      <c r="A325" s="23" t="s">
        <v>794</v>
      </c>
      <c r="B325" s="20" t="s">
        <v>32</v>
      </c>
      <c r="C325" s="20" t="s">
        <v>33</v>
      </c>
      <c r="D325" s="20" t="s">
        <v>34</v>
      </c>
      <c r="E325" s="22">
        <v>57</v>
      </c>
      <c r="F325" s="22">
        <v>4</v>
      </c>
      <c r="G325" s="22" t="s">
        <v>682</v>
      </c>
      <c r="H325" s="22"/>
      <c r="I325" s="23" t="s">
        <v>699</v>
      </c>
      <c r="J325" s="23"/>
      <c r="K325" s="22"/>
      <c r="L325" s="22"/>
      <c r="M325" s="23"/>
      <c r="N325" s="23"/>
      <c r="O325" s="26" t="s">
        <v>795</v>
      </c>
      <c r="P325" s="26"/>
      <c r="Q325" s="26"/>
      <c r="R325" s="22">
        <v>50</v>
      </c>
      <c r="S325" s="24">
        <v>45882</v>
      </c>
      <c r="T325" s="24">
        <v>45883</v>
      </c>
      <c r="U325" s="24"/>
      <c r="V325" s="24"/>
      <c r="W325" s="24">
        <v>45883</v>
      </c>
      <c r="X325" s="22" t="s">
        <v>680</v>
      </c>
      <c r="Y325" s="4" t="str">
        <f>IF(Tabela2[[#This Row],[SIGLA]]="","",VLOOKUP(Tabela2[[#This Row],[SIGLA]],Tabela1[[#All],[Sigla Arte]:[Crédito]],2,0))</f>
        <v>LISLLEY GOMES FEIGE/ARQUIVO DA EDITORA</v>
      </c>
      <c r="Z325" s="23" t="s">
        <v>508</v>
      </c>
      <c r="AA325" s="23" t="str">
        <f>Tabela2[[#This Row],[ILUSTRADOR CRIAÇÃO]]</f>
        <v>LISLLEY GOMES FEIGE/ARQUIVO DA EDITORA</v>
      </c>
      <c r="AB325" s="22">
        <v>13</v>
      </c>
      <c r="AC325" s="20" t="s">
        <v>791</v>
      </c>
      <c r="AD325" s="20" t="s">
        <v>58</v>
      </c>
      <c r="AE325" s="4" t="str">
        <f t="shared" si="5"/>
        <v>EF1 E002 Ing</v>
      </c>
    </row>
    <row r="326" spans="1:31" s="12" customFormat="1" ht="30" x14ac:dyDescent="0.25">
      <c r="A326" s="23" t="s">
        <v>796</v>
      </c>
      <c r="B326" s="20" t="s">
        <v>32</v>
      </c>
      <c r="C326" s="20" t="s">
        <v>33</v>
      </c>
      <c r="D326" s="20" t="s">
        <v>34</v>
      </c>
      <c r="E326" s="22">
        <v>57</v>
      </c>
      <c r="F326" s="22">
        <v>4</v>
      </c>
      <c r="G326" s="22" t="s">
        <v>682</v>
      </c>
      <c r="H326" s="22"/>
      <c r="I326" s="23" t="s">
        <v>544</v>
      </c>
      <c r="J326" s="23"/>
      <c r="K326" s="22"/>
      <c r="L326" s="22"/>
      <c r="M326" s="23"/>
      <c r="N326" s="23"/>
      <c r="O326" s="26" t="s">
        <v>797</v>
      </c>
      <c r="P326" s="26"/>
      <c r="Q326" s="26"/>
      <c r="R326" s="22"/>
      <c r="S326" s="24"/>
      <c r="T326" s="24"/>
      <c r="U326" s="24"/>
      <c r="V326" s="24"/>
      <c r="W326" s="24"/>
      <c r="X326" s="22" t="s">
        <v>680</v>
      </c>
      <c r="Y326" s="4" t="str">
        <f>IF(Tabela2[[#This Row],[SIGLA]]="","",VLOOKUP(Tabela2[[#This Row],[SIGLA]],Tabela1[[#All],[Sigla Arte]:[Crédito]],2,0))</f>
        <v>LISLLEY GOMES FEIGE/ARQUIVO DA EDITORA</v>
      </c>
      <c r="Z326" s="23"/>
      <c r="AA326" s="23" t="str">
        <f>Tabela2[[#This Row],[ILUSTRADOR CRIAÇÃO]]</f>
        <v>LISLLEY GOMES FEIGE/ARQUIVO DA EDITORA</v>
      </c>
      <c r="AB326" s="22"/>
      <c r="AC326" s="20"/>
      <c r="AD326" s="20"/>
      <c r="AE326" s="4" t="str">
        <f t="shared" si="5"/>
        <v>EF1 E002 Ing</v>
      </c>
    </row>
    <row r="327" spans="1:31" s="12" customFormat="1" ht="45" x14ac:dyDescent="0.25">
      <c r="A327" s="23" t="s">
        <v>798</v>
      </c>
      <c r="B327" s="20" t="s">
        <v>32</v>
      </c>
      <c r="C327" s="20" t="s">
        <v>33</v>
      </c>
      <c r="D327" s="20" t="s">
        <v>34</v>
      </c>
      <c r="E327" s="22">
        <v>57</v>
      </c>
      <c r="F327" s="22">
        <v>4</v>
      </c>
      <c r="G327" s="22" t="s">
        <v>682</v>
      </c>
      <c r="H327" s="22"/>
      <c r="I327" s="23" t="s">
        <v>699</v>
      </c>
      <c r="J327" s="23"/>
      <c r="K327" s="22"/>
      <c r="L327" s="22"/>
      <c r="M327" s="23"/>
      <c r="N327" s="23"/>
      <c r="O327" s="26" t="s">
        <v>799</v>
      </c>
      <c r="P327" s="26"/>
      <c r="Q327" s="26"/>
      <c r="R327" s="22">
        <v>50</v>
      </c>
      <c r="S327" s="24">
        <v>45882</v>
      </c>
      <c r="T327" s="24">
        <v>45883</v>
      </c>
      <c r="U327" s="24"/>
      <c r="V327" s="24"/>
      <c r="W327" s="24">
        <v>45883</v>
      </c>
      <c r="X327" s="22" t="s">
        <v>680</v>
      </c>
      <c r="Y327" s="4" t="str">
        <f>IF(Tabela2[[#This Row],[SIGLA]]="","",VLOOKUP(Tabela2[[#This Row],[SIGLA]],Tabela1[[#All],[Sigla Arte]:[Crédito]],2,0))</f>
        <v>LISLLEY GOMES FEIGE/ARQUIVO DA EDITORA</v>
      </c>
      <c r="Z327" s="23" t="s">
        <v>508</v>
      </c>
      <c r="AA327" s="23" t="str">
        <f>Tabela2[[#This Row],[ILUSTRADOR CRIAÇÃO]]</f>
        <v>LISLLEY GOMES FEIGE/ARQUIVO DA EDITORA</v>
      </c>
      <c r="AB327" s="22">
        <v>13</v>
      </c>
      <c r="AC327" s="20" t="s">
        <v>791</v>
      </c>
      <c r="AD327" s="20" t="s">
        <v>58</v>
      </c>
      <c r="AE327" s="4" t="str">
        <f t="shared" si="5"/>
        <v>EF1 E002 Ing</v>
      </c>
    </row>
    <row r="328" spans="1:31" s="12" customFormat="1" ht="60" x14ac:dyDescent="0.25">
      <c r="A328" s="23" t="s">
        <v>800</v>
      </c>
      <c r="B328" s="20" t="s">
        <v>32</v>
      </c>
      <c r="C328" s="20" t="s">
        <v>33</v>
      </c>
      <c r="D328" s="20" t="s">
        <v>34</v>
      </c>
      <c r="E328" s="22">
        <v>57</v>
      </c>
      <c r="F328" s="22">
        <v>4</v>
      </c>
      <c r="G328" s="22" t="s">
        <v>682</v>
      </c>
      <c r="H328" s="22"/>
      <c r="I328" s="23" t="s">
        <v>699</v>
      </c>
      <c r="J328" s="23"/>
      <c r="K328" s="22"/>
      <c r="L328" s="22"/>
      <c r="M328" s="23"/>
      <c r="N328" s="23"/>
      <c r="O328" s="26" t="s">
        <v>801</v>
      </c>
      <c r="P328" s="26"/>
      <c r="Q328" s="26"/>
      <c r="R328" s="22">
        <v>50</v>
      </c>
      <c r="S328" s="24">
        <v>45882</v>
      </c>
      <c r="T328" s="24">
        <v>45882</v>
      </c>
      <c r="U328" s="24"/>
      <c r="V328" s="24"/>
      <c r="W328" s="24">
        <v>45885</v>
      </c>
      <c r="X328" s="22" t="s">
        <v>680</v>
      </c>
      <c r="Y328" s="4" t="str">
        <f>IF(Tabela2[[#This Row],[SIGLA]]="","",VLOOKUP(Tabela2[[#This Row],[SIGLA]],Tabela1[[#All],[Sigla Arte]:[Crédito]],2,0))</f>
        <v>LISLLEY GOMES FEIGE/ARQUIVO DA EDITORA</v>
      </c>
      <c r="Z328" s="23" t="s">
        <v>802</v>
      </c>
      <c r="AA328" s="23" t="str">
        <f>Tabela2[[#This Row],[ILUSTRADOR CRIAÇÃO]]</f>
        <v>LISLLEY GOMES FEIGE/ARQUIVO DA EDITORA</v>
      </c>
      <c r="AB328" s="22">
        <v>14</v>
      </c>
      <c r="AC328" s="20" t="s">
        <v>803</v>
      </c>
      <c r="AD328" s="20" t="s">
        <v>58</v>
      </c>
      <c r="AE328" s="4" t="str">
        <f t="shared" si="5"/>
        <v>EF1 E002 Ing</v>
      </c>
    </row>
    <row r="329" spans="1:31" s="12" customFormat="1" x14ac:dyDescent="0.25">
      <c r="A329" s="23" t="s">
        <v>804</v>
      </c>
      <c r="B329" s="20" t="s">
        <v>32</v>
      </c>
      <c r="C329" s="20" t="s">
        <v>33</v>
      </c>
      <c r="D329" s="20" t="s">
        <v>34</v>
      </c>
      <c r="E329" s="22">
        <v>57</v>
      </c>
      <c r="F329" s="22">
        <v>4</v>
      </c>
      <c r="G329" s="22" t="s">
        <v>682</v>
      </c>
      <c r="H329" s="22"/>
      <c r="I329" s="23" t="s">
        <v>544</v>
      </c>
      <c r="J329" s="23"/>
      <c r="K329" s="22"/>
      <c r="L329" s="22"/>
      <c r="M329" s="23"/>
      <c r="N329" s="23"/>
      <c r="O329" s="26" t="s">
        <v>805</v>
      </c>
      <c r="P329" s="26"/>
      <c r="Q329" s="26"/>
      <c r="R329" s="22"/>
      <c r="S329" s="24"/>
      <c r="T329" s="24"/>
      <c r="U329" s="24"/>
      <c r="V329" s="24"/>
      <c r="W329" s="24"/>
      <c r="X329" s="22" t="s">
        <v>680</v>
      </c>
      <c r="Y329" s="4" t="str">
        <f>IF(Tabela2[[#This Row],[SIGLA]]="","",VLOOKUP(Tabela2[[#This Row],[SIGLA]],Tabela1[[#All],[Sigla Arte]:[Crédito]],2,0))</f>
        <v>LISLLEY GOMES FEIGE/ARQUIVO DA EDITORA</v>
      </c>
      <c r="Z329" s="23"/>
      <c r="AA329" s="23" t="str">
        <f>Tabela2[[#This Row],[ILUSTRADOR CRIAÇÃO]]</f>
        <v>LISLLEY GOMES FEIGE/ARQUIVO DA EDITORA</v>
      </c>
      <c r="AB329" s="22"/>
      <c r="AC329" s="20"/>
      <c r="AD329" s="20"/>
      <c r="AE329" s="4" t="str">
        <f t="shared" si="5"/>
        <v>EF1 E002 Ing</v>
      </c>
    </row>
    <row r="330" spans="1:31" s="12" customFormat="1" ht="75" x14ac:dyDescent="0.25">
      <c r="A330" s="23" t="s">
        <v>806</v>
      </c>
      <c r="B330" s="20" t="s">
        <v>32</v>
      </c>
      <c r="C330" s="20" t="s">
        <v>33</v>
      </c>
      <c r="D330" s="20" t="s">
        <v>34</v>
      </c>
      <c r="E330" s="22">
        <v>57</v>
      </c>
      <c r="F330" s="22">
        <v>4</v>
      </c>
      <c r="G330" s="22" t="s">
        <v>682</v>
      </c>
      <c r="H330" s="22"/>
      <c r="I330" s="23" t="s">
        <v>699</v>
      </c>
      <c r="J330" s="23"/>
      <c r="K330" s="22"/>
      <c r="L330" s="22"/>
      <c r="M330" s="23"/>
      <c r="N330" s="23"/>
      <c r="O330" s="26" t="s">
        <v>807</v>
      </c>
      <c r="P330" s="26"/>
      <c r="Q330" s="26"/>
      <c r="R330" s="22">
        <v>50</v>
      </c>
      <c r="S330" s="24">
        <v>45882</v>
      </c>
      <c r="T330" s="24">
        <v>45883</v>
      </c>
      <c r="U330" s="24"/>
      <c r="V330" s="24"/>
      <c r="W330" s="24">
        <v>45883</v>
      </c>
      <c r="X330" s="22" t="s">
        <v>680</v>
      </c>
      <c r="Y330" s="4" t="str">
        <f>IF(Tabela2[[#This Row],[SIGLA]]="","",VLOOKUP(Tabela2[[#This Row],[SIGLA]],Tabela1[[#All],[Sigla Arte]:[Crédito]],2,0))</f>
        <v>LISLLEY GOMES FEIGE/ARQUIVO DA EDITORA</v>
      </c>
      <c r="Z330" s="23" t="s">
        <v>508</v>
      </c>
      <c r="AA330" s="23" t="str">
        <f>Tabela2[[#This Row],[ILUSTRADOR CRIAÇÃO]]</f>
        <v>LISLLEY GOMES FEIGE/ARQUIVO DA EDITORA</v>
      </c>
      <c r="AB330" s="22">
        <v>13</v>
      </c>
      <c r="AC330" s="20" t="s">
        <v>791</v>
      </c>
      <c r="AD330" s="20" t="s">
        <v>58</v>
      </c>
      <c r="AE330" s="4" t="str">
        <f t="shared" si="5"/>
        <v>EF1 E002 Ing</v>
      </c>
    </row>
    <row r="331" spans="1:31" s="12" customFormat="1" ht="30" x14ac:dyDescent="0.25">
      <c r="A331" s="23" t="s">
        <v>808</v>
      </c>
      <c r="B331" s="20" t="s">
        <v>32</v>
      </c>
      <c r="C331" s="20" t="s">
        <v>33</v>
      </c>
      <c r="D331" s="20" t="s">
        <v>34</v>
      </c>
      <c r="E331" s="22">
        <v>57</v>
      </c>
      <c r="F331" s="22">
        <v>4</v>
      </c>
      <c r="G331" s="22" t="s">
        <v>682</v>
      </c>
      <c r="H331" s="22"/>
      <c r="I331" s="23" t="s">
        <v>544</v>
      </c>
      <c r="J331" s="23"/>
      <c r="K331" s="22"/>
      <c r="L331" s="22"/>
      <c r="M331" s="23"/>
      <c r="N331" s="23"/>
      <c r="O331" s="26" t="s">
        <v>809</v>
      </c>
      <c r="P331" s="26"/>
      <c r="Q331" s="26"/>
      <c r="R331" s="22"/>
      <c r="S331" s="24"/>
      <c r="T331" s="24"/>
      <c r="U331" s="24"/>
      <c r="V331" s="24"/>
      <c r="W331" s="24"/>
      <c r="X331" s="22" t="s">
        <v>377</v>
      </c>
      <c r="Y331" s="4" t="str">
        <f>IF(Tabela2[[#This Row],[SIGLA]]="","",VLOOKUP(Tabela2[[#This Row],[SIGLA]],Tabela1[[#All],[Sigla Arte]:[Crédito]],2,0))</f>
        <v>FELIPE GRIGOLI/ARQUIVO DA EDITORA</v>
      </c>
      <c r="Z331" s="23"/>
      <c r="AA331" s="23" t="str">
        <f>Tabela2[[#This Row],[ILUSTRADOR CRIAÇÃO]]</f>
        <v>FELIPE GRIGOLI/ARQUIVO DA EDITORA</v>
      </c>
      <c r="AB331" s="22"/>
      <c r="AC331" s="20"/>
      <c r="AD331" s="20"/>
      <c r="AE331" s="4" t="str">
        <f t="shared" si="5"/>
        <v>EF1 E002 Ing</v>
      </c>
    </row>
    <row r="332" spans="1:31" s="12" customFormat="1" x14ac:dyDescent="0.25">
      <c r="A332" s="23" t="s">
        <v>810</v>
      </c>
      <c r="B332" s="20" t="s">
        <v>32</v>
      </c>
      <c r="C332" s="20" t="s">
        <v>33</v>
      </c>
      <c r="D332" s="20" t="s">
        <v>34</v>
      </c>
      <c r="E332" s="22">
        <v>57</v>
      </c>
      <c r="F332" s="22">
        <v>4</v>
      </c>
      <c r="G332" s="22" t="s">
        <v>682</v>
      </c>
      <c r="H332" s="22"/>
      <c r="I332" s="23" t="s">
        <v>544</v>
      </c>
      <c r="J332" s="23"/>
      <c r="K332" s="22"/>
      <c r="L332" s="22"/>
      <c r="M332" s="23"/>
      <c r="N332" s="23"/>
      <c r="O332" s="26" t="s">
        <v>811</v>
      </c>
      <c r="P332" s="26"/>
      <c r="Q332" s="26"/>
      <c r="R332" s="22"/>
      <c r="S332" s="24"/>
      <c r="T332" s="24"/>
      <c r="U332" s="24"/>
      <c r="V332" s="24"/>
      <c r="W332" s="24"/>
      <c r="X332" s="22" t="s">
        <v>54</v>
      </c>
      <c r="Y332" s="4" t="str">
        <f>IF(Tabela2[[#This Row],[SIGLA]]="","",VLOOKUP(Tabela2[[#This Row],[SIGLA]],Tabela1[[#All],[Sigla Arte]:[Crédito]],2,0))</f>
        <v>RAYANNE CARDOSO/ARQUIVO DA EDITORA</v>
      </c>
      <c r="Z332" s="23"/>
      <c r="AA332" s="23" t="str">
        <f>Tabela2[[#This Row],[ILUSTRADOR CRIAÇÃO]]</f>
        <v>RAYANNE CARDOSO/ARQUIVO DA EDITORA</v>
      </c>
      <c r="AB332" s="22"/>
      <c r="AC332" s="20"/>
      <c r="AD332" s="20"/>
      <c r="AE332" s="4" t="str">
        <f t="shared" si="5"/>
        <v>EF1 E002 Ing</v>
      </c>
    </row>
    <row r="333" spans="1:31" s="12" customFormat="1" x14ac:dyDescent="0.25">
      <c r="A333" s="23" t="s">
        <v>812</v>
      </c>
      <c r="B333" s="20" t="s">
        <v>32</v>
      </c>
      <c r="C333" s="20" t="s">
        <v>33</v>
      </c>
      <c r="D333" s="20" t="s">
        <v>34</v>
      </c>
      <c r="E333" s="22">
        <v>57</v>
      </c>
      <c r="F333" s="22">
        <v>4</v>
      </c>
      <c r="G333" s="22" t="s">
        <v>682</v>
      </c>
      <c r="H333" s="22"/>
      <c r="I333" s="23" t="s">
        <v>544</v>
      </c>
      <c r="J333" s="23"/>
      <c r="K333" s="22"/>
      <c r="L333" s="22"/>
      <c r="M333" s="23"/>
      <c r="N333" s="23"/>
      <c r="O333" s="26" t="s">
        <v>813</v>
      </c>
      <c r="P333" s="26"/>
      <c r="Q333" s="26"/>
      <c r="R333" s="22"/>
      <c r="S333" s="24"/>
      <c r="T333" s="24"/>
      <c r="U333" s="24"/>
      <c r="V333" s="24"/>
      <c r="W333" s="24"/>
      <c r="X333" s="22" t="s">
        <v>377</v>
      </c>
      <c r="Y333" s="4" t="str">
        <f>IF(Tabela2[[#This Row],[SIGLA]]="","",VLOOKUP(Tabela2[[#This Row],[SIGLA]],Tabela1[[#All],[Sigla Arte]:[Crédito]],2,0))</f>
        <v>FELIPE GRIGOLI/ARQUIVO DA EDITORA</v>
      </c>
      <c r="Z333" s="23"/>
      <c r="AA333" s="23" t="str">
        <f>Tabela2[[#This Row],[ILUSTRADOR CRIAÇÃO]]</f>
        <v>FELIPE GRIGOLI/ARQUIVO DA EDITORA</v>
      </c>
      <c r="AB333" s="22"/>
      <c r="AC333" s="20"/>
      <c r="AD333" s="20"/>
      <c r="AE333" s="4" t="str">
        <f t="shared" si="5"/>
        <v>EF1 E002 Ing</v>
      </c>
    </row>
    <row r="334" spans="1:31" s="12" customFormat="1" ht="30" x14ac:dyDescent="0.25">
      <c r="A334" s="23" t="s">
        <v>814</v>
      </c>
      <c r="B334" s="20" t="s">
        <v>32</v>
      </c>
      <c r="C334" s="20" t="s">
        <v>33</v>
      </c>
      <c r="D334" s="20" t="s">
        <v>34</v>
      </c>
      <c r="E334" s="22">
        <v>57</v>
      </c>
      <c r="F334" s="22">
        <v>4</v>
      </c>
      <c r="G334" s="22" t="s">
        <v>682</v>
      </c>
      <c r="H334" s="22"/>
      <c r="I334" s="23" t="s">
        <v>544</v>
      </c>
      <c r="J334" s="23"/>
      <c r="K334" s="22"/>
      <c r="L334" s="22"/>
      <c r="M334" s="23"/>
      <c r="N334" s="23"/>
      <c r="O334" s="26" t="s">
        <v>815</v>
      </c>
      <c r="P334" s="26"/>
      <c r="Q334" s="26"/>
      <c r="R334" s="22"/>
      <c r="S334" s="24"/>
      <c r="T334" s="24"/>
      <c r="U334" s="24"/>
      <c r="V334" s="24"/>
      <c r="W334" s="24"/>
      <c r="X334" s="22" t="s">
        <v>54</v>
      </c>
      <c r="Y334" s="4" t="str">
        <f>IF(Tabela2[[#This Row],[SIGLA]]="","",VLOOKUP(Tabela2[[#This Row],[SIGLA]],Tabela1[[#All],[Sigla Arte]:[Crédito]],2,0))</f>
        <v>RAYANNE CARDOSO/ARQUIVO DA EDITORA</v>
      </c>
      <c r="Z334" s="23"/>
      <c r="AA334" s="23" t="str">
        <f>Tabela2[[#This Row],[ILUSTRADOR CRIAÇÃO]]</f>
        <v>RAYANNE CARDOSO/ARQUIVO DA EDITORA</v>
      </c>
      <c r="AB334" s="22"/>
      <c r="AC334" s="20"/>
      <c r="AD334" s="20"/>
      <c r="AE334" s="4" t="str">
        <f t="shared" si="5"/>
        <v>EF1 E002 Ing</v>
      </c>
    </row>
    <row r="335" spans="1:31" s="12" customFormat="1" ht="30" x14ac:dyDescent="0.25">
      <c r="A335" s="23" t="s">
        <v>816</v>
      </c>
      <c r="B335" s="20" t="s">
        <v>32</v>
      </c>
      <c r="C335" s="20" t="s">
        <v>33</v>
      </c>
      <c r="D335" s="20" t="s">
        <v>34</v>
      </c>
      <c r="E335" s="22">
        <v>57</v>
      </c>
      <c r="F335" s="22">
        <v>4</v>
      </c>
      <c r="G335" s="22" t="s">
        <v>682</v>
      </c>
      <c r="H335" s="22"/>
      <c r="I335" s="23" t="s">
        <v>544</v>
      </c>
      <c r="J335" s="23"/>
      <c r="K335" s="22"/>
      <c r="L335" s="22"/>
      <c r="M335" s="23"/>
      <c r="N335" s="23"/>
      <c r="O335" s="26" t="s">
        <v>817</v>
      </c>
      <c r="P335" s="26"/>
      <c r="Q335" s="26"/>
      <c r="R335" s="22"/>
      <c r="S335" s="24"/>
      <c r="T335" s="24"/>
      <c r="U335" s="24"/>
      <c r="V335" s="24"/>
      <c r="W335" s="24"/>
      <c r="X335" s="22" t="s">
        <v>54</v>
      </c>
      <c r="Y335" s="4" t="str">
        <f>IF(Tabela2[[#This Row],[SIGLA]]="","",VLOOKUP(Tabela2[[#This Row],[SIGLA]],Tabela1[[#All],[Sigla Arte]:[Crédito]],2,0))</f>
        <v>RAYANNE CARDOSO/ARQUIVO DA EDITORA</v>
      </c>
      <c r="Z335" s="23"/>
      <c r="AA335" s="23" t="str">
        <f>Tabela2[[#This Row],[ILUSTRADOR CRIAÇÃO]]</f>
        <v>RAYANNE CARDOSO/ARQUIVO DA EDITORA</v>
      </c>
      <c r="AB335" s="22"/>
      <c r="AC335" s="20"/>
      <c r="AD335" s="20"/>
      <c r="AE335" s="4" t="str">
        <f t="shared" si="5"/>
        <v>EF1 E002 Ing</v>
      </c>
    </row>
    <row r="336" spans="1:31" s="12" customFormat="1" ht="30" x14ac:dyDescent="0.25">
      <c r="A336" s="23" t="s">
        <v>818</v>
      </c>
      <c r="B336" s="20" t="s">
        <v>32</v>
      </c>
      <c r="C336" s="20" t="s">
        <v>33</v>
      </c>
      <c r="D336" s="20" t="s">
        <v>34</v>
      </c>
      <c r="E336" s="22">
        <v>57</v>
      </c>
      <c r="F336" s="22">
        <v>4</v>
      </c>
      <c r="G336" s="22" t="s">
        <v>682</v>
      </c>
      <c r="H336" s="22"/>
      <c r="I336" s="23" t="s">
        <v>544</v>
      </c>
      <c r="J336" s="23"/>
      <c r="K336" s="22"/>
      <c r="L336" s="22"/>
      <c r="M336" s="23"/>
      <c r="N336" s="23"/>
      <c r="O336" s="26" t="s">
        <v>819</v>
      </c>
      <c r="P336" s="26"/>
      <c r="Q336" s="26"/>
      <c r="R336" s="22"/>
      <c r="S336" s="24"/>
      <c r="T336" s="24"/>
      <c r="U336" s="24"/>
      <c r="V336" s="24"/>
      <c r="W336" s="24"/>
      <c r="X336" s="22" t="s">
        <v>377</v>
      </c>
      <c r="Y336" s="4" t="str">
        <f>IF(Tabela2[[#This Row],[SIGLA]]="","",VLOOKUP(Tabela2[[#This Row],[SIGLA]],Tabela1[[#All],[Sigla Arte]:[Crédito]],2,0))</f>
        <v>FELIPE GRIGOLI/ARQUIVO DA EDITORA</v>
      </c>
      <c r="Z336" s="23"/>
      <c r="AA336" s="23" t="str">
        <f>Tabela2[[#This Row],[ILUSTRADOR CRIAÇÃO]]</f>
        <v>FELIPE GRIGOLI/ARQUIVO DA EDITORA</v>
      </c>
      <c r="AB336" s="22"/>
      <c r="AC336" s="20"/>
      <c r="AD336" s="20"/>
      <c r="AE336" s="4" t="str">
        <f t="shared" si="5"/>
        <v>EF1 E002 Ing</v>
      </c>
    </row>
    <row r="337" spans="1:31" s="12" customFormat="1" ht="30" x14ac:dyDescent="0.25">
      <c r="A337" s="23" t="s">
        <v>820</v>
      </c>
      <c r="B337" s="20" t="s">
        <v>32</v>
      </c>
      <c r="C337" s="20" t="s">
        <v>33</v>
      </c>
      <c r="D337" s="20" t="s">
        <v>34</v>
      </c>
      <c r="E337" s="22">
        <v>57</v>
      </c>
      <c r="F337" s="22">
        <v>4</v>
      </c>
      <c r="G337" s="22" t="s">
        <v>682</v>
      </c>
      <c r="H337" s="22"/>
      <c r="I337" s="23" t="s">
        <v>544</v>
      </c>
      <c r="J337" s="23"/>
      <c r="K337" s="22"/>
      <c r="L337" s="22"/>
      <c r="M337" s="23"/>
      <c r="N337" s="23"/>
      <c r="O337" s="26" t="s">
        <v>821</v>
      </c>
      <c r="P337" s="26"/>
      <c r="Q337" s="26"/>
      <c r="R337" s="22"/>
      <c r="S337" s="24"/>
      <c r="T337" s="24"/>
      <c r="U337" s="24"/>
      <c r="V337" s="24"/>
      <c r="W337" s="24"/>
      <c r="X337" s="22" t="s">
        <v>54</v>
      </c>
      <c r="Y337" s="4" t="str">
        <f>IF(Tabela2[[#This Row],[SIGLA]]="","",VLOOKUP(Tabela2[[#This Row],[SIGLA]],Tabela1[[#All],[Sigla Arte]:[Crédito]],2,0))</f>
        <v>RAYANNE CARDOSO/ARQUIVO DA EDITORA</v>
      </c>
      <c r="Z337" s="23"/>
      <c r="AA337" s="23" t="str">
        <f>Tabela2[[#This Row],[ILUSTRADOR CRIAÇÃO]]</f>
        <v>RAYANNE CARDOSO/ARQUIVO DA EDITORA</v>
      </c>
      <c r="AB337" s="22"/>
      <c r="AC337" s="20"/>
      <c r="AD337" s="20"/>
      <c r="AE337" s="4" t="str">
        <f t="shared" si="5"/>
        <v>EF1 E002 Ing</v>
      </c>
    </row>
    <row r="338" spans="1:31" s="12" customFormat="1" ht="30" x14ac:dyDescent="0.25">
      <c r="A338" s="23" t="s">
        <v>822</v>
      </c>
      <c r="B338" s="20" t="s">
        <v>32</v>
      </c>
      <c r="C338" s="20" t="s">
        <v>33</v>
      </c>
      <c r="D338" s="20" t="s">
        <v>34</v>
      </c>
      <c r="E338" s="22">
        <v>57</v>
      </c>
      <c r="F338" s="22">
        <v>4</v>
      </c>
      <c r="G338" s="22" t="s">
        <v>682</v>
      </c>
      <c r="H338" s="22"/>
      <c r="I338" s="23" t="s">
        <v>544</v>
      </c>
      <c r="J338" s="23"/>
      <c r="K338" s="22"/>
      <c r="L338" s="22"/>
      <c r="M338" s="23"/>
      <c r="N338" s="23"/>
      <c r="O338" s="26" t="s">
        <v>823</v>
      </c>
      <c r="P338" s="26"/>
      <c r="Q338" s="26"/>
      <c r="R338" s="22"/>
      <c r="S338" s="24"/>
      <c r="T338" s="24"/>
      <c r="U338" s="24"/>
      <c r="V338" s="24"/>
      <c r="W338" s="24"/>
      <c r="X338" s="22" t="s">
        <v>377</v>
      </c>
      <c r="Y338" s="4" t="str">
        <f>IF(Tabela2[[#This Row],[SIGLA]]="","",VLOOKUP(Tabela2[[#This Row],[SIGLA]],Tabela1[[#All],[Sigla Arte]:[Crédito]],2,0))</f>
        <v>FELIPE GRIGOLI/ARQUIVO DA EDITORA</v>
      </c>
      <c r="Z338" s="23"/>
      <c r="AA338" s="23" t="str">
        <f>Tabela2[[#This Row],[ILUSTRADOR CRIAÇÃO]]</f>
        <v>FELIPE GRIGOLI/ARQUIVO DA EDITORA</v>
      </c>
      <c r="AB338" s="22"/>
      <c r="AC338" s="20"/>
      <c r="AD338" s="20"/>
      <c r="AE338" s="4" t="str">
        <f t="shared" si="5"/>
        <v>EF1 E002 Ing</v>
      </c>
    </row>
    <row r="339" spans="1:31" s="12" customFormat="1" ht="45" x14ac:dyDescent="0.25">
      <c r="A339" s="23" t="s">
        <v>824</v>
      </c>
      <c r="B339" s="20" t="s">
        <v>125</v>
      </c>
      <c r="C339" s="20" t="s">
        <v>33</v>
      </c>
      <c r="D339" s="20" t="s">
        <v>34</v>
      </c>
      <c r="E339" s="22">
        <v>11</v>
      </c>
      <c r="F339" s="22">
        <v>4</v>
      </c>
      <c r="G339" s="22" t="s">
        <v>334</v>
      </c>
      <c r="H339" s="22"/>
      <c r="I339" s="23" t="s">
        <v>544</v>
      </c>
      <c r="J339" s="23"/>
      <c r="K339" s="22"/>
      <c r="L339" s="22"/>
      <c r="M339" s="23"/>
      <c r="N339" s="23"/>
      <c r="O339" s="26" t="s">
        <v>825</v>
      </c>
      <c r="P339" s="26"/>
      <c r="Q339" s="26"/>
      <c r="R339" s="22"/>
      <c r="S339" s="24"/>
      <c r="T339" s="24"/>
      <c r="U339" s="24"/>
      <c r="V339" s="24"/>
      <c r="W339" s="24"/>
      <c r="X339" s="22"/>
      <c r="Y339" s="4" t="str">
        <f>IF(Tabela2[[#This Row],[SIGLA]]="","",VLOOKUP(Tabela2[[#This Row],[SIGLA]],Tabela1[[#All],[Sigla Arte]:[Crédito]],2,0))</f>
        <v/>
      </c>
      <c r="Z339" s="23"/>
      <c r="AA339" s="23" t="str">
        <f>Tabela2[[#This Row],[ILUSTRADOR CRIAÇÃO]]</f>
        <v/>
      </c>
      <c r="AB339" s="22"/>
      <c r="AC339" s="20"/>
      <c r="AD339" s="20"/>
      <c r="AE339" s="4" t="str">
        <f t="shared" si="5"/>
        <v>EF1 E002 Ing</v>
      </c>
    </row>
    <row r="340" spans="1:31" s="12" customFormat="1" ht="105" x14ac:dyDescent="0.25">
      <c r="A340" s="23" t="s">
        <v>826</v>
      </c>
      <c r="B340" s="20" t="s">
        <v>32</v>
      </c>
      <c r="C340" s="20" t="s">
        <v>33</v>
      </c>
      <c r="D340" s="20" t="s">
        <v>34</v>
      </c>
      <c r="E340" s="22">
        <v>33</v>
      </c>
      <c r="F340" s="22">
        <v>4</v>
      </c>
      <c r="G340" s="22" t="s">
        <v>827</v>
      </c>
      <c r="H340" s="22"/>
      <c r="I340" s="23" t="s">
        <v>36</v>
      </c>
      <c r="J340" s="23"/>
      <c r="K340" s="22"/>
      <c r="L340" s="22"/>
      <c r="M340" s="23"/>
      <c r="N340" s="23"/>
      <c r="O340" s="26" t="s">
        <v>828</v>
      </c>
      <c r="P340" s="26"/>
      <c r="Q340" s="26"/>
      <c r="R340" s="22">
        <v>51</v>
      </c>
      <c r="S340" s="24">
        <v>45882</v>
      </c>
      <c r="T340" s="24">
        <v>45884</v>
      </c>
      <c r="U340" s="24"/>
      <c r="V340" s="24"/>
      <c r="W340" s="24">
        <v>45884</v>
      </c>
      <c r="X340" s="22" t="s">
        <v>377</v>
      </c>
      <c r="Y340" s="4" t="str">
        <f>IF(Tabela2[[#This Row],[SIGLA]]="","",VLOOKUP(Tabela2[[#This Row],[SIGLA]],Tabela1[[#All],[Sigla Arte]:[Crédito]],2,0))</f>
        <v>FELIPE GRIGOLI/ARQUIVO DA EDITORA</v>
      </c>
      <c r="Z340" s="23"/>
      <c r="AA340" s="23" t="str">
        <f>Tabela2[[#This Row],[ILUSTRADOR CRIAÇÃO]]</f>
        <v>FELIPE GRIGOLI/ARQUIVO DA EDITORA</v>
      </c>
      <c r="AB340" s="22">
        <v>5</v>
      </c>
      <c r="AC340" s="20" t="s">
        <v>378</v>
      </c>
      <c r="AD340" s="20" t="s">
        <v>58</v>
      </c>
      <c r="AE340" s="4" t="str">
        <f t="shared" si="5"/>
        <v>EF1 E002 Ing</v>
      </c>
    </row>
    <row r="341" spans="1:31" s="12" customFormat="1" x14ac:dyDescent="0.25">
      <c r="A341" s="23"/>
      <c r="B341" s="20"/>
      <c r="C341" s="20"/>
      <c r="D341" s="20"/>
      <c r="E341" s="22"/>
      <c r="F341" s="22"/>
      <c r="G341" s="22"/>
      <c r="H341" s="22"/>
      <c r="I341" s="23"/>
      <c r="J341" s="23"/>
      <c r="K341" s="22"/>
      <c r="L341" s="22"/>
      <c r="M341" s="23"/>
      <c r="N341" s="23"/>
      <c r="O341" s="26"/>
      <c r="P341" s="26"/>
      <c r="Q341" s="26"/>
      <c r="R341" s="22"/>
      <c r="S341" s="24"/>
      <c r="T341" s="24"/>
      <c r="U341" s="24"/>
      <c r="V341" s="24"/>
      <c r="W341" s="24"/>
      <c r="X341" s="22"/>
      <c r="Y341" s="4" t="str">
        <f>IF(Tabela2[[#This Row],[SIGLA]]="","",VLOOKUP(Tabela2[[#This Row],[SIGLA]],Tabela1[[#All],[Sigla Arte]:[Crédito]],2,0))</f>
        <v/>
      </c>
      <c r="Z341" s="23"/>
      <c r="AA341" s="23" t="str">
        <f>Tabela2[[#This Row],[ILUSTRADOR CRIAÇÃO]]</f>
        <v/>
      </c>
      <c r="AB341" s="22"/>
      <c r="AC341" s="20"/>
      <c r="AD341" s="20"/>
      <c r="AE341" s="4" t="str">
        <f t="shared" si="5"/>
        <v>EF1 E002 Ing</v>
      </c>
    </row>
    <row r="342" spans="1:31" s="12" customFormat="1" x14ac:dyDescent="0.25">
      <c r="A342" s="23"/>
      <c r="B342" s="20"/>
      <c r="C342" s="20"/>
      <c r="D342" s="20"/>
      <c r="E342" s="22"/>
      <c r="F342" s="22"/>
      <c r="G342" s="22"/>
      <c r="H342" s="22"/>
      <c r="I342" s="23"/>
      <c r="J342" s="23"/>
      <c r="K342" s="22"/>
      <c r="L342" s="22"/>
      <c r="M342" s="23"/>
      <c r="N342" s="23"/>
      <c r="O342" s="26"/>
      <c r="P342" s="26"/>
      <c r="Q342" s="26"/>
      <c r="R342" s="22"/>
      <c r="S342" s="24"/>
      <c r="T342" s="24"/>
      <c r="U342" s="24"/>
      <c r="V342" s="24"/>
      <c r="W342" s="24"/>
      <c r="X342" s="22"/>
      <c r="Y342" s="4" t="str">
        <f>IF(Tabela2[[#This Row],[SIGLA]]="","",VLOOKUP(Tabela2[[#This Row],[SIGLA]],Tabela1[[#All],[Sigla Arte]:[Crédito]],2,0))</f>
        <v/>
      </c>
      <c r="Z342" s="23"/>
      <c r="AA342" s="23" t="str">
        <f>Tabela2[[#This Row],[ILUSTRADOR CRIAÇÃO]]</f>
        <v/>
      </c>
      <c r="AB342" s="22"/>
      <c r="AC342" s="20"/>
      <c r="AD342" s="20"/>
      <c r="AE342" s="4" t="str">
        <f t="shared" si="5"/>
        <v>EF1 E002 Ing</v>
      </c>
    </row>
    <row r="343" spans="1:31" s="12" customFormat="1" x14ac:dyDescent="0.25">
      <c r="A343" s="23"/>
      <c r="B343" s="20"/>
      <c r="C343" s="20"/>
      <c r="D343" s="20"/>
      <c r="E343" s="22"/>
      <c r="F343" s="22"/>
      <c r="G343" s="22"/>
      <c r="H343" s="22"/>
      <c r="I343" s="23"/>
      <c r="J343" s="23"/>
      <c r="K343" s="22"/>
      <c r="L343" s="22"/>
      <c r="M343" s="23"/>
      <c r="N343" s="23"/>
      <c r="O343" s="26"/>
      <c r="P343" s="26"/>
      <c r="Q343" s="26"/>
      <c r="R343" s="22"/>
      <c r="S343" s="24"/>
      <c r="T343" s="24"/>
      <c r="U343" s="24"/>
      <c r="V343" s="24"/>
      <c r="W343" s="24"/>
      <c r="X343" s="22"/>
      <c r="Y343" s="4" t="str">
        <f>IF(Tabela2[[#This Row],[SIGLA]]="","",VLOOKUP(Tabela2[[#This Row],[SIGLA]],Tabela1[[#All],[Sigla Arte]:[Crédito]],2,0))</f>
        <v/>
      </c>
      <c r="Z343" s="23"/>
      <c r="AA343" s="23" t="str">
        <f>Tabela2[[#This Row],[ILUSTRADOR CRIAÇÃO]]</f>
        <v/>
      </c>
      <c r="AB343" s="22"/>
      <c r="AC343" s="20"/>
      <c r="AD343" s="20"/>
      <c r="AE343" s="4" t="str">
        <f t="shared" si="5"/>
        <v>EF1 E002 Ing</v>
      </c>
    </row>
    <row r="344" spans="1:31" s="12" customFormat="1" x14ac:dyDescent="0.25">
      <c r="A344" s="23"/>
      <c r="B344" s="20"/>
      <c r="C344" s="20"/>
      <c r="D344" s="20"/>
      <c r="E344" s="22"/>
      <c r="F344" s="22"/>
      <c r="G344" s="22"/>
      <c r="H344" s="22"/>
      <c r="I344" s="23"/>
      <c r="J344" s="23"/>
      <c r="K344" s="22"/>
      <c r="L344" s="22"/>
      <c r="M344" s="23"/>
      <c r="N344" s="23"/>
      <c r="O344" s="26"/>
      <c r="P344" s="26"/>
      <c r="Q344" s="26"/>
      <c r="R344" s="22"/>
      <c r="S344" s="24"/>
      <c r="T344" s="24"/>
      <c r="U344" s="24"/>
      <c r="V344" s="24"/>
      <c r="W344" s="24"/>
      <c r="X344" s="22"/>
      <c r="Y344" s="4" t="str">
        <f>IF(Tabela2[[#This Row],[SIGLA]]="","",VLOOKUP(Tabela2[[#This Row],[SIGLA]],Tabela1[[#All],[Sigla Arte]:[Crédito]],2,0))</f>
        <v/>
      </c>
      <c r="Z344" s="23"/>
      <c r="AA344" s="23" t="str">
        <f>Tabela2[[#This Row],[ILUSTRADOR CRIAÇÃO]]</f>
        <v/>
      </c>
      <c r="AB344" s="22"/>
      <c r="AC344" s="20"/>
      <c r="AD344" s="20"/>
      <c r="AE344" s="4" t="str">
        <f t="shared" si="5"/>
        <v>EF1 E002 Ing</v>
      </c>
    </row>
    <row r="345" spans="1:31" s="12" customFormat="1" x14ac:dyDescent="0.25">
      <c r="A345" s="23"/>
      <c r="B345" s="20"/>
      <c r="C345" s="20"/>
      <c r="D345" s="20"/>
      <c r="E345" s="22"/>
      <c r="F345" s="22"/>
      <c r="G345" s="22"/>
      <c r="H345" s="22"/>
      <c r="I345" s="23"/>
      <c r="J345" s="23"/>
      <c r="K345" s="22"/>
      <c r="L345" s="22"/>
      <c r="M345" s="23"/>
      <c r="N345" s="23"/>
      <c r="O345" s="26"/>
      <c r="P345" s="26"/>
      <c r="Q345" s="26"/>
      <c r="R345" s="22"/>
      <c r="S345" s="24"/>
      <c r="T345" s="24"/>
      <c r="U345" s="24"/>
      <c r="V345" s="24"/>
      <c r="W345" s="24"/>
      <c r="X345" s="22"/>
      <c r="Y345" s="4" t="str">
        <f>IF(Tabela2[[#This Row],[SIGLA]]="","",VLOOKUP(Tabela2[[#This Row],[SIGLA]],Tabela1[[#All],[Sigla Arte]:[Crédito]],2,0))</f>
        <v/>
      </c>
      <c r="Z345" s="23"/>
      <c r="AA345" s="23" t="str">
        <f>Tabela2[[#This Row],[ILUSTRADOR CRIAÇÃO]]</f>
        <v/>
      </c>
      <c r="AB345" s="22"/>
      <c r="AC345" s="20"/>
      <c r="AD345" s="20"/>
      <c r="AE345" s="4" t="str">
        <f t="shared" si="5"/>
        <v>EF1 E002 Ing</v>
      </c>
    </row>
    <row r="346" spans="1:31" s="12" customFormat="1" x14ac:dyDescent="0.25">
      <c r="A346" s="23"/>
      <c r="B346" s="20"/>
      <c r="C346" s="20"/>
      <c r="D346" s="20"/>
      <c r="E346" s="22"/>
      <c r="F346" s="22"/>
      <c r="G346" s="22"/>
      <c r="H346" s="22"/>
      <c r="I346" s="23"/>
      <c r="J346" s="23"/>
      <c r="K346" s="22"/>
      <c r="L346" s="22"/>
      <c r="M346" s="23"/>
      <c r="N346" s="23"/>
      <c r="O346" s="26"/>
      <c r="P346" s="26"/>
      <c r="Q346" s="26"/>
      <c r="R346" s="22"/>
      <c r="S346" s="24"/>
      <c r="T346" s="24"/>
      <c r="U346" s="24"/>
      <c r="V346" s="24"/>
      <c r="W346" s="24"/>
      <c r="X346" s="22"/>
      <c r="Y346" s="4" t="str">
        <f>IF(Tabela2[[#This Row],[SIGLA]]="","",VLOOKUP(Tabela2[[#This Row],[SIGLA]],Tabela1[[#All],[Sigla Arte]:[Crédito]],2,0))</f>
        <v/>
      </c>
      <c r="Z346" s="23"/>
      <c r="AA346" s="23" t="str">
        <f>Tabela2[[#This Row],[ILUSTRADOR CRIAÇÃO]]</f>
        <v/>
      </c>
      <c r="AB346" s="22"/>
      <c r="AC346" s="20"/>
      <c r="AD346" s="20"/>
      <c r="AE346" s="4" t="str">
        <f t="shared" si="5"/>
        <v>EF1 E002 Ing</v>
      </c>
    </row>
    <row r="347" spans="1:31" s="12" customFormat="1" x14ac:dyDescent="0.25">
      <c r="A347" s="23"/>
      <c r="B347" s="20"/>
      <c r="C347" s="20"/>
      <c r="D347" s="20"/>
      <c r="E347" s="22"/>
      <c r="F347" s="22"/>
      <c r="G347" s="22"/>
      <c r="H347" s="22"/>
      <c r="I347" s="23"/>
      <c r="J347" s="23"/>
      <c r="K347" s="22"/>
      <c r="L347" s="22"/>
      <c r="M347" s="23"/>
      <c r="N347" s="23"/>
      <c r="O347" s="26"/>
      <c r="P347" s="26"/>
      <c r="Q347" s="26"/>
      <c r="R347" s="22"/>
      <c r="S347" s="24"/>
      <c r="T347" s="24"/>
      <c r="U347" s="24"/>
      <c r="V347" s="24"/>
      <c r="W347" s="24"/>
      <c r="X347" s="22"/>
      <c r="Y347" s="4" t="str">
        <f>IF(Tabela2[[#This Row],[SIGLA]]="","",VLOOKUP(Tabela2[[#This Row],[SIGLA]],Tabela1[[#All],[Sigla Arte]:[Crédito]],2,0))</f>
        <v/>
      </c>
      <c r="Z347" s="23"/>
      <c r="AA347" s="23" t="str">
        <f>Tabela2[[#This Row],[ILUSTRADOR CRIAÇÃO]]</f>
        <v/>
      </c>
      <c r="AB347" s="22"/>
      <c r="AC347" s="20"/>
      <c r="AD347" s="20"/>
      <c r="AE347" s="4" t="str">
        <f t="shared" si="5"/>
        <v>EF1 E002 Ing</v>
      </c>
    </row>
    <row r="348" spans="1:31" s="12" customFormat="1" x14ac:dyDescent="0.25">
      <c r="A348" s="23"/>
      <c r="B348" s="20"/>
      <c r="C348" s="20"/>
      <c r="D348" s="20"/>
      <c r="E348" s="22"/>
      <c r="F348" s="22"/>
      <c r="G348" s="22"/>
      <c r="H348" s="22"/>
      <c r="I348" s="23"/>
      <c r="J348" s="23"/>
      <c r="K348" s="22"/>
      <c r="L348" s="22"/>
      <c r="M348" s="23"/>
      <c r="N348" s="23"/>
      <c r="O348" s="26"/>
      <c r="P348" s="26"/>
      <c r="Q348" s="26"/>
      <c r="R348" s="22"/>
      <c r="S348" s="24"/>
      <c r="T348" s="24"/>
      <c r="U348" s="24"/>
      <c r="V348" s="24"/>
      <c r="W348" s="24"/>
      <c r="X348" s="22"/>
      <c r="Y348" s="4" t="str">
        <f>IF(Tabela2[[#This Row],[SIGLA]]="","",VLOOKUP(Tabela2[[#This Row],[SIGLA]],Tabela1[[#All],[Sigla Arte]:[Crédito]],2,0))</f>
        <v/>
      </c>
      <c r="Z348" s="23"/>
      <c r="AA348" s="23" t="str">
        <f>Tabela2[[#This Row],[ILUSTRADOR CRIAÇÃO]]</f>
        <v/>
      </c>
      <c r="AB348" s="22"/>
      <c r="AC348" s="20"/>
      <c r="AD348" s="20"/>
      <c r="AE348" s="4" t="str">
        <f t="shared" si="5"/>
        <v>EF1 E002 Ing</v>
      </c>
    </row>
    <row r="349" spans="1:31" s="12" customFormat="1" x14ac:dyDescent="0.25">
      <c r="A349" s="23"/>
      <c r="B349" s="20"/>
      <c r="C349" s="20"/>
      <c r="D349" s="20"/>
      <c r="E349" s="22"/>
      <c r="F349" s="22"/>
      <c r="G349" s="22"/>
      <c r="H349" s="22"/>
      <c r="I349" s="23"/>
      <c r="J349" s="23"/>
      <c r="K349" s="22"/>
      <c r="L349" s="22"/>
      <c r="M349" s="23"/>
      <c r="N349" s="23"/>
      <c r="O349" s="26"/>
      <c r="P349" s="26"/>
      <c r="Q349" s="26"/>
      <c r="R349" s="22"/>
      <c r="S349" s="24"/>
      <c r="T349" s="24"/>
      <c r="U349" s="24"/>
      <c r="V349" s="24"/>
      <c r="W349" s="24"/>
      <c r="X349" s="22"/>
      <c r="Y349" s="4" t="str">
        <f>IF(Tabela2[[#This Row],[SIGLA]]="","",VLOOKUP(Tabela2[[#This Row],[SIGLA]],Tabela1[[#All],[Sigla Arte]:[Crédito]],2,0))</f>
        <v/>
      </c>
      <c r="Z349" s="23"/>
      <c r="AA349" s="23" t="str">
        <f>Tabela2[[#This Row],[ILUSTRADOR CRIAÇÃO]]</f>
        <v/>
      </c>
      <c r="AB349" s="22"/>
      <c r="AC349" s="20"/>
      <c r="AD349" s="20"/>
      <c r="AE349" s="4" t="str">
        <f t="shared" si="5"/>
        <v>EF1 E002 Ing</v>
      </c>
    </row>
    <row r="350" spans="1:31" s="12" customFormat="1" x14ac:dyDescent="0.25">
      <c r="A350" s="23"/>
      <c r="B350" s="20"/>
      <c r="C350" s="20"/>
      <c r="D350" s="20"/>
      <c r="E350" s="22"/>
      <c r="F350" s="22"/>
      <c r="G350" s="22"/>
      <c r="H350" s="22"/>
      <c r="I350" s="23"/>
      <c r="J350" s="23"/>
      <c r="K350" s="22"/>
      <c r="L350" s="22"/>
      <c r="M350" s="23"/>
      <c r="N350" s="23"/>
      <c r="O350" s="26"/>
      <c r="P350" s="26"/>
      <c r="Q350" s="26"/>
      <c r="R350" s="22"/>
      <c r="S350" s="24"/>
      <c r="T350" s="24"/>
      <c r="U350" s="24"/>
      <c r="V350" s="24"/>
      <c r="W350" s="24"/>
      <c r="X350" s="22"/>
      <c r="Y350" s="4" t="str">
        <f>IF(Tabela2[[#This Row],[SIGLA]]="","",VLOOKUP(Tabela2[[#This Row],[SIGLA]],Tabela1[[#All],[Sigla Arte]:[Crédito]],2,0))</f>
        <v/>
      </c>
      <c r="Z350" s="23"/>
      <c r="AA350" s="23" t="str">
        <f>Tabela2[[#This Row],[ILUSTRADOR CRIAÇÃO]]</f>
        <v/>
      </c>
      <c r="AB350" s="22"/>
      <c r="AC350" s="20"/>
      <c r="AD350" s="20"/>
      <c r="AE350" s="4" t="str">
        <f t="shared" si="5"/>
        <v>EF1 E002 Ing</v>
      </c>
    </row>
    <row r="351" spans="1:31" s="12" customFormat="1" x14ac:dyDescent="0.25">
      <c r="A351" s="23"/>
      <c r="B351" s="20"/>
      <c r="C351" s="20"/>
      <c r="D351" s="20"/>
      <c r="E351" s="22"/>
      <c r="F351" s="22"/>
      <c r="G351" s="22"/>
      <c r="H351" s="22"/>
      <c r="I351" s="23"/>
      <c r="J351" s="23"/>
      <c r="K351" s="22"/>
      <c r="L351" s="22"/>
      <c r="M351" s="23"/>
      <c r="N351" s="23"/>
      <c r="O351" s="26"/>
      <c r="P351" s="26"/>
      <c r="Q351" s="26"/>
      <c r="R351" s="22"/>
      <c r="S351" s="24"/>
      <c r="T351" s="24"/>
      <c r="U351" s="24"/>
      <c r="V351" s="24"/>
      <c r="W351" s="24"/>
      <c r="X351" s="22"/>
      <c r="Y351" s="4" t="str">
        <f>IF(Tabela2[[#This Row],[SIGLA]]="","",VLOOKUP(Tabela2[[#This Row],[SIGLA]],Tabela1[[#All],[Sigla Arte]:[Crédito]],2,0))</f>
        <v/>
      </c>
      <c r="Z351" s="23"/>
      <c r="AA351" s="23" t="str">
        <f>Tabela2[[#This Row],[ILUSTRADOR CRIAÇÃO]]</f>
        <v/>
      </c>
      <c r="AB351" s="22"/>
      <c r="AC351" s="20"/>
      <c r="AD351" s="20"/>
      <c r="AE351" s="4" t="str">
        <f t="shared" si="5"/>
        <v>EF1 E002 Ing</v>
      </c>
    </row>
    <row r="352" spans="1:31" s="12" customFormat="1" x14ac:dyDescent="0.25">
      <c r="A352" s="23"/>
      <c r="B352" s="20"/>
      <c r="C352" s="20"/>
      <c r="D352" s="20"/>
      <c r="E352" s="22"/>
      <c r="F352" s="22"/>
      <c r="G352" s="22"/>
      <c r="H352" s="22"/>
      <c r="I352" s="23"/>
      <c r="J352" s="23"/>
      <c r="K352" s="22"/>
      <c r="L352" s="22"/>
      <c r="M352" s="23"/>
      <c r="N352" s="23"/>
      <c r="O352" s="26"/>
      <c r="P352" s="26"/>
      <c r="Q352" s="26"/>
      <c r="R352" s="22"/>
      <c r="S352" s="24"/>
      <c r="T352" s="24"/>
      <c r="U352" s="24"/>
      <c r="V352" s="24"/>
      <c r="W352" s="24"/>
      <c r="X352" s="22"/>
      <c r="Y352" s="4" t="str">
        <f>IF(Tabela2[[#This Row],[SIGLA]]="","",VLOOKUP(Tabela2[[#This Row],[SIGLA]],Tabela1[[#All],[Sigla Arte]:[Crédito]],2,0))</f>
        <v/>
      </c>
      <c r="Z352" s="23"/>
      <c r="AA352" s="23" t="str">
        <f>Tabela2[[#This Row],[ILUSTRADOR CRIAÇÃO]]</f>
        <v/>
      </c>
      <c r="AB352" s="22"/>
      <c r="AC352" s="20"/>
      <c r="AD352" s="20"/>
      <c r="AE352" s="4" t="str">
        <f t="shared" si="5"/>
        <v>EF1 E002 Ing</v>
      </c>
    </row>
    <row r="353" spans="1:31" s="12" customFormat="1" x14ac:dyDescent="0.25">
      <c r="A353" s="23"/>
      <c r="B353" s="20"/>
      <c r="C353" s="20"/>
      <c r="D353" s="20"/>
      <c r="E353" s="22"/>
      <c r="F353" s="22"/>
      <c r="G353" s="22"/>
      <c r="H353" s="22"/>
      <c r="I353" s="23"/>
      <c r="J353" s="23"/>
      <c r="K353" s="22"/>
      <c r="L353" s="22"/>
      <c r="M353" s="23"/>
      <c r="N353" s="23"/>
      <c r="O353" s="26"/>
      <c r="P353" s="26"/>
      <c r="Q353" s="26"/>
      <c r="R353" s="22"/>
      <c r="S353" s="24"/>
      <c r="T353" s="24"/>
      <c r="U353" s="24"/>
      <c r="V353" s="24"/>
      <c r="W353" s="24"/>
      <c r="X353" s="22"/>
      <c r="Y353" s="4" t="str">
        <f>IF(Tabela2[[#This Row],[SIGLA]]="","",VLOOKUP(Tabela2[[#This Row],[SIGLA]],Tabela1[[#All],[Sigla Arte]:[Crédito]],2,0))</f>
        <v/>
      </c>
      <c r="Z353" s="23"/>
      <c r="AA353" s="23" t="str">
        <f>Tabela2[[#This Row],[ILUSTRADOR CRIAÇÃO]]</f>
        <v/>
      </c>
      <c r="AB353" s="22"/>
      <c r="AC353" s="20"/>
      <c r="AD353" s="20"/>
      <c r="AE353" s="4" t="str">
        <f t="shared" si="5"/>
        <v>EF1 E002 Ing</v>
      </c>
    </row>
    <row r="354" spans="1:31" s="12" customFormat="1" x14ac:dyDescent="0.25">
      <c r="A354" s="23"/>
      <c r="B354" s="20"/>
      <c r="C354" s="20"/>
      <c r="D354" s="20"/>
      <c r="E354" s="22"/>
      <c r="F354" s="22"/>
      <c r="G354" s="22"/>
      <c r="H354" s="22"/>
      <c r="I354" s="23"/>
      <c r="J354" s="23"/>
      <c r="K354" s="22"/>
      <c r="L354" s="22"/>
      <c r="M354" s="23"/>
      <c r="N354" s="23"/>
      <c r="O354" s="26"/>
      <c r="P354" s="26"/>
      <c r="Q354" s="26"/>
      <c r="R354" s="22"/>
      <c r="S354" s="24"/>
      <c r="T354" s="24"/>
      <c r="U354" s="24"/>
      <c r="V354" s="24"/>
      <c r="W354" s="24"/>
      <c r="X354" s="22"/>
      <c r="Y354" s="4" t="str">
        <f>IF(Tabela2[[#This Row],[SIGLA]]="","",VLOOKUP(Tabela2[[#This Row],[SIGLA]],Tabela1[[#All],[Sigla Arte]:[Crédito]],2,0))</f>
        <v/>
      </c>
      <c r="Z354" s="23"/>
      <c r="AA354" s="23" t="str">
        <f>Tabela2[[#This Row],[ILUSTRADOR CRIAÇÃO]]</f>
        <v/>
      </c>
      <c r="AB354" s="22"/>
      <c r="AC354" s="20"/>
      <c r="AD354" s="20"/>
      <c r="AE354" s="4" t="str">
        <f t="shared" si="5"/>
        <v>EF1 E002 Ing</v>
      </c>
    </row>
    <row r="355" spans="1:31" s="12" customFormat="1" x14ac:dyDescent="0.25">
      <c r="A355" s="23"/>
      <c r="B355" s="20"/>
      <c r="C355" s="20"/>
      <c r="D355" s="20"/>
      <c r="E355" s="22"/>
      <c r="F355" s="22"/>
      <c r="G355" s="22"/>
      <c r="H355" s="22"/>
      <c r="I355" s="23"/>
      <c r="J355" s="23"/>
      <c r="K355" s="22"/>
      <c r="L355" s="22"/>
      <c r="M355" s="23"/>
      <c r="N355" s="23"/>
      <c r="O355" s="26"/>
      <c r="P355" s="26"/>
      <c r="Q355" s="26"/>
      <c r="R355" s="22"/>
      <c r="S355" s="24"/>
      <c r="T355" s="24"/>
      <c r="U355" s="24"/>
      <c r="V355" s="24"/>
      <c r="W355" s="24"/>
      <c r="X355" s="22"/>
      <c r="Y355" s="4" t="str">
        <f>IF(Tabela2[[#This Row],[SIGLA]]="","",VLOOKUP(Tabela2[[#This Row],[SIGLA]],Tabela1[[#All],[Sigla Arte]:[Crédito]],2,0))</f>
        <v/>
      </c>
      <c r="Z355" s="23"/>
      <c r="AA355" s="23" t="str">
        <f>Tabela2[[#This Row],[ILUSTRADOR CRIAÇÃO]]</f>
        <v/>
      </c>
      <c r="AB355" s="22"/>
      <c r="AC355" s="20"/>
      <c r="AD355" s="20"/>
      <c r="AE355" s="4" t="str">
        <f t="shared" si="5"/>
        <v>EF1 E002 Ing</v>
      </c>
    </row>
    <row r="356" spans="1:31" s="12" customFormat="1" x14ac:dyDescent="0.25">
      <c r="A356" s="23"/>
      <c r="B356" s="20"/>
      <c r="C356" s="20"/>
      <c r="D356" s="20"/>
      <c r="E356" s="22"/>
      <c r="F356" s="22"/>
      <c r="G356" s="22"/>
      <c r="H356" s="22"/>
      <c r="I356" s="23"/>
      <c r="J356" s="23"/>
      <c r="K356" s="22"/>
      <c r="L356" s="22"/>
      <c r="M356" s="23"/>
      <c r="N356" s="23"/>
      <c r="O356" s="26"/>
      <c r="P356" s="26"/>
      <c r="Q356" s="26"/>
      <c r="R356" s="22"/>
      <c r="S356" s="24"/>
      <c r="T356" s="24"/>
      <c r="U356" s="24"/>
      <c r="V356" s="24"/>
      <c r="W356" s="24"/>
      <c r="X356" s="22"/>
      <c r="Y356" s="4" t="str">
        <f>IF(Tabela2[[#This Row],[SIGLA]]="","",VLOOKUP(Tabela2[[#This Row],[SIGLA]],Tabela1[[#All],[Sigla Arte]:[Crédito]],2,0))</f>
        <v/>
      </c>
      <c r="Z356" s="23"/>
      <c r="AA356" s="23" t="str">
        <f>Tabela2[[#This Row],[ILUSTRADOR CRIAÇÃO]]</f>
        <v/>
      </c>
      <c r="AB356" s="22"/>
      <c r="AC356" s="20"/>
      <c r="AD356" s="20"/>
      <c r="AE356" s="4" t="str">
        <f t="shared" si="5"/>
        <v>EF1 E002 Ing</v>
      </c>
    </row>
    <row r="357" spans="1:31" s="12" customFormat="1" x14ac:dyDescent="0.25">
      <c r="A357" s="23"/>
      <c r="B357" s="20"/>
      <c r="C357" s="20"/>
      <c r="D357" s="20"/>
      <c r="E357" s="22"/>
      <c r="F357" s="22"/>
      <c r="G357" s="22"/>
      <c r="H357" s="22"/>
      <c r="I357" s="23"/>
      <c r="J357" s="23"/>
      <c r="K357" s="22"/>
      <c r="L357" s="22"/>
      <c r="M357" s="23"/>
      <c r="N357" s="23"/>
      <c r="O357" s="26"/>
      <c r="P357" s="26"/>
      <c r="Q357" s="26"/>
      <c r="R357" s="22"/>
      <c r="S357" s="24"/>
      <c r="T357" s="24"/>
      <c r="U357" s="24"/>
      <c r="V357" s="24"/>
      <c r="W357" s="24"/>
      <c r="X357" s="22"/>
      <c r="Y357" s="4" t="str">
        <f>IF(Tabela2[[#This Row],[SIGLA]]="","",VLOOKUP(Tabela2[[#This Row],[SIGLA]],Tabela1[[#All],[Sigla Arte]:[Crédito]],2,0))</f>
        <v/>
      </c>
      <c r="Z357" s="23"/>
      <c r="AA357" s="23" t="str">
        <f>Tabela2[[#This Row],[ILUSTRADOR CRIAÇÃO]]</f>
        <v/>
      </c>
      <c r="AB357" s="22"/>
      <c r="AC357" s="20"/>
      <c r="AD357" s="20"/>
      <c r="AE357" s="4" t="str">
        <f t="shared" si="5"/>
        <v>EF1 E002 Ing</v>
      </c>
    </row>
    <row r="358" spans="1:31" s="12" customFormat="1" x14ac:dyDescent="0.25">
      <c r="A358" s="23"/>
      <c r="B358" s="20"/>
      <c r="C358" s="20"/>
      <c r="D358" s="20"/>
      <c r="E358" s="22"/>
      <c r="F358" s="22"/>
      <c r="G358" s="22"/>
      <c r="H358" s="22"/>
      <c r="I358" s="23"/>
      <c r="J358" s="23"/>
      <c r="K358" s="22"/>
      <c r="L358" s="22"/>
      <c r="M358" s="23"/>
      <c r="N358" s="23"/>
      <c r="O358" s="26"/>
      <c r="P358" s="26"/>
      <c r="Q358" s="26"/>
      <c r="R358" s="22"/>
      <c r="S358" s="24"/>
      <c r="T358" s="24"/>
      <c r="U358" s="24"/>
      <c r="V358" s="24"/>
      <c r="W358" s="24"/>
      <c r="X358" s="22"/>
      <c r="Y358" s="4" t="str">
        <f>IF(Tabela2[[#This Row],[SIGLA]]="","",VLOOKUP(Tabela2[[#This Row],[SIGLA]],Tabela1[[#All],[Sigla Arte]:[Crédito]],2,0))</f>
        <v/>
      </c>
      <c r="Z358" s="23"/>
      <c r="AA358" s="23" t="str">
        <f>Tabela2[[#This Row],[ILUSTRADOR CRIAÇÃO]]</f>
        <v/>
      </c>
      <c r="AB358" s="22"/>
      <c r="AC358" s="20"/>
      <c r="AD358" s="20"/>
      <c r="AE358" s="4" t="str">
        <f t="shared" si="5"/>
        <v>EF1 E002 Ing</v>
      </c>
    </row>
    <row r="359" spans="1:31" s="12" customFormat="1" x14ac:dyDescent="0.25">
      <c r="A359" s="23"/>
      <c r="B359" s="20"/>
      <c r="C359" s="20"/>
      <c r="D359" s="20"/>
      <c r="E359" s="22"/>
      <c r="F359" s="22"/>
      <c r="G359" s="22"/>
      <c r="H359" s="22"/>
      <c r="I359" s="23"/>
      <c r="J359" s="23"/>
      <c r="K359" s="22"/>
      <c r="L359" s="22"/>
      <c r="M359" s="23"/>
      <c r="N359" s="23"/>
      <c r="O359" s="26"/>
      <c r="P359" s="26"/>
      <c r="Q359" s="26"/>
      <c r="R359" s="22"/>
      <c r="S359" s="24"/>
      <c r="T359" s="24"/>
      <c r="U359" s="24"/>
      <c r="V359" s="24"/>
      <c r="W359" s="24"/>
      <c r="X359" s="22"/>
      <c r="Y359" s="4" t="str">
        <f>IF(Tabela2[[#This Row],[SIGLA]]="","",VLOOKUP(Tabela2[[#This Row],[SIGLA]],Tabela1[[#All],[Sigla Arte]:[Crédito]],2,0))</f>
        <v/>
      </c>
      <c r="Z359" s="23"/>
      <c r="AA359" s="23" t="str">
        <f>Tabela2[[#This Row],[ILUSTRADOR CRIAÇÃO]]</f>
        <v/>
      </c>
      <c r="AB359" s="22"/>
      <c r="AC359" s="20"/>
      <c r="AD359" s="20"/>
      <c r="AE359" s="4" t="str">
        <f t="shared" si="5"/>
        <v>EF1 E002 Ing</v>
      </c>
    </row>
    <row r="360" spans="1:31" s="12" customFormat="1" x14ac:dyDescent="0.25">
      <c r="A360" s="23"/>
      <c r="B360" s="20"/>
      <c r="C360" s="20"/>
      <c r="D360" s="20"/>
      <c r="E360" s="22"/>
      <c r="F360" s="22"/>
      <c r="G360" s="22"/>
      <c r="H360" s="22"/>
      <c r="I360" s="23"/>
      <c r="J360" s="23"/>
      <c r="K360" s="22"/>
      <c r="L360" s="22"/>
      <c r="M360" s="23"/>
      <c r="N360" s="23"/>
      <c r="O360" s="26"/>
      <c r="P360" s="26"/>
      <c r="Q360" s="26"/>
      <c r="R360" s="22"/>
      <c r="S360" s="24"/>
      <c r="T360" s="24"/>
      <c r="U360" s="24"/>
      <c r="V360" s="24"/>
      <c r="W360" s="24"/>
      <c r="X360" s="22"/>
      <c r="Y360" s="4" t="str">
        <f>IF(Tabela2[[#This Row],[SIGLA]]="","",VLOOKUP(Tabela2[[#This Row],[SIGLA]],Tabela1[[#All],[Sigla Arte]:[Crédito]],2,0))</f>
        <v/>
      </c>
      <c r="Z360" s="23"/>
      <c r="AA360" s="23" t="str">
        <f>Tabela2[[#This Row],[ILUSTRADOR CRIAÇÃO]]</f>
        <v/>
      </c>
      <c r="AB360" s="22"/>
      <c r="AC360" s="20"/>
      <c r="AD360" s="20"/>
      <c r="AE360" s="4" t="str">
        <f t="shared" si="5"/>
        <v>EF1 E002 Ing</v>
      </c>
    </row>
    <row r="361" spans="1:31" s="12" customFormat="1" x14ac:dyDescent="0.25">
      <c r="A361" s="23"/>
      <c r="B361" s="20"/>
      <c r="C361" s="20"/>
      <c r="D361" s="20"/>
      <c r="E361" s="22"/>
      <c r="F361" s="22"/>
      <c r="G361" s="22"/>
      <c r="H361" s="22"/>
      <c r="I361" s="23"/>
      <c r="J361" s="23"/>
      <c r="K361" s="22"/>
      <c r="L361" s="22"/>
      <c r="M361" s="23"/>
      <c r="N361" s="23"/>
      <c r="O361" s="26"/>
      <c r="P361" s="26"/>
      <c r="Q361" s="26"/>
      <c r="R361" s="22"/>
      <c r="S361" s="24"/>
      <c r="T361" s="24"/>
      <c r="U361" s="24"/>
      <c r="V361" s="24"/>
      <c r="W361" s="24"/>
      <c r="X361" s="22"/>
      <c r="Y361" s="4" t="str">
        <f>IF(Tabela2[[#This Row],[SIGLA]]="","",VLOOKUP(Tabela2[[#This Row],[SIGLA]],Tabela1[[#All],[Sigla Arte]:[Crédito]],2,0))</f>
        <v/>
      </c>
      <c r="Z361" s="23"/>
      <c r="AA361" s="23" t="str">
        <f>Tabela2[[#This Row],[ILUSTRADOR CRIAÇÃO]]</f>
        <v/>
      </c>
      <c r="AB361" s="22"/>
      <c r="AC361" s="20"/>
      <c r="AD361" s="20"/>
      <c r="AE361" s="4" t="str">
        <f t="shared" si="5"/>
        <v>EF1 E002 Ing</v>
      </c>
    </row>
    <row r="362" spans="1:31" s="12" customFormat="1" x14ac:dyDescent="0.25">
      <c r="A362" s="23"/>
      <c r="B362" s="20"/>
      <c r="C362" s="20"/>
      <c r="D362" s="20"/>
      <c r="E362" s="22"/>
      <c r="F362" s="22"/>
      <c r="G362" s="22"/>
      <c r="H362" s="22"/>
      <c r="I362" s="23"/>
      <c r="J362" s="23"/>
      <c r="K362" s="22"/>
      <c r="L362" s="22"/>
      <c r="M362" s="23"/>
      <c r="N362" s="23"/>
      <c r="O362" s="26"/>
      <c r="P362" s="26"/>
      <c r="Q362" s="26"/>
      <c r="R362" s="22"/>
      <c r="S362" s="24"/>
      <c r="T362" s="24"/>
      <c r="U362" s="24"/>
      <c r="V362" s="24"/>
      <c r="W362" s="24"/>
      <c r="X362" s="22"/>
      <c r="Y362" s="4" t="str">
        <f>IF(Tabela2[[#This Row],[SIGLA]]="","",VLOOKUP(Tabela2[[#This Row],[SIGLA]],Tabela1[[#All],[Sigla Arte]:[Crédito]],2,0))</f>
        <v/>
      </c>
      <c r="Z362" s="23"/>
      <c r="AA362" s="23" t="str">
        <f>Tabela2[[#This Row],[ILUSTRADOR CRIAÇÃO]]</f>
        <v/>
      </c>
      <c r="AB362" s="22"/>
      <c r="AC362" s="20"/>
      <c r="AD362" s="20"/>
      <c r="AE362" s="4" t="str">
        <f t="shared" si="5"/>
        <v>EF1 E002 Ing</v>
      </c>
    </row>
    <row r="363" spans="1:31" s="12" customFormat="1" x14ac:dyDescent="0.25">
      <c r="A363" s="23"/>
      <c r="B363" s="20"/>
      <c r="C363" s="20"/>
      <c r="D363" s="20"/>
      <c r="E363" s="22"/>
      <c r="F363" s="22"/>
      <c r="G363" s="22"/>
      <c r="H363" s="22"/>
      <c r="I363" s="23"/>
      <c r="J363" s="23"/>
      <c r="K363" s="22"/>
      <c r="L363" s="22"/>
      <c r="M363" s="23"/>
      <c r="N363" s="23"/>
      <c r="O363" s="26"/>
      <c r="P363" s="26"/>
      <c r="Q363" s="26"/>
      <c r="R363" s="22"/>
      <c r="S363" s="24"/>
      <c r="T363" s="24"/>
      <c r="U363" s="24"/>
      <c r="V363" s="24"/>
      <c r="W363" s="24"/>
      <c r="X363" s="22"/>
      <c r="Y363" s="4" t="str">
        <f>IF(Tabela2[[#This Row],[SIGLA]]="","",VLOOKUP(Tabela2[[#This Row],[SIGLA]],Tabela1[[#All],[Sigla Arte]:[Crédito]],2,0))</f>
        <v/>
      </c>
      <c r="Z363" s="23"/>
      <c r="AA363" s="23" t="str">
        <f>Tabela2[[#This Row],[ILUSTRADOR CRIAÇÃO]]</f>
        <v/>
      </c>
      <c r="AB363" s="22"/>
      <c r="AC363" s="20"/>
      <c r="AD363" s="20"/>
      <c r="AE363" s="4" t="str">
        <f t="shared" si="5"/>
        <v>EF1 E002 Ing</v>
      </c>
    </row>
    <row r="364" spans="1:31" s="12" customFormat="1" x14ac:dyDescent="0.25">
      <c r="A364" s="23"/>
      <c r="B364" s="20"/>
      <c r="C364" s="20"/>
      <c r="D364" s="20"/>
      <c r="E364" s="22"/>
      <c r="F364" s="22"/>
      <c r="G364" s="22"/>
      <c r="H364" s="22"/>
      <c r="I364" s="23"/>
      <c r="J364" s="23"/>
      <c r="K364" s="22"/>
      <c r="L364" s="22"/>
      <c r="M364" s="23"/>
      <c r="N364" s="23"/>
      <c r="O364" s="26"/>
      <c r="P364" s="26"/>
      <c r="Q364" s="26"/>
      <c r="R364" s="22"/>
      <c r="S364" s="24"/>
      <c r="T364" s="24"/>
      <c r="U364" s="24"/>
      <c r="V364" s="24"/>
      <c r="W364" s="24"/>
      <c r="X364" s="22"/>
      <c r="Y364" s="4" t="str">
        <f>IF(Tabela2[[#This Row],[SIGLA]]="","",VLOOKUP(Tabela2[[#This Row],[SIGLA]],Tabela1[[#All],[Sigla Arte]:[Crédito]],2,0))</f>
        <v/>
      </c>
      <c r="Z364" s="23"/>
      <c r="AA364" s="23" t="str">
        <f>Tabela2[[#This Row],[ILUSTRADOR CRIAÇÃO]]</f>
        <v/>
      </c>
      <c r="AB364" s="22"/>
      <c r="AC364" s="20"/>
      <c r="AD364" s="20"/>
      <c r="AE364" s="4" t="str">
        <f t="shared" si="5"/>
        <v>EF1 E002 Ing</v>
      </c>
    </row>
    <row r="365" spans="1:31" s="12" customFormat="1" x14ac:dyDescent="0.25">
      <c r="A365" s="23"/>
      <c r="B365" s="20"/>
      <c r="C365" s="20"/>
      <c r="D365" s="20"/>
      <c r="E365" s="22"/>
      <c r="F365" s="22"/>
      <c r="G365" s="22"/>
      <c r="H365" s="22"/>
      <c r="I365" s="23"/>
      <c r="J365" s="23"/>
      <c r="K365" s="22"/>
      <c r="L365" s="22"/>
      <c r="M365" s="23"/>
      <c r="N365" s="23"/>
      <c r="O365" s="26"/>
      <c r="P365" s="26"/>
      <c r="Q365" s="26"/>
      <c r="R365" s="22"/>
      <c r="S365" s="24"/>
      <c r="T365" s="24"/>
      <c r="U365" s="24"/>
      <c r="V365" s="24"/>
      <c r="W365" s="24"/>
      <c r="X365" s="22"/>
      <c r="Y365" s="4" t="str">
        <f>IF(Tabela2[[#This Row],[SIGLA]]="","",VLOOKUP(Tabela2[[#This Row],[SIGLA]],Tabela1[[#All],[Sigla Arte]:[Crédito]],2,0))</f>
        <v/>
      </c>
      <c r="Z365" s="23"/>
      <c r="AA365" s="23" t="str">
        <f>Tabela2[[#This Row],[ILUSTRADOR CRIAÇÃO]]</f>
        <v/>
      </c>
      <c r="AB365" s="22"/>
      <c r="AC365" s="20"/>
      <c r="AD365" s="20"/>
      <c r="AE365" s="4" t="str">
        <f t="shared" si="5"/>
        <v>EF1 E002 Ing</v>
      </c>
    </row>
    <row r="366" spans="1:31" s="12" customFormat="1" x14ac:dyDescent="0.25">
      <c r="A366" s="23"/>
      <c r="B366" s="20"/>
      <c r="C366" s="20"/>
      <c r="D366" s="20"/>
      <c r="E366" s="22"/>
      <c r="F366" s="22"/>
      <c r="G366" s="22"/>
      <c r="H366" s="22"/>
      <c r="I366" s="23"/>
      <c r="J366" s="23"/>
      <c r="K366" s="22"/>
      <c r="L366" s="22"/>
      <c r="M366" s="23"/>
      <c r="N366" s="23"/>
      <c r="O366" s="26"/>
      <c r="P366" s="26"/>
      <c r="Q366" s="26"/>
      <c r="R366" s="22"/>
      <c r="S366" s="24"/>
      <c r="T366" s="24"/>
      <c r="U366" s="24"/>
      <c r="V366" s="24"/>
      <c r="W366" s="24"/>
      <c r="X366" s="22"/>
      <c r="Y366" s="4" t="str">
        <f>IF(Tabela2[[#This Row],[SIGLA]]="","",VLOOKUP(Tabela2[[#This Row],[SIGLA]],Tabela1[[#All],[Sigla Arte]:[Crédito]],2,0))</f>
        <v/>
      </c>
      <c r="Z366" s="23"/>
      <c r="AA366" s="23" t="str">
        <f>Tabela2[[#This Row],[ILUSTRADOR CRIAÇÃO]]</f>
        <v/>
      </c>
      <c r="AB366" s="22"/>
      <c r="AC366" s="20"/>
      <c r="AD366" s="20"/>
      <c r="AE366" s="4" t="str">
        <f t="shared" si="5"/>
        <v>EF1 E002 Ing</v>
      </c>
    </row>
    <row r="367" spans="1:31" s="12" customFormat="1" x14ac:dyDescent="0.25">
      <c r="A367" s="23"/>
      <c r="B367" s="20"/>
      <c r="C367" s="20"/>
      <c r="D367" s="20"/>
      <c r="E367" s="22"/>
      <c r="F367" s="22"/>
      <c r="G367" s="22"/>
      <c r="H367" s="22"/>
      <c r="I367" s="23"/>
      <c r="J367" s="23"/>
      <c r="K367" s="22"/>
      <c r="L367" s="22"/>
      <c r="M367" s="23"/>
      <c r="N367" s="23"/>
      <c r="O367" s="26"/>
      <c r="P367" s="26"/>
      <c r="Q367" s="26"/>
      <c r="R367" s="22"/>
      <c r="S367" s="24"/>
      <c r="T367" s="24"/>
      <c r="U367" s="24"/>
      <c r="V367" s="24"/>
      <c r="W367" s="24"/>
      <c r="X367" s="22"/>
      <c r="Y367" s="4" t="str">
        <f>IF(Tabela2[[#This Row],[SIGLA]]="","",VLOOKUP(Tabela2[[#This Row],[SIGLA]],Tabela1[[#All],[Sigla Arte]:[Crédito]],2,0))</f>
        <v/>
      </c>
      <c r="Z367" s="23"/>
      <c r="AA367" s="23" t="str">
        <f>Tabela2[[#This Row],[ILUSTRADOR CRIAÇÃO]]</f>
        <v/>
      </c>
      <c r="AB367" s="22"/>
      <c r="AC367" s="20"/>
      <c r="AD367" s="20"/>
      <c r="AE367" s="4" t="str">
        <f t="shared" si="5"/>
        <v>EF1 E002 Ing</v>
      </c>
    </row>
    <row r="368" spans="1:31" s="12" customFormat="1" x14ac:dyDescent="0.25">
      <c r="A368" s="23"/>
      <c r="B368" s="20"/>
      <c r="C368" s="20"/>
      <c r="D368" s="20"/>
      <c r="E368" s="22"/>
      <c r="F368" s="22"/>
      <c r="G368" s="22"/>
      <c r="H368" s="22"/>
      <c r="I368" s="23"/>
      <c r="J368" s="23"/>
      <c r="K368" s="22"/>
      <c r="L368" s="22"/>
      <c r="M368" s="23"/>
      <c r="N368" s="23"/>
      <c r="O368" s="26"/>
      <c r="P368" s="26"/>
      <c r="Q368" s="26"/>
      <c r="R368" s="22"/>
      <c r="S368" s="24"/>
      <c r="T368" s="24"/>
      <c r="U368" s="24"/>
      <c r="V368" s="24"/>
      <c r="W368" s="24"/>
      <c r="X368" s="22"/>
      <c r="Y368" s="4" t="str">
        <f>IF(Tabela2[[#This Row],[SIGLA]]="","",VLOOKUP(Tabela2[[#This Row],[SIGLA]],Tabela1[[#All],[Sigla Arte]:[Crédito]],2,0))</f>
        <v/>
      </c>
      <c r="Z368" s="23"/>
      <c r="AA368" s="23" t="str">
        <f>Tabela2[[#This Row],[ILUSTRADOR CRIAÇÃO]]</f>
        <v/>
      </c>
      <c r="AB368" s="22"/>
      <c r="AC368" s="20"/>
      <c r="AD368" s="20"/>
      <c r="AE368" s="4" t="str">
        <f t="shared" si="5"/>
        <v>EF1 E002 Ing</v>
      </c>
    </row>
    <row r="369" spans="1:31" s="12" customFormat="1" x14ac:dyDescent="0.25">
      <c r="A369" s="23"/>
      <c r="B369" s="20"/>
      <c r="C369" s="20"/>
      <c r="D369" s="20"/>
      <c r="E369" s="22"/>
      <c r="F369" s="22"/>
      <c r="G369" s="22"/>
      <c r="H369" s="22"/>
      <c r="I369" s="23"/>
      <c r="J369" s="23"/>
      <c r="K369" s="22"/>
      <c r="L369" s="22"/>
      <c r="M369" s="23"/>
      <c r="N369" s="23"/>
      <c r="O369" s="26"/>
      <c r="P369" s="26"/>
      <c r="Q369" s="26"/>
      <c r="R369" s="22"/>
      <c r="S369" s="24"/>
      <c r="T369" s="24"/>
      <c r="U369" s="24"/>
      <c r="V369" s="24"/>
      <c r="W369" s="24"/>
      <c r="X369" s="22"/>
      <c r="Y369" s="4" t="str">
        <f>IF(Tabela2[[#This Row],[SIGLA]]="","",VLOOKUP(Tabela2[[#This Row],[SIGLA]],Tabela1[[#All],[Sigla Arte]:[Crédito]],2,0))</f>
        <v/>
      </c>
      <c r="Z369" s="23"/>
      <c r="AA369" s="23" t="str">
        <f>Tabela2[[#This Row],[ILUSTRADOR CRIAÇÃO]]</f>
        <v/>
      </c>
      <c r="AB369" s="22"/>
      <c r="AC369" s="20"/>
      <c r="AD369" s="20"/>
      <c r="AE369" s="4" t="str">
        <f t="shared" si="5"/>
        <v>EF1 E002 Ing</v>
      </c>
    </row>
    <row r="370" spans="1:31" s="12" customFormat="1" x14ac:dyDescent="0.25">
      <c r="A370" s="23"/>
      <c r="B370" s="20"/>
      <c r="C370" s="20"/>
      <c r="D370" s="20"/>
      <c r="E370" s="22"/>
      <c r="F370" s="22"/>
      <c r="G370" s="22"/>
      <c r="H370" s="22"/>
      <c r="I370" s="23"/>
      <c r="J370" s="23"/>
      <c r="K370" s="22"/>
      <c r="L370" s="22"/>
      <c r="M370" s="23"/>
      <c r="N370" s="23"/>
      <c r="O370" s="26"/>
      <c r="P370" s="26"/>
      <c r="Q370" s="26"/>
      <c r="R370" s="22"/>
      <c r="S370" s="24"/>
      <c r="T370" s="24"/>
      <c r="U370" s="24"/>
      <c r="V370" s="24"/>
      <c r="W370" s="24"/>
      <c r="X370" s="22"/>
      <c r="Y370" s="4" t="str">
        <f>IF(Tabela2[[#This Row],[SIGLA]]="","",VLOOKUP(Tabela2[[#This Row],[SIGLA]],Tabela1[[#All],[Sigla Arte]:[Crédito]],2,0))</f>
        <v/>
      </c>
      <c r="Z370" s="23"/>
      <c r="AA370" s="23" t="str">
        <f>Tabela2[[#This Row],[ILUSTRADOR CRIAÇÃO]]</f>
        <v/>
      </c>
      <c r="AB370" s="22"/>
      <c r="AC370" s="20"/>
      <c r="AD370" s="20"/>
      <c r="AE370" s="4" t="str">
        <f t="shared" si="5"/>
        <v>EF1 E002 Ing</v>
      </c>
    </row>
    <row r="371" spans="1:31" s="12" customFormat="1" x14ac:dyDescent="0.25">
      <c r="A371" s="23"/>
      <c r="B371" s="20"/>
      <c r="C371" s="20"/>
      <c r="D371" s="20"/>
      <c r="E371" s="22"/>
      <c r="F371" s="22"/>
      <c r="G371" s="22"/>
      <c r="H371" s="22"/>
      <c r="I371" s="23"/>
      <c r="J371" s="23"/>
      <c r="K371" s="22"/>
      <c r="L371" s="22"/>
      <c r="M371" s="23"/>
      <c r="N371" s="23"/>
      <c r="O371" s="26"/>
      <c r="P371" s="26"/>
      <c r="Q371" s="26"/>
      <c r="R371" s="22"/>
      <c r="S371" s="24"/>
      <c r="T371" s="24"/>
      <c r="U371" s="24"/>
      <c r="V371" s="24"/>
      <c r="W371" s="24"/>
      <c r="X371" s="22"/>
      <c r="Y371" s="4" t="str">
        <f>IF(Tabela2[[#This Row],[SIGLA]]="","",VLOOKUP(Tabela2[[#This Row],[SIGLA]],Tabela1[[#All],[Sigla Arte]:[Crédito]],2,0))</f>
        <v/>
      </c>
      <c r="Z371" s="23"/>
      <c r="AA371" s="23" t="str">
        <f>Tabela2[[#This Row],[ILUSTRADOR CRIAÇÃO]]</f>
        <v/>
      </c>
      <c r="AB371" s="22"/>
      <c r="AC371" s="20"/>
      <c r="AD371" s="20"/>
      <c r="AE371" s="4" t="str">
        <f t="shared" si="5"/>
        <v>EF1 E002 Ing</v>
      </c>
    </row>
    <row r="372" spans="1:31" s="12" customFormat="1" x14ac:dyDescent="0.25">
      <c r="A372" s="23"/>
      <c r="B372" s="20"/>
      <c r="C372" s="20"/>
      <c r="D372" s="20"/>
      <c r="E372" s="22"/>
      <c r="F372" s="22"/>
      <c r="G372" s="22"/>
      <c r="H372" s="22"/>
      <c r="I372" s="23"/>
      <c r="J372" s="23"/>
      <c r="K372" s="22"/>
      <c r="L372" s="22"/>
      <c r="M372" s="23"/>
      <c r="N372" s="23"/>
      <c r="O372" s="26"/>
      <c r="P372" s="26"/>
      <c r="Q372" s="26"/>
      <c r="R372" s="22"/>
      <c r="S372" s="24"/>
      <c r="T372" s="24"/>
      <c r="U372" s="24"/>
      <c r="V372" s="24"/>
      <c r="W372" s="24"/>
      <c r="X372" s="22"/>
      <c r="Y372" s="4" t="str">
        <f>IF(Tabela2[[#This Row],[SIGLA]]="","",VLOOKUP(Tabela2[[#This Row],[SIGLA]],Tabela1[[#All],[Sigla Arte]:[Crédito]],2,0))</f>
        <v/>
      </c>
      <c r="Z372" s="23"/>
      <c r="AA372" s="23" t="str">
        <f>Tabela2[[#This Row],[ILUSTRADOR CRIAÇÃO]]</f>
        <v/>
      </c>
      <c r="AB372" s="22"/>
      <c r="AC372" s="20"/>
      <c r="AD372" s="20"/>
      <c r="AE372" s="4" t="str">
        <f t="shared" si="5"/>
        <v>EF1 E002 Ing</v>
      </c>
    </row>
    <row r="373" spans="1:31" s="12" customFormat="1" x14ac:dyDescent="0.25">
      <c r="A373" s="23"/>
      <c r="B373" s="20"/>
      <c r="C373" s="20"/>
      <c r="D373" s="20"/>
      <c r="E373" s="22"/>
      <c r="F373" s="22"/>
      <c r="G373" s="22"/>
      <c r="H373" s="22"/>
      <c r="I373" s="23"/>
      <c r="J373" s="23"/>
      <c r="K373" s="22"/>
      <c r="L373" s="22"/>
      <c r="M373" s="23"/>
      <c r="N373" s="23"/>
      <c r="O373" s="26"/>
      <c r="P373" s="26"/>
      <c r="Q373" s="26"/>
      <c r="R373" s="22"/>
      <c r="S373" s="24"/>
      <c r="T373" s="24"/>
      <c r="U373" s="24"/>
      <c r="V373" s="24"/>
      <c r="W373" s="24"/>
      <c r="X373" s="22"/>
      <c r="Y373" s="4" t="str">
        <f>IF(Tabela2[[#This Row],[SIGLA]]="","",VLOOKUP(Tabela2[[#This Row],[SIGLA]],Tabela1[[#All],[Sigla Arte]:[Crédito]],2,0))</f>
        <v/>
      </c>
      <c r="Z373" s="23"/>
      <c r="AA373" s="23" t="str">
        <f>Tabela2[[#This Row],[ILUSTRADOR CRIAÇÃO]]</f>
        <v/>
      </c>
      <c r="AB373" s="22"/>
      <c r="AC373" s="20"/>
      <c r="AD373" s="20"/>
      <c r="AE373" s="4" t="str">
        <f t="shared" si="5"/>
        <v>EF1 E002 Ing</v>
      </c>
    </row>
    <row r="374" spans="1:31" s="12" customFormat="1" x14ac:dyDescent="0.25">
      <c r="A374" s="23"/>
      <c r="B374" s="20"/>
      <c r="C374" s="20"/>
      <c r="D374" s="20"/>
      <c r="E374" s="22"/>
      <c r="F374" s="22"/>
      <c r="G374" s="22"/>
      <c r="H374" s="22"/>
      <c r="I374" s="23"/>
      <c r="J374" s="23"/>
      <c r="K374" s="22"/>
      <c r="L374" s="22"/>
      <c r="M374" s="23"/>
      <c r="N374" s="23"/>
      <c r="O374" s="26"/>
      <c r="P374" s="26"/>
      <c r="Q374" s="26"/>
      <c r="R374" s="22"/>
      <c r="S374" s="24"/>
      <c r="T374" s="24"/>
      <c r="U374" s="24"/>
      <c r="V374" s="24"/>
      <c r="W374" s="24"/>
      <c r="X374" s="22"/>
      <c r="Y374" s="4" t="str">
        <f>IF(Tabela2[[#This Row],[SIGLA]]="","",VLOOKUP(Tabela2[[#This Row],[SIGLA]],Tabela1[[#All],[Sigla Arte]:[Crédito]],2,0))</f>
        <v/>
      </c>
      <c r="Z374" s="23"/>
      <c r="AA374" s="23" t="str">
        <f>Tabela2[[#This Row],[ILUSTRADOR CRIAÇÃO]]</f>
        <v/>
      </c>
      <c r="AB374" s="22"/>
      <c r="AC374" s="20"/>
      <c r="AD374" s="20"/>
      <c r="AE374" s="4" t="str">
        <f t="shared" si="5"/>
        <v>EF1 E002 Ing</v>
      </c>
    </row>
    <row r="375" spans="1:31" s="12" customFormat="1" x14ac:dyDescent="0.25">
      <c r="A375" s="23"/>
      <c r="B375" s="20"/>
      <c r="C375" s="20"/>
      <c r="D375" s="20"/>
      <c r="E375" s="22"/>
      <c r="F375" s="22"/>
      <c r="G375" s="22"/>
      <c r="H375" s="22"/>
      <c r="I375" s="23"/>
      <c r="J375" s="23"/>
      <c r="K375" s="22"/>
      <c r="L375" s="22"/>
      <c r="M375" s="23"/>
      <c r="N375" s="23"/>
      <c r="O375" s="26"/>
      <c r="P375" s="26"/>
      <c r="Q375" s="26"/>
      <c r="R375" s="22"/>
      <c r="S375" s="24"/>
      <c r="T375" s="24"/>
      <c r="U375" s="24"/>
      <c r="V375" s="24"/>
      <c r="W375" s="24"/>
      <c r="X375" s="22"/>
      <c r="Y375" s="4" t="str">
        <f>IF(Tabela2[[#This Row],[SIGLA]]="","",VLOOKUP(Tabela2[[#This Row],[SIGLA]],Tabela1[[#All],[Sigla Arte]:[Crédito]],2,0))</f>
        <v/>
      </c>
      <c r="Z375" s="23"/>
      <c r="AA375" s="23" t="str">
        <f>Tabela2[[#This Row],[ILUSTRADOR CRIAÇÃO]]</f>
        <v/>
      </c>
      <c r="AB375" s="22"/>
      <c r="AC375" s="20"/>
      <c r="AD375" s="20"/>
      <c r="AE375" s="4" t="str">
        <f t="shared" si="5"/>
        <v>EF1 E002 Ing</v>
      </c>
    </row>
    <row r="376" spans="1:31" s="12" customFormat="1" x14ac:dyDescent="0.25">
      <c r="A376" s="23"/>
      <c r="B376" s="20"/>
      <c r="C376" s="20"/>
      <c r="D376" s="20"/>
      <c r="E376" s="22"/>
      <c r="F376" s="22"/>
      <c r="G376" s="22"/>
      <c r="H376" s="22"/>
      <c r="I376" s="23"/>
      <c r="J376" s="23"/>
      <c r="K376" s="22"/>
      <c r="L376" s="22"/>
      <c r="M376" s="23"/>
      <c r="N376" s="23"/>
      <c r="O376" s="26"/>
      <c r="P376" s="26"/>
      <c r="Q376" s="26"/>
      <c r="R376" s="22"/>
      <c r="S376" s="24"/>
      <c r="T376" s="24"/>
      <c r="U376" s="24"/>
      <c r="V376" s="24"/>
      <c r="W376" s="24"/>
      <c r="X376" s="22"/>
      <c r="Y376" s="4" t="str">
        <f>IF(Tabela2[[#This Row],[SIGLA]]="","",VLOOKUP(Tabela2[[#This Row],[SIGLA]],Tabela1[[#All],[Sigla Arte]:[Crédito]],2,0))</f>
        <v/>
      </c>
      <c r="Z376" s="23"/>
      <c r="AA376" s="23" t="str">
        <f>Tabela2[[#This Row],[ILUSTRADOR CRIAÇÃO]]</f>
        <v/>
      </c>
      <c r="AB376" s="22"/>
      <c r="AC376" s="20"/>
      <c r="AD376" s="20"/>
      <c r="AE376" s="4" t="str">
        <f t="shared" si="5"/>
        <v>EF1 E002 Ing</v>
      </c>
    </row>
    <row r="377" spans="1:31" s="12" customFormat="1" x14ac:dyDescent="0.25">
      <c r="A377" s="23"/>
      <c r="B377" s="20"/>
      <c r="C377" s="20"/>
      <c r="D377" s="20"/>
      <c r="E377" s="22"/>
      <c r="F377" s="22"/>
      <c r="G377" s="22"/>
      <c r="H377" s="22"/>
      <c r="I377" s="23"/>
      <c r="J377" s="23"/>
      <c r="K377" s="22"/>
      <c r="L377" s="22"/>
      <c r="M377" s="23"/>
      <c r="N377" s="23"/>
      <c r="O377" s="26"/>
      <c r="P377" s="26"/>
      <c r="Q377" s="26"/>
      <c r="R377" s="22"/>
      <c r="S377" s="24"/>
      <c r="T377" s="24"/>
      <c r="U377" s="24"/>
      <c r="V377" s="24"/>
      <c r="W377" s="24"/>
      <c r="X377" s="22"/>
      <c r="Y377" s="4" t="str">
        <f>IF(Tabela2[[#This Row],[SIGLA]]="","",VLOOKUP(Tabela2[[#This Row],[SIGLA]],Tabela1[[#All],[Sigla Arte]:[Crédito]],2,0))</f>
        <v/>
      </c>
      <c r="Z377" s="23"/>
      <c r="AA377" s="23" t="str">
        <f>Tabela2[[#This Row],[ILUSTRADOR CRIAÇÃO]]</f>
        <v/>
      </c>
      <c r="AB377" s="22"/>
      <c r="AC377" s="20"/>
      <c r="AD377" s="20"/>
      <c r="AE377" s="4" t="str">
        <f t="shared" si="5"/>
        <v>EF1 E002 Ing</v>
      </c>
    </row>
    <row r="378" spans="1:31" s="12" customFormat="1" x14ac:dyDescent="0.25">
      <c r="A378" s="23"/>
      <c r="B378" s="20"/>
      <c r="C378" s="20"/>
      <c r="D378" s="20"/>
      <c r="E378" s="22"/>
      <c r="F378" s="22"/>
      <c r="G378" s="22"/>
      <c r="H378" s="22"/>
      <c r="I378" s="23"/>
      <c r="J378" s="23"/>
      <c r="K378" s="22"/>
      <c r="L378" s="22"/>
      <c r="M378" s="23"/>
      <c r="N378" s="23"/>
      <c r="O378" s="26"/>
      <c r="P378" s="26"/>
      <c r="Q378" s="26"/>
      <c r="R378" s="22"/>
      <c r="S378" s="24"/>
      <c r="T378" s="24"/>
      <c r="U378" s="24"/>
      <c r="V378" s="24"/>
      <c r="W378" s="24"/>
      <c r="X378" s="22"/>
      <c r="Y378" s="4" t="str">
        <f>IF(Tabela2[[#This Row],[SIGLA]]="","",VLOOKUP(Tabela2[[#This Row],[SIGLA]],Tabela1[[#All],[Sigla Arte]:[Crédito]],2,0))</f>
        <v/>
      </c>
      <c r="Z378" s="23"/>
      <c r="AA378" s="23" t="str">
        <f>Tabela2[[#This Row],[ILUSTRADOR CRIAÇÃO]]</f>
        <v/>
      </c>
      <c r="AB378" s="22"/>
      <c r="AC378" s="20"/>
      <c r="AD378" s="20"/>
      <c r="AE378" s="4" t="str">
        <f t="shared" si="5"/>
        <v>EF1 E002 Ing</v>
      </c>
    </row>
    <row r="379" spans="1:31" s="12" customFormat="1" x14ac:dyDescent="0.25">
      <c r="A379" s="23"/>
      <c r="B379" s="20"/>
      <c r="C379" s="20"/>
      <c r="D379" s="20"/>
      <c r="E379" s="22"/>
      <c r="F379" s="22"/>
      <c r="G379" s="22"/>
      <c r="H379" s="22"/>
      <c r="I379" s="23"/>
      <c r="J379" s="23"/>
      <c r="K379" s="22"/>
      <c r="L379" s="22"/>
      <c r="M379" s="23"/>
      <c r="N379" s="23"/>
      <c r="O379" s="26"/>
      <c r="P379" s="26"/>
      <c r="Q379" s="26"/>
      <c r="R379" s="22"/>
      <c r="S379" s="24"/>
      <c r="T379" s="24"/>
      <c r="U379" s="24"/>
      <c r="V379" s="24"/>
      <c r="W379" s="24"/>
      <c r="X379" s="22"/>
      <c r="Y379" s="4" t="str">
        <f>IF(Tabela2[[#This Row],[SIGLA]]="","",VLOOKUP(Tabela2[[#This Row],[SIGLA]],Tabela1[[#All],[Sigla Arte]:[Crédito]],2,0))</f>
        <v/>
      </c>
      <c r="Z379" s="23"/>
      <c r="AA379" s="23" t="str">
        <f>Tabela2[[#This Row],[ILUSTRADOR CRIAÇÃO]]</f>
        <v/>
      </c>
      <c r="AB379" s="22"/>
      <c r="AC379" s="20"/>
      <c r="AD379" s="20"/>
      <c r="AE379" s="4" t="str">
        <f t="shared" si="5"/>
        <v>EF1 E002 Ing</v>
      </c>
    </row>
    <row r="380" spans="1:31" s="12" customFormat="1" x14ac:dyDescent="0.25">
      <c r="A380" s="23"/>
      <c r="B380" s="20"/>
      <c r="C380" s="20"/>
      <c r="D380" s="20"/>
      <c r="E380" s="22"/>
      <c r="F380" s="22"/>
      <c r="G380" s="22"/>
      <c r="H380" s="22"/>
      <c r="I380" s="23"/>
      <c r="J380" s="23"/>
      <c r="K380" s="22"/>
      <c r="L380" s="22"/>
      <c r="M380" s="23"/>
      <c r="N380" s="23"/>
      <c r="O380" s="26"/>
      <c r="P380" s="26"/>
      <c r="Q380" s="26"/>
      <c r="R380" s="22"/>
      <c r="S380" s="24"/>
      <c r="T380" s="24"/>
      <c r="U380" s="24"/>
      <c r="V380" s="24"/>
      <c r="W380" s="24"/>
      <c r="X380" s="22"/>
      <c r="Y380" s="4" t="str">
        <f>IF(Tabela2[[#This Row],[SIGLA]]="","",VLOOKUP(Tabela2[[#This Row],[SIGLA]],Tabela1[[#All],[Sigla Arte]:[Crédito]],2,0))</f>
        <v/>
      </c>
      <c r="Z380" s="23"/>
      <c r="AA380" s="23" t="str">
        <f>Tabela2[[#This Row],[ILUSTRADOR CRIAÇÃO]]</f>
        <v/>
      </c>
      <c r="AB380" s="22"/>
      <c r="AC380" s="20"/>
      <c r="AD380" s="20"/>
      <c r="AE380" s="4" t="str">
        <f t="shared" si="5"/>
        <v>EF1 E002 Ing</v>
      </c>
    </row>
    <row r="381" spans="1:31" s="12" customFormat="1" x14ac:dyDescent="0.25">
      <c r="A381" s="23"/>
      <c r="B381" s="20"/>
      <c r="C381" s="20"/>
      <c r="D381" s="20"/>
      <c r="E381" s="22"/>
      <c r="F381" s="22"/>
      <c r="G381" s="22"/>
      <c r="H381" s="22"/>
      <c r="I381" s="23"/>
      <c r="J381" s="23"/>
      <c r="K381" s="22"/>
      <c r="L381" s="22"/>
      <c r="M381" s="23"/>
      <c r="N381" s="23"/>
      <c r="O381" s="26"/>
      <c r="P381" s="26"/>
      <c r="Q381" s="26"/>
      <c r="R381" s="22"/>
      <c r="S381" s="24"/>
      <c r="T381" s="24"/>
      <c r="U381" s="24"/>
      <c r="V381" s="24"/>
      <c r="W381" s="24"/>
      <c r="X381" s="22"/>
      <c r="Y381" s="4" t="str">
        <f>IF(Tabela2[[#This Row],[SIGLA]]="","",VLOOKUP(Tabela2[[#This Row],[SIGLA]],Tabela1[[#All],[Sigla Arte]:[Crédito]],2,0))</f>
        <v/>
      </c>
      <c r="Z381" s="23"/>
      <c r="AA381" s="23" t="str">
        <f>Tabela2[[#This Row],[ILUSTRADOR CRIAÇÃO]]</f>
        <v/>
      </c>
      <c r="AB381" s="22"/>
      <c r="AC381" s="20"/>
      <c r="AD381" s="20"/>
      <c r="AE381" s="4" t="str">
        <f t="shared" si="5"/>
        <v>EF1 E002 Ing</v>
      </c>
    </row>
    <row r="382" spans="1:31" s="12" customFormat="1" x14ac:dyDescent="0.25">
      <c r="A382" s="23"/>
      <c r="B382" s="20"/>
      <c r="C382" s="20"/>
      <c r="D382" s="20"/>
      <c r="E382" s="22"/>
      <c r="F382" s="22"/>
      <c r="G382" s="22"/>
      <c r="H382" s="22"/>
      <c r="I382" s="23"/>
      <c r="J382" s="23"/>
      <c r="K382" s="22"/>
      <c r="L382" s="22"/>
      <c r="M382" s="23"/>
      <c r="N382" s="23"/>
      <c r="O382" s="26"/>
      <c r="P382" s="26"/>
      <c r="Q382" s="26"/>
      <c r="R382" s="22"/>
      <c r="S382" s="24"/>
      <c r="T382" s="24"/>
      <c r="U382" s="24"/>
      <c r="V382" s="24"/>
      <c r="W382" s="24"/>
      <c r="X382" s="22"/>
      <c r="Y382" s="4" t="str">
        <f>IF(Tabela2[[#This Row],[SIGLA]]="","",VLOOKUP(Tabela2[[#This Row],[SIGLA]],Tabela1[[#All],[Sigla Arte]:[Crédito]],2,0))</f>
        <v/>
      </c>
      <c r="Z382" s="23"/>
      <c r="AA382" s="23" t="str">
        <f>Tabela2[[#This Row],[ILUSTRADOR CRIAÇÃO]]</f>
        <v/>
      </c>
      <c r="AB382" s="22"/>
      <c r="AC382" s="20"/>
      <c r="AD382" s="20"/>
      <c r="AE382" s="4" t="str">
        <f t="shared" si="5"/>
        <v>EF1 E002 Ing</v>
      </c>
    </row>
    <row r="383" spans="1:31" s="12" customFormat="1" x14ac:dyDescent="0.25">
      <c r="A383" s="23"/>
      <c r="B383" s="20"/>
      <c r="C383" s="20"/>
      <c r="D383" s="20"/>
      <c r="E383" s="22"/>
      <c r="F383" s="22"/>
      <c r="G383" s="22"/>
      <c r="H383" s="22"/>
      <c r="I383" s="23"/>
      <c r="J383" s="23"/>
      <c r="K383" s="22"/>
      <c r="L383" s="22"/>
      <c r="M383" s="23"/>
      <c r="N383" s="23"/>
      <c r="O383" s="26"/>
      <c r="P383" s="26"/>
      <c r="Q383" s="26"/>
      <c r="R383" s="22"/>
      <c r="S383" s="24"/>
      <c r="T383" s="24"/>
      <c r="U383" s="24"/>
      <c r="V383" s="24"/>
      <c r="W383" s="24"/>
      <c r="X383" s="22"/>
      <c r="Y383" s="4" t="str">
        <f>IF(Tabela2[[#This Row],[SIGLA]]="","",VLOOKUP(Tabela2[[#This Row],[SIGLA]],Tabela1[[#All],[Sigla Arte]:[Crédito]],2,0))</f>
        <v/>
      </c>
      <c r="Z383" s="23"/>
      <c r="AA383" s="23" t="str">
        <f>Tabela2[[#This Row],[ILUSTRADOR CRIAÇÃO]]</f>
        <v/>
      </c>
      <c r="AB383" s="22"/>
      <c r="AC383" s="20"/>
      <c r="AD383" s="20"/>
      <c r="AE383" s="4" t="str">
        <f t="shared" si="5"/>
        <v>EF1 E002 Ing</v>
      </c>
    </row>
    <row r="384" spans="1:31" s="12" customFormat="1" x14ac:dyDescent="0.25">
      <c r="A384" s="23"/>
      <c r="B384" s="20"/>
      <c r="C384" s="20"/>
      <c r="D384" s="20"/>
      <c r="E384" s="22"/>
      <c r="F384" s="22"/>
      <c r="G384" s="22"/>
      <c r="H384" s="22"/>
      <c r="I384" s="23"/>
      <c r="J384" s="23"/>
      <c r="K384" s="22"/>
      <c r="L384" s="22"/>
      <c r="M384" s="23"/>
      <c r="N384" s="23"/>
      <c r="O384" s="26"/>
      <c r="P384" s="26"/>
      <c r="Q384" s="26"/>
      <c r="R384" s="22"/>
      <c r="S384" s="24"/>
      <c r="T384" s="24"/>
      <c r="U384" s="24"/>
      <c r="V384" s="24"/>
      <c r="W384" s="24"/>
      <c r="X384" s="22"/>
      <c r="Y384" s="4" t="str">
        <f>IF(Tabela2[[#This Row],[SIGLA]]="","",VLOOKUP(Tabela2[[#This Row],[SIGLA]],Tabela1[[#All],[Sigla Arte]:[Crédito]],2,0))</f>
        <v/>
      </c>
      <c r="Z384" s="23"/>
      <c r="AA384" s="23" t="str">
        <f>Tabela2[[#This Row],[ILUSTRADOR CRIAÇÃO]]</f>
        <v/>
      </c>
      <c r="AB384" s="22"/>
      <c r="AC384" s="20"/>
      <c r="AD384" s="20"/>
      <c r="AE384" s="4" t="str">
        <f t="shared" si="5"/>
        <v>EF1 E002 Ing</v>
      </c>
    </row>
    <row r="385" spans="1:31" s="12" customFormat="1" x14ac:dyDescent="0.25">
      <c r="A385" s="23"/>
      <c r="B385" s="20"/>
      <c r="C385" s="20"/>
      <c r="D385" s="20"/>
      <c r="E385" s="22"/>
      <c r="F385" s="22"/>
      <c r="G385" s="22"/>
      <c r="H385" s="22"/>
      <c r="I385" s="23"/>
      <c r="J385" s="23"/>
      <c r="K385" s="22"/>
      <c r="L385" s="22"/>
      <c r="M385" s="23"/>
      <c r="N385" s="23"/>
      <c r="O385" s="26"/>
      <c r="P385" s="26"/>
      <c r="Q385" s="26"/>
      <c r="R385" s="22"/>
      <c r="S385" s="24"/>
      <c r="T385" s="24"/>
      <c r="U385" s="24"/>
      <c r="V385" s="24"/>
      <c r="W385" s="24"/>
      <c r="X385" s="22"/>
      <c r="Y385" s="4" t="str">
        <f>IF(Tabela2[[#This Row],[SIGLA]]="","",VLOOKUP(Tabela2[[#This Row],[SIGLA]],Tabela1[[#All],[Sigla Arte]:[Crédito]],2,0))</f>
        <v/>
      </c>
      <c r="Z385" s="23"/>
      <c r="AA385" s="23" t="str">
        <f>Tabela2[[#This Row],[ILUSTRADOR CRIAÇÃO]]</f>
        <v/>
      </c>
      <c r="AB385" s="22"/>
      <c r="AC385" s="20"/>
      <c r="AD385" s="20"/>
      <c r="AE385" s="4" t="str">
        <f t="shared" si="5"/>
        <v>EF1 E002 Ing</v>
      </c>
    </row>
    <row r="386" spans="1:31" s="12" customFormat="1" x14ac:dyDescent="0.25">
      <c r="A386" s="23"/>
      <c r="B386" s="20"/>
      <c r="C386" s="20"/>
      <c r="D386" s="20"/>
      <c r="E386" s="22"/>
      <c r="F386" s="22"/>
      <c r="G386" s="22"/>
      <c r="H386" s="22"/>
      <c r="I386" s="23"/>
      <c r="J386" s="23"/>
      <c r="K386" s="22"/>
      <c r="L386" s="22"/>
      <c r="M386" s="23"/>
      <c r="N386" s="23"/>
      <c r="O386" s="26"/>
      <c r="P386" s="26"/>
      <c r="Q386" s="26"/>
      <c r="R386" s="22"/>
      <c r="S386" s="24"/>
      <c r="T386" s="24"/>
      <c r="U386" s="24"/>
      <c r="V386" s="24"/>
      <c r="W386" s="24"/>
      <c r="X386" s="22"/>
      <c r="Y386" s="4" t="str">
        <f>IF(Tabela2[[#This Row],[SIGLA]]="","",VLOOKUP(Tabela2[[#This Row],[SIGLA]],Tabela1[[#All],[Sigla Arte]:[Crédito]],2,0))</f>
        <v/>
      </c>
      <c r="Z386" s="23"/>
      <c r="AA386" s="23" t="str">
        <f>Tabela2[[#This Row],[ILUSTRADOR CRIAÇÃO]]</f>
        <v/>
      </c>
      <c r="AB386" s="22"/>
      <c r="AC386" s="20"/>
      <c r="AD386" s="20"/>
      <c r="AE386" s="4" t="str">
        <f t="shared" ref="AE386:AE449" si="6">"EF1 E002 Ing"</f>
        <v>EF1 E002 Ing</v>
      </c>
    </row>
    <row r="387" spans="1:31" s="12" customFormat="1" x14ac:dyDescent="0.25">
      <c r="A387" s="23"/>
      <c r="B387" s="20"/>
      <c r="C387" s="20"/>
      <c r="D387" s="20"/>
      <c r="E387" s="22"/>
      <c r="F387" s="22"/>
      <c r="G387" s="22"/>
      <c r="H387" s="22"/>
      <c r="I387" s="23"/>
      <c r="J387" s="23"/>
      <c r="K387" s="22"/>
      <c r="L387" s="22"/>
      <c r="M387" s="23"/>
      <c r="N387" s="23"/>
      <c r="O387" s="26"/>
      <c r="P387" s="26"/>
      <c r="Q387" s="26"/>
      <c r="R387" s="22"/>
      <c r="S387" s="24"/>
      <c r="T387" s="24"/>
      <c r="U387" s="24"/>
      <c r="V387" s="24"/>
      <c r="W387" s="24"/>
      <c r="X387" s="22"/>
      <c r="Y387" s="4" t="str">
        <f>IF(Tabela2[[#This Row],[SIGLA]]="","",VLOOKUP(Tabela2[[#This Row],[SIGLA]],Tabela1[[#All],[Sigla Arte]:[Crédito]],2,0))</f>
        <v/>
      </c>
      <c r="Z387" s="23"/>
      <c r="AA387" s="23" t="str">
        <f>Tabela2[[#This Row],[ILUSTRADOR CRIAÇÃO]]</f>
        <v/>
      </c>
      <c r="AB387" s="22"/>
      <c r="AC387" s="20"/>
      <c r="AD387" s="20"/>
      <c r="AE387" s="4" t="str">
        <f t="shared" si="6"/>
        <v>EF1 E002 Ing</v>
      </c>
    </row>
    <row r="388" spans="1:31" s="12" customFormat="1" x14ac:dyDescent="0.25">
      <c r="A388" s="23"/>
      <c r="B388" s="20"/>
      <c r="C388" s="20"/>
      <c r="D388" s="20"/>
      <c r="E388" s="22"/>
      <c r="F388" s="22"/>
      <c r="G388" s="22"/>
      <c r="H388" s="22"/>
      <c r="I388" s="23"/>
      <c r="J388" s="23"/>
      <c r="K388" s="22"/>
      <c r="L388" s="22"/>
      <c r="M388" s="23"/>
      <c r="N388" s="23"/>
      <c r="O388" s="26"/>
      <c r="P388" s="26"/>
      <c r="Q388" s="26"/>
      <c r="R388" s="22"/>
      <c r="S388" s="24"/>
      <c r="T388" s="24"/>
      <c r="U388" s="24"/>
      <c r="V388" s="24"/>
      <c r="W388" s="24"/>
      <c r="X388" s="22"/>
      <c r="Y388" s="4" t="str">
        <f>IF(Tabela2[[#This Row],[SIGLA]]="","",VLOOKUP(Tabela2[[#This Row],[SIGLA]],Tabela1[[#All],[Sigla Arte]:[Crédito]],2,0))</f>
        <v/>
      </c>
      <c r="Z388" s="23"/>
      <c r="AA388" s="23" t="str">
        <f>Tabela2[[#This Row],[ILUSTRADOR CRIAÇÃO]]</f>
        <v/>
      </c>
      <c r="AB388" s="22"/>
      <c r="AC388" s="20"/>
      <c r="AD388" s="20"/>
      <c r="AE388" s="4" t="str">
        <f t="shared" si="6"/>
        <v>EF1 E002 Ing</v>
      </c>
    </row>
    <row r="389" spans="1:31" s="12" customFormat="1" x14ac:dyDescent="0.25">
      <c r="A389" s="23"/>
      <c r="B389" s="20"/>
      <c r="C389" s="20"/>
      <c r="D389" s="20"/>
      <c r="E389" s="22"/>
      <c r="F389" s="22"/>
      <c r="G389" s="22"/>
      <c r="H389" s="22"/>
      <c r="I389" s="23"/>
      <c r="J389" s="23"/>
      <c r="K389" s="22"/>
      <c r="L389" s="22"/>
      <c r="M389" s="23"/>
      <c r="N389" s="23"/>
      <c r="O389" s="26"/>
      <c r="P389" s="26"/>
      <c r="Q389" s="26"/>
      <c r="R389" s="22"/>
      <c r="S389" s="24"/>
      <c r="T389" s="24"/>
      <c r="U389" s="24"/>
      <c r="V389" s="24"/>
      <c r="W389" s="24"/>
      <c r="X389" s="22"/>
      <c r="Y389" s="4" t="str">
        <f>IF(Tabela2[[#This Row],[SIGLA]]="","",VLOOKUP(Tabela2[[#This Row],[SIGLA]],Tabela1[[#All],[Sigla Arte]:[Crédito]],2,0))</f>
        <v/>
      </c>
      <c r="Z389" s="23"/>
      <c r="AA389" s="23" t="str">
        <f>Tabela2[[#This Row],[ILUSTRADOR CRIAÇÃO]]</f>
        <v/>
      </c>
      <c r="AB389" s="22"/>
      <c r="AC389" s="20"/>
      <c r="AD389" s="20"/>
      <c r="AE389" s="4" t="str">
        <f t="shared" si="6"/>
        <v>EF1 E002 Ing</v>
      </c>
    </row>
    <row r="390" spans="1:31" s="12" customFormat="1" x14ac:dyDescent="0.25">
      <c r="A390" s="23"/>
      <c r="B390" s="20"/>
      <c r="C390" s="20"/>
      <c r="D390" s="20"/>
      <c r="E390" s="22"/>
      <c r="F390" s="22"/>
      <c r="G390" s="22"/>
      <c r="H390" s="22"/>
      <c r="I390" s="23"/>
      <c r="J390" s="23"/>
      <c r="K390" s="22"/>
      <c r="L390" s="22"/>
      <c r="M390" s="23"/>
      <c r="N390" s="23"/>
      <c r="O390" s="26"/>
      <c r="P390" s="26"/>
      <c r="Q390" s="26"/>
      <c r="R390" s="22"/>
      <c r="S390" s="24"/>
      <c r="T390" s="24"/>
      <c r="U390" s="24"/>
      <c r="V390" s="24"/>
      <c r="W390" s="24"/>
      <c r="X390" s="22"/>
      <c r="Y390" s="4" t="str">
        <f>IF(Tabela2[[#This Row],[SIGLA]]="","",VLOOKUP(Tabela2[[#This Row],[SIGLA]],Tabela1[[#All],[Sigla Arte]:[Crédito]],2,0))</f>
        <v/>
      </c>
      <c r="Z390" s="23"/>
      <c r="AA390" s="23" t="str">
        <f>Tabela2[[#This Row],[ILUSTRADOR CRIAÇÃO]]</f>
        <v/>
      </c>
      <c r="AB390" s="22"/>
      <c r="AC390" s="20"/>
      <c r="AD390" s="20"/>
      <c r="AE390" s="4" t="str">
        <f t="shared" si="6"/>
        <v>EF1 E002 Ing</v>
      </c>
    </row>
    <row r="391" spans="1:31" s="12" customFormat="1" x14ac:dyDescent="0.25">
      <c r="A391" s="23"/>
      <c r="B391" s="20"/>
      <c r="C391" s="20"/>
      <c r="D391" s="20"/>
      <c r="E391" s="22"/>
      <c r="F391" s="22"/>
      <c r="G391" s="22"/>
      <c r="H391" s="22"/>
      <c r="I391" s="23"/>
      <c r="J391" s="23"/>
      <c r="K391" s="22"/>
      <c r="L391" s="22"/>
      <c r="M391" s="23"/>
      <c r="N391" s="23"/>
      <c r="O391" s="26"/>
      <c r="P391" s="26"/>
      <c r="Q391" s="26"/>
      <c r="R391" s="22"/>
      <c r="S391" s="24"/>
      <c r="T391" s="24"/>
      <c r="U391" s="24"/>
      <c r="V391" s="24"/>
      <c r="W391" s="24"/>
      <c r="X391" s="22"/>
      <c r="Y391" s="4" t="str">
        <f>IF(Tabela2[[#This Row],[SIGLA]]="","",VLOOKUP(Tabela2[[#This Row],[SIGLA]],Tabela1[[#All],[Sigla Arte]:[Crédito]],2,0))</f>
        <v/>
      </c>
      <c r="Z391" s="23"/>
      <c r="AA391" s="23" t="str">
        <f>Tabela2[[#This Row],[ILUSTRADOR CRIAÇÃO]]</f>
        <v/>
      </c>
      <c r="AB391" s="22"/>
      <c r="AC391" s="20"/>
      <c r="AD391" s="20"/>
      <c r="AE391" s="4" t="str">
        <f t="shared" si="6"/>
        <v>EF1 E002 Ing</v>
      </c>
    </row>
    <row r="392" spans="1:31" s="12" customFormat="1" x14ac:dyDescent="0.25">
      <c r="A392" s="23"/>
      <c r="B392" s="20"/>
      <c r="C392" s="20"/>
      <c r="D392" s="20"/>
      <c r="E392" s="22"/>
      <c r="F392" s="22"/>
      <c r="G392" s="22"/>
      <c r="H392" s="22"/>
      <c r="I392" s="23"/>
      <c r="J392" s="23"/>
      <c r="K392" s="22"/>
      <c r="L392" s="22"/>
      <c r="M392" s="23"/>
      <c r="N392" s="23"/>
      <c r="O392" s="26"/>
      <c r="P392" s="26"/>
      <c r="Q392" s="26"/>
      <c r="R392" s="22"/>
      <c r="S392" s="24"/>
      <c r="T392" s="24"/>
      <c r="U392" s="24"/>
      <c r="V392" s="24"/>
      <c r="W392" s="24"/>
      <c r="X392" s="22"/>
      <c r="Y392" s="4" t="str">
        <f>IF(Tabela2[[#This Row],[SIGLA]]="","",VLOOKUP(Tabela2[[#This Row],[SIGLA]],Tabela1[[#All],[Sigla Arte]:[Crédito]],2,0))</f>
        <v/>
      </c>
      <c r="Z392" s="23"/>
      <c r="AA392" s="23" t="str">
        <f>Tabela2[[#This Row],[ILUSTRADOR CRIAÇÃO]]</f>
        <v/>
      </c>
      <c r="AB392" s="22"/>
      <c r="AC392" s="20"/>
      <c r="AD392" s="20"/>
      <c r="AE392" s="4" t="str">
        <f t="shared" si="6"/>
        <v>EF1 E002 Ing</v>
      </c>
    </row>
    <row r="393" spans="1:31" s="12" customFormat="1" x14ac:dyDescent="0.25">
      <c r="A393" s="23"/>
      <c r="B393" s="20"/>
      <c r="C393" s="20"/>
      <c r="D393" s="20"/>
      <c r="E393" s="22"/>
      <c r="F393" s="22"/>
      <c r="G393" s="22"/>
      <c r="H393" s="22"/>
      <c r="I393" s="23"/>
      <c r="J393" s="23"/>
      <c r="K393" s="22"/>
      <c r="L393" s="22"/>
      <c r="M393" s="23"/>
      <c r="N393" s="23"/>
      <c r="O393" s="26"/>
      <c r="P393" s="26"/>
      <c r="Q393" s="26"/>
      <c r="R393" s="22"/>
      <c r="S393" s="24"/>
      <c r="T393" s="24"/>
      <c r="U393" s="24"/>
      <c r="V393" s="24"/>
      <c r="W393" s="24"/>
      <c r="X393" s="22"/>
      <c r="Y393" s="4" t="str">
        <f>IF(Tabela2[[#This Row],[SIGLA]]="","",VLOOKUP(Tabela2[[#This Row],[SIGLA]],Tabela1[[#All],[Sigla Arte]:[Crédito]],2,0))</f>
        <v/>
      </c>
      <c r="Z393" s="23"/>
      <c r="AA393" s="23" t="str">
        <f>Tabela2[[#This Row],[ILUSTRADOR CRIAÇÃO]]</f>
        <v/>
      </c>
      <c r="AB393" s="22"/>
      <c r="AC393" s="20"/>
      <c r="AD393" s="20"/>
      <c r="AE393" s="4" t="str">
        <f t="shared" si="6"/>
        <v>EF1 E002 Ing</v>
      </c>
    </row>
    <row r="394" spans="1:31" s="12" customFormat="1" x14ac:dyDescent="0.25">
      <c r="A394" s="23"/>
      <c r="B394" s="20"/>
      <c r="C394" s="20"/>
      <c r="D394" s="20"/>
      <c r="E394" s="22"/>
      <c r="F394" s="22"/>
      <c r="G394" s="22"/>
      <c r="H394" s="22"/>
      <c r="I394" s="23"/>
      <c r="J394" s="23"/>
      <c r="K394" s="22"/>
      <c r="L394" s="22"/>
      <c r="M394" s="23"/>
      <c r="N394" s="23"/>
      <c r="O394" s="26"/>
      <c r="P394" s="26"/>
      <c r="Q394" s="26"/>
      <c r="R394" s="22"/>
      <c r="S394" s="24"/>
      <c r="T394" s="24"/>
      <c r="U394" s="24"/>
      <c r="V394" s="24"/>
      <c r="W394" s="24"/>
      <c r="X394" s="22"/>
      <c r="Y394" s="4" t="str">
        <f>IF(Tabela2[[#This Row],[SIGLA]]="","",VLOOKUP(Tabela2[[#This Row],[SIGLA]],Tabela1[[#All],[Sigla Arte]:[Crédito]],2,0))</f>
        <v/>
      </c>
      <c r="Z394" s="23"/>
      <c r="AA394" s="23" t="str">
        <f>Tabela2[[#This Row],[ILUSTRADOR CRIAÇÃO]]</f>
        <v/>
      </c>
      <c r="AB394" s="22"/>
      <c r="AC394" s="20"/>
      <c r="AD394" s="20"/>
      <c r="AE394" s="4" t="str">
        <f t="shared" si="6"/>
        <v>EF1 E002 Ing</v>
      </c>
    </row>
    <row r="395" spans="1:31" s="12" customFormat="1" x14ac:dyDescent="0.25">
      <c r="A395" s="23"/>
      <c r="B395" s="20"/>
      <c r="C395" s="20"/>
      <c r="D395" s="20"/>
      <c r="E395" s="22"/>
      <c r="F395" s="22"/>
      <c r="G395" s="22"/>
      <c r="H395" s="22"/>
      <c r="I395" s="23"/>
      <c r="J395" s="23"/>
      <c r="K395" s="22"/>
      <c r="L395" s="22"/>
      <c r="M395" s="23"/>
      <c r="N395" s="23"/>
      <c r="O395" s="26"/>
      <c r="P395" s="26"/>
      <c r="Q395" s="26"/>
      <c r="R395" s="22"/>
      <c r="S395" s="24"/>
      <c r="T395" s="24"/>
      <c r="U395" s="24"/>
      <c r="V395" s="24"/>
      <c r="W395" s="24"/>
      <c r="X395" s="22"/>
      <c r="Y395" s="4" t="str">
        <f>IF(Tabela2[[#This Row],[SIGLA]]="","",VLOOKUP(Tabela2[[#This Row],[SIGLA]],Tabela1[[#All],[Sigla Arte]:[Crédito]],2,0))</f>
        <v/>
      </c>
      <c r="Z395" s="23"/>
      <c r="AA395" s="23" t="str">
        <f>Tabela2[[#This Row],[ILUSTRADOR CRIAÇÃO]]</f>
        <v/>
      </c>
      <c r="AB395" s="22"/>
      <c r="AC395" s="20"/>
      <c r="AD395" s="20"/>
      <c r="AE395" s="4" t="str">
        <f t="shared" si="6"/>
        <v>EF1 E002 Ing</v>
      </c>
    </row>
    <row r="396" spans="1:31" s="12" customFormat="1" x14ac:dyDescent="0.25">
      <c r="A396" s="23"/>
      <c r="B396" s="20"/>
      <c r="C396" s="20"/>
      <c r="D396" s="20"/>
      <c r="E396" s="22"/>
      <c r="F396" s="22"/>
      <c r="G396" s="22"/>
      <c r="H396" s="22"/>
      <c r="I396" s="23"/>
      <c r="J396" s="23"/>
      <c r="K396" s="22"/>
      <c r="L396" s="22"/>
      <c r="M396" s="23"/>
      <c r="N396" s="23"/>
      <c r="O396" s="26"/>
      <c r="P396" s="26"/>
      <c r="Q396" s="26"/>
      <c r="R396" s="22"/>
      <c r="S396" s="24"/>
      <c r="T396" s="24"/>
      <c r="U396" s="24"/>
      <c r="V396" s="24"/>
      <c r="W396" s="24"/>
      <c r="X396" s="22"/>
      <c r="Y396" s="4" t="str">
        <f>IF(Tabela2[[#This Row],[SIGLA]]="","",VLOOKUP(Tabela2[[#This Row],[SIGLA]],Tabela1[[#All],[Sigla Arte]:[Crédito]],2,0))</f>
        <v/>
      </c>
      <c r="Z396" s="23"/>
      <c r="AA396" s="23" t="str">
        <f>Tabela2[[#This Row],[ILUSTRADOR CRIAÇÃO]]</f>
        <v/>
      </c>
      <c r="AB396" s="22"/>
      <c r="AC396" s="20"/>
      <c r="AD396" s="20"/>
      <c r="AE396" s="4" t="str">
        <f t="shared" si="6"/>
        <v>EF1 E002 Ing</v>
      </c>
    </row>
    <row r="397" spans="1:31" s="12" customFormat="1" x14ac:dyDescent="0.25">
      <c r="A397" s="23"/>
      <c r="B397" s="20"/>
      <c r="C397" s="20"/>
      <c r="D397" s="20"/>
      <c r="E397" s="22"/>
      <c r="F397" s="22"/>
      <c r="G397" s="22"/>
      <c r="H397" s="22"/>
      <c r="I397" s="23"/>
      <c r="J397" s="23"/>
      <c r="K397" s="22"/>
      <c r="L397" s="22"/>
      <c r="M397" s="23"/>
      <c r="N397" s="23"/>
      <c r="O397" s="26"/>
      <c r="P397" s="26"/>
      <c r="Q397" s="26"/>
      <c r="R397" s="22"/>
      <c r="S397" s="24"/>
      <c r="T397" s="24"/>
      <c r="U397" s="24"/>
      <c r="V397" s="24"/>
      <c r="W397" s="24"/>
      <c r="X397" s="22"/>
      <c r="Y397" s="4" t="str">
        <f>IF(Tabela2[[#This Row],[SIGLA]]="","",VLOOKUP(Tabela2[[#This Row],[SIGLA]],Tabela1[[#All],[Sigla Arte]:[Crédito]],2,0))</f>
        <v/>
      </c>
      <c r="Z397" s="23"/>
      <c r="AA397" s="23" t="str">
        <f>Tabela2[[#This Row],[ILUSTRADOR CRIAÇÃO]]</f>
        <v/>
      </c>
      <c r="AB397" s="22"/>
      <c r="AC397" s="20"/>
      <c r="AD397" s="20"/>
      <c r="AE397" s="4" t="str">
        <f t="shared" si="6"/>
        <v>EF1 E002 Ing</v>
      </c>
    </row>
    <row r="398" spans="1:31" s="12" customFormat="1" x14ac:dyDescent="0.25">
      <c r="A398" s="23"/>
      <c r="B398" s="20"/>
      <c r="C398" s="20"/>
      <c r="D398" s="20"/>
      <c r="E398" s="22"/>
      <c r="F398" s="22"/>
      <c r="G398" s="22"/>
      <c r="H398" s="22"/>
      <c r="I398" s="23"/>
      <c r="J398" s="23"/>
      <c r="K398" s="22"/>
      <c r="L398" s="22"/>
      <c r="M398" s="23"/>
      <c r="N398" s="23"/>
      <c r="O398" s="26"/>
      <c r="P398" s="26"/>
      <c r="Q398" s="26"/>
      <c r="R398" s="22"/>
      <c r="S398" s="24"/>
      <c r="T398" s="24"/>
      <c r="U398" s="24"/>
      <c r="V398" s="24"/>
      <c r="W398" s="24"/>
      <c r="X398" s="22"/>
      <c r="Y398" s="4" t="str">
        <f>IF(Tabela2[[#This Row],[SIGLA]]="","",VLOOKUP(Tabela2[[#This Row],[SIGLA]],Tabela1[[#All],[Sigla Arte]:[Crédito]],2,0))</f>
        <v/>
      </c>
      <c r="Z398" s="23"/>
      <c r="AA398" s="23" t="str">
        <f>Tabela2[[#This Row],[ILUSTRADOR CRIAÇÃO]]</f>
        <v/>
      </c>
      <c r="AB398" s="22"/>
      <c r="AC398" s="20"/>
      <c r="AD398" s="20"/>
      <c r="AE398" s="4" t="str">
        <f t="shared" si="6"/>
        <v>EF1 E002 Ing</v>
      </c>
    </row>
    <row r="399" spans="1:31" s="12" customFormat="1" x14ac:dyDescent="0.25">
      <c r="A399" s="23"/>
      <c r="B399" s="20"/>
      <c r="C399" s="20"/>
      <c r="D399" s="20"/>
      <c r="E399" s="22"/>
      <c r="F399" s="22"/>
      <c r="G399" s="22"/>
      <c r="H399" s="22"/>
      <c r="I399" s="23"/>
      <c r="J399" s="23"/>
      <c r="K399" s="22"/>
      <c r="L399" s="22"/>
      <c r="M399" s="23"/>
      <c r="N399" s="23"/>
      <c r="O399" s="26"/>
      <c r="P399" s="26"/>
      <c r="Q399" s="26"/>
      <c r="R399" s="22"/>
      <c r="S399" s="24"/>
      <c r="T399" s="24"/>
      <c r="U399" s="24"/>
      <c r="V399" s="24"/>
      <c r="W399" s="24"/>
      <c r="X399" s="22"/>
      <c r="Y399" s="4" t="str">
        <f>IF(Tabela2[[#This Row],[SIGLA]]="","",VLOOKUP(Tabela2[[#This Row],[SIGLA]],Tabela1[[#All],[Sigla Arte]:[Crédito]],2,0))</f>
        <v/>
      </c>
      <c r="Z399" s="23"/>
      <c r="AA399" s="23" t="str">
        <f>Tabela2[[#This Row],[ILUSTRADOR CRIAÇÃO]]</f>
        <v/>
      </c>
      <c r="AB399" s="22"/>
      <c r="AC399" s="20"/>
      <c r="AD399" s="20"/>
      <c r="AE399" s="4" t="str">
        <f t="shared" si="6"/>
        <v>EF1 E002 Ing</v>
      </c>
    </row>
    <row r="400" spans="1:31" s="12" customFormat="1" x14ac:dyDescent="0.25">
      <c r="A400" s="23"/>
      <c r="B400" s="20"/>
      <c r="C400" s="20"/>
      <c r="D400" s="20"/>
      <c r="E400" s="22"/>
      <c r="F400" s="22"/>
      <c r="G400" s="22"/>
      <c r="H400" s="22"/>
      <c r="I400" s="23"/>
      <c r="J400" s="23"/>
      <c r="K400" s="22"/>
      <c r="L400" s="22"/>
      <c r="M400" s="23"/>
      <c r="N400" s="23"/>
      <c r="O400" s="26"/>
      <c r="P400" s="26"/>
      <c r="Q400" s="26"/>
      <c r="R400" s="22"/>
      <c r="S400" s="24"/>
      <c r="T400" s="24"/>
      <c r="U400" s="24"/>
      <c r="V400" s="24"/>
      <c r="W400" s="24"/>
      <c r="X400" s="22"/>
      <c r="Y400" s="4" t="str">
        <f>IF(Tabela2[[#This Row],[SIGLA]]="","",VLOOKUP(Tabela2[[#This Row],[SIGLA]],Tabela1[[#All],[Sigla Arte]:[Crédito]],2,0))</f>
        <v/>
      </c>
      <c r="Z400" s="23"/>
      <c r="AA400" s="23" t="str">
        <f>Tabela2[[#This Row],[ILUSTRADOR CRIAÇÃO]]</f>
        <v/>
      </c>
      <c r="AB400" s="22"/>
      <c r="AC400" s="20"/>
      <c r="AD400" s="20"/>
      <c r="AE400" s="4" t="str">
        <f t="shared" si="6"/>
        <v>EF1 E002 Ing</v>
      </c>
    </row>
    <row r="401" spans="1:31" s="12" customFormat="1" x14ac:dyDescent="0.25">
      <c r="A401" s="23"/>
      <c r="B401" s="20"/>
      <c r="C401" s="20"/>
      <c r="D401" s="20"/>
      <c r="E401" s="22"/>
      <c r="F401" s="22"/>
      <c r="G401" s="22"/>
      <c r="H401" s="22"/>
      <c r="I401" s="23"/>
      <c r="J401" s="23"/>
      <c r="K401" s="22"/>
      <c r="L401" s="22"/>
      <c r="M401" s="23"/>
      <c r="N401" s="23"/>
      <c r="O401" s="26"/>
      <c r="P401" s="26"/>
      <c r="Q401" s="26"/>
      <c r="R401" s="22"/>
      <c r="S401" s="24"/>
      <c r="T401" s="24"/>
      <c r="U401" s="24"/>
      <c r="V401" s="24"/>
      <c r="W401" s="24"/>
      <c r="X401" s="22"/>
      <c r="Y401" s="4" t="str">
        <f>IF(Tabela2[[#This Row],[SIGLA]]="","",VLOOKUP(Tabela2[[#This Row],[SIGLA]],Tabela1[[#All],[Sigla Arte]:[Crédito]],2,0))</f>
        <v/>
      </c>
      <c r="Z401" s="23"/>
      <c r="AA401" s="23" t="str">
        <f>Tabela2[[#This Row],[ILUSTRADOR CRIAÇÃO]]</f>
        <v/>
      </c>
      <c r="AB401" s="22"/>
      <c r="AC401" s="20"/>
      <c r="AD401" s="20"/>
      <c r="AE401" s="4" t="str">
        <f t="shared" si="6"/>
        <v>EF1 E002 Ing</v>
      </c>
    </row>
    <row r="402" spans="1:31" s="12" customFormat="1" x14ac:dyDescent="0.25">
      <c r="A402" s="23"/>
      <c r="B402" s="20"/>
      <c r="C402" s="20"/>
      <c r="D402" s="20"/>
      <c r="E402" s="22"/>
      <c r="F402" s="22"/>
      <c r="G402" s="22"/>
      <c r="H402" s="22"/>
      <c r="I402" s="23"/>
      <c r="J402" s="23"/>
      <c r="K402" s="22"/>
      <c r="L402" s="22"/>
      <c r="M402" s="23"/>
      <c r="N402" s="23"/>
      <c r="O402" s="26"/>
      <c r="P402" s="26"/>
      <c r="Q402" s="26"/>
      <c r="R402" s="22"/>
      <c r="S402" s="24"/>
      <c r="T402" s="24"/>
      <c r="U402" s="24"/>
      <c r="V402" s="24"/>
      <c r="W402" s="24"/>
      <c r="X402" s="22"/>
      <c r="Y402" s="4" t="str">
        <f>IF(Tabela2[[#This Row],[SIGLA]]="","",VLOOKUP(Tabela2[[#This Row],[SIGLA]],Tabela1[[#All],[Sigla Arte]:[Crédito]],2,0))</f>
        <v/>
      </c>
      <c r="Z402" s="23"/>
      <c r="AA402" s="23" t="str">
        <f>Tabela2[[#This Row],[ILUSTRADOR CRIAÇÃO]]</f>
        <v/>
      </c>
      <c r="AB402" s="22"/>
      <c r="AC402" s="20"/>
      <c r="AD402" s="20"/>
      <c r="AE402" s="4" t="str">
        <f t="shared" si="6"/>
        <v>EF1 E002 Ing</v>
      </c>
    </row>
    <row r="403" spans="1:31" s="12" customFormat="1" x14ac:dyDescent="0.25">
      <c r="A403" s="23"/>
      <c r="B403" s="20"/>
      <c r="C403" s="20"/>
      <c r="D403" s="20"/>
      <c r="E403" s="22"/>
      <c r="F403" s="22"/>
      <c r="G403" s="22"/>
      <c r="H403" s="22"/>
      <c r="I403" s="23"/>
      <c r="J403" s="23"/>
      <c r="K403" s="22"/>
      <c r="L403" s="22"/>
      <c r="M403" s="23"/>
      <c r="N403" s="23"/>
      <c r="O403" s="26"/>
      <c r="P403" s="26"/>
      <c r="Q403" s="26"/>
      <c r="R403" s="22"/>
      <c r="S403" s="24"/>
      <c r="T403" s="24"/>
      <c r="U403" s="24"/>
      <c r="V403" s="24"/>
      <c r="W403" s="24"/>
      <c r="X403" s="22"/>
      <c r="Y403" s="4" t="str">
        <f>IF(Tabela2[[#This Row],[SIGLA]]="","",VLOOKUP(Tabela2[[#This Row],[SIGLA]],Tabela1[[#All],[Sigla Arte]:[Crédito]],2,0))</f>
        <v/>
      </c>
      <c r="Z403" s="23"/>
      <c r="AA403" s="23" t="str">
        <f>Tabela2[[#This Row],[ILUSTRADOR CRIAÇÃO]]</f>
        <v/>
      </c>
      <c r="AB403" s="22"/>
      <c r="AC403" s="20"/>
      <c r="AD403" s="20"/>
      <c r="AE403" s="4" t="str">
        <f t="shared" si="6"/>
        <v>EF1 E002 Ing</v>
      </c>
    </row>
    <row r="404" spans="1:31" s="12" customFormat="1" x14ac:dyDescent="0.25">
      <c r="A404" s="23"/>
      <c r="B404" s="20"/>
      <c r="C404" s="20"/>
      <c r="D404" s="20"/>
      <c r="E404" s="22"/>
      <c r="F404" s="22"/>
      <c r="G404" s="22"/>
      <c r="H404" s="22"/>
      <c r="I404" s="23"/>
      <c r="J404" s="23"/>
      <c r="K404" s="22"/>
      <c r="L404" s="22"/>
      <c r="M404" s="23"/>
      <c r="N404" s="23"/>
      <c r="O404" s="26"/>
      <c r="P404" s="26"/>
      <c r="Q404" s="26"/>
      <c r="R404" s="22"/>
      <c r="S404" s="24"/>
      <c r="T404" s="24"/>
      <c r="U404" s="24"/>
      <c r="V404" s="24"/>
      <c r="W404" s="24"/>
      <c r="X404" s="22"/>
      <c r="Y404" s="4" t="str">
        <f>IF(Tabela2[[#This Row],[SIGLA]]="","",VLOOKUP(Tabela2[[#This Row],[SIGLA]],Tabela1[[#All],[Sigla Arte]:[Crédito]],2,0))</f>
        <v/>
      </c>
      <c r="Z404" s="23"/>
      <c r="AA404" s="23" t="str">
        <f>Tabela2[[#This Row],[ILUSTRADOR CRIAÇÃO]]</f>
        <v/>
      </c>
      <c r="AB404" s="22"/>
      <c r="AC404" s="20"/>
      <c r="AD404" s="20"/>
      <c r="AE404" s="4" t="str">
        <f t="shared" si="6"/>
        <v>EF1 E002 Ing</v>
      </c>
    </row>
    <row r="405" spans="1:31" s="12" customFormat="1" x14ac:dyDescent="0.25">
      <c r="A405" s="23"/>
      <c r="B405" s="20"/>
      <c r="C405" s="20"/>
      <c r="D405" s="20"/>
      <c r="E405" s="22"/>
      <c r="F405" s="22"/>
      <c r="G405" s="22"/>
      <c r="H405" s="22"/>
      <c r="I405" s="23"/>
      <c r="J405" s="23"/>
      <c r="K405" s="22"/>
      <c r="L405" s="22"/>
      <c r="M405" s="23"/>
      <c r="N405" s="23"/>
      <c r="O405" s="26"/>
      <c r="P405" s="26"/>
      <c r="Q405" s="26"/>
      <c r="R405" s="22"/>
      <c r="S405" s="24"/>
      <c r="T405" s="24"/>
      <c r="U405" s="24"/>
      <c r="V405" s="24"/>
      <c r="W405" s="24"/>
      <c r="X405" s="22"/>
      <c r="Y405" s="4" t="str">
        <f>IF(Tabela2[[#This Row],[SIGLA]]="","",VLOOKUP(Tabela2[[#This Row],[SIGLA]],Tabela1[[#All],[Sigla Arte]:[Crédito]],2,0))</f>
        <v/>
      </c>
      <c r="Z405" s="23"/>
      <c r="AA405" s="23" t="str">
        <f>Tabela2[[#This Row],[ILUSTRADOR CRIAÇÃO]]</f>
        <v/>
      </c>
      <c r="AB405" s="22"/>
      <c r="AC405" s="20"/>
      <c r="AD405" s="20"/>
      <c r="AE405" s="4" t="str">
        <f t="shared" si="6"/>
        <v>EF1 E002 Ing</v>
      </c>
    </row>
    <row r="406" spans="1:31" s="12" customFormat="1" x14ac:dyDescent="0.25">
      <c r="A406" s="23"/>
      <c r="B406" s="20"/>
      <c r="C406" s="20"/>
      <c r="D406" s="20"/>
      <c r="E406" s="22"/>
      <c r="F406" s="22"/>
      <c r="G406" s="22"/>
      <c r="H406" s="22"/>
      <c r="I406" s="23"/>
      <c r="J406" s="23"/>
      <c r="K406" s="22"/>
      <c r="L406" s="22"/>
      <c r="M406" s="23"/>
      <c r="N406" s="23"/>
      <c r="O406" s="26"/>
      <c r="P406" s="26"/>
      <c r="Q406" s="26"/>
      <c r="R406" s="22"/>
      <c r="S406" s="24"/>
      <c r="T406" s="24"/>
      <c r="U406" s="24"/>
      <c r="V406" s="24"/>
      <c r="W406" s="24"/>
      <c r="X406" s="22"/>
      <c r="Y406" s="4" t="str">
        <f>IF(Tabela2[[#This Row],[SIGLA]]="","",VLOOKUP(Tabela2[[#This Row],[SIGLA]],Tabela1[[#All],[Sigla Arte]:[Crédito]],2,0))</f>
        <v/>
      </c>
      <c r="Z406" s="23"/>
      <c r="AA406" s="23" t="str">
        <f>Tabela2[[#This Row],[ILUSTRADOR CRIAÇÃO]]</f>
        <v/>
      </c>
      <c r="AB406" s="22"/>
      <c r="AC406" s="20"/>
      <c r="AD406" s="20"/>
      <c r="AE406" s="4" t="str">
        <f t="shared" si="6"/>
        <v>EF1 E002 Ing</v>
      </c>
    </row>
    <row r="407" spans="1:31" s="12" customFormat="1" x14ac:dyDescent="0.25">
      <c r="A407" s="23"/>
      <c r="B407" s="20"/>
      <c r="C407" s="20"/>
      <c r="D407" s="20"/>
      <c r="E407" s="22"/>
      <c r="F407" s="22"/>
      <c r="G407" s="22"/>
      <c r="H407" s="22"/>
      <c r="I407" s="23"/>
      <c r="J407" s="23"/>
      <c r="K407" s="22"/>
      <c r="L407" s="22"/>
      <c r="M407" s="23"/>
      <c r="N407" s="23"/>
      <c r="O407" s="26"/>
      <c r="P407" s="26"/>
      <c r="Q407" s="26"/>
      <c r="R407" s="22"/>
      <c r="S407" s="24"/>
      <c r="T407" s="24"/>
      <c r="U407" s="24"/>
      <c r="V407" s="24"/>
      <c r="W407" s="24"/>
      <c r="X407" s="22"/>
      <c r="Y407" s="4" t="str">
        <f>IF(Tabela2[[#This Row],[SIGLA]]="","",VLOOKUP(Tabela2[[#This Row],[SIGLA]],Tabela1[[#All],[Sigla Arte]:[Crédito]],2,0))</f>
        <v/>
      </c>
      <c r="Z407" s="23"/>
      <c r="AA407" s="23" t="str">
        <f>Tabela2[[#This Row],[ILUSTRADOR CRIAÇÃO]]</f>
        <v/>
      </c>
      <c r="AB407" s="22"/>
      <c r="AC407" s="20"/>
      <c r="AD407" s="20"/>
      <c r="AE407" s="4" t="str">
        <f t="shared" si="6"/>
        <v>EF1 E002 Ing</v>
      </c>
    </row>
    <row r="408" spans="1:31" s="12" customFormat="1" x14ac:dyDescent="0.25">
      <c r="A408" s="23"/>
      <c r="B408" s="20"/>
      <c r="C408" s="20"/>
      <c r="D408" s="20"/>
      <c r="E408" s="22"/>
      <c r="F408" s="22"/>
      <c r="G408" s="22"/>
      <c r="H408" s="22"/>
      <c r="I408" s="23"/>
      <c r="J408" s="23"/>
      <c r="K408" s="22"/>
      <c r="L408" s="22"/>
      <c r="M408" s="23"/>
      <c r="N408" s="23"/>
      <c r="O408" s="26"/>
      <c r="P408" s="26"/>
      <c r="Q408" s="26"/>
      <c r="R408" s="22"/>
      <c r="S408" s="24"/>
      <c r="T408" s="24"/>
      <c r="U408" s="24"/>
      <c r="V408" s="24"/>
      <c r="W408" s="24"/>
      <c r="X408" s="22"/>
      <c r="Y408" s="4" t="str">
        <f>IF(Tabela2[[#This Row],[SIGLA]]="","",VLOOKUP(Tabela2[[#This Row],[SIGLA]],Tabela1[[#All],[Sigla Arte]:[Crédito]],2,0))</f>
        <v/>
      </c>
      <c r="Z408" s="23"/>
      <c r="AA408" s="23" t="str">
        <f>Tabela2[[#This Row],[ILUSTRADOR CRIAÇÃO]]</f>
        <v/>
      </c>
      <c r="AB408" s="22"/>
      <c r="AC408" s="20"/>
      <c r="AD408" s="20"/>
      <c r="AE408" s="4" t="str">
        <f t="shared" si="6"/>
        <v>EF1 E002 Ing</v>
      </c>
    </row>
    <row r="409" spans="1:31" s="12" customFormat="1" x14ac:dyDescent="0.25">
      <c r="A409" s="23"/>
      <c r="B409" s="20"/>
      <c r="C409" s="20"/>
      <c r="D409" s="20"/>
      <c r="E409" s="22"/>
      <c r="F409" s="22"/>
      <c r="G409" s="22"/>
      <c r="H409" s="22"/>
      <c r="I409" s="23"/>
      <c r="J409" s="23"/>
      <c r="K409" s="22"/>
      <c r="L409" s="22"/>
      <c r="M409" s="23"/>
      <c r="N409" s="23"/>
      <c r="O409" s="26"/>
      <c r="P409" s="26"/>
      <c r="Q409" s="26"/>
      <c r="R409" s="22"/>
      <c r="S409" s="24"/>
      <c r="T409" s="24"/>
      <c r="U409" s="24"/>
      <c r="V409" s="24"/>
      <c r="W409" s="24"/>
      <c r="X409" s="22"/>
      <c r="Y409" s="4" t="str">
        <f>IF(Tabela2[[#This Row],[SIGLA]]="","",VLOOKUP(Tabela2[[#This Row],[SIGLA]],Tabela1[[#All],[Sigla Arte]:[Crédito]],2,0))</f>
        <v/>
      </c>
      <c r="Z409" s="23"/>
      <c r="AA409" s="23" t="str">
        <f>Tabela2[[#This Row],[ILUSTRADOR CRIAÇÃO]]</f>
        <v/>
      </c>
      <c r="AB409" s="22"/>
      <c r="AC409" s="20"/>
      <c r="AD409" s="20"/>
      <c r="AE409" s="4" t="str">
        <f t="shared" si="6"/>
        <v>EF1 E002 Ing</v>
      </c>
    </row>
    <row r="410" spans="1:31" s="12" customFormat="1" x14ac:dyDescent="0.25">
      <c r="A410" s="23"/>
      <c r="B410" s="20"/>
      <c r="C410" s="20"/>
      <c r="D410" s="20"/>
      <c r="E410" s="22"/>
      <c r="F410" s="22"/>
      <c r="G410" s="22"/>
      <c r="H410" s="22"/>
      <c r="I410" s="23"/>
      <c r="J410" s="23"/>
      <c r="K410" s="22"/>
      <c r="L410" s="22"/>
      <c r="M410" s="23"/>
      <c r="N410" s="23"/>
      <c r="O410" s="26"/>
      <c r="P410" s="26"/>
      <c r="Q410" s="26"/>
      <c r="R410" s="22"/>
      <c r="S410" s="24"/>
      <c r="T410" s="24"/>
      <c r="U410" s="24"/>
      <c r="V410" s="24"/>
      <c r="W410" s="24"/>
      <c r="X410" s="22"/>
      <c r="Y410" s="4" t="str">
        <f>IF(Tabela2[[#This Row],[SIGLA]]="","",VLOOKUP(Tabela2[[#This Row],[SIGLA]],Tabela1[[#All],[Sigla Arte]:[Crédito]],2,0))</f>
        <v/>
      </c>
      <c r="Z410" s="23"/>
      <c r="AA410" s="23" t="str">
        <f>Tabela2[[#This Row],[ILUSTRADOR CRIAÇÃO]]</f>
        <v/>
      </c>
      <c r="AB410" s="22"/>
      <c r="AC410" s="20"/>
      <c r="AD410" s="20"/>
      <c r="AE410" s="4" t="str">
        <f t="shared" si="6"/>
        <v>EF1 E002 Ing</v>
      </c>
    </row>
    <row r="411" spans="1:31" s="12" customFormat="1" x14ac:dyDescent="0.25">
      <c r="A411" s="23"/>
      <c r="B411" s="20"/>
      <c r="C411" s="20"/>
      <c r="D411" s="20"/>
      <c r="E411" s="22"/>
      <c r="F411" s="22"/>
      <c r="G411" s="22"/>
      <c r="H411" s="22"/>
      <c r="I411" s="23"/>
      <c r="J411" s="23"/>
      <c r="K411" s="22"/>
      <c r="L411" s="22"/>
      <c r="M411" s="23"/>
      <c r="N411" s="23"/>
      <c r="O411" s="26"/>
      <c r="P411" s="26"/>
      <c r="Q411" s="26"/>
      <c r="R411" s="22"/>
      <c r="S411" s="24"/>
      <c r="T411" s="24"/>
      <c r="U411" s="24"/>
      <c r="V411" s="24"/>
      <c r="W411" s="24"/>
      <c r="X411" s="22"/>
      <c r="Y411" s="4" t="str">
        <f>IF(Tabela2[[#This Row],[SIGLA]]="","",VLOOKUP(Tabela2[[#This Row],[SIGLA]],Tabela1[[#All],[Sigla Arte]:[Crédito]],2,0))</f>
        <v/>
      </c>
      <c r="Z411" s="23"/>
      <c r="AA411" s="23" t="str">
        <f>Tabela2[[#This Row],[ILUSTRADOR CRIAÇÃO]]</f>
        <v/>
      </c>
      <c r="AB411" s="22"/>
      <c r="AC411" s="20"/>
      <c r="AD411" s="20"/>
      <c r="AE411" s="4" t="str">
        <f t="shared" si="6"/>
        <v>EF1 E002 Ing</v>
      </c>
    </row>
    <row r="412" spans="1:31" s="12" customFormat="1" x14ac:dyDescent="0.25">
      <c r="A412" s="23"/>
      <c r="B412" s="20"/>
      <c r="C412" s="20"/>
      <c r="D412" s="20"/>
      <c r="E412" s="22"/>
      <c r="F412" s="22"/>
      <c r="G412" s="22"/>
      <c r="H412" s="22"/>
      <c r="I412" s="23"/>
      <c r="J412" s="23"/>
      <c r="K412" s="22"/>
      <c r="L412" s="22"/>
      <c r="M412" s="23"/>
      <c r="N412" s="23"/>
      <c r="O412" s="26"/>
      <c r="P412" s="26"/>
      <c r="Q412" s="26"/>
      <c r="R412" s="22"/>
      <c r="S412" s="24"/>
      <c r="T412" s="24"/>
      <c r="U412" s="24"/>
      <c r="V412" s="24"/>
      <c r="W412" s="24"/>
      <c r="X412" s="22"/>
      <c r="Y412" s="4" t="str">
        <f>IF(Tabela2[[#This Row],[SIGLA]]="","",VLOOKUP(Tabela2[[#This Row],[SIGLA]],Tabela1[[#All],[Sigla Arte]:[Crédito]],2,0))</f>
        <v/>
      </c>
      <c r="Z412" s="23"/>
      <c r="AA412" s="23" t="str">
        <f>Tabela2[[#This Row],[ILUSTRADOR CRIAÇÃO]]</f>
        <v/>
      </c>
      <c r="AB412" s="22"/>
      <c r="AC412" s="20"/>
      <c r="AD412" s="20"/>
      <c r="AE412" s="4" t="str">
        <f t="shared" si="6"/>
        <v>EF1 E002 Ing</v>
      </c>
    </row>
    <row r="413" spans="1:31" s="12" customFormat="1" x14ac:dyDescent="0.25">
      <c r="A413" s="23"/>
      <c r="B413" s="20"/>
      <c r="C413" s="20"/>
      <c r="D413" s="20"/>
      <c r="E413" s="22"/>
      <c r="F413" s="22"/>
      <c r="G413" s="22"/>
      <c r="H413" s="22"/>
      <c r="I413" s="23"/>
      <c r="J413" s="23"/>
      <c r="K413" s="22"/>
      <c r="L413" s="22"/>
      <c r="M413" s="23"/>
      <c r="N413" s="23"/>
      <c r="O413" s="26"/>
      <c r="P413" s="26"/>
      <c r="Q413" s="26"/>
      <c r="R413" s="22"/>
      <c r="S413" s="24"/>
      <c r="T413" s="24"/>
      <c r="U413" s="24"/>
      <c r="V413" s="24"/>
      <c r="W413" s="24"/>
      <c r="X413" s="22"/>
      <c r="Y413" s="4" t="str">
        <f>IF(Tabela2[[#This Row],[SIGLA]]="","",VLOOKUP(Tabela2[[#This Row],[SIGLA]],Tabela1[[#All],[Sigla Arte]:[Crédito]],2,0))</f>
        <v/>
      </c>
      <c r="Z413" s="23"/>
      <c r="AA413" s="23" t="str">
        <f>Tabela2[[#This Row],[ILUSTRADOR CRIAÇÃO]]</f>
        <v/>
      </c>
      <c r="AB413" s="22"/>
      <c r="AC413" s="20"/>
      <c r="AD413" s="20"/>
      <c r="AE413" s="4" t="str">
        <f t="shared" si="6"/>
        <v>EF1 E002 Ing</v>
      </c>
    </row>
    <row r="414" spans="1:31" s="12" customFormat="1" x14ac:dyDescent="0.25">
      <c r="A414" s="23"/>
      <c r="B414" s="20"/>
      <c r="C414" s="20"/>
      <c r="D414" s="20"/>
      <c r="E414" s="22"/>
      <c r="F414" s="22"/>
      <c r="G414" s="22"/>
      <c r="H414" s="22"/>
      <c r="I414" s="23"/>
      <c r="J414" s="23"/>
      <c r="K414" s="22"/>
      <c r="L414" s="22"/>
      <c r="M414" s="23"/>
      <c r="N414" s="23"/>
      <c r="O414" s="26"/>
      <c r="P414" s="26"/>
      <c r="Q414" s="26"/>
      <c r="R414" s="22"/>
      <c r="S414" s="24"/>
      <c r="T414" s="24"/>
      <c r="U414" s="24"/>
      <c r="V414" s="24"/>
      <c r="W414" s="24"/>
      <c r="X414" s="22"/>
      <c r="Y414" s="4" t="str">
        <f>IF(Tabela2[[#This Row],[SIGLA]]="","",VLOOKUP(Tabela2[[#This Row],[SIGLA]],Tabela1[[#All],[Sigla Arte]:[Crédito]],2,0))</f>
        <v/>
      </c>
      <c r="Z414" s="23"/>
      <c r="AA414" s="23" t="str">
        <f>Tabela2[[#This Row],[ILUSTRADOR CRIAÇÃO]]</f>
        <v/>
      </c>
      <c r="AB414" s="22"/>
      <c r="AC414" s="20"/>
      <c r="AD414" s="20"/>
      <c r="AE414" s="4" t="str">
        <f t="shared" si="6"/>
        <v>EF1 E002 Ing</v>
      </c>
    </row>
    <row r="415" spans="1:31" s="12" customFormat="1" x14ac:dyDescent="0.25">
      <c r="A415" s="23"/>
      <c r="B415" s="20"/>
      <c r="C415" s="20"/>
      <c r="D415" s="20"/>
      <c r="E415" s="22"/>
      <c r="F415" s="22"/>
      <c r="G415" s="22"/>
      <c r="H415" s="22"/>
      <c r="I415" s="23"/>
      <c r="J415" s="23"/>
      <c r="K415" s="22"/>
      <c r="L415" s="22"/>
      <c r="M415" s="23"/>
      <c r="N415" s="23"/>
      <c r="O415" s="26"/>
      <c r="P415" s="26"/>
      <c r="Q415" s="26"/>
      <c r="R415" s="22"/>
      <c r="S415" s="24"/>
      <c r="T415" s="24"/>
      <c r="U415" s="24"/>
      <c r="V415" s="24"/>
      <c r="W415" s="24"/>
      <c r="X415" s="22"/>
      <c r="Y415" s="4" t="str">
        <f>IF(Tabela2[[#This Row],[SIGLA]]="","",VLOOKUP(Tabela2[[#This Row],[SIGLA]],Tabela1[[#All],[Sigla Arte]:[Crédito]],2,0))</f>
        <v/>
      </c>
      <c r="Z415" s="23"/>
      <c r="AA415" s="23" t="str">
        <f>Tabela2[[#This Row],[ILUSTRADOR CRIAÇÃO]]</f>
        <v/>
      </c>
      <c r="AB415" s="22"/>
      <c r="AC415" s="20"/>
      <c r="AD415" s="20"/>
      <c r="AE415" s="4" t="str">
        <f t="shared" si="6"/>
        <v>EF1 E002 Ing</v>
      </c>
    </row>
    <row r="416" spans="1:31" s="12" customFormat="1" x14ac:dyDescent="0.25">
      <c r="A416" s="23"/>
      <c r="B416" s="20"/>
      <c r="C416" s="20"/>
      <c r="D416" s="20"/>
      <c r="E416" s="22"/>
      <c r="F416" s="22"/>
      <c r="G416" s="22"/>
      <c r="H416" s="22"/>
      <c r="I416" s="23"/>
      <c r="J416" s="23"/>
      <c r="K416" s="22"/>
      <c r="L416" s="22"/>
      <c r="M416" s="23"/>
      <c r="N416" s="23"/>
      <c r="O416" s="26"/>
      <c r="P416" s="26"/>
      <c r="Q416" s="26"/>
      <c r="R416" s="22"/>
      <c r="S416" s="24"/>
      <c r="T416" s="24"/>
      <c r="U416" s="24"/>
      <c r="V416" s="24"/>
      <c r="W416" s="24"/>
      <c r="X416" s="22"/>
      <c r="Y416" s="4" t="str">
        <f>IF(Tabela2[[#This Row],[SIGLA]]="","",VLOOKUP(Tabela2[[#This Row],[SIGLA]],Tabela1[[#All],[Sigla Arte]:[Crédito]],2,0))</f>
        <v/>
      </c>
      <c r="Z416" s="23"/>
      <c r="AA416" s="23" t="str">
        <f>Tabela2[[#This Row],[ILUSTRADOR CRIAÇÃO]]</f>
        <v/>
      </c>
      <c r="AB416" s="22"/>
      <c r="AC416" s="20"/>
      <c r="AD416" s="20"/>
      <c r="AE416" s="4" t="str">
        <f t="shared" si="6"/>
        <v>EF1 E002 Ing</v>
      </c>
    </row>
    <row r="417" spans="1:31" s="12" customFormat="1" x14ac:dyDescent="0.25">
      <c r="A417" s="23"/>
      <c r="B417" s="20"/>
      <c r="C417" s="20"/>
      <c r="D417" s="20"/>
      <c r="E417" s="22"/>
      <c r="F417" s="22"/>
      <c r="G417" s="22"/>
      <c r="H417" s="22"/>
      <c r="I417" s="23"/>
      <c r="J417" s="23"/>
      <c r="K417" s="22"/>
      <c r="L417" s="22"/>
      <c r="M417" s="23"/>
      <c r="N417" s="23"/>
      <c r="O417" s="26"/>
      <c r="P417" s="26"/>
      <c r="Q417" s="26"/>
      <c r="R417" s="22"/>
      <c r="S417" s="24"/>
      <c r="T417" s="24"/>
      <c r="U417" s="24"/>
      <c r="V417" s="24"/>
      <c r="W417" s="24"/>
      <c r="X417" s="22"/>
      <c r="Y417" s="4" t="str">
        <f>IF(Tabela2[[#This Row],[SIGLA]]="","",VLOOKUP(Tabela2[[#This Row],[SIGLA]],Tabela1[[#All],[Sigla Arte]:[Crédito]],2,0))</f>
        <v/>
      </c>
      <c r="Z417" s="23"/>
      <c r="AA417" s="23" t="str">
        <f>Tabela2[[#This Row],[ILUSTRADOR CRIAÇÃO]]</f>
        <v/>
      </c>
      <c r="AB417" s="22"/>
      <c r="AC417" s="20"/>
      <c r="AD417" s="20"/>
      <c r="AE417" s="4" t="str">
        <f t="shared" si="6"/>
        <v>EF1 E002 Ing</v>
      </c>
    </row>
    <row r="418" spans="1:31" s="12" customFormat="1" x14ac:dyDescent="0.25">
      <c r="A418" s="23"/>
      <c r="B418" s="20"/>
      <c r="C418" s="20"/>
      <c r="D418" s="20"/>
      <c r="E418" s="22"/>
      <c r="F418" s="22"/>
      <c r="G418" s="22"/>
      <c r="H418" s="22"/>
      <c r="I418" s="23"/>
      <c r="J418" s="23"/>
      <c r="K418" s="22"/>
      <c r="L418" s="22"/>
      <c r="M418" s="23"/>
      <c r="N418" s="23"/>
      <c r="O418" s="26"/>
      <c r="P418" s="26"/>
      <c r="Q418" s="26"/>
      <c r="R418" s="22"/>
      <c r="S418" s="24"/>
      <c r="T418" s="24"/>
      <c r="U418" s="24"/>
      <c r="V418" s="24"/>
      <c r="W418" s="24"/>
      <c r="X418" s="22"/>
      <c r="Y418" s="4" t="str">
        <f>IF(Tabela2[[#This Row],[SIGLA]]="","",VLOOKUP(Tabela2[[#This Row],[SIGLA]],Tabela1[[#All],[Sigla Arte]:[Crédito]],2,0))</f>
        <v/>
      </c>
      <c r="Z418" s="23"/>
      <c r="AA418" s="23" t="str">
        <f>Tabela2[[#This Row],[ILUSTRADOR CRIAÇÃO]]</f>
        <v/>
      </c>
      <c r="AB418" s="22"/>
      <c r="AC418" s="20"/>
      <c r="AD418" s="20"/>
      <c r="AE418" s="4" t="str">
        <f t="shared" si="6"/>
        <v>EF1 E002 Ing</v>
      </c>
    </row>
    <row r="419" spans="1:31" s="12" customFormat="1" x14ac:dyDescent="0.25">
      <c r="A419" s="23"/>
      <c r="B419" s="20"/>
      <c r="C419" s="20"/>
      <c r="D419" s="20"/>
      <c r="E419" s="22"/>
      <c r="F419" s="22"/>
      <c r="G419" s="22"/>
      <c r="H419" s="22"/>
      <c r="I419" s="23"/>
      <c r="J419" s="23"/>
      <c r="K419" s="22"/>
      <c r="L419" s="22"/>
      <c r="M419" s="23"/>
      <c r="N419" s="23"/>
      <c r="O419" s="26"/>
      <c r="P419" s="26"/>
      <c r="Q419" s="26"/>
      <c r="R419" s="22"/>
      <c r="S419" s="24"/>
      <c r="T419" s="24"/>
      <c r="U419" s="24"/>
      <c r="V419" s="24"/>
      <c r="W419" s="24"/>
      <c r="X419" s="22"/>
      <c r="Y419" s="4" t="str">
        <f>IF(Tabela2[[#This Row],[SIGLA]]="","",VLOOKUP(Tabela2[[#This Row],[SIGLA]],Tabela1[[#All],[Sigla Arte]:[Crédito]],2,0))</f>
        <v/>
      </c>
      <c r="Z419" s="23"/>
      <c r="AA419" s="23" t="str">
        <f>Tabela2[[#This Row],[ILUSTRADOR CRIAÇÃO]]</f>
        <v/>
      </c>
      <c r="AB419" s="22"/>
      <c r="AC419" s="20"/>
      <c r="AD419" s="20"/>
      <c r="AE419" s="4" t="str">
        <f t="shared" si="6"/>
        <v>EF1 E002 Ing</v>
      </c>
    </row>
    <row r="420" spans="1:31" s="12" customFormat="1" x14ac:dyDescent="0.25">
      <c r="A420" s="23"/>
      <c r="B420" s="20"/>
      <c r="C420" s="20"/>
      <c r="D420" s="20"/>
      <c r="E420" s="22"/>
      <c r="F420" s="22"/>
      <c r="G420" s="22"/>
      <c r="H420" s="22"/>
      <c r="I420" s="23"/>
      <c r="J420" s="23"/>
      <c r="K420" s="22"/>
      <c r="L420" s="22"/>
      <c r="M420" s="23"/>
      <c r="N420" s="23"/>
      <c r="O420" s="26"/>
      <c r="P420" s="26"/>
      <c r="Q420" s="26"/>
      <c r="R420" s="22"/>
      <c r="S420" s="24"/>
      <c r="T420" s="24"/>
      <c r="U420" s="24"/>
      <c r="V420" s="24"/>
      <c r="W420" s="24"/>
      <c r="X420" s="22"/>
      <c r="Y420" s="4" t="str">
        <f>IF(Tabela2[[#This Row],[SIGLA]]="","",VLOOKUP(Tabela2[[#This Row],[SIGLA]],Tabela1[[#All],[Sigla Arte]:[Crédito]],2,0))</f>
        <v/>
      </c>
      <c r="Z420" s="23"/>
      <c r="AA420" s="23" t="str">
        <f>Tabela2[[#This Row],[ILUSTRADOR CRIAÇÃO]]</f>
        <v/>
      </c>
      <c r="AB420" s="22"/>
      <c r="AC420" s="20"/>
      <c r="AD420" s="20"/>
      <c r="AE420" s="4" t="str">
        <f t="shared" si="6"/>
        <v>EF1 E002 Ing</v>
      </c>
    </row>
    <row r="421" spans="1:31" s="12" customFormat="1" x14ac:dyDescent="0.25">
      <c r="A421" s="23"/>
      <c r="B421" s="20"/>
      <c r="C421" s="20"/>
      <c r="D421" s="20"/>
      <c r="E421" s="22"/>
      <c r="F421" s="22"/>
      <c r="G421" s="22"/>
      <c r="H421" s="22"/>
      <c r="I421" s="23"/>
      <c r="J421" s="23"/>
      <c r="K421" s="22"/>
      <c r="L421" s="22"/>
      <c r="M421" s="23"/>
      <c r="N421" s="23"/>
      <c r="O421" s="26"/>
      <c r="P421" s="26"/>
      <c r="Q421" s="26"/>
      <c r="R421" s="22"/>
      <c r="S421" s="24"/>
      <c r="T421" s="24"/>
      <c r="U421" s="24"/>
      <c r="V421" s="24"/>
      <c r="W421" s="24"/>
      <c r="X421" s="22"/>
      <c r="Y421" s="4" t="str">
        <f>IF(Tabela2[[#This Row],[SIGLA]]="","",VLOOKUP(Tabela2[[#This Row],[SIGLA]],Tabela1[[#All],[Sigla Arte]:[Crédito]],2,0))</f>
        <v/>
      </c>
      <c r="Z421" s="23"/>
      <c r="AA421" s="23" t="str">
        <f>Tabela2[[#This Row],[ILUSTRADOR CRIAÇÃO]]</f>
        <v/>
      </c>
      <c r="AB421" s="22"/>
      <c r="AC421" s="20"/>
      <c r="AD421" s="20"/>
      <c r="AE421" s="4" t="str">
        <f t="shared" si="6"/>
        <v>EF1 E002 Ing</v>
      </c>
    </row>
    <row r="422" spans="1:31" s="12" customFormat="1" x14ac:dyDescent="0.25">
      <c r="A422" s="23"/>
      <c r="B422" s="20"/>
      <c r="C422" s="20"/>
      <c r="D422" s="20"/>
      <c r="E422" s="22"/>
      <c r="F422" s="22"/>
      <c r="G422" s="22"/>
      <c r="H422" s="22"/>
      <c r="I422" s="23"/>
      <c r="J422" s="23"/>
      <c r="K422" s="22"/>
      <c r="L422" s="22"/>
      <c r="M422" s="23"/>
      <c r="N422" s="23"/>
      <c r="O422" s="26"/>
      <c r="P422" s="26"/>
      <c r="Q422" s="26"/>
      <c r="R422" s="22"/>
      <c r="S422" s="24"/>
      <c r="T422" s="24"/>
      <c r="U422" s="24"/>
      <c r="V422" s="24"/>
      <c r="W422" s="24"/>
      <c r="X422" s="22"/>
      <c r="Y422" s="4" t="str">
        <f>IF(Tabela2[[#This Row],[SIGLA]]="","",VLOOKUP(Tabela2[[#This Row],[SIGLA]],Tabela1[[#All],[Sigla Arte]:[Crédito]],2,0))</f>
        <v/>
      </c>
      <c r="Z422" s="23"/>
      <c r="AA422" s="23" t="str">
        <f>Tabela2[[#This Row],[ILUSTRADOR CRIAÇÃO]]</f>
        <v/>
      </c>
      <c r="AB422" s="22"/>
      <c r="AC422" s="20"/>
      <c r="AD422" s="20"/>
      <c r="AE422" s="4" t="str">
        <f t="shared" si="6"/>
        <v>EF1 E002 Ing</v>
      </c>
    </row>
    <row r="423" spans="1:31" s="12" customFormat="1" x14ac:dyDescent="0.25">
      <c r="A423" s="23"/>
      <c r="B423" s="20"/>
      <c r="C423" s="20"/>
      <c r="D423" s="20"/>
      <c r="E423" s="22"/>
      <c r="F423" s="22"/>
      <c r="G423" s="22"/>
      <c r="H423" s="22"/>
      <c r="I423" s="23"/>
      <c r="J423" s="23"/>
      <c r="K423" s="22"/>
      <c r="L423" s="22"/>
      <c r="M423" s="23"/>
      <c r="N423" s="23"/>
      <c r="O423" s="26"/>
      <c r="P423" s="26"/>
      <c r="Q423" s="26"/>
      <c r="R423" s="22"/>
      <c r="S423" s="24"/>
      <c r="T423" s="24"/>
      <c r="U423" s="24"/>
      <c r="V423" s="24"/>
      <c r="W423" s="24"/>
      <c r="X423" s="22"/>
      <c r="Y423" s="4" t="str">
        <f>IF(Tabela2[[#This Row],[SIGLA]]="","",VLOOKUP(Tabela2[[#This Row],[SIGLA]],Tabela1[[#All],[Sigla Arte]:[Crédito]],2,0))</f>
        <v/>
      </c>
      <c r="Z423" s="23"/>
      <c r="AA423" s="23" t="str">
        <f>Tabela2[[#This Row],[ILUSTRADOR CRIAÇÃO]]</f>
        <v/>
      </c>
      <c r="AB423" s="22"/>
      <c r="AC423" s="20"/>
      <c r="AD423" s="20"/>
      <c r="AE423" s="4" t="str">
        <f t="shared" si="6"/>
        <v>EF1 E002 Ing</v>
      </c>
    </row>
    <row r="424" spans="1:31" s="12" customFormat="1" x14ac:dyDescent="0.25">
      <c r="A424" s="23"/>
      <c r="B424" s="20"/>
      <c r="C424" s="20"/>
      <c r="D424" s="20"/>
      <c r="E424" s="22"/>
      <c r="F424" s="22"/>
      <c r="G424" s="22"/>
      <c r="H424" s="22"/>
      <c r="I424" s="23"/>
      <c r="J424" s="23"/>
      <c r="K424" s="22"/>
      <c r="L424" s="22"/>
      <c r="M424" s="23"/>
      <c r="N424" s="23"/>
      <c r="O424" s="26"/>
      <c r="P424" s="26"/>
      <c r="Q424" s="26"/>
      <c r="R424" s="22"/>
      <c r="S424" s="24"/>
      <c r="T424" s="24"/>
      <c r="U424" s="24"/>
      <c r="V424" s="24"/>
      <c r="W424" s="24"/>
      <c r="X424" s="22"/>
      <c r="Y424" s="4" t="str">
        <f>IF(Tabela2[[#This Row],[SIGLA]]="","",VLOOKUP(Tabela2[[#This Row],[SIGLA]],Tabela1[[#All],[Sigla Arte]:[Crédito]],2,0))</f>
        <v/>
      </c>
      <c r="Z424" s="23"/>
      <c r="AA424" s="23" t="str">
        <f>Tabela2[[#This Row],[ILUSTRADOR CRIAÇÃO]]</f>
        <v/>
      </c>
      <c r="AB424" s="22"/>
      <c r="AC424" s="20"/>
      <c r="AD424" s="20"/>
      <c r="AE424" s="4" t="str">
        <f t="shared" si="6"/>
        <v>EF1 E002 Ing</v>
      </c>
    </row>
    <row r="425" spans="1:31" s="12" customFormat="1" x14ac:dyDescent="0.25">
      <c r="A425" s="23"/>
      <c r="B425" s="20"/>
      <c r="C425" s="20"/>
      <c r="D425" s="20"/>
      <c r="E425" s="22"/>
      <c r="F425" s="22"/>
      <c r="G425" s="22"/>
      <c r="H425" s="22"/>
      <c r="I425" s="23"/>
      <c r="J425" s="23"/>
      <c r="K425" s="22"/>
      <c r="L425" s="22"/>
      <c r="M425" s="23"/>
      <c r="N425" s="23"/>
      <c r="O425" s="26"/>
      <c r="P425" s="26"/>
      <c r="Q425" s="26"/>
      <c r="R425" s="22"/>
      <c r="S425" s="24"/>
      <c r="T425" s="24"/>
      <c r="U425" s="24"/>
      <c r="V425" s="24"/>
      <c r="W425" s="24"/>
      <c r="X425" s="22"/>
      <c r="Y425" s="4" t="str">
        <f>IF(Tabela2[[#This Row],[SIGLA]]="","",VLOOKUP(Tabela2[[#This Row],[SIGLA]],Tabela1[[#All],[Sigla Arte]:[Crédito]],2,0))</f>
        <v/>
      </c>
      <c r="Z425" s="23"/>
      <c r="AA425" s="23" t="str">
        <f>Tabela2[[#This Row],[ILUSTRADOR CRIAÇÃO]]</f>
        <v/>
      </c>
      <c r="AB425" s="22"/>
      <c r="AC425" s="20"/>
      <c r="AD425" s="20"/>
      <c r="AE425" s="4" t="str">
        <f t="shared" si="6"/>
        <v>EF1 E002 Ing</v>
      </c>
    </row>
    <row r="426" spans="1:31" s="12" customFormat="1" x14ac:dyDescent="0.25">
      <c r="A426" s="23"/>
      <c r="B426" s="20"/>
      <c r="C426" s="20"/>
      <c r="D426" s="20"/>
      <c r="E426" s="22"/>
      <c r="F426" s="22"/>
      <c r="G426" s="22"/>
      <c r="H426" s="22"/>
      <c r="I426" s="23"/>
      <c r="J426" s="23"/>
      <c r="K426" s="22"/>
      <c r="L426" s="22"/>
      <c r="M426" s="23"/>
      <c r="N426" s="23"/>
      <c r="O426" s="26"/>
      <c r="P426" s="26"/>
      <c r="Q426" s="26"/>
      <c r="R426" s="22"/>
      <c r="S426" s="24"/>
      <c r="T426" s="24"/>
      <c r="U426" s="24"/>
      <c r="V426" s="24"/>
      <c r="W426" s="24"/>
      <c r="X426" s="22"/>
      <c r="Y426" s="4" t="str">
        <f>IF(Tabela2[[#This Row],[SIGLA]]="","",VLOOKUP(Tabela2[[#This Row],[SIGLA]],Tabela1[[#All],[Sigla Arte]:[Crédito]],2,0))</f>
        <v/>
      </c>
      <c r="Z426" s="23"/>
      <c r="AA426" s="23" t="str">
        <f>Tabela2[[#This Row],[ILUSTRADOR CRIAÇÃO]]</f>
        <v/>
      </c>
      <c r="AB426" s="22"/>
      <c r="AC426" s="20"/>
      <c r="AD426" s="20"/>
      <c r="AE426" s="4" t="str">
        <f t="shared" si="6"/>
        <v>EF1 E002 Ing</v>
      </c>
    </row>
    <row r="427" spans="1:31" s="12" customFormat="1" x14ac:dyDescent="0.25">
      <c r="A427" s="23"/>
      <c r="B427" s="20"/>
      <c r="C427" s="20"/>
      <c r="D427" s="20"/>
      <c r="E427" s="22"/>
      <c r="F427" s="22"/>
      <c r="G427" s="22"/>
      <c r="H427" s="22"/>
      <c r="I427" s="23"/>
      <c r="J427" s="23"/>
      <c r="K427" s="22"/>
      <c r="L427" s="22"/>
      <c r="M427" s="23"/>
      <c r="N427" s="23"/>
      <c r="O427" s="26"/>
      <c r="P427" s="26"/>
      <c r="Q427" s="26"/>
      <c r="R427" s="22"/>
      <c r="S427" s="24"/>
      <c r="T427" s="24"/>
      <c r="U427" s="24"/>
      <c r="V427" s="24"/>
      <c r="W427" s="24"/>
      <c r="X427" s="22"/>
      <c r="Y427" s="4" t="str">
        <f>IF(Tabela2[[#This Row],[SIGLA]]="","",VLOOKUP(Tabela2[[#This Row],[SIGLA]],Tabela1[[#All],[Sigla Arte]:[Crédito]],2,0))</f>
        <v/>
      </c>
      <c r="Z427" s="23"/>
      <c r="AA427" s="23" t="str">
        <f>Tabela2[[#This Row],[ILUSTRADOR CRIAÇÃO]]</f>
        <v/>
      </c>
      <c r="AB427" s="22"/>
      <c r="AC427" s="20"/>
      <c r="AD427" s="20"/>
      <c r="AE427" s="4" t="str">
        <f t="shared" si="6"/>
        <v>EF1 E002 Ing</v>
      </c>
    </row>
    <row r="428" spans="1:31" s="12" customFormat="1" x14ac:dyDescent="0.25">
      <c r="A428" s="23"/>
      <c r="B428" s="20"/>
      <c r="C428" s="20"/>
      <c r="D428" s="20"/>
      <c r="E428" s="22"/>
      <c r="F428" s="22"/>
      <c r="G428" s="22"/>
      <c r="H428" s="22"/>
      <c r="I428" s="23"/>
      <c r="J428" s="23"/>
      <c r="K428" s="22"/>
      <c r="L428" s="22"/>
      <c r="M428" s="23"/>
      <c r="N428" s="23"/>
      <c r="O428" s="26"/>
      <c r="P428" s="26"/>
      <c r="Q428" s="26"/>
      <c r="R428" s="22"/>
      <c r="S428" s="24"/>
      <c r="T428" s="24"/>
      <c r="U428" s="24"/>
      <c r="V428" s="24"/>
      <c r="W428" s="24"/>
      <c r="X428" s="22"/>
      <c r="Y428" s="4" t="str">
        <f>IF(Tabela2[[#This Row],[SIGLA]]="","",VLOOKUP(Tabela2[[#This Row],[SIGLA]],Tabela1[[#All],[Sigla Arte]:[Crédito]],2,0))</f>
        <v/>
      </c>
      <c r="Z428" s="23"/>
      <c r="AA428" s="23" t="str">
        <f>Tabela2[[#This Row],[ILUSTRADOR CRIAÇÃO]]</f>
        <v/>
      </c>
      <c r="AB428" s="22"/>
      <c r="AC428" s="20"/>
      <c r="AD428" s="20"/>
      <c r="AE428" s="4" t="str">
        <f t="shared" si="6"/>
        <v>EF1 E002 Ing</v>
      </c>
    </row>
    <row r="429" spans="1:31" s="12" customFormat="1" x14ac:dyDescent="0.25">
      <c r="A429" s="23"/>
      <c r="B429" s="20"/>
      <c r="C429" s="20"/>
      <c r="D429" s="20"/>
      <c r="E429" s="22"/>
      <c r="F429" s="22"/>
      <c r="G429" s="22"/>
      <c r="H429" s="22"/>
      <c r="I429" s="23"/>
      <c r="J429" s="23"/>
      <c r="K429" s="22"/>
      <c r="L429" s="22"/>
      <c r="M429" s="23"/>
      <c r="N429" s="23"/>
      <c r="O429" s="26"/>
      <c r="P429" s="26"/>
      <c r="Q429" s="26"/>
      <c r="R429" s="22"/>
      <c r="S429" s="24"/>
      <c r="T429" s="24"/>
      <c r="U429" s="24"/>
      <c r="V429" s="24"/>
      <c r="W429" s="24"/>
      <c r="X429" s="22"/>
      <c r="Y429" s="4" t="str">
        <f>IF(Tabela2[[#This Row],[SIGLA]]="","",VLOOKUP(Tabela2[[#This Row],[SIGLA]],Tabela1[[#All],[Sigla Arte]:[Crédito]],2,0))</f>
        <v/>
      </c>
      <c r="Z429" s="23"/>
      <c r="AA429" s="23" t="str">
        <f>Tabela2[[#This Row],[ILUSTRADOR CRIAÇÃO]]</f>
        <v/>
      </c>
      <c r="AB429" s="22"/>
      <c r="AC429" s="20"/>
      <c r="AD429" s="20"/>
      <c r="AE429" s="4" t="str">
        <f t="shared" si="6"/>
        <v>EF1 E002 Ing</v>
      </c>
    </row>
    <row r="430" spans="1:31" s="12" customFormat="1" x14ac:dyDescent="0.25">
      <c r="A430" s="23"/>
      <c r="B430" s="20"/>
      <c r="C430" s="20"/>
      <c r="D430" s="20"/>
      <c r="E430" s="22"/>
      <c r="F430" s="22"/>
      <c r="G430" s="22"/>
      <c r="H430" s="22"/>
      <c r="I430" s="23"/>
      <c r="J430" s="23"/>
      <c r="K430" s="22"/>
      <c r="L430" s="22"/>
      <c r="M430" s="23"/>
      <c r="N430" s="23"/>
      <c r="O430" s="26"/>
      <c r="P430" s="26"/>
      <c r="Q430" s="26"/>
      <c r="R430" s="22"/>
      <c r="S430" s="24"/>
      <c r="T430" s="24"/>
      <c r="U430" s="24"/>
      <c r="V430" s="24"/>
      <c r="W430" s="24"/>
      <c r="X430" s="22"/>
      <c r="Y430" s="4" t="str">
        <f>IF(Tabela2[[#This Row],[SIGLA]]="","",VLOOKUP(Tabela2[[#This Row],[SIGLA]],Tabela1[[#All],[Sigla Arte]:[Crédito]],2,0))</f>
        <v/>
      </c>
      <c r="Z430" s="23"/>
      <c r="AA430" s="23" t="str">
        <f>Tabela2[[#This Row],[ILUSTRADOR CRIAÇÃO]]</f>
        <v/>
      </c>
      <c r="AB430" s="22"/>
      <c r="AC430" s="20"/>
      <c r="AD430" s="20"/>
      <c r="AE430" s="4" t="str">
        <f t="shared" si="6"/>
        <v>EF1 E002 Ing</v>
      </c>
    </row>
    <row r="431" spans="1:31" s="12" customFormat="1" x14ac:dyDescent="0.25">
      <c r="A431" s="23"/>
      <c r="B431" s="20"/>
      <c r="C431" s="20"/>
      <c r="D431" s="20"/>
      <c r="E431" s="22"/>
      <c r="F431" s="22"/>
      <c r="G431" s="22"/>
      <c r="H431" s="22"/>
      <c r="I431" s="23"/>
      <c r="J431" s="23"/>
      <c r="K431" s="22"/>
      <c r="L431" s="22"/>
      <c r="M431" s="23"/>
      <c r="N431" s="23"/>
      <c r="O431" s="26"/>
      <c r="P431" s="26"/>
      <c r="Q431" s="26"/>
      <c r="R431" s="22"/>
      <c r="S431" s="24"/>
      <c r="T431" s="24"/>
      <c r="U431" s="24"/>
      <c r="V431" s="24"/>
      <c r="W431" s="24"/>
      <c r="X431" s="22"/>
      <c r="Y431" s="4" t="str">
        <f>IF(Tabela2[[#This Row],[SIGLA]]="","",VLOOKUP(Tabela2[[#This Row],[SIGLA]],Tabela1[[#All],[Sigla Arte]:[Crédito]],2,0))</f>
        <v/>
      </c>
      <c r="Z431" s="23"/>
      <c r="AA431" s="23" t="str">
        <f>Tabela2[[#This Row],[ILUSTRADOR CRIAÇÃO]]</f>
        <v/>
      </c>
      <c r="AB431" s="22"/>
      <c r="AC431" s="20"/>
      <c r="AD431" s="20"/>
      <c r="AE431" s="4" t="str">
        <f t="shared" si="6"/>
        <v>EF1 E002 Ing</v>
      </c>
    </row>
    <row r="432" spans="1:31" s="12" customFormat="1" x14ac:dyDescent="0.25">
      <c r="A432" s="23"/>
      <c r="B432" s="20"/>
      <c r="C432" s="20"/>
      <c r="D432" s="20"/>
      <c r="E432" s="22"/>
      <c r="F432" s="22"/>
      <c r="G432" s="22"/>
      <c r="H432" s="22"/>
      <c r="I432" s="23"/>
      <c r="J432" s="23"/>
      <c r="K432" s="22"/>
      <c r="L432" s="22"/>
      <c r="M432" s="23"/>
      <c r="N432" s="23"/>
      <c r="O432" s="26"/>
      <c r="P432" s="26"/>
      <c r="Q432" s="26"/>
      <c r="R432" s="22"/>
      <c r="S432" s="24"/>
      <c r="T432" s="24"/>
      <c r="U432" s="24"/>
      <c r="V432" s="24"/>
      <c r="W432" s="24"/>
      <c r="X432" s="22"/>
      <c r="Y432" s="4" t="str">
        <f>IF(Tabela2[[#This Row],[SIGLA]]="","",VLOOKUP(Tabela2[[#This Row],[SIGLA]],Tabela1[[#All],[Sigla Arte]:[Crédito]],2,0))</f>
        <v/>
      </c>
      <c r="Z432" s="23"/>
      <c r="AA432" s="23" t="str">
        <f>Tabela2[[#This Row],[ILUSTRADOR CRIAÇÃO]]</f>
        <v/>
      </c>
      <c r="AB432" s="22"/>
      <c r="AC432" s="20"/>
      <c r="AD432" s="20"/>
      <c r="AE432" s="4" t="str">
        <f t="shared" si="6"/>
        <v>EF1 E002 Ing</v>
      </c>
    </row>
    <row r="433" spans="1:31" s="12" customFormat="1" x14ac:dyDescent="0.25">
      <c r="A433" s="23"/>
      <c r="B433" s="20"/>
      <c r="C433" s="20"/>
      <c r="D433" s="20"/>
      <c r="E433" s="22"/>
      <c r="F433" s="22"/>
      <c r="G433" s="22"/>
      <c r="H433" s="22"/>
      <c r="I433" s="23"/>
      <c r="J433" s="23"/>
      <c r="K433" s="22"/>
      <c r="L433" s="22"/>
      <c r="M433" s="23"/>
      <c r="N433" s="23"/>
      <c r="O433" s="26"/>
      <c r="P433" s="26"/>
      <c r="Q433" s="26"/>
      <c r="R433" s="22"/>
      <c r="S433" s="24"/>
      <c r="T433" s="24"/>
      <c r="U433" s="24"/>
      <c r="V433" s="24"/>
      <c r="W433" s="24"/>
      <c r="X433" s="22"/>
      <c r="Y433" s="4" t="str">
        <f>IF(Tabela2[[#This Row],[SIGLA]]="","",VLOOKUP(Tabela2[[#This Row],[SIGLA]],Tabela1[[#All],[Sigla Arte]:[Crédito]],2,0))</f>
        <v/>
      </c>
      <c r="Z433" s="23"/>
      <c r="AA433" s="23" t="str">
        <f>Tabela2[[#This Row],[ILUSTRADOR CRIAÇÃO]]</f>
        <v/>
      </c>
      <c r="AB433" s="22"/>
      <c r="AC433" s="20"/>
      <c r="AD433" s="20"/>
      <c r="AE433" s="4" t="str">
        <f t="shared" si="6"/>
        <v>EF1 E002 Ing</v>
      </c>
    </row>
    <row r="434" spans="1:31" s="12" customFormat="1" x14ac:dyDescent="0.25">
      <c r="A434" s="23"/>
      <c r="B434" s="20"/>
      <c r="C434" s="20"/>
      <c r="D434" s="20"/>
      <c r="E434" s="22"/>
      <c r="F434" s="22"/>
      <c r="G434" s="22"/>
      <c r="H434" s="22"/>
      <c r="I434" s="23"/>
      <c r="J434" s="23"/>
      <c r="K434" s="22"/>
      <c r="L434" s="22"/>
      <c r="M434" s="23"/>
      <c r="N434" s="23"/>
      <c r="O434" s="26"/>
      <c r="P434" s="26"/>
      <c r="Q434" s="26"/>
      <c r="R434" s="22"/>
      <c r="S434" s="24"/>
      <c r="T434" s="24"/>
      <c r="U434" s="24"/>
      <c r="V434" s="24"/>
      <c r="W434" s="24"/>
      <c r="X434" s="22"/>
      <c r="Y434" s="4" t="str">
        <f>IF(Tabela2[[#This Row],[SIGLA]]="","",VLOOKUP(Tabela2[[#This Row],[SIGLA]],Tabela1[[#All],[Sigla Arte]:[Crédito]],2,0))</f>
        <v/>
      </c>
      <c r="Z434" s="23"/>
      <c r="AA434" s="23" t="str">
        <f>Tabela2[[#This Row],[ILUSTRADOR CRIAÇÃO]]</f>
        <v/>
      </c>
      <c r="AB434" s="22"/>
      <c r="AC434" s="20"/>
      <c r="AD434" s="20"/>
      <c r="AE434" s="4" t="str">
        <f t="shared" si="6"/>
        <v>EF1 E002 Ing</v>
      </c>
    </row>
    <row r="435" spans="1:31" s="12" customFormat="1" x14ac:dyDescent="0.25">
      <c r="A435" s="23"/>
      <c r="B435" s="20"/>
      <c r="C435" s="20"/>
      <c r="D435" s="20"/>
      <c r="E435" s="22"/>
      <c r="F435" s="22"/>
      <c r="G435" s="22"/>
      <c r="H435" s="22"/>
      <c r="I435" s="23"/>
      <c r="J435" s="23"/>
      <c r="K435" s="22"/>
      <c r="L435" s="22"/>
      <c r="M435" s="23"/>
      <c r="N435" s="23"/>
      <c r="O435" s="26"/>
      <c r="P435" s="26"/>
      <c r="Q435" s="26"/>
      <c r="R435" s="22"/>
      <c r="S435" s="24"/>
      <c r="T435" s="24"/>
      <c r="U435" s="24"/>
      <c r="V435" s="24"/>
      <c r="W435" s="24"/>
      <c r="X435" s="22"/>
      <c r="Y435" s="4" t="str">
        <f>IF(Tabela2[[#This Row],[SIGLA]]="","",VLOOKUP(Tabela2[[#This Row],[SIGLA]],Tabela1[[#All],[Sigla Arte]:[Crédito]],2,0))</f>
        <v/>
      </c>
      <c r="Z435" s="23"/>
      <c r="AA435" s="23" t="str">
        <f>Tabela2[[#This Row],[ILUSTRADOR CRIAÇÃO]]</f>
        <v/>
      </c>
      <c r="AB435" s="22"/>
      <c r="AC435" s="20"/>
      <c r="AD435" s="20"/>
      <c r="AE435" s="4" t="str">
        <f t="shared" si="6"/>
        <v>EF1 E002 Ing</v>
      </c>
    </row>
    <row r="436" spans="1:31" s="12" customFormat="1" x14ac:dyDescent="0.25">
      <c r="A436" s="23"/>
      <c r="B436" s="20"/>
      <c r="C436" s="20"/>
      <c r="D436" s="20"/>
      <c r="E436" s="22"/>
      <c r="F436" s="22"/>
      <c r="G436" s="22"/>
      <c r="H436" s="22"/>
      <c r="I436" s="23"/>
      <c r="J436" s="23"/>
      <c r="K436" s="22"/>
      <c r="L436" s="22"/>
      <c r="M436" s="23"/>
      <c r="N436" s="23"/>
      <c r="O436" s="26"/>
      <c r="P436" s="26"/>
      <c r="Q436" s="26"/>
      <c r="R436" s="22"/>
      <c r="S436" s="24"/>
      <c r="T436" s="24"/>
      <c r="U436" s="24"/>
      <c r="V436" s="24"/>
      <c r="W436" s="24"/>
      <c r="X436" s="22"/>
      <c r="Y436" s="4" t="str">
        <f>IF(Tabela2[[#This Row],[SIGLA]]="","",VLOOKUP(Tabela2[[#This Row],[SIGLA]],Tabela1[[#All],[Sigla Arte]:[Crédito]],2,0))</f>
        <v/>
      </c>
      <c r="Z436" s="23"/>
      <c r="AA436" s="23" t="str">
        <f>Tabela2[[#This Row],[ILUSTRADOR CRIAÇÃO]]</f>
        <v/>
      </c>
      <c r="AB436" s="22"/>
      <c r="AC436" s="20"/>
      <c r="AD436" s="20"/>
      <c r="AE436" s="4" t="str">
        <f t="shared" si="6"/>
        <v>EF1 E002 Ing</v>
      </c>
    </row>
    <row r="437" spans="1:31" s="12" customFormat="1" x14ac:dyDescent="0.25">
      <c r="A437" s="23"/>
      <c r="B437" s="20"/>
      <c r="C437" s="20"/>
      <c r="D437" s="20"/>
      <c r="E437" s="22"/>
      <c r="F437" s="22"/>
      <c r="G437" s="22"/>
      <c r="H437" s="22"/>
      <c r="I437" s="23"/>
      <c r="J437" s="23"/>
      <c r="K437" s="22"/>
      <c r="L437" s="22"/>
      <c r="M437" s="23"/>
      <c r="N437" s="23"/>
      <c r="O437" s="26"/>
      <c r="P437" s="26"/>
      <c r="Q437" s="26"/>
      <c r="R437" s="22"/>
      <c r="S437" s="24"/>
      <c r="T437" s="24"/>
      <c r="U437" s="24"/>
      <c r="V437" s="24"/>
      <c r="W437" s="24"/>
      <c r="X437" s="22"/>
      <c r="Y437" s="4" t="str">
        <f>IF(Tabela2[[#This Row],[SIGLA]]="","",VLOOKUP(Tabela2[[#This Row],[SIGLA]],Tabela1[[#All],[Sigla Arte]:[Crédito]],2,0))</f>
        <v/>
      </c>
      <c r="Z437" s="23"/>
      <c r="AA437" s="23" t="str">
        <f>Tabela2[[#This Row],[ILUSTRADOR CRIAÇÃO]]</f>
        <v/>
      </c>
      <c r="AB437" s="22"/>
      <c r="AC437" s="20"/>
      <c r="AD437" s="20"/>
      <c r="AE437" s="4" t="str">
        <f t="shared" si="6"/>
        <v>EF1 E002 Ing</v>
      </c>
    </row>
    <row r="438" spans="1:31" s="12" customFormat="1" x14ac:dyDescent="0.25">
      <c r="A438" s="23"/>
      <c r="B438" s="20"/>
      <c r="C438" s="20"/>
      <c r="D438" s="20"/>
      <c r="E438" s="22"/>
      <c r="F438" s="22"/>
      <c r="G438" s="22"/>
      <c r="H438" s="22"/>
      <c r="I438" s="23"/>
      <c r="J438" s="23"/>
      <c r="K438" s="22"/>
      <c r="L438" s="22"/>
      <c r="M438" s="23"/>
      <c r="N438" s="23"/>
      <c r="O438" s="26"/>
      <c r="P438" s="26"/>
      <c r="Q438" s="26"/>
      <c r="R438" s="22"/>
      <c r="S438" s="24"/>
      <c r="T438" s="24"/>
      <c r="U438" s="24"/>
      <c r="V438" s="24"/>
      <c r="W438" s="24"/>
      <c r="X438" s="22"/>
      <c r="Y438" s="4" t="str">
        <f>IF(Tabela2[[#This Row],[SIGLA]]="","",VLOOKUP(Tabela2[[#This Row],[SIGLA]],Tabela1[[#All],[Sigla Arte]:[Crédito]],2,0))</f>
        <v/>
      </c>
      <c r="Z438" s="23"/>
      <c r="AA438" s="23" t="str">
        <f>Tabela2[[#This Row],[ILUSTRADOR CRIAÇÃO]]</f>
        <v/>
      </c>
      <c r="AB438" s="22"/>
      <c r="AC438" s="20"/>
      <c r="AD438" s="20"/>
      <c r="AE438" s="4" t="str">
        <f t="shared" si="6"/>
        <v>EF1 E002 Ing</v>
      </c>
    </row>
    <row r="439" spans="1:31" s="12" customFormat="1" x14ac:dyDescent="0.25">
      <c r="A439" s="23"/>
      <c r="B439" s="20"/>
      <c r="C439" s="20"/>
      <c r="D439" s="20"/>
      <c r="E439" s="22"/>
      <c r="F439" s="22"/>
      <c r="G439" s="22"/>
      <c r="H439" s="22"/>
      <c r="I439" s="23"/>
      <c r="J439" s="23"/>
      <c r="K439" s="22"/>
      <c r="L439" s="22"/>
      <c r="M439" s="23"/>
      <c r="N439" s="23"/>
      <c r="O439" s="26"/>
      <c r="P439" s="26"/>
      <c r="Q439" s="26"/>
      <c r="R439" s="22"/>
      <c r="S439" s="24"/>
      <c r="T439" s="24"/>
      <c r="U439" s="24"/>
      <c r="V439" s="24"/>
      <c r="W439" s="24"/>
      <c r="X439" s="22"/>
      <c r="Y439" s="4" t="str">
        <f>IF(Tabela2[[#This Row],[SIGLA]]="","",VLOOKUP(Tabela2[[#This Row],[SIGLA]],Tabela1[[#All],[Sigla Arte]:[Crédito]],2,0))</f>
        <v/>
      </c>
      <c r="Z439" s="23"/>
      <c r="AA439" s="23" t="str">
        <f>Tabela2[[#This Row],[ILUSTRADOR CRIAÇÃO]]</f>
        <v/>
      </c>
      <c r="AB439" s="22"/>
      <c r="AC439" s="20"/>
      <c r="AD439" s="20"/>
      <c r="AE439" s="4" t="str">
        <f t="shared" si="6"/>
        <v>EF1 E002 Ing</v>
      </c>
    </row>
    <row r="440" spans="1:31" s="12" customFormat="1" x14ac:dyDescent="0.25">
      <c r="A440" s="23"/>
      <c r="B440" s="20"/>
      <c r="C440" s="20"/>
      <c r="D440" s="20"/>
      <c r="E440" s="22"/>
      <c r="F440" s="22"/>
      <c r="G440" s="22"/>
      <c r="H440" s="22"/>
      <c r="I440" s="23"/>
      <c r="J440" s="23"/>
      <c r="K440" s="22"/>
      <c r="L440" s="22"/>
      <c r="M440" s="23"/>
      <c r="N440" s="23"/>
      <c r="O440" s="26"/>
      <c r="P440" s="26"/>
      <c r="Q440" s="26"/>
      <c r="R440" s="22"/>
      <c r="S440" s="24"/>
      <c r="T440" s="24"/>
      <c r="U440" s="24"/>
      <c r="V440" s="24"/>
      <c r="W440" s="24"/>
      <c r="X440" s="22"/>
      <c r="Y440" s="4" t="str">
        <f>IF(Tabela2[[#This Row],[SIGLA]]="","",VLOOKUP(Tabela2[[#This Row],[SIGLA]],Tabela1[[#All],[Sigla Arte]:[Crédito]],2,0))</f>
        <v/>
      </c>
      <c r="Z440" s="23"/>
      <c r="AA440" s="23" t="str">
        <f>Tabela2[[#This Row],[ILUSTRADOR CRIAÇÃO]]</f>
        <v/>
      </c>
      <c r="AB440" s="22"/>
      <c r="AC440" s="20"/>
      <c r="AD440" s="20"/>
      <c r="AE440" s="4" t="str">
        <f t="shared" si="6"/>
        <v>EF1 E002 Ing</v>
      </c>
    </row>
    <row r="441" spans="1:31" s="12" customFormat="1" x14ac:dyDescent="0.25">
      <c r="A441" s="23"/>
      <c r="B441" s="20"/>
      <c r="C441" s="20"/>
      <c r="D441" s="20"/>
      <c r="E441" s="22"/>
      <c r="F441" s="22"/>
      <c r="G441" s="22"/>
      <c r="H441" s="22"/>
      <c r="I441" s="23"/>
      <c r="J441" s="23"/>
      <c r="K441" s="22"/>
      <c r="L441" s="22"/>
      <c r="M441" s="23"/>
      <c r="N441" s="23"/>
      <c r="O441" s="26"/>
      <c r="P441" s="26"/>
      <c r="Q441" s="26"/>
      <c r="R441" s="22"/>
      <c r="S441" s="24"/>
      <c r="T441" s="24"/>
      <c r="U441" s="24"/>
      <c r="V441" s="24"/>
      <c r="W441" s="24"/>
      <c r="X441" s="22"/>
      <c r="Y441" s="4" t="str">
        <f>IF(Tabela2[[#This Row],[SIGLA]]="","",VLOOKUP(Tabela2[[#This Row],[SIGLA]],Tabela1[[#All],[Sigla Arte]:[Crédito]],2,0))</f>
        <v/>
      </c>
      <c r="Z441" s="23"/>
      <c r="AA441" s="23" t="str">
        <f>Tabela2[[#This Row],[ILUSTRADOR CRIAÇÃO]]</f>
        <v/>
      </c>
      <c r="AB441" s="22"/>
      <c r="AC441" s="20"/>
      <c r="AD441" s="20"/>
      <c r="AE441" s="4" t="str">
        <f t="shared" si="6"/>
        <v>EF1 E002 Ing</v>
      </c>
    </row>
    <row r="442" spans="1:31" s="12" customFormat="1" x14ac:dyDescent="0.25">
      <c r="A442" s="23"/>
      <c r="B442" s="20"/>
      <c r="C442" s="20"/>
      <c r="D442" s="20"/>
      <c r="E442" s="22"/>
      <c r="F442" s="22"/>
      <c r="G442" s="22"/>
      <c r="H442" s="22"/>
      <c r="I442" s="23"/>
      <c r="J442" s="23"/>
      <c r="K442" s="22"/>
      <c r="L442" s="22"/>
      <c r="M442" s="23"/>
      <c r="N442" s="23"/>
      <c r="O442" s="26"/>
      <c r="P442" s="26"/>
      <c r="Q442" s="26"/>
      <c r="R442" s="22"/>
      <c r="S442" s="24"/>
      <c r="T442" s="24"/>
      <c r="U442" s="24"/>
      <c r="V442" s="24"/>
      <c r="W442" s="24"/>
      <c r="X442" s="22"/>
      <c r="Y442" s="4" t="str">
        <f>IF(Tabela2[[#This Row],[SIGLA]]="","",VLOOKUP(Tabela2[[#This Row],[SIGLA]],Tabela1[[#All],[Sigla Arte]:[Crédito]],2,0))</f>
        <v/>
      </c>
      <c r="Z442" s="23"/>
      <c r="AA442" s="23" t="str">
        <f>Tabela2[[#This Row],[ILUSTRADOR CRIAÇÃO]]</f>
        <v/>
      </c>
      <c r="AB442" s="22"/>
      <c r="AC442" s="20"/>
      <c r="AD442" s="20"/>
      <c r="AE442" s="4" t="str">
        <f t="shared" si="6"/>
        <v>EF1 E002 Ing</v>
      </c>
    </row>
    <row r="443" spans="1:31" s="12" customFormat="1" x14ac:dyDescent="0.25">
      <c r="A443" s="23"/>
      <c r="B443" s="20"/>
      <c r="C443" s="20"/>
      <c r="D443" s="20"/>
      <c r="E443" s="22"/>
      <c r="F443" s="22"/>
      <c r="G443" s="22"/>
      <c r="H443" s="22"/>
      <c r="I443" s="23"/>
      <c r="J443" s="23"/>
      <c r="K443" s="22"/>
      <c r="L443" s="22"/>
      <c r="M443" s="23"/>
      <c r="N443" s="23"/>
      <c r="O443" s="26"/>
      <c r="P443" s="26"/>
      <c r="Q443" s="26"/>
      <c r="R443" s="22"/>
      <c r="S443" s="24"/>
      <c r="T443" s="24"/>
      <c r="U443" s="24"/>
      <c r="V443" s="24"/>
      <c r="W443" s="24"/>
      <c r="X443" s="22"/>
      <c r="Y443" s="4" t="str">
        <f>IF(Tabela2[[#This Row],[SIGLA]]="","",VLOOKUP(Tabela2[[#This Row],[SIGLA]],Tabela1[[#All],[Sigla Arte]:[Crédito]],2,0))</f>
        <v/>
      </c>
      <c r="Z443" s="23"/>
      <c r="AA443" s="23" t="str">
        <f>Tabela2[[#This Row],[ILUSTRADOR CRIAÇÃO]]</f>
        <v/>
      </c>
      <c r="AB443" s="22"/>
      <c r="AC443" s="20"/>
      <c r="AD443" s="20"/>
      <c r="AE443" s="4" t="str">
        <f t="shared" si="6"/>
        <v>EF1 E002 Ing</v>
      </c>
    </row>
    <row r="444" spans="1:31" s="12" customFormat="1" x14ac:dyDescent="0.25">
      <c r="A444" s="23"/>
      <c r="B444" s="20"/>
      <c r="C444" s="20"/>
      <c r="D444" s="20"/>
      <c r="E444" s="22"/>
      <c r="F444" s="22"/>
      <c r="G444" s="22"/>
      <c r="H444" s="22"/>
      <c r="I444" s="23"/>
      <c r="J444" s="23"/>
      <c r="K444" s="22"/>
      <c r="L444" s="22"/>
      <c r="M444" s="23"/>
      <c r="N444" s="23"/>
      <c r="O444" s="26"/>
      <c r="P444" s="26"/>
      <c r="Q444" s="26"/>
      <c r="R444" s="22"/>
      <c r="S444" s="24"/>
      <c r="T444" s="24"/>
      <c r="U444" s="24"/>
      <c r="V444" s="24"/>
      <c r="W444" s="24"/>
      <c r="X444" s="22"/>
      <c r="Y444" s="4" t="str">
        <f>IF(Tabela2[[#This Row],[SIGLA]]="","",VLOOKUP(Tabela2[[#This Row],[SIGLA]],Tabela1[[#All],[Sigla Arte]:[Crédito]],2,0))</f>
        <v/>
      </c>
      <c r="Z444" s="23"/>
      <c r="AA444" s="23" t="str">
        <f>Tabela2[[#This Row],[ILUSTRADOR CRIAÇÃO]]</f>
        <v/>
      </c>
      <c r="AB444" s="22"/>
      <c r="AC444" s="20"/>
      <c r="AD444" s="20"/>
      <c r="AE444" s="4" t="str">
        <f t="shared" si="6"/>
        <v>EF1 E002 Ing</v>
      </c>
    </row>
    <row r="445" spans="1:31" s="12" customFormat="1" x14ac:dyDescent="0.25">
      <c r="A445" s="23"/>
      <c r="B445" s="20"/>
      <c r="C445" s="20"/>
      <c r="D445" s="20"/>
      <c r="E445" s="22"/>
      <c r="F445" s="22"/>
      <c r="G445" s="22"/>
      <c r="H445" s="22"/>
      <c r="I445" s="23"/>
      <c r="J445" s="23"/>
      <c r="K445" s="22"/>
      <c r="L445" s="22"/>
      <c r="M445" s="23"/>
      <c r="N445" s="23"/>
      <c r="O445" s="26"/>
      <c r="P445" s="26"/>
      <c r="Q445" s="26"/>
      <c r="R445" s="22"/>
      <c r="S445" s="24"/>
      <c r="T445" s="24"/>
      <c r="U445" s="24"/>
      <c r="V445" s="24"/>
      <c r="W445" s="24"/>
      <c r="X445" s="22"/>
      <c r="Y445" s="4" t="str">
        <f>IF(Tabela2[[#This Row],[SIGLA]]="","",VLOOKUP(Tabela2[[#This Row],[SIGLA]],Tabela1[[#All],[Sigla Arte]:[Crédito]],2,0))</f>
        <v/>
      </c>
      <c r="Z445" s="23"/>
      <c r="AA445" s="23" t="str">
        <f>Tabela2[[#This Row],[ILUSTRADOR CRIAÇÃO]]</f>
        <v/>
      </c>
      <c r="AB445" s="22"/>
      <c r="AC445" s="20"/>
      <c r="AD445" s="20"/>
      <c r="AE445" s="4" t="str">
        <f t="shared" si="6"/>
        <v>EF1 E002 Ing</v>
      </c>
    </row>
    <row r="446" spans="1:31" s="12" customFormat="1" x14ac:dyDescent="0.25">
      <c r="A446" s="23"/>
      <c r="B446" s="20"/>
      <c r="C446" s="20"/>
      <c r="D446" s="20"/>
      <c r="E446" s="22"/>
      <c r="F446" s="22"/>
      <c r="G446" s="22"/>
      <c r="H446" s="22"/>
      <c r="I446" s="23"/>
      <c r="J446" s="23"/>
      <c r="K446" s="22"/>
      <c r="L446" s="22"/>
      <c r="M446" s="23"/>
      <c r="N446" s="23"/>
      <c r="O446" s="26"/>
      <c r="P446" s="26"/>
      <c r="Q446" s="26"/>
      <c r="R446" s="22"/>
      <c r="S446" s="24"/>
      <c r="T446" s="24"/>
      <c r="U446" s="24"/>
      <c r="V446" s="24"/>
      <c r="W446" s="24"/>
      <c r="X446" s="22"/>
      <c r="Y446" s="4" t="str">
        <f>IF(Tabela2[[#This Row],[SIGLA]]="","",VLOOKUP(Tabela2[[#This Row],[SIGLA]],Tabela1[[#All],[Sigla Arte]:[Crédito]],2,0))</f>
        <v/>
      </c>
      <c r="Z446" s="23"/>
      <c r="AA446" s="23" t="str">
        <f>Tabela2[[#This Row],[ILUSTRADOR CRIAÇÃO]]</f>
        <v/>
      </c>
      <c r="AB446" s="22"/>
      <c r="AC446" s="20"/>
      <c r="AD446" s="20"/>
      <c r="AE446" s="4" t="str">
        <f t="shared" si="6"/>
        <v>EF1 E002 Ing</v>
      </c>
    </row>
    <row r="447" spans="1:31" s="12" customFormat="1" x14ac:dyDescent="0.25">
      <c r="A447" s="23"/>
      <c r="B447" s="20"/>
      <c r="C447" s="20"/>
      <c r="D447" s="20"/>
      <c r="E447" s="22"/>
      <c r="F447" s="22"/>
      <c r="G447" s="22"/>
      <c r="H447" s="22"/>
      <c r="I447" s="23"/>
      <c r="J447" s="23"/>
      <c r="K447" s="22"/>
      <c r="L447" s="22"/>
      <c r="M447" s="23"/>
      <c r="N447" s="23"/>
      <c r="O447" s="26"/>
      <c r="P447" s="26"/>
      <c r="Q447" s="26"/>
      <c r="R447" s="22"/>
      <c r="S447" s="24"/>
      <c r="T447" s="24"/>
      <c r="U447" s="24"/>
      <c r="V447" s="24"/>
      <c r="W447" s="24"/>
      <c r="X447" s="22"/>
      <c r="Y447" s="4" t="str">
        <f>IF(Tabela2[[#This Row],[SIGLA]]="","",VLOOKUP(Tabela2[[#This Row],[SIGLA]],Tabela1[[#All],[Sigla Arte]:[Crédito]],2,0))</f>
        <v/>
      </c>
      <c r="Z447" s="23"/>
      <c r="AA447" s="23" t="str">
        <f>Tabela2[[#This Row],[ILUSTRADOR CRIAÇÃO]]</f>
        <v/>
      </c>
      <c r="AB447" s="22"/>
      <c r="AC447" s="20"/>
      <c r="AD447" s="20"/>
      <c r="AE447" s="4" t="str">
        <f t="shared" si="6"/>
        <v>EF1 E002 Ing</v>
      </c>
    </row>
    <row r="448" spans="1:31" s="12" customFormat="1" x14ac:dyDescent="0.25">
      <c r="A448" s="23"/>
      <c r="B448" s="20"/>
      <c r="C448" s="20"/>
      <c r="D448" s="20"/>
      <c r="E448" s="22"/>
      <c r="F448" s="22"/>
      <c r="G448" s="22"/>
      <c r="H448" s="22"/>
      <c r="I448" s="23"/>
      <c r="J448" s="23"/>
      <c r="K448" s="22"/>
      <c r="L448" s="22"/>
      <c r="M448" s="23"/>
      <c r="N448" s="23"/>
      <c r="O448" s="26"/>
      <c r="P448" s="26"/>
      <c r="Q448" s="26"/>
      <c r="R448" s="22"/>
      <c r="S448" s="24"/>
      <c r="T448" s="24"/>
      <c r="U448" s="24"/>
      <c r="V448" s="24"/>
      <c r="W448" s="24"/>
      <c r="X448" s="22"/>
      <c r="Y448" s="4" t="str">
        <f>IF(Tabela2[[#This Row],[SIGLA]]="","",VLOOKUP(Tabela2[[#This Row],[SIGLA]],Tabela1[[#All],[Sigla Arte]:[Crédito]],2,0))</f>
        <v/>
      </c>
      <c r="Z448" s="23"/>
      <c r="AA448" s="23" t="str">
        <f>Tabela2[[#This Row],[ILUSTRADOR CRIAÇÃO]]</f>
        <v/>
      </c>
      <c r="AB448" s="22"/>
      <c r="AC448" s="20"/>
      <c r="AD448" s="20"/>
      <c r="AE448" s="4" t="str">
        <f t="shared" si="6"/>
        <v>EF1 E002 Ing</v>
      </c>
    </row>
    <row r="449" spans="1:31" s="12" customFormat="1" x14ac:dyDescent="0.25">
      <c r="A449" s="23"/>
      <c r="B449" s="20"/>
      <c r="C449" s="20"/>
      <c r="D449" s="20"/>
      <c r="E449" s="22"/>
      <c r="F449" s="22"/>
      <c r="G449" s="22"/>
      <c r="H449" s="22"/>
      <c r="I449" s="23"/>
      <c r="J449" s="23"/>
      <c r="K449" s="22"/>
      <c r="L449" s="22"/>
      <c r="M449" s="23"/>
      <c r="N449" s="23"/>
      <c r="O449" s="26"/>
      <c r="P449" s="26"/>
      <c r="Q449" s="26"/>
      <c r="R449" s="22"/>
      <c r="S449" s="24"/>
      <c r="T449" s="24"/>
      <c r="U449" s="24"/>
      <c r="V449" s="24"/>
      <c r="W449" s="24"/>
      <c r="X449" s="22"/>
      <c r="Y449" s="4" t="str">
        <f>IF(Tabela2[[#This Row],[SIGLA]]="","",VLOOKUP(Tabela2[[#This Row],[SIGLA]],Tabela1[[#All],[Sigla Arte]:[Crédito]],2,0))</f>
        <v/>
      </c>
      <c r="Z449" s="23"/>
      <c r="AA449" s="23" t="str">
        <f>Tabela2[[#This Row],[ILUSTRADOR CRIAÇÃO]]</f>
        <v/>
      </c>
      <c r="AB449" s="22"/>
      <c r="AC449" s="20"/>
      <c r="AD449" s="20"/>
      <c r="AE449" s="4" t="str">
        <f t="shared" si="6"/>
        <v>EF1 E002 Ing</v>
      </c>
    </row>
    <row r="450" spans="1:31" s="12" customFormat="1" x14ac:dyDescent="0.25">
      <c r="A450" s="23"/>
      <c r="B450" s="20"/>
      <c r="C450" s="20"/>
      <c r="D450" s="20"/>
      <c r="E450" s="22"/>
      <c r="F450" s="22"/>
      <c r="G450" s="22"/>
      <c r="H450" s="22"/>
      <c r="I450" s="23"/>
      <c r="J450" s="23"/>
      <c r="K450" s="22"/>
      <c r="L450" s="22"/>
      <c r="M450" s="23"/>
      <c r="N450" s="23"/>
      <c r="O450" s="26"/>
      <c r="P450" s="26"/>
      <c r="Q450" s="26"/>
      <c r="R450" s="22"/>
      <c r="S450" s="24"/>
      <c r="T450" s="24"/>
      <c r="U450" s="24"/>
      <c r="V450" s="24"/>
      <c r="W450" s="24"/>
      <c r="X450" s="22"/>
      <c r="Y450" s="4" t="str">
        <f>IF(Tabela2[[#This Row],[SIGLA]]="","",VLOOKUP(Tabela2[[#This Row],[SIGLA]],Tabela1[[#All],[Sigla Arte]:[Crédito]],2,0))</f>
        <v/>
      </c>
      <c r="Z450" s="23"/>
      <c r="AA450" s="23" t="str">
        <f>Tabela2[[#This Row],[ILUSTRADOR CRIAÇÃO]]</f>
        <v/>
      </c>
      <c r="AB450" s="22"/>
      <c r="AC450" s="20"/>
      <c r="AD450" s="20"/>
      <c r="AE450" s="4" t="str">
        <f t="shared" ref="AE450:AE500" si="7">"EF1 E002 Ing"</f>
        <v>EF1 E002 Ing</v>
      </c>
    </row>
    <row r="451" spans="1:31" s="12" customFormat="1" x14ac:dyDescent="0.25">
      <c r="A451" s="23"/>
      <c r="B451" s="20"/>
      <c r="C451" s="20"/>
      <c r="D451" s="20"/>
      <c r="E451" s="22"/>
      <c r="F451" s="22"/>
      <c r="G451" s="22"/>
      <c r="H451" s="22"/>
      <c r="I451" s="23"/>
      <c r="J451" s="23"/>
      <c r="K451" s="22"/>
      <c r="L451" s="22"/>
      <c r="M451" s="23"/>
      <c r="N451" s="23"/>
      <c r="O451" s="26"/>
      <c r="P451" s="26"/>
      <c r="Q451" s="26"/>
      <c r="R451" s="22"/>
      <c r="S451" s="24"/>
      <c r="T451" s="24"/>
      <c r="U451" s="24"/>
      <c r="V451" s="24"/>
      <c r="W451" s="24"/>
      <c r="X451" s="22"/>
      <c r="Y451" s="4" t="str">
        <f>IF(Tabela2[[#This Row],[SIGLA]]="","",VLOOKUP(Tabela2[[#This Row],[SIGLA]],Tabela1[[#All],[Sigla Arte]:[Crédito]],2,0))</f>
        <v/>
      </c>
      <c r="Z451" s="23"/>
      <c r="AA451" s="23" t="str">
        <f>Tabela2[[#This Row],[ILUSTRADOR CRIAÇÃO]]</f>
        <v/>
      </c>
      <c r="AB451" s="22"/>
      <c r="AC451" s="20"/>
      <c r="AD451" s="20"/>
      <c r="AE451" s="4" t="str">
        <f t="shared" si="7"/>
        <v>EF1 E002 Ing</v>
      </c>
    </row>
    <row r="452" spans="1:31" s="12" customFormat="1" x14ac:dyDescent="0.25">
      <c r="A452" s="23"/>
      <c r="B452" s="20"/>
      <c r="C452" s="20"/>
      <c r="D452" s="20"/>
      <c r="E452" s="22"/>
      <c r="F452" s="22"/>
      <c r="G452" s="22"/>
      <c r="H452" s="22"/>
      <c r="I452" s="23"/>
      <c r="J452" s="23"/>
      <c r="K452" s="22"/>
      <c r="L452" s="22"/>
      <c r="M452" s="23"/>
      <c r="N452" s="23"/>
      <c r="O452" s="26"/>
      <c r="P452" s="26"/>
      <c r="Q452" s="26"/>
      <c r="R452" s="22"/>
      <c r="S452" s="24"/>
      <c r="T452" s="24"/>
      <c r="U452" s="24"/>
      <c r="V452" s="24"/>
      <c r="W452" s="24"/>
      <c r="X452" s="22"/>
      <c r="Y452" s="4" t="str">
        <f>IF(Tabela2[[#This Row],[SIGLA]]="","",VLOOKUP(Tabela2[[#This Row],[SIGLA]],Tabela1[[#All],[Sigla Arte]:[Crédito]],2,0))</f>
        <v/>
      </c>
      <c r="Z452" s="23"/>
      <c r="AA452" s="23" t="str">
        <f>Tabela2[[#This Row],[ILUSTRADOR CRIAÇÃO]]</f>
        <v/>
      </c>
      <c r="AB452" s="22"/>
      <c r="AC452" s="20"/>
      <c r="AD452" s="20"/>
      <c r="AE452" s="4" t="str">
        <f t="shared" si="7"/>
        <v>EF1 E002 Ing</v>
      </c>
    </row>
    <row r="453" spans="1:31" s="12" customFormat="1" x14ac:dyDescent="0.25">
      <c r="A453" s="23"/>
      <c r="B453" s="20"/>
      <c r="C453" s="20"/>
      <c r="D453" s="20"/>
      <c r="E453" s="22"/>
      <c r="F453" s="22"/>
      <c r="G453" s="22"/>
      <c r="H453" s="22"/>
      <c r="I453" s="23"/>
      <c r="J453" s="23"/>
      <c r="K453" s="22"/>
      <c r="L453" s="22"/>
      <c r="M453" s="23"/>
      <c r="N453" s="23"/>
      <c r="O453" s="26"/>
      <c r="P453" s="26"/>
      <c r="Q453" s="26"/>
      <c r="R453" s="22"/>
      <c r="S453" s="24"/>
      <c r="T453" s="24"/>
      <c r="U453" s="24"/>
      <c r="V453" s="24"/>
      <c r="W453" s="24"/>
      <c r="X453" s="22"/>
      <c r="Y453" s="4" t="str">
        <f>IF(Tabela2[[#This Row],[SIGLA]]="","",VLOOKUP(Tabela2[[#This Row],[SIGLA]],Tabela1[[#All],[Sigla Arte]:[Crédito]],2,0))</f>
        <v/>
      </c>
      <c r="Z453" s="23"/>
      <c r="AA453" s="23" t="str">
        <f>Tabela2[[#This Row],[ILUSTRADOR CRIAÇÃO]]</f>
        <v/>
      </c>
      <c r="AB453" s="22"/>
      <c r="AC453" s="20"/>
      <c r="AD453" s="20"/>
      <c r="AE453" s="4" t="str">
        <f t="shared" si="7"/>
        <v>EF1 E002 Ing</v>
      </c>
    </row>
    <row r="454" spans="1:31" s="12" customFormat="1" x14ac:dyDescent="0.25">
      <c r="A454" s="23"/>
      <c r="B454" s="20"/>
      <c r="C454" s="20"/>
      <c r="D454" s="20"/>
      <c r="E454" s="22"/>
      <c r="F454" s="22"/>
      <c r="G454" s="22"/>
      <c r="H454" s="22"/>
      <c r="I454" s="23"/>
      <c r="J454" s="23"/>
      <c r="K454" s="22"/>
      <c r="L454" s="22"/>
      <c r="M454" s="23"/>
      <c r="N454" s="23"/>
      <c r="O454" s="26"/>
      <c r="P454" s="26"/>
      <c r="Q454" s="26"/>
      <c r="R454" s="22"/>
      <c r="S454" s="24"/>
      <c r="T454" s="24"/>
      <c r="U454" s="24"/>
      <c r="V454" s="24"/>
      <c r="W454" s="24"/>
      <c r="X454" s="22"/>
      <c r="Y454" s="4" t="str">
        <f>IF(Tabela2[[#This Row],[SIGLA]]="","",VLOOKUP(Tabela2[[#This Row],[SIGLA]],Tabela1[[#All],[Sigla Arte]:[Crédito]],2,0))</f>
        <v/>
      </c>
      <c r="Z454" s="23"/>
      <c r="AA454" s="23" t="str">
        <f>Tabela2[[#This Row],[ILUSTRADOR CRIAÇÃO]]</f>
        <v/>
      </c>
      <c r="AB454" s="22"/>
      <c r="AC454" s="20"/>
      <c r="AD454" s="20"/>
      <c r="AE454" s="4" t="str">
        <f t="shared" si="7"/>
        <v>EF1 E002 Ing</v>
      </c>
    </row>
    <row r="455" spans="1:31" s="12" customFormat="1" x14ac:dyDescent="0.25">
      <c r="A455" s="23"/>
      <c r="B455" s="20"/>
      <c r="C455" s="20"/>
      <c r="D455" s="20"/>
      <c r="E455" s="22"/>
      <c r="F455" s="22"/>
      <c r="G455" s="22"/>
      <c r="H455" s="22"/>
      <c r="I455" s="23"/>
      <c r="J455" s="23"/>
      <c r="K455" s="22"/>
      <c r="L455" s="22"/>
      <c r="M455" s="23"/>
      <c r="N455" s="23"/>
      <c r="O455" s="26"/>
      <c r="P455" s="26"/>
      <c r="Q455" s="26"/>
      <c r="R455" s="22"/>
      <c r="S455" s="24"/>
      <c r="T455" s="24"/>
      <c r="U455" s="24"/>
      <c r="V455" s="24"/>
      <c r="W455" s="24"/>
      <c r="X455" s="22"/>
      <c r="Y455" s="4" t="str">
        <f>IF(Tabela2[[#This Row],[SIGLA]]="","",VLOOKUP(Tabela2[[#This Row],[SIGLA]],Tabela1[[#All],[Sigla Arte]:[Crédito]],2,0))</f>
        <v/>
      </c>
      <c r="Z455" s="23"/>
      <c r="AA455" s="23" t="str">
        <f>Tabela2[[#This Row],[ILUSTRADOR CRIAÇÃO]]</f>
        <v/>
      </c>
      <c r="AB455" s="22"/>
      <c r="AC455" s="20"/>
      <c r="AD455" s="20"/>
      <c r="AE455" s="4" t="str">
        <f t="shared" si="7"/>
        <v>EF1 E002 Ing</v>
      </c>
    </row>
    <row r="456" spans="1:31" s="12" customFormat="1" x14ac:dyDescent="0.25">
      <c r="A456" s="23"/>
      <c r="B456" s="20"/>
      <c r="C456" s="20"/>
      <c r="D456" s="20"/>
      <c r="E456" s="22"/>
      <c r="F456" s="22"/>
      <c r="G456" s="22"/>
      <c r="H456" s="22"/>
      <c r="I456" s="23"/>
      <c r="J456" s="23"/>
      <c r="K456" s="22"/>
      <c r="L456" s="22"/>
      <c r="M456" s="23"/>
      <c r="N456" s="23"/>
      <c r="O456" s="26"/>
      <c r="P456" s="26"/>
      <c r="Q456" s="26"/>
      <c r="R456" s="22"/>
      <c r="S456" s="24"/>
      <c r="T456" s="24"/>
      <c r="U456" s="24"/>
      <c r="V456" s="24"/>
      <c r="W456" s="24"/>
      <c r="X456" s="22"/>
      <c r="Y456" s="4" t="str">
        <f>IF(Tabela2[[#This Row],[SIGLA]]="","",VLOOKUP(Tabela2[[#This Row],[SIGLA]],Tabela1[[#All],[Sigla Arte]:[Crédito]],2,0))</f>
        <v/>
      </c>
      <c r="Z456" s="23"/>
      <c r="AA456" s="23" t="str">
        <f>Tabela2[[#This Row],[ILUSTRADOR CRIAÇÃO]]</f>
        <v/>
      </c>
      <c r="AB456" s="22"/>
      <c r="AC456" s="20"/>
      <c r="AD456" s="20"/>
      <c r="AE456" s="4" t="str">
        <f t="shared" si="7"/>
        <v>EF1 E002 Ing</v>
      </c>
    </row>
    <row r="457" spans="1:31" s="12" customFormat="1" x14ac:dyDescent="0.25">
      <c r="A457" s="23"/>
      <c r="B457" s="20"/>
      <c r="C457" s="20"/>
      <c r="D457" s="20"/>
      <c r="E457" s="22"/>
      <c r="F457" s="22"/>
      <c r="G457" s="22"/>
      <c r="H457" s="22"/>
      <c r="I457" s="23"/>
      <c r="J457" s="23"/>
      <c r="K457" s="22"/>
      <c r="L457" s="22"/>
      <c r="M457" s="23"/>
      <c r="N457" s="23"/>
      <c r="O457" s="26"/>
      <c r="P457" s="26"/>
      <c r="Q457" s="26"/>
      <c r="R457" s="22"/>
      <c r="S457" s="24"/>
      <c r="T457" s="24"/>
      <c r="U457" s="24"/>
      <c r="V457" s="24"/>
      <c r="W457" s="24"/>
      <c r="X457" s="22"/>
      <c r="Y457" s="4" t="str">
        <f>IF(Tabela2[[#This Row],[SIGLA]]="","",VLOOKUP(Tabela2[[#This Row],[SIGLA]],Tabela1[[#All],[Sigla Arte]:[Crédito]],2,0))</f>
        <v/>
      </c>
      <c r="Z457" s="23"/>
      <c r="AA457" s="23" t="str">
        <f>Tabela2[[#This Row],[ILUSTRADOR CRIAÇÃO]]</f>
        <v/>
      </c>
      <c r="AB457" s="22"/>
      <c r="AC457" s="20"/>
      <c r="AD457" s="20"/>
      <c r="AE457" s="4" t="str">
        <f t="shared" si="7"/>
        <v>EF1 E002 Ing</v>
      </c>
    </row>
    <row r="458" spans="1:31" s="12" customFormat="1" x14ac:dyDescent="0.25">
      <c r="A458" s="23"/>
      <c r="B458" s="20"/>
      <c r="C458" s="20"/>
      <c r="D458" s="20"/>
      <c r="E458" s="22"/>
      <c r="F458" s="22"/>
      <c r="G458" s="22"/>
      <c r="H458" s="22"/>
      <c r="I458" s="23"/>
      <c r="J458" s="23"/>
      <c r="K458" s="22"/>
      <c r="L458" s="22"/>
      <c r="M458" s="23"/>
      <c r="N458" s="23"/>
      <c r="O458" s="26"/>
      <c r="P458" s="26"/>
      <c r="Q458" s="26"/>
      <c r="R458" s="22"/>
      <c r="S458" s="24"/>
      <c r="T458" s="24"/>
      <c r="U458" s="24"/>
      <c r="V458" s="24"/>
      <c r="W458" s="24"/>
      <c r="X458" s="22"/>
      <c r="Y458" s="4" t="str">
        <f>IF(Tabela2[[#This Row],[SIGLA]]="","",VLOOKUP(Tabela2[[#This Row],[SIGLA]],Tabela1[[#All],[Sigla Arte]:[Crédito]],2,0))</f>
        <v/>
      </c>
      <c r="Z458" s="23"/>
      <c r="AA458" s="23" t="str">
        <f>Tabela2[[#This Row],[ILUSTRADOR CRIAÇÃO]]</f>
        <v/>
      </c>
      <c r="AB458" s="22"/>
      <c r="AC458" s="20"/>
      <c r="AD458" s="20"/>
      <c r="AE458" s="4" t="str">
        <f t="shared" si="7"/>
        <v>EF1 E002 Ing</v>
      </c>
    </row>
    <row r="459" spans="1:31" s="12" customFormat="1" x14ac:dyDescent="0.25">
      <c r="A459" s="23"/>
      <c r="B459" s="20"/>
      <c r="C459" s="20"/>
      <c r="D459" s="20"/>
      <c r="E459" s="22"/>
      <c r="F459" s="22"/>
      <c r="G459" s="22"/>
      <c r="H459" s="22"/>
      <c r="I459" s="23"/>
      <c r="J459" s="23"/>
      <c r="K459" s="22"/>
      <c r="L459" s="22"/>
      <c r="M459" s="23"/>
      <c r="N459" s="23"/>
      <c r="O459" s="26"/>
      <c r="P459" s="26"/>
      <c r="Q459" s="26"/>
      <c r="R459" s="22"/>
      <c r="S459" s="24"/>
      <c r="T459" s="24"/>
      <c r="U459" s="24"/>
      <c r="V459" s="24"/>
      <c r="W459" s="24"/>
      <c r="X459" s="22"/>
      <c r="Y459" s="4" t="str">
        <f>IF(Tabela2[[#This Row],[SIGLA]]="","",VLOOKUP(Tabela2[[#This Row],[SIGLA]],Tabela1[[#All],[Sigla Arte]:[Crédito]],2,0))</f>
        <v/>
      </c>
      <c r="Z459" s="23"/>
      <c r="AA459" s="23" t="str">
        <f>Tabela2[[#This Row],[ILUSTRADOR CRIAÇÃO]]</f>
        <v/>
      </c>
      <c r="AB459" s="22"/>
      <c r="AC459" s="20"/>
      <c r="AD459" s="20"/>
      <c r="AE459" s="4" t="str">
        <f t="shared" si="7"/>
        <v>EF1 E002 Ing</v>
      </c>
    </row>
    <row r="460" spans="1:31" s="12" customFormat="1" x14ac:dyDescent="0.25">
      <c r="A460" s="23"/>
      <c r="B460" s="20"/>
      <c r="C460" s="20"/>
      <c r="D460" s="20"/>
      <c r="E460" s="22"/>
      <c r="F460" s="22"/>
      <c r="G460" s="22"/>
      <c r="H460" s="22"/>
      <c r="I460" s="23"/>
      <c r="J460" s="23"/>
      <c r="K460" s="22"/>
      <c r="L460" s="22"/>
      <c r="M460" s="23"/>
      <c r="N460" s="23"/>
      <c r="O460" s="26"/>
      <c r="P460" s="26"/>
      <c r="Q460" s="26"/>
      <c r="R460" s="22"/>
      <c r="S460" s="24"/>
      <c r="T460" s="24"/>
      <c r="U460" s="24"/>
      <c r="V460" s="24"/>
      <c r="W460" s="24"/>
      <c r="X460" s="22"/>
      <c r="Y460" s="4" t="str">
        <f>IF(Tabela2[[#This Row],[SIGLA]]="","",VLOOKUP(Tabela2[[#This Row],[SIGLA]],Tabela1[[#All],[Sigla Arte]:[Crédito]],2,0))</f>
        <v/>
      </c>
      <c r="Z460" s="23"/>
      <c r="AA460" s="23" t="str">
        <f>Tabela2[[#This Row],[ILUSTRADOR CRIAÇÃO]]</f>
        <v/>
      </c>
      <c r="AB460" s="22"/>
      <c r="AC460" s="20"/>
      <c r="AD460" s="20"/>
      <c r="AE460" s="4" t="str">
        <f t="shared" si="7"/>
        <v>EF1 E002 Ing</v>
      </c>
    </row>
    <row r="461" spans="1:31" s="12" customFormat="1" x14ac:dyDescent="0.25">
      <c r="A461" s="23"/>
      <c r="B461" s="20"/>
      <c r="C461" s="20"/>
      <c r="D461" s="20"/>
      <c r="E461" s="22"/>
      <c r="F461" s="22"/>
      <c r="G461" s="22"/>
      <c r="H461" s="22"/>
      <c r="I461" s="23"/>
      <c r="J461" s="23"/>
      <c r="K461" s="22"/>
      <c r="L461" s="22"/>
      <c r="M461" s="23"/>
      <c r="N461" s="23"/>
      <c r="O461" s="26"/>
      <c r="P461" s="26"/>
      <c r="Q461" s="26"/>
      <c r="R461" s="22"/>
      <c r="S461" s="24"/>
      <c r="T461" s="24"/>
      <c r="U461" s="24"/>
      <c r="V461" s="24"/>
      <c r="W461" s="24"/>
      <c r="X461" s="22"/>
      <c r="Y461" s="4" t="str">
        <f>IF(Tabela2[[#This Row],[SIGLA]]="","",VLOOKUP(Tabela2[[#This Row],[SIGLA]],Tabela1[[#All],[Sigla Arte]:[Crédito]],2,0))</f>
        <v/>
      </c>
      <c r="Z461" s="23"/>
      <c r="AA461" s="23" t="str">
        <f>Tabela2[[#This Row],[ILUSTRADOR CRIAÇÃO]]</f>
        <v/>
      </c>
      <c r="AB461" s="22"/>
      <c r="AC461" s="20"/>
      <c r="AD461" s="20"/>
      <c r="AE461" s="4" t="str">
        <f t="shared" si="7"/>
        <v>EF1 E002 Ing</v>
      </c>
    </row>
    <row r="462" spans="1:31" s="12" customFormat="1" x14ac:dyDescent="0.25">
      <c r="A462" s="23"/>
      <c r="B462" s="20"/>
      <c r="C462" s="20"/>
      <c r="D462" s="20"/>
      <c r="E462" s="22"/>
      <c r="F462" s="22"/>
      <c r="G462" s="22"/>
      <c r="H462" s="22"/>
      <c r="I462" s="23"/>
      <c r="J462" s="23"/>
      <c r="K462" s="22"/>
      <c r="L462" s="22"/>
      <c r="M462" s="23"/>
      <c r="N462" s="23"/>
      <c r="O462" s="26"/>
      <c r="P462" s="26"/>
      <c r="Q462" s="26"/>
      <c r="R462" s="22"/>
      <c r="S462" s="24"/>
      <c r="T462" s="24"/>
      <c r="U462" s="24"/>
      <c r="V462" s="24"/>
      <c r="W462" s="24"/>
      <c r="X462" s="22"/>
      <c r="Y462" s="4" t="str">
        <f>IF(Tabela2[[#This Row],[SIGLA]]="","",VLOOKUP(Tabela2[[#This Row],[SIGLA]],Tabela1[[#All],[Sigla Arte]:[Crédito]],2,0))</f>
        <v/>
      </c>
      <c r="Z462" s="23"/>
      <c r="AA462" s="23" t="str">
        <f>Tabela2[[#This Row],[ILUSTRADOR CRIAÇÃO]]</f>
        <v/>
      </c>
      <c r="AB462" s="22"/>
      <c r="AC462" s="20"/>
      <c r="AD462" s="20"/>
      <c r="AE462" s="4" t="str">
        <f t="shared" si="7"/>
        <v>EF1 E002 Ing</v>
      </c>
    </row>
    <row r="463" spans="1:31" s="12" customFormat="1" x14ac:dyDescent="0.25">
      <c r="A463" s="23"/>
      <c r="B463" s="20"/>
      <c r="C463" s="20"/>
      <c r="D463" s="20"/>
      <c r="E463" s="22"/>
      <c r="F463" s="22"/>
      <c r="G463" s="22"/>
      <c r="H463" s="22"/>
      <c r="I463" s="23"/>
      <c r="J463" s="23"/>
      <c r="K463" s="22"/>
      <c r="L463" s="22"/>
      <c r="M463" s="23"/>
      <c r="N463" s="23"/>
      <c r="O463" s="26"/>
      <c r="P463" s="26"/>
      <c r="Q463" s="26"/>
      <c r="R463" s="22"/>
      <c r="S463" s="24"/>
      <c r="T463" s="24"/>
      <c r="U463" s="24"/>
      <c r="V463" s="24"/>
      <c r="W463" s="24"/>
      <c r="X463" s="22"/>
      <c r="Y463" s="4" t="str">
        <f>IF(Tabela2[[#This Row],[SIGLA]]="","",VLOOKUP(Tabela2[[#This Row],[SIGLA]],Tabela1[[#All],[Sigla Arte]:[Crédito]],2,0))</f>
        <v/>
      </c>
      <c r="Z463" s="23"/>
      <c r="AA463" s="23" t="str">
        <f>Tabela2[[#This Row],[ILUSTRADOR CRIAÇÃO]]</f>
        <v/>
      </c>
      <c r="AB463" s="22"/>
      <c r="AC463" s="20"/>
      <c r="AD463" s="20"/>
      <c r="AE463" s="4" t="str">
        <f t="shared" si="7"/>
        <v>EF1 E002 Ing</v>
      </c>
    </row>
    <row r="464" spans="1:31" s="12" customFormat="1" x14ac:dyDescent="0.25">
      <c r="A464" s="23"/>
      <c r="B464" s="20"/>
      <c r="C464" s="20"/>
      <c r="D464" s="20"/>
      <c r="E464" s="22"/>
      <c r="F464" s="22"/>
      <c r="G464" s="22"/>
      <c r="H464" s="22"/>
      <c r="I464" s="23"/>
      <c r="J464" s="23"/>
      <c r="K464" s="22"/>
      <c r="L464" s="22"/>
      <c r="M464" s="23"/>
      <c r="N464" s="23"/>
      <c r="O464" s="26"/>
      <c r="P464" s="26"/>
      <c r="Q464" s="26"/>
      <c r="R464" s="22"/>
      <c r="S464" s="24"/>
      <c r="T464" s="24"/>
      <c r="U464" s="24"/>
      <c r="V464" s="24"/>
      <c r="W464" s="24"/>
      <c r="X464" s="22"/>
      <c r="Y464" s="4" t="str">
        <f>IF(Tabela2[[#This Row],[SIGLA]]="","",VLOOKUP(Tabela2[[#This Row],[SIGLA]],Tabela1[[#All],[Sigla Arte]:[Crédito]],2,0))</f>
        <v/>
      </c>
      <c r="Z464" s="23"/>
      <c r="AA464" s="23" t="str">
        <f>Tabela2[[#This Row],[ILUSTRADOR CRIAÇÃO]]</f>
        <v/>
      </c>
      <c r="AB464" s="22"/>
      <c r="AC464" s="20"/>
      <c r="AD464" s="20"/>
      <c r="AE464" s="4" t="str">
        <f t="shared" si="7"/>
        <v>EF1 E002 Ing</v>
      </c>
    </row>
    <row r="465" spans="1:31" s="12" customFormat="1" x14ac:dyDescent="0.25">
      <c r="A465" s="23"/>
      <c r="B465" s="20"/>
      <c r="C465" s="20"/>
      <c r="D465" s="20"/>
      <c r="E465" s="22"/>
      <c r="F465" s="22"/>
      <c r="G465" s="22"/>
      <c r="H465" s="22"/>
      <c r="I465" s="23"/>
      <c r="J465" s="23"/>
      <c r="K465" s="22"/>
      <c r="L465" s="22"/>
      <c r="M465" s="23"/>
      <c r="N465" s="23"/>
      <c r="O465" s="26"/>
      <c r="P465" s="26"/>
      <c r="Q465" s="26"/>
      <c r="R465" s="22"/>
      <c r="S465" s="24"/>
      <c r="T465" s="24"/>
      <c r="U465" s="24"/>
      <c r="V465" s="24"/>
      <c r="W465" s="24"/>
      <c r="X465" s="22"/>
      <c r="Y465" s="4" t="str">
        <f>IF(Tabela2[[#This Row],[SIGLA]]="","",VLOOKUP(Tabela2[[#This Row],[SIGLA]],Tabela1[[#All],[Sigla Arte]:[Crédito]],2,0))</f>
        <v/>
      </c>
      <c r="Z465" s="23"/>
      <c r="AA465" s="23" t="str">
        <f>Tabela2[[#This Row],[ILUSTRADOR CRIAÇÃO]]</f>
        <v/>
      </c>
      <c r="AB465" s="22"/>
      <c r="AC465" s="20"/>
      <c r="AD465" s="20"/>
      <c r="AE465" s="4" t="str">
        <f t="shared" si="7"/>
        <v>EF1 E002 Ing</v>
      </c>
    </row>
    <row r="466" spans="1:31" s="12" customFormat="1" x14ac:dyDescent="0.25">
      <c r="A466" s="23"/>
      <c r="B466" s="20"/>
      <c r="C466" s="20"/>
      <c r="D466" s="20"/>
      <c r="E466" s="22"/>
      <c r="F466" s="22"/>
      <c r="G466" s="22"/>
      <c r="H466" s="22"/>
      <c r="I466" s="23"/>
      <c r="J466" s="23"/>
      <c r="K466" s="22"/>
      <c r="L466" s="22"/>
      <c r="M466" s="23"/>
      <c r="N466" s="23"/>
      <c r="O466" s="26"/>
      <c r="P466" s="26"/>
      <c r="Q466" s="26"/>
      <c r="R466" s="22"/>
      <c r="S466" s="24"/>
      <c r="T466" s="24"/>
      <c r="U466" s="24"/>
      <c r="V466" s="24"/>
      <c r="W466" s="24"/>
      <c r="X466" s="22"/>
      <c r="Y466" s="4" t="str">
        <f>IF(Tabela2[[#This Row],[SIGLA]]="","",VLOOKUP(Tabela2[[#This Row],[SIGLA]],Tabela1[[#All],[Sigla Arte]:[Crédito]],2,0))</f>
        <v/>
      </c>
      <c r="Z466" s="23"/>
      <c r="AA466" s="23" t="str">
        <f>Tabela2[[#This Row],[ILUSTRADOR CRIAÇÃO]]</f>
        <v/>
      </c>
      <c r="AB466" s="22"/>
      <c r="AC466" s="20"/>
      <c r="AD466" s="20"/>
      <c r="AE466" s="4" t="str">
        <f t="shared" si="7"/>
        <v>EF1 E002 Ing</v>
      </c>
    </row>
    <row r="467" spans="1:31" s="12" customFormat="1" x14ac:dyDescent="0.25">
      <c r="A467" s="23"/>
      <c r="B467" s="20"/>
      <c r="C467" s="20"/>
      <c r="D467" s="20"/>
      <c r="E467" s="22"/>
      <c r="F467" s="22"/>
      <c r="G467" s="22"/>
      <c r="H467" s="22"/>
      <c r="I467" s="23"/>
      <c r="J467" s="23"/>
      <c r="K467" s="22"/>
      <c r="L467" s="22"/>
      <c r="M467" s="23"/>
      <c r="N467" s="23"/>
      <c r="O467" s="26"/>
      <c r="P467" s="26"/>
      <c r="Q467" s="26"/>
      <c r="R467" s="22"/>
      <c r="S467" s="24"/>
      <c r="T467" s="24"/>
      <c r="U467" s="24"/>
      <c r="V467" s="24"/>
      <c r="W467" s="24"/>
      <c r="X467" s="22"/>
      <c r="Y467" s="4" t="str">
        <f>IF(Tabela2[[#This Row],[SIGLA]]="","",VLOOKUP(Tabela2[[#This Row],[SIGLA]],Tabela1[[#All],[Sigla Arte]:[Crédito]],2,0))</f>
        <v/>
      </c>
      <c r="Z467" s="23"/>
      <c r="AA467" s="23" t="str">
        <f>Tabela2[[#This Row],[ILUSTRADOR CRIAÇÃO]]</f>
        <v/>
      </c>
      <c r="AB467" s="22"/>
      <c r="AC467" s="20"/>
      <c r="AD467" s="20"/>
      <c r="AE467" s="4" t="str">
        <f t="shared" si="7"/>
        <v>EF1 E002 Ing</v>
      </c>
    </row>
    <row r="468" spans="1:31" s="12" customFormat="1" x14ac:dyDescent="0.25">
      <c r="A468" s="23"/>
      <c r="B468" s="20"/>
      <c r="C468" s="20"/>
      <c r="D468" s="20"/>
      <c r="E468" s="22"/>
      <c r="F468" s="22"/>
      <c r="G468" s="22"/>
      <c r="H468" s="22"/>
      <c r="I468" s="23"/>
      <c r="J468" s="23"/>
      <c r="K468" s="22"/>
      <c r="L468" s="22"/>
      <c r="M468" s="23"/>
      <c r="N468" s="23"/>
      <c r="O468" s="26"/>
      <c r="P468" s="26"/>
      <c r="Q468" s="26"/>
      <c r="R468" s="22"/>
      <c r="S468" s="24"/>
      <c r="T468" s="24"/>
      <c r="U468" s="24"/>
      <c r="V468" s="24"/>
      <c r="W468" s="24"/>
      <c r="X468" s="22"/>
      <c r="Y468" s="4" t="str">
        <f>IF(Tabela2[[#This Row],[SIGLA]]="","",VLOOKUP(Tabela2[[#This Row],[SIGLA]],Tabela1[[#All],[Sigla Arte]:[Crédito]],2,0))</f>
        <v/>
      </c>
      <c r="Z468" s="23"/>
      <c r="AA468" s="23" t="str">
        <f>Tabela2[[#This Row],[ILUSTRADOR CRIAÇÃO]]</f>
        <v/>
      </c>
      <c r="AB468" s="22"/>
      <c r="AC468" s="20"/>
      <c r="AD468" s="20"/>
      <c r="AE468" s="4" t="str">
        <f t="shared" si="7"/>
        <v>EF1 E002 Ing</v>
      </c>
    </row>
    <row r="469" spans="1:31" s="12" customFormat="1" x14ac:dyDescent="0.25">
      <c r="A469" s="23"/>
      <c r="B469" s="20"/>
      <c r="C469" s="20"/>
      <c r="D469" s="20"/>
      <c r="E469" s="22"/>
      <c r="F469" s="22"/>
      <c r="G469" s="22"/>
      <c r="H469" s="22"/>
      <c r="I469" s="23"/>
      <c r="J469" s="23"/>
      <c r="K469" s="22"/>
      <c r="L469" s="22"/>
      <c r="M469" s="23"/>
      <c r="N469" s="23"/>
      <c r="O469" s="26"/>
      <c r="P469" s="26"/>
      <c r="Q469" s="26"/>
      <c r="R469" s="22"/>
      <c r="S469" s="24"/>
      <c r="T469" s="24"/>
      <c r="U469" s="24"/>
      <c r="V469" s="24"/>
      <c r="W469" s="24"/>
      <c r="X469" s="22"/>
      <c r="Y469" s="4" t="str">
        <f>IF(Tabela2[[#This Row],[SIGLA]]="","",VLOOKUP(Tabela2[[#This Row],[SIGLA]],Tabela1[[#All],[Sigla Arte]:[Crédito]],2,0))</f>
        <v/>
      </c>
      <c r="Z469" s="23"/>
      <c r="AA469" s="23" t="str">
        <f>Tabela2[[#This Row],[ILUSTRADOR CRIAÇÃO]]</f>
        <v/>
      </c>
      <c r="AB469" s="22"/>
      <c r="AC469" s="20"/>
      <c r="AD469" s="20"/>
      <c r="AE469" s="4" t="str">
        <f t="shared" si="7"/>
        <v>EF1 E002 Ing</v>
      </c>
    </row>
    <row r="470" spans="1:31" s="12" customFormat="1" x14ac:dyDescent="0.25">
      <c r="A470" s="23"/>
      <c r="B470" s="20"/>
      <c r="C470" s="20"/>
      <c r="D470" s="20"/>
      <c r="E470" s="22"/>
      <c r="F470" s="22"/>
      <c r="G470" s="22"/>
      <c r="H470" s="22"/>
      <c r="I470" s="23"/>
      <c r="J470" s="23"/>
      <c r="K470" s="22"/>
      <c r="L470" s="22"/>
      <c r="M470" s="23"/>
      <c r="N470" s="23"/>
      <c r="O470" s="26"/>
      <c r="P470" s="26"/>
      <c r="Q470" s="26"/>
      <c r="R470" s="22"/>
      <c r="S470" s="24"/>
      <c r="T470" s="24"/>
      <c r="U470" s="24"/>
      <c r="V470" s="24"/>
      <c r="W470" s="24"/>
      <c r="X470" s="22"/>
      <c r="Y470" s="4" t="str">
        <f>IF(Tabela2[[#This Row],[SIGLA]]="","",VLOOKUP(Tabela2[[#This Row],[SIGLA]],Tabela1[[#All],[Sigla Arte]:[Crédito]],2,0))</f>
        <v/>
      </c>
      <c r="Z470" s="23"/>
      <c r="AA470" s="23" t="str">
        <f>Tabela2[[#This Row],[ILUSTRADOR CRIAÇÃO]]</f>
        <v/>
      </c>
      <c r="AB470" s="22"/>
      <c r="AC470" s="20"/>
      <c r="AD470" s="20"/>
      <c r="AE470" s="4" t="str">
        <f t="shared" si="7"/>
        <v>EF1 E002 Ing</v>
      </c>
    </row>
    <row r="471" spans="1:31" s="12" customFormat="1" x14ac:dyDescent="0.25">
      <c r="A471" s="23"/>
      <c r="B471" s="20"/>
      <c r="C471" s="20"/>
      <c r="D471" s="20"/>
      <c r="E471" s="22"/>
      <c r="F471" s="22"/>
      <c r="G471" s="22"/>
      <c r="H471" s="22"/>
      <c r="I471" s="23"/>
      <c r="J471" s="23"/>
      <c r="K471" s="22"/>
      <c r="L471" s="22"/>
      <c r="M471" s="23"/>
      <c r="N471" s="23"/>
      <c r="O471" s="26"/>
      <c r="P471" s="26"/>
      <c r="Q471" s="26"/>
      <c r="R471" s="22"/>
      <c r="S471" s="24"/>
      <c r="T471" s="24"/>
      <c r="U471" s="24"/>
      <c r="V471" s="24"/>
      <c r="W471" s="24"/>
      <c r="X471" s="22"/>
      <c r="Y471" s="4" t="str">
        <f>IF(Tabela2[[#This Row],[SIGLA]]="","",VLOOKUP(Tabela2[[#This Row],[SIGLA]],Tabela1[[#All],[Sigla Arte]:[Crédito]],2,0))</f>
        <v/>
      </c>
      <c r="Z471" s="23"/>
      <c r="AA471" s="23" t="str">
        <f>Tabela2[[#This Row],[ILUSTRADOR CRIAÇÃO]]</f>
        <v/>
      </c>
      <c r="AB471" s="22"/>
      <c r="AC471" s="20"/>
      <c r="AD471" s="20"/>
      <c r="AE471" s="4" t="str">
        <f t="shared" si="7"/>
        <v>EF1 E002 Ing</v>
      </c>
    </row>
    <row r="472" spans="1:31" s="12" customFormat="1" x14ac:dyDescent="0.25">
      <c r="A472" s="23"/>
      <c r="B472" s="20"/>
      <c r="C472" s="20"/>
      <c r="D472" s="20"/>
      <c r="E472" s="22"/>
      <c r="F472" s="22"/>
      <c r="G472" s="22"/>
      <c r="H472" s="22"/>
      <c r="I472" s="23"/>
      <c r="J472" s="23"/>
      <c r="K472" s="22"/>
      <c r="L472" s="22"/>
      <c r="M472" s="23"/>
      <c r="N472" s="23"/>
      <c r="O472" s="26"/>
      <c r="P472" s="26"/>
      <c r="Q472" s="26"/>
      <c r="R472" s="22"/>
      <c r="S472" s="24"/>
      <c r="T472" s="24"/>
      <c r="U472" s="24"/>
      <c r="V472" s="24"/>
      <c r="W472" s="24"/>
      <c r="X472" s="22"/>
      <c r="Y472" s="4" t="str">
        <f>IF(Tabela2[[#This Row],[SIGLA]]="","",VLOOKUP(Tabela2[[#This Row],[SIGLA]],Tabela1[[#All],[Sigla Arte]:[Crédito]],2,0))</f>
        <v/>
      </c>
      <c r="Z472" s="23"/>
      <c r="AA472" s="23" t="str">
        <f>Tabela2[[#This Row],[ILUSTRADOR CRIAÇÃO]]</f>
        <v/>
      </c>
      <c r="AB472" s="22"/>
      <c r="AC472" s="20"/>
      <c r="AD472" s="20"/>
      <c r="AE472" s="4" t="str">
        <f t="shared" si="7"/>
        <v>EF1 E002 Ing</v>
      </c>
    </row>
    <row r="473" spans="1:31" s="12" customFormat="1" x14ac:dyDescent="0.25">
      <c r="A473" s="23"/>
      <c r="B473" s="20"/>
      <c r="C473" s="20"/>
      <c r="D473" s="20"/>
      <c r="E473" s="22"/>
      <c r="F473" s="22"/>
      <c r="G473" s="22"/>
      <c r="H473" s="22"/>
      <c r="I473" s="23"/>
      <c r="J473" s="23"/>
      <c r="K473" s="22"/>
      <c r="L473" s="22"/>
      <c r="M473" s="23"/>
      <c r="N473" s="23"/>
      <c r="O473" s="26"/>
      <c r="P473" s="26"/>
      <c r="Q473" s="26"/>
      <c r="R473" s="22"/>
      <c r="S473" s="24"/>
      <c r="T473" s="24"/>
      <c r="U473" s="24"/>
      <c r="V473" s="24"/>
      <c r="W473" s="24"/>
      <c r="X473" s="22"/>
      <c r="Y473" s="4" t="str">
        <f>IF(Tabela2[[#This Row],[SIGLA]]="","",VLOOKUP(Tabela2[[#This Row],[SIGLA]],Tabela1[[#All],[Sigla Arte]:[Crédito]],2,0))</f>
        <v/>
      </c>
      <c r="Z473" s="23"/>
      <c r="AA473" s="23" t="str">
        <f>Tabela2[[#This Row],[ILUSTRADOR CRIAÇÃO]]</f>
        <v/>
      </c>
      <c r="AB473" s="22"/>
      <c r="AC473" s="20"/>
      <c r="AD473" s="20"/>
      <c r="AE473" s="4" t="str">
        <f t="shared" si="7"/>
        <v>EF1 E002 Ing</v>
      </c>
    </row>
    <row r="474" spans="1:31" s="12" customFormat="1" x14ac:dyDescent="0.25">
      <c r="A474" s="23"/>
      <c r="B474" s="20"/>
      <c r="C474" s="20"/>
      <c r="D474" s="20"/>
      <c r="E474" s="22"/>
      <c r="F474" s="22"/>
      <c r="G474" s="22"/>
      <c r="H474" s="22"/>
      <c r="I474" s="23"/>
      <c r="J474" s="23"/>
      <c r="K474" s="22"/>
      <c r="L474" s="22"/>
      <c r="M474" s="23"/>
      <c r="N474" s="23"/>
      <c r="O474" s="26"/>
      <c r="P474" s="26"/>
      <c r="Q474" s="26"/>
      <c r="R474" s="22"/>
      <c r="S474" s="24"/>
      <c r="T474" s="24"/>
      <c r="U474" s="24"/>
      <c r="V474" s="24"/>
      <c r="W474" s="24"/>
      <c r="X474" s="22"/>
      <c r="Y474" s="4" t="str">
        <f>IF(Tabela2[[#This Row],[SIGLA]]="","",VLOOKUP(Tabela2[[#This Row],[SIGLA]],Tabela1[[#All],[Sigla Arte]:[Crédito]],2,0))</f>
        <v/>
      </c>
      <c r="Z474" s="23"/>
      <c r="AA474" s="23" t="str">
        <f>Tabela2[[#This Row],[ILUSTRADOR CRIAÇÃO]]</f>
        <v/>
      </c>
      <c r="AB474" s="22"/>
      <c r="AC474" s="20"/>
      <c r="AD474" s="20"/>
      <c r="AE474" s="4" t="str">
        <f t="shared" si="7"/>
        <v>EF1 E002 Ing</v>
      </c>
    </row>
    <row r="475" spans="1:31" s="12" customFormat="1" x14ac:dyDescent="0.25">
      <c r="A475" s="23"/>
      <c r="B475" s="20"/>
      <c r="C475" s="20"/>
      <c r="D475" s="20"/>
      <c r="E475" s="22"/>
      <c r="F475" s="22"/>
      <c r="G475" s="22"/>
      <c r="H475" s="22"/>
      <c r="I475" s="23"/>
      <c r="J475" s="23"/>
      <c r="K475" s="22"/>
      <c r="L475" s="22"/>
      <c r="M475" s="23"/>
      <c r="N475" s="23"/>
      <c r="O475" s="26"/>
      <c r="P475" s="26"/>
      <c r="Q475" s="26"/>
      <c r="R475" s="22"/>
      <c r="S475" s="24"/>
      <c r="T475" s="24"/>
      <c r="U475" s="24"/>
      <c r="V475" s="24"/>
      <c r="W475" s="24"/>
      <c r="X475" s="22"/>
      <c r="Y475" s="4" t="str">
        <f>IF(Tabela2[[#This Row],[SIGLA]]="","",VLOOKUP(Tabela2[[#This Row],[SIGLA]],Tabela1[[#All],[Sigla Arte]:[Crédito]],2,0))</f>
        <v/>
      </c>
      <c r="Z475" s="23"/>
      <c r="AA475" s="23" t="str">
        <f>Tabela2[[#This Row],[ILUSTRADOR CRIAÇÃO]]</f>
        <v/>
      </c>
      <c r="AB475" s="22"/>
      <c r="AC475" s="20"/>
      <c r="AD475" s="20"/>
      <c r="AE475" s="4" t="str">
        <f t="shared" si="7"/>
        <v>EF1 E002 Ing</v>
      </c>
    </row>
    <row r="476" spans="1:31" s="12" customFormat="1" x14ac:dyDescent="0.25">
      <c r="A476" s="23"/>
      <c r="B476" s="20"/>
      <c r="C476" s="20"/>
      <c r="D476" s="20"/>
      <c r="E476" s="22"/>
      <c r="F476" s="22"/>
      <c r="G476" s="22"/>
      <c r="H476" s="22"/>
      <c r="I476" s="23"/>
      <c r="J476" s="23"/>
      <c r="K476" s="22"/>
      <c r="L476" s="22"/>
      <c r="M476" s="23"/>
      <c r="N476" s="23"/>
      <c r="O476" s="26"/>
      <c r="P476" s="26"/>
      <c r="Q476" s="26"/>
      <c r="R476" s="22"/>
      <c r="S476" s="24"/>
      <c r="T476" s="24"/>
      <c r="U476" s="24"/>
      <c r="V476" s="24"/>
      <c r="W476" s="24"/>
      <c r="X476" s="22"/>
      <c r="Y476" s="4" t="str">
        <f>IF(Tabela2[[#This Row],[SIGLA]]="","",VLOOKUP(Tabela2[[#This Row],[SIGLA]],Tabela1[[#All],[Sigla Arte]:[Crédito]],2,0))</f>
        <v/>
      </c>
      <c r="Z476" s="23"/>
      <c r="AA476" s="23" t="str">
        <f>Tabela2[[#This Row],[ILUSTRADOR CRIAÇÃO]]</f>
        <v/>
      </c>
      <c r="AB476" s="22"/>
      <c r="AC476" s="20"/>
      <c r="AD476" s="20"/>
      <c r="AE476" s="4" t="str">
        <f t="shared" si="7"/>
        <v>EF1 E002 Ing</v>
      </c>
    </row>
    <row r="477" spans="1:31" s="12" customFormat="1" x14ac:dyDescent="0.25">
      <c r="A477" s="23"/>
      <c r="B477" s="20"/>
      <c r="C477" s="20"/>
      <c r="D477" s="20"/>
      <c r="E477" s="22"/>
      <c r="F477" s="22"/>
      <c r="G477" s="22"/>
      <c r="H477" s="22"/>
      <c r="I477" s="23"/>
      <c r="J477" s="23"/>
      <c r="K477" s="22"/>
      <c r="L477" s="22"/>
      <c r="M477" s="23"/>
      <c r="N477" s="23"/>
      <c r="O477" s="26"/>
      <c r="P477" s="26"/>
      <c r="Q477" s="26"/>
      <c r="R477" s="22"/>
      <c r="S477" s="24"/>
      <c r="T477" s="24"/>
      <c r="U477" s="24"/>
      <c r="V477" s="24"/>
      <c r="W477" s="24"/>
      <c r="X477" s="22"/>
      <c r="Y477" s="4" t="str">
        <f>IF(Tabela2[[#This Row],[SIGLA]]="","",VLOOKUP(Tabela2[[#This Row],[SIGLA]],Tabela1[[#All],[Sigla Arte]:[Crédito]],2,0))</f>
        <v/>
      </c>
      <c r="Z477" s="23"/>
      <c r="AA477" s="23" t="str">
        <f>Tabela2[[#This Row],[ILUSTRADOR CRIAÇÃO]]</f>
        <v/>
      </c>
      <c r="AB477" s="22"/>
      <c r="AC477" s="20"/>
      <c r="AD477" s="20"/>
      <c r="AE477" s="4" t="str">
        <f t="shared" si="7"/>
        <v>EF1 E002 Ing</v>
      </c>
    </row>
    <row r="478" spans="1:31" s="12" customFormat="1" x14ac:dyDescent="0.25">
      <c r="A478" s="23"/>
      <c r="B478" s="20"/>
      <c r="C478" s="20"/>
      <c r="D478" s="20"/>
      <c r="E478" s="22"/>
      <c r="F478" s="22"/>
      <c r="G478" s="22"/>
      <c r="H478" s="22"/>
      <c r="I478" s="23"/>
      <c r="J478" s="23"/>
      <c r="K478" s="22"/>
      <c r="L478" s="22"/>
      <c r="M478" s="23"/>
      <c r="N478" s="23"/>
      <c r="O478" s="26"/>
      <c r="P478" s="26"/>
      <c r="Q478" s="26"/>
      <c r="R478" s="22"/>
      <c r="S478" s="24"/>
      <c r="T478" s="24"/>
      <c r="U478" s="24"/>
      <c r="V478" s="24"/>
      <c r="W478" s="24"/>
      <c r="X478" s="22"/>
      <c r="Y478" s="4" t="str">
        <f>IF(Tabela2[[#This Row],[SIGLA]]="","",VLOOKUP(Tabela2[[#This Row],[SIGLA]],Tabela1[[#All],[Sigla Arte]:[Crédito]],2,0))</f>
        <v/>
      </c>
      <c r="Z478" s="23"/>
      <c r="AA478" s="23" t="str">
        <f>Tabela2[[#This Row],[ILUSTRADOR CRIAÇÃO]]</f>
        <v/>
      </c>
      <c r="AB478" s="22"/>
      <c r="AC478" s="20"/>
      <c r="AD478" s="20"/>
      <c r="AE478" s="4" t="str">
        <f t="shared" si="7"/>
        <v>EF1 E002 Ing</v>
      </c>
    </row>
    <row r="479" spans="1:31" s="12" customFormat="1" x14ac:dyDescent="0.25">
      <c r="A479" s="23"/>
      <c r="B479" s="20"/>
      <c r="C479" s="20"/>
      <c r="D479" s="20"/>
      <c r="E479" s="22"/>
      <c r="F479" s="22"/>
      <c r="G479" s="22"/>
      <c r="H479" s="22"/>
      <c r="I479" s="23"/>
      <c r="J479" s="23"/>
      <c r="K479" s="22"/>
      <c r="L479" s="22"/>
      <c r="M479" s="23"/>
      <c r="N479" s="23"/>
      <c r="O479" s="26"/>
      <c r="P479" s="26"/>
      <c r="Q479" s="26"/>
      <c r="R479" s="22"/>
      <c r="S479" s="24"/>
      <c r="T479" s="24"/>
      <c r="U479" s="24"/>
      <c r="V479" s="24"/>
      <c r="W479" s="24"/>
      <c r="X479" s="22"/>
      <c r="Y479" s="4" t="str">
        <f>IF(Tabela2[[#This Row],[SIGLA]]="","",VLOOKUP(Tabela2[[#This Row],[SIGLA]],Tabela1[[#All],[Sigla Arte]:[Crédito]],2,0))</f>
        <v/>
      </c>
      <c r="Z479" s="23"/>
      <c r="AA479" s="23" t="str">
        <f>Tabela2[[#This Row],[ILUSTRADOR CRIAÇÃO]]</f>
        <v/>
      </c>
      <c r="AB479" s="22"/>
      <c r="AC479" s="20"/>
      <c r="AD479" s="20"/>
      <c r="AE479" s="4" t="str">
        <f t="shared" si="7"/>
        <v>EF1 E002 Ing</v>
      </c>
    </row>
    <row r="480" spans="1:31" s="12" customFormat="1" x14ac:dyDescent="0.25">
      <c r="A480" s="23"/>
      <c r="B480" s="20"/>
      <c r="C480" s="20"/>
      <c r="D480" s="20"/>
      <c r="E480" s="22"/>
      <c r="F480" s="22"/>
      <c r="G480" s="22"/>
      <c r="H480" s="22"/>
      <c r="I480" s="23"/>
      <c r="J480" s="23"/>
      <c r="K480" s="22"/>
      <c r="L480" s="22"/>
      <c r="M480" s="23"/>
      <c r="N480" s="23"/>
      <c r="O480" s="26"/>
      <c r="P480" s="26"/>
      <c r="Q480" s="26"/>
      <c r="R480" s="22"/>
      <c r="S480" s="24"/>
      <c r="T480" s="24"/>
      <c r="U480" s="24"/>
      <c r="V480" s="24"/>
      <c r="W480" s="24"/>
      <c r="X480" s="22"/>
      <c r="Y480" s="4" t="str">
        <f>IF(Tabela2[[#This Row],[SIGLA]]="","",VLOOKUP(Tabela2[[#This Row],[SIGLA]],Tabela1[[#All],[Sigla Arte]:[Crédito]],2,0))</f>
        <v/>
      </c>
      <c r="Z480" s="23"/>
      <c r="AA480" s="23" t="str">
        <f>Tabela2[[#This Row],[ILUSTRADOR CRIAÇÃO]]</f>
        <v/>
      </c>
      <c r="AB480" s="22"/>
      <c r="AC480" s="20"/>
      <c r="AD480" s="20"/>
      <c r="AE480" s="4" t="str">
        <f t="shared" si="7"/>
        <v>EF1 E002 Ing</v>
      </c>
    </row>
    <row r="481" spans="1:31" s="12" customFormat="1" x14ac:dyDescent="0.25">
      <c r="A481" s="23"/>
      <c r="B481" s="20"/>
      <c r="C481" s="20"/>
      <c r="D481" s="20"/>
      <c r="E481" s="22"/>
      <c r="F481" s="22"/>
      <c r="G481" s="22"/>
      <c r="H481" s="22"/>
      <c r="I481" s="23"/>
      <c r="J481" s="23"/>
      <c r="K481" s="22"/>
      <c r="L481" s="22"/>
      <c r="M481" s="23"/>
      <c r="N481" s="23"/>
      <c r="O481" s="26"/>
      <c r="P481" s="26"/>
      <c r="Q481" s="26"/>
      <c r="R481" s="22"/>
      <c r="S481" s="24"/>
      <c r="T481" s="24"/>
      <c r="U481" s="24"/>
      <c r="V481" s="24"/>
      <c r="W481" s="24"/>
      <c r="X481" s="22"/>
      <c r="Y481" s="4" t="str">
        <f>IF(Tabela2[[#This Row],[SIGLA]]="","",VLOOKUP(Tabela2[[#This Row],[SIGLA]],Tabela1[[#All],[Sigla Arte]:[Crédito]],2,0))</f>
        <v/>
      </c>
      <c r="Z481" s="23"/>
      <c r="AA481" s="23" t="str">
        <f>Tabela2[[#This Row],[ILUSTRADOR CRIAÇÃO]]</f>
        <v/>
      </c>
      <c r="AB481" s="22"/>
      <c r="AC481" s="20"/>
      <c r="AD481" s="20"/>
      <c r="AE481" s="4" t="str">
        <f t="shared" si="7"/>
        <v>EF1 E002 Ing</v>
      </c>
    </row>
    <row r="482" spans="1:31" s="12" customFormat="1" x14ac:dyDescent="0.25">
      <c r="A482" s="23"/>
      <c r="B482" s="20"/>
      <c r="C482" s="20"/>
      <c r="D482" s="20"/>
      <c r="E482" s="22"/>
      <c r="F482" s="22"/>
      <c r="G482" s="22"/>
      <c r="H482" s="22"/>
      <c r="I482" s="23"/>
      <c r="J482" s="23"/>
      <c r="K482" s="22"/>
      <c r="L482" s="22"/>
      <c r="M482" s="23"/>
      <c r="N482" s="23"/>
      <c r="O482" s="26"/>
      <c r="P482" s="26"/>
      <c r="Q482" s="26"/>
      <c r="R482" s="22"/>
      <c r="S482" s="24"/>
      <c r="T482" s="24"/>
      <c r="U482" s="24"/>
      <c r="V482" s="24"/>
      <c r="W482" s="24"/>
      <c r="X482" s="22"/>
      <c r="Y482" s="4" t="str">
        <f>IF(Tabela2[[#This Row],[SIGLA]]="","",VLOOKUP(Tabela2[[#This Row],[SIGLA]],Tabela1[[#All],[Sigla Arte]:[Crédito]],2,0))</f>
        <v/>
      </c>
      <c r="Z482" s="23"/>
      <c r="AA482" s="23" t="str">
        <f>Tabela2[[#This Row],[ILUSTRADOR CRIAÇÃO]]</f>
        <v/>
      </c>
      <c r="AB482" s="22"/>
      <c r="AC482" s="20"/>
      <c r="AD482" s="20"/>
      <c r="AE482" s="4" t="str">
        <f t="shared" si="7"/>
        <v>EF1 E002 Ing</v>
      </c>
    </row>
    <row r="483" spans="1:31" s="12" customFormat="1" x14ac:dyDescent="0.25">
      <c r="A483" s="23"/>
      <c r="B483" s="20"/>
      <c r="C483" s="20"/>
      <c r="D483" s="20"/>
      <c r="E483" s="22"/>
      <c r="F483" s="22"/>
      <c r="G483" s="22"/>
      <c r="H483" s="22"/>
      <c r="I483" s="23"/>
      <c r="J483" s="23"/>
      <c r="K483" s="22"/>
      <c r="L483" s="22"/>
      <c r="M483" s="23"/>
      <c r="N483" s="23"/>
      <c r="O483" s="26"/>
      <c r="P483" s="26"/>
      <c r="Q483" s="26"/>
      <c r="R483" s="22"/>
      <c r="S483" s="24"/>
      <c r="T483" s="24"/>
      <c r="U483" s="24"/>
      <c r="V483" s="24"/>
      <c r="W483" s="24"/>
      <c r="X483" s="22"/>
      <c r="Y483" s="4" t="str">
        <f>IF(Tabela2[[#This Row],[SIGLA]]="","",VLOOKUP(Tabela2[[#This Row],[SIGLA]],Tabela1[[#All],[Sigla Arte]:[Crédito]],2,0))</f>
        <v/>
      </c>
      <c r="Z483" s="23"/>
      <c r="AA483" s="23" t="str">
        <f>Tabela2[[#This Row],[ILUSTRADOR CRIAÇÃO]]</f>
        <v/>
      </c>
      <c r="AB483" s="22"/>
      <c r="AC483" s="20"/>
      <c r="AD483" s="20"/>
      <c r="AE483" s="4" t="str">
        <f t="shared" si="7"/>
        <v>EF1 E002 Ing</v>
      </c>
    </row>
    <row r="484" spans="1:31" s="12" customFormat="1" x14ac:dyDescent="0.25">
      <c r="A484" s="23"/>
      <c r="B484" s="20"/>
      <c r="C484" s="20"/>
      <c r="D484" s="20"/>
      <c r="E484" s="22"/>
      <c r="F484" s="22"/>
      <c r="G484" s="22"/>
      <c r="H484" s="22"/>
      <c r="I484" s="23"/>
      <c r="J484" s="23"/>
      <c r="K484" s="22"/>
      <c r="L484" s="22"/>
      <c r="M484" s="23"/>
      <c r="N484" s="23"/>
      <c r="O484" s="26"/>
      <c r="P484" s="26"/>
      <c r="Q484" s="26"/>
      <c r="R484" s="22"/>
      <c r="S484" s="24"/>
      <c r="T484" s="24"/>
      <c r="U484" s="24"/>
      <c r="V484" s="24"/>
      <c r="W484" s="24"/>
      <c r="X484" s="22"/>
      <c r="Y484" s="4" t="str">
        <f>IF(Tabela2[[#This Row],[SIGLA]]="","",VLOOKUP(Tabela2[[#This Row],[SIGLA]],Tabela1[[#All],[Sigla Arte]:[Crédito]],2,0))</f>
        <v/>
      </c>
      <c r="Z484" s="23"/>
      <c r="AA484" s="23" t="str">
        <f>Tabela2[[#This Row],[ILUSTRADOR CRIAÇÃO]]</f>
        <v/>
      </c>
      <c r="AB484" s="22"/>
      <c r="AC484" s="20"/>
      <c r="AD484" s="20"/>
      <c r="AE484" s="4" t="str">
        <f t="shared" si="7"/>
        <v>EF1 E002 Ing</v>
      </c>
    </row>
    <row r="485" spans="1:31" s="12" customFormat="1" x14ac:dyDescent="0.25">
      <c r="A485" s="23"/>
      <c r="B485" s="20"/>
      <c r="C485" s="20"/>
      <c r="D485" s="20"/>
      <c r="E485" s="22"/>
      <c r="F485" s="22"/>
      <c r="G485" s="22"/>
      <c r="H485" s="22"/>
      <c r="I485" s="23"/>
      <c r="J485" s="23"/>
      <c r="K485" s="22"/>
      <c r="L485" s="22"/>
      <c r="M485" s="23"/>
      <c r="N485" s="23"/>
      <c r="O485" s="26"/>
      <c r="P485" s="26"/>
      <c r="Q485" s="26"/>
      <c r="R485" s="22"/>
      <c r="S485" s="24"/>
      <c r="T485" s="24"/>
      <c r="U485" s="24"/>
      <c r="V485" s="24"/>
      <c r="W485" s="24"/>
      <c r="X485" s="22"/>
      <c r="Y485" s="4" t="str">
        <f>IF(Tabela2[[#This Row],[SIGLA]]="","",VLOOKUP(Tabela2[[#This Row],[SIGLA]],Tabela1[[#All],[Sigla Arte]:[Crédito]],2,0))</f>
        <v/>
      </c>
      <c r="Z485" s="23"/>
      <c r="AA485" s="23" t="str">
        <f>Tabela2[[#This Row],[ILUSTRADOR CRIAÇÃO]]</f>
        <v/>
      </c>
      <c r="AB485" s="22"/>
      <c r="AC485" s="20"/>
      <c r="AD485" s="20"/>
      <c r="AE485" s="4" t="str">
        <f t="shared" si="7"/>
        <v>EF1 E002 Ing</v>
      </c>
    </row>
    <row r="486" spans="1:31" s="12" customFormat="1" x14ac:dyDescent="0.25">
      <c r="A486" s="23"/>
      <c r="B486" s="20"/>
      <c r="C486" s="20"/>
      <c r="D486" s="20"/>
      <c r="E486" s="22"/>
      <c r="F486" s="22"/>
      <c r="G486" s="22"/>
      <c r="H486" s="22"/>
      <c r="I486" s="23"/>
      <c r="J486" s="23"/>
      <c r="K486" s="22"/>
      <c r="L486" s="22"/>
      <c r="M486" s="23"/>
      <c r="N486" s="23"/>
      <c r="O486" s="26"/>
      <c r="P486" s="26"/>
      <c r="Q486" s="26"/>
      <c r="R486" s="22"/>
      <c r="S486" s="24"/>
      <c r="T486" s="24"/>
      <c r="U486" s="24"/>
      <c r="V486" s="24"/>
      <c r="W486" s="24"/>
      <c r="X486" s="22"/>
      <c r="Y486" s="4" t="str">
        <f>IF(Tabela2[[#This Row],[SIGLA]]="","",VLOOKUP(Tabela2[[#This Row],[SIGLA]],Tabela1[[#All],[Sigla Arte]:[Crédito]],2,0))</f>
        <v/>
      </c>
      <c r="Z486" s="23"/>
      <c r="AA486" s="23" t="str">
        <f>Tabela2[[#This Row],[ILUSTRADOR CRIAÇÃO]]</f>
        <v/>
      </c>
      <c r="AB486" s="22"/>
      <c r="AC486" s="20"/>
      <c r="AD486" s="20"/>
      <c r="AE486" s="4" t="str">
        <f t="shared" si="7"/>
        <v>EF1 E002 Ing</v>
      </c>
    </row>
    <row r="487" spans="1:31" s="12" customFormat="1" x14ac:dyDescent="0.25">
      <c r="A487" s="23"/>
      <c r="B487" s="20"/>
      <c r="C487" s="20"/>
      <c r="D487" s="20"/>
      <c r="E487" s="22"/>
      <c r="F487" s="22"/>
      <c r="G487" s="22"/>
      <c r="H487" s="22"/>
      <c r="I487" s="23"/>
      <c r="J487" s="23"/>
      <c r="K487" s="22"/>
      <c r="L487" s="22"/>
      <c r="M487" s="23"/>
      <c r="N487" s="23"/>
      <c r="O487" s="26"/>
      <c r="P487" s="26"/>
      <c r="Q487" s="26"/>
      <c r="R487" s="22"/>
      <c r="S487" s="24"/>
      <c r="T487" s="24"/>
      <c r="U487" s="24"/>
      <c r="V487" s="24"/>
      <c r="W487" s="24"/>
      <c r="X487" s="22"/>
      <c r="Y487" s="4" t="str">
        <f>IF(Tabela2[[#This Row],[SIGLA]]="","",VLOOKUP(Tabela2[[#This Row],[SIGLA]],Tabela1[[#All],[Sigla Arte]:[Crédito]],2,0))</f>
        <v/>
      </c>
      <c r="Z487" s="23"/>
      <c r="AA487" s="23" t="str">
        <f>Tabela2[[#This Row],[ILUSTRADOR CRIAÇÃO]]</f>
        <v/>
      </c>
      <c r="AB487" s="22"/>
      <c r="AC487" s="20"/>
      <c r="AD487" s="20"/>
      <c r="AE487" s="4" t="str">
        <f t="shared" si="7"/>
        <v>EF1 E002 Ing</v>
      </c>
    </row>
    <row r="488" spans="1:31" s="12" customFormat="1" x14ac:dyDescent="0.25">
      <c r="A488" s="23"/>
      <c r="B488" s="20"/>
      <c r="C488" s="20"/>
      <c r="D488" s="20"/>
      <c r="E488" s="22"/>
      <c r="F488" s="22"/>
      <c r="G488" s="22"/>
      <c r="H488" s="22"/>
      <c r="I488" s="23"/>
      <c r="J488" s="23"/>
      <c r="K488" s="22"/>
      <c r="L488" s="22"/>
      <c r="M488" s="23"/>
      <c r="N488" s="23"/>
      <c r="O488" s="26"/>
      <c r="P488" s="26"/>
      <c r="Q488" s="26"/>
      <c r="R488" s="22"/>
      <c r="S488" s="24"/>
      <c r="T488" s="24"/>
      <c r="U488" s="24"/>
      <c r="V488" s="24"/>
      <c r="W488" s="24"/>
      <c r="X488" s="22"/>
      <c r="Y488" s="4" t="str">
        <f>IF(Tabela2[[#This Row],[SIGLA]]="","",VLOOKUP(Tabela2[[#This Row],[SIGLA]],Tabela1[[#All],[Sigla Arte]:[Crédito]],2,0))</f>
        <v/>
      </c>
      <c r="Z488" s="23"/>
      <c r="AA488" s="23" t="str">
        <f>Tabela2[[#This Row],[ILUSTRADOR CRIAÇÃO]]</f>
        <v/>
      </c>
      <c r="AB488" s="22"/>
      <c r="AC488" s="20"/>
      <c r="AD488" s="20"/>
      <c r="AE488" s="4" t="str">
        <f t="shared" si="7"/>
        <v>EF1 E002 Ing</v>
      </c>
    </row>
    <row r="489" spans="1:31" s="12" customFormat="1" x14ac:dyDescent="0.25">
      <c r="A489" s="23"/>
      <c r="B489" s="20"/>
      <c r="C489" s="20"/>
      <c r="D489" s="20"/>
      <c r="E489" s="22"/>
      <c r="F489" s="22"/>
      <c r="G489" s="22"/>
      <c r="H489" s="22"/>
      <c r="I489" s="23"/>
      <c r="J489" s="23"/>
      <c r="K489" s="22"/>
      <c r="L489" s="22"/>
      <c r="M489" s="23"/>
      <c r="N489" s="23"/>
      <c r="O489" s="26"/>
      <c r="P489" s="26"/>
      <c r="Q489" s="26"/>
      <c r="R489" s="22"/>
      <c r="S489" s="24"/>
      <c r="T489" s="24"/>
      <c r="U489" s="24"/>
      <c r="V489" s="24"/>
      <c r="W489" s="24"/>
      <c r="X489" s="22"/>
      <c r="Y489" s="4" t="str">
        <f>IF(Tabela2[[#This Row],[SIGLA]]="","",VLOOKUP(Tabela2[[#This Row],[SIGLA]],Tabela1[[#All],[Sigla Arte]:[Crédito]],2,0))</f>
        <v/>
      </c>
      <c r="Z489" s="23"/>
      <c r="AA489" s="23" t="str">
        <f>Tabela2[[#This Row],[ILUSTRADOR CRIAÇÃO]]</f>
        <v/>
      </c>
      <c r="AB489" s="22"/>
      <c r="AC489" s="20"/>
      <c r="AD489" s="20"/>
      <c r="AE489" s="4" t="str">
        <f t="shared" si="7"/>
        <v>EF1 E002 Ing</v>
      </c>
    </row>
    <row r="490" spans="1:31" s="12" customFormat="1" x14ac:dyDescent="0.25">
      <c r="A490" s="23"/>
      <c r="B490" s="20"/>
      <c r="C490" s="20"/>
      <c r="D490" s="20"/>
      <c r="E490" s="22"/>
      <c r="F490" s="22"/>
      <c r="G490" s="22"/>
      <c r="H490" s="22"/>
      <c r="I490" s="23"/>
      <c r="J490" s="23"/>
      <c r="K490" s="22"/>
      <c r="L490" s="22"/>
      <c r="M490" s="23"/>
      <c r="N490" s="23"/>
      <c r="O490" s="26"/>
      <c r="P490" s="26"/>
      <c r="Q490" s="26"/>
      <c r="R490" s="22"/>
      <c r="S490" s="24"/>
      <c r="T490" s="24"/>
      <c r="U490" s="24"/>
      <c r="V490" s="24"/>
      <c r="W490" s="24"/>
      <c r="X490" s="22"/>
      <c r="Y490" s="4" t="str">
        <f>IF(Tabela2[[#This Row],[SIGLA]]="","",VLOOKUP(Tabela2[[#This Row],[SIGLA]],Tabela1[[#All],[Sigla Arte]:[Crédito]],2,0))</f>
        <v/>
      </c>
      <c r="Z490" s="23"/>
      <c r="AA490" s="23" t="str">
        <f>Tabela2[[#This Row],[ILUSTRADOR CRIAÇÃO]]</f>
        <v/>
      </c>
      <c r="AB490" s="22"/>
      <c r="AC490" s="20"/>
      <c r="AD490" s="20"/>
      <c r="AE490" s="4" t="str">
        <f t="shared" si="7"/>
        <v>EF1 E002 Ing</v>
      </c>
    </row>
    <row r="491" spans="1:31" s="12" customFormat="1" x14ac:dyDescent="0.25">
      <c r="A491" s="23"/>
      <c r="B491" s="20"/>
      <c r="C491" s="20"/>
      <c r="D491" s="20"/>
      <c r="E491" s="22"/>
      <c r="F491" s="22"/>
      <c r="G491" s="22"/>
      <c r="H491" s="22"/>
      <c r="I491" s="23"/>
      <c r="J491" s="23"/>
      <c r="K491" s="22"/>
      <c r="L491" s="22"/>
      <c r="M491" s="23"/>
      <c r="N491" s="23"/>
      <c r="O491" s="26"/>
      <c r="P491" s="26"/>
      <c r="Q491" s="26"/>
      <c r="R491" s="22"/>
      <c r="S491" s="24"/>
      <c r="T491" s="24"/>
      <c r="U491" s="24"/>
      <c r="V491" s="24"/>
      <c r="W491" s="24"/>
      <c r="X491" s="22"/>
      <c r="Y491" s="4" t="str">
        <f>IF(Tabela2[[#This Row],[SIGLA]]="","",VLOOKUP(Tabela2[[#This Row],[SIGLA]],Tabela1[[#All],[Sigla Arte]:[Crédito]],2,0))</f>
        <v/>
      </c>
      <c r="Z491" s="23"/>
      <c r="AA491" s="23" t="str">
        <f>Tabela2[[#This Row],[ILUSTRADOR CRIAÇÃO]]</f>
        <v/>
      </c>
      <c r="AB491" s="22"/>
      <c r="AC491" s="20"/>
      <c r="AD491" s="20"/>
      <c r="AE491" s="4" t="str">
        <f t="shared" si="7"/>
        <v>EF1 E002 Ing</v>
      </c>
    </row>
    <row r="492" spans="1:31" s="12" customFormat="1" x14ac:dyDescent="0.25">
      <c r="A492" s="23"/>
      <c r="B492" s="20"/>
      <c r="C492" s="20"/>
      <c r="D492" s="20"/>
      <c r="E492" s="22"/>
      <c r="F492" s="22"/>
      <c r="G492" s="22"/>
      <c r="H492" s="22"/>
      <c r="I492" s="23"/>
      <c r="J492" s="23"/>
      <c r="K492" s="22"/>
      <c r="L492" s="22"/>
      <c r="M492" s="23"/>
      <c r="N492" s="23"/>
      <c r="O492" s="26"/>
      <c r="P492" s="26"/>
      <c r="Q492" s="26"/>
      <c r="R492" s="22"/>
      <c r="S492" s="24"/>
      <c r="T492" s="24"/>
      <c r="U492" s="24"/>
      <c r="V492" s="24"/>
      <c r="W492" s="24"/>
      <c r="X492" s="22"/>
      <c r="Y492" s="4" t="str">
        <f>IF(Tabela2[[#This Row],[SIGLA]]="","",VLOOKUP(Tabela2[[#This Row],[SIGLA]],Tabela1[[#All],[Sigla Arte]:[Crédito]],2,0))</f>
        <v/>
      </c>
      <c r="Z492" s="23"/>
      <c r="AA492" s="23" t="str">
        <f>Tabela2[[#This Row],[ILUSTRADOR CRIAÇÃO]]</f>
        <v/>
      </c>
      <c r="AB492" s="22"/>
      <c r="AC492" s="20"/>
      <c r="AD492" s="20"/>
      <c r="AE492" s="4" t="str">
        <f t="shared" si="7"/>
        <v>EF1 E002 Ing</v>
      </c>
    </row>
    <row r="493" spans="1:31" s="12" customFormat="1" x14ac:dyDescent="0.25">
      <c r="A493" s="23"/>
      <c r="B493" s="20"/>
      <c r="C493" s="20"/>
      <c r="D493" s="20"/>
      <c r="E493" s="22"/>
      <c r="F493" s="22"/>
      <c r="G493" s="22"/>
      <c r="H493" s="22"/>
      <c r="I493" s="23"/>
      <c r="J493" s="23"/>
      <c r="K493" s="22"/>
      <c r="L493" s="22"/>
      <c r="M493" s="23"/>
      <c r="N493" s="23"/>
      <c r="O493" s="26"/>
      <c r="P493" s="26"/>
      <c r="Q493" s="26"/>
      <c r="R493" s="22"/>
      <c r="S493" s="24"/>
      <c r="T493" s="24"/>
      <c r="U493" s="24"/>
      <c r="V493" s="24"/>
      <c r="W493" s="24"/>
      <c r="X493" s="22"/>
      <c r="Y493" s="4" t="str">
        <f>IF(Tabela2[[#This Row],[SIGLA]]="","",VLOOKUP(Tabela2[[#This Row],[SIGLA]],Tabela1[[#All],[Sigla Arte]:[Crédito]],2,0))</f>
        <v/>
      </c>
      <c r="Z493" s="23"/>
      <c r="AA493" s="23" t="str">
        <f>Tabela2[[#This Row],[ILUSTRADOR CRIAÇÃO]]</f>
        <v/>
      </c>
      <c r="AB493" s="22"/>
      <c r="AC493" s="20"/>
      <c r="AD493" s="20"/>
      <c r="AE493" s="4" t="str">
        <f t="shared" si="7"/>
        <v>EF1 E002 Ing</v>
      </c>
    </row>
    <row r="494" spans="1:31" s="12" customFormat="1" x14ac:dyDescent="0.25">
      <c r="A494" s="23"/>
      <c r="B494" s="20"/>
      <c r="C494" s="20"/>
      <c r="D494" s="20"/>
      <c r="E494" s="22"/>
      <c r="F494" s="22"/>
      <c r="G494" s="22"/>
      <c r="H494" s="22"/>
      <c r="I494" s="23"/>
      <c r="J494" s="23"/>
      <c r="K494" s="22"/>
      <c r="L494" s="22"/>
      <c r="M494" s="23"/>
      <c r="N494" s="23"/>
      <c r="O494" s="26"/>
      <c r="P494" s="26"/>
      <c r="Q494" s="26"/>
      <c r="R494" s="22"/>
      <c r="S494" s="24"/>
      <c r="T494" s="24"/>
      <c r="U494" s="24"/>
      <c r="V494" s="24"/>
      <c r="W494" s="24"/>
      <c r="X494" s="22"/>
      <c r="Y494" s="4" t="str">
        <f>IF(Tabela2[[#This Row],[SIGLA]]="","",VLOOKUP(Tabela2[[#This Row],[SIGLA]],Tabela1[[#All],[Sigla Arte]:[Crédito]],2,0))</f>
        <v/>
      </c>
      <c r="Z494" s="23"/>
      <c r="AA494" s="23" t="str">
        <f>Tabela2[[#This Row],[ILUSTRADOR CRIAÇÃO]]</f>
        <v/>
      </c>
      <c r="AB494" s="22"/>
      <c r="AC494" s="20"/>
      <c r="AD494" s="20"/>
      <c r="AE494" s="4" t="str">
        <f t="shared" si="7"/>
        <v>EF1 E002 Ing</v>
      </c>
    </row>
    <row r="495" spans="1:31" s="12" customFormat="1" x14ac:dyDescent="0.25">
      <c r="A495" s="23"/>
      <c r="B495" s="20"/>
      <c r="C495" s="20"/>
      <c r="D495" s="20"/>
      <c r="E495" s="22"/>
      <c r="F495" s="22"/>
      <c r="G495" s="22"/>
      <c r="H495" s="22"/>
      <c r="I495" s="23"/>
      <c r="J495" s="23"/>
      <c r="K495" s="22"/>
      <c r="L495" s="22"/>
      <c r="M495" s="23"/>
      <c r="N495" s="23"/>
      <c r="O495" s="26"/>
      <c r="P495" s="26"/>
      <c r="Q495" s="26"/>
      <c r="R495" s="22"/>
      <c r="S495" s="24"/>
      <c r="T495" s="24"/>
      <c r="U495" s="24"/>
      <c r="V495" s="24"/>
      <c r="W495" s="24"/>
      <c r="X495" s="22"/>
      <c r="Y495" s="4" t="str">
        <f>IF(Tabela2[[#This Row],[SIGLA]]="","",VLOOKUP(Tabela2[[#This Row],[SIGLA]],Tabela1[[#All],[Sigla Arte]:[Crédito]],2,0))</f>
        <v/>
      </c>
      <c r="Z495" s="23"/>
      <c r="AA495" s="23" t="str">
        <f>Tabela2[[#This Row],[ILUSTRADOR CRIAÇÃO]]</f>
        <v/>
      </c>
      <c r="AB495" s="22"/>
      <c r="AC495" s="20"/>
      <c r="AD495" s="20"/>
      <c r="AE495" s="4" t="str">
        <f t="shared" si="7"/>
        <v>EF1 E002 Ing</v>
      </c>
    </row>
    <row r="496" spans="1:31" s="12" customFormat="1" x14ac:dyDescent="0.25">
      <c r="A496" s="23"/>
      <c r="B496" s="20"/>
      <c r="C496" s="20"/>
      <c r="D496" s="20"/>
      <c r="E496" s="22"/>
      <c r="F496" s="22"/>
      <c r="G496" s="22"/>
      <c r="H496" s="22"/>
      <c r="I496" s="23"/>
      <c r="J496" s="23"/>
      <c r="K496" s="22"/>
      <c r="L496" s="22"/>
      <c r="M496" s="23"/>
      <c r="N496" s="23"/>
      <c r="O496" s="26"/>
      <c r="P496" s="26"/>
      <c r="Q496" s="26"/>
      <c r="R496" s="22"/>
      <c r="S496" s="24"/>
      <c r="T496" s="24"/>
      <c r="U496" s="24"/>
      <c r="V496" s="24"/>
      <c r="W496" s="24"/>
      <c r="X496" s="22"/>
      <c r="Y496" s="4" t="str">
        <f>IF(Tabela2[[#This Row],[SIGLA]]="","",VLOOKUP(Tabela2[[#This Row],[SIGLA]],Tabela1[[#All],[Sigla Arte]:[Crédito]],2,0))</f>
        <v/>
      </c>
      <c r="Z496" s="23"/>
      <c r="AA496" s="23" t="str">
        <f>Tabela2[[#This Row],[ILUSTRADOR CRIAÇÃO]]</f>
        <v/>
      </c>
      <c r="AB496" s="22"/>
      <c r="AC496" s="20"/>
      <c r="AD496" s="20"/>
      <c r="AE496" s="4" t="str">
        <f t="shared" si="7"/>
        <v>EF1 E002 Ing</v>
      </c>
    </row>
    <row r="497" spans="1:31" s="12" customFormat="1" x14ac:dyDescent="0.25">
      <c r="A497" s="23"/>
      <c r="B497" s="20"/>
      <c r="C497" s="20"/>
      <c r="D497" s="20"/>
      <c r="E497" s="22"/>
      <c r="F497" s="22"/>
      <c r="G497" s="22"/>
      <c r="H497" s="22"/>
      <c r="I497" s="23"/>
      <c r="J497" s="23"/>
      <c r="K497" s="22"/>
      <c r="L497" s="22"/>
      <c r="M497" s="23"/>
      <c r="N497" s="23"/>
      <c r="O497" s="26"/>
      <c r="P497" s="26"/>
      <c r="Q497" s="26"/>
      <c r="R497" s="22"/>
      <c r="S497" s="24"/>
      <c r="T497" s="24"/>
      <c r="U497" s="24"/>
      <c r="V497" s="24"/>
      <c r="W497" s="24"/>
      <c r="X497" s="22"/>
      <c r="Y497" s="4" t="str">
        <f>IF(Tabela2[[#This Row],[SIGLA]]="","",VLOOKUP(Tabela2[[#This Row],[SIGLA]],Tabela1[[#All],[Sigla Arte]:[Crédito]],2,0))</f>
        <v/>
      </c>
      <c r="Z497" s="23"/>
      <c r="AA497" s="23" t="str">
        <f>Tabela2[[#This Row],[ILUSTRADOR CRIAÇÃO]]</f>
        <v/>
      </c>
      <c r="AB497" s="22"/>
      <c r="AC497" s="20"/>
      <c r="AD497" s="20"/>
      <c r="AE497" s="4" t="str">
        <f t="shared" si="7"/>
        <v>EF1 E002 Ing</v>
      </c>
    </row>
    <row r="498" spans="1:31" s="12" customFormat="1" x14ac:dyDescent="0.25">
      <c r="A498" s="23"/>
      <c r="B498" s="20"/>
      <c r="C498" s="20"/>
      <c r="D498" s="20"/>
      <c r="E498" s="22"/>
      <c r="F498" s="22"/>
      <c r="G498" s="22"/>
      <c r="H498" s="22"/>
      <c r="I498" s="23"/>
      <c r="J498" s="23"/>
      <c r="K498" s="22"/>
      <c r="L498" s="22"/>
      <c r="M498" s="23"/>
      <c r="N498" s="23"/>
      <c r="O498" s="26"/>
      <c r="P498" s="26"/>
      <c r="Q498" s="26"/>
      <c r="R498" s="22"/>
      <c r="S498" s="24"/>
      <c r="T498" s="24"/>
      <c r="U498" s="24"/>
      <c r="V498" s="24"/>
      <c r="W498" s="24"/>
      <c r="X498" s="22"/>
      <c r="Y498" s="4" t="str">
        <f>IF(Tabela2[[#This Row],[SIGLA]]="","",VLOOKUP(Tabela2[[#This Row],[SIGLA]],Tabela1[[#All],[Sigla Arte]:[Crédito]],2,0))</f>
        <v/>
      </c>
      <c r="Z498" s="23"/>
      <c r="AA498" s="23" t="str">
        <f>Tabela2[[#This Row],[ILUSTRADOR CRIAÇÃO]]</f>
        <v/>
      </c>
      <c r="AB498" s="22"/>
      <c r="AC498" s="20"/>
      <c r="AD498" s="20"/>
      <c r="AE498" s="4" t="str">
        <f t="shared" si="7"/>
        <v>EF1 E002 Ing</v>
      </c>
    </row>
    <row r="499" spans="1:31" s="12" customFormat="1" x14ac:dyDescent="0.25">
      <c r="A499" s="23"/>
      <c r="B499" s="20"/>
      <c r="C499" s="20"/>
      <c r="D499" s="20"/>
      <c r="E499" s="22"/>
      <c r="F499" s="22"/>
      <c r="G499" s="22"/>
      <c r="H499" s="22"/>
      <c r="I499" s="23"/>
      <c r="J499" s="23"/>
      <c r="K499" s="22"/>
      <c r="L499" s="22"/>
      <c r="M499" s="23"/>
      <c r="N499" s="23"/>
      <c r="O499" s="26"/>
      <c r="P499" s="26"/>
      <c r="Q499" s="26"/>
      <c r="R499" s="22"/>
      <c r="S499" s="24"/>
      <c r="T499" s="24"/>
      <c r="U499" s="24"/>
      <c r="V499" s="24"/>
      <c r="W499" s="24"/>
      <c r="X499" s="22"/>
      <c r="Y499" s="4" t="str">
        <f>IF(Tabela2[[#This Row],[SIGLA]]="","",VLOOKUP(Tabela2[[#This Row],[SIGLA]],Tabela1[[#All],[Sigla Arte]:[Crédito]],2,0))</f>
        <v/>
      </c>
      <c r="Z499" s="23"/>
      <c r="AA499" s="23" t="str">
        <f>Tabela2[[#This Row],[ILUSTRADOR CRIAÇÃO]]</f>
        <v/>
      </c>
      <c r="AB499" s="22"/>
      <c r="AC499" s="20"/>
      <c r="AD499" s="20"/>
      <c r="AE499" s="4" t="str">
        <f t="shared" si="7"/>
        <v>EF1 E002 Ing</v>
      </c>
    </row>
    <row r="500" spans="1:31" s="12" customFormat="1" x14ac:dyDescent="0.25">
      <c r="A500" s="23"/>
      <c r="B500" s="20"/>
      <c r="C500" s="20"/>
      <c r="D500" s="20"/>
      <c r="E500" s="22"/>
      <c r="F500" s="22"/>
      <c r="G500" s="22"/>
      <c r="H500" s="22"/>
      <c r="I500" s="23"/>
      <c r="J500" s="23"/>
      <c r="K500" s="22"/>
      <c r="L500" s="22"/>
      <c r="M500" s="23"/>
      <c r="N500" s="23"/>
      <c r="O500" s="26"/>
      <c r="P500" s="26"/>
      <c r="Q500" s="26"/>
      <c r="R500" s="22"/>
      <c r="S500" s="24"/>
      <c r="T500" s="24"/>
      <c r="U500" s="24"/>
      <c r="V500" s="24"/>
      <c r="W500" s="24"/>
      <c r="X500" s="22"/>
      <c r="Y500" s="4" t="str">
        <f>IF(Tabela2[[#This Row],[SIGLA]]="","",VLOOKUP(Tabela2[[#This Row],[SIGLA]],Tabela1[[#All],[Sigla Arte]:[Crédito]],2,0))</f>
        <v/>
      </c>
      <c r="Z500" s="23"/>
      <c r="AA500" s="23" t="str">
        <f>Tabela2[[#This Row],[ILUSTRADOR CRIAÇÃO]]</f>
        <v/>
      </c>
      <c r="AB500" s="22"/>
      <c r="AC500" s="20"/>
      <c r="AD500" s="20"/>
      <c r="AE500" s="4" t="str">
        <f t="shared" si="7"/>
        <v>EF1 E002 Ing</v>
      </c>
    </row>
  </sheetData>
  <sheetProtection sheet="1" formatCells="0" formatColumns="0" formatRows="0" sort="0" autoFilter="0" pivotTables="0"/>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3">
        <x14:dataValidation type="list" allowBlank="1" showInputMessage="1" showErrorMessage="1" xr:uid="{1E0E5C3B-B338-4A82-ABB7-55FA01F1FD25}">
          <x14:formula1>
            <xm:f>metadados!$C$1:$C$8</xm:f>
          </x14:formula1>
          <xm:sqref>D1:D1048576</xm:sqref>
        </x14:dataValidation>
        <x14:dataValidation type="list" allowBlank="1" showInputMessage="1" showErrorMessage="1" xr:uid="{C70449A7-09E1-454B-83EB-81DB8E145BED}">
          <x14:formula1>
            <xm:f>metadados!$D$1:$D$7</xm:f>
          </x14:formula1>
          <xm:sqref>F1:F1048576 L1:L1048576</xm:sqref>
        </x14:dataValidation>
        <x14:dataValidation type="list" allowBlank="1" showInputMessage="1" showErrorMessage="1" xr:uid="{832AC6A1-37A3-4247-8D3B-0B1514A698E5}">
          <x14:formula1>
            <xm:f>metadados!$E$1:$E$3</xm:f>
          </x14:formula1>
          <xm:sqref>I1:I1048576</xm:sqref>
        </x14:dataValidation>
        <x14:dataValidation type="list" allowBlank="1" showInputMessage="1" showErrorMessage="1" xr:uid="{ABD634A1-19D3-465A-AE87-A59444E4CB70}">
          <x14:formula1>
            <xm:f>metadados!$F$1:$F$13</xm:f>
          </x14:formula1>
          <xm:sqref>N1:N1048576</xm:sqref>
        </x14:dataValidation>
        <x14:dataValidation type="list" allowBlank="1" showInputMessage="1" showErrorMessage="1" xr:uid="{B4ADD33D-8B17-41A6-94BC-BC2885E9FB91}">
          <x14:formula1>
            <xm:f>metadados!$G$1:$G$14</xm:f>
          </x14:formula1>
          <xm:sqref>AB1:AB267 AB501:AB1048576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InputMessage="1" showErrorMessage="1" xr:uid="{C969C20B-651A-4D17-86CC-88E223060629}">
          <x14:formula1>
            <xm:f>metadados!$B$1:$B$7</xm:f>
          </x14:formula1>
          <xm:sqref>C1:C1048576</xm:sqref>
        </x14:dataValidation>
        <x14:dataValidation type="list" allowBlank="1" showInputMessage="1" showErrorMessage="1" xr:uid="{06BC7D6A-D6EB-41B5-B621-DE4A72652772}">
          <x14:formula1>
            <xm:f>créditos_base!$C$3:$C$224</xm:f>
          </x14:formula1>
          <xm:sqref>Z1 Z501:Z1048576</xm:sqref>
        </x14:dataValidation>
        <x14:dataValidation type="list" allowBlank="1" showInputMessage="1" showErrorMessage="1" xr:uid="{5705C48B-E793-4249-A1A5-E9D0055F43D8}">
          <x14:formula1>
            <xm:f>créditos_base!$B$3:$B$315</xm:f>
          </x14:formula1>
          <xm:sqref>X1 X501:X1048576</xm:sqref>
        </x14:dataValidation>
        <x14:dataValidation type="list" allowBlank="1" showInputMessage="1" showErrorMessage="1" xr:uid="{DBB74C39-7F2F-4A72-98EF-8002C08E5383}">
          <x14:formula1>
            <xm:f>créditos_base!$B$3:$B$334</xm:f>
          </x14:formula1>
          <xm:sqref>X2:X500</xm:sqref>
        </x14:dataValidation>
        <x14:dataValidation type="list" allowBlank="1" showInputMessage="1" showErrorMessage="1" xr:uid="{58A56243-A7FE-45CF-BA65-8A74456475BB}">
          <x14:formula1>
            <xm:f>créditos_base!$A$3:$A$334</xm:f>
          </x14:formula1>
          <xm:sqref>Z2:Z500</xm:sqref>
        </x14:dataValidation>
        <x14:dataValidation type="list" allowBlank="1" showErrorMessage="1" xr:uid="{8C59E314-3DFF-498C-8F2E-89E73DBE2751}">
          <x14:formula1>
            <xm:f>metadados!$A$1:$A$10</xm:f>
          </x14:formula1>
          <xm:sqref>B1:B27 B29:B1048576 C28</xm:sqref>
        </x14:dataValidation>
        <x14:dataValidation type="list" allowBlank="1" showInputMessage="1" showErrorMessage="1" xr:uid="{F46509C2-13E1-499D-94F4-BE533017732E}">
          <x14:formula1>
            <xm:f>metadados!$G$1:$G$18</xm:f>
          </x14:formula1>
          <xm:sqref>AB268:AB500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114" workbookViewId="0">
      <selection activeCell="D135" sqref="D135"/>
    </sheetView>
  </sheetViews>
  <sheetFormatPr defaultColWidth="12.5703125" defaultRowHeight="15" x14ac:dyDescent="0.25"/>
  <cols>
    <col min="1" max="1" width="58.140625" style="27" customWidth="1"/>
    <col min="2" max="2" width="13.140625" customWidth="1"/>
    <col min="3" max="3" width="66.140625" customWidth="1"/>
    <col min="4" max="4" width="16.7109375" customWidth="1"/>
  </cols>
  <sheetData>
    <row r="1" spans="1:3" ht="51.75" customHeight="1" x14ac:dyDescent="0.35">
      <c r="A1" s="48" t="s">
        <v>829</v>
      </c>
      <c r="B1" s="48"/>
      <c r="C1" s="48"/>
    </row>
    <row r="2" spans="1:3" ht="16.5" x14ac:dyDescent="0.3">
      <c r="A2" s="28" t="s">
        <v>830</v>
      </c>
      <c r="B2" s="29" t="s">
        <v>831</v>
      </c>
      <c r="C2" s="30" t="s">
        <v>832</v>
      </c>
    </row>
    <row r="3" spans="1:3" ht="16.5" x14ac:dyDescent="0.3">
      <c r="A3" s="31" t="s">
        <v>833</v>
      </c>
      <c r="B3" s="32" t="s">
        <v>834</v>
      </c>
      <c r="C3" s="33" t="s">
        <v>835</v>
      </c>
    </row>
    <row r="4" spans="1:3" ht="16.5" x14ac:dyDescent="0.3">
      <c r="A4" s="31" t="s">
        <v>836</v>
      </c>
      <c r="B4" s="32" t="s">
        <v>418</v>
      </c>
      <c r="C4" s="34" t="s">
        <v>837</v>
      </c>
    </row>
    <row r="5" spans="1:3" ht="33" x14ac:dyDescent="0.3">
      <c r="A5" s="35" t="s">
        <v>838</v>
      </c>
      <c r="B5" s="32" t="s">
        <v>839</v>
      </c>
      <c r="C5" s="33" t="s">
        <v>840</v>
      </c>
    </row>
    <row r="6" spans="1:3" ht="16.5" x14ac:dyDescent="0.3">
      <c r="A6" s="31" t="s">
        <v>841</v>
      </c>
      <c r="B6" s="32" t="s">
        <v>842</v>
      </c>
      <c r="C6" s="33" t="s">
        <v>843</v>
      </c>
    </row>
    <row r="7" spans="1:3" ht="33" x14ac:dyDescent="0.3">
      <c r="A7" s="31" t="s">
        <v>844</v>
      </c>
      <c r="B7" s="32" t="s">
        <v>845</v>
      </c>
      <c r="C7" s="33" t="s">
        <v>846</v>
      </c>
    </row>
    <row r="8" spans="1:3" ht="33" x14ac:dyDescent="0.3">
      <c r="A8" s="31" t="s">
        <v>847</v>
      </c>
      <c r="B8" s="32" t="s">
        <v>848</v>
      </c>
      <c r="C8" s="33" t="s">
        <v>849</v>
      </c>
    </row>
    <row r="9" spans="1:3" ht="16.5" x14ac:dyDescent="0.3">
      <c r="A9" s="31" t="s">
        <v>850</v>
      </c>
      <c r="B9" s="32" t="s">
        <v>851</v>
      </c>
      <c r="C9" s="33" t="s">
        <v>835</v>
      </c>
    </row>
    <row r="10" spans="1:3" ht="16.5" x14ac:dyDescent="0.3">
      <c r="A10" s="31" t="s">
        <v>415</v>
      </c>
      <c r="B10" s="32" t="s">
        <v>852</v>
      </c>
      <c r="C10" s="34" t="s">
        <v>378</v>
      </c>
    </row>
    <row r="11" spans="1:3" ht="16.5" x14ac:dyDescent="0.3">
      <c r="A11" s="31" t="s">
        <v>853</v>
      </c>
      <c r="B11" s="32" t="s">
        <v>854</v>
      </c>
      <c r="C11" s="34" t="s">
        <v>855</v>
      </c>
    </row>
    <row r="12" spans="1:3" ht="16.5" x14ac:dyDescent="0.3">
      <c r="A12" s="31" t="s">
        <v>856</v>
      </c>
      <c r="B12" s="32" t="s">
        <v>857</v>
      </c>
      <c r="C12" s="34" t="s">
        <v>858</v>
      </c>
    </row>
    <row r="13" spans="1:3" ht="16.5" x14ac:dyDescent="0.3">
      <c r="A13" s="31" t="s">
        <v>859</v>
      </c>
      <c r="B13" s="32" t="s">
        <v>860</v>
      </c>
      <c r="C13" s="34" t="s">
        <v>861</v>
      </c>
    </row>
    <row r="14" spans="1:3" ht="16.5" x14ac:dyDescent="0.3">
      <c r="A14" s="31" t="s">
        <v>862</v>
      </c>
      <c r="B14" s="32" t="s">
        <v>863</v>
      </c>
      <c r="C14" s="33" t="s">
        <v>864</v>
      </c>
    </row>
    <row r="15" spans="1:3" ht="16.5" x14ac:dyDescent="0.3">
      <c r="A15" s="31" t="s">
        <v>865</v>
      </c>
      <c r="B15" s="32" t="s">
        <v>866</v>
      </c>
      <c r="C15" s="34" t="s">
        <v>867</v>
      </c>
    </row>
    <row r="16" spans="1:3" ht="16.5" x14ac:dyDescent="0.3">
      <c r="A16" s="31" t="s">
        <v>868</v>
      </c>
      <c r="B16" s="32" t="s">
        <v>869</v>
      </c>
      <c r="C16" s="34" t="s">
        <v>870</v>
      </c>
    </row>
    <row r="17" spans="1:3" ht="16.5" x14ac:dyDescent="0.3">
      <c r="A17" s="31" t="s">
        <v>871</v>
      </c>
      <c r="B17" s="32" t="s">
        <v>872</v>
      </c>
      <c r="C17" s="33" t="s">
        <v>873</v>
      </c>
    </row>
    <row r="18" spans="1:3" ht="16.5" x14ac:dyDescent="0.3">
      <c r="A18" s="31" t="s">
        <v>874</v>
      </c>
      <c r="B18" s="32" t="s">
        <v>875</v>
      </c>
      <c r="C18" s="33" t="s">
        <v>876</v>
      </c>
    </row>
    <row r="19" spans="1:3" ht="16.5" x14ac:dyDescent="0.3">
      <c r="A19" s="31" t="s">
        <v>877</v>
      </c>
      <c r="B19" s="32" t="s">
        <v>878</v>
      </c>
      <c r="C19" s="33" t="s">
        <v>879</v>
      </c>
    </row>
    <row r="20" spans="1:3" ht="16.5" x14ac:dyDescent="0.3">
      <c r="A20" s="31" t="s">
        <v>880</v>
      </c>
      <c r="B20" s="32" t="s">
        <v>881</v>
      </c>
      <c r="C20" s="34" t="s">
        <v>882</v>
      </c>
    </row>
    <row r="21" spans="1:3" ht="16.5" x14ac:dyDescent="0.3">
      <c r="A21" s="31" t="s">
        <v>883</v>
      </c>
      <c r="B21" s="32" t="s">
        <v>884</v>
      </c>
      <c r="C21" s="33" t="s">
        <v>885</v>
      </c>
    </row>
    <row r="22" spans="1:3" ht="16.5" x14ac:dyDescent="0.3">
      <c r="A22" s="31" t="s">
        <v>886</v>
      </c>
      <c r="B22" s="32" t="s">
        <v>887</v>
      </c>
      <c r="C22" s="33" t="s">
        <v>888</v>
      </c>
    </row>
    <row r="23" spans="1:3" ht="16.5" x14ac:dyDescent="0.3">
      <c r="A23" s="31" t="s">
        <v>889</v>
      </c>
      <c r="B23" s="32" t="s">
        <v>890</v>
      </c>
      <c r="C23" s="33" t="s">
        <v>891</v>
      </c>
    </row>
    <row r="24" spans="1:3" ht="16.5" x14ac:dyDescent="0.3">
      <c r="A24" s="31" t="s">
        <v>892</v>
      </c>
      <c r="B24" s="32" t="s">
        <v>893</v>
      </c>
      <c r="C24" s="33" t="s">
        <v>894</v>
      </c>
    </row>
    <row r="25" spans="1:3" ht="16.5" x14ac:dyDescent="0.3">
      <c r="A25" s="31" t="s">
        <v>895</v>
      </c>
      <c r="B25" s="32" t="s">
        <v>896</v>
      </c>
      <c r="C25" s="34" t="s">
        <v>897</v>
      </c>
    </row>
    <row r="26" spans="1:3" ht="16.5" x14ac:dyDescent="0.3">
      <c r="A26" s="31" t="s">
        <v>898</v>
      </c>
      <c r="B26" s="32" t="s">
        <v>224</v>
      </c>
      <c r="C26" s="34" t="s">
        <v>899</v>
      </c>
    </row>
    <row r="27" spans="1:3" ht="16.5" x14ac:dyDescent="0.3">
      <c r="A27" s="31" t="s">
        <v>900</v>
      </c>
      <c r="B27" s="32" t="s">
        <v>901</v>
      </c>
      <c r="C27" s="33" t="s">
        <v>902</v>
      </c>
    </row>
    <row r="28" spans="1:3" ht="16.5" x14ac:dyDescent="0.3">
      <c r="A28" s="31" t="s">
        <v>903</v>
      </c>
      <c r="B28" s="32" t="s">
        <v>904</v>
      </c>
      <c r="C28" s="34" t="s">
        <v>905</v>
      </c>
    </row>
    <row r="29" spans="1:3" ht="16.5" x14ac:dyDescent="0.3">
      <c r="A29" s="31" t="s">
        <v>906</v>
      </c>
      <c r="B29" s="32" t="s">
        <v>907</v>
      </c>
      <c r="C29" s="33" t="s">
        <v>908</v>
      </c>
    </row>
    <row r="30" spans="1:3" ht="16.5" x14ac:dyDescent="0.3">
      <c r="A30" s="31" t="s">
        <v>909</v>
      </c>
      <c r="B30" s="32" t="s">
        <v>910</v>
      </c>
      <c r="C30" s="33" t="s">
        <v>911</v>
      </c>
    </row>
    <row r="31" spans="1:3" ht="16.5" x14ac:dyDescent="0.3">
      <c r="A31" s="31" t="s">
        <v>912</v>
      </c>
      <c r="B31" s="32" t="s">
        <v>913</v>
      </c>
      <c r="C31" s="34" t="s">
        <v>914</v>
      </c>
    </row>
    <row r="32" spans="1:3" ht="16.5" x14ac:dyDescent="0.3">
      <c r="A32" s="31" t="s">
        <v>915</v>
      </c>
      <c r="B32" s="32" t="s">
        <v>916</v>
      </c>
      <c r="C32" s="33" t="s">
        <v>917</v>
      </c>
    </row>
    <row r="33" spans="1:3" ht="16.5" x14ac:dyDescent="0.3">
      <c r="A33" s="31" t="s">
        <v>918</v>
      </c>
      <c r="B33" s="32" t="s">
        <v>919</v>
      </c>
      <c r="C33" s="33" t="s">
        <v>920</v>
      </c>
    </row>
    <row r="34" spans="1:3" ht="16.5" x14ac:dyDescent="0.3">
      <c r="A34" s="31" t="s">
        <v>921</v>
      </c>
      <c r="B34" s="32" t="s">
        <v>922</v>
      </c>
      <c r="C34" s="34" t="s">
        <v>923</v>
      </c>
    </row>
    <row r="35" spans="1:3" ht="16.5" x14ac:dyDescent="0.3">
      <c r="A35" s="31" t="s">
        <v>924</v>
      </c>
      <c r="B35" s="32" t="s">
        <v>925</v>
      </c>
      <c r="C35" s="33" t="s">
        <v>926</v>
      </c>
    </row>
    <row r="36" spans="1:3" ht="16.5" x14ac:dyDescent="0.3">
      <c r="A36" s="31" t="s">
        <v>927</v>
      </c>
      <c r="B36" s="32" t="s">
        <v>928</v>
      </c>
      <c r="C36" s="33" t="s">
        <v>929</v>
      </c>
    </row>
    <row r="37" spans="1:3" ht="16.5" x14ac:dyDescent="0.3">
      <c r="A37" s="31" t="s">
        <v>930</v>
      </c>
      <c r="B37" s="32" t="s">
        <v>931</v>
      </c>
      <c r="C37" s="33" t="s">
        <v>932</v>
      </c>
    </row>
    <row r="38" spans="1:3" ht="16.5" x14ac:dyDescent="0.3">
      <c r="A38" s="31" t="s">
        <v>933</v>
      </c>
      <c r="B38" s="32" t="s">
        <v>934</v>
      </c>
      <c r="C38" s="33" t="s">
        <v>935</v>
      </c>
    </row>
    <row r="39" spans="1:3" ht="16.5" x14ac:dyDescent="0.3">
      <c r="A39" s="31" t="s">
        <v>936</v>
      </c>
      <c r="B39" s="32" t="s">
        <v>937</v>
      </c>
      <c r="C39" s="33" t="s">
        <v>938</v>
      </c>
    </row>
    <row r="40" spans="1:3" ht="16.5" x14ac:dyDescent="0.3">
      <c r="A40" s="31" t="s">
        <v>939</v>
      </c>
      <c r="B40" s="32" t="s">
        <v>940</v>
      </c>
      <c r="C40" s="34" t="s">
        <v>941</v>
      </c>
    </row>
    <row r="41" spans="1:3" ht="16.5" x14ac:dyDescent="0.3">
      <c r="A41" s="31" t="s">
        <v>942</v>
      </c>
      <c r="B41" s="32" t="s">
        <v>943</v>
      </c>
      <c r="C41" s="33" t="s">
        <v>376</v>
      </c>
    </row>
    <row r="42" spans="1:3" ht="16.5" x14ac:dyDescent="0.3">
      <c r="A42" s="31" t="s">
        <v>944</v>
      </c>
      <c r="B42" s="32" t="s">
        <v>945</v>
      </c>
      <c r="C42" s="33" t="s">
        <v>946</v>
      </c>
    </row>
    <row r="43" spans="1:3" ht="16.5" x14ac:dyDescent="0.3">
      <c r="A43" s="31" t="s">
        <v>947</v>
      </c>
      <c r="B43" s="32" t="s">
        <v>948</v>
      </c>
      <c r="C43" s="33" t="s">
        <v>949</v>
      </c>
    </row>
    <row r="44" spans="1:3" ht="16.5" x14ac:dyDescent="0.3">
      <c r="A44" s="31" t="s">
        <v>950</v>
      </c>
      <c r="B44" s="32" t="s">
        <v>951</v>
      </c>
      <c r="C44" s="34" t="s">
        <v>952</v>
      </c>
    </row>
    <row r="45" spans="1:3" ht="16.5" x14ac:dyDescent="0.3">
      <c r="A45" s="31" t="s">
        <v>953</v>
      </c>
      <c r="B45" s="32" t="s">
        <v>954</v>
      </c>
      <c r="C45" s="33" t="s">
        <v>955</v>
      </c>
    </row>
    <row r="46" spans="1:3" ht="16.5" x14ac:dyDescent="0.3">
      <c r="A46" s="31" t="s">
        <v>802</v>
      </c>
      <c r="B46" s="32" t="s">
        <v>956</v>
      </c>
      <c r="C46" s="33" t="s">
        <v>957</v>
      </c>
    </row>
    <row r="47" spans="1:3" ht="16.5" x14ac:dyDescent="0.3">
      <c r="A47" s="31" t="s">
        <v>958</v>
      </c>
      <c r="B47" s="32" t="s">
        <v>959</v>
      </c>
      <c r="C47" s="33" t="s">
        <v>960</v>
      </c>
    </row>
    <row r="48" spans="1:3" ht="16.5" x14ac:dyDescent="0.3">
      <c r="A48" s="31" t="s">
        <v>961</v>
      </c>
      <c r="B48" s="32" t="s">
        <v>468</v>
      </c>
      <c r="C48" s="44" t="s">
        <v>962</v>
      </c>
    </row>
    <row r="49" spans="1:3" ht="16.5" x14ac:dyDescent="0.3">
      <c r="A49" s="31" t="s">
        <v>963</v>
      </c>
      <c r="B49" s="32" t="s">
        <v>964</v>
      </c>
      <c r="C49" s="33" t="s">
        <v>965</v>
      </c>
    </row>
    <row r="50" spans="1:3" ht="16.5" x14ac:dyDescent="0.3">
      <c r="A50" s="31" t="s">
        <v>966</v>
      </c>
      <c r="B50" s="32" t="s">
        <v>967</v>
      </c>
      <c r="C50" s="33" t="s">
        <v>968</v>
      </c>
    </row>
    <row r="51" spans="1:3" ht="16.5" x14ac:dyDescent="0.3">
      <c r="A51" s="31" t="s">
        <v>969</v>
      </c>
      <c r="B51" s="32" t="s">
        <v>970</v>
      </c>
      <c r="C51" s="33" t="s">
        <v>971</v>
      </c>
    </row>
    <row r="52" spans="1:3" ht="16.5" x14ac:dyDescent="0.3">
      <c r="A52" s="31" t="s">
        <v>972</v>
      </c>
      <c r="B52" s="32" t="s">
        <v>973</v>
      </c>
      <c r="C52" s="34" t="s">
        <v>974</v>
      </c>
    </row>
    <row r="53" spans="1:3" ht="16.5" x14ac:dyDescent="0.3">
      <c r="A53" s="31" t="s">
        <v>975</v>
      </c>
      <c r="B53" s="32" t="s">
        <v>976</v>
      </c>
      <c r="C53" s="34"/>
    </row>
    <row r="54" spans="1:3" ht="16.5" x14ac:dyDescent="0.3">
      <c r="A54" s="31" t="s">
        <v>977</v>
      </c>
      <c r="B54" s="32" t="s">
        <v>978</v>
      </c>
      <c r="C54" s="34" t="s">
        <v>979</v>
      </c>
    </row>
    <row r="55" spans="1:3" ht="16.5" x14ac:dyDescent="0.3">
      <c r="A55" s="31" t="s">
        <v>980</v>
      </c>
      <c r="B55" s="32" t="s">
        <v>981</v>
      </c>
      <c r="C55" s="34" t="s">
        <v>982</v>
      </c>
    </row>
    <row r="56" spans="1:3" ht="16.5" x14ac:dyDescent="0.3">
      <c r="A56" s="31" t="s">
        <v>983</v>
      </c>
      <c r="B56" s="32" t="s">
        <v>259</v>
      </c>
      <c r="C56" s="34" t="s">
        <v>984</v>
      </c>
    </row>
    <row r="57" spans="1:3" ht="16.5" x14ac:dyDescent="0.3">
      <c r="A57" s="31" t="s">
        <v>985</v>
      </c>
      <c r="B57" s="32" t="s">
        <v>166</v>
      </c>
      <c r="C57" s="34" t="s">
        <v>986</v>
      </c>
    </row>
    <row r="58" spans="1:3" ht="16.5" x14ac:dyDescent="0.3">
      <c r="A58" s="31" t="s">
        <v>987</v>
      </c>
      <c r="B58" s="32" t="s">
        <v>988</v>
      </c>
      <c r="C58" s="34" t="s">
        <v>989</v>
      </c>
    </row>
    <row r="59" spans="1:3" ht="16.5" x14ac:dyDescent="0.3">
      <c r="A59" s="31" t="s">
        <v>990</v>
      </c>
      <c r="B59" s="32" t="s">
        <v>991</v>
      </c>
      <c r="C59" s="34" t="s">
        <v>992</v>
      </c>
    </row>
    <row r="60" spans="1:3" ht="16.5" x14ac:dyDescent="0.3">
      <c r="A60" s="31" t="s">
        <v>993</v>
      </c>
      <c r="B60" s="32" t="s">
        <v>994</v>
      </c>
      <c r="C60" s="44" t="s">
        <v>995</v>
      </c>
    </row>
    <row r="61" spans="1:3" ht="16.5" x14ac:dyDescent="0.3">
      <c r="A61" s="31" t="s">
        <v>996</v>
      </c>
      <c r="B61" s="32" t="s">
        <v>997</v>
      </c>
      <c r="C61" s="34" t="s">
        <v>998</v>
      </c>
    </row>
    <row r="62" spans="1:3" ht="16.5" x14ac:dyDescent="0.3">
      <c r="A62" s="31" t="s">
        <v>999</v>
      </c>
      <c r="B62" s="32" t="s">
        <v>1000</v>
      </c>
      <c r="C62" s="34" t="s">
        <v>1001</v>
      </c>
    </row>
    <row r="63" spans="1:3" ht="16.5" x14ac:dyDescent="0.3">
      <c r="A63" s="31" t="s">
        <v>1002</v>
      </c>
      <c r="B63" s="32" t="s">
        <v>1003</v>
      </c>
      <c r="C63" s="34" t="s">
        <v>1004</v>
      </c>
    </row>
    <row r="64" spans="1:3" ht="16.5" x14ac:dyDescent="0.3">
      <c r="A64" s="31" t="s">
        <v>1005</v>
      </c>
      <c r="B64" s="32" t="s">
        <v>1006</v>
      </c>
      <c r="C64" s="34" t="s">
        <v>1007</v>
      </c>
    </row>
    <row r="65" spans="1:3" ht="16.5" x14ac:dyDescent="0.3">
      <c r="A65" s="31" t="s">
        <v>1008</v>
      </c>
      <c r="B65" s="32" t="s">
        <v>1009</v>
      </c>
      <c r="C65" s="34" t="s">
        <v>1010</v>
      </c>
    </row>
    <row r="66" spans="1:3" ht="16.5" x14ac:dyDescent="0.3">
      <c r="A66" s="31" t="s">
        <v>1011</v>
      </c>
      <c r="B66" s="32" t="s">
        <v>1012</v>
      </c>
      <c r="C66" s="34" t="s">
        <v>376</v>
      </c>
    </row>
    <row r="67" spans="1:3" ht="16.5" x14ac:dyDescent="0.3">
      <c r="A67" s="31" t="s">
        <v>1013</v>
      </c>
      <c r="B67" s="32" t="s">
        <v>1014</v>
      </c>
      <c r="C67" s="33" t="s">
        <v>1015</v>
      </c>
    </row>
    <row r="68" spans="1:3" ht="16.5" x14ac:dyDescent="0.3">
      <c r="A68" s="31" t="s">
        <v>1016</v>
      </c>
      <c r="B68" s="32" t="s">
        <v>1017</v>
      </c>
      <c r="C68" s="34" t="s">
        <v>1018</v>
      </c>
    </row>
    <row r="69" spans="1:3" ht="16.5" x14ac:dyDescent="0.3">
      <c r="A69" s="31" t="s">
        <v>1019</v>
      </c>
      <c r="B69" s="32" t="s">
        <v>1020</v>
      </c>
      <c r="C69" s="34" t="s">
        <v>1021</v>
      </c>
    </row>
    <row r="70" spans="1:3" ht="16.5" x14ac:dyDescent="0.3">
      <c r="A70" s="31" t="s">
        <v>1022</v>
      </c>
      <c r="B70" s="32" t="s">
        <v>1023</v>
      </c>
      <c r="C70" s="34" t="s">
        <v>1024</v>
      </c>
    </row>
    <row r="71" spans="1:3" ht="16.5" x14ac:dyDescent="0.3">
      <c r="A71" s="31" t="s">
        <v>1025</v>
      </c>
      <c r="B71" s="32" t="s">
        <v>1026</v>
      </c>
      <c r="C71" s="34" t="s">
        <v>1027</v>
      </c>
    </row>
    <row r="72" spans="1:3" ht="16.5" x14ac:dyDescent="0.3">
      <c r="A72" s="31" t="s">
        <v>1028</v>
      </c>
      <c r="B72" s="32" t="s">
        <v>1029</v>
      </c>
      <c r="C72" s="44" t="s">
        <v>376</v>
      </c>
    </row>
    <row r="73" spans="1:3" ht="16.5" x14ac:dyDescent="0.3">
      <c r="A73" s="31" t="s">
        <v>1030</v>
      </c>
      <c r="B73" s="32" t="s">
        <v>1031</v>
      </c>
      <c r="C73" s="33" t="s">
        <v>1032</v>
      </c>
    </row>
    <row r="74" spans="1:3" ht="16.5" x14ac:dyDescent="0.3">
      <c r="A74" s="31" t="s">
        <v>1033</v>
      </c>
      <c r="B74" s="32" t="s">
        <v>1034</v>
      </c>
      <c r="C74" s="34" t="s">
        <v>1035</v>
      </c>
    </row>
    <row r="75" spans="1:3" ht="16.5" x14ac:dyDescent="0.3">
      <c r="A75" s="31" t="s">
        <v>1036</v>
      </c>
      <c r="B75" s="32" t="s">
        <v>1037</v>
      </c>
      <c r="C75" s="34" t="s">
        <v>1038</v>
      </c>
    </row>
    <row r="76" spans="1:3" ht="16.5" x14ac:dyDescent="0.3">
      <c r="A76" s="31" t="s">
        <v>1039</v>
      </c>
      <c r="B76" s="32" t="s">
        <v>1040</v>
      </c>
      <c r="C76" s="34" t="s">
        <v>1041</v>
      </c>
    </row>
    <row r="77" spans="1:3" ht="16.5" x14ac:dyDescent="0.3">
      <c r="A77" s="31" t="s">
        <v>1042</v>
      </c>
      <c r="B77" s="32" t="s">
        <v>1043</v>
      </c>
      <c r="C77" s="34" t="s">
        <v>1044</v>
      </c>
    </row>
    <row r="78" spans="1:3" ht="16.5" x14ac:dyDescent="0.3">
      <c r="A78" s="31" t="s">
        <v>1045</v>
      </c>
      <c r="B78" s="32" t="s">
        <v>1046</v>
      </c>
      <c r="C78" s="34" t="s">
        <v>376</v>
      </c>
    </row>
    <row r="79" spans="1:3" ht="16.5" x14ac:dyDescent="0.3">
      <c r="A79" s="31" t="s">
        <v>1047</v>
      </c>
      <c r="B79" s="32" t="s">
        <v>1048</v>
      </c>
      <c r="C79" s="34" t="s">
        <v>376</v>
      </c>
    </row>
    <row r="80" spans="1:3" ht="16.5" x14ac:dyDescent="0.3">
      <c r="A80" s="31" t="s">
        <v>1049</v>
      </c>
      <c r="B80" s="32" t="s">
        <v>1050</v>
      </c>
      <c r="C80" s="34" t="s">
        <v>1051</v>
      </c>
    </row>
    <row r="81" spans="1:3" ht="16.5" x14ac:dyDescent="0.3">
      <c r="A81" s="31" t="s">
        <v>1052</v>
      </c>
      <c r="B81" s="32" t="s">
        <v>1053</v>
      </c>
      <c r="C81" s="34" t="s">
        <v>1054</v>
      </c>
    </row>
    <row r="82" spans="1:3" ht="16.5" x14ac:dyDescent="0.3">
      <c r="A82" s="31" t="s">
        <v>1055</v>
      </c>
      <c r="B82" s="32" t="s">
        <v>1056</v>
      </c>
      <c r="C82" s="34" t="s">
        <v>1057</v>
      </c>
    </row>
    <row r="83" spans="1:3" ht="16.5" x14ac:dyDescent="0.3">
      <c r="A83" s="31" t="s">
        <v>1058</v>
      </c>
      <c r="B83" s="32" t="s">
        <v>1059</v>
      </c>
      <c r="C83" s="34" t="s">
        <v>1060</v>
      </c>
    </row>
    <row r="84" spans="1:3" ht="16.5" x14ac:dyDescent="0.3">
      <c r="A84" s="31" t="s">
        <v>1061</v>
      </c>
      <c r="B84" s="32" t="s">
        <v>1062</v>
      </c>
      <c r="C84" s="34" t="s">
        <v>1063</v>
      </c>
    </row>
    <row r="85" spans="1:3" ht="16.5" x14ac:dyDescent="0.3">
      <c r="A85" s="31" t="s">
        <v>1064</v>
      </c>
      <c r="B85" s="32" t="s">
        <v>1065</v>
      </c>
      <c r="C85" s="34" t="s">
        <v>1066</v>
      </c>
    </row>
    <row r="86" spans="1:3" ht="16.5" x14ac:dyDescent="0.3">
      <c r="A86" s="31" t="s">
        <v>1067</v>
      </c>
      <c r="B86" s="32" t="s">
        <v>1068</v>
      </c>
      <c r="C86" s="46" t="s">
        <v>1069</v>
      </c>
    </row>
    <row r="87" spans="1:3" ht="16.5" x14ac:dyDescent="0.3">
      <c r="A87" s="31" t="s">
        <v>1070</v>
      </c>
      <c r="B87" s="32" t="s">
        <v>1071</v>
      </c>
      <c r="C87" s="34" t="s">
        <v>1072</v>
      </c>
    </row>
    <row r="88" spans="1:3" ht="16.5" x14ac:dyDescent="0.3">
      <c r="A88" s="31" t="s">
        <v>1073</v>
      </c>
      <c r="B88" s="32" t="s">
        <v>1074</v>
      </c>
      <c r="C88" s="34" t="s">
        <v>1075</v>
      </c>
    </row>
    <row r="89" spans="1:3" ht="16.5" x14ac:dyDescent="0.3">
      <c r="A89" s="31" t="s">
        <v>1076</v>
      </c>
      <c r="B89" s="32" t="s">
        <v>1077</v>
      </c>
      <c r="C89" s="34" t="s">
        <v>1078</v>
      </c>
    </row>
    <row r="90" spans="1:3" ht="16.5" x14ac:dyDescent="0.3">
      <c r="A90" s="31" t="s">
        <v>1079</v>
      </c>
      <c r="B90" s="32" t="s">
        <v>1080</v>
      </c>
      <c r="C90" s="34" t="s">
        <v>1081</v>
      </c>
    </row>
    <row r="91" spans="1:3" ht="16.5" x14ac:dyDescent="0.3">
      <c r="A91" s="31" t="s">
        <v>1082</v>
      </c>
      <c r="B91" s="32" t="s">
        <v>1083</v>
      </c>
      <c r="C91" s="34" t="s">
        <v>1084</v>
      </c>
    </row>
    <row r="92" spans="1:3" ht="16.5" x14ac:dyDescent="0.3">
      <c r="A92" s="31" t="s">
        <v>1085</v>
      </c>
      <c r="B92" s="32" t="s">
        <v>1086</v>
      </c>
      <c r="C92" s="34" t="s">
        <v>1087</v>
      </c>
    </row>
    <row r="93" spans="1:3" ht="16.5" x14ac:dyDescent="0.3">
      <c r="A93" s="31" t="s">
        <v>1088</v>
      </c>
      <c r="B93" s="32" t="s">
        <v>1089</v>
      </c>
      <c r="C93" s="34" t="s">
        <v>1090</v>
      </c>
    </row>
    <row r="94" spans="1:3" ht="16.5" x14ac:dyDescent="0.3">
      <c r="A94" s="31" t="s">
        <v>1091</v>
      </c>
      <c r="B94" s="32" t="s">
        <v>1092</v>
      </c>
      <c r="C94" s="34" t="s">
        <v>1093</v>
      </c>
    </row>
    <row r="95" spans="1:3" ht="16.5" x14ac:dyDescent="0.3">
      <c r="A95" s="31" t="s">
        <v>1094</v>
      </c>
      <c r="B95" s="32" t="s">
        <v>1095</v>
      </c>
      <c r="C95" s="34" t="s">
        <v>1096</v>
      </c>
    </row>
    <row r="96" spans="1:3" ht="16.5" x14ac:dyDescent="0.3">
      <c r="A96" s="31" t="s">
        <v>1097</v>
      </c>
      <c r="B96" s="32" t="s">
        <v>1098</v>
      </c>
      <c r="C96" s="34" t="s">
        <v>1099</v>
      </c>
    </row>
    <row r="97" spans="1:3" ht="16.5" x14ac:dyDescent="0.3">
      <c r="A97" s="31" t="s">
        <v>1100</v>
      </c>
      <c r="B97" s="32" t="s">
        <v>1101</v>
      </c>
      <c r="C97" s="34" t="s">
        <v>1102</v>
      </c>
    </row>
    <row r="98" spans="1:3" ht="16.5" x14ac:dyDescent="0.3">
      <c r="A98" s="31" t="s">
        <v>1103</v>
      </c>
      <c r="B98" s="32" t="s">
        <v>1104</v>
      </c>
      <c r="C98" s="34" t="s">
        <v>1105</v>
      </c>
    </row>
    <row r="99" spans="1:3" ht="16.5" x14ac:dyDescent="0.3">
      <c r="A99" s="31" t="s">
        <v>1106</v>
      </c>
      <c r="B99" s="32" t="s">
        <v>1107</v>
      </c>
      <c r="C99" s="34" t="s">
        <v>1108</v>
      </c>
    </row>
    <row r="100" spans="1:3" ht="16.5" x14ac:dyDescent="0.3">
      <c r="A100" s="31" t="s">
        <v>1109</v>
      </c>
      <c r="B100" s="32" t="s">
        <v>1110</v>
      </c>
      <c r="C100" s="34" t="s">
        <v>1111</v>
      </c>
    </row>
    <row r="101" spans="1:3" ht="16.5" x14ac:dyDescent="0.3">
      <c r="A101" s="31" t="s">
        <v>1112</v>
      </c>
      <c r="B101" s="32" t="s">
        <v>1113</v>
      </c>
      <c r="C101" s="34" t="s">
        <v>1114</v>
      </c>
    </row>
    <row r="102" spans="1:3" ht="16.5" x14ac:dyDescent="0.3">
      <c r="A102" s="31" t="s">
        <v>1115</v>
      </c>
      <c r="B102" s="32" t="s">
        <v>1116</v>
      </c>
      <c r="C102" s="34" t="s">
        <v>1117</v>
      </c>
    </row>
    <row r="103" spans="1:3" ht="16.5" x14ac:dyDescent="0.3">
      <c r="A103" s="31" t="s">
        <v>1118</v>
      </c>
      <c r="B103" s="32" t="s">
        <v>1119</v>
      </c>
      <c r="C103" s="44" t="s">
        <v>1120</v>
      </c>
    </row>
    <row r="104" spans="1:3" ht="16.5" x14ac:dyDescent="0.3">
      <c r="A104" s="31" t="s">
        <v>1121</v>
      </c>
      <c r="B104" s="32" t="s">
        <v>1122</v>
      </c>
      <c r="C104" s="34" t="s">
        <v>1123</v>
      </c>
    </row>
    <row r="105" spans="1:3" ht="16.5" x14ac:dyDescent="0.3">
      <c r="A105" s="31" t="s">
        <v>1124</v>
      </c>
      <c r="B105" s="32" t="s">
        <v>1125</v>
      </c>
      <c r="C105" s="34" t="s">
        <v>1126</v>
      </c>
    </row>
    <row r="106" spans="1:3" ht="16.5" x14ac:dyDescent="0.3">
      <c r="A106" s="31" t="s">
        <v>1127</v>
      </c>
      <c r="B106" s="32" t="s">
        <v>1128</v>
      </c>
      <c r="C106" s="34" t="s">
        <v>1129</v>
      </c>
    </row>
    <row r="107" spans="1:3" ht="16.5" x14ac:dyDescent="0.3">
      <c r="A107" s="31" t="s">
        <v>1130</v>
      </c>
      <c r="B107" s="32" t="s">
        <v>1131</v>
      </c>
      <c r="C107" s="34" t="s">
        <v>1132</v>
      </c>
    </row>
    <row r="108" spans="1:3" ht="16.5" x14ac:dyDescent="0.3">
      <c r="A108" s="31" t="s">
        <v>1133</v>
      </c>
      <c r="B108" s="32" t="s">
        <v>1134</v>
      </c>
      <c r="C108" s="34" t="s">
        <v>1135</v>
      </c>
    </row>
    <row r="109" spans="1:3" ht="16.5" x14ac:dyDescent="0.3">
      <c r="A109" s="31" t="s">
        <v>1136</v>
      </c>
      <c r="B109" s="32" t="s">
        <v>1137</v>
      </c>
      <c r="C109" s="33" t="s">
        <v>1138</v>
      </c>
    </row>
    <row r="110" spans="1:3" ht="16.5" x14ac:dyDescent="0.3">
      <c r="A110" s="31" t="s">
        <v>1139</v>
      </c>
      <c r="B110" s="32" t="s">
        <v>1140</v>
      </c>
      <c r="C110" s="33" t="s">
        <v>376</v>
      </c>
    </row>
    <row r="111" spans="1:3" ht="16.5" x14ac:dyDescent="0.3">
      <c r="A111" s="31" t="s">
        <v>1141</v>
      </c>
      <c r="B111" s="32" t="s">
        <v>1142</v>
      </c>
      <c r="C111" s="34" t="s">
        <v>376</v>
      </c>
    </row>
    <row r="112" spans="1:3" ht="16.5" x14ac:dyDescent="0.3">
      <c r="A112" s="31" t="s">
        <v>1143</v>
      </c>
      <c r="B112" s="32" t="s">
        <v>1144</v>
      </c>
      <c r="C112" s="44" t="s">
        <v>1145</v>
      </c>
    </row>
    <row r="113" spans="1:3" ht="16.5" x14ac:dyDescent="0.3">
      <c r="A113" s="31" t="s">
        <v>1146</v>
      </c>
      <c r="B113" s="32" t="s">
        <v>1147</v>
      </c>
      <c r="C113" s="34" t="s">
        <v>1148</v>
      </c>
    </row>
    <row r="114" spans="1:3" ht="16.5" x14ac:dyDescent="0.3">
      <c r="A114" s="31" t="s">
        <v>1149</v>
      </c>
      <c r="B114" s="32" t="s">
        <v>1150</v>
      </c>
      <c r="C114" s="34" t="s">
        <v>1151</v>
      </c>
    </row>
    <row r="115" spans="1:3" ht="16.5" x14ac:dyDescent="0.3">
      <c r="A115" s="31" t="s">
        <v>1152</v>
      </c>
      <c r="B115" s="32" t="s">
        <v>1153</v>
      </c>
      <c r="C115" s="34" t="s">
        <v>1154</v>
      </c>
    </row>
    <row r="116" spans="1:3" ht="16.5" x14ac:dyDescent="0.3">
      <c r="A116" s="31" t="s">
        <v>1155</v>
      </c>
      <c r="B116" s="32" t="s">
        <v>1156</v>
      </c>
      <c r="C116" s="34" t="s">
        <v>376</v>
      </c>
    </row>
    <row r="117" spans="1:3" ht="16.5" x14ac:dyDescent="0.3">
      <c r="A117" s="31" t="s">
        <v>1157</v>
      </c>
      <c r="B117" s="32" t="s">
        <v>1158</v>
      </c>
      <c r="C117" s="34" t="s">
        <v>376</v>
      </c>
    </row>
    <row r="118" spans="1:3" ht="16.5" x14ac:dyDescent="0.3">
      <c r="A118" s="36" t="s">
        <v>1159</v>
      </c>
      <c r="B118" s="32" t="s">
        <v>1160</v>
      </c>
      <c r="C118" s="34" t="s">
        <v>1161</v>
      </c>
    </row>
    <row r="119" spans="1:3" ht="16.5" x14ac:dyDescent="0.3">
      <c r="A119" s="31" t="s">
        <v>1162</v>
      </c>
      <c r="B119" s="32" t="s">
        <v>1163</v>
      </c>
      <c r="C119" s="34" t="s">
        <v>376</v>
      </c>
    </row>
    <row r="120" spans="1:3" ht="16.5" x14ac:dyDescent="0.3">
      <c r="A120" s="31" t="s">
        <v>1164</v>
      </c>
      <c r="B120" s="32" t="s">
        <v>1165</v>
      </c>
      <c r="C120" s="34" t="s">
        <v>1166</v>
      </c>
    </row>
    <row r="121" spans="1:3" ht="16.5" x14ac:dyDescent="0.3">
      <c r="A121" s="31" t="s">
        <v>1167</v>
      </c>
      <c r="B121" s="32" t="s">
        <v>1168</v>
      </c>
      <c r="C121" s="34" t="s">
        <v>1169</v>
      </c>
    </row>
    <row r="122" spans="1:3" ht="16.5" x14ac:dyDescent="0.3">
      <c r="A122" s="31" t="s">
        <v>1170</v>
      </c>
      <c r="B122" s="32" t="s">
        <v>1171</v>
      </c>
      <c r="C122" s="34" t="s">
        <v>1172</v>
      </c>
    </row>
    <row r="123" spans="1:3" ht="16.5" x14ac:dyDescent="0.3">
      <c r="A123" s="31" t="s">
        <v>1173</v>
      </c>
      <c r="B123" s="32" t="s">
        <v>1174</v>
      </c>
      <c r="C123" s="34" t="s">
        <v>1175</v>
      </c>
    </row>
    <row r="124" spans="1:3" ht="16.5" x14ac:dyDescent="0.3">
      <c r="A124" s="31" t="s">
        <v>508</v>
      </c>
      <c r="B124" s="32" t="s">
        <v>377</v>
      </c>
      <c r="C124" s="34" t="s">
        <v>1176</v>
      </c>
    </row>
    <row r="125" spans="1:3" ht="16.5" x14ac:dyDescent="0.3">
      <c r="A125" s="31" t="s">
        <v>1177</v>
      </c>
      <c r="B125" s="32" t="s">
        <v>1178</v>
      </c>
      <c r="C125" s="34" t="s">
        <v>1179</v>
      </c>
    </row>
    <row r="126" spans="1:3" ht="16.5" x14ac:dyDescent="0.3">
      <c r="A126" s="31" t="s">
        <v>1180</v>
      </c>
      <c r="B126" s="32" t="s">
        <v>1181</v>
      </c>
      <c r="C126" s="34" t="s">
        <v>1182</v>
      </c>
    </row>
    <row r="127" spans="1:3" ht="16.5" x14ac:dyDescent="0.3">
      <c r="A127" s="31" t="s">
        <v>1183</v>
      </c>
      <c r="B127" s="32" t="s">
        <v>1184</v>
      </c>
      <c r="C127" s="34" t="s">
        <v>1185</v>
      </c>
    </row>
    <row r="128" spans="1:3" ht="16.5" x14ac:dyDescent="0.3">
      <c r="A128" s="31" t="s">
        <v>1186</v>
      </c>
      <c r="B128" s="32" t="s">
        <v>1187</v>
      </c>
      <c r="C128" s="34" t="s">
        <v>1188</v>
      </c>
    </row>
    <row r="129" spans="1:3" ht="16.5" x14ac:dyDescent="0.3">
      <c r="A129" s="31" t="s">
        <v>1189</v>
      </c>
      <c r="B129" s="32" t="s">
        <v>1190</v>
      </c>
      <c r="C129" s="34" t="s">
        <v>1191</v>
      </c>
    </row>
    <row r="130" spans="1:3" ht="16.5" x14ac:dyDescent="0.3">
      <c r="A130" s="31" t="s">
        <v>1192</v>
      </c>
      <c r="B130" s="32" t="s">
        <v>1193</v>
      </c>
      <c r="C130" s="33" t="s">
        <v>1194</v>
      </c>
    </row>
    <row r="131" spans="1:3" ht="16.5" x14ac:dyDescent="0.3">
      <c r="A131" s="31" t="s">
        <v>1195</v>
      </c>
      <c r="B131" s="32" t="s">
        <v>1196</v>
      </c>
      <c r="C131" s="33" t="s">
        <v>1197</v>
      </c>
    </row>
    <row r="132" spans="1:3" ht="16.5" x14ac:dyDescent="0.3">
      <c r="A132" s="31" t="s">
        <v>1198</v>
      </c>
      <c r="B132" s="32" t="s">
        <v>1199</v>
      </c>
      <c r="C132" s="34" t="s">
        <v>1200</v>
      </c>
    </row>
    <row r="133" spans="1:3" ht="16.5" x14ac:dyDescent="0.3">
      <c r="A133" s="31" t="s">
        <v>1201</v>
      </c>
      <c r="B133" s="32" t="s">
        <v>1202</v>
      </c>
      <c r="C133" s="34" t="s">
        <v>1203</v>
      </c>
    </row>
    <row r="134" spans="1:3" ht="16.5" x14ac:dyDescent="0.3">
      <c r="A134" s="31" t="s">
        <v>1204</v>
      </c>
      <c r="B134" s="32" t="s">
        <v>148</v>
      </c>
      <c r="C134" s="34" t="s">
        <v>1205</v>
      </c>
    </row>
    <row r="135" spans="1:3" ht="16.5" x14ac:dyDescent="0.3">
      <c r="A135" s="31" t="s">
        <v>1206</v>
      </c>
      <c r="B135" s="32" t="s">
        <v>1207</v>
      </c>
      <c r="C135" s="34" t="s">
        <v>1208</v>
      </c>
    </row>
    <row r="136" spans="1:3" ht="16.5" x14ac:dyDescent="0.3">
      <c r="A136" s="31" t="s">
        <v>1209</v>
      </c>
      <c r="B136" s="32" t="s">
        <v>1210</v>
      </c>
      <c r="C136" s="34" t="s">
        <v>1211</v>
      </c>
    </row>
    <row r="137" spans="1:3" ht="16.5" x14ac:dyDescent="0.3">
      <c r="A137" s="31" t="s">
        <v>1212</v>
      </c>
      <c r="B137" s="32" t="s">
        <v>721</v>
      </c>
      <c r="C137" s="34" t="s">
        <v>1213</v>
      </c>
    </row>
    <row r="138" spans="1:3" ht="16.5" x14ac:dyDescent="0.3">
      <c r="A138" s="31" t="s">
        <v>1214</v>
      </c>
      <c r="B138" s="32" t="s">
        <v>1215</v>
      </c>
      <c r="C138" s="34" t="s">
        <v>1216</v>
      </c>
    </row>
    <row r="139" spans="1:3" ht="16.5" x14ac:dyDescent="0.3">
      <c r="A139" s="31" t="s">
        <v>1217</v>
      </c>
      <c r="B139" s="32" t="s">
        <v>1218</v>
      </c>
      <c r="C139" s="34" t="s">
        <v>1219</v>
      </c>
    </row>
    <row r="140" spans="1:3" ht="16.5" x14ac:dyDescent="0.3">
      <c r="A140" s="31" t="s">
        <v>1220</v>
      </c>
      <c r="B140" s="32" t="s">
        <v>1221</v>
      </c>
      <c r="C140" s="33" t="s">
        <v>376</v>
      </c>
    </row>
    <row r="141" spans="1:3" ht="16.5" x14ac:dyDescent="0.3">
      <c r="A141" s="31" t="s">
        <v>1222</v>
      </c>
      <c r="B141" s="32" t="s">
        <v>1223</v>
      </c>
      <c r="C141" s="34" t="s">
        <v>376</v>
      </c>
    </row>
    <row r="142" spans="1:3" ht="16.5" x14ac:dyDescent="0.3">
      <c r="A142" s="31" t="s">
        <v>1224</v>
      </c>
      <c r="B142" s="32" t="s">
        <v>1225</v>
      </c>
      <c r="C142" s="33" t="s">
        <v>1226</v>
      </c>
    </row>
    <row r="143" spans="1:3" ht="16.5" x14ac:dyDescent="0.3">
      <c r="A143" s="31" t="s">
        <v>1227</v>
      </c>
      <c r="B143" s="32" t="s">
        <v>1228</v>
      </c>
      <c r="C143" s="33" t="s">
        <v>1229</v>
      </c>
    </row>
    <row r="144" spans="1:3" ht="16.5" x14ac:dyDescent="0.3">
      <c r="A144" s="31" t="s">
        <v>1230</v>
      </c>
      <c r="B144" s="32" t="s">
        <v>1231</v>
      </c>
      <c r="C144" s="33" t="s">
        <v>1232</v>
      </c>
    </row>
    <row r="145" spans="1:3" ht="16.5" x14ac:dyDescent="0.3">
      <c r="A145" s="31" t="s">
        <v>1233</v>
      </c>
      <c r="B145" s="32" t="s">
        <v>1234</v>
      </c>
      <c r="C145" s="33" t="s">
        <v>1235</v>
      </c>
    </row>
    <row r="146" spans="1:3" ht="16.5" x14ac:dyDescent="0.3">
      <c r="A146" s="31" t="s">
        <v>1236</v>
      </c>
      <c r="B146" s="32" t="s">
        <v>1237</v>
      </c>
      <c r="C146" s="34" t="s">
        <v>1238</v>
      </c>
    </row>
    <row r="147" spans="1:3" ht="16.5" x14ac:dyDescent="0.3">
      <c r="A147" s="31" t="s">
        <v>1239</v>
      </c>
      <c r="B147" s="32" t="s">
        <v>1240</v>
      </c>
      <c r="C147" s="33" t="s">
        <v>1241</v>
      </c>
    </row>
    <row r="148" spans="1:3" ht="16.5" x14ac:dyDescent="0.3">
      <c r="A148" s="31" t="s">
        <v>1242</v>
      </c>
      <c r="B148" s="32" t="s">
        <v>1243</v>
      </c>
      <c r="C148" s="34" t="s">
        <v>1244</v>
      </c>
    </row>
    <row r="149" spans="1:3" ht="16.5" x14ac:dyDescent="0.3">
      <c r="A149" s="31" t="s">
        <v>1245</v>
      </c>
      <c r="B149" s="32" t="s">
        <v>1246</v>
      </c>
      <c r="C149" s="33" t="s">
        <v>1247</v>
      </c>
    </row>
    <row r="150" spans="1:3" ht="16.5" x14ac:dyDescent="0.3">
      <c r="A150" s="31" t="s">
        <v>1248</v>
      </c>
      <c r="B150" s="32" t="s">
        <v>1249</v>
      </c>
      <c r="C150" s="34" t="s">
        <v>1250</v>
      </c>
    </row>
    <row r="151" spans="1:3" ht="16.5" x14ac:dyDescent="0.3">
      <c r="A151" s="31" t="s">
        <v>1251</v>
      </c>
      <c r="B151" s="32" t="s">
        <v>1252</v>
      </c>
      <c r="C151" s="34" t="s">
        <v>1253</v>
      </c>
    </row>
    <row r="152" spans="1:3" ht="16.5" x14ac:dyDescent="0.3">
      <c r="A152" s="31" t="s">
        <v>1254</v>
      </c>
      <c r="B152" s="32" t="s">
        <v>1255</v>
      </c>
      <c r="C152" s="34" t="s">
        <v>1256</v>
      </c>
    </row>
    <row r="153" spans="1:3" ht="16.5" x14ac:dyDescent="0.3">
      <c r="A153" s="31" t="s">
        <v>1257</v>
      </c>
      <c r="B153" s="32" t="s">
        <v>1258</v>
      </c>
      <c r="C153" s="44" t="s">
        <v>1259</v>
      </c>
    </row>
    <row r="154" spans="1:3" ht="16.5" x14ac:dyDescent="0.3">
      <c r="A154" s="31" t="s">
        <v>1260</v>
      </c>
      <c r="B154" s="32" t="s">
        <v>1261</v>
      </c>
      <c r="C154" s="34" t="s">
        <v>1262</v>
      </c>
    </row>
    <row r="155" spans="1:3" ht="16.5" x14ac:dyDescent="0.3">
      <c r="A155" s="31" t="s">
        <v>1263</v>
      </c>
      <c r="B155" s="32" t="s">
        <v>1264</v>
      </c>
      <c r="C155" s="33" t="s">
        <v>1265</v>
      </c>
    </row>
    <row r="156" spans="1:3" ht="16.5" x14ac:dyDescent="0.3">
      <c r="A156" s="31" t="s">
        <v>1266</v>
      </c>
      <c r="B156" s="32" t="s">
        <v>1267</v>
      </c>
      <c r="C156" s="33" t="s">
        <v>1268</v>
      </c>
    </row>
    <row r="157" spans="1:3" ht="16.5" x14ac:dyDescent="0.3">
      <c r="A157" s="31" t="s">
        <v>1269</v>
      </c>
      <c r="B157" s="32" t="s">
        <v>1270</v>
      </c>
      <c r="C157" s="34" t="s">
        <v>376</v>
      </c>
    </row>
    <row r="158" spans="1:3" ht="16.5" x14ac:dyDescent="0.3">
      <c r="A158" s="31" t="s">
        <v>1271</v>
      </c>
      <c r="B158" s="32" t="s">
        <v>1272</v>
      </c>
      <c r="C158" s="34" t="s">
        <v>1273</v>
      </c>
    </row>
    <row r="159" spans="1:3" ht="16.5" x14ac:dyDescent="0.3">
      <c r="A159" s="31" t="s">
        <v>1274</v>
      </c>
      <c r="B159" s="32" t="s">
        <v>1275</v>
      </c>
      <c r="C159" s="34" t="s">
        <v>1276</v>
      </c>
    </row>
    <row r="160" spans="1:3" ht="16.5" x14ac:dyDescent="0.3">
      <c r="A160" s="31" t="s">
        <v>1277</v>
      </c>
      <c r="B160" s="32" t="s">
        <v>1278</v>
      </c>
      <c r="C160" s="34" t="s">
        <v>1279</v>
      </c>
    </row>
    <row r="161" spans="1:3" ht="16.5" x14ac:dyDescent="0.3">
      <c r="A161" s="31" t="s">
        <v>1280</v>
      </c>
      <c r="B161" s="32" t="s">
        <v>1281</v>
      </c>
      <c r="C161" s="34" t="s">
        <v>376</v>
      </c>
    </row>
    <row r="162" spans="1:3" ht="16.5" x14ac:dyDescent="0.3">
      <c r="A162" s="36" t="s">
        <v>1282</v>
      </c>
      <c r="B162" s="32" t="s">
        <v>1283</v>
      </c>
      <c r="C162" s="34" t="s">
        <v>1284</v>
      </c>
    </row>
    <row r="163" spans="1:3" ht="16.5" x14ac:dyDescent="0.3">
      <c r="A163" s="36" t="s">
        <v>1285</v>
      </c>
      <c r="B163" s="32" t="s">
        <v>1286</v>
      </c>
      <c r="C163" s="34" t="s">
        <v>1287</v>
      </c>
    </row>
    <row r="164" spans="1:3" ht="16.5" x14ac:dyDescent="0.3">
      <c r="A164" s="31" t="s">
        <v>1288</v>
      </c>
      <c r="B164" s="32" t="s">
        <v>1289</v>
      </c>
      <c r="C164" s="34" t="s">
        <v>1290</v>
      </c>
    </row>
    <row r="165" spans="1:3" ht="16.5" x14ac:dyDescent="0.3">
      <c r="A165" s="31" t="s">
        <v>1291</v>
      </c>
      <c r="B165" s="32" t="s">
        <v>1292</v>
      </c>
      <c r="C165" s="44" t="s">
        <v>1293</v>
      </c>
    </row>
    <row r="166" spans="1:3" ht="16.5" x14ac:dyDescent="0.3">
      <c r="A166" s="31" t="s">
        <v>1294</v>
      </c>
      <c r="B166" s="32" t="s">
        <v>1295</v>
      </c>
      <c r="C166" s="34" t="s">
        <v>1296</v>
      </c>
    </row>
    <row r="167" spans="1:3" ht="16.5" x14ac:dyDescent="0.3">
      <c r="A167" s="31" t="s">
        <v>1297</v>
      </c>
      <c r="B167" s="32" t="s">
        <v>1298</v>
      </c>
      <c r="C167" s="34" t="s">
        <v>1299</v>
      </c>
    </row>
    <row r="168" spans="1:3" ht="16.5" x14ac:dyDescent="0.3">
      <c r="A168" s="31" t="s">
        <v>1300</v>
      </c>
      <c r="B168" s="32" t="s">
        <v>1301</v>
      </c>
      <c r="C168" s="34" t="s">
        <v>1302</v>
      </c>
    </row>
    <row r="169" spans="1:3" ht="16.5" x14ac:dyDescent="0.3">
      <c r="A169" s="31" t="s">
        <v>1303</v>
      </c>
      <c r="B169" s="32" t="s">
        <v>1304</v>
      </c>
      <c r="C169" s="34" t="s">
        <v>1305</v>
      </c>
    </row>
    <row r="170" spans="1:3" ht="16.5" x14ac:dyDescent="0.3">
      <c r="A170" s="31" t="s">
        <v>1306</v>
      </c>
      <c r="B170" s="32" t="s">
        <v>383</v>
      </c>
      <c r="C170" s="34" t="s">
        <v>1307</v>
      </c>
    </row>
    <row r="171" spans="1:3" ht="16.5" x14ac:dyDescent="0.3">
      <c r="A171" s="31" t="s">
        <v>1308</v>
      </c>
      <c r="B171" s="32" t="s">
        <v>1309</v>
      </c>
      <c r="C171" s="34" t="s">
        <v>740</v>
      </c>
    </row>
    <row r="172" spans="1:3" ht="16.5" x14ac:dyDescent="0.3">
      <c r="A172" s="31" t="s">
        <v>1310</v>
      </c>
      <c r="B172" s="32" t="s">
        <v>1311</v>
      </c>
      <c r="C172" s="44" t="s">
        <v>1312</v>
      </c>
    </row>
    <row r="173" spans="1:3" ht="16.5" x14ac:dyDescent="0.3">
      <c r="A173" s="31" t="s">
        <v>1313</v>
      </c>
      <c r="B173" s="32" t="s">
        <v>1314</v>
      </c>
      <c r="C173" s="34" t="s">
        <v>1315</v>
      </c>
    </row>
    <row r="174" spans="1:3" ht="16.5" x14ac:dyDescent="0.3">
      <c r="A174" s="31" t="s">
        <v>1316</v>
      </c>
      <c r="B174" s="32" t="s">
        <v>1317</v>
      </c>
      <c r="C174" s="34" t="s">
        <v>1318</v>
      </c>
    </row>
    <row r="175" spans="1:3" ht="16.5" x14ac:dyDescent="0.3">
      <c r="A175" s="31" t="s">
        <v>1319</v>
      </c>
      <c r="B175" s="32" t="s">
        <v>1320</v>
      </c>
      <c r="C175" s="34" t="s">
        <v>1321</v>
      </c>
    </row>
    <row r="176" spans="1:3" ht="16.5" x14ac:dyDescent="0.3">
      <c r="A176" s="31" t="s">
        <v>1322</v>
      </c>
      <c r="B176" s="32" t="s">
        <v>1323</v>
      </c>
      <c r="C176" s="34" t="s">
        <v>1324</v>
      </c>
    </row>
    <row r="177" spans="1:3" ht="16.5" x14ac:dyDescent="0.3">
      <c r="A177" s="31" t="s">
        <v>1325</v>
      </c>
      <c r="B177" s="32" t="s">
        <v>1326</v>
      </c>
      <c r="C177" s="34" t="s">
        <v>1327</v>
      </c>
    </row>
    <row r="178" spans="1:3" ht="16.5" x14ac:dyDescent="0.3">
      <c r="A178" s="31" t="s">
        <v>1328</v>
      </c>
      <c r="B178" s="32" t="s">
        <v>1329</v>
      </c>
      <c r="C178" s="34" t="s">
        <v>1330</v>
      </c>
    </row>
    <row r="179" spans="1:3" ht="16.5" x14ac:dyDescent="0.3">
      <c r="A179" s="31" t="s">
        <v>1331</v>
      </c>
      <c r="B179" s="32" t="s">
        <v>1332</v>
      </c>
      <c r="C179" s="44" t="s">
        <v>1333</v>
      </c>
    </row>
    <row r="180" spans="1:3" ht="16.5" x14ac:dyDescent="0.3">
      <c r="A180" s="31" t="s">
        <v>1334</v>
      </c>
      <c r="B180" s="32" t="s">
        <v>1335</v>
      </c>
      <c r="C180" s="34" t="s">
        <v>1336</v>
      </c>
    </row>
    <row r="181" spans="1:3" ht="16.5" x14ac:dyDescent="0.3">
      <c r="A181" s="31" t="s">
        <v>1337</v>
      </c>
      <c r="B181" s="32" t="s">
        <v>1338</v>
      </c>
      <c r="C181" s="34" t="s">
        <v>376</v>
      </c>
    </row>
    <row r="182" spans="1:3" ht="16.5" x14ac:dyDescent="0.3">
      <c r="A182" s="31" t="s">
        <v>1339</v>
      </c>
      <c r="B182" s="32" t="s">
        <v>1340</v>
      </c>
      <c r="C182" s="34" t="s">
        <v>1341</v>
      </c>
    </row>
    <row r="183" spans="1:3" ht="16.5" x14ac:dyDescent="0.3">
      <c r="A183" s="31" t="s">
        <v>1342</v>
      </c>
      <c r="B183" s="32" t="s">
        <v>127</v>
      </c>
      <c r="C183" s="34" t="s">
        <v>1343</v>
      </c>
    </row>
    <row r="184" spans="1:3" ht="16.5" x14ac:dyDescent="0.3">
      <c r="A184" s="31" t="s">
        <v>1344</v>
      </c>
      <c r="B184" s="32" t="s">
        <v>1345</v>
      </c>
      <c r="C184" s="34" t="s">
        <v>1346</v>
      </c>
    </row>
    <row r="185" spans="1:3" ht="16.5" x14ac:dyDescent="0.3">
      <c r="A185" s="31" t="s">
        <v>1347</v>
      </c>
      <c r="B185" s="32" t="s">
        <v>1348</v>
      </c>
      <c r="C185" s="34" t="s">
        <v>1349</v>
      </c>
    </row>
    <row r="186" spans="1:3" ht="16.5" x14ac:dyDescent="0.3">
      <c r="A186" s="31" t="s">
        <v>1350</v>
      </c>
      <c r="B186" s="32" t="s">
        <v>1351</v>
      </c>
      <c r="C186" s="34" t="s">
        <v>1352</v>
      </c>
    </row>
    <row r="187" spans="1:3" ht="16.5" x14ac:dyDescent="0.3">
      <c r="A187" s="31" t="s">
        <v>1353</v>
      </c>
      <c r="B187" s="32" t="s">
        <v>1354</v>
      </c>
      <c r="C187" s="34" t="s">
        <v>1355</v>
      </c>
    </row>
    <row r="188" spans="1:3" ht="16.5" x14ac:dyDescent="0.3">
      <c r="A188" s="31" t="s">
        <v>1356</v>
      </c>
      <c r="B188" s="32" t="s">
        <v>1357</v>
      </c>
      <c r="C188" s="34" t="s">
        <v>1358</v>
      </c>
    </row>
    <row r="189" spans="1:3" ht="16.5" x14ac:dyDescent="0.3">
      <c r="A189" s="31" t="s">
        <v>1359</v>
      </c>
      <c r="B189" s="32" t="s">
        <v>1360</v>
      </c>
      <c r="C189" s="34" t="s">
        <v>376</v>
      </c>
    </row>
    <row r="190" spans="1:3" ht="16.5" x14ac:dyDescent="0.3">
      <c r="A190" s="31" t="s">
        <v>1361</v>
      </c>
      <c r="B190" s="32" t="s">
        <v>211</v>
      </c>
      <c r="C190" s="34" t="s">
        <v>1362</v>
      </c>
    </row>
    <row r="191" spans="1:3" ht="16.5" x14ac:dyDescent="0.3">
      <c r="A191" s="31" t="s">
        <v>308</v>
      </c>
      <c r="B191" s="32" t="s">
        <v>1363</v>
      </c>
      <c r="C191" s="34" t="s">
        <v>1364</v>
      </c>
    </row>
    <row r="192" spans="1:3" ht="16.5" x14ac:dyDescent="0.3">
      <c r="A192" s="31" t="s">
        <v>1365</v>
      </c>
      <c r="B192" s="32" t="s">
        <v>1366</v>
      </c>
      <c r="C192" s="34" t="s">
        <v>1367</v>
      </c>
    </row>
    <row r="193" spans="1:3" ht="16.5" x14ac:dyDescent="0.3">
      <c r="A193" s="31" t="s">
        <v>1368</v>
      </c>
      <c r="B193" s="32" t="s">
        <v>1369</v>
      </c>
      <c r="C193" s="34" t="s">
        <v>1370</v>
      </c>
    </row>
    <row r="194" spans="1:3" ht="16.5" x14ac:dyDescent="0.3">
      <c r="A194" s="31" t="s">
        <v>1371</v>
      </c>
      <c r="B194" s="32" t="s">
        <v>1372</v>
      </c>
      <c r="C194" s="33" t="s">
        <v>1373</v>
      </c>
    </row>
    <row r="195" spans="1:3" ht="16.5" x14ac:dyDescent="0.3">
      <c r="A195" s="31" t="s">
        <v>1374</v>
      </c>
      <c r="B195" s="32" t="s">
        <v>1375</v>
      </c>
      <c r="C195" s="33" t="s">
        <v>1376</v>
      </c>
    </row>
    <row r="196" spans="1:3" ht="16.5" x14ac:dyDescent="0.3">
      <c r="A196" s="31" t="s">
        <v>1377</v>
      </c>
      <c r="B196" s="32" t="s">
        <v>1378</v>
      </c>
      <c r="C196" s="33" t="s">
        <v>1379</v>
      </c>
    </row>
    <row r="197" spans="1:3" ht="16.5" x14ac:dyDescent="0.3">
      <c r="A197" s="31" t="s">
        <v>1380</v>
      </c>
      <c r="B197" s="32" t="s">
        <v>1381</v>
      </c>
      <c r="C197" s="44" t="s">
        <v>1382</v>
      </c>
    </row>
    <row r="198" spans="1:3" ht="16.5" x14ac:dyDescent="0.3">
      <c r="A198" s="31" t="s">
        <v>1383</v>
      </c>
      <c r="B198" s="32" t="s">
        <v>1384</v>
      </c>
      <c r="C198" s="34" t="s">
        <v>1385</v>
      </c>
    </row>
    <row r="199" spans="1:3" ht="16.5" x14ac:dyDescent="0.3">
      <c r="A199" s="31" t="s">
        <v>1386</v>
      </c>
      <c r="B199" s="32" t="s">
        <v>1387</v>
      </c>
      <c r="C199" s="44" t="s">
        <v>1388</v>
      </c>
    </row>
    <row r="200" spans="1:3" ht="16.5" x14ac:dyDescent="0.3">
      <c r="A200" s="31" t="s">
        <v>1389</v>
      </c>
      <c r="B200" s="32" t="s">
        <v>1390</v>
      </c>
      <c r="C200" s="34" t="s">
        <v>1391</v>
      </c>
    </row>
    <row r="201" spans="1:3" ht="16.5" x14ac:dyDescent="0.3">
      <c r="A201" s="31" t="s">
        <v>1392</v>
      </c>
      <c r="B201" s="32" t="s">
        <v>1393</v>
      </c>
      <c r="C201" s="34" t="s">
        <v>1394</v>
      </c>
    </row>
    <row r="202" spans="1:3" ht="16.5" x14ac:dyDescent="0.3">
      <c r="A202" s="31" t="s">
        <v>1395</v>
      </c>
      <c r="B202" s="32" t="s">
        <v>1396</v>
      </c>
      <c r="C202" s="33" t="s">
        <v>1397</v>
      </c>
    </row>
    <row r="203" spans="1:3" ht="16.5" x14ac:dyDescent="0.3">
      <c r="A203" s="31" t="s">
        <v>1398</v>
      </c>
      <c r="B203" s="32" t="s">
        <v>95</v>
      </c>
      <c r="C203" s="44" t="s">
        <v>1399</v>
      </c>
    </row>
    <row r="204" spans="1:3" ht="16.5" x14ac:dyDescent="0.3">
      <c r="A204" s="31" t="s">
        <v>1400</v>
      </c>
      <c r="B204" s="32" t="s">
        <v>1401</v>
      </c>
      <c r="C204" s="33" t="s">
        <v>1402</v>
      </c>
    </row>
    <row r="205" spans="1:3" ht="16.5" x14ac:dyDescent="0.3">
      <c r="A205" s="31" t="s">
        <v>1403</v>
      </c>
      <c r="B205" s="32" t="s">
        <v>1404</v>
      </c>
      <c r="C205" s="34" t="s">
        <v>1405</v>
      </c>
    </row>
    <row r="206" spans="1:3" ht="16.5" x14ac:dyDescent="0.3">
      <c r="A206" s="31" t="s">
        <v>1406</v>
      </c>
      <c r="B206" s="32" t="s">
        <v>1407</v>
      </c>
      <c r="C206" s="34" t="s">
        <v>1408</v>
      </c>
    </row>
    <row r="207" spans="1:3" ht="16.5" x14ac:dyDescent="0.3">
      <c r="A207" s="31" t="s">
        <v>1409</v>
      </c>
      <c r="B207" s="32" t="s">
        <v>680</v>
      </c>
      <c r="C207" s="34" t="s">
        <v>1410</v>
      </c>
    </row>
    <row r="208" spans="1:3" ht="16.5" x14ac:dyDescent="0.3">
      <c r="A208" s="31" t="s">
        <v>1411</v>
      </c>
      <c r="B208" s="32" t="s">
        <v>1412</v>
      </c>
      <c r="C208" s="34" t="s">
        <v>376</v>
      </c>
    </row>
    <row r="209" spans="1:3" ht="16.5" x14ac:dyDescent="0.3">
      <c r="A209" s="31" t="s">
        <v>1413</v>
      </c>
      <c r="B209" s="32" t="s">
        <v>1414</v>
      </c>
      <c r="C209" s="34" t="s">
        <v>1415</v>
      </c>
    </row>
    <row r="210" spans="1:3" ht="16.5" x14ac:dyDescent="0.3">
      <c r="A210" s="31" t="s">
        <v>1416</v>
      </c>
      <c r="B210" s="32" t="s">
        <v>1417</v>
      </c>
      <c r="C210" s="34" t="s">
        <v>1418</v>
      </c>
    </row>
    <row r="211" spans="1:3" ht="16.5" x14ac:dyDescent="0.3">
      <c r="A211" s="31" t="s">
        <v>1419</v>
      </c>
      <c r="B211" s="32" t="s">
        <v>1420</v>
      </c>
      <c r="C211" s="34" t="s">
        <v>1421</v>
      </c>
    </row>
    <row r="212" spans="1:3" ht="16.5" x14ac:dyDescent="0.3">
      <c r="A212" s="31" t="s">
        <v>1422</v>
      </c>
      <c r="B212" s="32" t="s">
        <v>1423</v>
      </c>
      <c r="C212" s="34" t="s">
        <v>1424</v>
      </c>
    </row>
    <row r="213" spans="1:3" ht="16.5" x14ac:dyDescent="0.3">
      <c r="A213" s="31" t="s">
        <v>1425</v>
      </c>
      <c r="B213" s="32" t="s">
        <v>1426</v>
      </c>
      <c r="C213" s="34" t="s">
        <v>1427</v>
      </c>
    </row>
    <row r="214" spans="1:3" ht="16.5" x14ac:dyDescent="0.3">
      <c r="A214" s="31" t="s">
        <v>1428</v>
      </c>
      <c r="B214" s="32" t="s">
        <v>1429</v>
      </c>
      <c r="C214" s="34" t="s">
        <v>1430</v>
      </c>
    </row>
    <row r="215" spans="1:3" ht="16.5" x14ac:dyDescent="0.3">
      <c r="A215" s="31" t="s">
        <v>1431</v>
      </c>
      <c r="B215" s="32" t="s">
        <v>1432</v>
      </c>
      <c r="C215" s="34" t="s">
        <v>1433</v>
      </c>
    </row>
    <row r="216" spans="1:3" ht="16.5" x14ac:dyDescent="0.3">
      <c r="A216" s="31" t="s">
        <v>1434</v>
      </c>
      <c r="B216" s="32" t="s">
        <v>1435</v>
      </c>
      <c r="C216" s="34" t="s">
        <v>1436</v>
      </c>
    </row>
    <row r="217" spans="1:3" ht="16.5" x14ac:dyDescent="0.3">
      <c r="A217" s="31" t="s">
        <v>1437</v>
      </c>
      <c r="B217" s="32" t="s">
        <v>1438</v>
      </c>
      <c r="C217" s="34" t="s">
        <v>1439</v>
      </c>
    </row>
    <row r="218" spans="1:3" ht="16.5" x14ac:dyDescent="0.3">
      <c r="A218" s="31" t="s">
        <v>1440</v>
      </c>
      <c r="B218" s="32" t="s">
        <v>1441</v>
      </c>
      <c r="C218" s="34" t="s">
        <v>1442</v>
      </c>
    </row>
    <row r="219" spans="1:3" ht="16.5" x14ac:dyDescent="0.3">
      <c r="A219" s="31" t="s">
        <v>1443</v>
      </c>
      <c r="B219" s="32" t="s">
        <v>1444</v>
      </c>
      <c r="C219" s="34" t="s">
        <v>1445</v>
      </c>
    </row>
    <row r="220" spans="1:3" ht="16.5" x14ac:dyDescent="0.3">
      <c r="A220" s="31" t="s">
        <v>1446</v>
      </c>
      <c r="B220" s="32" t="s">
        <v>1447</v>
      </c>
      <c r="C220" s="34" t="s">
        <v>1448</v>
      </c>
    </row>
    <row r="221" spans="1:3" ht="16.5" x14ac:dyDescent="0.3">
      <c r="A221" s="31" t="s">
        <v>1449</v>
      </c>
      <c r="B221" s="32" t="s">
        <v>1450</v>
      </c>
      <c r="C221" s="34" t="s">
        <v>1451</v>
      </c>
    </row>
    <row r="222" spans="1:3" ht="16.5" x14ac:dyDescent="0.3">
      <c r="A222" s="31" t="s">
        <v>1452</v>
      </c>
      <c r="B222" s="32" t="s">
        <v>1453</v>
      </c>
      <c r="C222" s="34" t="s">
        <v>1454</v>
      </c>
    </row>
    <row r="223" spans="1:3" ht="16.5" x14ac:dyDescent="0.3">
      <c r="A223" s="31" t="s">
        <v>1455</v>
      </c>
      <c r="B223" s="32" t="s">
        <v>1456</v>
      </c>
      <c r="C223" s="34" t="s">
        <v>1457</v>
      </c>
    </row>
    <row r="224" spans="1:3" ht="16.5" x14ac:dyDescent="0.3">
      <c r="A224" s="31" t="s">
        <v>1458</v>
      </c>
      <c r="B224" s="32" t="s">
        <v>1459</v>
      </c>
      <c r="C224" s="34" t="s">
        <v>1460</v>
      </c>
    </row>
    <row r="225" spans="1:3" ht="16.5" x14ac:dyDescent="0.3">
      <c r="A225" s="31" t="s">
        <v>1461</v>
      </c>
      <c r="B225" s="32" t="s">
        <v>1462</v>
      </c>
      <c r="C225" s="34" t="s">
        <v>1463</v>
      </c>
    </row>
    <row r="226" spans="1:3" ht="16.5" x14ac:dyDescent="0.3">
      <c r="A226" s="31" t="s">
        <v>1464</v>
      </c>
      <c r="B226" s="32" t="s">
        <v>1465</v>
      </c>
      <c r="C226" s="34" t="s">
        <v>1466</v>
      </c>
    </row>
    <row r="227" spans="1:3" ht="16.5" x14ac:dyDescent="0.3">
      <c r="A227" s="31" t="s">
        <v>1467</v>
      </c>
      <c r="B227" s="32" t="s">
        <v>1468</v>
      </c>
      <c r="C227" s="34" t="s">
        <v>1469</v>
      </c>
    </row>
    <row r="228" spans="1:3" ht="16.5" x14ac:dyDescent="0.3">
      <c r="A228" s="31" t="s">
        <v>1470</v>
      </c>
      <c r="B228" s="32" t="s">
        <v>1471</v>
      </c>
      <c r="C228" s="34" t="s">
        <v>1472</v>
      </c>
    </row>
    <row r="229" spans="1:3" ht="16.5" x14ac:dyDescent="0.3">
      <c r="A229" s="31" t="s">
        <v>1473</v>
      </c>
      <c r="B229" s="32" t="s">
        <v>1474</v>
      </c>
      <c r="C229" s="34" t="s">
        <v>1475</v>
      </c>
    </row>
    <row r="230" spans="1:3" ht="16.5" x14ac:dyDescent="0.3">
      <c r="A230" s="31" t="s">
        <v>1476</v>
      </c>
      <c r="B230" s="32" t="s">
        <v>1477</v>
      </c>
      <c r="C230" s="34" t="s">
        <v>1478</v>
      </c>
    </row>
    <row r="231" spans="1:3" ht="16.5" x14ac:dyDescent="0.3">
      <c r="A231" s="31" t="s">
        <v>1479</v>
      </c>
      <c r="B231" s="32" t="s">
        <v>1480</v>
      </c>
      <c r="C231" s="34" t="s">
        <v>1481</v>
      </c>
    </row>
    <row r="232" spans="1:3" ht="16.5" x14ac:dyDescent="0.3">
      <c r="A232" s="31" t="s">
        <v>1482</v>
      </c>
      <c r="B232" s="32" t="s">
        <v>1483</v>
      </c>
      <c r="C232" s="34" t="s">
        <v>1484</v>
      </c>
    </row>
    <row r="233" spans="1:3" ht="16.5" x14ac:dyDescent="0.3">
      <c r="A233" s="31" t="s">
        <v>1485</v>
      </c>
      <c r="B233" s="32" t="s">
        <v>1486</v>
      </c>
      <c r="C233" s="34" t="s">
        <v>1487</v>
      </c>
    </row>
    <row r="234" spans="1:3" ht="16.5" x14ac:dyDescent="0.3">
      <c r="A234" s="31" t="s">
        <v>1488</v>
      </c>
      <c r="B234" s="32" t="s">
        <v>1489</v>
      </c>
      <c r="C234" s="34" t="s">
        <v>1490</v>
      </c>
    </row>
    <row r="235" spans="1:3" ht="16.5" x14ac:dyDescent="0.3">
      <c r="A235" s="31" t="s">
        <v>1491</v>
      </c>
      <c r="B235" s="32" t="s">
        <v>1492</v>
      </c>
      <c r="C235" s="34" t="s">
        <v>1493</v>
      </c>
    </row>
    <row r="236" spans="1:3" ht="16.5" x14ac:dyDescent="0.3">
      <c r="A236" s="31" t="s">
        <v>1494</v>
      </c>
      <c r="B236" s="32" t="s">
        <v>1495</v>
      </c>
      <c r="C236" s="34" t="s">
        <v>1496</v>
      </c>
    </row>
    <row r="237" spans="1:3" ht="16.5" x14ac:dyDescent="0.3">
      <c r="A237" s="31" t="s">
        <v>1497</v>
      </c>
      <c r="B237" s="32" t="s">
        <v>1498</v>
      </c>
      <c r="C237" s="34" t="s">
        <v>1499</v>
      </c>
    </row>
    <row r="238" spans="1:3" ht="16.5" x14ac:dyDescent="0.3">
      <c r="A238" s="31" t="s">
        <v>1500</v>
      </c>
      <c r="B238" s="32" t="s">
        <v>1489</v>
      </c>
      <c r="C238" s="34" t="s">
        <v>1501</v>
      </c>
    </row>
    <row r="239" spans="1:3" ht="16.5" x14ac:dyDescent="0.3">
      <c r="A239" s="31" t="s">
        <v>1502</v>
      </c>
      <c r="B239" s="32" t="s">
        <v>1503</v>
      </c>
      <c r="C239" s="34" t="s">
        <v>1504</v>
      </c>
    </row>
    <row r="240" spans="1:3" ht="16.5" x14ac:dyDescent="0.3">
      <c r="A240" s="31" t="s">
        <v>1505</v>
      </c>
      <c r="B240" s="32" t="s">
        <v>1506</v>
      </c>
      <c r="C240" s="45" t="s">
        <v>1507</v>
      </c>
    </row>
    <row r="241" spans="1:3" ht="16.5" x14ac:dyDescent="0.3">
      <c r="A241" s="31" t="s">
        <v>1508</v>
      </c>
      <c r="B241" s="32" t="s">
        <v>1509</v>
      </c>
      <c r="C241" s="34" t="s">
        <v>1510</v>
      </c>
    </row>
    <row r="242" spans="1:3" ht="16.5" x14ac:dyDescent="0.3">
      <c r="A242" s="31" t="s">
        <v>1511</v>
      </c>
      <c r="B242" s="32" t="s">
        <v>1512</v>
      </c>
      <c r="C242" s="34" t="s">
        <v>1513</v>
      </c>
    </row>
    <row r="243" spans="1:3" ht="16.5" x14ac:dyDescent="0.3">
      <c r="A243" s="31" t="s">
        <v>1514</v>
      </c>
      <c r="B243" s="32" t="s">
        <v>1515</v>
      </c>
      <c r="C243" s="34" t="s">
        <v>1516</v>
      </c>
    </row>
    <row r="244" spans="1:3" ht="16.5" x14ac:dyDescent="0.3">
      <c r="A244" s="31" t="s">
        <v>1517</v>
      </c>
      <c r="B244" s="32" t="s">
        <v>1518</v>
      </c>
      <c r="C244" s="34" t="s">
        <v>1154</v>
      </c>
    </row>
    <row r="245" spans="1:3" ht="16.5" x14ac:dyDescent="0.3">
      <c r="A245" s="31" t="s">
        <v>1519</v>
      </c>
      <c r="B245" s="32" t="s">
        <v>1520</v>
      </c>
      <c r="C245" s="34" t="s">
        <v>1521</v>
      </c>
    </row>
    <row r="246" spans="1:3" ht="16.5" x14ac:dyDescent="0.3">
      <c r="A246" s="31" t="s">
        <v>1522</v>
      </c>
      <c r="B246" s="32" t="s">
        <v>1523</v>
      </c>
      <c r="C246" s="34" t="s">
        <v>1524</v>
      </c>
    </row>
    <row r="247" spans="1:3" ht="16.5" x14ac:dyDescent="0.3">
      <c r="A247" s="31" t="s">
        <v>1525</v>
      </c>
      <c r="B247" s="32" t="s">
        <v>1526</v>
      </c>
      <c r="C247" s="34" t="s">
        <v>1527</v>
      </c>
    </row>
    <row r="248" spans="1:3" ht="16.5" x14ac:dyDescent="0.3">
      <c r="A248" s="31" t="s">
        <v>1528</v>
      </c>
      <c r="B248" s="32" t="s">
        <v>1529</v>
      </c>
      <c r="C248" s="34" t="s">
        <v>1530</v>
      </c>
    </row>
    <row r="249" spans="1:3" ht="16.5" x14ac:dyDescent="0.3">
      <c r="A249" s="31" t="s">
        <v>1531</v>
      </c>
      <c r="B249" s="32" t="s">
        <v>1532</v>
      </c>
      <c r="C249" s="34" t="s">
        <v>1533</v>
      </c>
    </row>
    <row r="250" spans="1:3" ht="16.5" x14ac:dyDescent="0.3">
      <c r="A250" s="31" t="s">
        <v>1534</v>
      </c>
      <c r="B250" s="32" t="s">
        <v>1535</v>
      </c>
      <c r="C250" s="34" t="s">
        <v>1536</v>
      </c>
    </row>
    <row r="251" spans="1:3" ht="16.5" x14ac:dyDescent="0.3">
      <c r="A251" s="31" t="s">
        <v>1537</v>
      </c>
      <c r="B251" s="32" t="s">
        <v>1538</v>
      </c>
      <c r="C251" s="34" t="s">
        <v>1539</v>
      </c>
    </row>
    <row r="252" spans="1:3" ht="16.5" x14ac:dyDescent="0.3">
      <c r="A252" s="31" t="s">
        <v>1540</v>
      </c>
      <c r="B252" s="32" t="s">
        <v>1541</v>
      </c>
      <c r="C252" s="34" t="s">
        <v>1542</v>
      </c>
    </row>
    <row r="253" spans="1:3" ht="16.5" x14ac:dyDescent="0.3">
      <c r="A253" s="31" t="s">
        <v>1543</v>
      </c>
      <c r="B253" s="32" t="s">
        <v>1544</v>
      </c>
      <c r="C253" s="34" t="s">
        <v>1545</v>
      </c>
    </row>
    <row r="254" spans="1:3" ht="16.5" x14ac:dyDescent="0.3">
      <c r="A254" s="31" t="s">
        <v>1546</v>
      </c>
      <c r="B254" s="32" t="s">
        <v>1547</v>
      </c>
      <c r="C254" s="34" t="s">
        <v>1548</v>
      </c>
    </row>
    <row r="255" spans="1:3" ht="16.5" x14ac:dyDescent="0.3">
      <c r="A255" s="31" t="s">
        <v>1549</v>
      </c>
      <c r="B255" s="32" t="s">
        <v>1550</v>
      </c>
      <c r="C255" s="34" t="s">
        <v>1551</v>
      </c>
    </row>
    <row r="256" spans="1:3" ht="16.5" x14ac:dyDescent="0.3">
      <c r="A256" s="31" t="s">
        <v>1552</v>
      </c>
      <c r="B256" s="32" t="s">
        <v>1553</v>
      </c>
      <c r="C256" s="34" t="s">
        <v>1554</v>
      </c>
    </row>
    <row r="257" spans="1:3" ht="16.5" x14ac:dyDescent="0.3">
      <c r="A257" s="31" t="s">
        <v>1555</v>
      </c>
      <c r="B257" s="32" t="s">
        <v>1556</v>
      </c>
      <c r="C257" s="34" t="s">
        <v>1557</v>
      </c>
    </row>
    <row r="258" spans="1:3" ht="16.5" x14ac:dyDescent="0.3">
      <c r="A258" s="31" t="s">
        <v>1558</v>
      </c>
      <c r="B258" s="32" t="s">
        <v>1559</v>
      </c>
      <c r="C258" s="34" t="s">
        <v>1560</v>
      </c>
    </row>
    <row r="259" spans="1:3" ht="16.5" x14ac:dyDescent="0.3">
      <c r="A259" s="31" t="s">
        <v>1561</v>
      </c>
      <c r="B259" s="32" t="s">
        <v>1562</v>
      </c>
      <c r="C259" s="34" t="s">
        <v>1563</v>
      </c>
    </row>
    <row r="260" spans="1:3" ht="16.5" x14ac:dyDescent="0.3">
      <c r="A260" s="31" t="s">
        <v>1564</v>
      </c>
      <c r="B260" s="32" t="s">
        <v>1565</v>
      </c>
      <c r="C260" s="34" t="s">
        <v>1566</v>
      </c>
    </row>
    <row r="261" spans="1:3" ht="16.5" x14ac:dyDescent="0.3">
      <c r="A261" s="31" t="s">
        <v>1567</v>
      </c>
      <c r="B261" s="32" t="s">
        <v>1568</v>
      </c>
      <c r="C261" s="34" t="s">
        <v>1569</v>
      </c>
    </row>
    <row r="262" spans="1:3" ht="16.5" x14ac:dyDescent="0.3">
      <c r="A262" s="31" t="s">
        <v>1570</v>
      </c>
      <c r="B262" s="32" t="s">
        <v>1571</v>
      </c>
      <c r="C262" s="34" t="s">
        <v>1572</v>
      </c>
    </row>
    <row r="263" spans="1:3" ht="16.5" x14ac:dyDescent="0.3">
      <c r="A263" s="31" t="s">
        <v>1573</v>
      </c>
      <c r="B263" s="32" t="s">
        <v>1574</v>
      </c>
      <c r="C263" s="34" t="s">
        <v>1575</v>
      </c>
    </row>
    <row r="264" spans="1:3" ht="16.5" x14ac:dyDescent="0.3">
      <c r="A264" s="31" t="s">
        <v>1576</v>
      </c>
      <c r="B264" s="32" t="s">
        <v>1577</v>
      </c>
      <c r="C264" s="34" t="s">
        <v>1578</v>
      </c>
    </row>
    <row r="265" spans="1:3" ht="16.5" x14ac:dyDescent="0.3">
      <c r="A265" s="31" t="s">
        <v>1579</v>
      </c>
      <c r="B265" s="32" t="s">
        <v>1580</v>
      </c>
      <c r="C265" s="34" t="s">
        <v>1581</v>
      </c>
    </row>
    <row r="266" spans="1:3" ht="16.5" x14ac:dyDescent="0.3">
      <c r="A266" s="31" t="s">
        <v>1582</v>
      </c>
      <c r="B266" s="32" t="s">
        <v>1583</v>
      </c>
      <c r="C266" s="34" t="s">
        <v>1584</v>
      </c>
    </row>
    <row r="267" spans="1:3" ht="16.5" x14ac:dyDescent="0.3">
      <c r="A267" s="31" t="s">
        <v>1585</v>
      </c>
      <c r="B267" s="32" t="s">
        <v>1586</v>
      </c>
      <c r="C267" s="34" t="s">
        <v>1587</v>
      </c>
    </row>
    <row r="268" spans="1:3" ht="16.5" x14ac:dyDescent="0.3">
      <c r="A268" s="31" t="s">
        <v>1588</v>
      </c>
      <c r="B268" s="32" t="s">
        <v>1589</v>
      </c>
      <c r="C268" s="34" t="s">
        <v>1590</v>
      </c>
    </row>
    <row r="269" spans="1:3" ht="16.5" x14ac:dyDescent="0.3">
      <c r="A269" s="31" t="s">
        <v>1591</v>
      </c>
      <c r="B269" s="32" t="s">
        <v>1592</v>
      </c>
      <c r="C269" s="34" t="s">
        <v>1593</v>
      </c>
    </row>
    <row r="270" spans="1:3" ht="16.5" x14ac:dyDescent="0.3">
      <c r="A270" s="31" t="s">
        <v>1594</v>
      </c>
      <c r="B270" s="32" t="s">
        <v>47</v>
      </c>
      <c r="C270" s="34" t="s">
        <v>1595</v>
      </c>
    </row>
    <row r="271" spans="1:3" ht="16.5" x14ac:dyDescent="0.3">
      <c r="A271" s="31" t="s">
        <v>1596</v>
      </c>
      <c r="B271" s="32" t="s">
        <v>91</v>
      </c>
      <c r="C271" s="34" t="s">
        <v>1250</v>
      </c>
    </row>
    <row r="272" spans="1:3" ht="16.5" x14ac:dyDescent="0.3">
      <c r="A272" s="31" t="s">
        <v>1597</v>
      </c>
      <c r="B272" s="32" t="s">
        <v>1598</v>
      </c>
      <c r="C272" s="34" t="s">
        <v>1599</v>
      </c>
    </row>
    <row r="273" spans="1:3" ht="16.5" x14ac:dyDescent="0.3">
      <c r="A273" s="31" t="s">
        <v>1600</v>
      </c>
      <c r="B273" s="32" t="s">
        <v>1601</v>
      </c>
      <c r="C273" s="34" t="s">
        <v>1602</v>
      </c>
    </row>
    <row r="274" spans="1:3" ht="16.5" x14ac:dyDescent="0.3">
      <c r="A274" s="31" t="s">
        <v>1603</v>
      </c>
      <c r="B274" s="32" t="s">
        <v>729</v>
      </c>
      <c r="C274" s="34" t="s">
        <v>1604</v>
      </c>
    </row>
    <row r="275" spans="1:3" ht="16.5" x14ac:dyDescent="0.3">
      <c r="A275" s="31" t="s">
        <v>1605</v>
      </c>
      <c r="B275" s="32" t="s">
        <v>1606</v>
      </c>
      <c r="C275" s="34" t="s">
        <v>1607</v>
      </c>
    </row>
    <row r="276" spans="1:3" ht="16.5" x14ac:dyDescent="0.3">
      <c r="A276" s="31" t="s">
        <v>1608</v>
      </c>
      <c r="B276" s="32" t="s">
        <v>1609</v>
      </c>
      <c r="C276" s="33" t="s">
        <v>1610</v>
      </c>
    </row>
    <row r="277" spans="1:3" ht="16.5" x14ac:dyDescent="0.3">
      <c r="A277" s="31" t="s">
        <v>1611</v>
      </c>
      <c r="B277" s="32" t="s">
        <v>1612</v>
      </c>
      <c r="C277" s="34" t="s">
        <v>1613</v>
      </c>
    </row>
    <row r="278" spans="1:3" ht="16.5" x14ac:dyDescent="0.3">
      <c r="A278" s="31" t="s">
        <v>1614</v>
      </c>
      <c r="B278" s="32" t="s">
        <v>1615</v>
      </c>
      <c r="C278" s="34" t="s">
        <v>1616</v>
      </c>
    </row>
    <row r="279" spans="1:3" ht="16.5" x14ac:dyDescent="0.3">
      <c r="A279" s="31" t="s">
        <v>1617</v>
      </c>
      <c r="B279" s="32" t="s">
        <v>54</v>
      </c>
      <c r="C279" s="34" t="s">
        <v>1618</v>
      </c>
    </row>
    <row r="280" spans="1:3" ht="16.5" x14ac:dyDescent="0.3">
      <c r="A280" s="31" t="s">
        <v>419</v>
      </c>
      <c r="B280" s="32" t="s">
        <v>414</v>
      </c>
      <c r="C280" s="34" t="s">
        <v>1619</v>
      </c>
    </row>
    <row r="281" spans="1:3" ht="16.5" x14ac:dyDescent="0.3">
      <c r="A281" s="31" t="s">
        <v>1620</v>
      </c>
      <c r="B281" s="32" t="s">
        <v>1621</v>
      </c>
      <c r="C281" s="34" t="s">
        <v>1268</v>
      </c>
    </row>
    <row r="282" spans="1:3" ht="16.5" x14ac:dyDescent="0.3">
      <c r="A282" s="31" t="s">
        <v>1622</v>
      </c>
      <c r="B282" s="32" t="s">
        <v>1623</v>
      </c>
      <c r="C282" s="34" t="s">
        <v>1624</v>
      </c>
    </row>
    <row r="283" spans="1:3" ht="16.5" x14ac:dyDescent="0.3">
      <c r="A283" s="31" t="s">
        <v>1625</v>
      </c>
      <c r="B283" s="32" t="s">
        <v>1626</v>
      </c>
      <c r="C283" s="34" t="s">
        <v>1627</v>
      </c>
    </row>
    <row r="284" spans="1:3" ht="16.5" x14ac:dyDescent="0.3">
      <c r="A284" s="31" t="s">
        <v>1628</v>
      </c>
      <c r="B284" s="32" t="s">
        <v>1629</v>
      </c>
      <c r="C284" s="34" t="s">
        <v>1630</v>
      </c>
    </row>
    <row r="285" spans="1:3" ht="16.5" x14ac:dyDescent="0.3">
      <c r="A285" s="31" t="s">
        <v>1631</v>
      </c>
      <c r="B285" s="32" t="s">
        <v>1632</v>
      </c>
      <c r="C285" s="34" t="s">
        <v>1633</v>
      </c>
    </row>
    <row r="286" spans="1:3" ht="16.5" x14ac:dyDescent="0.3">
      <c r="A286" s="31" t="s">
        <v>1634</v>
      </c>
      <c r="B286" s="32" t="s">
        <v>1635</v>
      </c>
      <c r="C286" s="34" t="s">
        <v>1636</v>
      </c>
    </row>
    <row r="287" spans="1:3" ht="16.5" x14ac:dyDescent="0.3">
      <c r="A287" s="31" t="s">
        <v>1637</v>
      </c>
      <c r="B287" s="32" t="s">
        <v>1638</v>
      </c>
      <c r="C287" s="34" t="s">
        <v>1639</v>
      </c>
    </row>
    <row r="288" spans="1:3" ht="16.5" x14ac:dyDescent="0.3">
      <c r="A288" s="31" t="s">
        <v>1640</v>
      </c>
      <c r="B288" s="32" t="s">
        <v>1641</v>
      </c>
      <c r="C288" s="34" t="s">
        <v>1642</v>
      </c>
    </row>
    <row r="289" spans="1:3" ht="16.5" x14ac:dyDescent="0.3">
      <c r="A289" s="31" t="s">
        <v>1643</v>
      </c>
      <c r="B289" s="32" t="s">
        <v>1644</v>
      </c>
      <c r="C289" s="34" t="s">
        <v>1645</v>
      </c>
    </row>
    <row r="290" spans="1:3" ht="16.5" x14ac:dyDescent="0.3">
      <c r="A290" s="31" t="s">
        <v>1646</v>
      </c>
      <c r="B290" s="32" t="s">
        <v>1647</v>
      </c>
      <c r="C290" s="34" t="s">
        <v>1648</v>
      </c>
    </row>
    <row r="291" spans="1:3" ht="16.5" x14ac:dyDescent="0.3">
      <c r="A291" s="31" t="s">
        <v>1649</v>
      </c>
      <c r="B291" s="32" t="s">
        <v>1650</v>
      </c>
      <c r="C291" s="34" t="s">
        <v>1651</v>
      </c>
    </row>
    <row r="292" spans="1:3" ht="16.5" x14ac:dyDescent="0.3">
      <c r="A292" s="31" t="s">
        <v>1652</v>
      </c>
      <c r="B292" s="32" t="s">
        <v>1653</v>
      </c>
      <c r="C292" s="34" t="s">
        <v>1654</v>
      </c>
    </row>
    <row r="293" spans="1:3" ht="16.5" x14ac:dyDescent="0.3">
      <c r="A293" s="31" t="s">
        <v>1655</v>
      </c>
      <c r="B293" s="32" t="s">
        <v>1656</v>
      </c>
      <c r="C293" s="34" t="s">
        <v>1657</v>
      </c>
    </row>
    <row r="294" spans="1:3" ht="16.5" x14ac:dyDescent="0.3">
      <c r="A294" s="31" t="s">
        <v>1658</v>
      </c>
      <c r="B294" s="32" t="s">
        <v>1659</v>
      </c>
      <c r="C294" s="34" t="s">
        <v>1660</v>
      </c>
    </row>
    <row r="295" spans="1:3" ht="16.5" x14ac:dyDescent="0.3">
      <c r="A295" s="31" t="s">
        <v>1661</v>
      </c>
      <c r="B295" s="32" t="s">
        <v>1662</v>
      </c>
      <c r="C295" s="34" t="s">
        <v>1663</v>
      </c>
    </row>
    <row r="296" spans="1:3" ht="16.5" x14ac:dyDescent="0.3">
      <c r="A296" s="31" t="s">
        <v>1664</v>
      </c>
      <c r="B296" s="32" t="s">
        <v>1665</v>
      </c>
      <c r="C296" s="34" t="s">
        <v>1666</v>
      </c>
    </row>
    <row r="297" spans="1:3" ht="16.5" x14ac:dyDescent="0.3">
      <c r="A297" s="31" t="s">
        <v>1667</v>
      </c>
      <c r="B297" s="32" t="s">
        <v>1668</v>
      </c>
      <c r="C297" s="34" t="s">
        <v>1669</v>
      </c>
    </row>
    <row r="298" spans="1:3" ht="16.5" x14ac:dyDescent="0.3">
      <c r="A298" s="31" t="s">
        <v>1670</v>
      </c>
      <c r="B298" s="32" t="s">
        <v>1671</v>
      </c>
      <c r="C298" s="34" t="s">
        <v>1672</v>
      </c>
    </row>
    <row r="299" spans="1:3" ht="16.5" x14ac:dyDescent="0.3">
      <c r="A299" s="31" t="s">
        <v>1673</v>
      </c>
      <c r="B299" s="32" t="s">
        <v>1674</v>
      </c>
      <c r="C299" s="33" t="s">
        <v>1675</v>
      </c>
    </row>
    <row r="300" spans="1:3" ht="16.5" x14ac:dyDescent="0.3">
      <c r="A300" s="31" t="s">
        <v>1676</v>
      </c>
      <c r="B300" s="32" t="s">
        <v>1677</v>
      </c>
      <c r="C300" s="34" t="s">
        <v>1678</v>
      </c>
    </row>
    <row r="301" spans="1:3" ht="16.5" x14ac:dyDescent="0.3">
      <c r="A301" s="31" t="s">
        <v>1679</v>
      </c>
      <c r="B301" s="32" t="s">
        <v>1680</v>
      </c>
      <c r="C301" s="34" t="s">
        <v>1681</v>
      </c>
    </row>
    <row r="302" spans="1:3" ht="16.5" x14ac:dyDescent="0.3">
      <c r="A302" s="31" t="s">
        <v>1682</v>
      </c>
      <c r="B302" s="32" t="s">
        <v>1683</v>
      </c>
      <c r="C302" s="34" t="s">
        <v>1684</v>
      </c>
    </row>
    <row r="303" spans="1:3" ht="16.5" x14ac:dyDescent="0.3">
      <c r="A303" s="31" t="s">
        <v>1685</v>
      </c>
      <c r="B303" s="32" t="s">
        <v>664</v>
      </c>
      <c r="C303" s="34" t="s">
        <v>420</v>
      </c>
    </row>
    <row r="304" spans="1:3" ht="16.5" x14ac:dyDescent="0.3">
      <c r="A304" s="31" t="s">
        <v>1686</v>
      </c>
      <c r="B304" s="32" t="s">
        <v>1687</v>
      </c>
      <c r="C304" s="34" t="s">
        <v>1688</v>
      </c>
    </row>
    <row r="305" spans="1:3" ht="16.5" x14ac:dyDescent="0.3">
      <c r="A305" s="31" t="s">
        <v>1689</v>
      </c>
      <c r="B305" s="32" t="s">
        <v>1690</v>
      </c>
      <c r="C305" s="33" t="s">
        <v>1691</v>
      </c>
    </row>
    <row r="306" spans="1:3" ht="16.5" x14ac:dyDescent="0.3">
      <c r="A306" s="31" t="s">
        <v>1692</v>
      </c>
      <c r="B306" s="32" t="s">
        <v>1693</v>
      </c>
      <c r="C306" s="34" t="s">
        <v>1694</v>
      </c>
    </row>
    <row r="307" spans="1:3" ht="16.5" x14ac:dyDescent="0.3">
      <c r="A307" s="31" t="s">
        <v>1695</v>
      </c>
      <c r="B307" s="32" t="s">
        <v>1696</v>
      </c>
      <c r="C307" s="33" t="s">
        <v>1697</v>
      </c>
    </row>
    <row r="308" spans="1:3" ht="16.5" x14ac:dyDescent="0.3">
      <c r="A308" s="31" t="s">
        <v>1698</v>
      </c>
      <c r="B308" s="32" t="s">
        <v>1699</v>
      </c>
      <c r="C308" s="33" t="s">
        <v>1700</v>
      </c>
    </row>
    <row r="309" spans="1:3" ht="16.5" x14ac:dyDescent="0.3">
      <c r="A309" s="31" t="s">
        <v>1701</v>
      </c>
      <c r="B309" s="32" t="s">
        <v>1702</v>
      </c>
      <c r="C309" s="33" t="s">
        <v>1703</v>
      </c>
    </row>
    <row r="310" spans="1:3" ht="16.5" x14ac:dyDescent="0.3">
      <c r="A310" s="31" t="s">
        <v>1704</v>
      </c>
      <c r="B310" s="32" t="s">
        <v>1705</v>
      </c>
      <c r="C310" s="34" t="s">
        <v>1706</v>
      </c>
    </row>
    <row r="311" spans="1:3" ht="16.5" x14ac:dyDescent="0.3">
      <c r="A311" s="31" t="s">
        <v>1707</v>
      </c>
      <c r="B311" s="32" t="s">
        <v>1708</v>
      </c>
      <c r="C311" s="33" t="s">
        <v>1709</v>
      </c>
    </row>
    <row r="312" spans="1:3" ht="16.5" x14ac:dyDescent="0.3">
      <c r="A312" s="31" t="s">
        <v>1710</v>
      </c>
      <c r="B312" s="32" t="s">
        <v>1711</v>
      </c>
      <c r="C312" s="33" t="s">
        <v>1712</v>
      </c>
    </row>
    <row r="313" spans="1:3" ht="16.5" x14ac:dyDescent="0.3">
      <c r="A313" s="31" t="s">
        <v>1713</v>
      </c>
      <c r="B313" s="32" t="s">
        <v>1714</v>
      </c>
      <c r="C313" s="33" t="s">
        <v>1715</v>
      </c>
    </row>
    <row r="314" spans="1:3" ht="16.5" x14ac:dyDescent="0.3">
      <c r="A314" s="31" t="s">
        <v>1716</v>
      </c>
      <c r="B314" s="32" t="s">
        <v>1717</v>
      </c>
      <c r="C314" s="33" t="s">
        <v>1718</v>
      </c>
    </row>
    <row r="315" spans="1:3" ht="16.5" x14ac:dyDescent="0.3">
      <c r="A315" s="31" t="s">
        <v>1719</v>
      </c>
      <c r="B315" s="32" t="s">
        <v>1720</v>
      </c>
      <c r="C315" s="33" t="s">
        <v>1721</v>
      </c>
    </row>
    <row r="316" spans="1:3" ht="16.5" x14ac:dyDescent="0.3">
      <c r="A316" s="31" t="s">
        <v>1722</v>
      </c>
      <c r="B316" s="32" t="s">
        <v>1723</v>
      </c>
      <c r="C316" s="34" t="s">
        <v>1724</v>
      </c>
    </row>
    <row r="317" spans="1:3" ht="16.5" x14ac:dyDescent="0.3">
      <c r="A317" s="31" t="s">
        <v>1725</v>
      </c>
      <c r="B317" s="32" t="s">
        <v>1726</v>
      </c>
      <c r="C317" s="34" t="s">
        <v>1727</v>
      </c>
    </row>
    <row r="318" spans="1:3" ht="16.5" x14ac:dyDescent="0.3">
      <c r="A318" s="31" t="s">
        <v>1728</v>
      </c>
      <c r="B318" s="32" t="s">
        <v>1729</v>
      </c>
      <c r="C318" s="34" t="s">
        <v>1730</v>
      </c>
    </row>
    <row r="319" spans="1:3" ht="16.5" x14ac:dyDescent="0.3">
      <c r="A319" s="31" t="s">
        <v>1731</v>
      </c>
      <c r="B319" s="32" t="s">
        <v>1732</v>
      </c>
      <c r="C319" s="34" t="s">
        <v>1733</v>
      </c>
    </row>
    <row r="320" spans="1:3" ht="16.5" x14ac:dyDescent="0.3">
      <c r="A320" s="31" t="s">
        <v>1734</v>
      </c>
      <c r="B320" s="32" t="s">
        <v>1735</v>
      </c>
      <c r="C320" s="34" t="s">
        <v>1736</v>
      </c>
    </row>
    <row r="321" spans="1:3" ht="16.5" x14ac:dyDescent="0.3">
      <c r="A321" s="31" t="s">
        <v>1737</v>
      </c>
      <c r="B321" s="32" t="s">
        <v>1738</v>
      </c>
      <c r="C321" s="34" t="s">
        <v>1739</v>
      </c>
    </row>
    <row r="322" spans="1:3" ht="16.5" x14ac:dyDescent="0.3">
      <c r="A322" s="31" t="s">
        <v>1740</v>
      </c>
      <c r="B322" s="32" t="s">
        <v>122</v>
      </c>
      <c r="C322" s="34" t="s">
        <v>1741</v>
      </c>
    </row>
    <row r="323" spans="1:3" ht="16.5" x14ac:dyDescent="0.3">
      <c r="A323" s="37" t="s">
        <v>1742</v>
      </c>
      <c r="B323" s="38" t="s">
        <v>1743</v>
      </c>
      <c r="C323" s="39" t="s">
        <v>1744</v>
      </c>
    </row>
    <row r="324" spans="1:3" ht="16.5" x14ac:dyDescent="0.3">
      <c r="A324" s="31" t="s">
        <v>1745</v>
      </c>
      <c r="B324" s="32" t="s">
        <v>1746</v>
      </c>
      <c r="C324" s="34" t="s">
        <v>1747</v>
      </c>
    </row>
    <row r="325" spans="1:3" ht="16.5" x14ac:dyDescent="0.3">
      <c r="A325" s="37" t="s">
        <v>1748</v>
      </c>
      <c r="B325" s="38" t="s">
        <v>1749</v>
      </c>
      <c r="C325" s="39" t="s">
        <v>1750</v>
      </c>
    </row>
    <row r="326" spans="1:3" ht="16.5" x14ac:dyDescent="0.3">
      <c r="A326" s="31" t="s">
        <v>1751</v>
      </c>
      <c r="B326" s="32" t="s">
        <v>1752</v>
      </c>
      <c r="C326" s="34" t="s">
        <v>1753</v>
      </c>
    </row>
    <row r="327" spans="1:3" ht="16.5" x14ac:dyDescent="0.3">
      <c r="A327" s="31" t="s">
        <v>1754</v>
      </c>
      <c r="B327" s="32" t="s">
        <v>1755</v>
      </c>
      <c r="C327" s="34" t="s">
        <v>1756</v>
      </c>
    </row>
    <row r="328" spans="1:3" ht="16.5" x14ac:dyDescent="0.3">
      <c r="A328" s="31" t="s">
        <v>1757</v>
      </c>
      <c r="B328" s="32" t="s">
        <v>1758</v>
      </c>
      <c r="C328" s="34" t="s">
        <v>1469</v>
      </c>
    </row>
    <row r="329" spans="1:3" ht="16.5" x14ac:dyDescent="0.3">
      <c r="A329" s="31" t="s">
        <v>1759</v>
      </c>
      <c r="B329" s="32" t="s">
        <v>38</v>
      </c>
      <c r="C329" s="34" t="s">
        <v>1760</v>
      </c>
    </row>
    <row r="330" spans="1:3" ht="16.5" x14ac:dyDescent="0.3">
      <c r="A330" s="31" t="s">
        <v>1761</v>
      </c>
      <c r="B330" s="32" t="s">
        <v>1762</v>
      </c>
      <c r="C330" s="34" t="s">
        <v>1763</v>
      </c>
    </row>
    <row r="331" spans="1:3" ht="16.5" x14ac:dyDescent="0.3">
      <c r="A331" s="31" t="s">
        <v>1764</v>
      </c>
      <c r="B331" s="32" t="s">
        <v>1765</v>
      </c>
      <c r="C331" s="34" t="s">
        <v>1766</v>
      </c>
    </row>
    <row r="332" spans="1:3" ht="16.5" x14ac:dyDescent="0.3">
      <c r="A332" s="31" t="s">
        <v>1767</v>
      </c>
      <c r="B332" s="32" t="s">
        <v>1768</v>
      </c>
      <c r="C332" s="34" t="s">
        <v>1769</v>
      </c>
    </row>
    <row r="333" spans="1:3" ht="16.5" x14ac:dyDescent="0.3">
      <c r="A333" s="31" t="s">
        <v>1770</v>
      </c>
      <c r="B333" s="32" t="s">
        <v>1771</v>
      </c>
      <c r="C333" s="34" t="s">
        <v>1772</v>
      </c>
    </row>
    <row r="334" spans="1:3" ht="16.5" x14ac:dyDescent="0.3">
      <c r="A334" s="31" t="s">
        <v>1773</v>
      </c>
      <c r="B334" s="32" t="s">
        <v>1774</v>
      </c>
      <c r="C334" s="34" t="s">
        <v>1775</v>
      </c>
    </row>
    <row r="335" spans="1:3" ht="16.5" x14ac:dyDescent="0.3">
      <c r="A335" s="31" t="s">
        <v>1776</v>
      </c>
      <c r="B335" s="32" t="s">
        <v>1777</v>
      </c>
      <c r="C335" s="34" t="s">
        <v>1778</v>
      </c>
    </row>
    <row r="336" spans="1:3" ht="16.5" x14ac:dyDescent="0.3">
      <c r="A336" s="31" t="s">
        <v>1779</v>
      </c>
      <c r="B336" s="32" t="s">
        <v>1780</v>
      </c>
      <c r="C336" s="34" t="s">
        <v>1781</v>
      </c>
    </row>
    <row r="337" spans="1:3" ht="16.5" x14ac:dyDescent="0.3">
      <c r="A337" s="31" t="s">
        <v>1782</v>
      </c>
      <c r="B337" s="32" t="s">
        <v>1783</v>
      </c>
      <c r="C337" s="34" t="s">
        <v>1784</v>
      </c>
    </row>
    <row r="338" spans="1:3" ht="16.5" x14ac:dyDescent="0.3">
      <c r="A338" s="37" t="s">
        <v>1785</v>
      </c>
      <c r="B338" s="38" t="s">
        <v>1786</v>
      </c>
      <c r="C338" s="39" t="s">
        <v>1787</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E20" sqref="E20"/>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1788</v>
      </c>
      <c r="B1" s="1" t="s">
        <v>33</v>
      </c>
      <c r="C1" s="2" t="s">
        <v>719</v>
      </c>
      <c r="D1" s="3">
        <v>1</v>
      </c>
      <c r="E1" s="4" t="s">
        <v>699</v>
      </c>
      <c r="F1" s="5" t="s">
        <v>1789</v>
      </c>
      <c r="G1" s="4">
        <v>1</v>
      </c>
      <c r="H1" s="4" t="s">
        <v>1790</v>
      </c>
    </row>
    <row r="2" spans="1:8" x14ac:dyDescent="0.25">
      <c r="A2" s="2" t="s">
        <v>1791</v>
      </c>
      <c r="B2" s="1" t="s">
        <v>1792</v>
      </c>
      <c r="C2" s="2" t="s">
        <v>1793</v>
      </c>
      <c r="D2" s="3">
        <v>2</v>
      </c>
      <c r="E2" s="4" t="s">
        <v>36</v>
      </c>
      <c r="F2" s="5" t="s">
        <v>1794</v>
      </c>
      <c r="G2" s="4">
        <v>2</v>
      </c>
      <c r="H2" s="4" t="s">
        <v>58</v>
      </c>
    </row>
    <row r="3" spans="1:8" x14ac:dyDescent="0.25">
      <c r="A3" s="2" t="s">
        <v>718</v>
      </c>
      <c r="B3" s="2" t="s">
        <v>727</v>
      </c>
      <c r="C3" s="2" t="s">
        <v>1795</v>
      </c>
      <c r="D3" s="3">
        <v>3</v>
      </c>
      <c r="E3" s="4" t="s">
        <v>544</v>
      </c>
      <c r="F3" s="5" t="s">
        <v>1796</v>
      </c>
      <c r="G3" s="4">
        <v>3</v>
      </c>
      <c r="H3" s="4" t="s">
        <v>555</v>
      </c>
    </row>
    <row r="4" spans="1:8" x14ac:dyDescent="0.25">
      <c r="A4" s="2" t="s">
        <v>1797</v>
      </c>
      <c r="B4" s="2" t="s">
        <v>1798</v>
      </c>
      <c r="C4" s="2" t="s">
        <v>754</v>
      </c>
      <c r="D4" s="3">
        <v>4</v>
      </c>
      <c r="E4" s="4"/>
      <c r="F4" s="5" t="s">
        <v>1799</v>
      </c>
      <c r="G4" s="4">
        <v>4</v>
      </c>
      <c r="H4" s="4" t="s">
        <v>40</v>
      </c>
    </row>
    <row r="5" spans="1:8" x14ac:dyDescent="0.25">
      <c r="A5" s="2" t="s">
        <v>204</v>
      </c>
      <c r="B5" s="2" t="s">
        <v>1800</v>
      </c>
      <c r="C5" s="2" t="s">
        <v>34</v>
      </c>
      <c r="D5" s="3">
        <v>5</v>
      </c>
      <c r="E5" s="4"/>
      <c r="F5" s="5" t="s">
        <v>1801</v>
      </c>
      <c r="G5" s="4">
        <v>5</v>
      </c>
      <c r="H5" s="4" t="s">
        <v>199</v>
      </c>
    </row>
    <row r="6" spans="1:8" x14ac:dyDescent="0.25">
      <c r="A6" s="2" t="s">
        <v>1802</v>
      </c>
      <c r="B6" s="1" t="s">
        <v>1803</v>
      </c>
      <c r="C6" s="2" t="s">
        <v>1804</v>
      </c>
      <c r="D6" s="3">
        <v>6</v>
      </c>
      <c r="E6" s="4"/>
      <c r="F6" s="5" t="s">
        <v>1805</v>
      </c>
      <c r="G6" s="4">
        <v>6</v>
      </c>
      <c r="H6" s="4"/>
    </row>
    <row r="7" spans="1:8" x14ac:dyDescent="0.25">
      <c r="A7" s="2" t="s">
        <v>1806</v>
      </c>
      <c r="B7" s="1" t="s">
        <v>1807</v>
      </c>
      <c r="C7" s="2" t="s">
        <v>1808</v>
      </c>
      <c r="D7" s="6" t="s">
        <v>1809</v>
      </c>
      <c r="E7" s="4"/>
      <c r="F7" s="5" t="s">
        <v>1810</v>
      </c>
      <c r="G7" s="4">
        <v>7</v>
      </c>
      <c r="H7" s="4"/>
    </row>
    <row r="8" spans="1:8" x14ac:dyDescent="0.25">
      <c r="A8" s="2" t="s">
        <v>125</v>
      </c>
      <c r="B8" s="1"/>
      <c r="C8" s="2" t="s">
        <v>1811</v>
      </c>
      <c r="D8" s="4"/>
      <c r="E8" s="4"/>
      <c r="F8" s="5" t="s">
        <v>1812</v>
      </c>
      <c r="G8" s="4">
        <v>8</v>
      </c>
      <c r="H8" s="4"/>
    </row>
    <row r="9" spans="1:8" x14ac:dyDescent="0.25">
      <c r="A9" s="2" t="s">
        <v>32</v>
      </c>
      <c r="C9" s="2"/>
      <c r="D9" s="4"/>
      <c r="E9" s="4"/>
      <c r="F9" s="5" t="s">
        <v>1813</v>
      </c>
      <c r="G9" s="4">
        <v>9</v>
      </c>
      <c r="H9" s="4"/>
    </row>
    <row r="10" spans="1:8" x14ac:dyDescent="0.25">
      <c r="A10" s="2" t="s">
        <v>56</v>
      </c>
      <c r="C10" s="2"/>
      <c r="D10" s="4"/>
      <c r="E10" s="4"/>
      <c r="F10" s="5" t="s">
        <v>1814</v>
      </c>
      <c r="G10" s="4">
        <v>10</v>
      </c>
      <c r="H10" s="4"/>
    </row>
    <row r="11" spans="1:8" x14ac:dyDescent="0.25">
      <c r="A11" s="2"/>
      <c r="B11" s="4"/>
      <c r="C11" s="4"/>
      <c r="D11" s="4"/>
      <c r="E11" s="4"/>
      <c r="F11" s="5" t="s">
        <v>1815</v>
      </c>
      <c r="G11" s="4">
        <v>11</v>
      </c>
      <c r="H11" s="4"/>
    </row>
    <row r="12" spans="1:8" x14ac:dyDescent="0.25">
      <c r="A12" s="2"/>
      <c r="B12" s="4"/>
      <c r="C12" s="4"/>
      <c r="D12" s="4"/>
      <c r="E12" s="4"/>
      <c r="F12" s="5" t="s">
        <v>1816</v>
      </c>
      <c r="G12" s="4">
        <v>12</v>
      </c>
      <c r="H12" s="4"/>
    </row>
    <row r="13" spans="1:8" x14ac:dyDescent="0.25">
      <c r="A13" s="4"/>
      <c r="B13" s="4"/>
      <c r="C13" s="4"/>
      <c r="D13" s="4"/>
      <c r="E13" s="4"/>
      <c r="F13" s="5" t="s">
        <v>1817</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A8A88-114F-4414-B78B-59A1E08F48D9}">
  <ds:schemaRefs>
    <ds:schemaRef ds:uri="http://www.w3.org/XML/1998/namespace"/>
    <ds:schemaRef ds:uri="036464c2-fd20-4b66-91a9-287fded1e9c2"/>
    <ds:schemaRef ds:uri="http://purl.org/dc/term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bc93fe7e-d035-43bb-a03c-6b57525c971b"/>
    <ds:schemaRef ds:uri="http://purl.org/dc/dcmitype/"/>
  </ds:schemaRefs>
</ds:datastoreItem>
</file>

<file path=customXml/itemProps2.xml><?xml version="1.0" encoding="utf-8"?>
<ds:datastoreItem xmlns:ds="http://schemas.openxmlformats.org/officeDocument/2006/customXml" ds:itemID="{8AF0942D-F89F-4C64-A44B-CAC349651D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2025-10-22T13:19:30Z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